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1 Oct Mon" sheetId="1" r:id="rId4"/>
    <sheet state="visible" name="22 Oct Tues" sheetId="2" r:id="rId5"/>
    <sheet state="visible" name="23 Oct Wed" sheetId="3" r:id="rId6"/>
    <sheet state="visible" name="24 Oct Thurs" sheetId="4" r:id="rId7"/>
    <sheet state="visible" name="25 Oct Fri" sheetId="5" r:id="rId8"/>
    <sheet state="visible" name="26 Oct Sat" sheetId="6" r:id="rId9"/>
    <sheet state="visible" name="(WK 43)21 Oct- 26 Oct 2024" sheetId="7" r:id="rId10"/>
    <sheet state="visible" name="Imp Points" sheetId="8" r:id="rId11"/>
  </sheets>
  <definedNames/>
  <calcPr/>
  <extLst>
    <ext uri="GoogleSheetsCustomDataVersion2">
      <go:sheetsCustomData xmlns:go="http://customooxmlschemas.google.com/" r:id="rId12" roundtripDataChecksum="z3Nynrl2a84Gn6le4nXGPaoyonAwfHkdSQ+eX2CjC+o="/>
    </ext>
  </extLst>
</workbook>
</file>

<file path=xl/sharedStrings.xml><?xml version="1.0" encoding="utf-8"?>
<sst xmlns="http://schemas.openxmlformats.org/spreadsheetml/2006/main" count="2328" uniqueCount="435">
  <si>
    <t>COLLEGE NAME : L.J. INSTITUTE OF ENGINEERING AND TECHNOLOGY                                 DEPARTMENT NAME :  SY4(CST CS&amp;IT)                  YEAR : 2024-25                              SEMESTER : III</t>
  </si>
  <si>
    <t>TEACHING SECTION</t>
  </si>
  <si>
    <t>NON TEACHING SECTION</t>
  </si>
  <si>
    <t>HOD SECTION</t>
  </si>
  <si>
    <t>LECTURE DETAILS</t>
  </si>
  <si>
    <t>Difficulty solving or if attendance is less than 5  /Whatsapp Doubt Solving in official group / Students details whose Home Visit was done / PTM
(Roll No,Name, Contact No.)
(H)</t>
  </si>
  <si>
    <t>Project / Dissertation/Design Engineering Load
(Enter only if Answer is given by Guide of the technical query)</t>
  </si>
  <si>
    <t>Total Teaching Credits
(A)</t>
  </si>
  <si>
    <t>Teaching Feedback
(B)</t>
  </si>
  <si>
    <t xml:space="preserve">Effective Teaching Credit
C= A * B </t>
  </si>
  <si>
    <r>
      <rPr>
        <rFont val="Times New Roman"/>
        <b/>
        <color rgb="FF000000"/>
        <sz val="40.0"/>
      </rPr>
      <t xml:space="preserve">NT Total Credits
(D)
</t>
    </r>
    <r>
      <rPr>
        <rFont val="Times New Roman"/>
        <b/>
        <color rgb="FFFF0000"/>
        <sz val="40.0"/>
      </rPr>
      <t>Refer from NT Section</t>
    </r>
  </si>
  <si>
    <t>Final Teaching  + Non Teaching Credit
E =C*0.75+D*0.25</t>
  </si>
  <si>
    <t>Once in a Semester</t>
  </si>
  <si>
    <t xml:space="preserve">Load Adjustment Done  </t>
  </si>
  <si>
    <t xml:space="preserve">AttendanceSubmission.If Not submitted </t>
  </si>
  <si>
    <t>Examination</t>
  </si>
  <si>
    <t>PARENTS INTERACTION</t>
  </si>
  <si>
    <t>SIF Credit</t>
  </si>
  <si>
    <t>Extra Activity</t>
  </si>
  <si>
    <t>Sr No</t>
  </si>
  <si>
    <t>Name-DOJ-Mobile No.</t>
  </si>
  <si>
    <t>Lec. No</t>
  </si>
  <si>
    <t>Faculty Initials</t>
  </si>
  <si>
    <t>Lecture Details</t>
  </si>
  <si>
    <t xml:space="preserve">No. of 
Students
Present </t>
  </si>
  <si>
    <t>Total 
Students</t>
  </si>
  <si>
    <t>Effective Load</t>
  </si>
  <si>
    <t xml:space="preserve">Today's Eff.Load Alloted
 as per TT
</t>
  </si>
  <si>
    <t xml:space="preserve">Extra Load
</t>
  </si>
  <si>
    <t xml:space="preserve">Merged Load
(If student in proxy batch &lt; 20, mention (-1) for 2 hrs Lab or (-1.5) for 2 hrs TL
</t>
  </si>
  <si>
    <t xml:space="preserve">Overall Today's Effective Load
</t>
  </si>
  <si>
    <t xml:space="preserve">Today's Eff. Mass bunk 
</t>
  </si>
  <si>
    <t xml:space="preserve">Today's Eff.load cancel 
bcz of Holiday 
</t>
  </si>
  <si>
    <t xml:space="preserve">Today's Eff load cancel bcz of Specific reason
</t>
  </si>
  <si>
    <t xml:space="preserve">Today's Eff load cancel bcz no adjustment was possible
</t>
  </si>
  <si>
    <t xml:space="preserve">Today's Total Eff Load Expected from Faculty
</t>
  </si>
  <si>
    <t xml:space="preserve">Today's Eff.Load Taken 
</t>
  </si>
  <si>
    <t>Comment 
for dummy column name C,D,E (Holiday, or load cacnelled details)</t>
  </si>
  <si>
    <t>Submission of Subject Folder (LP, QB,MSE Syllabus, Ques Paper etc)
Enter Credit=0 if done on time, Else (-1) daily until submitted</t>
  </si>
  <si>
    <t>Timetable Preparation Credit as per GI</t>
  </si>
  <si>
    <t>No.of Project/Dissertation Groups handled (To be entered at the end of semester)</t>
  </si>
  <si>
    <t>No.of Marks Entry in GTU Portal</t>
  </si>
  <si>
    <t>Supervision during  College Exam</t>
  </si>
  <si>
    <t xml:space="preserve">Paper Setting </t>
  </si>
  <si>
    <t>Paper Solution</t>
  </si>
  <si>
    <t>Paper Evaluation</t>
  </si>
  <si>
    <t>Paper Showing</t>
  </si>
  <si>
    <t xml:space="preserve">Home Visit Credit &amp; Enter details in (H-Teaching Section)
(Credit =1 - Meeting with Mother
 Credit = 1.5 - Meeting with Father)
</t>
  </si>
  <si>
    <t xml:space="preserve">No. of Phone Calls and entered in SIF
</t>
  </si>
  <si>
    <t>No. of 
SMS done</t>
  </si>
  <si>
    <r>
      <rPr>
        <rFont val="Times New Roman"/>
        <b/>
        <color theme="1"/>
        <sz val="40.0"/>
      </rPr>
      <t xml:space="preserve">Personal Discussion with parents in Institute 
</t>
    </r>
    <r>
      <rPr>
        <rFont val="Times New Roman"/>
        <b/>
        <color rgb="FFFF0000"/>
        <sz val="40.0"/>
      </rPr>
      <t>(0.25 credit per student)</t>
    </r>
  </si>
  <si>
    <t xml:space="preserve">Enter Credit for Personal Information in Page 1 and Page 2 </t>
  </si>
  <si>
    <t xml:space="preserve">Enter credit for any entry work done in SIF </t>
  </si>
  <si>
    <t xml:space="preserve">Extra Activity in hours as per General Instructions. </t>
  </si>
  <si>
    <t>Not Defined as per General Instruction (Enter in terms of Hrs)</t>
  </si>
  <si>
    <t>Leave Status</t>
  </si>
  <si>
    <t>Error in Work done</t>
  </si>
  <si>
    <t>Delay in Work Done</t>
  </si>
  <si>
    <t>Any other HOD Comment</t>
  </si>
  <si>
    <t>Description of Work refused by faculty or done after doing arguments with HOD</t>
  </si>
  <si>
    <r>
      <rPr>
        <rFont val="Times New Roman"/>
        <b/>
        <color rgb="FF000000"/>
        <sz val="40.0"/>
      </rPr>
      <t xml:space="preserve">Enter credit if Faculty Refusd to do work given by HOD.
</t>
    </r>
    <r>
      <rPr>
        <rFont val="Times New Roman"/>
        <b/>
        <color rgb="FFFF0000"/>
        <sz val="40.0"/>
      </rPr>
      <t xml:space="preserve">Credit = (-5)
</t>
    </r>
  </si>
  <si>
    <r>
      <rPr>
        <rFont val="Times New Roman"/>
        <b/>
        <color rgb="FFFF0000"/>
        <sz val="40.0"/>
      </rPr>
      <t xml:space="preserve">Enter credit if Faculty does work after doing arguments with HOD.
</t>
    </r>
    <r>
      <rPr>
        <rFont val="Times New Roman"/>
        <b/>
        <color rgb="FFFF0000"/>
        <sz val="40.0"/>
      </rPr>
      <t xml:space="preserve">Credit = (-2)
</t>
    </r>
  </si>
  <si>
    <t>HOD Positive Credit 
and Faculty Negative Credit</t>
  </si>
  <si>
    <t>Total NT Credits</t>
  </si>
  <si>
    <t>Course
(UG/PG)</t>
  </si>
  <si>
    <t>Dept</t>
  </si>
  <si>
    <r>
      <rPr>
        <rFont val="Times New Roman"/>
        <b/>
        <color theme="1"/>
        <sz val="40.0"/>
      </rPr>
      <t xml:space="preserve">SEM
</t>
    </r>
    <r>
      <rPr>
        <rFont val="Times New Roman"/>
        <b/>
        <color rgb="FFFF0000"/>
        <sz val="40.0"/>
      </rPr>
      <t>(Only Roman Number)</t>
    </r>
  </si>
  <si>
    <t xml:space="preserve">Div </t>
  </si>
  <si>
    <t>Batch</t>
  </si>
  <si>
    <t>Sub.</t>
  </si>
  <si>
    <t>Lec/ Lab/Tut/ELec/ELab/ETut/PLec/Plab/PTut/SLec/SLab/Stut/TL/ETL/STL/PTL</t>
  </si>
  <si>
    <t>Faculty Initials for Proxy Lecture Only
a) Faculty who was given the proxy
b) Faculty whose proxy was taken</t>
  </si>
  <si>
    <t>G</t>
  </si>
  <si>
    <t>A1</t>
  </si>
  <si>
    <t>A2</t>
  </si>
  <si>
    <t>A3</t>
  </si>
  <si>
    <t>A=A1+A2+A3</t>
  </si>
  <si>
    <t>B</t>
  </si>
  <si>
    <t>C</t>
  </si>
  <si>
    <t>D</t>
  </si>
  <si>
    <t>E</t>
  </si>
  <si>
    <t>F= A-B-C-D-E</t>
  </si>
  <si>
    <t>G(G-F)</t>
  </si>
  <si>
    <t>Enter Purpose Short Form 
DS - Difficulty Solving
HV - Home Visit 
WA - Whatsapp
AL5 - Attendance Less than 5
PTM - Parents Teacher Meeting at Institute</t>
  </si>
  <si>
    <t>Sem</t>
  </si>
  <si>
    <t>Div</t>
  </si>
  <si>
    <t>Roll No</t>
  </si>
  <si>
    <t>Name</t>
  </si>
  <si>
    <t xml:space="preserve">Mobile </t>
  </si>
  <si>
    <t>No.of Students Present</t>
  </si>
  <si>
    <r>
      <rPr>
        <rFont val="Times New Roman"/>
        <b/>
        <color rgb="FF000000"/>
        <sz val="40.0"/>
      </rPr>
      <t xml:space="preserve">Time
</t>
    </r>
    <r>
      <rPr>
        <rFont val="Times New Roman"/>
        <b/>
        <color rgb="FFFF0000"/>
        <sz val="40.0"/>
      </rPr>
      <t>(Only for difficulty solving)</t>
    </r>
  </si>
  <si>
    <r>
      <rPr>
        <rFont val="Times New Roman"/>
        <b/>
        <color rgb="FF000000"/>
        <sz val="40.0"/>
      </rPr>
      <t xml:space="preserve">Total No.of Hours
</t>
    </r>
    <r>
      <rPr>
        <rFont val="Times New Roman"/>
        <b/>
        <color rgb="FFFF0000"/>
        <sz val="40.0"/>
      </rPr>
      <t>(Only for difficulty solving)</t>
    </r>
  </si>
  <si>
    <t>Group Code
(Format : UG/PG_Branch_SEMNo_GroupNo
Ex : UG_ME_SEM4_8)</t>
  </si>
  <si>
    <t>Technical Question asked by student</t>
  </si>
  <si>
    <t>Date &amp; Time (Start time : End Time)</t>
  </si>
  <si>
    <t>Duration in hours</t>
  </si>
  <si>
    <t>Name of the Student who asked the question</t>
  </si>
  <si>
    <t>Mobile No of the student</t>
  </si>
  <si>
    <t>(Credit  0.1 for 1 effective hour of load adjustment done)</t>
  </si>
  <si>
    <t>Enter (-1) upto each day of delay else 0 if submitted on time</t>
  </si>
  <si>
    <t xml:space="preserve">Today's No of Assign Supervision </t>
  </si>
  <si>
    <t>Session (Morning / Afternoon)</t>
  </si>
  <si>
    <t>Block No</t>
  </si>
  <si>
    <t>Room No</t>
  </si>
  <si>
    <t>Assigned /Proxy / Swap</t>
  </si>
  <si>
    <t>Faculty Short Name whose Proxy is taken / with whom Swapping is done</t>
  </si>
  <si>
    <t>Today's taken Supervision (MSE)</t>
  </si>
  <si>
    <t>Today's taken Supervision (REM)</t>
  </si>
  <si>
    <t>Today's No of blocks handle by MSE exam coordinator</t>
  </si>
  <si>
    <t>Credit (MSE I,II =0.5*no of papers, REM =0.25*no of papers)</t>
  </si>
  <si>
    <t>Credit 1 for preparing 50% solution with detailing)
Enter credit</t>
  </si>
  <si>
    <r>
      <rPr>
        <rFont val="Times New Roman"/>
        <b/>
        <color rgb="FF000000"/>
        <sz val="40.0"/>
      </rPr>
      <t xml:space="preserve">Enter Credit of MSE Paper Evaluated Section A and B both
</t>
    </r>
    <r>
      <rPr>
        <rFont val="Times New Roman"/>
        <b/>
        <color rgb="FFFF0000"/>
        <sz val="40.0"/>
      </rPr>
      <t>(1 credit =15 papers)</t>
    </r>
  </si>
  <si>
    <r>
      <rPr>
        <rFont val="Times New Roman"/>
        <b/>
        <color rgb="FF000000"/>
        <sz val="40.0"/>
      </rPr>
      <t xml:space="preserve">Enter Credit of  MSE Paper Evaluated-Any one Section A or B 
</t>
    </r>
    <r>
      <rPr>
        <rFont val="Times New Roman"/>
        <b/>
        <color rgb="FFFF0000"/>
        <sz val="40.0"/>
      </rPr>
      <t xml:space="preserve">(1 credit =30 papers) </t>
    </r>
  </si>
  <si>
    <r>
      <rPr>
        <rFont val="Times New Roman"/>
        <b/>
        <color rgb="FF000000"/>
        <sz val="40.0"/>
      </rPr>
      <t xml:space="preserve">Enter Credit of Rem Paper Evaluated 
</t>
    </r>
    <r>
      <rPr>
        <rFont val="Times New Roman"/>
        <b/>
        <color rgb="FFFF0000"/>
        <sz val="40.0"/>
      </rPr>
      <t>(1 credit =30 papers)</t>
    </r>
  </si>
  <si>
    <t>No. of Class</t>
  </si>
  <si>
    <t>Phone Call Description</t>
  </si>
  <si>
    <t>Received Phone Call</t>
  </si>
  <si>
    <t>Not Received Phone Call</t>
  </si>
  <si>
    <t xml:space="preserve">Sports
</t>
  </si>
  <si>
    <t xml:space="preserve">Cultural
</t>
  </si>
  <si>
    <t>GTU Related Work 
Only for GTU Coordinators</t>
  </si>
  <si>
    <t xml:space="preserve">COE
</t>
  </si>
  <si>
    <t xml:space="preserve">Techventure
</t>
  </si>
  <si>
    <t xml:space="preserve">Any Technical Events
</t>
  </si>
  <si>
    <t>Any Other Activity Description</t>
  </si>
  <si>
    <t>Total Credit</t>
  </si>
  <si>
    <t>Activity Description</t>
  </si>
  <si>
    <t>Total hr</t>
  </si>
  <si>
    <t>Leave Taken</t>
  </si>
  <si>
    <r>
      <rPr>
        <rFont val="Times New Roman"/>
        <b/>
        <color rgb="FF000000"/>
        <sz val="40.0"/>
      </rPr>
      <t xml:space="preserve">Leave Credit </t>
    </r>
    <r>
      <rPr>
        <rFont val="Times New Roman"/>
        <b/>
        <color rgb="FFFF0000"/>
        <sz val="40.0"/>
      </rPr>
      <t>(Enter Negative Value)</t>
    </r>
  </si>
  <si>
    <t>Description of Error done</t>
  </si>
  <si>
    <r>
      <rPr>
        <rFont val="Times New Roman"/>
        <b/>
        <color rgb="FF000000"/>
        <sz val="40.0"/>
      </rPr>
      <t>Error Credit</t>
    </r>
    <r>
      <rPr>
        <rFont val="Times New Roman"/>
        <b/>
        <color rgb="FFFF0000"/>
        <sz val="40.0"/>
      </rPr>
      <t xml:space="preserve"> (Enter only Negative Value of Credit)</t>
    </r>
  </si>
  <si>
    <t>Description of Delay done</t>
  </si>
  <si>
    <r>
      <rPr>
        <rFont val="Times New Roman"/>
        <b/>
        <color rgb="FF000000"/>
        <sz val="40.0"/>
      </rPr>
      <t xml:space="preserve">No. of Days of late submission
</t>
    </r>
    <r>
      <rPr>
        <rFont val="Times New Roman"/>
        <b/>
        <color rgb="FFFF0000"/>
        <sz val="40.0"/>
      </rPr>
      <t>(Enter only Negative Value of Credit)</t>
    </r>
  </si>
  <si>
    <t>Description</t>
  </si>
  <si>
    <r>
      <rPr>
        <rFont val="Times New Roman"/>
        <b/>
        <color rgb="FF000000"/>
        <sz val="40.0"/>
      </rPr>
      <t xml:space="preserve">Credit
</t>
    </r>
    <r>
      <rPr>
        <rFont val="Times New Roman"/>
        <b/>
        <color rgb="FFFF0000"/>
        <sz val="40.0"/>
      </rPr>
      <t>( Enter Negative value if comment for negative credit)</t>
    </r>
  </si>
  <si>
    <t xml:space="preserve">Ms. Sneha Shah
DOJ:
9/7/2012
MOB: 9067822170
</t>
  </si>
  <si>
    <t>STS</t>
  </si>
  <si>
    <t>PTM</t>
  </si>
  <si>
    <t>III</t>
  </si>
  <si>
    <t>D6</t>
  </si>
  <si>
    <t xml:space="preserve">PRAJAPATI DIVYESHKUMAR PRAKASHBHAI
</t>
  </si>
  <si>
    <t xml:space="preserve">3 PTM Done on Saturday (19th Oct ) </t>
  </si>
  <si>
    <t xml:space="preserve">PATEL SHREY VIJAYBHAI
</t>
  </si>
  <si>
    <t xml:space="preserve">PATEL MEET JITENDRABHAI
</t>
  </si>
  <si>
    <t xml:space="preserve">DHOLARIYA JEPIL NITINBHAI
</t>
  </si>
  <si>
    <t>Mr.Darshan Bhatt
DOJ:  20/07/2022
MOB: 7227888101</t>
  </si>
  <si>
    <t>DVB</t>
  </si>
  <si>
    <t>Morning</t>
  </si>
  <si>
    <t>108-2</t>
  </si>
  <si>
    <t>Assigned</t>
  </si>
  <si>
    <t>Week-3 less attendance phone call to parent</t>
  </si>
  <si>
    <t>Paper setting of SEM-III DE-T1 Exam</t>
  </si>
  <si>
    <t xml:space="preserve">Ms.  Mansi Hedav
DOJ:
01/04/2022
MOB: 9408362853 </t>
  </si>
  <si>
    <t>MPH</t>
  </si>
  <si>
    <t>Paper setting of SEM-III -PS - T1 Exam</t>
  </si>
  <si>
    <t>DR count mismatchDR(19, 21), Attendance Sheet(22, 22)</t>
  </si>
  <si>
    <t xml:space="preserve">Mr.Mehul Kodiya
DOJ:
16/06/2015
MOB:
9998650442
</t>
  </si>
  <si>
    <t>MVK</t>
  </si>
  <si>
    <t>Week-3 Attendance less than 75% of sem-3</t>
  </si>
  <si>
    <t>Paper Setting of SEM-III FCSP-1 T1 Exam</t>
  </si>
  <si>
    <t>Ms.Priyanka Sinha
DOJ:
01/03/2023
MOB:
9558836857</t>
  </si>
  <si>
    <t>PCS</t>
  </si>
  <si>
    <t>Paper Setting of SEM-III PS T1 Exam</t>
  </si>
  <si>
    <t>Ms.Khushbu Patel
DOJ:
13/03/2023
MOB: 9033387936</t>
  </si>
  <si>
    <t>PKP</t>
  </si>
  <si>
    <t>108-1</t>
  </si>
  <si>
    <t>week3 less attendance</t>
  </si>
  <si>
    <t>Paper setting of FSD-1 T1 (set A/B/C)</t>
  </si>
  <si>
    <t>Dr.Prashant Sachaniya
DOJ:
25/03/2023
MOB:
9998797202</t>
  </si>
  <si>
    <t>SDP</t>
  </si>
  <si>
    <t>107-3</t>
  </si>
  <si>
    <t>Week-3 Less Attendance Call</t>
  </si>
  <si>
    <t>Paper Setting of SEM-III DE T1 Exam</t>
  </si>
  <si>
    <t>Ms.Swati Patel
DOJ: 04/07/2022
MOB: 9998168709</t>
  </si>
  <si>
    <t>SHP</t>
  </si>
  <si>
    <t>MORNING</t>
  </si>
  <si>
    <t>102-A</t>
  </si>
  <si>
    <t>ASSIGNED</t>
  </si>
  <si>
    <t xml:space="preserve">Ms. .Zalak Prajapti
DOJ:
15/07/2022 
MOB: 9408931415  </t>
  </si>
  <si>
    <t>ZMP</t>
  </si>
  <si>
    <t>107-1</t>
  </si>
  <si>
    <t>W-3 less attendance calling</t>
  </si>
  <si>
    <t xml:space="preserve">FSD-1 _T1 paper setting </t>
  </si>
  <si>
    <t xml:space="preserve">Ms.Zalak Bhatt
DOJ: 02/08/2021       MOB:  9737495827 </t>
  </si>
  <si>
    <t>ZPB</t>
  </si>
  <si>
    <t>DS</t>
  </si>
  <si>
    <t>D2, D6</t>
  </si>
  <si>
    <t>66, 201</t>
  </si>
  <si>
    <t>Panchal Kavya, Ramana Bhagvati</t>
  </si>
  <si>
    <t>8866551330, 7984808906</t>
  </si>
  <si>
    <t>12:05 to 12:25 PM</t>
  </si>
  <si>
    <t xml:space="preserve">Paper setting of FSD-1 T1 (set A/B/C), Doubt solving done today 12:05 to 12:25 p.m.
</t>
  </si>
  <si>
    <t>DR count mismatchDR(30, 31), Attendance Sheet(30, 29)</t>
  </si>
  <si>
    <t xml:space="preserve">Ms. Dhara Patel
DOJ: 03/04/2023
MOB: 9909728666
(VF)
</t>
  </si>
  <si>
    <t>DPS</t>
  </si>
  <si>
    <t>Mr. Meet Savani
DOJ: 01/04/2023
MOB: 9974140327
(VF)</t>
  </si>
  <si>
    <t>MSS</t>
  </si>
  <si>
    <t>In DR of 19th Oct Instead of lecture 3 &amp; 4 Entry done in 1 &amp; 2</t>
  </si>
  <si>
    <t>Ms.Mohini Parmar (Admin)
DOJ: 23/09/2024
MOB: 7043375352</t>
  </si>
  <si>
    <t>MSP</t>
  </si>
  <si>
    <t>PROXY</t>
  </si>
  <si>
    <t>GHC</t>
  </si>
  <si>
    <t>Done Supervision in PS Exam ( 10:30 AM to 11:45 AM )</t>
  </si>
  <si>
    <t>Mr. Ashok Kinariwala (Peon) 
DOJ: 17/12/2007
MOB:9724124715</t>
  </si>
  <si>
    <t>AJK</t>
  </si>
  <si>
    <t>Shifting of GTU Answersheet instructed by HNM (1:45 to 2:10 p.m.)</t>
  </si>
  <si>
    <t>COLLEGE NAME : L.J. INSTITUTE OF ENGINEERING AND TECHNOLOGY                                DEPARTMENT NAME :   SY4(CST CS&amp;IT)                     YEAR : 2024-25                              SEMESTER : III</t>
  </si>
  <si>
    <r>
      <rPr>
        <rFont val="Times New Roman"/>
        <b/>
        <color rgb="FF000000"/>
        <sz val="40.0"/>
      </rPr>
      <t xml:space="preserve">NT Total Credits
(D)
</t>
    </r>
    <r>
      <rPr>
        <rFont val="Times New Roman"/>
        <b/>
        <color rgb="FFFF0000"/>
        <sz val="40.0"/>
      </rPr>
      <t>Refer from NT Section</t>
    </r>
  </si>
  <si>
    <r>
      <rPr>
        <rFont val="Times New Roman"/>
        <b/>
        <color theme="1"/>
        <sz val="40.0"/>
      </rPr>
      <t xml:space="preserve">Personal Discussion with parents in Institute 
</t>
    </r>
    <r>
      <rPr>
        <rFont val="Times New Roman"/>
        <b/>
        <color rgb="FFFF0000"/>
        <sz val="40.0"/>
      </rPr>
      <t>(0.25 credit per student)</t>
    </r>
  </si>
  <si>
    <r>
      <rPr>
        <rFont val="Times New Roman"/>
        <b/>
        <color rgb="FF000000"/>
        <sz val="40.0"/>
      </rPr>
      <t xml:space="preserve">Enter credit if Faculty Refusd to do work given by HOD.
</t>
    </r>
    <r>
      <rPr>
        <rFont val="Times New Roman"/>
        <b/>
        <color rgb="FFFF0000"/>
        <sz val="40.0"/>
      </rPr>
      <t xml:space="preserve">Credit = (-5)
</t>
    </r>
  </si>
  <si>
    <r>
      <rPr>
        <rFont val="Times New Roman"/>
        <b/>
        <color rgb="FFFF0000"/>
        <sz val="40.0"/>
      </rPr>
      <t xml:space="preserve">Enter credit if Faculty does work after doing arguments with HOD.
</t>
    </r>
    <r>
      <rPr>
        <rFont val="Times New Roman"/>
        <b/>
        <color rgb="FFFF0000"/>
        <sz val="40.0"/>
      </rPr>
      <t xml:space="preserve">Credit = (-2)
</t>
    </r>
  </si>
  <si>
    <r>
      <rPr>
        <rFont val="Times New Roman"/>
        <b/>
        <color theme="1"/>
        <sz val="40.0"/>
      </rPr>
      <t xml:space="preserve">SEM
</t>
    </r>
    <r>
      <rPr>
        <rFont val="Times New Roman"/>
        <b/>
        <color rgb="FFFF0000"/>
        <sz val="40.0"/>
      </rPr>
      <t>(Only Roman Number)</t>
    </r>
  </si>
  <si>
    <r>
      <rPr>
        <rFont val="Times New Roman"/>
        <b/>
        <color rgb="FF000000"/>
        <sz val="40.0"/>
      </rPr>
      <t xml:space="preserve">Time
</t>
    </r>
    <r>
      <rPr>
        <rFont val="Times New Roman"/>
        <b/>
        <color rgb="FFFF0000"/>
        <sz val="40.0"/>
      </rPr>
      <t>(Only for difficulty solving)</t>
    </r>
  </si>
  <si>
    <r>
      <rPr>
        <rFont val="Times New Roman"/>
        <b/>
        <color rgb="FF000000"/>
        <sz val="40.0"/>
      </rPr>
      <t xml:space="preserve">Total No.of Hours
</t>
    </r>
    <r>
      <rPr>
        <rFont val="Times New Roman"/>
        <b/>
        <color rgb="FFFF0000"/>
        <sz val="40.0"/>
      </rPr>
      <t>(Only for difficulty solving)</t>
    </r>
  </si>
  <si>
    <r>
      <rPr>
        <rFont val="Times New Roman"/>
        <b/>
        <color rgb="FF000000"/>
        <sz val="40.0"/>
      </rPr>
      <t xml:space="preserve">Enter Credit of MSE Paper Evaluated Section A and B both
</t>
    </r>
    <r>
      <rPr>
        <rFont val="Times New Roman"/>
        <b/>
        <color rgb="FFFF0000"/>
        <sz val="40.0"/>
      </rPr>
      <t>(1 credit =15 papers)</t>
    </r>
  </si>
  <si>
    <r>
      <rPr>
        <rFont val="Times New Roman"/>
        <b/>
        <color rgb="FF000000"/>
        <sz val="40.0"/>
      </rPr>
      <t xml:space="preserve">Enter Credit of  MSE Paper Evaluated-Any one Section A or B 
</t>
    </r>
    <r>
      <rPr>
        <rFont val="Times New Roman"/>
        <b/>
        <color rgb="FFFF0000"/>
        <sz val="40.0"/>
      </rPr>
      <t xml:space="preserve">(1 credit =30 papers) </t>
    </r>
  </si>
  <si>
    <r>
      <rPr>
        <rFont val="Times New Roman"/>
        <b/>
        <color rgb="FF000000"/>
        <sz val="40.0"/>
      </rPr>
      <t xml:space="preserve">Enter Credit of Rem Paper Evaluated 
</t>
    </r>
    <r>
      <rPr>
        <rFont val="Times New Roman"/>
        <b/>
        <color rgb="FFFF0000"/>
        <sz val="40.0"/>
      </rPr>
      <t>(1 credit =30 papers)</t>
    </r>
  </si>
  <si>
    <r>
      <rPr>
        <rFont val="Times New Roman"/>
        <b/>
        <color rgb="FF000000"/>
        <sz val="40.0"/>
      </rPr>
      <t xml:space="preserve">Leave Credit </t>
    </r>
    <r>
      <rPr>
        <rFont val="Times New Roman"/>
        <b/>
        <color rgb="FFFF0000"/>
        <sz val="40.0"/>
      </rPr>
      <t>(Enter Negative Value)</t>
    </r>
  </si>
  <si>
    <r>
      <rPr>
        <rFont val="Times New Roman"/>
        <b/>
        <color rgb="FF000000"/>
        <sz val="40.0"/>
      </rPr>
      <t>Error Credit</t>
    </r>
    <r>
      <rPr>
        <rFont val="Times New Roman"/>
        <b/>
        <color rgb="FFFF0000"/>
        <sz val="40.0"/>
      </rPr>
      <t xml:space="preserve"> (Enter only Negative Value of Credit)</t>
    </r>
  </si>
  <si>
    <r>
      <rPr>
        <rFont val="Times New Roman"/>
        <b/>
        <color rgb="FF000000"/>
        <sz val="40.0"/>
      </rPr>
      <t xml:space="preserve">No. of Days of late submission
</t>
    </r>
    <r>
      <rPr>
        <rFont val="Times New Roman"/>
        <b/>
        <color rgb="FFFF0000"/>
        <sz val="40.0"/>
      </rPr>
      <t>(Enter only Negative Value of Credit)</t>
    </r>
  </si>
  <si>
    <r>
      <rPr>
        <rFont val="Times New Roman"/>
        <b/>
        <color rgb="FF000000"/>
        <sz val="40.0"/>
      </rPr>
      <t xml:space="preserve">Credit
</t>
    </r>
    <r>
      <rPr>
        <rFont val="Times New Roman"/>
        <b/>
        <color rgb="FFFF0000"/>
        <sz val="40.0"/>
      </rPr>
      <t>( Enter Negative value if comment for negative credit)</t>
    </r>
  </si>
  <si>
    <t>Phone call to parent for failed students in T1-PS Exam</t>
  </si>
  <si>
    <t>DONE PAPER EVALUATION OF PS T-1 EXAM IN SY-2 DEPARTMENT 83 PAPERS</t>
  </si>
  <si>
    <t>D1</t>
  </si>
  <si>
    <t>Saniya</t>
  </si>
  <si>
    <t>1:45 to 1:55 and 2:04 to 2:24 pm</t>
  </si>
  <si>
    <t>Phone call to parents for poor result in T1 of PS in sem 3</t>
  </si>
  <si>
    <t xml:space="preserve">Fail in SEM-3 T-1 PS subject </t>
  </si>
  <si>
    <t>Fail in T-1 PS subject of sem-3</t>
  </si>
  <si>
    <t>SUPERVISION DONE IN INTERNSHIP DRIVE(MAGNUS MIND)ON 22-OCT2024, 11:35 TO 12:45</t>
  </si>
  <si>
    <t>DM_T1 FAIL STUDENT CALLING</t>
  </si>
  <si>
    <t>COLLEGE NAME : L.J. INSTITUTE OF ENGINEERING AND TECHNOLOGY                                 DEPARTMENT NAME :  SY4(CST CS&amp;IT)                        YEAR : 2024-25                              SEMESTER : III</t>
  </si>
  <si>
    <r>
      <rPr>
        <rFont val="Times New Roman"/>
        <b/>
        <color rgb="FF000000"/>
        <sz val="40.0"/>
      </rPr>
      <t xml:space="preserve">NT Total Credits
(D)
</t>
    </r>
    <r>
      <rPr>
        <rFont val="Times New Roman"/>
        <b/>
        <color rgb="FFFF0000"/>
        <sz val="40.0"/>
      </rPr>
      <t>Refer from NT Section</t>
    </r>
  </si>
  <si>
    <r>
      <rPr>
        <rFont val="Times New Roman"/>
        <b/>
        <color theme="1"/>
        <sz val="40.0"/>
      </rPr>
      <t xml:space="preserve">Personal Discussion with parents in Institute 
</t>
    </r>
    <r>
      <rPr>
        <rFont val="Times New Roman"/>
        <b/>
        <color rgb="FFFF0000"/>
        <sz val="40.0"/>
      </rPr>
      <t>(0.25 credit per student)</t>
    </r>
  </si>
  <si>
    <r>
      <rPr>
        <rFont val="Times New Roman"/>
        <b/>
        <color rgb="FF000000"/>
        <sz val="40.0"/>
      </rPr>
      <t xml:space="preserve">Enter credit if Faculty Refusd to do work given by HOD.
</t>
    </r>
    <r>
      <rPr>
        <rFont val="Times New Roman"/>
        <b/>
        <color rgb="FFFF0000"/>
        <sz val="40.0"/>
      </rPr>
      <t xml:space="preserve">Credit = (-5)
</t>
    </r>
  </si>
  <si>
    <r>
      <rPr>
        <rFont val="Times New Roman"/>
        <b/>
        <color rgb="FFFF0000"/>
        <sz val="40.0"/>
      </rPr>
      <t xml:space="preserve">Enter credit if Faculty does work after doing arguments with HOD.
</t>
    </r>
    <r>
      <rPr>
        <rFont val="Times New Roman"/>
        <b/>
        <color rgb="FFFF0000"/>
        <sz val="40.0"/>
      </rPr>
      <t xml:space="preserve">Credit = (-2)
</t>
    </r>
  </si>
  <si>
    <r>
      <rPr>
        <rFont val="Times New Roman"/>
        <b/>
        <color theme="1"/>
        <sz val="40.0"/>
      </rPr>
      <t xml:space="preserve">SEM
</t>
    </r>
    <r>
      <rPr>
        <rFont val="Times New Roman"/>
        <b/>
        <color rgb="FFFF0000"/>
        <sz val="40.0"/>
      </rPr>
      <t>(Only Roman Number)</t>
    </r>
  </si>
  <si>
    <r>
      <rPr>
        <rFont val="Times New Roman"/>
        <b/>
        <color rgb="FF000000"/>
        <sz val="40.0"/>
      </rPr>
      <t xml:space="preserve">Time
</t>
    </r>
    <r>
      <rPr>
        <rFont val="Times New Roman"/>
        <b/>
        <color rgb="FFFF0000"/>
        <sz val="40.0"/>
      </rPr>
      <t>(Only for difficulty solving)</t>
    </r>
  </si>
  <si>
    <r>
      <rPr>
        <rFont val="Times New Roman"/>
        <b/>
        <color rgb="FF000000"/>
        <sz val="40.0"/>
      </rPr>
      <t xml:space="preserve">Total No.of Hours
</t>
    </r>
    <r>
      <rPr>
        <rFont val="Times New Roman"/>
        <b/>
        <color rgb="FFFF0000"/>
        <sz val="40.0"/>
      </rPr>
      <t>(Only for difficulty solving)</t>
    </r>
  </si>
  <si>
    <r>
      <rPr>
        <rFont val="Times New Roman"/>
        <b/>
        <color rgb="FF000000"/>
        <sz val="40.0"/>
      </rPr>
      <t xml:space="preserve">Enter Credit of MSE Paper Evaluated Section A and B both
</t>
    </r>
    <r>
      <rPr>
        <rFont val="Times New Roman"/>
        <b/>
        <color rgb="FFFF0000"/>
        <sz val="40.0"/>
      </rPr>
      <t>(1 credit =15 papers)</t>
    </r>
  </si>
  <si>
    <r>
      <rPr>
        <rFont val="Times New Roman"/>
        <b/>
        <color rgb="FF000000"/>
        <sz val="40.0"/>
      </rPr>
      <t xml:space="preserve">Enter Credit of  MSE Paper Evaluated-Any one Section A or B 
</t>
    </r>
    <r>
      <rPr>
        <rFont val="Times New Roman"/>
        <b/>
        <color rgb="FFFF0000"/>
        <sz val="40.0"/>
      </rPr>
      <t xml:space="preserve">(1 credit =30 papers) </t>
    </r>
  </si>
  <si>
    <r>
      <rPr>
        <rFont val="Times New Roman"/>
        <b/>
        <color rgb="FF000000"/>
        <sz val="40.0"/>
      </rPr>
      <t xml:space="preserve">Enter Credit of Rem Paper Evaluated 
</t>
    </r>
    <r>
      <rPr>
        <rFont val="Times New Roman"/>
        <b/>
        <color rgb="FFFF0000"/>
        <sz val="40.0"/>
      </rPr>
      <t>(1 credit =30 papers)</t>
    </r>
  </si>
  <si>
    <r>
      <rPr>
        <rFont val="Times New Roman"/>
        <b/>
        <color rgb="FF000000"/>
        <sz val="40.0"/>
      </rPr>
      <t xml:space="preserve">Leave Credit </t>
    </r>
    <r>
      <rPr>
        <rFont val="Times New Roman"/>
        <b/>
        <color rgb="FFFF0000"/>
        <sz val="40.0"/>
      </rPr>
      <t>(Enter Negative Value)</t>
    </r>
  </si>
  <si>
    <r>
      <rPr>
        <rFont val="Times New Roman"/>
        <b/>
        <color rgb="FF000000"/>
        <sz val="40.0"/>
      </rPr>
      <t>Error Credit</t>
    </r>
    <r>
      <rPr>
        <rFont val="Times New Roman"/>
        <b/>
        <color rgb="FFFF0000"/>
        <sz val="40.0"/>
      </rPr>
      <t xml:space="preserve"> (Enter only Negative Value of Credit)</t>
    </r>
  </si>
  <si>
    <r>
      <rPr>
        <rFont val="Times New Roman"/>
        <b/>
        <color rgb="FF000000"/>
        <sz val="40.0"/>
      </rPr>
      <t xml:space="preserve">No. of Days of late submission
</t>
    </r>
    <r>
      <rPr>
        <rFont val="Times New Roman"/>
        <b/>
        <color rgb="FFFF0000"/>
        <sz val="40.0"/>
      </rPr>
      <t>(Enter only Negative Value of Credit)</t>
    </r>
  </si>
  <si>
    <r>
      <rPr>
        <rFont val="Times New Roman"/>
        <b/>
        <color rgb="FF000000"/>
        <sz val="40.0"/>
      </rPr>
      <t xml:space="preserve">Credit
</t>
    </r>
    <r>
      <rPr>
        <rFont val="Times New Roman"/>
        <b/>
        <color rgb="FFFF0000"/>
        <sz val="40.0"/>
      </rPr>
      <t>( Enter Negative value if comment for negative credit)</t>
    </r>
  </si>
  <si>
    <t>Afternoon</t>
  </si>
  <si>
    <t xml:space="preserve">Supervision done in SY CE/IT of FSD-1 on 22/10/2024 and paper checking 92 SY-3 </t>
  </si>
  <si>
    <t>209-B</t>
  </si>
  <si>
    <t>COLLEGE NAME : L.J. INSTITUTE OF ENGINEERING AND TECHNOLOGY                                 DEPARTMENT NAME :   SY4(CST CS&amp;IT)                      YEAR : 2024-25                              SEMESTER : III</t>
  </si>
  <si>
    <r>
      <rPr>
        <rFont val="Times New Roman"/>
        <b/>
        <color rgb="FF000000"/>
        <sz val="40.0"/>
      </rPr>
      <t xml:space="preserve">NT Total Credits
(D)
</t>
    </r>
    <r>
      <rPr>
        <rFont val="Times New Roman"/>
        <b/>
        <color rgb="FFFF0000"/>
        <sz val="40.0"/>
      </rPr>
      <t>Refer from NT Section</t>
    </r>
  </si>
  <si>
    <r>
      <rPr>
        <rFont val="Times New Roman"/>
        <b/>
        <color theme="1"/>
        <sz val="40.0"/>
      </rPr>
      <t xml:space="preserve">Personal Discussion with parents in Institute 
</t>
    </r>
    <r>
      <rPr>
        <rFont val="Times New Roman"/>
        <b/>
        <color rgb="FFFF0000"/>
        <sz val="40.0"/>
      </rPr>
      <t>(0.25 credit per student)</t>
    </r>
  </si>
  <si>
    <r>
      <rPr>
        <rFont val="Times New Roman"/>
        <b/>
        <color rgb="FF000000"/>
        <sz val="40.0"/>
      </rPr>
      <t xml:space="preserve">Enter credit if Faculty Refusd to do work given by HOD.
</t>
    </r>
    <r>
      <rPr>
        <rFont val="Times New Roman"/>
        <b/>
        <color rgb="FFFF0000"/>
        <sz val="40.0"/>
      </rPr>
      <t xml:space="preserve">Credit = (-5)
</t>
    </r>
  </si>
  <si>
    <r>
      <rPr>
        <rFont val="Times New Roman"/>
        <b/>
        <color rgb="FFFF0000"/>
        <sz val="40.0"/>
      </rPr>
      <t xml:space="preserve">Enter credit if Faculty does work after doing arguments with HOD.
</t>
    </r>
    <r>
      <rPr>
        <rFont val="Times New Roman"/>
        <b/>
        <color rgb="FFFF0000"/>
        <sz val="40.0"/>
      </rPr>
      <t xml:space="preserve">Credit = (-2)
</t>
    </r>
  </si>
  <si>
    <r>
      <rPr>
        <rFont val="Times New Roman"/>
        <b/>
        <color theme="1"/>
        <sz val="40.0"/>
      </rPr>
      <t xml:space="preserve">SEM
</t>
    </r>
    <r>
      <rPr>
        <rFont val="Times New Roman"/>
        <b/>
        <color rgb="FFFF0000"/>
        <sz val="40.0"/>
      </rPr>
      <t>(Only Roman Number)</t>
    </r>
  </si>
  <si>
    <r>
      <rPr>
        <rFont val="Times New Roman"/>
        <b/>
        <color rgb="FF000000"/>
        <sz val="40.0"/>
      </rPr>
      <t xml:space="preserve">Time
</t>
    </r>
    <r>
      <rPr>
        <rFont val="Times New Roman"/>
        <b/>
        <color rgb="FFFF0000"/>
        <sz val="40.0"/>
      </rPr>
      <t>(Only for difficulty solving)</t>
    </r>
  </si>
  <si>
    <r>
      <rPr>
        <rFont val="Times New Roman"/>
        <b/>
        <color rgb="FF000000"/>
        <sz val="40.0"/>
      </rPr>
      <t xml:space="preserve">Total No.of Hours
</t>
    </r>
    <r>
      <rPr>
        <rFont val="Times New Roman"/>
        <b/>
        <color rgb="FFFF0000"/>
        <sz val="40.0"/>
      </rPr>
      <t>(Only for difficulty solving)</t>
    </r>
  </si>
  <si>
    <r>
      <rPr>
        <rFont val="Times New Roman"/>
        <b/>
        <color rgb="FF000000"/>
        <sz val="40.0"/>
      </rPr>
      <t xml:space="preserve">Enter Credit of MSE Paper Evaluated Section A and B both
</t>
    </r>
    <r>
      <rPr>
        <rFont val="Times New Roman"/>
        <b/>
        <color rgb="FFFF0000"/>
        <sz val="40.0"/>
      </rPr>
      <t>(1 credit =15 papers)</t>
    </r>
  </si>
  <si>
    <r>
      <rPr>
        <rFont val="Times New Roman"/>
        <b/>
        <color rgb="FF000000"/>
        <sz val="40.0"/>
      </rPr>
      <t xml:space="preserve">Enter Credit of  MSE Paper Evaluated-Any one Section A or B 
</t>
    </r>
    <r>
      <rPr>
        <rFont val="Times New Roman"/>
        <b/>
        <color rgb="FFFF0000"/>
        <sz val="40.0"/>
      </rPr>
      <t xml:space="preserve">(1 credit =30 papers) </t>
    </r>
  </si>
  <si>
    <r>
      <rPr>
        <rFont val="Times New Roman"/>
        <b/>
        <color rgb="FF000000"/>
        <sz val="41.0"/>
      </rPr>
      <t xml:space="preserve">Enter Credit of Rem Paper Evaluated 
</t>
    </r>
    <r>
      <rPr>
        <rFont val="Times New Roman"/>
        <b/>
        <color rgb="FFFF0000"/>
        <sz val="41.0"/>
      </rPr>
      <t>(1 credit =30 papers)</t>
    </r>
  </si>
  <si>
    <r>
      <rPr>
        <rFont val="Times New Roman"/>
        <b/>
        <color rgb="FF000000"/>
        <sz val="40.0"/>
      </rPr>
      <t xml:space="preserve">Leave Credit </t>
    </r>
    <r>
      <rPr>
        <rFont val="Times New Roman"/>
        <b/>
        <color rgb="FFFF0000"/>
        <sz val="40.0"/>
      </rPr>
      <t>(Enter Negative Value)</t>
    </r>
  </si>
  <si>
    <r>
      <rPr>
        <rFont val="Times New Roman"/>
        <b/>
        <color rgb="FF000000"/>
        <sz val="40.0"/>
      </rPr>
      <t>Error Credit</t>
    </r>
    <r>
      <rPr>
        <rFont val="Times New Roman"/>
        <b/>
        <color rgb="FFFF0000"/>
        <sz val="40.0"/>
      </rPr>
      <t xml:space="preserve"> (Enter only Negative Value of Credit)</t>
    </r>
  </si>
  <si>
    <r>
      <rPr>
        <rFont val="Times New Roman"/>
        <b/>
        <color rgb="FF000000"/>
        <sz val="40.0"/>
      </rPr>
      <t xml:space="preserve">No. of Days of late submission
</t>
    </r>
    <r>
      <rPr>
        <rFont val="Times New Roman"/>
        <b/>
        <color rgb="FFFF0000"/>
        <sz val="40.0"/>
      </rPr>
      <t>(Enter only Negative Value of Credit)</t>
    </r>
  </si>
  <si>
    <r>
      <rPr>
        <rFont val="Times New Roman"/>
        <b/>
        <color rgb="FF000000"/>
        <sz val="40.0"/>
      </rPr>
      <t xml:space="preserve">Credit
</t>
    </r>
    <r>
      <rPr>
        <rFont val="Times New Roman"/>
        <b/>
        <color rgb="FFFF0000"/>
        <sz val="40.0"/>
      </rPr>
      <t>( Enter Negative value if comment for negative credit)</t>
    </r>
  </si>
  <si>
    <t>Poor result in SEM-3 T1 FSD-1 Exam</t>
  </si>
  <si>
    <t>done paper evaluation of  remidial exam of PS subject (16 papers)</t>
  </si>
  <si>
    <t>309-C</t>
  </si>
  <si>
    <t>Remedial exam supervision done on 23/10/2024</t>
  </si>
  <si>
    <t>1 ( ON VL )</t>
  </si>
  <si>
    <t>Paper Checking done of PS subject Remedial Exam (21 papers)</t>
  </si>
  <si>
    <t>FSD-1 T1 paper evaluation done of  SY2 BLOCK 1 to 4 (total 92 papers)</t>
  </si>
  <si>
    <t>Internship drive supervision 11:45am to 01:05pm (80 Min)</t>
  </si>
  <si>
    <t>1 ( On VL )</t>
  </si>
  <si>
    <t>FSD-1 T1 paper evalutioin in SY1 total 99</t>
  </si>
  <si>
    <t>FSD-1 T1 paper evalutioin in SY1 total 112 (Block 5 to 9)</t>
  </si>
  <si>
    <r>
      <rPr>
        <rFont val="Times New Roman"/>
        <b/>
        <color rgb="FF000000"/>
        <sz val="40.0"/>
      </rPr>
      <t xml:space="preserve">NT Total Credits
(D)
</t>
    </r>
    <r>
      <rPr>
        <rFont val="Times New Roman"/>
        <b/>
        <color rgb="FFFF0000"/>
        <sz val="40.0"/>
      </rPr>
      <t>Refer from NT Section</t>
    </r>
  </si>
  <si>
    <r>
      <rPr>
        <rFont val="Times New Roman"/>
        <b/>
        <color theme="1"/>
        <sz val="40.0"/>
      </rPr>
      <t xml:space="preserve">Personal Discussion with parents in Institute 
</t>
    </r>
    <r>
      <rPr>
        <rFont val="Times New Roman"/>
        <b/>
        <color rgb="FFFF0000"/>
        <sz val="40.0"/>
      </rPr>
      <t>(0.25 credit per student)</t>
    </r>
  </si>
  <si>
    <r>
      <rPr>
        <rFont val="Times New Roman"/>
        <b/>
        <color rgb="FF000000"/>
        <sz val="40.0"/>
      </rPr>
      <t xml:space="preserve">Enter credit if Faculty Refusd to do work given by HOD.
</t>
    </r>
    <r>
      <rPr>
        <rFont val="Times New Roman"/>
        <b/>
        <color rgb="FFFF0000"/>
        <sz val="40.0"/>
      </rPr>
      <t xml:space="preserve">Credit = (-5)
</t>
    </r>
  </si>
  <si>
    <r>
      <rPr>
        <rFont val="Times New Roman"/>
        <b/>
        <color rgb="FFFF0000"/>
        <sz val="40.0"/>
      </rPr>
      <t xml:space="preserve">Enter credit if Faculty does work after doing arguments with HOD.
</t>
    </r>
    <r>
      <rPr>
        <rFont val="Times New Roman"/>
        <b/>
        <color rgb="FFFF0000"/>
        <sz val="40.0"/>
      </rPr>
      <t xml:space="preserve">Credit = (-2)
</t>
    </r>
  </si>
  <si>
    <r>
      <rPr>
        <rFont val="Times New Roman"/>
        <b/>
        <color theme="1"/>
        <sz val="40.0"/>
      </rPr>
      <t xml:space="preserve">SEM
</t>
    </r>
    <r>
      <rPr>
        <rFont val="Times New Roman"/>
        <b/>
        <color rgb="FFFF0000"/>
        <sz val="40.0"/>
      </rPr>
      <t>(Only Roman Number)</t>
    </r>
  </si>
  <si>
    <r>
      <rPr>
        <rFont val="Times New Roman"/>
        <b/>
        <color rgb="FF000000"/>
        <sz val="40.0"/>
      </rPr>
      <t xml:space="preserve">Time
</t>
    </r>
    <r>
      <rPr>
        <rFont val="Times New Roman"/>
        <b/>
        <color rgb="FFFF0000"/>
        <sz val="40.0"/>
      </rPr>
      <t>(Only for difficulty solving)</t>
    </r>
  </si>
  <si>
    <r>
      <rPr>
        <rFont val="Times New Roman"/>
        <b/>
        <color rgb="FF000000"/>
        <sz val="40.0"/>
      </rPr>
      <t xml:space="preserve">Total No.of Hours
</t>
    </r>
    <r>
      <rPr>
        <rFont val="Times New Roman"/>
        <b/>
        <color rgb="FFFF0000"/>
        <sz val="40.0"/>
      </rPr>
      <t>(Only for difficulty solving)</t>
    </r>
  </si>
  <si>
    <r>
      <rPr>
        <rFont val="Times New Roman"/>
        <b/>
        <color rgb="FF000000"/>
        <sz val="40.0"/>
      </rPr>
      <t xml:space="preserve">Enter Credit of MSE Paper Evaluated Section A and B both
</t>
    </r>
    <r>
      <rPr>
        <rFont val="Times New Roman"/>
        <b/>
        <color rgb="FFFF0000"/>
        <sz val="40.0"/>
      </rPr>
      <t>(1 credit =15 papers)</t>
    </r>
  </si>
  <si>
    <r>
      <rPr>
        <rFont val="Times New Roman"/>
        <b/>
        <color rgb="FF000000"/>
        <sz val="40.0"/>
      </rPr>
      <t xml:space="preserve">Enter Credit of  MSE Paper Evaluated-Any one Section A or B 
</t>
    </r>
    <r>
      <rPr>
        <rFont val="Times New Roman"/>
        <b/>
        <color rgb="FFFF0000"/>
        <sz val="40.0"/>
      </rPr>
      <t xml:space="preserve">(1 credit =30 papers) </t>
    </r>
  </si>
  <si>
    <r>
      <rPr>
        <rFont val="Times New Roman"/>
        <b/>
        <color rgb="FF000000"/>
        <sz val="40.0"/>
      </rPr>
      <t xml:space="preserve">Enter Credit of Rem Paper Evaluated 
</t>
    </r>
    <r>
      <rPr>
        <rFont val="Times New Roman"/>
        <b/>
        <color rgb="FFFF0000"/>
        <sz val="40.0"/>
      </rPr>
      <t>(1 credit =30 papers)</t>
    </r>
  </si>
  <si>
    <r>
      <rPr>
        <rFont val="Times New Roman"/>
        <b/>
        <color rgb="FF000000"/>
        <sz val="40.0"/>
      </rPr>
      <t xml:space="preserve">Leave Credit </t>
    </r>
    <r>
      <rPr>
        <rFont val="Times New Roman"/>
        <b/>
        <color rgb="FFFF0000"/>
        <sz val="40.0"/>
      </rPr>
      <t>(Enter Negative Value)</t>
    </r>
  </si>
  <si>
    <r>
      <rPr>
        <rFont val="Times New Roman"/>
        <b/>
        <color rgb="FF000000"/>
        <sz val="40.0"/>
      </rPr>
      <t>Error Credit</t>
    </r>
    <r>
      <rPr>
        <rFont val="Times New Roman"/>
        <b/>
        <color rgb="FFFF0000"/>
        <sz val="40.0"/>
      </rPr>
      <t xml:space="preserve"> (Enter only Negative Value of Credit)</t>
    </r>
  </si>
  <si>
    <r>
      <rPr>
        <rFont val="Times New Roman"/>
        <b/>
        <color rgb="FF000000"/>
        <sz val="40.0"/>
      </rPr>
      <t xml:space="preserve">No. of Days of late submission
</t>
    </r>
    <r>
      <rPr>
        <rFont val="Times New Roman"/>
        <b/>
        <color rgb="FFFF0000"/>
        <sz val="40.0"/>
      </rPr>
      <t>(Enter only Negative Value of Credit)</t>
    </r>
  </si>
  <si>
    <r>
      <rPr>
        <rFont val="Times New Roman"/>
        <b/>
        <color rgb="FF000000"/>
        <sz val="40.0"/>
      </rPr>
      <t xml:space="preserve">Credit
</t>
    </r>
    <r>
      <rPr>
        <rFont val="Times New Roman"/>
        <b/>
        <color rgb="FFFF0000"/>
        <sz val="40.0"/>
      </rPr>
      <t>( Enter Negative value if comment for negative credit)</t>
    </r>
  </si>
  <si>
    <t>Supervision of Practical Round in Internship drive
(1:35pm to 4:05pm-150min)</t>
  </si>
  <si>
    <r>
      <rPr>
        <rFont val="Times New Roman"/>
        <b/>
        <color rgb="FF000000"/>
        <sz val="40.0"/>
      </rPr>
      <t xml:space="preserve">NT Total Credits
(D)
</t>
    </r>
    <r>
      <rPr>
        <rFont val="Times New Roman"/>
        <b/>
        <color rgb="FFFF0000"/>
        <sz val="40.0"/>
      </rPr>
      <t>Refer from NT Section</t>
    </r>
  </si>
  <si>
    <r>
      <rPr>
        <rFont val="Times New Roman"/>
        <b/>
        <color theme="1"/>
        <sz val="40.0"/>
      </rPr>
      <t xml:space="preserve">Personal Discussion with parents in Institute 
</t>
    </r>
    <r>
      <rPr>
        <rFont val="Times New Roman"/>
        <b/>
        <color rgb="FFFF0000"/>
        <sz val="40.0"/>
      </rPr>
      <t>(0.25 credit per student)</t>
    </r>
  </si>
  <si>
    <r>
      <rPr>
        <rFont val="Times New Roman"/>
        <b/>
        <color rgb="FF000000"/>
        <sz val="40.0"/>
      </rPr>
      <t xml:space="preserve">Enter credit if Faculty Refusd to do work given by HOD.
</t>
    </r>
    <r>
      <rPr>
        <rFont val="Times New Roman"/>
        <b/>
        <color rgb="FFFF0000"/>
        <sz val="40.0"/>
      </rPr>
      <t xml:space="preserve">Credit = (-5)
</t>
    </r>
  </si>
  <si>
    <r>
      <rPr>
        <rFont val="Times New Roman"/>
        <b/>
        <color rgb="FFFF0000"/>
        <sz val="40.0"/>
      </rPr>
      <t xml:space="preserve">Enter credit if Faculty does work after doing arguments with HOD.
</t>
    </r>
    <r>
      <rPr>
        <rFont val="Times New Roman"/>
        <b/>
        <color rgb="FFFF0000"/>
        <sz val="40.0"/>
      </rPr>
      <t xml:space="preserve">Credit = (-2)
</t>
    </r>
  </si>
  <si>
    <r>
      <rPr>
        <rFont val="Times New Roman"/>
        <b/>
        <color theme="1"/>
        <sz val="40.0"/>
      </rPr>
      <t xml:space="preserve">SEM
</t>
    </r>
    <r>
      <rPr>
        <rFont val="Times New Roman"/>
        <b/>
        <color rgb="FFFF0000"/>
        <sz val="40.0"/>
      </rPr>
      <t>(Only Roman Number)</t>
    </r>
  </si>
  <si>
    <r>
      <rPr>
        <rFont val="Times New Roman"/>
        <b/>
        <color rgb="FF000000"/>
        <sz val="40.0"/>
      </rPr>
      <t xml:space="preserve">Time
</t>
    </r>
    <r>
      <rPr>
        <rFont val="Times New Roman"/>
        <b/>
        <color rgb="FFFF0000"/>
        <sz val="40.0"/>
      </rPr>
      <t>(Only for difficulty solving)</t>
    </r>
  </si>
  <si>
    <r>
      <rPr>
        <rFont val="Times New Roman"/>
        <b/>
        <color rgb="FF000000"/>
        <sz val="40.0"/>
      </rPr>
      <t xml:space="preserve">Total No.of Hours
</t>
    </r>
    <r>
      <rPr>
        <rFont val="Times New Roman"/>
        <b/>
        <color rgb="FFFF0000"/>
        <sz val="40.0"/>
      </rPr>
      <t>(Only for difficulty solving)</t>
    </r>
  </si>
  <si>
    <r>
      <rPr>
        <rFont val="Times New Roman"/>
        <b/>
        <color rgb="FF000000"/>
        <sz val="40.0"/>
      </rPr>
      <t xml:space="preserve">Enter Credit of MSE Paper Evaluated Section A and B both
</t>
    </r>
    <r>
      <rPr>
        <rFont val="Times New Roman"/>
        <b/>
        <color rgb="FFFF0000"/>
        <sz val="40.0"/>
      </rPr>
      <t>(1 credit =15 papers)</t>
    </r>
  </si>
  <si>
    <r>
      <rPr>
        <rFont val="Times New Roman"/>
        <b/>
        <color rgb="FF000000"/>
        <sz val="40.0"/>
      </rPr>
      <t xml:space="preserve">Enter Credit of  MSE Paper Evaluated-Any one Section A or B 
</t>
    </r>
    <r>
      <rPr>
        <rFont val="Times New Roman"/>
        <b/>
        <color rgb="FFFF0000"/>
        <sz val="40.0"/>
      </rPr>
      <t xml:space="preserve">(1 credit =30 papers) </t>
    </r>
  </si>
  <si>
    <r>
      <rPr>
        <rFont val="Times New Roman"/>
        <b/>
        <color rgb="FF000000"/>
        <sz val="40.0"/>
      </rPr>
      <t xml:space="preserve">Enter Credit of Rem Paper Evaluated 
</t>
    </r>
    <r>
      <rPr>
        <rFont val="Times New Roman"/>
        <b/>
        <color rgb="FFFF0000"/>
        <sz val="40.0"/>
      </rPr>
      <t>(1 credit =30 papers)</t>
    </r>
  </si>
  <si>
    <r>
      <rPr>
        <rFont val="Times New Roman"/>
        <b/>
        <color rgb="FF000000"/>
        <sz val="40.0"/>
      </rPr>
      <t xml:space="preserve">Leave Credit </t>
    </r>
    <r>
      <rPr>
        <rFont val="Times New Roman"/>
        <b/>
        <color rgb="FFFF0000"/>
        <sz val="40.0"/>
      </rPr>
      <t>(Enter Negative Value)</t>
    </r>
  </si>
  <si>
    <r>
      <rPr>
        <rFont val="Times New Roman"/>
        <b/>
        <color rgb="FF000000"/>
        <sz val="40.0"/>
      </rPr>
      <t>Error Credit</t>
    </r>
    <r>
      <rPr>
        <rFont val="Times New Roman"/>
        <b/>
        <color rgb="FFFF0000"/>
        <sz val="40.0"/>
      </rPr>
      <t xml:space="preserve"> (Enter only Negative Value of Credit)</t>
    </r>
  </si>
  <si>
    <r>
      <rPr>
        <rFont val="Times New Roman"/>
        <b/>
        <color rgb="FF000000"/>
        <sz val="40.0"/>
      </rPr>
      <t xml:space="preserve">No. of Days of late submission
</t>
    </r>
    <r>
      <rPr>
        <rFont val="Times New Roman"/>
        <b/>
        <color rgb="FFFF0000"/>
        <sz val="40.0"/>
      </rPr>
      <t>(Enter only Negative Value of Credit)</t>
    </r>
  </si>
  <si>
    <r>
      <rPr>
        <rFont val="Times New Roman"/>
        <b/>
        <color rgb="FF000000"/>
        <sz val="40.0"/>
      </rPr>
      <t xml:space="preserve">Credit
</t>
    </r>
    <r>
      <rPr>
        <rFont val="Times New Roman"/>
        <b/>
        <color rgb="FFFF0000"/>
        <sz val="40.0"/>
      </rPr>
      <t>( Enter Negative value if comment for negative credit)</t>
    </r>
  </si>
  <si>
    <t>1(ON VL)</t>
  </si>
  <si>
    <t>10,1</t>
  </si>
  <si>
    <t>203,306-1</t>
  </si>
  <si>
    <t>supervision of FCSP-1 on 25/10/2024 from 2:30 to 5:30 PM,COA REM paper setting summer-2024</t>
  </si>
  <si>
    <t>Afternoon, Afternoon, Morning</t>
  </si>
  <si>
    <t>9; 16; 17</t>
  </si>
  <si>
    <t>309-B, 410-B, 403</t>
  </si>
  <si>
    <t>done supervision of FCSP-1 on 25/10/2024 from 2:30 to 5:30 PM and EA supervision done on 26/10/2024 from 11:00 to 2:00</t>
  </si>
  <si>
    <t>FCSP-2 REM paper setting summer-2024
&amp;
107 answer sheet checked of FCSP-1
&amp;
date:25/10/24
Present in college during the vacation period for the Python-1 exam.
(1:20 pm to 5:45 pm)
(265 min)
&amp;
date:26/10/24
Present in college during the vacation period for Python-1 paper checking.
(9:50 am to 1:30 pm)
(220 min)</t>
  </si>
  <si>
    <t>102-A, 307-B</t>
  </si>
  <si>
    <t>2
14</t>
  </si>
  <si>
    <t>108-1
410-B</t>
  </si>
  <si>
    <t>Paper setting of Remedial SEM-IV TOC Exam</t>
  </si>
  <si>
    <t>afternoon</t>
  </si>
  <si>
    <t>7,13</t>
  </si>
  <si>
    <t>202, 515-B</t>
  </si>
  <si>
    <t>assigned</t>
  </si>
  <si>
    <t>FCSP-2 REM paper setting summer-2024, present DURING VACATION LEAVE for FCSP-1 supervision duty on 25-10-2024 (1:20pm TO 5:40pm,4hrs20min),114 answer sheet checkedof FCSP-1,present DURING VACATION LEAVE for FCSP-1 online paper checking on 26-10-2024 (8:30am TO 12:30pm,4hrs)</t>
  </si>
  <si>
    <t>Afterroon</t>
  </si>
  <si>
    <t>7,4</t>
  </si>
  <si>
    <t>103,306-2</t>
  </si>
  <si>
    <t>Assiigned</t>
  </si>
  <si>
    <t>done supervision of FCSP-1 on 25/10/2024 from 2:30 to 5:30 PM</t>
  </si>
  <si>
    <t xml:space="preserve">Afternoon </t>
  </si>
  <si>
    <t>3,20</t>
  </si>
  <si>
    <t>108-2, 408-A</t>
  </si>
  <si>
    <t xml:space="preserve">Assigned </t>
  </si>
  <si>
    <t>Present for FCSP-1 supervision duty during VACATION LEAVE on 25-10-2024 (1:00pm TO 5:40pm, 4hrs 40min)</t>
  </si>
  <si>
    <t>Done Supervision in TY EA Sem-V exam on 26-10-24 (11:00 AM to 2:00 PM)</t>
  </si>
  <si>
    <t>COLLEGE NAME :  L.J. INSTITUTE OF ENGINEERING AND TECHNOLOGY             DEPARTMENT NAME :  SY4(CST CS&amp;IT)           YEAR : 2024-25       SEMESTER : III</t>
  </si>
  <si>
    <t>Lecture Credits</t>
  </si>
  <si>
    <t>Short Form</t>
  </si>
  <si>
    <t>Course (UG/PG)</t>
  </si>
  <si>
    <t>DEPT</t>
  </si>
  <si>
    <t>SEM</t>
  </si>
  <si>
    <t xml:space="preserve">DIV </t>
  </si>
  <si>
    <t>SUBJECT</t>
  </si>
  <si>
    <t>Total Alloted Theory Lectures/Lec.-Tut.</t>
  </si>
  <si>
    <t xml:space="preserve">Total Alloted Lab/ Tutorials/TL
</t>
  </si>
  <si>
    <t xml:space="preserve">Total Effective Alloted Lab/ Tutorials
</t>
  </si>
  <si>
    <t>Weekly Overall Total Effective Load Alloted
A1</t>
  </si>
  <si>
    <t>Weekly Extra Load
A2</t>
  </si>
  <si>
    <r>
      <rPr>
        <rFont val="Times New Roman"/>
        <b/>
        <color rgb="FF000000"/>
        <sz val="36.0"/>
      </rPr>
      <t xml:space="preserve">Weekly Merged Load
</t>
    </r>
    <r>
      <rPr>
        <rFont val="Times New Roman"/>
        <b/>
        <color rgb="FFFF0000"/>
        <sz val="36.0"/>
      </rPr>
      <t>(If student &lt; 20, mention (-1))
A3</t>
    </r>
  </si>
  <si>
    <t xml:space="preserve">Weekly Overall Eff Load with extra and Merge load
</t>
  </si>
  <si>
    <t>Weekly Overall Eff. Mass bunk 
B</t>
  </si>
  <si>
    <t>Weekly Overall Eff.load cancel bzc of Holiday 
C</t>
  </si>
  <si>
    <t xml:space="preserve">Weekly Eff load cancel bcz of Specific reason
</t>
  </si>
  <si>
    <t xml:space="preserve">Weekly  Eff. load cancel bcz no adjustment was possible
</t>
  </si>
  <si>
    <t>Weekly Total Eff.Load Expected from Faculty</t>
  </si>
  <si>
    <t xml:space="preserve">Weekly Eff.Load Taken 
</t>
  </si>
  <si>
    <r>
      <rPr>
        <rFont val="Times New Roman"/>
        <b/>
        <color rgb="FF000000"/>
        <sz val="36.0"/>
      </rPr>
      <t xml:space="preserve">Comment if difference
</t>
    </r>
    <r>
      <rPr>
        <rFont val="Times New Roman"/>
        <b/>
        <color rgb="FFFF0000"/>
        <sz val="36.0"/>
      </rPr>
      <t>(Ex:(-+1) L-5-III-A-on Leave/L-3-III-A Given to XYZ bcz adjusted old Proxy/L-2-V-A-Extra Lec Taken OR Proxy of xyz)</t>
    </r>
  </si>
  <si>
    <r>
      <rPr>
        <rFont val="Times New Roman"/>
        <b/>
        <color rgb="FF000000"/>
        <sz val="36.0"/>
      </rPr>
      <t xml:space="preserve">Difficulty solving or if attendance is less than 5
</t>
    </r>
    <r>
      <rPr>
        <rFont val="Times New Roman"/>
        <b/>
        <color rgb="FFFF0000"/>
        <sz val="36.0"/>
      </rPr>
      <t>(Roll No,Name, Contact No.)</t>
    </r>
  </si>
  <si>
    <t>Project / Dissertation Load
(Enter only if Answer is given by Guide of the technical query)</t>
  </si>
  <si>
    <t>NT Total Credits
(D)</t>
  </si>
  <si>
    <t xml:space="preserve">Submission of Subject Folder (LP, QB,MSE Syllabus, Ques Paper etc)
</t>
  </si>
  <si>
    <t>Supervision</t>
  </si>
  <si>
    <t xml:space="preserve">Home Visit Total Credit 
</t>
  </si>
  <si>
    <t>Total No. of 
SMS done</t>
  </si>
  <si>
    <t xml:space="preserve">Total Credit for Personal Discussion with parents in Institute 
</t>
  </si>
  <si>
    <r>
      <rPr>
        <rFont val="Times New Roman"/>
        <b/>
        <color theme="1"/>
        <sz val="40.0"/>
      </rPr>
      <t xml:space="preserve">Total Credit for Personal Information in Page 1 and Page 2 </t>
    </r>
    <r>
      <rPr>
        <rFont val="Times New Roman"/>
        <b/>
        <color rgb="FFFF0000"/>
        <sz val="40.0"/>
      </rPr>
      <t>(Credit=0.02 per entry)</t>
    </r>
  </si>
  <si>
    <r>
      <rPr>
        <rFont val="Times New Roman"/>
        <b/>
        <color theme="1"/>
        <sz val="40.0"/>
      </rPr>
      <t xml:space="preserve">Total credit for any entry work done in SIF </t>
    </r>
    <r>
      <rPr>
        <rFont val="Times New Roman"/>
        <b/>
        <color rgb="FFFF0000"/>
        <sz val="40.0"/>
      </rPr>
      <t>(Ex: MSE  (0.05 credit))</t>
    </r>
  </si>
  <si>
    <t xml:space="preserve">Total Extra Activity in hours as per General Instructions. </t>
  </si>
  <si>
    <r>
      <rPr>
        <rFont val="Times New Roman"/>
        <b/>
        <color rgb="FF000000"/>
        <sz val="40.0"/>
      </rPr>
      <t xml:space="preserve">Total credit if Faculty Refusd to do work given by HOD.
</t>
    </r>
    <r>
      <rPr>
        <rFont val="Times New Roman"/>
        <b/>
        <color rgb="FFFF0000"/>
        <sz val="40.0"/>
      </rPr>
      <t xml:space="preserve">Credit = (-5)
</t>
    </r>
  </si>
  <si>
    <r>
      <rPr>
        <rFont val="Times New Roman"/>
        <b/>
        <color rgb="FFFF0000"/>
        <sz val="40.0"/>
      </rPr>
      <t xml:space="preserve">Total credit if Faculty does work after doing arguments with HOD.
</t>
    </r>
    <r>
      <rPr>
        <rFont val="Times New Roman"/>
        <b/>
        <color rgb="FFFF0000"/>
        <sz val="40.0"/>
      </rPr>
      <t xml:space="preserve">Credit = (-2)
</t>
    </r>
  </si>
  <si>
    <t>Total HOD Positive Credit 
and Total Faculty Negative Credit</t>
  </si>
  <si>
    <t>LOAD</t>
  </si>
  <si>
    <t>(X)</t>
  </si>
  <si>
    <t xml:space="preserve">0.5 X or
0.75 X </t>
  </si>
  <si>
    <t>F=A-B-C-D-E</t>
  </si>
  <si>
    <t>Total No.of Hours</t>
  </si>
  <si>
    <t>Total taken Supervision (MSE)</t>
  </si>
  <si>
    <t>Total taken Supervision (REM)</t>
  </si>
  <si>
    <t>Total No of blocks handle by MSE exam coordinator</t>
  </si>
  <si>
    <t xml:space="preserve">Total Credit of MSE Paper Evaluated Section A and B both
</t>
  </si>
  <si>
    <t xml:space="preserve">Total Credit of  MSE Paper Evaluated-Any one Section A or B 
</t>
  </si>
  <si>
    <t xml:space="preserve">Total Credit of Rem Paper Evaluated 
</t>
  </si>
  <si>
    <t>Total Class</t>
  </si>
  <si>
    <t>Total Received Phone Call</t>
  </si>
  <si>
    <t>Total Not Received Phone Call</t>
  </si>
  <si>
    <t>Total Leave Taken</t>
  </si>
  <si>
    <t xml:space="preserve">Total Leave Credit </t>
  </si>
  <si>
    <t>Total Error Credit</t>
  </si>
  <si>
    <r>
      <rPr>
        <rFont val="Times New Roman"/>
        <b/>
        <color rgb="FF000000"/>
        <sz val="40.0"/>
      </rPr>
      <t xml:space="preserve">Total No. of Days of late submission
</t>
    </r>
    <r>
      <rPr>
        <rFont val="Times New Roman"/>
        <b/>
        <color rgb="FFFF0000"/>
        <sz val="40.0"/>
      </rPr>
      <t>(Enter only Negative Value of Credit)</t>
    </r>
  </si>
  <si>
    <t xml:space="preserve">Total Credit
</t>
  </si>
  <si>
    <t>LJIET</t>
  </si>
  <si>
    <t>Important Points for Filling Daily Report</t>
  </si>
  <si>
    <t>In Daily Report, 
1) Cells highlighted in YELLOW COLOR to be filled by Faculty and Rest of the data will be filled by HOD. 
2) Cells highlighted with PURPLE COLOR consist of formula. So do not alter these cells.</t>
  </si>
  <si>
    <t>Colour</t>
  </si>
  <si>
    <t>Remarks</t>
  </si>
  <si>
    <t>Green</t>
  </si>
  <si>
    <t>Proxy Lecture</t>
  </si>
  <si>
    <t>Red</t>
  </si>
  <si>
    <t>Mass Bunk/Lect not taken</t>
  </si>
  <si>
    <r>
      <rPr>
        <rFont val="Calibri"/>
        <color theme="1"/>
        <sz val="11.0"/>
      </rPr>
      <t xml:space="preserve">For Mass Bunk, enter </t>
    </r>
    <r>
      <rPr>
        <rFont val="Calibri"/>
        <color rgb="FFFF0000"/>
        <sz val="11.0"/>
      </rPr>
      <t xml:space="preserve">"M" </t>
    </r>
    <r>
      <rPr>
        <rFont val="Calibri"/>
        <color theme="1"/>
        <sz val="11.0"/>
      </rPr>
      <t>i</t>
    </r>
    <r>
      <rPr>
        <rFont val="Calibri"/>
        <color theme="1"/>
        <sz val="11.0"/>
      </rPr>
      <t>n attendance (M) column)</t>
    </r>
  </si>
  <si>
    <t>Purple</t>
  </si>
  <si>
    <t>Swap Lecture</t>
  </si>
  <si>
    <t>Blue</t>
  </si>
  <si>
    <t>Extra Lecture</t>
  </si>
  <si>
    <t>Lect No**</t>
  </si>
  <si>
    <t>1-4</t>
  </si>
  <si>
    <t>Enter lecture details as per TimeTable</t>
  </si>
  <si>
    <t>7-10</t>
  </si>
  <si>
    <r>
      <rPr>
        <rFont val="Calibri"/>
        <color theme="1"/>
        <sz val="11.0"/>
      </rPr>
      <t xml:space="preserve">If Lab is merged, then enter the proxy lab details
</t>
    </r>
    <r>
      <rPr>
        <rFont val="Calibri"/>
        <b/>
        <color theme="1"/>
        <sz val="11.0"/>
      </rPr>
      <t xml:space="preserve">a. </t>
    </r>
    <r>
      <rPr>
        <rFont val="Calibri"/>
        <color theme="1"/>
        <sz val="11.0"/>
      </rPr>
      <t xml:space="preserve">If students attendance &lt; 20, Eff Load (Col N )=0
</t>
    </r>
    <r>
      <rPr>
        <rFont val="Calibri"/>
        <b/>
        <color theme="1"/>
        <sz val="11.0"/>
      </rPr>
      <t xml:space="preserve">b. </t>
    </r>
    <r>
      <rPr>
        <rFont val="Calibri"/>
        <color theme="1"/>
        <sz val="11.0"/>
      </rPr>
      <t>If students attendance &gt; 20, Eff Load (Col N )=0.5/0.75</t>
    </r>
  </si>
  <si>
    <t>5,6,11</t>
  </si>
  <si>
    <t>* Only for extra lectures.
Enter manually number of hours if Effective hours &gt; 1</t>
  </si>
  <si>
    <r>
      <rPr>
        <rFont val="Calibri"/>
        <color theme="1"/>
        <sz val="11.0"/>
      </rPr>
      <t xml:space="preserve">"Elec" to be entered in Column K </t>
    </r>
    <r>
      <rPr>
        <rFont val="Calibri"/>
        <color rgb="FFFF0000"/>
        <sz val="11.0"/>
      </rPr>
      <t>manually</t>
    </r>
  </si>
  <si>
    <t>Column K</t>
  </si>
  <si>
    <t>Lec/Lab</t>
  </si>
  <si>
    <t>Schedule as per Timetable</t>
  </si>
  <si>
    <t>TL</t>
  </si>
  <si>
    <t>Theory Cum Lab (Effective Hours = 0.75)</t>
  </si>
  <si>
    <t>ELec/Elab/ETL</t>
  </si>
  <si>
    <t>Extra Lecture / Lab</t>
  </si>
  <si>
    <t>SLec/Slab/STL</t>
  </si>
  <si>
    <t>Swap Lecture / Lab</t>
  </si>
  <si>
    <t>PLec/Plab/PTL</t>
  </si>
  <si>
    <t>Proxy Lecture / Lab</t>
  </si>
  <si>
    <t>Do not update highlighted cell (violet color) except condition . Faculty do not have to enter data in HOD section</t>
  </si>
  <si>
    <t>Do not delete as per TT entered load if it is already entered by HOD. Otherwise enter the load details as per TT  manually.</t>
  </si>
  <si>
    <t>If you are taking Extra, Proxy or Swap Lec/Lab/Tut then enter the load details manually in define Lec No.</t>
  </si>
  <si>
    <t>In case of Swap Lec/Lab/Tut do not delete original Lec/Lab/Tut details as per TT. Swap load details has to be manually enter by the faculty.</t>
  </si>
  <si>
    <t>Column F (Dept) should not be blank when entering lecture/lab details</t>
  </si>
  <si>
    <t>In case of Shift 2 classes, Lec details in Lec 5,6 or Lec 11 when there is a clash with regular schedule</t>
  </si>
  <si>
    <t>Enter the details in daily report, then save and close the file. Otherwise Faculty row will be unprotected and any one can modify it</t>
  </si>
  <si>
    <t>In column Q, enter (-1)or (-0.75) or(-0.5)  if lec 7-10 has merged lab taken and attendance  &lt; 20 (IGNORE)</t>
  </si>
  <si>
    <t>All data to be filled. Do not merge rows or columns</t>
  </si>
  <si>
    <t>Strictly Do not copy paste the data from other cells</t>
  </si>
  <si>
    <t>Extra lec details to be entered in Lec 5,6 or Lec 11 row. Extra lect details can be entered in Lec 1-5 row only when no lecture is present as per TimeTable in that slot.</t>
  </si>
  <si>
    <t>Refer General Instruction for entering credits. Do not enter invalid data</t>
  </si>
  <si>
    <t>Regular verify ur daily report data sent by HOD. If any entry is missed by HOD to enter, then faculty have to inform on next day before 10am. Later the entry will not updated or added.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</si>
</sst>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24">
    <font>
      <sz val="11.0"/>
      <color theme="1"/>
      <name val="Calibri"/>
      <scheme val="minor"/>
    </font>
    <font>
      <b/>
      <sz val="48.0"/>
      <color rgb="FF000000"/>
      <name val="Times New Roman"/>
    </font>
    <font/>
    <font>
      <sz val="11.0"/>
      <color theme="1"/>
      <name val="Calibri"/>
    </font>
    <font>
      <b/>
      <sz val="40.0"/>
      <color rgb="FF000000"/>
      <name val="Times New Roman"/>
    </font>
    <font>
      <sz val="40.0"/>
      <color theme="1"/>
      <name val="Times New Roman"/>
    </font>
    <font>
      <b/>
      <sz val="40.0"/>
      <color theme="1"/>
      <name val="Times New Roman"/>
    </font>
    <font>
      <b/>
      <sz val="40.0"/>
      <color rgb="FFFF0000"/>
      <name val="Times New Roman"/>
    </font>
    <font>
      <b/>
      <sz val="36.0"/>
      <color theme="1"/>
      <name val="Times New Roman"/>
    </font>
    <font>
      <sz val="48.0"/>
      <color theme="1"/>
      <name val="Times New Roman"/>
    </font>
    <font>
      <sz val="36.0"/>
      <color theme="1"/>
      <name val="Times New Roman"/>
    </font>
    <font>
      <sz val="36.0"/>
      <color rgb="FF000000"/>
      <name val="Times New Roman"/>
    </font>
    <font>
      <b/>
      <sz val="36.0"/>
      <color rgb="FF000000"/>
      <name val="Times New Roman"/>
    </font>
    <font>
      <sz val="36.0"/>
      <color theme="1"/>
      <name val="Calibri"/>
    </font>
    <font>
      <b/>
      <sz val="72.0"/>
      <color rgb="FF000000"/>
      <name val="Times New Roman"/>
    </font>
    <font>
      <sz val="72.0"/>
      <color theme="1"/>
      <name val="Times New Roman"/>
    </font>
    <font>
      <b/>
      <sz val="71.0"/>
      <color rgb="FF000000"/>
      <name val="Times New Roman"/>
    </font>
    <font>
      <b/>
      <sz val="36.0"/>
      <color rgb="FFFF0000"/>
      <name val="Times New Roman"/>
    </font>
    <font>
      <sz val="48.0"/>
      <color rgb="FF000000"/>
      <name val="Times New Roman"/>
    </font>
    <font>
      <b/>
      <sz val="48.0"/>
      <color theme="1"/>
      <name val="Times New Roman"/>
    </font>
    <font>
      <sz val="48.0"/>
      <color theme="1"/>
      <name val="Calibri"/>
    </font>
    <font>
      <b/>
      <sz val="11.0"/>
      <color theme="1"/>
      <name val="Calibri"/>
    </font>
    <font>
      <sz val="11.0"/>
      <color rgb="FFFF0000"/>
      <name val="Calibri"/>
    </font>
    <font>
      <b/>
      <sz val="11.0"/>
      <color rgb="FFFF0000"/>
      <name val="Calibri"/>
    </font>
  </fonts>
  <fills count="15">
    <fill>
      <patternFill patternType="none"/>
    </fill>
    <fill>
      <patternFill patternType="lightGray"/>
    </fill>
    <fill>
      <patternFill patternType="solid">
        <fgColor rgb="FFB6DDE8"/>
        <bgColor rgb="FFB6DDE8"/>
      </patternFill>
    </fill>
    <fill>
      <patternFill patternType="solid">
        <fgColor rgb="FF92D050"/>
        <bgColor rgb="FF92D050"/>
      </patternFill>
    </fill>
    <fill>
      <patternFill patternType="solid">
        <fgColor rgb="FFFBD4B4"/>
        <bgColor rgb="FFFBD4B4"/>
      </patternFill>
    </fill>
    <fill>
      <patternFill patternType="solid">
        <fgColor rgb="FFCCC0D9"/>
        <bgColor rgb="FFCCC0D9"/>
      </patternFill>
    </fill>
    <fill>
      <patternFill patternType="solid">
        <fgColor rgb="FFD6E3BC"/>
        <bgColor rgb="FFD6E3BC"/>
      </patternFill>
    </fill>
    <fill>
      <patternFill patternType="solid">
        <fgColor rgb="FFFFFF00"/>
        <bgColor rgb="FFFFFF00"/>
      </patternFill>
    </fill>
    <fill>
      <patternFill patternType="solid">
        <fgColor rgb="FFFFC000"/>
        <bgColor rgb="FFFFC000"/>
      </patternFill>
    </fill>
    <fill>
      <patternFill patternType="solid">
        <fgColor rgb="FF00B0F0"/>
        <bgColor rgb="FF00B0F0"/>
      </patternFill>
    </fill>
    <fill>
      <patternFill patternType="solid">
        <fgColor rgb="FFDAEEF3"/>
        <bgColor rgb="FFDAEEF3"/>
      </patternFill>
    </fill>
    <fill>
      <patternFill patternType="solid">
        <fgColor rgb="FFE5B8B7"/>
        <bgColor rgb="FFE5B8B7"/>
      </patternFill>
    </fill>
    <fill>
      <patternFill patternType="solid">
        <fgColor rgb="FFB2A1C7"/>
        <bgColor rgb="FFB2A1C7"/>
      </patternFill>
    </fill>
    <fill>
      <patternFill patternType="solid">
        <fgColor rgb="FFFFFFFF"/>
        <bgColor rgb="FFFFFFFF"/>
      </patternFill>
    </fill>
    <fill>
      <patternFill patternType="solid">
        <fgColor theme="0"/>
        <bgColor theme="0"/>
      </patternFill>
    </fill>
  </fills>
  <borders count="172">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border>
    <border>
      <right style="medium">
        <color rgb="FF000000"/>
      </right>
      <top style="medium">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style="medium">
        <color rgb="FF000000"/>
      </right>
      <top style="medium">
        <color rgb="FF000000"/>
      </top>
      <bottom/>
    </border>
    <border>
      <left/>
      <right/>
      <top style="medium">
        <color rgb="FF000000"/>
      </top>
      <bottom/>
    </border>
    <border>
      <right/>
      <top style="medium">
        <color rgb="FF000000"/>
      </top>
      <bottom/>
    </border>
    <border>
      <left/>
      <top style="medium">
        <color rgb="FF000000"/>
      </top>
    </border>
    <border>
      <right/>
      <top style="medium">
        <color rgb="FF000000"/>
      </top>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right style="medium">
        <color rgb="FF000000"/>
      </right>
      <top style="medium">
        <color rgb="FF000000"/>
      </top>
    </border>
    <border>
      <left style="medium">
        <color rgb="FF000000"/>
      </left>
      <right style="medium">
        <color rgb="FF000000"/>
      </right>
      <top style="medium">
        <color rgb="FF000000"/>
      </top>
    </border>
    <border>
      <left/>
      <right/>
      <top style="thin">
        <color rgb="FF000000"/>
      </top>
    </border>
    <border>
      <left style="medium">
        <color rgb="FF000000"/>
      </left>
      <top style="thin">
        <color rgb="FF000000"/>
      </top>
      <bottom/>
    </border>
    <border>
      <top style="thin">
        <color rgb="FF000000"/>
      </top>
      <bottom/>
    </border>
    <border>
      <right style="medium">
        <color rgb="FF000000"/>
      </right>
      <top style="thin">
        <color rgb="FF000000"/>
      </top>
      <bottom/>
    </border>
    <border>
      <left/>
      <right/>
      <top style="medium">
        <color rgb="FF000000"/>
      </top>
    </border>
    <border>
      <left style="medium">
        <color rgb="FF000000"/>
      </left>
      <right/>
      <top style="medium">
        <color rgb="FF000000"/>
      </top>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top style="thin">
        <color rgb="FF000000"/>
      </top>
      <bottom style="thin">
        <color rgb="FF000000"/>
      </bottom>
    </border>
    <border>
      <left/>
      <top style="thin">
        <color rgb="FF000000"/>
      </top>
      <bottom/>
    </border>
    <border>
      <right style="thin">
        <color rgb="FF000000"/>
      </right>
      <top style="thin">
        <color rgb="FF000000"/>
      </top>
      <bottom/>
    </border>
    <border>
      <left/>
      <bottom style="thin">
        <color rgb="FF000000"/>
      </bottom>
    </border>
    <border>
      <bottom style="thin">
        <color rgb="FF000000"/>
      </bottom>
    </border>
    <border>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border>
    <border>
      <left/>
      <right/>
      <top/>
      <bottom style="medium">
        <color rgb="FF000000"/>
      </bottom>
    </border>
    <border>
      <left style="medium">
        <color rgb="FF000000"/>
      </left>
      <right/>
      <top/>
      <bottom style="medium">
        <color rgb="FF000000"/>
      </bottom>
    </border>
    <border>
      <left style="medium">
        <color rgb="FF000000"/>
      </left>
      <right/>
      <top/>
      <bottom/>
    </border>
    <border>
      <left style="medium">
        <color rgb="FF000000"/>
      </left>
    </border>
    <border>
      <left style="medium">
        <color rgb="FF000000"/>
      </left>
      <right style="medium">
        <color rgb="FF000000"/>
      </right>
      <top/>
      <bottom/>
    </border>
    <border>
      <left/>
      <right/>
      <top/>
      <bottom/>
    </border>
    <border>
      <left/>
      <right style="medium">
        <color rgb="FF000000"/>
      </right>
    </border>
    <border>
      <left/>
      <right/>
    </border>
    <border>
      <left/>
      <right/>
      <bottom style="medium">
        <color rgb="FF000000"/>
      </bottom>
    </border>
    <border>
      <left style="medium">
        <color rgb="FF000000"/>
      </left>
      <right/>
      <bottom style="medium">
        <color rgb="FF000000"/>
      </bottom>
    </border>
    <border>
      <left style="medium">
        <color rgb="FF000000"/>
      </left>
      <bottom style="thin">
        <color rgb="FF000000"/>
      </bottom>
    </border>
    <border>
      <right style="medium">
        <color rgb="FF000000"/>
      </right>
      <bottom style="thin">
        <color rgb="FF000000"/>
      </bottom>
    </border>
    <border>
      <left/>
      <top/>
      <bottom style="medium">
        <color rgb="FF000000"/>
      </bottom>
    </border>
    <border>
      <right style="medium">
        <color rgb="FF000000"/>
      </right>
      <top/>
      <bottom style="medium">
        <color rgb="FF000000"/>
      </bottom>
    </border>
    <border>
      <left style="medium">
        <color rgb="FF000000"/>
      </left>
      <top/>
      <bottom/>
    </border>
    <border>
      <right style="medium">
        <color rgb="FF000000"/>
      </right>
      <top/>
      <bottom/>
    </border>
    <border>
      <left style="medium">
        <color rgb="FF000000"/>
      </left>
      <right style="medium">
        <color rgb="FF000000"/>
      </right>
      <top/>
    </border>
    <border>
      <left style="medium">
        <color rgb="FF000000"/>
      </left>
      <right/>
      <top/>
    </border>
    <border>
      <left style="medium">
        <color rgb="FF000000"/>
      </left>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top style="medium">
        <color rgb="FF000000"/>
      </top>
      <bottom/>
    </border>
    <border>
      <left style="medium">
        <color rgb="FF000000"/>
      </left>
      <right style="thin">
        <color rgb="FF000000"/>
      </right>
    </border>
    <border>
      <left style="thin">
        <color rgb="FF000000"/>
      </left>
      <right style="thin">
        <color rgb="FF000000"/>
      </right>
    </border>
    <border>
      <left style="thin">
        <color rgb="FF000000"/>
      </left>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right style="medium">
        <color rgb="FF000000"/>
      </right>
      <bottom style="medium">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right style="thin">
        <color rgb="FF000000"/>
      </right>
    </border>
    <border>
      <left style="thin">
        <color rgb="FF000000"/>
      </left>
      <right style="medium">
        <color rgb="FF000000"/>
      </right>
      <top style="medium">
        <color rgb="FF000000"/>
      </top>
      <bottom style="medium">
        <color rgb="FF000000"/>
      </bottom>
    </border>
    <border>
      <right style="thin">
        <color rgb="FF000000"/>
      </right>
      <top style="medium">
        <color rgb="FF000000"/>
      </top>
    </border>
    <border>
      <left style="thin">
        <color rgb="FF000000"/>
      </left>
      <top style="medium">
        <color rgb="FF000000"/>
      </top>
    </border>
    <border>
      <left/>
      <right style="thin">
        <color rgb="FF000000"/>
      </right>
      <top/>
      <bottom/>
    </border>
    <border>
      <left style="thin">
        <color rgb="FF000000"/>
      </left>
      <right/>
      <top/>
      <bottom/>
    </border>
    <border>
      <left style="medium">
        <color rgb="FF000000"/>
      </left>
      <right style="thin">
        <color rgb="FF000000"/>
      </right>
      <top style="medium">
        <color rgb="FF000000"/>
      </top>
      <bottom/>
    </border>
    <border>
      <left style="thin">
        <color rgb="FF000000"/>
      </left>
      <right/>
      <top style="medium">
        <color rgb="FF000000"/>
      </top>
      <bottom/>
    </border>
    <border>
      <left style="medium">
        <color rgb="FF000000"/>
      </left>
      <right/>
      <bottom/>
    </border>
    <border>
      <left style="medium">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border>
    <border>
      <left style="thin">
        <color rgb="FF000000"/>
      </left>
      <right/>
      <top style="medium">
        <color rgb="FF000000"/>
      </top>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right/>
      <top style="thin">
        <color rgb="FF000000"/>
      </top>
      <bottom style="thin">
        <color rgb="FF000000"/>
      </bottom>
    </border>
    <border>
      <left style="medium">
        <color rgb="FF000000"/>
      </left>
      <right/>
    </border>
    <border>
      <left style="thin">
        <color rgb="FF000000"/>
      </left>
      <right/>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right style="thin">
        <color rgb="FF000000"/>
      </right>
      <bottom style="medium">
        <color rgb="FF000000"/>
      </bottom>
    </border>
    <border>
      <left style="thin">
        <color rgb="FF000000"/>
      </left>
      <bottom style="medium">
        <color rgb="FF000000"/>
      </bottom>
    </border>
    <border>
      <left style="thin">
        <color rgb="FF000000"/>
      </left>
      <right/>
      <bottom style="medium">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right style="thin">
        <color rgb="FF000000"/>
      </right>
      <top/>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rder>
    <border>
      <right style="thin">
        <color rgb="FF000000"/>
      </right>
      <top style="thin">
        <color rgb="FF000000"/>
      </top>
    </border>
    <border>
      <left style="thin">
        <color rgb="FF000000"/>
      </left>
      <top style="thin">
        <color rgb="FF000000"/>
      </top>
    </border>
    <border>
      <left style="thin">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top style="medium">
        <color rgb="FF000000"/>
      </top>
      <bottom style="medium">
        <color rgb="FF000000"/>
      </bottom>
    </border>
    <border>
      <left/>
      <right style="thin">
        <color rgb="FF000000"/>
      </right>
      <top style="medium">
        <color rgb="FF000000"/>
      </top>
      <bottom style="medium">
        <color rgb="FF000000"/>
      </bottom>
    </border>
    <border>
      <left style="medium">
        <color rgb="FF000000"/>
      </left>
      <right/>
      <top style="medium">
        <color rgb="FF000000"/>
      </top>
      <bottom style="medium">
        <color rgb="FF000000"/>
      </bottom>
    </border>
    <border>
      <left/>
      <right style="thin">
        <color rgb="FF000000"/>
      </right>
      <top style="medium">
        <color rgb="FF000000"/>
      </top>
    </border>
    <border>
      <left/>
      <right style="thin">
        <color rgb="FF000000"/>
      </right>
    </border>
    <border>
      <left/>
      <right style="thin">
        <color rgb="FF000000"/>
      </right>
      <bottom style="medium">
        <color rgb="FF000000"/>
      </bottom>
    </border>
    <border>
      <left style="medium">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right style="medium">
        <color rgb="FF000000"/>
      </right>
      <top style="thin">
        <color rgb="FF000000"/>
      </top>
      <bottom style="medium">
        <color rgb="FF000000"/>
      </bottom>
    </border>
    <border>
      <left/>
      <right/>
      <top/>
      <bottom style="thin">
        <color rgb="FF000000"/>
      </bottom>
    </border>
    <border>
      <left style="medium">
        <color rgb="FF000000"/>
      </left>
      <right style="medium">
        <color rgb="FF000000"/>
      </right>
      <top/>
      <bottom style="medium">
        <color rgb="FF000000"/>
      </bottom>
    </border>
    <border>
      <left style="medium">
        <color rgb="FF000000"/>
      </left>
      <top/>
      <bottom style="medium">
        <color rgb="FF000000"/>
      </bottom>
    </border>
    <border>
      <top/>
      <bottom style="medium">
        <color rgb="FF000000"/>
      </bottom>
    </border>
    <border>
      <right/>
      <top/>
      <bottom style="medium">
        <color rgb="FF000000"/>
      </bottom>
    </border>
    <border>
      <left/>
      <top style="medium">
        <color rgb="FF000000"/>
      </top>
      <bottom style="medium">
        <color rgb="FF000000"/>
      </bottom>
    </border>
    <border>
      <right/>
      <top style="medium">
        <color rgb="FF000000"/>
      </top>
      <bottom style="medium">
        <color rgb="FF000000"/>
      </bottom>
    </border>
    <border>
      <left/>
      <right style="medium">
        <color rgb="FF000000"/>
      </right>
      <top style="medium">
        <color rgb="FF000000"/>
      </top>
      <bottom/>
    </border>
    <border>
      <top style="medium">
        <color rgb="FF000000"/>
      </top>
      <bottom style="thin">
        <color rgb="FF000000"/>
      </bottom>
    </border>
    <border>
      <left/>
      <right/>
      <top/>
    </border>
    <border>
      <top style="thin">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right style="thin">
        <color rgb="FF000000"/>
      </right>
      <top style="medium">
        <color rgb="FF000000"/>
      </top>
      <bottom/>
    </border>
    <border>
      <left/>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bottom style="medium">
        <color rgb="FF000000"/>
      </bottom>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style="medium">
        <color rgb="FF000000"/>
      </right>
      <top/>
      <bottom style="thin">
        <color rgb="FF000000"/>
      </bottom>
    </border>
    <border>
      <left style="thin">
        <color rgb="FF000000"/>
      </left>
      <right style="thin">
        <color rgb="FF000000"/>
      </right>
      <bottom/>
    </border>
    <border>
      <left/>
      <right style="medium">
        <color rgb="FF000000"/>
      </right>
      <top/>
      <bottom style="thin">
        <color rgb="FF000000"/>
      </bottom>
    </border>
    <border>
      <left style="thin">
        <color rgb="FF000000"/>
      </left>
      <right style="thin">
        <color rgb="FF000000"/>
      </right>
      <top style="thin">
        <color rgb="FF000000"/>
      </top>
      <bottom/>
    </border>
    <border>
      <left style="thin">
        <color rgb="FF000000"/>
      </left>
      <right/>
      <top style="medium">
        <color rgb="FF000000"/>
      </top>
      <bottom style="thin">
        <color rgb="FF000000"/>
      </bottom>
    </border>
    <border>
      <left style="medium">
        <color rgb="FF000000"/>
      </left>
      <right/>
      <top/>
      <bottom style="thin">
        <color rgb="FF000000"/>
      </bottom>
    </border>
    <border>
      <left style="thin">
        <color rgb="FF000000"/>
      </left>
      <right style="thin">
        <color rgb="FF000000"/>
      </right>
      <top/>
      <bottom/>
    </border>
    <border>
      <left style="thin">
        <color rgb="FF000000"/>
      </left>
      <right style="thin">
        <color rgb="FF000000"/>
      </right>
      <top style="medium">
        <color rgb="FF000000"/>
      </top>
      <bottom/>
    </border>
  </borders>
  <cellStyleXfs count="1">
    <xf borderId="0" fillId="0" fontId="0" numFmtId="0" applyAlignment="1" applyFont="1"/>
  </cellStyleXfs>
  <cellXfs count="474">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3" fillId="0" fontId="3" numFmtId="0" xfId="0" applyBorder="1" applyFont="1"/>
    <xf borderId="4" fillId="0" fontId="1" numFmtId="0" xfId="0" applyAlignment="1" applyBorder="1" applyFont="1">
      <alignment horizontal="center"/>
    </xf>
    <xf borderId="5" fillId="0" fontId="2" numFmtId="0" xfId="0" applyBorder="1" applyFont="1"/>
    <xf borderId="6" fillId="0" fontId="2" numFmtId="0" xfId="0" applyBorder="1" applyFont="1"/>
    <xf borderId="7" fillId="0" fontId="1" numFmtId="0" xfId="0" applyAlignment="1" applyBorder="1" applyFont="1">
      <alignment horizontal="center"/>
    </xf>
    <xf borderId="8" fillId="0" fontId="2" numFmtId="0" xfId="0" applyBorder="1" applyFont="1"/>
    <xf borderId="9" fillId="0" fontId="3" numFmtId="0" xfId="0" applyBorder="1" applyFont="1"/>
    <xf borderId="10" fillId="0" fontId="2" numFmtId="0" xfId="0" applyBorder="1" applyFont="1"/>
    <xf borderId="11" fillId="2" fontId="4"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14" fillId="2" fontId="4" numFmtId="0" xfId="0" applyAlignment="1" applyBorder="1" applyFont="1">
      <alignment shrinkToFit="0" vertical="center" wrapText="1"/>
    </xf>
    <xf borderId="15" fillId="2" fontId="4" numFmtId="0" xfId="0" applyAlignment="1" applyBorder="1" applyFont="1">
      <alignment shrinkToFit="0" vertical="center" wrapText="1"/>
    </xf>
    <xf borderId="11" fillId="3" fontId="4" numFmtId="0" xfId="0" applyAlignment="1" applyBorder="1" applyFill="1" applyFont="1">
      <alignment horizontal="center" shrinkToFit="0" vertical="center" wrapText="1"/>
    </xf>
    <xf borderId="16" fillId="0" fontId="2" numFmtId="0" xfId="0" applyBorder="1" applyFont="1"/>
    <xf borderId="17" fillId="4" fontId="4" numFmtId="0" xfId="0" applyAlignment="1" applyBorder="1" applyFill="1" applyFont="1">
      <alignment horizontal="center" shrinkToFit="0" vertical="center" wrapText="1"/>
    </xf>
    <xf borderId="18" fillId="0" fontId="2" numFmtId="0" xfId="0" applyBorder="1" applyFont="1"/>
    <xf borderId="14" fillId="5" fontId="5" numFmtId="0" xfId="0" applyAlignment="1" applyBorder="1" applyFill="1" applyFont="1">
      <alignment horizontal="center"/>
    </xf>
    <xf borderId="19" fillId="0" fontId="5" numFmtId="0" xfId="0" applyAlignment="1" applyBorder="1" applyFont="1">
      <alignment horizontal="center"/>
    </xf>
    <xf borderId="20" fillId="6" fontId="4" numFmtId="0" xfId="0" applyAlignment="1" applyBorder="1" applyFill="1" applyFont="1">
      <alignment horizontal="center" shrinkToFit="0" vertical="center" wrapText="1"/>
    </xf>
    <xf borderId="21" fillId="0" fontId="2" numFmtId="0" xfId="0" applyBorder="1" applyFont="1"/>
    <xf borderId="19" fillId="0" fontId="2" numFmtId="0" xfId="0" applyBorder="1" applyFont="1"/>
    <xf borderId="1" fillId="7" fontId="4" numFmtId="0" xfId="0" applyAlignment="1" applyBorder="1" applyFill="1" applyFont="1">
      <alignment horizontal="center" shrinkToFit="0" vertical="center" wrapText="1"/>
    </xf>
    <xf borderId="22" fillId="7" fontId="4" numFmtId="0" xfId="0" applyAlignment="1" applyBorder="1" applyFont="1">
      <alignment horizontal="center" shrinkToFit="0" vertical="top" wrapText="1"/>
    </xf>
    <xf borderId="23" fillId="0" fontId="2" numFmtId="0" xfId="0" applyBorder="1" applyFont="1"/>
    <xf borderId="24" fillId="0" fontId="2" numFmtId="0" xfId="0" applyBorder="1" applyFont="1"/>
    <xf borderId="25" fillId="5" fontId="4" numFmtId="0" xfId="0" applyAlignment="1" applyBorder="1" applyFont="1">
      <alignment horizontal="center" shrinkToFit="0" vertical="top" wrapText="1"/>
    </xf>
    <xf borderId="26" fillId="4" fontId="4" numFmtId="0" xfId="0" applyAlignment="1" applyBorder="1" applyFont="1">
      <alignment horizontal="center" shrinkToFit="0" vertical="top" wrapText="1"/>
    </xf>
    <xf borderId="27" fillId="4" fontId="4" numFmtId="0" xfId="0" applyAlignment="1" applyBorder="1" applyFont="1">
      <alignment horizontal="center" shrinkToFit="0" vertical="top" wrapText="1"/>
    </xf>
    <xf borderId="28" fillId="7" fontId="4" numFmtId="0" xfId="0" applyAlignment="1" applyBorder="1" applyFont="1">
      <alignment horizontal="center" shrinkToFit="0" vertical="center" wrapText="1"/>
    </xf>
    <xf borderId="29" fillId="0" fontId="2" numFmtId="0" xfId="0" applyBorder="1" applyFont="1"/>
    <xf borderId="30" fillId="0" fontId="2" numFmtId="0" xfId="0" applyBorder="1" applyFont="1"/>
    <xf borderId="31" fillId="7" fontId="4" numFmtId="0" xfId="0" applyAlignment="1" applyBorder="1" applyFont="1">
      <alignment horizontal="center" shrinkToFit="0" vertical="top" wrapText="1"/>
    </xf>
    <xf borderId="32" fillId="7" fontId="4" numFmtId="0" xfId="0" applyAlignment="1" applyBorder="1" applyFont="1">
      <alignment horizontal="center" shrinkToFit="0" vertical="top" wrapText="1"/>
    </xf>
    <xf borderId="33" fillId="7" fontId="4" numFmtId="0" xfId="0" applyAlignment="1" applyBorder="1" applyFont="1">
      <alignment horizontal="center" shrinkToFit="0" vertical="center" wrapText="1"/>
    </xf>
    <xf borderId="34" fillId="0" fontId="2" numFmtId="0" xfId="0" applyBorder="1" applyFont="1"/>
    <xf borderId="35" fillId="7" fontId="4" numFmtId="0" xfId="0" applyAlignment="1" applyBorder="1" applyFont="1">
      <alignment horizontal="center" shrinkToFit="0" vertical="center" wrapText="1"/>
    </xf>
    <xf borderId="36" fillId="0" fontId="2" numFmtId="0" xfId="0" applyBorder="1" applyFont="1"/>
    <xf borderId="11" fillId="7" fontId="4" numFmtId="0" xfId="0" applyAlignment="1" applyBorder="1" applyFont="1">
      <alignment horizontal="center" shrinkToFit="0" vertical="center" wrapText="1"/>
    </xf>
    <xf borderId="37" fillId="7" fontId="4" numFmtId="0" xfId="0" applyAlignment="1" applyBorder="1" applyFont="1">
      <alignment horizontal="center" shrinkToFit="0" vertical="center" wrapText="1"/>
    </xf>
    <xf borderId="38" fillId="0" fontId="2" numFmtId="0" xfId="0" applyBorder="1" applyFont="1"/>
    <xf borderId="39" fillId="0" fontId="2" numFmtId="0" xfId="0" applyBorder="1" applyFont="1"/>
    <xf borderId="40" fillId="0" fontId="2" numFmtId="0" xfId="0" applyBorder="1" applyFont="1"/>
    <xf borderId="41" fillId="0" fontId="2" numFmtId="0" xfId="0" applyBorder="1" applyFont="1"/>
    <xf borderId="42" fillId="5" fontId="5" numFmtId="0" xfId="0" applyAlignment="1" applyBorder="1" applyFont="1">
      <alignment horizontal="center"/>
    </xf>
    <xf borderId="9" fillId="0" fontId="5" numFmtId="0" xfId="0" applyAlignment="1" applyBorder="1" applyFont="1">
      <alignment horizontal="center"/>
    </xf>
    <xf borderId="43" fillId="0" fontId="6" numFmtId="0" xfId="0" applyAlignment="1" applyBorder="1" applyFont="1">
      <alignment horizontal="center" shrinkToFit="0" vertical="top" wrapText="1"/>
    </xf>
    <xf borderId="26" fillId="0" fontId="6" numFmtId="0" xfId="0" applyAlignment="1" applyBorder="1" applyFont="1">
      <alignment horizontal="center" shrinkToFit="0" vertical="top" wrapText="1"/>
    </xf>
    <xf borderId="1" fillId="0" fontId="6" numFmtId="0" xfId="0" applyAlignment="1" applyBorder="1" applyFont="1">
      <alignment horizontal="center" shrinkToFit="0" vertical="center" wrapText="1"/>
    </xf>
    <xf borderId="26" fillId="7" fontId="4" numFmtId="0" xfId="0" applyAlignment="1" applyBorder="1" applyFont="1">
      <alignment horizontal="center" shrinkToFit="0" vertical="center" wrapText="1"/>
    </xf>
    <xf borderId="26" fillId="0" fontId="4" numFmtId="0" xfId="0" applyAlignment="1" applyBorder="1" applyFont="1">
      <alignment horizontal="center" shrinkToFit="0" vertical="center" wrapText="1"/>
    </xf>
    <xf borderId="44" fillId="5" fontId="4" numFmtId="0" xfId="0" applyAlignment="1" applyBorder="1" applyFont="1">
      <alignment horizontal="center" shrinkToFit="0" vertical="top" wrapText="1"/>
    </xf>
    <xf borderId="4" fillId="0" fontId="4" numFmtId="0" xfId="0" applyAlignment="1" applyBorder="1" applyFont="1">
      <alignment horizontal="center" shrinkToFit="0" vertical="top" wrapText="1"/>
    </xf>
    <xf borderId="45" fillId="5" fontId="4" numFmtId="0" xfId="0" applyAlignment="1" applyBorder="1" applyFont="1">
      <alignment horizontal="center" shrinkToFit="0" vertical="top" wrapText="1"/>
    </xf>
    <xf borderId="46" fillId="5" fontId="4" numFmtId="0" xfId="0" applyAlignment="1" applyBorder="1" applyFont="1">
      <alignment horizontal="center" shrinkToFit="0" vertical="top" wrapText="1"/>
    </xf>
    <xf borderId="47" fillId="0" fontId="4" numFmtId="0" xfId="0" applyAlignment="1" applyBorder="1" applyFont="1">
      <alignment horizontal="center" shrinkToFit="0" vertical="top" wrapText="1"/>
    </xf>
    <xf borderId="46" fillId="7" fontId="4" numFmtId="0" xfId="0" applyAlignment="1" applyBorder="1" applyFont="1">
      <alignment horizontal="center" shrinkToFit="0" vertical="top" wrapText="1"/>
    </xf>
    <xf borderId="48" fillId="7" fontId="4" numFmtId="0" xfId="0" applyAlignment="1" applyBorder="1" applyFont="1">
      <alignment horizontal="center" shrinkToFit="0" vertical="top" wrapText="1"/>
    </xf>
    <xf borderId="49" fillId="5" fontId="4" numFmtId="0" xfId="0" applyAlignment="1" applyBorder="1" applyFont="1">
      <alignment horizontal="center" shrinkToFit="0" vertical="top" wrapText="1"/>
    </xf>
    <xf borderId="4" fillId="0" fontId="2" numFmtId="0" xfId="0" applyBorder="1" applyFont="1"/>
    <xf borderId="50" fillId="0" fontId="2" numFmtId="0" xfId="0" applyBorder="1" applyFont="1"/>
    <xf borderId="43" fillId="0" fontId="2" numFmtId="0" xfId="0" applyBorder="1" applyFont="1"/>
    <xf borderId="51" fillId="0" fontId="2" numFmtId="0" xfId="0" applyBorder="1" applyFont="1"/>
    <xf borderId="26" fillId="0" fontId="4" numFmtId="0" xfId="0" applyAlignment="1" applyBorder="1" applyFont="1">
      <alignment horizontal="center" shrinkToFit="0" vertical="top" wrapText="1"/>
    </xf>
    <xf borderId="52" fillId="0" fontId="2" numFmtId="0" xfId="0" applyBorder="1" applyFont="1"/>
    <xf borderId="53" fillId="0" fontId="2" numFmtId="0" xfId="0" applyBorder="1" applyFont="1"/>
    <xf borderId="54" fillId="0" fontId="4" numFmtId="0" xfId="0" applyAlignment="1" applyBorder="1" applyFont="1">
      <alignment horizontal="center" shrinkToFit="0" vertical="top" wrapText="1"/>
    </xf>
    <xf borderId="55" fillId="0" fontId="2" numFmtId="0" xfId="0" applyBorder="1" applyFont="1"/>
    <xf borderId="34" fillId="0" fontId="6" numFmtId="0" xfId="0" applyAlignment="1" applyBorder="1" applyFont="1">
      <alignment shrinkToFit="0" vertical="top" wrapText="1"/>
    </xf>
    <xf borderId="42" fillId="0" fontId="6" numFmtId="0" xfId="0" applyAlignment="1" applyBorder="1" applyFont="1">
      <alignment shrinkToFit="0" vertical="top" wrapText="1"/>
    </xf>
    <xf borderId="35" fillId="0" fontId="6" numFmtId="0" xfId="0" applyAlignment="1" applyBorder="1" applyFont="1">
      <alignment horizontal="center" shrinkToFit="0" vertical="top" wrapText="1"/>
    </xf>
    <xf borderId="47" fillId="0" fontId="6" numFmtId="0" xfId="0" applyAlignment="1" applyBorder="1" applyFont="1">
      <alignment horizontal="center" shrinkToFit="0" vertical="top" wrapText="1"/>
    </xf>
    <xf borderId="9" fillId="0" fontId="2" numFmtId="0" xfId="0" applyBorder="1" applyFont="1"/>
    <xf borderId="7" fillId="0" fontId="4" numFmtId="0" xfId="0" applyAlignment="1" applyBorder="1" applyFont="1">
      <alignment horizontal="center" shrinkToFit="0" vertical="top" wrapText="1"/>
    </xf>
    <xf borderId="1" fillId="0" fontId="4" numFmtId="0" xfId="0" applyAlignment="1" applyBorder="1" applyFont="1">
      <alignment horizontal="center" shrinkToFit="0" vertical="top" wrapText="1"/>
    </xf>
    <xf borderId="56" fillId="4" fontId="4" numFmtId="0" xfId="0" applyAlignment="1" applyBorder="1" applyFont="1">
      <alignment horizontal="center" shrinkToFit="0" vertical="top" wrapText="1"/>
    </xf>
    <xf borderId="57" fillId="0" fontId="2" numFmtId="0" xfId="0" applyBorder="1" applyFont="1"/>
    <xf borderId="58" fillId="4" fontId="4" numFmtId="0" xfId="0" applyAlignment="1" applyBorder="1" applyFont="1">
      <alignment horizontal="center" shrinkToFit="0" vertical="top" wrapText="1"/>
    </xf>
    <xf borderId="59" fillId="0" fontId="2" numFmtId="0" xfId="0" applyBorder="1" applyFont="1"/>
    <xf borderId="60" fillId="4" fontId="4" numFmtId="0" xfId="0" applyAlignment="1" applyBorder="1" applyFont="1">
      <alignment horizontal="center" shrinkToFit="0" vertical="top" wrapText="1"/>
    </xf>
    <xf borderId="61" fillId="4" fontId="4" numFmtId="0" xfId="0" applyAlignment="1" applyBorder="1" applyFont="1">
      <alignment horizontal="center" shrinkToFit="0" vertical="top" wrapText="1"/>
    </xf>
    <xf borderId="61" fillId="4" fontId="7" numFmtId="0" xfId="0" applyAlignment="1" applyBorder="1" applyFont="1">
      <alignment horizontal="center" shrinkToFit="0" vertical="top" wrapText="1"/>
    </xf>
    <xf borderId="61" fillId="5" fontId="6" numFmtId="0" xfId="0" applyAlignment="1" applyBorder="1" applyFont="1">
      <alignment horizontal="center" shrinkToFit="0" vertical="top" wrapText="1"/>
    </xf>
    <xf borderId="60" fillId="5" fontId="4" numFmtId="0" xfId="0" applyAlignment="1" applyBorder="1" applyFont="1">
      <alignment horizontal="center" shrinkToFit="0" vertical="top" wrapText="1"/>
    </xf>
    <xf borderId="9" fillId="0" fontId="6" numFmtId="0" xfId="0" applyAlignment="1" applyBorder="1" applyFont="1">
      <alignment horizontal="center" vertical="top"/>
    </xf>
    <xf borderId="62" fillId="0" fontId="2" numFmtId="0" xfId="0" applyBorder="1" applyFont="1"/>
    <xf borderId="63" fillId="0" fontId="6" numFmtId="0" xfId="0" applyAlignment="1" applyBorder="1" applyFont="1">
      <alignment horizontal="center" shrinkToFit="0" vertical="top" wrapText="1"/>
    </xf>
    <xf borderId="64" fillId="0" fontId="6" numFmtId="0" xfId="0" applyAlignment="1" applyBorder="1" applyFont="1">
      <alignment horizontal="center" shrinkToFit="0" vertical="top" wrapText="1"/>
    </xf>
    <xf borderId="64" fillId="0" fontId="4" numFmtId="0" xfId="0" applyAlignment="1" applyBorder="1" applyFont="1">
      <alignment horizontal="center" shrinkToFit="0" vertical="top" wrapText="1"/>
    </xf>
    <xf borderId="65" fillId="0" fontId="6" numFmtId="0" xfId="0" applyAlignment="1" applyBorder="1" applyFont="1">
      <alignment shrinkToFit="0" vertical="top" wrapText="1"/>
    </xf>
    <xf borderId="15" fillId="5" fontId="4" numFmtId="0" xfId="0" applyAlignment="1" applyBorder="1" applyFont="1">
      <alignment horizontal="center" shrinkToFit="0" vertical="top" wrapText="1"/>
    </xf>
    <xf borderId="66" fillId="5" fontId="4" numFmtId="0" xfId="0" applyAlignment="1" applyBorder="1" applyFont="1">
      <alignment horizontal="center" shrinkToFit="0" vertical="top" wrapText="1"/>
    </xf>
    <xf borderId="47" fillId="0" fontId="4" numFmtId="0" xfId="0" applyAlignment="1" applyBorder="1" applyFont="1">
      <alignment horizontal="center" shrinkToFit="0" vertical="center" wrapText="1"/>
    </xf>
    <xf borderId="67" fillId="0" fontId="4" numFmtId="0" xfId="0" applyAlignment="1" applyBorder="1" applyFont="1">
      <alignment horizontal="center" shrinkToFit="0" vertical="center" wrapText="1"/>
    </xf>
    <xf borderId="68" fillId="0" fontId="4" numFmtId="0" xfId="0" applyAlignment="1" applyBorder="1" applyFont="1">
      <alignment horizontal="center" shrinkToFit="0" vertical="center" wrapText="1"/>
    </xf>
    <xf borderId="69" fillId="0" fontId="4" numFmtId="0" xfId="0" applyAlignment="1" applyBorder="1" applyFont="1">
      <alignment horizontal="center" shrinkToFit="0" vertical="center" wrapText="1"/>
    </xf>
    <xf borderId="70" fillId="0" fontId="4" numFmtId="0" xfId="0" applyAlignment="1" applyBorder="1" applyFont="1">
      <alignment horizontal="center" shrinkToFit="0" vertical="top" wrapText="1"/>
    </xf>
    <xf borderId="71" fillId="0" fontId="4" numFmtId="0" xfId="0" applyAlignment="1" applyBorder="1" applyFont="1">
      <alignment horizontal="center" shrinkToFit="0" vertical="top" wrapText="1"/>
    </xf>
    <xf borderId="72" fillId="0" fontId="4" numFmtId="0" xfId="0" applyAlignment="1" applyBorder="1" applyFont="1">
      <alignment horizontal="center" shrinkToFit="0" vertical="top" wrapText="1"/>
    </xf>
    <xf borderId="73" fillId="0" fontId="2" numFmtId="0" xfId="0" applyBorder="1" applyFont="1"/>
    <xf borderId="5" fillId="0" fontId="4" numFmtId="0" xfId="0" applyAlignment="1" applyBorder="1" applyFont="1">
      <alignment shrinkToFit="0" vertical="top" wrapText="1"/>
    </xf>
    <xf borderId="4" fillId="0" fontId="4" numFmtId="0" xfId="0" applyAlignment="1" applyBorder="1" applyFont="1">
      <alignment shrinkToFit="0" vertical="top" wrapText="1"/>
    </xf>
    <xf borderId="74" fillId="0" fontId="4" numFmtId="0" xfId="0" applyAlignment="1" applyBorder="1" applyFont="1">
      <alignment horizontal="center" shrinkToFit="0" vertical="top" wrapText="1"/>
    </xf>
    <xf borderId="75" fillId="0" fontId="4" numFmtId="0" xfId="0" applyAlignment="1" applyBorder="1" applyFont="1">
      <alignment horizontal="center" shrinkToFit="0" vertical="top" wrapText="1"/>
    </xf>
    <xf borderId="76" fillId="0" fontId="4" numFmtId="0" xfId="0" applyAlignment="1" applyBorder="1" applyFont="1">
      <alignment horizontal="center" shrinkToFit="0" vertical="top" wrapText="1"/>
    </xf>
    <xf borderId="77" fillId="0" fontId="6" numFmtId="0" xfId="0" applyAlignment="1" applyBorder="1" applyFont="1">
      <alignment horizontal="center" shrinkToFit="0" vertical="top" wrapText="1"/>
    </xf>
    <xf borderId="69" fillId="0" fontId="6" numFmtId="0" xfId="0" applyAlignment="1" applyBorder="1" applyFont="1">
      <alignment horizontal="center" shrinkToFit="0" vertical="top" wrapText="1"/>
    </xf>
    <xf borderId="67" fillId="0" fontId="4" numFmtId="0" xfId="0" applyAlignment="1" applyBorder="1" applyFont="1">
      <alignment horizontal="center" shrinkToFit="0" vertical="top" wrapText="1"/>
    </xf>
    <xf borderId="68" fillId="0" fontId="4" numFmtId="0" xfId="0" applyAlignment="1" applyBorder="1" applyFont="1">
      <alignment horizontal="center" shrinkToFit="0" vertical="top" wrapText="1"/>
    </xf>
    <xf borderId="69" fillId="0" fontId="4" numFmtId="0" xfId="0" applyAlignment="1" applyBorder="1" applyFont="1">
      <alignment horizontal="center" shrinkToFit="0" vertical="top" wrapText="1"/>
    </xf>
    <xf borderId="64" fillId="0" fontId="4" numFmtId="0" xfId="0" applyAlignment="1" applyBorder="1" applyFont="1">
      <alignment shrinkToFit="0" vertical="top" wrapText="1"/>
    </xf>
    <xf borderId="78" fillId="0" fontId="4" numFmtId="0" xfId="0" applyAlignment="1" applyBorder="1" applyFont="1">
      <alignment shrinkToFit="0" vertical="top" wrapText="1"/>
    </xf>
    <xf borderId="79" fillId="0" fontId="4" numFmtId="0" xfId="0" applyAlignment="1" applyBorder="1" applyFont="1">
      <alignment horizontal="center" shrinkToFit="0" vertical="top" wrapText="1"/>
    </xf>
    <xf borderId="80" fillId="0" fontId="4" numFmtId="0" xfId="0" applyAlignment="1" applyBorder="1" applyFont="1">
      <alignment horizontal="center" shrinkToFit="0" vertical="top" wrapText="1"/>
    </xf>
    <xf borderId="63" fillId="0" fontId="4" numFmtId="0" xfId="0" applyAlignment="1" applyBorder="1" applyFont="1">
      <alignment horizontal="center" shrinkToFit="0" vertical="top" wrapText="1"/>
    </xf>
    <xf borderId="78" fillId="0" fontId="4" numFmtId="0" xfId="0" applyAlignment="1" applyBorder="1" applyFont="1">
      <alignment horizontal="center" shrinkToFit="0" vertical="top" wrapText="1"/>
    </xf>
    <xf borderId="81" fillId="4" fontId="4" numFmtId="0" xfId="0" applyAlignment="1" applyBorder="1" applyFont="1">
      <alignment horizontal="center" shrinkToFit="0" vertical="top" wrapText="1"/>
    </xf>
    <xf borderId="82" fillId="4" fontId="4" numFmtId="0" xfId="0" applyAlignment="1" applyBorder="1" applyFont="1">
      <alignment horizontal="center" shrinkToFit="0" vertical="top" wrapText="1"/>
    </xf>
    <xf borderId="83" fillId="4" fontId="4" numFmtId="0" xfId="0" applyAlignment="1" applyBorder="1" applyFont="1">
      <alignment horizontal="center" shrinkToFit="0" vertical="top" wrapText="1"/>
    </xf>
    <xf borderId="84" fillId="4" fontId="4" numFmtId="0" xfId="0" applyAlignment="1" applyBorder="1" applyFont="1">
      <alignment horizontal="center" shrinkToFit="0" vertical="top" wrapText="1"/>
    </xf>
    <xf borderId="85" fillId="0" fontId="2" numFmtId="0" xfId="0" applyBorder="1" applyFont="1"/>
    <xf borderId="26" fillId="0" fontId="8" numFmtId="0" xfId="0" applyAlignment="1" applyBorder="1" applyFont="1">
      <alignment horizontal="center" vertical="top"/>
    </xf>
    <xf borderId="1" fillId="0" fontId="8" numFmtId="0" xfId="0" applyAlignment="1" applyBorder="1" applyFont="1">
      <alignment horizontal="left" shrinkToFit="0" vertical="top" wrapText="1"/>
    </xf>
    <xf borderId="86" fillId="0" fontId="9" numFmtId="0" xfId="0" applyAlignment="1" applyBorder="1" applyFont="1">
      <alignment horizontal="center" shrinkToFit="0" vertical="center" wrapText="1"/>
    </xf>
    <xf borderId="87" fillId="0" fontId="9" numFmtId="0" xfId="0" applyAlignment="1" applyBorder="1" applyFont="1">
      <alignment horizontal="center" shrinkToFit="0" vertical="center" wrapText="1"/>
    </xf>
    <xf borderId="88" fillId="0" fontId="10" numFmtId="0" xfId="0" applyAlignment="1" applyBorder="1" applyFont="1">
      <alignment horizontal="center" shrinkToFit="0" vertical="center" wrapText="1"/>
    </xf>
    <xf borderId="89" fillId="0" fontId="10" numFmtId="0" xfId="0" applyAlignment="1" applyBorder="1" applyFont="1">
      <alignment horizontal="center" shrinkToFit="0" vertical="center" wrapText="1"/>
    </xf>
    <xf borderId="89" fillId="0" fontId="11" numFmtId="0" xfId="0" applyAlignment="1" applyBorder="1" applyFont="1">
      <alignment horizontal="center" shrinkToFit="0" vertical="center" wrapText="1"/>
    </xf>
    <xf borderId="90" fillId="5" fontId="11"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32" fillId="5" fontId="11" numFmtId="0" xfId="0" applyAlignment="1" applyBorder="1" applyFont="1">
      <alignment horizontal="center" shrinkToFit="0" vertical="center" wrapText="1"/>
    </xf>
    <xf borderId="26" fillId="5" fontId="11" numFmtId="0" xfId="0" applyAlignment="1" applyBorder="1" applyFont="1">
      <alignment horizontal="center" shrinkToFit="0" vertical="center" wrapText="1"/>
    </xf>
    <xf borderId="32" fillId="5" fontId="1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26" fillId="0" fontId="11" numFmtId="0" xfId="0" applyAlignment="1" applyBorder="1" applyFont="1">
      <alignment horizontal="center" shrinkToFit="0" vertical="center" wrapText="1"/>
    </xf>
    <xf borderId="31" fillId="5" fontId="11"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86" fillId="0" fontId="12" numFmtId="0" xfId="0" applyAlignment="1" applyBorder="1" applyFont="1">
      <alignment horizontal="center" shrinkToFit="0" vertical="center" wrapText="1"/>
    </xf>
    <xf borderId="91" fillId="0" fontId="8" numFmtId="0" xfId="0" applyAlignment="1" applyBorder="1" applyFont="1">
      <alignment horizontal="center" shrinkToFit="0" vertical="center" wrapText="1"/>
    </xf>
    <xf borderId="92" fillId="0" fontId="8" numFmtId="0" xfId="0" applyAlignment="1" applyBorder="1" applyFont="1">
      <alignment horizontal="center" shrinkToFit="0" vertical="center" wrapText="1"/>
    </xf>
    <xf borderId="70" fillId="0" fontId="8" numFmtId="0" xfId="0" applyAlignment="1" applyBorder="1" applyFont="1">
      <alignment horizontal="center" shrinkToFit="0" vertical="center" wrapText="1"/>
    </xf>
    <xf borderId="71" fillId="0" fontId="8" numFmtId="0" xfId="0" applyAlignment="1" applyBorder="1" applyFont="1">
      <alignment horizontal="center" shrinkToFit="0" vertical="center" wrapText="1"/>
    </xf>
    <xf borderId="72" fillId="0" fontId="8" numFmtId="0" xfId="0" applyAlignment="1" applyBorder="1" applyFont="1">
      <alignment horizontal="center" shrinkToFit="0" vertical="center" wrapText="1"/>
    </xf>
    <xf borderId="25" fillId="5" fontId="8" numFmtId="0" xfId="0" applyAlignment="1" applyBorder="1" applyFont="1">
      <alignment horizontal="center" shrinkToFit="0" vertical="center" wrapText="1"/>
    </xf>
    <xf borderId="26" fillId="4" fontId="8" numFmtId="0" xfId="0" applyAlignment="1" applyBorder="1" applyFont="1">
      <alignment horizontal="center" shrinkToFit="0" vertical="center" wrapText="1"/>
    </xf>
    <xf borderId="32" fillId="4" fontId="8" numFmtId="0" xfId="0" applyAlignment="1" applyBorder="1" applyFont="1">
      <alignment horizontal="center" shrinkToFit="0" vertical="center" wrapText="1"/>
    </xf>
    <xf borderId="70" fillId="0" fontId="12" numFmtId="0" xfId="0" applyAlignment="1" applyBorder="1" applyFont="1">
      <alignment horizontal="center" shrinkToFit="0" vertical="center" wrapText="1"/>
    </xf>
    <xf borderId="71" fillId="0" fontId="12" numFmtId="0" xfId="0" applyAlignment="1" applyBorder="1" applyFont="1">
      <alignment horizontal="center" shrinkToFit="0" vertical="center" wrapText="1"/>
    </xf>
    <xf borderId="72" fillId="0" fontId="12" numFmtId="0" xfId="0" applyAlignment="1" applyBorder="1" applyFont="1">
      <alignment horizontal="center" shrinkToFit="0" vertical="center" wrapText="1"/>
    </xf>
    <xf borderId="2" fillId="0" fontId="12" numFmtId="0" xfId="0" applyAlignment="1" applyBorder="1" applyFont="1">
      <alignment horizontal="center" shrinkToFit="0" vertical="center" wrapText="1"/>
    </xf>
    <xf borderId="79" fillId="0" fontId="12" numFmtId="0" xfId="0" applyAlignment="1" applyBorder="1" applyFont="1">
      <alignment horizontal="center" shrinkToFit="0" vertical="center" wrapText="1"/>
    </xf>
    <xf borderId="80" fillId="0" fontId="12" numFmtId="0" xfId="0" applyAlignment="1" applyBorder="1" applyFont="1">
      <alignment horizontal="center" shrinkToFit="0" vertical="center" wrapText="1"/>
    </xf>
    <xf borderId="67" fillId="0" fontId="12" numFmtId="0" xfId="0" applyAlignment="1" applyBorder="1" applyFont="1">
      <alignment horizontal="center" shrinkToFit="0" vertical="center" wrapText="1"/>
    </xf>
    <xf borderId="68" fillId="0" fontId="12" numFmtId="0" xfId="0" applyAlignment="1" applyBorder="1" applyFont="1">
      <alignment horizontal="center" shrinkToFit="0" vertical="center" wrapText="1"/>
    </xf>
    <xf borderId="93" fillId="0" fontId="12" numFmtId="0" xfId="0" applyAlignment="1" applyBorder="1" applyFont="1">
      <alignment horizontal="center" shrinkToFit="0" vertical="center" wrapText="1"/>
    </xf>
    <xf borderId="70" fillId="4" fontId="12" numFmtId="0" xfId="0" applyAlignment="1" applyBorder="1" applyFont="1">
      <alignment horizontal="center" shrinkToFit="0" vertical="center" wrapText="1"/>
    </xf>
    <xf borderId="94" fillId="4" fontId="12" numFmtId="0" xfId="0" applyAlignment="1" applyBorder="1" applyFont="1">
      <alignment horizontal="center" shrinkToFit="0" vertical="center" wrapText="1"/>
    </xf>
    <xf borderId="75" fillId="4" fontId="12" numFmtId="0" xfId="0" applyAlignment="1" applyBorder="1" applyFont="1">
      <alignment horizontal="center" shrinkToFit="0" vertical="center" wrapText="1"/>
    </xf>
    <xf borderId="71" fillId="4" fontId="12" numFmtId="0" xfId="0" applyAlignment="1" applyBorder="1" applyFont="1">
      <alignment horizontal="center" shrinkToFit="0" vertical="center" wrapText="1"/>
    </xf>
    <xf borderId="26" fillId="8" fontId="12" numFmtId="0" xfId="0" applyAlignment="1" applyBorder="1" applyFill="1" applyFont="1">
      <alignment horizontal="center" shrinkToFit="0" vertical="center" wrapText="1"/>
    </xf>
    <xf borderId="25" fillId="5" fontId="12" numFmtId="0" xfId="0" applyAlignment="1" applyBorder="1" applyFont="1">
      <alignment horizontal="center" shrinkToFit="0" vertical="center" wrapText="1"/>
    </xf>
    <xf borderId="95" fillId="0" fontId="8" numFmtId="0" xfId="0" applyAlignment="1" applyBorder="1" applyFont="1">
      <alignment horizontal="center"/>
    </xf>
    <xf borderId="47" fillId="0" fontId="2" numFmtId="0" xfId="0" applyBorder="1" applyFont="1"/>
    <xf borderId="20" fillId="0" fontId="9" numFmtId="0" xfId="0" applyAlignment="1" applyBorder="1" applyFont="1">
      <alignment horizontal="center" shrinkToFit="0" vertical="center" wrapText="1"/>
    </xf>
    <xf borderId="96" fillId="0" fontId="9" numFmtId="0" xfId="0" applyAlignment="1" applyBorder="1" applyFont="1">
      <alignment horizontal="center" shrinkToFit="0" vertical="center" wrapText="1"/>
    </xf>
    <xf borderId="34"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horizontal="center" shrinkToFit="0" vertical="center" wrapText="1"/>
    </xf>
    <xf borderId="97" fillId="5" fontId="11" numFmtId="0" xfId="0" applyAlignment="1" applyBorder="1" applyFont="1">
      <alignment horizontal="center" shrinkToFit="0" vertical="center" wrapText="1"/>
    </xf>
    <xf borderId="98" fillId="0" fontId="2" numFmtId="0" xfId="0" applyBorder="1" applyFont="1"/>
    <xf borderId="20" fillId="0" fontId="12" numFmtId="0" xfId="0" applyAlignment="1" applyBorder="1" applyFont="1">
      <alignment horizontal="center" shrinkToFit="0" vertical="center" wrapText="1"/>
    </xf>
    <xf borderId="42" fillId="0" fontId="8" numFmtId="0" xfId="0" applyAlignment="1" applyBorder="1" applyFont="1">
      <alignment horizontal="center" shrinkToFit="0" vertical="center" wrapText="1"/>
    </xf>
    <xf borderId="35" fillId="0" fontId="8" numFmtId="0" xfId="0" applyAlignment="1" applyBorder="1" applyFont="1">
      <alignment horizontal="center" shrinkToFit="0" vertical="center" wrapText="1"/>
    </xf>
    <xf borderId="67" fillId="0" fontId="2" numFmtId="0" xfId="0" applyBorder="1" applyFont="1"/>
    <xf borderId="68" fillId="0" fontId="2" numFmtId="0" xfId="0" applyBorder="1" applyFont="1"/>
    <xf borderId="93" fillId="0" fontId="2" numFmtId="0" xfId="0" applyBorder="1" applyFont="1"/>
    <xf borderId="77" fillId="0" fontId="2" numFmtId="0" xfId="0" applyBorder="1" applyFont="1"/>
    <xf borderId="69" fillId="0" fontId="2" numFmtId="0" xfId="0" applyBorder="1" applyFont="1"/>
    <xf borderId="99" fillId="0" fontId="2" numFmtId="0" xfId="0" applyBorder="1" applyFont="1"/>
    <xf borderId="100" fillId="0" fontId="9" numFmtId="0" xfId="0" applyAlignment="1" applyBorder="1" applyFont="1">
      <alignment horizontal="center" shrinkToFit="0" vertical="center" wrapText="1"/>
    </xf>
    <xf borderId="62" fillId="0" fontId="9" numFmtId="0" xfId="0" applyAlignment="1" applyBorder="1" applyFont="1">
      <alignment horizontal="center" shrinkToFit="0" vertical="center" wrapText="1"/>
    </xf>
    <xf borderId="101" fillId="0" fontId="10" numFmtId="0" xfId="0" applyAlignment="1" applyBorder="1" applyFont="1">
      <alignment horizontal="center" shrinkToFit="0" vertical="center" wrapText="1"/>
    </xf>
    <xf borderId="102" fillId="0" fontId="10" numFmtId="0" xfId="0" applyAlignment="1" applyBorder="1" applyFont="1">
      <alignment horizontal="center" shrinkToFit="0" vertical="center" wrapText="1"/>
    </xf>
    <xf borderId="102" fillId="0" fontId="11" numFmtId="0" xfId="0" applyAlignment="1" applyBorder="1" applyFont="1">
      <alignment horizontal="center" shrinkToFit="0" vertical="center" wrapText="1"/>
    </xf>
    <xf borderId="103" fillId="5" fontId="11" numFmtId="0" xfId="0" applyAlignment="1" applyBorder="1" applyFont="1">
      <alignment horizontal="center" shrinkToFit="0" vertical="center" wrapText="1"/>
    </xf>
    <xf borderId="100" fillId="0" fontId="12" numFmtId="0" xfId="0" applyAlignment="1" applyBorder="1" applyFont="1">
      <alignment horizontal="center" shrinkToFit="0" vertical="center" wrapText="1"/>
    </xf>
    <xf borderId="102" fillId="0" fontId="8" numFmtId="0" xfId="0" applyAlignment="1" applyBorder="1" applyFont="1">
      <alignment horizontal="center" shrinkToFit="0" vertical="center" wrapText="1"/>
    </xf>
    <xf borderId="104" fillId="0" fontId="8" numFmtId="0" xfId="0" applyAlignment="1" applyBorder="1" applyFont="1">
      <alignment horizontal="center" shrinkToFit="0" vertical="center" wrapText="1"/>
    </xf>
    <xf borderId="105" fillId="0" fontId="2" numFmtId="0" xfId="0" applyBorder="1" applyFont="1"/>
    <xf borderId="106" fillId="0" fontId="2" numFmtId="0" xfId="0" applyBorder="1" applyFont="1"/>
    <xf borderId="107" fillId="0" fontId="2" numFmtId="0" xfId="0" applyBorder="1" applyFont="1"/>
    <xf borderId="108" fillId="0" fontId="2" numFmtId="0" xfId="0" applyBorder="1" applyFont="1"/>
    <xf borderId="109" fillId="0" fontId="2" numFmtId="0" xfId="0" applyBorder="1" applyFont="1"/>
    <xf borderId="110" fillId="0" fontId="2" numFmtId="0" xfId="0" applyBorder="1" applyFont="1"/>
    <xf borderId="89" fillId="0" fontId="2" numFmtId="0" xfId="0" applyBorder="1" applyFont="1"/>
    <xf borderId="2" fillId="0" fontId="8" numFmtId="0" xfId="0" applyAlignment="1" applyBorder="1" applyFont="1">
      <alignment horizontal="left" shrinkToFit="0" vertical="top" wrapText="1"/>
    </xf>
    <xf borderId="55" fillId="0" fontId="10" numFmtId="0" xfId="0" applyAlignment="1" applyBorder="1" applyFont="1">
      <alignment horizontal="center" shrinkToFit="0" vertical="center" wrapText="1"/>
    </xf>
    <xf borderId="111" fillId="0" fontId="10" numFmtId="0" xfId="0" applyAlignment="1" applyBorder="1" applyFont="1">
      <alignment horizontal="center" shrinkToFit="0" vertical="center" wrapText="1"/>
    </xf>
    <xf borderId="96" fillId="0" fontId="10" numFmtId="0" xfId="0" applyAlignment="1" applyBorder="1" applyFont="1">
      <alignment horizontal="center" shrinkToFit="0" vertical="center" wrapText="1"/>
    </xf>
    <xf borderId="112" fillId="0" fontId="11" numFmtId="0" xfId="0" applyAlignment="1" applyBorder="1" applyFont="1">
      <alignment horizontal="center" shrinkToFit="0" vertical="center" wrapText="1"/>
    </xf>
    <xf borderId="113" fillId="4" fontId="12" numFmtId="0" xfId="0" applyAlignment="1" applyBorder="1" applyFont="1">
      <alignment horizontal="center" shrinkToFit="0" vertical="center" wrapText="1"/>
    </xf>
    <xf borderId="114" fillId="0" fontId="9" numFmtId="0" xfId="0" applyAlignment="1" applyBorder="1" applyFont="1">
      <alignment horizontal="center" shrinkToFit="0" vertical="center" wrapText="1"/>
    </xf>
    <xf borderId="19" fillId="0" fontId="10" numFmtId="0" xfId="0" applyAlignment="1" applyBorder="1" applyFont="1">
      <alignment horizontal="center" shrinkToFit="0" vertical="center" wrapText="1"/>
    </xf>
    <xf borderId="35" fillId="0" fontId="10" numFmtId="0" xfId="0" applyAlignment="1" applyBorder="1" applyFont="1">
      <alignment horizontal="center" shrinkToFit="0" vertical="center" wrapText="1"/>
    </xf>
    <xf borderId="114" fillId="0" fontId="10" numFmtId="0" xfId="0" applyAlignment="1" applyBorder="1" applyFont="1">
      <alignment horizontal="center" shrinkToFit="0" vertical="center" wrapText="1"/>
    </xf>
    <xf borderId="115" fillId="0" fontId="11" numFmtId="0" xfId="0" applyAlignment="1" applyBorder="1" applyFont="1">
      <alignment horizontal="center" shrinkToFit="0" vertical="center" wrapText="1"/>
    </xf>
    <xf borderId="116" fillId="0" fontId="9" numFmtId="0" xfId="0" applyAlignment="1" applyBorder="1" applyFont="1">
      <alignment horizontal="center" shrinkToFit="0" vertical="center" wrapText="1"/>
    </xf>
    <xf borderId="117" fillId="0" fontId="10" numFmtId="0" xfId="0" applyAlignment="1" applyBorder="1" applyFont="1">
      <alignment horizontal="center" shrinkToFit="0" vertical="center" wrapText="1"/>
    </xf>
    <xf borderId="104" fillId="0" fontId="10" numFmtId="0" xfId="0" applyAlignment="1" applyBorder="1" applyFont="1">
      <alignment horizontal="center" shrinkToFit="0" vertical="center" wrapText="1"/>
    </xf>
    <xf borderId="116" fillId="0" fontId="10" numFmtId="0" xfId="0" applyAlignment="1" applyBorder="1" applyFont="1">
      <alignment horizontal="center" shrinkToFit="0" vertical="center" wrapText="1"/>
    </xf>
    <xf borderId="118" fillId="0" fontId="11" numFmtId="0" xfId="0" applyAlignment="1" applyBorder="1" applyFont="1">
      <alignment horizontal="center" shrinkToFit="0" vertical="center" wrapText="1"/>
    </xf>
    <xf borderId="95" fillId="0" fontId="10" numFmtId="0" xfId="0" applyAlignment="1" applyBorder="1" applyFont="1">
      <alignment horizontal="center" shrinkToFit="0" vertical="center" wrapText="1"/>
    </xf>
    <xf borderId="119" fillId="0" fontId="10" numFmtId="0" xfId="0" applyAlignment="1" applyBorder="1" applyFont="1">
      <alignment horizontal="center" shrinkToFit="0" vertical="center" wrapText="1"/>
    </xf>
    <xf borderId="92" fillId="0" fontId="10" numFmtId="0" xfId="0" applyAlignment="1" applyBorder="1" applyFont="1">
      <alignment horizontal="center" shrinkToFit="0" vertical="center" wrapText="1"/>
    </xf>
    <xf borderId="87" fillId="0" fontId="10" numFmtId="0" xfId="0" applyAlignment="1" applyBorder="1" applyFont="1">
      <alignment horizontal="center" shrinkToFit="0" vertical="center" wrapText="1"/>
    </xf>
    <xf borderId="91" fillId="0" fontId="11" numFmtId="0" xfId="0" applyAlignment="1" applyBorder="1" applyFont="1">
      <alignment horizontal="center" shrinkToFit="0" vertical="center" wrapText="1"/>
    </xf>
    <xf borderId="120" fillId="0" fontId="11"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121" fillId="0" fontId="9" numFmtId="0" xfId="0" applyAlignment="1" applyBorder="1" applyFont="1">
      <alignment horizontal="center" shrinkToFit="0" vertical="center" wrapText="1"/>
    </xf>
    <xf borderId="24" fillId="0" fontId="10" numFmtId="0" xfId="0" applyAlignment="1" applyBorder="1" applyFont="1">
      <alignment horizontal="center" shrinkToFit="0" vertical="center" wrapText="1"/>
    </xf>
    <xf borderId="122" fillId="0" fontId="10" numFmtId="0" xfId="0" applyAlignment="1" applyBorder="1" applyFont="1">
      <alignment horizontal="center" shrinkToFit="0" vertical="center" wrapText="1"/>
    </xf>
    <xf borderId="123" fillId="0" fontId="10" numFmtId="0" xfId="0" applyAlignment="1" applyBorder="1" applyFont="1">
      <alignment horizontal="center" shrinkToFit="0" vertical="center" wrapText="1"/>
    </xf>
    <xf borderId="121" fillId="0" fontId="10" numFmtId="0" xfId="0" applyAlignment="1" applyBorder="1" applyFont="1">
      <alignment horizontal="center" shrinkToFit="0" vertical="center" wrapText="1"/>
    </xf>
    <xf borderId="75" fillId="0" fontId="10" numFmtId="0" xfId="0" applyAlignment="1" applyBorder="1" applyFont="1">
      <alignment horizontal="center" shrinkToFit="0" vertical="center" wrapText="1"/>
    </xf>
    <xf borderId="75" fillId="0" fontId="11" numFmtId="0" xfId="0" applyAlignment="1" applyBorder="1" applyFont="1">
      <alignment horizontal="center" shrinkToFit="0" vertical="center" wrapText="1"/>
    </xf>
    <xf borderId="76" fillId="0" fontId="11" numFmtId="0" xfId="0" applyAlignment="1" applyBorder="1" applyFont="1">
      <alignment horizontal="center" shrinkToFit="0" vertical="center" wrapText="1"/>
    </xf>
    <xf borderId="63" fillId="9" fontId="13" numFmtId="0" xfId="0" applyBorder="1" applyFill="1" applyFont="1"/>
    <xf borderId="64" fillId="9" fontId="13" numFmtId="0" xfId="0" applyBorder="1" applyFont="1"/>
    <xf borderId="124" fillId="9" fontId="13" numFmtId="0" xfId="0" applyBorder="1" applyFont="1"/>
    <xf borderId="125" fillId="9" fontId="13" numFmtId="0" xfId="0" applyBorder="1" applyFont="1"/>
    <xf borderId="126" fillId="9" fontId="13" numFmtId="0" xfId="0" applyBorder="1" applyFont="1"/>
    <xf borderId="127" fillId="9" fontId="13" numFmtId="0" xfId="0" applyBorder="1" applyFont="1"/>
    <xf borderId="128" fillId="9" fontId="13" numFmtId="0" xfId="0" applyBorder="1" applyFont="1"/>
    <xf borderId="78" fillId="9" fontId="13" numFmtId="0" xfId="0" applyBorder="1" applyFont="1"/>
    <xf borderId="127" fillId="9" fontId="8" numFmtId="0" xfId="0" applyAlignment="1" applyBorder="1" applyFont="1">
      <alignment horizontal="center" vertical="center"/>
    </xf>
    <xf borderId="129" fillId="9" fontId="8" numFmtId="0" xfId="0" applyAlignment="1" applyBorder="1" applyFont="1">
      <alignment horizontal="center" vertical="center"/>
    </xf>
    <xf borderId="129" fillId="7" fontId="8" numFmtId="0" xfId="0" applyAlignment="1" applyBorder="1" applyFont="1">
      <alignment horizontal="center" vertical="center"/>
    </xf>
    <xf borderId="45" fillId="9" fontId="8" numFmtId="0" xfId="0" applyAlignment="1" applyBorder="1" applyFont="1">
      <alignment horizontal="center" vertical="center"/>
    </xf>
    <xf borderId="0" fillId="0" fontId="9" numFmtId="0" xfId="0" applyAlignment="1" applyFont="1">
      <alignment horizontal="center"/>
    </xf>
    <xf borderId="34" fillId="0" fontId="5" numFmtId="0" xfId="0" applyAlignment="1" applyBorder="1" applyFont="1">
      <alignment horizontal="center"/>
    </xf>
    <xf borderId="35" fillId="6" fontId="4" numFmtId="0" xfId="0" applyAlignment="1" applyBorder="1" applyFont="1">
      <alignment horizontal="center" shrinkToFit="0" vertical="center" wrapText="1"/>
    </xf>
    <xf borderId="0" fillId="0" fontId="5" numFmtId="0" xfId="0" applyAlignment="1" applyFont="1">
      <alignment horizontal="center"/>
    </xf>
    <xf borderId="7" fillId="0" fontId="6"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0" fillId="0" fontId="6" numFmtId="0" xfId="0" applyAlignment="1" applyFont="1">
      <alignment horizontal="center" vertical="top"/>
    </xf>
    <xf borderId="78" fillId="0" fontId="6" numFmtId="0" xfId="0" applyAlignment="1" applyBorder="1" applyFont="1">
      <alignment shrinkToFit="0" vertical="top" wrapText="1"/>
    </xf>
    <xf borderId="87" fillId="5" fontId="11" numFmtId="0" xfId="0" applyAlignment="1" applyBorder="1" applyFont="1">
      <alignment horizontal="center" shrinkToFit="0" vertical="center" wrapText="1"/>
    </xf>
    <xf borderId="2" fillId="0" fontId="11" numFmtId="0" xfId="0" applyAlignment="1" applyBorder="1" applyFont="1">
      <alignment horizontal="center" shrinkToFit="0" vertical="center" wrapText="1"/>
    </xf>
    <xf borderId="130" fillId="4" fontId="12" numFmtId="0" xfId="0" applyAlignment="1" applyBorder="1" applyFont="1">
      <alignment horizontal="center" shrinkToFit="0" vertical="center" wrapText="1"/>
    </xf>
    <xf borderId="32" fillId="8" fontId="12" numFmtId="0" xfId="0" applyAlignment="1" applyBorder="1" applyFont="1">
      <alignment horizontal="center" shrinkToFit="0" vertical="center" wrapText="1"/>
    </xf>
    <xf borderId="26" fillId="5" fontId="12" numFmtId="0" xfId="0" applyAlignment="1" applyBorder="1" applyFont="1">
      <alignment horizontal="center" shrinkToFit="0" vertical="center" wrapText="1"/>
    </xf>
    <xf borderId="119" fillId="0" fontId="8" numFmtId="0" xfId="0" applyAlignment="1" applyBorder="1" applyFont="1">
      <alignment horizontal="center"/>
    </xf>
    <xf borderId="114" fillId="5" fontId="11" numFmtId="0" xfId="0" applyAlignment="1" applyBorder="1" applyFont="1">
      <alignment horizontal="center" shrinkToFit="0" vertical="center" wrapText="1"/>
    </xf>
    <xf borderId="131" fillId="0" fontId="2" numFmtId="0" xfId="0" applyBorder="1" applyFont="1"/>
    <xf borderId="116" fillId="5" fontId="11" numFmtId="0" xfId="0" applyAlignment="1" applyBorder="1" applyFont="1">
      <alignment horizontal="center" shrinkToFit="0" vertical="center" wrapText="1"/>
    </xf>
    <xf borderId="132" fillId="0" fontId="2" numFmtId="0" xfId="0" applyBorder="1" applyFont="1"/>
    <xf borderId="133" fillId="0" fontId="10" numFmtId="0" xfId="0" applyAlignment="1" applyBorder="1" applyFont="1">
      <alignment horizontal="center" shrinkToFit="0" vertical="center" wrapText="1"/>
    </xf>
    <xf borderId="91" fillId="0" fontId="10" numFmtId="0" xfId="0" applyAlignment="1" applyBorder="1" applyFont="1">
      <alignment horizontal="center" shrinkToFit="0" vertical="center" wrapText="1"/>
    </xf>
    <xf borderId="134" fillId="0" fontId="10" numFmtId="0" xfId="0" applyAlignment="1" applyBorder="1" applyFont="1">
      <alignment horizontal="center" shrinkToFit="0" vertical="center" wrapText="1"/>
    </xf>
    <xf borderId="135" fillId="0" fontId="10" numFmtId="0" xfId="0" applyAlignment="1" applyBorder="1" applyFont="1">
      <alignment horizontal="center" shrinkToFit="0" vertical="center" wrapText="1"/>
    </xf>
    <xf borderId="74" fillId="0" fontId="10" numFmtId="0" xfId="0" applyAlignment="1" applyBorder="1" applyFont="1">
      <alignment horizontal="center" shrinkToFit="0" vertical="center" wrapText="1"/>
    </xf>
    <xf borderId="129" fillId="9" fontId="13" numFmtId="0" xfId="0" applyBorder="1" applyFont="1"/>
    <xf borderId="47" fillId="0" fontId="1" numFmtId="0" xfId="0" applyAlignment="1" applyBorder="1" applyFont="1">
      <alignment horizontal="center"/>
    </xf>
    <xf borderId="136" fillId="5" fontId="11" numFmtId="0" xfId="0" applyAlignment="1" applyBorder="1" applyFont="1">
      <alignment horizontal="center" shrinkToFit="0" vertical="center" wrapText="1"/>
    </xf>
    <xf borderId="137" fillId="5" fontId="11" numFmtId="0" xfId="0" applyAlignment="1" applyBorder="1" applyFont="1">
      <alignment horizontal="center" shrinkToFit="0" vertical="center" wrapText="1"/>
    </xf>
    <xf borderId="138" fillId="5" fontId="11" numFmtId="0" xfId="0" applyAlignment="1" applyBorder="1" applyFont="1">
      <alignment horizontal="center" shrinkToFit="0" vertical="center" wrapText="1"/>
    </xf>
    <xf borderId="139" fillId="5" fontId="11" numFmtId="0" xfId="0" applyAlignment="1" applyBorder="1" applyFont="1">
      <alignment horizontal="center" shrinkToFit="0" vertical="center" wrapText="1"/>
    </xf>
    <xf borderId="34" fillId="0" fontId="8" numFmtId="0" xfId="0" applyAlignment="1" applyBorder="1" applyFont="1">
      <alignment horizontal="center"/>
    </xf>
    <xf borderId="101" fillId="0" fontId="8" numFmtId="0" xfId="0" applyAlignment="1" applyBorder="1" applyFont="1">
      <alignment horizontal="center"/>
    </xf>
    <xf borderId="1" fillId="0" fontId="6" numFmtId="0" xfId="0" applyAlignment="1" applyBorder="1" applyFont="1">
      <alignment horizontal="center" shrinkToFit="0" vertical="top" wrapText="1"/>
    </xf>
    <xf borderId="26" fillId="0" fontId="8" numFmtId="0" xfId="0" applyAlignment="1" applyBorder="1" applyFont="1">
      <alignment horizontal="left" shrinkToFit="0" vertical="top" wrapText="1"/>
    </xf>
    <xf borderId="111" fillId="0" fontId="11" numFmtId="0" xfId="0" applyAlignment="1" applyBorder="1" applyFont="1">
      <alignment horizontal="center" shrinkToFit="0" vertical="center" wrapText="1"/>
    </xf>
    <xf borderId="35" fillId="0" fontId="11" numFmtId="0" xfId="0" applyAlignment="1" applyBorder="1" applyFont="1">
      <alignment horizontal="center" shrinkToFit="0" vertical="center" wrapText="1"/>
    </xf>
    <xf borderId="26" fillId="5" fontId="10" numFmtId="0" xfId="0" applyAlignment="1" applyBorder="1" applyFont="1">
      <alignment horizontal="center" shrinkToFit="0" vertical="center" wrapText="1"/>
    </xf>
    <xf borderId="26" fillId="0" fontId="10" numFmtId="0" xfId="0" applyAlignment="1" applyBorder="1" applyFont="1">
      <alignment horizontal="center" shrinkToFit="0" vertical="center" wrapText="1"/>
    </xf>
    <xf borderId="26" fillId="0" fontId="12" numFmtId="0" xfId="0" applyAlignment="1" applyBorder="1" applyFont="1">
      <alignment horizontal="center" shrinkToFit="0" vertical="center" wrapText="1"/>
    </xf>
    <xf borderId="26" fillId="5" fontId="8" numFmtId="0" xfId="0" applyAlignment="1" applyBorder="1" applyFont="1">
      <alignment horizontal="center" shrinkToFit="0" vertical="center" wrapText="1"/>
    </xf>
    <xf borderId="72" fillId="4" fontId="12" numFmtId="0" xfId="0" applyAlignment="1" applyBorder="1" applyFont="1">
      <alignment horizontal="center" shrinkToFit="0" vertical="center" wrapText="1"/>
    </xf>
    <xf borderId="140" fillId="5" fontId="4" numFmtId="0" xfId="0" applyAlignment="1" applyBorder="1" applyFont="1">
      <alignment horizontal="center" shrinkToFit="0" vertical="top" wrapText="1"/>
    </xf>
    <xf borderId="125" fillId="5" fontId="4" numFmtId="0" xfId="0" applyAlignment="1" applyBorder="1" applyFont="1">
      <alignment horizontal="center" shrinkToFit="0" vertical="top" wrapText="1"/>
    </xf>
    <xf borderId="104" fillId="0" fontId="11" numFmtId="0" xfId="0" applyAlignment="1" applyBorder="1" applyFont="1">
      <alignment horizontal="center" shrinkToFit="0" vertical="center" wrapText="1"/>
    </xf>
    <xf borderId="71" fillId="0" fontId="12" numFmtId="164" xfId="0" applyAlignment="1" applyBorder="1" applyFont="1" applyNumberFormat="1">
      <alignment horizontal="center" shrinkToFit="0" vertical="center" wrapText="1"/>
    </xf>
    <xf borderId="35" fillId="0" fontId="14" numFmtId="0" xfId="0" applyAlignment="1" applyBorder="1" applyFont="1">
      <alignment horizontal="center"/>
    </xf>
    <xf borderId="42" fillId="10" fontId="15" numFmtId="0" xfId="0" applyAlignment="1" applyBorder="1" applyFill="1" applyFont="1">
      <alignment horizontal="center"/>
    </xf>
    <xf borderId="0" fillId="0" fontId="15" numFmtId="0" xfId="0" applyAlignment="1" applyFont="1">
      <alignment horizontal="center"/>
    </xf>
    <xf borderId="42" fillId="10" fontId="9" numFmtId="0" xfId="0" applyAlignment="1" applyBorder="1" applyFont="1">
      <alignment horizontal="center"/>
    </xf>
    <xf borderId="4" fillId="0" fontId="16" numFmtId="0" xfId="0" applyAlignment="1" applyBorder="1" applyFont="1">
      <alignment horizontal="center"/>
    </xf>
    <xf borderId="141" fillId="7" fontId="14" numFmtId="0" xfId="0" applyAlignment="1" applyBorder="1" applyFont="1">
      <alignment horizontal="center"/>
    </xf>
    <xf borderId="142" fillId="0" fontId="2" numFmtId="0" xfId="0" applyBorder="1" applyFont="1"/>
    <xf borderId="143" fillId="0" fontId="2" numFmtId="0" xfId="0" applyBorder="1" applyFont="1"/>
    <xf borderId="7" fillId="2" fontId="14" numFmtId="0" xfId="0" applyAlignment="1" applyBorder="1" applyFont="1">
      <alignment horizontal="center" shrinkToFit="0" vertical="center" wrapText="1"/>
    </xf>
    <xf borderId="1" fillId="4" fontId="4" numFmtId="0" xfId="0" applyAlignment="1" applyBorder="1" applyFont="1">
      <alignment horizontal="center" shrinkToFit="0" vertical="center" wrapText="1"/>
    </xf>
    <xf borderId="31" fillId="5" fontId="15" numFmtId="0" xfId="0" applyAlignment="1" applyBorder="1" applyFont="1">
      <alignment horizontal="center"/>
    </xf>
    <xf borderId="75" fillId="10" fontId="15" numFmtId="0" xfId="0" applyAlignment="1" applyBorder="1" applyFont="1">
      <alignment horizontal="center"/>
    </xf>
    <xf borderId="34" fillId="0" fontId="15" numFmtId="0" xfId="0" applyAlignment="1" applyBorder="1" applyFont="1">
      <alignment horizontal="center"/>
    </xf>
    <xf borderId="66" fillId="2" fontId="14" numFmtId="0" xfId="0" applyAlignment="1" applyBorder="1" applyFont="1">
      <alignment horizontal="center" shrinkToFit="0" vertical="center" wrapText="1"/>
    </xf>
    <xf borderId="144" fillId="2" fontId="14" numFmtId="0" xfId="0" applyAlignment="1" applyBorder="1" applyFont="1">
      <alignment horizontal="center" shrinkToFit="0" vertical="center" wrapText="1"/>
    </xf>
    <xf borderId="28" fillId="11" fontId="4" numFmtId="0" xfId="0" applyAlignment="1" applyBorder="1" applyFill="1" applyFont="1">
      <alignment horizontal="center" shrinkToFit="0" vertical="center" wrapText="1"/>
    </xf>
    <xf borderId="2" fillId="0" fontId="4" numFmtId="0" xfId="0" applyAlignment="1" applyBorder="1" applyFont="1">
      <alignment horizontal="center" shrinkToFit="0" vertical="top" wrapText="1"/>
    </xf>
    <xf borderId="7" fillId="11" fontId="4" numFmtId="0" xfId="0" applyAlignment="1" applyBorder="1" applyFont="1">
      <alignment horizontal="center" shrinkToFit="0" vertical="center" wrapText="1"/>
    </xf>
    <xf borderId="11" fillId="11" fontId="4" numFmtId="0" xfId="0" applyAlignment="1" applyBorder="1" applyFont="1">
      <alignment horizontal="center" shrinkToFit="0" vertical="center" wrapText="1"/>
    </xf>
    <xf borderId="145" fillId="0" fontId="2" numFmtId="0" xfId="0" applyBorder="1" applyFont="1"/>
    <xf borderId="1" fillId="0" fontId="8" numFmtId="0" xfId="0" applyAlignment="1" applyBorder="1" applyFont="1">
      <alignment horizontal="center" shrinkToFit="0" vertical="top" wrapText="1"/>
    </xf>
    <xf borderId="26" fillId="0" fontId="8" numFmtId="0" xfId="0" applyAlignment="1" applyBorder="1" applyFont="1">
      <alignment horizontal="center" shrinkToFit="0" vertical="top" wrapText="1"/>
    </xf>
    <xf borderId="2" fillId="0" fontId="8" numFmtId="0" xfId="0" applyAlignment="1" applyBorder="1" applyFont="1">
      <alignment horizontal="center" shrinkToFit="0" vertical="top" wrapText="1"/>
    </xf>
    <xf borderId="70" fillId="0" fontId="8" numFmtId="0" xfId="0" applyAlignment="1" applyBorder="1" applyFont="1">
      <alignment horizontal="center" shrinkToFit="0" vertical="top" wrapText="1"/>
    </xf>
    <xf borderId="71" fillId="0" fontId="8" numFmtId="0" xfId="0" applyAlignment="1" applyBorder="1" applyFont="1">
      <alignment horizontal="center" shrinkToFit="0" vertical="top" wrapText="1"/>
    </xf>
    <xf borderId="91" fillId="0" fontId="12" numFmtId="0" xfId="0" applyAlignment="1" applyBorder="1" applyFont="1">
      <alignment horizontal="center" shrinkToFit="0" vertical="top" wrapText="1"/>
    </xf>
    <xf borderId="120" fillId="0" fontId="12" numFmtId="0" xfId="0" applyAlignment="1" applyBorder="1" applyFont="1">
      <alignment horizontal="center" shrinkToFit="0" vertical="top" wrapText="1"/>
    </xf>
    <xf borderId="8" fillId="0" fontId="12" numFmtId="0" xfId="0" applyAlignment="1" applyBorder="1" applyFont="1">
      <alignment horizontal="center" shrinkToFit="0" vertical="top" wrapText="1"/>
    </xf>
    <xf borderId="7" fillId="0" fontId="12" numFmtId="0" xfId="0" applyAlignment="1" applyBorder="1" applyFont="1">
      <alignment horizontal="center" shrinkToFit="0" vertical="top" wrapText="1"/>
    </xf>
    <xf borderId="70" fillId="0" fontId="12" numFmtId="0" xfId="0" applyAlignment="1" applyBorder="1" applyFont="1">
      <alignment horizontal="center" shrinkToFit="0" vertical="top" wrapText="1"/>
    </xf>
    <xf borderId="71" fillId="0" fontId="12" numFmtId="0" xfId="0" applyAlignment="1" applyBorder="1" applyFont="1">
      <alignment horizontal="center" shrinkToFit="0" vertical="top" wrapText="1"/>
    </xf>
    <xf borderId="71" fillId="0" fontId="12" numFmtId="0" xfId="0" applyAlignment="1" applyBorder="1" applyFont="1">
      <alignment shrinkToFit="0" vertical="top" wrapText="1"/>
    </xf>
    <xf borderId="80" fillId="0" fontId="12" numFmtId="0" xfId="0" applyAlignment="1" applyBorder="1" applyFont="1">
      <alignment shrinkToFit="0" vertical="top" wrapText="1"/>
    </xf>
    <xf borderId="26" fillId="0" fontId="12" numFmtId="0" xfId="0" applyAlignment="1" applyBorder="1" applyFont="1">
      <alignment shrinkToFit="0" vertical="top" wrapText="1"/>
    </xf>
    <xf borderId="146" fillId="12" fontId="12" numFmtId="0" xfId="0" applyAlignment="1" applyBorder="1" applyFill="1" applyFont="1">
      <alignment shrinkToFit="0" vertical="top" wrapText="1"/>
    </xf>
    <xf borderId="2" fillId="0" fontId="12" numFmtId="0" xfId="0" applyAlignment="1" applyBorder="1" applyFont="1">
      <alignment horizontal="center" shrinkToFit="0" vertical="top" wrapText="1"/>
    </xf>
    <xf borderId="7" fillId="0" fontId="12" numFmtId="0" xfId="0" applyAlignment="1" applyBorder="1" applyFont="1">
      <alignment shrinkToFit="0" vertical="top" wrapText="1"/>
    </xf>
    <xf borderId="26" fillId="5" fontId="12" numFmtId="0" xfId="0" applyAlignment="1" applyBorder="1" applyFont="1">
      <alignment horizontal="center" shrinkToFit="0" vertical="top" wrapText="1"/>
    </xf>
    <xf borderId="26" fillId="4" fontId="12" numFmtId="0" xfId="0" applyAlignment="1" applyBorder="1" applyFont="1">
      <alignment horizontal="center" shrinkToFit="0" vertical="top" wrapText="1"/>
    </xf>
    <xf borderId="32" fillId="4" fontId="12" numFmtId="0" xfId="0" applyAlignment="1" applyBorder="1" applyFont="1">
      <alignment horizontal="center" shrinkToFit="0" vertical="top" wrapText="1"/>
    </xf>
    <xf borderId="54" fillId="0" fontId="6" numFmtId="0" xfId="0" applyAlignment="1" applyBorder="1" applyFont="1">
      <alignment shrinkToFit="0" vertical="top" wrapText="1"/>
    </xf>
    <xf borderId="86" fillId="0" fontId="6" numFmtId="0" xfId="0" applyAlignment="1" applyBorder="1" applyFont="1">
      <alignment horizontal="center" shrinkToFit="0" vertical="top" wrapText="1"/>
    </xf>
    <xf borderId="147" fillId="0" fontId="2" numFmtId="0" xfId="0" applyBorder="1" applyFont="1"/>
    <xf borderId="95" fillId="0" fontId="2" numFmtId="0" xfId="0" applyBorder="1" applyFont="1"/>
    <xf borderId="4" fillId="0" fontId="6" numFmtId="0" xfId="0" applyAlignment="1" applyBorder="1" applyFont="1">
      <alignment horizontal="center" shrinkToFit="0" vertical="top" wrapText="1"/>
    </xf>
    <xf borderId="141" fillId="4" fontId="4" numFmtId="0" xfId="0" applyAlignment="1" applyBorder="1" applyFont="1">
      <alignment horizontal="center" shrinkToFit="0" vertical="top" wrapText="1"/>
    </xf>
    <xf borderId="60" fillId="5" fontId="6" numFmtId="0" xfId="0" applyAlignment="1" applyBorder="1" applyFont="1">
      <alignment horizontal="center" shrinkToFit="0" vertical="top" wrapText="1"/>
    </xf>
    <xf borderId="148" fillId="5" fontId="4" numFmtId="0" xfId="0" applyAlignment="1" applyBorder="1" applyFont="1">
      <alignment horizontal="center" shrinkToFit="0" vertical="top" wrapText="1"/>
    </xf>
    <xf borderId="75" fillId="10" fontId="12" numFmtId="0" xfId="0" applyAlignment="1" applyBorder="1" applyFont="1">
      <alignment horizontal="center" shrinkToFit="0" vertical="top" wrapText="1"/>
    </xf>
    <xf borderId="0" fillId="0" fontId="8" numFmtId="0" xfId="0" applyAlignment="1" applyFont="1">
      <alignment horizontal="center" vertical="top"/>
    </xf>
    <xf borderId="62" fillId="0" fontId="3" numFmtId="0" xfId="0" applyBorder="1" applyFont="1"/>
    <xf borderId="102" fillId="0" fontId="17" numFmtId="0" xfId="0" applyAlignment="1" applyBorder="1" applyFont="1">
      <alignment horizontal="center" shrinkToFit="0" vertical="top" wrapText="1"/>
    </xf>
    <xf borderId="118" fillId="0" fontId="17" numFmtId="0" xfId="0" applyAlignment="1" applyBorder="1" applyFont="1">
      <alignment horizontal="center" shrinkToFit="0" vertical="top" wrapText="1"/>
    </xf>
    <xf borderId="0" fillId="0" fontId="17" numFmtId="0" xfId="0" applyAlignment="1" applyFont="1">
      <alignment horizontal="center" shrinkToFit="0" vertical="top" wrapText="1"/>
    </xf>
    <xf borderId="47" fillId="0" fontId="17" numFmtId="0" xfId="0" applyAlignment="1" applyBorder="1" applyFont="1">
      <alignment horizontal="center" shrinkToFit="0" vertical="top" wrapText="1"/>
    </xf>
    <xf borderId="70" fillId="0" fontId="17" numFmtId="0" xfId="0" applyAlignment="1" applyBorder="1" applyFont="1">
      <alignment horizontal="center" shrinkToFit="0" vertical="top" wrapText="1"/>
    </xf>
    <xf borderId="71" fillId="0" fontId="17" numFmtId="0" xfId="0" applyAlignment="1" applyBorder="1" applyFont="1">
      <alignment horizontal="center" shrinkToFit="0" vertical="top" wrapText="1"/>
    </xf>
    <xf borderId="80" fillId="0" fontId="17" numFmtId="0" xfId="0" applyAlignment="1" applyBorder="1" applyFont="1">
      <alignment horizontal="center" shrinkToFit="0" vertical="top" wrapText="1"/>
    </xf>
    <xf borderId="26" fillId="0" fontId="17" numFmtId="0" xfId="0" applyAlignment="1" applyBorder="1" applyFont="1">
      <alignment horizontal="center" shrinkToFit="0" vertical="top" wrapText="1"/>
    </xf>
    <xf borderId="146" fillId="12" fontId="17" numFmtId="0" xfId="0" applyAlignment="1" applyBorder="1" applyFont="1">
      <alignment shrinkToFit="0" vertical="top" wrapText="1"/>
    </xf>
    <xf borderId="1" fillId="0" fontId="12" numFmtId="0" xfId="0" applyAlignment="1" applyBorder="1" applyFont="1">
      <alignment horizontal="center" shrinkToFit="0" vertical="top" wrapText="1"/>
    </xf>
    <xf borderId="116" fillId="0" fontId="4" numFmtId="0" xfId="0" applyAlignment="1" applyBorder="1" applyFont="1">
      <alignment shrinkToFit="0" vertical="top" wrapText="1"/>
    </xf>
    <xf borderId="149" fillId="0" fontId="4" numFmtId="0" xfId="0" applyAlignment="1" applyBorder="1" applyFont="1">
      <alignment shrinkToFit="0" vertical="top" wrapText="1"/>
    </xf>
    <xf borderId="123" fillId="0" fontId="4" numFmtId="0" xfId="0" applyAlignment="1" applyBorder="1" applyFont="1">
      <alignment horizontal="center" shrinkToFit="0" vertical="top" wrapText="1"/>
    </xf>
    <xf borderId="135" fillId="0" fontId="4" numFmtId="0" xfId="0" applyAlignment="1" applyBorder="1" applyFont="1">
      <alignment horizontal="center" shrinkToFit="0" vertical="top" wrapText="1"/>
    </xf>
    <xf borderId="102" fillId="0" fontId="4" numFmtId="0" xfId="0" applyAlignment="1" applyBorder="1" applyFont="1">
      <alignment horizontal="center" shrinkToFit="0" vertical="top" wrapText="1"/>
    </xf>
    <xf borderId="104" fillId="0" fontId="4" numFmtId="0" xfId="0" applyAlignment="1" applyBorder="1" applyFont="1">
      <alignment horizontal="center" shrinkToFit="0" vertical="top" wrapText="1"/>
    </xf>
    <xf borderId="63" fillId="0" fontId="4" numFmtId="0" xfId="0" applyAlignment="1" applyBorder="1" applyFont="1">
      <alignment shrinkToFit="0" vertical="top" wrapText="1"/>
    </xf>
    <xf borderId="65" fillId="0" fontId="4" numFmtId="0" xfId="0" applyAlignment="1" applyBorder="1" applyFont="1">
      <alignment shrinkToFit="0" vertical="top" wrapText="1"/>
    </xf>
    <xf borderId="93" fillId="0" fontId="4" numFmtId="0" xfId="0" applyAlignment="1" applyBorder="1" applyFont="1">
      <alignment horizontal="center" shrinkToFit="0" vertical="top" wrapText="1"/>
    </xf>
    <xf borderId="150" fillId="0" fontId="4" numFmtId="0" xfId="0" applyAlignment="1" applyBorder="1" applyFont="1">
      <alignment horizontal="center" shrinkToFit="0" vertical="top" wrapText="1"/>
    </xf>
    <xf borderId="151" fillId="4" fontId="4" numFmtId="0" xfId="0" applyAlignment="1" applyBorder="1" applyFont="1">
      <alignment horizontal="center" shrinkToFit="0" vertical="top" wrapText="1"/>
    </xf>
    <xf borderId="152" fillId="4" fontId="4" numFmtId="0" xfId="0" applyAlignment="1" applyBorder="1" applyFont="1">
      <alignment horizontal="center" shrinkToFit="0" vertical="top" wrapText="1"/>
    </xf>
    <xf borderId="63" fillId="4" fontId="4" numFmtId="0" xfId="0" applyAlignment="1" applyBorder="1" applyFont="1">
      <alignment horizontal="center" shrinkToFit="0" vertical="top" wrapText="1"/>
    </xf>
    <xf borderId="124" fillId="4" fontId="4" numFmtId="0" xfId="0" applyAlignment="1" applyBorder="1" applyFont="1">
      <alignment horizontal="center" shrinkToFit="0" vertical="top" wrapText="1"/>
    </xf>
    <xf borderId="78" fillId="4" fontId="4" numFmtId="0" xfId="0" applyAlignment="1" applyBorder="1" applyFont="1">
      <alignment horizontal="center" shrinkToFit="0" vertical="top" wrapText="1"/>
    </xf>
    <xf borderId="153" fillId="4" fontId="4" numFmtId="0" xfId="0" applyAlignment="1" applyBorder="1" applyFont="1">
      <alignment horizontal="center" shrinkToFit="0" vertical="top" wrapText="1"/>
    </xf>
    <xf borderId="70" fillId="0" fontId="8" numFmtId="0" xfId="0" applyAlignment="1" applyBorder="1" applyFont="1">
      <alignment horizontal="center" vertical="top"/>
    </xf>
    <xf borderId="133" fillId="13" fontId="9" numFmtId="0" xfId="0" applyAlignment="1" applyBorder="1" applyFill="1" applyFont="1">
      <alignment horizontal="center" shrinkToFit="0" wrapText="1"/>
    </xf>
    <xf borderId="154" fillId="13" fontId="9" numFmtId="0" xfId="0" applyAlignment="1" applyBorder="1" applyFont="1">
      <alignment horizontal="center" shrinkToFit="0" wrapText="1"/>
    </xf>
    <xf borderId="155" fillId="14" fontId="18" numFmtId="0" xfId="0" applyAlignment="1" applyBorder="1" applyFill="1" applyFont="1">
      <alignment horizontal="center" shrinkToFit="0" vertical="center" wrapText="1"/>
    </xf>
    <xf borderId="156" fillId="14" fontId="18" numFmtId="0" xfId="0" applyAlignment="1" applyBorder="1" applyFont="1">
      <alignment horizontal="center" shrinkToFit="0" vertical="center" wrapText="1"/>
    </xf>
    <xf borderId="32" fillId="14" fontId="18" numFmtId="0" xfId="0" applyAlignment="1" applyBorder="1" applyFont="1">
      <alignment horizontal="center" shrinkToFit="0" vertical="center" wrapText="1"/>
    </xf>
    <xf borderId="70" fillId="14" fontId="18" numFmtId="0" xfId="0" applyAlignment="1" applyBorder="1" applyFont="1">
      <alignment horizontal="center" shrinkToFit="0" vertical="center" wrapText="1"/>
    </xf>
    <xf borderId="71" fillId="14" fontId="18" numFmtId="0" xfId="0" applyAlignment="1" applyBorder="1" applyFont="1">
      <alignment horizontal="center" shrinkToFit="0" vertical="center" wrapText="1"/>
    </xf>
    <xf borderId="94" fillId="14" fontId="18" numFmtId="0" xfId="0" applyAlignment="1" applyBorder="1" applyFont="1">
      <alignment horizontal="center" shrinkToFit="0" vertical="center" wrapText="1"/>
    </xf>
    <xf borderId="26" fillId="14" fontId="18" numFmtId="0" xfId="0" applyAlignment="1" applyBorder="1" applyFont="1">
      <alignment horizontal="center" shrinkToFit="0" vertical="center" wrapText="1"/>
    </xf>
    <xf borderId="25" fillId="12" fontId="18" numFmtId="0" xfId="0" applyAlignment="1" applyBorder="1" applyFont="1">
      <alignment horizontal="center" shrinkToFit="0" vertical="center" wrapText="1"/>
    </xf>
    <xf borderId="31" fillId="14" fontId="1" numFmtId="0" xfId="0" applyAlignment="1" applyBorder="1" applyFont="1">
      <alignment horizontal="center" shrinkToFit="0" vertical="center" wrapText="1"/>
    </xf>
    <xf borderId="32" fillId="14" fontId="19" numFmtId="0" xfId="0" applyAlignment="1" applyBorder="1" applyFont="1">
      <alignment horizontal="center" shrinkToFit="0" vertical="center" wrapText="1"/>
    </xf>
    <xf borderId="26" fillId="5" fontId="19" numFmtId="0" xfId="0" applyAlignment="1" applyBorder="1" applyFont="1">
      <alignment horizontal="center" shrinkToFit="0" vertical="center" wrapText="1"/>
    </xf>
    <xf borderId="26" fillId="4" fontId="19" numFmtId="0" xfId="0" applyAlignment="1" applyBorder="1" applyFont="1">
      <alignment horizontal="center" shrinkToFit="0" vertical="center" wrapText="1"/>
    </xf>
    <xf borderId="32" fillId="4" fontId="19" numFmtId="0" xfId="0" applyAlignment="1" applyBorder="1" applyFont="1">
      <alignment horizontal="center" shrinkToFit="0" vertical="center" wrapText="1"/>
    </xf>
    <xf borderId="47" fillId="0" fontId="1" numFmtId="0" xfId="0" applyAlignment="1" applyBorder="1" applyFont="1">
      <alignment horizontal="center" shrinkToFit="0" vertical="center" wrapText="1"/>
    </xf>
    <xf borderId="43"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67" fillId="0" fontId="1" numFmtId="0" xfId="0" applyAlignment="1" applyBorder="1" applyFont="1">
      <alignment horizontal="center" shrinkToFit="0" vertical="center" wrapText="1"/>
    </xf>
    <xf borderId="68" fillId="0" fontId="1" numFmtId="0" xfId="0" applyAlignment="1" applyBorder="1" applyFont="1">
      <alignment horizontal="center" shrinkToFit="0" vertical="center" wrapText="1"/>
    </xf>
    <xf borderId="69" fillId="0" fontId="1" numFmtId="0" xfId="0" applyAlignment="1" applyBorder="1" applyFont="1">
      <alignment horizontal="center" shrinkToFit="0" vertical="center" wrapText="1"/>
    </xf>
    <xf borderId="70" fillId="0" fontId="1" numFmtId="0" xfId="0" applyAlignment="1" applyBorder="1" applyFont="1">
      <alignment horizontal="center" shrinkToFit="0" vertical="center" wrapText="1"/>
    </xf>
    <xf borderId="71" fillId="0" fontId="1" numFmtId="0" xfId="0" applyAlignment="1" applyBorder="1" applyFont="1">
      <alignment horizontal="center" shrinkToFit="0" vertical="center" wrapText="1"/>
    </xf>
    <xf borderId="80" fillId="0" fontId="1" numFmtId="0" xfId="0" applyAlignment="1" applyBorder="1" applyFont="1">
      <alignment horizontal="center" shrinkToFit="0" vertical="center" wrapText="1"/>
    </xf>
    <xf borderId="72" fillId="0" fontId="1" numFmtId="0" xfId="0" applyAlignment="1" applyBorder="1" applyFont="1">
      <alignment horizontal="center" shrinkToFit="0" vertical="center" wrapText="1"/>
    </xf>
    <xf borderId="77"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26"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5" fillId="10" fontId="1" numFmtId="0" xfId="0" applyAlignment="1" applyBorder="1" applyFont="1">
      <alignment horizontal="center" shrinkToFit="0" vertical="center" wrapText="1"/>
    </xf>
    <xf borderId="154" fillId="14" fontId="19" numFmtId="0" xfId="0" applyAlignment="1" applyBorder="1" applyFont="1">
      <alignment horizontal="center"/>
    </xf>
    <xf borderId="157" fillId="13" fontId="3" numFmtId="0" xfId="0" applyBorder="1" applyFont="1"/>
    <xf borderId="158" fillId="13" fontId="3" numFmtId="0" xfId="0" applyBorder="1" applyFont="1"/>
    <xf borderId="42" fillId="14" fontId="18" numFmtId="0" xfId="0" applyAlignment="1" applyBorder="1" applyFont="1">
      <alignment horizontal="center" shrinkToFit="0" vertical="center" wrapText="1"/>
    </xf>
    <xf borderId="159" fillId="14" fontId="18" numFmtId="0" xfId="0" applyAlignment="1" applyBorder="1" applyFont="1">
      <alignment horizontal="center" shrinkToFit="0" vertical="center" wrapText="1"/>
    </xf>
    <xf borderId="160" fillId="14" fontId="19" numFmtId="0" xfId="0" applyAlignment="1" applyBorder="1" applyFont="1">
      <alignment horizontal="center"/>
    </xf>
    <xf borderId="151" fillId="13" fontId="3" numFmtId="0" xfId="0" applyBorder="1" applyFont="1"/>
    <xf borderId="161" fillId="13" fontId="3" numFmtId="0" xfId="0" applyBorder="1" applyFont="1"/>
    <xf borderId="102" fillId="14" fontId="18" numFmtId="0" xfId="0" applyAlignment="1" applyBorder="1" applyFont="1">
      <alignment horizontal="center" shrinkToFit="0" vertical="center" wrapText="1"/>
    </xf>
    <xf borderId="162" fillId="14" fontId="18" numFmtId="0" xfId="0" applyAlignment="1" applyBorder="1" applyFont="1">
      <alignment horizontal="center" shrinkToFit="0" vertical="center" wrapText="1"/>
    </xf>
    <xf borderId="163" fillId="14" fontId="19" numFmtId="0" xfId="0" applyAlignment="1" applyBorder="1" applyFont="1">
      <alignment horizontal="center"/>
    </xf>
    <xf borderId="70" fillId="14" fontId="8" numFmtId="0" xfId="0" applyAlignment="1" applyBorder="1" applyFont="1">
      <alignment horizontal="center" vertical="top"/>
    </xf>
    <xf borderId="75" fillId="14" fontId="8" numFmtId="0" xfId="0" applyAlignment="1" applyBorder="1" applyFont="1">
      <alignment horizontal="left" shrinkToFit="0" vertical="top" wrapText="1"/>
    </xf>
    <xf borderId="164" fillId="14" fontId="9" numFmtId="0" xfId="0" applyAlignment="1" applyBorder="1" applyFont="1">
      <alignment horizontal="center" shrinkToFit="0" vertical="center" wrapText="1"/>
    </xf>
    <xf borderId="157" fillId="13" fontId="9" numFmtId="0" xfId="0" applyAlignment="1" applyBorder="1" applyFont="1">
      <alignment horizontal="center" shrinkToFit="0" wrapText="1"/>
    </xf>
    <xf borderId="158" fillId="13" fontId="9" numFmtId="0" xfId="0" applyAlignment="1" applyBorder="1" applyFont="1">
      <alignment horizontal="center" shrinkToFit="0" wrapText="1"/>
    </xf>
    <xf borderId="114" fillId="14" fontId="9" numFmtId="0" xfId="0" applyAlignment="1" applyBorder="1" applyFont="1">
      <alignment horizontal="center" shrinkToFit="0" vertical="center" wrapText="1"/>
    </xf>
    <xf borderId="165" fillId="0" fontId="2" numFmtId="0" xfId="0" applyBorder="1" applyFont="1"/>
    <xf borderId="116" fillId="14" fontId="9" numFmtId="0" xfId="0" applyAlignment="1" applyBorder="1" applyFont="1">
      <alignment horizontal="center" shrinkToFit="0" vertical="center" wrapText="1"/>
    </xf>
    <xf borderId="32" fillId="14" fontId="8" numFmtId="0" xfId="0" applyAlignment="1" applyBorder="1" applyFont="1">
      <alignment horizontal="center" vertical="top"/>
    </xf>
    <xf borderId="26" fillId="14" fontId="8" numFmtId="0" xfId="0" applyAlignment="1" applyBorder="1" applyFont="1">
      <alignment horizontal="left" shrinkToFit="0" vertical="top" wrapText="1"/>
    </xf>
    <xf borderId="166" fillId="14" fontId="9" numFmtId="0" xfId="0" applyAlignment="1" applyBorder="1" applyFont="1">
      <alignment horizontal="center" shrinkToFit="0" vertical="center" wrapText="1"/>
    </xf>
    <xf borderId="137" fillId="14" fontId="9" numFmtId="0" xfId="0" applyAlignment="1" applyBorder="1" applyFont="1">
      <alignment horizontal="center" shrinkToFit="0" vertical="center" wrapText="1"/>
    </xf>
    <xf borderId="138" fillId="14" fontId="9" numFmtId="0" xfId="0" applyAlignment="1" applyBorder="1" applyFont="1">
      <alignment horizontal="center" shrinkToFit="0" vertical="center" wrapText="1"/>
    </xf>
    <xf borderId="0" fillId="0" fontId="8" numFmtId="0" xfId="0" applyAlignment="1" applyFont="1">
      <alignment horizontal="left" shrinkToFit="0" vertical="top" wrapText="1"/>
    </xf>
    <xf borderId="167" fillId="14" fontId="18" numFmtId="0" xfId="0" applyAlignment="1" applyBorder="1" applyFont="1">
      <alignment horizontal="center" shrinkToFit="0" vertical="center" wrapText="1"/>
    </xf>
    <xf borderId="168" fillId="14" fontId="9" numFmtId="0" xfId="0" applyAlignment="1" applyBorder="1" applyFont="1">
      <alignment horizontal="center" shrinkToFit="0" vertical="center" wrapText="1"/>
    </xf>
    <xf borderId="31" fillId="14" fontId="18" numFmtId="0" xfId="0" applyAlignment="1" applyBorder="1" applyFont="1">
      <alignment horizontal="center" shrinkToFit="0" vertical="center" wrapText="1"/>
    </xf>
    <xf borderId="159" fillId="14" fontId="9" numFmtId="0" xfId="0" applyAlignment="1" applyBorder="1" applyFont="1">
      <alignment horizontal="center" shrinkToFit="0" vertical="center" wrapText="1"/>
    </xf>
    <xf borderId="169" fillId="13" fontId="9" numFmtId="0" xfId="0" applyAlignment="1" applyBorder="1" applyFont="1">
      <alignment horizontal="center" shrinkToFit="0" wrapText="1"/>
    </xf>
    <xf borderId="91" fillId="13" fontId="9" numFmtId="0" xfId="0" applyAlignment="1" applyBorder="1" applyFont="1">
      <alignment horizontal="center" shrinkToFit="0" wrapText="1"/>
    </xf>
    <xf borderId="155" fillId="13" fontId="9" numFmtId="0" xfId="0" applyAlignment="1" applyBorder="1" applyFont="1">
      <alignment horizontal="center" shrinkToFit="0" wrapText="1"/>
    </xf>
    <xf borderId="70" fillId="0" fontId="8" numFmtId="0" xfId="0" applyAlignment="1" applyBorder="1" applyFont="1">
      <alignment horizontal="left" shrinkToFit="0" vertical="top" wrapText="1"/>
    </xf>
    <xf borderId="136" fillId="14" fontId="9" numFmtId="0" xfId="0" applyAlignment="1" applyBorder="1" applyFont="1">
      <alignment horizontal="center" shrinkToFit="0" vertical="center" wrapText="1"/>
    </xf>
    <xf borderId="158" fillId="14" fontId="9" numFmtId="0" xfId="0" applyAlignment="1" applyBorder="1" applyFont="1">
      <alignment horizontal="center" shrinkToFit="0" vertical="center" wrapText="1"/>
    </xf>
    <xf borderId="155" fillId="14" fontId="9" numFmtId="0" xfId="0" applyAlignment="1" applyBorder="1" applyFont="1">
      <alignment horizontal="center" shrinkToFit="0" vertical="center" wrapText="1"/>
    </xf>
    <xf borderId="160" fillId="14" fontId="9" numFmtId="0" xfId="0" applyAlignment="1" applyBorder="1" applyFont="1">
      <alignment horizontal="center" shrinkToFit="0" vertical="center" wrapText="1"/>
    </xf>
    <xf borderId="42" fillId="14" fontId="9" numFmtId="0" xfId="0" applyAlignment="1" applyBorder="1" applyFont="1">
      <alignment horizontal="center" shrinkToFit="0" vertical="center" wrapText="1"/>
    </xf>
    <xf borderId="163" fillId="14" fontId="9" numFmtId="0" xfId="0" applyAlignment="1" applyBorder="1" applyFont="1">
      <alignment horizontal="center" shrinkToFit="0" vertical="center" wrapText="1"/>
    </xf>
    <xf borderId="102" fillId="14" fontId="9" numFmtId="0" xfId="0" applyAlignment="1" applyBorder="1" applyFont="1">
      <alignment horizontal="center" shrinkToFit="0" vertical="center" wrapText="1"/>
    </xf>
    <xf borderId="61" fillId="14" fontId="19" numFmtId="0" xfId="0" applyAlignment="1" applyBorder="1" applyFont="1">
      <alignment horizontal="center" vertical="top"/>
    </xf>
    <xf borderId="95" fillId="0" fontId="9" numFmtId="0" xfId="0" applyAlignment="1" applyBorder="1" applyFont="1">
      <alignment horizontal="center" shrinkToFit="0" vertical="center" wrapText="1"/>
    </xf>
    <xf borderId="19" fillId="0" fontId="9" numFmtId="0" xfId="0" applyAlignment="1" applyBorder="1" applyFont="1">
      <alignment horizontal="center" shrinkToFit="0" vertical="center" wrapText="1"/>
    </xf>
    <xf borderId="117" fillId="0" fontId="9" numFmtId="0" xfId="0" applyAlignment="1" applyBorder="1" applyFont="1">
      <alignment horizontal="center" shrinkToFit="0" vertical="center" wrapText="1"/>
    </xf>
    <xf borderId="32" fillId="14" fontId="19" numFmtId="0" xfId="0" applyAlignment="1" applyBorder="1" applyFont="1">
      <alignment horizontal="center" vertical="top"/>
    </xf>
    <xf borderId="43" fillId="0" fontId="8" numFmtId="0" xfId="0" applyAlignment="1" applyBorder="1" applyFont="1">
      <alignment horizontal="left" shrinkToFit="0" vertical="top" wrapText="1"/>
    </xf>
    <xf borderId="87" fillId="0" fontId="18" numFmtId="0" xfId="0" applyAlignment="1" applyBorder="1" applyFont="1">
      <alignment horizontal="center" shrinkToFit="0" vertical="center" wrapText="1"/>
    </xf>
    <xf borderId="96" fillId="0" fontId="18" numFmtId="0" xfId="0" applyAlignment="1" applyBorder="1" applyFont="1">
      <alignment horizontal="center" shrinkToFit="0" vertical="center" wrapText="1"/>
    </xf>
    <xf borderId="62" fillId="0" fontId="18" numFmtId="0" xfId="0" applyAlignment="1" applyBorder="1" applyFont="1">
      <alignment horizontal="center" shrinkToFit="0" vertical="center" wrapText="1"/>
    </xf>
    <xf borderId="83" fillId="9" fontId="20" numFmtId="0" xfId="0" applyBorder="1" applyFont="1"/>
    <xf borderId="170" fillId="9" fontId="20" numFmtId="0" xfId="0" applyBorder="1" applyFont="1"/>
    <xf borderId="171" fillId="9" fontId="20" numFmtId="0" xfId="0" applyBorder="1" applyFont="1"/>
    <xf borderId="171" fillId="9" fontId="19" numFmtId="0" xfId="0" applyAlignment="1" applyBorder="1" applyFont="1">
      <alignment horizontal="center" vertical="center"/>
    </xf>
    <xf borderId="171" fillId="7" fontId="19" numFmtId="0" xfId="0" applyAlignment="1" applyBorder="1" applyFont="1">
      <alignment horizontal="center" shrinkToFit="0" vertical="center" wrapText="1"/>
    </xf>
    <xf borderId="171" fillId="9" fontId="19" numFmtId="0" xfId="0" applyAlignment="1" applyBorder="1" applyFont="1">
      <alignment horizontal="center" shrinkToFit="0" vertical="center" wrapText="1"/>
    </xf>
    <xf borderId="153" fillId="9" fontId="20" numFmtId="0" xfId="0" applyBorder="1" applyFont="1"/>
    <xf borderId="42" fillId="0" fontId="3" numFmtId="0" xfId="0" applyBorder="1" applyFont="1"/>
    <xf borderId="42" fillId="12" fontId="3" numFmtId="0" xfId="0" applyBorder="1" applyFont="1"/>
    <xf borderId="42" fillId="5" fontId="3" numFmtId="0" xfId="0" applyBorder="1" applyFont="1"/>
    <xf borderId="42" fillId="4" fontId="3" numFmtId="0" xfId="0" applyBorder="1" applyFont="1"/>
    <xf borderId="42" fillId="10" fontId="3" numFmtId="0" xfId="0" applyBorder="1" applyFont="1"/>
    <xf borderId="42" fillId="0" fontId="3" numFmtId="0" xfId="0" applyAlignment="1" applyBorder="1" applyFont="1">
      <alignment horizontal="center" vertical="center"/>
    </xf>
    <xf borderId="21" fillId="0" fontId="21" numFmtId="0" xfId="0" applyAlignment="1" applyBorder="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33" fillId="3" fontId="21" numFmtId="0" xfId="0" applyAlignment="1" applyBorder="1" applyFont="1">
      <alignment horizontal="center" vertical="center"/>
    </xf>
    <xf borderId="40" fillId="0" fontId="22" numFmtId="0" xfId="0" applyAlignment="1" applyBorder="1" applyFont="1">
      <alignment horizontal="left" shrinkToFit="0" vertical="center" wrapText="1"/>
    </xf>
    <xf borderId="88" fillId="0" fontId="2" numFmtId="0" xfId="0" applyBorder="1" applyFont="1"/>
    <xf borderId="160" fillId="7" fontId="21" numFmtId="0" xfId="0" applyAlignment="1" applyBorder="1" applyFont="1">
      <alignment horizontal="center" vertical="center"/>
    </xf>
    <xf borderId="160" fillId="7" fontId="21" numFmtId="0" xfId="0" applyAlignment="1" applyBorder="1" applyFont="1">
      <alignment horizontal="left" vertical="center"/>
    </xf>
    <xf borderId="42" fillId="7" fontId="21" numFmtId="0" xfId="0" applyAlignment="1" applyBorder="1" applyFont="1">
      <alignment vertical="center"/>
    </xf>
    <xf borderId="0" fillId="0" fontId="21" numFmtId="0" xfId="0" applyAlignment="1" applyFont="1">
      <alignment vertical="center"/>
    </xf>
    <xf borderId="34" fillId="0" fontId="3" numFmtId="0" xfId="0" applyAlignment="1" applyBorder="1" applyFont="1">
      <alignment horizontal="left" vertical="center"/>
    </xf>
    <xf borderId="42" fillId="0" fontId="3" numFmtId="0" xfId="0" applyAlignment="1" applyBorder="1" applyFont="1">
      <alignment vertical="center"/>
    </xf>
    <xf quotePrefix="1" borderId="34" fillId="0" fontId="3" numFmtId="16" xfId="0" applyAlignment="1" applyBorder="1" applyFont="1" applyNumberFormat="1">
      <alignment horizontal="left" vertical="center"/>
    </xf>
    <xf borderId="42" fillId="0" fontId="3" numFmtId="0" xfId="0" applyAlignment="1" applyBorder="1" applyFont="1">
      <alignment shrinkToFit="0" vertical="center" wrapText="1"/>
    </xf>
    <xf borderId="33" fillId="7" fontId="21" numFmtId="0" xfId="0" applyAlignment="1" applyBorder="1" applyFont="1">
      <alignment horizontal="left" shrinkToFit="0" vertical="center" wrapText="1"/>
    </xf>
    <xf borderId="35" fillId="7" fontId="21" numFmtId="0" xfId="0" applyAlignment="1" applyBorder="1" applyFont="1">
      <alignment horizontal="left" shrinkToFit="0" vertical="top" wrapText="1"/>
    </xf>
    <xf borderId="33" fillId="7" fontId="23" numFmtId="0" xfId="0" applyAlignment="1" applyBorder="1" applyFont="1">
      <alignment horizontal="left" shrinkToFit="0" vertical="center" wrapText="1"/>
    </xf>
    <xf borderId="0" fillId="0" fontId="3" numFmtId="0" xfId="0" applyAlignment="1" applyFont="1">
      <alignment horizontal="left" vertical="center"/>
    </xf>
  </cellXfs>
  <cellStyles count="1">
    <cellStyle xfId="0" name="Normal" builtinId="0"/>
  </cellStyles>
  <dxfs count="4">
    <dxf>
      <font/>
      <fill>
        <patternFill patternType="solid">
          <fgColor rgb="FFFF0000"/>
          <bgColor rgb="FFFF0000"/>
        </patternFill>
      </fill>
      <border/>
    </dxf>
    <dxf>
      <font/>
      <fill>
        <patternFill patternType="solid">
          <fgColor rgb="FFB6DDE8"/>
          <bgColor rgb="FFB6DDE8"/>
        </patternFill>
      </fill>
      <border/>
    </dxf>
    <dxf>
      <font/>
      <fill>
        <patternFill patternType="solid">
          <fgColor rgb="FFD6E3BC"/>
          <bgColor rgb="FFD6E3BC"/>
        </patternFill>
      </fill>
      <border/>
    </dxf>
    <dxf>
      <font/>
      <fill>
        <patternFill patternType="solid">
          <fgColor rgb="FFCCC0D9"/>
          <bgColor rgb="FFCCC0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18.0"/>
    <col customWidth="1" min="2" max="2" width="48.43"/>
    <col customWidth="1" min="3" max="4" width="35.0"/>
    <col customWidth="1" min="5" max="6" width="31.86"/>
    <col customWidth="1" min="7" max="9" width="26.43"/>
    <col customWidth="1" min="10" max="10" width="31.29"/>
    <col customWidth="1" min="11" max="26" width="26.43"/>
    <col customWidth="1" min="27" max="35" width="25.86"/>
    <col customWidth="1" min="36" max="46" width="35.0"/>
    <col customWidth="1" min="47" max="67" width="28.43"/>
    <col customWidth="1" min="68" max="68" width="35.43"/>
    <col customWidth="1" min="69" max="83" width="28.43"/>
    <col customWidth="1" min="84" max="84" width="43.43"/>
    <col customWidth="1" min="85" max="98" width="28.43"/>
    <col customWidth="1" min="99" max="99" width="28.14"/>
  </cols>
  <sheetData>
    <row r="1" ht="79.5" customHeight="1">
      <c r="A1" s="1" t="str">
        <f>CONCATENATE("DAILY REPORT DATE: ",MID(CELL("filename",A1),FIND("]",CELL("filename",A1),1)+1,255))</f>
        <v>#VALUE!</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3"/>
      <c r="AU1" s="1" t="str">
        <f>A1</f>
        <v>#VALUE!</v>
      </c>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4"/>
    </row>
    <row r="2">
      <c r="A2" s="5"/>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7"/>
      <c r="AU2" s="8"/>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10"/>
    </row>
    <row r="3">
      <c r="A3" s="8" t="s">
        <v>0</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11"/>
      <c r="AU3" s="1" t="str">
        <f>A3</f>
        <v>COLLEGE NAME : L.J. INSTITUTE OF ENGINEERING AND TECHNOLOGY                                 DEPARTMENT NAME :  SY4(CST CS&amp;IT)                  YEAR : 2024-25                              SEMESTER : III</v>
      </c>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10"/>
    </row>
    <row r="4" ht="61.5" customHeight="1">
      <c r="A4" s="12" t="s">
        <v>1</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4"/>
      <c r="AS4" s="15"/>
      <c r="AT4" s="16"/>
      <c r="AU4" s="17" t="s">
        <v>2</v>
      </c>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8"/>
      <c r="CH4" s="19" t="s">
        <v>3</v>
      </c>
      <c r="CI4" s="2"/>
      <c r="CJ4" s="2"/>
      <c r="CK4" s="2"/>
      <c r="CL4" s="2"/>
      <c r="CM4" s="2"/>
      <c r="CN4" s="2"/>
      <c r="CO4" s="2"/>
      <c r="CP4" s="2"/>
      <c r="CQ4" s="2"/>
      <c r="CR4" s="2"/>
      <c r="CS4" s="20"/>
      <c r="CT4" s="21"/>
      <c r="CU4" s="22"/>
    </row>
    <row r="5" ht="61.5" customHeight="1">
      <c r="A5" s="23" t="s">
        <v>4</v>
      </c>
      <c r="B5" s="24"/>
      <c r="C5" s="24"/>
      <c r="D5" s="24"/>
      <c r="E5" s="24"/>
      <c r="F5" s="24"/>
      <c r="G5" s="24"/>
      <c r="H5" s="24"/>
      <c r="I5" s="24"/>
      <c r="J5" s="24"/>
      <c r="K5" s="24"/>
      <c r="L5" s="24"/>
      <c r="M5" s="24"/>
      <c r="N5" s="24"/>
      <c r="O5" s="24"/>
      <c r="P5" s="24"/>
      <c r="Q5" s="24"/>
      <c r="R5" s="24"/>
      <c r="S5" s="24"/>
      <c r="T5" s="24"/>
      <c r="U5" s="24"/>
      <c r="V5" s="24"/>
      <c r="W5" s="24"/>
      <c r="X5" s="24"/>
      <c r="Y5" s="24"/>
      <c r="Z5" s="25"/>
      <c r="AA5" s="26" t="s">
        <v>5</v>
      </c>
      <c r="AB5" s="2"/>
      <c r="AC5" s="2"/>
      <c r="AD5" s="2"/>
      <c r="AE5" s="2"/>
      <c r="AF5" s="2"/>
      <c r="AG5" s="2"/>
      <c r="AH5" s="2"/>
      <c r="AI5" s="3"/>
      <c r="AJ5" s="27" t="s">
        <v>6</v>
      </c>
      <c r="AK5" s="28"/>
      <c r="AL5" s="28"/>
      <c r="AM5" s="28"/>
      <c r="AN5" s="28"/>
      <c r="AO5" s="29"/>
      <c r="AP5" s="30" t="s">
        <v>7</v>
      </c>
      <c r="AQ5" s="31" t="s">
        <v>8</v>
      </c>
      <c r="AR5" s="31" t="s">
        <v>9</v>
      </c>
      <c r="AS5" s="31" t="s">
        <v>10</v>
      </c>
      <c r="AT5" s="32" t="s">
        <v>11</v>
      </c>
      <c r="AU5" s="33" t="s">
        <v>12</v>
      </c>
      <c r="AV5" s="34"/>
      <c r="AW5" s="34"/>
      <c r="AX5" s="35"/>
      <c r="AY5" s="36" t="s">
        <v>13</v>
      </c>
      <c r="AZ5" s="37" t="s">
        <v>14</v>
      </c>
      <c r="BA5" s="38" t="s">
        <v>15</v>
      </c>
      <c r="BB5" s="24"/>
      <c r="BC5" s="24"/>
      <c r="BD5" s="24"/>
      <c r="BE5" s="24"/>
      <c r="BF5" s="24"/>
      <c r="BG5" s="24"/>
      <c r="BH5" s="24"/>
      <c r="BI5" s="24"/>
      <c r="BJ5" s="24"/>
      <c r="BK5" s="24"/>
      <c r="BL5" s="24"/>
      <c r="BM5" s="24"/>
      <c r="BN5" s="24"/>
      <c r="BO5" s="39"/>
      <c r="BP5" s="40" t="s">
        <v>16</v>
      </c>
      <c r="BQ5" s="24"/>
      <c r="BR5" s="24"/>
      <c r="BS5" s="24"/>
      <c r="BT5" s="24"/>
      <c r="BU5" s="41"/>
      <c r="BV5" s="42" t="s">
        <v>17</v>
      </c>
      <c r="BW5" s="14"/>
      <c r="BX5" s="43" t="s">
        <v>18</v>
      </c>
      <c r="BY5" s="34"/>
      <c r="BZ5" s="34"/>
      <c r="CA5" s="34"/>
      <c r="CB5" s="34"/>
      <c r="CC5" s="34"/>
      <c r="CD5" s="34"/>
      <c r="CE5" s="34"/>
      <c r="CF5" s="34"/>
      <c r="CG5" s="44"/>
      <c r="CH5" s="45"/>
      <c r="CI5" s="46"/>
      <c r="CJ5" s="46"/>
      <c r="CK5" s="46"/>
      <c r="CL5" s="46"/>
      <c r="CM5" s="46"/>
      <c r="CN5" s="46"/>
      <c r="CO5" s="46"/>
      <c r="CP5" s="46"/>
      <c r="CQ5" s="46"/>
      <c r="CR5" s="46"/>
      <c r="CS5" s="47"/>
      <c r="CT5" s="48"/>
      <c r="CU5" s="49"/>
    </row>
    <row r="6" ht="142.5" customHeight="1">
      <c r="A6" s="50" t="s">
        <v>19</v>
      </c>
      <c r="B6" s="50" t="s">
        <v>20</v>
      </c>
      <c r="C6" s="50" t="s">
        <v>21</v>
      </c>
      <c r="D6" s="51" t="s">
        <v>22</v>
      </c>
      <c r="E6" s="52" t="s">
        <v>23</v>
      </c>
      <c r="F6" s="2"/>
      <c r="G6" s="2"/>
      <c r="H6" s="2"/>
      <c r="I6" s="2"/>
      <c r="J6" s="2"/>
      <c r="K6" s="2"/>
      <c r="L6" s="2"/>
      <c r="M6" s="53" t="s">
        <v>24</v>
      </c>
      <c r="N6" s="54" t="s">
        <v>25</v>
      </c>
      <c r="O6" s="55" t="s">
        <v>26</v>
      </c>
      <c r="P6" s="56" t="s">
        <v>27</v>
      </c>
      <c r="Q6" s="57" t="s">
        <v>28</v>
      </c>
      <c r="R6" s="57" t="s">
        <v>29</v>
      </c>
      <c r="S6" s="57" t="s">
        <v>30</v>
      </c>
      <c r="T6" s="58" t="s">
        <v>31</v>
      </c>
      <c r="U6" s="59" t="s">
        <v>32</v>
      </c>
      <c r="V6" s="60" t="s">
        <v>33</v>
      </c>
      <c r="W6" s="61" t="s">
        <v>34</v>
      </c>
      <c r="X6" s="62" t="s">
        <v>35</v>
      </c>
      <c r="Y6" s="58" t="s">
        <v>36</v>
      </c>
      <c r="Z6" s="59" t="s">
        <v>37</v>
      </c>
      <c r="AA6" s="63"/>
      <c r="AB6" s="6"/>
      <c r="AC6" s="6"/>
      <c r="AD6" s="6"/>
      <c r="AE6" s="6"/>
      <c r="AF6" s="6"/>
      <c r="AG6" s="6"/>
      <c r="AH6" s="6"/>
      <c r="AI6" s="7"/>
      <c r="AJ6" s="63"/>
      <c r="AK6" s="6"/>
      <c r="AL6" s="6"/>
      <c r="AM6" s="6"/>
      <c r="AN6" s="6"/>
      <c r="AO6" s="7"/>
      <c r="AP6" s="64"/>
      <c r="AQ6" s="65"/>
      <c r="AR6" s="65"/>
      <c r="AS6" s="65"/>
      <c r="AT6" s="66"/>
      <c r="AU6" s="67" t="s">
        <v>38</v>
      </c>
      <c r="AV6" s="67" t="s">
        <v>39</v>
      </c>
      <c r="AW6" s="51" t="s">
        <v>40</v>
      </c>
      <c r="AX6" s="67" t="s">
        <v>41</v>
      </c>
      <c r="AY6" s="68"/>
      <c r="AZ6" s="69"/>
      <c r="BA6" s="70" t="s">
        <v>42</v>
      </c>
      <c r="BB6" s="46"/>
      <c r="BC6" s="46"/>
      <c r="BD6" s="46"/>
      <c r="BE6" s="46"/>
      <c r="BF6" s="46"/>
      <c r="BG6" s="46"/>
      <c r="BH6" s="46"/>
      <c r="BI6" s="71"/>
      <c r="BJ6" s="72" t="s">
        <v>43</v>
      </c>
      <c r="BK6" s="73" t="s">
        <v>44</v>
      </c>
      <c r="BL6" s="74" t="s">
        <v>45</v>
      </c>
      <c r="BM6" s="24"/>
      <c r="BN6" s="39"/>
      <c r="BO6" s="73" t="s">
        <v>46</v>
      </c>
      <c r="BP6" s="59" t="s">
        <v>47</v>
      </c>
      <c r="BQ6" s="75" t="s">
        <v>48</v>
      </c>
      <c r="BS6" s="76"/>
      <c r="BT6" s="75" t="s">
        <v>49</v>
      </c>
      <c r="BU6" s="75" t="s">
        <v>50</v>
      </c>
      <c r="BV6" s="51" t="s">
        <v>51</v>
      </c>
      <c r="BW6" s="51" t="s">
        <v>52</v>
      </c>
      <c r="BX6" s="77" t="s">
        <v>53</v>
      </c>
      <c r="BY6" s="9"/>
      <c r="BZ6" s="9"/>
      <c r="CA6" s="9"/>
      <c r="CB6" s="9"/>
      <c r="CC6" s="9"/>
      <c r="CD6" s="9"/>
      <c r="CE6" s="11"/>
      <c r="CF6" s="78" t="s">
        <v>54</v>
      </c>
      <c r="CG6" s="3"/>
      <c r="CH6" s="79" t="s">
        <v>55</v>
      </c>
      <c r="CI6" s="80"/>
      <c r="CJ6" s="81" t="s">
        <v>56</v>
      </c>
      <c r="CK6" s="82"/>
      <c r="CL6" s="81" t="s">
        <v>57</v>
      </c>
      <c r="CM6" s="82"/>
      <c r="CN6" s="81" t="s">
        <v>58</v>
      </c>
      <c r="CO6" s="82"/>
      <c r="CP6" s="83" t="s">
        <v>59</v>
      </c>
      <c r="CQ6" s="84" t="s">
        <v>60</v>
      </c>
      <c r="CR6" s="85" t="s">
        <v>61</v>
      </c>
      <c r="CS6" s="86" t="s">
        <v>62</v>
      </c>
      <c r="CT6" s="87" t="s">
        <v>63</v>
      </c>
      <c r="CU6" s="88"/>
    </row>
    <row r="7" ht="150.0" customHeight="1">
      <c r="A7" s="89"/>
      <c r="B7" s="89"/>
      <c r="C7" s="65"/>
      <c r="D7" s="65"/>
      <c r="E7" s="90" t="s">
        <v>64</v>
      </c>
      <c r="F7" s="91" t="s">
        <v>65</v>
      </c>
      <c r="G7" s="91" t="s">
        <v>66</v>
      </c>
      <c r="H7" s="91" t="s">
        <v>67</v>
      </c>
      <c r="I7" s="91" t="s">
        <v>68</v>
      </c>
      <c r="J7" s="92" t="s">
        <v>69</v>
      </c>
      <c r="K7" s="92" t="s">
        <v>70</v>
      </c>
      <c r="L7" s="93" t="s">
        <v>71</v>
      </c>
      <c r="M7" s="89"/>
      <c r="N7" s="89"/>
      <c r="O7" s="94" t="s">
        <v>72</v>
      </c>
      <c r="P7" s="78" t="s">
        <v>73</v>
      </c>
      <c r="Q7" s="95" t="s">
        <v>74</v>
      </c>
      <c r="R7" s="95" t="s">
        <v>75</v>
      </c>
      <c r="S7" s="95" t="s">
        <v>76</v>
      </c>
      <c r="T7" s="95" t="s">
        <v>77</v>
      </c>
      <c r="U7" s="78" t="s">
        <v>78</v>
      </c>
      <c r="V7" s="78" t="s">
        <v>79</v>
      </c>
      <c r="W7" s="67" t="s">
        <v>80</v>
      </c>
      <c r="X7" s="94" t="s">
        <v>81</v>
      </c>
      <c r="Y7" s="95" t="s">
        <v>82</v>
      </c>
      <c r="Z7" s="63"/>
      <c r="AA7" s="96" t="s">
        <v>83</v>
      </c>
      <c r="AB7" s="97" t="s">
        <v>84</v>
      </c>
      <c r="AC7" s="98" t="s">
        <v>85</v>
      </c>
      <c r="AD7" s="98" t="s">
        <v>86</v>
      </c>
      <c r="AE7" s="98" t="s">
        <v>87</v>
      </c>
      <c r="AF7" s="98" t="s">
        <v>88</v>
      </c>
      <c r="AG7" s="98" t="s">
        <v>89</v>
      </c>
      <c r="AH7" s="98" t="s">
        <v>90</v>
      </c>
      <c r="AI7" s="99" t="s">
        <v>91</v>
      </c>
      <c r="AJ7" s="100" t="s">
        <v>92</v>
      </c>
      <c r="AK7" s="101" t="s">
        <v>93</v>
      </c>
      <c r="AL7" s="101" t="s">
        <v>94</v>
      </c>
      <c r="AM7" s="101" t="s">
        <v>95</v>
      </c>
      <c r="AN7" s="101" t="s">
        <v>96</v>
      </c>
      <c r="AO7" s="102" t="s">
        <v>97</v>
      </c>
      <c r="AP7" s="103"/>
      <c r="AQ7" s="89"/>
      <c r="AR7" s="89"/>
      <c r="AS7" s="89"/>
      <c r="AT7" s="68"/>
      <c r="AU7" s="89"/>
      <c r="AV7" s="89"/>
      <c r="AW7" s="89"/>
      <c r="AX7" s="89"/>
      <c r="AY7" s="104" t="s">
        <v>98</v>
      </c>
      <c r="AZ7" s="105" t="s">
        <v>99</v>
      </c>
      <c r="BA7" s="106" t="s">
        <v>100</v>
      </c>
      <c r="BB7" s="107" t="s">
        <v>101</v>
      </c>
      <c r="BC7" s="107" t="s">
        <v>102</v>
      </c>
      <c r="BD7" s="107" t="s">
        <v>103</v>
      </c>
      <c r="BE7" s="107" t="s">
        <v>104</v>
      </c>
      <c r="BF7" s="107" t="s">
        <v>105</v>
      </c>
      <c r="BG7" s="107" t="s">
        <v>106</v>
      </c>
      <c r="BH7" s="107" t="s">
        <v>107</v>
      </c>
      <c r="BI7" s="108" t="s">
        <v>108</v>
      </c>
      <c r="BJ7" s="109" t="s">
        <v>109</v>
      </c>
      <c r="BK7" s="110" t="s">
        <v>110</v>
      </c>
      <c r="BL7" s="111" t="s">
        <v>111</v>
      </c>
      <c r="BM7" s="111" t="s">
        <v>112</v>
      </c>
      <c r="BN7" s="112" t="s">
        <v>113</v>
      </c>
      <c r="BO7" s="113" t="s">
        <v>114</v>
      </c>
      <c r="BP7" s="63"/>
      <c r="BQ7" s="90" t="s">
        <v>115</v>
      </c>
      <c r="BR7" s="114" t="s">
        <v>116</v>
      </c>
      <c r="BS7" s="115" t="s">
        <v>117</v>
      </c>
      <c r="BT7" s="63"/>
      <c r="BU7" s="63"/>
      <c r="BV7" s="89"/>
      <c r="BW7" s="89"/>
      <c r="BX7" s="116" t="s">
        <v>118</v>
      </c>
      <c r="BY7" s="101" t="s">
        <v>119</v>
      </c>
      <c r="BZ7" s="101" t="s">
        <v>120</v>
      </c>
      <c r="CA7" s="101" t="s">
        <v>121</v>
      </c>
      <c r="CB7" s="101" t="s">
        <v>122</v>
      </c>
      <c r="CC7" s="117" t="s">
        <v>123</v>
      </c>
      <c r="CD7" s="111" t="s">
        <v>124</v>
      </c>
      <c r="CE7" s="113" t="s">
        <v>125</v>
      </c>
      <c r="CF7" s="118" t="s">
        <v>126</v>
      </c>
      <c r="CG7" s="119" t="s">
        <v>127</v>
      </c>
      <c r="CH7" s="120" t="s">
        <v>128</v>
      </c>
      <c r="CI7" s="121" t="s">
        <v>129</v>
      </c>
      <c r="CJ7" s="122" t="s">
        <v>130</v>
      </c>
      <c r="CK7" s="123" t="s">
        <v>131</v>
      </c>
      <c r="CL7" s="122" t="s">
        <v>132</v>
      </c>
      <c r="CM7" s="123" t="s">
        <v>133</v>
      </c>
      <c r="CN7" s="122" t="s">
        <v>134</v>
      </c>
      <c r="CO7" s="123" t="s">
        <v>135</v>
      </c>
      <c r="CP7" s="89"/>
      <c r="CQ7" s="69"/>
      <c r="CR7" s="69"/>
      <c r="CS7" s="124"/>
      <c r="CT7" s="89"/>
      <c r="CU7" s="88"/>
    </row>
    <row r="8" ht="55.5" customHeight="1">
      <c r="A8" s="125">
        <v>1.0</v>
      </c>
      <c r="B8" s="126" t="s">
        <v>136</v>
      </c>
      <c r="C8" s="127">
        <v>1.0</v>
      </c>
      <c r="D8" s="128" t="s">
        <v>137</v>
      </c>
      <c r="E8" s="129"/>
      <c r="F8" s="130"/>
      <c r="G8" s="130"/>
      <c r="H8" s="130"/>
      <c r="I8" s="130"/>
      <c r="J8" s="130"/>
      <c r="K8" s="131"/>
      <c r="L8" s="131"/>
      <c r="M8" s="131"/>
      <c r="N8" s="131"/>
      <c r="O8" s="132">
        <f t="shared" ref="O8:O13" si="1">IF(AND(M8&lt;&gt;0,M8&lt;&gt;"m",M8&lt;&gt;"",RIGHT(K8,3)="Lec"),1,IF(AND(M8&lt;&gt;0,M8&lt;&gt;"m",M8&lt;&gt;"",OR(RIGHT(K8,3)="Lab",RIGHT(K8,3)="Tut")),0.5,IF(AND(M8&lt;&gt;0,M8&lt;&gt;"m",M8&lt;&gt;"",RIGHT(K8,2)="TL"),0.75,0)))</f>
        <v>0</v>
      </c>
      <c r="P8" s="133">
        <f>COUNTIF(K8:K18,"TL")*0.75+COUNTIF(K8:K18,"Lec")*1+COUNTIF(K8:K18,"Lab")*0.5</f>
        <v>0</v>
      </c>
      <c r="Q8" s="134">
        <f>SUM((IF(LEFT(K8,1)="E",O8,0)),(IF(LEFT(K9,1)="E",O9,0)),(IF(LEFT(K10,1)="E",O10,0)),(IF(LEFT(K11,1)="E",O11,0)),(IF(LEFT(K12,1)="E",O12,0)),(IF(LEFT(K13,1)="E",O13,0)),(IF(LEFT(K14,1)="E",O14,0)),(IF(LEFT(K15,1)="E",O15,0)),(IF(LEFT(K16,1)="E",O16,0)),(IF(LEFT(K17,1)="E",O17,0)),(IF(LEFT(K18,1)="E",O18,0)))</f>
        <v>0</v>
      </c>
      <c r="R8" s="135">
        <f>SUM(IF(M14&lt;20,IF(K14="Plec",-1,IF(K14="PTL",-0.75,IF(K14="Plab",-0.5,0))),0),IF(M15&lt;20,IF(K15="Plec",-1,IF(K15="PTL",-0.75,IF(K15="Plab",-0.5,0))),0),IF(M16&lt;20,IF(K16="Plec",-1,IF(K16="PTL",-0.75,IF(K16="Plab",-0.5,0))),0),IF(M17&lt;20,IF(K17="Plec",-1,IF(K17="PTL",-0.75,IF(K17="Plab",-0.5,0))),0))</f>
        <v>0</v>
      </c>
      <c r="S8" s="134">
        <f>SUM(P8:R18)</f>
        <v>0</v>
      </c>
      <c r="T8" s="136">
        <f>SUM(IF(M8="M",IF(OR(K8="lec",K8="plec",K8="slec"),1,IF(OR(K8="lab",K8="plab",K8="slab",K8="tut",K8="ptut",K8="stut"),0.5,IF(OR(K8="TL",K8="pTL",K8="STL"),0.75,0))),0),IF(M9="M",IF(OR(K9="lec",K9="plec",K9="slec"),1,IF(OR(K9="lab",K9="plab",K9="slab",K9="tut",K9="ptut",K9="stut"),0.5,IF(OR(K9="TL",K9="pTL",K9="STL"),0.75,0))),0),IF(M10="M",IF(OR(K10="lec",K10="plec",K10="slec"),1,IF(OR(K10="lab",K10="plab",K10="slab",K10="tut",K10="ptut",K10="stut"),0.5,IF(OR(K10="TL",K10="pTL",K10="STL"),0.75,0))),0),IF(M11="M",IF(OR(K11="lec",K11="plec",K11="slec"),1,IF(OR(K11="lab",K11="plab",K11="slab",K11="tut",K11="ptut",K11="stut"),0.5,IF(OR(K11="TL",K11="pTL",K11="STL"),0.75,0))),0),IF(M12="M",IF(OR(K12="lec",K12="plec",K12="slec"),1,IF(OR(K12="lab",K12="plab",K12="slab",K12="tut",K12="ptut",K12="stut"),0.5,IF(OR(K12="TL",K12="pTL",K12="STL"),0.75,0))),0),IF(M13="M",IF(OR(K13="lec",K13="plec",K13="slec"),1,IF(OR(K13="lab",K13="plab",K13="slab",K13="tut",K13="ptut",K13="stut"),0.5,IF(OR(K13="TL",K13="pTL",K13="STL"),0.75,0))),0),IF(M14="M",IF(OR(K14="lec",K14="plec",K14="slec"),1,IF(OR(K14="lab",K14="plab",K14="slab",K14="tut",K14="ptut",K14="stut"),0.5,IF(OR(K14="TL",K14="pTL",K14="STL"),0.75,0))),0),IF(M15="M",IF(OR(K15="lec",K15="plec",K15="slec"),1,IF(OR(K15="lab",K15="plab",K15="slab",K15="tut",K15="ptut",K15="stut"),0.5,IF(OR(K15="TL",K15="pTL",K15="STL"),0.75,0))),0),IF(M16="M",IF(OR(K16="lec",K16="plec",K16="slec"),1,IF(OR(K16="lab",K16="plab",K16="slab",K16="tut",K16="ptut",K16="stut"),0.5,IF(OR(K16="TL",K16="pTL",K16="STL"),0.75,0))),0),IF(M17="M",IF(OR(K17="lec",K17="plec",K17="slec"),1,IF(OR(K17="lab",K17="plab",K17="slab",K17="tut",K17="ptut",K17="stut"),0.5,IF(OR(K17="TL",K17="pTL",K17="STL"),0.75,0))),0),IF(M18="M",IF(OR(K18="lec",K18="plec",K18="slec"),1,IF(OR(K18="lab",K18="plab",K18="slab",K18="tut",K18="ptut",K18="stut"),0.5,IF(OR(K18="TL",K18="pTL",K18="STL"),0.75,0))),0))</f>
        <v>0</v>
      </c>
      <c r="U8" s="137"/>
      <c r="V8" s="133"/>
      <c r="W8" s="138"/>
      <c r="X8" s="139">
        <f>S8-(T8+U8+V8+W8)</f>
        <v>0</v>
      </c>
      <c r="Y8" s="134" t="str">
        <f>CONCATENATE(SUM(O8:O18),"(",SUM(O8:O18)-X8,")")</f>
        <v>0(0)</v>
      </c>
      <c r="Z8" s="140"/>
      <c r="AA8" s="141" t="s">
        <v>138</v>
      </c>
      <c r="AB8" s="142" t="s">
        <v>139</v>
      </c>
      <c r="AC8" s="142" t="s">
        <v>140</v>
      </c>
      <c r="AD8" s="142">
        <v>193.0</v>
      </c>
      <c r="AE8" s="142" t="s">
        <v>141</v>
      </c>
      <c r="AF8" s="142">
        <v>7.016117524E9</v>
      </c>
      <c r="AG8" s="142">
        <v>1.0</v>
      </c>
      <c r="AH8" s="142"/>
      <c r="AI8" s="143"/>
      <c r="AJ8" s="144"/>
      <c r="AK8" s="145"/>
      <c r="AL8" s="145"/>
      <c r="AM8" s="145"/>
      <c r="AN8" s="145"/>
      <c r="AO8" s="146"/>
      <c r="AP8" s="147">
        <f>SUM(SUM(O8:O18),SUM(AI8:AI18)/2,AM8)</f>
        <v>0</v>
      </c>
      <c r="AQ8" s="148"/>
      <c r="AR8" s="148">
        <f>AP8*AQ8</f>
        <v>0</v>
      </c>
      <c r="AS8" s="148">
        <f>CT8</f>
        <v>1</v>
      </c>
      <c r="AT8" s="149">
        <f>AR8*0.75+AS8*0.25</f>
        <v>0.25</v>
      </c>
      <c r="AU8" s="150"/>
      <c r="AV8" s="151"/>
      <c r="AW8" s="151"/>
      <c r="AX8" s="152"/>
      <c r="AY8" s="153"/>
      <c r="AZ8" s="140"/>
      <c r="BA8" s="150"/>
      <c r="BB8" s="151"/>
      <c r="BC8" s="151"/>
      <c r="BD8" s="151"/>
      <c r="BE8" s="151"/>
      <c r="BF8" s="151"/>
      <c r="BG8" s="151"/>
      <c r="BH8" s="151"/>
      <c r="BI8" s="152"/>
      <c r="BJ8" s="154"/>
      <c r="BK8" s="151"/>
      <c r="BL8" s="151"/>
      <c r="BM8" s="151"/>
      <c r="BN8" s="151"/>
      <c r="BO8" s="155"/>
      <c r="BP8" s="140"/>
      <c r="BQ8" s="156"/>
      <c r="BR8" s="157"/>
      <c r="BS8" s="158"/>
      <c r="BT8" s="153"/>
      <c r="BU8" s="140">
        <v>1.0</v>
      </c>
      <c r="BV8" s="140"/>
      <c r="BW8" s="140"/>
      <c r="BX8" s="140"/>
      <c r="BY8" s="140"/>
      <c r="BZ8" s="140"/>
      <c r="CA8" s="140"/>
      <c r="CB8" s="140"/>
      <c r="CC8" s="140"/>
      <c r="CD8" s="150"/>
      <c r="CE8" s="155"/>
      <c r="CF8" s="150" t="s">
        <v>142</v>
      </c>
      <c r="CG8" s="155"/>
      <c r="CH8" s="159"/>
      <c r="CI8" s="160"/>
      <c r="CJ8" s="159"/>
      <c r="CK8" s="160"/>
      <c r="CL8" s="161"/>
      <c r="CM8" s="160"/>
      <c r="CN8" s="159"/>
      <c r="CO8" s="160"/>
      <c r="CP8" s="159"/>
      <c r="CQ8" s="162"/>
      <c r="CR8" s="160"/>
      <c r="CS8" s="163">
        <f>SUM(CS19:CS305)</f>
        <v>3</v>
      </c>
      <c r="CT8" s="164">
        <f>SUM(AU8,AV8,AW8,AX8/400,AY8,AZ8,BG8,BH8*0.5,BI8*0.25,BJ8,BK8,BL8,BM8,BN8,BO8,BP8,BR8/20,BS8/100,BT8/60,BU8,BV8,BW8,BX8/4,SUM(BY8:CC18)/3,CE8,CG8/3,CI8,CK8,CM8,CO8,CQ8,CR8)</f>
        <v>1</v>
      </c>
      <c r="CU8" s="165" t="str">
        <f t="shared" ref="CU8:CU315" si="2">D8</f>
        <v>STS</v>
      </c>
    </row>
    <row r="9" ht="60.0" customHeight="1">
      <c r="A9" s="65"/>
      <c r="B9" s="166"/>
      <c r="C9" s="167">
        <v>2.0</v>
      </c>
      <c r="D9" s="168" t="s">
        <v>137</v>
      </c>
      <c r="E9" s="169"/>
      <c r="F9" s="170"/>
      <c r="G9" s="170"/>
      <c r="H9" s="170"/>
      <c r="I9" s="170"/>
      <c r="J9" s="170"/>
      <c r="K9" s="171"/>
      <c r="L9" s="171"/>
      <c r="M9" s="171"/>
      <c r="N9" s="171"/>
      <c r="O9" s="172">
        <f t="shared" si="1"/>
        <v>0</v>
      </c>
      <c r="P9" s="166"/>
      <c r="Q9" s="173"/>
      <c r="R9" s="65"/>
      <c r="S9" s="173"/>
      <c r="T9" s="173"/>
      <c r="U9" s="166"/>
      <c r="V9" s="166"/>
      <c r="W9" s="65"/>
      <c r="X9" s="66"/>
      <c r="Y9" s="173"/>
      <c r="Z9" s="166"/>
      <c r="AA9" s="174" t="s">
        <v>138</v>
      </c>
      <c r="AB9" s="175" t="s">
        <v>139</v>
      </c>
      <c r="AC9" s="175" t="s">
        <v>140</v>
      </c>
      <c r="AD9" s="175">
        <v>203.0</v>
      </c>
      <c r="AE9" s="175" t="s">
        <v>143</v>
      </c>
      <c r="AF9" s="175">
        <v>7.862806197E9</v>
      </c>
      <c r="AG9" s="175">
        <v>1.0</v>
      </c>
      <c r="AH9" s="175"/>
      <c r="AI9" s="176"/>
      <c r="AJ9" s="177"/>
      <c r="AK9" s="178"/>
      <c r="AL9" s="178"/>
      <c r="AM9" s="178"/>
      <c r="AN9" s="178"/>
      <c r="AO9" s="179"/>
      <c r="AP9" s="64"/>
      <c r="AQ9" s="65"/>
      <c r="AR9" s="65"/>
      <c r="AS9" s="65"/>
      <c r="AT9" s="173"/>
      <c r="AU9" s="177"/>
      <c r="AV9" s="178"/>
      <c r="AW9" s="178"/>
      <c r="AX9" s="179"/>
      <c r="AZ9" s="166"/>
      <c r="BA9" s="177"/>
      <c r="BB9" s="178"/>
      <c r="BC9" s="178"/>
      <c r="BD9" s="178"/>
      <c r="BE9" s="178"/>
      <c r="BF9" s="178"/>
      <c r="BG9" s="178"/>
      <c r="BH9" s="178"/>
      <c r="BI9" s="179"/>
      <c r="BJ9" s="180"/>
      <c r="BK9" s="178"/>
      <c r="BL9" s="178"/>
      <c r="BM9" s="178"/>
      <c r="BN9" s="178"/>
      <c r="BO9" s="181"/>
      <c r="BP9" s="166"/>
      <c r="BQ9" s="177"/>
      <c r="BR9" s="178"/>
      <c r="BS9" s="179"/>
      <c r="BU9" s="166"/>
      <c r="BV9" s="166"/>
      <c r="BW9" s="166"/>
      <c r="BX9" s="166"/>
      <c r="BY9" s="166"/>
      <c r="BZ9" s="166"/>
      <c r="CA9" s="166"/>
      <c r="CB9" s="166"/>
      <c r="CC9" s="166"/>
      <c r="CD9" s="177"/>
      <c r="CE9" s="181"/>
      <c r="CF9" s="177"/>
      <c r="CG9" s="181"/>
      <c r="CH9" s="177"/>
      <c r="CI9" s="182"/>
      <c r="CJ9" s="177"/>
      <c r="CK9" s="182"/>
      <c r="CL9" s="178"/>
      <c r="CM9" s="182"/>
      <c r="CN9" s="177"/>
      <c r="CO9" s="182"/>
      <c r="CP9" s="177"/>
      <c r="CQ9" s="178"/>
      <c r="CR9" s="182"/>
      <c r="CS9" s="65"/>
      <c r="CT9" s="64"/>
      <c r="CU9" s="165" t="str">
        <f t="shared" si="2"/>
        <v>STS</v>
      </c>
    </row>
    <row r="10" ht="60.0" customHeight="1">
      <c r="A10" s="65"/>
      <c r="B10" s="166"/>
      <c r="C10" s="167">
        <v>3.0</v>
      </c>
      <c r="D10" s="168" t="s">
        <v>137</v>
      </c>
      <c r="E10" s="169"/>
      <c r="F10" s="170"/>
      <c r="G10" s="170"/>
      <c r="H10" s="170"/>
      <c r="I10" s="170"/>
      <c r="J10" s="170"/>
      <c r="K10" s="171"/>
      <c r="L10" s="171"/>
      <c r="M10" s="171"/>
      <c r="N10" s="171"/>
      <c r="O10" s="172">
        <f t="shared" si="1"/>
        <v>0</v>
      </c>
      <c r="P10" s="166"/>
      <c r="Q10" s="173"/>
      <c r="R10" s="65"/>
      <c r="S10" s="173"/>
      <c r="T10" s="173"/>
      <c r="U10" s="166"/>
      <c r="V10" s="166"/>
      <c r="W10" s="65"/>
      <c r="X10" s="66"/>
      <c r="Y10" s="173"/>
      <c r="Z10" s="166"/>
      <c r="AA10" s="174" t="s">
        <v>138</v>
      </c>
      <c r="AB10" s="175" t="s">
        <v>139</v>
      </c>
      <c r="AC10" s="175" t="s">
        <v>140</v>
      </c>
      <c r="AD10" s="175">
        <v>190.0</v>
      </c>
      <c r="AE10" s="175" t="s">
        <v>144</v>
      </c>
      <c r="AF10" s="175">
        <v>6.351338386E9</v>
      </c>
      <c r="AG10" s="175">
        <v>1.0</v>
      </c>
      <c r="AH10" s="175"/>
      <c r="AI10" s="176"/>
      <c r="AJ10" s="177"/>
      <c r="AK10" s="178"/>
      <c r="AL10" s="178"/>
      <c r="AM10" s="178"/>
      <c r="AN10" s="178"/>
      <c r="AO10" s="179"/>
      <c r="AP10" s="64"/>
      <c r="AQ10" s="65"/>
      <c r="AR10" s="65"/>
      <c r="AS10" s="65"/>
      <c r="AT10" s="173"/>
      <c r="AU10" s="177"/>
      <c r="AV10" s="178"/>
      <c r="AW10" s="178"/>
      <c r="AX10" s="179"/>
      <c r="AZ10" s="166"/>
      <c r="BA10" s="177"/>
      <c r="BB10" s="178"/>
      <c r="BC10" s="178"/>
      <c r="BD10" s="178"/>
      <c r="BE10" s="178"/>
      <c r="BF10" s="178"/>
      <c r="BG10" s="178"/>
      <c r="BH10" s="178"/>
      <c r="BI10" s="179"/>
      <c r="BJ10" s="180"/>
      <c r="BK10" s="178"/>
      <c r="BL10" s="178"/>
      <c r="BM10" s="178"/>
      <c r="BN10" s="178"/>
      <c r="BO10" s="181"/>
      <c r="BP10" s="166"/>
      <c r="BQ10" s="177"/>
      <c r="BR10" s="178"/>
      <c r="BS10" s="179"/>
      <c r="BU10" s="166"/>
      <c r="BV10" s="166"/>
      <c r="BW10" s="166"/>
      <c r="BX10" s="166"/>
      <c r="BY10" s="166"/>
      <c r="BZ10" s="166"/>
      <c r="CA10" s="166"/>
      <c r="CB10" s="166"/>
      <c r="CC10" s="166"/>
      <c r="CD10" s="177"/>
      <c r="CE10" s="181"/>
      <c r="CF10" s="177"/>
      <c r="CG10" s="181"/>
      <c r="CH10" s="177"/>
      <c r="CI10" s="182"/>
      <c r="CJ10" s="177"/>
      <c r="CK10" s="182"/>
      <c r="CL10" s="178"/>
      <c r="CM10" s="182"/>
      <c r="CN10" s="177"/>
      <c r="CO10" s="182"/>
      <c r="CP10" s="177"/>
      <c r="CQ10" s="178"/>
      <c r="CR10" s="182"/>
      <c r="CS10" s="65"/>
      <c r="CT10" s="64"/>
      <c r="CU10" s="165" t="str">
        <f t="shared" si="2"/>
        <v>STS</v>
      </c>
    </row>
    <row r="11" ht="60.0" customHeight="1">
      <c r="A11" s="65"/>
      <c r="B11" s="166"/>
      <c r="C11" s="167">
        <v>4.0</v>
      </c>
      <c r="D11" s="168" t="s">
        <v>137</v>
      </c>
      <c r="E11" s="169"/>
      <c r="F11" s="170"/>
      <c r="G11" s="170"/>
      <c r="H11" s="170"/>
      <c r="I11" s="170"/>
      <c r="J11" s="170"/>
      <c r="K11" s="171"/>
      <c r="L11" s="171"/>
      <c r="M11" s="171"/>
      <c r="N11" s="171"/>
      <c r="O11" s="172">
        <f t="shared" si="1"/>
        <v>0</v>
      </c>
      <c r="P11" s="166"/>
      <c r="Q11" s="173"/>
      <c r="R11" s="65"/>
      <c r="S11" s="173"/>
      <c r="T11" s="173"/>
      <c r="U11" s="166"/>
      <c r="V11" s="166"/>
      <c r="W11" s="65"/>
      <c r="X11" s="66"/>
      <c r="Y11" s="173"/>
      <c r="Z11" s="166"/>
      <c r="AA11" s="174" t="s">
        <v>138</v>
      </c>
      <c r="AB11" s="175" t="s">
        <v>139</v>
      </c>
      <c r="AC11" s="175" t="s">
        <v>140</v>
      </c>
      <c r="AD11" s="175">
        <v>208.0</v>
      </c>
      <c r="AE11" s="175" t="s">
        <v>145</v>
      </c>
      <c r="AF11" s="175">
        <v>6.351655644E9</v>
      </c>
      <c r="AG11" s="175">
        <v>1.0</v>
      </c>
      <c r="AH11" s="175"/>
      <c r="AI11" s="176"/>
      <c r="AJ11" s="177"/>
      <c r="AK11" s="178"/>
      <c r="AL11" s="178"/>
      <c r="AM11" s="178"/>
      <c r="AN11" s="178"/>
      <c r="AO11" s="179"/>
      <c r="AP11" s="64"/>
      <c r="AQ11" s="65"/>
      <c r="AR11" s="65"/>
      <c r="AS11" s="65"/>
      <c r="AT11" s="173"/>
      <c r="AU11" s="177"/>
      <c r="AV11" s="178"/>
      <c r="AW11" s="178"/>
      <c r="AX11" s="179"/>
      <c r="AZ11" s="166"/>
      <c r="BA11" s="177"/>
      <c r="BB11" s="178"/>
      <c r="BC11" s="178"/>
      <c r="BD11" s="178"/>
      <c r="BE11" s="178"/>
      <c r="BF11" s="178"/>
      <c r="BG11" s="178"/>
      <c r="BH11" s="178"/>
      <c r="BI11" s="179"/>
      <c r="BJ11" s="180"/>
      <c r="BK11" s="178"/>
      <c r="BL11" s="178"/>
      <c r="BM11" s="178"/>
      <c r="BN11" s="178"/>
      <c r="BO11" s="181"/>
      <c r="BP11" s="166"/>
      <c r="BQ11" s="177"/>
      <c r="BR11" s="178"/>
      <c r="BS11" s="179"/>
      <c r="BU11" s="166"/>
      <c r="BV11" s="166"/>
      <c r="BW11" s="166"/>
      <c r="BX11" s="166"/>
      <c r="BY11" s="166"/>
      <c r="BZ11" s="166"/>
      <c r="CA11" s="166"/>
      <c r="CB11" s="166"/>
      <c r="CC11" s="166"/>
      <c r="CD11" s="177"/>
      <c r="CE11" s="181"/>
      <c r="CF11" s="177"/>
      <c r="CG11" s="181"/>
      <c r="CH11" s="177"/>
      <c r="CI11" s="182"/>
      <c r="CJ11" s="177"/>
      <c r="CK11" s="182"/>
      <c r="CL11" s="178"/>
      <c r="CM11" s="182"/>
      <c r="CN11" s="177"/>
      <c r="CO11" s="182"/>
      <c r="CP11" s="177"/>
      <c r="CQ11" s="178"/>
      <c r="CR11" s="182"/>
      <c r="CS11" s="65"/>
      <c r="CT11" s="64"/>
      <c r="CU11" s="165" t="str">
        <f t="shared" si="2"/>
        <v>STS</v>
      </c>
    </row>
    <row r="12" ht="60.0" customHeight="1">
      <c r="A12" s="65"/>
      <c r="B12" s="166"/>
      <c r="C12" s="167">
        <v>5.0</v>
      </c>
      <c r="D12" s="168" t="s">
        <v>137</v>
      </c>
      <c r="E12" s="169"/>
      <c r="F12" s="170"/>
      <c r="G12" s="170"/>
      <c r="H12" s="170"/>
      <c r="I12" s="170"/>
      <c r="J12" s="170"/>
      <c r="K12" s="171"/>
      <c r="L12" s="171"/>
      <c r="M12" s="171"/>
      <c r="N12" s="171"/>
      <c r="O12" s="172">
        <f t="shared" si="1"/>
        <v>0</v>
      </c>
      <c r="P12" s="166"/>
      <c r="Q12" s="173"/>
      <c r="R12" s="65"/>
      <c r="S12" s="173"/>
      <c r="T12" s="173"/>
      <c r="U12" s="166"/>
      <c r="V12" s="166"/>
      <c r="W12" s="65"/>
      <c r="X12" s="66"/>
      <c r="Y12" s="173"/>
      <c r="Z12" s="166"/>
      <c r="AA12" s="174"/>
      <c r="AB12" s="175"/>
      <c r="AC12" s="175"/>
      <c r="AD12" s="175"/>
      <c r="AE12" s="175"/>
      <c r="AF12" s="175"/>
      <c r="AG12" s="175"/>
      <c r="AH12" s="175"/>
      <c r="AI12" s="176"/>
      <c r="AJ12" s="177"/>
      <c r="AK12" s="178"/>
      <c r="AL12" s="178"/>
      <c r="AM12" s="178"/>
      <c r="AN12" s="178"/>
      <c r="AO12" s="179"/>
      <c r="AP12" s="64"/>
      <c r="AQ12" s="65"/>
      <c r="AR12" s="65"/>
      <c r="AS12" s="65"/>
      <c r="AT12" s="173"/>
      <c r="AU12" s="177"/>
      <c r="AV12" s="178"/>
      <c r="AW12" s="178"/>
      <c r="AX12" s="179"/>
      <c r="AZ12" s="166"/>
      <c r="BA12" s="177"/>
      <c r="BB12" s="178"/>
      <c r="BC12" s="178"/>
      <c r="BD12" s="178"/>
      <c r="BE12" s="178"/>
      <c r="BF12" s="178"/>
      <c r="BG12" s="178"/>
      <c r="BH12" s="178"/>
      <c r="BI12" s="179"/>
      <c r="BJ12" s="180"/>
      <c r="BK12" s="178"/>
      <c r="BL12" s="178"/>
      <c r="BM12" s="178"/>
      <c r="BN12" s="178"/>
      <c r="BO12" s="181"/>
      <c r="BP12" s="166"/>
      <c r="BQ12" s="177"/>
      <c r="BR12" s="178"/>
      <c r="BS12" s="179"/>
      <c r="BU12" s="166"/>
      <c r="BV12" s="166"/>
      <c r="BW12" s="166"/>
      <c r="BX12" s="166"/>
      <c r="BY12" s="166"/>
      <c r="BZ12" s="166"/>
      <c r="CA12" s="166"/>
      <c r="CB12" s="166"/>
      <c r="CC12" s="166"/>
      <c r="CD12" s="177"/>
      <c r="CE12" s="181"/>
      <c r="CF12" s="177"/>
      <c r="CG12" s="181"/>
      <c r="CH12" s="177"/>
      <c r="CI12" s="182"/>
      <c r="CJ12" s="177"/>
      <c r="CK12" s="182"/>
      <c r="CL12" s="178"/>
      <c r="CM12" s="182"/>
      <c r="CN12" s="177"/>
      <c r="CO12" s="182"/>
      <c r="CP12" s="177"/>
      <c r="CQ12" s="178"/>
      <c r="CR12" s="182"/>
      <c r="CS12" s="65"/>
      <c r="CT12" s="64"/>
      <c r="CU12" s="165" t="str">
        <f t="shared" si="2"/>
        <v>STS</v>
      </c>
    </row>
    <row r="13" ht="60.0" customHeight="1">
      <c r="A13" s="65"/>
      <c r="B13" s="166"/>
      <c r="C13" s="167">
        <v>6.0</v>
      </c>
      <c r="D13" s="168" t="s">
        <v>137</v>
      </c>
      <c r="E13" s="169"/>
      <c r="F13" s="170"/>
      <c r="G13" s="170"/>
      <c r="H13" s="170"/>
      <c r="I13" s="170"/>
      <c r="J13" s="170"/>
      <c r="K13" s="171"/>
      <c r="L13" s="171"/>
      <c r="M13" s="171"/>
      <c r="N13" s="171"/>
      <c r="O13" s="172">
        <f t="shared" si="1"/>
        <v>0</v>
      </c>
      <c r="P13" s="166"/>
      <c r="Q13" s="173"/>
      <c r="R13" s="65"/>
      <c r="S13" s="173"/>
      <c r="T13" s="173"/>
      <c r="U13" s="166"/>
      <c r="V13" s="166"/>
      <c r="W13" s="65"/>
      <c r="X13" s="66"/>
      <c r="Y13" s="173"/>
      <c r="Z13" s="166"/>
      <c r="AA13" s="174"/>
      <c r="AB13" s="175"/>
      <c r="AC13" s="175"/>
      <c r="AD13" s="175"/>
      <c r="AE13" s="175"/>
      <c r="AF13" s="175"/>
      <c r="AG13" s="175"/>
      <c r="AH13" s="175"/>
      <c r="AI13" s="176"/>
      <c r="AJ13" s="177"/>
      <c r="AK13" s="178"/>
      <c r="AL13" s="178"/>
      <c r="AM13" s="178"/>
      <c r="AN13" s="178"/>
      <c r="AO13" s="179"/>
      <c r="AP13" s="64"/>
      <c r="AQ13" s="65"/>
      <c r="AR13" s="65"/>
      <c r="AS13" s="65"/>
      <c r="AT13" s="173"/>
      <c r="AU13" s="177"/>
      <c r="AV13" s="178"/>
      <c r="AW13" s="178"/>
      <c r="AX13" s="179"/>
      <c r="AZ13" s="166"/>
      <c r="BA13" s="177"/>
      <c r="BB13" s="178"/>
      <c r="BC13" s="178"/>
      <c r="BD13" s="178"/>
      <c r="BE13" s="178"/>
      <c r="BF13" s="178"/>
      <c r="BG13" s="178"/>
      <c r="BH13" s="178"/>
      <c r="BI13" s="179"/>
      <c r="BJ13" s="180"/>
      <c r="BK13" s="178"/>
      <c r="BL13" s="178"/>
      <c r="BM13" s="178"/>
      <c r="BN13" s="178"/>
      <c r="BO13" s="181"/>
      <c r="BP13" s="166"/>
      <c r="BQ13" s="177"/>
      <c r="BR13" s="178"/>
      <c r="BS13" s="179"/>
      <c r="BU13" s="166"/>
      <c r="BV13" s="166"/>
      <c r="BW13" s="166"/>
      <c r="BX13" s="166"/>
      <c r="BY13" s="166"/>
      <c r="BZ13" s="166"/>
      <c r="CA13" s="166"/>
      <c r="CB13" s="166"/>
      <c r="CC13" s="166"/>
      <c r="CD13" s="177"/>
      <c r="CE13" s="181"/>
      <c r="CF13" s="177"/>
      <c r="CG13" s="181"/>
      <c r="CH13" s="177"/>
      <c r="CI13" s="182"/>
      <c r="CJ13" s="177"/>
      <c r="CK13" s="182"/>
      <c r="CL13" s="178"/>
      <c r="CM13" s="182"/>
      <c r="CN13" s="177"/>
      <c r="CO13" s="182"/>
      <c r="CP13" s="177"/>
      <c r="CQ13" s="178"/>
      <c r="CR13" s="182"/>
      <c r="CS13" s="65"/>
      <c r="CT13" s="64"/>
      <c r="CU13" s="165" t="str">
        <f t="shared" si="2"/>
        <v>STS</v>
      </c>
    </row>
    <row r="14" ht="60.0" customHeight="1">
      <c r="A14" s="65"/>
      <c r="B14" s="166"/>
      <c r="C14" s="167">
        <v>7.0</v>
      </c>
      <c r="D14" s="168" t="s">
        <v>137</v>
      </c>
      <c r="E14" s="169"/>
      <c r="F14" s="170"/>
      <c r="G14" s="170"/>
      <c r="H14" s="170"/>
      <c r="I14" s="170"/>
      <c r="J14" s="170"/>
      <c r="K14" s="171"/>
      <c r="L14" s="171"/>
      <c r="M14" s="171"/>
      <c r="N14" s="171"/>
      <c r="O14" s="172">
        <f t="shared" ref="O14:O17" si="3">IF(AND(M14&gt;=20,M14&lt;&gt;"m",RIGHT(K14,3)="Lec"),1,IF(AND(M14&gt;=20,M14&lt;&gt;"m",OR(RIGHT(K14,3)="Lab",RIGHT(K14,3)="Tut")),0.5,IF(AND(M14&gt;=20,M14&lt;&gt;"m",RIGHT(K14,2)="TL"),0.75,0)))</f>
        <v>0</v>
      </c>
      <c r="P14" s="166"/>
      <c r="Q14" s="173"/>
      <c r="R14" s="65"/>
      <c r="S14" s="173"/>
      <c r="T14" s="173"/>
      <c r="U14" s="166"/>
      <c r="V14" s="166"/>
      <c r="W14" s="65"/>
      <c r="X14" s="66"/>
      <c r="Y14" s="173"/>
      <c r="Z14" s="166"/>
      <c r="AA14" s="174"/>
      <c r="AB14" s="175"/>
      <c r="AC14" s="175"/>
      <c r="AD14" s="175"/>
      <c r="AE14" s="175"/>
      <c r="AF14" s="175"/>
      <c r="AG14" s="175"/>
      <c r="AH14" s="175"/>
      <c r="AI14" s="176"/>
      <c r="AJ14" s="177"/>
      <c r="AK14" s="178"/>
      <c r="AL14" s="178"/>
      <c r="AM14" s="178"/>
      <c r="AN14" s="178"/>
      <c r="AO14" s="179"/>
      <c r="AP14" s="64"/>
      <c r="AQ14" s="65"/>
      <c r="AR14" s="65"/>
      <c r="AS14" s="65"/>
      <c r="AT14" s="173"/>
      <c r="AU14" s="177"/>
      <c r="AV14" s="178"/>
      <c r="AW14" s="178"/>
      <c r="AX14" s="179"/>
      <c r="AZ14" s="166"/>
      <c r="BA14" s="177"/>
      <c r="BB14" s="178"/>
      <c r="BC14" s="178"/>
      <c r="BD14" s="178"/>
      <c r="BE14" s="178"/>
      <c r="BF14" s="178"/>
      <c r="BG14" s="178"/>
      <c r="BH14" s="178"/>
      <c r="BI14" s="179"/>
      <c r="BJ14" s="180"/>
      <c r="BK14" s="178"/>
      <c r="BL14" s="178"/>
      <c r="BM14" s="178"/>
      <c r="BN14" s="178"/>
      <c r="BO14" s="181"/>
      <c r="BP14" s="166"/>
      <c r="BQ14" s="177"/>
      <c r="BR14" s="178"/>
      <c r="BS14" s="179"/>
      <c r="BU14" s="166"/>
      <c r="BV14" s="166"/>
      <c r="BW14" s="166"/>
      <c r="BX14" s="166"/>
      <c r="BY14" s="166"/>
      <c r="BZ14" s="166"/>
      <c r="CA14" s="166"/>
      <c r="CB14" s="166"/>
      <c r="CC14" s="166"/>
      <c r="CD14" s="177"/>
      <c r="CE14" s="181"/>
      <c r="CF14" s="177"/>
      <c r="CG14" s="181"/>
      <c r="CH14" s="177"/>
      <c r="CI14" s="182"/>
      <c r="CJ14" s="177"/>
      <c r="CK14" s="182"/>
      <c r="CL14" s="178"/>
      <c r="CM14" s="182"/>
      <c r="CN14" s="177"/>
      <c r="CO14" s="182"/>
      <c r="CP14" s="177"/>
      <c r="CQ14" s="178"/>
      <c r="CR14" s="182"/>
      <c r="CS14" s="65"/>
      <c r="CT14" s="64"/>
      <c r="CU14" s="165" t="str">
        <f t="shared" si="2"/>
        <v>STS</v>
      </c>
    </row>
    <row r="15" ht="60.0" customHeight="1">
      <c r="A15" s="65"/>
      <c r="B15" s="166"/>
      <c r="C15" s="167">
        <v>8.0</v>
      </c>
      <c r="D15" s="168" t="s">
        <v>137</v>
      </c>
      <c r="E15" s="169"/>
      <c r="F15" s="170"/>
      <c r="G15" s="170"/>
      <c r="H15" s="170"/>
      <c r="I15" s="170"/>
      <c r="J15" s="170"/>
      <c r="K15" s="171"/>
      <c r="L15" s="171"/>
      <c r="M15" s="171"/>
      <c r="N15" s="171"/>
      <c r="O15" s="172">
        <f t="shared" si="3"/>
        <v>0</v>
      </c>
      <c r="P15" s="166"/>
      <c r="Q15" s="173"/>
      <c r="R15" s="65"/>
      <c r="S15" s="173"/>
      <c r="T15" s="173"/>
      <c r="U15" s="166"/>
      <c r="V15" s="166"/>
      <c r="W15" s="65"/>
      <c r="X15" s="66"/>
      <c r="Y15" s="173"/>
      <c r="Z15" s="166"/>
      <c r="AA15" s="174"/>
      <c r="AB15" s="175"/>
      <c r="AC15" s="175"/>
      <c r="AD15" s="175"/>
      <c r="AE15" s="175"/>
      <c r="AF15" s="175"/>
      <c r="AG15" s="175"/>
      <c r="AH15" s="175"/>
      <c r="AI15" s="176"/>
      <c r="AJ15" s="177"/>
      <c r="AK15" s="178"/>
      <c r="AL15" s="178"/>
      <c r="AM15" s="178"/>
      <c r="AN15" s="178"/>
      <c r="AO15" s="179"/>
      <c r="AP15" s="64"/>
      <c r="AQ15" s="65"/>
      <c r="AR15" s="65"/>
      <c r="AS15" s="65"/>
      <c r="AT15" s="173"/>
      <c r="AU15" s="177"/>
      <c r="AV15" s="178"/>
      <c r="AW15" s="178"/>
      <c r="AX15" s="179"/>
      <c r="AZ15" s="166"/>
      <c r="BA15" s="177"/>
      <c r="BB15" s="178"/>
      <c r="BC15" s="178"/>
      <c r="BD15" s="178"/>
      <c r="BE15" s="178"/>
      <c r="BF15" s="178"/>
      <c r="BG15" s="178"/>
      <c r="BH15" s="178"/>
      <c r="BI15" s="179"/>
      <c r="BJ15" s="180"/>
      <c r="BK15" s="178"/>
      <c r="BL15" s="178"/>
      <c r="BM15" s="178"/>
      <c r="BN15" s="178"/>
      <c r="BO15" s="181"/>
      <c r="BP15" s="166"/>
      <c r="BQ15" s="177"/>
      <c r="BR15" s="178"/>
      <c r="BS15" s="179"/>
      <c r="BU15" s="166"/>
      <c r="BV15" s="166"/>
      <c r="BW15" s="166"/>
      <c r="BX15" s="166"/>
      <c r="BY15" s="166"/>
      <c r="BZ15" s="166"/>
      <c r="CA15" s="166"/>
      <c r="CB15" s="166"/>
      <c r="CC15" s="166"/>
      <c r="CD15" s="177"/>
      <c r="CE15" s="181"/>
      <c r="CF15" s="177"/>
      <c r="CG15" s="181"/>
      <c r="CH15" s="177"/>
      <c r="CI15" s="182"/>
      <c r="CJ15" s="177"/>
      <c r="CK15" s="182"/>
      <c r="CL15" s="178"/>
      <c r="CM15" s="182"/>
      <c r="CN15" s="177"/>
      <c r="CO15" s="182"/>
      <c r="CP15" s="177"/>
      <c r="CQ15" s="178"/>
      <c r="CR15" s="182"/>
      <c r="CS15" s="65"/>
      <c r="CT15" s="64"/>
      <c r="CU15" s="165" t="str">
        <f t="shared" si="2"/>
        <v>STS</v>
      </c>
    </row>
    <row r="16" ht="60.0" customHeight="1">
      <c r="A16" s="65"/>
      <c r="B16" s="166"/>
      <c r="C16" s="167">
        <v>9.0</v>
      </c>
      <c r="D16" s="168" t="s">
        <v>137</v>
      </c>
      <c r="E16" s="169"/>
      <c r="F16" s="170"/>
      <c r="G16" s="170"/>
      <c r="H16" s="170"/>
      <c r="I16" s="170"/>
      <c r="J16" s="170"/>
      <c r="K16" s="171"/>
      <c r="L16" s="171"/>
      <c r="M16" s="171"/>
      <c r="N16" s="171"/>
      <c r="O16" s="172">
        <f t="shared" si="3"/>
        <v>0</v>
      </c>
      <c r="P16" s="166"/>
      <c r="Q16" s="173"/>
      <c r="R16" s="65"/>
      <c r="S16" s="173"/>
      <c r="T16" s="173"/>
      <c r="U16" s="166"/>
      <c r="V16" s="166"/>
      <c r="W16" s="65"/>
      <c r="X16" s="66"/>
      <c r="Y16" s="173"/>
      <c r="Z16" s="166"/>
      <c r="AA16" s="174"/>
      <c r="AB16" s="175"/>
      <c r="AC16" s="175"/>
      <c r="AD16" s="175"/>
      <c r="AE16" s="175"/>
      <c r="AF16" s="175"/>
      <c r="AG16" s="175"/>
      <c r="AH16" s="175"/>
      <c r="AI16" s="176"/>
      <c r="AJ16" s="177"/>
      <c r="AK16" s="178"/>
      <c r="AL16" s="178"/>
      <c r="AM16" s="178"/>
      <c r="AN16" s="178"/>
      <c r="AO16" s="179"/>
      <c r="AP16" s="64"/>
      <c r="AQ16" s="65"/>
      <c r="AR16" s="65"/>
      <c r="AS16" s="65"/>
      <c r="AT16" s="173"/>
      <c r="AU16" s="177"/>
      <c r="AV16" s="178"/>
      <c r="AW16" s="178"/>
      <c r="AX16" s="179"/>
      <c r="AZ16" s="166"/>
      <c r="BA16" s="177"/>
      <c r="BB16" s="178"/>
      <c r="BC16" s="178"/>
      <c r="BD16" s="178"/>
      <c r="BE16" s="178"/>
      <c r="BF16" s="178"/>
      <c r="BG16" s="178"/>
      <c r="BH16" s="178"/>
      <c r="BI16" s="179"/>
      <c r="BJ16" s="180"/>
      <c r="BK16" s="178"/>
      <c r="BL16" s="178"/>
      <c r="BM16" s="178"/>
      <c r="BN16" s="178"/>
      <c r="BO16" s="181"/>
      <c r="BP16" s="166"/>
      <c r="BQ16" s="177"/>
      <c r="BR16" s="178"/>
      <c r="BS16" s="179"/>
      <c r="BU16" s="166"/>
      <c r="BV16" s="166"/>
      <c r="BW16" s="166"/>
      <c r="BX16" s="166"/>
      <c r="BY16" s="166"/>
      <c r="BZ16" s="166"/>
      <c r="CA16" s="166"/>
      <c r="CB16" s="166"/>
      <c r="CC16" s="166"/>
      <c r="CD16" s="177"/>
      <c r="CE16" s="181"/>
      <c r="CF16" s="177"/>
      <c r="CG16" s="181"/>
      <c r="CH16" s="177"/>
      <c r="CI16" s="182"/>
      <c r="CJ16" s="177"/>
      <c r="CK16" s="182"/>
      <c r="CL16" s="178"/>
      <c r="CM16" s="182"/>
      <c r="CN16" s="177"/>
      <c r="CO16" s="182"/>
      <c r="CP16" s="177"/>
      <c r="CQ16" s="178"/>
      <c r="CR16" s="182"/>
      <c r="CS16" s="65"/>
      <c r="CT16" s="64"/>
      <c r="CU16" s="165" t="str">
        <f t="shared" si="2"/>
        <v>STS</v>
      </c>
    </row>
    <row r="17" ht="60.0" customHeight="1">
      <c r="A17" s="65"/>
      <c r="B17" s="166"/>
      <c r="C17" s="167">
        <v>10.0</v>
      </c>
      <c r="D17" s="168" t="s">
        <v>137</v>
      </c>
      <c r="E17" s="169"/>
      <c r="F17" s="170"/>
      <c r="G17" s="170"/>
      <c r="H17" s="170"/>
      <c r="I17" s="170"/>
      <c r="J17" s="170"/>
      <c r="K17" s="171"/>
      <c r="L17" s="171"/>
      <c r="M17" s="171"/>
      <c r="N17" s="171"/>
      <c r="O17" s="172">
        <f t="shared" si="3"/>
        <v>0</v>
      </c>
      <c r="P17" s="166"/>
      <c r="Q17" s="173"/>
      <c r="R17" s="65"/>
      <c r="S17" s="173"/>
      <c r="T17" s="173"/>
      <c r="U17" s="166"/>
      <c r="V17" s="166"/>
      <c r="W17" s="65"/>
      <c r="X17" s="66"/>
      <c r="Y17" s="173"/>
      <c r="Z17" s="166"/>
      <c r="AA17" s="174"/>
      <c r="AB17" s="175"/>
      <c r="AC17" s="175"/>
      <c r="AD17" s="175"/>
      <c r="AE17" s="175"/>
      <c r="AF17" s="175"/>
      <c r="AG17" s="175"/>
      <c r="AH17" s="175"/>
      <c r="AI17" s="176"/>
      <c r="AJ17" s="177"/>
      <c r="AK17" s="178"/>
      <c r="AL17" s="178"/>
      <c r="AM17" s="178"/>
      <c r="AN17" s="178"/>
      <c r="AO17" s="179"/>
      <c r="AP17" s="64"/>
      <c r="AQ17" s="65"/>
      <c r="AR17" s="65"/>
      <c r="AS17" s="65"/>
      <c r="AT17" s="173"/>
      <c r="AU17" s="177"/>
      <c r="AV17" s="178"/>
      <c r="AW17" s="178"/>
      <c r="AX17" s="179"/>
      <c r="AZ17" s="166"/>
      <c r="BA17" s="177"/>
      <c r="BB17" s="178"/>
      <c r="BC17" s="178"/>
      <c r="BD17" s="178"/>
      <c r="BE17" s="178"/>
      <c r="BF17" s="178"/>
      <c r="BG17" s="178"/>
      <c r="BH17" s="178"/>
      <c r="BI17" s="179"/>
      <c r="BJ17" s="180"/>
      <c r="BK17" s="178"/>
      <c r="BL17" s="178"/>
      <c r="BM17" s="178"/>
      <c r="BN17" s="178"/>
      <c r="BO17" s="181"/>
      <c r="BP17" s="166"/>
      <c r="BQ17" s="177"/>
      <c r="BR17" s="178"/>
      <c r="BS17" s="179"/>
      <c r="BU17" s="166"/>
      <c r="BV17" s="166"/>
      <c r="BW17" s="166"/>
      <c r="BX17" s="166"/>
      <c r="BY17" s="166"/>
      <c r="BZ17" s="166"/>
      <c r="CA17" s="166"/>
      <c r="CB17" s="166"/>
      <c r="CC17" s="166"/>
      <c r="CD17" s="177"/>
      <c r="CE17" s="181"/>
      <c r="CF17" s="177"/>
      <c r="CG17" s="181"/>
      <c r="CH17" s="177"/>
      <c r="CI17" s="182"/>
      <c r="CJ17" s="177"/>
      <c r="CK17" s="182"/>
      <c r="CL17" s="178"/>
      <c r="CM17" s="182"/>
      <c r="CN17" s="177"/>
      <c r="CO17" s="182"/>
      <c r="CP17" s="177"/>
      <c r="CQ17" s="178"/>
      <c r="CR17" s="182"/>
      <c r="CS17" s="65"/>
      <c r="CT17" s="64"/>
      <c r="CU17" s="165" t="str">
        <f t="shared" si="2"/>
        <v>STS</v>
      </c>
    </row>
    <row r="18" ht="60.0" customHeight="1">
      <c r="A18" s="89"/>
      <c r="B18" s="63"/>
      <c r="C18" s="183">
        <v>11.0</v>
      </c>
      <c r="D18" s="184" t="s">
        <v>137</v>
      </c>
      <c r="E18" s="185"/>
      <c r="F18" s="186"/>
      <c r="G18" s="186"/>
      <c r="H18" s="186"/>
      <c r="I18" s="186"/>
      <c r="J18" s="186"/>
      <c r="K18" s="187"/>
      <c r="L18" s="187"/>
      <c r="M18" s="187"/>
      <c r="N18" s="187"/>
      <c r="O18" s="188">
        <f t="shared" ref="O18:O24" si="4">IF(AND(M18&lt;&gt;0,M18&lt;&gt;"m",M18&lt;&gt;"",RIGHT(K18,3)="Lec"),1,IF(AND(M18&lt;&gt;0,M18&lt;&gt;"m",M18&lt;&gt;"",OR(RIGHT(K18,3)="Lab",RIGHT(K18,3)="Tut")),0.5,IF(AND(M18&lt;&gt;0,M18&lt;&gt;"m",M18&lt;&gt;"",RIGHT(K18,2)="TL"),0.75,0)))</f>
        <v>0</v>
      </c>
      <c r="P18" s="63"/>
      <c r="Q18" s="69"/>
      <c r="R18" s="89"/>
      <c r="S18" s="69"/>
      <c r="T18" s="69"/>
      <c r="U18" s="63"/>
      <c r="V18" s="63"/>
      <c r="W18" s="89"/>
      <c r="X18" s="68"/>
      <c r="Y18" s="69"/>
      <c r="Z18" s="63"/>
      <c r="AA18" s="189"/>
      <c r="AB18" s="190"/>
      <c r="AC18" s="190"/>
      <c r="AD18" s="190"/>
      <c r="AE18" s="190"/>
      <c r="AF18" s="190"/>
      <c r="AG18" s="190"/>
      <c r="AH18" s="190"/>
      <c r="AI18" s="191"/>
      <c r="AJ18" s="192"/>
      <c r="AK18" s="193"/>
      <c r="AL18" s="193"/>
      <c r="AM18" s="193"/>
      <c r="AN18" s="193"/>
      <c r="AO18" s="194"/>
      <c r="AP18" s="103"/>
      <c r="AQ18" s="89"/>
      <c r="AR18" s="89"/>
      <c r="AS18" s="89"/>
      <c r="AT18" s="69"/>
      <c r="AU18" s="192"/>
      <c r="AV18" s="193"/>
      <c r="AW18" s="193"/>
      <c r="AX18" s="194"/>
      <c r="AY18" s="6"/>
      <c r="AZ18" s="63"/>
      <c r="BA18" s="192"/>
      <c r="BB18" s="193"/>
      <c r="BC18" s="193"/>
      <c r="BD18" s="193"/>
      <c r="BE18" s="193"/>
      <c r="BF18" s="193"/>
      <c r="BG18" s="193"/>
      <c r="BH18" s="193"/>
      <c r="BI18" s="194"/>
      <c r="BJ18" s="195"/>
      <c r="BK18" s="193"/>
      <c r="BL18" s="193"/>
      <c r="BM18" s="193"/>
      <c r="BN18" s="193"/>
      <c r="BO18" s="196"/>
      <c r="BP18" s="63"/>
      <c r="BQ18" s="192"/>
      <c r="BR18" s="193"/>
      <c r="BS18" s="194"/>
      <c r="BT18" s="6"/>
      <c r="BU18" s="63"/>
      <c r="BV18" s="63"/>
      <c r="BW18" s="63"/>
      <c r="BX18" s="63"/>
      <c r="BY18" s="63"/>
      <c r="BZ18" s="63"/>
      <c r="CA18" s="63"/>
      <c r="CB18" s="63"/>
      <c r="CC18" s="63"/>
      <c r="CD18" s="192"/>
      <c r="CE18" s="196"/>
      <c r="CF18" s="192"/>
      <c r="CG18" s="196"/>
      <c r="CH18" s="192"/>
      <c r="CI18" s="197"/>
      <c r="CJ18" s="192"/>
      <c r="CK18" s="197"/>
      <c r="CL18" s="198"/>
      <c r="CM18" s="197"/>
      <c r="CN18" s="192"/>
      <c r="CO18" s="197"/>
      <c r="CP18" s="192"/>
      <c r="CQ18" s="193"/>
      <c r="CR18" s="197"/>
      <c r="CS18" s="89"/>
      <c r="CT18" s="103"/>
      <c r="CU18" s="165" t="str">
        <f t="shared" si="2"/>
        <v>STS</v>
      </c>
    </row>
    <row r="19" ht="55.5" customHeight="1">
      <c r="A19" s="125">
        <v>2.0</v>
      </c>
      <c r="B19" s="126" t="s">
        <v>146</v>
      </c>
      <c r="C19" s="127">
        <v>1.0</v>
      </c>
      <c r="D19" s="128" t="s">
        <v>147</v>
      </c>
      <c r="E19" s="129"/>
      <c r="F19" s="130"/>
      <c r="G19" s="130"/>
      <c r="H19" s="130"/>
      <c r="I19" s="130"/>
      <c r="J19" s="130"/>
      <c r="K19" s="131"/>
      <c r="L19" s="131"/>
      <c r="M19" s="131"/>
      <c r="N19" s="131"/>
      <c r="O19" s="132">
        <f t="shared" si="4"/>
        <v>0</v>
      </c>
      <c r="P19" s="133">
        <f>COUNTIF(K19:K29,"TL")*0.75+COUNTIF(K19:K29,"Lec")*1+COUNTIF(K19:K29,"Lab")*0.5</f>
        <v>0</v>
      </c>
      <c r="Q19" s="134">
        <f>SUM((IF(LEFT(K19,1)="E",O19,0)),(IF(LEFT(K20,1)="E",O20,0)),(IF(LEFT(K21,1)="E",O21,0)),(IF(LEFT(K22,1)="E",O22,0)),(IF(LEFT(K23,1)="E",O23,0)),(IF(LEFT(K24,1)="E",O24,0)),(IF(LEFT(K25,1)="E",O25,0)),(IF(LEFT(K26,1)="E",O26,0)),(IF(LEFT(K27,1)="E",O27,0)),(IF(LEFT(K28,1)="E",O28,0)),(IF(LEFT(K29,1)="E",O29,0)))</f>
        <v>0</v>
      </c>
      <c r="R19" s="135">
        <f>SUM(IF(M25&lt;20,IF(K25="Plec",-1,IF(K25="PTL",-0.75,IF(K25="Plab",-0.5,0))),0),IF(M26&lt;20,IF(K26="Plec",-1,IF(K26="PTL",-0.75,IF(K26="Plab",-0.5,0))),0),IF(M27&lt;20,IF(K27="Plec",-1,IF(K27="PTL",-0.75,IF(K27="Plab",-0.5,0))),0),IF(M28&lt;20,IF(K28="Plec",-1,IF(K28="PTL",-0.75,IF(K28="Plab",-0.5,0))),0))</f>
        <v>0</v>
      </c>
      <c r="S19" s="134">
        <f>SUM(P19:R29)</f>
        <v>0</v>
      </c>
      <c r="T19" s="136">
        <f>SUM(IF(M19="M",IF(OR(K19="lec",K19="plec",K19="slec"),1,IF(OR(K19="lab",K19="plab",K19="slab",K19="tut",K19="ptut",K19="stut"),0.5,IF(OR(K19="TL",K19="pTL",K19="STL"),0.75,0))),0),IF(M20="M",IF(OR(K20="lec",K20="plec",K20="slec"),1,IF(OR(K20="lab",K20="plab",K20="slab",K20="tut",K20="ptut",K20="stut"),0.5,IF(OR(K20="TL",K20="pTL",K20="STL"),0.75,0))),0),IF(M21="M",IF(OR(K21="lec",K21="plec",K21="slec"),1,IF(OR(K21="lab",K21="plab",K21="slab",K21="tut",K21="ptut",K21="stut"),0.5,IF(OR(K21="TL",K21="pTL",K21="STL"),0.75,0))),0),IF(M22="M",IF(OR(K22="lec",K22="plec",K22="slec"),1,IF(OR(K22="lab",K22="plab",K22="slab",K22="tut",K22="ptut",K22="stut"),0.5,IF(OR(K22="TL",K22="pTL",K22="STL"),0.75,0))),0),IF(M23="M",IF(OR(K23="lec",K23="plec",K23="slec"),1,IF(OR(K23="lab",K23="plab",K23="slab",K23="tut",K23="ptut",K23="stut"),0.5,IF(OR(K23="TL",K23="pTL",K23="STL"),0.75,0))),0),IF(M24="M",IF(OR(K24="lec",K24="plec",K24="slec"),1,IF(OR(K24="lab",K24="plab",K24="slab",K24="tut",K24="ptut",K24="stut"),0.5,IF(OR(K24="TL",K24="pTL",K24="STL"),0.75,0))),0),IF(M25="M",IF(OR(K25="lec",K25="plec",K25="slec"),1,IF(OR(K25="lab",K25="plab",K25="slab",K25="tut",K25="ptut",K25="stut"),0.5,IF(OR(K25="TL",K25="pTL",K25="STL"),0.75,0))),0),IF(M26="M",IF(OR(K26="lec",K26="plec",K26="slec"),1,IF(OR(K26="lab",K26="plab",K26="slab",K26="tut",K26="ptut",K26="stut"),0.5,IF(OR(K26="TL",K26="pTL",K26="STL"),0.75,0))),0),IF(M27="M",IF(OR(K27="lec",K27="plec",K27="slec"),1,IF(OR(K27="lab",K27="plab",K27="slab",K27="tut",K27="ptut",K27="stut"),0.5,IF(OR(K27="TL",K27="pTL",K27="STL"),0.75,0))),0),IF(M28="M",IF(OR(K28="lec",K28="plec",K28="slec"),1,IF(OR(K28="lab",K28="plab",K28="slab",K28="tut",K28="ptut",K28="stut"),0.5,IF(OR(K28="TL",K28="pTL",K28="STL"),0.75,0))),0),IF(M29="M",IF(OR(K29="lec",K29="plec",K29="slec"),1,IF(OR(K29="lab",K29="plab",K29="slab",K29="tut",K29="ptut",K29="stut"),0.5,IF(OR(K29="TL",K29="pTL",K29="STL"),0.75,0))),0))</f>
        <v>0</v>
      </c>
      <c r="U19" s="137"/>
      <c r="V19" s="133"/>
      <c r="W19" s="138"/>
      <c r="X19" s="139">
        <f>S19-(T19+U19+V19+W19)</f>
        <v>0</v>
      </c>
      <c r="Y19" s="134" t="str">
        <f>CONCATENATE(SUM(O19:O29),"(",SUM(O19:O29)-X19,")")</f>
        <v>0(0)</v>
      </c>
      <c r="Z19" s="140"/>
      <c r="AA19" s="141"/>
      <c r="AB19" s="142"/>
      <c r="AC19" s="142"/>
      <c r="AD19" s="142"/>
      <c r="AE19" s="142"/>
      <c r="AF19" s="142"/>
      <c r="AG19" s="142"/>
      <c r="AH19" s="142"/>
      <c r="AI19" s="143"/>
      <c r="AJ19" s="144"/>
      <c r="AK19" s="145"/>
      <c r="AL19" s="145"/>
      <c r="AM19" s="145"/>
      <c r="AN19" s="145"/>
      <c r="AO19" s="146"/>
      <c r="AP19" s="147">
        <f>SUM(SUM(O19:O29),SUM(AI19:AI29)/2,AM19)</f>
        <v>0</v>
      </c>
      <c r="AQ19" s="148"/>
      <c r="AR19" s="148">
        <f>AP19*AQ19</f>
        <v>0</v>
      </c>
      <c r="AS19" s="148">
        <f>CT19</f>
        <v>5.2</v>
      </c>
      <c r="AT19" s="149">
        <f>AR19*0.75+AS19*0.25</f>
        <v>1.3</v>
      </c>
      <c r="AU19" s="150"/>
      <c r="AV19" s="151"/>
      <c r="AW19" s="151"/>
      <c r="AX19" s="152"/>
      <c r="AY19" s="153"/>
      <c r="AZ19" s="140"/>
      <c r="BA19" s="150">
        <v>1.0</v>
      </c>
      <c r="BB19" s="151" t="s">
        <v>148</v>
      </c>
      <c r="BC19" s="151">
        <v>3.0</v>
      </c>
      <c r="BD19" s="151" t="s">
        <v>149</v>
      </c>
      <c r="BE19" s="151" t="s">
        <v>150</v>
      </c>
      <c r="BF19" s="151"/>
      <c r="BG19" s="151">
        <v>1.0</v>
      </c>
      <c r="BH19" s="151"/>
      <c r="BI19" s="152"/>
      <c r="BJ19" s="154">
        <v>4.0</v>
      </c>
      <c r="BK19" s="151"/>
      <c r="BL19" s="151"/>
      <c r="BM19" s="151"/>
      <c r="BN19" s="151"/>
      <c r="BO19" s="155"/>
      <c r="BP19" s="140"/>
      <c r="BQ19" s="156" t="s">
        <v>151</v>
      </c>
      <c r="BR19" s="157">
        <v>4.0</v>
      </c>
      <c r="BS19" s="158">
        <v>0.0</v>
      </c>
      <c r="BT19" s="153"/>
      <c r="BU19" s="140"/>
      <c r="BV19" s="140"/>
      <c r="BW19" s="140"/>
      <c r="BX19" s="140"/>
      <c r="BY19" s="140"/>
      <c r="BZ19" s="140"/>
      <c r="CA19" s="140"/>
      <c r="CB19" s="140"/>
      <c r="CC19" s="140"/>
      <c r="CD19" s="150"/>
      <c r="CE19" s="155"/>
      <c r="CF19" s="150" t="s">
        <v>152</v>
      </c>
      <c r="CG19" s="155"/>
      <c r="CH19" s="159"/>
      <c r="CI19" s="160"/>
      <c r="CJ19" s="159"/>
      <c r="CK19" s="160"/>
      <c r="CL19" s="161"/>
      <c r="CM19" s="160"/>
      <c r="CN19" s="159"/>
      <c r="CO19" s="160"/>
      <c r="CP19" s="159"/>
      <c r="CQ19" s="162"/>
      <c r="CR19" s="160"/>
      <c r="CS19" s="163">
        <f>SUM(IF(AU19&lt;0,ABS(AU19),0),IF(AZ19&lt;0,ABS(AZ19),0),ABS(CI19),ABS(CK19),ABS(CM19),ABS(CO19),ABS(CQ19),ABS(CR19))</f>
        <v>0</v>
      </c>
      <c r="CT19" s="164">
        <f>SUM(AU19,AV19,AW19,AX19/400,AY19,AZ19,BG19,BH19*0.5,BI19*0.25,BJ19,BK19,BL19,BM19,BN19,BO19,BP19,BR19/20,BS19/100,BT19/60,BU19,BV19,BW19,BX19/4,SUM(BY19:CC29)/3,CE19,CG19/3,CI19,CK19,CM19,CO19,CQ19,CR19)</f>
        <v>5.2</v>
      </c>
      <c r="CU19" s="165" t="str">
        <f t="shared" si="2"/>
        <v>DVB</v>
      </c>
    </row>
    <row r="20" ht="60.0" customHeight="1">
      <c r="A20" s="65"/>
      <c r="B20" s="166"/>
      <c r="C20" s="167">
        <v>2.0</v>
      </c>
      <c r="D20" s="168" t="s">
        <v>147</v>
      </c>
      <c r="E20" s="169"/>
      <c r="F20" s="170"/>
      <c r="G20" s="170"/>
      <c r="H20" s="170"/>
      <c r="I20" s="170"/>
      <c r="J20" s="170"/>
      <c r="K20" s="171"/>
      <c r="L20" s="171"/>
      <c r="M20" s="171"/>
      <c r="N20" s="171"/>
      <c r="O20" s="172">
        <f t="shared" si="4"/>
        <v>0</v>
      </c>
      <c r="P20" s="166"/>
      <c r="Q20" s="173"/>
      <c r="R20" s="65"/>
      <c r="S20" s="173"/>
      <c r="T20" s="173"/>
      <c r="U20" s="166"/>
      <c r="V20" s="166"/>
      <c r="W20" s="65"/>
      <c r="X20" s="66"/>
      <c r="Y20" s="173"/>
      <c r="Z20" s="166"/>
      <c r="AA20" s="174"/>
      <c r="AB20" s="175"/>
      <c r="AC20" s="175"/>
      <c r="AD20" s="175"/>
      <c r="AE20" s="175"/>
      <c r="AF20" s="175"/>
      <c r="AG20" s="175"/>
      <c r="AH20" s="175"/>
      <c r="AI20" s="176"/>
      <c r="AJ20" s="177"/>
      <c r="AK20" s="178"/>
      <c r="AL20" s="178"/>
      <c r="AM20" s="178"/>
      <c r="AN20" s="178"/>
      <c r="AO20" s="179"/>
      <c r="AP20" s="64"/>
      <c r="AQ20" s="65"/>
      <c r="AR20" s="65"/>
      <c r="AS20" s="65"/>
      <c r="AT20" s="173"/>
      <c r="AU20" s="177"/>
      <c r="AV20" s="178"/>
      <c r="AW20" s="178"/>
      <c r="AX20" s="179"/>
      <c r="AZ20" s="166"/>
      <c r="BA20" s="177"/>
      <c r="BB20" s="178"/>
      <c r="BC20" s="178"/>
      <c r="BD20" s="178"/>
      <c r="BE20" s="178"/>
      <c r="BF20" s="178"/>
      <c r="BG20" s="178"/>
      <c r="BH20" s="178"/>
      <c r="BI20" s="179"/>
      <c r="BJ20" s="180"/>
      <c r="BK20" s="178"/>
      <c r="BL20" s="178"/>
      <c r="BM20" s="178"/>
      <c r="BN20" s="178"/>
      <c r="BO20" s="181"/>
      <c r="BP20" s="166"/>
      <c r="BQ20" s="177"/>
      <c r="BR20" s="178"/>
      <c r="BS20" s="179"/>
      <c r="BU20" s="166"/>
      <c r="BV20" s="166"/>
      <c r="BW20" s="166"/>
      <c r="BX20" s="166"/>
      <c r="BY20" s="166"/>
      <c r="BZ20" s="166"/>
      <c r="CA20" s="166"/>
      <c r="CB20" s="166"/>
      <c r="CC20" s="166"/>
      <c r="CD20" s="177"/>
      <c r="CE20" s="181"/>
      <c r="CF20" s="177"/>
      <c r="CG20" s="181"/>
      <c r="CH20" s="177"/>
      <c r="CI20" s="182"/>
      <c r="CJ20" s="177"/>
      <c r="CK20" s="182"/>
      <c r="CL20" s="178"/>
      <c r="CM20" s="182"/>
      <c r="CN20" s="177"/>
      <c r="CO20" s="182"/>
      <c r="CP20" s="177"/>
      <c r="CQ20" s="178"/>
      <c r="CR20" s="182"/>
      <c r="CS20" s="65"/>
      <c r="CT20" s="64"/>
      <c r="CU20" s="165" t="str">
        <f t="shared" si="2"/>
        <v>DVB</v>
      </c>
    </row>
    <row r="21" ht="60.0" customHeight="1">
      <c r="A21" s="65"/>
      <c r="B21" s="166"/>
      <c r="C21" s="167">
        <v>3.0</v>
      </c>
      <c r="D21" s="168" t="s">
        <v>147</v>
      </c>
      <c r="E21" s="169"/>
      <c r="F21" s="170"/>
      <c r="G21" s="170"/>
      <c r="H21" s="170"/>
      <c r="I21" s="170"/>
      <c r="J21" s="170"/>
      <c r="K21" s="171"/>
      <c r="L21" s="171"/>
      <c r="M21" s="171"/>
      <c r="N21" s="171"/>
      <c r="O21" s="172">
        <f t="shared" si="4"/>
        <v>0</v>
      </c>
      <c r="P21" s="166"/>
      <c r="Q21" s="173"/>
      <c r="R21" s="65"/>
      <c r="S21" s="173"/>
      <c r="T21" s="173"/>
      <c r="U21" s="166"/>
      <c r="V21" s="166"/>
      <c r="W21" s="65"/>
      <c r="X21" s="66"/>
      <c r="Y21" s="173"/>
      <c r="Z21" s="166"/>
      <c r="AA21" s="174"/>
      <c r="AB21" s="175"/>
      <c r="AC21" s="175"/>
      <c r="AD21" s="175"/>
      <c r="AE21" s="175"/>
      <c r="AF21" s="175"/>
      <c r="AG21" s="175"/>
      <c r="AH21" s="175"/>
      <c r="AI21" s="176"/>
      <c r="AJ21" s="177"/>
      <c r="AK21" s="178"/>
      <c r="AL21" s="178"/>
      <c r="AM21" s="178"/>
      <c r="AN21" s="178"/>
      <c r="AO21" s="179"/>
      <c r="AP21" s="64"/>
      <c r="AQ21" s="65"/>
      <c r="AR21" s="65"/>
      <c r="AS21" s="65"/>
      <c r="AT21" s="173"/>
      <c r="AU21" s="177"/>
      <c r="AV21" s="178"/>
      <c r="AW21" s="178"/>
      <c r="AX21" s="179"/>
      <c r="AZ21" s="166"/>
      <c r="BA21" s="177"/>
      <c r="BB21" s="178"/>
      <c r="BC21" s="178"/>
      <c r="BD21" s="178"/>
      <c r="BE21" s="178"/>
      <c r="BF21" s="178"/>
      <c r="BG21" s="178"/>
      <c r="BH21" s="178"/>
      <c r="BI21" s="179"/>
      <c r="BJ21" s="180"/>
      <c r="BK21" s="178"/>
      <c r="BL21" s="178"/>
      <c r="BM21" s="178"/>
      <c r="BN21" s="178"/>
      <c r="BO21" s="181"/>
      <c r="BP21" s="166"/>
      <c r="BQ21" s="177"/>
      <c r="BR21" s="178"/>
      <c r="BS21" s="179"/>
      <c r="BU21" s="166"/>
      <c r="BV21" s="166"/>
      <c r="BW21" s="166"/>
      <c r="BX21" s="166"/>
      <c r="BY21" s="166"/>
      <c r="BZ21" s="166"/>
      <c r="CA21" s="166"/>
      <c r="CB21" s="166"/>
      <c r="CC21" s="166"/>
      <c r="CD21" s="177"/>
      <c r="CE21" s="181"/>
      <c r="CF21" s="177"/>
      <c r="CG21" s="181"/>
      <c r="CH21" s="177"/>
      <c r="CI21" s="182"/>
      <c r="CJ21" s="177"/>
      <c r="CK21" s="182"/>
      <c r="CL21" s="178"/>
      <c r="CM21" s="182"/>
      <c r="CN21" s="177"/>
      <c r="CO21" s="182"/>
      <c r="CP21" s="177"/>
      <c r="CQ21" s="178"/>
      <c r="CR21" s="182"/>
      <c r="CS21" s="65"/>
      <c r="CT21" s="64"/>
      <c r="CU21" s="165" t="str">
        <f t="shared" si="2"/>
        <v>DVB</v>
      </c>
    </row>
    <row r="22" ht="60.0" customHeight="1">
      <c r="A22" s="65"/>
      <c r="B22" s="166"/>
      <c r="C22" s="167">
        <v>4.0</v>
      </c>
      <c r="D22" s="168" t="s">
        <v>147</v>
      </c>
      <c r="E22" s="169"/>
      <c r="F22" s="170"/>
      <c r="G22" s="170"/>
      <c r="H22" s="170"/>
      <c r="I22" s="170"/>
      <c r="J22" s="170"/>
      <c r="K22" s="171"/>
      <c r="L22" s="171"/>
      <c r="M22" s="171"/>
      <c r="N22" s="171"/>
      <c r="O22" s="172">
        <f t="shared" si="4"/>
        <v>0</v>
      </c>
      <c r="P22" s="166"/>
      <c r="Q22" s="173"/>
      <c r="R22" s="65"/>
      <c r="S22" s="173"/>
      <c r="T22" s="173"/>
      <c r="U22" s="166"/>
      <c r="V22" s="166"/>
      <c r="W22" s="65"/>
      <c r="X22" s="66"/>
      <c r="Y22" s="173"/>
      <c r="Z22" s="166"/>
      <c r="AA22" s="174"/>
      <c r="AB22" s="175"/>
      <c r="AC22" s="175"/>
      <c r="AD22" s="175"/>
      <c r="AE22" s="175"/>
      <c r="AF22" s="175"/>
      <c r="AG22" s="175"/>
      <c r="AH22" s="175"/>
      <c r="AI22" s="176"/>
      <c r="AJ22" s="177"/>
      <c r="AK22" s="178"/>
      <c r="AL22" s="178"/>
      <c r="AM22" s="178"/>
      <c r="AN22" s="178"/>
      <c r="AO22" s="179"/>
      <c r="AP22" s="64"/>
      <c r="AQ22" s="65"/>
      <c r="AR22" s="65"/>
      <c r="AS22" s="65"/>
      <c r="AT22" s="173"/>
      <c r="AU22" s="177"/>
      <c r="AV22" s="178"/>
      <c r="AW22" s="178"/>
      <c r="AX22" s="179"/>
      <c r="AZ22" s="166"/>
      <c r="BA22" s="177"/>
      <c r="BB22" s="178"/>
      <c r="BC22" s="178"/>
      <c r="BD22" s="178"/>
      <c r="BE22" s="178"/>
      <c r="BF22" s="178"/>
      <c r="BG22" s="178"/>
      <c r="BH22" s="178"/>
      <c r="BI22" s="179"/>
      <c r="BJ22" s="180"/>
      <c r="BK22" s="178"/>
      <c r="BL22" s="178"/>
      <c r="BM22" s="178"/>
      <c r="BN22" s="178"/>
      <c r="BO22" s="181"/>
      <c r="BP22" s="166"/>
      <c r="BQ22" s="177"/>
      <c r="BR22" s="178"/>
      <c r="BS22" s="179"/>
      <c r="BU22" s="166"/>
      <c r="BV22" s="166"/>
      <c r="BW22" s="166"/>
      <c r="BX22" s="166"/>
      <c r="BY22" s="166"/>
      <c r="BZ22" s="166"/>
      <c r="CA22" s="166"/>
      <c r="CB22" s="166"/>
      <c r="CC22" s="166"/>
      <c r="CD22" s="177"/>
      <c r="CE22" s="181"/>
      <c r="CF22" s="177"/>
      <c r="CG22" s="181"/>
      <c r="CH22" s="177"/>
      <c r="CI22" s="182"/>
      <c r="CJ22" s="177"/>
      <c r="CK22" s="182"/>
      <c r="CL22" s="178"/>
      <c r="CM22" s="182"/>
      <c r="CN22" s="177"/>
      <c r="CO22" s="182"/>
      <c r="CP22" s="177"/>
      <c r="CQ22" s="178"/>
      <c r="CR22" s="182"/>
      <c r="CS22" s="65"/>
      <c r="CT22" s="64"/>
      <c r="CU22" s="165" t="str">
        <f t="shared" si="2"/>
        <v>DVB</v>
      </c>
    </row>
    <row r="23" ht="60.0" customHeight="1">
      <c r="A23" s="65"/>
      <c r="B23" s="166"/>
      <c r="C23" s="167">
        <v>5.0</v>
      </c>
      <c r="D23" s="168" t="s">
        <v>147</v>
      </c>
      <c r="E23" s="169"/>
      <c r="F23" s="170"/>
      <c r="G23" s="170"/>
      <c r="H23" s="170"/>
      <c r="I23" s="170"/>
      <c r="J23" s="170"/>
      <c r="K23" s="171"/>
      <c r="L23" s="171"/>
      <c r="M23" s="171"/>
      <c r="N23" s="171"/>
      <c r="O23" s="172">
        <f t="shared" si="4"/>
        <v>0</v>
      </c>
      <c r="P23" s="166"/>
      <c r="Q23" s="173"/>
      <c r="R23" s="65"/>
      <c r="S23" s="173"/>
      <c r="T23" s="173"/>
      <c r="U23" s="166"/>
      <c r="V23" s="166"/>
      <c r="W23" s="65"/>
      <c r="X23" s="66"/>
      <c r="Y23" s="173"/>
      <c r="Z23" s="166"/>
      <c r="AA23" s="174"/>
      <c r="AB23" s="175"/>
      <c r="AC23" s="175"/>
      <c r="AD23" s="175"/>
      <c r="AE23" s="175"/>
      <c r="AF23" s="175"/>
      <c r="AG23" s="175"/>
      <c r="AH23" s="175"/>
      <c r="AI23" s="176"/>
      <c r="AJ23" s="177"/>
      <c r="AK23" s="178"/>
      <c r="AL23" s="178"/>
      <c r="AM23" s="178"/>
      <c r="AN23" s="178"/>
      <c r="AO23" s="179"/>
      <c r="AP23" s="64"/>
      <c r="AQ23" s="65"/>
      <c r="AR23" s="65"/>
      <c r="AS23" s="65"/>
      <c r="AT23" s="173"/>
      <c r="AU23" s="177"/>
      <c r="AV23" s="178"/>
      <c r="AW23" s="178"/>
      <c r="AX23" s="179"/>
      <c r="AZ23" s="166"/>
      <c r="BA23" s="177"/>
      <c r="BB23" s="178"/>
      <c r="BC23" s="178"/>
      <c r="BD23" s="178"/>
      <c r="BE23" s="178"/>
      <c r="BF23" s="178"/>
      <c r="BG23" s="178"/>
      <c r="BH23" s="178"/>
      <c r="BI23" s="179"/>
      <c r="BJ23" s="180"/>
      <c r="BK23" s="178"/>
      <c r="BL23" s="178"/>
      <c r="BM23" s="178"/>
      <c r="BN23" s="178"/>
      <c r="BO23" s="181"/>
      <c r="BP23" s="166"/>
      <c r="BQ23" s="177"/>
      <c r="BR23" s="178"/>
      <c r="BS23" s="179"/>
      <c r="BU23" s="166"/>
      <c r="BV23" s="166"/>
      <c r="BW23" s="166"/>
      <c r="BX23" s="166"/>
      <c r="BY23" s="166"/>
      <c r="BZ23" s="166"/>
      <c r="CA23" s="166"/>
      <c r="CB23" s="166"/>
      <c r="CC23" s="166"/>
      <c r="CD23" s="177"/>
      <c r="CE23" s="181"/>
      <c r="CF23" s="177"/>
      <c r="CG23" s="181"/>
      <c r="CH23" s="177"/>
      <c r="CI23" s="182"/>
      <c r="CJ23" s="177"/>
      <c r="CK23" s="182"/>
      <c r="CL23" s="178"/>
      <c r="CM23" s="182"/>
      <c r="CN23" s="177"/>
      <c r="CO23" s="182"/>
      <c r="CP23" s="177"/>
      <c r="CQ23" s="178"/>
      <c r="CR23" s="182"/>
      <c r="CS23" s="65"/>
      <c r="CT23" s="64"/>
      <c r="CU23" s="165" t="str">
        <f t="shared" si="2"/>
        <v>DVB</v>
      </c>
    </row>
    <row r="24" ht="60.0" customHeight="1">
      <c r="A24" s="65"/>
      <c r="B24" s="166"/>
      <c r="C24" s="167">
        <v>6.0</v>
      </c>
      <c r="D24" s="168" t="s">
        <v>147</v>
      </c>
      <c r="E24" s="169"/>
      <c r="F24" s="170"/>
      <c r="G24" s="170"/>
      <c r="H24" s="170"/>
      <c r="I24" s="170"/>
      <c r="J24" s="170"/>
      <c r="K24" s="171"/>
      <c r="L24" s="171"/>
      <c r="M24" s="171"/>
      <c r="N24" s="171"/>
      <c r="O24" s="172">
        <f t="shared" si="4"/>
        <v>0</v>
      </c>
      <c r="P24" s="166"/>
      <c r="Q24" s="173"/>
      <c r="R24" s="65"/>
      <c r="S24" s="173"/>
      <c r="T24" s="173"/>
      <c r="U24" s="166"/>
      <c r="V24" s="166"/>
      <c r="W24" s="65"/>
      <c r="X24" s="66"/>
      <c r="Y24" s="173"/>
      <c r="Z24" s="166"/>
      <c r="AA24" s="174"/>
      <c r="AB24" s="175"/>
      <c r="AC24" s="175"/>
      <c r="AD24" s="175"/>
      <c r="AE24" s="175"/>
      <c r="AF24" s="175"/>
      <c r="AG24" s="175"/>
      <c r="AH24" s="175"/>
      <c r="AI24" s="176"/>
      <c r="AJ24" s="177"/>
      <c r="AK24" s="178"/>
      <c r="AL24" s="178"/>
      <c r="AM24" s="178"/>
      <c r="AN24" s="178"/>
      <c r="AO24" s="179"/>
      <c r="AP24" s="64"/>
      <c r="AQ24" s="65"/>
      <c r="AR24" s="65"/>
      <c r="AS24" s="65"/>
      <c r="AT24" s="173"/>
      <c r="AU24" s="177"/>
      <c r="AV24" s="178"/>
      <c r="AW24" s="178"/>
      <c r="AX24" s="179"/>
      <c r="AZ24" s="166"/>
      <c r="BA24" s="177"/>
      <c r="BB24" s="178"/>
      <c r="BC24" s="178"/>
      <c r="BD24" s="178"/>
      <c r="BE24" s="178"/>
      <c r="BF24" s="178"/>
      <c r="BG24" s="178"/>
      <c r="BH24" s="178"/>
      <c r="BI24" s="179"/>
      <c r="BJ24" s="180"/>
      <c r="BK24" s="178"/>
      <c r="BL24" s="178"/>
      <c r="BM24" s="178"/>
      <c r="BN24" s="178"/>
      <c r="BO24" s="181"/>
      <c r="BP24" s="166"/>
      <c r="BQ24" s="177"/>
      <c r="BR24" s="178"/>
      <c r="BS24" s="179"/>
      <c r="BU24" s="166"/>
      <c r="BV24" s="166"/>
      <c r="BW24" s="166"/>
      <c r="BX24" s="166"/>
      <c r="BY24" s="166"/>
      <c r="BZ24" s="166"/>
      <c r="CA24" s="166"/>
      <c r="CB24" s="166"/>
      <c r="CC24" s="166"/>
      <c r="CD24" s="177"/>
      <c r="CE24" s="181"/>
      <c r="CF24" s="177"/>
      <c r="CG24" s="181"/>
      <c r="CH24" s="177"/>
      <c r="CI24" s="182"/>
      <c r="CJ24" s="177"/>
      <c r="CK24" s="182"/>
      <c r="CL24" s="178"/>
      <c r="CM24" s="182"/>
      <c r="CN24" s="177"/>
      <c r="CO24" s="182"/>
      <c r="CP24" s="177"/>
      <c r="CQ24" s="178"/>
      <c r="CR24" s="182"/>
      <c r="CS24" s="65"/>
      <c r="CT24" s="64"/>
      <c r="CU24" s="165" t="str">
        <f t="shared" si="2"/>
        <v>DVB</v>
      </c>
    </row>
    <row r="25" ht="60.0" customHeight="1">
      <c r="A25" s="65"/>
      <c r="B25" s="166"/>
      <c r="C25" s="167">
        <v>7.0</v>
      </c>
      <c r="D25" s="168" t="s">
        <v>147</v>
      </c>
      <c r="E25" s="169"/>
      <c r="F25" s="170"/>
      <c r="G25" s="170"/>
      <c r="H25" s="170"/>
      <c r="I25" s="170"/>
      <c r="J25" s="170"/>
      <c r="K25" s="171"/>
      <c r="L25" s="171"/>
      <c r="M25" s="171"/>
      <c r="N25" s="171"/>
      <c r="O25" s="172">
        <f t="shared" ref="O25:O28" si="5">IF(AND(M25&gt;=20,M25&lt;&gt;"m",RIGHT(K25,3)="Lec"),1,IF(AND(M25&gt;=20,M25&lt;&gt;"m",OR(RIGHT(K25,3)="Lab",RIGHT(K25,3)="Tut")),0.5,IF(AND(M25&gt;=20,M25&lt;&gt;"m",RIGHT(K25,2)="TL"),0.75,0)))</f>
        <v>0</v>
      </c>
      <c r="P25" s="166"/>
      <c r="Q25" s="173"/>
      <c r="R25" s="65"/>
      <c r="S25" s="173"/>
      <c r="T25" s="173"/>
      <c r="U25" s="166"/>
      <c r="V25" s="166"/>
      <c r="W25" s="65"/>
      <c r="X25" s="66"/>
      <c r="Y25" s="173"/>
      <c r="Z25" s="166"/>
      <c r="AA25" s="174"/>
      <c r="AB25" s="175"/>
      <c r="AC25" s="175"/>
      <c r="AD25" s="175"/>
      <c r="AE25" s="175"/>
      <c r="AF25" s="175"/>
      <c r="AG25" s="175"/>
      <c r="AH25" s="175"/>
      <c r="AI25" s="176"/>
      <c r="AJ25" s="177"/>
      <c r="AK25" s="178"/>
      <c r="AL25" s="178"/>
      <c r="AM25" s="178"/>
      <c r="AN25" s="178"/>
      <c r="AO25" s="179"/>
      <c r="AP25" s="64"/>
      <c r="AQ25" s="65"/>
      <c r="AR25" s="65"/>
      <c r="AS25" s="65"/>
      <c r="AT25" s="173"/>
      <c r="AU25" s="177"/>
      <c r="AV25" s="178"/>
      <c r="AW25" s="178"/>
      <c r="AX25" s="179"/>
      <c r="AZ25" s="166"/>
      <c r="BA25" s="177"/>
      <c r="BB25" s="178"/>
      <c r="BC25" s="178"/>
      <c r="BD25" s="178"/>
      <c r="BE25" s="178"/>
      <c r="BF25" s="178"/>
      <c r="BG25" s="178"/>
      <c r="BH25" s="178"/>
      <c r="BI25" s="179"/>
      <c r="BJ25" s="180"/>
      <c r="BK25" s="178"/>
      <c r="BL25" s="178"/>
      <c r="BM25" s="178"/>
      <c r="BN25" s="178"/>
      <c r="BO25" s="181"/>
      <c r="BP25" s="166"/>
      <c r="BQ25" s="177"/>
      <c r="BR25" s="178"/>
      <c r="BS25" s="179"/>
      <c r="BU25" s="166"/>
      <c r="BV25" s="166"/>
      <c r="BW25" s="166"/>
      <c r="BX25" s="166"/>
      <c r="BY25" s="166"/>
      <c r="BZ25" s="166"/>
      <c r="CA25" s="166"/>
      <c r="CB25" s="166"/>
      <c r="CC25" s="166"/>
      <c r="CD25" s="177"/>
      <c r="CE25" s="181"/>
      <c r="CF25" s="177"/>
      <c r="CG25" s="181"/>
      <c r="CH25" s="177"/>
      <c r="CI25" s="182"/>
      <c r="CJ25" s="177"/>
      <c r="CK25" s="182"/>
      <c r="CL25" s="178"/>
      <c r="CM25" s="182"/>
      <c r="CN25" s="177"/>
      <c r="CO25" s="182"/>
      <c r="CP25" s="177"/>
      <c r="CQ25" s="178"/>
      <c r="CR25" s="182"/>
      <c r="CS25" s="65"/>
      <c r="CT25" s="64"/>
      <c r="CU25" s="165" t="str">
        <f t="shared" si="2"/>
        <v>DVB</v>
      </c>
    </row>
    <row r="26" ht="60.0" customHeight="1">
      <c r="A26" s="65"/>
      <c r="B26" s="166"/>
      <c r="C26" s="167">
        <v>8.0</v>
      </c>
      <c r="D26" s="168" t="s">
        <v>147</v>
      </c>
      <c r="E26" s="169"/>
      <c r="F26" s="170"/>
      <c r="G26" s="170"/>
      <c r="H26" s="170"/>
      <c r="I26" s="170"/>
      <c r="J26" s="170"/>
      <c r="K26" s="171"/>
      <c r="L26" s="171"/>
      <c r="M26" s="171"/>
      <c r="N26" s="171"/>
      <c r="O26" s="172">
        <f t="shared" si="5"/>
        <v>0</v>
      </c>
      <c r="P26" s="166"/>
      <c r="Q26" s="173"/>
      <c r="R26" s="65"/>
      <c r="S26" s="173"/>
      <c r="T26" s="173"/>
      <c r="U26" s="166"/>
      <c r="V26" s="166"/>
      <c r="W26" s="65"/>
      <c r="X26" s="66"/>
      <c r="Y26" s="173"/>
      <c r="Z26" s="166"/>
      <c r="AA26" s="174"/>
      <c r="AB26" s="175"/>
      <c r="AC26" s="175"/>
      <c r="AD26" s="175"/>
      <c r="AE26" s="175"/>
      <c r="AF26" s="175"/>
      <c r="AG26" s="175"/>
      <c r="AH26" s="175"/>
      <c r="AI26" s="176"/>
      <c r="AJ26" s="177"/>
      <c r="AK26" s="178"/>
      <c r="AL26" s="178"/>
      <c r="AM26" s="178"/>
      <c r="AN26" s="178"/>
      <c r="AO26" s="179"/>
      <c r="AP26" s="64"/>
      <c r="AQ26" s="65"/>
      <c r="AR26" s="65"/>
      <c r="AS26" s="65"/>
      <c r="AT26" s="173"/>
      <c r="AU26" s="177"/>
      <c r="AV26" s="178"/>
      <c r="AW26" s="178"/>
      <c r="AX26" s="179"/>
      <c r="AZ26" s="166"/>
      <c r="BA26" s="177"/>
      <c r="BB26" s="178"/>
      <c r="BC26" s="178"/>
      <c r="BD26" s="178"/>
      <c r="BE26" s="178"/>
      <c r="BF26" s="178"/>
      <c r="BG26" s="178"/>
      <c r="BH26" s="178"/>
      <c r="BI26" s="179"/>
      <c r="BJ26" s="180"/>
      <c r="BK26" s="178"/>
      <c r="BL26" s="178"/>
      <c r="BM26" s="178"/>
      <c r="BN26" s="178"/>
      <c r="BO26" s="181"/>
      <c r="BP26" s="166"/>
      <c r="BQ26" s="177"/>
      <c r="BR26" s="178"/>
      <c r="BS26" s="179"/>
      <c r="BU26" s="166"/>
      <c r="BV26" s="166"/>
      <c r="BW26" s="166"/>
      <c r="BX26" s="166"/>
      <c r="BY26" s="166"/>
      <c r="BZ26" s="166"/>
      <c r="CA26" s="166"/>
      <c r="CB26" s="166"/>
      <c r="CC26" s="166"/>
      <c r="CD26" s="177"/>
      <c r="CE26" s="181"/>
      <c r="CF26" s="177"/>
      <c r="CG26" s="181"/>
      <c r="CH26" s="177"/>
      <c r="CI26" s="182"/>
      <c r="CJ26" s="177"/>
      <c r="CK26" s="182"/>
      <c r="CL26" s="178"/>
      <c r="CM26" s="182"/>
      <c r="CN26" s="177"/>
      <c r="CO26" s="182"/>
      <c r="CP26" s="177"/>
      <c r="CQ26" s="178"/>
      <c r="CR26" s="182"/>
      <c r="CS26" s="65"/>
      <c r="CT26" s="64"/>
      <c r="CU26" s="165" t="str">
        <f t="shared" si="2"/>
        <v>DVB</v>
      </c>
    </row>
    <row r="27" ht="60.0" customHeight="1">
      <c r="A27" s="65"/>
      <c r="B27" s="166"/>
      <c r="C27" s="167">
        <v>9.0</v>
      </c>
      <c r="D27" s="168" t="s">
        <v>147</v>
      </c>
      <c r="E27" s="169"/>
      <c r="F27" s="170"/>
      <c r="G27" s="170"/>
      <c r="H27" s="170"/>
      <c r="I27" s="170"/>
      <c r="J27" s="170"/>
      <c r="K27" s="171"/>
      <c r="L27" s="171"/>
      <c r="M27" s="171"/>
      <c r="N27" s="171"/>
      <c r="O27" s="172">
        <f t="shared" si="5"/>
        <v>0</v>
      </c>
      <c r="P27" s="166"/>
      <c r="Q27" s="173"/>
      <c r="R27" s="65"/>
      <c r="S27" s="173"/>
      <c r="T27" s="173"/>
      <c r="U27" s="166"/>
      <c r="V27" s="166"/>
      <c r="W27" s="65"/>
      <c r="X27" s="66"/>
      <c r="Y27" s="173"/>
      <c r="Z27" s="166"/>
      <c r="AA27" s="174"/>
      <c r="AB27" s="175"/>
      <c r="AC27" s="175"/>
      <c r="AD27" s="175"/>
      <c r="AE27" s="175"/>
      <c r="AF27" s="175"/>
      <c r="AG27" s="175"/>
      <c r="AH27" s="175"/>
      <c r="AI27" s="176"/>
      <c r="AJ27" s="177"/>
      <c r="AK27" s="178"/>
      <c r="AL27" s="178"/>
      <c r="AM27" s="178"/>
      <c r="AN27" s="178"/>
      <c r="AO27" s="179"/>
      <c r="AP27" s="64"/>
      <c r="AQ27" s="65"/>
      <c r="AR27" s="65"/>
      <c r="AS27" s="65"/>
      <c r="AT27" s="173"/>
      <c r="AU27" s="177"/>
      <c r="AV27" s="178"/>
      <c r="AW27" s="178"/>
      <c r="AX27" s="179"/>
      <c r="AZ27" s="166"/>
      <c r="BA27" s="177"/>
      <c r="BB27" s="178"/>
      <c r="BC27" s="178"/>
      <c r="BD27" s="178"/>
      <c r="BE27" s="178"/>
      <c r="BF27" s="178"/>
      <c r="BG27" s="178"/>
      <c r="BH27" s="178"/>
      <c r="BI27" s="179"/>
      <c r="BJ27" s="180"/>
      <c r="BK27" s="178"/>
      <c r="BL27" s="178"/>
      <c r="BM27" s="178"/>
      <c r="BN27" s="178"/>
      <c r="BO27" s="181"/>
      <c r="BP27" s="166"/>
      <c r="BQ27" s="177"/>
      <c r="BR27" s="178"/>
      <c r="BS27" s="179"/>
      <c r="BU27" s="166"/>
      <c r="BV27" s="166"/>
      <c r="BW27" s="166"/>
      <c r="BX27" s="166"/>
      <c r="BY27" s="166"/>
      <c r="BZ27" s="166"/>
      <c r="CA27" s="166"/>
      <c r="CB27" s="166"/>
      <c r="CC27" s="166"/>
      <c r="CD27" s="177"/>
      <c r="CE27" s="181"/>
      <c r="CF27" s="177"/>
      <c r="CG27" s="181"/>
      <c r="CH27" s="177"/>
      <c r="CI27" s="182"/>
      <c r="CJ27" s="177"/>
      <c r="CK27" s="182"/>
      <c r="CL27" s="178"/>
      <c r="CM27" s="182"/>
      <c r="CN27" s="177"/>
      <c r="CO27" s="182"/>
      <c r="CP27" s="177"/>
      <c r="CQ27" s="178"/>
      <c r="CR27" s="182"/>
      <c r="CS27" s="65"/>
      <c r="CT27" s="64"/>
      <c r="CU27" s="165" t="str">
        <f t="shared" si="2"/>
        <v>DVB</v>
      </c>
    </row>
    <row r="28" ht="60.0" customHeight="1">
      <c r="A28" s="65"/>
      <c r="B28" s="166"/>
      <c r="C28" s="167">
        <v>10.0</v>
      </c>
      <c r="D28" s="168" t="s">
        <v>147</v>
      </c>
      <c r="E28" s="169"/>
      <c r="F28" s="170"/>
      <c r="G28" s="170"/>
      <c r="H28" s="170"/>
      <c r="I28" s="170"/>
      <c r="J28" s="170"/>
      <c r="K28" s="171"/>
      <c r="L28" s="171"/>
      <c r="M28" s="171"/>
      <c r="N28" s="171"/>
      <c r="O28" s="172">
        <f t="shared" si="5"/>
        <v>0</v>
      </c>
      <c r="P28" s="166"/>
      <c r="Q28" s="173"/>
      <c r="R28" s="65"/>
      <c r="S28" s="173"/>
      <c r="T28" s="173"/>
      <c r="U28" s="166"/>
      <c r="V28" s="166"/>
      <c r="W28" s="65"/>
      <c r="X28" s="66"/>
      <c r="Y28" s="173"/>
      <c r="Z28" s="166"/>
      <c r="AA28" s="174"/>
      <c r="AB28" s="175"/>
      <c r="AC28" s="175"/>
      <c r="AD28" s="175"/>
      <c r="AE28" s="175"/>
      <c r="AF28" s="175"/>
      <c r="AG28" s="175"/>
      <c r="AH28" s="175"/>
      <c r="AI28" s="176"/>
      <c r="AJ28" s="177"/>
      <c r="AK28" s="178"/>
      <c r="AL28" s="178"/>
      <c r="AM28" s="178"/>
      <c r="AN28" s="178"/>
      <c r="AO28" s="179"/>
      <c r="AP28" s="64"/>
      <c r="AQ28" s="65"/>
      <c r="AR28" s="65"/>
      <c r="AS28" s="65"/>
      <c r="AT28" s="173"/>
      <c r="AU28" s="177"/>
      <c r="AV28" s="178"/>
      <c r="AW28" s="178"/>
      <c r="AX28" s="179"/>
      <c r="AZ28" s="166"/>
      <c r="BA28" s="177"/>
      <c r="BB28" s="178"/>
      <c r="BC28" s="178"/>
      <c r="BD28" s="178"/>
      <c r="BE28" s="178"/>
      <c r="BF28" s="178"/>
      <c r="BG28" s="178"/>
      <c r="BH28" s="178"/>
      <c r="BI28" s="179"/>
      <c r="BJ28" s="180"/>
      <c r="BK28" s="178"/>
      <c r="BL28" s="178"/>
      <c r="BM28" s="178"/>
      <c r="BN28" s="178"/>
      <c r="BO28" s="181"/>
      <c r="BP28" s="166"/>
      <c r="BQ28" s="177"/>
      <c r="BR28" s="178"/>
      <c r="BS28" s="179"/>
      <c r="BU28" s="166"/>
      <c r="BV28" s="166"/>
      <c r="BW28" s="166"/>
      <c r="BX28" s="166"/>
      <c r="BY28" s="166"/>
      <c r="BZ28" s="166"/>
      <c r="CA28" s="166"/>
      <c r="CB28" s="166"/>
      <c r="CC28" s="166"/>
      <c r="CD28" s="177"/>
      <c r="CE28" s="181"/>
      <c r="CF28" s="177"/>
      <c r="CG28" s="181"/>
      <c r="CH28" s="177"/>
      <c r="CI28" s="182"/>
      <c r="CJ28" s="177"/>
      <c r="CK28" s="182"/>
      <c r="CL28" s="178"/>
      <c r="CM28" s="182"/>
      <c r="CN28" s="177"/>
      <c r="CO28" s="182"/>
      <c r="CP28" s="177"/>
      <c r="CQ28" s="178"/>
      <c r="CR28" s="182"/>
      <c r="CS28" s="65"/>
      <c r="CT28" s="64"/>
      <c r="CU28" s="165" t="str">
        <f t="shared" si="2"/>
        <v>DVB</v>
      </c>
    </row>
    <row r="29" ht="60.0" customHeight="1">
      <c r="A29" s="89"/>
      <c r="B29" s="63"/>
      <c r="C29" s="183">
        <v>11.0</v>
      </c>
      <c r="D29" s="184" t="s">
        <v>147</v>
      </c>
      <c r="E29" s="185"/>
      <c r="F29" s="186"/>
      <c r="G29" s="186"/>
      <c r="H29" s="186"/>
      <c r="I29" s="186"/>
      <c r="J29" s="186"/>
      <c r="K29" s="187"/>
      <c r="L29" s="187"/>
      <c r="M29" s="187"/>
      <c r="N29" s="187"/>
      <c r="O29" s="188">
        <f t="shared" ref="O29:O35" si="6">IF(AND(M29&lt;&gt;0,M29&lt;&gt;"m",M29&lt;&gt;"",RIGHT(K29,3)="Lec"),1,IF(AND(M29&lt;&gt;0,M29&lt;&gt;"m",M29&lt;&gt;"",OR(RIGHT(K29,3)="Lab",RIGHT(K29,3)="Tut")),0.5,IF(AND(M29&lt;&gt;0,M29&lt;&gt;"m",M29&lt;&gt;"",RIGHT(K29,2)="TL"),0.75,0)))</f>
        <v>0</v>
      </c>
      <c r="P29" s="63"/>
      <c r="Q29" s="69"/>
      <c r="R29" s="89"/>
      <c r="S29" s="69"/>
      <c r="T29" s="69"/>
      <c r="U29" s="63"/>
      <c r="V29" s="63"/>
      <c r="W29" s="89"/>
      <c r="X29" s="68"/>
      <c r="Y29" s="69"/>
      <c r="Z29" s="63"/>
      <c r="AA29" s="189"/>
      <c r="AB29" s="190"/>
      <c r="AC29" s="190"/>
      <c r="AD29" s="190"/>
      <c r="AE29" s="190"/>
      <c r="AF29" s="190"/>
      <c r="AG29" s="190"/>
      <c r="AH29" s="190"/>
      <c r="AI29" s="191"/>
      <c r="AJ29" s="192"/>
      <c r="AK29" s="193"/>
      <c r="AL29" s="193"/>
      <c r="AM29" s="193"/>
      <c r="AN29" s="193"/>
      <c r="AO29" s="194"/>
      <c r="AP29" s="103"/>
      <c r="AQ29" s="89"/>
      <c r="AR29" s="89"/>
      <c r="AS29" s="89"/>
      <c r="AT29" s="69"/>
      <c r="AU29" s="192"/>
      <c r="AV29" s="193"/>
      <c r="AW29" s="193"/>
      <c r="AX29" s="194"/>
      <c r="AY29" s="6"/>
      <c r="AZ29" s="63"/>
      <c r="BA29" s="192"/>
      <c r="BB29" s="193"/>
      <c r="BC29" s="193"/>
      <c r="BD29" s="193"/>
      <c r="BE29" s="193"/>
      <c r="BF29" s="193"/>
      <c r="BG29" s="193"/>
      <c r="BH29" s="193"/>
      <c r="BI29" s="194"/>
      <c r="BJ29" s="195"/>
      <c r="BK29" s="193"/>
      <c r="BL29" s="193"/>
      <c r="BM29" s="193"/>
      <c r="BN29" s="193"/>
      <c r="BO29" s="196"/>
      <c r="BP29" s="63"/>
      <c r="BQ29" s="192"/>
      <c r="BR29" s="193"/>
      <c r="BS29" s="194"/>
      <c r="BT29" s="6"/>
      <c r="BU29" s="63"/>
      <c r="BV29" s="63"/>
      <c r="BW29" s="63"/>
      <c r="BX29" s="63"/>
      <c r="BY29" s="63"/>
      <c r="BZ29" s="63"/>
      <c r="CA29" s="63"/>
      <c r="CB29" s="63"/>
      <c r="CC29" s="63"/>
      <c r="CD29" s="192"/>
      <c r="CE29" s="196"/>
      <c r="CF29" s="192"/>
      <c r="CG29" s="196"/>
      <c r="CH29" s="192"/>
      <c r="CI29" s="197"/>
      <c r="CJ29" s="192"/>
      <c r="CK29" s="197"/>
      <c r="CL29" s="198"/>
      <c r="CM29" s="197"/>
      <c r="CN29" s="192"/>
      <c r="CO29" s="197"/>
      <c r="CP29" s="192"/>
      <c r="CQ29" s="193"/>
      <c r="CR29" s="197"/>
      <c r="CS29" s="89"/>
      <c r="CT29" s="103"/>
      <c r="CU29" s="165" t="str">
        <f t="shared" si="2"/>
        <v>DVB</v>
      </c>
    </row>
    <row r="30" ht="55.5" customHeight="1">
      <c r="A30" s="125">
        <v>3.0</v>
      </c>
      <c r="B30" s="126" t="s">
        <v>153</v>
      </c>
      <c r="C30" s="127">
        <v>1.0</v>
      </c>
      <c r="D30" s="128" t="s">
        <v>154</v>
      </c>
      <c r="E30" s="129"/>
      <c r="F30" s="130"/>
      <c r="G30" s="130"/>
      <c r="H30" s="130"/>
      <c r="I30" s="130"/>
      <c r="J30" s="130"/>
      <c r="K30" s="131"/>
      <c r="L30" s="131"/>
      <c r="M30" s="131"/>
      <c r="N30" s="131"/>
      <c r="O30" s="132">
        <f t="shared" si="6"/>
        <v>0</v>
      </c>
      <c r="P30" s="133">
        <f>COUNTIF(K30:K40,"TL")*0.75+COUNTIF(K30:K40,"Lec")*1+COUNTIF(K30:K40,"Lab")*0.5</f>
        <v>0</v>
      </c>
      <c r="Q30" s="134">
        <f>SUM((IF(LEFT(K30,1)="E",O30,0)),(IF(LEFT(K31,1)="E",O31,0)),(IF(LEFT(K32,1)="E",O32,0)),(IF(LEFT(K33,1)="E",O33,0)),(IF(LEFT(K34,1)="E",O34,0)),(IF(LEFT(K35,1)="E",O35,0)),(IF(LEFT(K36,1)="E",O36,0)),(IF(LEFT(K37,1)="E",O37,0)),(IF(LEFT(K38,1)="E",O38,0)),(IF(LEFT(K39,1)="E",O39,0)),(IF(LEFT(K40,1)="E",O40,0)))</f>
        <v>0</v>
      </c>
      <c r="R30" s="135">
        <f>SUM(IF(M36&lt;20,IF(K36="Plec",-1,IF(K36="PTL",-0.75,IF(K36="Plab",-0.5,0))),0),IF(M37&lt;20,IF(K37="Plec",-1,IF(K37="PTL",-0.75,IF(K37="Plab",-0.5,0))),0),IF(M38&lt;20,IF(K38="Plec",-1,IF(K38="PTL",-0.75,IF(K38="Plab",-0.5,0))),0),IF(M39&lt;20,IF(K39="Plec",-1,IF(K39="PTL",-0.75,IF(K39="Plab",-0.5,0))),0))</f>
        <v>0</v>
      </c>
      <c r="S30" s="134">
        <f>SUM(P30:R40)</f>
        <v>0</v>
      </c>
      <c r="T30" s="136">
        <f>SUM(IF(M30="M",IF(OR(K30="lec",K30="plec",K30="slec"),1,IF(OR(K30="lab",K30="plab",K30="slab",K30="tut",K30="ptut",K30="stut"),0.5,IF(OR(K30="TL",K30="pTL",K30="STL"),0.75,0))),0),IF(M31="M",IF(OR(K31="lec",K31="plec",K31="slec"),1,IF(OR(K31="lab",K31="plab",K31="slab",K31="tut",K31="ptut",K31="stut"),0.5,IF(OR(K31="TL",K31="pTL",K31="STL"),0.75,0))),0),IF(M32="M",IF(OR(K32="lec",K32="plec",K32="slec"),1,IF(OR(K32="lab",K32="plab",K32="slab",K32="tut",K32="ptut",K32="stut"),0.5,IF(OR(K32="TL",K32="pTL",K32="STL"),0.75,0))),0),IF(M33="M",IF(OR(K33="lec",K33="plec",K33="slec"),1,IF(OR(K33="lab",K33="plab",K33="slab",K33="tut",K33="ptut",K33="stut"),0.5,IF(OR(K33="TL",K33="pTL",K33="STL"),0.75,0))),0),IF(M34="M",IF(OR(K34="lec",K34="plec",K34="slec"),1,IF(OR(K34="lab",K34="plab",K34="slab",K34="tut",K34="ptut",K34="stut"),0.5,IF(OR(K34="TL",K34="pTL",K34="STL"),0.75,0))),0),IF(M35="M",IF(OR(K35="lec",K35="plec",K35="slec"),1,IF(OR(K35="lab",K35="plab",K35="slab",K35="tut",K35="ptut",K35="stut"),0.5,IF(OR(K35="TL",K35="pTL",K35="STL"),0.75,0))),0),IF(M36="M",IF(OR(K36="lec",K36="plec",K36="slec"),1,IF(OR(K36="lab",K36="plab",K36="slab",K36="tut",K36="ptut",K36="stut"),0.5,IF(OR(K36="TL",K36="pTL",K36="STL"),0.75,0))),0),IF(M37="M",IF(OR(K37="lec",K37="plec",K37="slec"),1,IF(OR(K37="lab",K37="plab",K37="slab",K37="tut",K37="ptut",K37="stut"),0.5,IF(OR(K37="TL",K37="pTL",K37="STL"),0.75,0))),0),IF(M38="M",IF(OR(K38="lec",K38="plec",K38="slec"),1,IF(OR(K38="lab",K38="plab",K38="slab",K38="tut",K38="ptut",K38="stut"),0.5,IF(OR(K38="TL",K38="pTL",K38="STL"),0.75,0))),0),IF(M39="M",IF(OR(K39="lec",K39="plec",K39="slec"),1,IF(OR(K39="lab",K39="plab",K39="slab",K39="tut",K39="ptut",K39="stut"),0.5,IF(OR(K39="TL",K39="pTL",K39="STL"),0.75,0))),0),IF(M40="M",IF(OR(K40="lec",K40="plec",K40="slec"),1,IF(OR(K40="lab",K40="plab",K40="slab",K40="tut",K40="ptut",K40="stut"),0.5,IF(OR(K40="TL",K40="pTL",K40="STL"),0.75,0))),0))</f>
        <v>0</v>
      </c>
      <c r="U30" s="137"/>
      <c r="V30" s="133"/>
      <c r="W30" s="138"/>
      <c r="X30" s="139">
        <f>S30-(T30+U30+V30+W30)</f>
        <v>0</v>
      </c>
      <c r="Y30" s="134" t="str">
        <f>CONCATENATE(SUM(O30:O40),"(",SUM(O30:O40)-X30,")")</f>
        <v>0(0)</v>
      </c>
      <c r="Z30" s="140"/>
      <c r="AA30" s="141"/>
      <c r="AB30" s="142"/>
      <c r="AC30" s="142"/>
      <c r="AD30" s="142"/>
      <c r="AE30" s="142"/>
      <c r="AF30" s="142"/>
      <c r="AG30" s="142"/>
      <c r="AH30" s="142"/>
      <c r="AI30" s="143"/>
      <c r="AJ30" s="144"/>
      <c r="AK30" s="145"/>
      <c r="AL30" s="145"/>
      <c r="AM30" s="145"/>
      <c r="AN30" s="145"/>
      <c r="AO30" s="146"/>
      <c r="AP30" s="147">
        <f>SUM(SUM(O30:O40),SUM(AI30:AI40)/2,AM30)</f>
        <v>0</v>
      </c>
      <c r="AQ30" s="148"/>
      <c r="AR30" s="148">
        <f>AP30*AQ30</f>
        <v>0</v>
      </c>
      <c r="AS30" s="148">
        <f>CT30</f>
        <v>4.36</v>
      </c>
      <c r="AT30" s="149">
        <f>AR30*0.75+AS30*0.25</f>
        <v>1.09</v>
      </c>
      <c r="AU30" s="150"/>
      <c r="AV30" s="151"/>
      <c r="AW30" s="151"/>
      <c r="AX30" s="152"/>
      <c r="AY30" s="153"/>
      <c r="AZ30" s="140"/>
      <c r="BA30" s="150">
        <v>1.0</v>
      </c>
      <c r="BB30" s="151" t="s">
        <v>148</v>
      </c>
      <c r="BC30" s="151">
        <v>6.0</v>
      </c>
      <c r="BD30" s="151">
        <v>104.0</v>
      </c>
      <c r="BE30" s="151" t="s">
        <v>150</v>
      </c>
      <c r="BF30" s="151"/>
      <c r="BG30" s="151">
        <v>1.0</v>
      </c>
      <c r="BH30" s="151"/>
      <c r="BI30" s="152"/>
      <c r="BJ30" s="154">
        <v>4.0</v>
      </c>
      <c r="BK30" s="151"/>
      <c r="BL30" s="151"/>
      <c r="BM30" s="151"/>
      <c r="BN30" s="151"/>
      <c r="BO30" s="155"/>
      <c r="BP30" s="140"/>
      <c r="BQ30" s="156" t="s">
        <v>151</v>
      </c>
      <c r="BR30" s="157">
        <v>7.0</v>
      </c>
      <c r="BS30" s="158">
        <v>1.0</v>
      </c>
      <c r="BT30" s="153"/>
      <c r="BU30" s="140"/>
      <c r="BV30" s="140"/>
      <c r="BW30" s="140"/>
      <c r="BX30" s="140"/>
      <c r="BY30" s="140"/>
      <c r="BZ30" s="140"/>
      <c r="CA30" s="140"/>
      <c r="CB30" s="140"/>
      <c r="CC30" s="140"/>
      <c r="CD30" s="150"/>
      <c r="CE30" s="155"/>
      <c r="CF30" s="150" t="s">
        <v>155</v>
      </c>
      <c r="CG30" s="155"/>
      <c r="CH30" s="159"/>
      <c r="CI30" s="160"/>
      <c r="CJ30" s="159" t="s">
        <v>156</v>
      </c>
      <c r="CK30" s="160">
        <v>-1.0</v>
      </c>
      <c r="CL30" s="161"/>
      <c r="CM30" s="160"/>
      <c r="CN30" s="159"/>
      <c r="CO30" s="160"/>
      <c r="CP30" s="159"/>
      <c r="CQ30" s="162"/>
      <c r="CR30" s="160"/>
      <c r="CS30" s="163">
        <f>SUM(IF(AU30&lt;0,ABS(AU30),0),IF(AZ30&lt;0,ABS(AZ30),0),ABS(CI30),ABS(CK30),ABS(CM30),ABS(CO30),ABS(CQ30),ABS(CR30))</f>
        <v>1</v>
      </c>
      <c r="CT30" s="164">
        <f>SUM(AU30,AV30,AW30,AX30/400,AY30,AZ30,BG30,BH30*0.5,BI30*0.25,BJ30,BK30,BL30,BM30,BN30,BO30,BP30,BR30/20,BS30/100,BT30/60,BU30,BV30,BW30,BX30/4,SUM(BY30:CC40)/3,CE30,CG30/3,CI30,CK30,CM30,CO30,CQ30,CR30)</f>
        <v>4.36</v>
      </c>
      <c r="CU30" s="165" t="str">
        <f t="shared" si="2"/>
        <v>MPH</v>
      </c>
    </row>
    <row r="31" ht="60.0" customHeight="1">
      <c r="A31" s="65"/>
      <c r="B31" s="166"/>
      <c r="C31" s="167">
        <v>2.0</v>
      </c>
      <c r="D31" s="168" t="s">
        <v>154</v>
      </c>
      <c r="E31" s="169"/>
      <c r="F31" s="170"/>
      <c r="G31" s="170"/>
      <c r="H31" s="170"/>
      <c r="I31" s="170"/>
      <c r="J31" s="170"/>
      <c r="K31" s="171"/>
      <c r="L31" s="171"/>
      <c r="M31" s="171"/>
      <c r="N31" s="171"/>
      <c r="O31" s="172">
        <f t="shared" si="6"/>
        <v>0</v>
      </c>
      <c r="P31" s="166"/>
      <c r="Q31" s="173"/>
      <c r="R31" s="65"/>
      <c r="S31" s="173"/>
      <c r="T31" s="173"/>
      <c r="U31" s="166"/>
      <c r="V31" s="166"/>
      <c r="W31" s="65"/>
      <c r="X31" s="66"/>
      <c r="Y31" s="173"/>
      <c r="Z31" s="166"/>
      <c r="AA31" s="174"/>
      <c r="AB31" s="175"/>
      <c r="AC31" s="175"/>
      <c r="AD31" s="175"/>
      <c r="AE31" s="175"/>
      <c r="AF31" s="175"/>
      <c r="AG31" s="175"/>
      <c r="AH31" s="175"/>
      <c r="AI31" s="176"/>
      <c r="AJ31" s="177"/>
      <c r="AK31" s="178"/>
      <c r="AL31" s="178"/>
      <c r="AM31" s="178"/>
      <c r="AN31" s="178"/>
      <c r="AO31" s="179"/>
      <c r="AP31" s="64"/>
      <c r="AQ31" s="65"/>
      <c r="AR31" s="65"/>
      <c r="AS31" s="65"/>
      <c r="AT31" s="173"/>
      <c r="AU31" s="177"/>
      <c r="AV31" s="178"/>
      <c r="AW31" s="178"/>
      <c r="AX31" s="179"/>
      <c r="AZ31" s="166"/>
      <c r="BA31" s="177"/>
      <c r="BB31" s="178"/>
      <c r="BC31" s="178"/>
      <c r="BD31" s="178"/>
      <c r="BE31" s="178"/>
      <c r="BF31" s="178"/>
      <c r="BG31" s="178"/>
      <c r="BH31" s="178"/>
      <c r="BI31" s="179"/>
      <c r="BJ31" s="180"/>
      <c r="BK31" s="178"/>
      <c r="BL31" s="178"/>
      <c r="BM31" s="178"/>
      <c r="BN31" s="178"/>
      <c r="BO31" s="181"/>
      <c r="BP31" s="166"/>
      <c r="BQ31" s="177"/>
      <c r="BR31" s="178"/>
      <c r="BS31" s="179"/>
      <c r="BU31" s="166"/>
      <c r="BV31" s="166"/>
      <c r="BW31" s="166"/>
      <c r="BX31" s="166"/>
      <c r="BY31" s="166"/>
      <c r="BZ31" s="166"/>
      <c r="CA31" s="166"/>
      <c r="CB31" s="166"/>
      <c r="CC31" s="166"/>
      <c r="CD31" s="177"/>
      <c r="CE31" s="181"/>
      <c r="CF31" s="177"/>
      <c r="CG31" s="181"/>
      <c r="CH31" s="177"/>
      <c r="CI31" s="182"/>
      <c r="CJ31" s="177"/>
      <c r="CK31" s="182"/>
      <c r="CL31" s="178"/>
      <c r="CM31" s="182"/>
      <c r="CN31" s="177"/>
      <c r="CO31" s="182"/>
      <c r="CP31" s="177"/>
      <c r="CQ31" s="178"/>
      <c r="CR31" s="182"/>
      <c r="CS31" s="65"/>
      <c r="CT31" s="64"/>
      <c r="CU31" s="165" t="str">
        <f t="shared" si="2"/>
        <v>MPH</v>
      </c>
    </row>
    <row r="32" ht="60.0" customHeight="1">
      <c r="A32" s="65"/>
      <c r="B32" s="166"/>
      <c r="C32" s="167">
        <v>3.0</v>
      </c>
      <c r="D32" s="168" t="s">
        <v>154</v>
      </c>
      <c r="E32" s="169"/>
      <c r="F32" s="170"/>
      <c r="G32" s="170"/>
      <c r="H32" s="170"/>
      <c r="I32" s="170"/>
      <c r="J32" s="170"/>
      <c r="K32" s="171"/>
      <c r="L32" s="171"/>
      <c r="M32" s="171"/>
      <c r="N32" s="171"/>
      <c r="O32" s="172">
        <f t="shared" si="6"/>
        <v>0</v>
      </c>
      <c r="P32" s="166"/>
      <c r="Q32" s="173"/>
      <c r="R32" s="65"/>
      <c r="S32" s="173"/>
      <c r="T32" s="173"/>
      <c r="U32" s="166"/>
      <c r="V32" s="166"/>
      <c r="W32" s="65"/>
      <c r="X32" s="66"/>
      <c r="Y32" s="173"/>
      <c r="Z32" s="166"/>
      <c r="AA32" s="174"/>
      <c r="AB32" s="175"/>
      <c r="AC32" s="175"/>
      <c r="AD32" s="175"/>
      <c r="AE32" s="175"/>
      <c r="AF32" s="175"/>
      <c r="AG32" s="175"/>
      <c r="AH32" s="175"/>
      <c r="AI32" s="176"/>
      <c r="AJ32" s="177"/>
      <c r="AK32" s="178"/>
      <c r="AL32" s="178"/>
      <c r="AM32" s="178"/>
      <c r="AN32" s="178"/>
      <c r="AO32" s="179"/>
      <c r="AP32" s="64"/>
      <c r="AQ32" s="65"/>
      <c r="AR32" s="65"/>
      <c r="AS32" s="65"/>
      <c r="AT32" s="173"/>
      <c r="AU32" s="177"/>
      <c r="AV32" s="178"/>
      <c r="AW32" s="178"/>
      <c r="AX32" s="179"/>
      <c r="AZ32" s="166"/>
      <c r="BA32" s="177"/>
      <c r="BB32" s="178"/>
      <c r="BC32" s="178"/>
      <c r="BD32" s="178"/>
      <c r="BE32" s="178"/>
      <c r="BF32" s="178"/>
      <c r="BG32" s="178"/>
      <c r="BH32" s="178"/>
      <c r="BI32" s="179"/>
      <c r="BJ32" s="180"/>
      <c r="BK32" s="178"/>
      <c r="BL32" s="178"/>
      <c r="BM32" s="178"/>
      <c r="BN32" s="178"/>
      <c r="BO32" s="181"/>
      <c r="BP32" s="166"/>
      <c r="BQ32" s="177"/>
      <c r="BR32" s="178"/>
      <c r="BS32" s="179"/>
      <c r="BU32" s="166"/>
      <c r="BV32" s="166"/>
      <c r="BW32" s="166"/>
      <c r="BX32" s="166"/>
      <c r="BY32" s="166"/>
      <c r="BZ32" s="166"/>
      <c r="CA32" s="166"/>
      <c r="CB32" s="166"/>
      <c r="CC32" s="166"/>
      <c r="CD32" s="177"/>
      <c r="CE32" s="181"/>
      <c r="CF32" s="177"/>
      <c r="CG32" s="181"/>
      <c r="CH32" s="177"/>
      <c r="CI32" s="182"/>
      <c r="CJ32" s="177"/>
      <c r="CK32" s="182"/>
      <c r="CL32" s="178"/>
      <c r="CM32" s="182"/>
      <c r="CN32" s="177"/>
      <c r="CO32" s="182"/>
      <c r="CP32" s="177"/>
      <c r="CQ32" s="178"/>
      <c r="CR32" s="182"/>
      <c r="CS32" s="65"/>
      <c r="CT32" s="64"/>
      <c r="CU32" s="165" t="str">
        <f t="shared" si="2"/>
        <v>MPH</v>
      </c>
    </row>
    <row r="33" ht="60.0" customHeight="1">
      <c r="A33" s="65"/>
      <c r="B33" s="166"/>
      <c r="C33" s="167">
        <v>4.0</v>
      </c>
      <c r="D33" s="168" t="s">
        <v>154</v>
      </c>
      <c r="E33" s="169"/>
      <c r="F33" s="170"/>
      <c r="G33" s="170"/>
      <c r="H33" s="170"/>
      <c r="I33" s="170"/>
      <c r="J33" s="170"/>
      <c r="K33" s="171"/>
      <c r="L33" s="171"/>
      <c r="M33" s="171"/>
      <c r="N33" s="171"/>
      <c r="O33" s="172">
        <f t="shared" si="6"/>
        <v>0</v>
      </c>
      <c r="P33" s="166"/>
      <c r="Q33" s="173"/>
      <c r="R33" s="65"/>
      <c r="S33" s="173"/>
      <c r="T33" s="173"/>
      <c r="U33" s="166"/>
      <c r="V33" s="166"/>
      <c r="W33" s="65"/>
      <c r="X33" s="66"/>
      <c r="Y33" s="173"/>
      <c r="Z33" s="166"/>
      <c r="AA33" s="174"/>
      <c r="AB33" s="175"/>
      <c r="AC33" s="175"/>
      <c r="AD33" s="175"/>
      <c r="AE33" s="175"/>
      <c r="AF33" s="175"/>
      <c r="AG33" s="175"/>
      <c r="AH33" s="175"/>
      <c r="AI33" s="176"/>
      <c r="AJ33" s="177"/>
      <c r="AK33" s="178"/>
      <c r="AL33" s="178"/>
      <c r="AM33" s="178"/>
      <c r="AN33" s="178"/>
      <c r="AO33" s="179"/>
      <c r="AP33" s="64"/>
      <c r="AQ33" s="65"/>
      <c r="AR33" s="65"/>
      <c r="AS33" s="65"/>
      <c r="AT33" s="173"/>
      <c r="AU33" s="177"/>
      <c r="AV33" s="178"/>
      <c r="AW33" s="178"/>
      <c r="AX33" s="179"/>
      <c r="AZ33" s="166"/>
      <c r="BA33" s="177"/>
      <c r="BB33" s="178"/>
      <c r="BC33" s="178"/>
      <c r="BD33" s="178"/>
      <c r="BE33" s="178"/>
      <c r="BF33" s="178"/>
      <c r="BG33" s="178"/>
      <c r="BH33" s="178"/>
      <c r="BI33" s="179"/>
      <c r="BJ33" s="180"/>
      <c r="BK33" s="178"/>
      <c r="BL33" s="178"/>
      <c r="BM33" s="178"/>
      <c r="BN33" s="178"/>
      <c r="BO33" s="181"/>
      <c r="BP33" s="166"/>
      <c r="BQ33" s="177"/>
      <c r="BR33" s="178"/>
      <c r="BS33" s="179"/>
      <c r="BU33" s="166"/>
      <c r="BV33" s="166"/>
      <c r="BW33" s="166"/>
      <c r="BX33" s="166"/>
      <c r="BY33" s="166"/>
      <c r="BZ33" s="166"/>
      <c r="CA33" s="166"/>
      <c r="CB33" s="166"/>
      <c r="CC33" s="166"/>
      <c r="CD33" s="177"/>
      <c r="CE33" s="181"/>
      <c r="CF33" s="177"/>
      <c r="CG33" s="181"/>
      <c r="CH33" s="177"/>
      <c r="CI33" s="182"/>
      <c r="CJ33" s="177"/>
      <c r="CK33" s="182"/>
      <c r="CL33" s="178"/>
      <c r="CM33" s="182"/>
      <c r="CN33" s="177"/>
      <c r="CO33" s="182"/>
      <c r="CP33" s="177"/>
      <c r="CQ33" s="178"/>
      <c r="CR33" s="182"/>
      <c r="CS33" s="65"/>
      <c r="CT33" s="64"/>
      <c r="CU33" s="165" t="str">
        <f t="shared" si="2"/>
        <v>MPH</v>
      </c>
    </row>
    <row r="34" ht="60.0" customHeight="1">
      <c r="A34" s="65"/>
      <c r="B34" s="166"/>
      <c r="C34" s="167">
        <v>5.0</v>
      </c>
      <c r="D34" s="168" t="s">
        <v>154</v>
      </c>
      <c r="E34" s="169"/>
      <c r="F34" s="170"/>
      <c r="G34" s="170"/>
      <c r="H34" s="170"/>
      <c r="I34" s="170"/>
      <c r="J34" s="170"/>
      <c r="K34" s="171"/>
      <c r="L34" s="171"/>
      <c r="M34" s="171"/>
      <c r="N34" s="171"/>
      <c r="O34" s="172">
        <f t="shared" si="6"/>
        <v>0</v>
      </c>
      <c r="P34" s="166"/>
      <c r="Q34" s="173"/>
      <c r="R34" s="65"/>
      <c r="S34" s="173"/>
      <c r="T34" s="173"/>
      <c r="U34" s="166"/>
      <c r="V34" s="166"/>
      <c r="W34" s="65"/>
      <c r="X34" s="66"/>
      <c r="Y34" s="173"/>
      <c r="Z34" s="166"/>
      <c r="AA34" s="174"/>
      <c r="AB34" s="175"/>
      <c r="AC34" s="175"/>
      <c r="AD34" s="175"/>
      <c r="AE34" s="175"/>
      <c r="AF34" s="175"/>
      <c r="AG34" s="175"/>
      <c r="AH34" s="175"/>
      <c r="AI34" s="176"/>
      <c r="AJ34" s="177"/>
      <c r="AK34" s="178"/>
      <c r="AL34" s="178"/>
      <c r="AM34" s="178"/>
      <c r="AN34" s="178"/>
      <c r="AO34" s="179"/>
      <c r="AP34" s="64"/>
      <c r="AQ34" s="65"/>
      <c r="AR34" s="65"/>
      <c r="AS34" s="65"/>
      <c r="AT34" s="173"/>
      <c r="AU34" s="177"/>
      <c r="AV34" s="178"/>
      <c r="AW34" s="178"/>
      <c r="AX34" s="179"/>
      <c r="AZ34" s="166"/>
      <c r="BA34" s="177"/>
      <c r="BB34" s="178"/>
      <c r="BC34" s="178"/>
      <c r="BD34" s="178"/>
      <c r="BE34" s="178"/>
      <c r="BF34" s="178"/>
      <c r="BG34" s="178"/>
      <c r="BH34" s="178"/>
      <c r="BI34" s="179"/>
      <c r="BJ34" s="180"/>
      <c r="BK34" s="178"/>
      <c r="BL34" s="178"/>
      <c r="BM34" s="178"/>
      <c r="BN34" s="178"/>
      <c r="BO34" s="181"/>
      <c r="BP34" s="166"/>
      <c r="BQ34" s="177"/>
      <c r="BR34" s="178"/>
      <c r="BS34" s="179"/>
      <c r="BU34" s="166"/>
      <c r="BV34" s="166"/>
      <c r="BW34" s="166"/>
      <c r="BX34" s="166"/>
      <c r="BY34" s="166"/>
      <c r="BZ34" s="166"/>
      <c r="CA34" s="166"/>
      <c r="CB34" s="166"/>
      <c r="CC34" s="166"/>
      <c r="CD34" s="177"/>
      <c r="CE34" s="181"/>
      <c r="CF34" s="177"/>
      <c r="CG34" s="181"/>
      <c r="CH34" s="177"/>
      <c r="CI34" s="182"/>
      <c r="CJ34" s="177"/>
      <c r="CK34" s="182"/>
      <c r="CL34" s="178"/>
      <c r="CM34" s="182"/>
      <c r="CN34" s="177"/>
      <c r="CO34" s="182"/>
      <c r="CP34" s="177"/>
      <c r="CQ34" s="178"/>
      <c r="CR34" s="182"/>
      <c r="CS34" s="65"/>
      <c r="CT34" s="64"/>
      <c r="CU34" s="165" t="str">
        <f t="shared" si="2"/>
        <v>MPH</v>
      </c>
    </row>
    <row r="35" ht="60.0" customHeight="1">
      <c r="A35" s="65"/>
      <c r="B35" s="166"/>
      <c r="C35" s="167">
        <v>6.0</v>
      </c>
      <c r="D35" s="168" t="s">
        <v>154</v>
      </c>
      <c r="E35" s="169"/>
      <c r="F35" s="170"/>
      <c r="G35" s="170"/>
      <c r="H35" s="170"/>
      <c r="I35" s="170"/>
      <c r="J35" s="170"/>
      <c r="K35" s="171"/>
      <c r="L35" s="171"/>
      <c r="M35" s="171"/>
      <c r="N35" s="171"/>
      <c r="O35" s="172">
        <f t="shared" si="6"/>
        <v>0</v>
      </c>
      <c r="P35" s="166"/>
      <c r="Q35" s="173"/>
      <c r="R35" s="65"/>
      <c r="S35" s="173"/>
      <c r="T35" s="173"/>
      <c r="U35" s="166"/>
      <c r="V35" s="166"/>
      <c r="W35" s="65"/>
      <c r="X35" s="66"/>
      <c r="Y35" s="173"/>
      <c r="Z35" s="166"/>
      <c r="AA35" s="174"/>
      <c r="AB35" s="175"/>
      <c r="AC35" s="175"/>
      <c r="AD35" s="175"/>
      <c r="AE35" s="175"/>
      <c r="AF35" s="175"/>
      <c r="AG35" s="175"/>
      <c r="AH35" s="175"/>
      <c r="AI35" s="176"/>
      <c r="AJ35" s="177"/>
      <c r="AK35" s="178"/>
      <c r="AL35" s="178"/>
      <c r="AM35" s="178"/>
      <c r="AN35" s="178"/>
      <c r="AO35" s="179"/>
      <c r="AP35" s="64"/>
      <c r="AQ35" s="65"/>
      <c r="AR35" s="65"/>
      <c r="AS35" s="65"/>
      <c r="AT35" s="173"/>
      <c r="AU35" s="177"/>
      <c r="AV35" s="178"/>
      <c r="AW35" s="178"/>
      <c r="AX35" s="179"/>
      <c r="AZ35" s="166"/>
      <c r="BA35" s="177"/>
      <c r="BB35" s="178"/>
      <c r="BC35" s="178"/>
      <c r="BD35" s="178"/>
      <c r="BE35" s="178"/>
      <c r="BF35" s="178"/>
      <c r="BG35" s="178"/>
      <c r="BH35" s="178"/>
      <c r="BI35" s="179"/>
      <c r="BJ35" s="180"/>
      <c r="BK35" s="178"/>
      <c r="BL35" s="178"/>
      <c r="BM35" s="178"/>
      <c r="BN35" s="178"/>
      <c r="BO35" s="181"/>
      <c r="BP35" s="166"/>
      <c r="BQ35" s="177"/>
      <c r="BR35" s="178"/>
      <c r="BS35" s="179"/>
      <c r="BU35" s="166"/>
      <c r="BV35" s="166"/>
      <c r="BW35" s="166"/>
      <c r="BX35" s="166"/>
      <c r="BY35" s="166"/>
      <c r="BZ35" s="166"/>
      <c r="CA35" s="166"/>
      <c r="CB35" s="166"/>
      <c r="CC35" s="166"/>
      <c r="CD35" s="177"/>
      <c r="CE35" s="181"/>
      <c r="CF35" s="177"/>
      <c r="CG35" s="181"/>
      <c r="CH35" s="177"/>
      <c r="CI35" s="182"/>
      <c r="CJ35" s="177"/>
      <c r="CK35" s="182"/>
      <c r="CL35" s="178"/>
      <c r="CM35" s="182"/>
      <c r="CN35" s="177"/>
      <c r="CO35" s="182"/>
      <c r="CP35" s="177"/>
      <c r="CQ35" s="178"/>
      <c r="CR35" s="182"/>
      <c r="CS35" s="65"/>
      <c r="CT35" s="64"/>
      <c r="CU35" s="165" t="str">
        <f t="shared" si="2"/>
        <v>MPH</v>
      </c>
    </row>
    <row r="36" ht="60.0" customHeight="1">
      <c r="A36" s="65"/>
      <c r="B36" s="166"/>
      <c r="C36" s="167">
        <v>7.0</v>
      </c>
      <c r="D36" s="168" t="s">
        <v>154</v>
      </c>
      <c r="E36" s="169"/>
      <c r="F36" s="170"/>
      <c r="G36" s="170"/>
      <c r="H36" s="170"/>
      <c r="I36" s="170"/>
      <c r="J36" s="170"/>
      <c r="K36" s="171"/>
      <c r="L36" s="171"/>
      <c r="M36" s="171"/>
      <c r="N36" s="171"/>
      <c r="O36" s="172">
        <f t="shared" ref="O36:O39" si="7">IF(AND(M36&gt;=20,M36&lt;&gt;"m",RIGHT(K36,3)="Lec"),1,IF(AND(M36&gt;=20,M36&lt;&gt;"m",OR(RIGHT(K36,3)="Lab",RIGHT(K36,3)="Tut")),0.5,IF(AND(M36&gt;=20,M36&lt;&gt;"m",RIGHT(K36,2)="TL"),0.75,0)))</f>
        <v>0</v>
      </c>
      <c r="P36" s="166"/>
      <c r="Q36" s="173"/>
      <c r="R36" s="65"/>
      <c r="S36" s="173"/>
      <c r="T36" s="173"/>
      <c r="U36" s="166"/>
      <c r="V36" s="166"/>
      <c r="W36" s="65"/>
      <c r="X36" s="66"/>
      <c r="Y36" s="173"/>
      <c r="Z36" s="166"/>
      <c r="AA36" s="174"/>
      <c r="AB36" s="175"/>
      <c r="AC36" s="175"/>
      <c r="AD36" s="175"/>
      <c r="AE36" s="175"/>
      <c r="AF36" s="175"/>
      <c r="AG36" s="175"/>
      <c r="AH36" s="175"/>
      <c r="AI36" s="176"/>
      <c r="AJ36" s="177"/>
      <c r="AK36" s="178"/>
      <c r="AL36" s="178"/>
      <c r="AM36" s="178"/>
      <c r="AN36" s="178"/>
      <c r="AO36" s="179"/>
      <c r="AP36" s="64"/>
      <c r="AQ36" s="65"/>
      <c r="AR36" s="65"/>
      <c r="AS36" s="65"/>
      <c r="AT36" s="173"/>
      <c r="AU36" s="177"/>
      <c r="AV36" s="178"/>
      <c r="AW36" s="178"/>
      <c r="AX36" s="179"/>
      <c r="AZ36" s="166"/>
      <c r="BA36" s="177"/>
      <c r="BB36" s="178"/>
      <c r="BC36" s="178"/>
      <c r="BD36" s="178"/>
      <c r="BE36" s="178"/>
      <c r="BF36" s="178"/>
      <c r="BG36" s="178"/>
      <c r="BH36" s="178"/>
      <c r="BI36" s="179"/>
      <c r="BJ36" s="180"/>
      <c r="BK36" s="178"/>
      <c r="BL36" s="178"/>
      <c r="BM36" s="178"/>
      <c r="BN36" s="178"/>
      <c r="BO36" s="181"/>
      <c r="BP36" s="166"/>
      <c r="BQ36" s="177"/>
      <c r="BR36" s="178"/>
      <c r="BS36" s="179"/>
      <c r="BU36" s="166"/>
      <c r="BV36" s="166"/>
      <c r="BW36" s="166"/>
      <c r="BX36" s="166"/>
      <c r="BY36" s="166"/>
      <c r="BZ36" s="166"/>
      <c r="CA36" s="166"/>
      <c r="CB36" s="166"/>
      <c r="CC36" s="166"/>
      <c r="CD36" s="177"/>
      <c r="CE36" s="181"/>
      <c r="CF36" s="177"/>
      <c r="CG36" s="181"/>
      <c r="CH36" s="177"/>
      <c r="CI36" s="182"/>
      <c r="CJ36" s="177"/>
      <c r="CK36" s="182"/>
      <c r="CL36" s="178"/>
      <c r="CM36" s="182"/>
      <c r="CN36" s="177"/>
      <c r="CO36" s="182"/>
      <c r="CP36" s="177"/>
      <c r="CQ36" s="178"/>
      <c r="CR36" s="182"/>
      <c r="CS36" s="65"/>
      <c r="CT36" s="64"/>
      <c r="CU36" s="165" t="str">
        <f t="shared" si="2"/>
        <v>MPH</v>
      </c>
    </row>
    <row r="37" ht="60.0" customHeight="1">
      <c r="A37" s="65"/>
      <c r="B37" s="166"/>
      <c r="C37" s="167">
        <v>8.0</v>
      </c>
      <c r="D37" s="168" t="s">
        <v>154</v>
      </c>
      <c r="E37" s="169"/>
      <c r="F37" s="170"/>
      <c r="G37" s="170"/>
      <c r="H37" s="170"/>
      <c r="I37" s="170"/>
      <c r="J37" s="170"/>
      <c r="K37" s="171"/>
      <c r="L37" s="171"/>
      <c r="M37" s="171"/>
      <c r="N37" s="171"/>
      <c r="O37" s="172">
        <f t="shared" si="7"/>
        <v>0</v>
      </c>
      <c r="P37" s="166"/>
      <c r="Q37" s="173"/>
      <c r="R37" s="65"/>
      <c r="S37" s="173"/>
      <c r="T37" s="173"/>
      <c r="U37" s="166"/>
      <c r="V37" s="166"/>
      <c r="W37" s="65"/>
      <c r="X37" s="66"/>
      <c r="Y37" s="173"/>
      <c r="Z37" s="166"/>
      <c r="AA37" s="174"/>
      <c r="AB37" s="175"/>
      <c r="AC37" s="175"/>
      <c r="AD37" s="175"/>
      <c r="AE37" s="175"/>
      <c r="AF37" s="175"/>
      <c r="AG37" s="175"/>
      <c r="AH37" s="175"/>
      <c r="AI37" s="176"/>
      <c r="AJ37" s="177"/>
      <c r="AK37" s="178"/>
      <c r="AL37" s="178"/>
      <c r="AM37" s="178"/>
      <c r="AN37" s="178"/>
      <c r="AO37" s="179"/>
      <c r="AP37" s="64"/>
      <c r="AQ37" s="65"/>
      <c r="AR37" s="65"/>
      <c r="AS37" s="65"/>
      <c r="AT37" s="173"/>
      <c r="AU37" s="177"/>
      <c r="AV37" s="178"/>
      <c r="AW37" s="178"/>
      <c r="AX37" s="179"/>
      <c r="AZ37" s="166"/>
      <c r="BA37" s="177"/>
      <c r="BB37" s="178"/>
      <c r="BC37" s="178"/>
      <c r="BD37" s="178"/>
      <c r="BE37" s="178"/>
      <c r="BF37" s="178"/>
      <c r="BG37" s="178"/>
      <c r="BH37" s="178"/>
      <c r="BI37" s="179"/>
      <c r="BJ37" s="180"/>
      <c r="BK37" s="178"/>
      <c r="BL37" s="178"/>
      <c r="BM37" s="178"/>
      <c r="BN37" s="178"/>
      <c r="BO37" s="181"/>
      <c r="BP37" s="166"/>
      <c r="BQ37" s="177"/>
      <c r="BR37" s="178"/>
      <c r="BS37" s="179"/>
      <c r="BU37" s="166"/>
      <c r="BV37" s="166"/>
      <c r="BW37" s="166"/>
      <c r="BX37" s="166"/>
      <c r="BY37" s="166"/>
      <c r="BZ37" s="166"/>
      <c r="CA37" s="166"/>
      <c r="CB37" s="166"/>
      <c r="CC37" s="166"/>
      <c r="CD37" s="177"/>
      <c r="CE37" s="181"/>
      <c r="CF37" s="177"/>
      <c r="CG37" s="181"/>
      <c r="CH37" s="177"/>
      <c r="CI37" s="182"/>
      <c r="CJ37" s="177"/>
      <c r="CK37" s="182"/>
      <c r="CL37" s="178"/>
      <c r="CM37" s="182"/>
      <c r="CN37" s="177"/>
      <c r="CO37" s="182"/>
      <c r="CP37" s="177"/>
      <c r="CQ37" s="178"/>
      <c r="CR37" s="182"/>
      <c r="CS37" s="65"/>
      <c r="CT37" s="64"/>
      <c r="CU37" s="165" t="str">
        <f t="shared" si="2"/>
        <v>MPH</v>
      </c>
    </row>
    <row r="38" ht="60.0" customHeight="1">
      <c r="A38" s="65"/>
      <c r="B38" s="166"/>
      <c r="C38" s="167">
        <v>9.0</v>
      </c>
      <c r="D38" s="168" t="s">
        <v>154</v>
      </c>
      <c r="E38" s="169"/>
      <c r="F38" s="170"/>
      <c r="G38" s="170"/>
      <c r="H38" s="170"/>
      <c r="I38" s="170"/>
      <c r="J38" s="170"/>
      <c r="K38" s="171"/>
      <c r="L38" s="171"/>
      <c r="M38" s="171"/>
      <c r="N38" s="171"/>
      <c r="O38" s="172">
        <f t="shared" si="7"/>
        <v>0</v>
      </c>
      <c r="P38" s="166"/>
      <c r="Q38" s="173"/>
      <c r="R38" s="65"/>
      <c r="S38" s="173"/>
      <c r="T38" s="173"/>
      <c r="U38" s="166"/>
      <c r="V38" s="166"/>
      <c r="W38" s="65"/>
      <c r="X38" s="66"/>
      <c r="Y38" s="173"/>
      <c r="Z38" s="166"/>
      <c r="AA38" s="174"/>
      <c r="AB38" s="175"/>
      <c r="AC38" s="175"/>
      <c r="AD38" s="175"/>
      <c r="AE38" s="175"/>
      <c r="AF38" s="175"/>
      <c r="AG38" s="175"/>
      <c r="AH38" s="175"/>
      <c r="AI38" s="176"/>
      <c r="AJ38" s="177"/>
      <c r="AK38" s="178"/>
      <c r="AL38" s="178"/>
      <c r="AM38" s="178"/>
      <c r="AN38" s="178"/>
      <c r="AO38" s="179"/>
      <c r="AP38" s="64"/>
      <c r="AQ38" s="65"/>
      <c r="AR38" s="65"/>
      <c r="AS38" s="65"/>
      <c r="AT38" s="173"/>
      <c r="AU38" s="177"/>
      <c r="AV38" s="178"/>
      <c r="AW38" s="178"/>
      <c r="AX38" s="179"/>
      <c r="AZ38" s="166"/>
      <c r="BA38" s="177"/>
      <c r="BB38" s="178"/>
      <c r="BC38" s="178"/>
      <c r="BD38" s="178"/>
      <c r="BE38" s="178"/>
      <c r="BF38" s="178"/>
      <c r="BG38" s="178"/>
      <c r="BH38" s="178"/>
      <c r="BI38" s="179"/>
      <c r="BJ38" s="180"/>
      <c r="BK38" s="178"/>
      <c r="BL38" s="178"/>
      <c r="BM38" s="178"/>
      <c r="BN38" s="178"/>
      <c r="BO38" s="181"/>
      <c r="BP38" s="166"/>
      <c r="BQ38" s="177"/>
      <c r="BR38" s="178"/>
      <c r="BS38" s="179"/>
      <c r="BU38" s="166"/>
      <c r="BV38" s="166"/>
      <c r="BW38" s="166"/>
      <c r="BX38" s="166"/>
      <c r="BY38" s="166"/>
      <c r="BZ38" s="166"/>
      <c r="CA38" s="166"/>
      <c r="CB38" s="166"/>
      <c r="CC38" s="166"/>
      <c r="CD38" s="177"/>
      <c r="CE38" s="181"/>
      <c r="CF38" s="177"/>
      <c r="CG38" s="181"/>
      <c r="CH38" s="177"/>
      <c r="CI38" s="182"/>
      <c r="CJ38" s="177"/>
      <c r="CK38" s="182"/>
      <c r="CL38" s="178"/>
      <c r="CM38" s="182"/>
      <c r="CN38" s="177"/>
      <c r="CO38" s="182"/>
      <c r="CP38" s="177"/>
      <c r="CQ38" s="178"/>
      <c r="CR38" s="182"/>
      <c r="CS38" s="65"/>
      <c r="CT38" s="64"/>
      <c r="CU38" s="165" t="str">
        <f t="shared" si="2"/>
        <v>MPH</v>
      </c>
    </row>
    <row r="39" ht="60.0" customHeight="1">
      <c r="A39" s="65"/>
      <c r="B39" s="166"/>
      <c r="C39" s="167">
        <v>10.0</v>
      </c>
      <c r="D39" s="168" t="s">
        <v>154</v>
      </c>
      <c r="E39" s="169"/>
      <c r="F39" s="170"/>
      <c r="G39" s="170"/>
      <c r="H39" s="170"/>
      <c r="I39" s="170"/>
      <c r="J39" s="170"/>
      <c r="K39" s="171"/>
      <c r="L39" s="171"/>
      <c r="M39" s="171"/>
      <c r="N39" s="171"/>
      <c r="O39" s="172">
        <f t="shared" si="7"/>
        <v>0</v>
      </c>
      <c r="P39" s="166"/>
      <c r="Q39" s="173"/>
      <c r="R39" s="65"/>
      <c r="S39" s="173"/>
      <c r="T39" s="173"/>
      <c r="U39" s="166"/>
      <c r="V39" s="166"/>
      <c r="W39" s="65"/>
      <c r="X39" s="66"/>
      <c r="Y39" s="173"/>
      <c r="Z39" s="166"/>
      <c r="AA39" s="174"/>
      <c r="AB39" s="175"/>
      <c r="AC39" s="175"/>
      <c r="AD39" s="175"/>
      <c r="AE39" s="175"/>
      <c r="AF39" s="175"/>
      <c r="AG39" s="175"/>
      <c r="AH39" s="175"/>
      <c r="AI39" s="176"/>
      <c r="AJ39" s="177"/>
      <c r="AK39" s="178"/>
      <c r="AL39" s="178"/>
      <c r="AM39" s="178"/>
      <c r="AN39" s="178"/>
      <c r="AO39" s="179"/>
      <c r="AP39" s="64"/>
      <c r="AQ39" s="65"/>
      <c r="AR39" s="65"/>
      <c r="AS39" s="65"/>
      <c r="AT39" s="173"/>
      <c r="AU39" s="177"/>
      <c r="AV39" s="178"/>
      <c r="AW39" s="178"/>
      <c r="AX39" s="179"/>
      <c r="AZ39" s="166"/>
      <c r="BA39" s="177"/>
      <c r="BB39" s="178"/>
      <c r="BC39" s="178"/>
      <c r="BD39" s="178"/>
      <c r="BE39" s="178"/>
      <c r="BF39" s="178"/>
      <c r="BG39" s="178"/>
      <c r="BH39" s="178"/>
      <c r="BI39" s="179"/>
      <c r="BJ39" s="180"/>
      <c r="BK39" s="178"/>
      <c r="BL39" s="178"/>
      <c r="BM39" s="178"/>
      <c r="BN39" s="178"/>
      <c r="BO39" s="181"/>
      <c r="BP39" s="166"/>
      <c r="BQ39" s="177"/>
      <c r="BR39" s="178"/>
      <c r="BS39" s="179"/>
      <c r="BU39" s="166"/>
      <c r="BV39" s="166"/>
      <c r="BW39" s="166"/>
      <c r="BX39" s="166"/>
      <c r="BY39" s="166"/>
      <c r="BZ39" s="166"/>
      <c r="CA39" s="166"/>
      <c r="CB39" s="166"/>
      <c r="CC39" s="166"/>
      <c r="CD39" s="177"/>
      <c r="CE39" s="181"/>
      <c r="CF39" s="177"/>
      <c r="CG39" s="181"/>
      <c r="CH39" s="177"/>
      <c r="CI39" s="182"/>
      <c r="CJ39" s="177"/>
      <c r="CK39" s="182"/>
      <c r="CL39" s="178"/>
      <c r="CM39" s="182"/>
      <c r="CN39" s="177"/>
      <c r="CO39" s="182"/>
      <c r="CP39" s="177"/>
      <c r="CQ39" s="178"/>
      <c r="CR39" s="182"/>
      <c r="CS39" s="65"/>
      <c r="CT39" s="64"/>
      <c r="CU39" s="165" t="str">
        <f t="shared" si="2"/>
        <v>MPH</v>
      </c>
    </row>
    <row r="40" ht="60.0" customHeight="1">
      <c r="A40" s="89"/>
      <c r="B40" s="63"/>
      <c r="C40" s="183">
        <v>11.0</v>
      </c>
      <c r="D40" s="184" t="s">
        <v>154</v>
      </c>
      <c r="E40" s="185"/>
      <c r="F40" s="186"/>
      <c r="G40" s="186"/>
      <c r="H40" s="186"/>
      <c r="I40" s="186"/>
      <c r="J40" s="186"/>
      <c r="K40" s="187"/>
      <c r="L40" s="187"/>
      <c r="M40" s="187"/>
      <c r="N40" s="187"/>
      <c r="O40" s="188">
        <f t="shared" ref="O40:O46" si="8">IF(AND(M40&lt;&gt;0,M40&lt;&gt;"m",M40&lt;&gt;"",RIGHT(K40,3)="Lec"),1,IF(AND(M40&lt;&gt;0,M40&lt;&gt;"m",M40&lt;&gt;"",OR(RIGHT(K40,3)="Lab",RIGHT(K40,3)="Tut")),0.5,IF(AND(M40&lt;&gt;0,M40&lt;&gt;"m",M40&lt;&gt;"",RIGHT(K40,2)="TL"),0.75,0)))</f>
        <v>0</v>
      </c>
      <c r="P40" s="63"/>
      <c r="Q40" s="69"/>
      <c r="R40" s="89"/>
      <c r="S40" s="69"/>
      <c r="T40" s="69"/>
      <c r="U40" s="63"/>
      <c r="V40" s="63"/>
      <c r="W40" s="89"/>
      <c r="X40" s="68"/>
      <c r="Y40" s="69"/>
      <c r="Z40" s="63"/>
      <c r="AA40" s="189"/>
      <c r="AB40" s="190"/>
      <c r="AC40" s="190"/>
      <c r="AD40" s="190"/>
      <c r="AE40" s="190"/>
      <c r="AF40" s="190"/>
      <c r="AG40" s="190"/>
      <c r="AH40" s="190"/>
      <c r="AI40" s="191"/>
      <c r="AJ40" s="192"/>
      <c r="AK40" s="193"/>
      <c r="AL40" s="193"/>
      <c r="AM40" s="193"/>
      <c r="AN40" s="193"/>
      <c r="AO40" s="194"/>
      <c r="AP40" s="103"/>
      <c r="AQ40" s="89"/>
      <c r="AR40" s="89"/>
      <c r="AS40" s="89"/>
      <c r="AT40" s="69"/>
      <c r="AU40" s="192"/>
      <c r="AV40" s="193"/>
      <c r="AW40" s="193"/>
      <c r="AX40" s="194"/>
      <c r="AY40" s="6"/>
      <c r="AZ40" s="63"/>
      <c r="BA40" s="192"/>
      <c r="BB40" s="193"/>
      <c r="BC40" s="193"/>
      <c r="BD40" s="193"/>
      <c r="BE40" s="193"/>
      <c r="BF40" s="193"/>
      <c r="BG40" s="193"/>
      <c r="BH40" s="193"/>
      <c r="BI40" s="194"/>
      <c r="BJ40" s="195"/>
      <c r="BK40" s="193"/>
      <c r="BL40" s="193"/>
      <c r="BM40" s="193"/>
      <c r="BN40" s="193"/>
      <c r="BO40" s="196"/>
      <c r="BP40" s="63"/>
      <c r="BQ40" s="192"/>
      <c r="BR40" s="193"/>
      <c r="BS40" s="194"/>
      <c r="BT40" s="6"/>
      <c r="BU40" s="63"/>
      <c r="BV40" s="63"/>
      <c r="BW40" s="63"/>
      <c r="BX40" s="63"/>
      <c r="BY40" s="63"/>
      <c r="BZ40" s="63"/>
      <c r="CA40" s="63"/>
      <c r="CB40" s="63"/>
      <c r="CC40" s="63"/>
      <c r="CD40" s="192"/>
      <c r="CE40" s="196"/>
      <c r="CF40" s="192"/>
      <c r="CG40" s="196"/>
      <c r="CH40" s="192"/>
      <c r="CI40" s="197"/>
      <c r="CJ40" s="192"/>
      <c r="CK40" s="197"/>
      <c r="CL40" s="198"/>
      <c r="CM40" s="197"/>
      <c r="CN40" s="192"/>
      <c r="CO40" s="197"/>
      <c r="CP40" s="192"/>
      <c r="CQ40" s="193"/>
      <c r="CR40" s="197"/>
      <c r="CS40" s="89"/>
      <c r="CT40" s="103"/>
      <c r="CU40" s="165" t="str">
        <f t="shared" si="2"/>
        <v>MPH</v>
      </c>
    </row>
    <row r="41" ht="55.5" customHeight="1">
      <c r="A41" s="125">
        <v>4.0</v>
      </c>
      <c r="B41" s="126" t="s">
        <v>157</v>
      </c>
      <c r="C41" s="127">
        <v>1.0</v>
      </c>
      <c r="D41" s="128" t="s">
        <v>158</v>
      </c>
      <c r="E41" s="129"/>
      <c r="F41" s="130"/>
      <c r="G41" s="130"/>
      <c r="H41" s="130"/>
      <c r="I41" s="130"/>
      <c r="J41" s="130"/>
      <c r="K41" s="131"/>
      <c r="L41" s="131"/>
      <c r="M41" s="131"/>
      <c r="N41" s="131"/>
      <c r="O41" s="132">
        <f t="shared" si="8"/>
        <v>0</v>
      </c>
      <c r="P41" s="133">
        <f>COUNTIF(K41:K51,"TL")*0.75+COUNTIF(K41:K51,"Lec")*1+COUNTIF(K41:K51,"Lab")*0.5</f>
        <v>0</v>
      </c>
      <c r="Q41" s="134">
        <f>SUM((IF(LEFT(K41,1)="E",O41,0)),(IF(LEFT(K42,1)="E",O42,0)),(IF(LEFT(K43,1)="E",O43,0)),(IF(LEFT(K44,1)="E",O44,0)),(IF(LEFT(K45,1)="E",O45,0)),(IF(LEFT(K46,1)="E",O46,0)),(IF(LEFT(K47,1)="E",O47,0)),(IF(LEFT(K48,1)="E",O48,0)),(IF(LEFT(K49,1)="E",O49,0)),(IF(LEFT(K50,1)="E",O50,0)),(IF(LEFT(K51,1)="E",O51,0)))</f>
        <v>0</v>
      </c>
      <c r="R41" s="135">
        <f>SUM(IF(M47&lt;20,IF(K47="Plec",-1,IF(K47="PTL",-0.75,IF(K47="Plab",-0.5,0))),0),IF(M48&lt;20,IF(K48="Plec",-1,IF(K48="PTL",-0.75,IF(K48="Plab",-0.5,0))),0),IF(M49&lt;20,IF(K49="Plec",-1,IF(K49="PTL",-0.75,IF(K49="Plab",-0.5,0))),0),IF(M50&lt;20,IF(K50="Plec",-1,IF(K50="PTL",-0.75,IF(K50="Plab",-0.5,0))),0))</f>
        <v>0</v>
      </c>
      <c r="S41" s="134">
        <f>SUM(P41:R51)</f>
        <v>0</v>
      </c>
      <c r="T41" s="136">
        <f>SUM(IF(M41="M",IF(OR(K41="lec",K41="plec",K41="slec"),1,IF(OR(K41="lab",K41="plab",K41="slab",K41="tut",K41="ptut",K41="stut"),0.5,IF(OR(K41="TL",K41="pTL",K41="STL"),0.75,0))),0),IF(M42="M",IF(OR(K42="lec",K42="plec",K42="slec"),1,IF(OR(K42="lab",K42="plab",K42="slab",K42="tut",K42="ptut",K42="stut"),0.5,IF(OR(K42="TL",K42="pTL",K42="STL"),0.75,0))),0),IF(M43="M",IF(OR(K43="lec",K43="plec",K43="slec"),1,IF(OR(K43="lab",K43="plab",K43="slab",K43="tut",K43="ptut",K43="stut"),0.5,IF(OR(K43="TL",K43="pTL",K43="STL"),0.75,0))),0),IF(M44="M",IF(OR(K44="lec",K44="plec",K44="slec"),1,IF(OR(K44="lab",K44="plab",K44="slab",K44="tut",K44="ptut",K44="stut"),0.5,IF(OR(K44="TL",K44="pTL",K44="STL"),0.75,0))),0),IF(M45="M",IF(OR(K45="lec",K45="plec",K45="slec"),1,IF(OR(K45="lab",K45="plab",K45="slab",K45="tut",K45="ptut",K45="stut"),0.5,IF(OR(K45="TL",K45="pTL",K45="STL"),0.75,0))),0),IF(M46="M",IF(OR(K46="lec",K46="plec",K46="slec"),1,IF(OR(K46="lab",K46="plab",K46="slab",K46="tut",K46="ptut",K46="stut"),0.5,IF(OR(K46="TL",K46="pTL",K46="STL"),0.75,0))),0),IF(M47="M",IF(OR(K47="lec",K47="plec",K47="slec"),1,IF(OR(K47="lab",K47="plab",K47="slab",K47="tut",K47="ptut",K47="stut"),0.5,IF(OR(K47="TL",K47="pTL",K47="STL"),0.75,0))),0),IF(M48="M",IF(OR(K48="lec",K48="plec",K48="slec"),1,IF(OR(K48="lab",K48="plab",K48="slab",K48="tut",K48="ptut",K48="stut"),0.5,IF(OR(K48="TL",K48="pTL",K48="STL"),0.75,0))),0),IF(M49="M",IF(OR(K49="lec",K49="plec",K49="slec"),1,IF(OR(K49="lab",K49="plab",K49="slab",K49="tut",K49="ptut",K49="stut"),0.5,IF(OR(K49="TL",K49="pTL",K49="STL"),0.75,0))),0),IF(M50="M",IF(OR(K50="lec",K50="plec",K50="slec"),1,IF(OR(K50="lab",K50="plab",K50="slab",K50="tut",K50="ptut",K50="stut"),0.5,IF(OR(K50="TL",K50="pTL",K50="STL"),0.75,0))),0),IF(M51="M",IF(OR(K51="lec",K51="plec",K51="slec"),1,IF(OR(K51="lab",K51="plab",K51="slab",K51="tut",K51="ptut",K51="stut"),0.5,IF(OR(K51="TL",K51="pTL",K51="STL"),0.75,0))),0))</f>
        <v>0</v>
      </c>
      <c r="U41" s="137"/>
      <c r="V41" s="133"/>
      <c r="W41" s="138"/>
      <c r="X41" s="139">
        <f>S41-(T41+U41+V41+W41)</f>
        <v>0</v>
      </c>
      <c r="Y41" s="134" t="str">
        <f>CONCATENATE(SUM(O41:O51),"(",SUM(O41:O51)-X41,")")</f>
        <v>0(0)</v>
      </c>
      <c r="Z41" s="140"/>
      <c r="AA41" s="141"/>
      <c r="AB41" s="142"/>
      <c r="AC41" s="142"/>
      <c r="AD41" s="142"/>
      <c r="AE41" s="142"/>
      <c r="AF41" s="142"/>
      <c r="AG41" s="142"/>
      <c r="AH41" s="142"/>
      <c r="AI41" s="143"/>
      <c r="AJ41" s="144"/>
      <c r="AK41" s="145"/>
      <c r="AL41" s="145"/>
      <c r="AM41" s="145"/>
      <c r="AN41" s="145"/>
      <c r="AO41" s="146"/>
      <c r="AP41" s="147">
        <f>SUM(SUM(O41:O51),SUM(AI41:AI51)/2,AM41)</f>
        <v>0</v>
      </c>
      <c r="AQ41" s="148"/>
      <c r="AR41" s="148">
        <f>AP41*AQ41</f>
        <v>0</v>
      </c>
      <c r="AS41" s="148">
        <f>CT41</f>
        <v>5.75</v>
      </c>
      <c r="AT41" s="149">
        <f>AR41*0.75+AS41*0.25</f>
        <v>1.4375</v>
      </c>
      <c r="AU41" s="150"/>
      <c r="AV41" s="151"/>
      <c r="AW41" s="151"/>
      <c r="AX41" s="152"/>
      <c r="AY41" s="153"/>
      <c r="AZ41" s="140"/>
      <c r="BA41" s="150"/>
      <c r="BB41" s="151"/>
      <c r="BC41" s="151"/>
      <c r="BD41" s="151"/>
      <c r="BE41" s="151"/>
      <c r="BF41" s="151"/>
      <c r="BG41" s="151"/>
      <c r="BH41" s="151"/>
      <c r="BI41" s="152">
        <v>6.0</v>
      </c>
      <c r="BJ41" s="154">
        <v>4.0</v>
      </c>
      <c r="BK41" s="151"/>
      <c r="BL41" s="151"/>
      <c r="BM41" s="151"/>
      <c r="BN41" s="151"/>
      <c r="BO41" s="155"/>
      <c r="BP41" s="140"/>
      <c r="BQ41" s="156" t="s">
        <v>159</v>
      </c>
      <c r="BR41" s="157">
        <v>5.0</v>
      </c>
      <c r="BS41" s="158">
        <v>0.0</v>
      </c>
      <c r="BT41" s="153"/>
      <c r="BU41" s="140"/>
      <c r="BV41" s="140"/>
      <c r="BW41" s="140"/>
      <c r="BX41" s="140"/>
      <c r="BY41" s="140"/>
      <c r="BZ41" s="140"/>
      <c r="CA41" s="140"/>
      <c r="CB41" s="140"/>
      <c r="CC41" s="140"/>
      <c r="CD41" s="150"/>
      <c r="CE41" s="155"/>
      <c r="CF41" s="150" t="s">
        <v>160</v>
      </c>
      <c r="CG41" s="155"/>
      <c r="CH41" s="159"/>
      <c r="CI41" s="160"/>
      <c r="CJ41" s="159"/>
      <c r="CK41" s="160"/>
      <c r="CL41" s="161"/>
      <c r="CM41" s="160"/>
      <c r="CN41" s="159"/>
      <c r="CO41" s="160"/>
      <c r="CP41" s="159"/>
      <c r="CQ41" s="162"/>
      <c r="CR41" s="160"/>
      <c r="CS41" s="163">
        <f>SUM(IF(AU41&lt;0,ABS(AU41),0),IF(AZ41&lt;0,ABS(AZ41),0),ABS(CI41),ABS(CK41),ABS(CM41),ABS(CO41),ABS(CQ41),ABS(CR41))</f>
        <v>0</v>
      </c>
      <c r="CT41" s="164">
        <f>SUM(AU41,AV41,AW41,AX41/400,AY41,AZ41,BG41,BH41*0.5,BI41*0.25,BJ41,BK41,BL41,BM41,BN41,BO41,BP41,BR41/20,BS41/100,BT41/60,BU41,BV41,BW41,BX41/4,SUM(BY41:CC51)/3,CE41,CG41/3,CI41,CK41,CM41,CO41,CQ41,CR41)</f>
        <v>5.75</v>
      </c>
      <c r="CU41" s="165" t="str">
        <f t="shared" si="2"/>
        <v>MVK</v>
      </c>
    </row>
    <row r="42" ht="60.0" customHeight="1">
      <c r="A42" s="65"/>
      <c r="B42" s="166"/>
      <c r="C42" s="167">
        <v>2.0</v>
      </c>
      <c r="D42" s="168" t="s">
        <v>158</v>
      </c>
      <c r="E42" s="169"/>
      <c r="F42" s="170"/>
      <c r="G42" s="170"/>
      <c r="H42" s="170"/>
      <c r="I42" s="170"/>
      <c r="J42" s="170"/>
      <c r="K42" s="171"/>
      <c r="L42" s="171"/>
      <c r="M42" s="171"/>
      <c r="N42" s="171"/>
      <c r="O42" s="172">
        <f t="shared" si="8"/>
        <v>0</v>
      </c>
      <c r="P42" s="166"/>
      <c r="Q42" s="173"/>
      <c r="R42" s="65"/>
      <c r="S42" s="173"/>
      <c r="T42" s="173"/>
      <c r="U42" s="166"/>
      <c r="V42" s="166"/>
      <c r="W42" s="65"/>
      <c r="X42" s="66"/>
      <c r="Y42" s="173"/>
      <c r="Z42" s="166"/>
      <c r="AA42" s="174"/>
      <c r="AB42" s="175"/>
      <c r="AC42" s="175"/>
      <c r="AD42" s="175"/>
      <c r="AE42" s="175"/>
      <c r="AF42" s="175"/>
      <c r="AG42" s="175"/>
      <c r="AH42" s="175"/>
      <c r="AI42" s="176"/>
      <c r="AJ42" s="177"/>
      <c r="AK42" s="178"/>
      <c r="AL42" s="178"/>
      <c r="AM42" s="178"/>
      <c r="AN42" s="178"/>
      <c r="AO42" s="179"/>
      <c r="AP42" s="64"/>
      <c r="AQ42" s="65"/>
      <c r="AR42" s="65"/>
      <c r="AS42" s="65"/>
      <c r="AT42" s="173"/>
      <c r="AU42" s="177"/>
      <c r="AV42" s="178"/>
      <c r="AW42" s="178"/>
      <c r="AX42" s="179"/>
      <c r="AZ42" s="166"/>
      <c r="BA42" s="177"/>
      <c r="BB42" s="178"/>
      <c r="BC42" s="178"/>
      <c r="BD42" s="178"/>
      <c r="BE42" s="178"/>
      <c r="BF42" s="178"/>
      <c r="BG42" s="178"/>
      <c r="BH42" s="178"/>
      <c r="BI42" s="179"/>
      <c r="BJ42" s="180"/>
      <c r="BK42" s="178"/>
      <c r="BL42" s="178"/>
      <c r="BM42" s="178"/>
      <c r="BN42" s="178"/>
      <c r="BO42" s="181"/>
      <c r="BP42" s="166"/>
      <c r="BQ42" s="177"/>
      <c r="BR42" s="178"/>
      <c r="BS42" s="179"/>
      <c r="BU42" s="166"/>
      <c r="BV42" s="166"/>
      <c r="BW42" s="166"/>
      <c r="BX42" s="166"/>
      <c r="BY42" s="166"/>
      <c r="BZ42" s="166"/>
      <c r="CA42" s="166"/>
      <c r="CB42" s="166"/>
      <c r="CC42" s="166"/>
      <c r="CD42" s="177"/>
      <c r="CE42" s="181"/>
      <c r="CF42" s="177"/>
      <c r="CG42" s="181"/>
      <c r="CH42" s="177"/>
      <c r="CI42" s="182"/>
      <c r="CJ42" s="177"/>
      <c r="CK42" s="182"/>
      <c r="CL42" s="178"/>
      <c r="CM42" s="182"/>
      <c r="CN42" s="177"/>
      <c r="CO42" s="182"/>
      <c r="CP42" s="177"/>
      <c r="CQ42" s="178"/>
      <c r="CR42" s="182"/>
      <c r="CS42" s="65"/>
      <c r="CT42" s="64"/>
      <c r="CU42" s="165" t="str">
        <f t="shared" si="2"/>
        <v>MVK</v>
      </c>
    </row>
    <row r="43" ht="60.0" customHeight="1">
      <c r="A43" s="65"/>
      <c r="B43" s="166"/>
      <c r="C43" s="167">
        <v>3.0</v>
      </c>
      <c r="D43" s="168" t="s">
        <v>158</v>
      </c>
      <c r="E43" s="169"/>
      <c r="F43" s="170"/>
      <c r="G43" s="170"/>
      <c r="H43" s="170"/>
      <c r="I43" s="170"/>
      <c r="J43" s="170"/>
      <c r="K43" s="171"/>
      <c r="L43" s="171"/>
      <c r="M43" s="171"/>
      <c r="N43" s="171"/>
      <c r="O43" s="172">
        <f t="shared" si="8"/>
        <v>0</v>
      </c>
      <c r="P43" s="166"/>
      <c r="Q43" s="173"/>
      <c r="R43" s="65"/>
      <c r="S43" s="173"/>
      <c r="T43" s="173"/>
      <c r="U43" s="166"/>
      <c r="V43" s="166"/>
      <c r="W43" s="65"/>
      <c r="X43" s="66"/>
      <c r="Y43" s="173"/>
      <c r="Z43" s="166"/>
      <c r="AA43" s="174"/>
      <c r="AB43" s="175"/>
      <c r="AC43" s="175"/>
      <c r="AD43" s="175"/>
      <c r="AE43" s="175"/>
      <c r="AF43" s="175"/>
      <c r="AG43" s="175"/>
      <c r="AH43" s="175"/>
      <c r="AI43" s="176"/>
      <c r="AJ43" s="177"/>
      <c r="AK43" s="178"/>
      <c r="AL43" s="178"/>
      <c r="AM43" s="178"/>
      <c r="AN43" s="178"/>
      <c r="AO43" s="179"/>
      <c r="AP43" s="64"/>
      <c r="AQ43" s="65"/>
      <c r="AR43" s="65"/>
      <c r="AS43" s="65"/>
      <c r="AT43" s="173"/>
      <c r="AU43" s="177"/>
      <c r="AV43" s="178"/>
      <c r="AW43" s="178"/>
      <c r="AX43" s="179"/>
      <c r="AZ43" s="166"/>
      <c r="BA43" s="177"/>
      <c r="BB43" s="178"/>
      <c r="BC43" s="178"/>
      <c r="BD43" s="178"/>
      <c r="BE43" s="178"/>
      <c r="BF43" s="178"/>
      <c r="BG43" s="178"/>
      <c r="BH43" s="178"/>
      <c r="BI43" s="179"/>
      <c r="BJ43" s="180"/>
      <c r="BK43" s="178"/>
      <c r="BL43" s="178"/>
      <c r="BM43" s="178"/>
      <c r="BN43" s="178"/>
      <c r="BO43" s="181"/>
      <c r="BP43" s="166"/>
      <c r="BQ43" s="177"/>
      <c r="BR43" s="178"/>
      <c r="BS43" s="179"/>
      <c r="BU43" s="166"/>
      <c r="BV43" s="166"/>
      <c r="BW43" s="166"/>
      <c r="BX43" s="166"/>
      <c r="BY43" s="166"/>
      <c r="BZ43" s="166"/>
      <c r="CA43" s="166"/>
      <c r="CB43" s="166"/>
      <c r="CC43" s="166"/>
      <c r="CD43" s="177"/>
      <c r="CE43" s="181"/>
      <c r="CF43" s="177"/>
      <c r="CG43" s="181"/>
      <c r="CH43" s="177"/>
      <c r="CI43" s="182"/>
      <c r="CJ43" s="177"/>
      <c r="CK43" s="182"/>
      <c r="CL43" s="178"/>
      <c r="CM43" s="182"/>
      <c r="CN43" s="177"/>
      <c r="CO43" s="182"/>
      <c r="CP43" s="177"/>
      <c r="CQ43" s="178"/>
      <c r="CR43" s="182"/>
      <c r="CS43" s="65"/>
      <c r="CT43" s="64"/>
      <c r="CU43" s="165" t="str">
        <f t="shared" si="2"/>
        <v>MVK</v>
      </c>
    </row>
    <row r="44" ht="60.0" customHeight="1">
      <c r="A44" s="65"/>
      <c r="B44" s="166"/>
      <c r="C44" s="167">
        <v>4.0</v>
      </c>
      <c r="D44" s="168" t="s">
        <v>158</v>
      </c>
      <c r="E44" s="169"/>
      <c r="F44" s="170"/>
      <c r="G44" s="170"/>
      <c r="H44" s="170"/>
      <c r="I44" s="170"/>
      <c r="J44" s="170"/>
      <c r="K44" s="171"/>
      <c r="L44" s="171"/>
      <c r="M44" s="171"/>
      <c r="N44" s="171"/>
      <c r="O44" s="172">
        <f t="shared" si="8"/>
        <v>0</v>
      </c>
      <c r="P44" s="166"/>
      <c r="Q44" s="173"/>
      <c r="R44" s="65"/>
      <c r="S44" s="173"/>
      <c r="T44" s="173"/>
      <c r="U44" s="166"/>
      <c r="V44" s="166"/>
      <c r="W44" s="65"/>
      <c r="X44" s="66"/>
      <c r="Y44" s="173"/>
      <c r="Z44" s="166"/>
      <c r="AA44" s="174"/>
      <c r="AB44" s="175"/>
      <c r="AC44" s="175"/>
      <c r="AD44" s="175"/>
      <c r="AE44" s="175"/>
      <c r="AF44" s="175"/>
      <c r="AG44" s="175"/>
      <c r="AH44" s="175"/>
      <c r="AI44" s="176"/>
      <c r="AJ44" s="177"/>
      <c r="AK44" s="178"/>
      <c r="AL44" s="178"/>
      <c r="AM44" s="178"/>
      <c r="AN44" s="178"/>
      <c r="AO44" s="179"/>
      <c r="AP44" s="64"/>
      <c r="AQ44" s="65"/>
      <c r="AR44" s="65"/>
      <c r="AS44" s="65"/>
      <c r="AT44" s="173"/>
      <c r="AU44" s="177"/>
      <c r="AV44" s="178"/>
      <c r="AW44" s="178"/>
      <c r="AX44" s="179"/>
      <c r="AZ44" s="166"/>
      <c r="BA44" s="177"/>
      <c r="BB44" s="178"/>
      <c r="BC44" s="178"/>
      <c r="BD44" s="178"/>
      <c r="BE44" s="178"/>
      <c r="BF44" s="178"/>
      <c r="BG44" s="178"/>
      <c r="BH44" s="178"/>
      <c r="BI44" s="179"/>
      <c r="BJ44" s="180"/>
      <c r="BK44" s="178"/>
      <c r="BL44" s="178"/>
      <c r="BM44" s="178"/>
      <c r="BN44" s="178"/>
      <c r="BO44" s="181"/>
      <c r="BP44" s="166"/>
      <c r="BQ44" s="177"/>
      <c r="BR44" s="178"/>
      <c r="BS44" s="179"/>
      <c r="BU44" s="166"/>
      <c r="BV44" s="166"/>
      <c r="BW44" s="166"/>
      <c r="BX44" s="166"/>
      <c r="BY44" s="166"/>
      <c r="BZ44" s="166"/>
      <c r="CA44" s="166"/>
      <c r="CB44" s="166"/>
      <c r="CC44" s="166"/>
      <c r="CD44" s="177"/>
      <c r="CE44" s="181"/>
      <c r="CF44" s="177"/>
      <c r="CG44" s="181"/>
      <c r="CH44" s="177"/>
      <c r="CI44" s="182"/>
      <c r="CJ44" s="177"/>
      <c r="CK44" s="182"/>
      <c r="CL44" s="178"/>
      <c r="CM44" s="182"/>
      <c r="CN44" s="177"/>
      <c r="CO44" s="182"/>
      <c r="CP44" s="177"/>
      <c r="CQ44" s="178"/>
      <c r="CR44" s="182"/>
      <c r="CS44" s="65"/>
      <c r="CT44" s="64"/>
      <c r="CU44" s="165" t="str">
        <f t="shared" si="2"/>
        <v>MVK</v>
      </c>
    </row>
    <row r="45" ht="60.0" customHeight="1">
      <c r="A45" s="65"/>
      <c r="B45" s="166"/>
      <c r="C45" s="167">
        <v>5.0</v>
      </c>
      <c r="D45" s="168" t="s">
        <v>158</v>
      </c>
      <c r="E45" s="169"/>
      <c r="F45" s="170"/>
      <c r="G45" s="170"/>
      <c r="H45" s="170"/>
      <c r="I45" s="170"/>
      <c r="J45" s="170"/>
      <c r="K45" s="171"/>
      <c r="L45" s="171"/>
      <c r="M45" s="171"/>
      <c r="N45" s="171"/>
      <c r="O45" s="172">
        <f t="shared" si="8"/>
        <v>0</v>
      </c>
      <c r="P45" s="166"/>
      <c r="Q45" s="173"/>
      <c r="R45" s="65"/>
      <c r="S45" s="173"/>
      <c r="T45" s="173"/>
      <c r="U45" s="166"/>
      <c r="V45" s="166"/>
      <c r="W45" s="65"/>
      <c r="X45" s="66"/>
      <c r="Y45" s="173"/>
      <c r="Z45" s="166"/>
      <c r="AA45" s="174"/>
      <c r="AB45" s="175"/>
      <c r="AC45" s="175"/>
      <c r="AD45" s="175"/>
      <c r="AE45" s="175"/>
      <c r="AF45" s="175"/>
      <c r="AG45" s="175"/>
      <c r="AH45" s="175"/>
      <c r="AI45" s="176"/>
      <c r="AJ45" s="177"/>
      <c r="AK45" s="178"/>
      <c r="AL45" s="178"/>
      <c r="AM45" s="178"/>
      <c r="AN45" s="178"/>
      <c r="AO45" s="179"/>
      <c r="AP45" s="64"/>
      <c r="AQ45" s="65"/>
      <c r="AR45" s="65"/>
      <c r="AS45" s="65"/>
      <c r="AT45" s="173"/>
      <c r="AU45" s="177"/>
      <c r="AV45" s="178"/>
      <c r="AW45" s="178"/>
      <c r="AX45" s="179"/>
      <c r="AZ45" s="166"/>
      <c r="BA45" s="177"/>
      <c r="BB45" s="178"/>
      <c r="BC45" s="178"/>
      <c r="BD45" s="178"/>
      <c r="BE45" s="178"/>
      <c r="BF45" s="178"/>
      <c r="BG45" s="178"/>
      <c r="BH45" s="178"/>
      <c r="BI45" s="179"/>
      <c r="BJ45" s="180"/>
      <c r="BK45" s="178"/>
      <c r="BL45" s="178"/>
      <c r="BM45" s="178"/>
      <c r="BN45" s="178"/>
      <c r="BO45" s="181"/>
      <c r="BP45" s="166"/>
      <c r="BQ45" s="177"/>
      <c r="BR45" s="178"/>
      <c r="BS45" s="179"/>
      <c r="BU45" s="166"/>
      <c r="BV45" s="166"/>
      <c r="BW45" s="166"/>
      <c r="BX45" s="166"/>
      <c r="BY45" s="166"/>
      <c r="BZ45" s="166"/>
      <c r="CA45" s="166"/>
      <c r="CB45" s="166"/>
      <c r="CC45" s="166"/>
      <c r="CD45" s="177"/>
      <c r="CE45" s="181"/>
      <c r="CF45" s="177"/>
      <c r="CG45" s="181"/>
      <c r="CH45" s="177"/>
      <c r="CI45" s="182"/>
      <c r="CJ45" s="177"/>
      <c r="CK45" s="182"/>
      <c r="CL45" s="178"/>
      <c r="CM45" s="182"/>
      <c r="CN45" s="177"/>
      <c r="CO45" s="182"/>
      <c r="CP45" s="177"/>
      <c r="CQ45" s="178"/>
      <c r="CR45" s="182"/>
      <c r="CS45" s="65"/>
      <c r="CT45" s="64"/>
      <c r="CU45" s="165" t="str">
        <f t="shared" si="2"/>
        <v>MVK</v>
      </c>
    </row>
    <row r="46" ht="60.0" customHeight="1">
      <c r="A46" s="65"/>
      <c r="B46" s="166"/>
      <c r="C46" s="167">
        <v>6.0</v>
      </c>
      <c r="D46" s="168" t="s">
        <v>158</v>
      </c>
      <c r="E46" s="169"/>
      <c r="F46" s="170"/>
      <c r="G46" s="170"/>
      <c r="H46" s="170"/>
      <c r="I46" s="170"/>
      <c r="J46" s="170"/>
      <c r="K46" s="171"/>
      <c r="L46" s="171"/>
      <c r="M46" s="171"/>
      <c r="N46" s="171"/>
      <c r="O46" s="172">
        <f t="shared" si="8"/>
        <v>0</v>
      </c>
      <c r="P46" s="166"/>
      <c r="Q46" s="173"/>
      <c r="R46" s="65"/>
      <c r="S46" s="173"/>
      <c r="T46" s="173"/>
      <c r="U46" s="166"/>
      <c r="V46" s="166"/>
      <c r="W46" s="65"/>
      <c r="X46" s="66"/>
      <c r="Y46" s="173"/>
      <c r="Z46" s="166"/>
      <c r="AA46" s="174"/>
      <c r="AB46" s="175"/>
      <c r="AC46" s="175"/>
      <c r="AD46" s="175"/>
      <c r="AE46" s="175"/>
      <c r="AF46" s="175"/>
      <c r="AG46" s="175"/>
      <c r="AH46" s="175"/>
      <c r="AI46" s="176"/>
      <c r="AJ46" s="177"/>
      <c r="AK46" s="178"/>
      <c r="AL46" s="178"/>
      <c r="AM46" s="178"/>
      <c r="AN46" s="178"/>
      <c r="AO46" s="179"/>
      <c r="AP46" s="64"/>
      <c r="AQ46" s="65"/>
      <c r="AR46" s="65"/>
      <c r="AS46" s="65"/>
      <c r="AT46" s="173"/>
      <c r="AU46" s="177"/>
      <c r="AV46" s="178"/>
      <c r="AW46" s="178"/>
      <c r="AX46" s="179"/>
      <c r="AZ46" s="166"/>
      <c r="BA46" s="177"/>
      <c r="BB46" s="178"/>
      <c r="BC46" s="178"/>
      <c r="BD46" s="178"/>
      <c r="BE46" s="178"/>
      <c r="BF46" s="178"/>
      <c r="BG46" s="178"/>
      <c r="BH46" s="178"/>
      <c r="BI46" s="179"/>
      <c r="BJ46" s="180"/>
      <c r="BK46" s="178"/>
      <c r="BL46" s="178"/>
      <c r="BM46" s="178"/>
      <c r="BN46" s="178"/>
      <c r="BO46" s="181"/>
      <c r="BP46" s="166"/>
      <c r="BQ46" s="177"/>
      <c r="BR46" s="178"/>
      <c r="BS46" s="179"/>
      <c r="BU46" s="166"/>
      <c r="BV46" s="166"/>
      <c r="BW46" s="166"/>
      <c r="BX46" s="166"/>
      <c r="BY46" s="166"/>
      <c r="BZ46" s="166"/>
      <c r="CA46" s="166"/>
      <c r="CB46" s="166"/>
      <c r="CC46" s="166"/>
      <c r="CD46" s="177"/>
      <c r="CE46" s="181"/>
      <c r="CF46" s="177"/>
      <c r="CG46" s="181"/>
      <c r="CH46" s="177"/>
      <c r="CI46" s="182"/>
      <c r="CJ46" s="177"/>
      <c r="CK46" s="182"/>
      <c r="CL46" s="178"/>
      <c r="CM46" s="182"/>
      <c r="CN46" s="177"/>
      <c r="CO46" s="182"/>
      <c r="CP46" s="177"/>
      <c r="CQ46" s="178"/>
      <c r="CR46" s="182"/>
      <c r="CS46" s="65"/>
      <c r="CT46" s="64"/>
      <c r="CU46" s="165" t="str">
        <f t="shared" si="2"/>
        <v>MVK</v>
      </c>
    </row>
    <row r="47" ht="60.0" customHeight="1">
      <c r="A47" s="65"/>
      <c r="B47" s="166"/>
      <c r="C47" s="167">
        <v>7.0</v>
      </c>
      <c r="D47" s="168" t="s">
        <v>158</v>
      </c>
      <c r="E47" s="169"/>
      <c r="F47" s="170"/>
      <c r="G47" s="170"/>
      <c r="H47" s="170"/>
      <c r="I47" s="170"/>
      <c r="J47" s="170"/>
      <c r="K47" s="171"/>
      <c r="L47" s="171"/>
      <c r="M47" s="171"/>
      <c r="N47" s="171"/>
      <c r="O47" s="172">
        <f t="shared" ref="O47:O50" si="9">IF(AND(M47&gt;=20,M47&lt;&gt;"m",RIGHT(K47,3)="Lec"),1,IF(AND(M47&gt;=20,M47&lt;&gt;"m",OR(RIGHT(K47,3)="Lab",RIGHT(K47,3)="Tut")),0.5,IF(AND(M47&gt;=20,M47&lt;&gt;"m",RIGHT(K47,2)="TL"),0.75,0)))</f>
        <v>0</v>
      </c>
      <c r="P47" s="166"/>
      <c r="Q47" s="173"/>
      <c r="R47" s="65"/>
      <c r="S47" s="173"/>
      <c r="T47" s="173"/>
      <c r="U47" s="166"/>
      <c r="V47" s="166"/>
      <c r="W47" s="65"/>
      <c r="X47" s="66"/>
      <c r="Y47" s="173"/>
      <c r="Z47" s="166"/>
      <c r="AA47" s="174"/>
      <c r="AB47" s="175"/>
      <c r="AC47" s="175"/>
      <c r="AD47" s="175"/>
      <c r="AE47" s="175"/>
      <c r="AF47" s="175"/>
      <c r="AG47" s="175"/>
      <c r="AH47" s="175"/>
      <c r="AI47" s="176"/>
      <c r="AJ47" s="177"/>
      <c r="AK47" s="178"/>
      <c r="AL47" s="178"/>
      <c r="AM47" s="178"/>
      <c r="AN47" s="178"/>
      <c r="AO47" s="179"/>
      <c r="AP47" s="64"/>
      <c r="AQ47" s="65"/>
      <c r="AR47" s="65"/>
      <c r="AS47" s="65"/>
      <c r="AT47" s="173"/>
      <c r="AU47" s="177"/>
      <c r="AV47" s="178"/>
      <c r="AW47" s="178"/>
      <c r="AX47" s="179"/>
      <c r="AZ47" s="166"/>
      <c r="BA47" s="177"/>
      <c r="BB47" s="178"/>
      <c r="BC47" s="178"/>
      <c r="BD47" s="178"/>
      <c r="BE47" s="178"/>
      <c r="BF47" s="178"/>
      <c r="BG47" s="178"/>
      <c r="BH47" s="178"/>
      <c r="BI47" s="179"/>
      <c r="BJ47" s="180"/>
      <c r="BK47" s="178"/>
      <c r="BL47" s="178"/>
      <c r="BM47" s="178"/>
      <c r="BN47" s="178"/>
      <c r="BO47" s="181"/>
      <c r="BP47" s="166"/>
      <c r="BQ47" s="177"/>
      <c r="BR47" s="178"/>
      <c r="BS47" s="179"/>
      <c r="BU47" s="166"/>
      <c r="BV47" s="166"/>
      <c r="BW47" s="166"/>
      <c r="BX47" s="166"/>
      <c r="BY47" s="166"/>
      <c r="BZ47" s="166"/>
      <c r="CA47" s="166"/>
      <c r="CB47" s="166"/>
      <c r="CC47" s="166"/>
      <c r="CD47" s="177"/>
      <c r="CE47" s="181"/>
      <c r="CF47" s="177"/>
      <c r="CG47" s="181"/>
      <c r="CH47" s="177"/>
      <c r="CI47" s="182"/>
      <c r="CJ47" s="177"/>
      <c r="CK47" s="182"/>
      <c r="CL47" s="178"/>
      <c r="CM47" s="182"/>
      <c r="CN47" s="177"/>
      <c r="CO47" s="182"/>
      <c r="CP47" s="177"/>
      <c r="CQ47" s="178"/>
      <c r="CR47" s="182"/>
      <c r="CS47" s="65"/>
      <c r="CT47" s="64"/>
      <c r="CU47" s="165" t="str">
        <f t="shared" si="2"/>
        <v>MVK</v>
      </c>
    </row>
    <row r="48" ht="60.0" customHeight="1">
      <c r="A48" s="65"/>
      <c r="B48" s="166"/>
      <c r="C48" s="167">
        <v>8.0</v>
      </c>
      <c r="D48" s="168" t="s">
        <v>158</v>
      </c>
      <c r="E48" s="169"/>
      <c r="F48" s="170"/>
      <c r="G48" s="170"/>
      <c r="H48" s="170"/>
      <c r="I48" s="170"/>
      <c r="J48" s="170"/>
      <c r="K48" s="171"/>
      <c r="L48" s="171"/>
      <c r="M48" s="171"/>
      <c r="N48" s="171"/>
      <c r="O48" s="172">
        <f t="shared" si="9"/>
        <v>0</v>
      </c>
      <c r="P48" s="166"/>
      <c r="Q48" s="173"/>
      <c r="R48" s="65"/>
      <c r="S48" s="173"/>
      <c r="T48" s="173"/>
      <c r="U48" s="166"/>
      <c r="V48" s="166"/>
      <c r="W48" s="65"/>
      <c r="X48" s="66"/>
      <c r="Y48" s="173"/>
      <c r="Z48" s="166"/>
      <c r="AA48" s="174"/>
      <c r="AB48" s="175"/>
      <c r="AC48" s="175"/>
      <c r="AD48" s="175"/>
      <c r="AE48" s="175"/>
      <c r="AF48" s="175"/>
      <c r="AG48" s="175"/>
      <c r="AH48" s="175"/>
      <c r="AI48" s="176"/>
      <c r="AJ48" s="177"/>
      <c r="AK48" s="178"/>
      <c r="AL48" s="178"/>
      <c r="AM48" s="178"/>
      <c r="AN48" s="178"/>
      <c r="AO48" s="179"/>
      <c r="AP48" s="64"/>
      <c r="AQ48" s="65"/>
      <c r="AR48" s="65"/>
      <c r="AS48" s="65"/>
      <c r="AT48" s="173"/>
      <c r="AU48" s="177"/>
      <c r="AV48" s="178"/>
      <c r="AW48" s="178"/>
      <c r="AX48" s="179"/>
      <c r="AZ48" s="166"/>
      <c r="BA48" s="177"/>
      <c r="BB48" s="178"/>
      <c r="BC48" s="178"/>
      <c r="BD48" s="178"/>
      <c r="BE48" s="178"/>
      <c r="BF48" s="178"/>
      <c r="BG48" s="178"/>
      <c r="BH48" s="178"/>
      <c r="BI48" s="179"/>
      <c r="BJ48" s="180"/>
      <c r="BK48" s="178"/>
      <c r="BL48" s="178"/>
      <c r="BM48" s="178"/>
      <c r="BN48" s="178"/>
      <c r="BO48" s="181"/>
      <c r="BP48" s="166"/>
      <c r="BQ48" s="177"/>
      <c r="BR48" s="178"/>
      <c r="BS48" s="179"/>
      <c r="BU48" s="166"/>
      <c r="BV48" s="166"/>
      <c r="BW48" s="166"/>
      <c r="BX48" s="166"/>
      <c r="BY48" s="166"/>
      <c r="BZ48" s="166"/>
      <c r="CA48" s="166"/>
      <c r="CB48" s="166"/>
      <c r="CC48" s="166"/>
      <c r="CD48" s="177"/>
      <c r="CE48" s="181"/>
      <c r="CF48" s="177"/>
      <c r="CG48" s="181"/>
      <c r="CH48" s="177"/>
      <c r="CI48" s="182"/>
      <c r="CJ48" s="177"/>
      <c r="CK48" s="182"/>
      <c r="CL48" s="178"/>
      <c r="CM48" s="182"/>
      <c r="CN48" s="177"/>
      <c r="CO48" s="182"/>
      <c r="CP48" s="177"/>
      <c r="CQ48" s="178"/>
      <c r="CR48" s="182"/>
      <c r="CS48" s="65"/>
      <c r="CT48" s="64"/>
      <c r="CU48" s="165" t="str">
        <f t="shared" si="2"/>
        <v>MVK</v>
      </c>
    </row>
    <row r="49" ht="60.0" customHeight="1">
      <c r="A49" s="65"/>
      <c r="B49" s="166"/>
      <c r="C49" s="167">
        <v>9.0</v>
      </c>
      <c r="D49" s="168" t="s">
        <v>158</v>
      </c>
      <c r="E49" s="169"/>
      <c r="F49" s="170"/>
      <c r="G49" s="170"/>
      <c r="H49" s="170"/>
      <c r="I49" s="170"/>
      <c r="J49" s="170"/>
      <c r="K49" s="171"/>
      <c r="L49" s="171"/>
      <c r="M49" s="171"/>
      <c r="N49" s="171"/>
      <c r="O49" s="172">
        <f t="shared" si="9"/>
        <v>0</v>
      </c>
      <c r="P49" s="166"/>
      <c r="Q49" s="173"/>
      <c r="R49" s="65"/>
      <c r="S49" s="173"/>
      <c r="T49" s="173"/>
      <c r="U49" s="166"/>
      <c r="V49" s="166"/>
      <c r="W49" s="65"/>
      <c r="X49" s="66"/>
      <c r="Y49" s="173"/>
      <c r="Z49" s="166"/>
      <c r="AA49" s="174"/>
      <c r="AB49" s="175"/>
      <c r="AC49" s="175"/>
      <c r="AD49" s="175"/>
      <c r="AE49" s="175"/>
      <c r="AF49" s="175"/>
      <c r="AG49" s="175"/>
      <c r="AH49" s="175"/>
      <c r="AI49" s="176"/>
      <c r="AJ49" s="177"/>
      <c r="AK49" s="178"/>
      <c r="AL49" s="178"/>
      <c r="AM49" s="178"/>
      <c r="AN49" s="178"/>
      <c r="AO49" s="179"/>
      <c r="AP49" s="64"/>
      <c r="AQ49" s="65"/>
      <c r="AR49" s="65"/>
      <c r="AS49" s="65"/>
      <c r="AT49" s="173"/>
      <c r="AU49" s="177"/>
      <c r="AV49" s="178"/>
      <c r="AW49" s="178"/>
      <c r="AX49" s="179"/>
      <c r="AZ49" s="166"/>
      <c r="BA49" s="177"/>
      <c r="BB49" s="178"/>
      <c r="BC49" s="178"/>
      <c r="BD49" s="178"/>
      <c r="BE49" s="178"/>
      <c r="BF49" s="178"/>
      <c r="BG49" s="178"/>
      <c r="BH49" s="178"/>
      <c r="BI49" s="179"/>
      <c r="BJ49" s="180"/>
      <c r="BK49" s="178"/>
      <c r="BL49" s="178"/>
      <c r="BM49" s="178"/>
      <c r="BN49" s="178"/>
      <c r="BO49" s="181"/>
      <c r="BP49" s="166"/>
      <c r="BQ49" s="177"/>
      <c r="BR49" s="178"/>
      <c r="BS49" s="179"/>
      <c r="BU49" s="166"/>
      <c r="BV49" s="166"/>
      <c r="BW49" s="166"/>
      <c r="BX49" s="166"/>
      <c r="BY49" s="166"/>
      <c r="BZ49" s="166"/>
      <c r="CA49" s="166"/>
      <c r="CB49" s="166"/>
      <c r="CC49" s="166"/>
      <c r="CD49" s="177"/>
      <c r="CE49" s="181"/>
      <c r="CF49" s="177"/>
      <c r="CG49" s="181"/>
      <c r="CH49" s="177"/>
      <c r="CI49" s="182"/>
      <c r="CJ49" s="177"/>
      <c r="CK49" s="182"/>
      <c r="CL49" s="178"/>
      <c r="CM49" s="182"/>
      <c r="CN49" s="177"/>
      <c r="CO49" s="182"/>
      <c r="CP49" s="177"/>
      <c r="CQ49" s="178"/>
      <c r="CR49" s="182"/>
      <c r="CS49" s="65"/>
      <c r="CT49" s="64"/>
      <c r="CU49" s="165" t="str">
        <f t="shared" si="2"/>
        <v>MVK</v>
      </c>
    </row>
    <row r="50" ht="60.0" customHeight="1">
      <c r="A50" s="65"/>
      <c r="B50" s="166"/>
      <c r="C50" s="167">
        <v>10.0</v>
      </c>
      <c r="D50" s="168" t="s">
        <v>158</v>
      </c>
      <c r="E50" s="169"/>
      <c r="F50" s="170"/>
      <c r="G50" s="170"/>
      <c r="H50" s="170"/>
      <c r="I50" s="170"/>
      <c r="J50" s="170"/>
      <c r="K50" s="171"/>
      <c r="L50" s="171"/>
      <c r="M50" s="171"/>
      <c r="N50" s="171"/>
      <c r="O50" s="172">
        <f t="shared" si="9"/>
        <v>0</v>
      </c>
      <c r="P50" s="166"/>
      <c r="Q50" s="173"/>
      <c r="R50" s="65"/>
      <c r="S50" s="173"/>
      <c r="T50" s="173"/>
      <c r="U50" s="166"/>
      <c r="V50" s="166"/>
      <c r="W50" s="65"/>
      <c r="X50" s="66"/>
      <c r="Y50" s="173"/>
      <c r="Z50" s="166"/>
      <c r="AA50" s="174"/>
      <c r="AB50" s="175"/>
      <c r="AC50" s="175"/>
      <c r="AD50" s="175"/>
      <c r="AE50" s="175"/>
      <c r="AF50" s="175"/>
      <c r="AG50" s="175"/>
      <c r="AH50" s="175"/>
      <c r="AI50" s="176"/>
      <c r="AJ50" s="177"/>
      <c r="AK50" s="178"/>
      <c r="AL50" s="178"/>
      <c r="AM50" s="178"/>
      <c r="AN50" s="178"/>
      <c r="AO50" s="179"/>
      <c r="AP50" s="64"/>
      <c r="AQ50" s="65"/>
      <c r="AR50" s="65"/>
      <c r="AS50" s="65"/>
      <c r="AT50" s="173"/>
      <c r="AU50" s="177"/>
      <c r="AV50" s="178"/>
      <c r="AW50" s="178"/>
      <c r="AX50" s="179"/>
      <c r="AZ50" s="166"/>
      <c r="BA50" s="177"/>
      <c r="BB50" s="178"/>
      <c r="BC50" s="178"/>
      <c r="BD50" s="178"/>
      <c r="BE50" s="178"/>
      <c r="BF50" s="178"/>
      <c r="BG50" s="178"/>
      <c r="BH50" s="178"/>
      <c r="BI50" s="179"/>
      <c r="BJ50" s="180"/>
      <c r="BK50" s="178"/>
      <c r="BL50" s="178"/>
      <c r="BM50" s="178"/>
      <c r="BN50" s="178"/>
      <c r="BO50" s="181"/>
      <c r="BP50" s="166"/>
      <c r="BQ50" s="177"/>
      <c r="BR50" s="178"/>
      <c r="BS50" s="179"/>
      <c r="BU50" s="166"/>
      <c r="BV50" s="166"/>
      <c r="BW50" s="166"/>
      <c r="BX50" s="166"/>
      <c r="BY50" s="166"/>
      <c r="BZ50" s="166"/>
      <c r="CA50" s="166"/>
      <c r="CB50" s="166"/>
      <c r="CC50" s="166"/>
      <c r="CD50" s="177"/>
      <c r="CE50" s="181"/>
      <c r="CF50" s="177"/>
      <c r="CG50" s="181"/>
      <c r="CH50" s="177"/>
      <c r="CI50" s="182"/>
      <c r="CJ50" s="177"/>
      <c r="CK50" s="182"/>
      <c r="CL50" s="178"/>
      <c r="CM50" s="182"/>
      <c r="CN50" s="177"/>
      <c r="CO50" s="182"/>
      <c r="CP50" s="177"/>
      <c r="CQ50" s="178"/>
      <c r="CR50" s="182"/>
      <c r="CS50" s="65"/>
      <c r="CT50" s="64"/>
      <c r="CU50" s="165" t="str">
        <f t="shared" si="2"/>
        <v>MVK</v>
      </c>
    </row>
    <row r="51" ht="60.0" customHeight="1">
      <c r="A51" s="89"/>
      <c r="B51" s="63"/>
      <c r="C51" s="183">
        <v>11.0</v>
      </c>
      <c r="D51" s="184" t="s">
        <v>158</v>
      </c>
      <c r="E51" s="185"/>
      <c r="F51" s="186"/>
      <c r="G51" s="186"/>
      <c r="H51" s="186"/>
      <c r="I51" s="186"/>
      <c r="J51" s="186"/>
      <c r="K51" s="187"/>
      <c r="L51" s="187"/>
      <c r="M51" s="187"/>
      <c r="N51" s="187"/>
      <c r="O51" s="188">
        <f t="shared" ref="O51:O57" si="10">IF(AND(M51&lt;&gt;0,M51&lt;&gt;"m",M51&lt;&gt;"",RIGHT(K51,3)="Lec"),1,IF(AND(M51&lt;&gt;0,M51&lt;&gt;"m",M51&lt;&gt;"",OR(RIGHT(K51,3)="Lab",RIGHT(K51,3)="Tut")),0.5,IF(AND(M51&lt;&gt;0,M51&lt;&gt;"m",M51&lt;&gt;"",RIGHT(K51,2)="TL"),0.75,0)))</f>
        <v>0</v>
      </c>
      <c r="P51" s="63"/>
      <c r="Q51" s="69"/>
      <c r="R51" s="89"/>
      <c r="S51" s="69"/>
      <c r="T51" s="69"/>
      <c r="U51" s="63"/>
      <c r="V51" s="63"/>
      <c r="W51" s="89"/>
      <c r="X51" s="68"/>
      <c r="Y51" s="69"/>
      <c r="Z51" s="63"/>
      <c r="AA51" s="189"/>
      <c r="AB51" s="190"/>
      <c r="AC51" s="190"/>
      <c r="AD51" s="190"/>
      <c r="AE51" s="190"/>
      <c r="AF51" s="190"/>
      <c r="AG51" s="190"/>
      <c r="AH51" s="190"/>
      <c r="AI51" s="191"/>
      <c r="AJ51" s="192"/>
      <c r="AK51" s="193"/>
      <c r="AL51" s="193"/>
      <c r="AM51" s="193"/>
      <c r="AN51" s="193"/>
      <c r="AO51" s="194"/>
      <c r="AP51" s="103"/>
      <c r="AQ51" s="89"/>
      <c r="AR51" s="89"/>
      <c r="AS51" s="89"/>
      <c r="AT51" s="69"/>
      <c r="AU51" s="192"/>
      <c r="AV51" s="193"/>
      <c r="AW51" s="193"/>
      <c r="AX51" s="194"/>
      <c r="AY51" s="6"/>
      <c r="AZ51" s="63"/>
      <c r="BA51" s="192"/>
      <c r="BB51" s="193"/>
      <c r="BC51" s="193"/>
      <c r="BD51" s="193"/>
      <c r="BE51" s="193"/>
      <c r="BF51" s="193"/>
      <c r="BG51" s="193"/>
      <c r="BH51" s="193"/>
      <c r="BI51" s="194"/>
      <c r="BJ51" s="195"/>
      <c r="BK51" s="193"/>
      <c r="BL51" s="193"/>
      <c r="BM51" s="193"/>
      <c r="BN51" s="193"/>
      <c r="BO51" s="196"/>
      <c r="BP51" s="63"/>
      <c r="BQ51" s="192"/>
      <c r="BR51" s="193"/>
      <c r="BS51" s="194"/>
      <c r="BT51" s="6"/>
      <c r="BU51" s="63"/>
      <c r="BV51" s="63"/>
      <c r="BW51" s="63"/>
      <c r="BX51" s="63"/>
      <c r="BY51" s="63"/>
      <c r="BZ51" s="63"/>
      <c r="CA51" s="63"/>
      <c r="CB51" s="63"/>
      <c r="CC51" s="63"/>
      <c r="CD51" s="192"/>
      <c r="CE51" s="196"/>
      <c r="CF51" s="192"/>
      <c r="CG51" s="196"/>
      <c r="CH51" s="192"/>
      <c r="CI51" s="197"/>
      <c r="CJ51" s="192"/>
      <c r="CK51" s="197"/>
      <c r="CL51" s="198"/>
      <c r="CM51" s="197"/>
      <c r="CN51" s="192"/>
      <c r="CO51" s="197"/>
      <c r="CP51" s="192"/>
      <c r="CQ51" s="193"/>
      <c r="CR51" s="197"/>
      <c r="CS51" s="89"/>
      <c r="CT51" s="103"/>
      <c r="CU51" s="165" t="str">
        <f t="shared" si="2"/>
        <v>MVK</v>
      </c>
    </row>
    <row r="52" ht="55.5" customHeight="1">
      <c r="A52" s="125">
        <v>5.0</v>
      </c>
      <c r="B52" s="126" t="s">
        <v>161</v>
      </c>
      <c r="C52" s="127">
        <v>1.0</v>
      </c>
      <c r="D52" s="128" t="s">
        <v>162</v>
      </c>
      <c r="E52" s="129"/>
      <c r="F52" s="130"/>
      <c r="G52" s="130"/>
      <c r="H52" s="130"/>
      <c r="I52" s="130"/>
      <c r="J52" s="130"/>
      <c r="K52" s="131"/>
      <c r="L52" s="131"/>
      <c r="M52" s="131"/>
      <c r="N52" s="131"/>
      <c r="O52" s="132">
        <f t="shared" si="10"/>
        <v>0</v>
      </c>
      <c r="P52" s="133">
        <f>COUNTIF(K52:K62,"TL")*0.75+COUNTIF(K52:K62,"Lec")*1+COUNTIF(K52:K62,"Lab")*0.5</f>
        <v>0</v>
      </c>
      <c r="Q52" s="134">
        <f>SUM((IF(LEFT(K52,1)="E",O52,0)),(IF(LEFT(K53,1)="E",O53,0)),(IF(LEFT(K54,1)="E",O54,0)),(IF(LEFT(K55,1)="E",O55,0)),(IF(LEFT(K56,1)="E",O56,0)),(IF(LEFT(K57,1)="E",O57,0)),(IF(LEFT(K58,1)="E",O58,0)),(IF(LEFT(K59,1)="E",O59,0)),(IF(LEFT(K60,1)="E",O60,0)),(IF(LEFT(K61,1)="E",O61,0)),(IF(LEFT(K62,1)="E",O62,0)))</f>
        <v>0</v>
      </c>
      <c r="R52" s="135">
        <f>SUM(IF(M58&lt;20,IF(K58="Plec",-1,IF(K58="PTL",-0.75,IF(K58="Plab",-0.5,0))),0),IF(M59&lt;20,IF(K59="Plec",-1,IF(K59="PTL",-0.75,IF(K59="Plab",-0.5,0))),0),IF(M60&lt;20,IF(K60="Plec",-1,IF(K60="PTL",-0.75,IF(K60="Plab",-0.5,0))),0),IF(M61&lt;20,IF(K61="Plec",-1,IF(K61="PTL",-0.75,IF(K61="Plab",-0.5,0))),0))</f>
        <v>0</v>
      </c>
      <c r="S52" s="134">
        <f>SUM(P52:R62)</f>
        <v>0</v>
      </c>
      <c r="T52" s="136">
        <f>SUM(IF(M52="M",IF(OR(K52="lec",K52="plec",K52="slec"),1,IF(OR(K52="lab",K52="plab",K52="slab",K52="tut",K52="ptut",K52="stut"),0.5,IF(OR(K52="TL",K52="pTL",K52="STL"),0.75,0))),0),IF(M53="M",IF(OR(K53="lec",K53="plec",K53="slec"),1,IF(OR(K53="lab",K53="plab",K53="slab",K53="tut",K53="ptut",K53="stut"),0.5,IF(OR(K53="TL",K53="pTL",K53="STL"),0.75,0))),0),IF(M54="M",IF(OR(K54="lec",K54="plec",K54="slec"),1,IF(OR(K54="lab",K54="plab",K54="slab",K54="tut",K54="ptut",K54="stut"),0.5,IF(OR(K54="TL",K54="pTL",K54="STL"),0.75,0))),0),IF(M55="M",IF(OR(K55="lec",K55="plec",K55="slec"),1,IF(OR(K55="lab",K55="plab",K55="slab",K55="tut",K55="ptut",K55="stut"),0.5,IF(OR(K55="TL",K55="pTL",K55="STL"),0.75,0))),0),IF(M56="M",IF(OR(K56="lec",K56="plec",K56="slec"),1,IF(OR(K56="lab",K56="plab",K56="slab",K56="tut",K56="ptut",K56="stut"),0.5,IF(OR(K56="TL",K56="pTL",K56="STL"),0.75,0))),0),IF(M57="M",IF(OR(K57="lec",K57="plec",K57="slec"),1,IF(OR(K57="lab",K57="plab",K57="slab",K57="tut",K57="ptut",K57="stut"),0.5,IF(OR(K57="TL",K57="pTL",K57="STL"),0.75,0))),0),IF(M58="M",IF(OR(K58="lec",K58="plec",K58="slec"),1,IF(OR(K58="lab",K58="plab",K58="slab",K58="tut",K58="ptut",K58="stut"),0.5,IF(OR(K58="TL",K58="pTL",K58="STL"),0.75,0))),0),IF(M59="M",IF(OR(K59="lec",K59="plec",K59="slec"),1,IF(OR(K59="lab",K59="plab",K59="slab",K59="tut",K59="ptut",K59="stut"),0.5,IF(OR(K59="TL",K59="pTL",K59="STL"),0.75,0))),0),IF(M60="M",IF(OR(K60="lec",K60="plec",K60="slec"),1,IF(OR(K60="lab",K60="plab",K60="slab",K60="tut",K60="ptut",K60="stut"),0.5,IF(OR(K60="TL",K60="pTL",K60="STL"),0.75,0))),0),IF(M61="M",IF(OR(K61="lec",K61="plec",K61="slec"),1,IF(OR(K61="lab",K61="plab",K61="slab",K61="tut",K61="ptut",K61="stut"),0.5,IF(OR(K61="TL",K61="pTL",K61="STL"),0.75,0))),0),IF(M62="M",IF(OR(K62="lec",K62="plec",K62="slec"),1,IF(OR(K62="lab",K62="plab",K62="slab",K62="tut",K62="ptut",K62="stut"),0.5,IF(OR(K62="TL",K62="pTL",K62="STL"),0.75,0))),0))</f>
        <v>0</v>
      </c>
      <c r="U52" s="137"/>
      <c r="V52" s="133"/>
      <c r="W52" s="138"/>
      <c r="X52" s="139">
        <f>S52-(T52+U52+V52+W52)</f>
        <v>0</v>
      </c>
      <c r="Y52" s="134" t="str">
        <f>CONCATENATE(SUM(O52:O62),"(",SUM(O52:O62)-X52,")")</f>
        <v>0(0)</v>
      </c>
      <c r="Z52" s="140"/>
      <c r="AA52" s="141"/>
      <c r="AB52" s="142"/>
      <c r="AC52" s="142"/>
      <c r="AD52" s="142"/>
      <c r="AE52" s="142"/>
      <c r="AF52" s="142"/>
      <c r="AG52" s="142"/>
      <c r="AH52" s="142"/>
      <c r="AI52" s="143"/>
      <c r="AJ52" s="144"/>
      <c r="AK52" s="145"/>
      <c r="AL52" s="145"/>
      <c r="AM52" s="145"/>
      <c r="AN52" s="145"/>
      <c r="AO52" s="146"/>
      <c r="AP52" s="147">
        <f>SUM(SUM(O52:O62),SUM(AI52:AI62)/2,AM52)</f>
        <v>0</v>
      </c>
      <c r="AQ52" s="148"/>
      <c r="AR52" s="148">
        <f>AP52*AQ52</f>
        <v>0</v>
      </c>
      <c r="AS52" s="148">
        <f>CT52</f>
        <v>5.8</v>
      </c>
      <c r="AT52" s="149">
        <f>AR52*0.75+AS52*0.25</f>
        <v>1.45</v>
      </c>
      <c r="AU52" s="150"/>
      <c r="AV52" s="151"/>
      <c r="AW52" s="151"/>
      <c r="AX52" s="152"/>
      <c r="AY52" s="153"/>
      <c r="AZ52" s="140"/>
      <c r="BA52" s="150"/>
      <c r="BB52" s="151"/>
      <c r="BC52" s="151"/>
      <c r="BD52" s="151"/>
      <c r="BE52" s="151"/>
      <c r="BF52" s="151"/>
      <c r="BG52" s="151"/>
      <c r="BH52" s="151"/>
      <c r="BI52" s="152">
        <v>6.0</v>
      </c>
      <c r="BJ52" s="154">
        <v>4.0</v>
      </c>
      <c r="BK52" s="151"/>
      <c r="BL52" s="151"/>
      <c r="BM52" s="151"/>
      <c r="BN52" s="151"/>
      <c r="BO52" s="155"/>
      <c r="BP52" s="140"/>
      <c r="BQ52" s="156" t="s">
        <v>159</v>
      </c>
      <c r="BR52" s="157">
        <v>6.0</v>
      </c>
      <c r="BS52" s="158">
        <v>0.0</v>
      </c>
      <c r="BT52" s="153"/>
      <c r="BU52" s="140"/>
      <c r="BV52" s="140"/>
      <c r="BW52" s="140"/>
      <c r="BX52" s="140"/>
      <c r="BY52" s="140"/>
      <c r="BZ52" s="140"/>
      <c r="CA52" s="140"/>
      <c r="CB52" s="140"/>
      <c r="CC52" s="140"/>
      <c r="CD52" s="150"/>
      <c r="CE52" s="155"/>
      <c r="CF52" s="150" t="s">
        <v>163</v>
      </c>
      <c r="CG52" s="155"/>
      <c r="CH52" s="159"/>
      <c r="CI52" s="160"/>
      <c r="CJ52" s="159"/>
      <c r="CK52" s="160"/>
      <c r="CL52" s="161"/>
      <c r="CM52" s="160"/>
      <c r="CN52" s="159"/>
      <c r="CO52" s="160"/>
      <c r="CP52" s="159"/>
      <c r="CQ52" s="162"/>
      <c r="CR52" s="160"/>
      <c r="CS52" s="163">
        <f>SUM(IF(AU52&lt;0,ABS(AU52),0),IF(AZ52&lt;0,ABS(AZ52),0),ABS(CI52),ABS(CK52),ABS(CM52),ABS(CO52),ABS(CQ52),ABS(CR52))</f>
        <v>0</v>
      </c>
      <c r="CT52" s="164">
        <f>SUM(AU52,AV52,AW52,AX52/400,AY52,AZ52,BG52,BH52*0.5,BI52*0.25,BJ52,BK52,BL52,BM52,BN52,BO52,BP52,BR52/20,BS52/100,BT52/60,BU52,BV52,BW52,BX52/4,SUM(BY52:CC62)/3,CE52,CG52/3,CI52,CK52,CM52,CO52,CQ52,CR52)</f>
        <v>5.8</v>
      </c>
      <c r="CU52" s="165" t="str">
        <f t="shared" si="2"/>
        <v>PCS</v>
      </c>
    </row>
    <row r="53" ht="60.0" customHeight="1">
      <c r="A53" s="65"/>
      <c r="B53" s="166"/>
      <c r="C53" s="167">
        <v>2.0</v>
      </c>
      <c r="D53" s="168" t="s">
        <v>162</v>
      </c>
      <c r="E53" s="169"/>
      <c r="F53" s="170"/>
      <c r="G53" s="170"/>
      <c r="H53" s="170"/>
      <c r="I53" s="170"/>
      <c r="J53" s="170"/>
      <c r="K53" s="171"/>
      <c r="L53" s="171"/>
      <c r="M53" s="171"/>
      <c r="N53" s="171"/>
      <c r="O53" s="172">
        <f t="shared" si="10"/>
        <v>0</v>
      </c>
      <c r="P53" s="166"/>
      <c r="Q53" s="173"/>
      <c r="R53" s="65"/>
      <c r="S53" s="173"/>
      <c r="T53" s="173"/>
      <c r="U53" s="166"/>
      <c r="V53" s="166"/>
      <c r="W53" s="65"/>
      <c r="X53" s="66"/>
      <c r="Y53" s="173"/>
      <c r="Z53" s="166"/>
      <c r="AA53" s="174"/>
      <c r="AB53" s="175"/>
      <c r="AC53" s="175"/>
      <c r="AD53" s="175"/>
      <c r="AE53" s="175"/>
      <c r="AF53" s="175"/>
      <c r="AG53" s="175"/>
      <c r="AH53" s="175"/>
      <c r="AI53" s="176"/>
      <c r="AJ53" s="177"/>
      <c r="AK53" s="178"/>
      <c r="AL53" s="178"/>
      <c r="AM53" s="178"/>
      <c r="AN53" s="178"/>
      <c r="AO53" s="179"/>
      <c r="AP53" s="64"/>
      <c r="AQ53" s="65"/>
      <c r="AR53" s="65"/>
      <c r="AS53" s="65"/>
      <c r="AT53" s="173"/>
      <c r="AU53" s="177"/>
      <c r="AV53" s="178"/>
      <c r="AW53" s="178"/>
      <c r="AX53" s="179"/>
      <c r="AZ53" s="166"/>
      <c r="BA53" s="177"/>
      <c r="BB53" s="178"/>
      <c r="BC53" s="178"/>
      <c r="BD53" s="178"/>
      <c r="BE53" s="178"/>
      <c r="BF53" s="178"/>
      <c r="BG53" s="178"/>
      <c r="BH53" s="178"/>
      <c r="BI53" s="179"/>
      <c r="BJ53" s="180"/>
      <c r="BK53" s="178"/>
      <c r="BL53" s="178"/>
      <c r="BM53" s="178"/>
      <c r="BN53" s="178"/>
      <c r="BO53" s="181"/>
      <c r="BP53" s="166"/>
      <c r="BQ53" s="177"/>
      <c r="BR53" s="178"/>
      <c r="BS53" s="179"/>
      <c r="BU53" s="166"/>
      <c r="BV53" s="166"/>
      <c r="BW53" s="166"/>
      <c r="BX53" s="166"/>
      <c r="BY53" s="166"/>
      <c r="BZ53" s="166"/>
      <c r="CA53" s="166"/>
      <c r="CB53" s="166"/>
      <c r="CC53" s="166"/>
      <c r="CD53" s="177"/>
      <c r="CE53" s="181"/>
      <c r="CF53" s="177"/>
      <c r="CG53" s="181"/>
      <c r="CH53" s="177"/>
      <c r="CI53" s="182"/>
      <c r="CJ53" s="177"/>
      <c r="CK53" s="182"/>
      <c r="CL53" s="178"/>
      <c r="CM53" s="182"/>
      <c r="CN53" s="177"/>
      <c r="CO53" s="182"/>
      <c r="CP53" s="177"/>
      <c r="CQ53" s="178"/>
      <c r="CR53" s="182"/>
      <c r="CS53" s="65"/>
      <c r="CT53" s="64"/>
      <c r="CU53" s="165" t="str">
        <f t="shared" si="2"/>
        <v>PCS</v>
      </c>
    </row>
    <row r="54" ht="60.0" customHeight="1">
      <c r="A54" s="65"/>
      <c r="B54" s="166"/>
      <c r="C54" s="167">
        <v>3.0</v>
      </c>
      <c r="D54" s="168" t="s">
        <v>162</v>
      </c>
      <c r="E54" s="169"/>
      <c r="F54" s="170"/>
      <c r="G54" s="170"/>
      <c r="H54" s="170"/>
      <c r="I54" s="170"/>
      <c r="J54" s="170"/>
      <c r="K54" s="171"/>
      <c r="L54" s="171"/>
      <c r="M54" s="171"/>
      <c r="N54" s="171"/>
      <c r="O54" s="172">
        <f t="shared" si="10"/>
        <v>0</v>
      </c>
      <c r="P54" s="166"/>
      <c r="Q54" s="173"/>
      <c r="R54" s="65"/>
      <c r="S54" s="173"/>
      <c r="T54" s="173"/>
      <c r="U54" s="166"/>
      <c r="V54" s="166"/>
      <c r="W54" s="65"/>
      <c r="X54" s="66"/>
      <c r="Y54" s="173"/>
      <c r="Z54" s="166"/>
      <c r="AA54" s="174"/>
      <c r="AB54" s="175"/>
      <c r="AC54" s="175"/>
      <c r="AD54" s="175"/>
      <c r="AE54" s="175"/>
      <c r="AF54" s="175"/>
      <c r="AG54" s="175"/>
      <c r="AH54" s="175"/>
      <c r="AI54" s="176"/>
      <c r="AJ54" s="177"/>
      <c r="AK54" s="178"/>
      <c r="AL54" s="178"/>
      <c r="AM54" s="178"/>
      <c r="AN54" s="178"/>
      <c r="AO54" s="179"/>
      <c r="AP54" s="64"/>
      <c r="AQ54" s="65"/>
      <c r="AR54" s="65"/>
      <c r="AS54" s="65"/>
      <c r="AT54" s="173"/>
      <c r="AU54" s="177"/>
      <c r="AV54" s="178"/>
      <c r="AW54" s="178"/>
      <c r="AX54" s="179"/>
      <c r="AZ54" s="166"/>
      <c r="BA54" s="177"/>
      <c r="BB54" s="178"/>
      <c r="BC54" s="178"/>
      <c r="BD54" s="178"/>
      <c r="BE54" s="178"/>
      <c r="BF54" s="178"/>
      <c r="BG54" s="178"/>
      <c r="BH54" s="178"/>
      <c r="BI54" s="179"/>
      <c r="BJ54" s="180"/>
      <c r="BK54" s="178"/>
      <c r="BL54" s="178"/>
      <c r="BM54" s="178"/>
      <c r="BN54" s="178"/>
      <c r="BO54" s="181"/>
      <c r="BP54" s="166"/>
      <c r="BQ54" s="177"/>
      <c r="BR54" s="178"/>
      <c r="BS54" s="179"/>
      <c r="BU54" s="166"/>
      <c r="BV54" s="166"/>
      <c r="BW54" s="166"/>
      <c r="BX54" s="166"/>
      <c r="BY54" s="166"/>
      <c r="BZ54" s="166"/>
      <c r="CA54" s="166"/>
      <c r="CB54" s="166"/>
      <c r="CC54" s="166"/>
      <c r="CD54" s="177"/>
      <c r="CE54" s="181"/>
      <c r="CF54" s="177"/>
      <c r="CG54" s="181"/>
      <c r="CH54" s="177"/>
      <c r="CI54" s="182"/>
      <c r="CJ54" s="177"/>
      <c r="CK54" s="182"/>
      <c r="CL54" s="178"/>
      <c r="CM54" s="182"/>
      <c r="CN54" s="177"/>
      <c r="CO54" s="182"/>
      <c r="CP54" s="177"/>
      <c r="CQ54" s="178"/>
      <c r="CR54" s="182"/>
      <c r="CS54" s="65"/>
      <c r="CT54" s="64"/>
      <c r="CU54" s="165" t="str">
        <f t="shared" si="2"/>
        <v>PCS</v>
      </c>
    </row>
    <row r="55" ht="60.0" customHeight="1">
      <c r="A55" s="65"/>
      <c r="B55" s="166"/>
      <c r="C55" s="167">
        <v>4.0</v>
      </c>
      <c r="D55" s="168" t="s">
        <v>162</v>
      </c>
      <c r="E55" s="169"/>
      <c r="F55" s="170"/>
      <c r="G55" s="170"/>
      <c r="H55" s="170"/>
      <c r="I55" s="170"/>
      <c r="J55" s="170"/>
      <c r="K55" s="171"/>
      <c r="L55" s="171"/>
      <c r="M55" s="171"/>
      <c r="N55" s="171"/>
      <c r="O55" s="172">
        <f t="shared" si="10"/>
        <v>0</v>
      </c>
      <c r="P55" s="166"/>
      <c r="Q55" s="173"/>
      <c r="R55" s="65"/>
      <c r="S55" s="173"/>
      <c r="T55" s="173"/>
      <c r="U55" s="166"/>
      <c r="V55" s="166"/>
      <c r="W55" s="65"/>
      <c r="X55" s="66"/>
      <c r="Y55" s="173"/>
      <c r="Z55" s="166"/>
      <c r="AA55" s="174"/>
      <c r="AB55" s="175"/>
      <c r="AC55" s="175"/>
      <c r="AD55" s="175"/>
      <c r="AE55" s="175"/>
      <c r="AF55" s="175"/>
      <c r="AG55" s="175"/>
      <c r="AH55" s="175"/>
      <c r="AI55" s="176"/>
      <c r="AJ55" s="177"/>
      <c r="AK55" s="178"/>
      <c r="AL55" s="178"/>
      <c r="AM55" s="178"/>
      <c r="AN55" s="178"/>
      <c r="AO55" s="179"/>
      <c r="AP55" s="64"/>
      <c r="AQ55" s="65"/>
      <c r="AR55" s="65"/>
      <c r="AS55" s="65"/>
      <c r="AT55" s="173"/>
      <c r="AU55" s="177"/>
      <c r="AV55" s="178"/>
      <c r="AW55" s="178"/>
      <c r="AX55" s="179"/>
      <c r="AZ55" s="166"/>
      <c r="BA55" s="177"/>
      <c r="BB55" s="178"/>
      <c r="BC55" s="178"/>
      <c r="BD55" s="178"/>
      <c r="BE55" s="178"/>
      <c r="BF55" s="178"/>
      <c r="BG55" s="178"/>
      <c r="BH55" s="178"/>
      <c r="BI55" s="179"/>
      <c r="BJ55" s="180"/>
      <c r="BK55" s="178"/>
      <c r="BL55" s="178"/>
      <c r="BM55" s="178"/>
      <c r="BN55" s="178"/>
      <c r="BO55" s="181"/>
      <c r="BP55" s="166"/>
      <c r="BQ55" s="177"/>
      <c r="BR55" s="178"/>
      <c r="BS55" s="179"/>
      <c r="BU55" s="166"/>
      <c r="BV55" s="166"/>
      <c r="BW55" s="166"/>
      <c r="BX55" s="166"/>
      <c r="BY55" s="166"/>
      <c r="BZ55" s="166"/>
      <c r="CA55" s="166"/>
      <c r="CB55" s="166"/>
      <c r="CC55" s="166"/>
      <c r="CD55" s="177"/>
      <c r="CE55" s="181"/>
      <c r="CF55" s="177"/>
      <c r="CG55" s="181"/>
      <c r="CH55" s="177"/>
      <c r="CI55" s="182"/>
      <c r="CJ55" s="177"/>
      <c r="CK55" s="182"/>
      <c r="CL55" s="178"/>
      <c r="CM55" s="182"/>
      <c r="CN55" s="177"/>
      <c r="CO55" s="182"/>
      <c r="CP55" s="177"/>
      <c r="CQ55" s="178"/>
      <c r="CR55" s="182"/>
      <c r="CS55" s="65"/>
      <c r="CT55" s="64"/>
      <c r="CU55" s="165" t="str">
        <f t="shared" si="2"/>
        <v>PCS</v>
      </c>
    </row>
    <row r="56" ht="60.0" customHeight="1">
      <c r="A56" s="65"/>
      <c r="B56" s="166"/>
      <c r="C56" s="167">
        <v>5.0</v>
      </c>
      <c r="D56" s="168" t="s">
        <v>162</v>
      </c>
      <c r="E56" s="169"/>
      <c r="F56" s="170"/>
      <c r="G56" s="170"/>
      <c r="H56" s="170"/>
      <c r="I56" s="170"/>
      <c r="J56" s="170"/>
      <c r="K56" s="171"/>
      <c r="L56" s="171"/>
      <c r="M56" s="171"/>
      <c r="N56" s="171"/>
      <c r="O56" s="172">
        <f t="shared" si="10"/>
        <v>0</v>
      </c>
      <c r="P56" s="166"/>
      <c r="Q56" s="173"/>
      <c r="R56" s="65"/>
      <c r="S56" s="173"/>
      <c r="T56" s="173"/>
      <c r="U56" s="166"/>
      <c r="V56" s="166"/>
      <c r="W56" s="65"/>
      <c r="X56" s="66"/>
      <c r="Y56" s="173"/>
      <c r="Z56" s="166"/>
      <c r="AA56" s="174"/>
      <c r="AB56" s="175"/>
      <c r="AC56" s="175"/>
      <c r="AD56" s="175"/>
      <c r="AE56" s="175"/>
      <c r="AF56" s="175"/>
      <c r="AG56" s="175"/>
      <c r="AH56" s="175"/>
      <c r="AI56" s="176"/>
      <c r="AJ56" s="177"/>
      <c r="AK56" s="178"/>
      <c r="AL56" s="178"/>
      <c r="AM56" s="178"/>
      <c r="AN56" s="178"/>
      <c r="AO56" s="179"/>
      <c r="AP56" s="64"/>
      <c r="AQ56" s="65"/>
      <c r="AR56" s="65"/>
      <c r="AS56" s="65"/>
      <c r="AT56" s="173"/>
      <c r="AU56" s="177"/>
      <c r="AV56" s="178"/>
      <c r="AW56" s="178"/>
      <c r="AX56" s="179"/>
      <c r="AZ56" s="166"/>
      <c r="BA56" s="177"/>
      <c r="BB56" s="178"/>
      <c r="BC56" s="178"/>
      <c r="BD56" s="178"/>
      <c r="BE56" s="178"/>
      <c r="BF56" s="178"/>
      <c r="BG56" s="178"/>
      <c r="BH56" s="178"/>
      <c r="BI56" s="179"/>
      <c r="BJ56" s="180"/>
      <c r="BK56" s="178"/>
      <c r="BL56" s="178"/>
      <c r="BM56" s="178"/>
      <c r="BN56" s="178"/>
      <c r="BO56" s="181"/>
      <c r="BP56" s="166"/>
      <c r="BQ56" s="177"/>
      <c r="BR56" s="178"/>
      <c r="BS56" s="179"/>
      <c r="BU56" s="166"/>
      <c r="BV56" s="166"/>
      <c r="BW56" s="166"/>
      <c r="BX56" s="166"/>
      <c r="BY56" s="166"/>
      <c r="BZ56" s="166"/>
      <c r="CA56" s="166"/>
      <c r="CB56" s="166"/>
      <c r="CC56" s="166"/>
      <c r="CD56" s="177"/>
      <c r="CE56" s="181"/>
      <c r="CF56" s="177"/>
      <c r="CG56" s="181"/>
      <c r="CH56" s="177"/>
      <c r="CI56" s="182"/>
      <c r="CJ56" s="177"/>
      <c r="CK56" s="182"/>
      <c r="CL56" s="178"/>
      <c r="CM56" s="182"/>
      <c r="CN56" s="177"/>
      <c r="CO56" s="182"/>
      <c r="CP56" s="177"/>
      <c r="CQ56" s="178"/>
      <c r="CR56" s="182"/>
      <c r="CS56" s="65"/>
      <c r="CT56" s="64"/>
      <c r="CU56" s="165" t="str">
        <f t="shared" si="2"/>
        <v>PCS</v>
      </c>
    </row>
    <row r="57" ht="60.0" customHeight="1">
      <c r="A57" s="65"/>
      <c r="B57" s="166"/>
      <c r="C57" s="167">
        <v>6.0</v>
      </c>
      <c r="D57" s="168" t="s">
        <v>162</v>
      </c>
      <c r="E57" s="169"/>
      <c r="F57" s="170"/>
      <c r="G57" s="170"/>
      <c r="H57" s="170"/>
      <c r="I57" s="170"/>
      <c r="J57" s="170"/>
      <c r="K57" s="171"/>
      <c r="L57" s="171"/>
      <c r="M57" s="171"/>
      <c r="N57" s="171"/>
      <c r="O57" s="172">
        <f t="shared" si="10"/>
        <v>0</v>
      </c>
      <c r="P57" s="166"/>
      <c r="Q57" s="173"/>
      <c r="R57" s="65"/>
      <c r="S57" s="173"/>
      <c r="T57" s="173"/>
      <c r="U57" s="166"/>
      <c r="V57" s="166"/>
      <c r="W57" s="65"/>
      <c r="X57" s="66"/>
      <c r="Y57" s="173"/>
      <c r="Z57" s="166"/>
      <c r="AA57" s="174"/>
      <c r="AB57" s="175"/>
      <c r="AC57" s="175"/>
      <c r="AD57" s="175"/>
      <c r="AE57" s="175"/>
      <c r="AF57" s="175"/>
      <c r="AG57" s="175"/>
      <c r="AH57" s="175"/>
      <c r="AI57" s="176"/>
      <c r="AJ57" s="177"/>
      <c r="AK57" s="178"/>
      <c r="AL57" s="178"/>
      <c r="AM57" s="178"/>
      <c r="AN57" s="178"/>
      <c r="AO57" s="179"/>
      <c r="AP57" s="64"/>
      <c r="AQ57" s="65"/>
      <c r="AR57" s="65"/>
      <c r="AS57" s="65"/>
      <c r="AT57" s="173"/>
      <c r="AU57" s="177"/>
      <c r="AV57" s="178"/>
      <c r="AW57" s="178"/>
      <c r="AX57" s="179"/>
      <c r="AZ57" s="166"/>
      <c r="BA57" s="177"/>
      <c r="BB57" s="178"/>
      <c r="BC57" s="178"/>
      <c r="BD57" s="178"/>
      <c r="BE57" s="178"/>
      <c r="BF57" s="178"/>
      <c r="BG57" s="178"/>
      <c r="BH57" s="178"/>
      <c r="BI57" s="179"/>
      <c r="BJ57" s="180"/>
      <c r="BK57" s="178"/>
      <c r="BL57" s="178"/>
      <c r="BM57" s="178"/>
      <c r="BN57" s="178"/>
      <c r="BO57" s="181"/>
      <c r="BP57" s="166"/>
      <c r="BQ57" s="177"/>
      <c r="BR57" s="178"/>
      <c r="BS57" s="179"/>
      <c r="BU57" s="166"/>
      <c r="BV57" s="166"/>
      <c r="BW57" s="166"/>
      <c r="BX57" s="166"/>
      <c r="BY57" s="166"/>
      <c r="BZ57" s="166"/>
      <c r="CA57" s="166"/>
      <c r="CB57" s="166"/>
      <c r="CC57" s="166"/>
      <c r="CD57" s="177"/>
      <c r="CE57" s="181"/>
      <c r="CF57" s="177"/>
      <c r="CG57" s="181"/>
      <c r="CH57" s="177"/>
      <c r="CI57" s="182"/>
      <c r="CJ57" s="177"/>
      <c r="CK57" s="182"/>
      <c r="CL57" s="178"/>
      <c r="CM57" s="182"/>
      <c r="CN57" s="177"/>
      <c r="CO57" s="182"/>
      <c r="CP57" s="177"/>
      <c r="CQ57" s="178"/>
      <c r="CR57" s="182"/>
      <c r="CS57" s="65"/>
      <c r="CT57" s="64"/>
      <c r="CU57" s="165" t="str">
        <f t="shared" si="2"/>
        <v>PCS</v>
      </c>
    </row>
    <row r="58" ht="60.0" customHeight="1">
      <c r="A58" s="65"/>
      <c r="B58" s="166"/>
      <c r="C58" s="167">
        <v>7.0</v>
      </c>
      <c r="D58" s="168" t="s">
        <v>162</v>
      </c>
      <c r="E58" s="169"/>
      <c r="F58" s="170"/>
      <c r="G58" s="170"/>
      <c r="H58" s="170"/>
      <c r="I58" s="170"/>
      <c r="J58" s="170"/>
      <c r="K58" s="171"/>
      <c r="L58" s="171"/>
      <c r="M58" s="171"/>
      <c r="N58" s="171"/>
      <c r="O58" s="172">
        <f t="shared" ref="O58:O61" si="11">IF(AND(M58&gt;=20,M58&lt;&gt;"m",RIGHT(K58,3)="Lec"),1,IF(AND(M58&gt;=20,M58&lt;&gt;"m",OR(RIGHT(K58,3)="Lab",RIGHT(K58,3)="Tut")),0.5,IF(AND(M58&gt;=20,M58&lt;&gt;"m",RIGHT(K58,2)="TL"),0.75,0)))</f>
        <v>0</v>
      </c>
      <c r="P58" s="166"/>
      <c r="Q58" s="173"/>
      <c r="R58" s="65"/>
      <c r="S58" s="173"/>
      <c r="T58" s="173"/>
      <c r="U58" s="166"/>
      <c r="V58" s="166"/>
      <c r="W58" s="65"/>
      <c r="X58" s="66"/>
      <c r="Y58" s="173"/>
      <c r="Z58" s="166"/>
      <c r="AA58" s="174"/>
      <c r="AB58" s="175"/>
      <c r="AC58" s="175"/>
      <c r="AD58" s="175"/>
      <c r="AE58" s="175"/>
      <c r="AF58" s="175"/>
      <c r="AG58" s="175"/>
      <c r="AH58" s="175"/>
      <c r="AI58" s="176"/>
      <c r="AJ58" s="177"/>
      <c r="AK58" s="178"/>
      <c r="AL58" s="178"/>
      <c r="AM58" s="178"/>
      <c r="AN58" s="178"/>
      <c r="AO58" s="179"/>
      <c r="AP58" s="64"/>
      <c r="AQ58" s="65"/>
      <c r="AR58" s="65"/>
      <c r="AS58" s="65"/>
      <c r="AT58" s="173"/>
      <c r="AU58" s="177"/>
      <c r="AV58" s="178"/>
      <c r="AW58" s="178"/>
      <c r="AX58" s="179"/>
      <c r="AZ58" s="166"/>
      <c r="BA58" s="177"/>
      <c r="BB58" s="178"/>
      <c r="BC58" s="178"/>
      <c r="BD58" s="178"/>
      <c r="BE58" s="178"/>
      <c r="BF58" s="178"/>
      <c r="BG58" s="178"/>
      <c r="BH58" s="178"/>
      <c r="BI58" s="179"/>
      <c r="BJ58" s="180"/>
      <c r="BK58" s="178"/>
      <c r="BL58" s="178"/>
      <c r="BM58" s="178"/>
      <c r="BN58" s="178"/>
      <c r="BO58" s="181"/>
      <c r="BP58" s="166"/>
      <c r="BQ58" s="177"/>
      <c r="BR58" s="178"/>
      <c r="BS58" s="179"/>
      <c r="BU58" s="166"/>
      <c r="BV58" s="166"/>
      <c r="BW58" s="166"/>
      <c r="BX58" s="166"/>
      <c r="BY58" s="166"/>
      <c r="BZ58" s="166"/>
      <c r="CA58" s="166"/>
      <c r="CB58" s="166"/>
      <c r="CC58" s="166"/>
      <c r="CD58" s="177"/>
      <c r="CE58" s="181"/>
      <c r="CF58" s="177"/>
      <c r="CG58" s="181"/>
      <c r="CH58" s="177"/>
      <c r="CI58" s="182"/>
      <c r="CJ58" s="177"/>
      <c r="CK58" s="182"/>
      <c r="CL58" s="178"/>
      <c r="CM58" s="182"/>
      <c r="CN58" s="177"/>
      <c r="CO58" s="182"/>
      <c r="CP58" s="177"/>
      <c r="CQ58" s="178"/>
      <c r="CR58" s="182"/>
      <c r="CS58" s="65"/>
      <c r="CT58" s="64"/>
      <c r="CU58" s="165" t="str">
        <f t="shared" si="2"/>
        <v>PCS</v>
      </c>
    </row>
    <row r="59" ht="60.0" customHeight="1">
      <c r="A59" s="65"/>
      <c r="B59" s="166"/>
      <c r="C59" s="167">
        <v>8.0</v>
      </c>
      <c r="D59" s="168" t="s">
        <v>162</v>
      </c>
      <c r="E59" s="169"/>
      <c r="F59" s="170"/>
      <c r="G59" s="170"/>
      <c r="H59" s="170"/>
      <c r="I59" s="170"/>
      <c r="J59" s="170"/>
      <c r="K59" s="171"/>
      <c r="L59" s="171"/>
      <c r="M59" s="171"/>
      <c r="N59" s="171"/>
      <c r="O59" s="172">
        <f t="shared" si="11"/>
        <v>0</v>
      </c>
      <c r="P59" s="166"/>
      <c r="Q59" s="173"/>
      <c r="R59" s="65"/>
      <c r="S59" s="173"/>
      <c r="T59" s="173"/>
      <c r="U59" s="166"/>
      <c r="V59" s="166"/>
      <c r="W59" s="65"/>
      <c r="X59" s="66"/>
      <c r="Y59" s="173"/>
      <c r="Z59" s="166"/>
      <c r="AA59" s="174"/>
      <c r="AB59" s="175"/>
      <c r="AC59" s="175"/>
      <c r="AD59" s="175"/>
      <c r="AE59" s="175"/>
      <c r="AF59" s="175"/>
      <c r="AG59" s="175"/>
      <c r="AH59" s="175"/>
      <c r="AI59" s="176"/>
      <c r="AJ59" s="177"/>
      <c r="AK59" s="178"/>
      <c r="AL59" s="178"/>
      <c r="AM59" s="178"/>
      <c r="AN59" s="178"/>
      <c r="AO59" s="179"/>
      <c r="AP59" s="64"/>
      <c r="AQ59" s="65"/>
      <c r="AR59" s="65"/>
      <c r="AS59" s="65"/>
      <c r="AT59" s="173"/>
      <c r="AU59" s="177"/>
      <c r="AV59" s="178"/>
      <c r="AW59" s="178"/>
      <c r="AX59" s="179"/>
      <c r="AZ59" s="166"/>
      <c r="BA59" s="177"/>
      <c r="BB59" s="178"/>
      <c r="BC59" s="178"/>
      <c r="BD59" s="178"/>
      <c r="BE59" s="178"/>
      <c r="BF59" s="178"/>
      <c r="BG59" s="178"/>
      <c r="BH59" s="178"/>
      <c r="BI59" s="179"/>
      <c r="BJ59" s="180"/>
      <c r="BK59" s="178"/>
      <c r="BL59" s="178"/>
      <c r="BM59" s="178"/>
      <c r="BN59" s="178"/>
      <c r="BO59" s="181"/>
      <c r="BP59" s="166"/>
      <c r="BQ59" s="177"/>
      <c r="BR59" s="178"/>
      <c r="BS59" s="179"/>
      <c r="BU59" s="166"/>
      <c r="BV59" s="166"/>
      <c r="BW59" s="166"/>
      <c r="BX59" s="166"/>
      <c r="BY59" s="166"/>
      <c r="BZ59" s="166"/>
      <c r="CA59" s="166"/>
      <c r="CB59" s="166"/>
      <c r="CC59" s="166"/>
      <c r="CD59" s="177"/>
      <c r="CE59" s="181"/>
      <c r="CF59" s="177"/>
      <c r="CG59" s="181"/>
      <c r="CH59" s="177"/>
      <c r="CI59" s="182"/>
      <c r="CJ59" s="177"/>
      <c r="CK59" s="182"/>
      <c r="CL59" s="178"/>
      <c r="CM59" s="182"/>
      <c r="CN59" s="177"/>
      <c r="CO59" s="182"/>
      <c r="CP59" s="177"/>
      <c r="CQ59" s="178"/>
      <c r="CR59" s="182"/>
      <c r="CS59" s="65"/>
      <c r="CT59" s="64"/>
      <c r="CU59" s="165" t="str">
        <f t="shared" si="2"/>
        <v>PCS</v>
      </c>
    </row>
    <row r="60" ht="60.0" customHeight="1">
      <c r="A60" s="65"/>
      <c r="B60" s="166"/>
      <c r="C60" s="167">
        <v>9.0</v>
      </c>
      <c r="D60" s="168" t="s">
        <v>162</v>
      </c>
      <c r="E60" s="169"/>
      <c r="F60" s="170"/>
      <c r="G60" s="170"/>
      <c r="H60" s="170"/>
      <c r="I60" s="170"/>
      <c r="J60" s="170"/>
      <c r="K60" s="171"/>
      <c r="L60" s="171"/>
      <c r="M60" s="171"/>
      <c r="N60" s="171"/>
      <c r="O60" s="172">
        <f t="shared" si="11"/>
        <v>0</v>
      </c>
      <c r="P60" s="166"/>
      <c r="Q60" s="173"/>
      <c r="R60" s="65"/>
      <c r="S60" s="173"/>
      <c r="T60" s="173"/>
      <c r="U60" s="166"/>
      <c r="V60" s="166"/>
      <c r="W60" s="65"/>
      <c r="X60" s="66"/>
      <c r="Y60" s="173"/>
      <c r="Z60" s="166"/>
      <c r="AA60" s="174"/>
      <c r="AB60" s="175"/>
      <c r="AC60" s="175"/>
      <c r="AD60" s="175"/>
      <c r="AE60" s="175"/>
      <c r="AF60" s="175"/>
      <c r="AG60" s="175"/>
      <c r="AH60" s="175"/>
      <c r="AI60" s="176"/>
      <c r="AJ60" s="177"/>
      <c r="AK60" s="178"/>
      <c r="AL60" s="178"/>
      <c r="AM60" s="178"/>
      <c r="AN60" s="178"/>
      <c r="AO60" s="179"/>
      <c r="AP60" s="64"/>
      <c r="AQ60" s="65"/>
      <c r="AR60" s="65"/>
      <c r="AS60" s="65"/>
      <c r="AT60" s="173"/>
      <c r="AU60" s="177"/>
      <c r="AV60" s="178"/>
      <c r="AW60" s="178"/>
      <c r="AX60" s="179"/>
      <c r="AZ60" s="166"/>
      <c r="BA60" s="177"/>
      <c r="BB60" s="178"/>
      <c r="BC60" s="178"/>
      <c r="BD60" s="178"/>
      <c r="BE60" s="178"/>
      <c r="BF60" s="178"/>
      <c r="BG60" s="178"/>
      <c r="BH60" s="178"/>
      <c r="BI60" s="179"/>
      <c r="BJ60" s="180"/>
      <c r="BK60" s="178"/>
      <c r="BL60" s="178"/>
      <c r="BM60" s="178"/>
      <c r="BN60" s="178"/>
      <c r="BO60" s="181"/>
      <c r="BP60" s="166"/>
      <c r="BQ60" s="177"/>
      <c r="BR60" s="178"/>
      <c r="BS60" s="179"/>
      <c r="BU60" s="166"/>
      <c r="BV60" s="166"/>
      <c r="BW60" s="166"/>
      <c r="BX60" s="166"/>
      <c r="BY60" s="166"/>
      <c r="BZ60" s="166"/>
      <c r="CA60" s="166"/>
      <c r="CB60" s="166"/>
      <c r="CC60" s="166"/>
      <c r="CD60" s="177"/>
      <c r="CE60" s="181"/>
      <c r="CF60" s="177"/>
      <c r="CG60" s="181"/>
      <c r="CH60" s="177"/>
      <c r="CI60" s="182"/>
      <c r="CJ60" s="177"/>
      <c r="CK60" s="182"/>
      <c r="CL60" s="178"/>
      <c r="CM60" s="182"/>
      <c r="CN60" s="177"/>
      <c r="CO60" s="182"/>
      <c r="CP60" s="177"/>
      <c r="CQ60" s="178"/>
      <c r="CR60" s="182"/>
      <c r="CS60" s="65"/>
      <c r="CT60" s="64"/>
      <c r="CU60" s="165" t="str">
        <f t="shared" si="2"/>
        <v>PCS</v>
      </c>
    </row>
    <row r="61" ht="60.0" customHeight="1">
      <c r="A61" s="65"/>
      <c r="B61" s="166"/>
      <c r="C61" s="167">
        <v>10.0</v>
      </c>
      <c r="D61" s="168" t="s">
        <v>162</v>
      </c>
      <c r="E61" s="169"/>
      <c r="F61" s="170"/>
      <c r="G61" s="170"/>
      <c r="H61" s="170"/>
      <c r="I61" s="170"/>
      <c r="J61" s="170"/>
      <c r="K61" s="171"/>
      <c r="L61" s="171"/>
      <c r="M61" s="171"/>
      <c r="N61" s="171"/>
      <c r="O61" s="172">
        <f t="shared" si="11"/>
        <v>0</v>
      </c>
      <c r="P61" s="166"/>
      <c r="Q61" s="173"/>
      <c r="R61" s="65"/>
      <c r="S61" s="173"/>
      <c r="T61" s="173"/>
      <c r="U61" s="166"/>
      <c r="V61" s="166"/>
      <c r="W61" s="65"/>
      <c r="X61" s="66"/>
      <c r="Y61" s="173"/>
      <c r="Z61" s="166"/>
      <c r="AA61" s="174"/>
      <c r="AB61" s="175"/>
      <c r="AC61" s="175"/>
      <c r="AD61" s="175"/>
      <c r="AE61" s="175"/>
      <c r="AF61" s="175"/>
      <c r="AG61" s="175"/>
      <c r="AH61" s="175"/>
      <c r="AI61" s="176"/>
      <c r="AJ61" s="177"/>
      <c r="AK61" s="178"/>
      <c r="AL61" s="178"/>
      <c r="AM61" s="178"/>
      <c r="AN61" s="178"/>
      <c r="AO61" s="179"/>
      <c r="AP61" s="64"/>
      <c r="AQ61" s="65"/>
      <c r="AR61" s="65"/>
      <c r="AS61" s="65"/>
      <c r="AT61" s="173"/>
      <c r="AU61" s="177"/>
      <c r="AV61" s="178"/>
      <c r="AW61" s="178"/>
      <c r="AX61" s="179"/>
      <c r="AZ61" s="166"/>
      <c r="BA61" s="177"/>
      <c r="BB61" s="178"/>
      <c r="BC61" s="178"/>
      <c r="BD61" s="178"/>
      <c r="BE61" s="178"/>
      <c r="BF61" s="178"/>
      <c r="BG61" s="178"/>
      <c r="BH61" s="178"/>
      <c r="BI61" s="179"/>
      <c r="BJ61" s="180"/>
      <c r="BK61" s="178"/>
      <c r="BL61" s="178"/>
      <c r="BM61" s="178"/>
      <c r="BN61" s="178"/>
      <c r="BO61" s="181"/>
      <c r="BP61" s="166"/>
      <c r="BQ61" s="177"/>
      <c r="BR61" s="178"/>
      <c r="BS61" s="179"/>
      <c r="BU61" s="166"/>
      <c r="BV61" s="166"/>
      <c r="BW61" s="166"/>
      <c r="BX61" s="166"/>
      <c r="BY61" s="166"/>
      <c r="BZ61" s="166"/>
      <c r="CA61" s="166"/>
      <c r="CB61" s="166"/>
      <c r="CC61" s="166"/>
      <c r="CD61" s="177"/>
      <c r="CE61" s="181"/>
      <c r="CF61" s="177"/>
      <c r="CG61" s="181"/>
      <c r="CH61" s="177"/>
      <c r="CI61" s="182"/>
      <c r="CJ61" s="177"/>
      <c r="CK61" s="182"/>
      <c r="CL61" s="178"/>
      <c r="CM61" s="182"/>
      <c r="CN61" s="177"/>
      <c r="CO61" s="182"/>
      <c r="CP61" s="177"/>
      <c r="CQ61" s="178"/>
      <c r="CR61" s="182"/>
      <c r="CS61" s="65"/>
      <c r="CT61" s="64"/>
      <c r="CU61" s="165" t="str">
        <f t="shared" si="2"/>
        <v>PCS</v>
      </c>
    </row>
    <row r="62" ht="60.0" customHeight="1">
      <c r="A62" s="89"/>
      <c r="B62" s="63"/>
      <c r="C62" s="183">
        <v>11.0</v>
      </c>
      <c r="D62" s="184" t="s">
        <v>162</v>
      </c>
      <c r="E62" s="185"/>
      <c r="F62" s="186"/>
      <c r="G62" s="186"/>
      <c r="H62" s="186"/>
      <c r="I62" s="186"/>
      <c r="J62" s="186"/>
      <c r="K62" s="187"/>
      <c r="L62" s="187"/>
      <c r="M62" s="187"/>
      <c r="N62" s="187"/>
      <c r="O62" s="188">
        <f t="shared" ref="O62:O68" si="12">IF(AND(M62&lt;&gt;0,M62&lt;&gt;"m",M62&lt;&gt;"",RIGHT(K62,3)="Lec"),1,IF(AND(M62&lt;&gt;0,M62&lt;&gt;"m",M62&lt;&gt;"",OR(RIGHT(K62,3)="Lab",RIGHT(K62,3)="Tut")),0.5,IF(AND(M62&lt;&gt;0,M62&lt;&gt;"m",M62&lt;&gt;"",RIGHT(K62,2)="TL"),0.75,0)))</f>
        <v>0</v>
      </c>
      <c r="P62" s="63"/>
      <c r="Q62" s="69"/>
      <c r="R62" s="89"/>
      <c r="S62" s="69"/>
      <c r="T62" s="69"/>
      <c r="U62" s="63"/>
      <c r="V62" s="63"/>
      <c r="W62" s="89"/>
      <c r="X62" s="68"/>
      <c r="Y62" s="69"/>
      <c r="Z62" s="63"/>
      <c r="AA62" s="189"/>
      <c r="AB62" s="190"/>
      <c r="AC62" s="190"/>
      <c r="AD62" s="190"/>
      <c r="AE62" s="190"/>
      <c r="AF62" s="190"/>
      <c r="AG62" s="190"/>
      <c r="AH62" s="190"/>
      <c r="AI62" s="191"/>
      <c r="AJ62" s="192"/>
      <c r="AK62" s="193"/>
      <c r="AL62" s="193"/>
      <c r="AM62" s="193"/>
      <c r="AN62" s="193"/>
      <c r="AO62" s="194"/>
      <c r="AP62" s="103"/>
      <c r="AQ62" s="89"/>
      <c r="AR62" s="89"/>
      <c r="AS62" s="89"/>
      <c r="AT62" s="69"/>
      <c r="AU62" s="192"/>
      <c r="AV62" s="193"/>
      <c r="AW62" s="193"/>
      <c r="AX62" s="194"/>
      <c r="AY62" s="6"/>
      <c r="AZ62" s="63"/>
      <c r="BA62" s="192"/>
      <c r="BB62" s="193"/>
      <c r="BC62" s="193"/>
      <c r="BD62" s="193"/>
      <c r="BE62" s="193"/>
      <c r="BF62" s="193"/>
      <c r="BG62" s="193"/>
      <c r="BH62" s="193"/>
      <c r="BI62" s="194"/>
      <c r="BJ62" s="195"/>
      <c r="BK62" s="193"/>
      <c r="BL62" s="193"/>
      <c r="BM62" s="193"/>
      <c r="BN62" s="193"/>
      <c r="BO62" s="196"/>
      <c r="BP62" s="63"/>
      <c r="BQ62" s="192"/>
      <c r="BR62" s="193"/>
      <c r="BS62" s="194"/>
      <c r="BT62" s="6"/>
      <c r="BU62" s="63"/>
      <c r="BV62" s="63"/>
      <c r="BW62" s="63"/>
      <c r="BX62" s="63"/>
      <c r="BY62" s="63"/>
      <c r="BZ62" s="63"/>
      <c r="CA62" s="63"/>
      <c r="CB62" s="63"/>
      <c r="CC62" s="63"/>
      <c r="CD62" s="192"/>
      <c r="CE62" s="196"/>
      <c r="CF62" s="192"/>
      <c r="CG62" s="196"/>
      <c r="CH62" s="192"/>
      <c r="CI62" s="197"/>
      <c r="CJ62" s="192"/>
      <c r="CK62" s="197"/>
      <c r="CL62" s="198"/>
      <c r="CM62" s="197"/>
      <c r="CN62" s="192"/>
      <c r="CO62" s="197"/>
      <c r="CP62" s="192"/>
      <c r="CQ62" s="193"/>
      <c r="CR62" s="197"/>
      <c r="CS62" s="89"/>
      <c r="CT62" s="103"/>
      <c r="CU62" s="165" t="str">
        <f t="shared" si="2"/>
        <v>PCS</v>
      </c>
    </row>
    <row r="63" ht="55.5" customHeight="1">
      <c r="A63" s="125">
        <v>6.0</v>
      </c>
      <c r="B63" s="126" t="s">
        <v>164</v>
      </c>
      <c r="C63" s="127">
        <v>1.0</v>
      </c>
      <c r="D63" s="128" t="s">
        <v>165</v>
      </c>
      <c r="E63" s="129"/>
      <c r="F63" s="130"/>
      <c r="G63" s="130"/>
      <c r="H63" s="130"/>
      <c r="I63" s="130"/>
      <c r="J63" s="130"/>
      <c r="K63" s="131"/>
      <c r="L63" s="131"/>
      <c r="M63" s="131"/>
      <c r="N63" s="131"/>
      <c r="O63" s="132">
        <f t="shared" si="12"/>
        <v>0</v>
      </c>
      <c r="P63" s="133">
        <f>COUNTIF(K63:K73,"TL")*0.75+COUNTIF(K63:K73,"Lec")*1+COUNTIF(K63:K73,"Lab")*0.5</f>
        <v>0</v>
      </c>
      <c r="Q63" s="134">
        <f>SUM((IF(LEFT(K63,1)="E",O63,0)),(IF(LEFT(K64,1)="E",O64,0)),(IF(LEFT(K65,1)="E",O65,0)),(IF(LEFT(K66,1)="E",O66,0)),(IF(LEFT(K67,1)="E",O67,0)),(IF(LEFT(K68,1)="E",O68,0)),(IF(LEFT(K69,1)="E",O69,0)),(IF(LEFT(K70,1)="E",O70,0)),(IF(LEFT(K71,1)="E",O71,0)),(IF(LEFT(K72,1)="E",O72,0)),(IF(LEFT(K73,1)="E",O73,0)))</f>
        <v>0</v>
      </c>
      <c r="R63" s="135">
        <f>SUM(IF(M69&lt;20,IF(K69="Plec",-1,IF(K69="PTL",-0.75,IF(K69="Plab",-0.5,0))),0),IF(M70&lt;20,IF(K70="Plec",-1,IF(K70="PTL",-0.75,IF(K70="Plab",-0.5,0))),0),IF(M71&lt;20,IF(K71="Plec",-1,IF(K71="PTL",-0.75,IF(K71="Plab",-0.5,0))),0),IF(M72&lt;20,IF(K72="Plec",-1,IF(K72="PTL",-0.75,IF(K72="Plab",-0.5,0))),0))</f>
        <v>0</v>
      </c>
      <c r="S63" s="134">
        <f>SUM(P63:R73)</f>
        <v>0</v>
      </c>
      <c r="T63" s="136">
        <f>SUM(IF(M63="M",IF(OR(K63="lec",K63="plec",K63="slec"),1,IF(OR(K63="lab",K63="plab",K63="slab",K63="tut",K63="ptut",K63="stut"),0.5,IF(OR(K63="TL",K63="pTL",K63="STL"),0.75,0))),0),IF(M64="M",IF(OR(K64="lec",K64="plec",K64="slec"),1,IF(OR(K64="lab",K64="plab",K64="slab",K64="tut",K64="ptut",K64="stut"),0.5,IF(OR(K64="TL",K64="pTL",K64="STL"),0.75,0))),0),IF(M65="M",IF(OR(K65="lec",K65="plec",K65="slec"),1,IF(OR(K65="lab",K65="plab",K65="slab",K65="tut",K65="ptut",K65="stut"),0.5,IF(OR(K65="TL",K65="pTL",K65="STL"),0.75,0))),0),IF(M66="M",IF(OR(K66="lec",K66="plec",K66="slec"),1,IF(OR(K66="lab",K66="plab",K66="slab",K66="tut",K66="ptut",K66="stut"),0.5,IF(OR(K66="TL",K66="pTL",K66="STL"),0.75,0))),0),IF(M67="M",IF(OR(K67="lec",K67="plec",K67="slec"),1,IF(OR(K67="lab",K67="plab",K67="slab",K67="tut",K67="ptut",K67="stut"),0.5,IF(OR(K67="TL",K67="pTL",K67="STL"),0.75,0))),0),IF(M68="M",IF(OR(K68="lec",K68="plec",K68="slec"),1,IF(OR(K68="lab",K68="plab",K68="slab",K68="tut",K68="ptut",K68="stut"),0.5,IF(OR(K68="TL",K68="pTL",K68="STL"),0.75,0))),0),IF(M69="M",IF(OR(K69="lec",K69="plec",K69="slec"),1,IF(OR(K69="lab",K69="plab",K69="slab",K69="tut",K69="ptut",K69="stut"),0.5,IF(OR(K69="TL",K69="pTL",K69="STL"),0.75,0))),0),IF(M70="M",IF(OR(K70="lec",K70="plec",K70="slec"),1,IF(OR(K70="lab",K70="plab",K70="slab",K70="tut",K70="ptut",K70="stut"),0.5,IF(OR(K70="TL",K70="pTL",K70="STL"),0.75,0))),0),IF(M71="M",IF(OR(K71="lec",K71="plec",K71="slec"),1,IF(OR(K71="lab",K71="plab",K71="slab",K71="tut",K71="ptut",K71="stut"),0.5,IF(OR(K71="TL",K71="pTL",K71="STL"),0.75,0))),0),IF(M72="M",IF(OR(K72="lec",K72="plec",K72="slec"),1,IF(OR(K72="lab",K72="plab",K72="slab",K72="tut",K72="ptut",K72="stut"),0.5,IF(OR(K72="TL",K72="pTL",K72="STL"),0.75,0))),0),IF(M73="M",IF(OR(K73="lec",K73="plec",K73="slec"),1,IF(OR(K73="lab",K73="plab",K73="slab",K73="tut",K73="ptut",K73="stut"),0.5,IF(OR(K73="TL",K73="pTL",K73="STL"),0.75,0))),0))</f>
        <v>0</v>
      </c>
      <c r="U63" s="137"/>
      <c r="V63" s="133"/>
      <c r="W63" s="138"/>
      <c r="X63" s="139">
        <f>S63-(T63+U63+V63+W63)</f>
        <v>0</v>
      </c>
      <c r="Y63" s="134" t="str">
        <f>CONCATENATE(SUM(O63:O73),"(",SUM(O63:O73)-X63,")")</f>
        <v>0(0)</v>
      </c>
      <c r="Z63" s="140"/>
      <c r="AA63" s="141"/>
      <c r="AB63" s="142"/>
      <c r="AC63" s="142"/>
      <c r="AD63" s="142"/>
      <c r="AE63" s="142"/>
      <c r="AF63" s="142"/>
      <c r="AG63" s="142"/>
      <c r="AH63" s="142"/>
      <c r="AI63" s="143"/>
      <c r="AJ63" s="144"/>
      <c r="AK63" s="145"/>
      <c r="AL63" s="145"/>
      <c r="AM63" s="145"/>
      <c r="AN63" s="145"/>
      <c r="AO63" s="146"/>
      <c r="AP63" s="147">
        <f>SUM(SUM(O63:O73),SUM(AI63:AI73)/2,AM63)</f>
        <v>0</v>
      </c>
      <c r="AQ63" s="148"/>
      <c r="AR63" s="148">
        <f>AP63*AQ63</f>
        <v>0</v>
      </c>
      <c r="AS63" s="148">
        <f>CT63</f>
        <v>5.35</v>
      </c>
      <c r="AT63" s="149">
        <f>AR63*0.75+AS63*0.25</f>
        <v>1.3375</v>
      </c>
      <c r="AU63" s="150"/>
      <c r="AV63" s="151"/>
      <c r="AW63" s="151"/>
      <c r="AX63" s="152"/>
      <c r="AY63" s="153"/>
      <c r="AZ63" s="140"/>
      <c r="BA63" s="150">
        <v>1.0</v>
      </c>
      <c r="BB63" s="151" t="s">
        <v>148</v>
      </c>
      <c r="BC63" s="151">
        <v>2.0</v>
      </c>
      <c r="BD63" s="151" t="s">
        <v>166</v>
      </c>
      <c r="BE63" s="151" t="s">
        <v>150</v>
      </c>
      <c r="BF63" s="151"/>
      <c r="BG63" s="151">
        <v>1.0</v>
      </c>
      <c r="BH63" s="151"/>
      <c r="BI63" s="152"/>
      <c r="BJ63" s="154">
        <v>4.0</v>
      </c>
      <c r="BK63" s="151"/>
      <c r="BL63" s="151"/>
      <c r="BM63" s="151"/>
      <c r="BN63" s="151"/>
      <c r="BO63" s="155"/>
      <c r="BP63" s="140"/>
      <c r="BQ63" s="156" t="s">
        <v>167</v>
      </c>
      <c r="BR63" s="157">
        <v>7.0</v>
      </c>
      <c r="BS63" s="158">
        <v>0.0</v>
      </c>
      <c r="BT63" s="153"/>
      <c r="BU63" s="140"/>
      <c r="BV63" s="140"/>
      <c r="BW63" s="140"/>
      <c r="BX63" s="140"/>
      <c r="BY63" s="140"/>
      <c r="BZ63" s="140"/>
      <c r="CA63" s="140"/>
      <c r="CB63" s="140"/>
      <c r="CC63" s="140"/>
      <c r="CD63" s="150"/>
      <c r="CE63" s="155"/>
      <c r="CF63" s="150" t="s">
        <v>168</v>
      </c>
      <c r="CG63" s="155"/>
      <c r="CH63" s="159"/>
      <c r="CI63" s="160"/>
      <c r="CJ63" s="159"/>
      <c r="CK63" s="160"/>
      <c r="CL63" s="161"/>
      <c r="CM63" s="160"/>
      <c r="CN63" s="159"/>
      <c r="CO63" s="160"/>
      <c r="CP63" s="159"/>
      <c r="CQ63" s="162"/>
      <c r="CR63" s="160"/>
      <c r="CS63" s="163">
        <f>SUM(IF(AU63&lt;0,ABS(AU63),0),IF(AZ63&lt;0,ABS(AZ63),0),ABS(CI63),ABS(CK63),ABS(CM63),ABS(CO63),ABS(CQ63),ABS(CR63))</f>
        <v>0</v>
      </c>
      <c r="CT63" s="164">
        <f>SUM(AU63,AV63,AW63,AX63/400,AY63,AZ63,BG63,BH63*0.5,BI63*0.25,BJ63,BK63,BL63,BM63,BN63,BO63,BP63,BR63/20,BS63/100,BT63/60,BU63,BV63,BW63,BX63/4,SUM(BY63:CC73)/3,CE63,CG63/3,CI63,CK63,CM63,CO63,CQ63,CR63)</f>
        <v>5.35</v>
      </c>
      <c r="CU63" s="165" t="str">
        <f t="shared" si="2"/>
        <v>PKP</v>
      </c>
    </row>
    <row r="64" ht="60.0" customHeight="1">
      <c r="A64" s="65"/>
      <c r="B64" s="166"/>
      <c r="C64" s="167">
        <v>2.0</v>
      </c>
      <c r="D64" s="168" t="s">
        <v>165</v>
      </c>
      <c r="E64" s="169"/>
      <c r="F64" s="170"/>
      <c r="G64" s="170"/>
      <c r="H64" s="170"/>
      <c r="I64" s="170"/>
      <c r="J64" s="170"/>
      <c r="K64" s="171"/>
      <c r="L64" s="171"/>
      <c r="M64" s="171"/>
      <c r="N64" s="171"/>
      <c r="O64" s="172">
        <f t="shared" si="12"/>
        <v>0</v>
      </c>
      <c r="P64" s="166"/>
      <c r="Q64" s="173"/>
      <c r="R64" s="65"/>
      <c r="S64" s="173"/>
      <c r="T64" s="173"/>
      <c r="U64" s="166"/>
      <c r="V64" s="166"/>
      <c r="W64" s="65"/>
      <c r="X64" s="66"/>
      <c r="Y64" s="173"/>
      <c r="Z64" s="166"/>
      <c r="AA64" s="174"/>
      <c r="AB64" s="175"/>
      <c r="AC64" s="175"/>
      <c r="AD64" s="175"/>
      <c r="AE64" s="175"/>
      <c r="AF64" s="175"/>
      <c r="AG64" s="175"/>
      <c r="AH64" s="175"/>
      <c r="AI64" s="176"/>
      <c r="AJ64" s="177"/>
      <c r="AK64" s="178"/>
      <c r="AL64" s="178"/>
      <c r="AM64" s="178"/>
      <c r="AN64" s="178"/>
      <c r="AO64" s="179"/>
      <c r="AP64" s="64"/>
      <c r="AQ64" s="65"/>
      <c r="AR64" s="65"/>
      <c r="AS64" s="65"/>
      <c r="AT64" s="173"/>
      <c r="AU64" s="177"/>
      <c r="AV64" s="178"/>
      <c r="AW64" s="178"/>
      <c r="AX64" s="179"/>
      <c r="AZ64" s="166"/>
      <c r="BA64" s="177"/>
      <c r="BB64" s="178"/>
      <c r="BC64" s="178"/>
      <c r="BD64" s="178"/>
      <c r="BE64" s="178"/>
      <c r="BF64" s="178"/>
      <c r="BG64" s="178"/>
      <c r="BH64" s="178"/>
      <c r="BI64" s="179"/>
      <c r="BJ64" s="180"/>
      <c r="BK64" s="178"/>
      <c r="BL64" s="178"/>
      <c r="BM64" s="178"/>
      <c r="BN64" s="178"/>
      <c r="BO64" s="181"/>
      <c r="BP64" s="166"/>
      <c r="BQ64" s="177"/>
      <c r="BR64" s="178"/>
      <c r="BS64" s="179"/>
      <c r="BU64" s="166"/>
      <c r="BV64" s="166"/>
      <c r="BW64" s="166"/>
      <c r="BX64" s="166"/>
      <c r="BY64" s="166"/>
      <c r="BZ64" s="166"/>
      <c r="CA64" s="166"/>
      <c r="CB64" s="166"/>
      <c r="CC64" s="166"/>
      <c r="CD64" s="177"/>
      <c r="CE64" s="181"/>
      <c r="CF64" s="177"/>
      <c r="CG64" s="181"/>
      <c r="CH64" s="177"/>
      <c r="CI64" s="182"/>
      <c r="CJ64" s="177"/>
      <c r="CK64" s="182"/>
      <c r="CL64" s="178"/>
      <c r="CM64" s="182"/>
      <c r="CN64" s="177"/>
      <c r="CO64" s="182"/>
      <c r="CP64" s="177"/>
      <c r="CQ64" s="178"/>
      <c r="CR64" s="182"/>
      <c r="CS64" s="65"/>
      <c r="CT64" s="64"/>
      <c r="CU64" s="165" t="str">
        <f t="shared" si="2"/>
        <v>PKP</v>
      </c>
    </row>
    <row r="65" ht="60.0" customHeight="1">
      <c r="A65" s="65"/>
      <c r="B65" s="166"/>
      <c r="C65" s="167">
        <v>3.0</v>
      </c>
      <c r="D65" s="168" t="s">
        <v>165</v>
      </c>
      <c r="E65" s="169"/>
      <c r="F65" s="170"/>
      <c r="G65" s="170"/>
      <c r="H65" s="170"/>
      <c r="I65" s="170"/>
      <c r="J65" s="170"/>
      <c r="K65" s="171"/>
      <c r="L65" s="171"/>
      <c r="M65" s="171"/>
      <c r="N65" s="171"/>
      <c r="O65" s="172">
        <f t="shared" si="12"/>
        <v>0</v>
      </c>
      <c r="P65" s="166"/>
      <c r="Q65" s="173"/>
      <c r="R65" s="65"/>
      <c r="S65" s="173"/>
      <c r="T65" s="173"/>
      <c r="U65" s="166"/>
      <c r="V65" s="166"/>
      <c r="W65" s="65"/>
      <c r="X65" s="66"/>
      <c r="Y65" s="173"/>
      <c r="Z65" s="166"/>
      <c r="AA65" s="174"/>
      <c r="AB65" s="175"/>
      <c r="AC65" s="175"/>
      <c r="AD65" s="175"/>
      <c r="AE65" s="175"/>
      <c r="AF65" s="175"/>
      <c r="AG65" s="175"/>
      <c r="AH65" s="175"/>
      <c r="AI65" s="176"/>
      <c r="AJ65" s="177"/>
      <c r="AK65" s="178"/>
      <c r="AL65" s="178"/>
      <c r="AM65" s="178"/>
      <c r="AN65" s="178"/>
      <c r="AO65" s="179"/>
      <c r="AP65" s="64"/>
      <c r="AQ65" s="65"/>
      <c r="AR65" s="65"/>
      <c r="AS65" s="65"/>
      <c r="AT65" s="173"/>
      <c r="AU65" s="177"/>
      <c r="AV65" s="178"/>
      <c r="AW65" s="178"/>
      <c r="AX65" s="179"/>
      <c r="AZ65" s="166"/>
      <c r="BA65" s="177"/>
      <c r="BB65" s="178"/>
      <c r="BC65" s="178"/>
      <c r="BD65" s="178"/>
      <c r="BE65" s="178"/>
      <c r="BF65" s="178"/>
      <c r="BG65" s="178"/>
      <c r="BH65" s="178"/>
      <c r="BI65" s="179"/>
      <c r="BJ65" s="180"/>
      <c r="BK65" s="178"/>
      <c r="BL65" s="178"/>
      <c r="BM65" s="178"/>
      <c r="BN65" s="178"/>
      <c r="BO65" s="181"/>
      <c r="BP65" s="166"/>
      <c r="BQ65" s="177"/>
      <c r="BR65" s="178"/>
      <c r="BS65" s="179"/>
      <c r="BU65" s="166"/>
      <c r="BV65" s="166"/>
      <c r="BW65" s="166"/>
      <c r="BX65" s="166"/>
      <c r="BY65" s="166"/>
      <c r="BZ65" s="166"/>
      <c r="CA65" s="166"/>
      <c r="CB65" s="166"/>
      <c r="CC65" s="166"/>
      <c r="CD65" s="177"/>
      <c r="CE65" s="181"/>
      <c r="CF65" s="177"/>
      <c r="CG65" s="181"/>
      <c r="CH65" s="177"/>
      <c r="CI65" s="182"/>
      <c r="CJ65" s="177"/>
      <c r="CK65" s="182"/>
      <c r="CL65" s="178"/>
      <c r="CM65" s="182"/>
      <c r="CN65" s="177"/>
      <c r="CO65" s="182"/>
      <c r="CP65" s="177"/>
      <c r="CQ65" s="178"/>
      <c r="CR65" s="182"/>
      <c r="CS65" s="65"/>
      <c r="CT65" s="64"/>
      <c r="CU65" s="165" t="str">
        <f t="shared" si="2"/>
        <v>PKP</v>
      </c>
    </row>
    <row r="66" ht="60.0" customHeight="1">
      <c r="A66" s="65"/>
      <c r="B66" s="166"/>
      <c r="C66" s="167">
        <v>4.0</v>
      </c>
      <c r="D66" s="168" t="s">
        <v>165</v>
      </c>
      <c r="E66" s="169"/>
      <c r="F66" s="170"/>
      <c r="G66" s="170"/>
      <c r="H66" s="170"/>
      <c r="I66" s="170"/>
      <c r="J66" s="170"/>
      <c r="K66" s="171"/>
      <c r="L66" s="171"/>
      <c r="M66" s="171"/>
      <c r="N66" s="171"/>
      <c r="O66" s="172">
        <f t="shared" si="12"/>
        <v>0</v>
      </c>
      <c r="P66" s="166"/>
      <c r="Q66" s="173"/>
      <c r="R66" s="65"/>
      <c r="S66" s="173"/>
      <c r="T66" s="173"/>
      <c r="U66" s="166"/>
      <c r="V66" s="166"/>
      <c r="W66" s="65"/>
      <c r="X66" s="66"/>
      <c r="Y66" s="173"/>
      <c r="Z66" s="166"/>
      <c r="AA66" s="174"/>
      <c r="AB66" s="175"/>
      <c r="AC66" s="175"/>
      <c r="AD66" s="175"/>
      <c r="AE66" s="175"/>
      <c r="AF66" s="175"/>
      <c r="AG66" s="175"/>
      <c r="AH66" s="175"/>
      <c r="AI66" s="176"/>
      <c r="AJ66" s="177"/>
      <c r="AK66" s="178"/>
      <c r="AL66" s="178"/>
      <c r="AM66" s="178"/>
      <c r="AN66" s="178"/>
      <c r="AO66" s="179"/>
      <c r="AP66" s="64"/>
      <c r="AQ66" s="65"/>
      <c r="AR66" s="65"/>
      <c r="AS66" s="65"/>
      <c r="AT66" s="173"/>
      <c r="AU66" s="177"/>
      <c r="AV66" s="178"/>
      <c r="AW66" s="178"/>
      <c r="AX66" s="179"/>
      <c r="AZ66" s="166"/>
      <c r="BA66" s="177"/>
      <c r="BB66" s="178"/>
      <c r="BC66" s="178"/>
      <c r="BD66" s="178"/>
      <c r="BE66" s="178"/>
      <c r="BF66" s="178"/>
      <c r="BG66" s="178"/>
      <c r="BH66" s="178"/>
      <c r="BI66" s="179"/>
      <c r="BJ66" s="180"/>
      <c r="BK66" s="178"/>
      <c r="BL66" s="178"/>
      <c r="BM66" s="178"/>
      <c r="BN66" s="178"/>
      <c r="BO66" s="181"/>
      <c r="BP66" s="166"/>
      <c r="BQ66" s="177"/>
      <c r="BR66" s="178"/>
      <c r="BS66" s="179"/>
      <c r="BU66" s="166"/>
      <c r="BV66" s="166"/>
      <c r="BW66" s="166"/>
      <c r="BX66" s="166"/>
      <c r="BY66" s="166"/>
      <c r="BZ66" s="166"/>
      <c r="CA66" s="166"/>
      <c r="CB66" s="166"/>
      <c r="CC66" s="166"/>
      <c r="CD66" s="177"/>
      <c r="CE66" s="181"/>
      <c r="CF66" s="177"/>
      <c r="CG66" s="181"/>
      <c r="CH66" s="177"/>
      <c r="CI66" s="182"/>
      <c r="CJ66" s="177"/>
      <c r="CK66" s="182"/>
      <c r="CL66" s="178"/>
      <c r="CM66" s="182"/>
      <c r="CN66" s="177"/>
      <c r="CO66" s="182"/>
      <c r="CP66" s="177"/>
      <c r="CQ66" s="178"/>
      <c r="CR66" s="182"/>
      <c r="CS66" s="65"/>
      <c r="CT66" s="64"/>
      <c r="CU66" s="165" t="str">
        <f t="shared" si="2"/>
        <v>PKP</v>
      </c>
    </row>
    <row r="67" ht="60.0" customHeight="1">
      <c r="A67" s="65"/>
      <c r="B67" s="166"/>
      <c r="C67" s="167">
        <v>5.0</v>
      </c>
      <c r="D67" s="168" t="s">
        <v>165</v>
      </c>
      <c r="E67" s="169"/>
      <c r="F67" s="170"/>
      <c r="G67" s="170"/>
      <c r="H67" s="170"/>
      <c r="I67" s="170"/>
      <c r="J67" s="170"/>
      <c r="K67" s="171"/>
      <c r="L67" s="171"/>
      <c r="M67" s="171"/>
      <c r="N67" s="171"/>
      <c r="O67" s="172">
        <f t="shared" si="12"/>
        <v>0</v>
      </c>
      <c r="P67" s="166"/>
      <c r="Q67" s="173"/>
      <c r="R67" s="65"/>
      <c r="S67" s="173"/>
      <c r="T67" s="173"/>
      <c r="U67" s="166"/>
      <c r="V67" s="166"/>
      <c r="W67" s="65"/>
      <c r="X67" s="66"/>
      <c r="Y67" s="173"/>
      <c r="Z67" s="166"/>
      <c r="AA67" s="174"/>
      <c r="AB67" s="175"/>
      <c r="AC67" s="175"/>
      <c r="AD67" s="175"/>
      <c r="AE67" s="175"/>
      <c r="AF67" s="175"/>
      <c r="AG67" s="175"/>
      <c r="AH67" s="175"/>
      <c r="AI67" s="176"/>
      <c r="AJ67" s="177"/>
      <c r="AK67" s="178"/>
      <c r="AL67" s="178"/>
      <c r="AM67" s="178"/>
      <c r="AN67" s="178"/>
      <c r="AO67" s="179"/>
      <c r="AP67" s="64"/>
      <c r="AQ67" s="65"/>
      <c r="AR67" s="65"/>
      <c r="AS67" s="65"/>
      <c r="AT67" s="173"/>
      <c r="AU67" s="177"/>
      <c r="AV67" s="178"/>
      <c r="AW67" s="178"/>
      <c r="AX67" s="179"/>
      <c r="AZ67" s="166"/>
      <c r="BA67" s="177"/>
      <c r="BB67" s="178"/>
      <c r="BC67" s="178"/>
      <c r="BD67" s="178"/>
      <c r="BE67" s="178"/>
      <c r="BF67" s="178"/>
      <c r="BG67" s="178"/>
      <c r="BH67" s="178"/>
      <c r="BI67" s="179"/>
      <c r="BJ67" s="180"/>
      <c r="BK67" s="178"/>
      <c r="BL67" s="178"/>
      <c r="BM67" s="178"/>
      <c r="BN67" s="178"/>
      <c r="BO67" s="181"/>
      <c r="BP67" s="166"/>
      <c r="BQ67" s="177"/>
      <c r="BR67" s="178"/>
      <c r="BS67" s="179"/>
      <c r="BU67" s="166"/>
      <c r="BV67" s="166"/>
      <c r="BW67" s="166"/>
      <c r="BX67" s="166"/>
      <c r="BY67" s="166"/>
      <c r="BZ67" s="166"/>
      <c r="CA67" s="166"/>
      <c r="CB67" s="166"/>
      <c r="CC67" s="166"/>
      <c r="CD67" s="177"/>
      <c r="CE67" s="181"/>
      <c r="CF67" s="177"/>
      <c r="CG67" s="181"/>
      <c r="CH67" s="177"/>
      <c r="CI67" s="182"/>
      <c r="CJ67" s="177"/>
      <c r="CK67" s="182"/>
      <c r="CL67" s="178"/>
      <c r="CM67" s="182"/>
      <c r="CN67" s="177"/>
      <c r="CO67" s="182"/>
      <c r="CP67" s="177"/>
      <c r="CQ67" s="178"/>
      <c r="CR67" s="182"/>
      <c r="CS67" s="65"/>
      <c r="CT67" s="64"/>
      <c r="CU67" s="165" t="str">
        <f t="shared" si="2"/>
        <v>PKP</v>
      </c>
    </row>
    <row r="68" ht="60.0" customHeight="1">
      <c r="A68" s="65"/>
      <c r="B68" s="166"/>
      <c r="C68" s="167">
        <v>6.0</v>
      </c>
      <c r="D68" s="168" t="s">
        <v>165</v>
      </c>
      <c r="E68" s="169"/>
      <c r="F68" s="170"/>
      <c r="G68" s="170"/>
      <c r="H68" s="170"/>
      <c r="I68" s="170"/>
      <c r="J68" s="170"/>
      <c r="K68" s="171"/>
      <c r="L68" s="171"/>
      <c r="M68" s="171"/>
      <c r="N68" s="171"/>
      <c r="O68" s="172">
        <f t="shared" si="12"/>
        <v>0</v>
      </c>
      <c r="P68" s="166"/>
      <c r="Q68" s="173"/>
      <c r="R68" s="65"/>
      <c r="S68" s="173"/>
      <c r="T68" s="173"/>
      <c r="U68" s="166"/>
      <c r="V68" s="166"/>
      <c r="W68" s="65"/>
      <c r="X68" s="66"/>
      <c r="Y68" s="173"/>
      <c r="Z68" s="166"/>
      <c r="AA68" s="174"/>
      <c r="AB68" s="175"/>
      <c r="AC68" s="175"/>
      <c r="AD68" s="175"/>
      <c r="AE68" s="175"/>
      <c r="AF68" s="175"/>
      <c r="AG68" s="175"/>
      <c r="AH68" s="175"/>
      <c r="AI68" s="176"/>
      <c r="AJ68" s="177"/>
      <c r="AK68" s="178"/>
      <c r="AL68" s="178"/>
      <c r="AM68" s="178"/>
      <c r="AN68" s="178"/>
      <c r="AO68" s="179"/>
      <c r="AP68" s="64"/>
      <c r="AQ68" s="65"/>
      <c r="AR68" s="65"/>
      <c r="AS68" s="65"/>
      <c r="AT68" s="173"/>
      <c r="AU68" s="177"/>
      <c r="AV68" s="178"/>
      <c r="AW68" s="178"/>
      <c r="AX68" s="179"/>
      <c r="AZ68" s="166"/>
      <c r="BA68" s="177"/>
      <c r="BB68" s="178"/>
      <c r="BC68" s="178"/>
      <c r="BD68" s="178"/>
      <c r="BE68" s="178"/>
      <c r="BF68" s="178"/>
      <c r="BG68" s="178"/>
      <c r="BH68" s="178"/>
      <c r="BI68" s="179"/>
      <c r="BJ68" s="180"/>
      <c r="BK68" s="178"/>
      <c r="BL68" s="178"/>
      <c r="BM68" s="178"/>
      <c r="BN68" s="178"/>
      <c r="BO68" s="181"/>
      <c r="BP68" s="166"/>
      <c r="BQ68" s="177"/>
      <c r="BR68" s="178"/>
      <c r="BS68" s="179"/>
      <c r="BU68" s="166"/>
      <c r="BV68" s="166"/>
      <c r="BW68" s="166"/>
      <c r="BX68" s="166"/>
      <c r="BY68" s="166"/>
      <c r="BZ68" s="166"/>
      <c r="CA68" s="166"/>
      <c r="CB68" s="166"/>
      <c r="CC68" s="166"/>
      <c r="CD68" s="177"/>
      <c r="CE68" s="181"/>
      <c r="CF68" s="177"/>
      <c r="CG68" s="181"/>
      <c r="CH68" s="177"/>
      <c r="CI68" s="182"/>
      <c r="CJ68" s="177"/>
      <c r="CK68" s="182"/>
      <c r="CL68" s="178"/>
      <c r="CM68" s="182"/>
      <c r="CN68" s="177"/>
      <c r="CO68" s="182"/>
      <c r="CP68" s="177"/>
      <c r="CQ68" s="178"/>
      <c r="CR68" s="182"/>
      <c r="CS68" s="65"/>
      <c r="CT68" s="64"/>
      <c r="CU68" s="165" t="str">
        <f t="shared" si="2"/>
        <v>PKP</v>
      </c>
    </row>
    <row r="69" ht="60.0" customHeight="1">
      <c r="A69" s="65"/>
      <c r="B69" s="166"/>
      <c r="C69" s="167">
        <v>7.0</v>
      </c>
      <c r="D69" s="168" t="s">
        <v>165</v>
      </c>
      <c r="E69" s="169"/>
      <c r="F69" s="170"/>
      <c r="G69" s="170"/>
      <c r="H69" s="170"/>
      <c r="I69" s="170"/>
      <c r="J69" s="170"/>
      <c r="K69" s="171"/>
      <c r="L69" s="171"/>
      <c r="M69" s="171"/>
      <c r="N69" s="171"/>
      <c r="O69" s="172">
        <f t="shared" ref="O69:O72" si="13">IF(AND(M69&gt;=20,M69&lt;&gt;"m",RIGHT(K69,3)="Lec"),1,IF(AND(M69&gt;=20,M69&lt;&gt;"m",OR(RIGHT(K69,3)="Lab",RIGHT(K69,3)="Tut")),0.5,IF(AND(M69&gt;=20,M69&lt;&gt;"m",RIGHT(K69,2)="TL"),0.75,0)))</f>
        <v>0</v>
      </c>
      <c r="P69" s="166"/>
      <c r="Q69" s="173"/>
      <c r="R69" s="65"/>
      <c r="S69" s="173"/>
      <c r="T69" s="173"/>
      <c r="U69" s="166"/>
      <c r="V69" s="166"/>
      <c r="W69" s="65"/>
      <c r="X69" s="66"/>
      <c r="Y69" s="173"/>
      <c r="Z69" s="166"/>
      <c r="AA69" s="174"/>
      <c r="AB69" s="175"/>
      <c r="AC69" s="175"/>
      <c r="AD69" s="175"/>
      <c r="AE69" s="175"/>
      <c r="AF69" s="175"/>
      <c r="AG69" s="175"/>
      <c r="AH69" s="175"/>
      <c r="AI69" s="176"/>
      <c r="AJ69" s="177"/>
      <c r="AK69" s="178"/>
      <c r="AL69" s="178"/>
      <c r="AM69" s="178"/>
      <c r="AN69" s="178"/>
      <c r="AO69" s="179"/>
      <c r="AP69" s="64"/>
      <c r="AQ69" s="65"/>
      <c r="AR69" s="65"/>
      <c r="AS69" s="65"/>
      <c r="AT69" s="173"/>
      <c r="AU69" s="177"/>
      <c r="AV69" s="178"/>
      <c r="AW69" s="178"/>
      <c r="AX69" s="179"/>
      <c r="AZ69" s="166"/>
      <c r="BA69" s="177"/>
      <c r="BB69" s="178"/>
      <c r="BC69" s="178"/>
      <c r="BD69" s="178"/>
      <c r="BE69" s="178"/>
      <c r="BF69" s="178"/>
      <c r="BG69" s="178"/>
      <c r="BH69" s="178"/>
      <c r="BI69" s="179"/>
      <c r="BJ69" s="180"/>
      <c r="BK69" s="178"/>
      <c r="BL69" s="178"/>
      <c r="BM69" s="178"/>
      <c r="BN69" s="178"/>
      <c r="BO69" s="181"/>
      <c r="BP69" s="166"/>
      <c r="BQ69" s="177"/>
      <c r="BR69" s="178"/>
      <c r="BS69" s="179"/>
      <c r="BU69" s="166"/>
      <c r="BV69" s="166"/>
      <c r="BW69" s="166"/>
      <c r="BX69" s="166"/>
      <c r="BY69" s="166"/>
      <c r="BZ69" s="166"/>
      <c r="CA69" s="166"/>
      <c r="CB69" s="166"/>
      <c r="CC69" s="166"/>
      <c r="CD69" s="177"/>
      <c r="CE69" s="181"/>
      <c r="CF69" s="177"/>
      <c r="CG69" s="181"/>
      <c r="CH69" s="177"/>
      <c r="CI69" s="182"/>
      <c r="CJ69" s="177"/>
      <c r="CK69" s="182"/>
      <c r="CL69" s="178"/>
      <c r="CM69" s="182"/>
      <c r="CN69" s="177"/>
      <c r="CO69" s="182"/>
      <c r="CP69" s="177"/>
      <c r="CQ69" s="178"/>
      <c r="CR69" s="182"/>
      <c r="CS69" s="65"/>
      <c r="CT69" s="64"/>
      <c r="CU69" s="165" t="str">
        <f t="shared" si="2"/>
        <v>PKP</v>
      </c>
    </row>
    <row r="70" ht="60.0" customHeight="1">
      <c r="A70" s="65"/>
      <c r="B70" s="166"/>
      <c r="C70" s="167">
        <v>8.0</v>
      </c>
      <c r="D70" s="168" t="s">
        <v>165</v>
      </c>
      <c r="E70" s="169"/>
      <c r="F70" s="170"/>
      <c r="G70" s="170"/>
      <c r="H70" s="170"/>
      <c r="I70" s="170"/>
      <c r="J70" s="170"/>
      <c r="K70" s="171"/>
      <c r="L70" s="171"/>
      <c r="M70" s="171"/>
      <c r="N70" s="171"/>
      <c r="O70" s="172">
        <f t="shared" si="13"/>
        <v>0</v>
      </c>
      <c r="P70" s="166"/>
      <c r="Q70" s="173"/>
      <c r="R70" s="65"/>
      <c r="S70" s="173"/>
      <c r="T70" s="173"/>
      <c r="U70" s="166"/>
      <c r="V70" s="166"/>
      <c r="W70" s="65"/>
      <c r="X70" s="66"/>
      <c r="Y70" s="173"/>
      <c r="Z70" s="166"/>
      <c r="AA70" s="174"/>
      <c r="AB70" s="175"/>
      <c r="AC70" s="175"/>
      <c r="AD70" s="175"/>
      <c r="AE70" s="175"/>
      <c r="AF70" s="175"/>
      <c r="AG70" s="175"/>
      <c r="AH70" s="175"/>
      <c r="AI70" s="176"/>
      <c r="AJ70" s="177"/>
      <c r="AK70" s="178"/>
      <c r="AL70" s="178"/>
      <c r="AM70" s="178"/>
      <c r="AN70" s="178"/>
      <c r="AO70" s="179"/>
      <c r="AP70" s="64"/>
      <c r="AQ70" s="65"/>
      <c r="AR70" s="65"/>
      <c r="AS70" s="65"/>
      <c r="AT70" s="173"/>
      <c r="AU70" s="177"/>
      <c r="AV70" s="178"/>
      <c r="AW70" s="178"/>
      <c r="AX70" s="179"/>
      <c r="AZ70" s="166"/>
      <c r="BA70" s="177"/>
      <c r="BB70" s="178"/>
      <c r="BC70" s="178"/>
      <c r="BD70" s="178"/>
      <c r="BE70" s="178"/>
      <c r="BF70" s="178"/>
      <c r="BG70" s="178"/>
      <c r="BH70" s="178"/>
      <c r="BI70" s="179"/>
      <c r="BJ70" s="180"/>
      <c r="BK70" s="178"/>
      <c r="BL70" s="178"/>
      <c r="BM70" s="178"/>
      <c r="BN70" s="178"/>
      <c r="BO70" s="181"/>
      <c r="BP70" s="166"/>
      <c r="BQ70" s="177"/>
      <c r="BR70" s="178"/>
      <c r="BS70" s="179"/>
      <c r="BU70" s="166"/>
      <c r="BV70" s="166"/>
      <c r="BW70" s="166"/>
      <c r="BX70" s="166"/>
      <c r="BY70" s="166"/>
      <c r="BZ70" s="166"/>
      <c r="CA70" s="166"/>
      <c r="CB70" s="166"/>
      <c r="CC70" s="166"/>
      <c r="CD70" s="177"/>
      <c r="CE70" s="181"/>
      <c r="CF70" s="177"/>
      <c r="CG70" s="181"/>
      <c r="CH70" s="177"/>
      <c r="CI70" s="182"/>
      <c r="CJ70" s="177"/>
      <c r="CK70" s="182"/>
      <c r="CL70" s="178"/>
      <c r="CM70" s="182"/>
      <c r="CN70" s="177"/>
      <c r="CO70" s="182"/>
      <c r="CP70" s="177"/>
      <c r="CQ70" s="178"/>
      <c r="CR70" s="182"/>
      <c r="CS70" s="65"/>
      <c r="CT70" s="64"/>
      <c r="CU70" s="165" t="str">
        <f t="shared" si="2"/>
        <v>PKP</v>
      </c>
    </row>
    <row r="71" ht="60.0" customHeight="1">
      <c r="A71" s="65"/>
      <c r="B71" s="166"/>
      <c r="C71" s="167">
        <v>9.0</v>
      </c>
      <c r="D71" s="168" t="s">
        <v>165</v>
      </c>
      <c r="E71" s="169"/>
      <c r="F71" s="170"/>
      <c r="G71" s="170"/>
      <c r="H71" s="170"/>
      <c r="I71" s="170"/>
      <c r="J71" s="170"/>
      <c r="K71" s="171"/>
      <c r="L71" s="171"/>
      <c r="M71" s="171"/>
      <c r="N71" s="171"/>
      <c r="O71" s="172">
        <f t="shared" si="13"/>
        <v>0</v>
      </c>
      <c r="P71" s="166"/>
      <c r="Q71" s="173"/>
      <c r="R71" s="65"/>
      <c r="S71" s="173"/>
      <c r="T71" s="173"/>
      <c r="U71" s="166"/>
      <c r="V71" s="166"/>
      <c r="W71" s="65"/>
      <c r="X71" s="66"/>
      <c r="Y71" s="173"/>
      <c r="Z71" s="166"/>
      <c r="AA71" s="174"/>
      <c r="AB71" s="175"/>
      <c r="AC71" s="175"/>
      <c r="AD71" s="175"/>
      <c r="AE71" s="175"/>
      <c r="AF71" s="175"/>
      <c r="AG71" s="175"/>
      <c r="AH71" s="175"/>
      <c r="AI71" s="176"/>
      <c r="AJ71" s="177"/>
      <c r="AK71" s="178"/>
      <c r="AL71" s="178"/>
      <c r="AM71" s="178"/>
      <c r="AN71" s="178"/>
      <c r="AO71" s="179"/>
      <c r="AP71" s="64"/>
      <c r="AQ71" s="65"/>
      <c r="AR71" s="65"/>
      <c r="AS71" s="65"/>
      <c r="AT71" s="173"/>
      <c r="AU71" s="177"/>
      <c r="AV71" s="178"/>
      <c r="AW71" s="178"/>
      <c r="AX71" s="179"/>
      <c r="AZ71" s="166"/>
      <c r="BA71" s="177"/>
      <c r="BB71" s="178"/>
      <c r="BC71" s="178"/>
      <c r="BD71" s="178"/>
      <c r="BE71" s="178"/>
      <c r="BF71" s="178"/>
      <c r="BG71" s="178"/>
      <c r="BH71" s="178"/>
      <c r="BI71" s="179"/>
      <c r="BJ71" s="180"/>
      <c r="BK71" s="178"/>
      <c r="BL71" s="178"/>
      <c r="BM71" s="178"/>
      <c r="BN71" s="178"/>
      <c r="BO71" s="181"/>
      <c r="BP71" s="166"/>
      <c r="BQ71" s="177"/>
      <c r="BR71" s="178"/>
      <c r="BS71" s="179"/>
      <c r="BU71" s="166"/>
      <c r="BV71" s="166"/>
      <c r="BW71" s="166"/>
      <c r="BX71" s="166"/>
      <c r="BY71" s="166"/>
      <c r="BZ71" s="166"/>
      <c r="CA71" s="166"/>
      <c r="CB71" s="166"/>
      <c r="CC71" s="166"/>
      <c r="CD71" s="177"/>
      <c r="CE71" s="181"/>
      <c r="CF71" s="177"/>
      <c r="CG71" s="181"/>
      <c r="CH71" s="177"/>
      <c r="CI71" s="182"/>
      <c r="CJ71" s="177"/>
      <c r="CK71" s="182"/>
      <c r="CL71" s="178"/>
      <c r="CM71" s="182"/>
      <c r="CN71" s="177"/>
      <c r="CO71" s="182"/>
      <c r="CP71" s="177"/>
      <c r="CQ71" s="178"/>
      <c r="CR71" s="182"/>
      <c r="CS71" s="65"/>
      <c r="CT71" s="64"/>
      <c r="CU71" s="165" t="str">
        <f t="shared" si="2"/>
        <v>PKP</v>
      </c>
    </row>
    <row r="72" ht="60.0" customHeight="1">
      <c r="A72" s="65"/>
      <c r="B72" s="166"/>
      <c r="C72" s="167">
        <v>10.0</v>
      </c>
      <c r="D72" s="168" t="s">
        <v>165</v>
      </c>
      <c r="E72" s="169"/>
      <c r="F72" s="170"/>
      <c r="G72" s="170"/>
      <c r="H72" s="170"/>
      <c r="I72" s="170"/>
      <c r="J72" s="170"/>
      <c r="K72" s="171"/>
      <c r="L72" s="171"/>
      <c r="M72" s="171"/>
      <c r="N72" s="171"/>
      <c r="O72" s="172">
        <f t="shared" si="13"/>
        <v>0</v>
      </c>
      <c r="P72" s="166"/>
      <c r="Q72" s="173"/>
      <c r="R72" s="65"/>
      <c r="S72" s="173"/>
      <c r="T72" s="173"/>
      <c r="U72" s="166"/>
      <c r="V72" s="166"/>
      <c r="W72" s="65"/>
      <c r="X72" s="66"/>
      <c r="Y72" s="173"/>
      <c r="Z72" s="166"/>
      <c r="AA72" s="174"/>
      <c r="AB72" s="175"/>
      <c r="AC72" s="175"/>
      <c r="AD72" s="175"/>
      <c r="AE72" s="175"/>
      <c r="AF72" s="175"/>
      <c r="AG72" s="175"/>
      <c r="AH72" s="175"/>
      <c r="AI72" s="176"/>
      <c r="AJ72" s="177"/>
      <c r="AK72" s="178"/>
      <c r="AL72" s="178"/>
      <c r="AM72" s="178"/>
      <c r="AN72" s="178"/>
      <c r="AO72" s="179"/>
      <c r="AP72" s="64"/>
      <c r="AQ72" s="65"/>
      <c r="AR72" s="65"/>
      <c r="AS72" s="65"/>
      <c r="AT72" s="173"/>
      <c r="AU72" s="177"/>
      <c r="AV72" s="178"/>
      <c r="AW72" s="178"/>
      <c r="AX72" s="179"/>
      <c r="AZ72" s="166"/>
      <c r="BA72" s="177"/>
      <c r="BB72" s="178"/>
      <c r="BC72" s="178"/>
      <c r="BD72" s="178"/>
      <c r="BE72" s="178"/>
      <c r="BF72" s="178"/>
      <c r="BG72" s="178"/>
      <c r="BH72" s="178"/>
      <c r="BI72" s="179"/>
      <c r="BJ72" s="180"/>
      <c r="BK72" s="178"/>
      <c r="BL72" s="178"/>
      <c r="BM72" s="178"/>
      <c r="BN72" s="178"/>
      <c r="BO72" s="181"/>
      <c r="BP72" s="166"/>
      <c r="BQ72" s="177"/>
      <c r="BR72" s="178"/>
      <c r="BS72" s="179"/>
      <c r="BU72" s="166"/>
      <c r="BV72" s="166"/>
      <c r="BW72" s="166"/>
      <c r="BX72" s="166"/>
      <c r="BY72" s="166"/>
      <c r="BZ72" s="166"/>
      <c r="CA72" s="166"/>
      <c r="CB72" s="166"/>
      <c r="CC72" s="166"/>
      <c r="CD72" s="177"/>
      <c r="CE72" s="181"/>
      <c r="CF72" s="177"/>
      <c r="CG72" s="181"/>
      <c r="CH72" s="177"/>
      <c r="CI72" s="182"/>
      <c r="CJ72" s="177"/>
      <c r="CK72" s="182"/>
      <c r="CL72" s="178"/>
      <c r="CM72" s="182"/>
      <c r="CN72" s="177"/>
      <c r="CO72" s="182"/>
      <c r="CP72" s="177"/>
      <c r="CQ72" s="178"/>
      <c r="CR72" s="182"/>
      <c r="CS72" s="65"/>
      <c r="CT72" s="64"/>
      <c r="CU72" s="165" t="str">
        <f t="shared" si="2"/>
        <v>PKP</v>
      </c>
    </row>
    <row r="73" ht="60.0" customHeight="1">
      <c r="A73" s="89"/>
      <c r="B73" s="63"/>
      <c r="C73" s="183">
        <v>11.0</v>
      </c>
      <c r="D73" s="184" t="s">
        <v>165</v>
      </c>
      <c r="E73" s="185"/>
      <c r="F73" s="186"/>
      <c r="G73" s="186"/>
      <c r="H73" s="186"/>
      <c r="I73" s="186"/>
      <c r="J73" s="186"/>
      <c r="K73" s="187"/>
      <c r="L73" s="187"/>
      <c r="M73" s="187"/>
      <c r="N73" s="187"/>
      <c r="O73" s="188">
        <f t="shared" ref="O73:O79" si="14">IF(AND(M73&lt;&gt;0,M73&lt;&gt;"m",M73&lt;&gt;"",RIGHT(K73,3)="Lec"),1,IF(AND(M73&lt;&gt;0,M73&lt;&gt;"m",M73&lt;&gt;"",OR(RIGHT(K73,3)="Lab",RIGHT(K73,3)="Tut")),0.5,IF(AND(M73&lt;&gt;0,M73&lt;&gt;"m",M73&lt;&gt;"",RIGHT(K73,2)="TL"),0.75,0)))</f>
        <v>0</v>
      </c>
      <c r="P73" s="63"/>
      <c r="Q73" s="69"/>
      <c r="R73" s="89"/>
      <c r="S73" s="69"/>
      <c r="T73" s="69"/>
      <c r="U73" s="63"/>
      <c r="V73" s="63"/>
      <c r="W73" s="89"/>
      <c r="X73" s="68"/>
      <c r="Y73" s="69"/>
      <c r="Z73" s="63"/>
      <c r="AA73" s="189"/>
      <c r="AB73" s="190"/>
      <c r="AC73" s="190"/>
      <c r="AD73" s="190"/>
      <c r="AE73" s="190"/>
      <c r="AF73" s="190"/>
      <c r="AG73" s="190"/>
      <c r="AH73" s="190"/>
      <c r="AI73" s="191"/>
      <c r="AJ73" s="192"/>
      <c r="AK73" s="193"/>
      <c r="AL73" s="193"/>
      <c r="AM73" s="193"/>
      <c r="AN73" s="193"/>
      <c r="AO73" s="194"/>
      <c r="AP73" s="103"/>
      <c r="AQ73" s="89"/>
      <c r="AR73" s="89"/>
      <c r="AS73" s="89"/>
      <c r="AT73" s="69"/>
      <c r="AU73" s="192"/>
      <c r="AV73" s="193"/>
      <c r="AW73" s="193"/>
      <c r="AX73" s="194"/>
      <c r="AY73" s="6"/>
      <c r="AZ73" s="63"/>
      <c r="BA73" s="192"/>
      <c r="BB73" s="193"/>
      <c r="BC73" s="193"/>
      <c r="BD73" s="193"/>
      <c r="BE73" s="193"/>
      <c r="BF73" s="193"/>
      <c r="BG73" s="193"/>
      <c r="BH73" s="193"/>
      <c r="BI73" s="194"/>
      <c r="BJ73" s="195"/>
      <c r="BK73" s="193"/>
      <c r="BL73" s="193"/>
      <c r="BM73" s="193"/>
      <c r="BN73" s="193"/>
      <c r="BO73" s="196"/>
      <c r="BP73" s="63"/>
      <c r="BQ73" s="192"/>
      <c r="BR73" s="193"/>
      <c r="BS73" s="194"/>
      <c r="BT73" s="6"/>
      <c r="BU73" s="63"/>
      <c r="BV73" s="63"/>
      <c r="BW73" s="63"/>
      <c r="BX73" s="63"/>
      <c r="BY73" s="63"/>
      <c r="BZ73" s="63"/>
      <c r="CA73" s="63"/>
      <c r="CB73" s="63"/>
      <c r="CC73" s="63"/>
      <c r="CD73" s="192"/>
      <c r="CE73" s="196"/>
      <c r="CF73" s="192"/>
      <c r="CG73" s="196"/>
      <c r="CH73" s="192"/>
      <c r="CI73" s="197"/>
      <c r="CJ73" s="192"/>
      <c r="CK73" s="197"/>
      <c r="CL73" s="198"/>
      <c r="CM73" s="197"/>
      <c r="CN73" s="192"/>
      <c r="CO73" s="197"/>
      <c r="CP73" s="192"/>
      <c r="CQ73" s="193"/>
      <c r="CR73" s="197"/>
      <c r="CS73" s="89"/>
      <c r="CT73" s="103"/>
      <c r="CU73" s="165" t="str">
        <f t="shared" si="2"/>
        <v>PKP</v>
      </c>
    </row>
    <row r="74" ht="55.5" customHeight="1">
      <c r="A74" s="125">
        <v>7.0</v>
      </c>
      <c r="B74" s="126" t="s">
        <v>169</v>
      </c>
      <c r="C74" s="127">
        <v>1.0</v>
      </c>
      <c r="D74" s="128" t="s">
        <v>170</v>
      </c>
      <c r="E74" s="129"/>
      <c r="F74" s="130"/>
      <c r="G74" s="130"/>
      <c r="H74" s="130"/>
      <c r="I74" s="130"/>
      <c r="J74" s="130"/>
      <c r="K74" s="131"/>
      <c r="L74" s="131"/>
      <c r="M74" s="131"/>
      <c r="N74" s="131"/>
      <c r="O74" s="132">
        <f t="shared" si="14"/>
        <v>0</v>
      </c>
      <c r="P74" s="133">
        <f>COUNTIF(K74:K84,"TL")*0.75+COUNTIF(K74:K84,"Lec")*1+COUNTIF(K74:K84,"Lab")*0.5</f>
        <v>0</v>
      </c>
      <c r="Q74" s="134">
        <f>SUM((IF(LEFT(K74,1)="E",O74,0)),(IF(LEFT(K75,1)="E",O75,0)),(IF(LEFT(K76,1)="E",O76,0)),(IF(LEFT(K77,1)="E",O77,0)),(IF(LEFT(K78,1)="E",O78,0)),(IF(LEFT(K79,1)="E",O79,0)),(IF(LEFT(K80,1)="E",O80,0)),(IF(LEFT(K81,1)="E",O81,0)),(IF(LEFT(K82,1)="E",O82,0)),(IF(LEFT(K83,1)="E",O83,0)),(IF(LEFT(K84,1)="E",O84,0)))</f>
        <v>0</v>
      </c>
      <c r="R74" s="135">
        <f>SUM(IF(M80&lt;20,IF(K80="Plec",-1,IF(K80="PTL",-0.75,IF(K80="Plab",-0.5,0))),0),IF(M81&lt;20,IF(K81="Plec",-1,IF(K81="PTL",-0.75,IF(K81="Plab",-0.5,0))),0),IF(M82&lt;20,IF(K82="Plec",-1,IF(K82="PTL",-0.75,IF(K82="Plab",-0.5,0))),0),IF(M83&lt;20,IF(K83="Plec",-1,IF(K83="PTL",-0.75,IF(K83="Plab",-0.5,0))),0))</f>
        <v>0</v>
      </c>
      <c r="S74" s="134">
        <f>SUM(P74:R84)</f>
        <v>0</v>
      </c>
      <c r="T74" s="136">
        <f>SUM(IF(M74="M",IF(OR(K74="lec",K74="plec",K74="slec"),1,IF(OR(K74="lab",K74="plab",K74="slab",K74="tut",K74="ptut",K74="stut"),0.5,IF(OR(K74="TL",K74="pTL",K74="STL"),0.75,0))),0),IF(M75="M",IF(OR(K75="lec",K75="plec",K75="slec"),1,IF(OR(K75="lab",K75="plab",K75="slab",K75="tut",K75="ptut",K75="stut"),0.5,IF(OR(K75="TL",K75="pTL",K75="STL"),0.75,0))),0),IF(M76="M",IF(OR(K76="lec",K76="plec",K76="slec"),1,IF(OR(K76="lab",K76="plab",K76="slab",K76="tut",K76="ptut",K76="stut"),0.5,IF(OR(K76="TL",K76="pTL",K76="STL"),0.75,0))),0),IF(M77="M",IF(OR(K77="lec",K77="plec",K77="slec"),1,IF(OR(K77="lab",K77="plab",K77="slab",K77="tut",K77="ptut",K77="stut"),0.5,IF(OR(K77="TL",K77="pTL",K77="STL"),0.75,0))),0),IF(M78="M",IF(OR(K78="lec",K78="plec",K78="slec"),1,IF(OR(K78="lab",K78="plab",K78="slab",K78="tut",K78="ptut",K78="stut"),0.5,IF(OR(K78="TL",K78="pTL",K78="STL"),0.75,0))),0),IF(M79="M",IF(OR(K79="lec",K79="plec",K79="slec"),1,IF(OR(K79="lab",K79="plab",K79="slab",K79="tut",K79="ptut",K79="stut"),0.5,IF(OR(K79="TL",K79="pTL",K79="STL"),0.75,0))),0),IF(M80="M",IF(OR(K80="lec",K80="plec",K80="slec"),1,IF(OR(K80="lab",K80="plab",K80="slab",K80="tut",K80="ptut",K80="stut"),0.5,IF(OR(K80="TL",K80="pTL",K80="STL"),0.75,0))),0),IF(M81="M",IF(OR(K81="lec",K81="plec",K81="slec"),1,IF(OR(K81="lab",K81="plab",K81="slab",K81="tut",K81="ptut",K81="stut"),0.5,IF(OR(K81="TL",K81="pTL",K81="STL"),0.75,0))),0),IF(M82="M",IF(OR(K82="lec",K82="plec",K82="slec"),1,IF(OR(K82="lab",K82="plab",K82="slab",K82="tut",K82="ptut",K82="stut"),0.5,IF(OR(K82="TL",K82="pTL",K82="STL"),0.75,0))),0),IF(M83="M",IF(OR(K83="lec",K83="plec",K83="slec"),1,IF(OR(K83="lab",K83="plab",K83="slab",K83="tut",K83="ptut",K83="stut"),0.5,IF(OR(K83="TL",K83="pTL",K83="STL"),0.75,0))),0),IF(M84="M",IF(OR(K84="lec",K84="plec",K84="slec"),1,IF(OR(K84="lab",K84="plab",K84="slab",K84="tut",K84="ptut",K84="stut"),0.5,IF(OR(K84="TL",K84="pTL",K84="STL"),0.75,0))),0))</f>
        <v>0</v>
      </c>
      <c r="U74" s="137"/>
      <c r="V74" s="133"/>
      <c r="W74" s="138"/>
      <c r="X74" s="139">
        <f>S74-(T74+U74+V74+W74)</f>
        <v>0</v>
      </c>
      <c r="Y74" s="134" t="str">
        <f>CONCATENATE(SUM(O74:O84),"(",SUM(O74:O84)-X74,")")</f>
        <v>0(0)</v>
      </c>
      <c r="Z74" s="140"/>
      <c r="AA74" s="141"/>
      <c r="AB74" s="142"/>
      <c r="AC74" s="142"/>
      <c r="AD74" s="142"/>
      <c r="AE74" s="142"/>
      <c r="AF74" s="142"/>
      <c r="AG74" s="142"/>
      <c r="AH74" s="142"/>
      <c r="AI74" s="143"/>
      <c r="AJ74" s="144"/>
      <c r="AK74" s="145"/>
      <c r="AL74" s="145"/>
      <c r="AM74" s="145"/>
      <c r="AN74" s="145"/>
      <c r="AO74" s="146"/>
      <c r="AP74" s="147">
        <f>SUM(SUM(O74:O84),SUM(AI74:AI84)/2,AM74)</f>
        <v>0</v>
      </c>
      <c r="AQ74" s="148"/>
      <c r="AR74" s="148">
        <f>AP74*AQ74</f>
        <v>0</v>
      </c>
      <c r="AS74" s="148">
        <f>CT74</f>
        <v>5.4</v>
      </c>
      <c r="AT74" s="149">
        <f>AR74*0.75+AS74*0.25</f>
        <v>1.35</v>
      </c>
      <c r="AU74" s="150"/>
      <c r="AV74" s="151"/>
      <c r="AW74" s="151"/>
      <c r="AX74" s="152"/>
      <c r="AY74" s="153"/>
      <c r="AZ74" s="140"/>
      <c r="BA74" s="150">
        <v>1.0</v>
      </c>
      <c r="BB74" s="151" t="s">
        <v>148</v>
      </c>
      <c r="BC74" s="151">
        <v>5.0</v>
      </c>
      <c r="BD74" s="151" t="s">
        <v>171</v>
      </c>
      <c r="BE74" s="151" t="s">
        <v>150</v>
      </c>
      <c r="BF74" s="151"/>
      <c r="BG74" s="151">
        <v>1.0</v>
      </c>
      <c r="BH74" s="151"/>
      <c r="BI74" s="152"/>
      <c r="BJ74" s="154">
        <v>4.0</v>
      </c>
      <c r="BK74" s="151"/>
      <c r="BL74" s="151"/>
      <c r="BM74" s="151"/>
      <c r="BN74" s="151"/>
      <c r="BO74" s="155"/>
      <c r="BP74" s="140"/>
      <c r="BQ74" s="156" t="s">
        <v>172</v>
      </c>
      <c r="BR74" s="157">
        <v>8.0</v>
      </c>
      <c r="BS74" s="158">
        <v>0.0</v>
      </c>
      <c r="BT74" s="153"/>
      <c r="BU74" s="140"/>
      <c r="BV74" s="140"/>
      <c r="BW74" s="140"/>
      <c r="BX74" s="140"/>
      <c r="BY74" s="140"/>
      <c r="BZ74" s="140"/>
      <c r="CA74" s="140"/>
      <c r="CB74" s="140"/>
      <c r="CC74" s="140"/>
      <c r="CD74" s="150"/>
      <c r="CE74" s="155"/>
      <c r="CF74" s="150" t="s">
        <v>173</v>
      </c>
      <c r="CG74" s="155"/>
      <c r="CH74" s="159"/>
      <c r="CI74" s="160"/>
      <c r="CJ74" s="159"/>
      <c r="CK74" s="160"/>
      <c r="CL74" s="161"/>
      <c r="CM74" s="160"/>
      <c r="CN74" s="159"/>
      <c r="CO74" s="160"/>
      <c r="CP74" s="159"/>
      <c r="CQ74" s="162"/>
      <c r="CR74" s="160"/>
      <c r="CS74" s="163">
        <f>SUM(IF(AU74&lt;0,ABS(AU74),0),IF(AZ74&lt;0,ABS(AZ74),0),ABS(CI74),ABS(CK74),ABS(CM74),ABS(CO74),ABS(CQ74),ABS(CR74))</f>
        <v>0</v>
      </c>
      <c r="CT74" s="164">
        <f>SUM(AU74,AV74,AW74,AX74/400,AY74,AZ74,BG74,BH74*0.5,BI74*0.25,BJ74,BK74,BL74,BM74,BN74,BO74,BP74,BR74/20,BS74/100,BT74/60,BU74,BV74,BW74,BX74/4,SUM(BY74:CC84)/3,CE74,CG74/3,CI74,CK74,CM74,CO74,CQ74,CR74)</f>
        <v>5.4</v>
      </c>
      <c r="CU74" s="165" t="str">
        <f t="shared" si="2"/>
        <v>SDP</v>
      </c>
    </row>
    <row r="75" ht="60.0" customHeight="1">
      <c r="A75" s="65"/>
      <c r="B75" s="166"/>
      <c r="C75" s="167">
        <v>2.0</v>
      </c>
      <c r="D75" s="168" t="s">
        <v>170</v>
      </c>
      <c r="E75" s="169"/>
      <c r="F75" s="170"/>
      <c r="G75" s="170"/>
      <c r="H75" s="170"/>
      <c r="I75" s="170"/>
      <c r="J75" s="170"/>
      <c r="K75" s="171"/>
      <c r="L75" s="171"/>
      <c r="M75" s="171"/>
      <c r="N75" s="171"/>
      <c r="O75" s="172">
        <f t="shared" si="14"/>
        <v>0</v>
      </c>
      <c r="P75" s="166"/>
      <c r="Q75" s="173"/>
      <c r="R75" s="65"/>
      <c r="S75" s="173"/>
      <c r="T75" s="173"/>
      <c r="U75" s="166"/>
      <c r="V75" s="166"/>
      <c r="W75" s="65"/>
      <c r="X75" s="66"/>
      <c r="Y75" s="173"/>
      <c r="Z75" s="166"/>
      <c r="AA75" s="174"/>
      <c r="AB75" s="175"/>
      <c r="AC75" s="175"/>
      <c r="AD75" s="175"/>
      <c r="AE75" s="175"/>
      <c r="AF75" s="175"/>
      <c r="AG75" s="175"/>
      <c r="AH75" s="175"/>
      <c r="AI75" s="176"/>
      <c r="AJ75" s="177"/>
      <c r="AK75" s="178"/>
      <c r="AL75" s="178"/>
      <c r="AM75" s="178"/>
      <c r="AN75" s="178"/>
      <c r="AO75" s="179"/>
      <c r="AP75" s="64"/>
      <c r="AQ75" s="65"/>
      <c r="AR75" s="65"/>
      <c r="AS75" s="65"/>
      <c r="AT75" s="173"/>
      <c r="AU75" s="177"/>
      <c r="AV75" s="178"/>
      <c r="AW75" s="178"/>
      <c r="AX75" s="179"/>
      <c r="AZ75" s="166"/>
      <c r="BA75" s="177"/>
      <c r="BB75" s="178"/>
      <c r="BC75" s="178"/>
      <c r="BD75" s="178"/>
      <c r="BE75" s="178"/>
      <c r="BF75" s="178"/>
      <c r="BG75" s="178"/>
      <c r="BH75" s="178"/>
      <c r="BI75" s="179"/>
      <c r="BJ75" s="180"/>
      <c r="BK75" s="178"/>
      <c r="BL75" s="178"/>
      <c r="BM75" s="178"/>
      <c r="BN75" s="178"/>
      <c r="BO75" s="181"/>
      <c r="BP75" s="166"/>
      <c r="BQ75" s="177"/>
      <c r="BR75" s="178"/>
      <c r="BS75" s="179"/>
      <c r="BU75" s="166"/>
      <c r="BV75" s="166"/>
      <c r="BW75" s="166"/>
      <c r="BX75" s="166"/>
      <c r="BY75" s="166"/>
      <c r="BZ75" s="166"/>
      <c r="CA75" s="166"/>
      <c r="CB75" s="166"/>
      <c r="CC75" s="166"/>
      <c r="CD75" s="177"/>
      <c r="CE75" s="181"/>
      <c r="CF75" s="177"/>
      <c r="CG75" s="181"/>
      <c r="CH75" s="177"/>
      <c r="CI75" s="182"/>
      <c r="CJ75" s="177"/>
      <c r="CK75" s="182"/>
      <c r="CL75" s="178"/>
      <c r="CM75" s="182"/>
      <c r="CN75" s="177"/>
      <c r="CO75" s="182"/>
      <c r="CP75" s="177"/>
      <c r="CQ75" s="178"/>
      <c r="CR75" s="182"/>
      <c r="CS75" s="65"/>
      <c r="CT75" s="64"/>
      <c r="CU75" s="165" t="str">
        <f t="shared" si="2"/>
        <v>SDP</v>
      </c>
    </row>
    <row r="76" ht="60.0" customHeight="1">
      <c r="A76" s="65"/>
      <c r="B76" s="166"/>
      <c r="C76" s="167">
        <v>3.0</v>
      </c>
      <c r="D76" s="168" t="s">
        <v>170</v>
      </c>
      <c r="E76" s="169"/>
      <c r="F76" s="170"/>
      <c r="G76" s="170"/>
      <c r="H76" s="170"/>
      <c r="I76" s="170"/>
      <c r="J76" s="170"/>
      <c r="K76" s="171"/>
      <c r="L76" s="171"/>
      <c r="M76" s="171"/>
      <c r="N76" s="171"/>
      <c r="O76" s="172">
        <f t="shared" si="14"/>
        <v>0</v>
      </c>
      <c r="P76" s="166"/>
      <c r="Q76" s="173"/>
      <c r="R76" s="65"/>
      <c r="S76" s="173"/>
      <c r="T76" s="173"/>
      <c r="U76" s="166"/>
      <c r="V76" s="166"/>
      <c r="W76" s="65"/>
      <c r="X76" s="66"/>
      <c r="Y76" s="173"/>
      <c r="Z76" s="166"/>
      <c r="AA76" s="174"/>
      <c r="AB76" s="175"/>
      <c r="AC76" s="175"/>
      <c r="AD76" s="175"/>
      <c r="AE76" s="175"/>
      <c r="AF76" s="175"/>
      <c r="AG76" s="175"/>
      <c r="AH76" s="175"/>
      <c r="AI76" s="176"/>
      <c r="AJ76" s="177"/>
      <c r="AK76" s="178"/>
      <c r="AL76" s="178"/>
      <c r="AM76" s="178"/>
      <c r="AN76" s="178"/>
      <c r="AO76" s="179"/>
      <c r="AP76" s="64"/>
      <c r="AQ76" s="65"/>
      <c r="AR76" s="65"/>
      <c r="AS76" s="65"/>
      <c r="AT76" s="173"/>
      <c r="AU76" s="177"/>
      <c r="AV76" s="178"/>
      <c r="AW76" s="178"/>
      <c r="AX76" s="179"/>
      <c r="AZ76" s="166"/>
      <c r="BA76" s="177"/>
      <c r="BB76" s="178"/>
      <c r="BC76" s="178"/>
      <c r="BD76" s="178"/>
      <c r="BE76" s="178"/>
      <c r="BF76" s="178"/>
      <c r="BG76" s="178"/>
      <c r="BH76" s="178"/>
      <c r="BI76" s="179"/>
      <c r="BJ76" s="180"/>
      <c r="BK76" s="178"/>
      <c r="BL76" s="178"/>
      <c r="BM76" s="178"/>
      <c r="BN76" s="178"/>
      <c r="BO76" s="181"/>
      <c r="BP76" s="166"/>
      <c r="BQ76" s="177"/>
      <c r="BR76" s="178"/>
      <c r="BS76" s="179"/>
      <c r="BU76" s="166"/>
      <c r="BV76" s="166"/>
      <c r="BW76" s="166"/>
      <c r="BX76" s="166"/>
      <c r="BY76" s="166"/>
      <c r="BZ76" s="166"/>
      <c r="CA76" s="166"/>
      <c r="CB76" s="166"/>
      <c r="CC76" s="166"/>
      <c r="CD76" s="177"/>
      <c r="CE76" s="181"/>
      <c r="CF76" s="177"/>
      <c r="CG76" s="181"/>
      <c r="CH76" s="177"/>
      <c r="CI76" s="182"/>
      <c r="CJ76" s="177"/>
      <c r="CK76" s="182"/>
      <c r="CL76" s="178"/>
      <c r="CM76" s="182"/>
      <c r="CN76" s="177"/>
      <c r="CO76" s="182"/>
      <c r="CP76" s="177"/>
      <c r="CQ76" s="178"/>
      <c r="CR76" s="182"/>
      <c r="CS76" s="65"/>
      <c r="CT76" s="64"/>
      <c r="CU76" s="165" t="str">
        <f t="shared" si="2"/>
        <v>SDP</v>
      </c>
    </row>
    <row r="77" ht="60.0" customHeight="1">
      <c r="A77" s="65"/>
      <c r="B77" s="166"/>
      <c r="C77" s="167">
        <v>4.0</v>
      </c>
      <c r="D77" s="168" t="s">
        <v>170</v>
      </c>
      <c r="E77" s="169"/>
      <c r="F77" s="170"/>
      <c r="G77" s="170"/>
      <c r="H77" s="170"/>
      <c r="I77" s="170"/>
      <c r="J77" s="170"/>
      <c r="K77" s="171"/>
      <c r="L77" s="171"/>
      <c r="M77" s="171"/>
      <c r="N77" s="171"/>
      <c r="O77" s="172">
        <f t="shared" si="14"/>
        <v>0</v>
      </c>
      <c r="P77" s="166"/>
      <c r="Q77" s="173"/>
      <c r="R77" s="65"/>
      <c r="S77" s="173"/>
      <c r="T77" s="173"/>
      <c r="U77" s="166"/>
      <c r="V77" s="166"/>
      <c r="W77" s="65"/>
      <c r="X77" s="66"/>
      <c r="Y77" s="173"/>
      <c r="Z77" s="166"/>
      <c r="AA77" s="174"/>
      <c r="AB77" s="175"/>
      <c r="AC77" s="175"/>
      <c r="AD77" s="175"/>
      <c r="AE77" s="175"/>
      <c r="AF77" s="175"/>
      <c r="AG77" s="175"/>
      <c r="AH77" s="175"/>
      <c r="AI77" s="176"/>
      <c r="AJ77" s="177"/>
      <c r="AK77" s="178"/>
      <c r="AL77" s="178"/>
      <c r="AM77" s="178"/>
      <c r="AN77" s="178"/>
      <c r="AO77" s="179"/>
      <c r="AP77" s="64"/>
      <c r="AQ77" s="65"/>
      <c r="AR77" s="65"/>
      <c r="AS77" s="65"/>
      <c r="AT77" s="173"/>
      <c r="AU77" s="177"/>
      <c r="AV77" s="178"/>
      <c r="AW77" s="178"/>
      <c r="AX77" s="179"/>
      <c r="AZ77" s="166"/>
      <c r="BA77" s="177"/>
      <c r="BB77" s="178"/>
      <c r="BC77" s="178"/>
      <c r="BD77" s="178"/>
      <c r="BE77" s="178"/>
      <c r="BF77" s="178"/>
      <c r="BG77" s="178"/>
      <c r="BH77" s="178"/>
      <c r="BI77" s="179"/>
      <c r="BJ77" s="180"/>
      <c r="BK77" s="178"/>
      <c r="BL77" s="178"/>
      <c r="BM77" s="178"/>
      <c r="BN77" s="178"/>
      <c r="BO77" s="181"/>
      <c r="BP77" s="166"/>
      <c r="BQ77" s="177"/>
      <c r="BR77" s="178"/>
      <c r="BS77" s="179"/>
      <c r="BU77" s="166"/>
      <c r="BV77" s="166"/>
      <c r="BW77" s="166"/>
      <c r="BX77" s="166"/>
      <c r="BY77" s="166"/>
      <c r="BZ77" s="166"/>
      <c r="CA77" s="166"/>
      <c r="CB77" s="166"/>
      <c r="CC77" s="166"/>
      <c r="CD77" s="177"/>
      <c r="CE77" s="181"/>
      <c r="CF77" s="177"/>
      <c r="CG77" s="181"/>
      <c r="CH77" s="177"/>
      <c r="CI77" s="182"/>
      <c r="CJ77" s="177"/>
      <c r="CK77" s="182"/>
      <c r="CL77" s="178"/>
      <c r="CM77" s="182"/>
      <c r="CN77" s="177"/>
      <c r="CO77" s="182"/>
      <c r="CP77" s="177"/>
      <c r="CQ77" s="178"/>
      <c r="CR77" s="182"/>
      <c r="CS77" s="65"/>
      <c r="CT77" s="64"/>
      <c r="CU77" s="165" t="str">
        <f t="shared" si="2"/>
        <v>SDP</v>
      </c>
    </row>
    <row r="78" ht="60.0" customHeight="1">
      <c r="A78" s="65"/>
      <c r="B78" s="166"/>
      <c r="C78" s="167">
        <v>5.0</v>
      </c>
      <c r="D78" s="168" t="s">
        <v>170</v>
      </c>
      <c r="E78" s="169"/>
      <c r="F78" s="170"/>
      <c r="G78" s="170"/>
      <c r="H78" s="170"/>
      <c r="I78" s="170"/>
      <c r="J78" s="170"/>
      <c r="K78" s="171"/>
      <c r="L78" s="171"/>
      <c r="M78" s="171"/>
      <c r="N78" s="171"/>
      <c r="O78" s="172">
        <f t="shared" si="14"/>
        <v>0</v>
      </c>
      <c r="P78" s="166"/>
      <c r="Q78" s="173"/>
      <c r="R78" s="65"/>
      <c r="S78" s="173"/>
      <c r="T78" s="173"/>
      <c r="U78" s="166"/>
      <c r="V78" s="166"/>
      <c r="W78" s="65"/>
      <c r="X78" s="66"/>
      <c r="Y78" s="173"/>
      <c r="Z78" s="166"/>
      <c r="AA78" s="174"/>
      <c r="AB78" s="175"/>
      <c r="AC78" s="175"/>
      <c r="AD78" s="175"/>
      <c r="AE78" s="175"/>
      <c r="AF78" s="175"/>
      <c r="AG78" s="175"/>
      <c r="AH78" s="175"/>
      <c r="AI78" s="176"/>
      <c r="AJ78" s="177"/>
      <c r="AK78" s="178"/>
      <c r="AL78" s="178"/>
      <c r="AM78" s="178"/>
      <c r="AN78" s="178"/>
      <c r="AO78" s="179"/>
      <c r="AP78" s="64"/>
      <c r="AQ78" s="65"/>
      <c r="AR78" s="65"/>
      <c r="AS78" s="65"/>
      <c r="AT78" s="173"/>
      <c r="AU78" s="177"/>
      <c r="AV78" s="178"/>
      <c r="AW78" s="178"/>
      <c r="AX78" s="179"/>
      <c r="AZ78" s="166"/>
      <c r="BA78" s="177"/>
      <c r="BB78" s="178"/>
      <c r="BC78" s="178"/>
      <c r="BD78" s="178"/>
      <c r="BE78" s="178"/>
      <c r="BF78" s="178"/>
      <c r="BG78" s="178"/>
      <c r="BH78" s="178"/>
      <c r="BI78" s="179"/>
      <c r="BJ78" s="180"/>
      <c r="BK78" s="178"/>
      <c r="BL78" s="178"/>
      <c r="BM78" s="178"/>
      <c r="BN78" s="178"/>
      <c r="BO78" s="181"/>
      <c r="BP78" s="166"/>
      <c r="BQ78" s="177"/>
      <c r="BR78" s="178"/>
      <c r="BS78" s="179"/>
      <c r="BU78" s="166"/>
      <c r="BV78" s="166"/>
      <c r="BW78" s="166"/>
      <c r="BX78" s="166"/>
      <c r="BY78" s="166"/>
      <c r="BZ78" s="166"/>
      <c r="CA78" s="166"/>
      <c r="CB78" s="166"/>
      <c r="CC78" s="166"/>
      <c r="CD78" s="177"/>
      <c r="CE78" s="181"/>
      <c r="CF78" s="177"/>
      <c r="CG78" s="181"/>
      <c r="CH78" s="177"/>
      <c r="CI78" s="182"/>
      <c r="CJ78" s="177"/>
      <c r="CK78" s="182"/>
      <c r="CL78" s="178"/>
      <c r="CM78" s="182"/>
      <c r="CN78" s="177"/>
      <c r="CO78" s="182"/>
      <c r="CP78" s="177"/>
      <c r="CQ78" s="178"/>
      <c r="CR78" s="182"/>
      <c r="CS78" s="65"/>
      <c r="CT78" s="64"/>
      <c r="CU78" s="165" t="str">
        <f t="shared" si="2"/>
        <v>SDP</v>
      </c>
    </row>
    <row r="79" ht="60.0" customHeight="1">
      <c r="A79" s="65"/>
      <c r="B79" s="166"/>
      <c r="C79" s="167">
        <v>6.0</v>
      </c>
      <c r="D79" s="168" t="s">
        <v>170</v>
      </c>
      <c r="E79" s="169"/>
      <c r="F79" s="170"/>
      <c r="G79" s="170"/>
      <c r="H79" s="170"/>
      <c r="I79" s="170"/>
      <c r="J79" s="170"/>
      <c r="K79" s="171"/>
      <c r="L79" s="171"/>
      <c r="M79" s="171"/>
      <c r="N79" s="171"/>
      <c r="O79" s="172">
        <f t="shared" si="14"/>
        <v>0</v>
      </c>
      <c r="P79" s="166"/>
      <c r="Q79" s="173"/>
      <c r="R79" s="65"/>
      <c r="S79" s="173"/>
      <c r="T79" s="173"/>
      <c r="U79" s="166"/>
      <c r="V79" s="166"/>
      <c r="W79" s="65"/>
      <c r="X79" s="66"/>
      <c r="Y79" s="173"/>
      <c r="Z79" s="166"/>
      <c r="AA79" s="174"/>
      <c r="AB79" s="175"/>
      <c r="AC79" s="175"/>
      <c r="AD79" s="175"/>
      <c r="AE79" s="175"/>
      <c r="AF79" s="175"/>
      <c r="AG79" s="175"/>
      <c r="AH79" s="175"/>
      <c r="AI79" s="176"/>
      <c r="AJ79" s="177"/>
      <c r="AK79" s="178"/>
      <c r="AL79" s="178"/>
      <c r="AM79" s="178"/>
      <c r="AN79" s="178"/>
      <c r="AO79" s="179"/>
      <c r="AP79" s="64"/>
      <c r="AQ79" s="65"/>
      <c r="AR79" s="65"/>
      <c r="AS79" s="65"/>
      <c r="AT79" s="173"/>
      <c r="AU79" s="177"/>
      <c r="AV79" s="178"/>
      <c r="AW79" s="178"/>
      <c r="AX79" s="179"/>
      <c r="AZ79" s="166"/>
      <c r="BA79" s="177"/>
      <c r="BB79" s="178"/>
      <c r="BC79" s="178"/>
      <c r="BD79" s="178"/>
      <c r="BE79" s="178"/>
      <c r="BF79" s="178"/>
      <c r="BG79" s="178"/>
      <c r="BH79" s="178"/>
      <c r="BI79" s="179"/>
      <c r="BJ79" s="180"/>
      <c r="BK79" s="178"/>
      <c r="BL79" s="178"/>
      <c r="BM79" s="178"/>
      <c r="BN79" s="178"/>
      <c r="BO79" s="181"/>
      <c r="BP79" s="166"/>
      <c r="BQ79" s="177"/>
      <c r="BR79" s="178"/>
      <c r="BS79" s="179"/>
      <c r="BU79" s="166"/>
      <c r="BV79" s="166"/>
      <c r="BW79" s="166"/>
      <c r="BX79" s="166"/>
      <c r="BY79" s="166"/>
      <c r="BZ79" s="166"/>
      <c r="CA79" s="166"/>
      <c r="CB79" s="166"/>
      <c r="CC79" s="166"/>
      <c r="CD79" s="177"/>
      <c r="CE79" s="181"/>
      <c r="CF79" s="177"/>
      <c r="CG79" s="181"/>
      <c r="CH79" s="177"/>
      <c r="CI79" s="182"/>
      <c r="CJ79" s="177"/>
      <c r="CK79" s="182"/>
      <c r="CL79" s="178"/>
      <c r="CM79" s="182"/>
      <c r="CN79" s="177"/>
      <c r="CO79" s="182"/>
      <c r="CP79" s="177"/>
      <c r="CQ79" s="178"/>
      <c r="CR79" s="182"/>
      <c r="CS79" s="65"/>
      <c r="CT79" s="64"/>
      <c r="CU79" s="165" t="str">
        <f t="shared" si="2"/>
        <v>SDP</v>
      </c>
    </row>
    <row r="80" ht="60.0" customHeight="1">
      <c r="A80" s="65"/>
      <c r="B80" s="166"/>
      <c r="C80" s="167">
        <v>7.0</v>
      </c>
      <c r="D80" s="168" t="s">
        <v>170</v>
      </c>
      <c r="E80" s="169"/>
      <c r="F80" s="170"/>
      <c r="G80" s="170"/>
      <c r="H80" s="170"/>
      <c r="I80" s="170"/>
      <c r="J80" s="170"/>
      <c r="K80" s="171"/>
      <c r="L80" s="171"/>
      <c r="M80" s="171"/>
      <c r="N80" s="171"/>
      <c r="O80" s="172">
        <f t="shared" ref="O80:O83" si="15">IF(AND(M80&gt;=20,M80&lt;&gt;"m",RIGHT(K80,3)="Lec"),1,IF(AND(M80&gt;=20,M80&lt;&gt;"m",OR(RIGHT(K80,3)="Lab",RIGHT(K80,3)="Tut")),0.5,IF(AND(M80&gt;=20,M80&lt;&gt;"m",RIGHT(K80,2)="TL"),0.75,0)))</f>
        <v>0</v>
      </c>
      <c r="P80" s="166"/>
      <c r="Q80" s="173"/>
      <c r="R80" s="65"/>
      <c r="S80" s="173"/>
      <c r="T80" s="173"/>
      <c r="U80" s="166"/>
      <c r="V80" s="166"/>
      <c r="W80" s="65"/>
      <c r="X80" s="66"/>
      <c r="Y80" s="173"/>
      <c r="Z80" s="166"/>
      <c r="AA80" s="174"/>
      <c r="AB80" s="175"/>
      <c r="AC80" s="175"/>
      <c r="AD80" s="175"/>
      <c r="AE80" s="175"/>
      <c r="AF80" s="175"/>
      <c r="AG80" s="175"/>
      <c r="AH80" s="175"/>
      <c r="AI80" s="176"/>
      <c r="AJ80" s="177"/>
      <c r="AK80" s="178"/>
      <c r="AL80" s="178"/>
      <c r="AM80" s="178"/>
      <c r="AN80" s="178"/>
      <c r="AO80" s="179"/>
      <c r="AP80" s="64"/>
      <c r="AQ80" s="65"/>
      <c r="AR80" s="65"/>
      <c r="AS80" s="65"/>
      <c r="AT80" s="173"/>
      <c r="AU80" s="177"/>
      <c r="AV80" s="178"/>
      <c r="AW80" s="178"/>
      <c r="AX80" s="179"/>
      <c r="AZ80" s="166"/>
      <c r="BA80" s="177"/>
      <c r="BB80" s="178"/>
      <c r="BC80" s="178"/>
      <c r="BD80" s="178"/>
      <c r="BE80" s="178"/>
      <c r="BF80" s="178"/>
      <c r="BG80" s="178"/>
      <c r="BH80" s="178"/>
      <c r="BI80" s="179"/>
      <c r="BJ80" s="180"/>
      <c r="BK80" s="178"/>
      <c r="BL80" s="178"/>
      <c r="BM80" s="178"/>
      <c r="BN80" s="178"/>
      <c r="BO80" s="181"/>
      <c r="BP80" s="166"/>
      <c r="BQ80" s="177"/>
      <c r="BR80" s="178"/>
      <c r="BS80" s="179"/>
      <c r="BU80" s="166"/>
      <c r="BV80" s="166"/>
      <c r="BW80" s="166"/>
      <c r="BX80" s="166"/>
      <c r="BY80" s="166"/>
      <c r="BZ80" s="166"/>
      <c r="CA80" s="166"/>
      <c r="CB80" s="166"/>
      <c r="CC80" s="166"/>
      <c r="CD80" s="177"/>
      <c r="CE80" s="181"/>
      <c r="CF80" s="177"/>
      <c r="CG80" s="181"/>
      <c r="CH80" s="177"/>
      <c r="CI80" s="182"/>
      <c r="CJ80" s="177"/>
      <c r="CK80" s="182"/>
      <c r="CL80" s="178"/>
      <c r="CM80" s="182"/>
      <c r="CN80" s="177"/>
      <c r="CO80" s="182"/>
      <c r="CP80" s="177"/>
      <c r="CQ80" s="178"/>
      <c r="CR80" s="182"/>
      <c r="CS80" s="65"/>
      <c r="CT80" s="64"/>
      <c r="CU80" s="165" t="str">
        <f t="shared" si="2"/>
        <v>SDP</v>
      </c>
    </row>
    <row r="81" ht="60.0" customHeight="1">
      <c r="A81" s="65"/>
      <c r="B81" s="166"/>
      <c r="C81" s="167">
        <v>8.0</v>
      </c>
      <c r="D81" s="168" t="s">
        <v>170</v>
      </c>
      <c r="E81" s="169"/>
      <c r="F81" s="170"/>
      <c r="G81" s="170"/>
      <c r="H81" s="170"/>
      <c r="I81" s="170"/>
      <c r="J81" s="170"/>
      <c r="K81" s="171"/>
      <c r="L81" s="171"/>
      <c r="M81" s="171"/>
      <c r="N81" s="171"/>
      <c r="O81" s="172">
        <f t="shared" si="15"/>
        <v>0</v>
      </c>
      <c r="P81" s="166"/>
      <c r="Q81" s="173"/>
      <c r="R81" s="65"/>
      <c r="S81" s="173"/>
      <c r="T81" s="173"/>
      <c r="U81" s="166"/>
      <c r="V81" s="166"/>
      <c r="W81" s="65"/>
      <c r="X81" s="66"/>
      <c r="Y81" s="173"/>
      <c r="Z81" s="166"/>
      <c r="AA81" s="174"/>
      <c r="AB81" s="175"/>
      <c r="AC81" s="175"/>
      <c r="AD81" s="175"/>
      <c r="AE81" s="175"/>
      <c r="AF81" s="175"/>
      <c r="AG81" s="175"/>
      <c r="AH81" s="175"/>
      <c r="AI81" s="176"/>
      <c r="AJ81" s="177"/>
      <c r="AK81" s="178"/>
      <c r="AL81" s="178"/>
      <c r="AM81" s="178"/>
      <c r="AN81" s="178"/>
      <c r="AO81" s="179"/>
      <c r="AP81" s="64"/>
      <c r="AQ81" s="65"/>
      <c r="AR81" s="65"/>
      <c r="AS81" s="65"/>
      <c r="AT81" s="173"/>
      <c r="AU81" s="177"/>
      <c r="AV81" s="178"/>
      <c r="AW81" s="178"/>
      <c r="AX81" s="179"/>
      <c r="AZ81" s="166"/>
      <c r="BA81" s="177"/>
      <c r="BB81" s="178"/>
      <c r="BC81" s="178"/>
      <c r="BD81" s="178"/>
      <c r="BE81" s="178"/>
      <c r="BF81" s="178"/>
      <c r="BG81" s="178"/>
      <c r="BH81" s="178"/>
      <c r="BI81" s="179"/>
      <c r="BJ81" s="180"/>
      <c r="BK81" s="178"/>
      <c r="BL81" s="178"/>
      <c r="BM81" s="178"/>
      <c r="BN81" s="178"/>
      <c r="BO81" s="181"/>
      <c r="BP81" s="166"/>
      <c r="BQ81" s="177"/>
      <c r="BR81" s="178"/>
      <c r="BS81" s="179"/>
      <c r="BU81" s="166"/>
      <c r="BV81" s="166"/>
      <c r="BW81" s="166"/>
      <c r="BX81" s="166"/>
      <c r="BY81" s="166"/>
      <c r="BZ81" s="166"/>
      <c r="CA81" s="166"/>
      <c r="CB81" s="166"/>
      <c r="CC81" s="166"/>
      <c r="CD81" s="177"/>
      <c r="CE81" s="181"/>
      <c r="CF81" s="177"/>
      <c r="CG81" s="181"/>
      <c r="CH81" s="177"/>
      <c r="CI81" s="182"/>
      <c r="CJ81" s="177"/>
      <c r="CK81" s="182"/>
      <c r="CL81" s="178"/>
      <c r="CM81" s="182"/>
      <c r="CN81" s="177"/>
      <c r="CO81" s="182"/>
      <c r="CP81" s="177"/>
      <c r="CQ81" s="178"/>
      <c r="CR81" s="182"/>
      <c r="CS81" s="65"/>
      <c r="CT81" s="64"/>
      <c r="CU81" s="165" t="str">
        <f t="shared" si="2"/>
        <v>SDP</v>
      </c>
    </row>
    <row r="82" ht="60.0" customHeight="1">
      <c r="A82" s="65"/>
      <c r="B82" s="166"/>
      <c r="C82" s="167">
        <v>9.0</v>
      </c>
      <c r="D82" s="168" t="s">
        <v>170</v>
      </c>
      <c r="E82" s="169"/>
      <c r="F82" s="170"/>
      <c r="G82" s="170"/>
      <c r="H82" s="170"/>
      <c r="I82" s="170"/>
      <c r="J82" s="170"/>
      <c r="K82" s="171"/>
      <c r="L82" s="171"/>
      <c r="M82" s="171"/>
      <c r="N82" s="171"/>
      <c r="O82" s="172">
        <f t="shared" si="15"/>
        <v>0</v>
      </c>
      <c r="P82" s="166"/>
      <c r="Q82" s="173"/>
      <c r="R82" s="65"/>
      <c r="S82" s="173"/>
      <c r="T82" s="173"/>
      <c r="U82" s="166"/>
      <c r="V82" s="166"/>
      <c r="W82" s="65"/>
      <c r="X82" s="66"/>
      <c r="Y82" s="173"/>
      <c r="Z82" s="166"/>
      <c r="AA82" s="174"/>
      <c r="AB82" s="175"/>
      <c r="AC82" s="175"/>
      <c r="AD82" s="175"/>
      <c r="AE82" s="175"/>
      <c r="AF82" s="175"/>
      <c r="AG82" s="175"/>
      <c r="AH82" s="175"/>
      <c r="AI82" s="176"/>
      <c r="AJ82" s="177"/>
      <c r="AK82" s="178"/>
      <c r="AL82" s="178"/>
      <c r="AM82" s="178"/>
      <c r="AN82" s="178"/>
      <c r="AO82" s="179"/>
      <c r="AP82" s="64"/>
      <c r="AQ82" s="65"/>
      <c r="AR82" s="65"/>
      <c r="AS82" s="65"/>
      <c r="AT82" s="173"/>
      <c r="AU82" s="177"/>
      <c r="AV82" s="178"/>
      <c r="AW82" s="178"/>
      <c r="AX82" s="179"/>
      <c r="AZ82" s="166"/>
      <c r="BA82" s="177"/>
      <c r="BB82" s="178"/>
      <c r="BC82" s="178"/>
      <c r="BD82" s="178"/>
      <c r="BE82" s="178"/>
      <c r="BF82" s="178"/>
      <c r="BG82" s="178"/>
      <c r="BH82" s="178"/>
      <c r="BI82" s="179"/>
      <c r="BJ82" s="180"/>
      <c r="BK82" s="178"/>
      <c r="BL82" s="178"/>
      <c r="BM82" s="178"/>
      <c r="BN82" s="178"/>
      <c r="BO82" s="181"/>
      <c r="BP82" s="166"/>
      <c r="BQ82" s="177"/>
      <c r="BR82" s="178"/>
      <c r="BS82" s="179"/>
      <c r="BU82" s="166"/>
      <c r="BV82" s="166"/>
      <c r="BW82" s="166"/>
      <c r="BX82" s="166"/>
      <c r="BY82" s="166"/>
      <c r="BZ82" s="166"/>
      <c r="CA82" s="166"/>
      <c r="CB82" s="166"/>
      <c r="CC82" s="166"/>
      <c r="CD82" s="177"/>
      <c r="CE82" s="181"/>
      <c r="CF82" s="177"/>
      <c r="CG82" s="181"/>
      <c r="CH82" s="177"/>
      <c r="CI82" s="182"/>
      <c r="CJ82" s="177"/>
      <c r="CK82" s="182"/>
      <c r="CL82" s="178"/>
      <c r="CM82" s="182"/>
      <c r="CN82" s="177"/>
      <c r="CO82" s="182"/>
      <c r="CP82" s="177"/>
      <c r="CQ82" s="178"/>
      <c r="CR82" s="182"/>
      <c r="CS82" s="65"/>
      <c r="CT82" s="64"/>
      <c r="CU82" s="165" t="str">
        <f t="shared" si="2"/>
        <v>SDP</v>
      </c>
    </row>
    <row r="83" ht="60.0" customHeight="1">
      <c r="A83" s="65"/>
      <c r="B83" s="166"/>
      <c r="C83" s="167">
        <v>10.0</v>
      </c>
      <c r="D83" s="168" t="s">
        <v>170</v>
      </c>
      <c r="E83" s="169"/>
      <c r="F83" s="170"/>
      <c r="G83" s="170"/>
      <c r="H83" s="170"/>
      <c r="I83" s="170"/>
      <c r="J83" s="170"/>
      <c r="K83" s="171"/>
      <c r="L83" s="171"/>
      <c r="M83" s="171"/>
      <c r="N83" s="171"/>
      <c r="O83" s="172">
        <f t="shared" si="15"/>
        <v>0</v>
      </c>
      <c r="P83" s="166"/>
      <c r="Q83" s="173"/>
      <c r="R83" s="65"/>
      <c r="S83" s="173"/>
      <c r="T83" s="173"/>
      <c r="U83" s="166"/>
      <c r="V83" s="166"/>
      <c r="W83" s="65"/>
      <c r="X83" s="66"/>
      <c r="Y83" s="173"/>
      <c r="Z83" s="166"/>
      <c r="AA83" s="174"/>
      <c r="AB83" s="175"/>
      <c r="AC83" s="175"/>
      <c r="AD83" s="175"/>
      <c r="AE83" s="175"/>
      <c r="AF83" s="175"/>
      <c r="AG83" s="175"/>
      <c r="AH83" s="175"/>
      <c r="AI83" s="176"/>
      <c r="AJ83" s="177"/>
      <c r="AK83" s="178"/>
      <c r="AL83" s="178"/>
      <c r="AM83" s="178"/>
      <c r="AN83" s="178"/>
      <c r="AO83" s="179"/>
      <c r="AP83" s="64"/>
      <c r="AQ83" s="65"/>
      <c r="AR83" s="65"/>
      <c r="AS83" s="65"/>
      <c r="AT83" s="173"/>
      <c r="AU83" s="177"/>
      <c r="AV83" s="178"/>
      <c r="AW83" s="178"/>
      <c r="AX83" s="179"/>
      <c r="AZ83" s="166"/>
      <c r="BA83" s="177"/>
      <c r="BB83" s="178"/>
      <c r="BC83" s="178"/>
      <c r="BD83" s="178"/>
      <c r="BE83" s="178"/>
      <c r="BF83" s="178"/>
      <c r="BG83" s="178"/>
      <c r="BH83" s="178"/>
      <c r="BI83" s="179"/>
      <c r="BJ83" s="180"/>
      <c r="BK83" s="178"/>
      <c r="BL83" s="178"/>
      <c r="BM83" s="178"/>
      <c r="BN83" s="178"/>
      <c r="BO83" s="181"/>
      <c r="BP83" s="166"/>
      <c r="BQ83" s="177"/>
      <c r="BR83" s="178"/>
      <c r="BS83" s="179"/>
      <c r="BU83" s="166"/>
      <c r="BV83" s="166"/>
      <c r="BW83" s="166"/>
      <c r="BX83" s="166"/>
      <c r="BY83" s="166"/>
      <c r="BZ83" s="166"/>
      <c r="CA83" s="166"/>
      <c r="CB83" s="166"/>
      <c r="CC83" s="166"/>
      <c r="CD83" s="177"/>
      <c r="CE83" s="181"/>
      <c r="CF83" s="177"/>
      <c r="CG83" s="181"/>
      <c r="CH83" s="177"/>
      <c r="CI83" s="182"/>
      <c r="CJ83" s="177"/>
      <c r="CK83" s="182"/>
      <c r="CL83" s="178"/>
      <c r="CM83" s="182"/>
      <c r="CN83" s="177"/>
      <c r="CO83" s="182"/>
      <c r="CP83" s="177"/>
      <c r="CQ83" s="178"/>
      <c r="CR83" s="182"/>
      <c r="CS83" s="65"/>
      <c r="CT83" s="64"/>
      <c r="CU83" s="165" t="str">
        <f t="shared" si="2"/>
        <v>SDP</v>
      </c>
    </row>
    <row r="84" ht="60.0" customHeight="1">
      <c r="A84" s="89"/>
      <c r="B84" s="63"/>
      <c r="C84" s="183">
        <v>11.0</v>
      </c>
      <c r="D84" s="184" t="s">
        <v>170</v>
      </c>
      <c r="E84" s="185"/>
      <c r="F84" s="186"/>
      <c r="G84" s="186"/>
      <c r="H84" s="186"/>
      <c r="I84" s="186"/>
      <c r="J84" s="186"/>
      <c r="K84" s="187"/>
      <c r="L84" s="187"/>
      <c r="M84" s="187"/>
      <c r="N84" s="187"/>
      <c r="O84" s="188">
        <f t="shared" ref="O84:O90" si="16">IF(AND(M84&lt;&gt;0,M84&lt;&gt;"m",M84&lt;&gt;"",RIGHT(K84,3)="Lec"),1,IF(AND(M84&lt;&gt;0,M84&lt;&gt;"m",M84&lt;&gt;"",OR(RIGHT(K84,3)="Lab",RIGHT(K84,3)="Tut")),0.5,IF(AND(M84&lt;&gt;0,M84&lt;&gt;"m",M84&lt;&gt;"",RIGHT(K84,2)="TL"),0.75,0)))</f>
        <v>0</v>
      </c>
      <c r="P84" s="63"/>
      <c r="Q84" s="69"/>
      <c r="R84" s="89"/>
      <c r="S84" s="69"/>
      <c r="T84" s="69"/>
      <c r="U84" s="63"/>
      <c r="V84" s="63"/>
      <c r="W84" s="89"/>
      <c r="X84" s="68"/>
      <c r="Y84" s="69"/>
      <c r="Z84" s="63"/>
      <c r="AA84" s="189"/>
      <c r="AB84" s="190"/>
      <c r="AC84" s="190"/>
      <c r="AD84" s="190"/>
      <c r="AE84" s="190"/>
      <c r="AF84" s="190"/>
      <c r="AG84" s="190"/>
      <c r="AH84" s="190"/>
      <c r="AI84" s="191"/>
      <c r="AJ84" s="192"/>
      <c r="AK84" s="193"/>
      <c r="AL84" s="193"/>
      <c r="AM84" s="193"/>
      <c r="AN84" s="193"/>
      <c r="AO84" s="194"/>
      <c r="AP84" s="103"/>
      <c r="AQ84" s="89"/>
      <c r="AR84" s="89"/>
      <c r="AS84" s="89"/>
      <c r="AT84" s="69"/>
      <c r="AU84" s="192"/>
      <c r="AV84" s="193"/>
      <c r="AW84" s="193"/>
      <c r="AX84" s="194"/>
      <c r="AY84" s="6"/>
      <c r="AZ84" s="63"/>
      <c r="BA84" s="192"/>
      <c r="BB84" s="193"/>
      <c r="BC84" s="193"/>
      <c r="BD84" s="193"/>
      <c r="BE84" s="193"/>
      <c r="BF84" s="193"/>
      <c r="BG84" s="193"/>
      <c r="BH84" s="193"/>
      <c r="BI84" s="194"/>
      <c r="BJ84" s="195"/>
      <c r="BK84" s="193"/>
      <c r="BL84" s="193"/>
      <c r="BM84" s="193"/>
      <c r="BN84" s="193"/>
      <c r="BO84" s="196"/>
      <c r="BP84" s="63"/>
      <c r="BQ84" s="192"/>
      <c r="BR84" s="193"/>
      <c r="BS84" s="194"/>
      <c r="BT84" s="6"/>
      <c r="BU84" s="63"/>
      <c r="BV84" s="63"/>
      <c r="BW84" s="63"/>
      <c r="BX84" s="63"/>
      <c r="BY84" s="63"/>
      <c r="BZ84" s="63"/>
      <c r="CA84" s="63"/>
      <c r="CB84" s="63"/>
      <c r="CC84" s="63"/>
      <c r="CD84" s="192"/>
      <c r="CE84" s="196"/>
      <c r="CF84" s="192"/>
      <c r="CG84" s="196"/>
      <c r="CH84" s="192"/>
      <c r="CI84" s="197"/>
      <c r="CJ84" s="192"/>
      <c r="CK84" s="197"/>
      <c r="CL84" s="198"/>
      <c r="CM84" s="197"/>
      <c r="CN84" s="192"/>
      <c r="CO84" s="197"/>
      <c r="CP84" s="192"/>
      <c r="CQ84" s="193"/>
      <c r="CR84" s="197"/>
      <c r="CS84" s="89"/>
      <c r="CT84" s="103"/>
      <c r="CU84" s="165" t="str">
        <f t="shared" si="2"/>
        <v>SDP</v>
      </c>
    </row>
    <row r="85" ht="55.5" customHeight="1">
      <c r="A85" s="125">
        <v>8.0</v>
      </c>
      <c r="B85" s="126" t="s">
        <v>174</v>
      </c>
      <c r="C85" s="127">
        <v>1.0</v>
      </c>
      <c r="D85" s="128" t="s">
        <v>175</v>
      </c>
      <c r="E85" s="129"/>
      <c r="F85" s="130"/>
      <c r="G85" s="130"/>
      <c r="H85" s="130"/>
      <c r="I85" s="130"/>
      <c r="J85" s="130"/>
      <c r="K85" s="131"/>
      <c r="L85" s="131"/>
      <c r="M85" s="131"/>
      <c r="N85" s="131"/>
      <c r="O85" s="132">
        <f t="shared" si="16"/>
        <v>0</v>
      </c>
      <c r="P85" s="133">
        <f>COUNTIF(K85:K95,"TL")*0.75+COUNTIF(K85:K95,"Lec")*1+COUNTIF(K85:K95,"Lab")*0.5</f>
        <v>0</v>
      </c>
      <c r="Q85" s="134">
        <f>SUM((IF(LEFT(K85,1)="E",O85,0)),(IF(LEFT(K86,1)="E",O86,0)),(IF(LEFT(K87,1)="E",O87,0)),(IF(LEFT(K88,1)="E",O88,0)),(IF(LEFT(K89,1)="E",O89,0)),(IF(LEFT(K90,1)="E",O90,0)),(IF(LEFT(K91,1)="E",O91,0)),(IF(LEFT(K92,1)="E",O92,0)),(IF(LEFT(K93,1)="E",O93,0)),(IF(LEFT(K94,1)="E",O94,0)),(IF(LEFT(K95,1)="E",O95,0)))</f>
        <v>0</v>
      </c>
      <c r="R85" s="135">
        <f>SUM(IF(M91&lt;20,IF(K91="Plec",-1,IF(K91="PTL",-0.75,IF(K91="Plab",-0.5,0))),0),IF(M92&lt;20,IF(K92="Plec",-1,IF(K92="PTL",-0.75,IF(K92="Plab",-0.5,0))),0),IF(M93&lt;20,IF(K93="Plec",-1,IF(K93="PTL",-0.75,IF(K93="Plab",-0.5,0))),0),IF(M94&lt;20,IF(K94="Plec",-1,IF(K94="PTL",-0.75,IF(K94="Plab",-0.5,0))),0))</f>
        <v>0</v>
      </c>
      <c r="S85" s="134">
        <f>SUM(P85:R95)</f>
        <v>0</v>
      </c>
      <c r="T85" s="136">
        <f>SUM(IF(M85="M",IF(OR(K85="lec",K85="plec",K85="slec"),1,IF(OR(K85="lab",K85="plab",K85="slab",K85="tut",K85="ptut",K85="stut"),0.5,IF(OR(K85="TL",K85="pTL",K85="STL"),0.75,0))),0),IF(M86="M",IF(OR(K86="lec",K86="plec",K86="slec"),1,IF(OR(K86="lab",K86="plab",K86="slab",K86="tut",K86="ptut",K86="stut"),0.5,IF(OR(K86="TL",K86="pTL",K86="STL"),0.75,0))),0),IF(M87="M",IF(OR(K87="lec",K87="plec",K87="slec"),1,IF(OR(K87="lab",K87="plab",K87="slab",K87="tut",K87="ptut",K87="stut"),0.5,IF(OR(K87="TL",K87="pTL",K87="STL"),0.75,0))),0),IF(M88="M",IF(OR(K88="lec",K88="plec",K88="slec"),1,IF(OR(K88="lab",K88="plab",K88="slab",K88="tut",K88="ptut",K88="stut"),0.5,IF(OR(K88="TL",K88="pTL",K88="STL"),0.75,0))),0),IF(M89="M",IF(OR(K89="lec",K89="plec",K89="slec"),1,IF(OR(K89="lab",K89="plab",K89="slab",K89="tut",K89="ptut",K89="stut"),0.5,IF(OR(K89="TL",K89="pTL",K89="STL"),0.75,0))),0),IF(M90="M",IF(OR(K90="lec",K90="plec",K90="slec"),1,IF(OR(K90="lab",K90="plab",K90="slab",K90="tut",K90="ptut",K90="stut"),0.5,IF(OR(K90="TL",K90="pTL",K90="STL"),0.75,0))),0),IF(M91="M",IF(OR(K91="lec",K91="plec",K91="slec"),1,IF(OR(K91="lab",K91="plab",K91="slab",K91="tut",K91="ptut",K91="stut"),0.5,IF(OR(K91="TL",K91="pTL",K91="STL"),0.75,0))),0),IF(M92="M",IF(OR(K92="lec",K92="plec",K92="slec"),1,IF(OR(K92="lab",K92="plab",K92="slab",K92="tut",K92="ptut",K92="stut"),0.5,IF(OR(K92="TL",K92="pTL",K92="STL"),0.75,0))),0),IF(M93="M",IF(OR(K93="lec",K93="plec",K93="slec"),1,IF(OR(K93="lab",K93="plab",K93="slab",K93="tut",K93="ptut",K93="stut"),0.5,IF(OR(K93="TL",K93="pTL",K93="STL"),0.75,0))),0),IF(M94="M",IF(OR(K94="lec",K94="plec",K94="slec"),1,IF(OR(K94="lab",K94="plab",K94="slab",K94="tut",K94="ptut",K94="stut"),0.5,IF(OR(K94="TL",K94="pTL",K94="STL"),0.75,0))),0),IF(M95="M",IF(OR(K95="lec",K95="plec",K95="slec"),1,IF(OR(K95="lab",K95="plab",K95="slab",K95="tut",K95="ptut",K95="stut"),0.5,IF(OR(K95="TL",K95="pTL",K95="STL"),0.75,0))),0))</f>
        <v>0</v>
      </c>
      <c r="U85" s="137"/>
      <c r="V85" s="133"/>
      <c r="W85" s="138"/>
      <c r="X85" s="139">
        <f>S85-(T85+U85+V85+W85)</f>
        <v>0</v>
      </c>
      <c r="Y85" s="134" t="str">
        <f>CONCATENATE(SUM(O85:O95),"(",SUM(O85:O95)-X85,")")</f>
        <v>0(0)</v>
      </c>
      <c r="Z85" s="140"/>
      <c r="AA85" s="141"/>
      <c r="AB85" s="142"/>
      <c r="AC85" s="142"/>
      <c r="AD85" s="142"/>
      <c r="AE85" s="142"/>
      <c r="AF85" s="142"/>
      <c r="AG85" s="142"/>
      <c r="AH85" s="142"/>
      <c r="AI85" s="143"/>
      <c r="AJ85" s="144"/>
      <c r="AK85" s="145"/>
      <c r="AL85" s="145"/>
      <c r="AM85" s="145"/>
      <c r="AN85" s="145"/>
      <c r="AO85" s="146"/>
      <c r="AP85" s="147">
        <f>SUM(SUM(O85:O95),SUM(AI85:AI95)/2,AM85)</f>
        <v>0</v>
      </c>
      <c r="AQ85" s="148"/>
      <c r="AR85" s="148">
        <f>AP85*AQ85</f>
        <v>0</v>
      </c>
      <c r="AS85" s="148">
        <f>CT85</f>
        <v>5.25</v>
      </c>
      <c r="AT85" s="149">
        <f>AR85*0.75+AS85*0.25</f>
        <v>1.3125</v>
      </c>
      <c r="AU85" s="150"/>
      <c r="AV85" s="151"/>
      <c r="AW85" s="151"/>
      <c r="AX85" s="152"/>
      <c r="AY85" s="153"/>
      <c r="AZ85" s="140"/>
      <c r="BA85" s="150">
        <v>1.0</v>
      </c>
      <c r="BB85" s="151" t="s">
        <v>176</v>
      </c>
      <c r="BC85" s="151">
        <v>1.0</v>
      </c>
      <c r="BD85" s="151" t="s">
        <v>177</v>
      </c>
      <c r="BE85" s="151" t="s">
        <v>178</v>
      </c>
      <c r="BF85" s="151"/>
      <c r="BG85" s="151">
        <v>1.0</v>
      </c>
      <c r="BH85" s="151"/>
      <c r="BI85" s="152"/>
      <c r="BJ85" s="154">
        <v>4.0</v>
      </c>
      <c r="BK85" s="151"/>
      <c r="BL85" s="151"/>
      <c r="BM85" s="151"/>
      <c r="BN85" s="151"/>
      <c r="BO85" s="155"/>
      <c r="BP85" s="140"/>
      <c r="BQ85" s="156" t="s">
        <v>159</v>
      </c>
      <c r="BR85" s="157">
        <v>5.0</v>
      </c>
      <c r="BS85" s="158">
        <v>0.0</v>
      </c>
      <c r="BT85" s="153"/>
      <c r="BU85" s="140"/>
      <c r="BV85" s="140"/>
      <c r="BW85" s="140"/>
      <c r="BX85" s="140"/>
      <c r="BY85" s="140"/>
      <c r="BZ85" s="140"/>
      <c r="CA85" s="140"/>
      <c r="CB85" s="140"/>
      <c r="CC85" s="140"/>
      <c r="CD85" s="150"/>
      <c r="CE85" s="155"/>
      <c r="CF85" s="150" t="s">
        <v>160</v>
      </c>
      <c r="CG85" s="155"/>
      <c r="CH85" s="159"/>
      <c r="CI85" s="160"/>
      <c r="CJ85" s="159"/>
      <c r="CK85" s="160"/>
      <c r="CL85" s="161"/>
      <c r="CM85" s="160"/>
      <c r="CN85" s="159"/>
      <c r="CO85" s="160"/>
      <c r="CP85" s="159"/>
      <c r="CQ85" s="162"/>
      <c r="CR85" s="160"/>
      <c r="CS85" s="163">
        <f>SUM(IF(AU85&lt;0,ABS(AU85),0),IF(AZ85&lt;0,ABS(AZ85),0),ABS(CI85),ABS(CK85),ABS(CM85),ABS(CO85),ABS(CQ85),ABS(CR85))</f>
        <v>0</v>
      </c>
      <c r="CT85" s="164">
        <f>SUM(AU85,AV85,AW85,AX85/400,AY85,AZ85,BG85,BH85*0.5,BI85*0.25,BJ85,BK85,BL85,BM85,BN85,BO85,BP85,BR85/20,BS85/100,BT85/60,BU85,BV85,BW85,BX85/4,SUM(BY85:CC95)/3,CE85,CG85/3,CI85,CK85,CM85,CO85,CQ85,CR85)</f>
        <v>5.25</v>
      </c>
      <c r="CU85" s="165" t="str">
        <f t="shared" si="2"/>
        <v>SHP</v>
      </c>
    </row>
    <row r="86" ht="60.0" customHeight="1">
      <c r="A86" s="65"/>
      <c r="B86" s="166"/>
      <c r="C86" s="167">
        <v>2.0</v>
      </c>
      <c r="D86" s="168" t="s">
        <v>175</v>
      </c>
      <c r="E86" s="169"/>
      <c r="F86" s="170"/>
      <c r="G86" s="170"/>
      <c r="H86" s="170"/>
      <c r="I86" s="170"/>
      <c r="J86" s="170"/>
      <c r="K86" s="171"/>
      <c r="L86" s="171"/>
      <c r="M86" s="171"/>
      <c r="N86" s="171"/>
      <c r="O86" s="172">
        <f t="shared" si="16"/>
        <v>0</v>
      </c>
      <c r="P86" s="166"/>
      <c r="Q86" s="173"/>
      <c r="R86" s="65"/>
      <c r="S86" s="173"/>
      <c r="T86" s="173"/>
      <c r="U86" s="166"/>
      <c r="V86" s="166"/>
      <c r="W86" s="65"/>
      <c r="X86" s="66"/>
      <c r="Y86" s="173"/>
      <c r="Z86" s="166"/>
      <c r="AA86" s="174"/>
      <c r="AB86" s="175"/>
      <c r="AC86" s="175"/>
      <c r="AD86" s="175"/>
      <c r="AE86" s="175"/>
      <c r="AF86" s="175"/>
      <c r="AG86" s="175"/>
      <c r="AH86" s="175"/>
      <c r="AI86" s="176"/>
      <c r="AJ86" s="177"/>
      <c r="AK86" s="178"/>
      <c r="AL86" s="178"/>
      <c r="AM86" s="178"/>
      <c r="AN86" s="178"/>
      <c r="AO86" s="179"/>
      <c r="AP86" s="64"/>
      <c r="AQ86" s="65"/>
      <c r="AR86" s="65"/>
      <c r="AS86" s="65"/>
      <c r="AT86" s="173"/>
      <c r="AU86" s="177"/>
      <c r="AV86" s="178"/>
      <c r="AW86" s="178"/>
      <c r="AX86" s="179"/>
      <c r="AZ86" s="166"/>
      <c r="BA86" s="177"/>
      <c r="BB86" s="178"/>
      <c r="BC86" s="178"/>
      <c r="BD86" s="178"/>
      <c r="BE86" s="178"/>
      <c r="BF86" s="178"/>
      <c r="BG86" s="178"/>
      <c r="BH86" s="178"/>
      <c r="BI86" s="179"/>
      <c r="BJ86" s="180"/>
      <c r="BK86" s="178"/>
      <c r="BL86" s="178"/>
      <c r="BM86" s="178"/>
      <c r="BN86" s="178"/>
      <c r="BO86" s="181"/>
      <c r="BP86" s="166"/>
      <c r="BQ86" s="177"/>
      <c r="BR86" s="178"/>
      <c r="BS86" s="179"/>
      <c r="BU86" s="166"/>
      <c r="BV86" s="166"/>
      <c r="BW86" s="166"/>
      <c r="BX86" s="166"/>
      <c r="BY86" s="166"/>
      <c r="BZ86" s="166"/>
      <c r="CA86" s="166"/>
      <c r="CB86" s="166"/>
      <c r="CC86" s="166"/>
      <c r="CD86" s="177"/>
      <c r="CE86" s="181"/>
      <c r="CF86" s="177"/>
      <c r="CG86" s="181"/>
      <c r="CH86" s="177"/>
      <c r="CI86" s="182"/>
      <c r="CJ86" s="177"/>
      <c r="CK86" s="182"/>
      <c r="CL86" s="178"/>
      <c r="CM86" s="182"/>
      <c r="CN86" s="177"/>
      <c r="CO86" s="182"/>
      <c r="CP86" s="177"/>
      <c r="CQ86" s="178"/>
      <c r="CR86" s="182"/>
      <c r="CS86" s="65"/>
      <c r="CT86" s="64"/>
      <c r="CU86" s="165" t="str">
        <f t="shared" si="2"/>
        <v>SHP</v>
      </c>
    </row>
    <row r="87" ht="60.0" customHeight="1">
      <c r="A87" s="65"/>
      <c r="B87" s="166"/>
      <c r="C87" s="167">
        <v>3.0</v>
      </c>
      <c r="D87" s="168" t="s">
        <v>175</v>
      </c>
      <c r="E87" s="169"/>
      <c r="F87" s="170"/>
      <c r="G87" s="170"/>
      <c r="H87" s="170"/>
      <c r="I87" s="170"/>
      <c r="J87" s="170"/>
      <c r="K87" s="171"/>
      <c r="L87" s="171"/>
      <c r="M87" s="171"/>
      <c r="N87" s="171"/>
      <c r="O87" s="172">
        <f t="shared" si="16"/>
        <v>0</v>
      </c>
      <c r="P87" s="166"/>
      <c r="Q87" s="173"/>
      <c r="R87" s="65"/>
      <c r="S87" s="173"/>
      <c r="T87" s="173"/>
      <c r="U87" s="166"/>
      <c r="V87" s="166"/>
      <c r="W87" s="65"/>
      <c r="X87" s="66"/>
      <c r="Y87" s="173"/>
      <c r="Z87" s="166"/>
      <c r="AA87" s="174"/>
      <c r="AB87" s="175"/>
      <c r="AC87" s="175"/>
      <c r="AD87" s="175"/>
      <c r="AE87" s="175"/>
      <c r="AF87" s="175"/>
      <c r="AG87" s="175"/>
      <c r="AH87" s="175"/>
      <c r="AI87" s="176"/>
      <c r="AJ87" s="177"/>
      <c r="AK87" s="178"/>
      <c r="AL87" s="178"/>
      <c r="AM87" s="178"/>
      <c r="AN87" s="178"/>
      <c r="AO87" s="179"/>
      <c r="AP87" s="64"/>
      <c r="AQ87" s="65"/>
      <c r="AR87" s="65"/>
      <c r="AS87" s="65"/>
      <c r="AT87" s="173"/>
      <c r="AU87" s="177"/>
      <c r="AV87" s="178"/>
      <c r="AW87" s="178"/>
      <c r="AX87" s="179"/>
      <c r="AZ87" s="166"/>
      <c r="BA87" s="177"/>
      <c r="BB87" s="178"/>
      <c r="BC87" s="178"/>
      <c r="BD87" s="178"/>
      <c r="BE87" s="178"/>
      <c r="BF87" s="178"/>
      <c r="BG87" s="178"/>
      <c r="BH87" s="178"/>
      <c r="BI87" s="179"/>
      <c r="BJ87" s="180"/>
      <c r="BK87" s="178"/>
      <c r="BL87" s="178"/>
      <c r="BM87" s="178"/>
      <c r="BN87" s="178"/>
      <c r="BO87" s="181"/>
      <c r="BP87" s="166"/>
      <c r="BQ87" s="177"/>
      <c r="BR87" s="178"/>
      <c r="BS87" s="179"/>
      <c r="BU87" s="166"/>
      <c r="BV87" s="166"/>
      <c r="BW87" s="166"/>
      <c r="BX87" s="166"/>
      <c r="BY87" s="166"/>
      <c r="BZ87" s="166"/>
      <c r="CA87" s="166"/>
      <c r="CB87" s="166"/>
      <c r="CC87" s="166"/>
      <c r="CD87" s="177"/>
      <c r="CE87" s="181"/>
      <c r="CF87" s="177"/>
      <c r="CG87" s="181"/>
      <c r="CH87" s="177"/>
      <c r="CI87" s="182"/>
      <c r="CJ87" s="177"/>
      <c r="CK87" s="182"/>
      <c r="CL87" s="178"/>
      <c r="CM87" s="182"/>
      <c r="CN87" s="177"/>
      <c r="CO87" s="182"/>
      <c r="CP87" s="177"/>
      <c r="CQ87" s="178"/>
      <c r="CR87" s="182"/>
      <c r="CS87" s="65"/>
      <c r="CT87" s="64"/>
      <c r="CU87" s="165" t="str">
        <f t="shared" si="2"/>
        <v>SHP</v>
      </c>
    </row>
    <row r="88" ht="60.0" customHeight="1">
      <c r="A88" s="65"/>
      <c r="B88" s="166"/>
      <c r="C88" s="167">
        <v>4.0</v>
      </c>
      <c r="D88" s="168" t="s">
        <v>175</v>
      </c>
      <c r="E88" s="169"/>
      <c r="F88" s="170"/>
      <c r="G88" s="170"/>
      <c r="H88" s="170"/>
      <c r="I88" s="170"/>
      <c r="J88" s="170"/>
      <c r="K88" s="171"/>
      <c r="L88" s="171"/>
      <c r="M88" s="171"/>
      <c r="N88" s="171"/>
      <c r="O88" s="172">
        <f t="shared" si="16"/>
        <v>0</v>
      </c>
      <c r="P88" s="166"/>
      <c r="Q88" s="173"/>
      <c r="R88" s="65"/>
      <c r="S88" s="173"/>
      <c r="T88" s="173"/>
      <c r="U88" s="166"/>
      <c r="V88" s="166"/>
      <c r="W88" s="65"/>
      <c r="X88" s="66"/>
      <c r="Y88" s="173"/>
      <c r="Z88" s="166"/>
      <c r="AA88" s="174"/>
      <c r="AB88" s="175"/>
      <c r="AC88" s="175"/>
      <c r="AD88" s="175"/>
      <c r="AE88" s="175"/>
      <c r="AF88" s="175"/>
      <c r="AG88" s="175"/>
      <c r="AH88" s="175"/>
      <c r="AI88" s="176"/>
      <c r="AJ88" s="177"/>
      <c r="AK88" s="178"/>
      <c r="AL88" s="178"/>
      <c r="AM88" s="178"/>
      <c r="AN88" s="178"/>
      <c r="AO88" s="179"/>
      <c r="AP88" s="64"/>
      <c r="AQ88" s="65"/>
      <c r="AR88" s="65"/>
      <c r="AS88" s="65"/>
      <c r="AT88" s="173"/>
      <c r="AU88" s="177"/>
      <c r="AV88" s="178"/>
      <c r="AW88" s="178"/>
      <c r="AX88" s="179"/>
      <c r="AZ88" s="166"/>
      <c r="BA88" s="177"/>
      <c r="BB88" s="178"/>
      <c r="BC88" s="178"/>
      <c r="BD88" s="178"/>
      <c r="BE88" s="178"/>
      <c r="BF88" s="178"/>
      <c r="BG88" s="178"/>
      <c r="BH88" s="178"/>
      <c r="BI88" s="179"/>
      <c r="BJ88" s="180"/>
      <c r="BK88" s="178"/>
      <c r="BL88" s="178"/>
      <c r="BM88" s="178"/>
      <c r="BN88" s="178"/>
      <c r="BO88" s="181"/>
      <c r="BP88" s="166"/>
      <c r="BQ88" s="177"/>
      <c r="BR88" s="178"/>
      <c r="BS88" s="179"/>
      <c r="BU88" s="166"/>
      <c r="BV88" s="166"/>
      <c r="BW88" s="166"/>
      <c r="BX88" s="166"/>
      <c r="BY88" s="166"/>
      <c r="BZ88" s="166"/>
      <c r="CA88" s="166"/>
      <c r="CB88" s="166"/>
      <c r="CC88" s="166"/>
      <c r="CD88" s="177"/>
      <c r="CE88" s="181"/>
      <c r="CF88" s="177"/>
      <c r="CG88" s="181"/>
      <c r="CH88" s="177"/>
      <c r="CI88" s="182"/>
      <c r="CJ88" s="177"/>
      <c r="CK88" s="182"/>
      <c r="CL88" s="178"/>
      <c r="CM88" s="182"/>
      <c r="CN88" s="177"/>
      <c r="CO88" s="182"/>
      <c r="CP88" s="177"/>
      <c r="CQ88" s="178"/>
      <c r="CR88" s="182"/>
      <c r="CS88" s="65"/>
      <c r="CT88" s="64"/>
      <c r="CU88" s="165" t="str">
        <f t="shared" si="2"/>
        <v>SHP</v>
      </c>
    </row>
    <row r="89" ht="60.0" customHeight="1">
      <c r="A89" s="65"/>
      <c r="B89" s="166"/>
      <c r="C89" s="167">
        <v>5.0</v>
      </c>
      <c r="D89" s="168" t="s">
        <v>175</v>
      </c>
      <c r="E89" s="169"/>
      <c r="F89" s="170"/>
      <c r="G89" s="170"/>
      <c r="H89" s="170"/>
      <c r="I89" s="170"/>
      <c r="J89" s="170"/>
      <c r="K89" s="171"/>
      <c r="L89" s="171"/>
      <c r="M89" s="171"/>
      <c r="N89" s="171"/>
      <c r="O89" s="172">
        <f t="shared" si="16"/>
        <v>0</v>
      </c>
      <c r="P89" s="166"/>
      <c r="Q89" s="173"/>
      <c r="R89" s="65"/>
      <c r="S89" s="173"/>
      <c r="T89" s="173"/>
      <c r="U89" s="166"/>
      <c r="V89" s="166"/>
      <c r="W89" s="65"/>
      <c r="X89" s="66"/>
      <c r="Y89" s="173"/>
      <c r="Z89" s="166"/>
      <c r="AA89" s="174"/>
      <c r="AB89" s="175"/>
      <c r="AC89" s="175"/>
      <c r="AD89" s="175"/>
      <c r="AE89" s="175"/>
      <c r="AF89" s="175"/>
      <c r="AG89" s="175"/>
      <c r="AH89" s="175"/>
      <c r="AI89" s="176"/>
      <c r="AJ89" s="177"/>
      <c r="AK89" s="178"/>
      <c r="AL89" s="178"/>
      <c r="AM89" s="178"/>
      <c r="AN89" s="178"/>
      <c r="AO89" s="179"/>
      <c r="AP89" s="64"/>
      <c r="AQ89" s="65"/>
      <c r="AR89" s="65"/>
      <c r="AS89" s="65"/>
      <c r="AT89" s="173"/>
      <c r="AU89" s="177"/>
      <c r="AV89" s="178"/>
      <c r="AW89" s="178"/>
      <c r="AX89" s="179"/>
      <c r="AZ89" s="166"/>
      <c r="BA89" s="177"/>
      <c r="BB89" s="178"/>
      <c r="BC89" s="178"/>
      <c r="BD89" s="178"/>
      <c r="BE89" s="178"/>
      <c r="BF89" s="178"/>
      <c r="BG89" s="178"/>
      <c r="BH89" s="178"/>
      <c r="BI89" s="179"/>
      <c r="BJ89" s="180"/>
      <c r="BK89" s="178"/>
      <c r="BL89" s="178"/>
      <c r="BM89" s="178"/>
      <c r="BN89" s="178"/>
      <c r="BO89" s="181"/>
      <c r="BP89" s="166"/>
      <c r="BQ89" s="177"/>
      <c r="BR89" s="178"/>
      <c r="BS89" s="179"/>
      <c r="BU89" s="166"/>
      <c r="BV89" s="166"/>
      <c r="BW89" s="166"/>
      <c r="BX89" s="166"/>
      <c r="BY89" s="166"/>
      <c r="BZ89" s="166"/>
      <c r="CA89" s="166"/>
      <c r="CB89" s="166"/>
      <c r="CC89" s="166"/>
      <c r="CD89" s="177"/>
      <c r="CE89" s="181"/>
      <c r="CF89" s="177"/>
      <c r="CG89" s="181"/>
      <c r="CH89" s="177"/>
      <c r="CI89" s="182"/>
      <c r="CJ89" s="177"/>
      <c r="CK89" s="182"/>
      <c r="CL89" s="178"/>
      <c r="CM89" s="182"/>
      <c r="CN89" s="177"/>
      <c r="CO89" s="182"/>
      <c r="CP89" s="177"/>
      <c r="CQ89" s="178"/>
      <c r="CR89" s="182"/>
      <c r="CS89" s="65"/>
      <c r="CT89" s="64"/>
      <c r="CU89" s="165" t="str">
        <f t="shared" si="2"/>
        <v>SHP</v>
      </c>
    </row>
    <row r="90" ht="60.0" customHeight="1">
      <c r="A90" s="65"/>
      <c r="B90" s="166"/>
      <c r="C90" s="167">
        <v>6.0</v>
      </c>
      <c r="D90" s="168" t="s">
        <v>175</v>
      </c>
      <c r="E90" s="169"/>
      <c r="F90" s="170"/>
      <c r="G90" s="170"/>
      <c r="H90" s="170"/>
      <c r="I90" s="170"/>
      <c r="J90" s="170"/>
      <c r="K90" s="171"/>
      <c r="L90" s="171"/>
      <c r="M90" s="171"/>
      <c r="N90" s="171"/>
      <c r="O90" s="172">
        <f t="shared" si="16"/>
        <v>0</v>
      </c>
      <c r="P90" s="166"/>
      <c r="Q90" s="173"/>
      <c r="R90" s="65"/>
      <c r="S90" s="173"/>
      <c r="T90" s="173"/>
      <c r="U90" s="166"/>
      <c r="V90" s="166"/>
      <c r="W90" s="65"/>
      <c r="X90" s="66"/>
      <c r="Y90" s="173"/>
      <c r="Z90" s="166"/>
      <c r="AA90" s="174"/>
      <c r="AB90" s="175"/>
      <c r="AC90" s="175"/>
      <c r="AD90" s="175"/>
      <c r="AE90" s="175"/>
      <c r="AF90" s="175"/>
      <c r="AG90" s="175"/>
      <c r="AH90" s="175"/>
      <c r="AI90" s="176"/>
      <c r="AJ90" s="177"/>
      <c r="AK90" s="178"/>
      <c r="AL90" s="178"/>
      <c r="AM90" s="178"/>
      <c r="AN90" s="178"/>
      <c r="AO90" s="179"/>
      <c r="AP90" s="64"/>
      <c r="AQ90" s="65"/>
      <c r="AR90" s="65"/>
      <c r="AS90" s="65"/>
      <c r="AT90" s="173"/>
      <c r="AU90" s="177"/>
      <c r="AV90" s="178"/>
      <c r="AW90" s="178"/>
      <c r="AX90" s="179"/>
      <c r="AZ90" s="166"/>
      <c r="BA90" s="177"/>
      <c r="BB90" s="178"/>
      <c r="BC90" s="178"/>
      <c r="BD90" s="178"/>
      <c r="BE90" s="178"/>
      <c r="BF90" s="178"/>
      <c r="BG90" s="178"/>
      <c r="BH90" s="178"/>
      <c r="BI90" s="179"/>
      <c r="BJ90" s="180"/>
      <c r="BK90" s="178"/>
      <c r="BL90" s="178"/>
      <c r="BM90" s="178"/>
      <c r="BN90" s="178"/>
      <c r="BO90" s="181"/>
      <c r="BP90" s="166"/>
      <c r="BQ90" s="177"/>
      <c r="BR90" s="178"/>
      <c r="BS90" s="179"/>
      <c r="BU90" s="166"/>
      <c r="BV90" s="166"/>
      <c r="BW90" s="166"/>
      <c r="BX90" s="166"/>
      <c r="BY90" s="166"/>
      <c r="BZ90" s="166"/>
      <c r="CA90" s="166"/>
      <c r="CB90" s="166"/>
      <c r="CC90" s="166"/>
      <c r="CD90" s="177"/>
      <c r="CE90" s="181"/>
      <c r="CF90" s="177"/>
      <c r="CG90" s="181"/>
      <c r="CH90" s="177"/>
      <c r="CI90" s="182"/>
      <c r="CJ90" s="177"/>
      <c r="CK90" s="182"/>
      <c r="CL90" s="178"/>
      <c r="CM90" s="182"/>
      <c r="CN90" s="177"/>
      <c r="CO90" s="182"/>
      <c r="CP90" s="177"/>
      <c r="CQ90" s="178"/>
      <c r="CR90" s="182"/>
      <c r="CS90" s="65"/>
      <c r="CT90" s="64"/>
      <c r="CU90" s="165" t="str">
        <f t="shared" si="2"/>
        <v>SHP</v>
      </c>
    </row>
    <row r="91" ht="60.0" customHeight="1">
      <c r="A91" s="65"/>
      <c r="B91" s="166"/>
      <c r="C91" s="167">
        <v>7.0</v>
      </c>
      <c r="D91" s="168" t="s">
        <v>175</v>
      </c>
      <c r="E91" s="169"/>
      <c r="F91" s="170"/>
      <c r="G91" s="170"/>
      <c r="H91" s="170"/>
      <c r="I91" s="170"/>
      <c r="J91" s="170"/>
      <c r="K91" s="171"/>
      <c r="L91" s="171"/>
      <c r="M91" s="171"/>
      <c r="N91" s="171"/>
      <c r="O91" s="172">
        <f t="shared" ref="O91:O94" si="17">IF(AND(M91&gt;=20,M91&lt;&gt;"m",RIGHT(K91,3)="Lec"),1,IF(AND(M91&gt;=20,M91&lt;&gt;"m",OR(RIGHT(K91,3)="Lab",RIGHT(K91,3)="Tut")),0.5,IF(AND(M91&gt;=20,M91&lt;&gt;"m",RIGHT(K91,2)="TL"),0.75,0)))</f>
        <v>0</v>
      </c>
      <c r="P91" s="166"/>
      <c r="Q91" s="173"/>
      <c r="R91" s="65"/>
      <c r="S91" s="173"/>
      <c r="T91" s="173"/>
      <c r="U91" s="166"/>
      <c r="V91" s="166"/>
      <c r="W91" s="65"/>
      <c r="X91" s="66"/>
      <c r="Y91" s="173"/>
      <c r="Z91" s="166"/>
      <c r="AA91" s="174"/>
      <c r="AB91" s="175"/>
      <c r="AC91" s="175"/>
      <c r="AD91" s="175"/>
      <c r="AE91" s="175"/>
      <c r="AF91" s="175"/>
      <c r="AG91" s="175"/>
      <c r="AH91" s="175"/>
      <c r="AI91" s="176"/>
      <c r="AJ91" s="177"/>
      <c r="AK91" s="178"/>
      <c r="AL91" s="178"/>
      <c r="AM91" s="178"/>
      <c r="AN91" s="178"/>
      <c r="AO91" s="179"/>
      <c r="AP91" s="64"/>
      <c r="AQ91" s="65"/>
      <c r="AR91" s="65"/>
      <c r="AS91" s="65"/>
      <c r="AT91" s="173"/>
      <c r="AU91" s="177"/>
      <c r="AV91" s="178"/>
      <c r="AW91" s="178"/>
      <c r="AX91" s="179"/>
      <c r="AZ91" s="166"/>
      <c r="BA91" s="177"/>
      <c r="BB91" s="178"/>
      <c r="BC91" s="178"/>
      <c r="BD91" s="178"/>
      <c r="BE91" s="178"/>
      <c r="BF91" s="178"/>
      <c r="BG91" s="178"/>
      <c r="BH91" s="178"/>
      <c r="BI91" s="179"/>
      <c r="BJ91" s="180"/>
      <c r="BK91" s="178"/>
      <c r="BL91" s="178"/>
      <c r="BM91" s="178"/>
      <c r="BN91" s="178"/>
      <c r="BO91" s="181"/>
      <c r="BP91" s="166"/>
      <c r="BQ91" s="177"/>
      <c r="BR91" s="178"/>
      <c r="BS91" s="179"/>
      <c r="BU91" s="166"/>
      <c r="BV91" s="166"/>
      <c r="BW91" s="166"/>
      <c r="BX91" s="166"/>
      <c r="BY91" s="166"/>
      <c r="BZ91" s="166"/>
      <c r="CA91" s="166"/>
      <c r="CB91" s="166"/>
      <c r="CC91" s="166"/>
      <c r="CD91" s="177"/>
      <c r="CE91" s="181"/>
      <c r="CF91" s="177"/>
      <c r="CG91" s="181"/>
      <c r="CH91" s="177"/>
      <c r="CI91" s="182"/>
      <c r="CJ91" s="177"/>
      <c r="CK91" s="182"/>
      <c r="CL91" s="178"/>
      <c r="CM91" s="182"/>
      <c r="CN91" s="177"/>
      <c r="CO91" s="182"/>
      <c r="CP91" s="177"/>
      <c r="CQ91" s="178"/>
      <c r="CR91" s="182"/>
      <c r="CS91" s="65"/>
      <c r="CT91" s="64"/>
      <c r="CU91" s="165" t="str">
        <f t="shared" si="2"/>
        <v>SHP</v>
      </c>
    </row>
    <row r="92" ht="60.0" customHeight="1">
      <c r="A92" s="65"/>
      <c r="B92" s="166"/>
      <c r="C92" s="167">
        <v>8.0</v>
      </c>
      <c r="D92" s="168" t="s">
        <v>175</v>
      </c>
      <c r="E92" s="169"/>
      <c r="F92" s="170"/>
      <c r="G92" s="170"/>
      <c r="H92" s="170"/>
      <c r="I92" s="170"/>
      <c r="J92" s="170"/>
      <c r="K92" s="171"/>
      <c r="L92" s="171"/>
      <c r="M92" s="171"/>
      <c r="N92" s="171"/>
      <c r="O92" s="172">
        <f t="shared" si="17"/>
        <v>0</v>
      </c>
      <c r="P92" s="166"/>
      <c r="Q92" s="173"/>
      <c r="R92" s="65"/>
      <c r="S92" s="173"/>
      <c r="T92" s="173"/>
      <c r="U92" s="166"/>
      <c r="V92" s="166"/>
      <c r="W92" s="65"/>
      <c r="X92" s="66"/>
      <c r="Y92" s="173"/>
      <c r="Z92" s="166"/>
      <c r="AA92" s="174"/>
      <c r="AB92" s="175"/>
      <c r="AC92" s="175"/>
      <c r="AD92" s="175"/>
      <c r="AE92" s="175"/>
      <c r="AF92" s="175"/>
      <c r="AG92" s="175"/>
      <c r="AH92" s="175"/>
      <c r="AI92" s="176"/>
      <c r="AJ92" s="177"/>
      <c r="AK92" s="178"/>
      <c r="AL92" s="178"/>
      <c r="AM92" s="178"/>
      <c r="AN92" s="178"/>
      <c r="AO92" s="179"/>
      <c r="AP92" s="64"/>
      <c r="AQ92" s="65"/>
      <c r="AR92" s="65"/>
      <c r="AS92" s="65"/>
      <c r="AT92" s="173"/>
      <c r="AU92" s="177"/>
      <c r="AV92" s="178"/>
      <c r="AW92" s="178"/>
      <c r="AX92" s="179"/>
      <c r="AZ92" s="166"/>
      <c r="BA92" s="177"/>
      <c r="BB92" s="178"/>
      <c r="BC92" s="178"/>
      <c r="BD92" s="178"/>
      <c r="BE92" s="178"/>
      <c r="BF92" s="178"/>
      <c r="BG92" s="178"/>
      <c r="BH92" s="178"/>
      <c r="BI92" s="179"/>
      <c r="BJ92" s="180"/>
      <c r="BK92" s="178"/>
      <c r="BL92" s="178"/>
      <c r="BM92" s="178"/>
      <c r="BN92" s="178"/>
      <c r="BO92" s="181"/>
      <c r="BP92" s="166"/>
      <c r="BQ92" s="177"/>
      <c r="BR92" s="178"/>
      <c r="BS92" s="179"/>
      <c r="BU92" s="166"/>
      <c r="BV92" s="166"/>
      <c r="BW92" s="166"/>
      <c r="BX92" s="166"/>
      <c r="BY92" s="166"/>
      <c r="BZ92" s="166"/>
      <c r="CA92" s="166"/>
      <c r="CB92" s="166"/>
      <c r="CC92" s="166"/>
      <c r="CD92" s="177"/>
      <c r="CE92" s="181"/>
      <c r="CF92" s="177"/>
      <c r="CG92" s="181"/>
      <c r="CH92" s="177"/>
      <c r="CI92" s="182"/>
      <c r="CJ92" s="177"/>
      <c r="CK92" s="182"/>
      <c r="CL92" s="178"/>
      <c r="CM92" s="182"/>
      <c r="CN92" s="177"/>
      <c r="CO92" s="182"/>
      <c r="CP92" s="177"/>
      <c r="CQ92" s="178"/>
      <c r="CR92" s="182"/>
      <c r="CS92" s="65"/>
      <c r="CT92" s="64"/>
      <c r="CU92" s="165" t="str">
        <f t="shared" si="2"/>
        <v>SHP</v>
      </c>
    </row>
    <row r="93" ht="60.0" customHeight="1">
      <c r="A93" s="65"/>
      <c r="B93" s="166"/>
      <c r="C93" s="167">
        <v>9.0</v>
      </c>
      <c r="D93" s="168" t="s">
        <v>175</v>
      </c>
      <c r="E93" s="169"/>
      <c r="F93" s="170"/>
      <c r="G93" s="170"/>
      <c r="H93" s="170"/>
      <c r="I93" s="170"/>
      <c r="J93" s="170"/>
      <c r="K93" s="171"/>
      <c r="L93" s="171"/>
      <c r="M93" s="171"/>
      <c r="N93" s="171"/>
      <c r="O93" s="172">
        <f t="shared" si="17"/>
        <v>0</v>
      </c>
      <c r="P93" s="166"/>
      <c r="Q93" s="173"/>
      <c r="R93" s="65"/>
      <c r="S93" s="173"/>
      <c r="T93" s="173"/>
      <c r="U93" s="166"/>
      <c r="V93" s="166"/>
      <c r="W93" s="65"/>
      <c r="X93" s="66"/>
      <c r="Y93" s="173"/>
      <c r="Z93" s="166"/>
      <c r="AA93" s="174"/>
      <c r="AB93" s="175"/>
      <c r="AC93" s="175"/>
      <c r="AD93" s="175"/>
      <c r="AE93" s="175"/>
      <c r="AF93" s="175"/>
      <c r="AG93" s="175"/>
      <c r="AH93" s="175"/>
      <c r="AI93" s="176"/>
      <c r="AJ93" s="177"/>
      <c r="AK93" s="178"/>
      <c r="AL93" s="178"/>
      <c r="AM93" s="178"/>
      <c r="AN93" s="178"/>
      <c r="AO93" s="179"/>
      <c r="AP93" s="64"/>
      <c r="AQ93" s="65"/>
      <c r="AR93" s="65"/>
      <c r="AS93" s="65"/>
      <c r="AT93" s="173"/>
      <c r="AU93" s="177"/>
      <c r="AV93" s="178"/>
      <c r="AW93" s="178"/>
      <c r="AX93" s="179"/>
      <c r="AZ93" s="166"/>
      <c r="BA93" s="177"/>
      <c r="BB93" s="178"/>
      <c r="BC93" s="178"/>
      <c r="BD93" s="178"/>
      <c r="BE93" s="178"/>
      <c r="BF93" s="178"/>
      <c r="BG93" s="178"/>
      <c r="BH93" s="178"/>
      <c r="BI93" s="179"/>
      <c r="BJ93" s="180"/>
      <c r="BK93" s="178"/>
      <c r="BL93" s="178"/>
      <c r="BM93" s="178"/>
      <c r="BN93" s="178"/>
      <c r="BO93" s="181"/>
      <c r="BP93" s="166"/>
      <c r="BQ93" s="177"/>
      <c r="BR93" s="178"/>
      <c r="BS93" s="179"/>
      <c r="BU93" s="166"/>
      <c r="BV93" s="166"/>
      <c r="BW93" s="166"/>
      <c r="BX93" s="166"/>
      <c r="BY93" s="166"/>
      <c r="BZ93" s="166"/>
      <c r="CA93" s="166"/>
      <c r="CB93" s="166"/>
      <c r="CC93" s="166"/>
      <c r="CD93" s="177"/>
      <c r="CE93" s="181"/>
      <c r="CF93" s="177"/>
      <c r="CG93" s="181"/>
      <c r="CH93" s="177"/>
      <c r="CI93" s="182"/>
      <c r="CJ93" s="177"/>
      <c r="CK93" s="182"/>
      <c r="CL93" s="178"/>
      <c r="CM93" s="182"/>
      <c r="CN93" s="177"/>
      <c r="CO93" s="182"/>
      <c r="CP93" s="177"/>
      <c r="CQ93" s="178"/>
      <c r="CR93" s="182"/>
      <c r="CS93" s="65"/>
      <c r="CT93" s="64"/>
      <c r="CU93" s="165" t="str">
        <f t="shared" si="2"/>
        <v>SHP</v>
      </c>
    </row>
    <row r="94" ht="60.0" customHeight="1">
      <c r="A94" s="65"/>
      <c r="B94" s="166"/>
      <c r="C94" s="167">
        <v>10.0</v>
      </c>
      <c r="D94" s="168" t="s">
        <v>175</v>
      </c>
      <c r="E94" s="169"/>
      <c r="F94" s="170"/>
      <c r="G94" s="170"/>
      <c r="H94" s="170"/>
      <c r="I94" s="170"/>
      <c r="J94" s="170"/>
      <c r="K94" s="171"/>
      <c r="L94" s="171"/>
      <c r="M94" s="171"/>
      <c r="N94" s="171"/>
      <c r="O94" s="172">
        <f t="shared" si="17"/>
        <v>0</v>
      </c>
      <c r="P94" s="166"/>
      <c r="Q94" s="173"/>
      <c r="R94" s="65"/>
      <c r="S94" s="173"/>
      <c r="T94" s="173"/>
      <c r="U94" s="166"/>
      <c r="V94" s="166"/>
      <c r="W94" s="65"/>
      <c r="X94" s="66"/>
      <c r="Y94" s="173"/>
      <c r="Z94" s="166"/>
      <c r="AA94" s="174"/>
      <c r="AB94" s="175"/>
      <c r="AC94" s="175"/>
      <c r="AD94" s="175"/>
      <c r="AE94" s="175"/>
      <c r="AF94" s="175"/>
      <c r="AG94" s="175"/>
      <c r="AH94" s="175"/>
      <c r="AI94" s="176"/>
      <c r="AJ94" s="177"/>
      <c r="AK94" s="178"/>
      <c r="AL94" s="178"/>
      <c r="AM94" s="178"/>
      <c r="AN94" s="178"/>
      <c r="AO94" s="179"/>
      <c r="AP94" s="64"/>
      <c r="AQ94" s="65"/>
      <c r="AR94" s="65"/>
      <c r="AS94" s="65"/>
      <c r="AT94" s="173"/>
      <c r="AU94" s="177"/>
      <c r="AV94" s="178"/>
      <c r="AW94" s="178"/>
      <c r="AX94" s="179"/>
      <c r="AZ94" s="166"/>
      <c r="BA94" s="177"/>
      <c r="BB94" s="178"/>
      <c r="BC94" s="178"/>
      <c r="BD94" s="178"/>
      <c r="BE94" s="178"/>
      <c r="BF94" s="178"/>
      <c r="BG94" s="178"/>
      <c r="BH94" s="178"/>
      <c r="BI94" s="179"/>
      <c r="BJ94" s="180"/>
      <c r="BK94" s="178"/>
      <c r="BL94" s="178"/>
      <c r="BM94" s="178"/>
      <c r="BN94" s="178"/>
      <c r="BO94" s="181"/>
      <c r="BP94" s="166"/>
      <c r="BQ94" s="177"/>
      <c r="BR94" s="178"/>
      <c r="BS94" s="179"/>
      <c r="BU94" s="166"/>
      <c r="BV94" s="166"/>
      <c r="BW94" s="166"/>
      <c r="BX94" s="166"/>
      <c r="BY94" s="166"/>
      <c r="BZ94" s="166"/>
      <c r="CA94" s="166"/>
      <c r="CB94" s="166"/>
      <c r="CC94" s="166"/>
      <c r="CD94" s="177"/>
      <c r="CE94" s="181"/>
      <c r="CF94" s="177"/>
      <c r="CG94" s="181"/>
      <c r="CH94" s="177"/>
      <c r="CI94" s="182"/>
      <c r="CJ94" s="177"/>
      <c r="CK94" s="182"/>
      <c r="CL94" s="178"/>
      <c r="CM94" s="182"/>
      <c r="CN94" s="177"/>
      <c r="CO94" s="182"/>
      <c r="CP94" s="177"/>
      <c r="CQ94" s="178"/>
      <c r="CR94" s="182"/>
      <c r="CS94" s="65"/>
      <c r="CT94" s="64"/>
      <c r="CU94" s="165" t="str">
        <f t="shared" si="2"/>
        <v>SHP</v>
      </c>
    </row>
    <row r="95" ht="60.0" customHeight="1">
      <c r="A95" s="89"/>
      <c r="B95" s="63"/>
      <c r="C95" s="183">
        <v>11.0</v>
      </c>
      <c r="D95" s="184" t="s">
        <v>175</v>
      </c>
      <c r="E95" s="185"/>
      <c r="F95" s="186"/>
      <c r="G95" s="186"/>
      <c r="H95" s="186"/>
      <c r="I95" s="186"/>
      <c r="J95" s="186"/>
      <c r="K95" s="187"/>
      <c r="L95" s="187"/>
      <c r="M95" s="187"/>
      <c r="N95" s="187"/>
      <c r="O95" s="188">
        <f t="shared" ref="O95:O101" si="18">IF(AND(M95&lt;&gt;0,M95&lt;&gt;"m",M95&lt;&gt;"",RIGHT(K95,3)="Lec"),1,IF(AND(M95&lt;&gt;0,M95&lt;&gt;"m",M95&lt;&gt;"",OR(RIGHT(K95,3)="Lab",RIGHT(K95,3)="Tut")),0.5,IF(AND(M95&lt;&gt;0,M95&lt;&gt;"m",M95&lt;&gt;"",RIGHT(K95,2)="TL"),0.75,0)))</f>
        <v>0</v>
      </c>
      <c r="P95" s="63"/>
      <c r="Q95" s="69"/>
      <c r="R95" s="89"/>
      <c r="S95" s="69"/>
      <c r="T95" s="69"/>
      <c r="U95" s="63"/>
      <c r="V95" s="63"/>
      <c r="W95" s="89"/>
      <c r="X95" s="68"/>
      <c r="Y95" s="69"/>
      <c r="Z95" s="63"/>
      <c r="AA95" s="189"/>
      <c r="AB95" s="190"/>
      <c r="AC95" s="190"/>
      <c r="AD95" s="190"/>
      <c r="AE95" s="190"/>
      <c r="AF95" s="190"/>
      <c r="AG95" s="190"/>
      <c r="AH95" s="190"/>
      <c r="AI95" s="191"/>
      <c r="AJ95" s="192"/>
      <c r="AK95" s="193"/>
      <c r="AL95" s="193"/>
      <c r="AM95" s="193"/>
      <c r="AN95" s="193"/>
      <c r="AO95" s="194"/>
      <c r="AP95" s="103"/>
      <c r="AQ95" s="89"/>
      <c r="AR95" s="89"/>
      <c r="AS95" s="89"/>
      <c r="AT95" s="69"/>
      <c r="AU95" s="192"/>
      <c r="AV95" s="193"/>
      <c r="AW95" s="193"/>
      <c r="AX95" s="194"/>
      <c r="AY95" s="6"/>
      <c r="AZ95" s="63"/>
      <c r="BA95" s="192"/>
      <c r="BB95" s="193"/>
      <c r="BC95" s="193"/>
      <c r="BD95" s="193"/>
      <c r="BE95" s="193"/>
      <c r="BF95" s="193"/>
      <c r="BG95" s="193"/>
      <c r="BH95" s="193"/>
      <c r="BI95" s="194"/>
      <c r="BJ95" s="195"/>
      <c r="BK95" s="193"/>
      <c r="BL95" s="193"/>
      <c r="BM95" s="193"/>
      <c r="BN95" s="193"/>
      <c r="BO95" s="196"/>
      <c r="BP95" s="63"/>
      <c r="BQ95" s="192"/>
      <c r="BR95" s="193"/>
      <c r="BS95" s="194"/>
      <c r="BT95" s="6"/>
      <c r="BU95" s="63"/>
      <c r="BV95" s="63"/>
      <c r="BW95" s="63"/>
      <c r="BX95" s="63"/>
      <c r="BY95" s="63"/>
      <c r="BZ95" s="63"/>
      <c r="CA95" s="63"/>
      <c r="CB95" s="63"/>
      <c r="CC95" s="63"/>
      <c r="CD95" s="192"/>
      <c r="CE95" s="196"/>
      <c r="CF95" s="192"/>
      <c r="CG95" s="196"/>
      <c r="CH95" s="192"/>
      <c r="CI95" s="197"/>
      <c r="CJ95" s="192"/>
      <c r="CK95" s="197"/>
      <c r="CL95" s="198"/>
      <c r="CM95" s="197"/>
      <c r="CN95" s="192"/>
      <c r="CO95" s="197"/>
      <c r="CP95" s="192"/>
      <c r="CQ95" s="193"/>
      <c r="CR95" s="197"/>
      <c r="CS95" s="89"/>
      <c r="CT95" s="103"/>
      <c r="CU95" s="165" t="str">
        <f t="shared" si="2"/>
        <v>SHP</v>
      </c>
    </row>
    <row r="96" ht="55.5" customHeight="1">
      <c r="A96" s="125">
        <v>9.0</v>
      </c>
      <c r="B96" s="126" t="s">
        <v>179</v>
      </c>
      <c r="C96" s="127">
        <v>1.0</v>
      </c>
      <c r="D96" s="128" t="s">
        <v>180</v>
      </c>
      <c r="E96" s="129"/>
      <c r="F96" s="130"/>
      <c r="G96" s="130"/>
      <c r="H96" s="130"/>
      <c r="I96" s="130"/>
      <c r="J96" s="130"/>
      <c r="K96" s="131"/>
      <c r="L96" s="131"/>
      <c r="M96" s="131"/>
      <c r="N96" s="131"/>
      <c r="O96" s="132">
        <f t="shared" si="18"/>
        <v>0</v>
      </c>
      <c r="P96" s="133">
        <f>COUNTIF(K96:K106,"TL")*0.75+COUNTIF(K96:K106,"Lec")*1+COUNTIF(K96:K106,"Lab")*0.5</f>
        <v>0</v>
      </c>
      <c r="Q96" s="134">
        <f>SUM((IF(LEFT(K96,1)="E",O96,0)),(IF(LEFT(K97,1)="E",O97,0)),(IF(LEFT(K98,1)="E",O98,0)),(IF(LEFT(K99,1)="E",O99,0)),(IF(LEFT(K100,1)="E",O100,0)),(IF(LEFT(K101,1)="E",O101,0)),(IF(LEFT(K102,1)="E",O102,0)),(IF(LEFT(K103,1)="E",O103,0)),(IF(LEFT(K104,1)="E",O104,0)),(IF(LEFT(K105,1)="E",O105,0)),(IF(LEFT(K106,1)="E",O106,0)))</f>
        <v>0</v>
      </c>
      <c r="R96" s="135">
        <f>SUM(IF(M102&lt;20,IF(K102="Plec",-1,IF(K102="PTL",-0.75,IF(K102="Plab",-0.5,0))),0),IF(M103&lt;20,IF(K103="Plec",-1,IF(K103="PTL",-0.75,IF(K103="Plab",-0.5,0))),0),IF(M104&lt;20,IF(K104="Plec",-1,IF(K104="PTL",-0.75,IF(K104="Plab",-0.5,0))),0),IF(M105&lt;20,IF(K105="Plec",-1,IF(K105="PTL",-0.75,IF(K105="Plab",-0.5,0))),0))</f>
        <v>0</v>
      </c>
      <c r="S96" s="134">
        <f>SUM(P96:R106)</f>
        <v>0</v>
      </c>
      <c r="T96" s="136">
        <f>SUM(IF(M96="M",IF(OR(K96="lec",K96="plec",K96="slec"),1,IF(OR(K96="lab",K96="plab",K96="slab",K96="tut",K96="ptut",K96="stut"),0.5,IF(OR(K96="TL",K96="pTL",K96="STL"),0.75,0))),0),IF(M97="M",IF(OR(K97="lec",K97="plec",K97="slec"),1,IF(OR(K97="lab",K97="plab",K97="slab",K97="tut",K97="ptut",K97="stut"),0.5,IF(OR(K97="TL",K97="pTL",K97="STL"),0.75,0))),0),IF(M98="M",IF(OR(K98="lec",K98="plec",K98="slec"),1,IF(OR(K98="lab",K98="plab",K98="slab",K98="tut",K98="ptut",K98="stut"),0.5,IF(OR(K98="TL",K98="pTL",K98="STL"),0.75,0))),0),IF(M99="M",IF(OR(K99="lec",K99="plec",K99="slec"),1,IF(OR(K99="lab",K99="plab",K99="slab",K99="tut",K99="ptut",K99="stut"),0.5,IF(OR(K99="TL",K99="pTL",K99="STL"),0.75,0))),0),IF(M100="M",IF(OR(K100="lec",K100="plec",K100="slec"),1,IF(OR(K100="lab",K100="plab",K100="slab",K100="tut",K100="ptut",K100="stut"),0.5,IF(OR(K100="TL",K100="pTL",K100="STL"),0.75,0))),0),IF(M101="M",IF(OR(K101="lec",K101="plec",K101="slec"),1,IF(OR(K101="lab",K101="plab",K101="slab",K101="tut",K101="ptut",K101="stut"),0.5,IF(OR(K101="TL",K101="pTL",K101="STL"),0.75,0))),0),IF(M102="M",IF(OR(K102="lec",K102="plec",K102="slec"),1,IF(OR(K102="lab",K102="plab",K102="slab",K102="tut",K102="ptut",K102="stut"),0.5,IF(OR(K102="TL",K102="pTL",K102="STL"),0.75,0))),0),IF(M103="M",IF(OR(K103="lec",K103="plec",K103="slec"),1,IF(OR(K103="lab",K103="plab",K103="slab",K103="tut",K103="ptut",K103="stut"),0.5,IF(OR(K103="TL",K103="pTL",K103="STL"),0.75,0))),0),IF(M104="M",IF(OR(K104="lec",K104="plec",K104="slec"),1,IF(OR(K104="lab",K104="plab",K104="slab",K104="tut",K104="ptut",K104="stut"),0.5,IF(OR(K104="TL",K104="pTL",K104="STL"),0.75,0))),0),IF(M105="M",IF(OR(K105="lec",K105="plec",K105="slec"),1,IF(OR(K105="lab",K105="plab",K105="slab",K105="tut",K105="ptut",K105="stut"),0.5,IF(OR(K105="TL",K105="pTL",K105="STL"),0.75,0))),0),IF(M106="M",IF(OR(K106="lec",K106="plec",K106="slec"),1,IF(OR(K106="lab",K106="plab",K106="slab",K106="tut",K106="ptut",K106="stut"),0.5,IF(OR(K106="TL",K106="pTL",K106="STL"),0.75,0))),0))</f>
        <v>0</v>
      </c>
      <c r="U96" s="137"/>
      <c r="V96" s="133"/>
      <c r="W96" s="138"/>
      <c r="X96" s="139">
        <f>S96-(T96+U96+V96+W96)</f>
        <v>0</v>
      </c>
      <c r="Y96" s="134" t="str">
        <f>CONCATENATE(SUM(O96:O106),"(",SUM(O96:O106)-X96,")")</f>
        <v>0(0)</v>
      </c>
      <c r="Z96" s="140"/>
      <c r="AA96" s="141"/>
      <c r="AB96" s="142"/>
      <c r="AC96" s="142"/>
      <c r="AD96" s="142"/>
      <c r="AE96" s="142"/>
      <c r="AF96" s="142"/>
      <c r="AG96" s="142"/>
      <c r="AH96" s="142"/>
      <c r="AI96" s="143"/>
      <c r="AJ96" s="144"/>
      <c r="AK96" s="145"/>
      <c r="AL96" s="145"/>
      <c r="AM96" s="145"/>
      <c r="AN96" s="145"/>
      <c r="AO96" s="146"/>
      <c r="AP96" s="147">
        <f>SUM(SUM(O96:O106),SUM(AI96:AI106)/2,AM96)</f>
        <v>0</v>
      </c>
      <c r="AQ96" s="148"/>
      <c r="AR96" s="148">
        <f>AP96*AQ96</f>
        <v>0</v>
      </c>
      <c r="AS96" s="148">
        <f>CT96</f>
        <v>5.1</v>
      </c>
      <c r="AT96" s="149">
        <f>AR96*0.75+AS96*0.25</f>
        <v>1.275</v>
      </c>
      <c r="AU96" s="150"/>
      <c r="AV96" s="151"/>
      <c r="AW96" s="151"/>
      <c r="AX96" s="152"/>
      <c r="AY96" s="153"/>
      <c r="AZ96" s="140"/>
      <c r="BA96" s="150">
        <v>1.0</v>
      </c>
      <c r="BB96" s="151" t="s">
        <v>148</v>
      </c>
      <c r="BC96" s="151">
        <v>4.0</v>
      </c>
      <c r="BD96" s="151" t="s">
        <v>181</v>
      </c>
      <c r="BE96" s="151" t="s">
        <v>150</v>
      </c>
      <c r="BF96" s="151"/>
      <c r="BG96" s="151">
        <v>1.0</v>
      </c>
      <c r="BH96" s="151"/>
      <c r="BI96" s="152"/>
      <c r="BJ96" s="154">
        <v>4.0</v>
      </c>
      <c r="BK96" s="151"/>
      <c r="BL96" s="151"/>
      <c r="BM96" s="151"/>
      <c r="BN96" s="151"/>
      <c r="BO96" s="155"/>
      <c r="BP96" s="140"/>
      <c r="BQ96" s="156" t="s">
        <v>182</v>
      </c>
      <c r="BR96" s="157">
        <v>2.0</v>
      </c>
      <c r="BS96" s="158">
        <v>0.0</v>
      </c>
      <c r="BT96" s="153"/>
      <c r="BU96" s="140"/>
      <c r="BV96" s="140"/>
      <c r="BW96" s="140"/>
      <c r="BX96" s="140"/>
      <c r="BY96" s="140"/>
      <c r="BZ96" s="140"/>
      <c r="CA96" s="140"/>
      <c r="CB96" s="140"/>
      <c r="CC96" s="140"/>
      <c r="CD96" s="150"/>
      <c r="CE96" s="155"/>
      <c r="CF96" s="150" t="s">
        <v>183</v>
      </c>
      <c r="CG96" s="155"/>
      <c r="CH96" s="159"/>
      <c r="CI96" s="160"/>
      <c r="CJ96" s="159"/>
      <c r="CK96" s="160"/>
      <c r="CL96" s="161"/>
      <c r="CM96" s="160"/>
      <c r="CN96" s="159"/>
      <c r="CO96" s="160"/>
      <c r="CP96" s="159"/>
      <c r="CQ96" s="162"/>
      <c r="CR96" s="160"/>
      <c r="CS96" s="163">
        <f>SUM(IF(AU96&lt;0,ABS(AU96),0),IF(AZ96&lt;0,ABS(AZ96),0),ABS(CI96),ABS(CK96),ABS(CM96),ABS(CO96),ABS(CQ96),ABS(CR96))</f>
        <v>0</v>
      </c>
      <c r="CT96" s="164">
        <f>SUM(AU96,AV96,AW96,AX96/400,AY96,AZ96,BG96,BH96*0.5,BI96*0.25,BJ96,BK96,BL96,BM96,BN96,BO96,BP96,BR96/20,BS96/100,BT96/60,BU96,BV96,BW96,BX96/4,SUM(BY96:CC106)/3,CE96,CG96/3,CI96,CK96,CM96,CO96,CQ96,CR96)</f>
        <v>5.1</v>
      </c>
      <c r="CU96" s="165" t="str">
        <f t="shared" si="2"/>
        <v>ZMP</v>
      </c>
    </row>
    <row r="97" ht="60.0" customHeight="1">
      <c r="A97" s="65"/>
      <c r="B97" s="166"/>
      <c r="C97" s="167">
        <v>2.0</v>
      </c>
      <c r="D97" s="168" t="s">
        <v>180</v>
      </c>
      <c r="E97" s="169"/>
      <c r="F97" s="170"/>
      <c r="G97" s="170"/>
      <c r="H97" s="170"/>
      <c r="I97" s="170"/>
      <c r="J97" s="170"/>
      <c r="K97" s="171"/>
      <c r="L97" s="171"/>
      <c r="M97" s="171"/>
      <c r="N97" s="171"/>
      <c r="O97" s="172">
        <f t="shared" si="18"/>
        <v>0</v>
      </c>
      <c r="P97" s="166"/>
      <c r="Q97" s="173"/>
      <c r="R97" s="65"/>
      <c r="S97" s="173"/>
      <c r="T97" s="173"/>
      <c r="U97" s="166"/>
      <c r="V97" s="166"/>
      <c r="W97" s="65"/>
      <c r="X97" s="66"/>
      <c r="Y97" s="173"/>
      <c r="Z97" s="166"/>
      <c r="AA97" s="174"/>
      <c r="AB97" s="175"/>
      <c r="AC97" s="175"/>
      <c r="AD97" s="175"/>
      <c r="AE97" s="175"/>
      <c r="AF97" s="175"/>
      <c r="AG97" s="175"/>
      <c r="AH97" s="175"/>
      <c r="AI97" s="176"/>
      <c r="AJ97" s="177"/>
      <c r="AK97" s="178"/>
      <c r="AL97" s="178"/>
      <c r="AM97" s="178"/>
      <c r="AN97" s="178"/>
      <c r="AO97" s="179"/>
      <c r="AP97" s="64"/>
      <c r="AQ97" s="65"/>
      <c r="AR97" s="65"/>
      <c r="AS97" s="65"/>
      <c r="AT97" s="173"/>
      <c r="AU97" s="177"/>
      <c r="AV97" s="178"/>
      <c r="AW97" s="178"/>
      <c r="AX97" s="179"/>
      <c r="AZ97" s="166"/>
      <c r="BA97" s="177"/>
      <c r="BB97" s="178"/>
      <c r="BC97" s="178"/>
      <c r="BD97" s="178"/>
      <c r="BE97" s="178"/>
      <c r="BF97" s="178"/>
      <c r="BG97" s="178"/>
      <c r="BH97" s="178"/>
      <c r="BI97" s="179"/>
      <c r="BJ97" s="180"/>
      <c r="BK97" s="178"/>
      <c r="BL97" s="178"/>
      <c r="BM97" s="178"/>
      <c r="BN97" s="178"/>
      <c r="BO97" s="181"/>
      <c r="BP97" s="166"/>
      <c r="BQ97" s="177"/>
      <c r="BR97" s="178"/>
      <c r="BS97" s="179"/>
      <c r="BU97" s="166"/>
      <c r="BV97" s="166"/>
      <c r="BW97" s="166"/>
      <c r="BX97" s="166"/>
      <c r="BY97" s="166"/>
      <c r="BZ97" s="166"/>
      <c r="CA97" s="166"/>
      <c r="CB97" s="166"/>
      <c r="CC97" s="166"/>
      <c r="CD97" s="177"/>
      <c r="CE97" s="181"/>
      <c r="CF97" s="177"/>
      <c r="CG97" s="181"/>
      <c r="CH97" s="177"/>
      <c r="CI97" s="182"/>
      <c r="CJ97" s="177"/>
      <c r="CK97" s="182"/>
      <c r="CL97" s="178"/>
      <c r="CM97" s="182"/>
      <c r="CN97" s="177"/>
      <c r="CO97" s="182"/>
      <c r="CP97" s="177"/>
      <c r="CQ97" s="178"/>
      <c r="CR97" s="182"/>
      <c r="CS97" s="65"/>
      <c r="CT97" s="64"/>
      <c r="CU97" s="165" t="str">
        <f t="shared" si="2"/>
        <v>ZMP</v>
      </c>
    </row>
    <row r="98" ht="60.0" customHeight="1">
      <c r="A98" s="65"/>
      <c r="B98" s="166"/>
      <c r="C98" s="167">
        <v>3.0</v>
      </c>
      <c r="D98" s="168" t="s">
        <v>180</v>
      </c>
      <c r="E98" s="169"/>
      <c r="F98" s="170"/>
      <c r="G98" s="170"/>
      <c r="H98" s="170"/>
      <c r="I98" s="170"/>
      <c r="J98" s="170"/>
      <c r="K98" s="171"/>
      <c r="L98" s="171"/>
      <c r="M98" s="171"/>
      <c r="N98" s="171"/>
      <c r="O98" s="172">
        <f t="shared" si="18"/>
        <v>0</v>
      </c>
      <c r="P98" s="166"/>
      <c r="Q98" s="173"/>
      <c r="R98" s="65"/>
      <c r="S98" s="173"/>
      <c r="T98" s="173"/>
      <c r="U98" s="166"/>
      <c r="V98" s="166"/>
      <c r="W98" s="65"/>
      <c r="X98" s="66"/>
      <c r="Y98" s="173"/>
      <c r="Z98" s="166"/>
      <c r="AA98" s="174"/>
      <c r="AB98" s="175"/>
      <c r="AC98" s="175"/>
      <c r="AD98" s="175"/>
      <c r="AE98" s="175"/>
      <c r="AF98" s="175"/>
      <c r="AG98" s="175"/>
      <c r="AH98" s="175"/>
      <c r="AI98" s="176"/>
      <c r="AJ98" s="177"/>
      <c r="AK98" s="178"/>
      <c r="AL98" s="178"/>
      <c r="AM98" s="178"/>
      <c r="AN98" s="178"/>
      <c r="AO98" s="179"/>
      <c r="AP98" s="64"/>
      <c r="AQ98" s="65"/>
      <c r="AR98" s="65"/>
      <c r="AS98" s="65"/>
      <c r="AT98" s="173"/>
      <c r="AU98" s="177"/>
      <c r="AV98" s="178"/>
      <c r="AW98" s="178"/>
      <c r="AX98" s="179"/>
      <c r="AZ98" s="166"/>
      <c r="BA98" s="177"/>
      <c r="BB98" s="178"/>
      <c r="BC98" s="178"/>
      <c r="BD98" s="178"/>
      <c r="BE98" s="178"/>
      <c r="BF98" s="178"/>
      <c r="BG98" s="178"/>
      <c r="BH98" s="178"/>
      <c r="BI98" s="179"/>
      <c r="BJ98" s="180"/>
      <c r="BK98" s="178"/>
      <c r="BL98" s="178"/>
      <c r="BM98" s="178"/>
      <c r="BN98" s="178"/>
      <c r="BO98" s="181"/>
      <c r="BP98" s="166"/>
      <c r="BQ98" s="177"/>
      <c r="BR98" s="178"/>
      <c r="BS98" s="179"/>
      <c r="BU98" s="166"/>
      <c r="BV98" s="166"/>
      <c r="BW98" s="166"/>
      <c r="BX98" s="166"/>
      <c r="BY98" s="166"/>
      <c r="BZ98" s="166"/>
      <c r="CA98" s="166"/>
      <c r="CB98" s="166"/>
      <c r="CC98" s="166"/>
      <c r="CD98" s="177"/>
      <c r="CE98" s="181"/>
      <c r="CF98" s="177"/>
      <c r="CG98" s="181"/>
      <c r="CH98" s="177"/>
      <c r="CI98" s="182"/>
      <c r="CJ98" s="177"/>
      <c r="CK98" s="182"/>
      <c r="CL98" s="178"/>
      <c r="CM98" s="182"/>
      <c r="CN98" s="177"/>
      <c r="CO98" s="182"/>
      <c r="CP98" s="177"/>
      <c r="CQ98" s="178"/>
      <c r="CR98" s="182"/>
      <c r="CS98" s="65"/>
      <c r="CT98" s="64"/>
      <c r="CU98" s="165" t="str">
        <f t="shared" si="2"/>
        <v>ZMP</v>
      </c>
    </row>
    <row r="99" ht="60.0" customHeight="1">
      <c r="A99" s="65"/>
      <c r="B99" s="166"/>
      <c r="C99" s="167">
        <v>4.0</v>
      </c>
      <c r="D99" s="168" t="s">
        <v>180</v>
      </c>
      <c r="E99" s="169"/>
      <c r="F99" s="170"/>
      <c r="G99" s="170"/>
      <c r="H99" s="170"/>
      <c r="I99" s="170"/>
      <c r="J99" s="170"/>
      <c r="K99" s="171"/>
      <c r="L99" s="171"/>
      <c r="M99" s="171"/>
      <c r="N99" s="171"/>
      <c r="O99" s="172">
        <f t="shared" si="18"/>
        <v>0</v>
      </c>
      <c r="P99" s="166"/>
      <c r="Q99" s="173"/>
      <c r="R99" s="65"/>
      <c r="S99" s="173"/>
      <c r="T99" s="173"/>
      <c r="U99" s="166"/>
      <c r="V99" s="166"/>
      <c r="W99" s="65"/>
      <c r="X99" s="66"/>
      <c r="Y99" s="173"/>
      <c r="Z99" s="166"/>
      <c r="AA99" s="174"/>
      <c r="AB99" s="175"/>
      <c r="AC99" s="175"/>
      <c r="AD99" s="175"/>
      <c r="AE99" s="175"/>
      <c r="AF99" s="175"/>
      <c r="AG99" s="175"/>
      <c r="AH99" s="175"/>
      <c r="AI99" s="176"/>
      <c r="AJ99" s="177"/>
      <c r="AK99" s="178"/>
      <c r="AL99" s="178"/>
      <c r="AM99" s="178"/>
      <c r="AN99" s="178"/>
      <c r="AO99" s="179"/>
      <c r="AP99" s="64"/>
      <c r="AQ99" s="65"/>
      <c r="AR99" s="65"/>
      <c r="AS99" s="65"/>
      <c r="AT99" s="173"/>
      <c r="AU99" s="177"/>
      <c r="AV99" s="178"/>
      <c r="AW99" s="178"/>
      <c r="AX99" s="179"/>
      <c r="AZ99" s="166"/>
      <c r="BA99" s="177"/>
      <c r="BB99" s="178"/>
      <c r="BC99" s="178"/>
      <c r="BD99" s="178"/>
      <c r="BE99" s="178"/>
      <c r="BF99" s="178"/>
      <c r="BG99" s="178"/>
      <c r="BH99" s="178"/>
      <c r="BI99" s="179"/>
      <c r="BJ99" s="180"/>
      <c r="BK99" s="178"/>
      <c r="BL99" s="178"/>
      <c r="BM99" s="178"/>
      <c r="BN99" s="178"/>
      <c r="BO99" s="181"/>
      <c r="BP99" s="166"/>
      <c r="BQ99" s="177"/>
      <c r="BR99" s="178"/>
      <c r="BS99" s="179"/>
      <c r="BU99" s="166"/>
      <c r="BV99" s="166"/>
      <c r="BW99" s="166"/>
      <c r="BX99" s="166"/>
      <c r="BY99" s="166"/>
      <c r="BZ99" s="166"/>
      <c r="CA99" s="166"/>
      <c r="CB99" s="166"/>
      <c r="CC99" s="166"/>
      <c r="CD99" s="177"/>
      <c r="CE99" s="181"/>
      <c r="CF99" s="177"/>
      <c r="CG99" s="181"/>
      <c r="CH99" s="177"/>
      <c r="CI99" s="182"/>
      <c r="CJ99" s="177"/>
      <c r="CK99" s="182"/>
      <c r="CL99" s="178"/>
      <c r="CM99" s="182"/>
      <c r="CN99" s="177"/>
      <c r="CO99" s="182"/>
      <c r="CP99" s="177"/>
      <c r="CQ99" s="178"/>
      <c r="CR99" s="182"/>
      <c r="CS99" s="65"/>
      <c r="CT99" s="64"/>
      <c r="CU99" s="165" t="str">
        <f t="shared" si="2"/>
        <v>ZMP</v>
      </c>
    </row>
    <row r="100" ht="60.0" customHeight="1">
      <c r="A100" s="65"/>
      <c r="B100" s="166"/>
      <c r="C100" s="167">
        <v>5.0</v>
      </c>
      <c r="D100" s="168" t="s">
        <v>180</v>
      </c>
      <c r="E100" s="169"/>
      <c r="F100" s="170"/>
      <c r="G100" s="170"/>
      <c r="H100" s="170"/>
      <c r="I100" s="170"/>
      <c r="J100" s="170"/>
      <c r="K100" s="171"/>
      <c r="L100" s="171"/>
      <c r="M100" s="171"/>
      <c r="N100" s="171"/>
      <c r="O100" s="172">
        <f t="shared" si="18"/>
        <v>0</v>
      </c>
      <c r="P100" s="166"/>
      <c r="Q100" s="173"/>
      <c r="R100" s="65"/>
      <c r="S100" s="173"/>
      <c r="T100" s="173"/>
      <c r="U100" s="166"/>
      <c r="V100" s="166"/>
      <c r="W100" s="65"/>
      <c r="X100" s="66"/>
      <c r="Y100" s="173"/>
      <c r="Z100" s="166"/>
      <c r="AA100" s="174"/>
      <c r="AB100" s="175"/>
      <c r="AC100" s="175"/>
      <c r="AD100" s="175"/>
      <c r="AE100" s="175"/>
      <c r="AF100" s="175"/>
      <c r="AG100" s="175"/>
      <c r="AH100" s="175"/>
      <c r="AI100" s="176"/>
      <c r="AJ100" s="177"/>
      <c r="AK100" s="178"/>
      <c r="AL100" s="178"/>
      <c r="AM100" s="178"/>
      <c r="AN100" s="178"/>
      <c r="AO100" s="179"/>
      <c r="AP100" s="64"/>
      <c r="AQ100" s="65"/>
      <c r="AR100" s="65"/>
      <c r="AS100" s="65"/>
      <c r="AT100" s="173"/>
      <c r="AU100" s="177"/>
      <c r="AV100" s="178"/>
      <c r="AW100" s="178"/>
      <c r="AX100" s="179"/>
      <c r="AZ100" s="166"/>
      <c r="BA100" s="177"/>
      <c r="BB100" s="178"/>
      <c r="BC100" s="178"/>
      <c r="BD100" s="178"/>
      <c r="BE100" s="178"/>
      <c r="BF100" s="178"/>
      <c r="BG100" s="178"/>
      <c r="BH100" s="178"/>
      <c r="BI100" s="179"/>
      <c r="BJ100" s="180"/>
      <c r="BK100" s="178"/>
      <c r="BL100" s="178"/>
      <c r="BM100" s="178"/>
      <c r="BN100" s="178"/>
      <c r="BO100" s="181"/>
      <c r="BP100" s="166"/>
      <c r="BQ100" s="177"/>
      <c r="BR100" s="178"/>
      <c r="BS100" s="179"/>
      <c r="BU100" s="166"/>
      <c r="BV100" s="166"/>
      <c r="BW100" s="166"/>
      <c r="BX100" s="166"/>
      <c r="BY100" s="166"/>
      <c r="BZ100" s="166"/>
      <c r="CA100" s="166"/>
      <c r="CB100" s="166"/>
      <c r="CC100" s="166"/>
      <c r="CD100" s="177"/>
      <c r="CE100" s="181"/>
      <c r="CF100" s="177"/>
      <c r="CG100" s="181"/>
      <c r="CH100" s="177"/>
      <c r="CI100" s="182"/>
      <c r="CJ100" s="177"/>
      <c r="CK100" s="182"/>
      <c r="CL100" s="178"/>
      <c r="CM100" s="182"/>
      <c r="CN100" s="177"/>
      <c r="CO100" s="182"/>
      <c r="CP100" s="177"/>
      <c r="CQ100" s="178"/>
      <c r="CR100" s="182"/>
      <c r="CS100" s="65"/>
      <c r="CT100" s="64"/>
      <c r="CU100" s="165" t="str">
        <f t="shared" si="2"/>
        <v>ZMP</v>
      </c>
    </row>
    <row r="101" ht="60.0" customHeight="1">
      <c r="A101" s="65"/>
      <c r="B101" s="166"/>
      <c r="C101" s="167">
        <v>6.0</v>
      </c>
      <c r="D101" s="168" t="s">
        <v>180</v>
      </c>
      <c r="E101" s="169"/>
      <c r="F101" s="170"/>
      <c r="G101" s="170"/>
      <c r="H101" s="170"/>
      <c r="I101" s="170"/>
      <c r="J101" s="170"/>
      <c r="K101" s="171"/>
      <c r="L101" s="171"/>
      <c r="M101" s="171"/>
      <c r="N101" s="171"/>
      <c r="O101" s="172">
        <f t="shared" si="18"/>
        <v>0</v>
      </c>
      <c r="P101" s="166"/>
      <c r="Q101" s="173"/>
      <c r="R101" s="65"/>
      <c r="S101" s="173"/>
      <c r="T101" s="173"/>
      <c r="U101" s="166"/>
      <c r="V101" s="166"/>
      <c r="W101" s="65"/>
      <c r="X101" s="66"/>
      <c r="Y101" s="173"/>
      <c r="Z101" s="166"/>
      <c r="AA101" s="174"/>
      <c r="AB101" s="175"/>
      <c r="AC101" s="175"/>
      <c r="AD101" s="175"/>
      <c r="AE101" s="175"/>
      <c r="AF101" s="175"/>
      <c r="AG101" s="175"/>
      <c r="AH101" s="175"/>
      <c r="AI101" s="176"/>
      <c r="AJ101" s="177"/>
      <c r="AK101" s="178"/>
      <c r="AL101" s="178"/>
      <c r="AM101" s="178"/>
      <c r="AN101" s="178"/>
      <c r="AO101" s="179"/>
      <c r="AP101" s="64"/>
      <c r="AQ101" s="65"/>
      <c r="AR101" s="65"/>
      <c r="AS101" s="65"/>
      <c r="AT101" s="173"/>
      <c r="AU101" s="177"/>
      <c r="AV101" s="178"/>
      <c r="AW101" s="178"/>
      <c r="AX101" s="179"/>
      <c r="AZ101" s="166"/>
      <c r="BA101" s="177"/>
      <c r="BB101" s="178"/>
      <c r="BC101" s="178"/>
      <c r="BD101" s="178"/>
      <c r="BE101" s="178"/>
      <c r="BF101" s="178"/>
      <c r="BG101" s="178"/>
      <c r="BH101" s="178"/>
      <c r="BI101" s="179"/>
      <c r="BJ101" s="180"/>
      <c r="BK101" s="178"/>
      <c r="BL101" s="178"/>
      <c r="BM101" s="178"/>
      <c r="BN101" s="178"/>
      <c r="BO101" s="181"/>
      <c r="BP101" s="166"/>
      <c r="BQ101" s="177"/>
      <c r="BR101" s="178"/>
      <c r="BS101" s="179"/>
      <c r="BU101" s="166"/>
      <c r="BV101" s="166"/>
      <c r="BW101" s="166"/>
      <c r="BX101" s="166"/>
      <c r="BY101" s="166"/>
      <c r="BZ101" s="166"/>
      <c r="CA101" s="166"/>
      <c r="CB101" s="166"/>
      <c r="CC101" s="166"/>
      <c r="CD101" s="177"/>
      <c r="CE101" s="181"/>
      <c r="CF101" s="177"/>
      <c r="CG101" s="181"/>
      <c r="CH101" s="177"/>
      <c r="CI101" s="182"/>
      <c r="CJ101" s="177"/>
      <c r="CK101" s="182"/>
      <c r="CL101" s="178"/>
      <c r="CM101" s="182"/>
      <c r="CN101" s="177"/>
      <c r="CO101" s="182"/>
      <c r="CP101" s="177"/>
      <c r="CQ101" s="178"/>
      <c r="CR101" s="182"/>
      <c r="CS101" s="65"/>
      <c r="CT101" s="64"/>
      <c r="CU101" s="165" t="str">
        <f t="shared" si="2"/>
        <v>ZMP</v>
      </c>
    </row>
    <row r="102" ht="60.0" customHeight="1">
      <c r="A102" s="65"/>
      <c r="B102" s="166"/>
      <c r="C102" s="167">
        <v>7.0</v>
      </c>
      <c r="D102" s="168" t="s">
        <v>180</v>
      </c>
      <c r="E102" s="169"/>
      <c r="F102" s="170"/>
      <c r="G102" s="170"/>
      <c r="H102" s="170"/>
      <c r="I102" s="170"/>
      <c r="J102" s="170"/>
      <c r="K102" s="171"/>
      <c r="L102" s="171"/>
      <c r="M102" s="171"/>
      <c r="N102" s="171"/>
      <c r="O102" s="172">
        <f t="shared" ref="O102:O105" si="19">IF(AND(M102&gt;=20,M102&lt;&gt;"m",RIGHT(K102,3)="Lec"),1,IF(AND(M102&gt;=20,M102&lt;&gt;"m",OR(RIGHT(K102,3)="Lab",RIGHT(K102,3)="Tut")),0.5,IF(AND(M102&gt;=20,M102&lt;&gt;"m",RIGHT(K102,2)="TL"),0.75,0)))</f>
        <v>0</v>
      </c>
      <c r="P102" s="166"/>
      <c r="Q102" s="173"/>
      <c r="R102" s="65"/>
      <c r="S102" s="173"/>
      <c r="T102" s="173"/>
      <c r="U102" s="166"/>
      <c r="V102" s="166"/>
      <c r="W102" s="65"/>
      <c r="X102" s="66"/>
      <c r="Y102" s="173"/>
      <c r="Z102" s="166"/>
      <c r="AA102" s="174"/>
      <c r="AB102" s="175"/>
      <c r="AC102" s="175"/>
      <c r="AD102" s="175"/>
      <c r="AE102" s="175"/>
      <c r="AF102" s="175"/>
      <c r="AG102" s="175"/>
      <c r="AH102" s="175"/>
      <c r="AI102" s="176"/>
      <c r="AJ102" s="177"/>
      <c r="AK102" s="178"/>
      <c r="AL102" s="178"/>
      <c r="AM102" s="178"/>
      <c r="AN102" s="178"/>
      <c r="AO102" s="179"/>
      <c r="AP102" s="64"/>
      <c r="AQ102" s="65"/>
      <c r="AR102" s="65"/>
      <c r="AS102" s="65"/>
      <c r="AT102" s="173"/>
      <c r="AU102" s="177"/>
      <c r="AV102" s="178"/>
      <c r="AW102" s="178"/>
      <c r="AX102" s="179"/>
      <c r="AZ102" s="166"/>
      <c r="BA102" s="177"/>
      <c r="BB102" s="178"/>
      <c r="BC102" s="178"/>
      <c r="BD102" s="178"/>
      <c r="BE102" s="178"/>
      <c r="BF102" s="178"/>
      <c r="BG102" s="178"/>
      <c r="BH102" s="178"/>
      <c r="BI102" s="179"/>
      <c r="BJ102" s="180"/>
      <c r="BK102" s="178"/>
      <c r="BL102" s="178"/>
      <c r="BM102" s="178"/>
      <c r="BN102" s="178"/>
      <c r="BO102" s="181"/>
      <c r="BP102" s="166"/>
      <c r="BQ102" s="177"/>
      <c r="BR102" s="178"/>
      <c r="BS102" s="179"/>
      <c r="BU102" s="166"/>
      <c r="BV102" s="166"/>
      <c r="BW102" s="166"/>
      <c r="BX102" s="166"/>
      <c r="BY102" s="166"/>
      <c r="BZ102" s="166"/>
      <c r="CA102" s="166"/>
      <c r="CB102" s="166"/>
      <c r="CC102" s="166"/>
      <c r="CD102" s="177"/>
      <c r="CE102" s="181"/>
      <c r="CF102" s="177"/>
      <c r="CG102" s="181"/>
      <c r="CH102" s="177"/>
      <c r="CI102" s="182"/>
      <c r="CJ102" s="177"/>
      <c r="CK102" s="182"/>
      <c r="CL102" s="178"/>
      <c r="CM102" s="182"/>
      <c r="CN102" s="177"/>
      <c r="CO102" s="182"/>
      <c r="CP102" s="177"/>
      <c r="CQ102" s="178"/>
      <c r="CR102" s="182"/>
      <c r="CS102" s="65"/>
      <c r="CT102" s="64"/>
      <c r="CU102" s="165" t="str">
        <f t="shared" si="2"/>
        <v>ZMP</v>
      </c>
    </row>
    <row r="103" ht="60.0" customHeight="1">
      <c r="A103" s="65"/>
      <c r="B103" s="166"/>
      <c r="C103" s="167">
        <v>8.0</v>
      </c>
      <c r="D103" s="168" t="s">
        <v>180</v>
      </c>
      <c r="E103" s="169"/>
      <c r="F103" s="170"/>
      <c r="G103" s="170"/>
      <c r="H103" s="170"/>
      <c r="I103" s="170"/>
      <c r="J103" s="170"/>
      <c r="K103" s="171"/>
      <c r="L103" s="171"/>
      <c r="M103" s="171"/>
      <c r="N103" s="171"/>
      <c r="O103" s="172">
        <f t="shared" si="19"/>
        <v>0</v>
      </c>
      <c r="P103" s="166"/>
      <c r="Q103" s="173"/>
      <c r="R103" s="65"/>
      <c r="S103" s="173"/>
      <c r="T103" s="173"/>
      <c r="U103" s="166"/>
      <c r="V103" s="166"/>
      <c r="W103" s="65"/>
      <c r="X103" s="66"/>
      <c r="Y103" s="173"/>
      <c r="Z103" s="166"/>
      <c r="AA103" s="174"/>
      <c r="AB103" s="175"/>
      <c r="AC103" s="175"/>
      <c r="AD103" s="175"/>
      <c r="AE103" s="175"/>
      <c r="AF103" s="175"/>
      <c r="AG103" s="175"/>
      <c r="AH103" s="175"/>
      <c r="AI103" s="176"/>
      <c r="AJ103" s="177"/>
      <c r="AK103" s="178"/>
      <c r="AL103" s="178"/>
      <c r="AM103" s="178"/>
      <c r="AN103" s="178"/>
      <c r="AO103" s="179"/>
      <c r="AP103" s="64"/>
      <c r="AQ103" s="65"/>
      <c r="AR103" s="65"/>
      <c r="AS103" s="65"/>
      <c r="AT103" s="173"/>
      <c r="AU103" s="177"/>
      <c r="AV103" s="178"/>
      <c r="AW103" s="178"/>
      <c r="AX103" s="179"/>
      <c r="AZ103" s="166"/>
      <c r="BA103" s="177"/>
      <c r="BB103" s="178"/>
      <c r="BC103" s="178"/>
      <c r="BD103" s="178"/>
      <c r="BE103" s="178"/>
      <c r="BF103" s="178"/>
      <c r="BG103" s="178"/>
      <c r="BH103" s="178"/>
      <c r="BI103" s="179"/>
      <c r="BJ103" s="180"/>
      <c r="BK103" s="178"/>
      <c r="BL103" s="178"/>
      <c r="BM103" s="178"/>
      <c r="BN103" s="178"/>
      <c r="BO103" s="181"/>
      <c r="BP103" s="166"/>
      <c r="BQ103" s="177"/>
      <c r="BR103" s="178"/>
      <c r="BS103" s="179"/>
      <c r="BU103" s="166"/>
      <c r="BV103" s="166"/>
      <c r="BW103" s="166"/>
      <c r="BX103" s="166"/>
      <c r="BY103" s="166"/>
      <c r="BZ103" s="166"/>
      <c r="CA103" s="166"/>
      <c r="CB103" s="166"/>
      <c r="CC103" s="166"/>
      <c r="CD103" s="177"/>
      <c r="CE103" s="181"/>
      <c r="CF103" s="177"/>
      <c r="CG103" s="181"/>
      <c r="CH103" s="177"/>
      <c r="CI103" s="182"/>
      <c r="CJ103" s="177"/>
      <c r="CK103" s="182"/>
      <c r="CL103" s="178"/>
      <c r="CM103" s="182"/>
      <c r="CN103" s="177"/>
      <c r="CO103" s="182"/>
      <c r="CP103" s="177"/>
      <c r="CQ103" s="178"/>
      <c r="CR103" s="182"/>
      <c r="CS103" s="65"/>
      <c r="CT103" s="64"/>
      <c r="CU103" s="165" t="str">
        <f t="shared" si="2"/>
        <v>ZMP</v>
      </c>
    </row>
    <row r="104" ht="60.0" customHeight="1">
      <c r="A104" s="65"/>
      <c r="B104" s="166"/>
      <c r="C104" s="167">
        <v>9.0</v>
      </c>
      <c r="D104" s="168" t="s">
        <v>180</v>
      </c>
      <c r="E104" s="169"/>
      <c r="F104" s="170"/>
      <c r="G104" s="170"/>
      <c r="H104" s="170"/>
      <c r="I104" s="170"/>
      <c r="J104" s="170"/>
      <c r="K104" s="171"/>
      <c r="L104" s="171"/>
      <c r="M104" s="171"/>
      <c r="N104" s="171"/>
      <c r="O104" s="172">
        <f t="shared" si="19"/>
        <v>0</v>
      </c>
      <c r="P104" s="166"/>
      <c r="Q104" s="173"/>
      <c r="R104" s="65"/>
      <c r="S104" s="173"/>
      <c r="T104" s="173"/>
      <c r="U104" s="166"/>
      <c r="V104" s="166"/>
      <c r="W104" s="65"/>
      <c r="X104" s="66"/>
      <c r="Y104" s="173"/>
      <c r="Z104" s="166"/>
      <c r="AA104" s="174"/>
      <c r="AB104" s="175"/>
      <c r="AC104" s="175"/>
      <c r="AD104" s="175"/>
      <c r="AE104" s="175"/>
      <c r="AF104" s="175"/>
      <c r="AG104" s="175"/>
      <c r="AH104" s="175"/>
      <c r="AI104" s="176"/>
      <c r="AJ104" s="177"/>
      <c r="AK104" s="178"/>
      <c r="AL104" s="178"/>
      <c r="AM104" s="178"/>
      <c r="AN104" s="178"/>
      <c r="AO104" s="179"/>
      <c r="AP104" s="64"/>
      <c r="AQ104" s="65"/>
      <c r="AR104" s="65"/>
      <c r="AS104" s="65"/>
      <c r="AT104" s="173"/>
      <c r="AU104" s="177"/>
      <c r="AV104" s="178"/>
      <c r="AW104" s="178"/>
      <c r="AX104" s="179"/>
      <c r="AZ104" s="166"/>
      <c r="BA104" s="177"/>
      <c r="BB104" s="178"/>
      <c r="BC104" s="178"/>
      <c r="BD104" s="178"/>
      <c r="BE104" s="178"/>
      <c r="BF104" s="178"/>
      <c r="BG104" s="178"/>
      <c r="BH104" s="178"/>
      <c r="BI104" s="179"/>
      <c r="BJ104" s="180"/>
      <c r="BK104" s="178"/>
      <c r="BL104" s="178"/>
      <c r="BM104" s="178"/>
      <c r="BN104" s="178"/>
      <c r="BO104" s="181"/>
      <c r="BP104" s="166"/>
      <c r="BQ104" s="177"/>
      <c r="BR104" s="178"/>
      <c r="BS104" s="179"/>
      <c r="BU104" s="166"/>
      <c r="BV104" s="166"/>
      <c r="BW104" s="166"/>
      <c r="BX104" s="166"/>
      <c r="BY104" s="166"/>
      <c r="BZ104" s="166"/>
      <c r="CA104" s="166"/>
      <c r="CB104" s="166"/>
      <c r="CC104" s="166"/>
      <c r="CD104" s="177"/>
      <c r="CE104" s="181"/>
      <c r="CF104" s="177"/>
      <c r="CG104" s="181"/>
      <c r="CH104" s="177"/>
      <c r="CI104" s="182"/>
      <c r="CJ104" s="177"/>
      <c r="CK104" s="182"/>
      <c r="CL104" s="178"/>
      <c r="CM104" s="182"/>
      <c r="CN104" s="177"/>
      <c r="CO104" s="182"/>
      <c r="CP104" s="177"/>
      <c r="CQ104" s="178"/>
      <c r="CR104" s="182"/>
      <c r="CS104" s="65"/>
      <c r="CT104" s="64"/>
      <c r="CU104" s="165" t="str">
        <f t="shared" si="2"/>
        <v>ZMP</v>
      </c>
    </row>
    <row r="105" ht="60.0" customHeight="1">
      <c r="A105" s="65"/>
      <c r="B105" s="166"/>
      <c r="C105" s="167">
        <v>10.0</v>
      </c>
      <c r="D105" s="168" t="s">
        <v>180</v>
      </c>
      <c r="E105" s="169"/>
      <c r="F105" s="170"/>
      <c r="G105" s="170"/>
      <c r="H105" s="170"/>
      <c r="I105" s="170"/>
      <c r="J105" s="170"/>
      <c r="K105" s="171"/>
      <c r="L105" s="171"/>
      <c r="M105" s="171"/>
      <c r="N105" s="171"/>
      <c r="O105" s="172">
        <f t="shared" si="19"/>
        <v>0</v>
      </c>
      <c r="P105" s="166"/>
      <c r="Q105" s="173"/>
      <c r="R105" s="65"/>
      <c r="S105" s="173"/>
      <c r="T105" s="173"/>
      <c r="U105" s="166"/>
      <c r="V105" s="166"/>
      <c r="W105" s="65"/>
      <c r="X105" s="66"/>
      <c r="Y105" s="173"/>
      <c r="Z105" s="166"/>
      <c r="AA105" s="174"/>
      <c r="AB105" s="175"/>
      <c r="AC105" s="175"/>
      <c r="AD105" s="175"/>
      <c r="AE105" s="175"/>
      <c r="AF105" s="175"/>
      <c r="AG105" s="175"/>
      <c r="AH105" s="175"/>
      <c r="AI105" s="176"/>
      <c r="AJ105" s="177"/>
      <c r="AK105" s="178"/>
      <c r="AL105" s="178"/>
      <c r="AM105" s="178"/>
      <c r="AN105" s="178"/>
      <c r="AO105" s="179"/>
      <c r="AP105" s="64"/>
      <c r="AQ105" s="65"/>
      <c r="AR105" s="65"/>
      <c r="AS105" s="65"/>
      <c r="AT105" s="173"/>
      <c r="AU105" s="177"/>
      <c r="AV105" s="178"/>
      <c r="AW105" s="178"/>
      <c r="AX105" s="179"/>
      <c r="AZ105" s="166"/>
      <c r="BA105" s="177"/>
      <c r="BB105" s="178"/>
      <c r="BC105" s="178"/>
      <c r="BD105" s="178"/>
      <c r="BE105" s="178"/>
      <c r="BF105" s="178"/>
      <c r="BG105" s="178"/>
      <c r="BH105" s="178"/>
      <c r="BI105" s="179"/>
      <c r="BJ105" s="180"/>
      <c r="BK105" s="178"/>
      <c r="BL105" s="178"/>
      <c r="BM105" s="178"/>
      <c r="BN105" s="178"/>
      <c r="BO105" s="181"/>
      <c r="BP105" s="166"/>
      <c r="BQ105" s="177"/>
      <c r="BR105" s="178"/>
      <c r="BS105" s="179"/>
      <c r="BU105" s="166"/>
      <c r="BV105" s="166"/>
      <c r="BW105" s="166"/>
      <c r="BX105" s="166"/>
      <c r="BY105" s="166"/>
      <c r="BZ105" s="166"/>
      <c r="CA105" s="166"/>
      <c r="CB105" s="166"/>
      <c r="CC105" s="166"/>
      <c r="CD105" s="177"/>
      <c r="CE105" s="181"/>
      <c r="CF105" s="177"/>
      <c r="CG105" s="181"/>
      <c r="CH105" s="177"/>
      <c r="CI105" s="182"/>
      <c r="CJ105" s="177"/>
      <c r="CK105" s="182"/>
      <c r="CL105" s="178"/>
      <c r="CM105" s="182"/>
      <c r="CN105" s="177"/>
      <c r="CO105" s="182"/>
      <c r="CP105" s="177"/>
      <c r="CQ105" s="178"/>
      <c r="CR105" s="182"/>
      <c r="CS105" s="65"/>
      <c r="CT105" s="64"/>
      <c r="CU105" s="165" t="str">
        <f t="shared" si="2"/>
        <v>ZMP</v>
      </c>
    </row>
    <row r="106" ht="60.0" customHeight="1">
      <c r="A106" s="89"/>
      <c r="B106" s="63"/>
      <c r="C106" s="183">
        <v>11.0</v>
      </c>
      <c r="D106" s="184" t="s">
        <v>180</v>
      </c>
      <c r="E106" s="185"/>
      <c r="F106" s="186"/>
      <c r="G106" s="186"/>
      <c r="H106" s="186"/>
      <c r="I106" s="186"/>
      <c r="J106" s="186"/>
      <c r="K106" s="187"/>
      <c r="L106" s="187"/>
      <c r="M106" s="187"/>
      <c r="N106" s="187"/>
      <c r="O106" s="188">
        <f t="shared" ref="O106:O112" si="20">IF(AND(M106&lt;&gt;0,M106&lt;&gt;"m",M106&lt;&gt;"",RIGHT(K106,3)="Lec"),1,IF(AND(M106&lt;&gt;0,M106&lt;&gt;"m",M106&lt;&gt;"",OR(RIGHT(K106,3)="Lab",RIGHT(K106,3)="Tut")),0.5,IF(AND(M106&lt;&gt;0,M106&lt;&gt;"m",M106&lt;&gt;"",RIGHT(K106,2)="TL"),0.75,0)))</f>
        <v>0</v>
      </c>
      <c r="P106" s="63"/>
      <c r="Q106" s="69"/>
      <c r="R106" s="89"/>
      <c r="S106" s="69"/>
      <c r="T106" s="69"/>
      <c r="U106" s="63"/>
      <c r="V106" s="63"/>
      <c r="W106" s="89"/>
      <c r="X106" s="68"/>
      <c r="Y106" s="69"/>
      <c r="Z106" s="63"/>
      <c r="AA106" s="189"/>
      <c r="AB106" s="190"/>
      <c r="AC106" s="190"/>
      <c r="AD106" s="190"/>
      <c r="AE106" s="190"/>
      <c r="AF106" s="190"/>
      <c r="AG106" s="190"/>
      <c r="AH106" s="190"/>
      <c r="AI106" s="191"/>
      <c r="AJ106" s="192"/>
      <c r="AK106" s="193"/>
      <c r="AL106" s="193"/>
      <c r="AM106" s="193"/>
      <c r="AN106" s="193"/>
      <c r="AO106" s="194"/>
      <c r="AP106" s="103"/>
      <c r="AQ106" s="89"/>
      <c r="AR106" s="89"/>
      <c r="AS106" s="89"/>
      <c r="AT106" s="69"/>
      <c r="AU106" s="192"/>
      <c r="AV106" s="193"/>
      <c r="AW106" s="193"/>
      <c r="AX106" s="194"/>
      <c r="AY106" s="6"/>
      <c r="AZ106" s="63"/>
      <c r="BA106" s="192"/>
      <c r="BB106" s="193"/>
      <c r="BC106" s="193"/>
      <c r="BD106" s="193"/>
      <c r="BE106" s="193"/>
      <c r="BF106" s="193"/>
      <c r="BG106" s="193"/>
      <c r="BH106" s="193"/>
      <c r="BI106" s="194"/>
      <c r="BJ106" s="195"/>
      <c r="BK106" s="193"/>
      <c r="BL106" s="193"/>
      <c r="BM106" s="193"/>
      <c r="BN106" s="193"/>
      <c r="BO106" s="196"/>
      <c r="BP106" s="63"/>
      <c r="BQ106" s="192"/>
      <c r="BR106" s="193"/>
      <c r="BS106" s="194"/>
      <c r="BT106" s="6"/>
      <c r="BU106" s="63"/>
      <c r="BV106" s="63"/>
      <c r="BW106" s="63"/>
      <c r="BX106" s="63"/>
      <c r="BY106" s="63"/>
      <c r="BZ106" s="63"/>
      <c r="CA106" s="63"/>
      <c r="CB106" s="63"/>
      <c r="CC106" s="63"/>
      <c r="CD106" s="192"/>
      <c r="CE106" s="196"/>
      <c r="CF106" s="192"/>
      <c r="CG106" s="196"/>
      <c r="CH106" s="192"/>
      <c r="CI106" s="197"/>
      <c r="CJ106" s="192"/>
      <c r="CK106" s="197"/>
      <c r="CL106" s="198"/>
      <c r="CM106" s="197"/>
      <c r="CN106" s="192"/>
      <c r="CO106" s="197"/>
      <c r="CP106" s="192"/>
      <c r="CQ106" s="193"/>
      <c r="CR106" s="197"/>
      <c r="CS106" s="89"/>
      <c r="CT106" s="103"/>
      <c r="CU106" s="165" t="str">
        <f t="shared" si="2"/>
        <v>ZMP</v>
      </c>
    </row>
    <row r="107" ht="55.5" customHeight="1">
      <c r="A107" s="125">
        <v>10.0</v>
      </c>
      <c r="B107" s="126" t="s">
        <v>184</v>
      </c>
      <c r="C107" s="127">
        <v>1.0</v>
      </c>
      <c r="D107" s="128" t="s">
        <v>185</v>
      </c>
      <c r="E107" s="129"/>
      <c r="F107" s="130"/>
      <c r="G107" s="130"/>
      <c r="H107" s="130"/>
      <c r="I107" s="130"/>
      <c r="J107" s="130"/>
      <c r="K107" s="131"/>
      <c r="L107" s="131"/>
      <c r="M107" s="131"/>
      <c r="N107" s="131"/>
      <c r="O107" s="132">
        <f t="shared" si="20"/>
        <v>0</v>
      </c>
      <c r="P107" s="133">
        <f>COUNTIF(K107:K117,"TL")*0.75+COUNTIF(K107:K117,"Lec")*1+COUNTIF(K107:K117,"Lab")*0.5</f>
        <v>0</v>
      </c>
      <c r="Q107" s="134">
        <f>SUM((IF(LEFT(K107,1)="E",O107,0)),(IF(LEFT(K108,1)="E",O108,0)),(IF(LEFT(K109,1)="E",O109,0)),(IF(LEFT(K110,1)="E",O110,0)),(IF(LEFT(K111,1)="E",O111,0)),(IF(LEFT(K112,1)="E",O112,0)),(IF(LEFT(K113,1)="E",O113,0)),(IF(LEFT(K114,1)="E",O114,0)),(IF(LEFT(K115,1)="E",O115,0)),(IF(LEFT(K116,1)="E",O116,0)),(IF(LEFT(K117,1)="E",O117,0)))</f>
        <v>0</v>
      </c>
      <c r="R107" s="135">
        <f>SUM(IF(M113&lt;20,IF(K113="Plec",-1,IF(K113="PTL",-0.75,IF(K113="Plab",-0.5,0))),0),IF(M114&lt;20,IF(K114="Plec",-1,IF(K114="PTL",-0.75,IF(K114="Plab",-0.5,0))),0),IF(M115&lt;20,IF(K115="Plec",-1,IF(K115="PTL",-0.75,IF(K115="Plab",-0.5,0))),0),IF(M116&lt;20,IF(K116="Plec",-1,IF(K116="PTL",-0.75,IF(K116="Plab",-0.5,0))),0))</f>
        <v>0</v>
      </c>
      <c r="S107" s="134">
        <f>SUM(P107:R117)</f>
        <v>0</v>
      </c>
      <c r="T107" s="136">
        <f>SUM(IF(M107="M",IF(OR(K107="lec",K107="plec",K107="slec"),1,IF(OR(K107="lab",K107="plab",K107="slab",K107="tut",K107="ptut",K107="stut"),0.5,IF(OR(K107="TL",K107="pTL",K107="STL"),0.75,0))),0),IF(M108="M",IF(OR(K108="lec",K108="plec",K108="slec"),1,IF(OR(K108="lab",K108="plab",K108="slab",K108="tut",K108="ptut",K108="stut"),0.5,IF(OR(K108="TL",K108="pTL",K108="STL"),0.75,0))),0),IF(M109="M",IF(OR(K109="lec",K109="plec",K109="slec"),1,IF(OR(K109="lab",K109="plab",K109="slab",K109="tut",K109="ptut",K109="stut"),0.5,IF(OR(K109="TL",K109="pTL",K109="STL"),0.75,0))),0),IF(M110="M",IF(OR(K110="lec",K110="plec",K110="slec"),1,IF(OR(K110="lab",K110="plab",K110="slab",K110="tut",K110="ptut",K110="stut"),0.5,IF(OR(K110="TL",K110="pTL",K110="STL"),0.75,0))),0),IF(M111="M",IF(OR(K111="lec",K111="plec",K111="slec"),1,IF(OR(K111="lab",K111="plab",K111="slab",K111="tut",K111="ptut",K111="stut"),0.5,IF(OR(K111="TL",K111="pTL",K111="STL"),0.75,0))),0),IF(M112="M",IF(OR(K112="lec",K112="plec",K112="slec"),1,IF(OR(K112="lab",K112="plab",K112="slab",K112="tut",K112="ptut",K112="stut"),0.5,IF(OR(K112="TL",K112="pTL",K112="STL"),0.75,0))),0),IF(M113="M",IF(OR(K113="lec",K113="plec",K113="slec"),1,IF(OR(K113="lab",K113="plab",K113="slab",K113="tut",K113="ptut",K113="stut"),0.5,IF(OR(K113="TL",K113="pTL",K113="STL"),0.75,0))),0),IF(M114="M",IF(OR(K114="lec",K114="plec",K114="slec"),1,IF(OR(K114="lab",K114="plab",K114="slab",K114="tut",K114="ptut",K114="stut"),0.5,IF(OR(K114="TL",K114="pTL",K114="STL"),0.75,0))),0),IF(M115="M",IF(OR(K115="lec",K115="plec",K115="slec"),1,IF(OR(K115="lab",K115="plab",K115="slab",K115="tut",K115="ptut",K115="stut"),0.5,IF(OR(K115="TL",K115="pTL",K115="STL"),0.75,0))),0),IF(M116="M",IF(OR(K116="lec",K116="plec",K116="slec"),1,IF(OR(K116="lab",K116="plab",K116="slab",K116="tut",K116="ptut",K116="stut"),0.5,IF(OR(K116="TL",K116="pTL",K116="STL"),0.75,0))),0),IF(M117="M",IF(OR(K117="lec",K117="plec",K117="slec"),1,IF(OR(K117="lab",K117="plab",K117="slab",K117="tut",K117="ptut",K117="stut"),0.5,IF(OR(K117="TL",K117="pTL",K117="STL"),0.75,0))),0))</f>
        <v>0</v>
      </c>
      <c r="U107" s="137"/>
      <c r="V107" s="133"/>
      <c r="W107" s="138"/>
      <c r="X107" s="139">
        <f>S107-(T107+U107+V107+W107)</f>
        <v>0</v>
      </c>
      <c r="Y107" s="134" t="str">
        <f>CONCATENATE(SUM(O107:O117),"(",SUM(O107:O117)-X107,")")</f>
        <v>0(0)</v>
      </c>
      <c r="Z107" s="140"/>
      <c r="AA107" s="141" t="s">
        <v>186</v>
      </c>
      <c r="AB107" s="142" t="s">
        <v>139</v>
      </c>
      <c r="AC107" s="142" t="s">
        <v>187</v>
      </c>
      <c r="AD107" s="142" t="s">
        <v>188</v>
      </c>
      <c r="AE107" s="142" t="s">
        <v>189</v>
      </c>
      <c r="AF107" s="142" t="s">
        <v>190</v>
      </c>
      <c r="AG107" s="142">
        <v>2.0</v>
      </c>
      <c r="AH107" s="142" t="s">
        <v>191</v>
      </c>
      <c r="AI107" s="143">
        <f>20/60</f>
        <v>0.3333333333</v>
      </c>
      <c r="AJ107" s="144"/>
      <c r="AK107" s="145"/>
      <c r="AL107" s="145"/>
      <c r="AM107" s="145"/>
      <c r="AN107" s="145"/>
      <c r="AO107" s="146"/>
      <c r="AP107" s="147">
        <f>SUM(SUM(O107:O117),SUM(AI107:AI117)/2,AM107)</f>
        <v>0.1666666667</v>
      </c>
      <c r="AQ107" s="148"/>
      <c r="AR107" s="148">
        <f>AP107*AQ107</f>
        <v>0</v>
      </c>
      <c r="AS107" s="148">
        <f>CT107</f>
        <v>4.05</v>
      </c>
      <c r="AT107" s="149">
        <f>AR107*0.75+AS107*0.25</f>
        <v>1.0125</v>
      </c>
      <c r="AU107" s="150"/>
      <c r="AV107" s="151"/>
      <c r="AW107" s="151"/>
      <c r="AX107" s="152"/>
      <c r="AY107" s="153"/>
      <c r="AZ107" s="140"/>
      <c r="BA107" s="150">
        <v>1.0</v>
      </c>
      <c r="BB107" s="151" t="s">
        <v>148</v>
      </c>
      <c r="BC107" s="151">
        <v>7.0</v>
      </c>
      <c r="BD107" s="151">
        <v>103.0</v>
      </c>
      <c r="BE107" s="151" t="s">
        <v>150</v>
      </c>
      <c r="BF107" s="151"/>
      <c r="BG107" s="151">
        <v>1.0</v>
      </c>
      <c r="BH107" s="151"/>
      <c r="BI107" s="152"/>
      <c r="BJ107" s="154">
        <v>4.0</v>
      </c>
      <c r="BK107" s="151"/>
      <c r="BL107" s="151"/>
      <c r="BM107" s="151"/>
      <c r="BN107" s="151"/>
      <c r="BO107" s="155"/>
      <c r="BP107" s="140"/>
      <c r="BQ107" s="156" t="s">
        <v>151</v>
      </c>
      <c r="BR107" s="157">
        <v>1.0</v>
      </c>
      <c r="BS107" s="158">
        <v>0.0</v>
      </c>
      <c r="BT107" s="153"/>
      <c r="BU107" s="140"/>
      <c r="BV107" s="140"/>
      <c r="BW107" s="140"/>
      <c r="BX107" s="140"/>
      <c r="BY107" s="140"/>
      <c r="BZ107" s="140"/>
      <c r="CA107" s="140"/>
      <c r="CB107" s="140"/>
      <c r="CC107" s="140"/>
      <c r="CD107" s="150"/>
      <c r="CE107" s="155"/>
      <c r="CF107" s="150" t="s">
        <v>192</v>
      </c>
      <c r="CG107" s="155"/>
      <c r="CH107" s="159"/>
      <c r="CI107" s="160"/>
      <c r="CJ107" s="159" t="s">
        <v>193</v>
      </c>
      <c r="CK107" s="160">
        <v>-1.0</v>
      </c>
      <c r="CL107" s="161"/>
      <c r="CM107" s="160"/>
      <c r="CN107" s="159"/>
      <c r="CO107" s="160"/>
      <c r="CP107" s="159"/>
      <c r="CQ107" s="162"/>
      <c r="CR107" s="160"/>
      <c r="CS107" s="163">
        <f>SUM(IF(AU107&lt;0,ABS(AU107),0),IF(AZ107&lt;0,ABS(AZ107),0),ABS(CI107),ABS(CK107),ABS(CM107),ABS(CO107),ABS(CQ107),ABS(CR107))</f>
        <v>1</v>
      </c>
      <c r="CT107" s="164">
        <f>SUM(AU107,AV107,AW107,AX107/400,AY107,AZ107,BG107,BH107*0.5,BI107*0.25,BJ107,BK107,BL107,BM107,BN107,BO107,BP107,BR107/20,BS107/100,BT107/60,BU107,BV107,BW107,BX107/4,SUM(BY107:CC117)/3,CE107,CG107/3,CI107,CK107,CM107,CO107,CQ107,CR107)</f>
        <v>4.05</v>
      </c>
      <c r="CU107" s="165" t="str">
        <f t="shared" si="2"/>
        <v>ZPB</v>
      </c>
    </row>
    <row r="108" ht="60.0" customHeight="1">
      <c r="A108" s="65"/>
      <c r="B108" s="166"/>
      <c r="C108" s="167">
        <v>2.0</v>
      </c>
      <c r="D108" s="168" t="s">
        <v>185</v>
      </c>
      <c r="E108" s="169"/>
      <c r="F108" s="170"/>
      <c r="G108" s="170"/>
      <c r="H108" s="170"/>
      <c r="I108" s="170"/>
      <c r="J108" s="170"/>
      <c r="K108" s="171"/>
      <c r="L108" s="171"/>
      <c r="M108" s="171"/>
      <c r="N108" s="171"/>
      <c r="O108" s="172">
        <f t="shared" si="20"/>
        <v>0</v>
      </c>
      <c r="P108" s="166"/>
      <c r="Q108" s="173"/>
      <c r="R108" s="65"/>
      <c r="S108" s="173"/>
      <c r="T108" s="173"/>
      <c r="U108" s="166"/>
      <c r="V108" s="166"/>
      <c r="W108" s="65"/>
      <c r="X108" s="66"/>
      <c r="Y108" s="173"/>
      <c r="Z108" s="166"/>
      <c r="AA108" s="174"/>
      <c r="AB108" s="175"/>
      <c r="AC108" s="175"/>
      <c r="AD108" s="175"/>
      <c r="AE108" s="175"/>
      <c r="AF108" s="175"/>
      <c r="AG108" s="175"/>
      <c r="AH108" s="175"/>
      <c r="AI108" s="176"/>
      <c r="AJ108" s="177"/>
      <c r="AK108" s="178"/>
      <c r="AL108" s="178"/>
      <c r="AM108" s="178"/>
      <c r="AN108" s="178"/>
      <c r="AO108" s="179"/>
      <c r="AP108" s="64"/>
      <c r="AQ108" s="65"/>
      <c r="AR108" s="65"/>
      <c r="AS108" s="65"/>
      <c r="AT108" s="173"/>
      <c r="AU108" s="177"/>
      <c r="AV108" s="178"/>
      <c r="AW108" s="178"/>
      <c r="AX108" s="179"/>
      <c r="AZ108" s="166"/>
      <c r="BA108" s="177"/>
      <c r="BB108" s="178"/>
      <c r="BC108" s="178"/>
      <c r="BD108" s="178"/>
      <c r="BE108" s="178"/>
      <c r="BF108" s="178"/>
      <c r="BG108" s="178"/>
      <c r="BH108" s="178"/>
      <c r="BI108" s="179"/>
      <c r="BJ108" s="180"/>
      <c r="BK108" s="178"/>
      <c r="BL108" s="178"/>
      <c r="BM108" s="178"/>
      <c r="BN108" s="178"/>
      <c r="BO108" s="181"/>
      <c r="BP108" s="166"/>
      <c r="BQ108" s="177"/>
      <c r="BR108" s="178"/>
      <c r="BS108" s="179"/>
      <c r="BU108" s="166"/>
      <c r="BV108" s="166"/>
      <c r="BW108" s="166"/>
      <c r="BX108" s="166"/>
      <c r="BY108" s="166"/>
      <c r="BZ108" s="166"/>
      <c r="CA108" s="166"/>
      <c r="CB108" s="166"/>
      <c r="CC108" s="166"/>
      <c r="CD108" s="177"/>
      <c r="CE108" s="181"/>
      <c r="CF108" s="177"/>
      <c r="CG108" s="181"/>
      <c r="CH108" s="177"/>
      <c r="CI108" s="182"/>
      <c r="CJ108" s="177"/>
      <c r="CK108" s="182"/>
      <c r="CL108" s="178"/>
      <c r="CM108" s="182"/>
      <c r="CN108" s="177"/>
      <c r="CO108" s="182"/>
      <c r="CP108" s="177"/>
      <c r="CQ108" s="178"/>
      <c r="CR108" s="182"/>
      <c r="CS108" s="65"/>
      <c r="CT108" s="64"/>
      <c r="CU108" s="165" t="str">
        <f t="shared" si="2"/>
        <v>ZPB</v>
      </c>
    </row>
    <row r="109" ht="60.0" customHeight="1">
      <c r="A109" s="65"/>
      <c r="B109" s="166"/>
      <c r="C109" s="167">
        <v>3.0</v>
      </c>
      <c r="D109" s="168" t="s">
        <v>185</v>
      </c>
      <c r="E109" s="169"/>
      <c r="F109" s="170"/>
      <c r="G109" s="170"/>
      <c r="H109" s="170"/>
      <c r="I109" s="170"/>
      <c r="J109" s="170"/>
      <c r="K109" s="171"/>
      <c r="L109" s="171"/>
      <c r="M109" s="171"/>
      <c r="N109" s="171"/>
      <c r="O109" s="172">
        <f t="shared" si="20"/>
        <v>0</v>
      </c>
      <c r="P109" s="166"/>
      <c r="Q109" s="173"/>
      <c r="R109" s="65"/>
      <c r="S109" s="173"/>
      <c r="T109" s="173"/>
      <c r="U109" s="166"/>
      <c r="V109" s="166"/>
      <c r="W109" s="65"/>
      <c r="X109" s="66"/>
      <c r="Y109" s="173"/>
      <c r="Z109" s="166"/>
      <c r="AA109" s="174"/>
      <c r="AB109" s="175"/>
      <c r="AC109" s="175"/>
      <c r="AD109" s="175"/>
      <c r="AE109" s="175"/>
      <c r="AF109" s="175"/>
      <c r="AG109" s="175"/>
      <c r="AH109" s="175"/>
      <c r="AI109" s="176"/>
      <c r="AJ109" s="177"/>
      <c r="AK109" s="178"/>
      <c r="AL109" s="178"/>
      <c r="AM109" s="178"/>
      <c r="AN109" s="178"/>
      <c r="AO109" s="179"/>
      <c r="AP109" s="64"/>
      <c r="AQ109" s="65"/>
      <c r="AR109" s="65"/>
      <c r="AS109" s="65"/>
      <c r="AT109" s="173"/>
      <c r="AU109" s="177"/>
      <c r="AV109" s="178"/>
      <c r="AW109" s="178"/>
      <c r="AX109" s="179"/>
      <c r="AZ109" s="166"/>
      <c r="BA109" s="177"/>
      <c r="BB109" s="178"/>
      <c r="BC109" s="178"/>
      <c r="BD109" s="178"/>
      <c r="BE109" s="178"/>
      <c r="BF109" s="178"/>
      <c r="BG109" s="178"/>
      <c r="BH109" s="178"/>
      <c r="BI109" s="179"/>
      <c r="BJ109" s="180"/>
      <c r="BK109" s="178"/>
      <c r="BL109" s="178"/>
      <c r="BM109" s="178"/>
      <c r="BN109" s="178"/>
      <c r="BO109" s="181"/>
      <c r="BP109" s="166"/>
      <c r="BQ109" s="177"/>
      <c r="BR109" s="178"/>
      <c r="BS109" s="179"/>
      <c r="BU109" s="166"/>
      <c r="BV109" s="166"/>
      <c r="BW109" s="166"/>
      <c r="BX109" s="166"/>
      <c r="BY109" s="166"/>
      <c r="BZ109" s="166"/>
      <c r="CA109" s="166"/>
      <c r="CB109" s="166"/>
      <c r="CC109" s="166"/>
      <c r="CD109" s="177"/>
      <c r="CE109" s="181"/>
      <c r="CF109" s="177"/>
      <c r="CG109" s="181"/>
      <c r="CH109" s="177"/>
      <c r="CI109" s="182"/>
      <c r="CJ109" s="177"/>
      <c r="CK109" s="182"/>
      <c r="CL109" s="178"/>
      <c r="CM109" s="182"/>
      <c r="CN109" s="177"/>
      <c r="CO109" s="182"/>
      <c r="CP109" s="177"/>
      <c r="CQ109" s="178"/>
      <c r="CR109" s="182"/>
      <c r="CS109" s="65"/>
      <c r="CT109" s="64"/>
      <c r="CU109" s="165" t="str">
        <f t="shared" si="2"/>
        <v>ZPB</v>
      </c>
    </row>
    <row r="110" ht="60.0" customHeight="1">
      <c r="A110" s="65"/>
      <c r="B110" s="166"/>
      <c r="C110" s="167">
        <v>4.0</v>
      </c>
      <c r="D110" s="168" t="s">
        <v>185</v>
      </c>
      <c r="E110" s="169"/>
      <c r="F110" s="170"/>
      <c r="G110" s="170"/>
      <c r="H110" s="170"/>
      <c r="I110" s="170"/>
      <c r="J110" s="170"/>
      <c r="K110" s="171"/>
      <c r="L110" s="171"/>
      <c r="M110" s="171"/>
      <c r="N110" s="171"/>
      <c r="O110" s="172">
        <f t="shared" si="20"/>
        <v>0</v>
      </c>
      <c r="P110" s="166"/>
      <c r="Q110" s="173"/>
      <c r="R110" s="65"/>
      <c r="S110" s="173"/>
      <c r="T110" s="173"/>
      <c r="U110" s="166"/>
      <c r="V110" s="166"/>
      <c r="W110" s="65"/>
      <c r="X110" s="66"/>
      <c r="Y110" s="173"/>
      <c r="Z110" s="166"/>
      <c r="AA110" s="174"/>
      <c r="AB110" s="175"/>
      <c r="AC110" s="175"/>
      <c r="AD110" s="175"/>
      <c r="AE110" s="175"/>
      <c r="AF110" s="175"/>
      <c r="AG110" s="175"/>
      <c r="AH110" s="175"/>
      <c r="AI110" s="176"/>
      <c r="AJ110" s="177"/>
      <c r="AK110" s="178"/>
      <c r="AL110" s="178"/>
      <c r="AM110" s="178"/>
      <c r="AN110" s="178"/>
      <c r="AO110" s="179"/>
      <c r="AP110" s="64"/>
      <c r="AQ110" s="65"/>
      <c r="AR110" s="65"/>
      <c r="AS110" s="65"/>
      <c r="AT110" s="173"/>
      <c r="AU110" s="177"/>
      <c r="AV110" s="178"/>
      <c r="AW110" s="178"/>
      <c r="AX110" s="179"/>
      <c r="AZ110" s="166"/>
      <c r="BA110" s="177"/>
      <c r="BB110" s="178"/>
      <c r="BC110" s="178"/>
      <c r="BD110" s="178"/>
      <c r="BE110" s="178"/>
      <c r="BF110" s="178"/>
      <c r="BG110" s="178"/>
      <c r="BH110" s="178"/>
      <c r="BI110" s="179"/>
      <c r="BJ110" s="180"/>
      <c r="BK110" s="178"/>
      <c r="BL110" s="178"/>
      <c r="BM110" s="178"/>
      <c r="BN110" s="178"/>
      <c r="BO110" s="181"/>
      <c r="BP110" s="166"/>
      <c r="BQ110" s="177"/>
      <c r="BR110" s="178"/>
      <c r="BS110" s="179"/>
      <c r="BU110" s="166"/>
      <c r="BV110" s="166"/>
      <c r="BW110" s="166"/>
      <c r="BX110" s="166"/>
      <c r="BY110" s="166"/>
      <c r="BZ110" s="166"/>
      <c r="CA110" s="166"/>
      <c r="CB110" s="166"/>
      <c r="CC110" s="166"/>
      <c r="CD110" s="177"/>
      <c r="CE110" s="181"/>
      <c r="CF110" s="177"/>
      <c r="CG110" s="181"/>
      <c r="CH110" s="177"/>
      <c r="CI110" s="182"/>
      <c r="CJ110" s="177"/>
      <c r="CK110" s="182"/>
      <c r="CL110" s="178"/>
      <c r="CM110" s="182"/>
      <c r="CN110" s="177"/>
      <c r="CO110" s="182"/>
      <c r="CP110" s="177"/>
      <c r="CQ110" s="178"/>
      <c r="CR110" s="182"/>
      <c r="CS110" s="65"/>
      <c r="CT110" s="64"/>
      <c r="CU110" s="165" t="str">
        <f t="shared" si="2"/>
        <v>ZPB</v>
      </c>
    </row>
    <row r="111" ht="60.0" customHeight="1">
      <c r="A111" s="65"/>
      <c r="B111" s="166"/>
      <c r="C111" s="167">
        <v>5.0</v>
      </c>
      <c r="D111" s="168" t="s">
        <v>185</v>
      </c>
      <c r="E111" s="169"/>
      <c r="F111" s="170"/>
      <c r="G111" s="170"/>
      <c r="H111" s="170"/>
      <c r="I111" s="170"/>
      <c r="J111" s="170"/>
      <c r="K111" s="171"/>
      <c r="L111" s="171"/>
      <c r="M111" s="171"/>
      <c r="N111" s="171"/>
      <c r="O111" s="172">
        <f t="shared" si="20"/>
        <v>0</v>
      </c>
      <c r="P111" s="166"/>
      <c r="Q111" s="173"/>
      <c r="R111" s="65"/>
      <c r="S111" s="173"/>
      <c r="T111" s="173"/>
      <c r="U111" s="166"/>
      <c r="V111" s="166"/>
      <c r="W111" s="65"/>
      <c r="X111" s="66"/>
      <c r="Y111" s="173"/>
      <c r="Z111" s="166"/>
      <c r="AA111" s="174"/>
      <c r="AB111" s="175"/>
      <c r="AC111" s="175"/>
      <c r="AD111" s="175"/>
      <c r="AE111" s="175"/>
      <c r="AF111" s="175"/>
      <c r="AG111" s="175"/>
      <c r="AH111" s="175"/>
      <c r="AI111" s="176"/>
      <c r="AJ111" s="177"/>
      <c r="AK111" s="178"/>
      <c r="AL111" s="178"/>
      <c r="AM111" s="178"/>
      <c r="AN111" s="178"/>
      <c r="AO111" s="179"/>
      <c r="AP111" s="64"/>
      <c r="AQ111" s="65"/>
      <c r="AR111" s="65"/>
      <c r="AS111" s="65"/>
      <c r="AT111" s="173"/>
      <c r="AU111" s="177"/>
      <c r="AV111" s="178"/>
      <c r="AW111" s="178"/>
      <c r="AX111" s="179"/>
      <c r="AZ111" s="166"/>
      <c r="BA111" s="177"/>
      <c r="BB111" s="178"/>
      <c r="BC111" s="178"/>
      <c r="BD111" s="178"/>
      <c r="BE111" s="178"/>
      <c r="BF111" s="178"/>
      <c r="BG111" s="178"/>
      <c r="BH111" s="178"/>
      <c r="BI111" s="179"/>
      <c r="BJ111" s="180"/>
      <c r="BK111" s="178"/>
      <c r="BL111" s="178"/>
      <c r="BM111" s="178"/>
      <c r="BN111" s="178"/>
      <c r="BO111" s="181"/>
      <c r="BP111" s="166"/>
      <c r="BQ111" s="177"/>
      <c r="BR111" s="178"/>
      <c r="BS111" s="179"/>
      <c r="BU111" s="166"/>
      <c r="BV111" s="166"/>
      <c r="BW111" s="166"/>
      <c r="BX111" s="166"/>
      <c r="BY111" s="166"/>
      <c r="BZ111" s="166"/>
      <c r="CA111" s="166"/>
      <c r="CB111" s="166"/>
      <c r="CC111" s="166"/>
      <c r="CD111" s="177"/>
      <c r="CE111" s="181"/>
      <c r="CF111" s="177"/>
      <c r="CG111" s="181"/>
      <c r="CH111" s="177"/>
      <c r="CI111" s="182"/>
      <c r="CJ111" s="177"/>
      <c r="CK111" s="182"/>
      <c r="CL111" s="178"/>
      <c r="CM111" s="182"/>
      <c r="CN111" s="177"/>
      <c r="CO111" s="182"/>
      <c r="CP111" s="177"/>
      <c r="CQ111" s="178"/>
      <c r="CR111" s="182"/>
      <c r="CS111" s="65"/>
      <c r="CT111" s="64"/>
      <c r="CU111" s="165" t="str">
        <f t="shared" si="2"/>
        <v>ZPB</v>
      </c>
    </row>
    <row r="112" ht="60.0" customHeight="1">
      <c r="A112" s="65"/>
      <c r="B112" s="166"/>
      <c r="C112" s="167">
        <v>6.0</v>
      </c>
      <c r="D112" s="168" t="s">
        <v>185</v>
      </c>
      <c r="E112" s="169"/>
      <c r="F112" s="170"/>
      <c r="G112" s="170"/>
      <c r="H112" s="170"/>
      <c r="I112" s="170"/>
      <c r="J112" s="170"/>
      <c r="K112" s="171"/>
      <c r="L112" s="171"/>
      <c r="M112" s="171"/>
      <c r="N112" s="171"/>
      <c r="O112" s="172">
        <f t="shared" si="20"/>
        <v>0</v>
      </c>
      <c r="P112" s="166"/>
      <c r="Q112" s="173"/>
      <c r="R112" s="65"/>
      <c r="S112" s="173"/>
      <c r="T112" s="173"/>
      <c r="U112" s="166"/>
      <c r="V112" s="166"/>
      <c r="W112" s="65"/>
      <c r="X112" s="66"/>
      <c r="Y112" s="173"/>
      <c r="Z112" s="166"/>
      <c r="AA112" s="174"/>
      <c r="AB112" s="175"/>
      <c r="AC112" s="175"/>
      <c r="AD112" s="175"/>
      <c r="AE112" s="175"/>
      <c r="AF112" s="175"/>
      <c r="AG112" s="175"/>
      <c r="AH112" s="175"/>
      <c r="AI112" s="176"/>
      <c r="AJ112" s="177"/>
      <c r="AK112" s="178"/>
      <c r="AL112" s="178"/>
      <c r="AM112" s="178"/>
      <c r="AN112" s="178"/>
      <c r="AO112" s="179"/>
      <c r="AP112" s="64"/>
      <c r="AQ112" s="65"/>
      <c r="AR112" s="65"/>
      <c r="AS112" s="65"/>
      <c r="AT112" s="173"/>
      <c r="AU112" s="177"/>
      <c r="AV112" s="178"/>
      <c r="AW112" s="178"/>
      <c r="AX112" s="179"/>
      <c r="AZ112" s="166"/>
      <c r="BA112" s="177"/>
      <c r="BB112" s="178"/>
      <c r="BC112" s="178"/>
      <c r="BD112" s="178"/>
      <c r="BE112" s="178"/>
      <c r="BF112" s="178"/>
      <c r="BG112" s="178"/>
      <c r="BH112" s="178"/>
      <c r="BI112" s="179"/>
      <c r="BJ112" s="180"/>
      <c r="BK112" s="178"/>
      <c r="BL112" s="178"/>
      <c r="BM112" s="178"/>
      <c r="BN112" s="178"/>
      <c r="BO112" s="181"/>
      <c r="BP112" s="166"/>
      <c r="BQ112" s="177"/>
      <c r="BR112" s="178"/>
      <c r="BS112" s="179"/>
      <c r="BU112" s="166"/>
      <c r="BV112" s="166"/>
      <c r="BW112" s="166"/>
      <c r="BX112" s="166"/>
      <c r="BY112" s="166"/>
      <c r="BZ112" s="166"/>
      <c r="CA112" s="166"/>
      <c r="CB112" s="166"/>
      <c r="CC112" s="166"/>
      <c r="CD112" s="177"/>
      <c r="CE112" s="181"/>
      <c r="CF112" s="177"/>
      <c r="CG112" s="181"/>
      <c r="CH112" s="177"/>
      <c r="CI112" s="182"/>
      <c r="CJ112" s="177"/>
      <c r="CK112" s="182"/>
      <c r="CL112" s="178"/>
      <c r="CM112" s="182"/>
      <c r="CN112" s="177"/>
      <c r="CO112" s="182"/>
      <c r="CP112" s="177"/>
      <c r="CQ112" s="178"/>
      <c r="CR112" s="182"/>
      <c r="CS112" s="65"/>
      <c r="CT112" s="64"/>
      <c r="CU112" s="165" t="str">
        <f t="shared" si="2"/>
        <v>ZPB</v>
      </c>
    </row>
    <row r="113" ht="60.0" customHeight="1">
      <c r="A113" s="65"/>
      <c r="B113" s="166"/>
      <c r="C113" s="167">
        <v>7.0</v>
      </c>
      <c r="D113" s="168" t="s">
        <v>185</v>
      </c>
      <c r="E113" s="169"/>
      <c r="F113" s="170"/>
      <c r="G113" s="170"/>
      <c r="H113" s="170"/>
      <c r="I113" s="170"/>
      <c r="J113" s="170"/>
      <c r="K113" s="171"/>
      <c r="L113" s="171"/>
      <c r="M113" s="171"/>
      <c r="N113" s="171"/>
      <c r="O113" s="172">
        <f t="shared" ref="O113:O116" si="21">IF(AND(M113&gt;=20,M113&lt;&gt;"m",RIGHT(K113,3)="Lec"),1,IF(AND(M113&gt;=20,M113&lt;&gt;"m",OR(RIGHT(K113,3)="Lab",RIGHT(K113,3)="Tut")),0.5,IF(AND(M113&gt;=20,M113&lt;&gt;"m",RIGHT(K113,2)="TL"),0.75,0)))</f>
        <v>0</v>
      </c>
      <c r="P113" s="166"/>
      <c r="Q113" s="173"/>
      <c r="R113" s="65"/>
      <c r="S113" s="173"/>
      <c r="T113" s="173"/>
      <c r="U113" s="166"/>
      <c r="V113" s="166"/>
      <c r="W113" s="65"/>
      <c r="X113" s="66"/>
      <c r="Y113" s="173"/>
      <c r="Z113" s="166"/>
      <c r="AA113" s="174"/>
      <c r="AB113" s="175"/>
      <c r="AC113" s="175"/>
      <c r="AD113" s="175"/>
      <c r="AE113" s="175"/>
      <c r="AF113" s="175"/>
      <c r="AG113" s="175"/>
      <c r="AH113" s="175"/>
      <c r="AI113" s="176"/>
      <c r="AJ113" s="177"/>
      <c r="AK113" s="178"/>
      <c r="AL113" s="178"/>
      <c r="AM113" s="178"/>
      <c r="AN113" s="178"/>
      <c r="AO113" s="179"/>
      <c r="AP113" s="64"/>
      <c r="AQ113" s="65"/>
      <c r="AR113" s="65"/>
      <c r="AS113" s="65"/>
      <c r="AT113" s="173"/>
      <c r="AU113" s="177"/>
      <c r="AV113" s="178"/>
      <c r="AW113" s="178"/>
      <c r="AX113" s="179"/>
      <c r="AZ113" s="166"/>
      <c r="BA113" s="177"/>
      <c r="BB113" s="178"/>
      <c r="BC113" s="178"/>
      <c r="BD113" s="178"/>
      <c r="BE113" s="178"/>
      <c r="BF113" s="178"/>
      <c r="BG113" s="178"/>
      <c r="BH113" s="178"/>
      <c r="BI113" s="179"/>
      <c r="BJ113" s="180"/>
      <c r="BK113" s="178"/>
      <c r="BL113" s="178"/>
      <c r="BM113" s="178"/>
      <c r="BN113" s="178"/>
      <c r="BO113" s="181"/>
      <c r="BP113" s="166"/>
      <c r="BQ113" s="177"/>
      <c r="BR113" s="178"/>
      <c r="BS113" s="179"/>
      <c r="BU113" s="166"/>
      <c r="BV113" s="166"/>
      <c r="BW113" s="166"/>
      <c r="BX113" s="166"/>
      <c r="BY113" s="166"/>
      <c r="BZ113" s="166"/>
      <c r="CA113" s="166"/>
      <c r="CB113" s="166"/>
      <c r="CC113" s="166"/>
      <c r="CD113" s="177"/>
      <c r="CE113" s="181"/>
      <c r="CF113" s="177"/>
      <c r="CG113" s="181"/>
      <c r="CH113" s="177"/>
      <c r="CI113" s="182"/>
      <c r="CJ113" s="177"/>
      <c r="CK113" s="182"/>
      <c r="CL113" s="178"/>
      <c r="CM113" s="182"/>
      <c r="CN113" s="177"/>
      <c r="CO113" s="182"/>
      <c r="CP113" s="177"/>
      <c r="CQ113" s="178"/>
      <c r="CR113" s="182"/>
      <c r="CS113" s="65"/>
      <c r="CT113" s="64"/>
      <c r="CU113" s="165" t="str">
        <f t="shared" si="2"/>
        <v>ZPB</v>
      </c>
    </row>
    <row r="114" ht="60.0" customHeight="1">
      <c r="A114" s="65"/>
      <c r="B114" s="166"/>
      <c r="C114" s="167">
        <v>8.0</v>
      </c>
      <c r="D114" s="168" t="s">
        <v>185</v>
      </c>
      <c r="E114" s="169"/>
      <c r="F114" s="170"/>
      <c r="G114" s="170"/>
      <c r="H114" s="170"/>
      <c r="I114" s="170"/>
      <c r="J114" s="170"/>
      <c r="K114" s="171"/>
      <c r="L114" s="171"/>
      <c r="M114" s="171"/>
      <c r="N114" s="171"/>
      <c r="O114" s="172">
        <f t="shared" si="21"/>
        <v>0</v>
      </c>
      <c r="P114" s="166"/>
      <c r="Q114" s="173"/>
      <c r="R114" s="65"/>
      <c r="S114" s="173"/>
      <c r="T114" s="173"/>
      <c r="U114" s="166"/>
      <c r="V114" s="166"/>
      <c r="W114" s="65"/>
      <c r="X114" s="66"/>
      <c r="Y114" s="173"/>
      <c r="Z114" s="166"/>
      <c r="AA114" s="174"/>
      <c r="AB114" s="175"/>
      <c r="AC114" s="175"/>
      <c r="AD114" s="175"/>
      <c r="AE114" s="175"/>
      <c r="AF114" s="175"/>
      <c r="AG114" s="175"/>
      <c r="AH114" s="175"/>
      <c r="AI114" s="176"/>
      <c r="AJ114" s="177"/>
      <c r="AK114" s="178"/>
      <c r="AL114" s="178"/>
      <c r="AM114" s="178"/>
      <c r="AN114" s="178"/>
      <c r="AO114" s="179"/>
      <c r="AP114" s="64"/>
      <c r="AQ114" s="65"/>
      <c r="AR114" s="65"/>
      <c r="AS114" s="65"/>
      <c r="AT114" s="173"/>
      <c r="AU114" s="177"/>
      <c r="AV114" s="178"/>
      <c r="AW114" s="178"/>
      <c r="AX114" s="179"/>
      <c r="AZ114" s="166"/>
      <c r="BA114" s="177"/>
      <c r="BB114" s="178"/>
      <c r="BC114" s="178"/>
      <c r="BD114" s="178"/>
      <c r="BE114" s="178"/>
      <c r="BF114" s="178"/>
      <c r="BG114" s="178"/>
      <c r="BH114" s="178"/>
      <c r="BI114" s="179"/>
      <c r="BJ114" s="180"/>
      <c r="BK114" s="178"/>
      <c r="BL114" s="178"/>
      <c r="BM114" s="178"/>
      <c r="BN114" s="178"/>
      <c r="BO114" s="181"/>
      <c r="BP114" s="166"/>
      <c r="BQ114" s="177"/>
      <c r="BR114" s="178"/>
      <c r="BS114" s="179"/>
      <c r="BU114" s="166"/>
      <c r="BV114" s="166"/>
      <c r="BW114" s="166"/>
      <c r="BX114" s="166"/>
      <c r="BY114" s="166"/>
      <c r="BZ114" s="166"/>
      <c r="CA114" s="166"/>
      <c r="CB114" s="166"/>
      <c r="CC114" s="166"/>
      <c r="CD114" s="177"/>
      <c r="CE114" s="181"/>
      <c r="CF114" s="177"/>
      <c r="CG114" s="181"/>
      <c r="CH114" s="177"/>
      <c r="CI114" s="182"/>
      <c r="CJ114" s="177"/>
      <c r="CK114" s="182"/>
      <c r="CL114" s="178"/>
      <c r="CM114" s="182"/>
      <c r="CN114" s="177"/>
      <c r="CO114" s="182"/>
      <c r="CP114" s="177"/>
      <c r="CQ114" s="178"/>
      <c r="CR114" s="182"/>
      <c r="CS114" s="65"/>
      <c r="CT114" s="64"/>
      <c r="CU114" s="165" t="str">
        <f t="shared" si="2"/>
        <v>ZPB</v>
      </c>
    </row>
    <row r="115" ht="60.0" customHeight="1">
      <c r="A115" s="65"/>
      <c r="B115" s="166"/>
      <c r="C115" s="167">
        <v>9.0</v>
      </c>
      <c r="D115" s="168" t="s">
        <v>185</v>
      </c>
      <c r="E115" s="169"/>
      <c r="F115" s="170"/>
      <c r="G115" s="170"/>
      <c r="H115" s="170"/>
      <c r="I115" s="170"/>
      <c r="J115" s="170"/>
      <c r="K115" s="171"/>
      <c r="L115" s="171"/>
      <c r="M115" s="171"/>
      <c r="N115" s="171"/>
      <c r="O115" s="172">
        <f t="shared" si="21"/>
        <v>0</v>
      </c>
      <c r="P115" s="166"/>
      <c r="Q115" s="173"/>
      <c r="R115" s="65"/>
      <c r="S115" s="173"/>
      <c r="T115" s="173"/>
      <c r="U115" s="166"/>
      <c r="V115" s="166"/>
      <c r="W115" s="65"/>
      <c r="X115" s="66"/>
      <c r="Y115" s="173"/>
      <c r="Z115" s="166"/>
      <c r="AA115" s="174"/>
      <c r="AB115" s="175"/>
      <c r="AC115" s="175"/>
      <c r="AD115" s="175"/>
      <c r="AE115" s="175"/>
      <c r="AF115" s="175"/>
      <c r="AG115" s="175"/>
      <c r="AH115" s="175"/>
      <c r="AI115" s="176"/>
      <c r="AJ115" s="177"/>
      <c r="AK115" s="178"/>
      <c r="AL115" s="178"/>
      <c r="AM115" s="178"/>
      <c r="AN115" s="178"/>
      <c r="AO115" s="179"/>
      <c r="AP115" s="64"/>
      <c r="AQ115" s="65"/>
      <c r="AR115" s="65"/>
      <c r="AS115" s="65"/>
      <c r="AT115" s="173"/>
      <c r="AU115" s="177"/>
      <c r="AV115" s="178"/>
      <c r="AW115" s="178"/>
      <c r="AX115" s="179"/>
      <c r="AZ115" s="166"/>
      <c r="BA115" s="177"/>
      <c r="BB115" s="178"/>
      <c r="BC115" s="178"/>
      <c r="BD115" s="178"/>
      <c r="BE115" s="178"/>
      <c r="BF115" s="178"/>
      <c r="BG115" s="178"/>
      <c r="BH115" s="178"/>
      <c r="BI115" s="179"/>
      <c r="BJ115" s="180"/>
      <c r="BK115" s="178"/>
      <c r="BL115" s="178"/>
      <c r="BM115" s="178"/>
      <c r="BN115" s="178"/>
      <c r="BO115" s="181"/>
      <c r="BP115" s="166"/>
      <c r="BQ115" s="177"/>
      <c r="BR115" s="178"/>
      <c r="BS115" s="179"/>
      <c r="BU115" s="166"/>
      <c r="BV115" s="166"/>
      <c r="BW115" s="166"/>
      <c r="BX115" s="166"/>
      <c r="BY115" s="166"/>
      <c r="BZ115" s="166"/>
      <c r="CA115" s="166"/>
      <c r="CB115" s="166"/>
      <c r="CC115" s="166"/>
      <c r="CD115" s="177"/>
      <c r="CE115" s="181"/>
      <c r="CF115" s="177"/>
      <c r="CG115" s="181"/>
      <c r="CH115" s="177"/>
      <c r="CI115" s="182"/>
      <c r="CJ115" s="177"/>
      <c r="CK115" s="182"/>
      <c r="CL115" s="178"/>
      <c r="CM115" s="182"/>
      <c r="CN115" s="177"/>
      <c r="CO115" s="182"/>
      <c r="CP115" s="177"/>
      <c r="CQ115" s="178"/>
      <c r="CR115" s="182"/>
      <c r="CS115" s="65"/>
      <c r="CT115" s="64"/>
      <c r="CU115" s="165" t="str">
        <f t="shared" si="2"/>
        <v>ZPB</v>
      </c>
    </row>
    <row r="116" ht="60.0" customHeight="1">
      <c r="A116" s="65"/>
      <c r="B116" s="166"/>
      <c r="C116" s="167">
        <v>10.0</v>
      </c>
      <c r="D116" s="168" t="s">
        <v>185</v>
      </c>
      <c r="E116" s="169"/>
      <c r="F116" s="170"/>
      <c r="G116" s="170"/>
      <c r="H116" s="170"/>
      <c r="I116" s="170"/>
      <c r="J116" s="170"/>
      <c r="K116" s="171"/>
      <c r="L116" s="171"/>
      <c r="M116" s="171"/>
      <c r="N116" s="171"/>
      <c r="O116" s="172">
        <f t="shared" si="21"/>
        <v>0</v>
      </c>
      <c r="P116" s="166"/>
      <c r="Q116" s="173"/>
      <c r="R116" s="65"/>
      <c r="S116" s="173"/>
      <c r="T116" s="173"/>
      <c r="U116" s="166"/>
      <c r="V116" s="166"/>
      <c r="W116" s="65"/>
      <c r="X116" s="66"/>
      <c r="Y116" s="173"/>
      <c r="Z116" s="166"/>
      <c r="AA116" s="174"/>
      <c r="AB116" s="175"/>
      <c r="AC116" s="175"/>
      <c r="AD116" s="175"/>
      <c r="AE116" s="175"/>
      <c r="AF116" s="175"/>
      <c r="AG116" s="175"/>
      <c r="AH116" s="175"/>
      <c r="AI116" s="176"/>
      <c r="AJ116" s="177"/>
      <c r="AK116" s="178"/>
      <c r="AL116" s="178"/>
      <c r="AM116" s="178"/>
      <c r="AN116" s="178"/>
      <c r="AO116" s="179"/>
      <c r="AP116" s="64"/>
      <c r="AQ116" s="65"/>
      <c r="AR116" s="65"/>
      <c r="AS116" s="65"/>
      <c r="AT116" s="173"/>
      <c r="AU116" s="177"/>
      <c r="AV116" s="178"/>
      <c r="AW116" s="178"/>
      <c r="AX116" s="179"/>
      <c r="AZ116" s="166"/>
      <c r="BA116" s="177"/>
      <c r="BB116" s="178"/>
      <c r="BC116" s="178"/>
      <c r="BD116" s="178"/>
      <c r="BE116" s="178"/>
      <c r="BF116" s="178"/>
      <c r="BG116" s="178"/>
      <c r="BH116" s="178"/>
      <c r="BI116" s="179"/>
      <c r="BJ116" s="180"/>
      <c r="BK116" s="178"/>
      <c r="BL116" s="178"/>
      <c r="BM116" s="178"/>
      <c r="BN116" s="178"/>
      <c r="BO116" s="181"/>
      <c r="BP116" s="166"/>
      <c r="BQ116" s="177"/>
      <c r="BR116" s="178"/>
      <c r="BS116" s="179"/>
      <c r="BU116" s="166"/>
      <c r="BV116" s="166"/>
      <c r="BW116" s="166"/>
      <c r="BX116" s="166"/>
      <c r="BY116" s="166"/>
      <c r="BZ116" s="166"/>
      <c r="CA116" s="166"/>
      <c r="CB116" s="166"/>
      <c r="CC116" s="166"/>
      <c r="CD116" s="177"/>
      <c r="CE116" s="181"/>
      <c r="CF116" s="177"/>
      <c r="CG116" s="181"/>
      <c r="CH116" s="177"/>
      <c r="CI116" s="182"/>
      <c r="CJ116" s="177"/>
      <c r="CK116" s="182"/>
      <c r="CL116" s="178"/>
      <c r="CM116" s="182"/>
      <c r="CN116" s="177"/>
      <c r="CO116" s="182"/>
      <c r="CP116" s="177"/>
      <c r="CQ116" s="178"/>
      <c r="CR116" s="182"/>
      <c r="CS116" s="65"/>
      <c r="CT116" s="64"/>
      <c r="CU116" s="165" t="str">
        <f t="shared" si="2"/>
        <v>ZPB</v>
      </c>
    </row>
    <row r="117" ht="60.0" customHeight="1">
      <c r="A117" s="89"/>
      <c r="B117" s="63"/>
      <c r="C117" s="183">
        <v>11.0</v>
      </c>
      <c r="D117" s="184" t="s">
        <v>185</v>
      </c>
      <c r="E117" s="185"/>
      <c r="F117" s="186"/>
      <c r="G117" s="186"/>
      <c r="H117" s="186"/>
      <c r="I117" s="186"/>
      <c r="J117" s="186"/>
      <c r="K117" s="187"/>
      <c r="L117" s="187"/>
      <c r="M117" s="187"/>
      <c r="N117" s="187"/>
      <c r="O117" s="188">
        <f t="shared" ref="O117:O123" si="22">IF(AND(M117&lt;&gt;0,M117&lt;&gt;"m",M117&lt;&gt;"",RIGHT(K117,3)="Lec"),1,IF(AND(M117&lt;&gt;0,M117&lt;&gt;"m",M117&lt;&gt;"",OR(RIGHT(K117,3)="Lab",RIGHT(K117,3)="Tut")),0.5,IF(AND(M117&lt;&gt;0,M117&lt;&gt;"m",M117&lt;&gt;"",RIGHT(K117,2)="TL"),0.75,0)))</f>
        <v>0</v>
      </c>
      <c r="P117" s="63"/>
      <c r="Q117" s="69"/>
      <c r="R117" s="89"/>
      <c r="S117" s="69"/>
      <c r="T117" s="69"/>
      <c r="U117" s="63"/>
      <c r="V117" s="63"/>
      <c r="W117" s="89"/>
      <c r="X117" s="68"/>
      <c r="Y117" s="69"/>
      <c r="Z117" s="63"/>
      <c r="AA117" s="189"/>
      <c r="AB117" s="190"/>
      <c r="AC117" s="190"/>
      <c r="AD117" s="190"/>
      <c r="AE117" s="190"/>
      <c r="AF117" s="190"/>
      <c r="AG117" s="190"/>
      <c r="AH117" s="190"/>
      <c r="AI117" s="191"/>
      <c r="AJ117" s="192"/>
      <c r="AK117" s="193"/>
      <c r="AL117" s="193"/>
      <c r="AM117" s="193"/>
      <c r="AN117" s="193"/>
      <c r="AO117" s="194"/>
      <c r="AP117" s="103"/>
      <c r="AQ117" s="89"/>
      <c r="AR117" s="89"/>
      <c r="AS117" s="89"/>
      <c r="AT117" s="69"/>
      <c r="AU117" s="192"/>
      <c r="AV117" s="193"/>
      <c r="AW117" s="193"/>
      <c r="AX117" s="194"/>
      <c r="AY117" s="6"/>
      <c r="AZ117" s="63"/>
      <c r="BA117" s="192"/>
      <c r="BB117" s="193"/>
      <c r="BC117" s="193"/>
      <c r="BD117" s="193"/>
      <c r="BE117" s="193"/>
      <c r="BF117" s="193"/>
      <c r="BG117" s="193"/>
      <c r="BH117" s="193"/>
      <c r="BI117" s="194"/>
      <c r="BJ117" s="195"/>
      <c r="BK117" s="193"/>
      <c r="BL117" s="193"/>
      <c r="BM117" s="193"/>
      <c r="BN117" s="193"/>
      <c r="BO117" s="196"/>
      <c r="BP117" s="63"/>
      <c r="BQ117" s="192"/>
      <c r="BR117" s="193"/>
      <c r="BS117" s="194"/>
      <c r="BT117" s="6"/>
      <c r="BU117" s="63"/>
      <c r="BV117" s="63"/>
      <c r="BW117" s="63"/>
      <c r="BX117" s="63"/>
      <c r="BY117" s="63"/>
      <c r="BZ117" s="63"/>
      <c r="CA117" s="63"/>
      <c r="CB117" s="63"/>
      <c r="CC117" s="63"/>
      <c r="CD117" s="192"/>
      <c r="CE117" s="196"/>
      <c r="CF117" s="192"/>
      <c r="CG117" s="196"/>
      <c r="CH117" s="192"/>
      <c r="CI117" s="197"/>
      <c r="CJ117" s="192"/>
      <c r="CK117" s="197"/>
      <c r="CL117" s="198"/>
      <c r="CM117" s="197"/>
      <c r="CN117" s="192"/>
      <c r="CO117" s="197"/>
      <c r="CP117" s="192"/>
      <c r="CQ117" s="193"/>
      <c r="CR117" s="197"/>
      <c r="CS117" s="89"/>
      <c r="CT117" s="103"/>
      <c r="CU117" s="165" t="str">
        <f t="shared" si="2"/>
        <v>ZPB</v>
      </c>
    </row>
    <row r="118" ht="55.5" customHeight="1">
      <c r="A118" s="125">
        <v>11.0</v>
      </c>
      <c r="B118" s="126" t="s">
        <v>194</v>
      </c>
      <c r="C118" s="127">
        <v>1.0</v>
      </c>
      <c r="D118" s="128" t="s">
        <v>195</v>
      </c>
      <c r="E118" s="129"/>
      <c r="F118" s="130"/>
      <c r="G118" s="130"/>
      <c r="H118" s="130"/>
      <c r="I118" s="130"/>
      <c r="J118" s="130"/>
      <c r="K118" s="131"/>
      <c r="L118" s="131"/>
      <c r="M118" s="131"/>
      <c r="N118" s="131"/>
      <c r="O118" s="132">
        <f t="shared" si="22"/>
        <v>0</v>
      </c>
      <c r="P118" s="133">
        <f>COUNTIF(K118:K128,"TL")*0.75+COUNTIF(K118:K128,"Lec")*1+COUNTIF(K118:K128,"Lab")*0.5</f>
        <v>0</v>
      </c>
      <c r="Q118" s="134">
        <f>SUM((IF(LEFT(K118,1)="E",O118,0)),(IF(LEFT(K119,1)="E",O119,0)),(IF(LEFT(K120,1)="E",O120,0)),(IF(LEFT(K121,1)="E",O121,0)),(IF(LEFT(K122,1)="E",O122,0)),(IF(LEFT(K123,1)="E",O123,0)),(IF(LEFT(K124,1)="E",O124,0)),(IF(LEFT(K125,1)="E",O125,0)),(IF(LEFT(K126,1)="E",O126,0)),(IF(LEFT(K127,1)="E",O127,0)),(IF(LEFT(K128,1)="E",O128,0)))</f>
        <v>0</v>
      </c>
      <c r="R118" s="135">
        <f>SUM(IF(M124&lt;20,IF(K124="Plec",-1,IF(K124="PTL",-0.75,IF(K124="Plab",-0.5,0))),0),IF(M125&lt;20,IF(K125="Plec",-1,IF(K125="PTL",-0.75,IF(K125="Plab",-0.5,0))),0),IF(M126&lt;20,IF(K126="Plec",-1,IF(K126="PTL",-0.75,IF(K126="Plab",-0.5,0))),0),IF(M127&lt;20,IF(K127="Plec",-1,IF(K127="PTL",-0.75,IF(K127="Plab",-0.5,0))),0))</f>
        <v>0</v>
      </c>
      <c r="S118" s="134">
        <f>SUM(P118:R128)</f>
        <v>0</v>
      </c>
      <c r="T118" s="136">
        <f>SUM(IF(M118="M",IF(OR(K118="lec",K118="plec",K118="slec"),1,IF(OR(K118="lab",K118="plab",K118="slab",K118="tut",K118="ptut",K118="stut"),0.5,IF(OR(K118="TL",K118="pTL",K118="STL"),0.75,0))),0),IF(M119="M",IF(OR(K119="lec",K119="plec",K119="slec"),1,IF(OR(K119="lab",K119="plab",K119="slab",K119="tut",K119="ptut",K119="stut"),0.5,IF(OR(K119="TL",K119="pTL",K119="STL"),0.75,0))),0),IF(M120="M",IF(OR(K120="lec",K120="plec",K120="slec"),1,IF(OR(K120="lab",K120="plab",K120="slab",K120="tut",K120="ptut",K120="stut"),0.5,IF(OR(K120="TL",K120="pTL",K120="STL"),0.75,0))),0),IF(M121="M",IF(OR(K121="lec",K121="plec",K121="slec"),1,IF(OR(K121="lab",K121="plab",K121="slab",K121="tut",K121="ptut",K121="stut"),0.5,IF(OR(K121="TL",K121="pTL",K121="STL"),0.75,0))),0),IF(M122="M",IF(OR(K122="lec",K122="plec",K122="slec"),1,IF(OR(K122="lab",K122="plab",K122="slab",K122="tut",K122="ptut",K122="stut"),0.5,IF(OR(K122="TL",K122="pTL",K122="STL"),0.75,0))),0),IF(M123="M",IF(OR(K123="lec",K123="plec",K123="slec"),1,IF(OR(K123="lab",K123="plab",K123="slab",K123="tut",K123="ptut",K123="stut"),0.5,IF(OR(K123="TL",K123="pTL",K123="STL"),0.75,0))),0),IF(M124="M",IF(OR(K124="lec",K124="plec",K124="slec"),1,IF(OR(K124="lab",K124="plab",K124="slab",K124="tut",K124="ptut",K124="stut"),0.5,IF(OR(K124="TL",K124="pTL",K124="STL"),0.75,0))),0),IF(M125="M",IF(OR(K125="lec",K125="plec",K125="slec"),1,IF(OR(K125="lab",K125="plab",K125="slab",K125="tut",K125="ptut",K125="stut"),0.5,IF(OR(K125="TL",K125="pTL",K125="STL"),0.75,0))),0),IF(M126="M",IF(OR(K126="lec",K126="plec",K126="slec"),1,IF(OR(K126="lab",K126="plab",K126="slab",K126="tut",K126="ptut",K126="stut"),0.5,IF(OR(K126="TL",K126="pTL",K126="STL"),0.75,0))),0),IF(M127="M",IF(OR(K127="lec",K127="plec",K127="slec"),1,IF(OR(K127="lab",K127="plab",K127="slab",K127="tut",K127="ptut",K127="stut"),0.5,IF(OR(K127="TL",K127="pTL",K127="STL"),0.75,0))),0),IF(M128="M",IF(OR(K128="lec",K128="plec",K128="slec"),1,IF(OR(K128="lab",K128="plab",K128="slab",K128="tut",K128="ptut",K128="stut"),0.5,IF(OR(K128="TL",K128="pTL",K128="STL"),0.75,0))),0))</f>
        <v>0</v>
      </c>
      <c r="U118" s="137"/>
      <c r="V118" s="133"/>
      <c r="W118" s="138"/>
      <c r="X118" s="139">
        <f>S118-(T118+U118+V118+W118)</f>
        <v>0</v>
      </c>
      <c r="Y118" s="134" t="str">
        <f>CONCATENATE(SUM(O118:O128),"(",SUM(O118:O128)-X118,")")</f>
        <v>0(0)</v>
      </c>
      <c r="Z118" s="140"/>
      <c r="AA118" s="141"/>
      <c r="AB118" s="142"/>
      <c r="AC118" s="142"/>
      <c r="AD118" s="142"/>
      <c r="AE118" s="142"/>
      <c r="AF118" s="142"/>
      <c r="AG118" s="142"/>
      <c r="AH118" s="142"/>
      <c r="AI118" s="143"/>
      <c r="AJ118" s="144"/>
      <c r="AK118" s="145"/>
      <c r="AL118" s="145"/>
      <c r="AM118" s="145"/>
      <c r="AN118" s="145"/>
      <c r="AO118" s="146"/>
      <c r="AP118" s="147">
        <f>SUM(SUM(O118:O128),SUM(AI118:AI128)/2,AM118)</f>
        <v>0</v>
      </c>
      <c r="AQ118" s="148"/>
      <c r="AR118" s="148">
        <f>AP118*AQ118</f>
        <v>0</v>
      </c>
      <c r="AS118" s="148">
        <f>CT118</f>
        <v>0</v>
      </c>
      <c r="AT118" s="149">
        <f>AR118*0.75+AS118*0.25</f>
        <v>0</v>
      </c>
      <c r="AU118" s="150"/>
      <c r="AV118" s="151"/>
      <c r="AW118" s="151"/>
      <c r="AX118" s="152"/>
      <c r="AY118" s="153"/>
      <c r="AZ118" s="140"/>
      <c r="BA118" s="150"/>
      <c r="BB118" s="151"/>
      <c r="BC118" s="151"/>
      <c r="BD118" s="151"/>
      <c r="BE118" s="151"/>
      <c r="BF118" s="151"/>
      <c r="BG118" s="151"/>
      <c r="BH118" s="151"/>
      <c r="BI118" s="152"/>
      <c r="BJ118" s="154"/>
      <c r="BK118" s="151"/>
      <c r="BL118" s="151"/>
      <c r="BM118" s="151"/>
      <c r="BN118" s="151"/>
      <c r="BO118" s="155"/>
      <c r="BP118" s="140"/>
      <c r="BQ118" s="156"/>
      <c r="BR118" s="157"/>
      <c r="BS118" s="158"/>
      <c r="BT118" s="153"/>
      <c r="BU118" s="140"/>
      <c r="BV118" s="140"/>
      <c r="BW118" s="140"/>
      <c r="BX118" s="140"/>
      <c r="BY118" s="140"/>
      <c r="BZ118" s="140"/>
      <c r="CA118" s="140"/>
      <c r="CB118" s="140"/>
      <c r="CC118" s="140"/>
      <c r="CD118" s="150"/>
      <c r="CE118" s="155"/>
      <c r="CF118" s="150"/>
      <c r="CG118" s="155"/>
      <c r="CH118" s="159"/>
      <c r="CI118" s="160"/>
      <c r="CJ118" s="159"/>
      <c r="CK118" s="160"/>
      <c r="CL118" s="161"/>
      <c r="CM118" s="160"/>
      <c r="CN118" s="159"/>
      <c r="CO118" s="160"/>
      <c r="CP118" s="159"/>
      <c r="CQ118" s="162"/>
      <c r="CR118" s="160"/>
      <c r="CS118" s="163">
        <f>SUM(IF(AU118&lt;0,ABS(AU118),0),IF(AZ118&lt;0,ABS(AZ118),0),ABS(CI118),ABS(CK118),ABS(CM118),ABS(CO118),ABS(CQ118),ABS(CR118))</f>
        <v>0</v>
      </c>
      <c r="CT118" s="164">
        <f>SUM(AU118,AV118,AW118,AX118/400,AY118,AZ118,BG118,BH118*0.5,BI118*0.25,BJ118,BK118,BL118,BM118,BN118,BO118,BP118,BR118/20,BS118/100,BT118/60,BU118,BV118,BW118,BX118/4,SUM(BY118:CC128)/3,CE118,CG118/3,CI118,CK118,CM118,CO118,CQ118,CR118)</f>
        <v>0</v>
      </c>
      <c r="CU118" s="165" t="str">
        <f t="shared" si="2"/>
        <v>DPS</v>
      </c>
    </row>
    <row r="119" ht="60.0" customHeight="1">
      <c r="A119" s="65"/>
      <c r="B119" s="166"/>
      <c r="C119" s="167">
        <v>2.0</v>
      </c>
      <c r="D119" s="168" t="s">
        <v>195</v>
      </c>
      <c r="E119" s="169"/>
      <c r="F119" s="170"/>
      <c r="G119" s="170"/>
      <c r="H119" s="170"/>
      <c r="I119" s="170"/>
      <c r="J119" s="170"/>
      <c r="K119" s="171"/>
      <c r="L119" s="171"/>
      <c r="M119" s="171"/>
      <c r="N119" s="171"/>
      <c r="O119" s="172">
        <f t="shared" si="22"/>
        <v>0</v>
      </c>
      <c r="P119" s="166"/>
      <c r="Q119" s="173"/>
      <c r="R119" s="65"/>
      <c r="S119" s="173"/>
      <c r="T119" s="173"/>
      <c r="U119" s="166"/>
      <c r="V119" s="166"/>
      <c r="W119" s="65"/>
      <c r="X119" s="66"/>
      <c r="Y119" s="173"/>
      <c r="Z119" s="166"/>
      <c r="AA119" s="174"/>
      <c r="AB119" s="175"/>
      <c r="AC119" s="175"/>
      <c r="AD119" s="175"/>
      <c r="AE119" s="175"/>
      <c r="AF119" s="175"/>
      <c r="AG119" s="175"/>
      <c r="AH119" s="175"/>
      <c r="AI119" s="176"/>
      <c r="AJ119" s="177"/>
      <c r="AK119" s="178"/>
      <c r="AL119" s="178"/>
      <c r="AM119" s="178"/>
      <c r="AN119" s="178"/>
      <c r="AO119" s="179"/>
      <c r="AP119" s="64"/>
      <c r="AQ119" s="65"/>
      <c r="AR119" s="65"/>
      <c r="AS119" s="65"/>
      <c r="AT119" s="173"/>
      <c r="AU119" s="177"/>
      <c r="AV119" s="178"/>
      <c r="AW119" s="178"/>
      <c r="AX119" s="179"/>
      <c r="AZ119" s="166"/>
      <c r="BA119" s="177"/>
      <c r="BB119" s="178"/>
      <c r="BC119" s="178"/>
      <c r="BD119" s="178"/>
      <c r="BE119" s="178"/>
      <c r="BF119" s="178"/>
      <c r="BG119" s="178"/>
      <c r="BH119" s="178"/>
      <c r="BI119" s="179"/>
      <c r="BJ119" s="180"/>
      <c r="BK119" s="178"/>
      <c r="BL119" s="178"/>
      <c r="BM119" s="178"/>
      <c r="BN119" s="178"/>
      <c r="BO119" s="181"/>
      <c r="BP119" s="166"/>
      <c r="BQ119" s="177"/>
      <c r="BR119" s="178"/>
      <c r="BS119" s="179"/>
      <c r="BU119" s="166"/>
      <c r="BV119" s="166"/>
      <c r="BW119" s="166"/>
      <c r="BX119" s="166"/>
      <c r="BY119" s="166"/>
      <c r="BZ119" s="166"/>
      <c r="CA119" s="166"/>
      <c r="CB119" s="166"/>
      <c r="CC119" s="166"/>
      <c r="CD119" s="177"/>
      <c r="CE119" s="181"/>
      <c r="CF119" s="177"/>
      <c r="CG119" s="181"/>
      <c r="CH119" s="177"/>
      <c r="CI119" s="182"/>
      <c r="CJ119" s="177"/>
      <c r="CK119" s="182"/>
      <c r="CL119" s="178"/>
      <c r="CM119" s="182"/>
      <c r="CN119" s="177"/>
      <c r="CO119" s="182"/>
      <c r="CP119" s="177"/>
      <c r="CQ119" s="178"/>
      <c r="CR119" s="182"/>
      <c r="CS119" s="65"/>
      <c r="CT119" s="64"/>
      <c r="CU119" s="165" t="str">
        <f t="shared" si="2"/>
        <v>DPS</v>
      </c>
    </row>
    <row r="120" ht="60.0" customHeight="1">
      <c r="A120" s="65"/>
      <c r="B120" s="166"/>
      <c r="C120" s="167">
        <v>3.0</v>
      </c>
      <c r="D120" s="168" t="s">
        <v>195</v>
      </c>
      <c r="E120" s="169"/>
      <c r="F120" s="170"/>
      <c r="G120" s="170"/>
      <c r="H120" s="170"/>
      <c r="I120" s="170"/>
      <c r="J120" s="170"/>
      <c r="K120" s="171"/>
      <c r="L120" s="171"/>
      <c r="M120" s="171"/>
      <c r="N120" s="171"/>
      <c r="O120" s="172">
        <f t="shared" si="22"/>
        <v>0</v>
      </c>
      <c r="P120" s="166"/>
      <c r="Q120" s="173"/>
      <c r="R120" s="65"/>
      <c r="S120" s="173"/>
      <c r="T120" s="173"/>
      <c r="U120" s="166"/>
      <c r="V120" s="166"/>
      <c r="W120" s="65"/>
      <c r="X120" s="66"/>
      <c r="Y120" s="173"/>
      <c r="Z120" s="166"/>
      <c r="AA120" s="174"/>
      <c r="AB120" s="175"/>
      <c r="AC120" s="175"/>
      <c r="AD120" s="175"/>
      <c r="AE120" s="175"/>
      <c r="AF120" s="175"/>
      <c r="AG120" s="175"/>
      <c r="AH120" s="175"/>
      <c r="AI120" s="176"/>
      <c r="AJ120" s="177"/>
      <c r="AK120" s="178"/>
      <c r="AL120" s="178"/>
      <c r="AM120" s="178"/>
      <c r="AN120" s="178"/>
      <c r="AO120" s="179"/>
      <c r="AP120" s="64"/>
      <c r="AQ120" s="65"/>
      <c r="AR120" s="65"/>
      <c r="AS120" s="65"/>
      <c r="AT120" s="173"/>
      <c r="AU120" s="177"/>
      <c r="AV120" s="178"/>
      <c r="AW120" s="178"/>
      <c r="AX120" s="179"/>
      <c r="AZ120" s="166"/>
      <c r="BA120" s="177"/>
      <c r="BB120" s="178"/>
      <c r="BC120" s="178"/>
      <c r="BD120" s="178"/>
      <c r="BE120" s="178"/>
      <c r="BF120" s="178"/>
      <c r="BG120" s="178"/>
      <c r="BH120" s="178"/>
      <c r="BI120" s="179"/>
      <c r="BJ120" s="180"/>
      <c r="BK120" s="178"/>
      <c r="BL120" s="178"/>
      <c r="BM120" s="178"/>
      <c r="BN120" s="178"/>
      <c r="BO120" s="181"/>
      <c r="BP120" s="166"/>
      <c r="BQ120" s="177"/>
      <c r="BR120" s="178"/>
      <c r="BS120" s="179"/>
      <c r="BU120" s="166"/>
      <c r="BV120" s="166"/>
      <c r="BW120" s="166"/>
      <c r="BX120" s="166"/>
      <c r="BY120" s="166"/>
      <c r="BZ120" s="166"/>
      <c r="CA120" s="166"/>
      <c r="CB120" s="166"/>
      <c r="CC120" s="166"/>
      <c r="CD120" s="177"/>
      <c r="CE120" s="181"/>
      <c r="CF120" s="177"/>
      <c r="CG120" s="181"/>
      <c r="CH120" s="177"/>
      <c r="CI120" s="182"/>
      <c r="CJ120" s="177"/>
      <c r="CK120" s="182"/>
      <c r="CL120" s="178"/>
      <c r="CM120" s="182"/>
      <c r="CN120" s="177"/>
      <c r="CO120" s="182"/>
      <c r="CP120" s="177"/>
      <c r="CQ120" s="178"/>
      <c r="CR120" s="182"/>
      <c r="CS120" s="65"/>
      <c r="CT120" s="64"/>
      <c r="CU120" s="165" t="str">
        <f t="shared" si="2"/>
        <v>DPS</v>
      </c>
    </row>
    <row r="121" ht="60.0" customHeight="1">
      <c r="A121" s="65"/>
      <c r="B121" s="166"/>
      <c r="C121" s="167">
        <v>4.0</v>
      </c>
      <c r="D121" s="168" t="s">
        <v>195</v>
      </c>
      <c r="E121" s="169"/>
      <c r="F121" s="170"/>
      <c r="G121" s="170"/>
      <c r="H121" s="170"/>
      <c r="I121" s="170"/>
      <c r="J121" s="170"/>
      <c r="K121" s="171"/>
      <c r="L121" s="171"/>
      <c r="M121" s="171"/>
      <c r="N121" s="171"/>
      <c r="O121" s="172">
        <f t="shared" si="22"/>
        <v>0</v>
      </c>
      <c r="P121" s="166"/>
      <c r="Q121" s="173"/>
      <c r="R121" s="65"/>
      <c r="S121" s="173"/>
      <c r="T121" s="173"/>
      <c r="U121" s="166"/>
      <c r="V121" s="166"/>
      <c r="W121" s="65"/>
      <c r="X121" s="66"/>
      <c r="Y121" s="173"/>
      <c r="Z121" s="166"/>
      <c r="AA121" s="174"/>
      <c r="AB121" s="175"/>
      <c r="AC121" s="175"/>
      <c r="AD121" s="175"/>
      <c r="AE121" s="175"/>
      <c r="AF121" s="175"/>
      <c r="AG121" s="175"/>
      <c r="AH121" s="175"/>
      <c r="AI121" s="176"/>
      <c r="AJ121" s="177"/>
      <c r="AK121" s="178"/>
      <c r="AL121" s="178"/>
      <c r="AM121" s="178"/>
      <c r="AN121" s="178"/>
      <c r="AO121" s="179"/>
      <c r="AP121" s="64"/>
      <c r="AQ121" s="65"/>
      <c r="AR121" s="65"/>
      <c r="AS121" s="65"/>
      <c r="AT121" s="173"/>
      <c r="AU121" s="177"/>
      <c r="AV121" s="178"/>
      <c r="AW121" s="178"/>
      <c r="AX121" s="179"/>
      <c r="AZ121" s="166"/>
      <c r="BA121" s="177"/>
      <c r="BB121" s="178"/>
      <c r="BC121" s="178"/>
      <c r="BD121" s="178"/>
      <c r="BE121" s="178"/>
      <c r="BF121" s="178"/>
      <c r="BG121" s="178"/>
      <c r="BH121" s="178"/>
      <c r="BI121" s="179"/>
      <c r="BJ121" s="180"/>
      <c r="BK121" s="178"/>
      <c r="BL121" s="178"/>
      <c r="BM121" s="178"/>
      <c r="BN121" s="178"/>
      <c r="BO121" s="181"/>
      <c r="BP121" s="166"/>
      <c r="BQ121" s="177"/>
      <c r="BR121" s="178"/>
      <c r="BS121" s="179"/>
      <c r="BU121" s="166"/>
      <c r="BV121" s="166"/>
      <c r="BW121" s="166"/>
      <c r="BX121" s="166"/>
      <c r="BY121" s="166"/>
      <c r="BZ121" s="166"/>
      <c r="CA121" s="166"/>
      <c r="CB121" s="166"/>
      <c r="CC121" s="166"/>
      <c r="CD121" s="177"/>
      <c r="CE121" s="181"/>
      <c r="CF121" s="177"/>
      <c r="CG121" s="181"/>
      <c r="CH121" s="177"/>
      <c r="CI121" s="182"/>
      <c r="CJ121" s="177"/>
      <c r="CK121" s="182"/>
      <c r="CL121" s="178"/>
      <c r="CM121" s="182"/>
      <c r="CN121" s="177"/>
      <c r="CO121" s="182"/>
      <c r="CP121" s="177"/>
      <c r="CQ121" s="178"/>
      <c r="CR121" s="182"/>
      <c r="CS121" s="65"/>
      <c r="CT121" s="64"/>
      <c r="CU121" s="165" t="str">
        <f t="shared" si="2"/>
        <v>DPS</v>
      </c>
    </row>
    <row r="122" ht="60.0" customHeight="1">
      <c r="A122" s="65"/>
      <c r="B122" s="166"/>
      <c r="C122" s="167">
        <v>5.0</v>
      </c>
      <c r="D122" s="168" t="s">
        <v>195</v>
      </c>
      <c r="E122" s="169"/>
      <c r="F122" s="170"/>
      <c r="G122" s="170"/>
      <c r="H122" s="170"/>
      <c r="I122" s="170"/>
      <c r="J122" s="170"/>
      <c r="K122" s="171"/>
      <c r="L122" s="171"/>
      <c r="M122" s="171"/>
      <c r="N122" s="171"/>
      <c r="O122" s="172">
        <f t="shared" si="22"/>
        <v>0</v>
      </c>
      <c r="P122" s="166"/>
      <c r="Q122" s="173"/>
      <c r="R122" s="65"/>
      <c r="S122" s="173"/>
      <c r="T122" s="173"/>
      <c r="U122" s="166"/>
      <c r="V122" s="166"/>
      <c r="W122" s="65"/>
      <c r="X122" s="66"/>
      <c r="Y122" s="173"/>
      <c r="Z122" s="166"/>
      <c r="AA122" s="174"/>
      <c r="AB122" s="175"/>
      <c r="AC122" s="175"/>
      <c r="AD122" s="175"/>
      <c r="AE122" s="175"/>
      <c r="AF122" s="175"/>
      <c r="AG122" s="175"/>
      <c r="AH122" s="175"/>
      <c r="AI122" s="176"/>
      <c r="AJ122" s="177"/>
      <c r="AK122" s="178"/>
      <c r="AL122" s="178"/>
      <c r="AM122" s="178"/>
      <c r="AN122" s="178"/>
      <c r="AO122" s="179"/>
      <c r="AP122" s="64"/>
      <c r="AQ122" s="65"/>
      <c r="AR122" s="65"/>
      <c r="AS122" s="65"/>
      <c r="AT122" s="173"/>
      <c r="AU122" s="177"/>
      <c r="AV122" s="178"/>
      <c r="AW122" s="178"/>
      <c r="AX122" s="179"/>
      <c r="AZ122" s="166"/>
      <c r="BA122" s="177"/>
      <c r="BB122" s="178"/>
      <c r="BC122" s="178"/>
      <c r="BD122" s="178"/>
      <c r="BE122" s="178"/>
      <c r="BF122" s="178"/>
      <c r="BG122" s="178"/>
      <c r="BH122" s="178"/>
      <c r="BI122" s="179"/>
      <c r="BJ122" s="180"/>
      <c r="BK122" s="178"/>
      <c r="BL122" s="178"/>
      <c r="BM122" s="178"/>
      <c r="BN122" s="178"/>
      <c r="BO122" s="181"/>
      <c r="BP122" s="166"/>
      <c r="BQ122" s="177"/>
      <c r="BR122" s="178"/>
      <c r="BS122" s="179"/>
      <c r="BU122" s="166"/>
      <c r="BV122" s="166"/>
      <c r="BW122" s="166"/>
      <c r="BX122" s="166"/>
      <c r="BY122" s="166"/>
      <c r="BZ122" s="166"/>
      <c r="CA122" s="166"/>
      <c r="CB122" s="166"/>
      <c r="CC122" s="166"/>
      <c r="CD122" s="177"/>
      <c r="CE122" s="181"/>
      <c r="CF122" s="177"/>
      <c r="CG122" s="181"/>
      <c r="CH122" s="177"/>
      <c r="CI122" s="182"/>
      <c r="CJ122" s="177"/>
      <c r="CK122" s="182"/>
      <c r="CL122" s="178"/>
      <c r="CM122" s="182"/>
      <c r="CN122" s="177"/>
      <c r="CO122" s="182"/>
      <c r="CP122" s="177"/>
      <c r="CQ122" s="178"/>
      <c r="CR122" s="182"/>
      <c r="CS122" s="65"/>
      <c r="CT122" s="64"/>
      <c r="CU122" s="165" t="str">
        <f t="shared" si="2"/>
        <v>DPS</v>
      </c>
    </row>
    <row r="123" ht="60.0" customHeight="1">
      <c r="A123" s="65"/>
      <c r="B123" s="166"/>
      <c r="C123" s="167">
        <v>6.0</v>
      </c>
      <c r="D123" s="168" t="s">
        <v>195</v>
      </c>
      <c r="E123" s="169"/>
      <c r="F123" s="170"/>
      <c r="G123" s="170"/>
      <c r="H123" s="170"/>
      <c r="I123" s="170"/>
      <c r="J123" s="170"/>
      <c r="K123" s="171"/>
      <c r="L123" s="171"/>
      <c r="M123" s="171"/>
      <c r="N123" s="171"/>
      <c r="O123" s="172">
        <f t="shared" si="22"/>
        <v>0</v>
      </c>
      <c r="P123" s="166"/>
      <c r="Q123" s="173"/>
      <c r="R123" s="65"/>
      <c r="S123" s="173"/>
      <c r="T123" s="173"/>
      <c r="U123" s="166"/>
      <c r="V123" s="166"/>
      <c r="W123" s="65"/>
      <c r="X123" s="66"/>
      <c r="Y123" s="173"/>
      <c r="Z123" s="166"/>
      <c r="AA123" s="174"/>
      <c r="AB123" s="175"/>
      <c r="AC123" s="175"/>
      <c r="AD123" s="175"/>
      <c r="AE123" s="175"/>
      <c r="AF123" s="175"/>
      <c r="AG123" s="175"/>
      <c r="AH123" s="175"/>
      <c r="AI123" s="176"/>
      <c r="AJ123" s="177"/>
      <c r="AK123" s="178"/>
      <c r="AL123" s="178"/>
      <c r="AM123" s="178"/>
      <c r="AN123" s="178"/>
      <c r="AO123" s="179"/>
      <c r="AP123" s="64"/>
      <c r="AQ123" s="65"/>
      <c r="AR123" s="65"/>
      <c r="AS123" s="65"/>
      <c r="AT123" s="173"/>
      <c r="AU123" s="177"/>
      <c r="AV123" s="178"/>
      <c r="AW123" s="178"/>
      <c r="AX123" s="179"/>
      <c r="AZ123" s="166"/>
      <c r="BA123" s="177"/>
      <c r="BB123" s="178"/>
      <c r="BC123" s="178"/>
      <c r="BD123" s="178"/>
      <c r="BE123" s="178"/>
      <c r="BF123" s="178"/>
      <c r="BG123" s="178"/>
      <c r="BH123" s="178"/>
      <c r="BI123" s="179"/>
      <c r="BJ123" s="180"/>
      <c r="BK123" s="178"/>
      <c r="BL123" s="178"/>
      <c r="BM123" s="178"/>
      <c r="BN123" s="178"/>
      <c r="BO123" s="181"/>
      <c r="BP123" s="166"/>
      <c r="BQ123" s="177"/>
      <c r="BR123" s="178"/>
      <c r="BS123" s="179"/>
      <c r="BU123" s="166"/>
      <c r="BV123" s="166"/>
      <c r="BW123" s="166"/>
      <c r="BX123" s="166"/>
      <c r="BY123" s="166"/>
      <c r="BZ123" s="166"/>
      <c r="CA123" s="166"/>
      <c r="CB123" s="166"/>
      <c r="CC123" s="166"/>
      <c r="CD123" s="177"/>
      <c r="CE123" s="181"/>
      <c r="CF123" s="177"/>
      <c r="CG123" s="181"/>
      <c r="CH123" s="177"/>
      <c r="CI123" s="182"/>
      <c r="CJ123" s="177"/>
      <c r="CK123" s="182"/>
      <c r="CL123" s="178"/>
      <c r="CM123" s="182"/>
      <c r="CN123" s="177"/>
      <c r="CO123" s="182"/>
      <c r="CP123" s="177"/>
      <c r="CQ123" s="178"/>
      <c r="CR123" s="182"/>
      <c r="CS123" s="65"/>
      <c r="CT123" s="64"/>
      <c r="CU123" s="165" t="str">
        <f t="shared" si="2"/>
        <v>DPS</v>
      </c>
    </row>
    <row r="124" ht="60.0" customHeight="1">
      <c r="A124" s="65"/>
      <c r="B124" s="166"/>
      <c r="C124" s="167">
        <v>7.0</v>
      </c>
      <c r="D124" s="168" t="s">
        <v>195</v>
      </c>
      <c r="E124" s="169"/>
      <c r="F124" s="170"/>
      <c r="G124" s="170"/>
      <c r="H124" s="170"/>
      <c r="I124" s="170"/>
      <c r="J124" s="170"/>
      <c r="K124" s="171"/>
      <c r="L124" s="171"/>
      <c r="M124" s="171"/>
      <c r="N124" s="171"/>
      <c r="O124" s="172">
        <f t="shared" ref="O124:O127" si="23">IF(AND(M124&gt;=20,M124&lt;&gt;"m",RIGHT(K124,3)="Lec"),1,IF(AND(M124&gt;=20,M124&lt;&gt;"m",OR(RIGHT(K124,3)="Lab",RIGHT(K124,3)="Tut")),0.5,IF(AND(M124&gt;=20,M124&lt;&gt;"m",RIGHT(K124,2)="TL"),0.75,0)))</f>
        <v>0</v>
      </c>
      <c r="P124" s="166"/>
      <c r="Q124" s="173"/>
      <c r="R124" s="65"/>
      <c r="S124" s="173"/>
      <c r="T124" s="173"/>
      <c r="U124" s="166"/>
      <c r="V124" s="166"/>
      <c r="W124" s="65"/>
      <c r="X124" s="66"/>
      <c r="Y124" s="173"/>
      <c r="Z124" s="166"/>
      <c r="AA124" s="174"/>
      <c r="AB124" s="175"/>
      <c r="AC124" s="175"/>
      <c r="AD124" s="175"/>
      <c r="AE124" s="175"/>
      <c r="AF124" s="175"/>
      <c r="AG124" s="175"/>
      <c r="AH124" s="175"/>
      <c r="AI124" s="176"/>
      <c r="AJ124" s="177"/>
      <c r="AK124" s="178"/>
      <c r="AL124" s="178"/>
      <c r="AM124" s="178"/>
      <c r="AN124" s="178"/>
      <c r="AO124" s="179"/>
      <c r="AP124" s="64"/>
      <c r="AQ124" s="65"/>
      <c r="AR124" s="65"/>
      <c r="AS124" s="65"/>
      <c r="AT124" s="173"/>
      <c r="AU124" s="177"/>
      <c r="AV124" s="178"/>
      <c r="AW124" s="178"/>
      <c r="AX124" s="179"/>
      <c r="AZ124" s="166"/>
      <c r="BA124" s="177"/>
      <c r="BB124" s="178"/>
      <c r="BC124" s="178"/>
      <c r="BD124" s="178"/>
      <c r="BE124" s="178"/>
      <c r="BF124" s="178"/>
      <c r="BG124" s="178"/>
      <c r="BH124" s="178"/>
      <c r="BI124" s="179"/>
      <c r="BJ124" s="180"/>
      <c r="BK124" s="178"/>
      <c r="BL124" s="178"/>
      <c r="BM124" s="178"/>
      <c r="BN124" s="178"/>
      <c r="BO124" s="181"/>
      <c r="BP124" s="166"/>
      <c r="BQ124" s="177"/>
      <c r="BR124" s="178"/>
      <c r="BS124" s="179"/>
      <c r="BU124" s="166"/>
      <c r="BV124" s="166"/>
      <c r="BW124" s="166"/>
      <c r="BX124" s="166"/>
      <c r="BY124" s="166"/>
      <c r="BZ124" s="166"/>
      <c r="CA124" s="166"/>
      <c r="CB124" s="166"/>
      <c r="CC124" s="166"/>
      <c r="CD124" s="177"/>
      <c r="CE124" s="181"/>
      <c r="CF124" s="177"/>
      <c r="CG124" s="181"/>
      <c r="CH124" s="177"/>
      <c r="CI124" s="182"/>
      <c r="CJ124" s="177"/>
      <c r="CK124" s="182"/>
      <c r="CL124" s="178"/>
      <c r="CM124" s="182"/>
      <c r="CN124" s="177"/>
      <c r="CO124" s="182"/>
      <c r="CP124" s="177"/>
      <c r="CQ124" s="178"/>
      <c r="CR124" s="182"/>
      <c r="CS124" s="65"/>
      <c r="CT124" s="64"/>
      <c r="CU124" s="165" t="str">
        <f t="shared" si="2"/>
        <v>DPS</v>
      </c>
    </row>
    <row r="125" ht="60.0" customHeight="1">
      <c r="A125" s="65"/>
      <c r="B125" s="166"/>
      <c r="C125" s="167">
        <v>8.0</v>
      </c>
      <c r="D125" s="168" t="s">
        <v>195</v>
      </c>
      <c r="E125" s="169"/>
      <c r="F125" s="170"/>
      <c r="G125" s="170"/>
      <c r="H125" s="170"/>
      <c r="I125" s="170"/>
      <c r="J125" s="170"/>
      <c r="K125" s="171"/>
      <c r="L125" s="171"/>
      <c r="M125" s="171"/>
      <c r="N125" s="171"/>
      <c r="O125" s="172">
        <f t="shared" si="23"/>
        <v>0</v>
      </c>
      <c r="P125" s="166"/>
      <c r="Q125" s="173"/>
      <c r="R125" s="65"/>
      <c r="S125" s="173"/>
      <c r="T125" s="173"/>
      <c r="U125" s="166"/>
      <c r="V125" s="166"/>
      <c r="W125" s="65"/>
      <c r="X125" s="66"/>
      <c r="Y125" s="173"/>
      <c r="Z125" s="166"/>
      <c r="AA125" s="174"/>
      <c r="AB125" s="175"/>
      <c r="AC125" s="175"/>
      <c r="AD125" s="175"/>
      <c r="AE125" s="175"/>
      <c r="AF125" s="175"/>
      <c r="AG125" s="175"/>
      <c r="AH125" s="175"/>
      <c r="AI125" s="176"/>
      <c r="AJ125" s="177"/>
      <c r="AK125" s="178"/>
      <c r="AL125" s="178"/>
      <c r="AM125" s="178"/>
      <c r="AN125" s="178"/>
      <c r="AO125" s="179"/>
      <c r="AP125" s="64"/>
      <c r="AQ125" s="65"/>
      <c r="AR125" s="65"/>
      <c r="AS125" s="65"/>
      <c r="AT125" s="173"/>
      <c r="AU125" s="177"/>
      <c r="AV125" s="178"/>
      <c r="AW125" s="178"/>
      <c r="AX125" s="179"/>
      <c r="AZ125" s="166"/>
      <c r="BA125" s="177"/>
      <c r="BB125" s="178"/>
      <c r="BC125" s="178"/>
      <c r="BD125" s="178"/>
      <c r="BE125" s="178"/>
      <c r="BF125" s="178"/>
      <c r="BG125" s="178"/>
      <c r="BH125" s="178"/>
      <c r="BI125" s="179"/>
      <c r="BJ125" s="180"/>
      <c r="BK125" s="178"/>
      <c r="BL125" s="178"/>
      <c r="BM125" s="178"/>
      <c r="BN125" s="178"/>
      <c r="BO125" s="181"/>
      <c r="BP125" s="166"/>
      <c r="BQ125" s="177"/>
      <c r="BR125" s="178"/>
      <c r="BS125" s="179"/>
      <c r="BU125" s="166"/>
      <c r="BV125" s="166"/>
      <c r="BW125" s="166"/>
      <c r="BX125" s="166"/>
      <c r="BY125" s="166"/>
      <c r="BZ125" s="166"/>
      <c r="CA125" s="166"/>
      <c r="CB125" s="166"/>
      <c r="CC125" s="166"/>
      <c r="CD125" s="177"/>
      <c r="CE125" s="181"/>
      <c r="CF125" s="177"/>
      <c r="CG125" s="181"/>
      <c r="CH125" s="177"/>
      <c r="CI125" s="182"/>
      <c r="CJ125" s="177"/>
      <c r="CK125" s="182"/>
      <c r="CL125" s="178"/>
      <c r="CM125" s="182"/>
      <c r="CN125" s="177"/>
      <c r="CO125" s="182"/>
      <c r="CP125" s="177"/>
      <c r="CQ125" s="178"/>
      <c r="CR125" s="182"/>
      <c r="CS125" s="65"/>
      <c r="CT125" s="64"/>
      <c r="CU125" s="165" t="str">
        <f t="shared" si="2"/>
        <v>DPS</v>
      </c>
    </row>
    <row r="126" ht="60.0" customHeight="1">
      <c r="A126" s="65"/>
      <c r="B126" s="166"/>
      <c r="C126" s="167">
        <v>9.0</v>
      </c>
      <c r="D126" s="168" t="s">
        <v>195</v>
      </c>
      <c r="E126" s="169"/>
      <c r="F126" s="170"/>
      <c r="G126" s="170"/>
      <c r="H126" s="170"/>
      <c r="I126" s="170"/>
      <c r="J126" s="170"/>
      <c r="K126" s="171"/>
      <c r="L126" s="171"/>
      <c r="M126" s="171"/>
      <c r="N126" s="171"/>
      <c r="O126" s="172">
        <f t="shared" si="23"/>
        <v>0</v>
      </c>
      <c r="P126" s="166"/>
      <c r="Q126" s="173"/>
      <c r="R126" s="65"/>
      <c r="S126" s="173"/>
      <c r="T126" s="173"/>
      <c r="U126" s="166"/>
      <c r="V126" s="166"/>
      <c r="W126" s="65"/>
      <c r="X126" s="66"/>
      <c r="Y126" s="173"/>
      <c r="Z126" s="166"/>
      <c r="AA126" s="174"/>
      <c r="AB126" s="175"/>
      <c r="AC126" s="175"/>
      <c r="AD126" s="175"/>
      <c r="AE126" s="175"/>
      <c r="AF126" s="175"/>
      <c r="AG126" s="175"/>
      <c r="AH126" s="175"/>
      <c r="AI126" s="176"/>
      <c r="AJ126" s="177"/>
      <c r="AK126" s="178"/>
      <c r="AL126" s="178"/>
      <c r="AM126" s="178"/>
      <c r="AN126" s="178"/>
      <c r="AO126" s="179"/>
      <c r="AP126" s="64"/>
      <c r="AQ126" s="65"/>
      <c r="AR126" s="65"/>
      <c r="AS126" s="65"/>
      <c r="AT126" s="173"/>
      <c r="AU126" s="177"/>
      <c r="AV126" s="178"/>
      <c r="AW126" s="178"/>
      <c r="AX126" s="179"/>
      <c r="AZ126" s="166"/>
      <c r="BA126" s="177"/>
      <c r="BB126" s="178"/>
      <c r="BC126" s="178"/>
      <c r="BD126" s="178"/>
      <c r="BE126" s="178"/>
      <c r="BF126" s="178"/>
      <c r="BG126" s="178"/>
      <c r="BH126" s="178"/>
      <c r="BI126" s="179"/>
      <c r="BJ126" s="180"/>
      <c r="BK126" s="178"/>
      <c r="BL126" s="178"/>
      <c r="BM126" s="178"/>
      <c r="BN126" s="178"/>
      <c r="BO126" s="181"/>
      <c r="BP126" s="166"/>
      <c r="BQ126" s="177"/>
      <c r="BR126" s="178"/>
      <c r="BS126" s="179"/>
      <c r="BU126" s="166"/>
      <c r="BV126" s="166"/>
      <c r="BW126" s="166"/>
      <c r="BX126" s="166"/>
      <c r="BY126" s="166"/>
      <c r="BZ126" s="166"/>
      <c r="CA126" s="166"/>
      <c r="CB126" s="166"/>
      <c r="CC126" s="166"/>
      <c r="CD126" s="177"/>
      <c r="CE126" s="181"/>
      <c r="CF126" s="177"/>
      <c r="CG126" s="181"/>
      <c r="CH126" s="177"/>
      <c r="CI126" s="182"/>
      <c r="CJ126" s="177"/>
      <c r="CK126" s="182"/>
      <c r="CL126" s="178"/>
      <c r="CM126" s="182"/>
      <c r="CN126" s="177"/>
      <c r="CO126" s="182"/>
      <c r="CP126" s="177"/>
      <c r="CQ126" s="178"/>
      <c r="CR126" s="182"/>
      <c r="CS126" s="65"/>
      <c r="CT126" s="64"/>
      <c r="CU126" s="165" t="str">
        <f t="shared" si="2"/>
        <v>DPS</v>
      </c>
    </row>
    <row r="127" ht="60.0" customHeight="1">
      <c r="A127" s="65"/>
      <c r="B127" s="166"/>
      <c r="C127" s="167">
        <v>10.0</v>
      </c>
      <c r="D127" s="168" t="s">
        <v>195</v>
      </c>
      <c r="E127" s="169"/>
      <c r="F127" s="170"/>
      <c r="G127" s="170"/>
      <c r="H127" s="170"/>
      <c r="I127" s="170"/>
      <c r="J127" s="170"/>
      <c r="K127" s="171"/>
      <c r="L127" s="171"/>
      <c r="M127" s="171"/>
      <c r="N127" s="171"/>
      <c r="O127" s="172">
        <f t="shared" si="23"/>
        <v>0</v>
      </c>
      <c r="P127" s="166"/>
      <c r="Q127" s="173"/>
      <c r="R127" s="65"/>
      <c r="S127" s="173"/>
      <c r="T127" s="173"/>
      <c r="U127" s="166"/>
      <c r="V127" s="166"/>
      <c r="W127" s="65"/>
      <c r="X127" s="66"/>
      <c r="Y127" s="173"/>
      <c r="Z127" s="166"/>
      <c r="AA127" s="174"/>
      <c r="AB127" s="175"/>
      <c r="AC127" s="175"/>
      <c r="AD127" s="175"/>
      <c r="AE127" s="175"/>
      <c r="AF127" s="175"/>
      <c r="AG127" s="175"/>
      <c r="AH127" s="175"/>
      <c r="AI127" s="176"/>
      <c r="AJ127" s="177"/>
      <c r="AK127" s="178"/>
      <c r="AL127" s="178"/>
      <c r="AM127" s="178"/>
      <c r="AN127" s="178"/>
      <c r="AO127" s="179"/>
      <c r="AP127" s="64"/>
      <c r="AQ127" s="65"/>
      <c r="AR127" s="65"/>
      <c r="AS127" s="65"/>
      <c r="AT127" s="173"/>
      <c r="AU127" s="177"/>
      <c r="AV127" s="178"/>
      <c r="AW127" s="178"/>
      <c r="AX127" s="179"/>
      <c r="AZ127" s="166"/>
      <c r="BA127" s="177"/>
      <c r="BB127" s="178"/>
      <c r="BC127" s="178"/>
      <c r="BD127" s="178"/>
      <c r="BE127" s="178"/>
      <c r="BF127" s="178"/>
      <c r="BG127" s="178"/>
      <c r="BH127" s="178"/>
      <c r="BI127" s="179"/>
      <c r="BJ127" s="180"/>
      <c r="BK127" s="178"/>
      <c r="BL127" s="178"/>
      <c r="BM127" s="178"/>
      <c r="BN127" s="178"/>
      <c r="BO127" s="181"/>
      <c r="BP127" s="166"/>
      <c r="BQ127" s="177"/>
      <c r="BR127" s="178"/>
      <c r="BS127" s="179"/>
      <c r="BU127" s="166"/>
      <c r="BV127" s="166"/>
      <c r="BW127" s="166"/>
      <c r="BX127" s="166"/>
      <c r="BY127" s="166"/>
      <c r="BZ127" s="166"/>
      <c r="CA127" s="166"/>
      <c r="CB127" s="166"/>
      <c r="CC127" s="166"/>
      <c r="CD127" s="177"/>
      <c r="CE127" s="181"/>
      <c r="CF127" s="177"/>
      <c r="CG127" s="181"/>
      <c r="CH127" s="177"/>
      <c r="CI127" s="182"/>
      <c r="CJ127" s="177"/>
      <c r="CK127" s="182"/>
      <c r="CL127" s="178"/>
      <c r="CM127" s="182"/>
      <c r="CN127" s="177"/>
      <c r="CO127" s="182"/>
      <c r="CP127" s="177"/>
      <c r="CQ127" s="178"/>
      <c r="CR127" s="182"/>
      <c r="CS127" s="65"/>
      <c r="CT127" s="64"/>
      <c r="CU127" s="165" t="str">
        <f t="shared" si="2"/>
        <v>DPS</v>
      </c>
    </row>
    <row r="128" ht="60.75" customHeight="1">
      <c r="A128" s="89"/>
      <c r="B128" s="63"/>
      <c r="C128" s="183">
        <v>11.0</v>
      </c>
      <c r="D128" s="184" t="s">
        <v>195</v>
      </c>
      <c r="E128" s="185"/>
      <c r="F128" s="186"/>
      <c r="G128" s="186"/>
      <c r="H128" s="186"/>
      <c r="I128" s="186"/>
      <c r="J128" s="186"/>
      <c r="K128" s="187"/>
      <c r="L128" s="187"/>
      <c r="M128" s="187"/>
      <c r="N128" s="187"/>
      <c r="O128" s="188">
        <f t="shared" ref="O128:O134" si="24">IF(AND(M128&lt;&gt;0,M128&lt;&gt;"m",M128&lt;&gt;"",RIGHT(K128,3)="Lec"),1,IF(AND(M128&lt;&gt;0,M128&lt;&gt;"m",M128&lt;&gt;"",OR(RIGHT(K128,3)="Lab",RIGHT(K128,3)="Tut")),0.5,IF(AND(M128&lt;&gt;0,M128&lt;&gt;"m",M128&lt;&gt;"",RIGHT(K128,2)="TL"),0.75,0)))</f>
        <v>0</v>
      </c>
      <c r="P128" s="63"/>
      <c r="Q128" s="69"/>
      <c r="R128" s="89"/>
      <c r="S128" s="69"/>
      <c r="T128" s="69"/>
      <c r="U128" s="63"/>
      <c r="V128" s="63"/>
      <c r="W128" s="89"/>
      <c r="X128" s="68"/>
      <c r="Y128" s="69"/>
      <c r="Z128" s="63"/>
      <c r="AA128" s="189"/>
      <c r="AB128" s="190"/>
      <c r="AC128" s="190"/>
      <c r="AD128" s="190"/>
      <c r="AE128" s="190"/>
      <c r="AF128" s="190"/>
      <c r="AG128" s="190"/>
      <c r="AH128" s="190"/>
      <c r="AI128" s="191"/>
      <c r="AJ128" s="192"/>
      <c r="AK128" s="193"/>
      <c r="AL128" s="193"/>
      <c r="AM128" s="193"/>
      <c r="AN128" s="193"/>
      <c r="AO128" s="194"/>
      <c r="AP128" s="103"/>
      <c r="AQ128" s="89"/>
      <c r="AR128" s="89"/>
      <c r="AS128" s="89"/>
      <c r="AT128" s="69"/>
      <c r="AU128" s="192"/>
      <c r="AV128" s="193"/>
      <c r="AW128" s="193"/>
      <c r="AX128" s="194"/>
      <c r="AY128" s="6"/>
      <c r="AZ128" s="63"/>
      <c r="BA128" s="192"/>
      <c r="BB128" s="193"/>
      <c r="BC128" s="193"/>
      <c r="BD128" s="193"/>
      <c r="BE128" s="193"/>
      <c r="BF128" s="193"/>
      <c r="BG128" s="193"/>
      <c r="BH128" s="193"/>
      <c r="BI128" s="194"/>
      <c r="BJ128" s="195"/>
      <c r="BK128" s="193"/>
      <c r="BL128" s="193"/>
      <c r="BM128" s="193"/>
      <c r="BN128" s="193"/>
      <c r="BO128" s="196"/>
      <c r="BP128" s="63"/>
      <c r="BQ128" s="192"/>
      <c r="BR128" s="193"/>
      <c r="BS128" s="194"/>
      <c r="BT128" s="6"/>
      <c r="BU128" s="63"/>
      <c r="BV128" s="63"/>
      <c r="BW128" s="63"/>
      <c r="BX128" s="63"/>
      <c r="BY128" s="63"/>
      <c r="BZ128" s="63"/>
      <c r="CA128" s="63"/>
      <c r="CB128" s="63"/>
      <c r="CC128" s="63"/>
      <c r="CD128" s="192"/>
      <c r="CE128" s="196"/>
      <c r="CF128" s="192"/>
      <c r="CG128" s="196"/>
      <c r="CH128" s="192"/>
      <c r="CI128" s="197"/>
      <c r="CJ128" s="192"/>
      <c r="CK128" s="197"/>
      <c r="CL128" s="198"/>
      <c r="CM128" s="197"/>
      <c r="CN128" s="192"/>
      <c r="CO128" s="197"/>
      <c r="CP128" s="192"/>
      <c r="CQ128" s="193"/>
      <c r="CR128" s="197"/>
      <c r="CS128" s="89"/>
      <c r="CT128" s="103"/>
      <c r="CU128" s="165" t="str">
        <f t="shared" si="2"/>
        <v>DPS</v>
      </c>
    </row>
    <row r="129" ht="55.5" customHeight="1">
      <c r="A129" s="125">
        <v>12.0</v>
      </c>
      <c r="B129" s="126" t="s">
        <v>196</v>
      </c>
      <c r="C129" s="127">
        <v>1.0</v>
      </c>
      <c r="D129" s="128" t="s">
        <v>197</v>
      </c>
      <c r="E129" s="129"/>
      <c r="F129" s="130"/>
      <c r="G129" s="130"/>
      <c r="H129" s="130"/>
      <c r="I129" s="130"/>
      <c r="J129" s="130"/>
      <c r="K129" s="131"/>
      <c r="L129" s="131"/>
      <c r="M129" s="131"/>
      <c r="N129" s="131"/>
      <c r="O129" s="132">
        <f t="shared" si="24"/>
        <v>0</v>
      </c>
      <c r="P129" s="133">
        <f>COUNTIF(K129:K139,"TL")*0.75+COUNTIF(K129:K139,"Lec")*1+COUNTIF(K129:K139,"Lab")*0.5</f>
        <v>0</v>
      </c>
      <c r="Q129" s="134">
        <f>SUM((IF(LEFT(K129,1)="E",O129,0)),(IF(LEFT(K130,1)="E",O130,0)),(IF(LEFT(K131,1)="E",O131,0)),(IF(LEFT(K132,1)="E",O132,0)),(IF(LEFT(K133,1)="E",O133,0)),(IF(LEFT(K134,1)="E",O134,0)),(IF(LEFT(K135,1)="E",O135,0)),(IF(LEFT(K136,1)="E",O136,0)),(IF(LEFT(K137,1)="E",O137,0)),(IF(LEFT(K138,1)="E",O138,0)),(IF(LEFT(K139,1)="E",O139,0)))</f>
        <v>0</v>
      </c>
      <c r="R129" s="135">
        <f>SUM(IF(M135&lt;20,IF(K135="Plec",-1,IF(K135="PTL",-0.75,IF(K135="Plab",-0.5,0))),0),IF(M136&lt;20,IF(K136="Plec",-1,IF(K136="PTL",-0.75,IF(K136="Plab",-0.5,0))),0),IF(M137&lt;20,IF(K137="Plec",-1,IF(K137="PTL",-0.75,IF(K137="Plab",-0.5,0))),0),IF(M138&lt;20,IF(K138="Plec",-1,IF(K138="PTL",-0.75,IF(K138="Plab",-0.5,0))),0))</f>
        <v>0</v>
      </c>
      <c r="S129" s="134">
        <f>SUM(P129:R139)</f>
        <v>0</v>
      </c>
      <c r="T129" s="136">
        <f>SUM(IF(M129="M",IF(OR(K129="lec",K129="plec",K129="slec"),1,IF(OR(K129="lab",K129="plab",K129="slab",K129="tut",K129="ptut",K129="stut"),0.5,IF(OR(K129="TL",K129="pTL",K129="STL"),0.75,0))),0),IF(M130="M",IF(OR(K130="lec",K130="plec",K130="slec"),1,IF(OR(K130="lab",K130="plab",K130="slab",K130="tut",K130="ptut",K130="stut"),0.5,IF(OR(K130="TL",K130="pTL",K130="STL"),0.75,0))),0),IF(M131="M",IF(OR(K131="lec",K131="plec",K131="slec"),1,IF(OR(K131="lab",K131="plab",K131="slab",K131="tut",K131="ptut",K131="stut"),0.5,IF(OR(K131="TL",K131="pTL",K131="STL"),0.75,0))),0),IF(M132="M",IF(OR(K132="lec",K132="plec",K132="slec"),1,IF(OR(K132="lab",K132="plab",K132="slab",K132="tut",K132="ptut",K132="stut"),0.5,IF(OR(K132="TL",K132="pTL",K132="STL"),0.75,0))),0),IF(M133="M",IF(OR(K133="lec",K133="plec",K133="slec"),1,IF(OR(K133="lab",K133="plab",K133="slab",K133="tut",K133="ptut",K133="stut"),0.5,IF(OR(K133="TL",K133="pTL",K133="STL"),0.75,0))),0),IF(M134="M",IF(OR(K134="lec",K134="plec",K134="slec"),1,IF(OR(K134="lab",K134="plab",K134="slab",K134="tut",K134="ptut",K134="stut"),0.5,IF(OR(K134="TL",K134="pTL",K134="STL"),0.75,0))),0),IF(M135="M",IF(OR(K135="lec",K135="plec",K135="slec"),1,IF(OR(K135="lab",K135="plab",K135="slab",K135="tut",K135="ptut",K135="stut"),0.5,IF(OR(K135="TL",K135="pTL",K135="STL"),0.75,0))),0),IF(M136="M",IF(OR(K136="lec",K136="plec",K136="slec"),1,IF(OR(K136="lab",K136="plab",K136="slab",K136="tut",K136="ptut",K136="stut"),0.5,IF(OR(K136="TL",K136="pTL",K136="STL"),0.75,0))),0),IF(M137="M",IF(OR(K137="lec",K137="plec",K137="slec"),1,IF(OR(K137="lab",K137="plab",K137="slab",K137="tut",K137="ptut",K137="stut"),0.5,IF(OR(K137="TL",K137="pTL",K137="STL"),0.75,0))),0),IF(M138="M",IF(OR(K138="lec",K138="plec",K138="slec"),1,IF(OR(K138="lab",K138="plab",K138="slab",K138="tut",K138="ptut",K138="stut"),0.5,IF(OR(K138="TL",K138="pTL",K138="STL"),0.75,0))),0),IF(M139="M",IF(OR(K139="lec",K139="plec",K139="slec"),1,IF(OR(K139="lab",K139="plab",K139="slab",K139="tut",K139="ptut",K139="stut"),0.5,IF(OR(K139="TL",K139="pTL",K139="STL"),0.75,0))),0))</f>
        <v>0</v>
      </c>
      <c r="U129" s="137"/>
      <c r="V129" s="133"/>
      <c r="W129" s="138"/>
      <c r="X129" s="139">
        <f>S129-(T129+U129+V129+W129)</f>
        <v>0</v>
      </c>
      <c r="Y129" s="134" t="str">
        <f>CONCATENATE(SUM(O129:O139),"(",SUM(O129:O139)-X129,")")</f>
        <v>0(0)</v>
      </c>
      <c r="Z129" s="140"/>
      <c r="AA129" s="141"/>
      <c r="AB129" s="142"/>
      <c r="AC129" s="142"/>
      <c r="AD129" s="142"/>
      <c r="AE129" s="142"/>
      <c r="AF129" s="142"/>
      <c r="AG129" s="142"/>
      <c r="AH129" s="142"/>
      <c r="AI129" s="143"/>
      <c r="AJ129" s="144"/>
      <c r="AK129" s="145"/>
      <c r="AL129" s="145"/>
      <c r="AM129" s="145"/>
      <c r="AN129" s="145"/>
      <c r="AO129" s="146"/>
      <c r="AP129" s="147">
        <f>SUM(SUM(O129:O139),SUM(AI129:AI139)/2,AM129)</f>
        <v>0</v>
      </c>
      <c r="AQ129" s="148"/>
      <c r="AR129" s="148">
        <f>AP129*AQ129</f>
        <v>0</v>
      </c>
      <c r="AS129" s="148">
        <f>CT129</f>
        <v>-1</v>
      </c>
      <c r="AT129" s="149">
        <f>AR129*0.75+AS129*0.25</f>
        <v>-0.25</v>
      </c>
      <c r="AU129" s="150"/>
      <c r="AV129" s="151"/>
      <c r="AW129" s="151"/>
      <c r="AX129" s="152"/>
      <c r="AY129" s="153"/>
      <c r="AZ129" s="140"/>
      <c r="BA129" s="150"/>
      <c r="BB129" s="151"/>
      <c r="BC129" s="151"/>
      <c r="BD129" s="151"/>
      <c r="BE129" s="151"/>
      <c r="BF129" s="151"/>
      <c r="BG129" s="151"/>
      <c r="BH129" s="151"/>
      <c r="BI129" s="152"/>
      <c r="BJ129" s="154"/>
      <c r="BK129" s="151"/>
      <c r="BL129" s="151"/>
      <c r="BM129" s="151"/>
      <c r="BN129" s="151"/>
      <c r="BO129" s="155"/>
      <c r="BP129" s="140"/>
      <c r="BQ129" s="156"/>
      <c r="BR129" s="157"/>
      <c r="BS129" s="158"/>
      <c r="BT129" s="153"/>
      <c r="BU129" s="140"/>
      <c r="BV129" s="140"/>
      <c r="BW129" s="140"/>
      <c r="BX129" s="140"/>
      <c r="BY129" s="140"/>
      <c r="BZ129" s="140"/>
      <c r="CA129" s="140"/>
      <c r="CB129" s="140"/>
      <c r="CC129" s="140"/>
      <c r="CD129" s="150"/>
      <c r="CE129" s="155"/>
      <c r="CF129" s="150"/>
      <c r="CG129" s="155"/>
      <c r="CH129" s="159"/>
      <c r="CI129" s="160"/>
      <c r="CJ129" s="159" t="s">
        <v>198</v>
      </c>
      <c r="CK129" s="160">
        <v>-1.0</v>
      </c>
      <c r="CL129" s="161"/>
      <c r="CM129" s="160"/>
      <c r="CN129" s="159"/>
      <c r="CO129" s="160"/>
      <c r="CP129" s="159"/>
      <c r="CQ129" s="162"/>
      <c r="CR129" s="160"/>
      <c r="CS129" s="163">
        <f>SUM(IF(AU129&lt;0,ABS(AU129),0),IF(AZ129&lt;0,ABS(AZ129),0),ABS(CI129),ABS(CK129),ABS(CM129),ABS(CO129),ABS(CQ129),ABS(CR129))</f>
        <v>1</v>
      </c>
      <c r="CT129" s="164">
        <f>SUM(AU129,AV129,AW129,AX129/400,AY129,AZ129,BG129,BH129*0.5,BI129*0.25,BJ129,BK129,BL129,BM129,BN129,BO129,BP129,BR129/20,BS129/100,BT129/60,BU129,BV129,BW129,BX129/4,SUM(BY129:CC139)/3,CE129,CG129/3,CI129,CK129,CM129,CO129,CQ129,CR129)</f>
        <v>-1</v>
      </c>
      <c r="CU129" s="165" t="str">
        <f t="shared" si="2"/>
        <v>MSS</v>
      </c>
    </row>
    <row r="130" ht="60.0" customHeight="1">
      <c r="A130" s="65"/>
      <c r="B130" s="166"/>
      <c r="C130" s="167">
        <v>2.0</v>
      </c>
      <c r="D130" s="168" t="s">
        <v>197</v>
      </c>
      <c r="E130" s="169"/>
      <c r="F130" s="170"/>
      <c r="G130" s="170"/>
      <c r="H130" s="170"/>
      <c r="I130" s="170"/>
      <c r="J130" s="170"/>
      <c r="K130" s="171"/>
      <c r="L130" s="171"/>
      <c r="M130" s="171"/>
      <c r="N130" s="171"/>
      <c r="O130" s="172">
        <f t="shared" si="24"/>
        <v>0</v>
      </c>
      <c r="P130" s="166"/>
      <c r="Q130" s="173"/>
      <c r="R130" s="65"/>
      <c r="S130" s="173"/>
      <c r="T130" s="173"/>
      <c r="U130" s="166"/>
      <c r="V130" s="166"/>
      <c r="W130" s="65"/>
      <c r="X130" s="66"/>
      <c r="Y130" s="173"/>
      <c r="Z130" s="166"/>
      <c r="AA130" s="174"/>
      <c r="AB130" s="175"/>
      <c r="AC130" s="175"/>
      <c r="AD130" s="175"/>
      <c r="AE130" s="175"/>
      <c r="AF130" s="175"/>
      <c r="AG130" s="175"/>
      <c r="AH130" s="175"/>
      <c r="AI130" s="176"/>
      <c r="AJ130" s="177"/>
      <c r="AK130" s="178"/>
      <c r="AL130" s="178"/>
      <c r="AM130" s="178"/>
      <c r="AN130" s="178"/>
      <c r="AO130" s="179"/>
      <c r="AP130" s="64"/>
      <c r="AQ130" s="65"/>
      <c r="AR130" s="65"/>
      <c r="AS130" s="65"/>
      <c r="AT130" s="173"/>
      <c r="AU130" s="177"/>
      <c r="AV130" s="178"/>
      <c r="AW130" s="178"/>
      <c r="AX130" s="179"/>
      <c r="AZ130" s="166"/>
      <c r="BA130" s="177"/>
      <c r="BB130" s="178"/>
      <c r="BC130" s="178"/>
      <c r="BD130" s="178"/>
      <c r="BE130" s="178"/>
      <c r="BF130" s="178"/>
      <c r="BG130" s="178"/>
      <c r="BH130" s="178"/>
      <c r="BI130" s="179"/>
      <c r="BJ130" s="180"/>
      <c r="BK130" s="178"/>
      <c r="BL130" s="178"/>
      <c r="BM130" s="178"/>
      <c r="BN130" s="178"/>
      <c r="BO130" s="181"/>
      <c r="BP130" s="166"/>
      <c r="BQ130" s="177"/>
      <c r="BR130" s="178"/>
      <c r="BS130" s="179"/>
      <c r="BU130" s="166"/>
      <c r="BV130" s="166"/>
      <c r="BW130" s="166"/>
      <c r="BX130" s="166"/>
      <c r="BY130" s="166"/>
      <c r="BZ130" s="166"/>
      <c r="CA130" s="166"/>
      <c r="CB130" s="166"/>
      <c r="CC130" s="166"/>
      <c r="CD130" s="177"/>
      <c r="CE130" s="181"/>
      <c r="CF130" s="177"/>
      <c r="CG130" s="181"/>
      <c r="CH130" s="177"/>
      <c r="CI130" s="182"/>
      <c r="CJ130" s="177"/>
      <c r="CK130" s="182"/>
      <c r="CL130" s="178"/>
      <c r="CM130" s="182"/>
      <c r="CN130" s="177"/>
      <c r="CO130" s="182"/>
      <c r="CP130" s="177"/>
      <c r="CQ130" s="178"/>
      <c r="CR130" s="182"/>
      <c r="CS130" s="65"/>
      <c r="CT130" s="64"/>
      <c r="CU130" s="165" t="str">
        <f t="shared" si="2"/>
        <v>MSS</v>
      </c>
    </row>
    <row r="131" ht="60.0" customHeight="1">
      <c r="A131" s="65"/>
      <c r="B131" s="166"/>
      <c r="C131" s="167">
        <v>3.0</v>
      </c>
      <c r="D131" s="168" t="s">
        <v>197</v>
      </c>
      <c r="E131" s="169"/>
      <c r="F131" s="170"/>
      <c r="G131" s="170"/>
      <c r="H131" s="170"/>
      <c r="I131" s="170"/>
      <c r="J131" s="170"/>
      <c r="K131" s="171"/>
      <c r="L131" s="171"/>
      <c r="M131" s="171"/>
      <c r="N131" s="171"/>
      <c r="O131" s="172">
        <f t="shared" si="24"/>
        <v>0</v>
      </c>
      <c r="P131" s="166"/>
      <c r="Q131" s="173"/>
      <c r="R131" s="65"/>
      <c r="S131" s="173"/>
      <c r="T131" s="173"/>
      <c r="U131" s="166"/>
      <c r="V131" s="166"/>
      <c r="W131" s="65"/>
      <c r="X131" s="66"/>
      <c r="Y131" s="173"/>
      <c r="Z131" s="166"/>
      <c r="AA131" s="174"/>
      <c r="AB131" s="175"/>
      <c r="AC131" s="175"/>
      <c r="AD131" s="175"/>
      <c r="AE131" s="175"/>
      <c r="AF131" s="175"/>
      <c r="AG131" s="175"/>
      <c r="AH131" s="175"/>
      <c r="AI131" s="176"/>
      <c r="AJ131" s="177"/>
      <c r="AK131" s="178"/>
      <c r="AL131" s="178"/>
      <c r="AM131" s="178"/>
      <c r="AN131" s="178"/>
      <c r="AO131" s="179"/>
      <c r="AP131" s="64"/>
      <c r="AQ131" s="65"/>
      <c r="AR131" s="65"/>
      <c r="AS131" s="65"/>
      <c r="AT131" s="173"/>
      <c r="AU131" s="177"/>
      <c r="AV131" s="178"/>
      <c r="AW131" s="178"/>
      <c r="AX131" s="179"/>
      <c r="AZ131" s="166"/>
      <c r="BA131" s="177"/>
      <c r="BB131" s="178"/>
      <c r="BC131" s="178"/>
      <c r="BD131" s="178"/>
      <c r="BE131" s="178"/>
      <c r="BF131" s="178"/>
      <c r="BG131" s="178"/>
      <c r="BH131" s="178"/>
      <c r="BI131" s="179"/>
      <c r="BJ131" s="180"/>
      <c r="BK131" s="178"/>
      <c r="BL131" s="178"/>
      <c r="BM131" s="178"/>
      <c r="BN131" s="178"/>
      <c r="BO131" s="181"/>
      <c r="BP131" s="166"/>
      <c r="BQ131" s="177"/>
      <c r="BR131" s="178"/>
      <c r="BS131" s="179"/>
      <c r="BU131" s="166"/>
      <c r="BV131" s="166"/>
      <c r="BW131" s="166"/>
      <c r="BX131" s="166"/>
      <c r="BY131" s="166"/>
      <c r="BZ131" s="166"/>
      <c r="CA131" s="166"/>
      <c r="CB131" s="166"/>
      <c r="CC131" s="166"/>
      <c r="CD131" s="177"/>
      <c r="CE131" s="181"/>
      <c r="CF131" s="177"/>
      <c r="CG131" s="181"/>
      <c r="CH131" s="177"/>
      <c r="CI131" s="182"/>
      <c r="CJ131" s="177"/>
      <c r="CK131" s="182"/>
      <c r="CL131" s="178"/>
      <c r="CM131" s="182"/>
      <c r="CN131" s="177"/>
      <c r="CO131" s="182"/>
      <c r="CP131" s="177"/>
      <c r="CQ131" s="178"/>
      <c r="CR131" s="182"/>
      <c r="CS131" s="65"/>
      <c r="CT131" s="64"/>
      <c r="CU131" s="165" t="str">
        <f t="shared" si="2"/>
        <v>MSS</v>
      </c>
    </row>
    <row r="132" ht="60.0" customHeight="1">
      <c r="A132" s="65"/>
      <c r="B132" s="166"/>
      <c r="C132" s="167">
        <v>4.0</v>
      </c>
      <c r="D132" s="168" t="s">
        <v>197</v>
      </c>
      <c r="E132" s="169"/>
      <c r="F132" s="170"/>
      <c r="G132" s="170"/>
      <c r="H132" s="170"/>
      <c r="I132" s="170"/>
      <c r="J132" s="170"/>
      <c r="K132" s="171"/>
      <c r="L132" s="171"/>
      <c r="M132" s="171"/>
      <c r="N132" s="171"/>
      <c r="O132" s="172">
        <f t="shared" si="24"/>
        <v>0</v>
      </c>
      <c r="P132" s="166"/>
      <c r="Q132" s="173"/>
      <c r="R132" s="65"/>
      <c r="S132" s="173"/>
      <c r="T132" s="173"/>
      <c r="U132" s="166"/>
      <c r="V132" s="166"/>
      <c r="W132" s="65"/>
      <c r="X132" s="66"/>
      <c r="Y132" s="173"/>
      <c r="Z132" s="166"/>
      <c r="AA132" s="174"/>
      <c r="AB132" s="175"/>
      <c r="AC132" s="175"/>
      <c r="AD132" s="175"/>
      <c r="AE132" s="175"/>
      <c r="AF132" s="175"/>
      <c r="AG132" s="175"/>
      <c r="AH132" s="175"/>
      <c r="AI132" s="176"/>
      <c r="AJ132" s="177"/>
      <c r="AK132" s="178"/>
      <c r="AL132" s="178"/>
      <c r="AM132" s="178"/>
      <c r="AN132" s="178"/>
      <c r="AO132" s="179"/>
      <c r="AP132" s="64"/>
      <c r="AQ132" s="65"/>
      <c r="AR132" s="65"/>
      <c r="AS132" s="65"/>
      <c r="AT132" s="173"/>
      <c r="AU132" s="177"/>
      <c r="AV132" s="178"/>
      <c r="AW132" s="178"/>
      <c r="AX132" s="179"/>
      <c r="AZ132" s="166"/>
      <c r="BA132" s="177"/>
      <c r="BB132" s="178"/>
      <c r="BC132" s="178"/>
      <c r="BD132" s="178"/>
      <c r="BE132" s="178"/>
      <c r="BF132" s="178"/>
      <c r="BG132" s="178"/>
      <c r="BH132" s="178"/>
      <c r="BI132" s="179"/>
      <c r="BJ132" s="180"/>
      <c r="BK132" s="178"/>
      <c r="BL132" s="178"/>
      <c r="BM132" s="178"/>
      <c r="BN132" s="178"/>
      <c r="BO132" s="181"/>
      <c r="BP132" s="166"/>
      <c r="BQ132" s="177"/>
      <c r="BR132" s="178"/>
      <c r="BS132" s="179"/>
      <c r="BU132" s="166"/>
      <c r="BV132" s="166"/>
      <c r="BW132" s="166"/>
      <c r="BX132" s="166"/>
      <c r="BY132" s="166"/>
      <c r="BZ132" s="166"/>
      <c r="CA132" s="166"/>
      <c r="CB132" s="166"/>
      <c r="CC132" s="166"/>
      <c r="CD132" s="177"/>
      <c r="CE132" s="181"/>
      <c r="CF132" s="177"/>
      <c r="CG132" s="181"/>
      <c r="CH132" s="177"/>
      <c r="CI132" s="182"/>
      <c r="CJ132" s="177"/>
      <c r="CK132" s="182"/>
      <c r="CL132" s="178"/>
      <c r="CM132" s="182"/>
      <c r="CN132" s="177"/>
      <c r="CO132" s="182"/>
      <c r="CP132" s="177"/>
      <c r="CQ132" s="178"/>
      <c r="CR132" s="182"/>
      <c r="CS132" s="65"/>
      <c r="CT132" s="64"/>
      <c r="CU132" s="165" t="str">
        <f t="shared" si="2"/>
        <v>MSS</v>
      </c>
    </row>
    <row r="133" ht="60.0" customHeight="1">
      <c r="A133" s="65"/>
      <c r="B133" s="166"/>
      <c r="C133" s="167">
        <v>5.0</v>
      </c>
      <c r="D133" s="168" t="s">
        <v>197</v>
      </c>
      <c r="E133" s="169"/>
      <c r="F133" s="170"/>
      <c r="G133" s="170"/>
      <c r="H133" s="170"/>
      <c r="I133" s="170"/>
      <c r="J133" s="170"/>
      <c r="K133" s="171"/>
      <c r="L133" s="171"/>
      <c r="M133" s="171"/>
      <c r="N133" s="171"/>
      <c r="O133" s="172">
        <f t="shared" si="24"/>
        <v>0</v>
      </c>
      <c r="P133" s="166"/>
      <c r="Q133" s="173"/>
      <c r="R133" s="65"/>
      <c r="S133" s="173"/>
      <c r="T133" s="173"/>
      <c r="U133" s="166"/>
      <c r="V133" s="166"/>
      <c r="W133" s="65"/>
      <c r="X133" s="66"/>
      <c r="Y133" s="173"/>
      <c r="Z133" s="166"/>
      <c r="AA133" s="174"/>
      <c r="AB133" s="175"/>
      <c r="AC133" s="175"/>
      <c r="AD133" s="175"/>
      <c r="AE133" s="175"/>
      <c r="AF133" s="175"/>
      <c r="AG133" s="175"/>
      <c r="AH133" s="175"/>
      <c r="AI133" s="176"/>
      <c r="AJ133" s="177"/>
      <c r="AK133" s="178"/>
      <c r="AL133" s="178"/>
      <c r="AM133" s="178"/>
      <c r="AN133" s="178"/>
      <c r="AO133" s="179"/>
      <c r="AP133" s="64"/>
      <c r="AQ133" s="65"/>
      <c r="AR133" s="65"/>
      <c r="AS133" s="65"/>
      <c r="AT133" s="173"/>
      <c r="AU133" s="177"/>
      <c r="AV133" s="178"/>
      <c r="AW133" s="178"/>
      <c r="AX133" s="179"/>
      <c r="AZ133" s="166"/>
      <c r="BA133" s="177"/>
      <c r="BB133" s="178"/>
      <c r="BC133" s="178"/>
      <c r="BD133" s="178"/>
      <c r="BE133" s="178"/>
      <c r="BF133" s="178"/>
      <c r="BG133" s="178"/>
      <c r="BH133" s="178"/>
      <c r="BI133" s="179"/>
      <c r="BJ133" s="180"/>
      <c r="BK133" s="178"/>
      <c r="BL133" s="178"/>
      <c r="BM133" s="178"/>
      <c r="BN133" s="178"/>
      <c r="BO133" s="181"/>
      <c r="BP133" s="166"/>
      <c r="BQ133" s="177"/>
      <c r="BR133" s="178"/>
      <c r="BS133" s="179"/>
      <c r="BU133" s="166"/>
      <c r="BV133" s="166"/>
      <c r="BW133" s="166"/>
      <c r="BX133" s="166"/>
      <c r="BY133" s="166"/>
      <c r="BZ133" s="166"/>
      <c r="CA133" s="166"/>
      <c r="CB133" s="166"/>
      <c r="CC133" s="166"/>
      <c r="CD133" s="177"/>
      <c r="CE133" s="181"/>
      <c r="CF133" s="177"/>
      <c r="CG133" s="181"/>
      <c r="CH133" s="177"/>
      <c r="CI133" s="182"/>
      <c r="CJ133" s="177"/>
      <c r="CK133" s="182"/>
      <c r="CL133" s="178"/>
      <c r="CM133" s="182"/>
      <c r="CN133" s="177"/>
      <c r="CO133" s="182"/>
      <c r="CP133" s="177"/>
      <c r="CQ133" s="178"/>
      <c r="CR133" s="182"/>
      <c r="CS133" s="65"/>
      <c r="CT133" s="64"/>
      <c r="CU133" s="165" t="str">
        <f t="shared" si="2"/>
        <v>MSS</v>
      </c>
    </row>
    <row r="134" ht="60.0" customHeight="1">
      <c r="A134" s="65"/>
      <c r="B134" s="166"/>
      <c r="C134" s="167">
        <v>6.0</v>
      </c>
      <c r="D134" s="168" t="s">
        <v>197</v>
      </c>
      <c r="E134" s="169"/>
      <c r="F134" s="170"/>
      <c r="G134" s="170"/>
      <c r="H134" s="170"/>
      <c r="I134" s="170"/>
      <c r="J134" s="170"/>
      <c r="K134" s="171"/>
      <c r="L134" s="171"/>
      <c r="M134" s="171"/>
      <c r="N134" s="171"/>
      <c r="O134" s="172">
        <f t="shared" si="24"/>
        <v>0</v>
      </c>
      <c r="P134" s="166"/>
      <c r="Q134" s="173"/>
      <c r="R134" s="65"/>
      <c r="S134" s="173"/>
      <c r="T134" s="173"/>
      <c r="U134" s="166"/>
      <c r="V134" s="166"/>
      <c r="W134" s="65"/>
      <c r="X134" s="66"/>
      <c r="Y134" s="173"/>
      <c r="Z134" s="166"/>
      <c r="AA134" s="174"/>
      <c r="AB134" s="175"/>
      <c r="AC134" s="175"/>
      <c r="AD134" s="175"/>
      <c r="AE134" s="175"/>
      <c r="AF134" s="175"/>
      <c r="AG134" s="175"/>
      <c r="AH134" s="175"/>
      <c r="AI134" s="176"/>
      <c r="AJ134" s="177"/>
      <c r="AK134" s="178"/>
      <c r="AL134" s="178"/>
      <c r="AM134" s="178"/>
      <c r="AN134" s="178"/>
      <c r="AO134" s="179"/>
      <c r="AP134" s="64"/>
      <c r="AQ134" s="65"/>
      <c r="AR134" s="65"/>
      <c r="AS134" s="65"/>
      <c r="AT134" s="173"/>
      <c r="AU134" s="177"/>
      <c r="AV134" s="178"/>
      <c r="AW134" s="178"/>
      <c r="AX134" s="179"/>
      <c r="AZ134" s="166"/>
      <c r="BA134" s="177"/>
      <c r="BB134" s="178"/>
      <c r="BC134" s="178"/>
      <c r="BD134" s="178"/>
      <c r="BE134" s="178"/>
      <c r="BF134" s="178"/>
      <c r="BG134" s="178"/>
      <c r="BH134" s="178"/>
      <c r="BI134" s="179"/>
      <c r="BJ134" s="180"/>
      <c r="BK134" s="178"/>
      <c r="BL134" s="178"/>
      <c r="BM134" s="178"/>
      <c r="BN134" s="178"/>
      <c r="BO134" s="181"/>
      <c r="BP134" s="166"/>
      <c r="BQ134" s="177"/>
      <c r="BR134" s="178"/>
      <c r="BS134" s="179"/>
      <c r="BU134" s="166"/>
      <c r="BV134" s="166"/>
      <c r="BW134" s="166"/>
      <c r="BX134" s="166"/>
      <c r="BY134" s="166"/>
      <c r="BZ134" s="166"/>
      <c r="CA134" s="166"/>
      <c r="CB134" s="166"/>
      <c r="CC134" s="166"/>
      <c r="CD134" s="177"/>
      <c r="CE134" s="181"/>
      <c r="CF134" s="177"/>
      <c r="CG134" s="181"/>
      <c r="CH134" s="177"/>
      <c r="CI134" s="182"/>
      <c r="CJ134" s="177"/>
      <c r="CK134" s="182"/>
      <c r="CL134" s="178"/>
      <c r="CM134" s="182"/>
      <c r="CN134" s="177"/>
      <c r="CO134" s="182"/>
      <c r="CP134" s="177"/>
      <c r="CQ134" s="178"/>
      <c r="CR134" s="182"/>
      <c r="CS134" s="65"/>
      <c r="CT134" s="64"/>
      <c r="CU134" s="165" t="str">
        <f t="shared" si="2"/>
        <v>MSS</v>
      </c>
    </row>
    <row r="135" ht="60.0" customHeight="1">
      <c r="A135" s="65"/>
      <c r="B135" s="166"/>
      <c r="C135" s="167">
        <v>7.0</v>
      </c>
      <c r="D135" s="168" t="s">
        <v>197</v>
      </c>
      <c r="E135" s="169"/>
      <c r="F135" s="170"/>
      <c r="G135" s="170"/>
      <c r="H135" s="170"/>
      <c r="I135" s="170"/>
      <c r="J135" s="170"/>
      <c r="K135" s="171"/>
      <c r="L135" s="171"/>
      <c r="M135" s="171"/>
      <c r="N135" s="171"/>
      <c r="O135" s="172">
        <f t="shared" ref="O135:O138" si="25">IF(AND(M135&gt;=20,M135&lt;&gt;"m",RIGHT(K135,3)="Lec"),1,IF(AND(M135&gt;=20,M135&lt;&gt;"m",OR(RIGHT(K135,3)="Lab",RIGHT(K135,3)="Tut")),0.5,IF(AND(M135&gt;=20,M135&lt;&gt;"m",RIGHT(K135,2)="TL"),0.75,0)))</f>
        <v>0</v>
      </c>
      <c r="P135" s="166"/>
      <c r="Q135" s="173"/>
      <c r="R135" s="65"/>
      <c r="S135" s="173"/>
      <c r="T135" s="173"/>
      <c r="U135" s="166"/>
      <c r="V135" s="166"/>
      <c r="W135" s="65"/>
      <c r="X135" s="66"/>
      <c r="Y135" s="173"/>
      <c r="Z135" s="166"/>
      <c r="AA135" s="174"/>
      <c r="AB135" s="175"/>
      <c r="AC135" s="175"/>
      <c r="AD135" s="175"/>
      <c r="AE135" s="175"/>
      <c r="AF135" s="175"/>
      <c r="AG135" s="175"/>
      <c r="AH135" s="175"/>
      <c r="AI135" s="176"/>
      <c r="AJ135" s="177"/>
      <c r="AK135" s="178"/>
      <c r="AL135" s="178"/>
      <c r="AM135" s="178"/>
      <c r="AN135" s="178"/>
      <c r="AO135" s="179"/>
      <c r="AP135" s="64"/>
      <c r="AQ135" s="65"/>
      <c r="AR135" s="65"/>
      <c r="AS135" s="65"/>
      <c r="AT135" s="173"/>
      <c r="AU135" s="177"/>
      <c r="AV135" s="178"/>
      <c r="AW135" s="178"/>
      <c r="AX135" s="179"/>
      <c r="AZ135" s="166"/>
      <c r="BA135" s="177"/>
      <c r="BB135" s="178"/>
      <c r="BC135" s="178"/>
      <c r="BD135" s="178"/>
      <c r="BE135" s="178"/>
      <c r="BF135" s="178"/>
      <c r="BG135" s="178"/>
      <c r="BH135" s="178"/>
      <c r="BI135" s="179"/>
      <c r="BJ135" s="180"/>
      <c r="BK135" s="178"/>
      <c r="BL135" s="178"/>
      <c r="BM135" s="178"/>
      <c r="BN135" s="178"/>
      <c r="BO135" s="181"/>
      <c r="BP135" s="166"/>
      <c r="BQ135" s="177"/>
      <c r="BR135" s="178"/>
      <c r="BS135" s="179"/>
      <c r="BU135" s="166"/>
      <c r="BV135" s="166"/>
      <c r="BW135" s="166"/>
      <c r="BX135" s="166"/>
      <c r="BY135" s="166"/>
      <c r="BZ135" s="166"/>
      <c r="CA135" s="166"/>
      <c r="CB135" s="166"/>
      <c r="CC135" s="166"/>
      <c r="CD135" s="177"/>
      <c r="CE135" s="181"/>
      <c r="CF135" s="177"/>
      <c r="CG135" s="181"/>
      <c r="CH135" s="177"/>
      <c r="CI135" s="182"/>
      <c r="CJ135" s="177"/>
      <c r="CK135" s="182"/>
      <c r="CL135" s="178"/>
      <c r="CM135" s="182"/>
      <c r="CN135" s="177"/>
      <c r="CO135" s="182"/>
      <c r="CP135" s="177"/>
      <c r="CQ135" s="178"/>
      <c r="CR135" s="182"/>
      <c r="CS135" s="65"/>
      <c r="CT135" s="64"/>
      <c r="CU135" s="165" t="str">
        <f t="shared" si="2"/>
        <v>MSS</v>
      </c>
    </row>
    <row r="136" ht="60.0" customHeight="1">
      <c r="A136" s="65"/>
      <c r="B136" s="166"/>
      <c r="C136" s="167">
        <v>8.0</v>
      </c>
      <c r="D136" s="168" t="s">
        <v>197</v>
      </c>
      <c r="E136" s="169"/>
      <c r="F136" s="170"/>
      <c r="G136" s="170"/>
      <c r="H136" s="170"/>
      <c r="I136" s="170"/>
      <c r="J136" s="170"/>
      <c r="K136" s="171"/>
      <c r="L136" s="171"/>
      <c r="M136" s="171"/>
      <c r="N136" s="171"/>
      <c r="O136" s="172">
        <f t="shared" si="25"/>
        <v>0</v>
      </c>
      <c r="P136" s="166"/>
      <c r="Q136" s="173"/>
      <c r="R136" s="65"/>
      <c r="S136" s="173"/>
      <c r="T136" s="173"/>
      <c r="U136" s="166"/>
      <c r="V136" s="166"/>
      <c r="W136" s="65"/>
      <c r="X136" s="66"/>
      <c r="Y136" s="173"/>
      <c r="Z136" s="166"/>
      <c r="AA136" s="174"/>
      <c r="AB136" s="175"/>
      <c r="AC136" s="175"/>
      <c r="AD136" s="175"/>
      <c r="AE136" s="175"/>
      <c r="AF136" s="175"/>
      <c r="AG136" s="175"/>
      <c r="AH136" s="175"/>
      <c r="AI136" s="176"/>
      <c r="AJ136" s="177"/>
      <c r="AK136" s="178"/>
      <c r="AL136" s="178"/>
      <c r="AM136" s="178"/>
      <c r="AN136" s="178"/>
      <c r="AO136" s="179"/>
      <c r="AP136" s="64"/>
      <c r="AQ136" s="65"/>
      <c r="AR136" s="65"/>
      <c r="AS136" s="65"/>
      <c r="AT136" s="173"/>
      <c r="AU136" s="177"/>
      <c r="AV136" s="178"/>
      <c r="AW136" s="178"/>
      <c r="AX136" s="179"/>
      <c r="AZ136" s="166"/>
      <c r="BA136" s="177"/>
      <c r="BB136" s="178"/>
      <c r="BC136" s="178"/>
      <c r="BD136" s="178"/>
      <c r="BE136" s="178"/>
      <c r="BF136" s="178"/>
      <c r="BG136" s="178"/>
      <c r="BH136" s="178"/>
      <c r="BI136" s="179"/>
      <c r="BJ136" s="180"/>
      <c r="BK136" s="178"/>
      <c r="BL136" s="178"/>
      <c r="BM136" s="178"/>
      <c r="BN136" s="178"/>
      <c r="BO136" s="181"/>
      <c r="BP136" s="166"/>
      <c r="BQ136" s="177"/>
      <c r="BR136" s="178"/>
      <c r="BS136" s="179"/>
      <c r="BU136" s="166"/>
      <c r="BV136" s="166"/>
      <c r="BW136" s="166"/>
      <c r="BX136" s="166"/>
      <c r="BY136" s="166"/>
      <c r="BZ136" s="166"/>
      <c r="CA136" s="166"/>
      <c r="CB136" s="166"/>
      <c r="CC136" s="166"/>
      <c r="CD136" s="177"/>
      <c r="CE136" s="181"/>
      <c r="CF136" s="177"/>
      <c r="CG136" s="181"/>
      <c r="CH136" s="177"/>
      <c r="CI136" s="182"/>
      <c r="CJ136" s="177"/>
      <c r="CK136" s="182"/>
      <c r="CL136" s="178"/>
      <c r="CM136" s="182"/>
      <c r="CN136" s="177"/>
      <c r="CO136" s="182"/>
      <c r="CP136" s="177"/>
      <c r="CQ136" s="178"/>
      <c r="CR136" s="182"/>
      <c r="CS136" s="65"/>
      <c r="CT136" s="64"/>
      <c r="CU136" s="165" t="str">
        <f t="shared" si="2"/>
        <v>MSS</v>
      </c>
    </row>
    <row r="137" ht="60.0" customHeight="1">
      <c r="A137" s="65"/>
      <c r="B137" s="166"/>
      <c r="C137" s="167">
        <v>9.0</v>
      </c>
      <c r="D137" s="168" t="s">
        <v>197</v>
      </c>
      <c r="E137" s="169"/>
      <c r="F137" s="170"/>
      <c r="G137" s="170"/>
      <c r="H137" s="170"/>
      <c r="I137" s="170"/>
      <c r="J137" s="170"/>
      <c r="K137" s="171"/>
      <c r="L137" s="171"/>
      <c r="M137" s="171"/>
      <c r="N137" s="171"/>
      <c r="O137" s="172">
        <f t="shared" si="25"/>
        <v>0</v>
      </c>
      <c r="P137" s="166"/>
      <c r="Q137" s="173"/>
      <c r="R137" s="65"/>
      <c r="S137" s="173"/>
      <c r="T137" s="173"/>
      <c r="U137" s="166"/>
      <c r="V137" s="166"/>
      <c r="W137" s="65"/>
      <c r="X137" s="66"/>
      <c r="Y137" s="173"/>
      <c r="Z137" s="166"/>
      <c r="AA137" s="174"/>
      <c r="AB137" s="175"/>
      <c r="AC137" s="175"/>
      <c r="AD137" s="175"/>
      <c r="AE137" s="175"/>
      <c r="AF137" s="175"/>
      <c r="AG137" s="175"/>
      <c r="AH137" s="175"/>
      <c r="AI137" s="176"/>
      <c r="AJ137" s="177"/>
      <c r="AK137" s="178"/>
      <c r="AL137" s="178"/>
      <c r="AM137" s="178"/>
      <c r="AN137" s="178"/>
      <c r="AO137" s="179"/>
      <c r="AP137" s="64"/>
      <c r="AQ137" s="65"/>
      <c r="AR137" s="65"/>
      <c r="AS137" s="65"/>
      <c r="AT137" s="173"/>
      <c r="AU137" s="177"/>
      <c r="AV137" s="178"/>
      <c r="AW137" s="178"/>
      <c r="AX137" s="179"/>
      <c r="AZ137" s="166"/>
      <c r="BA137" s="177"/>
      <c r="BB137" s="178"/>
      <c r="BC137" s="178"/>
      <c r="BD137" s="178"/>
      <c r="BE137" s="178"/>
      <c r="BF137" s="178"/>
      <c r="BG137" s="178"/>
      <c r="BH137" s="178"/>
      <c r="BI137" s="179"/>
      <c r="BJ137" s="180"/>
      <c r="BK137" s="178"/>
      <c r="BL137" s="178"/>
      <c r="BM137" s="178"/>
      <c r="BN137" s="178"/>
      <c r="BO137" s="181"/>
      <c r="BP137" s="166"/>
      <c r="BQ137" s="177"/>
      <c r="BR137" s="178"/>
      <c r="BS137" s="179"/>
      <c r="BU137" s="166"/>
      <c r="BV137" s="166"/>
      <c r="BW137" s="166"/>
      <c r="BX137" s="166"/>
      <c r="BY137" s="166"/>
      <c r="BZ137" s="166"/>
      <c r="CA137" s="166"/>
      <c r="CB137" s="166"/>
      <c r="CC137" s="166"/>
      <c r="CD137" s="177"/>
      <c r="CE137" s="181"/>
      <c r="CF137" s="177"/>
      <c r="CG137" s="181"/>
      <c r="CH137" s="177"/>
      <c r="CI137" s="182"/>
      <c r="CJ137" s="177"/>
      <c r="CK137" s="182"/>
      <c r="CL137" s="178"/>
      <c r="CM137" s="182"/>
      <c r="CN137" s="177"/>
      <c r="CO137" s="182"/>
      <c r="CP137" s="177"/>
      <c r="CQ137" s="178"/>
      <c r="CR137" s="182"/>
      <c r="CS137" s="65"/>
      <c r="CT137" s="64"/>
      <c r="CU137" s="165" t="str">
        <f t="shared" si="2"/>
        <v>MSS</v>
      </c>
    </row>
    <row r="138" ht="60.0" customHeight="1">
      <c r="A138" s="65"/>
      <c r="B138" s="166"/>
      <c r="C138" s="167">
        <v>10.0</v>
      </c>
      <c r="D138" s="168" t="s">
        <v>197</v>
      </c>
      <c r="E138" s="169"/>
      <c r="F138" s="170"/>
      <c r="G138" s="170"/>
      <c r="H138" s="170"/>
      <c r="I138" s="170"/>
      <c r="J138" s="170"/>
      <c r="K138" s="171"/>
      <c r="L138" s="171"/>
      <c r="M138" s="171"/>
      <c r="N138" s="171"/>
      <c r="O138" s="172">
        <f t="shared" si="25"/>
        <v>0</v>
      </c>
      <c r="P138" s="166"/>
      <c r="Q138" s="173"/>
      <c r="R138" s="65"/>
      <c r="S138" s="173"/>
      <c r="T138" s="173"/>
      <c r="U138" s="166"/>
      <c r="V138" s="166"/>
      <c r="W138" s="65"/>
      <c r="X138" s="66"/>
      <c r="Y138" s="173"/>
      <c r="Z138" s="166"/>
      <c r="AA138" s="174"/>
      <c r="AB138" s="175"/>
      <c r="AC138" s="175"/>
      <c r="AD138" s="175"/>
      <c r="AE138" s="175"/>
      <c r="AF138" s="175"/>
      <c r="AG138" s="175"/>
      <c r="AH138" s="175"/>
      <c r="AI138" s="176"/>
      <c r="AJ138" s="177"/>
      <c r="AK138" s="178"/>
      <c r="AL138" s="178"/>
      <c r="AM138" s="178"/>
      <c r="AN138" s="178"/>
      <c r="AO138" s="179"/>
      <c r="AP138" s="64"/>
      <c r="AQ138" s="65"/>
      <c r="AR138" s="65"/>
      <c r="AS138" s="65"/>
      <c r="AT138" s="173"/>
      <c r="AU138" s="177"/>
      <c r="AV138" s="178"/>
      <c r="AW138" s="178"/>
      <c r="AX138" s="179"/>
      <c r="AZ138" s="166"/>
      <c r="BA138" s="177"/>
      <c r="BB138" s="178"/>
      <c r="BC138" s="178"/>
      <c r="BD138" s="178"/>
      <c r="BE138" s="178"/>
      <c r="BF138" s="178"/>
      <c r="BG138" s="178"/>
      <c r="BH138" s="178"/>
      <c r="BI138" s="179"/>
      <c r="BJ138" s="180"/>
      <c r="BK138" s="178"/>
      <c r="BL138" s="178"/>
      <c r="BM138" s="178"/>
      <c r="BN138" s="178"/>
      <c r="BO138" s="181"/>
      <c r="BP138" s="166"/>
      <c r="BQ138" s="177"/>
      <c r="BR138" s="178"/>
      <c r="BS138" s="179"/>
      <c r="BU138" s="166"/>
      <c r="BV138" s="166"/>
      <c r="BW138" s="166"/>
      <c r="BX138" s="166"/>
      <c r="BY138" s="166"/>
      <c r="BZ138" s="166"/>
      <c r="CA138" s="166"/>
      <c r="CB138" s="166"/>
      <c r="CC138" s="166"/>
      <c r="CD138" s="177"/>
      <c r="CE138" s="181"/>
      <c r="CF138" s="177"/>
      <c r="CG138" s="181"/>
      <c r="CH138" s="177"/>
      <c r="CI138" s="182"/>
      <c r="CJ138" s="177"/>
      <c r="CK138" s="182"/>
      <c r="CL138" s="178"/>
      <c r="CM138" s="182"/>
      <c r="CN138" s="177"/>
      <c r="CO138" s="182"/>
      <c r="CP138" s="177"/>
      <c r="CQ138" s="178"/>
      <c r="CR138" s="182"/>
      <c r="CS138" s="65"/>
      <c r="CT138" s="64"/>
      <c r="CU138" s="165" t="str">
        <f t="shared" si="2"/>
        <v>MSS</v>
      </c>
    </row>
    <row r="139" ht="60.0" customHeight="1">
      <c r="A139" s="89"/>
      <c r="B139" s="63"/>
      <c r="C139" s="183">
        <v>11.0</v>
      </c>
      <c r="D139" s="184" t="s">
        <v>197</v>
      </c>
      <c r="E139" s="185"/>
      <c r="F139" s="186"/>
      <c r="G139" s="186"/>
      <c r="H139" s="186"/>
      <c r="I139" s="186"/>
      <c r="J139" s="186"/>
      <c r="K139" s="187"/>
      <c r="L139" s="187"/>
      <c r="M139" s="187"/>
      <c r="N139" s="187"/>
      <c r="O139" s="188">
        <f t="shared" ref="O139:O145" si="26">IF(AND(M139&lt;&gt;0,M139&lt;&gt;"m",M139&lt;&gt;"",RIGHT(K139,3)="Lec"),1,IF(AND(M139&lt;&gt;0,M139&lt;&gt;"m",M139&lt;&gt;"",OR(RIGHT(K139,3)="Lab",RIGHT(K139,3)="Tut")),0.5,IF(AND(M139&lt;&gt;0,M139&lt;&gt;"m",M139&lt;&gt;"",RIGHT(K139,2)="TL"),0.75,0)))</f>
        <v>0</v>
      </c>
      <c r="P139" s="63"/>
      <c r="Q139" s="69"/>
      <c r="R139" s="89"/>
      <c r="S139" s="69"/>
      <c r="T139" s="69"/>
      <c r="U139" s="63"/>
      <c r="V139" s="63"/>
      <c r="W139" s="89"/>
      <c r="X139" s="68"/>
      <c r="Y139" s="69"/>
      <c r="Z139" s="63"/>
      <c r="AA139" s="189"/>
      <c r="AB139" s="190"/>
      <c r="AC139" s="190"/>
      <c r="AD139" s="190"/>
      <c r="AE139" s="190"/>
      <c r="AF139" s="190"/>
      <c r="AG139" s="190"/>
      <c r="AH139" s="190"/>
      <c r="AI139" s="191"/>
      <c r="AJ139" s="192"/>
      <c r="AK139" s="193"/>
      <c r="AL139" s="193"/>
      <c r="AM139" s="193"/>
      <c r="AN139" s="193"/>
      <c r="AO139" s="194"/>
      <c r="AP139" s="103"/>
      <c r="AQ139" s="89"/>
      <c r="AR139" s="89"/>
      <c r="AS139" s="89"/>
      <c r="AT139" s="69"/>
      <c r="AU139" s="192"/>
      <c r="AV139" s="193"/>
      <c r="AW139" s="193"/>
      <c r="AX139" s="194"/>
      <c r="AY139" s="6"/>
      <c r="AZ139" s="63"/>
      <c r="BA139" s="192"/>
      <c r="BB139" s="193"/>
      <c r="BC139" s="193"/>
      <c r="BD139" s="193"/>
      <c r="BE139" s="193"/>
      <c r="BF139" s="193"/>
      <c r="BG139" s="193"/>
      <c r="BH139" s="193"/>
      <c r="BI139" s="194"/>
      <c r="BJ139" s="195"/>
      <c r="BK139" s="193"/>
      <c r="BL139" s="193"/>
      <c r="BM139" s="193"/>
      <c r="BN139" s="193"/>
      <c r="BO139" s="196"/>
      <c r="BP139" s="63"/>
      <c r="BQ139" s="192"/>
      <c r="BR139" s="193"/>
      <c r="BS139" s="194"/>
      <c r="BT139" s="6"/>
      <c r="BU139" s="63"/>
      <c r="BV139" s="63"/>
      <c r="BW139" s="63"/>
      <c r="BX139" s="63"/>
      <c r="BY139" s="63"/>
      <c r="BZ139" s="63"/>
      <c r="CA139" s="63"/>
      <c r="CB139" s="63"/>
      <c r="CC139" s="63"/>
      <c r="CD139" s="192"/>
      <c r="CE139" s="196"/>
      <c r="CF139" s="192"/>
      <c r="CG139" s="196"/>
      <c r="CH139" s="192"/>
      <c r="CI139" s="197"/>
      <c r="CJ139" s="192"/>
      <c r="CK139" s="197"/>
      <c r="CL139" s="198"/>
      <c r="CM139" s="197"/>
      <c r="CN139" s="192"/>
      <c r="CO139" s="197"/>
      <c r="CP139" s="192"/>
      <c r="CQ139" s="193"/>
      <c r="CR139" s="197"/>
      <c r="CS139" s="89"/>
      <c r="CT139" s="103"/>
      <c r="CU139" s="165" t="str">
        <f t="shared" si="2"/>
        <v>MSS</v>
      </c>
    </row>
    <row r="140" ht="55.5" customHeight="1">
      <c r="A140" s="125">
        <v>13.0</v>
      </c>
      <c r="B140" s="126" t="s">
        <v>199</v>
      </c>
      <c r="C140" s="127">
        <v>1.0</v>
      </c>
      <c r="D140" s="128" t="s">
        <v>200</v>
      </c>
      <c r="E140" s="129"/>
      <c r="F140" s="130"/>
      <c r="G140" s="130"/>
      <c r="H140" s="130"/>
      <c r="I140" s="130"/>
      <c r="J140" s="130"/>
      <c r="K140" s="131"/>
      <c r="L140" s="131"/>
      <c r="M140" s="131"/>
      <c r="N140" s="131"/>
      <c r="O140" s="132">
        <f t="shared" si="26"/>
        <v>0</v>
      </c>
      <c r="P140" s="133">
        <f>COUNTIF(K140:K150,"TL")*0.75+COUNTIF(K140:K150,"Lec")*1+COUNTIF(K140:K150,"Lab")*0.5</f>
        <v>0</v>
      </c>
      <c r="Q140" s="134">
        <f>SUM((IF(LEFT(K140,1)="E",O140,0)),(IF(LEFT(K141,1)="E",O141,0)),(IF(LEFT(K142,1)="E",O142,0)),(IF(LEFT(K143,1)="E",O143,0)),(IF(LEFT(K144,1)="E",O144,0)),(IF(LEFT(K145,1)="E",O145,0)),(IF(LEFT(K146,1)="E",O146,0)),(IF(LEFT(K147,1)="E",O147,0)),(IF(LEFT(K148,1)="E",O148,0)),(IF(LEFT(K149,1)="E",O149,0)),(IF(LEFT(K150,1)="E",O150,0)))</f>
        <v>0</v>
      </c>
      <c r="R140" s="135">
        <f>SUM(IF(M146&lt;20,IF(K146="Plec",-1,IF(K146="PTL",-0.75,IF(K146="Plab",-0.5,0))),0),IF(M147&lt;20,IF(K147="Plec",-1,IF(K147="PTL",-0.75,IF(K147="Plab",-0.5,0))),0),IF(M148&lt;20,IF(K148="Plec",-1,IF(K148="PTL",-0.75,IF(K148="Plab",-0.5,0))),0),IF(M149&lt;20,IF(K149="Plec",-1,IF(K149="PTL",-0.75,IF(K149="Plab",-0.5,0))),0))</f>
        <v>0</v>
      </c>
      <c r="S140" s="134">
        <f>SUM(P140:R150)</f>
        <v>0</v>
      </c>
      <c r="T140" s="136">
        <f>SUM(IF(M140="M",IF(OR(K140="lec",K140="plec",K140="slec"),1,IF(OR(K140="lab",K140="plab",K140="slab",K140="tut",K140="ptut",K140="stut"),0.5,IF(OR(K140="TL",K140="pTL",K140="STL"),0.75,0))),0),IF(M141="M",IF(OR(K141="lec",K141="plec",K141="slec"),1,IF(OR(K141="lab",K141="plab",K141="slab",K141="tut",K141="ptut",K141="stut"),0.5,IF(OR(K141="TL",K141="pTL",K141="STL"),0.75,0))),0),IF(M142="M",IF(OR(K142="lec",K142="plec",K142="slec"),1,IF(OR(K142="lab",K142="plab",K142="slab",K142="tut",K142="ptut",K142="stut"),0.5,IF(OR(K142="TL",K142="pTL",K142="STL"),0.75,0))),0),IF(M143="M",IF(OR(K143="lec",K143="plec",K143="slec"),1,IF(OR(K143="lab",K143="plab",K143="slab",K143="tut",K143="ptut",K143="stut"),0.5,IF(OR(K143="TL",K143="pTL",K143="STL"),0.75,0))),0),IF(M144="M",IF(OR(K144="lec",K144="plec",K144="slec"),1,IF(OR(K144="lab",K144="plab",K144="slab",K144="tut",K144="ptut",K144="stut"),0.5,IF(OR(K144="TL",K144="pTL",K144="STL"),0.75,0))),0),IF(M145="M",IF(OR(K145="lec",K145="plec",K145="slec"),1,IF(OR(K145="lab",K145="plab",K145="slab",K145="tut",K145="ptut",K145="stut"),0.5,IF(OR(K145="TL",K145="pTL",K145="STL"),0.75,0))),0),IF(M146="M",IF(OR(K146="lec",K146="plec",K146="slec"),1,IF(OR(K146="lab",K146="plab",K146="slab",K146="tut",K146="ptut",K146="stut"),0.5,IF(OR(K146="TL",K146="pTL",K146="STL"),0.75,0))),0),IF(M147="M",IF(OR(K147="lec",K147="plec",K147="slec"),1,IF(OR(K147="lab",K147="plab",K147="slab",K147="tut",K147="ptut",K147="stut"),0.5,IF(OR(K147="TL",K147="pTL",K147="STL"),0.75,0))),0),IF(M148="M",IF(OR(K148="lec",K148="plec",K148="slec"),1,IF(OR(K148="lab",K148="plab",K148="slab",K148="tut",K148="ptut",K148="stut"),0.5,IF(OR(K148="TL",K148="pTL",K148="STL"),0.75,0))),0),IF(M149="M",IF(OR(K149="lec",K149="plec",K149="slec"),1,IF(OR(K149="lab",K149="plab",K149="slab",K149="tut",K149="ptut",K149="stut"),0.5,IF(OR(K149="TL",K149="pTL",K149="STL"),0.75,0))),0),IF(M150="M",IF(OR(K150="lec",K150="plec",K150="slec"),1,IF(OR(K150="lab",K150="plab",K150="slab",K150="tut",K150="ptut",K150="stut"),0.5,IF(OR(K150="TL",K150="pTL",K150="STL"),0.75,0))),0))</f>
        <v>0</v>
      </c>
      <c r="U140" s="137"/>
      <c r="V140" s="133"/>
      <c r="W140" s="138"/>
      <c r="X140" s="139">
        <f>S140-(T140+U140+V140+W140)</f>
        <v>0</v>
      </c>
      <c r="Y140" s="134" t="str">
        <f>CONCATENATE(SUM(O140:O150),"(",SUM(O140:O150)-X140,")")</f>
        <v>0(0)</v>
      </c>
      <c r="Z140" s="140"/>
      <c r="AA140" s="141"/>
      <c r="AB140" s="142"/>
      <c r="AC140" s="142"/>
      <c r="AD140" s="142"/>
      <c r="AE140" s="142"/>
      <c r="AF140" s="142"/>
      <c r="AG140" s="142"/>
      <c r="AH140" s="142"/>
      <c r="AI140" s="143"/>
      <c r="AJ140" s="144"/>
      <c r="AK140" s="145"/>
      <c r="AL140" s="145"/>
      <c r="AM140" s="145"/>
      <c r="AN140" s="145"/>
      <c r="AO140" s="146"/>
      <c r="AP140" s="147">
        <f>SUM(SUM(O140:O150),SUM(AI140:AI150)/2,AM140)</f>
        <v>0</v>
      </c>
      <c r="AQ140" s="148"/>
      <c r="AR140" s="148">
        <f>AP140*AQ140</f>
        <v>0</v>
      </c>
      <c r="AS140" s="148">
        <f>CT140</f>
        <v>1.416666667</v>
      </c>
      <c r="AT140" s="149">
        <f>AR140*0.75+AS140*0.25</f>
        <v>0.3541666667</v>
      </c>
      <c r="AU140" s="150"/>
      <c r="AV140" s="151"/>
      <c r="AW140" s="151"/>
      <c r="AX140" s="152"/>
      <c r="AY140" s="153"/>
      <c r="AZ140" s="140"/>
      <c r="BA140" s="150">
        <v>1.0</v>
      </c>
      <c r="BB140" s="151" t="s">
        <v>176</v>
      </c>
      <c r="BC140" s="151">
        <v>12.0</v>
      </c>
      <c r="BD140" s="151">
        <v>205.0</v>
      </c>
      <c r="BE140" s="151" t="s">
        <v>201</v>
      </c>
      <c r="BF140" s="151" t="s">
        <v>202</v>
      </c>
      <c r="BG140" s="151">
        <v>1.0</v>
      </c>
      <c r="BH140" s="151"/>
      <c r="BI140" s="152"/>
      <c r="BJ140" s="154"/>
      <c r="BK140" s="151"/>
      <c r="BL140" s="151"/>
      <c r="BM140" s="151"/>
      <c r="BN140" s="151"/>
      <c r="BO140" s="155"/>
      <c r="BP140" s="140"/>
      <c r="BQ140" s="156"/>
      <c r="BR140" s="157"/>
      <c r="BS140" s="158"/>
      <c r="BT140" s="153"/>
      <c r="BU140" s="140"/>
      <c r="BV140" s="140"/>
      <c r="BW140" s="140"/>
      <c r="BX140" s="140"/>
      <c r="BY140" s="140"/>
      <c r="BZ140" s="140"/>
      <c r="CA140" s="140"/>
      <c r="CB140" s="140"/>
      <c r="CC140" s="140"/>
      <c r="CD140" s="150"/>
      <c r="CE140" s="155"/>
      <c r="CF140" s="150" t="s">
        <v>203</v>
      </c>
      <c r="CG140" s="155">
        <f>75/60</f>
        <v>1.25</v>
      </c>
      <c r="CH140" s="159"/>
      <c r="CI140" s="160"/>
      <c r="CJ140" s="159"/>
      <c r="CK140" s="160"/>
      <c r="CL140" s="161"/>
      <c r="CM140" s="160"/>
      <c r="CN140" s="159"/>
      <c r="CO140" s="160"/>
      <c r="CP140" s="159"/>
      <c r="CQ140" s="162"/>
      <c r="CR140" s="160"/>
      <c r="CS140" s="163">
        <f>SUM(IF(AU140&lt;0,ABS(AU140),0),IF(AZ140&lt;0,ABS(AZ140),0),ABS(CI140),ABS(CK140),ABS(CM140),ABS(CO140),ABS(CQ140),ABS(CR140))</f>
        <v>0</v>
      </c>
      <c r="CT140" s="164">
        <f>SUM(AU140,AV140,AW140,AX140/400,AY140,AZ140,BG140,BH140*0.5,BI140*0.25,BJ140,BK140,BL140,BM140,BN140,BO140,BP140,BR140/20,BS140/100,BT140/60,BU140,BV140,BW140,BX140/4,SUM(BY140:CC150)/3,CE140,CG140/3,CI140,CK140,CM140,CO140,CQ140,CR140)</f>
        <v>1.416666667</v>
      </c>
      <c r="CU140" s="165" t="str">
        <f t="shared" si="2"/>
        <v>MSP</v>
      </c>
    </row>
    <row r="141" ht="60.0" customHeight="1">
      <c r="A141" s="65"/>
      <c r="B141" s="166"/>
      <c r="C141" s="167">
        <v>2.0</v>
      </c>
      <c r="D141" s="168" t="s">
        <v>200</v>
      </c>
      <c r="E141" s="169"/>
      <c r="F141" s="170"/>
      <c r="G141" s="170"/>
      <c r="H141" s="170"/>
      <c r="I141" s="170"/>
      <c r="J141" s="170"/>
      <c r="K141" s="171"/>
      <c r="L141" s="171"/>
      <c r="M141" s="171"/>
      <c r="N141" s="171"/>
      <c r="O141" s="172">
        <f t="shared" si="26"/>
        <v>0</v>
      </c>
      <c r="P141" s="166"/>
      <c r="Q141" s="173"/>
      <c r="R141" s="65"/>
      <c r="S141" s="173"/>
      <c r="T141" s="173"/>
      <c r="U141" s="166"/>
      <c r="V141" s="166"/>
      <c r="W141" s="65"/>
      <c r="X141" s="66"/>
      <c r="Y141" s="173"/>
      <c r="Z141" s="166"/>
      <c r="AA141" s="174"/>
      <c r="AB141" s="175"/>
      <c r="AC141" s="175"/>
      <c r="AD141" s="175"/>
      <c r="AE141" s="175"/>
      <c r="AF141" s="175"/>
      <c r="AG141" s="175"/>
      <c r="AH141" s="175"/>
      <c r="AI141" s="176"/>
      <c r="AJ141" s="177"/>
      <c r="AK141" s="178"/>
      <c r="AL141" s="178"/>
      <c r="AM141" s="178"/>
      <c r="AN141" s="178"/>
      <c r="AO141" s="179"/>
      <c r="AP141" s="64"/>
      <c r="AQ141" s="65"/>
      <c r="AR141" s="65"/>
      <c r="AS141" s="65"/>
      <c r="AT141" s="173"/>
      <c r="AU141" s="177"/>
      <c r="AV141" s="178"/>
      <c r="AW141" s="178"/>
      <c r="AX141" s="179"/>
      <c r="AZ141" s="166"/>
      <c r="BA141" s="177"/>
      <c r="BB141" s="178"/>
      <c r="BC141" s="178"/>
      <c r="BD141" s="178"/>
      <c r="BE141" s="178"/>
      <c r="BF141" s="178"/>
      <c r="BG141" s="178"/>
      <c r="BH141" s="178"/>
      <c r="BI141" s="179"/>
      <c r="BJ141" s="180"/>
      <c r="BK141" s="178"/>
      <c r="BL141" s="178"/>
      <c r="BM141" s="178"/>
      <c r="BN141" s="178"/>
      <c r="BO141" s="181"/>
      <c r="BP141" s="166"/>
      <c r="BQ141" s="177"/>
      <c r="BR141" s="178"/>
      <c r="BS141" s="179"/>
      <c r="BU141" s="166"/>
      <c r="BV141" s="166"/>
      <c r="BW141" s="166"/>
      <c r="BX141" s="166"/>
      <c r="BY141" s="166"/>
      <c r="BZ141" s="166"/>
      <c r="CA141" s="166"/>
      <c r="CB141" s="166"/>
      <c r="CC141" s="166"/>
      <c r="CD141" s="177"/>
      <c r="CE141" s="181"/>
      <c r="CF141" s="177"/>
      <c r="CG141" s="181"/>
      <c r="CH141" s="177"/>
      <c r="CI141" s="182"/>
      <c r="CJ141" s="177"/>
      <c r="CK141" s="182"/>
      <c r="CL141" s="178"/>
      <c r="CM141" s="182"/>
      <c r="CN141" s="177"/>
      <c r="CO141" s="182"/>
      <c r="CP141" s="177"/>
      <c r="CQ141" s="178"/>
      <c r="CR141" s="182"/>
      <c r="CS141" s="65"/>
      <c r="CT141" s="64"/>
      <c r="CU141" s="165" t="str">
        <f t="shared" si="2"/>
        <v>MSP</v>
      </c>
    </row>
    <row r="142" ht="60.0" customHeight="1">
      <c r="A142" s="65"/>
      <c r="B142" s="166"/>
      <c r="C142" s="167">
        <v>3.0</v>
      </c>
      <c r="D142" s="168" t="s">
        <v>200</v>
      </c>
      <c r="E142" s="169"/>
      <c r="F142" s="170"/>
      <c r="G142" s="170"/>
      <c r="H142" s="170"/>
      <c r="I142" s="170"/>
      <c r="J142" s="170"/>
      <c r="K142" s="171"/>
      <c r="L142" s="171"/>
      <c r="M142" s="171"/>
      <c r="N142" s="171"/>
      <c r="O142" s="172">
        <f t="shared" si="26"/>
        <v>0</v>
      </c>
      <c r="P142" s="166"/>
      <c r="Q142" s="173"/>
      <c r="R142" s="65"/>
      <c r="S142" s="173"/>
      <c r="T142" s="173"/>
      <c r="U142" s="166"/>
      <c r="V142" s="166"/>
      <c r="W142" s="65"/>
      <c r="X142" s="66"/>
      <c r="Y142" s="173"/>
      <c r="Z142" s="166"/>
      <c r="AA142" s="174"/>
      <c r="AB142" s="175"/>
      <c r="AC142" s="175"/>
      <c r="AD142" s="175"/>
      <c r="AE142" s="175"/>
      <c r="AF142" s="175"/>
      <c r="AG142" s="175"/>
      <c r="AH142" s="175"/>
      <c r="AI142" s="176"/>
      <c r="AJ142" s="177"/>
      <c r="AK142" s="178"/>
      <c r="AL142" s="178"/>
      <c r="AM142" s="178"/>
      <c r="AN142" s="178"/>
      <c r="AO142" s="179"/>
      <c r="AP142" s="64"/>
      <c r="AQ142" s="65"/>
      <c r="AR142" s="65"/>
      <c r="AS142" s="65"/>
      <c r="AT142" s="173"/>
      <c r="AU142" s="177"/>
      <c r="AV142" s="178"/>
      <c r="AW142" s="178"/>
      <c r="AX142" s="179"/>
      <c r="AZ142" s="166"/>
      <c r="BA142" s="177"/>
      <c r="BB142" s="178"/>
      <c r="BC142" s="178"/>
      <c r="BD142" s="178"/>
      <c r="BE142" s="178"/>
      <c r="BF142" s="178"/>
      <c r="BG142" s="178"/>
      <c r="BH142" s="178"/>
      <c r="BI142" s="179"/>
      <c r="BJ142" s="180"/>
      <c r="BK142" s="178"/>
      <c r="BL142" s="178"/>
      <c r="BM142" s="178"/>
      <c r="BN142" s="178"/>
      <c r="BO142" s="181"/>
      <c r="BP142" s="166"/>
      <c r="BQ142" s="177"/>
      <c r="BR142" s="178"/>
      <c r="BS142" s="179"/>
      <c r="BU142" s="166"/>
      <c r="BV142" s="166"/>
      <c r="BW142" s="166"/>
      <c r="BX142" s="166"/>
      <c r="BY142" s="166"/>
      <c r="BZ142" s="166"/>
      <c r="CA142" s="166"/>
      <c r="CB142" s="166"/>
      <c r="CC142" s="166"/>
      <c r="CD142" s="177"/>
      <c r="CE142" s="181"/>
      <c r="CF142" s="177"/>
      <c r="CG142" s="181"/>
      <c r="CH142" s="177"/>
      <c r="CI142" s="182"/>
      <c r="CJ142" s="177"/>
      <c r="CK142" s="182"/>
      <c r="CL142" s="178"/>
      <c r="CM142" s="182"/>
      <c r="CN142" s="177"/>
      <c r="CO142" s="182"/>
      <c r="CP142" s="177"/>
      <c r="CQ142" s="178"/>
      <c r="CR142" s="182"/>
      <c r="CS142" s="65"/>
      <c r="CT142" s="64"/>
      <c r="CU142" s="165" t="str">
        <f t="shared" si="2"/>
        <v>MSP</v>
      </c>
    </row>
    <row r="143" ht="60.0" customHeight="1">
      <c r="A143" s="65"/>
      <c r="B143" s="166"/>
      <c r="C143" s="167">
        <v>4.0</v>
      </c>
      <c r="D143" s="168" t="s">
        <v>200</v>
      </c>
      <c r="E143" s="169"/>
      <c r="F143" s="170"/>
      <c r="G143" s="170"/>
      <c r="H143" s="170"/>
      <c r="I143" s="170"/>
      <c r="J143" s="170"/>
      <c r="K143" s="171"/>
      <c r="L143" s="171"/>
      <c r="M143" s="171"/>
      <c r="N143" s="171"/>
      <c r="O143" s="172">
        <f t="shared" si="26"/>
        <v>0</v>
      </c>
      <c r="P143" s="166"/>
      <c r="Q143" s="173"/>
      <c r="R143" s="65"/>
      <c r="S143" s="173"/>
      <c r="T143" s="173"/>
      <c r="U143" s="166"/>
      <c r="V143" s="166"/>
      <c r="W143" s="65"/>
      <c r="X143" s="66"/>
      <c r="Y143" s="173"/>
      <c r="Z143" s="166"/>
      <c r="AA143" s="174"/>
      <c r="AB143" s="175"/>
      <c r="AC143" s="175"/>
      <c r="AD143" s="175"/>
      <c r="AE143" s="175"/>
      <c r="AF143" s="175"/>
      <c r="AG143" s="175"/>
      <c r="AH143" s="175"/>
      <c r="AI143" s="176"/>
      <c r="AJ143" s="177"/>
      <c r="AK143" s="178"/>
      <c r="AL143" s="178"/>
      <c r="AM143" s="178"/>
      <c r="AN143" s="178"/>
      <c r="AO143" s="179"/>
      <c r="AP143" s="64"/>
      <c r="AQ143" s="65"/>
      <c r="AR143" s="65"/>
      <c r="AS143" s="65"/>
      <c r="AT143" s="173"/>
      <c r="AU143" s="177"/>
      <c r="AV143" s="178"/>
      <c r="AW143" s="178"/>
      <c r="AX143" s="179"/>
      <c r="AZ143" s="166"/>
      <c r="BA143" s="177"/>
      <c r="BB143" s="178"/>
      <c r="BC143" s="178"/>
      <c r="BD143" s="178"/>
      <c r="BE143" s="178"/>
      <c r="BF143" s="178"/>
      <c r="BG143" s="178"/>
      <c r="BH143" s="178"/>
      <c r="BI143" s="179"/>
      <c r="BJ143" s="180"/>
      <c r="BK143" s="178"/>
      <c r="BL143" s="178"/>
      <c r="BM143" s="178"/>
      <c r="BN143" s="178"/>
      <c r="BO143" s="181"/>
      <c r="BP143" s="166"/>
      <c r="BQ143" s="177"/>
      <c r="BR143" s="178"/>
      <c r="BS143" s="179"/>
      <c r="BU143" s="166"/>
      <c r="BV143" s="166"/>
      <c r="BW143" s="166"/>
      <c r="BX143" s="166"/>
      <c r="BY143" s="166"/>
      <c r="BZ143" s="166"/>
      <c r="CA143" s="166"/>
      <c r="CB143" s="166"/>
      <c r="CC143" s="166"/>
      <c r="CD143" s="177"/>
      <c r="CE143" s="181"/>
      <c r="CF143" s="177"/>
      <c r="CG143" s="181"/>
      <c r="CH143" s="177"/>
      <c r="CI143" s="182"/>
      <c r="CJ143" s="177"/>
      <c r="CK143" s="182"/>
      <c r="CL143" s="178"/>
      <c r="CM143" s="182"/>
      <c r="CN143" s="177"/>
      <c r="CO143" s="182"/>
      <c r="CP143" s="177"/>
      <c r="CQ143" s="178"/>
      <c r="CR143" s="182"/>
      <c r="CS143" s="65"/>
      <c r="CT143" s="64"/>
      <c r="CU143" s="165" t="str">
        <f t="shared" si="2"/>
        <v>MSP</v>
      </c>
    </row>
    <row r="144" ht="60.0" customHeight="1">
      <c r="A144" s="65"/>
      <c r="B144" s="166"/>
      <c r="C144" s="167">
        <v>5.0</v>
      </c>
      <c r="D144" s="168" t="s">
        <v>200</v>
      </c>
      <c r="E144" s="169"/>
      <c r="F144" s="170"/>
      <c r="G144" s="170"/>
      <c r="H144" s="170"/>
      <c r="I144" s="170"/>
      <c r="J144" s="170"/>
      <c r="K144" s="171"/>
      <c r="L144" s="171"/>
      <c r="M144" s="171"/>
      <c r="N144" s="171"/>
      <c r="O144" s="172">
        <f t="shared" si="26"/>
        <v>0</v>
      </c>
      <c r="P144" s="166"/>
      <c r="Q144" s="173"/>
      <c r="R144" s="65"/>
      <c r="S144" s="173"/>
      <c r="T144" s="173"/>
      <c r="U144" s="166"/>
      <c r="V144" s="166"/>
      <c r="W144" s="65"/>
      <c r="X144" s="66"/>
      <c r="Y144" s="173"/>
      <c r="Z144" s="166"/>
      <c r="AA144" s="174"/>
      <c r="AB144" s="175"/>
      <c r="AC144" s="175"/>
      <c r="AD144" s="175"/>
      <c r="AE144" s="175"/>
      <c r="AF144" s="175"/>
      <c r="AG144" s="175"/>
      <c r="AH144" s="175"/>
      <c r="AI144" s="176"/>
      <c r="AJ144" s="177"/>
      <c r="AK144" s="178"/>
      <c r="AL144" s="178"/>
      <c r="AM144" s="178"/>
      <c r="AN144" s="178"/>
      <c r="AO144" s="179"/>
      <c r="AP144" s="64"/>
      <c r="AQ144" s="65"/>
      <c r="AR144" s="65"/>
      <c r="AS144" s="65"/>
      <c r="AT144" s="173"/>
      <c r="AU144" s="177"/>
      <c r="AV144" s="178"/>
      <c r="AW144" s="178"/>
      <c r="AX144" s="179"/>
      <c r="AZ144" s="166"/>
      <c r="BA144" s="177"/>
      <c r="BB144" s="178"/>
      <c r="BC144" s="178"/>
      <c r="BD144" s="178"/>
      <c r="BE144" s="178"/>
      <c r="BF144" s="178"/>
      <c r="BG144" s="178"/>
      <c r="BH144" s="178"/>
      <c r="BI144" s="179"/>
      <c r="BJ144" s="180"/>
      <c r="BK144" s="178"/>
      <c r="BL144" s="178"/>
      <c r="BM144" s="178"/>
      <c r="BN144" s="178"/>
      <c r="BO144" s="181"/>
      <c r="BP144" s="166"/>
      <c r="BQ144" s="177"/>
      <c r="BR144" s="178"/>
      <c r="BS144" s="179"/>
      <c r="BU144" s="166"/>
      <c r="BV144" s="166"/>
      <c r="BW144" s="166"/>
      <c r="BX144" s="166"/>
      <c r="BY144" s="166"/>
      <c r="BZ144" s="166"/>
      <c r="CA144" s="166"/>
      <c r="CB144" s="166"/>
      <c r="CC144" s="166"/>
      <c r="CD144" s="177"/>
      <c r="CE144" s="181"/>
      <c r="CF144" s="177"/>
      <c r="CG144" s="181"/>
      <c r="CH144" s="177"/>
      <c r="CI144" s="182"/>
      <c r="CJ144" s="177"/>
      <c r="CK144" s="182"/>
      <c r="CL144" s="178"/>
      <c r="CM144" s="182"/>
      <c r="CN144" s="177"/>
      <c r="CO144" s="182"/>
      <c r="CP144" s="177"/>
      <c r="CQ144" s="178"/>
      <c r="CR144" s="182"/>
      <c r="CS144" s="65"/>
      <c r="CT144" s="64"/>
      <c r="CU144" s="165" t="str">
        <f t="shared" si="2"/>
        <v>MSP</v>
      </c>
    </row>
    <row r="145" ht="60.0" customHeight="1">
      <c r="A145" s="65"/>
      <c r="B145" s="166"/>
      <c r="C145" s="167">
        <v>6.0</v>
      </c>
      <c r="D145" s="168" t="s">
        <v>200</v>
      </c>
      <c r="E145" s="169"/>
      <c r="F145" s="170"/>
      <c r="G145" s="170"/>
      <c r="H145" s="170"/>
      <c r="I145" s="170"/>
      <c r="J145" s="170"/>
      <c r="K145" s="171"/>
      <c r="L145" s="171"/>
      <c r="M145" s="171"/>
      <c r="N145" s="171"/>
      <c r="O145" s="172">
        <f t="shared" si="26"/>
        <v>0</v>
      </c>
      <c r="P145" s="166"/>
      <c r="Q145" s="173"/>
      <c r="R145" s="65"/>
      <c r="S145" s="173"/>
      <c r="T145" s="173"/>
      <c r="U145" s="166"/>
      <c r="V145" s="166"/>
      <c r="W145" s="65"/>
      <c r="X145" s="66"/>
      <c r="Y145" s="173"/>
      <c r="Z145" s="166"/>
      <c r="AA145" s="174"/>
      <c r="AB145" s="175"/>
      <c r="AC145" s="175"/>
      <c r="AD145" s="175"/>
      <c r="AE145" s="175"/>
      <c r="AF145" s="175"/>
      <c r="AG145" s="175"/>
      <c r="AH145" s="175"/>
      <c r="AI145" s="176"/>
      <c r="AJ145" s="177"/>
      <c r="AK145" s="178"/>
      <c r="AL145" s="178"/>
      <c r="AM145" s="178"/>
      <c r="AN145" s="178"/>
      <c r="AO145" s="179"/>
      <c r="AP145" s="64"/>
      <c r="AQ145" s="65"/>
      <c r="AR145" s="65"/>
      <c r="AS145" s="65"/>
      <c r="AT145" s="173"/>
      <c r="AU145" s="177"/>
      <c r="AV145" s="178"/>
      <c r="AW145" s="178"/>
      <c r="AX145" s="179"/>
      <c r="AZ145" s="166"/>
      <c r="BA145" s="177"/>
      <c r="BB145" s="178"/>
      <c r="BC145" s="178"/>
      <c r="BD145" s="178"/>
      <c r="BE145" s="178"/>
      <c r="BF145" s="178"/>
      <c r="BG145" s="178"/>
      <c r="BH145" s="178"/>
      <c r="BI145" s="179"/>
      <c r="BJ145" s="180"/>
      <c r="BK145" s="178"/>
      <c r="BL145" s="178"/>
      <c r="BM145" s="178"/>
      <c r="BN145" s="178"/>
      <c r="BO145" s="181"/>
      <c r="BP145" s="166"/>
      <c r="BQ145" s="177"/>
      <c r="BR145" s="178"/>
      <c r="BS145" s="179"/>
      <c r="BU145" s="166"/>
      <c r="BV145" s="166"/>
      <c r="BW145" s="166"/>
      <c r="BX145" s="166"/>
      <c r="BY145" s="166"/>
      <c r="BZ145" s="166"/>
      <c r="CA145" s="166"/>
      <c r="CB145" s="166"/>
      <c r="CC145" s="166"/>
      <c r="CD145" s="177"/>
      <c r="CE145" s="181"/>
      <c r="CF145" s="177"/>
      <c r="CG145" s="181"/>
      <c r="CH145" s="177"/>
      <c r="CI145" s="182"/>
      <c r="CJ145" s="177"/>
      <c r="CK145" s="182"/>
      <c r="CL145" s="178"/>
      <c r="CM145" s="182"/>
      <c r="CN145" s="177"/>
      <c r="CO145" s="182"/>
      <c r="CP145" s="177"/>
      <c r="CQ145" s="178"/>
      <c r="CR145" s="182"/>
      <c r="CS145" s="65"/>
      <c r="CT145" s="64"/>
      <c r="CU145" s="165" t="str">
        <f t="shared" si="2"/>
        <v>MSP</v>
      </c>
    </row>
    <row r="146" ht="60.0" customHeight="1">
      <c r="A146" s="65"/>
      <c r="B146" s="166"/>
      <c r="C146" s="167">
        <v>7.0</v>
      </c>
      <c r="D146" s="168" t="s">
        <v>200</v>
      </c>
      <c r="E146" s="169"/>
      <c r="F146" s="170"/>
      <c r="G146" s="170"/>
      <c r="H146" s="170"/>
      <c r="I146" s="170"/>
      <c r="J146" s="170"/>
      <c r="K146" s="171"/>
      <c r="L146" s="171"/>
      <c r="M146" s="171"/>
      <c r="N146" s="171"/>
      <c r="O146" s="172">
        <f t="shared" ref="O146:O149" si="27">IF(AND(M146&gt;=20,M146&lt;&gt;"m",RIGHT(K146,3)="Lec"),1,IF(AND(M146&gt;=20,M146&lt;&gt;"m",OR(RIGHT(K146,3)="Lab",RIGHT(K146,3)="Tut")),0.5,IF(AND(M146&gt;=20,M146&lt;&gt;"m",RIGHT(K146,2)="TL"),0.75,0)))</f>
        <v>0</v>
      </c>
      <c r="P146" s="166"/>
      <c r="Q146" s="173"/>
      <c r="R146" s="65"/>
      <c r="S146" s="173"/>
      <c r="T146" s="173"/>
      <c r="U146" s="166"/>
      <c r="V146" s="166"/>
      <c r="W146" s="65"/>
      <c r="X146" s="66"/>
      <c r="Y146" s="173"/>
      <c r="Z146" s="166"/>
      <c r="AA146" s="174"/>
      <c r="AB146" s="175"/>
      <c r="AC146" s="175"/>
      <c r="AD146" s="175"/>
      <c r="AE146" s="175"/>
      <c r="AF146" s="175"/>
      <c r="AG146" s="175"/>
      <c r="AH146" s="175"/>
      <c r="AI146" s="176"/>
      <c r="AJ146" s="177"/>
      <c r="AK146" s="178"/>
      <c r="AL146" s="178"/>
      <c r="AM146" s="178"/>
      <c r="AN146" s="178"/>
      <c r="AO146" s="179"/>
      <c r="AP146" s="64"/>
      <c r="AQ146" s="65"/>
      <c r="AR146" s="65"/>
      <c r="AS146" s="65"/>
      <c r="AT146" s="173"/>
      <c r="AU146" s="177"/>
      <c r="AV146" s="178"/>
      <c r="AW146" s="178"/>
      <c r="AX146" s="179"/>
      <c r="AZ146" s="166"/>
      <c r="BA146" s="177"/>
      <c r="BB146" s="178"/>
      <c r="BC146" s="178"/>
      <c r="BD146" s="178"/>
      <c r="BE146" s="178"/>
      <c r="BF146" s="178"/>
      <c r="BG146" s="178"/>
      <c r="BH146" s="178"/>
      <c r="BI146" s="179"/>
      <c r="BJ146" s="180"/>
      <c r="BK146" s="178"/>
      <c r="BL146" s="178"/>
      <c r="BM146" s="178"/>
      <c r="BN146" s="178"/>
      <c r="BO146" s="181"/>
      <c r="BP146" s="166"/>
      <c r="BQ146" s="177"/>
      <c r="BR146" s="178"/>
      <c r="BS146" s="179"/>
      <c r="BU146" s="166"/>
      <c r="BV146" s="166"/>
      <c r="BW146" s="166"/>
      <c r="BX146" s="166"/>
      <c r="BY146" s="166"/>
      <c r="BZ146" s="166"/>
      <c r="CA146" s="166"/>
      <c r="CB146" s="166"/>
      <c r="CC146" s="166"/>
      <c r="CD146" s="177"/>
      <c r="CE146" s="181"/>
      <c r="CF146" s="177"/>
      <c r="CG146" s="181"/>
      <c r="CH146" s="177"/>
      <c r="CI146" s="182"/>
      <c r="CJ146" s="177"/>
      <c r="CK146" s="182"/>
      <c r="CL146" s="178"/>
      <c r="CM146" s="182"/>
      <c r="CN146" s="177"/>
      <c r="CO146" s="182"/>
      <c r="CP146" s="177"/>
      <c r="CQ146" s="178"/>
      <c r="CR146" s="182"/>
      <c r="CS146" s="65"/>
      <c r="CT146" s="64"/>
      <c r="CU146" s="165" t="str">
        <f t="shared" si="2"/>
        <v>MSP</v>
      </c>
    </row>
    <row r="147" ht="60.0" customHeight="1">
      <c r="A147" s="65"/>
      <c r="B147" s="166"/>
      <c r="C147" s="167">
        <v>8.0</v>
      </c>
      <c r="D147" s="168" t="s">
        <v>200</v>
      </c>
      <c r="E147" s="169"/>
      <c r="F147" s="170"/>
      <c r="G147" s="170"/>
      <c r="H147" s="170"/>
      <c r="I147" s="170"/>
      <c r="J147" s="170"/>
      <c r="K147" s="171"/>
      <c r="L147" s="171"/>
      <c r="M147" s="171"/>
      <c r="N147" s="171"/>
      <c r="O147" s="172">
        <f t="shared" si="27"/>
        <v>0</v>
      </c>
      <c r="P147" s="166"/>
      <c r="Q147" s="173"/>
      <c r="R147" s="65"/>
      <c r="S147" s="173"/>
      <c r="T147" s="173"/>
      <c r="U147" s="166"/>
      <c r="V147" s="166"/>
      <c r="W147" s="65"/>
      <c r="X147" s="66"/>
      <c r="Y147" s="173"/>
      <c r="Z147" s="166"/>
      <c r="AA147" s="174"/>
      <c r="AB147" s="175"/>
      <c r="AC147" s="175"/>
      <c r="AD147" s="175"/>
      <c r="AE147" s="175"/>
      <c r="AF147" s="175"/>
      <c r="AG147" s="175"/>
      <c r="AH147" s="175"/>
      <c r="AI147" s="176"/>
      <c r="AJ147" s="177"/>
      <c r="AK147" s="178"/>
      <c r="AL147" s="178"/>
      <c r="AM147" s="178"/>
      <c r="AN147" s="178"/>
      <c r="AO147" s="179"/>
      <c r="AP147" s="64"/>
      <c r="AQ147" s="65"/>
      <c r="AR147" s="65"/>
      <c r="AS147" s="65"/>
      <c r="AT147" s="173"/>
      <c r="AU147" s="177"/>
      <c r="AV147" s="178"/>
      <c r="AW147" s="178"/>
      <c r="AX147" s="179"/>
      <c r="AZ147" s="166"/>
      <c r="BA147" s="177"/>
      <c r="BB147" s="178"/>
      <c r="BC147" s="178"/>
      <c r="BD147" s="178"/>
      <c r="BE147" s="178"/>
      <c r="BF147" s="178"/>
      <c r="BG147" s="178"/>
      <c r="BH147" s="178"/>
      <c r="BI147" s="179"/>
      <c r="BJ147" s="180"/>
      <c r="BK147" s="178"/>
      <c r="BL147" s="178"/>
      <c r="BM147" s="178"/>
      <c r="BN147" s="178"/>
      <c r="BO147" s="181"/>
      <c r="BP147" s="166"/>
      <c r="BQ147" s="177"/>
      <c r="BR147" s="178"/>
      <c r="BS147" s="179"/>
      <c r="BU147" s="166"/>
      <c r="BV147" s="166"/>
      <c r="BW147" s="166"/>
      <c r="BX147" s="166"/>
      <c r="BY147" s="166"/>
      <c r="BZ147" s="166"/>
      <c r="CA147" s="166"/>
      <c r="CB147" s="166"/>
      <c r="CC147" s="166"/>
      <c r="CD147" s="177"/>
      <c r="CE147" s="181"/>
      <c r="CF147" s="177"/>
      <c r="CG147" s="181"/>
      <c r="CH147" s="177"/>
      <c r="CI147" s="182"/>
      <c r="CJ147" s="177"/>
      <c r="CK147" s="182"/>
      <c r="CL147" s="178"/>
      <c r="CM147" s="182"/>
      <c r="CN147" s="177"/>
      <c r="CO147" s="182"/>
      <c r="CP147" s="177"/>
      <c r="CQ147" s="178"/>
      <c r="CR147" s="182"/>
      <c r="CS147" s="65"/>
      <c r="CT147" s="64"/>
      <c r="CU147" s="165" t="str">
        <f t="shared" si="2"/>
        <v>MSP</v>
      </c>
    </row>
    <row r="148" ht="60.0" customHeight="1">
      <c r="A148" s="65"/>
      <c r="B148" s="166"/>
      <c r="C148" s="167">
        <v>9.0</v>
      </c>
      <c r="D148" s="168" t="s">
        <v>200</v>
      </c>
      <c r="E148" s="169"/>
      <c r="F148" s="170"/>
      <c r="G148" s="170"/>
      <c r="H148" s="170"/>
      <c r="I148" s="170"/>
      <c r="J148" s="170"/>
      <c r="K148" s="171"/>
      <c r="L148" s="171"/>
      <c r="M148" s="171"/>
      <c r="N148" s="171"/>
      <c r="O148" s="172">
        <f t="shared" si="27"/>
        <v>0</v>
      </c>
      <c r="P148" s="166"/>
      <c r="Q148" s="173"/>
      <c r="R148" s="65"/>
      <c r="S148" s="173"/>
      <c r="T148" s="173"/>
      <c r="U148" s="166"/>
      <c r="V148" s="166"/>
      <c r="W148" s="65"/>
      <c r="X148" s="66"/>
      <c r="Y148" s="173"/>
      <c r="Z148" s="166"/>
      <c r="AA148" s="174"/>
      <c r="AB148" s="175"/>
      <c r="AC148" s="175"/>
      <c r="AD148" s="175"/>
      <c r="AE148" s="175"/>
      <c r="AF148" s="175"/>
      <c r="AG148" s="175"/>
      <c r="AH148" s="175"/>
      <c r="AI148" s="176"/>
      <c r="AJ148" s="177"/>
      <c r="AK148" s="178"/>
      <c r="AL148" s="178"/>
      <c r="AM148" s="178"/>
      <c r="AN148" s="178"/>
      <c r="AO148" s="179"/>
      <c r="AP148" s="64"/>
      <c r="AQ148" s="65"/>
      <c r="AR148" s="65"/>
      <c r="AS148" s="65"/>
      <c r="AT148" s="173"/>
      <c r="AU148" s="177"/>
      <c r="AV148" s="178"/>
      <c r="AW148" s="178"/>
      <c r="AX148" s="179"/>
      <c r="AZ148" s="166"/>
      <c r="BA148" s="177"/>
      <c r="BB148" s="178"/>
      <c r="BC148" s="178"/>
      <c r="BD148" s="178"/>
      <c r="BE148" s="178"/>
      <c r="BF148" s="178"/>
      <c r="BG148" s="178"/>
      <c r="BH148" s="178"/>
      <c r="BI148" s="179"/>
      <c r="BJ148" s="180"/>
      <c r="BK148" s="178"/>
      <c r="BL148" s="178"/>
      <c r="BM148" s="178"/>
      <c r="BN148" s="178"/>
      <c r="BO148" s="181"/>
      <c r="BP148" s="166"/>
      <c r="BQ148" s="177"/>
      <c r="BR148" s="178"/>
      <c r="BS148" s="179"/>
      <c r="BU148" s="166"/>
      <c r="BV148" s="166"/>
      <c r="BW148" s="166"/>
      <c r="BX148" s="166"/>
      <c r="BY148" s="166"/>
      <c r="BZ148" s="166"/>
      <c r="CA148" s="166"/>
      <c r="CB148" s="166"/>
      <c r="CC148" s="166"/>
      <c r="CD148" s="177"/>
      <c r="CE148" s="181"/>
      <c r="CF148" s="177"/>
      <c r="CG148" s="181"/>
      <c r="CH148" s="177"/>
      <c r="CI148" s="182"/>
      <c r="CJ148" s="177"/>
      <c r="CK148" s="182"/>
      <c r="CL148" s="178"/>
      <c r="CM148" s="182"/>
      <c r="CN148" s="177"/>
      <c r="CO148" s="182"/>
      <c r="CP148" s="177"/>
      <c r="CQ148" s="178"/>
      <c r="CR148" s="182"/>
      <c r="CS148" s="65"/>
      <c r="CT148" s="64"/>
      <c r="CU148" s="165" t="str">
        <f t="shared" si="2"/>
        <v>MSP</v>
      </c>
    </row>
    <row r="149" ht="60.0" customHeight="1">
      <c r="A149" s="65"/>
      <c r="B149" s="166"/>
      <c r="C149" s="167">
        <v>10.0</v>
      </c>
      <c r="D149" s="168" t="s">
        <v>200</v>
      </c>
      <c r="E149" s="169"/>
      <c r="F149" s="170"/>
      <c r="G149" s="170"/>
      <c r="H149" s="170"/>
      <c r="I149" s="170"/>
      <c r="J149" s="170"/>
      <c r="K149" s="171"/>
      <c r="L149" s="171"/>
      <c r="M149" s="171"/>
      <c r="N149" s="171"/>
      <c r="O149" s="172">
        <f t="shared" si="27"/>
        <v>0</v>
      </c>
      <c r="P149" s="166"/>
      <c r="Q149" s="173"/>
      <c r="R149" s="65"/>
      <c r="S149" s="173"/>
      <c r="T149" s="173"/>
      <c r="U149" s="166"/>
      <c r="V149" s="166"/>
      <c r="W149" s="65"/>
      <c r="X149" s="66"/>
      <c r="Y149" s="173"/>
      <c r="Z149" s="166"/>
      <c r="AA149" s="174"/>
      <c r="AB149" s="175"/>
      <c r="AC149" s="175"/>
      <c r="AD149" s="175"/>
      <c r="AE149" s="175"/>
      <c r="AF149" s="175"/>
      <c r="AG149" s="175"/>
      <c r="AH149" s="175"/>
      <c r="AI149" s="176"/>
      <c r="AJ149" s="177"/>
      <c r="AK149" s="178"/>
      <c r="AL149" s="178"/>
      <c r="AM149" s="178"/>
      <c r="AN149" s="178"/>
      <c r="AO149" s="179"/>
      <c r="AP149" s="64"/>
      <c r="AQ149" s="65"/>
      <c r="AR149" s="65"/>
      <c r="AS149" s="65"/>
      <c r="AT149" s="173"/>
      <c r="AU149" s="177"/>
      <c r="AV149" s="178"/>
      <c r="AW149" s="178"/>
      <c r="AX149" s="179"/>
      <c r="AZ149" s="166"/>
      <c r="BA149" s="177"/>
      <c r="BB149" s="178"/>
      <c r="BC149" s="178"/>
      <c r="BD149" s="178"/>
      <c r="BE149" s="178"/>
      <c r="BF149" s="178"/>
      <c r="BG149" s="178"/>
      <c r="BH149" s="178"/>
      <c r="BI149" s="179"/>
      <c r="BJ149" s="180"/>
      <c r="BK149" s="178"/>
      <c r="BL149" s="178"/>
      <c r="BM149" s="178"/>
      <c r="BN149" s="178"/>
      <c r="BO149" s="181"/>
      <c r="BP149" s="166"/>
      <c r="BQ149" s="177"/>
      <c r="BR149" s="178"/>
      <c r="BS149" s="179"/>
      <c r="BU149" s="166"/>
      <c r="BV149" s="166"/>
      <c r="BW149" s="166"/>
      <c r="BX149" s="166"/>
      <c r="BY149" s="166"/>
      <c r="BZ149" s="166"/>
      <c r="CA149" s="166"/>
      <c r="CB149" s="166"/>
      <c r="CC149" s="166"/>
      <c r="CD149" s="177"/>
      <c r="CE149" s="181"/>
      <c r="CF149" s="177"/>
      <c r="CG149" s="181"/>
      <c r="CH149" s="177"/>
      <c r="CI149" s="182"/>
      <c r="CJ149" s="177"/>
      <c r="CK149" s="182"/>
      <c r="CL149" s="178"/>
      <c r="CM149" s="182"/>
      <c r="CN149" s="177"/>
      <c r="CO149" s="182"/>
      <c r="CP149" s="177"/>
      <c r="CQ149" s="178"/>
      <c r="CR149" s="182"/>
      <c r="CS149" s="65"/>
      <c r="CT149" s="64"/>
      <c r="CU149" s="165" t="str">
        <f t="shared" si="2"/>
        <v>MSP</v>
      </c>
    </row>
    <row r="150" ht="60.0" customHeight="1">
      <c r="A150" s="89"/>
      <c r="B150" s="63"/>
      <c r="C150" s="183">
        <v>11.0</v>
      </c>
      <c r="D150" s="184" t="s">
        <v>200</v>
      </c>
      <c r="E150" s="185"/>
      <c r="F150" s="186"/>
      <c r="G150" s="186"/>
      <c r="H150" s="186"/>
      <c r="I150" s="186"/>
      <c r="J150" s="186"/>
      <c r="K150" s="187"/>
      <c r="L150" s="187"/>
      <c r="M150" s="187"/>
      <c r="N150" s="187"/>
      <c r="O150" s="188">
        <f t="shared" ref="O150:O156" si="28">IF(AND(M150&lt;&gt;0,M150&lt;&gt;"m",M150&lt;&gt;"",RIGHT(K150,3)="Lec"),1,IF(AND(M150&lt;&gt;0,M150&lt;&gt;"m",M150&lt;&gt;"",OR(RIGHT(K150,3)="Lab",RIGHT(K150,3)="Tut")),0.5,IF(AND(M150&lt;&gt;0,M150&lt;&gt;"m",M150&lt;&gt;"",RIGHT(K150,2)="TL"),0.75,0)))</f>
        <v>0</v>
      </c>
      <c r="P150" s="63"/>
      <c r="Q150" s="69"/>
      <c r="R150" s="89"/>
      <c r="S150" s="69"/>
      <c r="T150" s="69"/>
      <c r="U150" s="63"/>
      <c r="V150" s="63"/>
      <c r="W150" s="89"/>
      <c r="X150" s="68"/>
      <c r="Y150" s="69"/>
      <c r="Z150" s="63"/>
      <c r="AA150" s="189"/>
      <c r="AB150" s="190"/>
      <c r="AC150" s="190"/>
      <c r="AD150" s="190"/>
      <c r="AE150" s="190"/>
      <c r="AF150" s="190"/>
      <c r="AG150" s="190"/>
      <c r="AH150" s="190"/>
      <c r="AI150" s="191"/>
      <c r="AJ150" s="192"/>
      <c r="AK150" s="193"/>
      <c r="AL150" s="193"/>
      <c r="AM150" s="193"/>
      <c r="AN150" s="193"/>
      <c r="AO150" s="194"/>
      <c r="AP150" s="103"/>
      <c r="AQ150" s="89"/>
      <c r="AR150" s="89"/>
      <c r="AS150" s="89"/>
      <c r="AT150" s="69"/>
      <c r="AU150" s="192"/>
      <c r="AV150" s="193"/>
      <c r="AW150" s="193"/>
      <c r="AX150" s="194"/>
      <c r="AY150" s="6"/>
      <c r="AZ150" s="63"/>
      <c r="BA150" s="192"/>
      <c r="BB150" s="193"/>
      <c r="BC150" s="193"/>
      <c r="BD150" s="193"/>
      <c r="BE150" s="193"/>
      <c r="BF150" s="193"/>
      <c r="BG150" s="193"/>
      <c r="BH150" s="193"/>
      <c r="BI150" s="194"/>
      <c r="BJ150" s="195"/>
      <c r="BK150" s="193"/>
      <c r="BL150" s="193"/>
      <c r="BM150" s="193"/>
      <c r="BN150" s="193"/>
      <c r="BO150" s="196"/>
      <c r="BP150" s="63"/>
      <c r="BQ150" s="192"/>
      <c r="BR150" s="193"/>
      <c r="BS150" s="194"/>
      <c r="BT150" s="6"/>
      <c r="BU150" s="63"/>
      <c r="BV150" s="63"/>
      <c r="BW150" s="63"/>
      <c r="BX150" s="63"/>
      <c r="BY150" s="63"/>
      <c r="BZ150" s="63"/>
      <c r="CA150" s="63"/>
      <c r="CB150" s="63"/>
      <c r="CC150" s="63"/>
      <c r="CD150" s="192"/>
      <c r="CE150" s="196"/>
      <c r="CF150" s="192"/>
      <c r="CG150" s="196"/>
      <c r="CH150" s="192"/>
      <c r="CI150" s="197"/>
      <c r="CJ150" s="192"/>
      <c r="CK150" s="197"/>
      <c r="CL150" s="198"/>
      <c r="CM150" s="197"/>
      <c r="CN150" s="192"/>
      <c r="CO150" s="197"/>
      <c r="CP150" s="192"/>
      <c r="CQ150" s="193"/>
      <c r="CR150" s="197"/>
      <c r="CS150" s="89"/>
      <c r="CT150" s="103"/>
      <c r="CU150" s="165" t="str">
        <f t="shared" si="2"/>
        <v>MSP</v>
      </c>
    </row>
    <row r="151" ht="55.5" customHeight="1">
      <c r="A151" s="125">
        <v>14.0</v>
      </c>
      <c r="B151" s="126" t="s">
        <v>204</v>
      </c>
      <c r="C151" s="127">
        <v>1.0</v>
      </c>
      <c r="D151" s="128" t="s">
        <v>205</v>
      </c>
      <c r="E151" s="129"/>
      <c r="F151" s="130"/>
      <c r="G151" s="130"/>
      <c r="H151" s="130"/>
      <c r="I151" s="130"/>
      <c r="J151" s="130"/>
      <c r="K151" s="131"/>
      <c r="L151" s="131"/>
      <c r="M151" s="131"/>
      <c r="N151" s="131"/>
      <c r="O151" s="132">
        <f t="shared" si="28"/>
        <v>0</v>
      </c>
      <c r="P151" s="133">
        <f>COUNTIF(K151:K161,"TL")*0.75+COUNTIF(K151:K161,"Lec")*1+COUNTIF(K151:K161,"Lab")*0.5</f>
        <v>0</v>
      </c>
      <c r="Q151" s="134">
        <f>SUM((IF(LEFT(K151,1)="E",O151,0)),(IF(LEFT(K152,1)="E",O152,0)),(IF(LEFT(K153,1)="E",O153,0)),(IF(LEFT(K154,1)="E",O154,0)),(IF(LEFT(K155,1)="E",O155,0)),(IF(LEFT(K156,1)="E",O156,0)),(IF(LEFT(K157,1)="E",O157,0)),(IF(LEFT(K158,1)="E",O158,0)),(IF(LEFT(K159,1)="E",O159,0)),(IF(LEFT(K160,1)="E",O160,0)),(IF(LEFT(K161,1)="E",O161,0)))</f>
        <v>0</v>
      </c>
      <c r="R151" s="135">
        <f>SUM(IF(M157&lt;20,IF(K157="Plec",-1,IF(K157="PTL",-0.75,IF(K157="Plab",-0.5,0))),0),IF(M158&lt;20,IF(K158="Plec",-1,IF(K158="PTL",-0.75,IF(K158="Plab",-0.5,0))),0),IF(M159&lt;20,IF(K159="Plec",-1,IF(K159="PTL",-0.75,IF(K159="Plab",-0.5,0))),0),IF(M160&lt;20,IF(K160="Plec",-1,IF(K160="PTL",-0.75,IF(K160="Plab",-0.5,0))),0))</f>
        <v>0</v>
      </c>
      <c r="S151" s="134">
        <f>SUM(P151:R161)</f>
        <v>0</v>
      </c>
      <c r="T151" s="136">
        <f>SUM(IF(M151="M",IF(OR(K151="lec",K151="plec",K151="slec"),1,IF(OR(K151="lab",K151="plab",K151="slab",K151="tut",K151="ptut",K151="stut"),0.5,IF(OR(K151="TL",K151="pTL",K151="STL"),0.75,0))),0),IF(M152="M",IF(OR(K152="lec",K152="plec",K152="slec"),1,IF(OR(K152="lab",K152="plab",K152="slab",K152="tut",K152="ptut",K152="stut"),0.5,IF(OR(K152="TL",K152="pTL",K152="STL"),0.75,0))),0),IF(M153="M",IF(OR(K153="lec",K153="plec",K153="slec"),1,IF(OR(K153="lab",K153="plab",K153="slab",K153="tut",K153="ptut",K153="stut"),0.5,IF(OR(K153="TL",K153="pTL",K153="STL"),0.75,0))),0),IF(M154="M",IF(OR(K154="lec",K154="plec",K154="slec"),1,IF(OR(K154="lab",K154="plab",K154="slab",K154="tut",K154="ptut",K154="stut"),0.5,IF(OR(K154="TL",K154="pTL",K154="STL"),0.75,0))),0),IF(M155="M",IF(OR(K155="lec",K155="plec",K155="slec"),1,IF(OR(K155="lab",K155="plab",K155="slab",K155="tut",K155="ptut",K155="stut"),0.5,IF(OR(K155="TL",K155="pTL",K155="STL"),0.75,0))),0),IF(M156="M",IF(OR(K156="lec",K156="plec",K156="slec"),1,IF(OR(K156="lab",K156="plab",K156="slab",K156="tut",K156="ptut",K156="stut"),0.5,IF(OR(K156="TL",K156="pTL",K156="STL"),0.75,0))),0),IF(M157="M",IF(OR(K157="lec",K157="plec",K157="slec"),1,IF(OR(K157="lab",K157="plab",K157="slab",K157="tut",K157="ptut",K157="stut"),0.5,IF(OR(K157="TL",K157="pTL",K157="STL"),0.75,0))),0),IF(M158="M",IF(OR(K158="lec",K158="plec",K158="slec"),1,IF(OR(K158="lab",K158="plab",K158="slab",K158="tut",K158="ptut",K158="stut"),0.5,IF(OR(K158="TL",K158="pTL",K158="STL"),0.75,0))),0),IF(M159="M",IF(OR(K159="lec",K159="plec",K159="slec"),1,IF(OR(K159="lab",K159="plab",K159="slab",K159="tut",K159="ptut",K159="stut"),0.5,IF(OR(K159="TL",K159="pTL",K159="STL"),0.75,0))),0),IF(M160="M",IF(OR(K160="lec",K160="plec",K160="slec"),1,IF(OR(K160="lab",K160="plab",K160="slab",K160="tut",K160="ptut",K160="stut"),0.5,IF(OR(K160="TL",K160="pTL",K160="STL"),0.75,0))),0),IF(M161="M",IF(OR(K161="lec",K161="plec",K161="slec"),1,IF(OR(K161="lab",K161="plab",K161="slab",K161="tut",K161="ptut",K161="stut"),0.5,IF(OR(K161="TL",K161="pTL",K161="STL"),0.75,0))),0))</f>
        <v>0</v>
      </c>
      <c r="U151" s="137"/>
      <c r="V151" s="133"/>
      <c r="W151" s="138"/>
      <c r="X151" s="139">
        <f>S151-(T151+U151+V151+W151)</f>
        <v>0</v>
      </c>
      <c r="Y151" s="134" t="str">
        <f>CONCATENATE(SUM(O151:O161),"(",SUM(O151:O161)-X151,")")</f>
        <v>0(0)</v>
      </c>
      <c r="Z151" s="140"/>
      <c r="AA151" s="141"/>
      <c r="AB151" s="142"/>
      <c r="AC151" s="142"/>
      <c r="AD151" s="142"/>
      <c r="AE151" s="142"/>
      <c r="AF151" s="142"/>
      <c r="AG151" s="142"/>
      <c r="AH151" s="142"/>
      <c r="AI151" s="143"/>
      <c r="AJ151" s="144"/>
      <c r="AK151" s="145"/>
      <c r="AL151" s="145"/>
      <c r="AM151" s="145"/>
      <c r="AN151" s="145"/>
      <c r="AO151" s="146"/>
      <c r="AP151" s="147">
        <f>SUM(SUM(O151:O161),SUM(AI151:AI161)/2,AM151)</f>
        <v>0</v>
      </c>
      <c r="AQ151" s="148"/>
      <c r="AR151" s="148">
        <f>AP151*AQ151</f>
        <v>0</v>
      </c>
      <c r="AS151" s="148">
        <f>CT151</f>
        <v>0.1388888889</v>
      </c>
      <c r="AT151" s="149">
        <f>AR151*0.75+AS151*0.25</f>
        <v>0.03472222222</v>
      </c>
      <c r="AU151" s="150"/>
      <c r="AV151" s="151"/>
      <c r="AW151" s="151"/>
      <c r="AX151" s="152"/>
      <c r="AY151" s="153"/>
      <c r="AZ151" s="140"/>
      <c r="BA151" s="150"/>
      <c r="BB151" s="151"/>
      <c r="BC151" s="151"/>
      <c r="BD151" s="151"/>
      <c r="BE151" s="151"/>
      <c r="BF151" s="151"/>
      <c r="BG151" s="151"/>
      <c r="BH151" s="151"/>
      <c r="BI151" s="152"/>
      <c r="BJ151" s="154"/>
      <c r="BK151" s="151"/>
      <c r="BL151" s="151"/>
      <c r="BM151" s="151"/>
      <c r="BN151" s="151"/>
      <c r="BO151" s="155"/>
      <c r="BP151" s="140"/>
      <c r="BQ151" s="156"/>
      <c r="BR151" s="157"/>
      <c r="BS151" s="158"/>
      <c r="BT151" s="153"/>
      <c r="BU151" s="140"/>
      <c r="BV151" s="140"/>
      <c r="BW151" s="140"/>
      <c r="BX151" s="140"/>
      <c r="BY151" s="140"/>
      <c r="BZ151" s="140"/>
      <c r="CA151" s="140"/>
      <c r="CB151" s="140"/>
      <c r="CC151" s="140"/>
      <c r="CD151" s="150"/>
      <c r="CE151" s="155"/>
      <c r="CF151" s="150" t="s">
        <v>206</v>
      </c>
      <c r="CG151" s="155">
        <f>25/60</f>
        <v>0.4166666667</v>
      </c>
      <c r="CH151" s="159"/>
      <c r="CI151" s="160"/>
      <c r="CJ151" s="159"/>
      <c r="CK151" s="160"/>
      <c r="CL151" s="161"/>
      <c r="CM151" s="160"/>
      <c r="CN151" s="159"/>
      <c r="CO151" s="160"/>
      <c r="CP151" s="159"/>
      <c r="CQ151" s="162"/>
      <c r="CR151" s="160"/>
      <c r="CS151" s="163">
        <f>SUM(IF(AU151&lt;0,ABS(AU151),0),IF(AZ151&lt;0,ABS(AZ151),0),ABS(CI151),ABS(CK151),ABS(CM151),ABS(CO151),ABS(CQ151),ABS(CR151))</f>
        <v>0</v>
      </c>
      <c r="CT151" s="164">
        <f>SUM(AU151,AV151,AW151,AX151/400,AY151,AZ151,BG151,BH151*0.5,BI151*0.25,BJ151,BK151,BL151,BM151,BN151,BO151,BP151,BR151/20,BS151/100,BT151/60,BU151,BV151,BW151,BX151/4,SUM(BY151:CC161)/3,CE151,CG151/3,CI151,CK151,CM151,CO151,CQ151,CR151)</f>
        <v>0.1388888889</v>
      </c>
      <c r="CU151" s="165" t="str">
        <f t="shared" si="2"/>
        <v>AJK</v>
      </c>
    </row>
    <row r="152" ht="60.0" customHeight="1">
      <c r="A152" s="65"/>
      <c r="B152" s="166"/>
      <c r="C152" s="167">
        <v>2.0</v>
      </c>
      <c r="D152" s="168" t="s">
        <v>205</v>
      </c>
      <c r="E152" s="169"/>
      <c r="F152" s="170"/>
      <c r="G152" s="170"/>
      <c r="H152" s="170"/>
      <c r="I152" s="170"/>
      <c r="J152" s="170"/>
      <c r="K152" s="171"/>
      <c r="L152" s="171"/>
      <c r="M152" s="171"/>
      <c r="N152" s="171"/>
      <c r="O152" s="172">
        <f t="shared" si="28"/>
        <v>0</v>
      </c>
      <c r="P152" s="166"/>
      <c r="Q152" s="173"/>
      <c r="R152" s="65"/>
      <c r="S152" s="173"/>
      <c r="T152" s="173"/>
      <c r="U152" s="166"/>
      <c r="V152" s="166"/>
      <c r="W152" s="65"/>
      <c r="X152" s="66"/>
      <c r="Y152" s="173"/>
      <c r="Z152" s="166"/>
      <c r="AA152" s="174"/>
      <c r="AB152" s="175"/>
      <c r="AC152" s="175"/>
      <c r="AD152" s="175"/>
      <c r="AE152" s="175"/>
      <c r="AF152" s="175"/>
      <c r="AG152" s="175"/>
      <c r="AH152" s="175"/>
      <c r="AI152" s="176"/>
      <c r="AJ152" s="177"/>
      <c r="AK152" s="178"/>
      <c r="AL152" s="178"/>
      <c r="AM152" s="178"/>
      <c r="AN152" s="178"/>
      <c r="AO152" s="179"/>
      <c r="AP152" s="64"/>
      <c r="AQ152" s="65"/>
      <c r="AR152" s="65"/>
      <c r="AS152" s="65"/>
      <c r="AT152" s="173"/>
      <c r="AU152" s="177"/>
      <c r="AV152" s="178"/>
      <c r="AW152" s="178"/>
      <c r="AX152" s="179"/>
      <c r="AZ152" s="166"/>
      <c r="BA152" s="177"/>
      <c r="BB152" s="178"/>
      <c r="BC152" s="178"/>
      <c r="BD152" s="178"/>
      <c r="BE152" s="178"/>
      <c r="BF152" s="178"/>
      <c r="BG152" s="178"/>
      <c r="BH152" s="178"/>
      <c r="BI152" s="179"/>
      <c r="BJ152" s="180"/>
      <c r="BK152" s="178"/>
      <c r="BL152" s="178"/>
      <c r="BM152" s="178"/>
      <c r="BN152" s="178"/>
      <c r="BO152" s="181"/>
      <c r="BP152" s="166"/>
      <c r="BQ152" s="177"/>
      <c r="BR152" s="178"/>
      <c r="BS152" s="179"/>
      <c r="BU152" s="166"/>
      <c r="BV152" s="166"/>
      <c r="BW152" s="166"/>
      <c r="BX152" s="166"/>
      <c r="BY152" s="166"/>
      <c r="BZ152" s="166"/>
      <c r="CA152" s="166"/>
      <c r="CB152" s="166"/>
      <c r="CC152" s="166"/>
      <c r="CD152" s="177"/>
      <c r="CE152" s="181"/>
      <c r="CF152" s="177"/>
      <c r="CG152" s="181"/>
      <c r="CH152" s="177"/>
      <c r="CI152" s="182"/>
      <c r="CJ152" s="177"/>
      <c r="CK152" s="182"/>
      <c r="CL152" s="178"/>
      <c r="CM152" s="182"/>
      <c r="CN152" s="177"/>
      <c r="CO152" s="182"/>
      <c r="CP152" s="177"/>
      <c r="CQ152" s="178"/>
      <c r="CR152" s="182"/>
      <c r="CS152" s="65"/>
      <c r="CT152" s="64"/>
      <c r="CU152" s="165" t="str">
        <f t="shared" si="2"/>
        <v>AJK</v>
      </c>
    </row>
    <row r="153" ht="60.0" customHeight="1">
      <c r="A153" s="65"/>
      <c r="B153" s="166"/>
      <c r="C153" s="167">
        <v>3.0</v>
      </c>
      <c r="D153" s="168" t="s">
        <v>205</v>
      </c>
      <c r="E153" s="169"/>
      <c r="F153" s="170"/>
      <c r="G153" s="170"/>
      <c r="H153" s="170"/>
      <c r="I153" s="170"/>
      <c r="J153" s="170"/>
      <c r="K153" s="171"/>
      <c r="L153" s="171"/>
      <c r="M153" s="171"/>
      <c r="N153" s="171"/>
      <c r="O153" s="172">
        <f t="shared" si="28"/>
        <v>0</v>
      </c>
      <c r="P153" s="166"/>
      <c r="Q153" s="173"/>
      <c r="R153" s="65"/>
      <c r="S153" s="173"/>
      <c r="T153" s="173"/>
      <c r="U153" s="166"/>
      <c r="V153" s="166"/>
      <c r="W153" s="65"/>
      <c r="X153" s="66"/>
      <c r="Y153" s="173"/>
      <c r="Z153" s="166"/>
      <c r="AA153" s="174"/>
      <c r="AB153" s="175"/>
      <c r="AC153" s="175"/>
      <c r="AD153" s="175"/>
      <c r="AE153" s="175"/>
      <c r="AF153" s="175"/>
      <c r="AG153" s="175"/>
      <c r="AH153" s="175"/>
      <c r="AI153" s="176"/>
      <c r="AJ153" s="177"/>
      <c r="AK153" s="178"/>
      <c r="AL153" s="178"/>
      <c r="AM153" s="178"/>
      <c r="AN153" s="178"/>
      <c r="AO153" s="179"/>
      <c r="AP153" s="64"/>
      <c r="AQ153" s="65"/>
      <c r="AR153" s="65"/>
      <c r="AS153" s="65"/>
      <c r="AT153" s="173"/>
      <c r="AU153" s="177"/>
      <c r="AV153" s="178"/>
      <c r="AW153" s="178"/>
      <c r="AX153" s="179"/>
      <c r="AZ153" s="166"/>
      <c r="BA153" s="177"/>
      <c r="BB153" s="178"/>
      <c r="BC153" s="178"/>
      <c r="BD153" s="178"/>
      <c r="BE153" s="178"/>
      <c r="BF153" s="178"/>
      <c r="BG153" s="178"/>
      <c r="BH153" s="178"/>
      <c r="BI153" s="179"/>
      <c r="BJ153" s="180"/>
      <c r="BK153" s="178"/>
      <c r="BL153" s="178"/>
      <c r="BM153" s="178"/>
      <c r="BN153" s="178"/>
      <c r="BO153" s="181"/>
      <c r="BP153" s="166"/>
      <c r="BQ153" s="177"/>
      <c r="BR153" s="178"/>
      <c r="BS153" s="179"/>
      <c r="BU153" s="166"/>
      <c r="BV153" s="166"/>
      <c r="BW153" s="166"/>
      <c r="BX153" s="166"/>
      <c r="BY153" s="166"/>
      <c r="BZ153" s="166"/>
      <c r="CA153" s="166"/>
      <c r="CB153" s="166"/>
      <c r="CC153" s="166"/>
      <c r="CD153" s="177"/>
      <c r="CE153" s="181"/>
      <c r="CF153" s="177"/>
      <c r="CG153" s="181"/>
      <c r="CH153" s="177"/>
      <c r="CI153" s="182"/>
      <c r="CJ153" s="177"/>
      <c r="CK153" s="182"/>
      <c r="CL153" s="178"/>
      <c r="CM153" s="182"/>
      <c r="CN153" s="177"/>
      <c r="CO153" s="182"/>
      <c r="CP153" s="177"/>
      <c r="CQ153" s="178"/>
      <c r="CR153" s="182"/>
      <c r="CS153" s="65"/>
      <c r="CT153" s="64"/>
      <c r="CU153" s="165" t="str">
        <f t="shared" si="2"/>
        <v>AJK</v>
      </c>
    </row>
    <row r="154" ht="60.0" customHeight="1">
      <c r="A154" s="65"/>
      <c r="B154" s="166"/>
      <c r="C154" s="167">
        <v>4.0</v>
      </c>
      <c r="D154" s="168" t="s">
        <v>205</v>
      </c>
      <c r="E154" s="169"/>
      <c r="F154" s="170"/>
      <c r="G154" s="170"/>
      <c r="H154" s="170"/>
      <c r="I154" s="170"/>
      <c r="J154" s="170"/>
      <c r="K154" s="171"/>
      <c r="L154" s="171"/>
      <c r="M154" s="171"/>
      <c r="N154" s="171"/>
      <c r="O154" s="172">
        <f t="shared" si="28"/>
        <v>0</v>
      </c>
      <c r="P154" s="166"/>
      <c r="Q154" s="173"/>
      <c r="R154" s="65"/>
      <c r="S154" s="173"/>
      <c r="T154" s="173"/>
      <c r="U154" s="166"/>
      <c r="V154" s="166"/>
      <c r="W154" s="65"/>
      <c r="X154" s="66"/>
      <c r="Y154" s="173"/>
      <c r="Z154" s="166"/>
      <c r="AA154" s="174"/>
      <c r="AB154" s="175"/>
      <c r="AC154" s="175"/>
      <c r="AD154" s="175"/>
      <c r="AE154" s="175"/>
      <c r="AF154" s="175"/>
      <c r="AG154" s="175"/>
      <c r="AH154" s="175"/>
      <c r="AI154" s="176"/>
      <c r="AJ154" s="177"/>
      <c r="AK154" s="178"/>
      <c r="AL154" s="178"/>
      <c r="AM154" s="178"/>
      <c r="AN154" s="178"/>
      <c r="AO154" s="179"/>
      <c r="AP154" s="64"/>
      <c r="AQ154" s="65"/>
      <c r="AR154" s="65"/>
      <c r="AS154" s="65"/>
      <c r="AT154" s="173"/>
      <c r="AU154" s="177"/>
      <c r="AV154" s="178"/>
      <c r="AW154" s="178"/>
      <c r="AX154" s="179"/>
      <c r="AZ154" s="166"/>
      <c r="BA154" s="177"/>
      <c r="BB154" s="178"/>
      <c r="BC154" s="178"/>
      <c r="BD154" s="178"/>
      <c r="BE154" s="178"/>
      <c r="BF154" s="178"/>
      <c r="BG154" s="178"/>
      <c r="BH154" s="178"/>
      <c r="BI154" s="179"/>
      <c r="BJ154" s="180"/>
      <c r="BK154" s="178"/>
      <c r="BL154" s="178"/>
      <c r="BM154" s="178"/>
      <c r="BN154" s="178"/>
      <c r="BO154" s="181"/>
      <c r="BP154" s="166"/>
      <c r="BQ154" s="177"/>
      <c r="BR154" s="178"/>
      <c r="BS154" s="179"/>
      <c r="BU154" s="166"/>
      <c r="BV154" s="166"/>
      <c r="BW154" s="166"/>
      <c r="BX154" s="166"/>
      <c r="BY154" s="166"/>
      <c r="BZ154" s="166"/>
      <c r="CA154" s="166"/>
      <c r="CB154" s="166"/>
      <c r="CC154" s="166"/>
      <c r="CD154" s="177"/>
      <c r="CE154" s="181"/>
      <c r="CF154" s="177"/>
      <c r="CG154" s="181"/>
      <c r="CH154" s="177"/>
      <c r="CI154" s="182"/>
      <c r="CJ154" s="177"/>
      <c r="CK154" s="182"/>
      <c r="CL154" s="178"/>
      <c r="CM154" s="182"/>
      <c r="CN154" s="177"/>
      <c r="CO154" s="182"/>
      <c r="CP154" s="177"/>
      <c r="CQ154" s="178"/>
      <c r="CR154" s="182"/>
      <c r="CS154" s="65"/>
      <c r="CT154" s="64"/>
      <c r="CU154" s="165" t="str">
        <f t="shared" si="2"/>
        <v>AJK</v>
      </c>
    </row>
    <row r="155" ht="60.0" customHeight="1">
      <c r="A155" s="65"/>
      <c r="B155" s="166"/>
      <c r="C155" s="167">
        <v>5.0</v>
      </c>
      <c r="D155" s="168" t="s">
        <v>205</v>
      </c>
      <c r="E155" s="169"/>
      <c r="F155" s="170"/>
      <c r="G155" s="170"/>
      <c r="H155" s="170"/>
      <c r="I155" s="170"/>
      <c r="J155" s="170"/>
      <c r="K155" s="171"/>
      <c r="L155" s="171"/>
      <c r="M155" s="171"/>
      <c r="N155" s="171"/>
      <c r="O155" s="172">
        <f t="shared" si="28"/>
        <v>0</v>
      </c>
      <c r="P155" s="166"/>
      <c r="Q155" s="173"/>
      <c r="R155" s="65"/>
      <c r="S155" s="173"/>
      <c r="T155" s="173"/>
      <c r="U155" s="166"/>
      <c r="V155" s="166"/>
      <c r="W155" s="65"/>
      <c r="X155" s="66"/>
      <c r="Y155" s="173"/>
      <c r="Z155" s="166"/>
      <c r="AA155" s="174"/>
      <c r="AB155" s="175"/>
      <c r="AC155" s="175"/>
      <c r="AD155" s="175"/>
      <c r="AE155" s="175"/>
      <c r="AF155" s="175"/>
      <c r="AG155" s="175"/>
      <c r="AH155" s="175"/>
      <c r="AI155" s="176"/>
      <c r="AJ155" s="177"/>
      <c r="AK155" s="178"/>
      <c r="AL155" s="178"/>
      <c r="AM155" s="178"/>
      <c r="AN155" s="178"/>
      <c r="AO155" s="179"/>
      <c r="AP155" s="64"/>
      <c r="AQ155" s="65"/>
      <c r="AR155" s="65"/>
      <c r="AS155" s="65"/>
      <c r="AT155" s="173"/>
      <c r="AU155" s="177"/>
      <c r="AV155" s="178"/>
      <c r="AW155" s="178"/>
      <c r="AX155" s="179"/>
      <c r="AZ155" s="166"/>
      <c r="BA155" s="177"/>
      <c r="BB155" s="178"/>
      <c r="BC155" s="178"/>
      <c r="BD155" s="178"/>
      <c r="BE155" s="178"/>
      <c r="BF155" s="178"/>
      <c r="BG155" s="178"/>
      <c r="BH155" s="178"/>
      <c r="BI155" s="179"/>
      <c r="BJ155" s="180"/>
      <c r="BK155" s="178"/>
      <c r="BL155" s="178"/>
      <c r="BM155" s="178"/>
      <c r="BN155" s="178"/>
      <c r="BO155" s="181"/>
      <c r="BP155" s="166"/>
      <c r="BQ155" s="177"/>
      <c r="BR155" s="178"/>
      <c r="BS155" s="179"/>
      <c r="BU155" s="166"/>
      <c r="BV155" s="166"/>
      <c r="BW155" s="166"/>
      <c r="BX155" s="166"/>
      <c r="BY155" s="166"/>
      <c r="BZ155" s="166"/>
      <c r="CA155" s="166"/>
      <c r="CB155" s="166"/>
      <c r="CC155" s="166"/>
      <c r="CD155" s="177"/>
      <c r="CE155" s="181"/>
      <c r="CF155" s="177"/>
      <c r="CG155" s="181"/>
      <c r="CH155" s="177"/>
      <c r="CI155" s="182"/>
      <c r="CJ155" s="177"/>
      <c r="CK155" s="182"/>
      <c r="CL155" s="178"/>
      <c r="CM155" s="182"/>
      <c r="CN155" s="177"/>
      <c r="CO155" s="182"/>
      <c r="CP155" s="177"/>
      <c r="CQ155" s="178"/>
      <c r="CR155" s="182"/>
      <c r="CS155" s="65"/>
      <c r="CT155" s="64"/>
      <c r="CU155" s="165" t="str">
        <f t="shared" si="2"/>
        <v>AJK</v>
      </c>
    </row>
    <row r="156" ht="60.0" customHeight="1">
      <c r="A156" s="65"/>
      <c r="B156" s="166"/>
      <c r="C156" s="167">
        <v>6.0</v>
      </c>
      <c r="D156" s="168" t="s">
        <v>205</v>
      </c>
      <c r="E156" s="169"/>
      <c r="F156" s="170"/>
      <c r="G156" s="170"/>
      <c r="H156" s="170"/>
      <c r="I156" s="170"/>
      <c r="J156" s="170"/>
      <c r="K156" s="171"/>
      <c r="L156" s="171"/>
      <c r="M156" s="171"/>
      <c r="N156" s="171"/>
      <c r="O156" s="172">
        <f t="shared" si="28"/>
        <v>0</v>
      </c>
      <c r="P156" s="166"/>
      <c r="Q156" s="173"/>
      <c r="R156" s="65"/>
      <c r="S156" s="173"/>
      <c r="T156" s="173"/>
      <c r="U156" s="166"/>
      <c r="V156" s="166"/>
      <c r="W156" s="65"/>
      <c r="X156" s="66"/>
      <c r="Y156" s="173"/>
      <c r="Z156" s="166"/>
      <c r="AA156" s="174"/>
      <c r="AB156" s="175"/>
      <c r="AC156" s="175"/>
      <c r="AD156" s="175"/>
      <c r="AE156" s="175"/>
      <c r="AF156" s="175"/>
      <c r="AG156" s="175"/>
      <c r="AH156" s="175"/>
      <c r="AI156" s="176"/>
      <c r="AJ156" s="177"/>
      <c r="AK156" s="178"/>
      <c r="AL156" s="178"/>
      <c r="AM156" s="178"/>
      <c r="AN156" s="178"/>
      <c r="AO156" s="179"/>
      <c r="AP156" s="64"/>
      <c r="AQ156" s="65"/>
      <c r="AR156" s="65"/>
      <c r="AS156" s="65"/>
      <c r="AT156" s="173"/>
      <c r="AU156" s="177"/>
      <c r="AV156" s="178"/>
      <c r="AW156" s="178"/>
      <c r="AX156" s="179"/>
      <c r="AZ156" s="166"/>
      <c r="BA156" s="177"/>
      <c r="BB156" s="178"/>
      <c r="BC156" s="178"/>
      <c r="BD156" s="178"/>
      <c r="BE156" s="178"/>
      <c r="BF156" s="178"/>
      <c r="BG156" s="178"/>
      <c r="BH156" s="178"/>
      <c r="BI156" s="179"/>
      <c r="BJ156" s="180"/>
      <c r="BK156" s="178"/>
      <c r="BL156" s="178"/>
      <c r="BM156" s="178"/>
      <c r="BN156" s="178"/>
      <c r="BO156" s="181"/>
      <c r="BP156" s="166"/>
      <c r="BQ156" s="177"/>
      <c r="BR156" s="178"/>
      <c r="BS156" s="179"/>
      <c r="BU156" s="166"/>
      <c r="BV156" s="166"/>
      <c r="BW156" s="166"/>
      <c r="BX156" s="166"/>
      <c r="BY156" s="166"/>
      <c r="BZ156" s="166"/>
      <c r="CA156" s="166"/>
      <c r="CB156" s="166"/>
      <c r="CC156" s="166"/>
      <c r="CD156" s="177"/>
      <c r="CE156" s="181"/>
      <c r="CF156" s="177"/>
      <c r="CG156" s="181"/>
      <c r="CH156" s="177"/>
      <c r="CI156" s="182"/>
      <c r="CJ156" s="177"/>
      <c r="CK156" s="182"/>
      <c r="CL156" s="178"/>
      <c r="CM156" s="182"/>
      <c r="CN156" s="177"/>
      <c r="CO156" s="182"/>
      <c r="CP156" s="177"/>
      <c r="CQ156" s="178"/>
      <c r="CR156" s="182"/>
      <c r="CS156" s="65"/>
      <c r="CT156" s="64"/>
      <c r="CU156" s="165" t="str">
        <f t="shared" si="2"/>
        <v>AJK</v>
      </c>
    </row>
    <row r="157" ht="60.0" customHeight="1">
      <c r="A157" s="65"/>
      <c r="B157" s="166"/>
      <c r="C157" s="167">
        <v>7.0</v>
      </c>
      <c r="D157" s="168" t="s">
        <v>205</v>
      </c>
      <c r="E157" s="169"/>
      <c r="F157" s="170"/>
      <c r="G157" s="170"/>
      <c r="H157" s="170"/>
      <c r="I157" s="170"/>
      <c r="J157" s="170"/>
      <c r="K157" s="171"/>
      <c r="L157" s="171"/>
      <c r="M157" s="171"/>
      <c r="N157" s="171"/>
      <c r="O157" s="172">
        <f t="shared" ref="O157:O160" si="29">IF(AND(M157&gt;=20,M157&lt;&gt;"m",RIGHT(K157,3)="Lec"),1,IF(AND(M157&gt;=20,M157&lt;&gt;"m",OR(RIGHT(K157,3)="Lab",RIGHT(K157,3)="Tut")),0.5,IF(AND(M157&gt;=20,M157&lt;&gt;"m",RIGHT(K157,2)="TL"),0.75,0)))</f>
        <v>0</v>
      </c>
      <c r="P157" s="166"/>
      <c r="Q157" s="173"/>
      <c r="R157" s="65"/>
      <c r="S157" s="173"/>
      <c r="T157" s="173"/>
      <c r="U157" s="166"/>
      <c r="V157" s="166"/>
      <c r="W157" s="65"/>
      <c r="X157" s="66"/>
      <c r="Y157" s="173"/>
      <c r="Z157" s="166"/>
      <c r="AA157" s="174"/>
      <c r="AB157" s="175"/>
      <c r="AC157" s="175"/>
      <c r="AD157" s="175"/>
      <c r="AE157" s="175"/>
      <c r="AF157" s="175"/>
      <c r="AG157" s="175"/>
      <c r="AH157" s="175"/>
      <c r="AI157" s="176"/>
      <c r="AJ157" s="177"/>
      <c r="AK157" s="178"/>
      <c r="AL157" s="178"/>
      <c r="AM157" s="178"/>
      <c r="AN157" s="178"/>
      <c r="AO157" s="179"/>
      <c r="AP157" s="64"/>
      <c r="AQ157" s="65"/>
      <c r="AR157" s="65"/>
      <c r="AS157" s="65"/>
      <c r="AT157" s="173"/>
      <c r="AU157" s="177"/>
      <c r="AV157" s="178"/>
      <c r="AW157" s="178"/>
      <c r="AX157" s="179"/>
      <c r="AZ157" s="166"/>
      <c r="BA157" s="177"/>
      <c r="BB157" s="178"/>
      <c r="BC157" s="178"/>
      <c r="BD157" s="178"/>
      <c r="BE157" s="178"/>
      <c r="BF157" s="178"/>
      <c r="BG157" s="178"/>
      <c r="BH157" s="178"/>
      <c r="BI157" s="179"/>
      <c r="BJ157" s="180"/>
      <c r="BK157" s="178"/>
      <c r="BL157" s="178"/>
      <c r="BM157" s="178"/>
      <c r="BN157" s="178"/>
      <c r="BO157" s="181"/>
      <c r="BP157" s="166"/>
      <c r="BQ157" s="177"/>
      <c r="BR157" s="178"/>
      <c r="BS157" s="179"/>
      <c r="BU157" s="166"/>
      <c r="BV157" s="166"/>
      <c r="BW157" s="166"/>
      <c r="BX157" s="166"/>
      <c r="BY157" s="166"/>
      <c r="BZ157" s="166"/>
      <c r="CA157" s="166"/>
      <c r="CB157" s="166"/>
      <c r="CC157" s="166"/>
      <c r="CD157" s="177"/>
      <c r="CE157" s="181"/>
      <c r="CF157" s="177"/>
      <c r="CG157" s="181"/>
      <c r="CH157" s="177"/>
      <c r="CI157" s="182"/>
      <c r="CJ157" s="177"/>
      <c r="CK157" s="182"/>
      <c r="CL157" s="178"/>
      <c r="CM157" s="182"/>
      <c r="CN157" s="177"/>
      <c r="CO157" s="182"/>
      <c r="CP157" s="177"/>
      <c r="CQ157" s="178"/>
      <c r="CR157" s="182"/>
      <c r="CS157" s="65"/>
      <c r="CT157" s="64"/>
      <c r="CU157" s="165" t="str">
        <f t="shared" si="2"/>
        <v>AJK</v>
      </c>
    </row>
    <row r="158" ht="60.0" customHeight="1">
      <c r="A158" s="65"/>
      <c r="B158" s="166"/>
      <c r="C158" s="167">
        <v>8.0</v>
      </c>
      <c r="D158" s="168" t="s">
        <v>205</v>
      </c>
      <c r="E158" s="169"/>
      <c r="F158" s="170"/>
      <c r="G158" s="170"/>
      <c r="H158" s="170"/>
      <c r="I158" s="170"/>
      <c r="J158" s="170"/>
      <c r="K158" s="171"/>
      <c r="L158" s="171"/>
      <c r="M158" s="171"/>
      <c r="N158" s="171"/>
      <c r="O158" s="172">
        <f t="shared" si="29"/>
        <v>0</v>
      </c>
      <c r="P158" s="166"/>
      <c r="Q158" s="173"/>
      <c r="R158" s="65"/>
      <c r="S158" s="173"/>
      <c r="T158" s="173"/>
      <c r="U158" s="166"/>
      <c r="V158" s="166"/>
      <c r="W158" s="65"/>
      <c r="X158" s="66"/>
      <c r="Y158" s="173"/>
      <c r="Z158" s="166"/>
      <c r="AA158" s="174"/>
      <c r="AB158" s="175"/>
      <c r="AC158" s="175"/>
      <c r="AD158" s="175"/>
      <c r="AE158" s="175"/>
      <c r="AF158" s="175"/>
      <c r="AG158" s="175"/>
      <c r="AH158" s="175"/>
      <c r="AI158" s="176"/>
      <c r="AJ158" s="177"/>
      <c r="AK158" s="178"/>
      <c r="AL158" s="178"/>
      <c r="AM158" s="178"/>
      <c r="AN158" s="178"/>
      <c r="AO158" s="179"/>
      <c r="AP158" s="64"/>
      <c r="AQ158" s="65"/>
      <c r="AR158" s="65"/>
      <c r="AS158" s="65"/>
      <c r="AT158" s="173"/>
      <c r="AU158" s="177"/>
      <c r="AV158" s="178"/>
      <c r="AW158" s="178"/>
      <c r="AX158" s="179"/>
      <c r="AZ158" s="166"/>
      <c r="BA158" s="177"/>
      <c r="BB158" s="178"/>
      <c r="BC158" s="178"/>
      <c r="BD158" s="178"/>
      <c r="BE158" s="178"/>
      <c r="BF158" s="178"/>
      <c r="BG158" s="178"/>
      <c r="BH158" s="178"/>
      <c r="BI158" s="179"/>
      <c r="BJ158" s="180"/>
      <c r="BK158" s="178"/>
      <c r="BL158" s="178"/>
      <c r="BM158" s="178"/>
      <c r="BN158" s="178"/>
      <c r="BO158" s="181"/>
      <c r="BP158" s="166"/>
      <c r="BQ158" s="177"/>
      <c r="BR158" s="178"/>
      <c r="BS158" s="179"/>
      <c r="BU158" s="166"/>
      <c r="BV158" s="166"/>
      <c r="BW158" s="166"/>
      <c r="BX158" s="166"/>
      <c r="BY158" s="166"/>
      <c r="BZ158" s="166"/>
      <c r="CA158" s="166"/>
      <c r="CB158" s="166"/>
      <c r="CC158" s="166"/>
      <c r="CD158" s="177"/>
      <c r="CE158" s="181"/>
      <c r="CF158" s="177"/>
      <c r="CG158" s="181"/>
      <c r="CH158" s="177"/>
      <c r="CI158" s="182"/>
      <c r="CJ158" s="177"/>
      <c r="CK158" s="182"/>
      <c r="CL158" s="178"/>
      <c r="CM158" s="182"/>
      <c r="CN158" s="177"/>
      <c r="CO158" s="182"/>
      <c r="CP158" s="177"/>
      <c r="CQ158" s="178"/>
      <c r="CR158" s="182"/>
      <c r="CS158" s="65"/>
      <c r="CT158" s="64"/>
      <c r="CU158" s="165" t="str">
        <f t="shared" si="2"/>
        <v>AJK</v>
      </c>
    </row>
    <row r="159" ht="60.0" customHeight="1">
      <c r="A159" s="65"/>
      <c r="B159" s="166"/>
      <c r="C159" s="167">
        <v>9.0</v>
      </c>
      <c r="D159" s="168" t="s">
        <v>205</v>
      </c>
      <c r="E159" s="169"/>
      <c r="F159" s="170"/>
      <c r="G159" s="170"/>
      <c r="H159" s="170"/>
      <c r="I159" s="170"/>
      <c r="J159" s="170"/>
      <c r="K159" s="171"/>
      <c r="L159" s="171"/>
      <c r="M159" s="171"/>
      <c r="N159" s="171"/>
      <c r="O159" s="172">
        <f t="shared" si="29"/>
        <v>0</v>
      </c>
      <c r="P159" s="166"/>
      <c r="Q159" s="173"/>
      <c r="R159" s="65"/>
      <c r="S159" s="173"/>
      <c r="T159" s="173"/>
      <c r="U159" s="166"/>
      <c r="V159" s="166"/>
      <c r="W159" s="65"/>
      <c r="X159" s="66"/>
      <c r="Y159" s="173"/>
      <c r="Z159" s="166"/>
      <c r="AA159" s="174"/>
      <c r="AB159" s="175"/>
      <c r="AC159" s="175"/>
      <c r="AD159" s="175"/>
      <c r="AE159" s="175"/>
      <c r="AF159" s="175"/>
      <c r="AG159" s="175"/>
      <c r="AH159" s="175"/>
      <c r="AI159" s="176"/>
      <c r="AJ159" s="177"/>
      <c r="AK159" s="178"/>
      <c r="AL159" s="178"/>
      <c r="AM159" s="178"/>
      <c r="AN159" s="178"/>
      <c r="AO159" s="179"/>
      <c r="AP159" s="64"/>
      <c r="AQ159" s="65"/>
      <c r="AR159" s="65"/>
      <c r="AS159" s="65"/>
      <c r="AT159" s="173"/>
      <c r="AU159" s="177"/>
      <c r="AV159" s="178"/>
      <c r="AW159" s="178"/>
      <c r="AX159" s="179"/>
      <c r="AZ159" s="166"/>
      <c r="BA159" s="177"/>
      <c r="BB159" s="178"/>
      <c r="BC159" s="178"/>
      <c r="BD159" s="178"/>
      <c r="BE159" s="178"/>
      <c r="BF159" s="178"/>
      <c r="BG159" s="178"/>
      <c r="BH159" s="178"/>
      <c r="BI159" s="179"/>
      <c r="BJ159" s="180"/>
      <c r="BK159" s="178"/>
      <c r="BL159" s="178"/>
      <c r="BM159" s="178"/>
      <c r="BN159" s="178"/>
      <c r="BO159" s="181"/>
      <c r="BP159" s="166"/>
      <c r="BQ159" s="177"/>
      <c r="BR159" s="178"/>
      <c r="BS159" s="179"/>
      <c r="BU159" s="166"/>
      <c r="BV159" s="166"/>
      <c r="BW159" s="166"/>
      <c r="BX159" s="166"/>
      <c r="BY159" s="166"/>
      <c r="BZ159" s="166"/>
      <c r="CA159" s="166"/>
      <c r="CB159" s="166"/>
      <c r="CC159" s="166"/>
      <c r="CD159" s="177"/>
      <c r="CE159" s="181"/>
      <c r="CF159" s="177"/>
      <c r="CG159" s="181"/>
      <c r="CH159" s="177"/>
      <c r="CI159" s="182"/>
      <c r="CJ159" s="177"/>
      <c r="CK159" s="182"/>
      <c r="CL159" s="178"/>
      <c r="CM159" s="182"/>
      <c r="CN159" s="177"/>
      <c r="CO159" s="182"/>
      <c r="CP159" s="177"/>
      <c r="CQ159" s="178"/>
      <c r="CR159" s="182"/>
      <c r="CS159" s="65"/>
      <c r="CT159" s="64"/>
      <c r="CU159" s="165" t="str">
        <f t="shared" si="2"/>
        <v>AJK</v>
      </c>
    </row>
    <row r="160" ht="60.0" customHeight="1">
      <c r="A160" s="65"/>
      <c r="B160" s="166"/>
      <c r="C160" s="167">
        <v>10.0</v>
      </c>
      <c r="D160" s="168" t="s">
        <v>205</v>
      </c>
      <c r="E160" s="169"/>
      <c r="F160" s="170"/>
      <c r="G160" s="170"/>
      <c r="H160" s="170"/>
      <c r="I160" s="170"/>
      <c r="J160" s="170"/>
      <c r="K160" s="171"/>
      <c r="L160" s="171"/>
      <c r="M160" s="171"/>
      <c r="N160" s="171"/>
      <c r="O160" s="172">
        <f t="shared" si="29"/>
        <v>0</v>
      </c>
      <c r="P160" s="166"/>
      <c r="Q160" s="173"/>
      <c r="R160" s="65"/>
      <c r="S160" s="173"/>
      <c r="T160" s="173"/>
      <c r="U160" s="166"/>
      <c r="V160" s="166"/>
      <c r="W160" s="65"/>
      <c r="X160" s="66"/>
      <c r="Y160" s="173"/>
      <c r="Z160" s="166"/>
      <c r="AA160" s="174"/>
      <c r="AB160" s="175"/>
      <c r="AC160" s="175"/>
      <c r="AD160" s="175"/>
      <c r="AE160" s="175"/>
      <c r="AF160" s="175"/>
      <c r="AG160" s="175"/>
      <c r="AH160" s="175"/>
      <c r="AI160" s="176"/>
      <c r="AJ160" s="177"/>
      <c r="AK160" s="178"/>
      <c r="AL160" s="178"/>
      <c r="AM160" s="178"/>
      <c r="AN160" s="178"/>
      <c r="AO160" s="179"/>
      <c r="AP160" s="64"/>
      <c r="AQ160" s="65"/>
      <c r="AR160" s="65"/>
      <c r="AS160" s="65"/>
      <c r="AT160" s="173"/>
      <c r="AU160" s="177"/>
      <c r="AV160" s="178"/>
      <c r="AW160" s="178"/>
      <c r="AX160" s="179"/>
      <c r="AZ160" s="166"/>
      <c r="BA160" s="177"/>
      <c r="BB160" s="178"/>
      <c r="BC160" s="178"/>
      <c r="BD160" s="178"/>
      <c r="BE160" s="178"/>
      <c r="BF160" s="178"/>
      <c r="BG160" s="178"/>
      <c r="BH160" s="178"/>
      <c r="BI160" s="179"/>
      <c r="BJ160" s="180"/>
      <c r="BK160" s="178"/>
      <c r="BL160" s="178"/>
      <c r="BM160" s="178"/>
      <c r="BN160" s="178"/>
      <c r="BO160" s="181"/>
      <c r="BP160" s="166"/>
      <c r="BQ160" s="177"/>
      <c r="BR160" s="178"/>
      <c r="BS160" s="179"/>
      <c r="BU160" s="166"/>
      <c r="BV160" s="166"/>
      <c r="BW160" s="166"/>
      <c r="BX160" s="166"/>
      <c r="BY160" s="166"/>
      <c r="BZ160" s="166"/>
      <c r="CA160" s="166"/>
      <c r="CB160" s="166"/>
      <c r="CC160" s="166"/>
      <c r="CD160" s="177"/>
      <c r="CE160" s="181"/>
      <c r="CF160" s="177"/>
      <c r="CG160" s="181"/>
      <c r="CH160" s="177"/>
      <c r="CI160" s="182"/>
      <c r="CJ160" s="177"/>
      <c r="CK160" s="182"/>
      <c r="CL160" s="178"/>
      <c r="CM160" s="182"/>
      <c r="CN160" s="177"/>
      <c r="CO160" s="182"/>
      <c r="CP160" s="177"/>
      <c r="CQ160" s="178"/>
      <c r="CR160" s="182"/>
      <c r="CS160" s="65"/>
      <c r="CT160" s="64"/>
      <c r="CU160" s="165" t="str">
        <f t="shared" si="2"/>
        <v>AJK</v>
      </c>
    </row>
    <row r="161" ht="60.0" customHeight="1">
      <c r="A161" s="89"/>
      <c r="B161" s="63"/>
      <c r="C161" s="183">
        <v>11.0</v>
      </c>
      <c r="D161" s="184" t="s">
        <v>205</v>
      </c>
      <c r="E161" s="185"/>
      <c r="F161" s="186"/>
      <c r="G161" s="186"/>
      <c r="H161" s="186"/>
      <c r="I161" s="186"/>
      <c r="J161" s="186"/>
      <c r="K161" s="187"/>
      <c r="L161" s="187"/>
      <c r="M161" s="187"/>
      <c r="N161" s="187"/>
      <c r="O161" s="188">
        <f t="shared" ref="O161:O167" si="30">IF(AND(M161&lt;&gt;0,M161&lt;&gt;"m",M161&lt;&gt;"",RIGHT(K161,3)="Lec"),1,IF(AND(M161&lt;&gt;0,M161&lt;&gt;"m",M161&lt;&gt;"",OR(RIGHT(K161,3)="Lab",RIGHT(K161,3)="Tut")),0.5,IF(AND(M161&lt;&gt;0,M161&lt;&gt;"m",M161&lt;&gt;"",RIGHT(K161,2)="TL"),0.75,0)))</f>
        <v>0</v>
      </c>
      <c r="P161" s="63"/>
      <c r="Q161" s="69"/>
      <c r="R161" s="89"/>
      <c r="S161" s="69"/>
      <c r="T161" s="69"/>
      <c r="U161" s="63"/>
      <c r="V161" s="63"/>
      <c r="W161" s="89"/>
      <c r="X161" s="68"/>
      <c r="Y161" s="69"/>
      <c r="Z161" s="63"/>
      <c r="AA161" s="189"/>
      <c r="AB161" s="190"/>
      <c r="AC161" s="190"/>
      <c r="AD161" s="190"/>
      <c r="AE161" s="190"/>
      <c r="AF161" s="190"/>
      <c r="AG161" s="190"/>
      <c r="AH161" s="190"/>
      <c r="AI161" s="191"/>
      <c r="AJ161" s="192"/>
      <c r="AK161" s="193"/>
      <c r="AL161" s="193"/>
      <c r="AM161" s="193"/>
      <c r="AN161" s="193"/>
      <c r="AO161" s="194"/>
      <c r="AP161" s="103"/>
      <c r="AQ161" s="89"/>
      <c r="AR161" s="89"/>
      <c r="AS161" s="89"/>
      <c r="AT161" s="69"/>
      <c r="AU161" s="192"/>
      <c r="AV161" s="193"/>
      <c r="AW161" s="193"/>
      <c r="AX161" s="194"/>
      <c r="AY161" s="6"/>
      <c r="AZ161" s="63"/>
      <c r="BA161" s="192"/>
      <c r="BB161" s="193"/>
      <c r="BC161" s="193"/>
      <c r="BD161" s="193"/>
      <c r="BE161" s="193"/>
      <c r="BF161" s="193"/>
      <c r="BG161" s="193"/>
      <c r="BH161" s="193"/>
      <c r="BI161" s="194"/>
      <c r="BJ161" s="195"/>
      <c r="BK161" s="193"/>
      <c r="BL161" s="193"/>
      <c r="BM161" s="193"/>
      <c r="BN161" s="193"/>
      <c r="BO161" s="196"/>
      <c r="BP161" s="63"/>
      <c r="BQ161" s="192"/>
      <c r="BR161" s="193"/>
      <c r="BS161" s="194"/>
      <c r="BT161" s="6"/>
      <c r="BU161" s="63"/>
      <c r="BV161" s="63"/>
      <c r="BW161" s="63"/>
      <c r="BX161" s="63"/>
      <c r="BY161" s="63"/>
      <c r="BZ161" s="63"/>
      <c r="CA161" s="63"/>
      <c r="CB161" s="63"/>
      <c r="CC161" s="63"/>
      <c r="CD161" s="192"/>
      <c r="CE161" s="196"/>
      <c r="CF161" s="192"/>
      <c r="CG161" s="196"/>
      <c r="CH161" s="192"/>
      <c r="CI161" s="197"/>
      <c r="CJ161" s="192"/>
      <c r="CK161" s="197"/>
      <c r="CL161" s="198"/>
      <c r="CM161" s="197"/>
      <c r="CN161" s="192"/>
      <c r="CO161" s="197"/>
      <c r="CP161" s="192"/>
      <c r="CQ161" s="193"/>
      <c r="CR161" s="197"/>
      <c r="CS161" s="89"/>
      <c r="CT161" s="103"/>
      <c r="CU161" s="165" t="str">
        <f t="shared" si="2"/>
        <v>AJK</v>
      </c>
    </row>
    <row r="162" ht="55.5" hidden="1" customHeight="1">
      <c r="A162" s="125">
        <v>15.0</v>
      </c>
      <c r="B162" s="199"/>
      <c r="C162" s="127"/>
      <c r="D162" s="128"/>
      <c r="E162" s="200"/>
      <c r="F162" s="129"/>
      <c r="G162" s="201"/>
      <c r="H162" s="202"/>
      <c r="I162" s="129"/>
      <c r="J162" s="130"/>
      <c r="K162" s="131"/>
      <c r="L162" s="131"/>
      <c r="M162" s="131"/>
      <c r="N162" s="203"/>
      <c r="O162" s="132">
        <f t="shared" si="30"/>
        <v>0</v>
      </c>
      <c r="P162" s="133">
        <f>COUNTIF(K162:K172,"TL")*0.75+COUNTIF(K162:K172,"Lec")*1+COUNTIF(K162:K172,"Lab")*0.5</f>
        <v>0</v>
      </c>
      <c r="Q162" s="134">
        <f>SUM((IF(LEFT(K162,1)="E",O162,0)),(IF(LEFT(K163,1)="E",O163,0)),(IF(LEFT(K164,1)="E",O164,0)),(IF(LEFT(K165,1)="E",O165,0)),(IF(LEFT(K166,1)="E",O166,0)),(IF(LEFT(K167,1)="E",O167,0)),(IF(LEFT(K168,1)="E",O168,0)),(IF(LEFT(K169,1)="E",O169,0)),(IF(LEFT(K170,1)="E",O170,0)),(IF(LEFT(K171,1)="E",O171,0)),(IF(LEFT(K172,1)="E",O172,0)))</f>
        <v>0</v>
      </c>
      <c r="R162" s="135">
        <f>SUM(IF(M168&lt;20,IF(K168="Plec",-1,IF(K168="PTL",-0.75,IF(K168="Plab",-0.5,0))),0),IF(M169&lt;20,IF(K169="Plec",-1,IF(K169="PTL",-0.75,IF(K169="Plab",-0.5,0))),0),IF(M170&lt;20,IF(K170="Plec",-1,IF(K170="PTL",-0.75,IF(K170="Plab",-0.5,0))),0),IF(M171&lt;20,IF(K171="Plec",-1,IF(K171="PTL",-0.75,IF(K171="Plab",-0.5,0))),0))</f>
        <v>0</v>
      </c>
      <c r="S162" s="134">
        <f>SUM(P162:R172)</f>
        <v>0</v>
      </c>
      <c r="T162" s="136">
        <f>SUM(IF(M162="M",IF(OR(K162="lec",K162="plec",K162="slec"),1,IF(OR(K162="lab",K162="plab",K162="slab",K162="tut",K162="ptut",K162="stut"),0.5,IF(OR(K162="TL",K162="pTL",K162="STL"),0.75,0))),0),IF(M163="M",IF(OR(K163="lec",K163="plec",K163="slec"),1,IF(OR(K163="lab",K163="plab",K163="slab",K163="tut",K163="ptut",K163="stut"),0.5,IF(OR(K163="TL",K163="pTL",K163="STL"),0.75,0))),0),IF(M164="M",IF(OR(K164="lec",K164="plec",K164="slec"),1,IF(OR(K164="lab",K164="plab",K164="slab",K164="tut",K164="ptut",K164="stut"),0.5,IF(OR(K164="TL",K164="pTL",K164="STL"),0.75,0))),0),IF(M165="M",IF(OR(K165="lec",K165="plec",K165="slec"),1,IF(OR(K165="lab",K165="plab",K165="slab",K165="tut",K165="ptut",K165="stut"),0.5,IF(OR(K165="TL",K165="pTL",K165="STL"),0.75,0))),0),IF(M166="M",IF(OR(K166="lec",K166="plec",K166="slec"),1,IF(OR(K166="lab",K166="plab",K166="slab",K166="tut",K166="ptut",K166="stut"),0.5,IF(OR(K166="TL",K166="pTL",K166="STL"),0.75,0))),0),IF(M167="M",IF(OR(K167="lec",K167="plec",K167="slec"),1,IF(OR(K167="lab",K167="plab",K167="slab",K167="tut",K167="ptut",K167="stut"),0.5,IF(OR(K167="TL",K167="pTL",K167="STL"),0.75,0))),0),IF(M168="M",IF(OR(K168="lec",K168="plec",K168="slec"),1,IF(OR(K168="lab",K168="plab",K168="slab",K168="tut",K168="ptut",K168="stut"),0.5,IF(OR(K168="TL",K168="pTL",K168="STL"),0.75,0))),0),IF(M169="M",IF(OR(K169="lec",K169="plec",K169="slec"),1,IF(OR(K169="lab",K169="plab",K169="slab",K169="tut",K169="ptut",K169="stut"),0.5,IF(OR(K169="TL",K169="pTL",K169="STL"),0.75,0))),0),IF(M170="M",IF(OR(K170="lec",K170="plec",K170="slec"),1,IF(OR(K170="lab",K170="plab",K170="slab",K170="tut",K170="ptut",K170="stut"),0.5,IF(OR(K170="TL",K170="pTL",K170="STL"),0.75,0))),0),IF(M171="M",IF(OR(K171="lec",K171="plec",K171="slec"),1,IF(OR(K171="lab",K171="plab",K171="slab",K171="tut",K171="ptut",K171="stut"),0.5,IF(OR(K171="TL",K171="pTL",K171="STL"),0.75,0))),0),IF(M172="M",IF(OR(K172="lec",K172="plec",K172="slec"),1,IF(OR(K172="lab",K172="plab",K172="slab",K172="tut",K172="ptut",K172="stut"),0.5,IF(OR(K172="TL",K172="pTL",K172="STL"),0.75,0))),0))</f>
        <v>0</v>
      </c>
      <c r="U162" s="137"/>
      <c r="V162" s="133"/>
      <c r="W162" s="138"/>
      <c r="X162" s="139">
        <f>S162-(T162+U162+V162+W162)</f>
        <v>0</v>
      </c>
      <c r="Y162" s="134" t="str">
        <f>CONCATENATE(SUM(O162:O172),"(",SUM(O162:O172)-X162,")")</f>
        <v>0(0)</v>
      </c>
      <c r="Z162" s="140"/>
      <c r="AA162" s="141"/>
      <c r="AB162" s="142"/>
      <c r="AC162" s="142"/>
      <c r="AD162" s="142"/>
      <c r="AE162" s="142"/>
      <c r="AF162" s="142"/>
      <c r="AG162" s="142"/>
      <c r="AH162" s="142"/>
      <c r="AI162" s="143"/>
      <c r="AJ162" s="144"/>
      <c r="AK162" s="145"/>
      <c r="AL162" s="145"/>
      <c r="AM162" s="145"/>
      <c r="AN162" s="145"/>
      <c r="AO162" s="146"/>
      <c r="AP162" s="147">
        <f>SUM(SUM(O162:O172),SUM(AI162:AI172)/2,AM162)</f>
        <v>0</v>
      </c>
      <c r="AQ162" s="148"/>
      <c r="AR162" s="148">
        <f>AP162*AQ162</f>
        <v>0</v>
      </c>
      <c r="AS162" s="148">
        <f>CT162</f>
        <v>0</v>
      </c>
      <c r="AT162" s="149">
        <f>AR162*0.75+AS162*0.25</f>
        <v>0</v>
      </c>
      <c r="AU162" s="150"/>
      <c r="AV162" s="151"/>
      <c r="AW162" s="151"/>
      <c r="AX162" s="152"/>
      <c r="AY162" s="153"/>
      <c r="AZ162" s="140"/>
      <c r="BA162" s="150"/>
      <c r="BB162" s="151"/>
      <c r="BC162" s="151"/>
      <c r="BD162" s="151"/>
      <c r="BE162" s="151"/>
      <c r="BF162" s="151"/>
      <c r="BG162" s="151"/>
      <c r="BH162" s="151"/>
      <c r="BI162" s="152"/>
      <c r="BJ162" s="154"/>
      <c r="BK162" s="151"/>
      <c r="BL162" s="151"/>
      <c r="BM162" s="151"/>
      <c r="BN162" s="151"/>
      <c r="BO162" s="155"/>
      <c r="BP162" s="140"/>
      <c r="BQ162" s="156"/>
      <c r="BR162" s="157"/>
      <c r="BS162" s="158"/>
      <c r="BT162" s="153"/>
      <c r="BU162" s="140"/>
      <c r="BV162" s="140"/>
      <c r="BW162" s="140"/>
      <c r="BX162" s="140"/>
      <c r="BY162" s="140"/>
      <c r="BZ162" s="140"/>
      <c r="CA162" s="140"/>
      <c r="CB162" s="140"/>
      <c r="CC162" s="140"/>
      <c r="CD162" s="150"/>
      <c r="CE162" s="155"/>
      <c r="CF162" s="150"/>
      <c r="CG162" s="155"/>
      <c r="CH162" s="159"/>
      <c r="CI162" s="160"/>
      <c r="CJ162" s="159"/>
      <c r="CK162" s="160"/>
      <c r="CL162" s="204"/>
      <c r="CM162" s="160"/>
      <c r="CN162" s="159"/>
      <c r="CO162" s="160"/>
      <c r="CP162" s="159"/>
      <c r="CQ162" s="162"/>
      <c r="CR162" s="160"/>
      <c r="CS162" s="163">
        <f>SUM(IF(AU162&lt;0,ABS(AU162),0),IF(AZ162&lt;0,ABS(AZ162),0),ABS(CI162),ABS(CK162),ABS(CM162),ABS(CO162),ABS(CQ162),ABS(CR162))</f>
        <v>0</v>
      </c>
      <c r="CT162" s="164">
        <f>SUM(AU162,AV162,AW162,AX162/400,AY162,AZ162,BG162,BH162*0.5,BI162*0.25,BJ162,BK162,BL162,BM162,BN162,BO162,BP162,BR162/20,BS162/100,BT162/60,BU162,BV162,BW162,BX162/4,SUM(BY162:CC172)/3,CE162,CG162/3,CI162,CK162,CM162,CO162,CQ162,CR162)</f>
        <v>0</v>
      </c>
      <c r="CU162" s="165" t="str">
        <f t="shared" si="2"/>
        <v/>
      </c>
    </row>
    <row r="163" ht="60.0" hidden="1" customHeight="1">
      <c r="A163" s="65"/>
      <c r="C163" s="167"/>
      <c r="D163" s="205"/>
      <c r="E163" s="206"/>
      <c r="F163" s="169"/>
      <c r="G163" s="207"/>
      <c r="H163" s="208"/>
      <c r="I163" s="169"/>
      <c r="J163" s="170"/>
      <c r="K163" s="171"/>
      <c r="L163" s="171"/>
      <c r="M163" s="171"/>
      <c r="N163" s="209"/>
      <c r="O163" s="172">
        <f t="shared" si="30"/>
        <v>0</v>
      </c>
      <c r="P163" s="166"/>
      <c r="Q163" s="173"/>
      <c r="R163" s="65"/>
      <c r="S163" s="173"/>
      <c r="T163" s="173"/>
      <c r="U163" s="166"/>
      <c r="V163" s="166"/>
      <c r="W163" s="65"/>
      <c r="X163" s="66"/>
      <c r="Y163" s="173"/>
      <c r="Z163" s="166"/>
      <c r="AA163" s="174"/>
      <c r="AB163" s="175"/>
      <c r="AC163" s="175"/>
      <c r="AD163" s="175"/>
      <c r="AE163" s="175"/>
      <c r="AF163" s="175"/>
      <c r="AG163" s="175"/>
      <c r="AH163" s="175"/>
      <c r="AI163" s="176"/>
      <c r="AJ163" s="177"/>
      <c r="AK163" s="178"/>
      <c r="AL163" s="178"/>
      <c r="AM163" s="178"/>
      <c r="AN163" s="178"/>
      <c r="AO163" s="179"/>
      <c r="AP163" s="64"/>
      <c r="AQ163" s="65"/>
      <c r="AR163" s="65"/>
      <c r="AS163" s="65"/>
      <c r="AT163" s="173"/>
      <c r="AU163" s="177"/>
      <c r="AV163" s="178"/>
      <c r="AW163" s="178"/>
      <c r="AX163" s="179"/>
      <c r="AZ163" s="166"/>
      <c r="BA163" s="177"/>
      <c r="BB163" s="178"/>
      <c r="BC163" s="178"/>
      <c r="BD163" s="178"/>
      <c r="BE163" s="178"/>
      <c r="BF163" s="178"/>
      <c r="BG163" s="178"/>
      <c r="BH163" s="178"/>
      <c r="BI163" s="179"/>
      <c r="BJ163" s="180"/>
      <c r="BK163" s="178"/>
      <c r="BL163" s="178"/>
      <c r="BM163" s="178"/>
      <c r="BN163" s="178"/>
      <c r="BO163" s="181"/>
      <c r="BP163" s="166"/>
      <c r="BQ163" s="177"/>
      <c r="BR163" s="178"/>
      <c r="BS163" s="179"/>
      <c r="BU163" s="166"/>
      <c r="BV163" s="166"/>
      <c r="BW163" s="166"/>
      <c r="BX163" s="166"/>
      <c r="BY163" s="166"/>
      <c r="BZ163" s="166"/>
      <c r="CA163" s="166"/>
      <c r="CB163" s="166"/>
      <c r="CC163" s="166"/>
      <c r="CD163" s="177"/>
      <c r="CE163" s="181"/>
      <c r="CF163" s="177"/>
      <c r="CG163" s="181"/>
      <c r="CH163" s="177"/>
      <c r="CI163" s="182"/>
      <c r="CJ163" s="177"/>
      <c r="CK163" s="182"/>
      <c r="CL163" s="177"/>
      <c r="CM163" s="182"/>
      <c r="CN163" s="177"/>
      <c r="CO163" s="182"/>
      <c r="CP163" s="177"/>
      <c r="CQ163" s="178"/>
      <c r="CR163" s="182"/>
      <c r="CS163" s="65"/>
      <c r="CT163" s="64"/>
      <c r="CU163" s="165" t="str">
        <f t="shared" si="2"/>
        <v/>
      </c>
    </row>
    <row r="164" ht="60.0" hidden="1" customHeight="1">
      <c r="A164" s="65"/>
      <c r="C164" s="167"/>
      <c r="D164" s="205"/>
      <c r="E164" s="206"/>
      <c r="F164" s="169"/>
      <c r="G164" s="207"/>
      <c r="H164" s="208"/>
      <c r="I164" s="169"/>
      <c r="J164" s="170"/>
      <c r="K164" s="171"/>
      <c r="L164" s="171"/>
      <c r="M164" s="171"/>
      <c r="N164" s="209"/>
      <c r="O164" s="172">
        <f t="shared" si="30"/>
        <v>0</v>
      </c>
      <c r="P164" s="166"/>
      <c r="Q164" s="173"/>
      <c r="R164" s="65"/>
      <c r="S164" s="173"/>
      <c r="T164" s="173"/>
      <c r="U164" s="166"/>
      <c r="V164" s="166"/>
      <c r="W164" s="65"/>
      <c r="X164" s="66"/>
      <c r="Y164" s="173"/>
      <c r="Z164" s="166"/>
      <c r="AA164" s="174"/>
      <c r="AB164" s="175"/>
      <c r="AC164" s="175"/>
      <c r="AD164" s="175"/>
      <c r="AE164" s="175"/>
      <c r="AF164" s="175"/>
      <c r="AG164" s="175"/>
      <c r="AH164" s="175"/>
      <c r="AI164" s="176"/>
      <c r="AJ164" s="177"/>
      <c r="AK164" s="178"/>
      <c r="AL164" s="178"/>
      <c r="AM164" s="178"/>
      <c r="AN164" s="178"/>
      <c r="AO164" s="179"/>
      <c r="AP164" s="64"/>
      <c r="AQ164" s="65"/>
      <c r="AR164" s="65"/>
      <c r="AS164" s="65"/>
      <c r="AT164" s="173"/>
      <c r="AU164" s="177"/>
      <c r="AV164" s="178"/>
      <c r="AW164" s="178"/>
      <c r="AX164" s="179"/>
      <c r="AZ164" s="166"/>
      <c r="BA164" s="177"/>
      <c r="BB164" s="178"/>
      <c r="BC164" s="178"/>
      <c r="BD164" s="178"/>
      <c r="BE164" s="178"/>
      <c r="BF164" s="178"/>
      <c r="BG164" s="178"/>
      <c r="BH164" s="178"/>
      <c r="BI164" s="179"/>
      <c r="BJ164" s="180"/>
      <c r="BK164" s="178"/>
      <c r="BL164" s="178"/>
      <c r="BM164" s="178"/>
      <c r="BN164" s="178"/>
      <c r="BO164" s="181"/>
      <c r="BP164" s="166"/>
      <c r="BQ164" s="177"/>
      <c r="BR164" s="178"/>
      <c r="BS164" s="179"/>
      <c r="BU164" s="166"/>
      <c r="BV164" s="166"/>
      <c r="BW164" s="166"/>
      <c r="BX164" s="166"/>
      <c r="BY164" s="166"/>
      <c r="BZ164" s="166"/>
      <c r="CA164" s="166"/>
      <c r="CB164" s="166"/>
      <c r="CC164" s="166"/>
      <c r="CD164" s="177"/>
      <c r="CE164" s="181"/>
      <c r="CF164" s="177"/>
      <c r="CG164" s="181"/>
      <c r="CH164" s="177"/>
      <c r="CI164" s="182"/>
      <c r="CJ164" s="177"/>
      <c r="CK164" s="182"/>
      <c r="CL164" s="177"/>
      <c r="CM164" s="182"/>
      <c r="CN164" s="177"/>
      <c r="CO164" s="182"/>
      <c r="CP164" s="177"/>
      <c r="CQ164" s="178"/>
      <c r="CR164" s="182"/>
      <c r="CS164" s="65"/>
      <c r="CT164" s="64"/>
      <c r="CU164" s="165" t="str">
        <f t="shared" si="2"/>
        <v/>
      </c>
    </row>
    <row r="165" ht="60.0" hidden="1" customHeight="1">
      <c r="A165" s="65"/>
      <c r="C165" s="167"/>
      <c r="D165" s="205"/>
      <c r="E165" s="206"/>
      <c r="F165" s="169"/>
      <c r="G165" s="207"/>
      <c r="H165" s="208"/>
      <c r="I165" s="169"/>
      <c r="J165" s="170"/>
      <c r="K165" s="171"/>
      <c r="L165" s="171"/>
      <c r="M165" s="171"/>
      <c r="N165" s="209"/>
      <c r="O165" s="172">
        <f t="shared" si="30"/>
        <v>0</v>
      </c>
      <c r="P165" s="166"/>
      <c r="Q165" s="173"/>
      <c r="R165" s="65"/>
      <c r="S165" s="173"/>
      <c r="T165" s="173"/>
      <c r="U165" s="166"/>
      <c r="V165" s="166"/>
      <c r="W165" s="65"/>
      <c r="X165" s="66"/>
      <c r="Y165" s="173"/>
      <c r="Z165" s="166"/>
      <c r="AA165" s="174"/>
      <c r="AB165" s="175"/>
      <c r="AC165" s="175"/>
      <c r="AD165" s="175"/>
      <c r="AE165" s="175"/>
      <c r="AF165" s="175"/>
      <c r="AG165" s="175"/>
      <c r="AH165" s="175"/>
      <c r="AI165" s="176"/>
      <c r="AJ165" s="177"/>
      <c r="AK165" s="178"/>
      <c r="AL165" s="178"/>
      <c r="AM165" s="178"/>
      <c r="AN165" s="178"/>
      <c r="AO165" s="179"/>
      <c r="AP165" s="64"/>
      <c r="AQ165" s="65"/>
      <c r="AR165" s="65"/>
      <c r="AS165" s="65"/>
      <c r="AT165" s="173"/>
      <c r="AU165" s="177"/>
      <c r="AV165" s="178"/>
      <c r="AW165" s="178"/>
      <c r="AX165" s="179"/>
      <c r="AZ165" s="166"/>
      <c r="BA165" s="177"/>
      <c r="BB165" s="178"/>
      <c r="BC165" s="178"/>
      <c r="BD165" s="178"/>
      <c r="BE165" s="178"/>
      <c r="BF165" s="178"/>
      <c r="BG165" s="178"/>
      <c r="BH165" s="178"/>
      <c r="BI165" s="179"/>
      <c r="BJ165" s="180"/>
      <c r="BK165" s="178"/>
      <c r="BL165" s="178"/>
      <c r="BM165" s="178"/>
      <c r="BN165" s="178"/>
      <c r="BO165" s="181"/>
      <c r="BP165" s="166"/>
      <c r="BQ165" s="177"/>
      <c r="BR165" s="178"/>
      <c r="BS165" s="179"/>
      <c r="BU165" s="166"/>
      <c r="BV165" s="166"/>
      <c r="BW165" s="166"/>
      <c r="BX165" s="166"/>
      <c r="BY165" s="166"/>
      <c r="BZ165" s="166"/>
      <c r="CA165" s="166"/>
      <c r="CB165" s="166"/>
      <c r="CC165" s="166"/>
      <c r="CD165" s="177"/>
      <c r="CE165" s="181"/>
      <c r="CF165" s="177"/>
      <c r="CG165" s="181"/>
      <c r="CH165" s="177"/>
      <c r="CI165" s="182"/>
      <c r="CJ165" s="177"/>
      <c r="CK165" s="182"/>
      <c r="CL165" s="177"/>
      <c r="CM165" s="182"/>
      <c r="CN165" s="177"/>
      <c r="CO165" s="182"/>
      <c r="CP165" s="177"/>
      <c r="CQ165" s="178"/>
      <c r="CR165" s="182"/>
      <c r="CS165" s="65"/>
      <c r="CT165" s="64"/>
      <c r="CU165" s="165" t="str">
        <f t="shared" si="2"/>
        <v/>
      </c>
    </row>
    <row r="166" ht="60.0" hidden="1" customHeight="1">
      <c r="A166" s="65"/>
      <c r="C166" s="167"/>
      <c r="D166" s="205"/>
      <c r="E166" s="206"/>
      <c r="F166" s="169"/>
      <c r="G166" s="207"/>
      <c r="H166" s="208"/>
      <c r="I166" s="169"/>
      <c r="J166" s="170"/>
      <c r="K166" s="171"/>
      <c r="L166" s="171"/>
      <c r="M166" s="171"/>
      <c r="N166" s="209"/>
      <c r="O166" s="172">
        <f t="shared" si="30"/>
        <v>0</v>
      </c>
      <c r="P166" s="166"/>
      <c r="Q166" s="173"/>
      <c r="R166" s="65"/>
      <c r="S166" s="173"/>
      <c r="T166" s="173"/>
      <c r="U166" s="166"/>
      <c r="V166" s="166"/>
      <c r="W166" s="65"/>
      <c r="X166" s="66"/>
      <c r="Y166" s="173"/>
      <c r="Z166" s="166"/>
      <c r="AA166" s="174"/>
      <c r="AB166" s="175"/>
      <c r="AC166" s="175"/>
      <c r="AD166" s="175"/>
      <c r="AE166" s="175"/>
      <c r="AF166" s="175"/>
      <c r="AG166" s="175"/>
      <c r="AH166" s="175"/>
      <c r="AI166" s="176"/>
      <c r="AJ166" s="177"/>
      <c r="AK166" s="178"/>
      <c r="AL166" s="178"/>
      <c r="AM166" s="178"/>
      <c r="AN166" s="178"/>
      <c r="AO166" s="179"/>
      <c r="AP166" s="64"/>
      <c r="AQ166" s="65"/>
      <c r="AR166" s="65"/>
      <c r="AS166" s="65"/>
      <c r="AT166" s="173"/>
      <c r="AU166" s="177"/>
      <c r="AV166" s="178"/>
      <c r="AW166" s="178"/>
      <c r="AX166" s="179"/>
      <c r="AZ166" s="166"/>
      <c r="BA166" s="177"/>
      <c r="BB166" s="178"/>
      <c r="BC166" s="178"/>
      <c r="BD166" s="178"/>
      <c r="BE166" s="178"/>
      <c r="BF166" s="178"/>
      <c r="BG166" s="178"/>
      <c r="BH166" s="178"/>
      <c r="BI166" s="179"/>
      <c r="BJ166" s="180"/>
      <c r="BK166" s="178"/>
      <c r="BL166" s="178"/>
      <c r="BM166" s="178"/>
      <c r="BN166" s="178"/>
      <c r="BO166" s="181"/>
      <c r="BP166" s="166"/>
      <c r="BQ166" s="177"/>
      <c r="BR166" s="178"/>
      <c r="BS166" s="179"/>
      <c r="BU166" s="166"/>
      <c r="BV166" s="166"/>
      <c r="BW166" s="166"/>
      <c r="BX166" s="166"/>
      <c r="BY166" s="166"/>
      <c r="BZ166" s="166"/>
      <c r="CA166" s="166"/>
      <c r="CB166" s="166"/>
      <c r="CC166" s="166"/>
      <c r="CD166" s="177"/>
      <c r="CE166" s="181"/>
      <c r="CF166" s="177"/>
      <c r="CG166" s="181"/>
      <c r="CH166" s="177"/>
      <c r="CI166" s="182"/>
      <c r="CJ166" s="177"/>
      <c r="CK166" s="182"/>
      <c r="CL166" s="177"/>
      <c r="CM166" s="182"/>
      <c r="CN166" s="177"/>
      <c r="CO166" s="182"/>
      <c r="CP166" s="177"/>
      <c r="CQ166" s="178"/>
      <c r="CR166" s="182"/>
      <c r="CS166" s="65"/>
      <c r="CT166" s="64"/>
      <c r="CU166" s="165" t="str">
        <f t="shared" si="2"/>
        <v/>
      </c>
    </row>
    <row r="167" ht="60.0" hidden="1" customHeight="1">
      <c r="A167" s="65"/>
      <c r="C167" s="167"/>
      <c r="D167" s="205"/>
      <c r="E167" s="206"/>
      <c r="F167" s="169"/>
      <c r="G167" s="207"/>
      <c r="H167" s="208"/>
      <c r="I167" s="169"/>
      <c r="J167" s="170"/>
      <c r="K167" s="171"/>
      <c r="L167" s="171"/>
      <c r="M167" s="171"/>
      <c r="N167" s="209"/>
      <c r="O167" s="172">
        <f t="shared" si="30"/>
        <v>0</v>
      </c>
      <c r="P167" s="166"/>
      <c r="Q167" s="173"/>
      <c r="R167" s="65"/>
      <c r="S167" s="173"/>
      <c r="T167" s="173"/>
      <c r="U167" s="166"/>
      <c r="V167" s="166"/>
      <c r="W167" s="65"/>
      <c r="X167" s="66"/>
      <c r="Y167" s="173"/>
      <c r="Z167" s="166"/>
      <c r="AA167" s="174"/>
      <c r="AB167" s="175"/>
      <c r="AC167" s="175"/>
      <c r="AD167" s="175"/>
      <c r="AE167" s="175"/>
      <c r="AF167" s="175"/>
      <c r="AG167" s="175"/>
      <c r="AH167" s="175"/>
      <c r="AI167" s="176"/>
      <c r="AJ167" s="177"/>
      <c r="AK167" s="178"/>
      <c r="AL167" s="178"/>
      <c r="AM167" s="178"/>
      <c r="AN167" s="178"/>
      <c r="AO167" s="179"/>
      <c r="AP167" s="64"/>
      <c r="AQ167" s="65"/>
      <c r="AR167" s="65"/>
      <c r="AS167" s="65"/>
      <c r="AT167" s="173"/>
      <c r="AU167" s="177"/>
      <c r="AV167" s="178"/>
      <c r="AW167" s="178"/>
      <c r="AX167" s="179"/>
      <c r="AZ167" s="166"/>
      <c r="BA167" s="177"/>
      <c r="BB167" s="178"/>
      <c r="BC167" s="178"/>
      <c r="BD167" s="178"/>
      <c r="BE167" s="178"/>
      <c r="BF167" s="178"/>
      <c r="BG167" s="178"/>
      <c r="BH167" s="178"/>
      <c r="BI167" s="179"/>
      <c r="BJ167" s="180"/>
      <c r="BK167" s="178"/>
      <c r="BL167" s="178"/>
      <c r="BM167" s="178"/>
      <c r="BN167" s="178"/>
      <c r="BO167" s="181"/>
      <c r="BP167" s="166"/>
      <c r="BQ167" s="177"/>
      <c r="BR167" s="178"/>
      <c r="BS167" s="179"/>
      <c r="BU167" s="166"/>
      <c r="BV167" s="166"/>
      <c r="BW167" s="166"/>
      <c r="BX167" s="166"/>
      <c r="BY167" s="166"/>
      <c r="BZ167" s="166"/>
      <c r="CA167" s="166"/>
      <c r="CB167" s="166"/>
      <c r="CC167" s="166"/>
      <c r="CD167" s="177"/>
      <c r="CE167" s="181"/>
      <c r="CF167" s="177"/>
      <c r="CG167" s="181"/>
      <c r="CH167" s="177"/>
      <c r="CI167" s="182"/>
      <c r="CJ167" s="177"/>
      <c r="CK167" s="182"/>
      <c r="CL167" s="177"/>
      <c r="CM167" s="182"/>
      <c r="CN167" s="177"/>
      <c r="CO167" s="182"/>
      <c r="CP167" s="177"/>
      <c r="CQ167" s="178"/>
      <c r="CR167" s="182"/>
      <c r="CS167" s="65"/>
      <c r="CT167" s="64"/>
      <c r="CU167" s="165" t="str">
        <f t="shared" si="2"/>
        <v/>
      </c>
    </row>
    <row r="168" ht="60.0" hidden="1" customHeight="1">
      <c r="A168" s="65"/>
      <c r="C168" s="167"/>
      <c r="D168" s="205"/>
      <c r="E168" s="206"/>
      <c r="F168" s="169"/>
      <c r="G168" s="207"/>
      <c r="H168" s="208"/>
      <c r="I168" s="169"/>
      <c r="J168" s="170"/>
      <c r="K168" s="171"/>
      <c r="L168" s="171"/>
      <c r="M168" s="171"/>
      <c r="N168" s="209"/>
      <c r="O168" s="172">
        <f t="shared" ref="O168:O171" si="31">IF(AND(M168&gt;=20,M168&lt;&gt;"m",RIGHT(K168,3)="Lec"),1,IF(AND(M168&gt;=20,M168&lt;&gt;"m",OR(RIGHT(K168,3)="Lab",RIGHT(K168,3)="Tut")),0.5,IF(AND(M168&gt;=20,M168&lt;&gt;"m",RIGHT(K168,2)="TL"),0.75,0)))</f>
        <v>0</v>
      </c>
      <c r="P168" s="166"/>
      <c r="Q168" s="173"/>
      <c r="R168" s="65"/>
      <c r="S168" s="173"/>
      <c r="T168" s="173"/>
      <c r="U168" s="166"/>
      <c r="V168" s="166"/>
      <c r="W168" s="65"/>
      <c r="X168" s="66"/>
      <c r="Y168" s="173"/>
      <c r="Z168" s="166"/>
      <c r="AA168" s="174"/>
      <c r="AB168" s="175"/>
      <c r="AC168" s="175"/>
      <c r="AD168" s="175"/>
      <c r="AE168" s="175"/>
      <c r="AF168" s="175"/>
      <c r="AG168" s="175"/>
      <c r="AH168" s="175"/>
      <c r="AI168" s="176"/>
      <c r="AJ168" s="177"/>
      <c r="AK168" s="178"/>
      <c r="AL168" s="178"/>
      <c r="AM168" s="178"/>
      <c r="AN168" s="178"/>
      <c r="AO168" s="179"/>
      <c r="AP168" s="64"/>
      <c r="AQ168" s="65"/>
      <c r="AR168" s="65"/>
      <c r="AS168" s="65"/>
      <c r="AT168" s="173"/>
      <c r="AU168" s="177"/>
      <c r="AV168" s="178"/>
      <c r="AW168" s="178"/>
      <c r="AX168" s="179"/>
      <c r="AZ168" s="166"/>
      <c r="BA168" s="177"/>
      <c r="BB168" s="178"/>
      <c r="BC168" s="178"/>
      <c r="BD168" s="178"/>
      <c r="BE168" s="178"/>
      <c r="BF168" s="178"/>
      <c r="BG168" s="178"/>
      <c r="BH168" s="178"/>
      <c r="BI168" s="179"/>
      <c r="BJ168" s="180"/>
      <c r="BK168" s="178"/>
      <c r="BL168" s="178"/>
      <c r="BM168" s="178"/>
      <c r="BN168" s="178"/>
      <c r="BO168" s="181"/>
      <c r="BP168" s="166"/>
      <c r="BQ168" s="177"/>
      <c r="BR168" s="178"/>
      <c r="BS168" s="179"/>
      <c r="BU168" s="166"/>
      <c r="BV168" s="166"/>
      <c r="BW168" s="166"/>
      <c r="BX168" s="166"/>
      <c r="BY168" s="166"/>
      <c r="BZ168" s="166"/>
      <c r="CA168" s="166"/>
      <c r="CB168" s="166"/>
      <c r="CC168" s="166"/>
      <c r="CD168" s="177"/>
      <c r="CE168" s="181"/>
      <c r="CF168" s="177"/>
      <c r="CG168" s="181"/>
      <c r="CH168" s="177"/>
      <c r="CI168" s="182"/>
      <c r="CJ168" s="177"/>
      <c r="CK168" s="182"/>
      <c r="CL168" s="177"/>
      <c r="CM168" s="182"/>
      <c r="CN168" s="177"/>
      <c r="CO168" s="182"/>
      <c r="CP168" s="177"/>
      <c r="CQ168" s="178"/>
      <c r="CR168" s="182"/>
      <c r="CS168" s="65"/>
      <c r="CT168" s="64"/>
      <c r="CU168" s="165" t="str">
        <f t="shared" si="2"/>
        <v/>
      </c>
    </row>
    <row r="169" ht="60.0" hidden="1" customHeight="1">
      <c r="A169" s="65"/>
      <c r="C169" s="167"/>
      <c r="D169" s="205"/>
      <c r="E169" s="206"/>
      <c r="F169" s="169"/>
      <c r="G169" s="207"/>
      <c r="H169" s="208"/>
      <c r="I169" s="169"/>
      <c r="J169" s="170"/>
      <c r="K169" s="171"/>
      <c r="L169" s="171"/>
      <c r="M169" s="171"/>
      <c r="N169" s="209"/>
      <c r="O169" s="172">
        <f t="shared" si="31"/>
        <v>0</v>
      </c>
      <c r="P169" s="166"/>
      <c r="Q169" s="173"/>
      <c r="R169" s="65"/>
      <c r="S169" s="173"/>
      <c r="T169" s="173"/>
      <c r="U169" s="166"/>
      <c r="V169" s="166"/>
      <c r="W169" s="65"/>
      <c r="X169" s="66"/>
      <c r="Y169" s="173"/>
      <c r="Z169" s="166"/>
      <c r="AA169" s="174"/>
      <c r="AB169" s="175"/>
      <c r="AC169" s="175"/>
      <c r="AD169" s="175"/>
      <c r="AE169" s="175"/>
      <c r="AF169" s="175"/>
      <c r="AG169" s="175"/>
      <c r="AH169" s="175"/>
      <c r="AI169" s="176"/>
      <c r="AJ169" s="177"/>
      <c r="AK169" s="178"/>
      <c r="AL169" s="178"/>
      <c r="AM169" s="178"/>
      <c r="AN169" s="178"/>
      <c r="AO169" s="179"/>
      <c r="AP169" s="64"/>
      <c r="AQ169" s="65"/>
      <c r="AR169" s="65"/>
      <c r="AS169" s="65"/>
      <c r="AT169" s="173"/>
      <c r="AU169" s="177"/>
      <c r="AV169" s="178"/>
      <c r="AW169" s="178"/>
      <c r="AX169" s="179"/>
      <c r="AZ169" s="166"/>
      <c r="BA169" s="177"/>
      <c r="BB169" s="178"/>
      <c r="BC169" s="178"/>
      <c r="BD169" s="178"/>
      <c r="BE169" s="178"/>
      <c r="BF169" s="178"/>
      <c r="BG169" s="178"/>
      <c r="BH169" s="178"/>
      <c r="BI169" s="179"/>
      <c r="BJ169" s="180"/>
      <c r="BK169" s="178"/>
      <c r="BL169" s="178"/>
      <c r="BM169" s="178"/>
      <c r="BN169" s="178"/>
      <c r="BO169" s="181"/>
      <c r="BP169" s="166"/>
      <c r="BQ169" s="177"/>
      <c r="BR169" s="178"/>
      <c r="BS169" s="179"/>
      <c r="BU169" s="166"/>
      <c r="BV169" s="166"/>
      <c r="BW169" s="166"/>
      <c r="BX169" s="166"/>
      <c r="BY169" s="166"/>
      <c r="BZ169" s="166"/>
      <c r="CA169" s="166"/>
      <c r="CB169" s="166"/>
      <c r="CC169" s="166"/>
      <c r="CD169" s="177"/>
      <c r="CE169" s="181"/>
      <c r="CF169" s="177"/>
      <c r="CG169" s="181"/>
      <c r="CH169" s="177"/>
      <c r="CI169" s="182"/>
      <c r="CJ169" s="177"/>
      <c r="CK169" s="182"/>
      <c r="CL169" s="177"/>
      <c r="CM169" s="182"/>
      <c r="CN169" s="177"/>
      <c r="CO169" s="182"/>
      <c r="CP169" s="177"/>
      <c r="CQ169" s="178"/>
      <c r="CR169" s="182"/>
      <c r="CS169" s="65"/>
      <c r="CT169" s="64"/>
      <c r="CU169" s="165" t="str">
        <f t="shared" si="2"/>
        <v/>
      </c>
    </row>
    <row r="170" ht="60.0" hidden="1" customHeight="1">
      <c r="A170" s="65"/>
      <c r="C170" s="167"/>
      <c r="D170" s="205"/>
      <c r="E170" s="206"/>
      <c r="F170" s="169"/>
      <c r="G170" s="207"/>
      <c r="H170" s="208"/>
      <c r="I170" s="169"/>
      <c r="J170" s="170"/>
      <c r="K170" s="171"/>
      <c r="L170" s="171"/>
      <c r="M170" s="171"/>
      <c r="N170" s="209"/>
      <c r="O170" s="172">
        <f t="shared" si="31"/>
        <v>0</v>
      </c>
      <c r="P170" s="166"/>
      <c r="Q170" s="173"/>
      <c r="R170" s="65"/>
      <c r="S170" s="173"/>
      <c r="T170" s="173"/>
      <c r="U170" s="166"/>
      <c r="V170" s="166"/>
      <c r="W170" s="65"/>
      <c r="X170" s="66"/>
      <c r="Y170" s="173"/>
      <c r="Z170" s="166"/>
      <c r="AA170" s="174"/>
      <c r="AB170" s="175"/>
      <c r="AC170" s="175"/>
      <c r="AD170" s="175"/>
      <c r="AE170" s="175"/>
      <c r="AF170" s="175"/>
      <c r="AG170" s="175"/>
      <c r="AH170" s="175"/>
      <c r="AI170" s="176"/>
      <c r="AJ170" s="177"/>
      <c r="AK170" s="178"/>
      <c r="AL170" s="178"/>
      <c r="AM170" s="178"/>
      <c r="AN170" s="178"/>
      <c r="AO170" s="179"/>
      <c r="AP170" s="64"/>
      <c r="AQ170" s="65"/>
      <c r="AR170" s="65"/>
      <c r="AS170" s="65"/>
      <c r="AT170" s="173"/>
      <c r="AU170" s="177"/>
      <c r="AV170" s="178"/>
      <c r="AW170" s="178"/>
      <c r="AX170" s="179"/>
      <c r="AZ170" s="166"/>
      <c r="BA170" s="177"/>
      <c r="BB170" s="178"/>
      <c r="BC170" s="178"/>
      <c r="BD170" s="178"/>
      <c r="BE170" s="178"/>
      <c r="BF170" s="178"/>
      <c r="BG170" s="178"/>
      <c r="BH170" s="178"/>
      <c r="BI170" s="179"/>
      <c r="BJ170" s="180"/>
      <c r="BK170" s="178"/>
      <c r="BL170" s="178"/>
      <c r="BM170" s="178"/>
      <c r="BN170" s="178"/>
      <c r="BO170" s="181"/>
      <c r="BP170" s="166"/>
      <c r="BQ170" s="177"/>
      <c r="BR170" s="178"/>
      <c r="BS170" s="179"/>
      <c r="BU170" s="166"/>
      <c r="BV170" s="166"/>
      <c r="BW170" s="166"/>
      <c r="BX170" s="166"/>
      <c r="BY170" s="166"/>
      <c r="BZ170" s="166"/>
      <c r="CA170" s="166"/>
      <c r="CB170" s="166"/>
      <c r="CC170" s="166"/>
      <c r="CD170" s="177"/>
      <c r="CE170" s="181"/>
      <c r="CF170" s="177"/>
      <c r="CG170" s="181"/>
      <c r="CH170" s="177"/>
      <c r="CI170" s="182"/>
      <c r="CJ170" s="177"/>
      <c r="CK170" s="182"/>
      <c r="CL170" s="177"/>
      <c r="CM170" s="182"/>
      <c r="CN170" s="177"/>
      <c r="CO170" s="182"/>
      <c r="CP170" s="177"/>
      <c r="CQ170" s="178"/>
      <c r="CR170" s="182"/>
      <c r="CS170" s="65"/>
      <c r="CT170" s="64"/>
      <c r="CU170" s="165" t="str">
        <f t="shared" si="2"/>
        <v/>
      </c>
    </row>
    <row r="171" ht="60.0" hidden="1" customHeight="1">
      <c r="A171" s="65"/>
      <c r="C171" s="167"/>
      <c r="D171" s="205"/>
      <c r="E171" s="206"/>
      <c r="F171" s="169"/>
      <c r="G171" s="207"/>
      <c r="H171" s="208"/>
      <c r="I171" s="169"/>
      <c r="J171" s="170"/>
      <c r="K171" s="171"/>
      <c r="L171" s="171"/>
      <c r="M171" s="171"/>
      <c r="N171" s="209"/>
      <c r="O171" s="172">
        <f t="shared" si="31"/>
        <v>0</v>
      </c>
      <c r="P171" s="166"/>
      <c r="Q171" s="173"/>
      <c r="R171" s="65"/>
      <c r="S171" s="173"/>
      <c r="T171" s="173"/>
      <c r="U171" s="166"/>
      <c r="V171" s="166"/>
      <c r="W171" s="65"/>
      <c r="X171" s="66"/>
      <c r="Y171" s="173"/>
      <c r="Z171" s="166"/>
      <c r="AA171" s="174"/>
      <c r="AB171" s="175"/>
      <c r="AC171" s="175"/>
      <c r="AD171" s="175"/>
      <c r="AE171" s="175"/>
      <c r="AF171" s="175"/>
      <c r="AG171" s="175"/>
      <c r="AH171" s="175"/>
      <c r="AI171" s="176"/>
      <c r="AJ171" s="177"/>
      <c r="AK171" s="178"/>
      <c r="AL171" s="178"/>
      <c r="AM171" s="178"/>
      <c r="AN171" s="178"/>
      <c r="AO171" s="179"/>
      <c r="AP171" s="64"/>
      <c r="AQ171" s="65"/>
      <c r="AR171" s="65"/>
      <c r="AS171" s="65"/>
      <c r="AT171" s="173"/>
      <c r="AU171" s="177"/>
      <c r="AV171" s="178"/>
      <c r="AW171" s="178"/>
      <c r="AX171" s="179"/>
      <c r="AZ171" s="166"/>
      <c r="BA171" s="177"/>
      <c r="BB171" s="178"/>
      <c r="BC171" s="178"/>
      <c r="BD171" s="178"/>
      <c r="BE171" s="178"/>
      <c r="BF171" s="178"/>
      <c r="BG171" s="178"/>
      <c r="BH171" s="178"/>
      <c r="BI171" s="179"/>
      <c r="BJ171" s="180"/>
      <c r="BK171" s="178"/>
      <c r="BL171" s="178"/>
      <c r="BM171" s="178"/>
      <c r="BN171" s="178"/>
      <c r="BO171" s="181"/>
      <c r="BP171" s="166"/>
      <c r="BQ171" s="177"/>
      <c r="BR171" s="178"/>
      <c r="BS171" s="179"/>
      <c r="BU171" s="166"/>
      <c r="BV171" s="166"/>
      <c r="BW171" s="166"/>
      <c r="BX171" s="166"/>
      <c r="BY171" s="166"/>
      <c r="BZ171" s="166"/>
      <c r="CA171" s="166"/>
      <c r="CB171" s="166"/>
      <c r="CC171" s="166"/>
      <c r="CD171" s="177"/>
      <c r="CE171" s="181"/>
      <c r="CF171" s="177"/>
      <c r="CG171" s="181"/>
      <c r="CH171" s="177"/>
      <c r="CI171" s="182"/>
      <c r="CJ171" s="177"/>
      <c r="CK171" s="182"/>
      <c r="CL171" s="177"/>
      <c r="CM171" s="182"/>
      <c r="CN171" s="177"/>
      <c r="CO171" s="182"/>
      <c r="CP171" s="177"/>
      <c r="CQ171" s="178"/>
      <c r="CR171" s="182"/>
      <c r="CS171" s="65"/>
      <c r="CT171" s="64"/>
      <c r="CU171" s="165" t="str">
        <f t="shared" si="2"/>
        <v/>
      </c>
    </row>
    <row r="172" ht="60.0" hidden="1" customHeight="1">
      <c r="A172" s="89"/>
      <c r="B172" s="6"/>
      <c r="C172" s="183"/>
      <c r="D172" s="210"/>
      <c r="E172" s="211"/>
      <c r="F172" s="185"/>
      <c r="G172" s="212"/>
      <c r="H172" s="213"/>
      <c r="I172" s="185"/>
      <c r="J172" s="186"/>
      <c r="K172" s="187"/>
      <c r="L172" s="187"/>
      <c r="M172" s="187"/>
      <c r="N172" s="214"/>
      <c r="O172" s="188">
        <f t="shared" ref="O172:O178" si="32">IF(AND(M172&lt;&gt;0,M172&lt;&gt;"m",M172&lt;&gt;"",RIGHT(K172,3)="Lec"),1,IF(AND(M172&lt;&gt;0,M172&lt;&gt;"m",M172&lt;&gt;"",OR(RIGHT(K172,3)="Lab",RIGHT(K172,3)="Tut")),0.5,IF(AND(M172&lt;&gt;0,M172&lt;&gt;"m",M172&lt;&gt;"",RIGHT(K172,2)="TL"),0.75,0)))</f>
        <v>0</v>
      </c>
      <c r="P172" s="63"/>
      <c r="Q172" s="69"/>
      <c r="R172" s="89"/>
      <c r="S172" s="69"/>
      <c r="T172" s="69"/>
      <c r="U172" s="63"/>
      <c r="V172" s="63"/>
      <c r="W172" s="89"/>
      <c r="X172" s="68"/>
      <c r="Y172" s="69"/>
      <c r="Z172" s="63"/>
      <c r="AA172" s="189"/>
      <c r="AB172" s="190"/>
      <c r="AC172" s="190"/>
      <c r="AD172" s="190"/>
      <c r="AE172" s="190"/>
      <c r="AF172" s="190"/>
      <c r="AG172" s="190"/>
      <c r="AH172" s="190"/>
      <c r="AI172" s="191"/>
      <c r="AJ172" s="192"/>
      <c r="AK172" s="193"/>
      <c r="AL172" s="193"/>
      <c r="AM172" s="193"/>
      <c r="AN172" s="193"/>
      <c r="AO172" s="194"/>
      <c r="AP172" s="103"/>
      <c r="AQ172" s="89"/>
      <c r="AR172" s="89"/>
      <c r="AS172" s="89"/>
      <c r="AT172" s="69"/>
      <c r="AU172" s="192"/>
      <c r="AV172" s="193"/>
      <c r="AW172" s="193"/>
      <c r="AX172" s="194"/>
      <c r="AY172" s="6"/>
      <c r="AZ172" s="63"/>
      <c r="BA172" s="192"/>
      <c r="BB172" s="193"/>
      <c r="BC172" s="193"/>
      <c r="BD172" s="193"/>
      <c r="BE172" s="193"/>
      <c r="BF172" s="193"/>
      <c r="BG172" s="193"/>
      <c r="BH172" s="193"/>
      <c r="BI172" s="194"/>
      <c r="BJ172" s="195"/>
      <c r="BK172" s="193"/>
      <c r="BL172" s="193"/>
      <c r="BM172" s="193"/>
      <c r="BN172" s="193"/>
      <c r="BO172" s="196"/>
      <c r="BP172" s="63"/>
      <c r="BQ172" s="192"/>
      <c r="BR172" s="193"/>
      <c r="BS172" s="194"/>
      <c r="BT172" s="6"/>
      <c r="BU172" s="63"/>
      <c r="BV172" s="63"/>
      <c r="BW172" s="63"/>
      <c r="BX172" s="63"/>
      <c r="BY172" s="63"/>
      <c r="BZ172" s="63"/>
      <c r="CA172" s="63"/>
      <c r="CB172" s="63"/>
      <c r="CC172" s="63"/>
      <c r="CD172" s="192"/>
      <c r="CE172" s="196"/>
      <c r="CF172" s="192"/>
      <c r="CG172" s="196"/>
      <c r="CH172" s="192"/>
      <c r="CI172" s="197"/>
      <c r="CJ172" s="192"/>
      <c r="CK172" s="197"/>
      <c r="CL172" s="192"/>
      <c r="CM172" s="197"/>
      <c r="CN172" s="192"/>
      <c r="CO172" s="197"/>
      <c r="CP172" s="192"/>
      <c r="CQ172" s="193"/>
      <c r="CR172" s="197"/>
      <c r="CS172" s="89"/>
      <c r="CT172" s="103"/>
      <c r="CU172" s="165" t="str">
        <f t="shared" si="2"/>
        <v/>
      </c>
    </row>
    <row r="173" ht="55.5" hidden="1" customHeight="1">
      <c r="A173" s="125">
        <v>16.0</v>
      </c>
      <c r="B173" s="199"/>
      <c r="C173" s="127"/>
      <c r="D173" s="128"/>
      <c r="E173" s="215"/>
      <c r="F173" s="216"/>
      <c r="G173" s="217"/>
      <c r="H173" s="218"/>
      <c r="I173" s="216"/>
      <c r="J173" s="170"/>
      <c r="K173" s="219"/>
      <c r="L173" s="219"/>
      <c r="M173" s="219"/>
      <c r="N173" s="220"/>
      <c r="O173" s="132">
        <f t="shared" si="32"/>
        <v>0</v>
      </c>
      <c r="P173" s="133">
        <f>COUNTIF(K173:K183,"TL")*0.75+COUNTIF(K173:K183,"Lec")*1+COUNTIF(K173:K183,"Lab")*0.5</f>
        <v>0</v>
      </c>
      <c r="Q173" s="134">
        <f>SUM((IF(LEFT(K173,1)="E",O173,0)),(IF(LEFT(K174,1)="E",O174,0)),(IF(LEFT(K175,1)="E",O175,0)),(IF(LEFT(K176,1)="E",O176,0)),(IF(LEFT(K177,1)="E",O177,0)),(IF(LEFT(K178,1)="E",O178,0)),(IF(LEFT(K179,1)="E",O179,0)),(IF(LEFT(K180,1)="E",O180,0)),(IF(LEFT(K181,1)="E",O181,0)),(IF(LEFT(K182,1)="E",O182,0)),(IF(LEFT(K183,1)="E",O183,0)))</f>
        <v>0</v>
      </c>
      <c r="R173" s="135">
        <f>SUM(IF(M179&lt;20,IF(K179="Plec",-1,IF(K179="PTL",-0.75,IF(K179="Plab",-0.5,0))),0),IF(M180&lt;20,IF(K180="Plec",-1,IF(K180="PTL",-0.75,IF(K180="Plab",-0.5,0))),0),IF(M181&lt;20,IF(K181="Plec",-1,IF(K181="PTL",-0.75,IF(K181="Plab",-0.5,0))),0),IF(M182&lt;20,IF(K182="Plec",-1,IF(K182="PTL",-0.75,IF(K182="Plab",-0.5,0))),0))</f>
        <v>0</v>
      </c>
      <c r="S173" s="134">
        <f>SUM(P173:R183)</f>
        <v>0</v>
      </c>
      <c r="T173" s="136">
        <f>SUM(IF(M173="M",IF(OR(K173="lec",K173="plec",K173="slec"),1,IF(OR(K173="lab",K173="plab",K173="slab",K173="tut",K173="ptut",K173="stut"),0.5,IF(OR(K173="TL",K173="pTL",K173="STL"),0.75,0))),0),IF(M174="M",IF(OR(K174="lec",K174="plec",K174="slec"),1,IF(OR(K174="lab",K174="plab",K174="slab",K174="tut",K174="ptut",K174="stut"),0.5,IF(OR(K174="TL",K174="pTL",K174="STL"),0.75,0))),0),IF(M175="M",IF(OR(K175="lec",K175="plec",K175="slec"),1,IF(OR(K175="lab",K175="plab",K175="slab",K175="tut",K175="ptut",K175="stut"),0.5,IF(OR(K175="TL",K175="pTL",K175="STL"),0.75,0))),0),IF(M176="M",IF(OR(K176="lec",K176="plec",K176="slec"),1,IF(OR(K176="lab",K176="plab",K176="slab",K176="tut",K176="ptut",K176="stut"),0.5,IF(OR(K176="TL",K176="pTL",K176="STL"),0.75,0))),0),IF(M177="M",IF(OR(K177="lec",K177="plec",K177="slec"),1,IF(OR(K177="lab",K177="plab",K177="slab",K177="tut",K177="ptut",K177="stut"),0.5,IF(OR(K177="TL",K177="pTL",K177="STL"),0.75,0))),0),IF(M178="M",IF(OR(K178="lec",K178="plec",K178="slec"),1,IF(OR(K178="lab",K178="plab",K178="slab",K178="tut",K178="ptut",K178="stut"),0.5,IF(OR(K178="TL",K178="pTL",K178="STL"),0.75,0))),0),IF(M179="M",IF(OR(K179="lec",K179="plec",K179="slec"),1,IF(OR(K179="lab",K179="plab",K179="slab",K179="tut",K179="ptut",K179="stut"),0.5,IF(OR(K179="TL",K179="pTL",K179="STL"),0.75,0))),0),IF(M180="M",IF(OR(K180="lec",K180="plec",K180="slec"),1,IF(OR(K180="lab",K180="plab",K180="slab",K180="tut",K180="ptut",K180="stut"),0.5,IF(OR(K180="TL",K180="pTL",K180="STL"),0.75,0))),0),IF(M181="M",IF(OR(K181="lec",K181="plec",K181="slec"),1,IF(OR(K181="lab",K181="plab",K181="slab",K181="tut",K181="ptut",K181="stut"),0.5,IF(OR(K181="TL",K181="pTL",K181="STL"),0.75,0))),0),IF(M182="M",IF(OR(K182="lec",K182="plec",K182="slec"),1,IF(OR(K182="lab",K182="plab",K182="slab",K182="tut",K182="ptut",K182="stut"),0.5,IF(OR(K182="TL",K182="pTL",K182="STL"),0.75,0))),0),IF(M183="M",IF(OR(K183="lec",K183="plec",K183="slec"),1,IF(OR(K183="lab",K183="plab",K183="slab",K183="tut",K183="ptut",K183="stut"),0.5,IF(OR(K183="TL",K183="pTL",K183="STL"),0.75,0))),0))</f>
        <v>0</v>
      </c>
      <c r="U173" s="137"/>
      <c r="V173" s="133"/>
      <c r="W173" s="138"/>
      <c r="X173" s="139">
        <f>S173-(T173+U173+V173+W173)</f>
        <v>0</v>
      </c>
      <c r="Y173" s="134" t="str">
        <f>CONCATENATE(SUM(O173:O183),"(",SUM(O173:O183)-X173,")")</f>
        <v>0(0)</v>
      </c>
      <c r="Z173" s="140"/>
      <c r="AA173" s="141"/>
      <c r="AB173" s="142"/>
      <c r="AC173" s="142"/>
      <c r="AD173" s="142"/>
      <c r="AE173" s="142"/>
      <c r="AF173" s="142"/>
      <c r="AG173" s="142"/>
      <c r="AH173" s="142"/>
      <c r="AI173" s="143"/>
      <c r="AJ173" s="144"/>
      <c r="AK173" s="145"/>
      <c r="AL173" s="145"/>
      <c r="AM173" s="145"/>
      <c r="AN173" s="145"/>
      <c r="AO173" s="146"/>
      <c r="AP173" s="147">
        <f>SUM(SUM(O173:O183),SUM(AI173:AI183)/2,AM173)</f>
        <v>0</v>
      </c>
      <c r="AQ173" s="148"/>
      <c r="AR173" s="148">
        <f>AP173*AQ173</f>
        <v>0</v>
      </c>
      <c r="AS173" s="148">
        <f>CT173</f>
        <v>0</v>
      </c>
      <c r="AT173" s="149">
        <f>AR173*0.75+AS173*0.25</f>
        <v>0</v>
      </c>
      <c r="AU173" s="150"/>
      <c r="AV173" s="151"/>
      <c r="AW173" s="151"/>
      <c r="AX173" s="152"/>
      <c r="AY173" s="153"/>
      <c r="AZ173" s="140"/>
      <c r="BA173" s="150"/>
      <c r="BB173" s="151"/>
      <c r="BC173" s="151"/>
      <c r="BD173" s="151"/>
      <c r="BE173" s="151"/>
      <c r="BF173" s="151"/>
      <c r="BG173" s="151"/>
      <c r="BH173" s="151"/>
      <c r="BI173" s="152"/>
      <c r="BJ173" s="154"/>
      <c r="BK173" s="151"/>
      <c r="BL173" s="151"/>
      <c r="BM173" s="151"/>
      <c r="BN173" s="151"/>
      <c r="BO173" s="155"/>
      <c r="BP173" s="140"/>
      <c r="BQ173" s="156"/>
      <c r="BR173" s="157"/>
      <c r="BS173" s="158"/>
      <c r="BT173" s="153"/>
      <c r="BU173" s="140"/>
      <c r="BV173" s="140"/>
      <c r="BW173" s="140"/>
      <c r="BX173" s="140"/>
      <c r="BY173" s="140"/>
      <c r="BZ173" s="140"/>
      <c r="CA173" s="140"/>
      <c r="CB173" s="140"/>
      <c r="CC173" s="140"/>
      <c r="CD173" s="150"/>
      <c r="CE173" s="155"/>
      <c r="CF173" s="150"/>
      <c r="CG173" s="155"/>
      <c r="CH173" s="159"/>
      <c r="CI173" s="160"/>
      <c r="CJ173" s="159"/>
      <c r="CK173" s="160"/>
      <c r="CL173" s="159"/>
      <c r="CM173" s="160"/>
      <c r="CN173" s="159"/>
      <c r="CO173" s="160"/>
      <c r="CP173" s="159"/>
      <c r="CQ173" s="162"/>
      <c r="CR173" s="160"/>
      <c r="CS173" s="163">
        <f>SUM(IF(AU173&lt;0,ABS(AU173),0),IF(AZ173&lt;0,ABS(AZ173),0),ABS(CI173),ABS(CK173),ABS(CM173),ABS(CO173),ABS(CQ173),ABS(CR173))</f>
        <v>0</v>
      </c>
      <c r="CT173" s="164">
        <f>SUM(AU173,AV173,AW173,AX173/400,AY173,AZ173,BG173,BH173*0.5,BI173*0.25,BJ173,BK173,BL173,BM173,BN173,BO173,BP173,BR173/20,BS173/100,BT173/60,BU173,BV173,BW173,BX173/4,SUM(BY173:CC183)/3,CE173,CG173/3,CI173,CK173,CM173,CO173,CQ173,CR173)</f>
        <v>0</v>
      </c>
      <c r="CU173" s="165" t="str">
        <f t="shared" si="2"/>
        <v/>
      </c>
    </row>
    <row r="174" ht="60.0" hidden="1" customHeight="1">
      <c r="A174" s="65"/>
      <c r="C174" s="167"/>
      <c r="D174" s="205"/>
      <c r="E174" s="206"/>
      <c r="F174" s="169"/>
      <c r="G174" s="207"/>
      <c r="H174" s="208"/>
      <c r="I174" s="169"/>
      <c r="J174" s="170"/>
      <c r="K174" s="171"/>
      <c r="L174" s="171"/>
      <c r="M174" s="171"/>
      <c r="N174" s="209"/>
      <c r="O174" s="172">
        <f t="shared" si="32"/>
        <v>0</v>
      </c>
      <c r="P174" s="166"/>
      <c r="Q174" s="173"/>
      <c r="R174" s="65"/>
      <c r="S174" s="173"/>
      <c r="T174" s="173"/>
      <c r="U174" s="166"/>
      <c r="V174" s="166"/>
      <c r="W174" s="65"/>
      <c r="X174" s="66"/>
      <c r="Y174" s="173"/>
      <c r="Z174" s="166"/>
      <c r="AA174" s="174"/>
      <c r="AB174" s="175"/>
      <c r="AC174" s="175"/>
      <c r="AD174" s="175"/>
      <c r="AE174" s="175"/>
      <c r="AF174" s="175"/>
      <c r="AG174" s="175"/>
      <c r="AH174" s="175"/>
      <c r="AI174" s="176"/>
      <c r="AJ174" s="177"/>
      <c r="AK174" s="178"/>
      <c r="AL174" s="178"/>
      <c r="AM174" s="178"/>
      <c r="AN174" s="178"/>
      <c r="AO174" s="179"/>
      <c r="AP174" s="64"/>
      <c r="AQ174" s="65"/>
      <c r="AR174" s="65"/>
      <c r="AS174" s="65"/>
      <c r="AT174" s="173"/>
      <c r="AU174" s="177"/>
      <c r="AV174" s="178"/>
      <c r="AW174" s="178"/>
      <c r="AX174" s="179"/>
      <c r="AZ174" s="166"/>
      <c r="BA174" s="177"/>
      <c r="BB174" s="178"/>
      <c r="BC174" s="178"/>
      <c r="BD174" s="178"/>
      <c r="BE174" s="178"/>
      <c r="BF174" s="178"/>
      <c r="BG174" s="178"/>
      <c r="BH174" s="178"/>
      <c r="BI174" s="179"/>
      <c r="BJ174" s="180"/>
      <c r="BK174" s="178"/>
      <c r="BL174" s="178"/>
      <c r="BM174" s="178"/>
      <c r="BN174" s="178"/>
      <c r="BO174" s="181"/>
      <c r="BP174" s="166"/>
      <c r="BQ174" s="177"/>
      <c r="BR174" s="178"/>
      <c r="BS174" s="179"/>
      <c r="BU174" s="166"/>
      <c r="BV174" s="166"/>
      <c r="BW174" s="166"/>
      <c r="BX174" s="166"/>
      <c r="BY174" s="166"/>
      <c r="BZ174" s="166"/>
      <c r="CA174" s="166"/>
      <c r="CB174" s="166"/>
      <c r="CC174" s="166"/>
      <c r="CD174" s="177"/>
      <c r="CE174" s="181"/>
      <c r="CF174" s="177"/>
      <c r="CG174" s="181"/>
      <c r="CH174" s="177"/>
      <c r="CI174" s="182"/>
      <c r="CJ174" s="177"/>
      <c r="CK174" s="182"/>
      <c r="CL174" s="177"/>
      <c r="CM174" s="182"/>
      <c r="CN174" s="177"/>
      <c r="CO174" s="182"/>
      <c r="CP174" s="177"/>
      <c r="CQ174" s="178"/>
      <c r="CR174" s="182"/>
      <c r="CS174" s="65"/>
      <c r="CT174" s="64"/>
      <c r="CU174" s="165" t="str">
        <f t="shared" si="2"/>
        <v/>
      </c>
    </row>
    <row r="175" ht="60.0" hidden="1" customHeight="1">
      <c r="A175" s="65"/>
      <c r="C175" s="167"/>
      <c r="D175" s="205"/>
      <c r="E175" s="206"/>
      <c r="F175" s="169"/>
      <c r="G175" s="207"/>
      <c r="H175" s="208"/>
      <c r="I175" s="169"/>
      <c r="J175" s="170"/>
      <c r="K175" s="171"/>
      <c r="L175" s="171"/>
      <c r="M175" s="171"/>
      <c r="N175" s="209"/>
      <c r="O175" s="172">
        <f t="shared" si="32"/>
        <v>0</v>
      </c>
      <c r="P175" s="166"/>
      <c r="Q175" s="173"/>
      <c r="R175" s="65"/>
      <c r="S175" s="173"/>
      <c r="T175" s="173"/>
      <c r="U175" s="166"/>
      <c r="V175" s="166"/>
      <c r="W175" s="65"/>
      <c r="X175" s="66"/>
      <c r="Y175" s="173"/>
      <c r="Z175" s="166"/>
      <c r="AA175" s="174"/>
      <c r="AB175" s="175"/>
      <c r="AC175" s="175"/>
      <c r="AD175" s="175"/>
      <c r="AE175" s="175"/>
      <c r="AF175" s="175"/>
      <c r="AG175" s="175"/>
      <c r="AH175" s="175"/>
      <c r="AI175" s="176"/>
      <c r="AJ175" s="177"/>
      <c r="AK175" s="178"/>
      <c r="AL175" s="178"/>
      <c r="AM175" s="178"/>
      <c r="AN175" s="178"/>
      <c r="AO175" s="179"/>
      <c r="AP175" s="64"/>
      <c r="AQ175" s="65"/>
      <c r="AR175" s="65"/>
      <c r="AS175" s="65"/>
      <c r="AT175" s="173"/>
      <c r="AU175" s="177"/>
      <c r="AV175" s="178"/>
      <c r="AW175" s="178"/>
      <c r="AX175" s="179"/>
      <c r="AZ175" s="166"/>
      <c r="BA175" s="177"/>
      <c r="BB175" s="178"/>
      <c r="BC175" s="178"/>
      <c r="BD175" s="178"/>
      <c r="BE175" s="178"/>
      <c r="BF175" s="178"/>
      <c r="BG175" s="178"/>
      <c r="BH175" s="178"/>
      <c r="BI175" s="179"/>
      <c r="BJ175" s="180"/>
      <c r="BK175" s="178"/>
      <c r="BL175" s="178"/>
      <c r="BM175" s="178"/>
      <c r="BN175" s="178"/>
      <c r="BO175" s="181"/>
      <c r="BP175" s="166"/>
      <c r="BQ175" s="177"/>
      <c r="BR175" s="178"/>
      <c r="BS175" s="179"/>
      <c r="BU175" s="166"/>
      <c r="BV175" s="166"/>
      <c r="BW175" s="166"/>
      <c r="BX175" s="166"/>
      <c r="BY175" s="166"/>
      <c r="BZ175" s="166"/>
      <c r="CA175" s="166"/>
      <c r="CB175" s="166"/>
      <c r="CC175" s="166"/>
      <c r="CD175" s="177"/>
      <c r="CE175" s="181"/>
      <c r="CF175" s="177"/>
      <c r="CG175" s="181"/>
      <c r="CH175" s="177"/>
      <c r="CI175" s="182"/>
      <c r="CJ175" s="177"/>
      <c r="CK175" s="182"/>
      <c r="CL175" s="177"/>
      <c r="CM175" s="182"/>
      <c r="CN175" s="177"/>
      <c r="CO175" s="182"/>
      <c r="CP175" s="177"/>
      <c r="CQ175" s="178"/>
      <c r="CR175" s="182"/>
      <c r="CS175" s="65"/>
      <c r="CT175" s="64"/>
      <c r="CU175" s="165" t="str">
        <f t="shared" si="2"/>
        <v/>
      </c>
    </row>
    <row r="176" ht="60.0" hidden="1" customHeight="1">
      <c r="A176" s="65"/>
      <c r="C176" s="167"/>
      <c r="D176" s="205"/>
      <c r="E176" s="206"/>
      <c r="F176" s="169"/>
      <c r="G176" s="207"/>
      <c r="H176" s="208"/>
      <c r="I176" s="169"/>
      <c r="J176" s="170"/>
      <c r="K176" s="171"/>
      <c r="L176" s="171"/>
      <c r="M176" s="171"/>
      <c r="N176" s="209"/>
      <c r="O176" s="172">
        <f t="shared" si="32"/>
        <v>0</v>
      </c>
      <c r="P176" s="166"/>
      <c r="Q176" s="173"/>
      <c r="R176" s="65"/>
      <c r="S176" s="173"/>
      <c r="T176" s="173"/>
      <c r="U176" s="166"/>
      <c r="V176" s="166"/>
      <c r="W176" s="65"/>
      <c r="X176" s="66"/>
      <c r="Y176" s="173"/>
      <c r="Z176" s="166"/>
      <c r="AA176" s="174"/>
      <c r="AB176" s="175"/>
      <c r="AC176" s="175"/>
      <c r="AD176" s="175"/>
      <c r="AE176" s="175"/>
      <c r="AF176" s="175"/>
      <c r="AG176" s="175"/>
      <c r="AH176" s="175"/>
      <c r="AI176" s="176"/>
      <c r="AJ176" s="177"/>
      <c r="AK176" s="178"/>
      <c r="AL176" s="178"/>
      <c r="AM176" s="178"/>
      <c r="AN176" s="178"/>
      <c r="AO176" s="179"/>
      <c r="AP176" s="64"/>
      <c r="AQ176" s="65"/>
      <c r="AR176" s="65"/>
      <c r="AS176" s="65"/>
      <c r="AT176" s="173"/>
      <c r="AU176" s="177"/>
      <c r="AV176" s="178"/>
      <c r="AW176" s="178"/>
      <c r="AX176" s="179"/>
      <c r="AZ176" s="166"/>
      <c r="BA176" s="177"/>
      <c r="BB176" s="178"/>
      <c r="BC176" s="178"/>
      <c r="BD176" s="178"/>
      <c r="BE176" s="178"/>
      <c r="BF176" s="178"/>
      <c r="BG176" s="178"/>
      <c r="BH176" s="178"/>
      <c r="BI176" s="179"/>
      <c r="BJ176" s="180"/>
      <c r="BK176" s="178"/>
      <c r="BL176" s="178"/>
      <c r="BM176" s="178"/>
      <c r="BN176" s="178"/>
      <c r="BO176" s="181"/>
      <c r="BP176" s="166"/>
      <c r="BQ176" s="177"/>
      <c r="BR176" s="178"/>
      <c r="BS176" s="179"/>
      <c r="BU176" s="166"/>
      <c r="BV176" s="166"/>
      <c r="BW176" s="166"/>
      <c r="BX176" s="166"/>
      <c r="BY176" s="166"/>
      <c r="BZ176" s="166"/>
      <c r="CA176" s="166"/>
      <c r="CB176" s="166"/>
      <c r="CC176" s="166"/>
      <c r="CD176" s="177"/>
      <c r="CE176" s="181"/>
      <c r="CF176" s="177"/>
      <c r="CG176" s="181"/>
      <c r="CH176" s="177"/>
      <c r="CI176" s="182"/>
      <c r="CJ176" s="177"/>
      <c r="CK176" s="182"/>
      <c r="CL176" s="177"/>
      <c r="CM176" s="182"/>
      <c r="CN176" s="177"/>
      <c r="CO176" s="182"/>
      <c r="CP176" s="177"/>
      <c r="CQ176" s="178"/>
      <c r="CR176" s="182"/>
      <c r="CS176" s="65"/>
      <c r="CT176" s="64"/>
      <c r="CU176" s="165" t="str">
        <f t="shared" si="2"/>
        <v/>
      </c>
    </row>
    <row r="177" ht="60.0" hidden="1" customHeight="1">
      <c r="A177" s="65"/>
      <c r="C177" s="167"/>
      <c r="D177" s="205"/>
      <c r="E177" s="206"/>
      <c r="F177" s="169"/>
      <c r="G177" s="207"/>
      <c r="H177" s="208"/>
      <c r="I177" s="169"/>
      <c r="J177" s="170"/>
      <c r="K177" s="171"/>
      <c r="L177" s="171"/>
      <c r="M177" s="171"/>
      <c r="N177" s="209"/>
      <c r="O177" s="172">
        <f t="shared" si="32"/>
        <v>0</v>
      </c>
      <c r="P177" s="166"/>
      <c r="Q177" s="173"/>
      <c r="R177" s="65"/>
      <c r="S177" s="173"/>
      <c r="T177" s="173"/>
      <c r="U177" s="166"/>
      <c r="V177" s="166"/>
      <c r="W177" s="65"/>
      <c r="X177" s="66"/>
      <c r="Y177" s="173"/>
      <c r="Z177" s="166"/>
      <c r="AA177" s="174"/>
      <c r="AB177" s="175"/>
      <c r="AC177" s="175"/>
      <c r="AD177" s="175"/>
      <c r="AE177" s="175"/>
      <c r="AF177" s="175"/>
      <c r="AG177" s="175"/>
      <c r="AH177" s="175"/>
      <c r="AI177" s="176"/>
      <c r="AJ177" s="177"/>
      <c r="AK177" s="178"/>
      <c r="AL177" s="178"/>
      <c r="AM177" s="178"/>
      <c r="AN177" s="178"/>
      <c r="AO177" s="179"/>
      <c r="AP177" s="64"/>
      <c r="AQ177" s="65"/>
      <c r="AR177" s="65"/>
      <c r="AS177" s="65"/>
      <c r="AT177" s="173"/>
      <c r="AU177" s="177"/>
      <c r="AV177" s="178"/>
      <c r="AW177" s="178"/>
      <c r="AX177" s="179"/>
      <c r="AZ177" s="166"/>
      <c r="BA177" s="177"/>
      <c r="BB177" s="178"/>
      <c r="BC177" s="178"/>
      <c r="BD177" s="178"/>
      <c r="BE177" s="178"/>
      <c r="BF177" s="178"/>
      <c r="BG177" s="178"/>
      <c r="BH177" s="178"/>
      <c r="BI177" s="179"/>
      <c r="BJ177" s="180"/>
      <c r="BK177" s="178"/>
      <c r="BL177" s="178"/>
      <c r="BM177" s="178"/>
      <c r="BN177" s="178"/>
      <c r="BO177" s="181"/>
      <c r="BP177" s="166"/>
      <c r="BQ177" s="177"/>
      <c r="BR177" s="178"/>
      <c r="BS177" s="179"/>
      <c r="BU177" s="166"/>
      <c r="BV177" s="166"/>
      <c r="BW177" s="166"/>
      <c r="BX177" s="166"/>
      <c r="BY177" s="166"/>
      <c r="BZ177" s="166"/>
      <c r="CA177" s="166"/>
      <c r="CB177" s="166"/>
      <c r="CC177" s="166"/>
      <c r="CD177" s="177"/>
      <c r="CE177" s="181"/>
      <c r="CF177" s="177"/>
      <c r="CG177" s="181"/>
      <c r="CH177" s="177"/>
      <c r="CI177" s="182"/>
      <c r="CJ177" s="177"/>
      <c r="CK177" s="182"/>
      <c r="CL177" s="177"/>
      <c r="CM177" s="182"/>
      <c r="CN177" s="177"/>
      <c r="CO177" s="182"/>
      <c r="CP177" s="177"/>
      <c r="CQ177" s="178"/>
      <c r="CR177" s="182"/>
      <c r="CS177" s="65"/>
      <c r="CT177" s="64"/>
      <c r="CU177" s="165" t="str">
        <f t="shared" si="2"/>
        <v/>
      </c>
    </row>
    <row r="178" ht="60.0" hidden="1" customHeight="1">
      <c r="A178" s="65"/>
      <c r="C178" s="167"/>
      <c r="D178" s="205"/>
      <c r="E178" s="206"/>
      <c r="F178" s="169"/>
      <c r="G178" s="207"/>
      <c r="H178" s="208"/>
      <c r="I178" s="169"/>
      <c r="J178" s="170"/>
      <c r="K178" s="171"/>
      <c r="L178" s="171"/>
      <c r="M178" s="171"/>
      <c r="N178" s="209"/>
      <c r="O178" s="172">
        <f t="shared" si="32"/>
        <v>0</v>
      </c>
      <c r="P178" s="166"/>
      <c r="Q178" s="173"/>
      <c r="R178" s="65"/>
      <c r="S178" s="173"/>
      <c r="T178" s="173"/>
      <c r="U178" s="166"/>
      <c r="V178" s="166"/>
      <c r="W178" s="65"/>
      <c r="X178" s="66"/>
      <c r="Y178" s="173"/>
      <c r="Z178" s="166"/>
      <c r="AA178" s="174"/>
      <c r="AB178" s="175"/>
      <c r="AC178" s="175"/>
      <c r="AD178" s="175"/>
      <c r="AE178" s="175"/>
      <c r="AF178" s="175"/>
      <c r="AG178" s="175"/>
      <c r="AH178" s="175"/>
      <c r="AI178" s="176"/>
      <c r="AJ178" s="177"/>
      <c r="AK178" s="178"/>
      <c r="AL178" s="178"/>
      <c r="AM178" s="178"/>
      <c r="AN178" s="178"/>
      <c r="AO178" s="179"/>
      <c r="AP178" s="64"/>
      <c r="AQ178" s="65"/>
      <c r="AR178" s="65"/>
      <c r="AS178" s="65"/>
      <c r="AT178" s="173"/>
      <c r="AU178" s="177"/>
      <c r="AV178" s="178"/>
      <c r="AW178" s="178"/>
      <c r="AX178" s="179"/>
      <c r="AZ178" s="166"/>
      <c r="BA178" s="177"/>
      <c r="BB178" s="178"/>
      <c r="BC178" s="178"/>
      <c r="BD178" s="178"/>
      <c r="BE178" s="178"/>
      <c r="BF178" s="178"/>
      <c r="BG178" s="178"/>
      <c r="BH178" s="178"/>
      <c r="BI178" s="179"/>
      <c r="BJ178" s="180"/>
      <c r="BK178" s="178"/>
      <c r="BL178" s="178"/>
      <c r="BM178" s="178"/>
      <c r="BN178" s="178"/>
      <c r="BO178" s="181"/>
      <c r="BP178" s="166"/>
      <c r="BQ178" s="177"/>
      <c r="BR178" s="178"/>
      <c r="BS178" s="179"/>
      <c r="BU178" s="166"/>
      <c r="BV178" s="166"/>
      <c r="BW178" s="166"/>
      <c r="BX178" s="166"/>
      <c r="BY178" s="166"/>
      <c r="BZ178" s="166"/>
      <c r="CA178" s="166"/>
      <c r="CB178" s="166"/>
      <c r="CC178" s="166"/>
      <c r="CD178" s="177"/>
      <c r="CE178" s="181"/>
      <c r="CF178" s="177"/>
      <c r="CG178" s="181"/>
      <c r="CH178" s="177"/>
      <c r="CI178" s="182"/>
      <c r="CJ178" s="177"/>
      <c r="CK178" s="182"/>
      <c r="CL178" s="177"/>
      <c r="CM178" s="182"/>
      <c r="CN178" s="177"/>
      <c r="CO178" s="182"/>
      <c r="CP178" s="177"/>
      <c r="CQ178" s="178"/>
      <c r="CR178" s="182"/>
      <c r="CS178" s="65"/>
      <c r="CT178" s="64"/>
      <c r="CU178" s="165" t="str">
        <f t="shared" si="2"/>
        <v/>
      </c>
    </row>
    <row r="179" ht="60.0" hidden="1" customHeight="1">
      <c r="A179" s="65"/>
      <c r="C179" s="167"/>
      <c r="D179" s="205"/>
      <c r="E179" s="206"/>
      <c r="F179" s="169"/>
      <c r="G179" s="207"/>
      <c r="H179" s="208"/>
      <c r="I179" s="169"/>
      <c r="J179" s="170"/>
      <c r="K179" s="171"/>
      <c r="L179" s="171"/>
      <c r="M179" s="171"/>
      <c r="N179" s="209"/>
      <c r="O179" s="172">
        <f t="shared" ref="O179:O182" si="33">IF(AND(M179&gt;=20,M179&lt;&gt;"m",RIGHT(K179,3)="Lec"),1,IF(AND(M179&gt;=20,M179&lt;&gt;"m",OR(RIGHT(K179,3)="Lab",RIGHT(K179,3)="Tut")),0.5,IF(AND(M179&gt;=20,M179&lt;&gt;"m",RIGHT(K179,2)="TL"),0.75,0)))</f>
        <v>0</v>
      </c>
      <c r="P179" s="166"/>
      <c r="Q179" s="173"/>
      <c r="R179" s="65"/>
      <c r="S179" s="173"/>
      <c r="T179" s="173"/>
      <c r="U179" s="166"/>
      <c r="V179" s="166"/>
      <c r="W179" s="65"/>
      <c r="X179" s="66"/>
      <c r="Y179" s="173"/>
      <c r="Z179" s="166"/>
      <c r="AA179" s="174"/>
      <c r="AB179" s="175"/>
      <c r="AC179" s="175"/>
      <c r="AD179" s="175"/>
      <c r="AE179" s="175"/>
      <c r="AF179" s="175"/>
      <c r="AG179" s="175"/>
      <c r="AH179" s="175"/>
      <c r="AI179" s="176"/>
      <c r="AJ179" s="177"/>
      <c r="AK179" s="178"/>
      <c r="AL179" s="178"/>
      <c r="AM179" s="178"/>
      <c r="AN179" s="178"/>
      <c r="AO179" s="179"/>
      <c r="AP179" s="64"/>
      <c r="AQ179" s="65"/>
      <c r="AR179" s="65"/>
      <c r="AS179" s="65"/>
      <c r="AT179" s="173"/>
      <c r="AU179" s="177"/>
      <c r="AV179" s="178"/>
      <c r="AW179" s="178"/>
      <c r="AX179" s="179"/>
      <c r="AZ179" s="166"/>
      <c r="BA179" s="177"/>
      <c r="BB179" s="178"/>
      <c r="BC179" s="178"/>
      <c r="BD179" s="178"/>
      <c r="BE179" s="178"/>
      <c r="BF179" s="178"/>
      <c r="BG179" s="178"/>
      <c r="BH179" s="178"/>
      <c r="BI179" s="179"/>
      <c r="BJ179" s="180"/>
      <c r="BK179" s="178"/>
      <c r="BL179" s="178"/>
      <c r="BM179" s="178"/>
      <c r="BN179" s="178"/>
      <c r="BO179" s="181"/>
      <c r="BP179" s="166"/>
      <c r="BQ179" s="177"/>
      <c r="BR179" s="178"/>
      <c r="BS179" s="179"/>
      <c r="BU179" s="166"/>
      <c r="BV179" s="166"/>
      <c r="BW179" s="166"/>
      <c r="BX179" s="166"/>
      <c r="BY179" s="166"/>
      <c r="BZ179" s="166"/>
      <c r="CA179" s="166"/>
      <c r="CB179" s="166"/>
      <c r="CC179" s="166"/>
      <c r="CD179" s="177"/>
      <c r="CE179" s="181"/>
      <c r="CF179" s="177"/>
      <c r="CG179" s="181"/>
      <c r="CH179" s="177"/>
      <c r="CI179" s="182"/>
      <c r="CJ179" s="177"/>
      <c r="CK179" s="182"/>
      <c r="CL179" s="177"/>
      <c r="CM179" s="182"/>
      <c r="CN179" s="177"/>
      <c r="CO179" s="182"/>
      <c r="CP179" s="177"/>
      <c r="CQ179" s="178"/>
      <c r="CR179" s="182"/>
      <c r="CS179" s="65"/>
      <c r="CT179" s="64"/>
      <c r="CU179" s="165" t="str">
        <f t="shared" si="2"/>
        <v/>
      </c>
    </row>
    <row r="180" ht="60.0" hidden="1" customHeight="1">
      <c r="A180" s="65"/>
      <c r="C180" s="167"/>
      <c r="D180" s="205"/>
      <c r="E180" s="206"/>
      <c r="F180" s="169"/>
      <c r="G180" s="207"/>
      <c r="H180" s="208"/>
      <c r="I180" s="169"/>
      <c r="J180" s="170"/>
      <c r="K180" s="171"/>
      <c r="L180" s="171"/>
      <c r="M180" s="171"/>
      <c r="N180" s="209"/>
      <c r="O180" s="172">
        <f t="shared" si="33"/>
        <v>0</v>
      </c>
      <c r="P180" s="166"/>
      <c r="Q180" s="173"/>
      <c r="R180" s="65"/>
      <c r="S180" s="173"/>
      <c r="T180" s="173"/>
      <c r="U180" s="166"/>
      <c r="V180" s="166"/>
      <c r="W180" s="65"/>
      <c r="X180" s="66"/>
      <c r="Y180" s="173"/>
      <c r="Z180" s="166"/>
      <c r="AA180" s="174"/>
      <c r="AB180" s="175"/>
      <c r="AC180" s="175"/>
      <c r="AD180" s="175"/>
      <c r="AE180" s="175"/>
      <c r="AF180" s="175"/>
      <c r="AG180" s="175"/>
      <c r="AH180" s="175"/>
      <c r="AI180" s="176"/>
      <c r="AJ180" s="177"/>
      <c r="AK180" s="178"/>
      <c r="AL180" s="178"/>
      <c r="AM180" s="178"/>
      <c r="AN180" s="178"/>
      <c r="AO180" s="179"/>
      <c r="AP180" s="64"/>
      <c r="AQ180" s="65"/>
      <c r="AR180" s="65"/>
      <c r="AS180" s="65"/>
      <c r="AT180" s="173"/>
      <c r="AU180" s="177"/>
      <c r="AV180" s="178"/>
      <c r="AW180" s="178"/>
      <c r="AX180" s="179"/>
      <c r="AZ180" s="166"/>
      <c r="BA180" s="177"/>
      <c r="BB180" s="178"/>
      <c r="BC180" s="178"/>
      <c r="BD180" s="178"/>
      <c r="BE180" s="178"/>
      <c r="BF180" s="178"/>
      <c r="BG180" s="178"/>
      <c r="BH180" s="178"/>
      <c r="BI180" s="179"/>
      <c r="BJ180" s="180"/>
      <c r="BK180" s="178"/>
      <c r="BL180" s="178"/>
      <c r="BM180" s="178"/>
      <c r="BN180" s="178"/>
      <c r="BO180" s="181"/>
      <c r="BP180" s="166"/>
      <c r="BQ180" s="177"/>
      <c r="BR180" s="178"/>
      <c r="BS180" s="179"/>
      <c r="BU180" s="166"/>
      <c r="BV180" s="166"/>
      <c r="BW180" s="166"/>
      <c r="BX180" s="166"/>
      <c r="BY180" s="166"/>
      <c r="BZ180" s="166"/>
      <c r="CA180" s="166"/>
      <c r="CB180" s="166"/>
      <c r="CC180" s="166"/>
      <c r="CD180" s="177"/>
      <c r="CE180" s="181"/>
      <c r="CF180" s="177"/>
      <c r="CG180" s="181"/>
      <c r="CH180" s="177"/>
      <c r="CI180" s="182"/>
      <c r="CJ180" s="177"/>
      <c r="CK180" s="182"/>
      <c r="CL180" s="177"/>
      <c r="CM180" s="182"/>
      <c r="CN180" s="177"/>
      <c r="CO180" s="182"/>
      <c r="CP180" s="177"/>
      <c r="CQ180" s="178"/>
      <c r="CR180" s="182"/>
      <c r="CS180" s="65"/>
      <c r="CT180" s="64"/>
      <c r="CU180" s="165" t="str">
        <f t="shared" si="2"/>
        <v/>
      </c>
    </row>
    <row r="181" ht="60.0" hidden="1" customHeight="1">
      <c r="A181" s="65"/>
      <c r="C181" s="167"/>
      <c r="D181" s="205"/>
      <c r="E181" s="206"/>
      <c r="F181" s="169"/>
      <c r="G181" s="207"/>
      <c r="H181" s="208"/>
      <c r="I181" s="169"/>
      <c r="J181" s="170"/>
      <c r="K181" s="171"/>
      <c r="L181" s="171"/>
      <c r="M181" s="171"/>
      <c r="N181" s="209"/>
      <c r="O181" s="172">
        <f t="shared" si="33"/>
        <v>0</v>
      </c>
      <c r="P181" s="166"/>
      <c r="Q181" s="173"/>
      <c r="R181" s="65"/>
      <c r="S181" s="173"/>
      <c r="T181" s="173"/>
      <c r="U181" s="166"/>
      <c r="V181" s="166"/>
      <c r="W181" s="65"/>
      <c r="X181" s="66"/>
      <c r="Y181" s="173"/>
      <c r="Z181" s="166"/>
      <c r="AA181" s="174"/>
      <c r="AB181" s="175"/>
      <c r="AC181" s="175"/>
      <c r="AD181" s="175"/>
      <c r="AE181" s="175"/>
      <c r="AF181" s="175"/>
      <c r="AG181" s="175"/>
      <c r="AH181" s="175"/>
      <c r="AI181" s="176"/>
      <c r="AJ181" s="177"/>
      <c r="AK181" s="178"/>
      <c r="AL181" s="178"/>
      <c r="AM181" s="178"/>
      <c r="AN181" s="178"/>
      <c r="AO181" s="179"/>
      <c r="AP181" s="64"/>
      <c r="AQ181" s="65"/>
      <c r="AR181" s="65"/>
      <c r="AS181" s="65"/>
      <c r="AT181" s="173"/>
      <c r="AU181" s="177"/>
      <c r="AV181" s="178"/>
      <c r="AW181" s="178"/>
      <c r="AX181" s="179"/>
      <c r="AZ181" s="166"/>
      <c r="BA181" s="177"/>
      <c r="BB181" s="178"/>
      <c r="BC181" s="178"/>
      <c r="BD181" s="178"/>
      <c r="BE181" s="178"/>
      <c r="BF181" s="178"/>
      <c r="BG181" s="178"/>
      <c r="BH181" s="178"/>
      <c r="BI181" s="179"/>
      <c r="BJ181" s="180"/>
      <c r="BK181" s="178"/>
      <c r="BL181" s="178"/>
      <c r="BM181" s="178"/>
      <c r="BN181" s="178"/>
      <c r="BO181" s="181"/>
      <c r="BP181" s="166"/>
      <c r="BQ181" s="177"/>
      <c r="BR181" s="178"/>
      <c r="BS181" s="179"/>
      <c r="BU181" s="166"/>
      <c r="BV181" s="166"/>
      <c r="BW181" s="166"/>
      <c r="BX181" s="166"/>
      <c r="BY181" s="166"/>
      <c r="BZ181" s="166"/>
      <c r="CA181" s="166"/>
      <c r="CB181" s="166"/>
      <c r="CC181" s="166"/>
      <c r="CD181" s="177"/>
      <c r="CE181" s="181"/>
      <c r="CF181" s="177"/>
      <c r="CG181" s="181"/>
      <c r="CH181" s="177"/>
      <c r="CI181" s="182"/>
      <c r="CJ181" s="177"/>
      <c r="CK181" s="182"/>
      <c r="CL181" s="177"/>
      <c r="CM181" s="182"/>
      <c r="CN181" s="177"/>
      <c r="CO181" s="182"/>
      <c r="CP181" s="177"/>
      <c r="CQ181" s="178"/>
      <c r="CR181" s="182"/>
      <c r="CS181" s="65"/>
      <c r="CT181" s="64"/>
      <c r="CU181" s="165" t="str">
        <f t="shared" si="2"/>
        <v/>
      </c>
    </row>
    <row r="182" ht="60.0" hidden="1" customHeight="1">
      <c r="A182" s="65"/>
      <c r="C182" s="167"/>
      <c r="D182" s="205"/>
      <c r="E182" s="206"/>
      <c r="F182" s="169"/>
      <c r="G182" s="207"/>
      <c r="H182" s="208"/>
      <c r="I182" s="169"/>
      <c r="J182" s="170"/>
      <c r="K182" s="171"/>
      <c r="L182" s="171"/>
      <c r="M182" s="171"/>
      <c r="N182" s="209"/>
      <c r="O182" s="172">
        <f t="shared" si="33"/>
        <v>0</v>
      </c>
      <c r="P182" s="166"/>
      <c r="Q182" s="173"/>
      <c r="R182" s="65"/>
      <c r="S182" s="173"/>
      <c r="T182" s="173"/>
      <c r="U182" s="166"/>
      <c r="V182" s="166"/>
      <c r="W182" s="65"/>
      <c r="X182" s="66"/>
      <c r="Y182" s="173"/>
      <c r="Z182" s="166"/>
      <c r="AA182" s="174"/>
      <c r="AB182" s="175"/>
      <c r="AC182" s="175"/>
      <c r="AD182" s="175"/>
      <c r="AE182" s="175"/>
      <c r="AF182" s="175"/>
      <c r="AG182" s="175"/>
      <c r="AH182" s="175"/>
      <c r="AI182" s="176"/>
      <c r="AJ182" s="177"/>
      <c r="AK182" s="178"/>
      <c r="AL182" s="178"/>
      <c r="AM182" s="178"/>
      <c r="AN182" s="178"/>
      <c r="AO182" s="179"/>
      <c r="AP182" s="64"/>
      <c r="AQ182" s="65"/>
      <c r="AR182" s="65"/>
      <c r="AS182" s="65"/>
      <c r="AT182" s="173"/>
      <c r="AU182" s="177"/>
      <c r="AV182" s="178"/>
      <c r="AW182" s="178"/>
      <c r="AX182" s="179"/>
      <c r="AZ182" s="166"/>
      <c r="BA182" s="177"/>
      <c r="BB182" s="178"/>
      <c r="BC182" s="178"/>
      <c r="BD182" s="178"/>
      <c r="BE182" s="178"/>
      <c r="BF182" s="178"/>
      <c r="BG182" s="178"/>
      <c r="BH182" s="178"/>
      <c r="BI182" s="179"/>
      <c r="BJ182" s="180"/>
      <c r="BK182" s="178"/>
      <c r="BL182" s="178"/>
      <c r="BM182" s="178"/>
      <c r="BN182" s="178"/>
      <c r="BO182" s="181"/>
      <c r="BP182" s="166"/>
      <c r="BQ182" s="177"/>
      <c r="BR182" s="178"/>
      <c r="BS182" s="179"/>
      <c r="BU182" s="166"/>
      <c r="BV182" s="166"/>
      <c r="BW182" s="166"/>
      <c r="BX182" s="166"/>
      <c r="BY182" s="166"/>
      <c r="BZ182" s="166"/>
      <c r="CA182" s="166"/>
      <c r="CB182" s="166"/>
      <c r="CC182" s="166"/>
      <c r="CD182" s="177"/>
      <c r="CE182" s="181"/>
      <c r="CF182" s="177"/>
      <c r="CG182" s="181"/>
      <c r="CH182" s="177"/>
      <c r="CI182" s="182"/>
      <c r="CJ182" s="177"/>
      <c r="CK182" s="182"/>
      <c r="CL182" s="177"/>
      <c r="CM182" s="182"/>
      <c r="CN182" s="177"/>
      <c r="CO182" s="182"/>
      <c r="CP182" s="177"/>
      <c r="CQ182" s="178"/>
      <c r="CR182" s="182"/>
      <c r="CS182" s="65"/>
      <c r="CT182" s="64"/>
      <c r="CU182" s="165" t="str">
        <f t="shared" si="2"/>
        <v/>
      </c>
    </row>
    <row r="183" ht="60.0" hidden="1" customHeight="1">
      <c r="A183" s="89"/>
      <c r="B183" s="6"/>
      <c r="C183" s="183"/>
      <c r="D183" s="210"/>
      <c r="E183" s="211"/>
      <c r="F183" s="185"/>
      <c r="G183" s="212"/>
      <c r="H183" s="213"/>
      <c r="I183" s="185"/>
      <c r="J183" s="186"/>
      <c r="K183" s="187"/>
      <c r="L183" s="187"/>
      <c r="M183" s="187"/>
      <c r="N183" s="214"/>
      <c r="O183" s="188">
        <f t="shared" ref="O183:O189" si="34">IF(AND(M183&lt;&gt;0,M183&lt;&gt;"m",M183&lt;&gt;"",RIGHT(K183,3)="Lec"),1,IF(AND(M183&lt;&gt;0,M183&lt;&gt;"m",M183&lt;&gt;"",OR(RIGHT(K183,3)="Lab",RIGHT(K183,3)="Tut")),0.5,IF(AND(M183&lt;&gt;0,M183&lt;&gt;"m",M183&lt;&gt;"",RIGHT(K183,2)="TL"),0.75,0)))</f>
        <v>0</v>
      </c>
      <c r="P183" s="63"/>
      <c r="Q183" s="69"/>
      <c r="R183" s="89"/>
      <c r="S183" s="69"/>
      <c r="T183" s="69"/>
      <c r="U183" s="63"/>
      <c r="V183" s="63"/>
      <c r="W183" s="89"/>
      <c r="X183" s="68"/>
      <c r="Y183" s="69"/>
      <c r="Z183" s="63"/>
      <c r="AA183" s="189"/>
      <c r="AB183" s="190"/>
      <c r="AC183" s="190"/>
      <c r="AD183" s="190"/>
      <c r="AE183" s="190"/>
      <c r="AF183" s="190"/>
      <c r="AG183" s="190"/>
      <c r="AH183" s="190"/>
      <c r="AI183" s="191"/>
      <c r="AJ183" s="192"/>
      <c r="AK183" s="193"/>
      <c r="AL183" s="193"/>
      <c r="AM183" s="193"/>
      <c r="AN183" s="193"/>
      <c r="AO183" s="194"/>
      <c r="AP183" s="103"/>
      <c r="AQ183" s="89"/>
      <c r="AR183" s="89"/>
      <c r="AS183" s="89"/>
      <c r="AT183" s="69"/>
      <c r="AU183" s="192"/>
      <c r="AV183" s="193"/>
      <c r="AW183" s="193"/>
      <c r="AX183" s="194"/>
      <c r="AY183" s="6"/>
      <c r="AZ183" s="63"/>
      <c r="BA183" s="192"/>
      <c r="BB183" s="193"/>
      <c r="BC183" s="193"/>
      <c r="BD183" s="193"/>
      <c r="BE183" s="193"/>
      <c r="BF183" s="193"/>
      <c r="BG183" s="193"/>
      <c r="BH183" s="193"/>
      <c r="BI183" s="194"/>
      <c r="BJ183" s="195"/>
      <c r="BK183" s="193"/>
      <c r="BL183" s="193"/>
      <c r="BM183" s="193"/>
      <c r="BN183" s="193"/>
      <c r="BO183" s="196"/>
      <c r="BP183" s="63"/>
      <c r="BQ183" s="192"/>
      <c r="BR183" s="193"/>
      <c r="BS183" s="194"/>
      <c r="BT183" s="6"/>
      <c r="BU183" s="63"/>
      <c r="BV183" s="63"/>
      <c r="BW183" s="63"/>
      <c r="BX183" s="63"/>
      <c r="BY183" s="63"/>
      <c r="BZ183" s="63"/>
      <c r="CA183" s="63"/>
      <c r="CB183" s="63"/>
      <c r="CC183" s="63"/>
      <c r="CD183" s="192"/>
      <c r="CE183" s="196"/>
      <c r="CF183" s="192"/>
      <c r="CG183" s="196"/>
      <c r="CH183" s="192"/>
      <c r="CI183" s="197"/>
      <c r="CJ183" s="192"/>
      <c r="CK183" s="197"/>
      <c r="CL183" s="192"/>
      <c r="CM183" s="197"/>
      <c r="CN183" s="192"/>
      <c r="CO183" s="197"/>
      <c r="CP183" s="192"/>
      <c r="CQ183" s="193"/>
      <c r="CR183" s="197"/>
      <c r="CS183" s="89"/>
      <c r="CT183" s="103"/>
      <c r="CU183" s="165" t="str">
        <f t="shared" si="2"/>
        <v/>
      </c>
    </row>
    <row r="184" ht="55.5" hidden="1" customHeight="1">
      <c r="A184" s="125">
        <v>17.0</v>
      </c>
      <c r="B184" s="199"/>
      <c r="C184" s="127"/>
      <c r="D184" s="128"/>
      <c r="E184" s="215"/>
      <c r="F184" s="216"/>
      <c r="G184" s="217"/>
      <c r="H184" s="218"/>
      <c r="I184" s="216"/>
      <c r="J184" s="170"/>
      <c r="K184" s="219"/>
      <c r="L184" s="219"/>
      <c r="M184" s="219"/>
      <c r="N184" s="220"/>
      <c r="O184" s="132">
        <f t="shared" si="34"/>
        <v>0</v>
      </c>
      <c r="P184" s="133">
        <f>COUNTIF(K184:K194,"TL")*0.75+COUNTIF(K184:K194,"Lec")*1+COUNTIF(K184:K194,"Lab")*0.5</f>
        <v>0</v>
      </c>
      <c r="Q184" s="134">
        <f>SUM((IF(LEFT(K184,1)="E",O184,0)),(IF(LEFT(K185,1)="E",O185,0)),(IF(LEFT(K186,1)="E",O186,0)),(IF(LEFT(K187,1)="E",O187,0)),(IF(LEFT(K188,1)="E",O188,0)),(IF(LEFT(K189,1)="E",O189,0)),(IF(LEFT(K190,1)="E",O190,0)),(IF(LEFT(K191,1)="E",O191,0)),(IF(LEFT(K192,1)="E",O192,0)),(IF(LEFT(K193,1)="E",O193,0)),(IF(LEFT(K194,1)="E",O194,0)))</f>
        <v>0</v>
      </c>
      <c r="R184" s="135">
        <f>SUM(IF(M190&lt;20,IF(K190="Plec",-1,IF(K190="PTL",-0.75,IF(K190="Plab",-0.5,0))),0),IF(M191&lt;20,IF(K191="Plec",-1,IF(K191="PTL",-0.75,IF(K191="Plab",-0.5,0))),0),IF(M192&lt;20,IF(K192="Plec",-1,IF(K192="PTL",-0.75,IF(K192="Plab",-0.5,0))),0),IF(M193&lt;20,IF(K193="Plec",-1,IF(K193="PTL",-0.75,IF(K193="Plab",-0.5,0))),0))</f>
        <v>0</v>
      </c>
      <c r="S184" s="134">
        <f>SUM(P184:R194)</f>
        <v>0</v>
      </c>
      <c r="T184" s="136">
        <f>SUM(IF(M184="M",IF(OR(K184="lec",K184="plec",K184="slec"),1,IF(OR(K184="lab",K184="plab",K184="slab",K184="tut",K184="ptut",K184="stut"),0.5,IF(OR(K184="TL",K184="pTL",K184="STL"),0.75,0))),0),IF(M185="M",IF(OR(K185="lec",K185="plec",K185="slec"),1,IF(OR(K185="lab",K185="plab",K185="slab",K185="tut",K185="ptut",K185="stut"),0.5,IF(OR(K185="TL",K185="pTL",K185="STL"),0.75,0))),0),IF(M186="M",IF(OR(K186="lec",K186="plec",K186="slec"),1,IF(OR(K186="lab",K186="plab",K186="slab",K186="tut",K186="ptut",K186="stut"),0.5,IF(OR(K186="TL",K186="pTL",K186="STL"),0.75,0))),0),IF(M187="M",IF(OR(K187="lec",K187="plec",K187="slec"),1,IF(OR(K187="lab",K187="plab",K187="slab",K187="tut",K187="ptut",K187="stut"),0.5,IF(OR(K187="TL",K187="pTL",K187="STL"),0.75,0))),0),IF(M188="M",IF(OR(K188="lec",K188="plec",K188="slec"),1,IF(OR(K188="lab",K188="plab",K188="slab",K188="tut",K188="ptut",K188="stut"),0.5,IF(OR(K188="TL",K188="pTL",K188="STL"),0.75,0))),0),IF(M189="M",IF(OR(K189="lec",K189="plec",K189="slec"),1,IF(OR(K189="lab",K189="plab",K189="slab",K189="tut",K189="ptut",K189="stut"),0.5,IF(OR(K189="TL",K189="pTL",K189="STL"),0.75,0))),0),IF(M190="M",IF(OR(K190="lec",K190="plec",K190="slec"),1,IF(OR(K190="lab",K190="plab",K190="slab",K190="tut",K190="ptut",K190="stut"),0.5,IF(OR(K190="TL",K190="pTL",K190="STL"),0.75,0))),0),IF(M191="M",IF(OR(K191="lec",K191="plec",K191="slec"),1,IF(OR(K191="lab",K191="plab",K191="slab",K191="tut",K191="ptut",K191="stut"),0.5,IF(OR(K191="TL",K191="pTL",K191="STL"),0.75,0))),0),IF(M192="M",IF(OR(K192="lec",K192="plec",K192="slec"),1,IF(OR(K192="lab",K192="plab",K192="slab",K192="tut",K192="ptut",K192="stut"),0.5,IF(OR(K192="TL",K192="pTL",K192="STL"),0.75,0))),0),IF(M193="M",IF(OR(K193="lec",K193="plec",K193="slec"),1,IF(OR(K193="lab",K193="plab",K193="slab",K193="tut",K193="ptut",K193="stut"),0.5,IF(OR(K193="TL",K193="pTL",K193="STL"),0.75,0))),0),IF(M194="M",IF(OR(K194="lec",K194="plec",K194="slec"),1,IF(OR(K194="lab",K194="plab",K194="slab",K194="tut",K194="ptut",K194="stut"),0.5,IF(OR(K194="TL",K194="pTL",K194="STL"),0.75,0))),0))</f>
        <v>0</v>
      </c>
      <c r="U184" s="137"/>
      <c r="V184" s="133"/>
      <c r="W184" s="138"/>
      <c r="X184" s="139">
        <f>S184-(T184+U184+V184+W184)</f>
        <v>0</v>
      </c>
      <c r="Y184" s="134" t="str">
        <f>CONCATENATE(SUM(O184:O194),"(",SUM(O184:O194)-X184,")")</f>
        <v>0(0)</v>
      </c>
      <c r="Z184" s="140"/>
      <c r="AA184" s="141"/>
      <c r="AB184" s="142"/>
      <c r="AC184" s="142"/>
      <c r="AD184" s="142"/>
      <c r="AE184" s="142"/>
      <c r="AF184" s="142"/>
      <c r="AG184" s="142"/>
      <c r="AH184" s="142"/>
      <c r="AI184" s="143"/>
      <c r="AJ184" s="144"/>
      <c r="AK184" s="145"/>
      <c r="AL184" s="145"/>
      <c r="AM184" s="145"/>
      <c r="AN184" s="145"/>
      <c r="AO184" s="146"/>
      <c r="AP184" s="147">
        <f>SUM(SUM(O184:O194),SUM(AI184:AI194)/2,AM184)</f>
        <v>0</v>
      </c>
      <c r="AQ184" s="148"/>
      <c r="AR184" s="148">
        <f>AP184*AQ184</f>
        <v>0</v>
      </c>
      <c r="AS184" s="148">
        <f>CT184</f>
        <v>0</v>
      </c>
      <c r="AT184" s="149">
        <f>AR184*0.75+AS184*0.25</f>
        <v>0</v>
      </c>
      <c r="AU184" s="150"/>
      <c r="AV184" s="151"/>
      <c r="AW184" s="151"/>
      <c r="AX184" s="152"/>
      <c r="AY184" s="153"/>
      <c r="AZ184" s="140"/>
      <c r="BA184" s="150"/>
      <c r="BB184" s="151"/>
      <c r="BC184" s="151"/>
      <c r="BD184" s="151"/>
      <c r="BE184" s="151"/>
      <c r="BF184" s="151"/>
      <c r="BG184" s="151"/>
      <c r="BH184" s="151"/>
      <c r="BI184" s="152"/>
      <c r="BJ184" s="154"/>
      <c r="BK184" s="151"/>
      <c r="BL184" s="151"/>
      <c r="BM184" s="151"/>
      <c r="BN184" s="151"/>
      <c r="BO184" s="155"/>
      <c r="BP184" s="140"/>
      <c r="BQ184" s="156"/>
      <c r="BR184" s="157"/>
      <c r="BS184" s="158"/>
      <c r="BT184" s="153"/>
      <c r="BU184" s="140"/>
      <c r="BV184" s="140"/>
      <c r="BW184" s="140"/>
      <c r="BX184" s="140"/>
      <c r="BY184" s="140"/>
      <c r="BZ184" s="140"/>
      <c r="CA184" s="140"/>
      <c r="CB184" s="140"/>
      <c r="CC184" s="140"/>
      <c r="CD184" s="150"/>
      <c r="CE184" s="155"/>
      <c r="CF184" s="150"/>
      <c r="CG184" s="155"/>
      <c r="CH184" s="159"/>
      <c r="CI184" s="160"/>
      <c r="CJ184" s="159"/>
      <c r="CK184" s="160"/>
      <c r="CL184" s="159"/>
      <c r="CM184" s="160"/>
      <c r="CN184" s="159"/>
      <c r="CO184" s="160"/>
      <c r="CP184" s="159"/>
      <c r="CQ184" s="162"/>
      <c r="CR184" s="160"/>
      <c r="CS184" s="163">
        <f>SUM(IF(AU184&lt;0,ABS(AU184),0),IF(AZ184&lt;0,ABS(AZ184),0),ABS(CI184),ABS(CK184),ABS(CM184),ABS(CO184),ABS(CQ184),ABS(CR184))</f>
        <v>0</v>
      </c>
      <c r="CT184" s="164">
        <f>SUM(AU184,AV184,AW184,AX184/400,AY184,AZ184,BG184,BH184*0.5,BI184*0.25,BJ184,BK184,BL184,BM184,BN184,BO184,BP184,BR184/20,BS184/100,BT184/60,BU184,BV184,BW184,BX184/4,SUM(BY184:CC194)/3,CE184,CG184/3,CI184,CK184,CM184,CO184,CQ184,CR184)</f>
        <v>0</v>
      </c>
      <c r="CU184" s="165" t="str">
        <f t="shared" si="2"/>
        <v/>
      </c>
    </row>
    <row r="185" ht="60.0" hidden="1" customHeight="1">
      <c r="A185" s="65"/>
      <c r="C185" s="167"/>
      <c r="D185" s="205"/>
      <c r="E185" s="206"/>
      <c r="F185" s="169"/>
      <c r="G185" s="207"/>
      <c r="H185" s="208"/>
      <c r="I185" s="169"/>
      <c r="J185" s="170"/>
      <c r="K185" s="171"/>
      <c r="L185" s="171"/>
      <c r="M185" s="171"/>
      <c r="N185" s="209"/>
      <c r="O185" s="172">
        <f t="shared" si="34"/>
        <v>0</v>
      </c>
      <c r="P185" s="166"/>
      <c r="Q185" s="173"/>
      <c r="R185" s="65"/>
      <c r="S185" s="173"/>
      <c r="T185" s="173"/>
      <c r="U185" s="166"/>
      <c r="V185" s="166"/>
      <c r="W185" s="65"/>
      <c r="X185" s="66"/>
      <c r="Y185" s="173"/>
      <c r="Z185" s="166"/>
      <c r="AA185" s="174"/>
      <c r="AB185" s="175"/>
      <c r="AC185" s="175"/>
      <c r="AD185" s="175"/>
      <c r="AE185" s="175"/>
      <c r="AF185" s="175"/>
      <c r="AG185" s="175"/>
      <c r="AH185" s="175"/>
      <c r="AI185" s="176"/>
      <c r="AJ185" s="177"/>
      <c r="AK185" s="178"/>
      <c r="AL185" s="178"/>
      <c r="AM185" s="178"/>
      <c r="AN185" s="178"/>
      <c r="AO185" s="179"/>
      <c r="AP185" s="64"/>
      <c r="AQ185" s="65"/>
      <c r="AR185" s="65"/>
      <c r="AS185" s="65"/>
      <c r="AT185" s="173"/>
      <c r="AU185" s="177"/>
      <c r="AV185" s="178"/>
      <c r="AW185" s="178"/>
      <c r="AX185" s="179"/>
      <c r="AZ185" s="166"/>
      <c r="BA185" s="177"/>
      <c r="BB185" s="178"/>
      <c r="BC185" s="178"/>
      <c r="BD185" s="178"/>
      <c r="BE185" s="178"/>
      <c r="BF185" s="178"/>
      <c r="BG185" s="178"/>
      <c r="BH185" s="178"/>
      <c r="BI185" s="179"/>
      <c r="BJ185" s="180"/>
      <c r="BK185" s="178"/>
      <c r="BL185" s="178"/>
      <c r="BM185" s="178"/>
      <c r="BN185" s="178"/>
      <c r="BO185" s="181"/>
      <c r="BP185" s="166"/>
      <c r="BQ185" s="177"/>
      <c r="BR185" s="178"/>
      <c r="BS185" s="179"/>
      <c r="BU185" s="166"/>
      <c r="BV185" s="166"/>
      <c r="BW185" s="166"/>
      <c r="BX185" s="166"/>
      <c r="BY185" s="166"/>
      <c r="BZ185" s="166"/>
      <c r="CA185" s="166"/>
      <c r="CB185" s="166"/>
      <c r="CC185" s="166"/>
      <c r="CD185" s="177"/>
      <c r="CE185" s="181"/>
      <c r="CF185" s="177"/>
      <c r="CG185" s="181"/>
      <c r="CH185" s="177"/>
      <c r="CI185" s="182"/>
      <c r="CJ185" s="177"/>
      <c r="CK185" s="182"/>
      <c r="CL185" s="177"/>
      <c r="CM185" s="182"/>
      <c r="CN185" s="177"/>
      <c r="CO185" s="182"/>
      <c r="CP185" s="177"/>
      <c r="CQ185" s="178"/>
      <c r="CR185" s="182"/>
      <c r="CS185" s="65"/>
      <c r="CT185" s="64"/>
      <c r="CU185" s="165" t="str">
        <f t="shared" si="2"/>
        <v/>
      </c>
    </row>
    <row r="186" ht="60.0" hidden="1" customHeight="1">
      <c r="A186" s="65"/>
      <c r="C186" s="167"/>
      <c r="D186" s="205"/>
      <c r="E186" s="206"/>
      <c r="F186" s="169"/>
      <c r="G186" s="207"/>
      <c r="H186" s="208"/>
      <c r="I186" s="169"/>
      <c r="J186" s="170"/>
      <c r="K186" s="171"/>
      <c r="L186" s="171"/>
      <c r="M186" s="171"/>
      <c r="N186" s="209"/>
      <c r="O186" s="172">
        <f t="shared" si="34"/>
        <v>0</v>
      </c>
      <c r="P186" s="166"/>
      <c r="Q186" s="173"/>
      <c r="R186" s="65"/>
      <c r="S186" s="173"/>
      <c r="T186" s="173"/>
      <c r="U186" s="166"/>
      <c r="V186" s="166"/>
      <c r="W186" s="65"/>
      <c r="X186" s="66"/>
      <c r="Y186" s="173"/>
      <c r="Z186" s="166"/>
      <c r="AA186" s="174"/>
      <c r="AB186" s="175"/>
      <c r="AC186" s="175"/>
      <c r="AD186" s="175"/>
      <c r="AE186" s="175"/>
      <c r="AF186" s="175"/>
      <c r="AG186" s="175"/>
      <c r="AH186" s="175"/>
      <c r="AI186" s="176"/>
      <c r="AJ186" s="177"/>
      <c r="AK186" s="178"/>
      <c r="AL186" s="178"/>
      <c r="AM186" s="178"/>
      <c r="AN186" s="178"/>
      <c r="AO186" s="179"/>
      <c r="AP186" s="64"/>
      <c r="AQ186" s="65"/>
      <c r="AR186" s="65"/>
      <c r="AS186" s="65"/>
      <c r="AT186" s="173"/>
      <c r="AU186" s="177"/>
      <c r="AV186" s="178"/>
      <c r="AW186" s="178"/>
      <c r="AX186" s="179"/>
      <c r="AZ186" s="166"/>
      <c r="BA186" s="177"/>
      <c r="BB186" s="178"/>
      <c r="BC186" s="178"/>
      <c r="BD186" s="178"/>
      <c r="BE186" s="178"/>
      <c r="BF186" s="178"/>
      <c r="BG186" s="178"/>
      <c r="BH186" s="178"/>
      <c r="BI186" s="179"/>
      <c r="BJ186" s="180"/>
      <c r="BK186" s="178"/>
      <c r="BL186" s="178"/>
      <c r="BM186" s="178"/>
      <c r="BN186" s="178"/>
      <c r="BO186" s="181"/>
      <c r="BP186" s="166"/>
      <c r="BQ186" s="177"/>
      <c r="BR186" s="178"/>
      <c r="BS186" s="179"/>
      <c r="BU186" s="166"/>
      <c r="BV186" s="166"/>
      <c r="BW186" s="166"/>
      <c r="BX186" s="166"/>
      <c r="BY186" s="166"/>
      <c r="BZ186" s="166"/>
      <c r="CA186" s="166"/>
      <c r="CB186" s="166"/>
      <c r="CC186" s="166"/>
      <c r="CD186" s="177"/>
      <c r="CE186" s="181"/>
      <c r="CF186" s="177"/>
      <c r="CG186" s="181"/>
      <c r="CH186" s="177"/>
      <c r="CI186" s="182"/>
      <c r="CJ186" s="177"/>
      <c r="CK186" s="182"/>
      <c r="CL186" s="177"/>
      <c r="CM186" s="182"/>
      <c r="CN186" s="177"/>
      <c r="CO186" s="182"/>
      <c r="CP186" s="177"/>
      <c r="CQ186" s="178"/>
      <c r="CR186" s="182"/>
      <c r="CS186" s="65"/>
      <c r="CT186" s="64"/>
      <c r="CU186" s="165" t="str">
        <f t="shared" si="2"/>
        <v/>
      </c>
    </row>
    <row r="187" ht="60.0" hidden="1" customHeight="1">
      <c r="A187" s="65"/>
      <c r="C187" s="167"/>
      <c r="D187" s="205"/>
      <c r="E187" s="206"/>
      <c r="F187" s="169"/>
      <c r="G187" s="207"/>
      <c r="H187" s="208"/>
      <c r="I187" s="169"/>
      <c r="J187" s="170"/>
      <c r="K187" s="171"/>
      <c r="L187" s="171"/>
      <c r="M187" s="171"/>
      <c r="N187" s="209"/>
      <c r="O187" s="172">
        <f t="shared" si="34"/>
        <v>0</v>
      </c>
      <c r="P187" s="166"/>
      <c r="Q187" s="173"/>
      <c r="R187" s="65"/>
      <c r="S187" s="173"/>
      <c r="T187" s="173"/>
      <c r="U187" s="166"/>
      <c r="V187" s="166"/>
      <c r="W187" s="65"/>
      <c r="X187" s="66"/>
      <c r="Y187" s="173"/>
      <c r="Z187" s="166"/>
      <c r="AA187" s="174"/>
      <c r="AB187" s="175"/>
      <c r="AC187" s="175"/>
      <c r="AD187" s="175"/>
      <c r="AE187" s="175"/>
      <c r="AF187" s="175"/>
      <c r="AG187" s="175"/>
      <c r="AH187" s="175"/>
      <c r="AI187" s="176"/>
      <c r="AJ187" s="177"/>
      <c r="AK187" s="178"/>
      <c r="AL187" s="178"/>
      <c r="AM187" s="178"/>
      <c r="AN187" s="178"/>
      <c r="AO187" s="179"/>
      <c r="AP187" s="64"/>
      <c r="AQ187" s="65"/>
      <c r="AR187" s="65"/>
      <c r="AS187" s="65"/>
      <c r="AT187" s="173"/>
      <c r="AU187" s="177"/>
      <c r="AV187" s="178"/>
      <c r="AW187" s="178"/>
      <c r="AX187" s="179"/>
      <c r="AZ187" s="166"/>
      <c r="BA187" s="177"/>
      <c r="BB187" s="178"/>
      <c r="BC187" s="178"/>
      <c r="BD187" s="178"/>
      <c r="BE187" s="178"/>
      <c r="BF187" s="178"/>
      <c r="BG187" s="178"/>
      <c r="BH187" s="178"/>
      <c r="BI187" s="179"/>
      <c r="BJ187" s="180"/>
      <c r="BK187" s="178"/>
      <c r="BL187" s="178"/>
      <c r="BM187" s="178"/>
      <c r="BN187" s="178"/>
      <c r="BO187" s="181"/>
      <c r="BP187" s="166"/>
      <c r="BQ187" s="177"/>
      <c r="BR187" s="178"/>
      <c r="BS187" s="179"/>
      <c r="BU187" s="166"/>
      <c r="BV187" s="166"/>
      <c r="BW187" s="166"/>
      <c r="BX187" s="166"/>
      <c r="BY187" s="166"/>
      <c r="BZ187" s="166"/>
      <c r="CA187" s="166"/>
      <c r="CB187" s="166"/>
      <c r="CC187" s="166"/>
      <c r="CD187" s="177"/>
      <c r="CE187" s="181"/>
      <c r="CF187" s="177"/>
      <c r="CG187" s="181"/>
      <c r="CH187" s="177"/>
      <c r="CI187" s="182"/>
      <c r="CJ187" s="177"/>
      <c r="CK187" s="182"/>
      <c r="CL187" s="177"/>
      <c r="CM187" s="182"/>
      <c r="CN187" s="177"/>
      <c r="CO187" s="182"/>
      <c r="CP187" s="177"/>
      <c r="CQ187" s="178"/>
      <c r="CR187" s="182"/>
      <c r="CS187" s="65"/>
      <c r="CT187" s="64"/>
      <c r="CU187" s="165" t="str">
        <f t="shared" si="2"/>
        <v/>
      </c>
    </row>
    <row r="188" ht="60.0" hidden="1" customHeight="1">
      <c r="A188" s="65"/>
      <c r="C188" s="167"/>
      <c r="D188" s="205"/>
      <c r="E188" s="206"/>
      <c r="F188" s="169"/>
      <c r="G188" s="207"/>
      <c r="H188" s="208"/>
      <c r="I188" s="169"/>
      <c r="J188" s="170"/>
      <c r="K188" s="171"/>
      <c r="L188" s="171"/>
      <c r="M188" s="171"/>
      <c r="N188" s="209"/>
      <c r="O188" s="172">
        <f t="shared" si="34"/>
        <v>0</v>
      </c>
      <c r="P188" s="166"/>
      <c r="Q188" s="173"/>
      <c r="R188" s="65"/>
      <c r="S188" s="173"/>
      <c r="T188" s="173"/>
      <c r="U188" s="166"/>
      <c r="V188" s="166"/>
      <c r="W188" s="65"/>
      <c r="X188" s="66"/>
      <c r="Y188" s="173"/>
      <c r="Z188" s="166"/>
      <c r="AA188" s="174"/>
      <c r="AB188" s="175"/>
      <c r="AC188" s="175"/>
      <c r="AD188" s="175"/>
      <c r="AE188" s="175"/>
      <c r="AF188" s="175"/>
      <c r="AG188" s="175"/>
      <c r="AH188" s="175"/>
      <c r="AI188" s="176"/>
      <c r="AJ188" s="177"/>
      <c r="AK188" s="178"/>
      <c r="AL188" s="178"/>
      <c r="AM188" s="178"/>
      <c r="AN188" s="178"/>
      <c r="AO188" s="179"/>
      <c r="AP188" s="64"/>
      <c r="AQ188" s="65"/>
      <c r="AR188" s="65"/>
      <c r="AS188" s="65"/>
      <c r="AT188" s="173"/>
      <c r="AU188" s="177"/>
      <c r="AV188" s="178"/>
      <c r="AW188" s="178"/>
      <c r="AX188" s="179"/>
      <c r="AZ188" s="166"/>
      <c r="BA188" s="177"/>
      <c r="BB188" s="178"/>
      <c r="BC188" s="178"/>
      <c r="BD188" s="178"/>
      <c r="BE188" s="178"/>
      <c r="BF188" s="178"/>
      <c r="BG188" s="178"/>
      <c r="BH188" s="178"/>
      <c r="BI188" s="179"/>
      <c r="BJ188" s="180"/>
      <c r="BK188" s="178"/>
      <c r="BL188" s="178"/>
      <c r="BM188" s="178"/>
      <c r="BN188" s="178"/>
      <c r="BO188" s="181"/>
      <c r="BP188" s="166"/>
      <c r="BQ188" s="177"/>
      <c r="BR188" s="178"/>
      <c r="BS188" s="179"/>
      <c r="BU188" s="166"/>
      <c r="BV188" s="166"/>
      <c r="BW188" s="166"/>
      <c r="BX188" s="166"/>
      <c r="BY188" s="166"/>
      <c r="BZ188" s="166"/>
      <c r="CA188" s="166"/>
      <c r="CB188" s="166"/>
      <c r="CC188" s="166"/>
      <c r="CD188" s="177"/>
      <c r="CE188" s="181"/>
      <c r="CF188" s="177"/>
      <c r="CG188" s="181"/>
      <c r="CH188" s="177"/>
      <c r="CI188" s="182"/>
      <c r="CJ188" s="177"/>
      <c r="CK188" s="182"/>
      <c r="CL188" s="177"/>
      <c r="CM188" s="182"/>
      <c r="CN188" s="177"/>
      <c r="CO188" s="182"/>
      <c r="CP188" s="177"/>
      <c r="CQ188" s="178"/>
      <c r="CR188" s="182"/>
      <c r="CS188" s="65"/>
      <c r="CT188" s="64"/>
      <c r="CU188" s="165" t="str">
        <f t="shared" si="2"/>
        <v/>
      </c>
    </row>
    <row r="189" ht="60.0" hidden="1" customHeight="1">
      <c r="A189" s="65"/>
      <c r="C189" s="167"/>
      <c r="D189" s="205"/>
      <c r="E189" s="206"/>
      <c r="F189" s="169"/>
      <c r="G189" s="207"/>
      <c r="H189" s="208"/>
      <c r="I189" s="169"/>
      <c r="J189" s="170"/>
      <c r="K189" s="171"/>
      <c r="L189" s="171"/>
      <c r="M189" s="171"/>
      <c r="N189" s="209"/>
      <c r="O189" s="172">
        <f t="shared" si="34"/>
        <v>0</v>
      </c>
      <c r="P189" s="166"/>
      <c r="Q189" s="173"/>
      <c r="R189" s="65"/>
      <c r="S189" s="173"/>
      <c r="T189" s="173"/>
      <c r="U189" s="166"/>
      <c r="V189" s="166"/>
      <c r="W189" s="65"/>
      <c r="X189" s="66"/>
      <c r="Y189" s="173"/>
      <c r="Z189" s="166"/>
      <c r="AA189" s="174"/>
      <c r="AB189" s="175"/>
      <c r="AC189" s="175"/>
      <c r="AD189" s="175"/>
      <c r="AE189" s="175"/>
      <c r="AF189" s="175"/>
      <c r="AG189" s="175"/>
      <c r="AH189" s="175"/>
      <c r="AI189" s="176"/>
      <c r="AJ189" s="177"/>
      <c r="AK189" s="178"/>
      <c r="AL189" s="178"/>
      <c r="AM189" s="178"/>
      <c r="AN189" s="178"/>
      <c r="AO189" s="179"/>
      <c r="AP189" s="64"/>
      <c r="AQ189" s="65"/>
      <c r="AR189" s="65"/>
      <c r="AS189" s="65"/>
      <c r="AT189" s="173"/>
      <c r="AU189" s="177"/>
      <c r="AV189" s="178"/>
      <c r="AW189" s="178"/>
      <c r="AX189" s="179"/>
      <c r="AZ189" s="166"/>
      <c r="BA189" s="177"/>
      <c r="BB189" s="178"/>
      <c r="BC189" s="178"/>
      <c r="BD189" s="178"/>
      <c r="BE189" s="178"/>
      <c r="BF189" s="178"/>
      <c r="BG189" s="178"/>
      <c r="BH189" s="178"/>
      <c r="BI189" s="179"/>
      <c r="BJ189" s="180"/>
      <c r="BK189" s="178"/>
      <c r="BL189" s="178"/>
      <c r="BM189" s="178"/>
      <c r="BN189" s="178"/>
      <c r="BO189" s="181"/>
      <c r="BP189" s="166"/>
      <c r="BQ189" s="177"/>
      <c r="BR189" s="178"/>
      <c r="BS189" s="179"/>
      <c r="BU189" s="166"/>
      <c r="BV189" s="166"/>
      <c r="BW189" s="166"/>
      <c r="BX189" s="166"/>
      <c r="BY189" s="166"/>
      <c r="BZ189" s="166"/>
      <c r="CA189" s="166"/>
      <c r="CB189" s="166"/>
      <c r="CC189" s="166"/>
      <c r="CD189" s="177"/>
      <c r="CE189" s="181"/>
      <c r="CF189" s="177"/>
      <c r="CG189" s="181"/>
      <c r="CH189" s="177"/>
      <c r="CI189" s="182"/>
      <c r="CJ189" s="177"/>
      <c r="CK189" s="182"/>
      <c r="CL189" s="177"/>
      <c r="CM189" s="182"/>
      <c r="CN189" s="177"/>
      <c r="CO189" s="182"/>
      <c r="CP189" s="177"/>
      <c r="CQ189" s="178"/>
      <c r="CR189" s="182"/>
      <c r="CS189" s="65"/>
      <c r="CT189" s="64"/>
      <c r="CU189" s="165" t="str">
        <f t="shared" si="2"/>
        <v/>
      </c>
    </row>
    <row r="190" ht="60.0" hidden="1" customHeight="1">
      <c r="A190" s="65"/>
      <c r="C190" s="167"/>
      <c r="D190" s="205"/>
      <c r="E190" s="206"/>
      <c r="F190" s="169"/>
      <c r="G190" s="207"/>
      <c r="H190" s="208"/>
      <c r="I190" s="169"/>
      <c r="J190" s="170"/>
      <c r="K190" s="171"/>
      <c r="L190" s="171"/>
      <c r="M190" s="171"/>
      <c r="N190" s="209"/>
      <c r="O190" s="172">
        <f t="shared" ref="O190:O193" si="35">IF(AND(M190&gt;=20,M190&lt;&gt;"m",RIGHT(K190,3)="Lec"),1,IF(AND(M190&gt;=20,M190&lt;&gt;"m",OR(RIGHT(K190,3)="Lab",RIGHT(K190,3)="Tut")),0.5,IF(AND(M190&gt;=20,M190&lt;&gt;"m",RIGHT(K190,2)="TL"),0.75,0)))</f>
        <v>0</v>
      </c>
      <c r="P190" s="166"/>
      <c r="Q190" s="173"/>
      <c r="R190" s="65"/>
      <c r="S190" s="173"/>
      <c r="T190" s="173"/>
      <c r="U190" s="166"/>
      <c r="V190" s="166"/>
      <c r="W190" s="65"/>
      <c r="X190" s="66"/>
      <c r="Y190" s="173"/>
      <c r="Z190" s="166"/>
      <c r="AA190" s="174"/>
      <c r="AB190" s="175"/>
      <c r="AC190" s="175"/>
      <c r="AD190" s="175"/>
      <c r="AE190" s="175"/>
      <c r="AF190" s="175"/>
      <c r="AG190" s="175"/>
      <c r="AH190" s="175"/>
      <c r="AI190" s="176"/>
      <c r="AJ190" s="177"/>
      <c r="AK190" s="178"/>
      <c r="AL190" s="178"/>
      <c r="AM190" s="178"/>
      <c r="AN190" s="178"/>
      <c r="AO190" s="179"/>
      <c r="AP190" s="64"/>
      <c r="AQ190" s="65"/>
      <c r="AR190" s="65"/>
      <c r="AS190" s="65"/>
      <c r="AT190" s="173"/>
      <c r="AU190" s="177"/>
      <c r="AV190" s="178"/>
      <c r="AW190" s="178"/>
      <c r="AX190" s="179"/>
      <c r="AZ190" s="166"/>
      <c r="BA190" s="177"/>
      <c r="BB190" s="178"/>
      <c r="BC190" s="178"/>
      <c r="BD190" s="178"/>
      <c r="BE190" s="178"/>
      <c r="BF190" s="178"/>
      <c r="BG190" s="178"/>
      <c r="BH190" s="178"/>
      <c r="BI190" s="179"/>
      <c r="BJ190" s="180"/>
      <c r="BK190" s="178"/>
      <c r="BL190" s="178"/>
      <c r="BM190" s="178"/>
      <c r="BN190" s="178"/>
      <c r="BO190" s="181"/>
      <c r="BP190" s="166"/>
      <c r="BQ190" s="177"/>
      <c r="BR190" s="178"/>
      <c r="BS190" s="179"/>
      <c r="BU190" s="166"/>
      <c r="BV190" s="166"/>
      <c r="BW190" s="166"/>
      <c r="BX190" s="166"/>
      <c r="BY190" s="166"/>
      <c r="BZ190" s="166"/>
      <c r="CA190" s="166"/>
      <c r="CB190" s="166"/>
      <c r="CC190" s="166"/>
      <c r="CD190" s="177"/>
      <c r="CE190" s="181"/>
      <c r="CF190" s="177"/>
      <c r="CG190" s="181"/>
      <c r="CH190" s="177"/>
      <c r="CI190" s="182"/>
      <c r="CJ190" s="177"/>
      <c r="CK190" s="182"/>
      <c r="CL190" s="177"/>
      <c r="CM190" s="182"/>
      <c r="CN190" s="177"/>
      <c r="CO190" s="182"/>
      <c r="CP190" s="177"/>
      <c r="CQ190" s="178"/>
      <c r="CR190" s="182"/>
      <c r="CS190" s="65"/>
      <c r="CT190" s="64"/>
      <c r="CU190" s="165" t="str">
        <f t="shared" si="2"/>
        <v/>
      </c>
    </row>
    <row r="191" ht="60.0" hidden="1" customHeight="1">
      <c r="A191" s="65"/>
      <c r="C191" s="167"/>
      <c r="D191" s="205"/>
      <c r="E191" s="206"/>
      <c r="F191" s="169"/>
      <c r="G191" s="207"/>
      <c r="H191" s="208"/>
      <c r="I191" s="169"/>
      <c r="J191" s="170"/>
      <c r="K191" s="171"/>
      <c r="L191" s="171"/>
      <c r="M191" s="171"/>
      <c r="N191" s="209"/>
      <c r="O191" s="172">
        <f t="shared" si="35"/>
        <v>0</v>
      </c>
      <c r="P191" s="166"/>
      <c r="Q191" s="173"/>
      <c r="R191" s="65"/>
      <c r="S191" s="173"/>
      <c r="T191" s="173"/>
      <c r="U191" s="166"/>
      <c r="V191" s="166"/>
      <c r="W191" s="65"/>
      <c r="X191" s="66"/>
      <c r="Y191" s="173"/>
      <c r="Z191" s="166"/>
      <c r="AA191" s="174"/>
      <c r="AB191" s="175"/>
      <c r="AC191" s="175"/>
      <c r="AD191" s="175"/>
      <c r="AE191" s="175"/>
      <c r="AF191" s="175"/>
      <c r="AG191" s="175"/>
      <c r="AH191" s="175"/>
      <c r="AI191" s="176"/>
      <c r="AJ191" s="177"/>
      <c r="AK191" s="178"/>
      <c r="AL191" s="178"/>
      <c r="AM191" s="178"/>
      <c r="AN191" s="178"/>
      <c r="AO191" s="179"/>
      <c r="AP191" s="64"/>
      <c r="AQ191" s="65"/>
      <c r="AR191" s="65"/>
      <c r="AS191" s="65"/>
      <c r="AT191" s="173"/>
      <c r="AU191" s="177"/>
      <c r="AV191" s="178"/>
      <c r="AW191" s="178"/>
      <c r="AX191" s="179"/>
      <c r="AZ191" s="166"/>
      <c r="BA191" s="177"/>
      <c r="BB191" s="178"/>
      <c r="BC191" s="178"/>
      <c r="BD191" s="178"/>
      <c r="BE191" s="178"/>
      <c r="BF191" s="178"/>
      <c r="BG191" s="178"/>
      <c r="BH191" s="178"/>
      <c r="BI191" s="179"/>
      <c r="BJ191" s="180"/>
      <c r="BK191" s="178"/>
      <c r="BL191" s="178"/>
      <c r="BM191" s="178"/>
      <c r="BN191" s="178"/>
      <c r="BO191" s="181"/>
      <c r="BP191" s="166"/>
      <c r="BQ191" s="177"/>
      <c r="BR191" s="178"/>
      <c r="BS191" s="179"/>
      <c r="BU191" s="166"/>
      <c r="BV191" s="166"/>
      <c r="BW191" s="166"/>
      <c r="BX191" s="166"/>
      <c r="BY191" s="166"/>
      <c r="BZ191" s="166"/>
      <c r="CA191" s="166"/>
      <c r="CB191" s="166"/>
      <c r="CC191" s="166"/>
      <c r="CD191" s="177"/>
      <c r="CE191" s="181"/>
      <c r="CF191" s="177"/>
      <c r="CG191" s="181"/>
      <c r="CH191" s="177"/>
      <c r="CI191" s="182"/>
      <c r="CJ191" s="177"/>
      <c r="CK191" s="182"/>
      <c r="CL191" s="177"/>
      <c r="CM191" s="182"/>
      <c r="CN191" s="177"/>
      <c r="CO191" s="182"/>
      <c r="CP191" s="177"/>
      <c r="CQ191" s="178"/>
      <c r="CR191" s="182"/>
      <c r="CS191" s="65"/>
      <c r="CT191" s="64"/>
      <c r="CU191" s="165" t="str">
        <f t="shared" si="2"/>
        <v/>
      </c>
    </row>
    <row r="192" ht="60.0" hidden="1" customHeight="1">
      <c r="A192" s="65"/>
      <c r="C192" s="167"/>
      <c r="D192" s="205"/>
      <c r="E192" s="206"/>
      <c r="F192" s="169"/>
      <c r="G192" s="207"/>
      <c r="H192" s="208"/>
      <c r="I192" s="169"/>
      <c r="J192" s="170"/>
      <c r="K192" s="171"/>
      <c r="L192" s="171"/>
      <c r="M192" s="171"/>
      <c r="N192" s="209"/>
      <c r="O192" s="172">
        <f t="shared" si="35"/>
        <v>0</v>
      </c>
      <c r="P192" s="166"/>
      <c r="Q192" s="173"/>
      <c r="R192" s="65"/>
      <c r="S192" s="173"/>
      <c r="T192" s="173"/>
      <c r="U192" s="166"/>
      <c r="V192" s="166"/>
      <c r="W192" s="65"/>
      <c r="X192" s="66"/>
      <c r="Y192" s="173"/>
      <c r="Z192" s="166"/>
      <c r="AA192" s="174"/>
      <c r="AB192" s="175"/>
      <c r="AC192" s="175"/>
      <c r="AD192" s="175"/>
      <c r="AE192" s="175"/>
      <c r="AF192" s="175"/>
      <c r="AG192" s="175"/>
      <c r="AH192" s="175"/>
      <c r="AI192" s="176"/>
      <c r="AJ192" s="177"/>
      <c r="AK192" s="178"/>
      <c r="AL192" s="178"/>
      <c r="AM192" s="178"/>
      <c r="AN192" s="178"/>
      <c r="AO192" s="179"/>
      <c r="AP192" s="64"/>
      <c r="AQ192" s="65"/>
      <c r="AR192" s="65"/>
      <c r="AS192" s="65"/>
      <c r="AT192" s="173"/>
      <c r="AU192" s="177"/>
      <c r="AV192" s="178"/>
      <c r="AW192" s="178"/>
      <c r="AX192" s="179"/>
      <c r="AZ192" s="166"/>
      <c r="BA192" s="177"/>
      <c r="BB192" s="178"/>
      <c r="BC192" s="178"/>
      <c r="BD192" s="178"/>
      <c r="BE192" s="178"/>
      <c r="BF192" s="178"/>
      <c r="BG192" s="178"/>
      <c r="BH192" s="178"/>
      <c r="BI192" s="179"/>
      <c r="BJ192" s="180"/>
      <c r="BK192" s="178"/>
      <c r="BL192" s="178"/>
      <c r="BM192" s="178"/>
      <c r="BN192" s="178"/>
      <c r="BO192" s="181"/>
      <c r="BP192" s="166"/>
      <c r="BQ192" s="177"/>
      <c r="BR192" s="178"/>
      <c r="BS192" s="179"/>
      <c r="BU192" s="166"/>
      <c r="BV192" s="166"/>
      <c r="BW192" s="166"/>
      <c r="BX192" s="166"/>
      <c r="BY192" s="166"/>
      <c r="BZ192" s="166"/>
      <c r="CA192" s="166"/>
      <c r="CB192" s="166"/>
      <c r="CC192" s="166"/>
      <c r="CD192" s="177"/>
      <c r="CE192" s="181"/>
      <c r="CF192" s="177"/>
      <c r="CG192" s="181"/>
      <c r="CH192" s="177"/>
      <c r="CI192" s="182"/>
      <c r="CJ192" s="177"/>
      <c r="CK192" s="182"/>
      <c r="CL192" s="177"/>
      <c r="CM192" s="182"/>
      <c r="CN192" s="177"/>
      <c r="CO192" s="182"/>
      <c r="CP192" s="177"/>
      <c r="CQ192" s="178"/>
      <c r="CR192" s="182"/>
      <c r="CS192" s="65"/>
      <c r="CT192" s="64"/>
      <c r="CU192" s="165" t="str">
        <f t="shared" si="2"/>
        <v/>
      </c>
    </row>
    <row r="193" ht="60.0" hidden="1" customHeight="1">
      <c r="A193" s="65"/>
      <c r="C193" s="167"/>
      <c r="D193" s="205"/>
      <c r="E193" s="206"/>
      <c r="F193" s="169"/>
      <c r="G193" s="207"/>
      <c r="H193" s="208"/>
      <c r="I193" s="169"/>
      <c r="J193" s="170"/>
      <c r="K193" s="171"/>
      <c r="L193" s="171"/>
      <c r="M193" s="171"/>
      <c r="N193" s="209"/>
      <c r="O193" s="172">
        <f t="shared" si="35"/>
        <v>0</v>
      </c>
      <c r="P193" s="166"/>
      <c r="Q193" s="173"/>
      <c r="R193" s="65"/>
      <c r="S193" s="173"/>
      <c r="T193" s="173"/>
      <c r="U193" s="166"/>
      <c r="V193" s="166"/>
      <c r="W193" s="65"/>
      <c r="X193" s="66"/>
      <c r="Y193" s="173"/>
      <c r="Z193" s="166"/>
      <c r="AA193" s="174"/>
      <c r="AB193" s="175"/>
      <c r="AC193" s="175"/>
      <c r="AD193" s="175"/>
      <c r="AE193" s="175"/>
      <c r="AF193" s="175"/>
      <c r="AG193" s="175"/>
      <c r="AH193" s="175"/>
      <c r="AI193" s="176"/>
      <c r="AJ193" s="177"/>
      <c r="AK193" s="178"/>
      <c r="AL193" s="178"/>
      <c r="AM193" s="178"/>
      <c r="AN193" s="178"/>
      <c r="AO193" s="179"/>
      <c r="AP193" s="64"/>
      <c r="AQ193" s="65"/>
      <c r="AR193" s="65"/>
      <c r="AS193" s="65"/>
      <c r="AT193" s="173"/>
      <c r="AU193" s="177"/>
      <c r="AV193" s="178"/>
      <c r="AW193" s="178"/>
      <c r="AX193" s="179"/>
      <c r="AZ193" s="166"/>
      <c r="BA193" s="177"/>
      <c r="BB193" s="178"/>
      <c r="BC193" s="178"/>
      <c r="BD193" s="178"/>
      <c r="BE193" s="178"/>
      <c r="BF193" s="178"/>
      <c r="BG193" s="178"/>
      <c r="BH193" s="178"/>
      <c r="BI193" s="179"/>
      <c r="BJ193" s="180"/>
      <c r="BK193" s="178"/>
      <c r="BL193" s="178"/>
      <c r="BM193" s="178"/>
      <c r="BN193" s="178"/>
      <c r="BO193" s="181"/>
      <c r="BP193" s="166"/>
      <c r="BQ193" s="177"/>
      <c r="BR193" s="178"/>
      <c r="BS193" s="179"/>
      <c r="BU193" s="166"/>
      <c r="BV193" s="166"/>
      <c r="BW193" s="166"/>
      <c r="BX193" s="166"/>
      <c r="BY193" s="166"/>
      <c r="BZ193" s="166"/>
      <c r="CA193" s="166"/>
      <c r="CB193" s="166"/>
      <c r="CC193" s="166"/>
      <c r="CD193" s="177"/>
      <c r="CE193" s="181"/>
      <c r="CF193" s="177"/>
      <c r="CG193" s="181"/>
      <c r="CH193" s="177"/>
      <c r="CI193" s="182"/>
      <c r="CJ193" s="177"/>
      <c r="CK193" s="182"/>
      <c r="CL193" s="177"/>
      <c r="CM193" s="182"/>
      <c r="CN193" s="177"/>
      <c r="CO193" s="182"/>
      <c r="CP193" s="177"/>
      <c r="CQ193" s="178"/>
      <c r="CR193" s="182"/>
      <c r="CS193" s="65"/>
      <c r="CT193" s="64"/>
      <c r="CU193" s="165" t="str">
        <f t="shared" si="2"/>
        <v/>
      </c>
    </row>
    <row r="194" ht="60.0" hidden="1" customHeight="1">
      <c r="A194" s="89"/>
      <c r="B194" s="6"/>
      <c r="C194" s="183"/>
      <c r="D194" s="210"/>
      <c r="E194" s="211"/>
      <c r="F194" s="185"/>
      <c r="G194" s="212"/>
      <c r="H194" s="213"/>
      <c r="I194" s="185"/>
      <c r="J194" s="186"/>
      <c r="K194" s="187"/>
      <c r="L194" s="187"/>
      <c r="M194" s="187"/>
      <c r="N194" s="214"/>
      <c r="O194" s="188">
        <f t="shared" ref="O194:O200" si="36">IF(AND(M194&lt;&gt;0,M194&lt;&gt;"m",M194&lt;&gt;"",RIGHT(K194,3)="Lec"),1,IF(AND(M194&lt;&gt;0,M194&lt;&gt;"m",M194&lt;&gt;"",OR(RIGHT(K194,3)="Lab",RIGHT(K194,3)="Tut")),0.5,IF(AND(M194&lt;&gt;0,M194&lt;&gt;"m",M194&lt;&gt;"",RIGHT(K194,2)="TL"),0.75,0)))</f>
        <v>0</v>
      </c>
      <c r="P194" s="63"/>
      <c r="Q194" s="69"/>
      <c r="R194" s="89"/>
      <c r="S194" s="69"/>
      <c r="T194" s="69"/>
      <c r="U194" s="63"/>
      <c r="V194" s="63"/>
      <c r="W194" s="89"/>
      <c r="X194" s="68"/>
      <c r="Y194" s="69"/>
      <c r="Z194" s="63"/>
      <c r="AA194" s="189"/>
      <c r="AB194" s="190"/>
      <c r="AC194" s="190"/>
      <c r="AD194" s="190"/>
      <c r="AE194" s="190"/>
      <c r="AF194" s="190"/>
      <c r="AG194" s="190"/>
      <c r="AH194" s="190"/>
      <c r="AI194" s="191"/>
      <c r="AJ194" s="192"/>
      <c r="AK194" s="193"/>
      <c r="AL194" s="193"/>
      <c r="AM194" s="193"/>
      <c r="AN194" s="193"/>
      <c r="AO194" s="194"/>
      <c r="AP194" s="103"/>
      <c r="AQ194" s="89"/>
      <c r="AR194" s="89"/>
      <c r="AS194" s="89"/>
      <c r="AT194" s="69"/>
      <c r="AU194" s="192"/>
      <c r="AV194" s="193"/>
      <c r="AW194" s="193"/>
      <c r="AX194" s="194"/>
      <c r="AY194" s="6"/>
      <c r="AZ194" s="63"/>
      <c r="BA194" s="192"/>
      <c r="BB194" s="193"/>
      <c r="BC194" s="193"/>
      <c r="BD194" s="193"/>
      <c r="BE194" s="193"/>
      <c r="BF194" s="193"/>
      <c r="BG194" s="193"/>
      <c r="BH194" s="193"/>
      <c r="BI194" s="194"/>
      <c r="BJ194" s="195"/>
      <c r="BK194" s="193"/>
      <c r="BL194" s="193"/>
      <c r="BM194" s="193"/>
      <c r="BN194" s="193"/>
      <c r="BO194" s="196"/>
      <c r="BP194" s="63"/>
      <c r="BQ194" s="192"/>
      <c r="BR194" s="193"/>
      <c r="BS194" s="194"/>
      <c r="BT194" s="6"/>
      <c r="BU194" s="63"/>
      <c r="BV194" s="63"/>
      <c r="BW194" s="63"/>
      <c r="BX194" s="63"/>
      <c r="BY194" s="63"/>
      <c r="BZ194" s="63"/>
      <c r="CA194" s="63"/>
      <c r="CB194" s="63"/>
      <c r="CC194" s="63"/>
      <c r="CD194" s="192"/>
      <c r="CE194" s="196"/>
      <c r="CF194" s="192"/>
      <c r="CG194" s="196"/>
      <c r="CH194" s="192"/>
      <c r="CI194" s="197"/>
      <c r="CJ194" s="192"/>
      <c r="CK194" s="197"/>
      <c r="CL194" s="192"/>
      <c r="CM194" s="197"/>
      <c r="CN194" s="192"/>
      <c r="CO194" s="197"/>
      <c r="CP194" s="192"/>
      <c r="CQ194" s="193"/>
      <c r="CR194" s="197"/>
      <c r="CS194" s="89"/>
      <c r="CT194" s="103"/>
      <c r="CU194" s="165" t="str">
        <f t="shared" si="2"/>
        <v/>
      </c>
    </row>
    <row r="195" ht="55.5" hidden="1" customHeight="1">
      <c r="A195" s="125">
        <v>18.0</v>
      </c>
      <c r="B195" s="199"/>
      <c r="C195" s="127"/>
      <c r="D195" s="128"/>
      <c r="E195" s="215"/>
      <c r="F195" s="216"/>
      <c r="G195" s="217"/>
      <c r="H195" s="218"/>
      <c r="I195" s="216"/>
      <c r="J195" s="170"/>
      <c r="K195" s="219"/>
      <c r="L195" s="219"/>
      <c r="M195" s="219"/>
      <c r="N195" s="220"/>
      <c r="O195" s="132">
        <f t="shared" si="36"/>
        <v>0</v>
      </c>
      <c r="P195" s="133">
        <f>COUNTIF(K195:K205,"TL")*0.75+COUNTIF(K195:K205,"Lec")*1+COUNTIF(K195:K205,"Lab")*0.5</f>
        <v>0</v>
      </c>
      <c r="Q195" s="134">
        <f>SUM((IF(LEFT(K195,1)="E",O195,0)),(IF(LEFT(K196,1)="E",O196,0)),(IF(LEFT(K197,1)="E",O197,0)),(IF(LEFT(K198,1)="E",O198,0)),(IF(LEFT(K199,1)="E",O199,0)),(IF(LEFT(K200,1)="E",O200,0)),(IF(LEFT(K201,1)="E",O201,0)),(IF(LEFT(K202,1)="E",O202,0)),(IF(LEFT(K203,1)="E",O203,0)),(IF(LEFT(K204,1)="E",O204,0)),(IF(LEFT(K205,1)="E",O205,0)))</f>
        <v>0</v>
      </c>
      <c r="R195" s="135">
        <f>SUM(IF(M201&lt;20,IF(K201="Plec",-1,IF(K201="PTL",-0.75,IF(K201="Plab",-0.5,0))),0),IF(M202&lt;20,IF(K202="Plec",-1,IF(K202="PTL",-0.75,IF(K202="Plab",-0.5,0))),0),IF(M203&lt;20,IF(K203="Plec",-1,IF(K203="PTL",-0.75,IF(K203="Plab",-0.5,0))),0),IF(M204&lt;20,IF(K204="Plec",-1,IF(K204="PTL",-0.75,IF(K204="Plab",-0.5,0))),0))</f>
        <v>0</v>
      </c>
      <c r="S195" s="134">
        <f>SUM(P195:R205)</f>
        <v>0</v>
      </c>
      <c r="T195" s="136">
        <f>SUM(IF(M195="M",IF(OR(K195="lec",K195="plec",K195="slec"),1,IF(OR(K195="lab",K195="plab",K195="slab",K195="tut",K195="ptut",K195="stut"),0.5,IF(OR(K195="TL",K195="pTL",K195="STL"),0.75,0))),0),IF(M196="M",IF(OR(K196="lec",K196="plec",K196="slec"),1,IF(OR(K196="lab",K196="plab",K196="slab",K196="tut",K196="ptut",K196="stut"),0.5,IF(OR(K196="TL",K196="pTL",K196="STL"),0.75,0))),0),IF(M197="M",IF(OR(K197="lec",K197="plec",K197="slec"),1,IF(OR(K197="lab",K197="plab",K197="slab",K197="tut",K197="ptut",K197="stut"),0.5,IF(OR(K197="TL",K197="pTL",K197="STL"),0.75,0))),0),IF(M198="M",IF(OR(K198="lec",K198="plec",K198="slec"),1,IF(OR(K198="lab",K198="plab",K198="slab",K198="tut",K198="ptut",K198="stut"),0.5,IF(OR(K198="TL",K198="pTL",K198="STL"),0.75,0))),0),IF(M199="M",IF(OR(K199="lec",K199="plec",K199="slec"),1,IF(OR(K199="lab",K199="plab",K199="slab",K199="tut",K199="ptut",K199="stut"),0.5,IF(OR(K199="TL",K199="pTL",K199="STL"),0.75,0))),0),IF(M200="M",IF(OR(K200="lec",K200="plec",K200="slec"),1,IF(OR(K200="lab",K200="plab",K200="slab",K200="tut",K200="ptut",K200="stut"),0.5,IF(OR(K200="TL",K200="pTL",K200="STL"),0.75,0))),0),IF(M201="M",IF(OR(K201="lec",K201="plec",K201="slec"),1,IF(OR(K201="lab",K201="plab",K201="slab",K201="tut",K201="ptut",K201="stut"),0.5,IF(OR(K201="TL",K201="pTL",K201="STL"),0.75,0))),0),IF(M202="M",IF(OR(K202="lec",K202="plec",K202="slec"),1,IF(OR(K202="lab",K202="plab",K202="slab",K202="tut",K202="ptut",K202="stut"),0.5,IF(OR(K202="TL",K202="pTL",K202="STL"),0.75,0))),0),IF(M203="M",IF(OR(K203="lec",K203="plec",K203="slec"),1,IF(OR(K203="lab",K203="plab",K203="slab",K203="tut",K203="ptut",K203="stut"),0.5,IF(OR(K203="TL",K203="pTL",K203="STL"),0.75,0))),0),IF(M204="M",IF(OR(K204="lec",K204="plec",K204="slec"),1,IF(OR(K204="lab",K204="plab",K204="slab",K204="tut",K204="ptut",K204="stut"),0.5,IF(OR(K204="TL",K204="pTL",K204="STL"),0.75,0))),0),IF(M205="M",IF(OR(K205="lec",K205="plec",K205="slec"),1,IF(OR(K205="lab",K205="plab",K205="slab",K205="tut",K205="ptut",K205="stut"),0.5,IF(OR(K205="TL",K205="pTL",K205="STL"),0.75,0))),0))</f>
        <v>0</v>
      </c>
      <c r="U195" s="137"/>
      <c r="V195" s="133"/>
      <c r="W195" s="138"/>
      <c r="X195" s="139">
        <f>S195-(T195+U195+V195+W195)</f>
        <v>0</v>
      </c>
      <c r="Y195" s="134" t="str">
        <f>CONCATENATE(SUM(O195:O205),"(",SUM(O195:O205)-X195,")")</f>
        <v>0(0)</v>
      </c>
      <c r="Z195" s="140"/>
      <c r="AA195" s="141"/>
      <c r="AB195" s="142"/>
      <c r="AC195" s="142"/>
      <c r="AD195" s="142"/>
      <c r="AE195" s="142"/>
      <c r="AF195" s="142"/>
      <c r="AG195" s="142"/>
      <c r="AH195" s="142"/>
      <c r="AI195" s="143"/>
      <c r="AJ195" s="144"/>
      <c r="AK195" s="145"/>
      <c r="AL195" s="145"/>
      <c r="AM195" s="145"/>
      <c r="AN195" s="145"/>
      <c r="AO195" s="146"/>
      <c r="AP195" s="147">
        <f>SUM(SUM(O195:O205),SUM(AI195:AI205)/2,AM195)</f>
        <v>0</v>
      </c>
      <c r="AQ195" s="148"/>
      <c r="AR195" s="148">
        <f>AP195*AQ195</f>
        <v>0</v>
      </c>
      <c r="AS195" s="148">
        <f>CT195</f>
        <v>0</v>
      </c>
      <c r="AT195" s="149">
        <f>AR195*0.75+AS195*0.25</f>
        <v>0</v>
      </c>
      <c r="AU195" s="150"/>
      <c r="AV195" s="151"/>
      <c r="AW195" s="151"/>
      <c r="AX195" s="152"/>
      <c r="AY195" s="153"/>
      <c r="AZ195" s="140"/>
      <c r="BA195" s="150"/>
      <c r="BB195" s="151"/>
      <c r="BC195" s="151"/>
      <c r="BD195" s="151"/>
      <c r="BE195" s="151"/>
      <c r="BF195" s="151"/>
      <c r="BG195" s="151"/>
      <c r="BH195" s="151"/>
      <c r="BI195" s="152"/>
      <c r="BJ195" s="154"/>
      <c r="BK195" s="151"/>
      <c r="BL195" s="151"/>
      <c r="BM195" s="151"/>
      <c r="BN195" s="151"/>
      <c r="BO195" s="155"/>
      <c r="BP195" s="140"/>
      <c r="BQ195" s="156"/>
      <c r="BR195" s="157"/>
      <c r="BS195" s="158"/>
      <c r="BT195" s="153"/>
      <c r="BU195" s="140"/>
      <c r="BV195" s="140"/>
      <c r="BW195" s="140"/>
      <c r="BX195" s="140"/>
      <c r="BY195" s="140"/>
      <c r="BZ195" s="140"/>
      <c r="CA195" s="140"/>
      <c r="CB195" s="140"/>
      <c r="CC195" s="140"/>
      <c r="CD195" s="150"/>
      <c r="CE195" s="155"/>
      <c r="CF195" s="150"/>
      <c r="CG195" s="155"/>
      <c r="CH195" s="159"/>
      <c r="CI195" s="160"/>
      <c r="CJ195" s="159"/>
      <c r="CK195" s="160"/>
      <c r="CL195" s="159"/>
      <c r="CM195" s="160"/>
      <c r="CN195" s="159"/>
      <c r="CO195" s="160"/>
      <c r="CP195" s="159"/>
      <c r="CQ195" s="162"/>
      <c r="CR195" s="160"/>
      <c r="CS195" s="163">
        <f>SUM(IF(AU195&lt;0,ABS(AU195),0),IF(AZ195&lt;0,ABS(AZ195),0),ABS(CI195),ABS(CK195),ABS(CM195),ABS(CO195),ABS(CQ195),ABS(CR195))</f>
        <v>0</v>
      </c>
      <c r="CT195" s="164">
        <f>SUM(AU195,AV195,AW195,AX195/400,AY195,AZ195,BG195,BH195*0.5,BI195*0.25,BJ195,BK195,BL195,BM195,BN195,BO195,BP195,BR195/20,BS195/100,BT195/60,BU195,BV195,BW195,BX195/4,SUM(BY195:CC205)/3,CE195,CG195/3,CI195,CK195,CM195,CO195,CQ195,CR195)</f>
        <v>0</v>
      </c>
      <c r="CU195" s="165" t="str">
        <f t="shared" si="2"/>
        <v/>
      </c>
    </row>
    <row r="196" ht="60.0" hidden="1" customHeight="1">
      <c r="A196" s="65"/>
      <c r="C196" s="167"/>
      <c r="D196" s="205"/>
      <c r="E196" s="206"/>
      <c r="F196" s="169"/>
      <c r="G196" s="207"/>
      <c r="H196" s="208"/>
      <c r="I196" s="169"/>
      <c r="J196" s="170"/>
      <c r="K196" s="171"/>
      <c r="L196" s="171"/>
      <c r="M196" s="171"/>
      <c r="N196" s="209"/>
      <c r="O196" s="172">
        <f t="shared" si="36"/>
        <v>0</v>
      </c>
      <c r="P196" s="166"/>
      <c r="Q196" s="173"/>
      <c r="R196" s="65"/>
      <c r="S196" s="173"/>
      <c r="T196" s="173"/>
      <c r="U196" s="166"/>
      <c r="V196" s="166"/>
      <c r="W196" s="65"/>
      <c r="X196" s="66"/>
      <c r="Y196" s="173"/>
      <c r="Z196" s="166"/>
      <c r="AA196" s="174"/>
      <c r="AB196" s="175"/>
      <c r="AC196" s="175"/>
      <c r="AD196" s="175"/>
      <c r="AE196" s="175"/>
      <c r="AF196" s="175"/>
      <c r="AG196" s="175"/>
      <c r="AH196" s="175"/>
      <c r="AI196" s="176"/>
      <c r="AJ196" s="177"/>
      <c r="AK196" s="178"/>
      <c r="AL196" s="178"/>
      <c r="AM196" s="178"/>
      <c r="AN196" s="178"/>
      <c r="AO196" s="179"/>
      <c r="AP196" s="64"/>
      <c r="AQ196" s="65"/>
      <c r="AR196" s="65"/>
      <c r="AS196" s="65"/>
      <c r="AT196" s="173"/>
      <c r="AU196" s="177"/>
      <c r="AV196" s="178"/>
      <c r="AW196" s="178"/>
      <c r="AX196" s="179"/>
      <c r="AZ196" s="166"/>
      <c r="BA196" s="177"/>
      <c r="BB196" s="178"/>
      <c r="BC196" s="178"/>
      <c r="BD196" s="178"/>
      <c r="BE196" s="178"/>
      <c r="BF196" s="178"/>
      <c r="BG196" s="178"/>
      <c r="BH196" s="178"/>
      <c r="BI196" s="179"/>
      <c r="BJ196" s="180"/>
      <c r="BK196" s="178"/>
      <c r="BL196" s="178"/>
      <c r="BM196" s="178"/>
      <c r="BN196" s="178"/>
      <c r="BO196" s="181"/>
      <c r="BP196" s="166"/>
      <c r="BQ196" s="177"/>
      <c r="BR196" s="178"/>
      <c r="BS196" s="179"/>
      <c r="BU196" s="166"/>
      <c r="BV196" s="166"/>
      <c r="BW196" s="166"/>
      <c r="BX196" s="166"/>
      <c r="BY196" s="166"/>
      <c r="BZ196" s="166"/>
      <c r="CA196" s="166"/>
      <c r="CB196" s="166"/>
      <c r="CC196" s="166"/>
      <c r="CD196" s="177"/>
      <c r="CE196" s="181"/>
      <c r="CF196" s="177"/>
      <c r="CG196" s="181"/>
      <c r="CH196" s="177"/>
      <c r="CI196" s="182"/>
      <c r="CJ196" s="177"/>
      <c r="CK196" s="182"/>
      <c r="CL196" s="177"/>
      <c r="CM196" s="182"/>
      <c r="CN196" s="177"/>
      <c r="CO196" s="182"/>
      <c r="CP196" s="177"/>
      <c r="CQ196" s="178"/>
      <c r="CR196" s="182"/>
      <c r="CS196" s="65"/>
      <c r="CT196" s="64"/>
      <c r="CU196" s="165" t="str">
        <f t="shared" si="2"/>
        <v/>
      </c>
    </row>
    <row r="197" ht="60.0" hidden="1" customHeight="1">
      <c r="A197" s="65"/>
      <c r="C197" s="167"/>
      <c r="D197" s="205"/>
      <c r="E197" s="206"/>
      <c r="F197" s="169"/>
      <c r="G197" s="207"/>
      <c r="H197" s="208"/>
      <c r="I197" s="169"/>
      <c r="J197" s="170"/>
      <c r="K197" s="171"/>
      <c r="L197" s="171"/>
      <c r="M197" s="171"/>
      <c r="N197" s="209"/>
      <c r="O197" s="172">
        <f t="shared" si="36"/>
        <v>0</v>
      </c>
      <c r="P197" s="166"/>
      <c r="Q197" s="173"/>
      <c r="R197" s="65"/>
      <c r="S197" s="173"/>
      <c r="T197" s="173"/>
      <c r="U197" s="166"/>
      <c r="V197" s="166"/>
      <c r="W197" s="65"/>
      <c r="X197" s="66"/>
      <c r="Y197" s="173"/>
      <c r="Z197" s="166"/>
      <c r="AA197" s="174"/>
      <c r="AB197" s="175"/>
      <c r="AC197" s="175"/>
      <c r="AD197" s="175"/>
      <c r="AE197" s="175"/>
      <c r="AF197" s="175"/>
      <c r="AG197" s="175"/>
      <c r="AH197" s="175"/>
      <c r="AI197" s="176"/>
      <c r="AJ197" s="177"/>
      <c r="AK197" s="178"/>
      <c r="AL197" s="178"/>
      <c r="AM197" s="178"/>
      <c r="AN197" s="178"/>
      <c r="AO197" s="179"/>
      <c r="AP197" s="64"/>
      <c r="AQ197" s="65"/>
      <c r="AR197" s="65"/>
      <c r="AS197" s="65"/>
      <c r="AT197" s="173"/>
      <c r="AU197" s="177"/>
      <c r="AV197" s="178"/>
      <c r="AW197" s="178"/>
      <c r="AX197" s="179"/>
      <c r="AZ197" s="166"/>
      <c r="BA197" s="177"/>
      <c r="BB197" s="178"/>
      <c r="BC197" s="178"/>
      <c r="BD197" s="178"/>
      <c r="BE197" s="178"/>
      <c r="BF197" s="178"/>
      <c r="BG197" s="178"/>
      <c r="BH197" s="178"/>
      <c r="BI197" s="179"/>
      <c r="BJ197" s="180"/>
      <c r="BK197" s="178"/>
      <c r="BL197" s="178"/>
      <c r="BM197" s="178"/>
      <c r="BN197" s="178"/>
      <c r="BO197" s="181"/>
      <c r="BP197" s="166"/>
      <c r="BQ197" s="177"/>
      <c r="BR197" s="178"/>
      <c r="BS197" s="179"/>
      <c r="BU197" s="166"/>
      <c r="BV197" s="166"/>
      <c r="BW197" s="166"/>
      <c r="BX197" s="166"/>
      <c r="BY197" s="166"/>
      <c r="BZ197" s="166"/>
      <c r="CA197" s="166"/>
      <c r="CB197" s="166"/>
      <c r="CC197" s="166"/>
      <c r="CD197" s="177"/>
      <c r="CE197" s="181"/>
      <c r="CF197" s="177"/>
      <c r="CG197" s="181"/>
      <c r="CH197" s="177"/>
      <c r="CI197" s="182"/>
      <c r="CJ197" s="177"/>
      <c r="CK197" s="182"/>
      <c r="CL197" s="177"/>
      <c r="CM197" s="182"/>
      <c r="CN197" s="177"/>
      <c r="CO197" s="182"/>
      <c r="CP197" s="177"/>
      <c r="CQ197" s="178"/>
      <c r="CR197" s="182"/>
      <c r="CS197" s="65"/>
      <c r="CT197" s="64"/>
      <c r="CU197" s="165" t="str">
        <f t="shared" si="2"/>
        <v/>
      </c>
    </row>
    <row r="198" ht="60.0" hidden="1" customHeight="1">
      <c r="A198" s="65"/>
      <c r="C198" s="167"/>
      <c r="D198" s="205"/>
      <c r="E198" s="206"/>
      <c r="F198" s="169"/>
      <c r="G198" s="207"/>
      <c r="H198" s="208"/>
      <c r="I198" s="169"/>
      <c r="J198" s="170"/>
      <c r="K198" s="171"/>
      <c r="L198" s="171"/>
      <c r="M198" s="171"/>
      <c r="N198" s="209"/>
      <c r="O198" s="172">
        <f t="shared" si="36"/>
        <v>0</v>
      </c>
      <c r="P198" s="166"/>
      <c r="Q198" s="173"/>
      <c r="R198" s="65"/>
      <c r="S198" s="173"/>
      <c r="T198" s="173"/>
      <c r="U198" s="166"/>
      <c r="V198" s="166"/>
      <c r="W198" s="65"/>
      <c r="X198" s="66"/>
      <c r="Y198" s="173"/>
      <c r="Z198" s="166"/>
      <c r="AA198" s="174"/>
      <c r="AB198" s="175"/>
      <c r="AC198" s="175"/>
      <c r="AD198" s="175"/>
      <c r="AE198" s="175"/>
      <c r="AF198" s="175"/>
      <c r="AG198" s="175"/>
      <c r="AH198" s="175"/>
      <c r="AI198" s="176"/>
      <c r="AJ198" s="177"/>
      <c r="AK198" s="178"/>
      <c r="AL198" s="178"/>
      <c r="AM198" s="178"/>
      <c r="AN198" s="178"/>
      <c r="AO198" s="179"/>
      <c r="AP198" s="64"/>
      <c r="AQ198" s="65"/>
      <c r="AR198" s="65"/>
      <c r="AS198" s="65"/>
      <c r="AT198" s="173"/>
      <c r="AU198" s="177"/>
      <c r="AV198" s="178"/>
      <c r="AW198" s="178"/>
      <c r="AX198" s="179"/>
      <c r="AZ198" s="166"/>
      <c r="BA198" s="177"/>
      <c r="BB198" s="178"/>
      <c r="BC198" s="178"/>
      <c r="BD198" s="178"/>
      <c r="BE198" s="178"/>
      <c r="BF198" s="178"/>
      <c r="BG198" s="178"/>
      <c r="BH198" s="178"/>
      <c r="BI198" s="179"/>
      <c r="BJ198" s="180"/>
      <c r="BK198" s="178"/>
      <c r="BL198" s="178"/>
      <c r="BM198" s="178"/>
      <c r="BN198" s="178"/>
      <c r="BO198" s="181"/>
      <c r="BP198" s="166"/>
      <c r="BQ198" s="177"/>
      <c r="BR198" s="178"/>
      <c r="BS198" s="179"/>
      <c r="BU198" s="166"/>
      <c r="BV198" s="166"/>
      <c r="BW198" s="166"/>
      <c r="BX198" s="166"/>
      <c r="BY198" s="166"/>
      <c r="BZ198" s="166"/>
      <c r="CA198" s="166"/>
      <c r="CB198" s="166"/>
      <c r="CC198" s="166"/>
      <c r="CD198" s="177"/>
      <c r="CE198" s="181"/>
      <c r="CF198" s="177"/>
      <c r="CG198" s="181"/>
      <c r="CH198" s="177"/>
      <c r="CI198" s="182"/>
      <c r="CJ198" s="177"/>
      <c r="CK198" s="182"/>
      <c r="CL198" s="177"/>
      <c r="CM198" s="182"/>
      <c r="CN198" s="177"/>
      <c r="CO198" s="182"/>
      <c r="CP198" s="177"/>
      <c r="CQ198" s="178"/>
      <c r="CR198" s="182"/>
      <c r="CS198" s="65"/>
      <c r="CT198" s="64"/>
      <c r="CU198" s="165" t="str">
        <f t="shared" si="2"/>
        <v/>
      </c>
    </row>
    <row r="199" ht="60.0" hidden="1" customHeight="1">
      <c r="A199" s="65"/>
      <c r="C199" s="167"/>
      <c r="D199" s="205"/>
      <c r="E199" s="206"/>
      <c r="F199" s="169"/>
      <c r="G199" s="207"/>
      <c r="H199" s="208"/>
      <c r="I199" s="169"/>
      <c r="J199" s="170"/>
      <c r="K199" s="171"/>
      <c r="L199" s="171"/>
      <c r="M199" s="171"/>
      <c r="N199" s="209"/>
      <c r="O199" s="172">
        <f t="shared" si="36"/>
        <v>0</v>
      </c>
      <c r="P199" s="166"/>
      <c r="Q199" s="173"/>
      <c r="R199" s="65"/>
      <c r="S199" s="173"/>
      <c r="T199" s="173"/>
      <c r="U199" s="166"/>
      <c r="V199" s="166"/>
      <c r="W199" s="65"/>
      <c r="X199" s="66"/>
      <c r="Y199" s="173"/>
      <c r="Z199" s="166"/>
      <c r="AA199" s="174"/>
      <c r="AB199" s="175"/>
      <c r="AC199" s="175"/>
      <c r="AD199" s="175"/>
      <c r="AE199" s="175"/>
      <c r="AF199" s="175"/>
      <c r="AG199" s="175"/>
      <c r="AH199" s="175"/>
      <c r="AI199" s="176"/>
      <c r="AJ199" s="177"/>
      <c r="AK199" s="178"/>
      <c r="AL199" s="178"/>
      <c r="AM199" s="178"/>
      <c r="AN199" s="178"/>
      <c r="AO199" s="179"/>
      <c r="AP199" s="64"/>
      <c r="AQ199" s="65"/>
      <c r="AR199" s="65"/>
      <c r="AS199" s="65"/>
      <c r="AT199" s="173"/>
      <c r="AU199" s="177"/>
      <c r="AV199" s="178"/>
      <c r="AW199" s="178"/>
      <c r="AX199" s="179"/>
      <c r="AZ199" s="166"/>
      <c r="BA199" s="177"/>
      <c r="BB199" s="178"/>
      <c r="BC199" s="178"/>
      <c r="BD199" s="178"/>
      <c r="BE199" s="178"/>
      <c r="BF199" s="178"/>
      <c r="BG199" s="178"/>
      <c r="BH199" s="178"/>
      <c r="BI199" s="179"/>
      <c r="BJ199" s="180"/>
      <c r="BK199" s="178"/>
      <c r="BL199" s="178"/>
      <c r="BM199" s="178"/>
      <c r="BN199" s="178"/>
      <c r="BO199" s="181"/>
      <c r="BP199" s="166"/>
      <c r="BQ199" s="177"/>
      <c r="BR199" s="178"/>
      <c r="BS199" s="179"/>
      <c r="BU199" s="166"/>
      <c r="BV199" s="166"/>
      <c r="BW199" s="166"/>
      <c r="BX199" s="166"/>
      <c r="BY199" s="166"/>
      <c r="BZ199" s="166"/>
      <c r="CA199" s="166"/>
      <c r="CB199" s="166"/>
      <c r="CC199" s="166"/>
      <c r="CD199" s="177"/>
      <c r="CE199" s="181"/>
      <c r="CF199" s="177"/>
      <c r="CG199" s="181"/>
      <c r="CH199" s="177"/>
      <c r="CI199" s="182"/>
      <c r="CJ199" s="177"/>
      <c r="CK199" s="182"/>
      <c r="CL199" s="177"/>
      <c r="CM199" s="182"/>
      <c r="CN199" s="177"/>
      <c r="CO199" s="182"/>
      <c r="CP199" s="177"/>
      <c r="CQ199" s="178"/>
      <c r="CR199" s="182"/>
      <c r="CS199" s="65"/>
      <c r="CT199" s="64"/>
      <c r="CU199" s="165" t="str">
        <f t="shared" si="2"/>
        <v/>
      </c>
    </row>
    <row r="200" ht="60.0" hidden="1" customHeight="1">
      <c r="A200" s="65"/>
      <c r="C200" s="167"/>
      <c r="D200" s="205"/>
      <c r="E200" s="206"/>
      <c r="F200" s="169"/>
      <c r="G200" s="207"/>
      <c r="H200" s="208"/>
      <c r="I200" s="169"/>
      <c r="J200" s="170"/>
      <c r="K200" s="171"/>
      <c r="L200" s="171"/>
      <c r="M200" s="171"/>
      <c r="N200" s="209"/>
      <c r="O200" s="172">
        <f t="shared" si="36"/>
        <v>0</v>
      </c>
      <c r="P200" s="166"/>
      <c r="Q200" s="173"/>
      <c r="R200" s="65"/>
      <c r="S200" s="173"/>
      <c r="T200" s="173"/>
      <c r="U200" s="166"/>
      <c r="V200" s="166"/>
      <c r="W200" s="65"/>
      <c r="X200" s="66"/>
      <c r="Y200" s="173"/>
      <c r="Z200" s="166"/>
      <c r="AA200" s="174"/>
      <c r="AB200" s="175"/>
      <c r="AC200" s="175"/>
      <c r="AD200" s="175"/>
      <c r="AE200" s="175"/>
      <c r="AF200" s="175"/>
      <c r="AG200" s="175"/>
      <c r="AH200" s="175"/>
      <c r="AI200" s="176"/>
      <c r="AJ200" s="177"/>
      <c r="AK200" s="178"/>
      <c r="AL200" s="178"/>
      <c r="AM200" s="178"/>
      <c r="AN200" s="178"/>
      <c r="AO200" s="179"/>
      <c r="AP200" s="64"/>
      <c r="AQ200" s="65"/>
      <c r="AR200" s="65"/>
      <c r="AS200" s="65"/>
      <c r="AT200" s="173"/>
      <c r="AU200" s="177"/>
      <c r="AV200" s="178"/>
      <c r="AW200" s="178"/>
      <c r="AX200" s="179"/>
      <c r="AZ200" s="166"/>
      <c r="BA200" s="177"/>
      <c r="BB200" s="178"/>
      <c r="BC200" s="178"/>
      <c r="BD200" s="178"/>
      <c r="BE200" s="178"/>
      <c r="BF200" s="178"/>
      <c r="BG200" s="178"/>
      <c r="BH200" s="178"/>
      <c r="BI200" s="179"/>
      <c r="BJ200" s="180"/>
      <c r="BK200" s="178"/>
      <c r="BL200" s="178"/>
      <c r="BM200" s="178"/>
      <c r="BN200" s="178"/>
      <c r="BO200" s="181"/>
      <c r="BP200" s="166"/>
      <c r="BQ200" s="177"/>
      <c r="BR200" s="178"/>
      <c r="BS200" s="179"/>
      <c r="BU200" s="166"/>
      <c r="BV200" s="166"/>
      <c r="BW200" s="166"/>
      <c r="BX200" s="166"/>
      <c r="BY200" s="166"/>
      <c r="BZ200" s="166"/>
      <c r="CA200" s="166"/>
      <c r="CB200" s="166"/>
      <c r="CC200" s="166"/>
      <c r="CD200" s="177"/>
      <c r="CE200" s="181"/>
      <c r="CF200" s="177"/>
      <c r="CG200" s="181"/>
      <c r="CH200" s="177"/>
      <c r="CI200" s="182"/>
      <c r="CJ200" s="177"/>
      <c r="CK200" s="182"/>
      <c r="CL200" s="177"/>
      <c r="CM200" s="182"/>
      <c r="CN200" s="177"/>
      <c r="CO200" s="182"/>
      <c r="CP200" s="177"/>
      <c r="CQ200" s="178"/>
      <c r="CR200" s="182"/>
      <c r="CS200" s="65"/>
      <c r="CT200" s="64"/>
      <c r="CU200" s="165" t="str">
        <f t="shared" si="2"/>
        <v/>
      </c>
    </row>
    <row r="201" ht="60.0" hidden="1" customHeight="1">
      <c r="A201" s="65"/>
      <c r="C201" s="167"/>
      <c r="D201" s="205"/>
      <c r="E201" s="206"/>
      <c r="F201" s="169"/>
      <c r="G201" s="207"/>
      <c r="H201" s="208"/>
      <c r="I201" s="169"/>
      <c r="J201" s="170"/>
      <c r="K201" s="171"/>
      <c r="L201" s="171"/>
      <c r="M201" s="171"/>
      <c r="N201" s="209"/>
      <c r="O201" s="172">
        <f t="shared" ref="O201:O204" si="37">IF(AND(M201&gt;=20,M201&lt;&gt;"m",RIGHT(K201,3)="Lec"),1,IF(AND(M201&gt;=20,M201&lt;&gt;"m",OR(RIGHT(K201,3)="Lab",RIGHT(K201,3)="Tut")),0.5,IF(AND(M201&gt;=20,M201&lt;&gt;"m",RIGHT(K201,2)="TL"),0.75,0)))</f>
        <v>0</v>
      </c>
      <c r="P201" s="166"/>
      <c r="Q201" s="173"/>
      <c r="R201" s="65"/>
      <c r="S201" s="173"/>
      <c r="T201" s="173"/>
      <c r="U201" s="166"/>
      <c r="V201" s="166"/>
      <c r="W201" s="65"/>
      <c r="X201" s="66"/>
      <c r="Y201" s="173"/>
      <c r="Z201" s="166"/>
      <c r="AA201" s="174"/>
      <c r="AB201" s="175"/>
      <c r="AC201" s="175"/>
      <c r="AD201" s="175"/>
      <c r="AE201" s="175"/>
      <c r="AF201" s="175"/>
      <c r="AG201" s="175"/>
      <c r="AH201" s="175"/>
      <c r="AI201" s="176"/>
      <c r="AJ201" s="177"/>
      <c r="AK201" s="178"/>
      <c r="AL201" s="178"/>
      <c r="AM201" s="178"/>
      <c r="AN201" s="178"/>
      <c r="AO201" s="179"/>
      <c r="AP201" s="64"/>
      <c r="AQ201" s="65"/>
      <c r="AR201" s="65"/>
      <c r="AS201" s="65"/>
      <c r="AT201" s="173"/>
      <c r="AU201" s="177"/>
      <c r="AV201" s="178"/>
      <c r="AW201" s="178"/>
      <c r="AX201" s="179"/>
      <c r="AZ201" s="166"/>
      <c r="BA201" s="177"/>
      <c r="BB201" s="178"/>
      <c r="BC201" s="178"/>
      <c r="BD201" s="178"/>
      <c r="BE201" s="178"/>
      <c r="BF201" s="178"/>
      <c r="BG201" s="178"/>
      <c r="BH201" s="178"/>
      <c r="BI201" s="179"/>
      <c r="BJ201" s="180"/>
      <c r="BK201" s="178"/>
      <c r="BL201" s="178"/>
      <c r="BM201" s="178"/>
      <c r="BN201" s="178"/>
      <c r="BO201" s="181"/>
      <c r="BP201" s="166"/>
      <c r="BQ201" s="177"/>
      <c r="BR201" s="178"/>
      <c r="BS201" s="179"/>
      <c r="BU201" s="166"/>
      <c r="BV201" s="166"/>
      <c r="BW201" s="166"/>
      <c r="BX201" s="166"/>
      <c r="BY201" s="166"/>
      <c r="BZ201" s="166"/>
      <c r="CA201" s="166"/>
      <c r="CB201" s="166"/>
      <c r="CC201" s="166"/>
      <c r="CD201" s="177"/>
      <c r="CE201" s="181"/>
      <c r="CF201" s="177"/>
      <c r="CG201" s="181"/>
      <c r="CH201" s="177"/>
      <c r="CI201" s="182"/>
      <c r="CJ201" s="177"/>
      <c r="CK201" s="182"/>
      <c r="CL201" s="177"/>
      <c r="CM201" s="182"/>
      <c r="CN201" s="177"/>
      <c r="CO201" s="182"/>
      <c r="CP201" s="177"/>
      <c r="CQ201" s="178"/>
      <c r="CR201" s="182"/>
      <c r="CS201" s="65"/>
      <c r="CT201" s="64"/>
      <c r="CU201" s="165" t="str">
        <f t="shared" si="2"/>
        <v/>
      </c>
    </row>
    <row r="202" ht="60.0" hidden="1" customHeight="1">
      <c r="A202" s="65"/>
      <c r="C202" s="167"/>
      <c r="D202" s="205"/>
      <c r="E202" s="206"/>
      <c r="F202" s="169"/>
      <c r="G202" s="207"/>
      <c r="H202" s="208"/>
      <c r="I202" s="169"/>
      <c r="J202" s="170"/>
      <c r="K202" s="171"/>
      <c r="L202" s="171"/>
      <c r="M202" s="171"/>
      <c r="N202" s="209"/>
      <c r="O202" s="172">
        <f t="shared" si="37"/>
        <v>0</v>
      </c>
      <c r="P202" s="166"/>
      <c r="Q202" s="173"/>
      <c r="R202" s="65"/>
      <c r="S202" s="173"/>
      <c r="T202" s="173"/>
      <c r="U202" s="166"/>
      <c r="V202" s="166"/>
      <c r="W202" s="65"/>
      <c r="X202" s="66"/>
      <c r="Y202" s="173"/>
      <c r="Z202" s="166"/>
      <c r="AA202" s="174"/>
      <c r="AB202" s="175"/>
      <c r="AC202" s="175"/>
      <c r="AD202" s="175"/>
      <c r="AE202" s="175"/>
      <c r="AF202" s="175"/>
      <c r="AG202" s="175"/>
      <c r="AH202" s="175"/>
      <c r="AI202" s="176"/>
      <c r="AJ202" s="177"/>
      <c r="AK202" s="178"/>
      <c r="AL202" s="178"/>
      <c r="AM202" s="178"/>
      <c r="AN202" s="178"/>
      <c r="AO202" s="179"/>
      <c r="AP202" s="64"/>
      <c r="AQ202" s="65"/>
      <c r="AR202" s="65"/>
      <c r="AS202" s="65"/>
      <c r="AT202" s="173"/>
      <c r="AU202" s="177"/>
      <c r="AV202" s="178"/>
      <c r="AW202" s="178"/>
      <c r="AX202" s="179"/>
      <c r="AZ202" s="166"/>
      <c r="BA202" s="177"/>
      <c r="BB202" s="178"/>
      <c r="BC202" s="178"/>
      <c r="BD202" s="178"/>
      <c r="BE202" s="178"/>
      <c r="BF202" s="178"/>
      <c r="BG202" s="178"/>
      <c r="BH202" s="178"/>
      <c r="BI202" s="179"/>
      <c r="BJ202" s="180"/>
      <c r="BK202" s="178"/>
      <c r="BL202" s="178"/>
      <c r="BM202" s="178"/>
      <c r="BN202" s="178"/>
      <c r="BO202" s="181"/>
      <c r="BP202" s="166"/>
      <c r="BQ202" s="177"/>
      <c r="BR202" s="178"/>
      <c r="BS202" s="179"/>
      <c r="BU202" s="166"/>
      <c r="BV202" s="166"/>
      <c r="BW202" s="166"/>
      <c r="BX202" s="166"/>
      <c r="BY202" s="166"/>
      <c r="BZ202" s="166"/>
      <c r="CA202" s="166"/>
      <c r="CB202" s="166"/>
      <c r="CC202" s="166"/>
      <c r="CD202" s="177"/>
      <c r="CE202" s="181"/>
      <c r="CF202" s="177"/>
      <c r="CG202" s="181"/>
      <c r="CH202" s="177"/>
      <c r="CI202" s="182"/>
      <c r="CJ202" s="177"/>
      <c r="CK202" s="182"/>
      <c r="CL202" s="177"/>
      <c r="CM202" s="182"/>
      <c r="CN202" s="177"/>
      <c r="CO202" s="182"/>
      <c r="CP202" s="177"/>
      <c r="CQ202" s="178"/>
      <c r="CR202" s="182"/>
      <c r="CS202" s="65"/>
      <c r="CT202" s="64"/>
      <c r="CU202" s="165" t="str">
        <f t="shared" si="2"/>
        <v/>
      </c>
    </row>
    <row r="203" ht="60.0" hidden="1" customHeight="1">
      <c r="A203" s="65"/>
      <c r="C203" s="167"/>
      <c r="D203" s="205"/>
      <c r="E203" s="206"/>
      <c r="F203" s="169"/>
      <c r="G203" s="207"/>
      <c r="H203" s="208"/>
      <c r="I203" s="169"/>
      <c r="J203" s="170"/>
      <c r="K203" s="171"/>
      <c r="L203" s="171"/>
      <c r="M203" s="171"/>
      <c r="N203" s="209"/>
      <c r="O203" s="172">
        <f t="shared" si="37"/>
        <v>0</v>
      </c>
      <c r="P203" s="166"/>
      <c r="Q203" s="173"/>
      <c r="R203" s="65"/>
      <c r="S203" s="173"/>
      <c r="T203" s="173"/>
      <c r="U203" s="166"/>
      <c r="V203" s="166"/>
      <c r="W203" s="65"/>
      <c r="X203" s="66"/>
      <c r="Y203" s="173"/>
      <c r="Z203" s="166"/>
      <c r="AA203" s="174"/>
      <c r="AB203" s="175"/>
      <c r="AC203" s="175"/>
      <c r="AD203" s="175"/>
      <c r="AE203" s="175"/>
      <c r="AF203" s="175"/>
      <c r="AG203" s="175"/>
      <c r="AH203" s="175"/>
      <c r="AI203" s="176"/>
      <c r="AJ203" s="177"/>
      <c r="AK203" s="178"/>
      <c r="AL203" s="178"/>
      <c r="AM203" s="178"/>
      <c r="AN203" s="178"/>
      <c r="AO203" s="179"/>
      <c r="AP203" s="64"/>
      <c r="AQ203" s="65"/>
      <c r="AR203" s="65"/>
      <c r="AS203" s="65"/>
      <c r="AT203" s="173"/>
      <c r="AU203" s="177"/>
      <c r="AV203" s="178"/>
      <c r="AW203" s="178"/>
      <c r="AX203" s="179"/>
      <c r="AZ203" s="166"/>
      <c r="BA203" s="177"/>
      <c r="BB203" s="178"/>
      <c r="BC203" s="178"/>
      <c r="BD203" s="178"/>
      <c r="BE203" s="178"/>
      <c r="BF203" s="178"/>
      <c r="BG203" s="178"/>
      <c r="BH203" s="178"/>
      <c r="BI203" s="179"/>
      <c r="BJ203" s="180"/>
      <c r="BK203" s="178"/>
      <c r="BL203" s="178"/>
      <c r="BM203" s="178"/>
      <c r="BN203" s="178"/>
      <c r="BO203" s="181"/>
      <c r="BP203" s="166"/>
      <c r="BQ203" s="177"/>
      <c r="BR203" s="178"/>
      <c r="BS203" s="179"/>
      <c r="BU203" s="166"/>
      <c r="BV203" s="166"/>
      <c r="BW203" s="166"/>
      <c r="BX203" s="166"/>
      <c r="BY203" s="166"/>
      <c r="BZ203" s="166"/>
      <c r="CA203" s="166"/>
      <c r="CB203" s="166"/>
      <c r="CC203" s="166"/>
      <c r="CD203" s="177"/>
      <c r="CE203" s="181"/>
      <c r="CF203" s="177"/>
      <c r="CG203" s="181"/>
      <c r="CH203" s="177"/>
      <c r="CI203" s="182"/>
      <c r="CJ203" s="177"/>
      <c r="CK203" s="182"/>
      <c r="CL203" s="177"/>
      <c r="CM203" s="182"/>
      <c r="CN203" s="177"/>
      <c r="CO203" s="182"/>
      <c r="CP203" s="177"/>
      <c r="CQ203" s="178"/>
      <c r="CR203" s="182"/>
      <c r="CS203" s="65"/>
      <c r="CT203" s="64"/>
      <c r="CU203" s="165" t="str">
        <f t="shared" si="2"/>
        <v/>
      </c>
    </row>
    <row r="204" ht="60.0" hidden="1" customHeight="1">
      <c r="A204" s="65"/>
      <c r="C204" s="167"/>
      <c r="D204" s="205"/>
      <c r="E204" s="206"/>
      <c r="F204" s="169"/>
      <c r="G204" s="207"/>
      <c r="H204" s="208"/>
      <c r="I204" s="169"/>
      <c r="J204" s="170"/>
      <c r="K204" s="171"/>
      <c r="L204" s="171"/>
      <c r="M204" s="171"/>
      <c r="N204" s="209"/>
      <c r="O204" s="172">
        <f t="shared" si="37"/>
        <v>0</v>
      </c>
      <c r="P204" s="166"/>
      <c r="Q204" s="173"/>
      <c r="R204" s="65"/>
      <c r="S204" s="173"/>
      <c r="T204" s="173"/>
      <c r="U204" s="166"/>
      <c r="V204" s="166"/>
      <c r="W204" s="65"/>
      <c r="X204" s="66"/>
      <c r="Y204" s="173"/>
      <c r="Z204" s="166"/>
      <c r="AA204" s="174"/>
      <c r="AB204" s="175"/>
      <c r="AC204" s="175"/>
      <c r="AD204" s="175"/>
      <c r="AE204" s="175"/>
      <c r="AF204" s="175"/>
      <c r="AG204" s="175"/>
      <c r="AH204" s="175"/>
      <c r="AI204" s="176"/>
      <c r="AJ204" s="177"/>
      <c r="AK204" s="178"/>
      <c r="AL204" s="178"/>
      <c r="AM204" s="178"/>
      <c r="AN204" s="178"/>
      <c r="AO204" s="179"/>
      <c r="AP204" s="64"/>
      <c r="AQ204" s="65"/>
      <c r="AR204" s="65"/>
      <c r="AS204" s="65"/>
      <c r="AT204" s="173"/>
      <c r="AU204" s="177"/>
      <c r="AV204" s="178"/>
      <c r="AW204" s="178"/>
      <c r="AX204" s="179"/>
      <c r="AZ204" s="166"/>
      <c r="BA204" s="177"/>
      <c r="BB204" s="178"/>
      <c r="BC204" s="178"/>
      <c r="BD204" s="178"/>
      <c r="BE204" s="178"/>
      <c r="BF204" s="178"/>
      <c r="BG204" s="178"/>
      <c r="BH204" s="178"/>
      <c r="BI204" s="179"/>
      <c r="BJ204" s="180"/>
      <c r="BK204" s="178"/>
      <c r="BL204" s="178"/>
      <c r="BM204" s="178"/>
      <c r="BN204" s="178"/>
      <c r="BO204" s="181"/>
      <c r="BP204" s="166"/>
      <c r="BQ204" s="177"/>
      <c r="BR204" s="178"/>
      <c r="BS204" s="179"/>
      <c r="BU204" s="166"/>
      <c r="BV204" s="166"/>
      <c r="BW204" s="166"/>
      <c r="BX204" s="166"/>
      <c r="BY204" s="166"/>
      <c r="BZ204" s="166"/>
      <c r="CA204" s="166"/>
      <c r="CB204" s="166"/>
      <c r="CC204" s="166"/>
      <c r="CD204" s="177"/>
      <c r="CE204" s="181"/>
      <c r="CF204" s="177"/>
      <c r="CG204" s="181"/>
      <c r="CH204" s="177"/>
      <c r="CI204" s="182"/>
      <c r="CJ204" s="177"/>
      <c r="CK204" s="182"/>
      <c r="CL204" s="177"/>
      <c r="CM204" s="182"/>
      <c r="CN204" s="177"/>
      <c r="CO204" s="182"/>
      <c r="CP204" s="177"/>
      <c r="CQ204" s="178"/>
      <c r="CR204" s="182"/>
      <c r="CS204" s="65"/>
      <c r="CT204" s="64"/>
      <c r="CU204" s="165" t="str">
        <f t="shared" si="2"/>
        <v/>
      </c>
    </row>
    <row r="205" ht="60.0" hidden="1" customHeight="1">
      <c r="A205" s="89"/>
      <c r="B205" s="6"/>
      <c r="C205" s="183"/>
      <c r="D205" s="210"/>
      <c r="E205" s="211"/>
      <c r="F205" s="185"/>
      <c r="G205" s="212"/>
      <c r="H205" s="213"/>
      <c r="I205" s="185"/>
      <c r="J205" s="186"/>
      <c r="K205" s="187"/>
      <c r="L205" s="187"/>
      <c r="M205" s="187"/>
      <c r="N205" s="214"/>
      <c r="O205" s="188">
        <f t="shared" ref="O205:O211" si="38">IF(AND(M205&lt;&gt;0,M205&lt;&gt;"m",M205&lt;&gt;"",RIGHT(K205,3)="Lec"),1,IF(AND(M205&lt;&gt;0,M205&lt;&gt;"m",M205&lt;&gt;"",OR(RIGHT(K205,3)="Lab",RIGHT(K205,3)="Tut")),0.5,IF(AND(M205&lt;&gt;0,M205&lt;&gt;"m",M205&lt;&gt;"",RIGHT(K205,2)="TL"),0.75,0)))</f>
        <v>0</v>
      </c>
      <c r="P205" s="63"/>
      <c r="Q205" s="69"/>
      <c r="R205" s="89"/>
      <c r="S205" s="69"/>
      <c r="T205" s="69"/>
      <c r="U205" s="63"/>
      <c r="V205" s="63"/>
      <c r="W205" s="89"/>
      <c r="X205" s="68"/>
      <c r="Y205" s="69"/>
      <c r="Z205" s="63"/>
      <c r="AA205" s="189"/>
      <c r="AB205" s="190"/>
      <c r="AC205" s="190"/>
      <c r="AD205" s="190"/>
      <c r="AE205" s="190"/>
      <c r="AF205" s="190"/>
      <c r="AG205" s="190"/>
      <c r="AH205" s="190"/>
      <c r="AI205" s="191"/>
      <c r="AJ205" s="192"/>
      <c r="AK205" s="193"/>
      <c r="AL205" s="193"/>
      <c r="AM205" s="193"/>
      <c r="AN205" s="193"/>
      <c r="AO205" s="194"/>
      <c r="AP205" s="103"/>
      <c r="AQ205" s="89"/>
      <c r="AR205" s="89"/>
      <c r="AS205" s="89"/>
      <c r="AT205" s="69"/>
      <c r="AU205" s="192"/>
      <c r="AV205" s="193"/>
      <c r="AW205" s="193"/>
      <c r="AX205" s="194"/>
      <c r="AY205" s="6"/>
      <c r="AZ205" s="63"/>
      <c r="BA205" s="192"/>
      <c r="BB205" s="193"/>
      <c r="BC205" s="193"/>
      <c r="BD205" s="193"/>
      <c r="BE205" s="193"/>
      <c r="BF205" s="193"/>
      <c r="BG205" s="193"/>
      <c r="BH205" s="193"/>
      <c r="BI205" s="194"/>
      <c r="BJ205" s="195"/>
      <c r="BK205" s="193"/>
      <c r="BL205" s="193"/>
      <c r="BM205" s="193"/>
      <c r="BN205" s="193"/>
      <c r="BO205" s="196"/>
      <c r="BP205" s="63"/>
      <c r="BQ205" s="192"/>
      <c r="BR205" s="193"/>
      <c r="BS205" s="194"/>
      <c r="BT205" s="6"/>
      <c r="BU205" s="63"/>
      <c r="BV205" s="63"/>
      <c r="BW205" s="63"/>
      <c r="BX205" s="63"/>
      <c r="BY205" s="63"/>
      <c r="BZ205" s="63"/>
      <c r="CA205" s="63"/>
      <c r="CB205" s="63"/>
      <c r="CC205" s="63"/>
      <c r="CD205" s="192"/>
      <c r="CE205" s="196"/>
      <c r="CF205" s="192"/>
      <c r="CG205" s="196"/>
      <c r="CH205" s="192"/>
      <c r="CI205" s="197"/>
      <c r="CJ205" s="192"/>
      <c r="CK205" s="197"/>
      <c r="CL205" s="192"/>
      <c r="CM205" s="197"/>
      <c r="CN205" s="192"/>
      <c r="CO205" s="197"/>
      <c r="CP205" s="192"/>
      <c r="CQ205" s="193"/>
      <c r="CR205" s="197"/>
      <c r="CS205" s="89"/>
      <c r="CT205" s="103"/>
      <c r="CU205" s="165" t="str">
        <f t="shared" si="2"/>
        <v/>
      </c>
    </row>
    <row r="206" ht="55.5" hidden="1" customHeight="1">
      <c r="A206" s="125">
        <v>19.0</v>
      </c>
      <c r="B206" s="199"/>
      <c r="C206" s="127"/>
      <c r="D206" s="128"/>
      <c r="E206" s="215"/>
      <c r="F206" s="216"/>
      <c r="G206" s="217"/>
      <c r="H206" s="218"/>
      <c r="I206" s="216"/>
      <c r="J206" s="170"/>
      <c r="K206" s="219"/>
      <c r="L206" s="219"/>
      <c r="M206" s="219"/>
      <c r="N206" s="220"/>
      <c r="O206" s="132">
        <f t="shared" si="38"/>
        <v>0</v>
      </c>
      <c r="P206" s="133">
        <f>COUNTIF(K206:K216,"TL")*0.75+COUNTIF(K206:K216,"Lec")*1+COUNTIF(K206:K216,"Lab")*0.5</f>
        <v>0</v>
      </c>
      <c r="Q206" s="134">
        <f>SUM((IF(LEFT(K206,1)="E",O206,0)),(IF(LEFT(K207,1)="E",O207,0)),(IF(LEFT(K208,1)="E",O208,0)),(IF(LEFT(K209,1)="E",O209,0)),(IF(LEFT(K210,1)="E",O210,0)),(IF(LEFT(K211,1)="E",O211,0)),(IF(LEFT(K212,1)="E",O212,0)),(IF(LEFT(K213,1)="E",O213,0)),(IF(LEFT(K214,1)="E",O214,0)),(IF(LEFT(K215,1)="E",O215,0)),(IF(LEFT(K216,1)="E",O216,0)))</f>
        <v>0</v>
      </c>
      <c r="R206" s="135">
        <f>SUM(IF(M212&lt;20,IF(K212="Plec",-1,IF(K212="PTL",-0.75,IF(K212="Plab",-0.5,0))),0),IF(M213&lt;20,IF(K213="Plec",-1,IF(K213="PTL",-0.75,IF(K213="Plab",-0.5,0))),0),IF(M214&lt;20,IF(K214="Plec",-1,IF(K214="PTL",-0.75,IF(K214="Plab",-0.5,0))),0),IF(M215&lt;20,IF(K215="Plec",-1,IF(K215="PTL",-0.75,IF(K215="Plab",-0.5,0))),0))</f>
        <v>0</v>
      </c>
      <c r="S206" s="134">
        <f>SUM(P206:R216)</f>
        <v>0</v>
      </c>
      <c r="T206" s="136">
        <f>SUM(IF(M206="M",IF(OR(K206="lec",K206="plec",K206="slec"),1,IF(OR(K206="lab",K206="plab",K206="slab",K206="tut",K206="ptut",K206="stut"),0.5,IF(OR(K206="TL",K206="pTL",K206="STL"),0.75,0))),0),IF(M207="M",IF(OR(K207="lec",K207="plec",K207="slec"),1,IF(OR(K207="lab",K207="plab",K207="slab",K207="tut",K207="ptut",K207="stut"),0.5,IF(OR(K207="TL",K207="pTL",K207="STL"),0.75,0))),0),IF(M208="M",IF(OR(K208="lec",K208="plec",K208="slec"),1,IF(OR(K208="lab",K208="plab",K208="slab",K208="tut",K208="ptut",K208="stut"),0.5,IF(OR(K208="TL",K208="pTL",K208="STL"),0.75,0))),0),IF(M209="M",IF(OR(K209="lec",K209="plec",K209="slec"),1,IF(OR(K209="lab",K209="plab",K209="slab",K209="tut",K209="ptut",K209="stut"),0.5,IF(OR(K209="TL",K209="pTL",K209="STL"),0.75,0))),0),IF(M210="M",IF(OR(K210="lec",K210="plec",K210="slec"),1,IF(OR(K210="lab",K210="plab",K210="slab",K210="tut",K210="ptut",K210="stut"),0.5,IF(OR(K210="TL",K210="pTL",K210="STL"),0.75,0))),0),IF(M211="M",IF(OR(K211="lec",K211="plec",K211="slec"),1,IF(OR(K211="lab",K211="plab",K211="slab",K211="tut",K211="ptut",K211="stut"),0.5,IF(OR(K211="TL",K211="pTL",K211="STL"),0.75,0))),0),IF(M212="M",IF(OR(K212="lec",K212="plec",K212="slec"),1,IF(OR(K212="lab",K212="plab",K212="slab",K212="tut",K212="ptut",K212="stut"),0.5,IF(OR(K212="TL",K212="pTL",K212="STL"),0.75,0))),0),IF(M213="M",IF(OR(K213="lec",K213="plec",K213="slec"),1,IF(OR(K213="lab",K213="plab",K213="slab",K213="tut",K213="ptut",K213="stut"),0.5,IF(OR(K213="TL",K213="pTL",K213="STL"),0.75,0))),0),IF(M214="M",IF(OR(K214="lec",K214="plec",K214="slec"),1,IF(OR(K214="lab",K214="plab",K214="slab",K214="tut",K214="ptut",K214="stut"),0.5,IF(OR(K214="TL",K214="pTL",K214="STL"),0.75,0))),0),IF(M215="M",IF(OR(K215="lec",K215="plec",K215="slec"),1,IF(OR(K215="lab",K215="plab",K215="slab",K215="tut",K215="ptut",K215="stut"),0.5,IF(OR(K215="TL",K215="pTL",K215="STL"),0.75,0))),0),IF(M216="M",IF(OR(K216="lec",K216="plec",K216="slec"),1,IF(OR(K216="lab",K216="plab",K216="slab",K216="tut",K216="ptut",K216="stut"),0.5,IF(OR(K216="TL",K216="pTL",K216="STL"),0.75,0))),0))</f>
        <v>0</v>
      </c>
      <c r="U206" s="137"/>
      <c r="V206" s="133"/>
      <c r="W206" s="138"/>
      <c r="X206" s="139">
        <f>S206-(T206+U206+V206+W206)</f>
        <v>0</v>
      </c>
      <c r="Y206" s="134" t="str">
        <f>CONCATENATE(SUM(O206:O216),"(",SUM(O206:O216)-X206,")")</f>
        <v>0(0)</v>
      </c>
      <c r="Z206" s="140"/>
      <c r="AA206" s="141"/>
      <c r="AB206" s="142"/>
      <c r="AC206" s="142"/>
      <c r="AD206" s="142"/>
      <c r="AE206" s="142"/>
      <c r="AF206" s="142"/>
      <c r="AG206" s="142"/>
      <c r="AH206" s="142"/>
      <c r="AI206" s="143"/>
      <c r="AJ206" s="144"/>
      <c r="AK206" s="145"/>
      <c r="AL206" s="145"/>
      <c r="AM206" s="145"/>
      <c r="AN206" s="145"/>
      <c r="AO206" s="146"/>
      <c r="AP206" s="147">
        <f>SUM(SUM(O206:O216),SUM(AI206:AI216)/2,AM206)</f>
        <v>0</v>
      </c>
      <c r="AQ206" s="148"/>
      <c r="AR206" s="148">
        <f>AP206*AQ206</f>
        <v>0</v>
      </c>
      <c r="AS206" s="148">
        <f>CT206</f>
        <v>0</v>
      </c>
      <c r="AT206" s="149">
        <f>AR206*0.75+AS206*0.25</f>
        <v>0</v>
      </c>
      <c r="AU206" s="150"/>
      <c r="AV206" s="151"/>
      <c r="AW206" s="151"/>
      <c r="AX206" s="152"/>
      <c r="AY206" s="153"/>
      <c r="AZ206" s="140"/>
      <c r="BA206" s="150"/>
      <c r="BB206" s="151"/>
      <c r="BC206" s="151"/>
      <c r="BD206" s="151"/>
      <c r="BE206" s="151"/>
      <c r="BF206" s="151"/>
      <c r="BG206" s="151"/>
      <c r="BH206" s="151"/>
      <c r="BI206" s="152"/>
      <c r="BJ206" s="154"/>
      <c r="BK206" s="151"/>
      <c r="BL206" s="151"/>
      <c r="BM206" s="151"/>
      <c r="BN206" s="151"/>
      <c r="BO206" s="155"/>
      <c r="BP206" s="140"/>
      <c r="BQ206" s="156"/>
      <c r="BR206" s="157"/>
      <c r="BS206" s="158"/>
      <c r="BT206" s="153"/>
      <c r="BU206" s="140"/>
      <c r="BV206" s="140"/>
      <c r="BW206" s="140"/>
      <c r="BX206" s="140"/>
      <c r="BY206" s="140"/>
      <c r="BZ206" s="140"/>
      <c r="CA206" s="140"/>
      <c r="CB206" s="140"/>
      <c r="CC206" s="140"/>
      <c r="CD206" s="150"/>
      <c r="CE206" s="155"/>
      <c r="CF206" s="150"/>
      <c r="CG206" s="155"/>
      <c r="CH206" s="159"/>
      <c r="CI206" s="160"/>
      <c r="CJ206" s="159"/>
      <c r="CK206" s="160"/>
      <c r="CL206" s="159"/>
      <c r="CM206" s="160"/>
      <c r="CN206" s="159"/>
      <c r="CO206" s="160"/>
      <c r="CP206" s="159"/>
      <c r="CQ206" s="162"/>
      <c r="CR206" s="160"/>
      <c r="CS206" s="163">
        <f>SUM(IF(AU206&lt;0,ABS(AU206),0),IF(AZ206&lt;0,ABS(AZ206),0),ABS(CI206),ABS(CK206),ABS(CM206),ABS(CO206),ABS(CQ206),ABS(CR206))</f>
        <v>0</v>
      </c>
      <c r="CT206" s="164">
        <f>SUM(AU206,AV206,AW206,AX206/400,AY206,AZ206,BG206,BH206*0.5,BI206*0.25,BJ206,BK206,BL206,BM206,BN206,BO206,BP206,BR206/20,BS206/100,BT206/60,BU206,BV206,BW206,BX206/4,SUM(BY206:CC216)/3,CE206,CG206/3,CI206,CK206,CM206,CO206,CQ206,CR206)</f>
        <v>0</v>
      </c>
      <c r="CU206" s="165" t="str">
        <f t="shared" si="2"/>
        <v/>
      </c>
    </row>
    <row r="207" ht="60.0" hidden="1" customHeight="1">
      <c r="A207" s="65"/>
      <c r="C207" s="167"/>
      <c r="D207" s="205"/>
      <c r="E207" s="206"/>
      <c r="F207" s="169"/>
      <c r="G207" s="207"/>
      <c r="H207" s="208"/>
      <c r="I207" s="169"/>
      <c r="J207" s="170"/>
      <c r="K207" s="171"/>
      <c r="L207" s="171"/>
      <c r="M207" s="171"/>
      <c r="N207" s="209"/>
      <c r="O207" s="172">
        <f t="shared" si="38"/>
        <v>0</v>
      </c>
      <c r="P207" s="166"/>
      <c r="Q207" s="173"/>
      <c r="R207" s="65"/>
      <c r="S207" s="173"/>
      <c r="T207" s="173"/>
      <c r="U207" s="166"/>
      <c r="V207" s="166"/>
      <c r="W207" s="65"/>
      <c r="X207" s="66"/>
      <c r="Y207" s="173"/>
      <c r="Z207" s="166"/>
      <c r="AA207" s="174"/>
      <c r="AB207" s="175"/>
      <c r="AC207" s="175"/>
      <c r="AD207" s="175"/>
      <c r="AE207" s="175"/>
      <c r="AF207" s="175"/>
      <c r="AG207" s="175"/>
      <c r="AH207" s="175"/>
      <c r="AI207" s="176"/>
      <c r="AJ207" s="177"/>
      <c r="AK207" s="178"/>
      <c r="AL207" s="178"/>
      <c r="AM207" s="178"/>
      <c r="AN207" s="178"/>
      <c r="AO207" s="179"/>
      <c r="AP207" s="64"/>
      <c r="AQ207" s="65"/>
      <c r="AR207" s="65"/>
      <c r="AS207" s="65"/>
      <c r="AT207" s="173"/>
      <c r="AU207" s="177"/>
      <c r="AV207" s="178"/>
      <c r="AW207" s="178"/>
      <c r="AX207" s="179"/>
      <c r="AZ207" s="166"/>
      <c r="BA207" s="177"/>
      <c r="BB207" s="178"/>
      <c r="BC207" s="178"/>
      <c r="BD207" s="178"/>
      <c r="BE207" s="178"/>
      <c r="BF207" s="178"/>
      <c r="BG207" s="178"/>
      <c r="BH207" s="178"/>
      <c r="BI207" s="179"/>
      <c r="BJ207" s="180"/>
      <c r="BK207" s="178"/>
      <c r="BL207" s="178"/>
      <c r="BM207" s="178"/>
      <c r="BN207" s="178"/>
      <c r="BO207" s="181"/>
      <c r="BP207" s="166"/>
      <c r="BQ207" s="177"/>
      <c r="BR207" s="178"/>
      <c r="BS207" s="179"/>
      <c r="BU207" s="166"/>
      <c r="BV207" s="166"/>
      <c r="BW207" s="166"/>
      <c r="BX207" s="166"/>
      <c r="BY207" s="166"/>
      <c r="BZ207" s="166"/>
      <c r="CA207" s="166"/>
      <c r="CB207" s="166"/>
      <c r="CC207" s="166"/>
      <c r="CD207" s="177"/>
      <c r="CE207" s="181"/>
      <c r="CF207" s="177"/>
      <c r="CG207" s="181"/>
      <c r="CH207" s="177"/>
      <c r="CI207" s="182"/>
      <c r="CJ207" s="177"/>
      <c r="CK207" s="182"/>
      <c r="CL207" s="177"/>
      <c r="CM207" s="182"/>
      <c r="CN207" s="177"/>
      <c r="CO207" s="182"/>
      <c r="CP207" s="177"/>
      <c r="CQ207" s="178"/>
      <c r="CR207" s="182"/>
      <c r="CS207" s="65"/>
      <c r="CT207" s="64"/>
      <c r="CU207" s="165" t="str">
        <f t="shared" si="2"/>
        <v/>
      </c>
    </row>
    <row r="208" ht="60.0" hidden="1" customHeight="1">
      <c r="A208" s="65"/>
      <c r="C208" s="167"/>
      <c r="D208" s="205"/>
      <c r="E208" s="206"/>
      <c r="F208" s="169"/>
      <c r="G208" s="207"/>
      <c r="H208" s="208"/>
      <c r="I208" s="169"/>
      <c r="J208" s="170"/>
      <c r="K208" s="171"/>
      <c r="L208" s="171"/>
      <c r="M208" s="171"/>
      <c r="N208" s="209"/>
      <c r="O208" s="172">
        <f t="shared" si="38"/>
        <v>0</v>
      </c>
      <c r="P208" s="166"/>
      <c r="Q208" s="173"/>
      <c r="R208" s="65"/>
      <c r="S208" s="173"/>
      <c r="T208" s="173"/>
      <c r="U208" s="166"/>
      <c r="V208" s="166"/>
      <c r="W208" s="65"/>
      <c r="X208" s="66"/>
      <c r="Y208" s="173"/>
      <c r="Z208" s="166"/>
      <c r="AA208" s="174"/>
      <c r="AB208" s="175"/>
      <c r="AC208" s="175"/>
      <c r="AD208" s="175"/>
      <c r="AE208" s="175"/>
      <c r="AF208" s="175"/>
      <c r="AG208" s="175"/>
      <c r="AH208" s="175"/>
      <c r="AI208" s="176"/>
      <c r="AJ208" s="177"/>
      <c r="AK208" s="178"/>
      <c r="AL208" s="178"/>
      <c r="AM208" s="178"/>
      <c r="AN208" s="178"/>
      <c r="AO208" s="179"/>
      <c r="AP208" s="64"/>
      <c r="AQ208" s="65"/>
      <c r="AR208" s="65"/>
      <c r="AS208" s="65"/>
      <c r="AT208" s="173"/>
      <c r="AU208" s="177"/>
      <c r="AV208" s="178"/>
      <c r="AW208" s="178"/>
      <c r="AX208" s="179"/>
      <c r="AZ208" s="166"/>
      <c r="BA208" s="177"/>
      <c r="BB208" s="178"/>
      <c r="BC208" s="178"/>
      <c r="BD208" s="178"/>
      <c r="BE208" s="178"/>
      <c r="BF208" s="178"/>
      <c r="BG208" s="178"/>
      <c r="BH208" s="178"/>
      <c r="BI208" s="179"/>
      <c r="BJ208" s="180"/>
      <c r="BK208" s="178"/>
      <c r="BL208" s="178"/>
      <c r="BM208" s="178"/>
      <c r="BN208" s="178"/>
      <c r="BO208" s="181"/>
      <c r="BP208" s="166"/>
      <c r="BQ208" s="177"/>
      <c r="BR208" s="178"/>
      <c r="BS208" s="179"/>
      <c r="BU208" s="166"/>
      <c r="BV208" s="166"/>
      <c r="BW208" s="166"/>
      <c r="BX208" s="166"/>
      <c r="BY208" s="166"/>
      <c r="BZ208" s="166"/>
      <c r="CA208" s="166"/>
      <c r="CB208" s="166"/>
      <c r="CC208" s="166"/>
      <c r="CD208" s="177"/>
      <c r="CE208" s="181"/>
      <c r="CF208" s="177"/>
      <c r="CG208" s="181"/>
      <c r="CH208" s="177"/>
      <c r="CI208" s="182"/>
      <c r="CJ208" s="177"/>
      <c r="CK208" s="182"/>
      <c r="CL208" s="177"/>
      <c r="CM208" s="182"/>
      <c r="CN208" s="177"/>
      <c r="CO208" s="182"/>
      <c r="CP208" s="177"/>
      <c r="CQ208" s="178"/>
      <c r="CR208" s="182"/>
      <c r="CS208" s="65"/>
      <c r="CT208" s="64"/>
      <c r="CU208" s="165" t="str">
        <f t="shared" si="2"/>
        <v/>
      </c>
    </row>
    <row r="209" ht="60.0" hidden="1" customHeight="1">
      <c r="A209" s="65"/>
      <c r="C209" s="167"/>
      <c r="D209" s="205"/>
      <c r="E209" s="206"/>
      <c r="F209" s="169"/>
      <c r="G209" s="207"/>
      <c r="H209" s="208"/>
      <c r="I209" s="169"/>
      <c r="J209" s="170"/>
      <c r="K209" s="171"/>
      <c r="L209" s="171"/>
      <c r="M209" s="171"/>
      <c r="N209" s="209"/>
      <c r="O209" s="172">
        <f t="shared" si="38"/>
        <v>0</v>
      </c>
      <c r="P209" s="166"/>
      <c r="Q209" s="173"/>
      <c r="R209" s="65"/>
      <c r="S209" s="173"/>
      <c r="T209" s="173"/>
      <c r="U209" s="166"/>
      <c r="V209" s="166"/>
      <c r="W209" s="65"/>
      <c r="X209" s="66"/>
      <c r="Y209" s="173"/>
      <c r="Z209" s="166"/>
      <c r="AA209" s="174"/>
      <c r="AB209" s="175"/>
      <c r="AC209" s="175"/>
      <c r="AD209" s="175"/>
      <c r="AE209" s="175"/>
      <c r="AF209" s="175"/>
      <c r="AG209" s="175"/>
      <c r="AH209" s="175"/>
      <c r="AI209" s="176"/>
      <c r="AJ209" s="177"/>
      <c r="AK209" s="178"/>
      <c r="AL209" s="178"/>
      <c r="AM209" s="178"/>
      <c r="AN209" s="178"/>
      <c r="AO209" s="179"/>
      <c r="AP209" s="64"/>
      <c r="AQ209" s="65"/>
      <c r="AR209" s="65"/>
      <c r="AS209" s="65"/>
      <c r="AT209" s="173"/>
      <c r="AU209" s="177"/>
      <c r="AV209" s="178"/>
      <c r="AW209" s="178"/>
      <c r="AX209" s="179"/>
      <c r="AZ209" s="166"/>
      <c r="BA209" s="177"/>
      <c r="BB209" s="178"/>
      <c r="BC209" s="178"/>
      <c r="BD209" s="178"/>
      <c r="BE209" s="178"/>
      <c r="BF209" s="178"/>
      <c r="BG209" s="178"/>
      <c r="BH209" s="178"/>
      <c r="BI209" s="179"/>
      <c r="BJ209" s="180"/>
      <c r="BK209" s="178"/>
      <c r="BL209" s="178"/>
      <c r="BM209" s="178"/>
      <c r="BN209" s="178"/>
      <c r="BO209" s="181"/>
      <c r="BP209" s="166"/>
      <c r="BQ209" s="177"/>
      <c r="BR209" s="178"/>
      <c r="BS209" s="179"/>
      <c r="BU209" s="166"/>
      <c r="BV209" s="166"/>
      <c r="BW209" s="166"/>
      <c r="BX209" s="166"/>
      <c r="BY209" s="166"/>
      <c r="BZ209" s="166"/>
      <c r="CA209" s="166"/>
      <c r="CB209" s="166"/>
      <c r="CC209" s="166"/>
      <c r="CD209" s="177"/>
      <c r="CE209" s="181"/>
      <c r="CF209" s="177"/>
      <c r="CG209" s="181"/>
      <c r="CH209" s="177"/>
      <c r="CI209" s="182"/>
      <c r="CJ209" s="177"/>
      <c r="CK209" s="182"/>
      <c r="CL209" s="177"/>
      <c r="CM209" s="182"/>
      <c r="CN209" s="177"/>
      <c r="CO209" s="182"/>
      <c r="CP209" s="177"/>
      <c r="CQ209" s="178"/>
      <c r="CR209" s="182"/>
      <c r="CS209" s="65"/>
      <c r="CT209" s="64"/>
      <c r="CU209" s="165" t="str">
        <f t="shared" si="2"/>
        <v/>
      </c>
    </row>
    <row r="210" ht="60.0" hidden="1" customHeight="1">
      <c r="A210" s="65"/>
      <c r="C210" s="167"/>
      <c r="D210" s="205"/>
      <c r="E210" s="206"/>
      <c r="F210" s="169"/>
      <c r="G210" s="207"/>
      <c r="H210" s="208"/>
      <c r="I210" s="169"/>
      <c r="J210" s="170"/>
      <c r="K210" s="171"/>
      <c r="L210" s="171"/>
      <c r="M210" s="171"/>
      <c r="N210" s="209"/>
      <c r="O210" s="172">
        <f t="shared" si="38"/>
        <v>0</v>
      </c>
      <c r="P210" s="166"/>
      <c r="Q210" s="173"/>
      <c r="R210" s="65"/>
      <c r="S210" s="173"/>
      <c r="T210" s="173"/>
      <c r="U210" s="166"/>
      <c r="V210" s="166"/>
      <c r="W210" s="65"/>
      <c r="X210" s="66"/>
      <c r="Y210" s="173"/>
      <c r="Z210" s="166"/>
      <c r="AA210" s="174"/>
      <c r="AB210" s="175"/>
      <c r="AC210" s="175"/>
      <c r="AD210" s="175"/>
      <c r="AE210" s="175"/>
      <c r="AF210" s="175"/>
      <c r="AG210" s="175"/>
      <c r="AH210" s="175"/>
      <c r="AI210" s="176"/>
      <c r="AJ210" s="177"/>
      <c r="AK210" s="178"/>
      <c r="AL210" s="178"/>
      <c r="AM210" s="178"/>
      <c r="AN210" s="178"/>
      <c r="AO210" s="179"/>
      <c r="AP210" s="64"/>
      <c r="AQ210" s="65"/>
      <c r="AR210" s="65"/>
      <c r="AS210" s="65"/>
      <c r="AT210" s="173"/>
      <c r="AU210" s="177"/>
      <c r="AV210" s="178"/>
      <c r="AW210" s="178"/>
      <c r="AX210" s="179"/>
      <c r="AZ210" s="166"/>
      <c r="BA210" s="177"/>
      <c r="BB210" s="178"/>
      <c r="BC210" s="178"/>
      <c r="BD210" s="178"/>
      <c r="BE210" s="178"/>
      <c r="BF210" s="178"/>
      <c r="BG210" s="178"/>
      <c r="BH210" s="178"/>
      <c r="BI210" s="179"/>
      <c r="BJ210" s="180"/>
      <c r="BK210" s="178"/>
      <c r="BL210" s="178"/>
      <c r="BM210" s="178"/>
      <c r="BN210" s="178"/>
      <c r="BO210" s="181"/>
      <c r="BP210" s="166"/>
      <c r="BQ210" s="177"/>
      <c r="BR210" s="178"/>
      <c r="BS210" s="179"/>
      <c r="BU210" s="166"/>
      <c r="BV210" s="166"/>
      <c r="BW210" s="166"/>
      <c r="BX210" s="166"/>
      <c r="BY210" s="166"/>
      <c r="BZ210" s="166"/>
      <c r="CA210" s="166"/>
      <c r="CB210" s="166"/>
      <c r="CC210" s="166"/>
      <c r="CD210" s="177"/>
      <c r="CE210" s="181"/>
      <c r="CF210" s="177"/>
      <c r="CG210" s="181"/>
      <c r="CH210" s="177"/>
      <c r="CI210" s="182"/>
      <c r="CJ210" s="177"/>
      <c r="CK210" s="182"/>
      <c r="CL210" s="177"/>
      <c r="CM210" s="182"/>
      <c r="CN210" s="177"/>
      <c r="CO210" s="182"/>
      <c r="CP210" s="177"/>
      <c r="CQ210" s="178"/>
      <c r="CR210" s="182"/>
      <c r="CS210" s="65"/>
      <c r="CT210" s="64"/>
      <c r="CU210" s="165" t="str">
        <f t="shared" si="2"/>
        <v/>
      </c>
    </row>
    <row r="211" ht="60.0" hidden="1" customHeight="1">
      <c r="A211" s="65"/>
      <c r="C211" s="167"/>
      <c r="D211" s="205"/>
      <c r="E211" s="206"/>
      <c r="F211" s="169"/>
      <c r="G211" s="207"/>
      <c r="H211" s="208"/>
      <c r="I211" s="169"/>
      <c r="J211" s="170"/>
      <c r="K211" s="171"/>
      <c r="L211" s="171"/>
      <c r="M211" s="171"/>
      <c r="N211" s="209"/>
      <c r="O211" s="172">
        <f t="shared" si="38"/>
        <v>0</v>
      </c>
      <c r="P211" s="166"/>
      <c r="Q211" s="173"/>
      <c r="R211" s="65"/>
      <c r="S211" s="173"/>
      <c r="T211" s="173"/>
      <c r="U211" s="166"/>
      <c r="V211" s="166"/>
      <c r="W211" s="65"/>
      <c r="X211" s="66"/>
      <c r="Y211" s="173"/>
      <c r="Z211" s="166"/>
      <c r="AA211" s="174"/>
      <c r="AB211" s="175"/>
      <c r="AC211" s="175"/>
      <c r="AD211" s="175"/>
      <c r="AE211" s="175"/>
      <c r="AF211" s="175"/>
      <c r="AG211" s="175"/>
      <c r="AH211" s="175"/>
      <c r="AI211" s="176"/>
      <c r="AJ211" s="177"/>
      <c r="AK211" s="178"/>
      <c r="AL211" s="178"/>
      <c r="AM211" s="178"/>
      <c r="AN211" s="178"/>
      <c r="AO211" s="179"/>
      <c r="AP211" s="64"/>
      <c r="AQ211" s="65"/>
      <c r="AR211" s="65"/>
      <c r="AS211" s="65"/>
      <c r="AT211" s="173"/>
      <c r="AU211" s="177"/>
      <c r="AV211" s="178"/>
      <c r="AW211" s="178"/>
      <c r="AX211" s="179"/>
      <c r="AZ211" s="166"/>
      <c r="BA211" s="177"/>
      <c r="BB211" s="178"/>
      <c r="BC211" s="178"/>
      <c r="BD211" s="178"/>
      <c r="BE211" s="178"/>
      <c r="BF211" s="178"/>
      <c r="BG211" s="178"/>
      <c r="BH211" s="178"/>
      <c r="BI211" s="179"/>
      <c r="BJ211" s="180"/>
      <c r="BK211" s="178"/>
      <c r="BL211" s="178"/>
      <c r="BM211" s="178"/>
      <c r="BN211" s="178"/>
      <c r="BO211" s="181"/>
      <c r="BP211" s="166"/>
      <c r="BQ211" s="177"/>
      <c r="BR211" s="178"/>
      <c r="BS211" s="179"/>
      <c r="BU211" s="166"/>
      <c r="BV211" s="166"/>
      <c r="BW211" s="166"/>
      <c r="BX211" s="166"/>
      <c r="BY211" s="166"/>
      <c r="BZ211" s="166"/>
      <c r="CA211" s="166"/>
      <c r="CB211" s="166"/>
      <c r="CC211" s="166"/>
      <c r="CD211" s="177"/>
      <c r="CE211" s="181"/>
      <c r="CF211" s="177"/>
      <c r="CG211" s="181"/>
      <c r="CH211" s="177"/>
      <c r="CI211" s="182"/>
      <c r="CJ211" s="177"/>
      <c r="CK211" s="182"/>
      <c r="CL211" s="177"/>
      <c r="CM211" s="182"/>
      <c r="CN211" s="177"/>
      <c r="CO211" s="182"/>
      <c r="CP211" s="177"/>
      <c r="CQ211" s="178"/>
      <c r="CR211" s="182"/>
      <c r="CS211" s="65"/>
      <c r="CT211" s="64"/>
      <c r="CU211" s="165" t="str">
        <f t="shared" si="2"/>
        <v/>
      </c>
    </row>
    <row r="212" ht="60.0" hidden="1" customHeight="1">
      <c r="A212" s="65"/>
      <c r="C212" s="167"/>
      <c r="D212" s="205"/>
      <c r="E212" s="206"/>
      <c r="F212" s="169"/>
      <c r="G212" s="207"/>
      <c r="H212" s="208"/>
      <c r="I212" s="169"/>
      <c r="J212" s="170"/>
      <c r="K212" s="171"/>
      <c r="L212" s="171"/>
      <c r="M212" s="171"/>
      <c r="N212" s="209"/>
      <c r="O212" s="172">
        <f t="shared" ref="O212:O215" si="39">IF(AND(M212&gt;=20,M212&lt;&gt;"m",RIGHT(K212,3)="Lec"),1,IF(AND(M212&gt;=20,M212&lt;&gt;"m",OR(RIGHT(K212,3)="Lab",RIGHT(K212,3)="Tut")),0.5,IF(AND(M212&gt;=20,M212&lt;&gt;"m",RIGHT(K212,2)="TL"),0.75,0)))</f>
        <v>0</v>
      </c>
      <c r="P212" s="166"/>
      <c r="Q212" s="173"/>
      <c r="R212" s="65"/>
      <c r="S212" s="173"/>
      <c r="T212" s="173"/>
      <c r="U212" s="166"/>
      <c r="V212" s="166"/>
      <c r="W212" s="65"/>
      <c r="X212" s="66"/>
      <c r="Y212" s="173"/>
      <c r="Z212" s="166"/>
      <c r="AA212" s="174"/>
      <c r="AB212" s="175"/>
      <c r="AC212" s="175"/>
      <c r="AD212" s="175"/>
      <c r="AE212" s="175"/>
      <c r="AF212" s="175"/>
      <c r="AG212" s="175"/>
      <c r="AH212" s="175"/>
      <c r="AI212" s="176"/>
      <c r="AJ212" s="177"/>
      <c r="AK212" s="178"/>
      <c r="AL212" s="178"/>
      <c r="AM212" s="178"/>
      <c r="AN212" s="178"/>
      <c r="AO212" s="179"/>
      <c r="AP212" s="64"/>
      <c r="AQ212" s="65"/>
      <c r="AR212" s="65"/>
      <c r="AS212" s="65"/>
      <c r="AT212" s="173"/>
      <c r="AU212" s="177"/>
      <c r="AV212" s="178"/>
      <c r="AW212" s="178"/>
      <c r="AX212" s="179"/>
      <c r="AZ212" s="166"/>
      <c r="BA212" s="177"/>
      <c r="BB212" s="178"/>
      <c r="BC212" s="178"/>
      <c r="BD212" s="178"/>
      <c r="BE212" s="178"/>
      <c r="BF212" s="178"/>
      <c r="BG212" s="178"/>
      <c r="BH212" s="178"/>
      <c r="BI212" s="179"/>
      <c r="BJ212" s="180"/>
      <c r="BK212" s="178"/>
      <c r="BL212" s="178"/>
      <c r="BM212" s="178"/>
      <c r="BN212" s="178"/>
      <c r="BO212" s="181"/>
      <c r="BP212" s="166"/>
      <c r="BQ212" s="177"/>
      <c r="BR212" s="178"/>
      <c r="BS212" s="179"/>
      <c r="BU212" s="166"/>
      <c r="BV212" s="166"/>
      <c r="BW212" s="166"/>
      <c r="BX212" s="166"/>
      <c r="BY212" s="166"/>
      <c r="BZ212" s="166"/>
      <c r="CA212" s="166"/>
      <c r="CB212" s="166"/>
      <c r="CC212" s="166"/>
      <c r="CD212" s="177"/>
      <c r="CE212" s="181"/>
      <c r="CF212" s="177"/>
      <c r="CG212" s="181"/>
      <c r="CH212" s="177"/>
      <c r="CI212" s="182"/>
      <c r="CJ212" s="177"/>
      <c r="CK212" s="182"/>
      <c r="CL212" s="177"/>
      <c r="CM212" s="182"/>
      <c r="CN212" s="177"/>
      <c r="CO212" s="182"/>
      <c r="CP212" s="177"/>
      <c r="CQ212" s="178"/>
      <c r="CR212" s="182"/>
      <c r="CS212" s="65"/>
      <c r="CT212" s="64"/>
      <c r="CU212" s="165" t="str">
        <f t="shared" si="2"/>
        <v/>
      </c>
    </row>
    <row r="213" ht="60.0" hidden="1" customHeight="1">
      <c r="A213" s="65"/>
      <c r="C213" s="167"/>
      <c r="D213" s="205"/>
      <c r="E213" s="206"/>
      <c r="F213" s="169"/>
      <c r="G213" s="207"/>
      <c r="H213" s="208"/>
      <c r="I213" s="169"/>
      <c r="J213" s="170"/>
      <c r="K213" s="171"/>
      <c r="L213" s="171"/>
      <c r="M213" s="171"/>
      <c r="N213" s="209"/>
      <c r="O213" s="172">
        <f t="shared" si="39"/>
        <v>0</v>
      </c>
      <c r="P213" s="166"/>
      <c r="Q213" s="173"/>
      <c r="R213" s="65"/>
      <c r="S213" s="173"/>
      <c r="T213" s="173"/>
      <c r="U213" s="166"/>
      <c r="V213" s="166"/>
      <c r="W213" s="65"/>
      <c r="X213" s="66"/>
      <c r="Y213" s="173"/>
      <c r="Z213" s="166"/>
      <c r="AA213" s="174"/>
      <c r="AB213" s="175"/>
      <c r="AC213" s="175"/>
      <c r="AD213" s="175"/>
      <c r="AE213" s="175"/>
      <c r="AF213" s="175"/>
      <c r="AG213" s="175"/>
      <c r="AH213" s="175"/>
      <c r="AI213" s="176"/>
      <c r="AJ213" s="177"/>
      <c r="AK213" s="178"/>
      <c r="AL213" s="178"/>
      <c r="AM213" s="178"/>
      <c r="AN213" s="178"/>
      <c r="AO213" s="179"/>
      <c r="AP213" s="64"/>
      <c r="AQ213" s="65"/>
      <c r="AR213" s="65"/>
      <c r="AS213" s="65"/>
      <c r="AT213" s="173"/>
      <c r="AU213" s="177"/>
      <c r="AV213" s="178"/>
      <c r="AW213" s="178"/>
      <c r="AX213" s="179"/>
      <c r="AZ213" s="166"/>
      <c r="BA213" s="177"/>
      <c r="BB213" s="178"/>
      <c r="BC213" s="178"/>
      <c r="BD213" s="178"/>
      <c r="BE213" s="178"/>
      <c r="BF213" s="178"/>
      <c r="BG213" s="178"/>
      <c r="BH213" s="178"/>
      <c r="BI213" s="179"/>
      <c r="BJ213" s="180"/>
      <c r="BK213" s="178"/>
      <c r="BL213" s="178"/>
      <c r="BM213" s="178"/>
      <c r="BN213" s="178"/>
      <c r="BO213" s="181"/>
      <c r="BP213" s="166"/>
      <c r="BQ213" s="177"/>
      <c r="BR213" s="178"/>
      <c r="BS213" s="179"/>
      <c r="BU213" s="166"/>
      <c r="BV213" s="166"/>
      <c r="BW213" s="166"/>
      <c r="BX213" s="166"/>
      <c r="BY213" s="166"/>
      <c r="BZ213" s="166"/>
      <c r="CA213" s="166"/>
      <c r="CB213" s="166"/>
      <c r="CC213" s="166"/>
      <c r="CD213" s="177"/>
      <c r="CE213" s="181"/>
      <c r="CF213" s="177"/>
      <c r="CG213" s="181"/>
      <c r="CH213" s="177"/>
      <c r="CI213" s="182"/>
      <c r="CJ213" s="177"/>
      <c r="CK213" s="182"/>
      <c r="CL213" s="177"/>
      <c r="CM213" s="182"/>
      <c r="CN213" s="177"/>
      <c r="CO213" s="182"/>
      <c r="CP213" s="177"/>
      <c r="CQ213" s="178"/>
      <c r="CR213" s="182"/>
      <c r="CS213" s="65"/>
      <c r="CT213" s="64"/>
      <c r="CU213" s="165" t="str">
        <f t="shared" si="2"/>
        <v/>
      </c>
    </row>
    <row r="214" ht="60.0" hidden="1" customHeight="1">
      <c r="A214" s="65"/>
      <c r="C214" s="167"/>
      <c r="D214" s="205"/>
      <c r="E214" s="206"/>
      <c r="F214" s="169"/>
      <c r="G214" s="207"/>
      <c r="H214" s="208"/>
      <c r="I214" s="169"/>
      <c r="J214" s="170"/>
      <c r="K214" s="171"/>
      <c r="L214" s="171"/>
      <c r="M214" s="171"/>
      <c r="N214" s="209"/>
      <c r="O214" s="172">
        <f t="shared" si="39"/>
        <v>0</v>
      </c>
      <c r="P214" s="166"/>
      <c r="Q214" s="173"/>
      <c r="R214" s="65"/>
      <c r="S214" s="173"/>
      <c r="T214" s="173"/>
      <c r="U214" s="166"/>
      <c r="V214" s="166"/>
      <c r="W214" s="65"/>
      <c r="X214" s="66"/>
      <c r="Y214" s="173"/>
      <c r="Z214" s="166"/>
      <c r="AA214" s="174"/>
      <c r="AB214" s="175"/>
      <c r="AC214" s="175"/>
      <c r="AD214" s="175"/>
      <c r="AE214" s="175"/>
      <c r="AF214" s="175"/>
      <c r="AG214" s="175"/>
      <c r="AH214" s="175"/>
      <c r="AI214" s="176"/>
      <c r="AJ214" s="177"/>
      <c r="AK214" s="178"/>
      <c r="AL214" s="178"/>
      <c r="AM214" s="178"/>
      <c r="AN214" s="178"/>
      <c r="AO214" s="179"/>
      <c r="AP214" s="64"/>
      <c r="AQ214" s="65"/>
      <c r="AR214" s="65"/>
      <c r="AS214" s="65"/>
      <c r="AT214" s="173"/>
      <c r="AU214" s="177"/>
      <c r="AV214" s="178"/>
      <c r="AW214" s="178"/>
      <c r="AX214" s="179"/>
      <c r="AZ214" s="166"/>
      <c r="BA214" s="177"/>
      <c r="BB214" s="178"/>
      <c r="BC214" s="178"/>
      <c r="BD214" s="178"/>
      <c r="BE214" s="178"/>
      <c r="BF214" s="178"/>
      <c r="BG214" s="178"/>
      <c r="BH214" s="178"/>
      <c r="BI214" s="179"/>
      <c r="BJ214" s="180"/>
      <c r="BK214" s="178"/>
      <c r="BL214" s="178"/>
      <c r="BM214" s="178"/>
      <c r="BN214" s="178"/>
      <c r="BO214" s="181"/>
      <c r="BP214" s="166"/>
      <c r="BQ214" s="177"/>
      <c r="BR214" s="178"/>
      <c r="BS214" s="179"/>
      <c r="BU214" s="166"/>
      <c r="BV214" s="166"/>
      <c r="BW214" s="166"/>
      <c r="BX214" s="166"/>
      <c r="BY214" s="166"/>
      <c r="BZ214" s="166"/>
      <c r="CA214" s="166"/>
      <c r="CB214" s="166"/>
      <c r="CC214" s="166"/>
      <c r="CD214" s="177"/>
      <c r="CE214" s="181"/>
      <c r="CF214" s="177"/>
      <c r="CG214" s="181"/>
      <c r="CH214" s="177"/>
      <c r="CI214" s="182"/>
      <c r="CJ214" s="177"/>
      <c r="CK214" s="182"/>
      <c r="CL214" s="177"/>
      <c r="CM214" s="182"/>
      <c r="CN214" s="177"/>
      <c r="CO214" s="182"/>
      <c r="CP214" s="177"/>
      <c r="CQ214" s="178"/>
      <c r="CR214" s="182"/>
      <c r="CS214" s="65"/>
      <c r="CT214" s="64"/>
      <c r="CU214" s="165" t="str">
        <f t="shared" si="2"/>
        <v/>
      </c>
    </row>
    <row r="215" ht="60.0" hidden="1" customHeight="1">
      <c r="A215" s="65"/>
      <c r="C215" s="167"/>
      <c r="D215" s="205"/>
      <c r="E215" s="206"/>
      <c r="F215" s="169"/>
      <c r="G215" s="207"/>
      <c r="H215" s="208"/>
      <c r="I215" s="169"/>
      <c r="J215" s="170"/>
      <c r="K215" s="171"/>
      <c r="L215" s="171"/>
      <c r="M215" s="171"/>
      <c r="N215" s="209"/>
      <c r="O215" s="172">
        <f t="shared" si="39"/>
        <v>0</v>
      </c>
      <c r="P215" s="166"/>
      <c r="Q215" s="173"/>
      <c r="R215" s="65"/>
      <c r="S215" s="173"/>
      <c r="T215" s="173"/>
      <c r="U215" s="166"/>
      <c r="V215" s="166"/>
      <c r="W215" s="65"/>
      <c r="X215" s="66"/>
      <c r="Y215" s="173"/>
      <c r="Z215" s="166"/>
      <c r="AA215" s="174"/>
      <c r="AB215" s="175"/>
      <c r="AC215" s="175"/>
      <c r="AD215" s="175"/>
      <c r="AE215" s="175"/>
      <c r="AF215" s="175"/>
      <c r="AG215" s="175"/>
      <c r="AH215" s="175"/>
      <c r="AI215" s="176"/>
      <c r="AJ215" s="177"/>
      <c r="AK215" s="178"/>
      <c r="AL215" s="178"/>
      <c r="AM215" s="178"/>
      <c r="AN215" s="178"/>
      <c r="AO215" s="179"/>
      <c r="AP215" s="64"/>
      <c r="AQ215" s="65"/>
      <c r="AR215" s="65"/>
      <c r="AS215" s="65"/>
      <c r="AT215" s="173"/>
      <c r="AU215" s="177"/>
      <c r="AV215" s="178"/>
      <c r="AW215" s="178"/>
      <c r="AX215" s="179"/>
      <c r="AZ215" s="166"/>
      <c r="BA215" s="177"/>
      <c r="BB215" s="178"/>
      <c r="BC215" s="178"/>
      <c r="BD215" s="178"/>
      <c r="BE215" s="178"/>
      <c r="BF215" s="178"/>
      <c r="BG215" s="178"/>
      <c r="BH215" s="178"/>
      <c r="BI215" s="179"/>
      <c r="BJ215" s="180"/>
      <c r="BK215" s="178"/>
      <c r="BL215" s="178"/>
      <c r="BM215" s="178"/>
      <c r="BN215" s="178"/>
      <c r="BO215" s="181"/>
      <c r="BP215" s="166"/>
      <c r="BQ215" s="177"/>
      <c r="BR215" s="178"/>
      <c r="BS215" s="179"/>
      <c r="BU215" s="166"/>
      <c r="BV215" s="166"/>
      <c r="BW215" s="166"/>
      <c r="BX215" s="166"/>
      <c r="BY215" s="166"/>
      <c r="BZ215" s="166"/>
      <c r="CA215" s="166"/>
      <c r="CB215" s="166"/>
      <c r="CC215" s="166"/>
      <c r="CD215" s="177"/>
      <c r="CE215" s="181"/>
      <c r="CF215" s="177"/>
      <c r="CG215" s="181"/>
      <c r="CH215" s="177"/>
      <c r="CI215" s="182"/>
      <c r="CJ215" s="177"/>
      <c r="CK215" s="182"/>
      <c r="CL215" s="177"/>
      <c r="CM215" s="182"/>
      <c r="CN215" s="177"/>
      <c r="CO215" s="182"/>
      <c r="CP215" s="177"/>
      <c r="CQ215" s="178"/>
      <c r="CR215" s="182"/>
      <c r="CS215" s="65"/>
      <c r="CT215" s="64"/>
      <c r="CU215" s="165" t="str">
        <f t="shared" si="2"/>
        <v/>
      </c>
    </row>
    <row r="216" ht="60.0" hidden="1" customHeight="1">
      <c r="A216" s="89"/>
      <c r="B216" s="6"/>
      <c r="C216" s="183"/>
      <c r="D216" s="210"/>
      <c r="E216" s="211"/>
      <c r="F216" s="185"/>
      <c r="G216" s="212"/>
      <c r="H216" s="213"/>
      <c r="I216" s="185"/>
      <c r="J216" s="186"/>
      <c r="K216" s="187"/>
      <c r="L216" s="187"/>
      <c r="M216" s="187"/>
      <c r="N216" s="214"/>
      <c r="O216" s="188">
        <f t="shared" ref="O216:O222" si="40">IF(AND(M216&lt;&gt;0,M216&lt;&gt;"m",M216&lt;&gt;"",RIGHT(K216,3)="Lec"),1,IF(AND(M216&lt;&gt;0,M216&lt;&gt;"m",M216&lt;&gt;"",OR(RIGHT(K216,3)="Lab",RIGHT(K216,3)="Tut")),0.5,IF(AND(M216&lt;&gt;0,M216&lt;&gt;"m",M216&lt;&gt;"",RIGHT(K216,2)="TL"),0.75,0)))</f>
        <v>0</v>
      </c>
      <c r="P216" s="63"/>
      <c r="Q216" s="69"/>
      <c r="R216" s="89"/>
      <c r="S216" s="69"/>
      <c r="T216" s="69"/>
      <c r="U216" s="63"/>
      <c r="V216" s="63"/>
      <c r="W216" s="89"/>
      <c r="X216" s="68"/>
      <c r="Y216" s="69"/>
      <c r="Z216" s="63"/>
      <c r="AA216" s="189"/>
      <c r="AB216" s="190"/>
      <c r="AC216" s="190"/>
      <c r="AD216" s="190"/>
      <c r="AE216" s="190"/>
      <c r="AF216" s="190"/>
      <c r="AG216" s="190"/>
      <c r="AH216" s="190"/>
      <c r="AI216" s="191"/>
      <c r="AJ216" s="192"/>
      <c r="AK216" s="193"/>
      <c r="AL216" s="193"/>
      <c r="AM216" s="193"/>
      <c r="AN216" s="193"/>
      <c r="AO216" s="194"/>
      <c r="AP216" s="103"/>
      <c r="AQ216" s="89"/>
      <c r="AR216" s="89"/>
      <c r="AS216" s="89"/>
      <c r="AT216" s="69"/>
      <c r="AU216" s="192"/>
      <c r="AV216" s="193"/>
      <c r="AW216" s="193"/>
      <c r="AX216" s="194"/>
      <c r="AY216" s="6"/>
      <c r="AZ216" s="63"/>
      <c r="BA216" s="192"/>
      <c r="BB216" s="193"/>
      <c r="BC216" s="193"/>
      <c r="BD216" s="193"/>
      <c r="BE216" s="193"/>
      <c r="BF216" s="193"/>
      <c r="BG216" s="193"/>
      <c r="BH216" s="193"/>
      <c r="BI216" s="194"/>
      <c r="BJ216" s="195"/>
      <c r="BK216" s="193"/>
      <c r="BL216" s="193"/>
      <c r="BM216" s="193"/>
      <c r="BN216" s="193"/>
      <c r="BO216" s="196"/>
      <c r="BP216" s="63"/>
      <c r="BQ216" s="192"/>
      <c r="BR216" s="193"/>
      <c r="BS216" s="194"/>
      <c r="BT216" s="6"/>
      <c r="BU216" s="63"/>
      <c r="BV216" s="63"/>
      <c r="BW216" s="63"/>
      <c r="BX216" s="63"/>
      <c r="BY216" s="63"/>
      <c r="BZ216" s="63"/>
      <c r="CA216" s="63"/>
      <c r="CB216" s="63"/>
      <c r="CC216" s="63"/>
      <c r="CD216" s="192"/>
      <c r="CE216" s="196"/>
      <c r="CF216" s="192"/>
      <c r="CG216" s="196"/>
      <c r="CH216" s="192"/>
      <c r="CI216" s="197"/>
      <c r="CJ216" s="192"/>
      <c r="CK216" s="197"/>
      <c r="CL216" s="192"/>
      <c r="CM216" s="197"/>
      <c r="CN216" s="192"/>
      <c r="CO216" s="197"/>
      <c r="CP216" s="192"/>
      <c r="CQ216" s="193"/>
      <c r="CR216" s="197"/>
      <c r="CS216" s="89"/>
      <c r="CT216" s="103"/>
      <c r="CU216" s="165" t="str">
        <f t="shared" si="2"/>
        <v/>
      </c>
    </row>
    <row r="217" ht="55.5" hidden="1" customHeight="1">
      <c r="A217" s="125">
        <v>20.0</v>
      </c>
      <c r="B217" s="199"/>
      <c r="C217" s="127"/>
      <c r="D217" s="128"/>
      <c r="E217" s="215"/>
      <c r="F217" s="216"/>
      <c r="G217" s="217"/>
      <c r="H217" s="218"/>
      <c r="I217" s="216"/>
      <c r="J217" s="170"/>
      <c r="K217" s="219"/>
      <c r="L217" s="219"/>
      <c r="M217" s="219"/>
      <c r="N217" s="220"/>
      <c r="O217" s="132">
        <f t="shared" si="40"/>
        <v>0</v>
      </c>
      <c r="P217" s="133">
        <f>COUNTIF(K217:K227,"TL")*0.75+COUNTIF(K217:K227,"Lec")*1+COUNTIF(K217:K227,"Lab")*0.5</f>
        <v>0</v>
      </c>
      <c r="Q217" s="134">
        <f>SUM((IF(LEFT(K217,1)="E",O217,0)),(IF(LEFT(K218,1)="E",O218,0)),(IF(LEFT(K219,1)="E",O219,0)),(IF(LEFT(K220,1)="E",O220,0)),(IF(LEFT(K221,1)="E",O221,0)),(IF(LEFT(K222,1)="E",O222,0)),(IF(LEFT(K223,1)="E",O223,0)),(IF(LEFT(K224,1)="E",O224,0)),(IF(LEFT(K225,1)="E",O225,0)),(IF(LEFT(K226,1)="E",O226,0)),(IF(LEFT(K227,1)="E",O227,0)))</f>
        <v>0</v>
      </c>
      <c r="R217" s="135">
        <f>SUM(IF(M223&lt;20,IF(K223="Plec",-1,IF(K223="PTL",-0.75,IF(K223="Plab",-0.5,0))),0),IF(M224&lt;20,IF(K224="Plec",-1,IF(K224="PTL",-0.75,IF(K224="Plab",-0.5,0))),0),IF(M225&lt;20,IF(K225="Plec",-1,IF(K225="PTL",-0.75,IF(K225="Plab",-0.5,0))),0),IF(M226&lt;20,IF(K226="Plec",-1,IF(K226="PTL",-0.75,IF(K226="Plab",-0.5,0))),0))</f>
        <v>0</v>
      </c>
      <c r="S217" s="134">
        <f>SUM(P217:R227)</f>
        <v>0</v>
      </c>
      <c r="T217" s="136">
        <f>SUM(IF(M217="M",IF(OR(K217="lec",K217="plec",K217="slec"),1,IF(OR(K217="lab",K217="plab",K217="slab",K217="tut",K217="ptut",K217="stut"),0.5,IF(OR(K217="TL",K217="pTL",K217="STL"),0.75,0))),0),IF(M218="M",IF(OR(K218="lec",K218="plec",K218="slec"),1,IF(OR(K218="lab",K218="plab",K218="slab",K218="tut",K218="ptut",K218="stut"),0.5,IF(OR(K218="TL",K218="pTL",K218="STL"),0.75,0))),0),IF(M219="M",IF(OR(K219="lec",K219="plec",K219="slec"),1,IF(OR(K219="lab",K219="plab",K219="slab",K219="tut",K219="ptut",K219="stut"),0.5,IF(OR(K219="TL",K219="pTL",K219="STL"),0.75,0))),0),IF(M220="M",IF(OR(K220="lec",K220="plec",K220="slec"),1,IF(OR(K220="lab",K220="plab",K220="slab",K220="tut",K220="ptut",K220="stut"),0.5,IF(OR(K220="TL",K220="pTL",K220="STL"),0.75,0))),0),IF(M221="M",IF(OR(K221="lec",K221="plec",K221="slec"),1,IF(OR(K221="lab",K221="plab",K221="slab",K221="tut",K221="ptut",K221="stut"),0.5,IF(OR(K221="TL",K221="pTL",K221="STL"),0.75,0))),0),IF(M222="M",IF(OR(K222="lec",K222="plec",K222="slec"),1,IF(OR(K222="lab",K222="plab",K222="slab",K222="tut",K222="ptut",K222="stut"),0.5,IF(OR(K222="TL",K222="pTL",K222="STL"),0.75,0))),0),IF(M223="M",IF(OR(K223="lec",K223="plec",K223="slec"),1,IF(OR(K223="lab",K223="plab",K223="slab",K223="tut",K223="ptut",K223="stut"),0.5,IF(OR(K223="TL",K223="pTL",K223="STL"),0.75,0))),0),IF(M224="M",IF(OR(K224="lec",K224="plec",K224="slec"),1,IF(OR(K224="lab",K224="plab",K224="slab",K224="tut",K224="ptut",K224="stut"),0.5,IF(OR(K224="TL",K224="pTL",K224="STL"),0.75,0))),0),IF(M225="M",IF(OR(K225="lec",K225="plec",K225="slec"),1,IF(OR(K225="lab",K225="plab",K225="slab",K225="tut",K225="ptut",K225="stut"),0.5,IF(OR(K225="TL",K225="pTL",K225="STL"),0.75,0))),0),IF(M226="M",IF(OR(K226="lec",K226="plec",K226="slec"),1,IF(OR(K226="lab",K226="plab",K226="slab",K226="tut",K226="ptut",K226="stut"),0.5,IF(OR(K226="TL",K226="pTL",K226="STL"),0.75,0))),0),IF(M227="M",IF(OR(K227="lec",K227="plec",K227="slec"),1,IF(OR(K227="lab",K227="plab",K227="slab",K227="tut",K227="ptut",K227="stut"),0.5,IF(OR(K227="TL",K227="pTL",K227="STL"),0.75,0))),0))</f>
        <v>0</v>
      </c>
      <c r="U217" s="137"/>
      <c r="V217" s="133"/>
      <c r="W217" s="138"/>
      <c r="X217" s="139">
        <f>S217-(T217+U217+V217+W217)</f>
        <v>0</v>
      </c>
      <c r="Y217" s="134" t="str">
        <f>CONCATENATE(SUM(O217:O227),"(",SUM(O217:O227)-X217,")")</f>
        <v>0(0)</v>
      </c>
      <c r="Z217" s="140"/>
      <c r="AA217" s="141"/>
      <c r="AB217" s="142"/>
      <c r="AC217" s="142"/>
      <c r="AD217" s="142"/>
      <c r="AE217" s="142"/>
      <c r="AF217" s="142"/>
      <c r="AG217" s="142"/>
      <c r="AH217" s="142"/>
      <c r="AI217" s="143"/>
      <c r="AJ217" s="144"/>
      <c r="AK217" s="145"/>
      <c r="AL217" s="145"/>
      <c r="AM217" s="145"/>
      <c r="AN217" s="145"/>
      <c r="AO217" s="146"/>
      <c r="AP217" s="147">
        <f>SUM(SUM(O217:O227),SUM(AI217:AI227)/2,AM217)</f>
        <v>0</v>
      </c>
      <c r="AQ217" s="148"/>
      <c r="AR217" s="148">
        <f>AP217*AQ217</f>
        <v>0</v>
      </c>
      <c r="AS217" s="148">
        <f>CT217</f>
        <v>0</v>
      </c>
      <c r="AT217" s="149">
        <f>AR217*0.75+AS217*0.25</f>
        <v>0</v>
      </c>
      <c r="AU217" s="150"/>
      <c r="AV217" s="151"/>
      <c r="AW217" s="151"/>
      <c r="AX217" s="152"/>
      <c r="AY217" s="153"/>
      <c r="AZ217" s="140"/>
      <c r="BA217" s="150"/>
      <c r="BB217" s="151"/>
      <c r="BC217" s="151"/>
      <c r="BD217" s="151"/>
      <c r="BE217" s="151"/>
      <c r="BF217" s="151"/>
      <c r="BG217" s="151"/>
      <c r="BH217" s="151"/>
      <c r="BI217" s="152"/>
      <c r="BJ217" s="154"/>
      <c r="BK217" s="151"/>
      <c r="BL217" s="151"/>
      <c r="BM217" s="151"/>
      <c r="BN217" s="151"/>
      <c r="BO217" s="155"/>
      <c r="BP217" s="140"/>
      <c r="BQ217" s="156"/>
      <c r="BR217" s="157"/>
      <c r="BS217" s="158"/>
      <c r="BT217" s="153"/>
      <c r="BU217" s="140"/>
      <c r="BV217" s="140"/>
      <c r="BW217" s="140"/>
      <c r="BX217" s="140"/>
      <c r="BY217" s="140"/>
      <c r="BZ217" s="140"/>
      <c r="CA217" s="140"/>
      <c r="CB217" s="140"/>
      <c r="CC217" s="140"/>
      <c r="CD217" s="150"/>
      <c r="CE217" s="155"/>
      <c r="CF217" s="150"/>
      <c r="CG217" s="155"/>
      <c r="CH217" s="159"/>
      <c r="CI217" s="160"/>
      <c r="CJ217" s="159"/>
      <c r="CK217" s="160"/>
      <c r="CL217" s="159"/>
      <c r="CM217" s="160"/>
      <c r="CN217" s="159"/>
      <c r="CO217" s="160"/>
      <c r="CP217" s="159"/>
      <c r="CQ217" s="162"/>
      <c r="CR217" s="160"/>
      <c r="CS217" s="163">
        <f>SUM(IF(AU217&lt;0,ABS(AU217),0),IF(AZ217&lt;0,ABS(AZ217),0),ABS(CI217),ABS(CK217),ABS(CM217),ABS(CO217),ABS(CQ217),ABS(CR217))</f>
        <v>0</v>
      </c>
      <c r="CT217" s="164">
        <f>SUM(AU217,AV217,AW217,AX217/400,AY217,AZ217,BG217,BH217*0.5,BI217*0.25,BJ217,BK217,BL217,BM217,BN217,BO217,BP217,BR217/20,BS217/100,BT217/60,BU217,BV217,BW217,BX217/4,SUM(BY217:CC227)/3,CE217,CG217/3,CI217,CK217,CM217,CO217,CQ217,CR217)</f>
        <v>0</v>
      </c>
      <c r="CU217" s="165" t="str">
        <f t="shared" si="2"/>
        <v/>
      </c>
    </row>
    <row r="218" ht="60.0" hidden="1" customHeight="1">
      <c r="A218" s="65"/>
      <c r="C218" s="167"/>
      <c r="D218" s="205"/>
      <c r="E218" s="206"/>
      <c r="F218" s="169"/>
      <c r="G218" s="207"/>
      <c r="H218" s="208"/>
      <c r="I218" s="169"/>
      <c r="J218" s="170"/>
      <c r="K218" s="171"/>
      <c r="L218" s="171"/>
      <c r="M218" s="171"/>
      <c r="N218" s="209"/>
      <c r="O218" s="172">
        <f t="shared" si="40"/>
        <v>0</v>
      </c>
      <c r="P218" s="166"/>
      <c r="Q218" s="173"/>
      <c r="R218" s="65"/>
      <c r="S218" s="173"/>
      <c r="T218" s="173"/>
      <c r="U218" s="166"/>
      <c r="V218" s="166"/>
      <c r="W218" s="65"/>
      <c r="X218" s="66"/>
      <c r="Y218" s="173"/>
      <c r="Z218" s="166"/>
      <c r="AA218" s="174"/>
      <c r="AB218" s="175"/>
      <c r="AC218" s="175"/>
      <c r="AD218" s="175"/>
      <c r="AE218" s="175"/>
      <c r="AF218" s="175"/>
      <c r="AG218" s="175"/>
      <c r="AH218" s="175"/>
      <c r="AI218" s="176"/>
      <c r="AJ218" s="177"/>
      <c r="AK218" s="178"/>
      <c r="AL218" s="178"/>
      <c r="AM218" s="178"/>
      <c r="AN218" s="178"/>
      <c r="AO218" s="179"/>
      <c r="AP218" s="64"/>
      <c r="AQ218" s="65"/>
      <c r="AR218" s="65"/>
      <c r="AS218" s="65"/>
      <c r="AT218" s="173"/>
      <c r="AU218" s="177"/>
      <c r="AV218" s="178"/>
      <c r="AW218" s="178"/>
      <c r="AX218" s="179"/>
      <c r="AZ218" s="166"/>
      <c r="BA218" s="177"/>
      <c r="BB218" s="178"/>
      <c r="BC218" s="178"/>
      <c r="BD218" s="178"/>
      <c r="BE218" s="178"/>
      <c r="BF218" s="178"/>
      <c r="BG218" s="178"/>
      <c r="BH218" s="178"/>
      <c r="BI218" s="179"/>
      <c r="BJ218" s="180"/>
      <c r="BK218" s="178"/>
      <c r="BL218" s="178"/>
      <c r="BM218" s="178"/>
      <c r="BN218" s="178"/>
      <c r="BO218" s="181"/>
      <c r="BP218" s="166"/>
      <c r="BQ218" s="177"/>
      <c r="BR218" s="178"/>
      <c r="BS218" s="179"/>
      <c r="BU218" s="166"/>
      <c r="BV218" s="166"/>
      <c r="BW218" s="166"/>
      <c r="BX218" s="166"/>
      <c r="BY218" s="166"/>
      <c r="BZ218" s="166"/>
      <c r="CA218" s="166"/>
      <c r="CB218" s="166"/>
      <c r="CC218" s="166"/>
      <c r="CD218" s="177"/>
      <c r="CE218" s="181"/>
      <c r="CF218" s="177"/>
      <c r="CG218" s="181"/>
      <c r="CH218" s="177"/>
      <c r="CI218" s="182"/>
      <c r="CJ218" s="177"/>
      <c r="CK218" s="182"/>
      <c r="CL218" s="177"/>
      <c r="CM218" s="182"/>
      <c r="CN218" s="177"/>
      <c r="CO218" s="182"/>
      <c r="CP218" s="177"/>
      <c r="CQ218" s="178"/>
      <c r="CR218" s="182"/>
      <c r="CS218" s="65"/>
      <c r="CT218" s="64"/>
      <c r="CU218" s="165" t="str">
        <f t="shared" si="2"/>
        <v/>
      </c>
    </row>
    <row r="219" ht="60.0" hidden="1" customHeight="1">
      <c r="A219" s="65"/>
      <c r="C219" s="167"/>
      <c r="D219" s="205"/>
      <c r="E219" s="206"/>
      <c r="F219" s="169"/>
      <c r="G219" s="207"/>
      <c r="H219" s="208"/>
      <c r="I219" s="169"/>
      <c r="J219" s="170"/>
      <c r="K219" s="171"/>
      <c r="L219" s="171"/>
      <c r="M219" s="171"/>
      <c r="N219" s="209"/>
      <c r="O219" s="172">
        <f t="shared" si="40"/>
        <v>0</v>
      </c>
      <c r="P219" s="166"/>
      <c r="Q219" s="173"/>
      <c r="R219" s="65"/>
      <c r="S219" s="173"/>
      <c r="T219" s="173"/>
      <c r="U219" s="166"/>
      <c r="V219" s="166"/>
      <c r="W219" s="65"/>
      <c r="X219" s="66"/>
      <c r="Y219" s="173"/>
      <c r="Z219" s="166"/>
      <c r="AA219" s="174"/>
      <c r="AB219" s="175"/>
      <c r="AC219" s="175"/>
      <c r="AD219" s="175"/>
      <c r="AE219" s="175"/>
      <c r="AF219" s="175"/>
      <c r="AG219" s="175"/>
      <c r="AH219" s="175"/>
      <c r="AI219" s="176"/>
      <c r="AJ219" s="177"/>
      <c r="AK219" s="178"/>
      <c r="AL219" s="178"/>
      <c r="AM219" s="178"/>
      <c r="AN219" s="178"/>
      <c r="AO219" s="179"/>
      <c r="AP219" s="64"/>
      <c r="AQ219" s="65"/>
      <c r="AR219" s="65"/>
      <c r="AS219" s="65"/>
      <c r="AT219" s="173"/>
      <c r="AU219" s="177"/>
      <c r="AV219" s="178"/>
      <c r="AW219" s="178"/>
      <c r="AX219" s="179"/>
      <c r="AZ219" s="166"/>
      <c r="BA219" s="177"/>
      <c r="BB219" s="178"/>
      <c r="BC219" s="178"/>
      <c r="BD219" s="178"/>
      <c r="BE219" s="178"/>
      <c r="BF219" s="178"/>
      <c r="BG219" s="178"/>
      <c r="BH219" s="178"/>
      <c r="BI219" s="179"/>
      <c r="BJ219" s="180"/>
      <c r="BK219" s="178"/>
      <c r="BL219" s="178"/>
      <c r="BM219" s="178"/>
      <c r="BN219" s="178"/>
      <c r="BO219" s="181"/>
      <c r="BP219" s="166"/>
      <c r="BQ219" s="177"/>
      <c r="BR219" s="178"/>
      <c r="BS219" s="179"/>
      <c r="BU219" s="166"/>
      <c r="BV219" s="166"/>
      <c r="BW219" s="166"/>
      <c r="BX219" s="166"/>
      <c r="BY219" s="166"/>
      <c r="BZ219" s="166"/>
      <c r="CA219" s="166"/>
      <c r="CB219" s="166"/>
      <c r="CC219" s="166"/>
      <c r="CD219" s="177"/>
      <c r="CE219" s="181"/>
      <c r="CF219" s="177"/>
      <c r="CG219" s="181"/>
      <c r="CH219" s="177"/>
      <c r="CI219" s="182"/>
      <c r="CJ219" s="177"/>
      <c r="CK219" s="182"/>
      <c r="CL219" s="177"/>
      <c r="CM219" s="182"/>
      <c r="CN219" s="177"/>
      <c r="CO219" s="182"/>
      <c r="CP219" s="177"/>
      <c r="CQ219" s="178"/>
      <c r="CR219" s="182"/>
      <c r="CS219" s="65"/>
      <c r="CT219" s="64"/>
      <c r="CU219" s="165" t="str">
        <f t="shared" si="2"/>
        <v/>
      </c>
    </row>
    <row r="220" ht="60.0" hidden="1" customHeight="1">
      <c r="A220" s="65"/>
      <c r="C220" s="167"/>
      <c r="D220" s="205"/>
      <c r="E220" s="206"/>
      <c r="F220" s="169"/>
      <c r="G220" s="207"/>
      <c r="H220" s="208"/>
      <c r="I220" s="169"/>
      <c r="J220" s="170"/>
      <c r="K220" s="171"/>
      <c r="L220" s="171"/>
      <c r="M220" s="171"/>
      <c r="N220" s="209"/>
      <c r="O220" s="172">
        <f t="shared" si="40"/>
        <v>0</v>
      </c>
      <c r="P220" s="166"/>
      <c r="Q220" s="173"/>
      <c r="R220" s="65"/>
      <c r="S220" s="173"/>
      <c r="T220" s="173"/>
      <c r="U220" s="166"/>
      <c r="V220" s="166"/>
      <c r="W220" s="65"/>
      <c r="X220" s="66"/>
      <c r="Y220" s="173"/>
      <c r="Z220" s="166"/>
      <c r="AA220" s="174"/>
      <c r="AB220" s="175"/>
      <c r="AC220" s="175"/>
      <c r="AD220" s="175"/>
      <c r="AE220" s="175"/>
      <c r="AF220" s="175"/>
      <c r="AG220" s="175"/>
      <c r="AH220" s="175"/>
      <c r="AI220" s="176"/>
      <c r="AJ220" s="177"/>
      <c r="AK220" s="178"/>
      <c r="AL220" s="178"/>
      <c r="AM220" s="178"/>
      <c r="AN220" s="178"/>
      <c r="AO220" s="179"/>
      <c r="AP220" s="64"/>
      <c r="AQ220" s="65"/>
      <c r="AR220" s="65"/>
      <c r="AS220" s="65"/>
      <c r="AT220" s="173"/>
      <c r="AU220" s="177"/>
      <c r="AV220" s="178"/>
      <c r="AW220" s="178"/>
      <c r="AX220" s="179"/>
      <c r="AZ220" s="166"/>
      <c r="BA220" s="177"/>
      <c r="BB220" s="178"/>
      <c r="BC220" s="178"/>
      <c r="BD220" s="178"/>
      <c r="BE220" s="178"/>
      <c r="BF220" s="178"/>
      <c r="BG220" s="178"/>
      <c r="BH220" s="178"/>
      <c r="BI220" s="179"/>
      <c r="BJ220" s="180"/>
      <c r="BK220" s="178"/>
      <c r="BL220" s="178"/>
      <c r="BM220" s="178"/>
      <c r="BN220" s="178"/>
      <c r="BO220" s="181"/>
      <c r="BP220" s="166"/>
      <c r="BQ220" s="177"/>
      <c r="BR220" s="178"/>
      <c r="BS220" s="179"/>
      <c r="BU220" s="166"/>
      <c r="BV220" s="166"/>
      <c r="BW220" s="166"/>
      <c r="BX220" s="166"/>
      <c r="BY220" s="166"/>
      <c r="BZ220" s="166"/>
      <c r="CA220" s="166"/>
      <c r="CB220" s="166"/>
      <c r="CC220" s="166"/>
      <c r="CD220" s="177"/>
      <c r="CE220" s="181"/>
      <c r="CF220" s="177"/>
      <c r="CG220" s="181"/>
      <c r="CH220" s="177"/>
      <c r="CI220" s="182"/>
      <c r="CJ220" s="177"/>
      <c r="CK220" s="182"/>
      <c r="CL220" s="177"/>
      <c r="CM220" s="182"/>
      <c r="CN220" s="177"/>
      <c r="CO220" s="182"/>
      <c r="CP220" s="177"/>
      <c r="CQ220" s="178"/>
      <c r="CR220" s="182"/>
      <c r="CS220" s="65"/>
      <c r="CT220" s="64"/>
      <c r="CU220" s="165" t="str">
        <f t="shared" si="2"/>
        <v/>
      </c>
    </row>
    <row r="221" ht="60.0" hidden="1" customHeight="1">
      <c r="A221" s="65"/>
      <c r="C221" s="167"/>
      <c r="D221" s="205"/>
      <c r="E221" s="206"/>
      <c r="F221" s="169"/>
      <c r="G221" s="207"/>
      <c r="H221" s="208"/>
      <c r="I221" s="169"/>
      <c r="J221" s="170"/>
      <c r="K221" s="171"/>
      <c r="L221" s="171"/>
      <c r="M221" s="171"/>
      <c r="N221" s="209"/>
      <c r="O221" s="172">
        <f t="shared" si="40"/>
        <v>0</v>
      </c>
      <c r="P221" s="166"/>
      <c r="Q221" s="173"/>
      <c r="R221" s="65"/>
      <c r="S221" s="173"/>
      <c r="T221" s="173"/>
      <c r="U221" s="166"/>
      <c r="V221" s="166"/>
      <c r="W221" s="65"/>
      <c r="X221" s="66"/>
      <c r="Y221" s="173"/>
      <c r="Z221" s="166"/>
      <c r="AA221" s="174"/>
      <c r="AB221" s="175"/>
      <c r="AC221" s="175"/>
      <c r="AD221" s="175"/>
      <c r="AE221" s="175"/>
      <c r="AF221" s="175"/>
      <c r="AG221" s="175"/>
      <c r="AH221" s="175"/>
      <c r="AI221" s="176"/>
      <c r="AJ221" s="177"/>
      <c r="AK221" s="178"/>
      <c r="AL221" s="178"/>
      <c r="AM221" s="178"/>
      <c r="AN221" s="178"/>
      <c r="AO221" s="179"/>
      <c r="AP221" s="64"/>
      <c r="AQ221" s="65"/>
      <c r="AR221" s="65"/>
      <c r="AS221" s="65"/>
      <c r="AT221" s="173"/>
      <c r="AU221" s="177"/>
      <c r="AV221" s="178"/>
      <c r="AW221" s="178"/>
      <c r="AX221" s="179"/>
      <c r="AZ221" s="166"/>
      <c r="BA221" s="177"/>
      <c r="BB221" s="178"/>
      <c r="BC221" s="178"/>
      <c r="BD221" s="178"/>
      <c r="BE221" s="178"/>
      <c r="BF221" s="178"/>
      <c r="BG221" s="178"/>
      <c r="BH221" s="178"/>
      <c r="BI221" s="179"/>
      <c r="BJ221" s="180"/>
      <c r="BK221" s="178"/>
      <c r="BL221" s="178"/>
      <c r="BM221" s="178"/>
      <c r="BN221" s="178"/>
      <c r="BO221" s="181"/>
      <c r="BP221" s="166"/>
      <c r="BQ221" s="177"/>
      <c r="BR221" s="178"/>
      <c r="BS221" s="179"/>
      <c r="BU221" s="166"/>
      <c r="BV221" s="166"/>
      <c r="BW221" s="166"/>
      <c r="BX221" s="166"/>
      <c r="BY221" s="166"/>
      <c r="BZ221" s="166"/>
      <c r="CA221" s="166"/>
      <c r="CB221" s="166"/>
      <c r="CC221" s="166"/>
      <c r="CD221" s="177"/>
      <c r="CE221" s="181"/>
      <c r="CF221" s="177"/>
      <c r="CG221" s="181"/>
      <c r="CH221" s="177"/>
      <c r="CI221" s="182"/>
      <c r="CJ221" s="177"/>
      <c r="CK221" s="182"/>
      <c r="CL221" s="177"/>
      <c r="CM221" s="182"/>
      <c r="CN221" s="177"/>
      <c r="CO221" s="182"/>
      <c r="CP221" s="177"/>
      <c r="CQ221" s="178"/>
      <c r="CR221" s="182"/>
      <c r="CS221" s="65"/>
      <c r="CT221" s="64"/>
      <c r="CU221" s="165" t="str">
        <f t="shared" si="2"/>
        <v/>
      </c>
    </row>
    <row r="222" ht="60.0" hidden="1" customHeight="1">
      <c r="A222" s="65"/>
      <c r="C222" s="167"/>
      <c r="D222" s="205"/>
      <c r="E222" s="206"/>
      <c r="F222" s="169"/>
      <c r="G222" s="207"/>
      <c r="H222" s="208"/>
      <c r="I222" s="169"/>
      <c r="J222" s="170"/>
      <c r="K222" s="171"/>
      <c r="L222" s="171"/>
      <c r="M222" s="171"/>
      <c r="N222" s="209"/>
      <c r="O222" s="172">
        <f t="shared" si="40"/>
        <v>0</v>
      </c>
      <c r="P222" s="166"/>
      <c r="Q222" s="173"/>
      <c r="R222" s="65"/>
      <c r="S222" s="173"/>
      <c r="T222" s="173"/>
      <c r="U222" s="166"/>
      <c r="V222" s="166"/>
      <c r="W222" s="65"/>
      <c r="X222" s="66"/>
      <c r="Y222" s="173"/>
      <c r="Z222" s="166"/>
      <c r="AA222" s="174"/>
      <c r="AB222" s="175"/>
      <c r="AC222" s="175"/>
      <c r="AD222" s="175"/>
      <c r="AE222" s="175"/>
      <c r="AF222" s="175"/>
      <c r="AG222" s="175"/>
      <c r="AH222" s="175"/>
      <c r="AI222" s="176"/>
      <c r="AJ222" s="177"/>
      <c r="AK222" s="178"/>
      <c r="AL222" s="178"/>
      <c r="AM222" s="178"/>
      <c r="AN222" s="178"/>
      <c r="AO222" s="179"/>
      <c r="AP222" s="64"/>
      <c r="AQ222" s="65"/>
      <c r="AR222" s="65"/>
      <c r="AS222" s="65"/>
      <c r="AT222" s="173"/>
      <c r="AU222" s="177"/>
      <c r="AV222" s="178"/>
      <c r="AW222" s="178"/>
      <c r="AX222" s="179"/>
      <c r="AZ222" s="166"/>
      <c r="BA222" s="177"/>
      <c r="BB222" s="178"/>
      <c r="BC222" s="178"/>
      <c r="BD222" s="178"/>
      <c r="BE222" s="178"/>
      <c r="BF222" s="178"/>
      <c r="BG222" s="178"/>
      <c r="BH222" s="178"/>
      <c r="BI222" s="179"/>
      <c r="BJ222" s="180"/>
      <c r="BK222" s="178"/>
      <c r="BL222" s="178"/>
      <c r="BM222" s="178"/>
      <c r="BN222" s="178"/>
      <c r="BO222" s="181"/>
      <c r="BP222" s="166"/>
      <c r="BQ222" s="177"/>
      <c r="BR222" s="178"/>
      <c r="BS222" s="179"/>
      <c r="BU222" s="166"/>
      <c r="BV222" s="166"/>
      <c r="BW222" s="166"/>
      <c r="BX222" s="166"/>
      <c r="BY222" s="166"/>
      <c r="BZ222" s="166"/>
      <c r="CA222" s="166"/>
      <c r="CB222" s="166"/>
      <c r="CC222" s="166"/>
      <c r="CD222" s="177"/>
      <c r="CE222" s="181"/>
      <c r="CF222" s="177"/>
      <c r="CG222" s="181"/>
      <c r="CH222" s="177"/>
      <c r="CI222" s="182"/>
      <c r="CJ222" s="177"/>
      <c r="CK222" s="182"/>
      <c r="CL222" s="177"/>
      <c r="CM222" s="182"/>
      <c r="CN222" s="177"/>
      <c r="CO222" s="182"/>
      <c r="CP222" s="177"/>
      <c r="CQ222" s="178"/>
      <c r="CR222" s="182"/>
      <c r="CS222" s="65"/>
      <c r="CT222" s="64"/>
      <c r="CU222" s="165" t="str">
        <f t="shared" si="2"/>
        <v/>
      </c>
    </row>
    <row r="223" ht="60.0" hidden="1" customHeight="1">
      <c r="A223" s="65"/>
      <c r="C223" s="167"/>
      <c r="D223" s="205"/>
      <c r="E223" s="206"/>
      <c r="F223" s="169"/>
      <c r="G223" s="207"/>
      <c r="H223" s="208"/>
      <c r="I223" s="169"/>
      <c r="J223" s="170"/>
      <c r="K223" s="171"/>
      <c r="L223" s="171"/>
      <c r="M223" s="171"/>
      <c r="N223" s="209"/>
      <c r="O223" s="172">
        <f t="shared" ref="O223:O226" si="41">IF(AND(M223&gt;=20,M223&lt;&gt;"m",RIGHT(K223,3)="Lec"),1,IF(AND(M223&gt;=20,M223&lt;&gt;"m",OR(RIGHT(K223,3)="Lab",RIGHT(K223,3)="Tut")),0.5,IF(AND(M223&gt;=20,M223&lt;&gt;"m",RIGHT(K223,2)="TL"),0.75,0)))</f>
        <v>0</v>
      </c>
      <c r="P223" s="166"/>
      <c r="Q223" s="173"/>
      <c r="R223" s="65"/>
      <c r="S223" s="173"/>
      <c r="T223" s="173"/>
      <c r="U223" s="166"/>
      <c r="V223" s="166"/>
      <c r="W223" s="65"/>
      <c r="X223" s="66"/>
      <c r="Y223" s="173"/>
      <c r="Z223" s="166"/>
      <c r="AA223" s="174"/>
      <c r="AB223" s="175"/>
      <c r="AC223" s="175"/>
      <c r="AD223" s="175"/>
      <c r="AE223" s="175"/>
      <c r="AF223" s="175"/>
      <c r="AG223" s="175"/>
      <c r="AH223" s="175"/>
      <c r="AI223" s="176"/>
      <c r="AJ223" s="177"/>
      <c r="AK223" s="178"/>
      <c r="AL223" s="178"/>
      <c r="AM223" s="178"/>
      <c r="AN223" s="178"/>
      <c r="AO223" s="179"/>
      <c r="AP223" s="64"/>
      <c r="AQ223" s="65"/>
      <c r="AR223" s="65"/>
      <c r="AS223" s="65"/>
      <c r="AT223" s="173"/>
      <c r="AU223" s="177"/>
      <c r="AV223" s="178"/>
      <c r="AW223" s="178"/>
      <c r="AX223" s="179"/>
      <c r="AZ223" s="166"/>
      <c r="BA223" s="177"/>
      <c r="BB223" s="178"/>
      <c r="BC223" s="178"/>
      <c r="BD223" s="178"/>
      <c r="BE223" s="178"/>
      <c r="BF223" s="178"/>
      <c r="BG223" s="178"/>
      <c r="BH223" s="178"/>
      <c r="BI223" s="179"/>
      <c r="BJ223" s="180"/>
      <c r="BK223" s="178"/>
      <c r="BL223" s="178"/>
      <c r="BM223" s="178"/>
      <c r="BN223" s="178"/>
      <c r="BO223" s="181"/>
      <c r="BP223" s="166"/>
      <c r="BQ223" s="177"/>
      <c r="BR223" s="178"/>
      <c r="BS223" s="179"/>
      <c r="BU223" s="166"/>
      <c r="BV223" s="166"/>
      <c r="BW223" s="166"/>
      <c r="BX223" s="166"/>
      <c r="BY223" s="166"/>
      <c r="BZ223" s="166"/>
      <c r="CA223" s="166"/>
      <c r="CB223" s="166"/>
      <c r="CC223" s="166"/>
      <c r="CD223" s="177"/>
      <c r="CE223" s="181"/>
      <c r="CF223" s="177"/>
      <c r="CG223" s="181"/>
      <c r="CH223" s="177"/>
      <c r="CI223" s="182"/>
      <c r="CJ223" s="177"/>
      <c r="CK223" s="182"/>
      <c r="CL223" s="177"/>
      <c r="CM223" s="182"/>
      <c r="CN223" s="177"/>
      <c r="CO223" s="182"/>
      <c r="CP223" s="177"/>
      <c r="CQ223" s="178"/>
      <c r="CR223" s="182"/>
      <c r="CS223" s="65"/>
      <c r="CT223" s="64"/>
      <c r="CU223" s="165" t="str">
        <f t="shared" si="2"/>
        <v/>
      </c>
    </row>
    <row r="224" ht="60.0" hidden="1" customHeight="1">
      <c r="A224" s="65"/>
      <c r="C224" s="167"/>
      <c r="D224" s="205"/>
      <c r="E224" s="206"/>
      <c r="F224" s="169"/>
      <c r="G224" s="207"/>
      <c r="H224" s="208"/>
      <c r="I224" s="169"/>
      <c r="J224" s="170"/>
      <c r="K224" s="171"/>
      <c r="L224" s="171"/>
      <c r="M224" s="171"/>
      <c r="N224" s="209"/>
      <c r="O224" s="172">
        <f t="shared" si="41"/>
        <v>0</v>
      </c>
      <c r="P224" s="166"/>
      <c r="Q224" s="173"/>
      <c r="R224" s="65"/>
      <c r="S224" s="173"/>
      <c r="T224" s="173"/>
      <c r="U224" s="166"/>
      <c r="V224" s="166"/>
      <c r="W224" s="65"/>
      <c r="X224" s="66"/>
      <c r="Y224" s="173"/>
      <c r="Z224" s="166"/>
      <c r="AA224" s="174"/>
      <c r="AB224" s="175"/>
      <c r="AC224" s="175"/>
      <c r="AD224" s="175"/>
      <c r="AE224" s="175"/>
      <c r="AF224" s="175"/>
      <c r="AG224" s="175"/>
      <c r="AH224" s="175"/>
      <c r="AI224" s="176"/>
      <c r="AJ224" s="177"/>
      <c r="AK224" s="178"/>
      <c r="AL224" s="178"/>
      <c r="AM224" s="178"/>
      <c r="AN224" s="178"/>
      <c r="AO224" s="179"/>
      <c r="AP224" s="64"/>
      <c r="AQ224" s="65"/>
      <c r="AR224" s="65"/>
      <c r="AS224" s="65"/>
      <c r="AT224" s="173"/>
      <c r="AU224" s="177"/>
      <c r="AV224" s="178"/>
      <c r="AW224" s="178"/>
      <c r="AX224" s="179"/>
      <c r="AZ224" s="166"/>
      <c r="BA224" s="177"/>
      <c r="BB224" s="178"/>
      <c r="BC224" s="178"/>
      <c r="BD224" s="178"/>
      <c r="BE224" s="178"/>
      <c r="BF224" s="178"/>
      <c r="BG224" s="178"/>
      <c r="BH224" s="178"/>
      <c r="BI224" s="179"/>
      <c r="BJ224" s="180"/>
      <c r="BK224" s="178"/>
      <c r="BL224" s="178"/>
      <c r="BM224" s="178"/>
      <c r="BN224" s="178"/>
      <c r="BO224" s="181"/>
      <c r="BP224" s="166"/>
      <c r="BQ224" s="177"/>
      <c r="BR224" s="178"/>
      <c r="BS224" s="179"/>
      <c r="BU224" s="166"/>
      <c r="BV224" s="166"/>
      <c r="BW224" s="166"/>
      <c r="BX224" s="166"/>
      <c r="BY224" s="166"/>
      <c r="BZ224" s="166"/>
      <c r="CA224" s="166"/>
      <c r="CB224" s="166"/>
      <c r="CC224" s="166"/>
      <c r="CD224" s="177"/>
      <c r="CE224" s="181"/>
      <c r="CF224" s="177"/>
      <c r="CG224" s="181"/>
      <c r="CH224" s="177"/>
      <c r="CI224" s="182"/>
      <c r="CJ224" s="177"/>
      <c r="CK224" s="182"/>
      <c r="CL224" s="177"/>
      <c r="CM224" s="182"/>
      <c r="CN224" s="177"/>
      <c r="CO224" s="182"/>
      <c r="CP224" s="177"/>
      <c r="CQ224" s="178"/>
      <c r="CR224" s="182"/>
      <c r="CS224" s="65"/>
      <c r="CT224" s="64"/>
      <c r="CU224" s="165" t="str">
        <f t="shared" si="2"/>
        <v/>
      </c>
    </row>
    <row r="225" ht="60.0" hidden="1" customHeight="1">
      <c r="A225" s="65"/>
      <c r="C225" s="167"/>
      <c r="D225" s="205"/>
      <c r="E225" s="206"/>
      <c r="F225" s="169"/>
      <c r="G225" s="207"/>
      <c r="H225" s="208"/>
      <c r="I225" s="169"/>
      <c r="J225" s="170"/>
      <c r="K225" s="171"/>
      <c r="L225" s="171"/>
      <c r="M225" s="171"/>
      <c r="N225" s="209"/>
      <c r="O225" s="172">
        <f t="shared" si="41"/>
        <v>0</v>
      </c>
      <c r="P225" s="166"/>
      <c r="Q225" s="173"/>
      <c r="R225" s="65"/>
      <c r="S225" s="173"/>
      <c r="T225" s="173"/>
      <c r="U225" s="166"/>
      <c r="V225" s="166"/>
      <c r="W225" s="65"/>
      <c r="X225" s="66"/>
      <c r="Y225" s="173"/>
      <c r="Z225" s="166"/>
      <c r="AA225" s="174"/>
      <c r="AB225" s="175"/>
      <c r="AC225" s="175"/>
      <c r="AD225" s="175"/>
      <c r="AE225" s="175"/>
      <c r="AF225" s="175"/>
      <c r="AG225" s="175"/>
      <c r="AH225" s="175"/>
      <c r="AI225" s="176"/>
      <c r="AJ225" s="177"/>
      <c r="AK225" s="178"/>
      <c r="AL225" s="178"/>
      <c r="AM225" s="178"/>
      <c r="AN225" s="178"/>
      <c r="AO225" s="179"/>
      <c r="AP225" s="64"/>
      <c r="AQ225" s="65"/>
      <c r="AR225" s="65"/>
      <c r="AS225" s="65"/>
      <c r="AT225" s="173"/>
      <c r="AU225" s="177"/>
      <c r="AV225" s="178"/>
      <c r="AW225" s="178"/>
      <c r="AX225" s="179"/>
      <c r="AZ225" s="166"/>
      <c r="BA225" s="177"/>
      <c r="BB225" s="178"/>
      <c r="BC225" s="178"/>
      <c r="BD225" s="178"/>
      <c r="BE225" s="178"/>
      <c r="BF225" s="178"/>
      <c r="BG225" s="178"/>
      <c r="BH225" s="178"/>
      <c r="BI225" s="179"/>
      <c r="BJ225" s="180"/>
      <c r="BK225" s="178"/>
      <c r="BL225" s="178"/>
      <c r="BM225" s="178"/>
      <c r="BN225" s="178"/>
      <c r="BO225" s="181"/>
      <c r="BP225" s="166"/>
      <c r="BQ225" s="177"/>
      <c r="BR225" s="178"/>
      <c r="BS225" s="179"/>
      <c r="BU225" s="166"/>
      <c r="BV225" s="166"/>
      <c r="BW225" s="166"/>
      <c r="BX225" s="166"/>
      <c r="BY225" s="166"/>
      <c r="BZ225" s="166"/>
      <c r="CA225" s="166"/>
      <c r="CB225" s="166"/>
      <c r="CC225" s="166"/>
      <c r="CD225" s="177"/>
      <c r="CE225" s="181"/>
      <c r="CF225" s="177"/>
      <c r="CG225" s="181"/>
      <c r="CH225" s="177"/>
      <c r="CI225" s="182"/>
      <c r="CJ225" s="177"/>
      <c r="CK225" s="182"/>
      <c r="CL225" s="177"/>
      <c r="CM225" s="182"/>
      <c r="CN225" s="177"/>
      <c r="CO225" s="182"/>
      <c r="CP225" s="177"/>
      <c r="CQ225" s="178"/>
      <c r="CR225" s="182"/>
      <c r="CS225" s="65"/>
      <c r="CT225" s="64"/>
      <c r="CU225" s="165" t="str">
        <f t="shared" si="2"/>
        <v/>
      </c>
    </row>
    <row r="226" ht="60.0" hidden="1" customHeight="1">
      <c r="A226" s="65"/>
      <c r="C226" s="167"/>
      <c r="D226" s="205"/>
      <c r="E226" s="206"/>
      <c r="F226" s="169"/>
      <c r="G226" s="207"/>
      <c r="H226" s="208"/>
      <c r="I226" s="169"/>
      <c r="J226" s="170"/>
      <c r="K226" s="171"/>
      <c r="L226" s="171"/>
      <c r="M226" s="171"/>
      <c r="N226" s="209"/>
      <c r="O226" s="172">
        <f t="shared" si="41"/>
        <v>0</v>
      </c>
      <c r="P226" s="166"/>
      <c r="Q226" s="173"/>
      <c r="R226" s="65"/>
      <c r="S226" s="173"/>
      <c r="T226" s="173"/>
      <c r="U226" s="166"/>
      <c r="V226" s="166"/>
      <c r="W226" s="65"/>
      <c r="X226" s="66"/>
      <c r="Y226" s="173"/>
      <c r="Z226" s="166"/>
      <c r="AA226" s="174"/>
      <c r="AB226" s="175"/>
      <c r="AC226" s="175"/>
      <c r="AD226" s="175"/>
      <c r="AE226" s="175"/>
      <c r="AF226" s="175"/>
      <c r="AG226" s="175"/>
      <c r="AH226" s="175"/>
      <c r="AI226" s="176"/>
      <c r="AJ226" s="177"/>
      <c r="AK226" s="178"/>
      <c r="AL226" s="178"/>
      <c r="AM226" s="178"/>
      <c r="AN226" s="178"/>
      <c r="AO226" s="179"/>
      <c r="AP226" s="64"/>
      <c r="AQ226" s="65"/>
      <c r="AR226" s="65"/>
      <c r="AS226" s="65"/>
      <c r="AT226" s="173"/>
      <c r="AU226" s="177"/>
      <c r="AV226" s="178"/>
      <c r="AW226" s="178"/>
      <c r="AX226" s="179"/>
      <c r="AZ226" s="166"/>
      <c r="BA226" s="177"/>
      <c r="BB226" s="178"/>
      <c r="BC226" s="178"/>
      <c r="BD226" s="178"/>
      <c r="BE226" s="178"/>
      <c r="BF226" s="178"/>
      <c r="BG226" s="178"/>
      <c r="BH226" s="178"/>
      <c r="BI226" s="179"/>
      <c r="BJ226" s="180"/>
      <c r="BK226" s="178"/>
      <c r="BL226" s="178"/>
      <c r="BM226" s="178"/>
      <c r="BN226" s="178"/>
      <c r="BO226" s="181"/>
      <c r="BP226" s="166"/>
      <c r="BQ226" s="177"/>
      <c r="BR226" s="178"/>
      <c r="BS226" s="179"/>
      <c r="BU226" s="166"/>
      <c r="BV226" s="166"/>
      <c r="BW226" s="166"/>
      <c r="BX226" s="166"/>
      <c r="BY226" s="166"/>
      <c r="BZ226" s="166"/>
      <c r="CA226" s="166"/>
      <c r="CB226" s="166"/>
      <c r="CC226" s="166"/>
      <c r="CD226" s="177"/>
      <c r="CE226" s="181"/>
      <c r="CF226" s="177"/>
      <c r="CG226" s="181"/>
      <c r="CH226" s="177"/>
      <c r="CI226" s="182"/>
      <c r="CJ226" s="177"/>
      <c r="CK226" s="182"/>
      <c r="CL226" s="177"/>
      <c r="CM226" s="182"/>
      <c r="CN226" s="177"/>
      <c r="CO226" s="182"/>
      <c r="CP226" s="177"/>
      <c r="CQ226" s="178"/>
      <c r="CR226" s="182"/>
      <c r="CS226" s="65"/>
      <c r="CT226" s="64"/>
      <c r="CU226" s="165" t="str">
        <f t="shared" si="2"/>
        <v/>
      </c>
    </row>
    <row r="227" ht="60.0" hidden="1" customHeight="1">
      <c r="A227" s="89"/>
      <c r="B227" s="6"/>
      <c r="C227" s="183"/>
      <c r="D227" s="210"/>
      <c r="E227" s="211"/>
      <c r="F227" s="185"/>
      <c r="G227" s="212"/>
      <c r="H227" s="213"/>
      <c r="I227" s="185"/>
      <c r="J227" s="186"/>
      <c r="K227" s="187"/>
      <c r="L227" s="187"/>
      <c r="M227" s="187"/>
      <c r="N227" s="214"/>
      <c r="O227" s="188">
        <f t="shared" ref="O227:O233" si="42">IF(AND(M227&lt;&gt;0,M227&lt;&gt;"m",M227&lt;&gt;"",RIGHT(K227,3)="Lec"),1,IF(AND(M227&lt;&gt;0,M227&lt;&gt;"m",M227&lt;&gt;"",OR(RIGHT(K227,3)="Lab",RIGHT(K227,3)="Tut")),0.5,IF(AND(M227&lt;&gt;0,M227&lt;&gt;"m",M227&lt;&gt;"",RIGHT(K227,2)="TL"),0.75,0)))</f>
        <v>0</v>
      </c>
      <c r="P227" s="63"/>
      <c r="Q227" s="69"/>
      <c r="R227" s="89"/>
      <c r="S227" s="69"/>
      <c r="T227" s="69"/>
      <c r="U227" s="63"/>
      <c r="V227" s="63"/>
      <c r="W227" s="89"/>
      <c r="X227" s="68"/>
      <c r="Y227" s="69"/>
      <c r="Z227" s="63"/>
      <c r="AA227" s="189"/>
      <c r="AB227" s="190"/>
      <c r="AC227" s="190"/>
      <c r="AD227" s="190"/>
      <c r="AE227" s="190"/>
      <c r="AF227" s="190"/>
      <c r="AG227" s="190"/>
      <c r="AH227" s="190"/>
      <c r="AI227" s="191"/>
      <c r="AJ227" s="192"/>
      <c r="AK227" s="193"/>
      <c r="AL227" s="193"/>
      <c r="AM227" s="193"/>
      <c r="AN227" s="193"/>
      <c r="AO227" s="194"/>
      <c r="AP227" s="103"/>
      <c r="AQ227" s="89"/>
      <c r="AR227" s="89"/>
      <c r="AS227" s="89"/>
      <c r="AT227" s="69"/>
      <c r="AU227" s="192"/>
      <c r="AV227" s="193"/>
      <c r="AW227" s="193"/>
      <c r="AX227" s="194"/>
      <c r="AY227" s="6"/>
      <c r="AZ227" s="63"/>
      <c r="BA227" s="192"/>
      <c r="BB227" s="193"/>
      <c r="BC227" s="193"/>
      <c r="BD227" s="193"/>
      <c r="BE227" s="193"/>
      <c r="BF227" s="193"/>
      <c r="BG227" s="193"/>
      <c r="BH227" s="193"/>
      <c r="BI227" s="194"/>
      <c r="BJ227" s="195"/>
      <c r="BK227" s="193"/>
      <c r="BL227" s="193"/>
      <c r="BM227" s="193"/>
      <c r="BN227" s="193"/>
      <c r="BO227" s="196"/>
      <c r="BP227" s="63"/>
      <c r="BQ227" s="192"/>
      <c r="BR227" s="193"/>
      <c r="BS227" s="194"/>
      <c r="BT227" s="6"/>
      <c r="BU227" s="63"/>
      <c r="BV227" s="63"/>
      <c r="BW227" s="63"/>
      <c r="BX227" s="63"/>
      <c r="BY227" s="63"/>
      <c r="BZ227" s="63"/>
      <c r="CA227" s="63"/>
      <c r="CB227" s="63"/>
      <c r="CC227" s="63"/>
      <c r="CD227" s="192"/>
      <c r="CE227" s="196"/>
      <c r="CF227" s="192"/>
      <c r="CG227" s="196"/>
      <c r="CH227" s="192"/>
      <c r="CI227" s="197"/>
      <c r="CJ227" s="192"/>
      <c r="CK227" s="197"/>
      <c r="CL227" s="192"/>
      <c r="CM227" s="197"/>
      <c r="CN227" s="192"/>
      <c r="CO227" s="197"/>
      <c r="CP227" s="192"/>
      <c r="CQ227" s="193"/>
      <c r="CR227" s="197"/>
      <c r="CS227" s="89"/>
      <c r="CT227" s="103"/>
      <c r="CU227" s="165" t="str">
        <f t="shared" si="2"/>
        <v/>
      </c>
    </row>
    <row r="228" ht="56.25" hidden="1" customHeight="1">
      <c r="A228" s="125">
        <v>21.0</v>
      </c>
      <c r="B228" s="199"/>
      <c r="C228" s="127"/>
      <c r="D228" s="128"/>
      <c r="E228" s="215"/>
      <c r="F228" s="216"/>
      <c r="G228" s="217"/>
      <c r="H228" s="218"/>
      <c r="I228" s="216"/>
      <c r="J228" s="170"/>
      <c r="K228" s="219"/>
      <c r="L228" s="219"/>
      <c r="M228" s="219"/>
      <c r="N228" s="220"/>
      <c r="O228" s="132">
        <f t="shared" si="42"/>
        <v>0</v>
      </c>
      <c r="P228" s="133">
        <f>COUNTIF(K228:K238,"TL")*0.75+COUNTIF(K228:K238,"Lec")*1+COUNTIF(K228:K238,"Lab")*0.5</f>
        <v>0</v>
      </c>
      <c r="Q228" s="134">
        <f>SUM((IF(LEFT(K228,1)="E",O228,0)),(IF(LEFT(K229,1)="E",O229,0)),(IF(LEFT(K230,1)="E",O230,0)),(IF(LEFT(K231,1)="E",O231,0)),(IF(LEFT(K232,1)="E",O232,0)),(IF(LEFT(K233,1)="E",O233,0)),(IF(LEFT(K234,1)="E",O234,0)),(IF(LEFT(K235,1)="E",O235,0)),(IF(LEFT(K236,1)="E",O236,0)),(IF(LEFT(K237,1)="E",O237,0)),(IF(LEFT(K238,1)="E",O238,0)))</f>
        <v>0</v>
      </c>
      <c r="R228" s="135">
        <f>SUM(IF(M234&lt;20,IF(K234="Plec",-1,IF(K234="PTL",-0.75,IF(K234="Plab",-0.5,0))),0),IF(M235&lt;20,IF(K235="Plec",-1,IF(K235="PTL",-0.75,IF(K235="Plab",-0.5,0))),0),IF(M236&lt;20,IF(K236="Plec",-1,IF(K236="PTL",-0.75,IF(K236="Plab",-0.5,0))),0),IF(M237&lt;20,IF(K237="Plec",-1,IF(K237="PTL",-0.75,IF(K237="Plab",-0.5,0))),0))</f>
        <v>0</v>
      </c>
      <c r="S228" s="134">
        <f>SUM(P228:R238)</f>
        <v>0</v>
      </c>
      <c r="T228" s="136">
        <f>SUM(IF(M228="M",IF(OR(K228="lec",K228="plec",K228="slec"),1,IF(OR(K228="lab",K228="plab",K228="slab",K228="tut",K228="ptut",K228="stut"),0.5,IF(OR(K228="TL",K228="pTL",K228="STL"),0.75,0))),0),IF(M229="M",IF(OR(K229="lec",K229="plec",K229="slec"),1,IF(OR(K229="lab",K229="plab",K229="slab",K229="tut",K229="ptut",K229="stut"),0.5,IF(OR(K229="TL",K229="pTL",K229="STL"),0.75,0))),0),IF(M230="M",IF(OR(K230="lec",K230="plec",K230="slec"),1,IF(OR(K230="lab",K230="plab",K230="slab",K230="tut",K230="ptut",K230="stut"),0.5,IF(OR(K230="TL",K230="pTL",K230="STL"),0.75,0))),0),IF(M231="M",IF(OR(K231="lec",K231="plec",K231="slec"),1,IF(OR(K231="lab",K231="plab",K231="slab",K231="tut",K231="ptut",K231="stut"),0.5,IF(OR(K231="TL",K231="pTL",K231="STL"),0.75,0))),0),IF(M232="M",IF(OR(K232="lec",K232="plec",K232="slec"),1,IF(OR(K232="lab",K232="plab",K232="slab",K232="tut",K232="ptut",K232="stut"),0.5,IF(OR(K232="TL",K232="pTL",K232="STL"),0.75,0))),0),IF(M233="M",IF(OR(K233="lec",K233="plec",K233="slec"),1,IF(OR(K233="lab",K233="plab",K233="slab",K233="tut",K233="ptut",K233="stut"),0.5,IF(OR(K233="TL",K233="pTL",K233="STL"),0.75,0))),0),IF(M234="M",IF(OR(K234="lec",K234="plec",K234="slec"),1,IF(OR(K234="lab",K234="plab",K234="slab",K234="tut",K234="ptut",K234="stut"),0.5,IF(OR(K234="TL",K234="pTL",K234="STL"),0.75,0))),0),IF(M235="M",IF(OR(K235="lec",K235="plec",K235="slec"),1,IF(OR(K235="lab",K235="plab",K235="slab",K235="tut",K235="ptut",K235="stut"),0.5,IF(OR(K235="TL",K235="pTL",K235="STL"),0.75,0))),0),IF(M236="M",IF(OR(K236="lec",K236="plec",K236="slec"),1,IF(OR(K236="lab",K236="plab",K236="slab",K236="tut",K236="ptut",K236="stut"),0.5,IF(OR(K236="TL",K236="pTL",K236="STL"),0.75,0))),0),IF(M237="M",IF(OR(K237="lec",K237="plec",K237="slec"),1,IF(OR(K237="lab",K237="plab",K237="slab",K237="tut",K237="ptut",K237="stut"),0.5,IF(OR(K237="TL",K237="pTL",K237="STL"),0.75,0))),0),IF(M238="M",IF(OR(K238="lec",K238="plec",K238="slec"),1,IF(OR(K238="lab",K238="plab",K238="slab",K238="tut",K238="ptut",K238="stut"),0.5,IF(OR(K238="TL",K238="pTL",K238="STL"),0.75,0))),0))</f>
        <v>0</v>
      </c>
      <c r="U228" s="137"/>
      <c r="V228" s="133"/>
      <c r="W228" s="138"/>
      <c r="X228" s="139">
        <f>S228-(T228+U228+V228+W228)</f>
        <v>0</v>
      </c>
      <c r="Y228" s="134" t="str">
        <f>CONCATENATE(SUM(O228:O238),"(",SUM(O228:O238)-X228,")")</f>
        <v>0(0)</v>
      </c>
      <c r="Z228" s="140"/>
      <c r="AA228" s="141"/>
      <c r="AB228" s="142"/>
      <c r="AC228" s="142"/>
      <c r="AD228" s="142"/>
      <c r="AE228" s="142"/>
      <c r="AF228" s="142"/>
      <c r="AG228" s="142"/>
      <c r="AH228" s="142"/>
      <c r="AI228" s="143"/>
      <c r="AJ228" s="144"/>
      <c r="AK228" s="145"/>
      <c r="AL228" s="145"/>
      <c r="AM228" s="145"/>
      <c r="AN228" s="145"/>
      <c r="AO228" s="146"/>
      <c r="AP228" s="147">
        <f>SUM(SUM(O228:O238),SUM(AI228:AI238)/2,AM228)</f>
        <v>0</v>
      </c>
      <c r="AQ228" s="148"/>
      <c r="AR228" s="148">
        <f>AP228*AQ228</f>
        <v>0</v>
      </c>
      <c r="AS228" s="148">
        <f>CT228</f>
        <v>0</v>
      </c>
      <c r="AT228" s="149">
        <f>AR228*0.75+AS228*0.25</f>
        <v>0</v>
      </c>
      <c r="AU228" s="150"/>
      <c r="AV228" s="151"/>
      <c r="AW228" s="151"/>
      <c r="AX228" s="152"/>
      <c r="AY228" s="153"/>
      <c r="AZ228" s="140"/>
      <c r="BA228" s="150"/>
      <c r="BB228" s="151"/>
      <c r="BC228" s="151"/>
      <c r="BD228" s="151"/>
      <c r="BE228" s="151"/>
      <c r="BF228" s="151"/>
      <c r="BG228" s="151"/>
      <c r="BH228" s="151"/>
      <c r="BI228" s="152"/>
      <c r="BJ228" s="154"/>
      <c r="BK228" s="151"/>
      <c r="BL228" s="151"/>
      <c r="BM228" s="151"/>
      <c r="BN228" s="151"/>
      <c r="BO228" s="155"/>
      <c r="BP228" s="140"/>
      <c r="BQ228" s="156"/>
      <c r="BR228" s="157"/>
      <c r="BS228" s="158"/>
      <c r="BT228" s="153"/>
      <c r="BU228" s="140"/>
      <c r="BV228" s="140"/>
      <c r="BW228" s="140"/>
      <c r="BX228" s="140"/>
      <c r="BY228" s="140"/>
      <c r="BZ228" s="140"/>
      <c r="CA228" s="140"/>
      <c r="CB228" s="140"/>
      <c r="CC228" s="140"/>
      <c r="CD228" s="150"/>
      <c r="CE228" s="155"/>
      <c r="CF228" s="150"/>
      <c r="CG228" s="155"/>
      <c r="CH228" s="159"/>
      <c r="CI228" s="160"/>
      <c r="CJ228" s="159"/>
      <c r="CK228" s="160"/>
      <c r="CL228" s="159"/>
      <c r="CM228" s="160"/>
      <c r="CN228" s="159"/>
      <c r="CO228" s="160"/>
      <c r="CP228" s="159"/>
      <c r="CQ228" s="162"/>
      <c r="CR228" s="160"/>
      <c r="CS228" s="163">
        <f>SUM(IF(AU228&lt;0,ABS(AU228),0),IF(AZ228&lt;0,ABS(AZ228),0),ABS(CI228),ABS(CK228),ABS(CM228),ABS(CO228),ABS(CQ228),ABS(CR228))</f>
        <v>0</v>
      </c>
      <c r="CT228" s="164">
        <f>SUM(AU228,AV228,AW228,AX228/400,AY228,AZ228,BG228,BH228*0.5,BI228*0.25,BJ228,BK228,BL228,BM228,BN228,BO228,BP228,BR228/20,BS228/100,BT228/60,BU228,BV228,BW228,BX228/4,SUM(BY228:CC238)/3,CE228,CG228/3,CI228,CK228,CM228,CO228,CQ228,CR228)</f>
        <v>0</v>
      </c>
      <c r="CU228" s="165" t="str">
        <f t="shared" si="2"/>
        <v/>
      </c>
    </row>
    <row r="229" ht="60.0" hidden="1" customHeight="1">
      <c r="A229" s="65"/>
      <c r="C229" s="167"/>
      <c r="D229" s="205"/>
      <c r="E229" s="206"/>
      <c r="F229" s="169"/>
      <c r="G229" s="207"/>
      <c r="H229" s="208"/>
      <c r="I229" s="169"/>
      <c r="J229" s="170"/>
      <c r="K229" s="171"/>
      <c r="L229" s="171"/>
      <c r="M229" s="171"/>
      <c r="N229" s="209"/>
      <c r="O229" s="172">
        <f t="shared" si="42"/>
        <v>0</v>
      </c>
      <c r="P229" s="166"/>
      <c r="Q229" s="173"/>
      <c r="R229" s="65"/>
      <c r="S229" s="173"/>
      <c r="T229" s="173"/>
      <c r="U229" s="166"/>
      <c r="V229" s="166"/>
      <c r="W229" s="65"/>
      <c r="X229" s="66"/>
      <c r="Y229" s="173"/>
      <c r="Z229" s="166"/>
      <c r="AA229" s="174"/>
      <c r="AB229" s="175"/>
      <c r="AC229" s="175"/>
      <c r="AD229" s="175"/>
      <c r="AE229" s="175"/>
      <c r="AF229" s="175"/>
      <c r="AG229" s="175"/>
      <c r="AH229" s="175"/>
      <c r="AI229" s="176"/>
      <c r="AJ229" s="177"/>
      <c r="AK229" s="178"/>
      <c r="AL229" s="178"/>
      <c r="AM229" s="178"/>
      <c r="AN229" s="178"/>
      <c r="AO229" s="179"/>
      <c r="AP229" s="64"/>
      <c r="AQ229" s="65"/>
      <c r="AR229" s="65"/>
      <c r="AS229" s="65"/>
      <c r="AT229" s="173"/>
      <c r="AU229" s="177"/>
      <c r="AV229" s="178"/>
      <c r="AW229" s="178"/>
      <c r="AX229" s="179"/>
      <c r="AZ229" s="166"/>
      <c r="BA229" s="177"/>
      <c r="BB229" s="178"/>
      <c r="BC229" s="178"/>
      <c r="BD229" s="178"/>
      <c r="BE229" s="178"/>
      <c r="BF229" s="178"/>
      <c r="BG229" s="178"/>
      <c r="BH229" s="178"/>
      <c r="BI229" s="179"/>
      <c r="BJ229" s="180"/>
      <c r="BK229" s="178"/>
      <c r="BL229" s="178"/>
      <c r="BM229" s="178"/>
      <c r="BN229" s="178"/>
      <c r="BO229" s="181"/>
      <c r="BP229" s="166"/>
      <c r="BQ229" s="177"/>
      <c r="BR229" s="178"/>
      <c r="BS229" s="179"/>
      <c r="BU229" s="166"/>
      <c r="BV229" s="166"/>
      <c r="BW229" s="166"/>
      <c r="BX229" s="166"/>
      <c r="BY229" s="166"/>
      <c r="BZ229" s="166"/>
      <c r="CA229" s="166"/>
      <c r="CB229" s="166"/>
      <c r="CC229" s="166"/>
      <c r="CD229" s="177"/>
      <c r="CE229" s="181"/>
      <c r="CF229" s="177"/>
      <c r="CG229" s="181"/>
      <c r="CH229" s="177"/>
      <c r="CI229" s="182"/>
      <c r="CJ229" s="177"/>
      <c r="CK229" s="182"/>
      <c r="CL229" s="177"/>
      <c r="CM229" s="182"/>
      <c r="CN229" s="177"/>
      <c r="CO229" s="182"/>
      <c r="CP229" s="177"/>
      <c r="CQ229" s="178"/>
      <c r="CR229" s="182"/>
      <c r="CS229" s="65"/>
      <c r="CT229" s="64"/>
      <c r="CU229" s="165" t="str">
        <f t="shared" si="2"/>
        <v/>
      </c>
    </row>
    <row r="230" ht="60.0" hidden="1" customHeight="1">
      <c r="A230" s="65"/>
      <c r="C230" s="167"/>
      <c r="D230" s="205"/>
      <c r="E230" s="206"/>
      <c r="F230" s="169"/>
      <c r="G230" s="207"/>
      <c r="H230" s="208"/>
      <c r="I230" s="169"/>
      <c r="J230" s="170"/>
      <c r="K230" s="171"/>
      <c r="L230" s="171"/>
      <c r="M230" s="171"/>
      <c r="N230" s="209"/>
      <c r="O230" s="172">
        <f t="shared" si="42"/>
        <v>0</v>
      </c>
      <c r="P230" s="166"/>
      <c r="Q230" s="173"/>
      <c r="R230" s="65"/>
      <c r="S230" s="173"/>
      <c r="T230" s="173"/>
      <c r="U230" s="166"/>
      <c r="V230" s="166"/>
      <c r="W230" s="65"/>
      <c r="X230" s="66"/>
      <c r="Y230" s="173"/>
      <c r="Z230" s="166"/>
      <c r="AA230" s="174"/>
      <c r="AB230" s="175"/>
      <c r="AC230" s="175"/>
      <c r="AD230" s="175"/>
      <c r="AE230" s="175"/>
      <c r="AF230" s="175"/>
      <c r="AG230" s="175"/>
      <c r="AH230" s="175"/>
      <c r="AI230" s="176"/>
      <c r="AJ230" s="177"/>
      <c r="AK230" s="178"/>
      <c r="AL230" s="178"/>
      <c r="AM230" s="178"/>
      <c r="AN230" s="178"/>
      <c r="AO230" s="179"/>
      <c r="AP230" s="64"/>
      <c r="AQ230" s="65"/>
      <c r="AR230" s="65"/>
      <c r="AS230" s="65"/>
      <c r="AT230" s="173"/>
      <c r="AU230" s="177"/>
      <c r="AV230" s="178"/>
      <c r="AW230" s="178"/>
      <c r="AX230" s="179"/>
      <c r="AZ230" s="166"/>
      <c r="BA230" s="177"/>
      <c r="BB230" s="178"/>
      <c r="BC230" s="178"/>
      <c r="BD230" s="178"/>
      <c r="BE230" s="178"/>
      <c r="BF230" s="178"/>
      <c r="BG230" s="178"/>
      <c r="BH230" s="178"/>
      <c r="BI230" s="179"/>
      <c r="BJ230" s="180"/>
      <c r="BK230" s="178"/>
      <c r="BL230" s="178"/>
      <c r="BM230" s="178"/>
      <c r="BN230" s="178"/>
      <c r="BO230" s="181"/>
      <c r="BP230" s="166"/>
      <c r="BQ230" s="177"/>
      <c r="BR230" s="178"/>
      <c r="BS230" s="179"/>
      <c r="BU230" s="166"/>
      <c r="BV230" s="166"/>
      <c r="BW230" s="166"/>
      <c r="BX230" s="166"/>
      <c r="BY230" s="166"/>
      <c r="BZ230" s="166"/>
      <c r="CA230" s="166"/>
      <c r="CB230" s="166"/>
      <c r="CC230" s="166"/>
      <c r="CD230" s="177"/>
      <c r="CE230" s="181"/>
      <c r="CF230" s="177"/>
      <c r="CG230" s="181"/>
      <c r="CH230" s="177"/>
      <c r="CI230" s="182"/>
      <c r="CJ230" s="177"/>
      <c r="CK230" s="182"/>
      <c r="CL230" s="177"/>
      <c r="CM230" s="182"/>
      <c r="CN230" s="177"/>
      <c r="CO230" s="182"/>
      <c r="CP230" s="177"/>
      <c r="CQ230" s="178"/>
      <c r="CR230" s="182"/>
      <c r="CS230" s="65"/>
      <c r="CT230" s="64"/>
      <c r="CU230" s="165" t="str">
        <f t="shared" si="2"/>
        <v/>
      </c>
    </row>
    <row r="231" ht="60.0" hidden="1" customHeight="1">
      <c r="A231" s="65"/>
      <c r="C231" s="167"/>
      <c r="D231" s="205"/>
      <c r="E231" s="206"/>
      <c r="F231" s="169"/>
      <c r="G231" s="207"/>
      <c r="H231" s="208"/>
      <c r="I231" s="169"/>
      <c r="J231" s="170"/>
      <c r="K231" s="171"/>
      <c r="L231" s="171"/>
      <c r="M231" s="171"/>
      <c r="N231" s="209"/>
      <c r="O231" s="172">
        <f t="shared" si="42"/>
        <v>0</v>
      </c>
      <c r="P231" s="166"/>
      <c r="Q231" s="173"/>
      <c r="R231" s="65"/>
      <c r="S231" s="173"/>
      <c r="T231" s="173"/>
      <c r="U231" s="166"/>
      <c r="V231" s="166"/>
      <c r="W231" s="65"/>
      <c r="X231" s="66"/>
      <c r="Y231" s="173"/>
      <c r="Z231" s="166"/>
      <c r="AA231" s="174"/>
      <c r="AB231" s="175"/>
      <c r="AC231" s="175"/>
      <c r="AD231" s="175"/>
      <c r="AE231" s="175"/>
      <c r="AF231" s="175"/>
      <c r="AG231" s="175"/>
      <c r="AH231" s="175"/>
      <c r="AI231" s="176"/>
      <c r="AJ231" s="177"/>
      <c r="AK231" s="178"/>
      <c r="AL231" s="178"/>
      <c r="AM231" s="178"/>
      <c r="AN231" s="178"/>
      <c r="AO231" s="179"/>
      <c r="AP231" s="64"/>
      <c r="AQ231" s="65"/>
      <c r="AR231" s="65"/>
      <c r="AS231" s="65"/>
      <c r="AT231" s="173"/>
      <c r="AU231" s="177"/>
      <c r="AV231" s="178"/>
      <c r="AW231" s="178"/>
      <c r="AX231" s="179"/>
      <c r="AZ231" s="166"/>
      <c r="BA231" s="177"/>
      <c r="BB231" s="178"/>
      <c r="BC231" s="178"/>
      <c r="BD231" s="178"/>
      <c r="BE231" s="178"/>
      <c r="BF231" s="178"/>
      <c r="BG231" s="178"/>
      <c r="BH231" s="178"/>
      <c r="BI231" s="179"/>
      <c r="BJ231" s="180"/>
      <c r="BK231" s="178"/>
      <c r="BL231" s="178"/>
      <c r="BM231" s="178"/>
      <c r="BN231" s="178"/>
      <c r="BO231" s="181"/>
      <c r="BP231" s="166"/>
      <c r="BQ231" s="177"/>
      <c r="BR231" s="178"/>
      <c r="BS231" s="179"/>
      <c r="BU231" s="166"/>
      <c r="BV231" s="166"/>
      <c r="BW231" s="166"/>
      <c r="BX231" s="166"/>
      <c r="BY231" s="166"/>
      <c r="BZ231" s="166"/>
      <c r="CA231" s="166"/>
      <c r="CB231" s="166"/>
      <c r="CC231" s="166"/>
      <c r="CD231" s="177"/>
      <c r="CE231" s="181"/>
      <c r="CF231" s="177"/>
      <c r="CG231" s="181"/>
      <c r="CH231" s="177"/>
      <c r="CI231" s="182"/>
      <c r="CJ231" s="177"/>
      <c r="CK231" s="182"/>
      <c r="CL231" s="177"/>
      <c r="CM231" s="182"/>
      <c r="CN231" s="177"/>
      <c r="CO231" s="182"/>
      <c r="CP231" s="177"/>
      <c r="CQ231" s="178"/>
      <c r="CR231" s="182"/>
      <c r="CS231" s="65"/>
      <c r="CT231" s="64"/>
      <c r="CU231" s="165" t="str">
        <f t="shared" si="2"/>
        <v/>
      </c>
    </row>
    <row r="232" ht="60.0" hidden="1" customHeight="1">
      <c r="A232" s="65"/>
      <c r="C232" s="167"/>
      <c r="D232" s="205"/>
      <c r="E232" s="206"/>
      <c r="F232" s="169"/>
      <c r="G232" s="207"/>
      <c r="H232" s="208"/>
      <c r="I232" s="169"/>
      <c r="J232" s="170"/>
      <c r="K232" s="171"/>
      <c r="L232" s="171"/>
      <c r="M232" s="171"/>
      <c r="N232" s="209"/>
      <c r="O232" s="172">
        <f t="shared" si="42"/>
        <v>0</v>
      </c>
      <c r="P232" s="166"/>
      <c r="Q232" s="173"/>
      <c r="R232" s="65"/>
      <c r="S232" s="173"/>
      <c r="T232" s="173"/>
      <c r="U232" s="166"/>
      <c r="V232" s="166"/>
      <c r="W232" s="65"/>
      <c r="X232" s="66"/>
      <c r="Y232" s="173"/>
      <c r="Z232" s="166"/>
      <c r="AA232" s="174"/>
      <c r="AB232" s="175"/>
      <c r="AC232" s="175"/>
      <c r="AD232" s="175"/>
      <c r="AE232" s="175"/>
      <c r="AF232" s="175"/>
      <c r="AG232" s="175"/>
      <c r="AH232" s="175"/>
      <c r="AI232" s="176"/>
      <c r="AJ232" s="177"/>
      <c r="AK232" s="178"/>
      <c r="AL232" s="178"/>
      <c r="AM232" s="178"/>
      <c r="AN232" s="178"/>
      <c r="AO232" s="179"/>
      <c r="AP232" s="64"/>
      <c r="AQ232" s="65"/>
      <c r="AR232" s="65"/>
      <c r="AS232" s="65"/>
      <c r="AT232" s="173"/>
      <c r="AU232" s="177"/>
      <c r="AV232" s="178"/>
      <c r="AW232" s="178"/>
      <c r="AX232" s="179"/>
      <c r="AZ232" s="166"/>
      <c r="BA232" s="177"/>
      <c r="BB232" s="178"/>
      <c r="BC232" s="178"/>
      <c r="BD232" s="178"/>
      <c r="BE232" s="178"/>
      <c r="BF232" s="178"/>
      <c r="BG232" s="178"/>
      <c r="BH232" s="178"/>
      <c r="BI232" s="179"/>
      <c r="BJ232" s="180"/>
      <c r="BK232" s="178"/>
      <c r="BL232" s="178"/>
      <c r="BM232" s="178"/>
      <c r="BN232" s="178"/>
      <c r="BO232" s="181"/>
      <c r="BP232" s="166"/>
      <c r="BQ232" s="177"/>
      <c r="BR232" s="178"/>
      <c r="BS232" s="179"/>
      <c r="BU232" s="166"/>
      <c r="BV232" s="166"/>
      <c r="BW232" s="166"/>
      <c r="BX232" s="166"/>
      <c r="BY232" s="166"/>
      <c r="BZ232" s="166"/>
      <c r="CA232" s="166"/>
      <c r="CB232" s="166"/>
      <c r="CC232" s="166"/>
      <c r="CD232" s="177"/>
      <c r="CE232" s="181"/>
      <c r="CF232" s="177"/>
      <c r="CG232" s="181"/>
      <c r="CH232" s="177"/>
      <c r="CI232" s="182"/>
      <c r="CJ232" s="177"/>
      <c r="CK232" s="182"/>
      <c r="CL232" s="177"/>
      <c r="CM232" s="182"/>
      <c r="CN232" s="177"/>
      <c r="CO232" s="182"/>
      <c r="CP232" s="177"/>
      <c r="CQ232" s="178"/>
      <c r="CR232" s="182"/>
      <c r="CS232" s="65"/>
      <c r="CT232" s="64"/>
      <c r="CU232" s="165" t="str">
        <f t="shared" si="2"/>
        <v/>
      </c>
    </row>
    <row r="233" ht="60.0" hidden="1" customHeight="1">
      <c r="A233" s="65"/>
      <c r="C233" s="167"/>
      <c r="D233" s="205"/>
      <c r="E233" s="206"/>
      <c r="F233" s="169"/>
      <c r="G233" s="207"/>
      <c r="H233" s="208"/>
      <c r="I233" s="169"/>
      <c r="J233" s="170"/>
      <c r="K233" s="171"/>
      <c r="L233" s="171"/>
      <c r="M233" s="171"/>
      <c r="N233" s="209"/>
      <c r="O233" s="172">
        <f t="shared" si="42"/>
        <v>0</v>
      </c>
      <c r="P233" s="166"/>
      <c r="Q233" s="173"/>
      <c r="R233" s="65"/>
      <c r="S233" s="173"/>
      <c r="T233" s="173"/>
      <c r="U233" s="166"/>
      <c r="V233" s="166"/>
      <c r="W233" s="65"/>
      <c r="X233" s="66"/>
      <c r="Y233" s="173"/>
      <c r="Z233" s="166"/>
      <c r="AA233" s="174"/>
      <c r="AB233" s="175"/>
      <c r="AC233" s="175"/>
      <c r="AD233" s="175"/>
      <c r="AE233" s="175"/>
      <c r="AF233" s="175"/>
      <c r="AG233" s="175"/>
      <c r="AH233" s="175"/>
      <c r="AI233" s="176"/>
      <c r="AJ233" s="177"/>
      <c r="AK233" s="178"/>
      <c r="AL233" s="178"/>
      <c r="AM233" s="178"/>
      <c r="AN233" s="178"/>
      <c r="AO233" s="179"/>
      <c r="AP233" s="64"/>
      <c r="AQ233" s="65"/>
      <c r="AR233" s="65"/>
      <c r="AS233" s="65"/>
      <c r="AT233" s="173"/>
      <c r="AU233" s="177"/>
      <c r="AV233" s="178"/>
      <c r="AW233" s="178"/>
      <c r="AX233" s="179"/>
      <c r="AZ233" s="166"/>
      <c r="BA233" s="177"/>
      <c r="BB233" s="178"/>
      <c r="BC233" s="178"/>
      <c r="BD233" s="178"/>
      <c r="BE233" s="178"/>
      <c r="BF233" s="178"/>
      <c r="BG233" s="178"/>
      <c r="BH233" s="178"/>
      <c r="BI233" s="179"/>
      <c r="BJ233" s="180"/>
      <c r="BK233" s="178"/>
      <c r="BL233" s="178"/>
      <c r="BM233" s="178"/>
      <c r="BN233" s="178"/>
      <c r="BO233" s="181"/>
      <c r="BP233" s="166"/>
      <c r="BQ233" s="177"/>
      <c r="BR233" s="178"/>
      <c r="BS233" s="179"/>
      <c r="BU233" s="166"/>
      <c r="BV233" s="166"/>
      <c r="BW233" s="166"/>
      <c r="BX233" s="166"/>
      <c r="BY233" s="166"/>
      <c r="BZ233" s="166"/>
      <c r="CA233" s="166"/>
      <c r="CB233" s="166"/>
      <c r="CC233" s="166"/>
      <c r="CD233" s="177"/>
      <c r="CE233" s="181"/>
      <c r="CF233" s="177"/>
      <c r="CG233" s="181"/>
      <c r="CH233" s="177"/>
      <c r="CI233" s="182"/>
      <c r="CJ233" s="177"/>
      <c r="CK233" s="182"/>
      <c r="CL233" s="177"/>
      <c r="CM233" s="182"/>
      <c r="CN233" s="177"/>
      <c r="CO233" s="182"/>
      <c r="CP233" s="177"/>
      <c r="CQ233" s="178"/>
      <c r="CR233" s="182"/>
      <c r="CS233" s="65"/>
      <c r="CT233" s="64"/>
      <c r="CU233" s="165" t="str">
        <f t="shared" si="2"/>
        <v/>
      </c>
    </row>
    <row r="234" ht="60.0" hidden="1" customHeight="1">
      <c r="A234" s="65"/>
      <c r="C234" s="167"/>
      <c r="D234" s="205"/>
      <c r="E234" s="206"/>
      <c r="F234" s="169"/>
      <c r="G234" s="207"/>
      <c r="H234" s="208"/>
      <c r="I234" s="169"/>
      <c r="J234" s="170"/>
      <c r="K234" s="171"/>
      <c r="L234" s="171"/>
      <c r="M234" s="171"/>
      <c r="N234" s="209"/>
      <c r="O234" s="172">
        <f t="shared" ref="O234:O237" si="43">IF(AND(M234&gt;=20,M234&lt;&gt;"m",RIGHT(K234,3)="Lec"),1,IF(AND(M234&gt;=20,M234&lt;&gt;"m",OR(RIGHT(K234,3)="Lab",RIGHT(K234,3)="Tut")),0.5,IF(AND(M234&gt;=20,M234&lt;&gt;"m",RIGHT(K234,2)="TL"),0.75,0)))</f>
        <v>0</v>
      </c>
      <c r="P234" s="166"/>
      <c r="Q234" s="173"/>
      <c r="R234" s="65"/>
      <c r="S234" s="173"/>
      <c r="T234" s="173"/>
      <c r="U234" s="166"/>
      <c r="V234" s="166"/>
      <c r="W234" s="65"/>
      <c r="X234" s="66"/>
      <c r="Y234" s="173"/>
      <c r="Z234" s="166"/>
      <c r="AA234" s="174"/>
      <c r="AB234" s="175"/>
      <c r="AC234" s="175"/>
      <c r="AD234" s="175"/>
      <c r="AE234" s="175"/>
      <c r="AF234" s="175"/>
      <c r="AG234" s="175"/>
      <c r="AH234" s="175"/>
      <c r="AI234" s="176"/>
      <c r="AJ234" s="177"/>
      <c r="AK234" s="178"/>
      <c r="AL234" s="178"/>
      <c r="AM234" s="178"/>
      <c r="AN234" s="178"/>
      <c r="AO234" s="179"/>
      <c r="AP234" s="64"/>
      <c r="AQ234" s="65"/>
      <c r="AR234" s="65"/>
      <c r="AS234" s="65"/>
      <c r="AT234" s="173"/>
      <c r="AU234" s="177"/>
      <c r="AV234" s="178"/>
      <c r="AW234" s="178"/>
      <c r="AX234" s="179"/>
      <c r="AZ234" s="166"/>
      <c r="BA234" s="177"/>
      <c r="BB234" s="178"/>
      <c r="BC234" s="178"/>
      <c r="BD234" s="178"/>
      <c r="BE234" s="178"/>
      <c r="BF234" s="178"/>
      <c r="BG234" s="178"/>
      <c r="BH234" s="178"/>
      <c r="BI234" s="179"/>
      <c r="BJ234" s="180"/>
      <c r="BK234" s="178"/>
      <c r="BL234" s="178"/>
      <c r="BM234" s="178"/>
      <c r="BN234" s="178"/>
      <c r="BO234" s="181"/>
      <c r="BP234" s="166"/>
      <c r="BQ234" s="177"/>
      <c r="BR234" s="178"/>
      <c r="BS234" s="179"/>
      <c r="BU234" s="166"/>
      <c r="BV234" s="166"/>
      <c r="BW234" s="166"/>
      <c r="BX234" s="166"/>
      <c r="BY234" s="166"/>
      <c r="BZ234" s="166"/>
      <c r="CA234" s="166"/>
      <c r="CB234" s="166"/>
      <c r="CC234" s="166"/>
      <c r="CD234" s="177"/>
      <c r="CE234" s="181"/>
      <c r="CF234" s="177"/>
      <c r="CG234" s="181"/>
      <c r="CH234" s="177"/>
      <c r="CI234" s="182"/>
      <c r="CJ234" s="177"/>
      <c r="CK234" s="182"/>
      <c r="CL234" s="177"/>
      <c r="CM234" s="182"/>
      <c r="CN234" s="177"/>
      <c r="CO234" s="182"/>
      <c r="CP234" s="177"/>
      <c r="CQ234" s="178"/>
      <c r="CR234" s="182"/>
      <c r="CS234" s="65"/>
      <c r="CT234" s="64"/>
      <c r="CU234" s="165" t="str">
        <f t="shared" si="2"/>
        <v/>
      </c>
    </row>
    <row r="235" ht="60.0" hidden="1" customHeight="1">
      <c r="A235" s="65"/>
      <c r="C235" s="167"/>
      <c r="D235" s="205"/>
      <c r="E235" s="206"/>
      <c r="F235" s="169"/>
      <c r="G235" s="207"/>
      <c r="H235" s="208"/>
      <c r="I235" s="169"/>
      <c r="J235" s="170"/>
      <c r="K235" s="171"/>
      <c r="L235" s="171"/>
      <c r="M235" s="171"/>
      <c r="N235" s="209"/>
      <c r="O235" s="172">
        <f t="shared" si="43"/>
        <v>0</v>
      </c>
      <c r="P235" s="166"/>
      <c r="Q235" s="173"/>
      <c r="R235" s="65"/>
      <c r="S235" s="173"/>
      <c r="T235" s="173"/>
      <c r="U235" s="166"/>
      <c r="V235" s="166"/>
      <c r="W235" s="65"/>
      <c r="X235" s="66"/>
      <c r="Y235" s="173"/>
      <c r="Z235" s="166"/>
      <c r="AA235" s="174"/>
      <c r="AB235" s="175"/>
      <c r="AC235" s="175"/>
      <c r="AD235" s="175"/>
      <c r="AE235" s="175"/>
      <c r="AF235" s="175"/>
      <c r="AG235" s="175"/>
      <c r="AH235" s="175"/>
      <c r="AI235" s="176"/>
      <c r="AJ235" s="177"/>
      <c r="AK235" s="178"/>
      <c r="AL235" s="178"/>
      <c r="AM235" s="178"/>
      <c r="AN235" s="178"/>
      <c r="AO235" s="179"/>
      <c r="AP235" s="64"/>
      <c r="AQ235" s="65"/>
      <c r="AR235" s="65"/>
      <c r="AS235" s="65"/>
      <c r="AT235" s="173"/>
      <c r="AU235" s="177"/>
      <c r="AV235" s="178"/>
      <c r="AW235" s="178"/>
      <c r="AX235" s="179"/>
      <c r="AZ235" s="166"/>
      <c r="BA235" s="177"/>
      <c r="BB235" s="178"/>
      <c r="BC235" s="178"/>
      <c r="BD235" s="178"/>
      <c r="BE235" s="178"/>
      <c r="BF235" s="178"/>
      <c r="BG235" s="178"/>
      <c r="BH235" s="178"/>
      <c r="BI235" s="179"/>
      <c r="BJ235" s="180"/>
      <c r="BK235" s="178"/>
      <c r="BL235" s="178"/>
      <c r="BM235" s="178"/>
      <c r="BN235" s="178"/>
      <c r="BO235" s="181"/>
      <c r="BP235" s="166"/>
      <c r="BQ235" s="177"/>
      <c r="BR235" s="178"/>
      <c r="BS235" s="179"/>
      <c r="BU235" s="166"/>
      <c r="BV235" s="166"/>
      <c r="BW235" s="166"/>
      <c r="BX235" s="166"/>
      <c r="BY235" s="166"/>
      <c r="BZ235" s="166"/>
      <c r="CA235" s="166"/>
      <c r="CB235" s="166"/>
      <c r="CC235" s="166"/>
      <c r="CD235" s="177"/>
      <c r="CE235" s="181"/>
      <c r="CF235" s="177"/>
      <c r="CG235" s="181"/>
      <c r="CH235" s="177"/>
      <c r="CI235" s="182"/>
      <c r="CJ235" s="177"/>
      <c r="CK235" s="182"/>
      <c r="CL235" s="177"/>
      <c r="CM235" s="182"/>
      <c r="CN235" s="177"/>
      <c r="CO235" s="182"/>
      <c r="CP235" s="177"/>
      <c r="CQ235" s="178"/>
      <c r="CR235" s="182"/>
      <c r="CS235" s="65"/>
      <c r="CT235" s="64"/>
      <c r="CU235" s="165" t="str">
        <f t="shared" si="2"/>
        <v/>
      </c>
    </row>
    <row r="236" ht="60.0" hidden="1" customHeight="1">
      <c r="A236" s="65"/>
      <c r="C236" s="167"/>
      <c r="D236" s="205"/>
      <c r="E236" s="206"/>
      <c r="F236" s="169"/>
      <c r="G236" s="207"/>
      <c r="H236" s="208"/>
      <c r="I236" s="169"/>
      <c r="J236" s="170"/>
      <c r="K236" s="171"/>
      <c r="L236" s="171"/>
      <c r="M236" s="171"/>
      <c r="N236" s="209"/>
      <c r="O236" s="172">
        <f t="shared" si="43"/>
        <v>0</v>
      </c>
      <c r="P236" s="166"/>
      <c r="Q236" s="173"/>
      <c r="R236" s="65"/>
      <c r="S236" s="173"/>
      <c r="T236" s="173"/>
      <c r="U236" s="166"/>
      <c r="V236" s="166"/>
      <c r="W236" s="65"/>
      <c r="X236" s="66"/>
      <c r="Y236" s="173"/>
      <c r="Z236" s="166"/>
      <c r="AA236" s="174"/>
      <c r="AB236" s="175"/>
      <c r="AC236" s="175"/>
      <c r="AD236" s="175"/>
      <c r="AE236" s="175"/>
      <c r="AF236" s="175"/>
      <c r="AG236" s="175"/>
      <c r="AH236" s="175"/>
      <c r="AI236" s="176"/>
      <c r="AJ236" s="177"/>
      <c r="AK236" s="178"/>
      <c r="AL236" s="178"/>
      <c r="AM236" s="178"/>
      <c r="AN236" s="178"/>
      <c r="AO236" s="179"/>
      <c r="AP236" s="64"/>
      <c r="AQ236" s="65"/>
      <c r="AR236" s="65"/>
      <c r="AS236" s="65"/>
      <c r="AT236" s="173"/>
      <c r="AU236" s="177"/>
      <c r="AV236" s="178"/>
      <c r="AW236" s="178"/>
      <c r="AX236" s="179"/>
      <c r="AZ236" s="166"/>
      <c r="BA236" s="177"/>
      <c r="BB236" s="178"/>
      <c r="BC236" s="178"/>
      <c r="BD236" s="178"/>
      <c r="BE236" s="178"/>
      <c r="BF236" s="178"/>
      <c r="BG236" s="178"/>
      <c r="BH236" s="178"/>
      <c r="BI236" s="179"/>
      <c r="BJ236" s="180"/>
      <c r="BK236" s="178"/>
      <c r="BL236" s="178"/>
      <c r="BM236" s="178"/>
      <c r="BN236" s="178"/>
      <c r="BO236" s="181"/>
      <c r="BP236" s="166"/>
      <c r="BQ236" s="177"/>
      <c r="BR236" s="178"/>
      <c r="BS236" s="179"/>
      <c r="BU236" s="166"/>
      <c r="BV236" s="166"/>
      <c r="BW236" s="166"/>
      <c r="BX236" s="166"/>
      <c r="BY236" s="166"/>
      <c r="BZ236" s="166"/>
      <c r="CA236" s="166"/>
      <c r="CB236" s="166"/>
      <c r="CC236" s="166"/>
      <c r="CD236" s="177"/>
      <c r="CE236" s="181"/>
      <c r="CF236" s="177"/>
      <c r="CG236" s="181"/>
      <c r="CH236" s="177"/>
      <c r="CI236" s="182"/>
      <c r="CJ236" s="177"/>
      <c r="CK236" s="182"/>
      <c r="CL236" s="177"/>
      <c r="CM236" s="182"/>
      <c r="CN236" s="177"/>
      <c r="CO236" s="182"/>
      <c r="CP236" s="177"/>
      <c r="CQ236" s="178"/>
      <c r="CR236" s="182"/>
      <c r="CS236" s="65"/>
      <c r="CT236" s="64"/>
      <c r="CU236" s="165" t="str">
        <f t="shared" si="2"/>
        <v/>
      </c>
    </row>
    <row r="237" ht="60.0" hidden="1" customHeight="1">
      <c r="A237" s="65"/>
      <c r="C237" s="167"/>
      <c r="D237" s="205"/>
      <c r="E237" s="206"/>
      <c r="F237" s="169"/>
      <c r="G237" s="207"/>
      <c r="H237" s="208"/>
      <c r="I237" s="169"/>
      <c r="J237" s="170"/>
      <c r="K237" s="171"/>
      <c r="L237" s="171"/>
      <c r="M237" s="171"/>
      <c r="N237" s="209"/>
      <c r="O237" s="172">
        <f t="shared" si="43"/>
        <v>0</v>
      </c>
      <c r="P237" s="166"/>
      <c r="Q237" s="173"/>
      <c r="R237" s="65"/>
      <c r="S237" s="173"/>
      <c r="T237" s="173"/>
      <c r="U237" s="166"/>
      <c r="V237" s="166"/>
      <c r="W237" s="65"/>
      <c r="X237" s="66"/>
      <c r="Y237" s="173"/>
      <c r="Z237" s="166"/>
      <c r="AA237" s="174"/>
      <c r="AB237" s="175"/>
      <c r="AC237" s="175"/>
      <c r="AD237" s="175"/>
      <c r="AE237" s="175"/>
      <c r="AF237" s="175"/>
      <c r="AG237" s="175"/>
      <c r="AH237" s="175"/>
      <c r="AI237" s="176"/>
      <c r="AJ237" s="177"/>
      <c r="AK237" s="178"/>
      <c r="AL237" s="178"/>
      <c r="AM237" s="178"/>
      <c r="AN237" s="178"/>
      <c r="AO237" s="179"/>
      <c r="AP237" s="64"/>
      <c r="AQ237" s="65"/>
      <c r="AR237" s="65"/>
      <c r="AS237" s="65"/>
      <c r="AT237" s="173"/>
      <c r="AU237" s="177"/>
      <c r="AV237" s="178"/>
      <c r="AW237" s="178"/>
      <c r="AX237" s="179"/>
      <c r="AZ237" s="166"/>
      <c r="BA237" s="177"/>
      <c r="BB237" s="178"/>
      <c r="BC237" s="178"/>
      <c r="BD237" s="178"/>
      <c r="BE237" s="178"/>
      <c r="BF237" s="178"/>
      <c r="BG237" s="178"/>
      <c r="BH237" s="178"/>
      <c r="BI237" s="179"/>
      <c r="BJ237" s="180"/>
      <c r="BK237" s="178"/>
      <c r="BL237" s="178"/>
      <c r="BM237" s="178"/>
      <c r="BN237" s="178"/>
      <c r="BO237" s="181"/>
      <c r="BP237" s="166"/>
      <c r="BQ237" s="177"/>
      <c r="BR237" s="178"/>
      <c r="BS237" s="179"/>
      <c r="BU237" s="166"/>
      <c r="BV237" s="166"/>
      <c r="BW237" s="166"/>
      <c r="BX237" s="166"/>
      <c r="BY237" s="166"/>
      <c r="BZ237" s="166"/>
      <c r="CA237" s="166"/>
      <c r="CB237" s="166"/>
      <c r="CC237" s="166"/>
      <c r="CD237" s="177"/>
      <c r="CE237" s="181"/>
      <c r="CF237" s="177"/>
      <c r="CG237" s="181"/>
      <c r="CH237" s="177"/>
      <c r="CI237" s="182"/>
      <c r="CJ237" s="177"/>
      <c r="CK237" s="182"/>
      <c r="CL237" s="177"/>
      <c r="CM237" s="182"/>
      <c r="CN237" s="177"/>
      <c r="CO237" s="182"/>
      <c r="CP237" s="177"/>
      <c r="CQ237" s="178"/>
      <c r="CR237" s="182"/>
      <c r="CS237" s="65"/>
      <c r="CT237" s="64"/>
      <c r="CU237" s="165" t="str">
        <f t="shared" si="2"/>
        <v/>
      </c>
    </row>
    <row r="238" ht="60.0" hidden="1" customHeight="1">
      <c r="A238" s="89"/>
      <c r="B238" s="6"/>
      <c r="C238" s="183"/>
      <c r="D238" s="210"/>
      <c r="E238" s="211"/>
      <c r="F238" s="185"/>
      <c r="G238" s="212"/>
      <c r="H238" s="213"/>
      <c r="I238" s="185"/>
      <c r="J238" s="186"/>
      <c r="K238" s="187"/>
      <c r="L238" s="187"/>
      <c r="M238" s="187"/>
      <c r="N238" s="214"/>
      <c r="O238" s="188">
        <f t="shared" ref="O238:O244" si="44">IF(AND(M238&lt;&gt;0,M238&lt;&gt;"m",M238&lt;&gt;"",RIGHT(K238,3)="Lec"),1,IF(AND(M238&lt;&gt;0,M238&lt;&gt;"m",M238&lt;&gt;"",OR(RIGHT(K238,3)="Lab",RIGHT(K238,3)="Tut")),0.5,IF(AND(M238&lt;&gt;0,M238&lt;&gt;"m",M238&lt;&gt;"",RIGHT(K238,2)="TL"),0.75,0)))</f>
        <v>0</v>
      </c>
      <c r="P238" s="63"/>
      <c r="Q238" s="69"/>
      <c r="R238" s="89"/>
      <c r="S238" s="69"/>
      <c r="T238" s="69"/>
      <c r="U238" s="63"/>
      <c r="V238" s="63"/>
      <c r="W238" s="89"/>
      <c r="X238" s="68"/>
      <c r="Y238" s="69"/>
      <c r="Z238" s="63"/>
      <c r="AA238" s="189"/>
      <c r="AB238" s="190"/>
      <c r="AC238" s="190"/>
      <c r="AD238" s="190"/>
      <c r="AE238" s="190"/>
      <c r="AF238" s="190"/>
      <c r="AG238" s="190"/>
      <c r="AH238" s="190"/>
      <c r="AI238" s="191"/>
      <c r="AJ238" s="192"/>
      <c r="AK238" s="193"/>
      <c r="AL238" s="193"/>
      <c r="AM238" s="193"/>
      <c r="AN238" s="193"/>
      <c r="AO238" s="194"/>
      <c r="AP238" s="103"/>
      <c r="AQ238" s="89"/>
      <c r="AR238" s="89"/>
      <c r="AS238" s="89"/>
      <c r="AT238" s="69"/>
      <c r="AU238" s="192"/>
      <c r="AV238" s="193"/>
      <c r="AW238" s="193"/>
      <c r="AX238" s="194"/>
      <c r="AY238" s="6"/>
      <c r="AZ238" s="63"/>
      <c r="BA238" s="192"/>
      <c r="BB238" s="193"/>
      <c r="BC238" s="193"/>
      <c r="BD238" s="193"/>
      <c r="BE238" s="193"/>
      <c r="BF238" s="193"/>
      <c r="BG238" s="193"/>
      <c r="BH238" s="193"/>
      <c r="BI238" s="194"/>
      <c r="BJ238" s="195"/>
      <c r="BK238" s="193"/>
      <c r="BL238" s="193"/>
      <c r="BM238" s="193"/>
      <c r="BN238" s="193"/>
      <c r="BO238" s="196"/>
      <c r="BP238" s="63"/>
      <c r="BQ238" s="192"/>
      <c r="BR238" s="193"/>
      <c r="BS238" s="194"/>
      <c r="BT238" s="6"/>
      <c r="BU238" s="63"/>
      <c r="BV238" s="63"/>
      <c r="BW238" s="63"/>
      <c r="BX238" s="63"/>
      <c r="BY238" s="63"/>
      <c r="BZ238" s="63"/>
      <c r="CA238" s="63"/>
      <c r="CB238" s="63"/>
      <c r="CC238" s="63"/>
      <c r="CD238" s="192"/>
      <c r="CE238" s="196"/>
      <c r="CF238" s="192"/>
      <c r="CG238" s="196"/>
      <c r="CH238" s="192"/>
      <c r="CI238" s="197"/>
      <c r="CJ238" s="192"/>
      <c r="CK238" s="197"/>
      <c r="CL238" s="192"/>
      <c r="CM238" s="197"/>
      <c r="CN238" s="192"/>
      <c r="CO238" s="197"/>
      <c r="CP238" s="192"/>
      <c r="CQ238" s="193"/>
      <c r="CR238" s="197"/>
      <c r="CS238" s="89"/>
      <c r="CT238" s="103"/>
      <c r="CU238" s="165" t="str">
        <f t="shared" si="2"/>
        <v/>
      </c>
    </row>
    <row r="239" ht="56.25" hidden="1" customHeight="1">
      <c r="A239" s="125">
        <v>22.0</v>
      </c>
      <c r="B239" s="199"/>
      <c r="C239" s="127"/>
      <c r="D239" s="128"/>
      <c r="E239" s="215"/>
      <c r="F239" s="216"/>
      <c r="G239" s="217"/>
      <c r="H239" s="218"/>
      <c r="I239" s="216"/>
      <c r="J239" s="170"/>
      <c r="K239" s="219"/>
      <c r="L239" s="219"/>
      <c r="M239" s="219"/>
      <c r="N239" s="220"/>
      <c r="O239" s="132">
        <f t="shared" si="44"/>
        <v>0</v>
      </c>
      <c r="P239" s="133">
        <f>COUNTIF(K239:K249,"TL")*0.75+COUNTIF(K239:K249,"Lec")*1+COUNTIF(K239:K249,"Lab")*0.5</f>
        <v>0</v>
      </c>
      <c r="Q239" s="134">
        <f>SUM((IF(LEFT(K239,1)="E",O239,0)),(IF(LEFT(K240,1)="E",O240,0)),(IF(LEFT(K241,1)="E",O241,0)),(IF(LEFT(K242,1)="E",O242,0)),(IF(LEFT(K243,1)="E",O243,0)),(IF(LEFT(K244,1)="E",O244,0)),(IF(LEFT(K245,1)="E",O245,0)),(IF(LEFT(K246,1)="E",O246,0)),(IF(LEFT(K247,1)="E",O247,0)),(IF(LEFT(K248,1)="E",O248,0)),(IF(LEFT(K249,1)="E",O249,0)))</f>
        <v>0</v>
      </c>
      <c r="R239" s="135">
        <f>SUM(IF(M245&lt;20,IF(K245="Plec",-1,IF(K245="PTL",-0.75,IF(K245="Plab",-0.5,0))),0),IF(M246&lt;20,IF(K246="Plec",-1,IF(K246="PTL",-0.75,IF(K246="Plab",-0.5,0))),0),IF(M247&lt;20,IF(K247="Plec",-1,IF(K247="PTL",-0.75,IF(K247="Plab",-0.5,0))),0),IF(M248&lt;20,IF(K248="Plec",-1,IF(K248="PTL",-0.75,IF(K248="Plab",-0.5,0))),0))</f>
        <v>0</v>
      </c>
      <c r="S239" s="134">
        <f>SUM(P239:R249)</f>
        <v>0</v>
      </c>
      <c r="T239" s="136">
        <f>SUM(IF(M239="M",IF(OR(K239="lec",K239="plec",K239="slec"),1,IF(OR(K239="lab",K239="plab",K239="slab",K239="tut",K239="ptut",K239="stut"),0.5,IF(OR(K239="TL",K239="pTL",K239="STL"),0.75,0))),0),IF(M240="M",IF(OR(K240="lec",K240="plec",K240="slec"),1,IF(OR(K240="lab",K240="plab",K240="slab",K240="tut",K240="ptut",K240="stut"),0.5,IF(OR(K240="TL",K240="pTL",K240="STL"),0.75,0))),0),IF(M241="M",IF(OR(K241="lec",K241="plec",K241="slec"),1,IF(OR(K241="lab",K241="plab",K241="slab",K241="tut",K241="ptut",K241="stut"),0.5,IF(OR(K241="TL",K241="pTL",K241="STL"),0.75,0))),0),IF(M242="M",IF(OR(K242="lec",K242="plec",K242="slec"),1,IF(OR(K242="lab",K242="plab",K242="slab",K242="tut",K242="ptut",K242="stut"),0.5,IF(OR(K242="TL",K242="pTL",K242="STL"),0.75,0))),0),IF(M243="M",IF(OR(K243="lec",K243="plec",K243="slec"),1,IF(OR(K243="lab",K243="plab",K243="slab",K243="tut",K243="ptut",K243="stut"),0.5,IF(OR(K243="TL",K243="pTL",K243="STL"),0.75,0))),0),IF(M244="M",IF(OR(K244="lec",K244="plec",K244="slec"),1,IF(OR(K244="lab",K244="plab",K244="slab",K244="tut",K244="ptut",K244="stut"),0.5,IF(OR(K244="TL",K244="pTL",K244="STL"),0.75,0))),0),IF(M245="M",IF(OR(K245="lec",K245="plec",K245="slec"),1,IF(OR(K245="lab",K245="plab",K245="slab",K245="tut",K245="ptut",K245="stut"),0.5,IF(OR(K245="TL",K245="pTL",K245="STL"),0.75,0))),0),IF(M246="M",IF(OR(K246="lec",K246="plec",K246="slec"),1,IF(OR(K246="lab",K246="plab",K246="slab",K246="tut",K246="ptut",K246="stut"),0.5,IF(OR(K246="TL",K246="pTL",K246="STL"),0.75,0))),0),IF(M247="M",IF(OR(K247="lec",K247="plec",K247="slec"),1,IF(OR(K247="lab",K247="plab",K247="slab",K247="tut",K247="ptut",K247="stut"),0.5,IF(OR(K247="TL",K247="pTL",K247="STL"),0.75,0))),0),IF(M248="M",IF(OR(K248="lec",K248="plec",K248="slec"),1,IF(OR(K248="lab",K248="plab",K248="slab",K248="tut",K248="ptut",K248="stut"),0.5,IF(OR(K248="TL",K248="pTL",K248="STL"),0.75,0))),0),IF(M249="M",IF(OR(K249="lec",K249="plec",K249="slec"),1,IF(OR(K249="lab",K249="plab",K249="slab",K249="tut",K249="ptut",K249="stut"),0.5,IF(OR(K249="TL",K249="pTL",K249="STL"),0.75,0))),0))</f>
        <v>0</v>
      </c>
      <c r="U239" s="137"/>
      <c r="V239" s="133"/>
      <c r="W239" s="138"/>
      <c r="X239" s="139">
        <f>S239-(T239+U239+V239+W239)</f>
        <v>0</v>
      </c>
      <c r="Y239" s="134" t="str">
        <f>CONCATENATE(SUM(O239:O249),"(",SUM(O239:O249)-X239,")")</f>
        <v>0(0)</v>
      </c>
      <c r="Z239" s="140"/>
      <c r="AA239" s="141"/>
      <c r="AB239" s="142"/>
      <c r="AC239" s="142"/>
      <c r="AD239" s="142"/>
      <c r="AE239" s="142"/>
      <c r="AF239" s="142"/>
      <c r="AG239" s="142"/>
      <c r="AH239" s="142"/>
      <c r="AI239" s="143"/>
      <c r="AJ239" s="144"/>
      <c r="AK239" s="145"/>
      <c r="AL239" s="145"/>
      <c r="AM239" s="145"/>
      <c r="AN239" s="145"/>
      <c r="AO239" s="146"/>
      <c r="AP239" s="147">
        <f>SUM(SUM(O239:O249),SUM(AI239:AI249)/2,AM239)</f>
        <v>0</v>
      </c>
      <c r="AQ239" s="148"/>
      <c r="AR239" s="148">
        <f>AP239*AQ239</f>
        <v>0</v>
      </c>
      <c r="AS239" s="148">
        <f>CT239</f>
        <v>0</v>
      </c>
      <c r="AT239" s="149">
        <f>AR239*0.75+AS239*0.25</f>
        <v>0</v>
      </c>
      <c r="AU239" s="150"/>
      <c r="AV239" s="151"/>
      <c r="AW239" s="151"/>
      <c r="AX239" s="152"/>
      <c r="AY239" s="153"/>
      <c r="AZ239" s="140"/>
      <c r="BA239" s="150"/>
      <c r="BB239" s="151"/>
      <c r="BC239" s="151"/>
      <c r="BD239" s="151"/>
      <c r="BE239" s="151"/>
      <c r="BF239" s="151"/>
      <c r="BG239" s="151"/>
      <c r="BH239" s="151"/>
      <c r="BI239" s="152"/>
      <c r="BJ239" s="154"/>
      <c r="BK239" s="151"/>
      <c r="BL239" s="151"/>
      <c r="BM239" s="151"/>
      <c r="BN239" s="151"/>
      <c r="BO239" s="155"/>
      <c r="BP239" s="140"/>
      <c r="BQ239" s="156"/>
      <c r="BR239" s="157"/>
      <c r="BS239" s="158"/>
      <c r="BT239" s="153"/>
      <c r="BU239" s="140"/>
      <c r="BV239" s="140"/>
      <c r="BW239" s="140"/>
      <c r="BX239" s="140"/>
      <c r="BY239" s="140"/>
      <c r="BZ239" s="140"/>
      <c r="CA239" s="140"/>
      <c r="CB239" s="140"/>
      <c r="CC239" s="140"/>
      <c r="CD239" s="150"/>
      <c r="CE239" s="155"/>
      <c r="CF239" s="150"/>
      <c r="CG239" s="155"/>
      <c r="CH239" s="159"/>
      <c r="CI239" s="160"/>
      <c r="CJ239" s="159"/>
      <c r="CK239" s="160"/>
      <c r="CL239" s="159"/>
      <c r="CM239" s="160"/>
      <c r="CN239" s="159"/>
      <c r="CO239" s="160"/>
      <c r="CP239" s="159"/>
      <c r="CQ239" s="162"/>
      <c r="CR239" s="160"/>
      <c r="CS239" s="163">
        <f>SUM(IF(AU239&lt;0,ABS(AU239),0),IF(AZ239&lt;0,ABS(AZ239),0),ABS(CI239),ABS(CK239),ABS(CM239),ABS(CO239),ABS(CQ239),ABS(CR239))</f>
        <v>0</v>
      </c>
      <c r="CT239" s="164">
        <f>SUM(AU239,AV239,AW239,AX239/400,AY239,AZ239,BG239,BH239*0.5,BI239*0.25,BJ239,BK239,BL239,BM239,BN239,BO239,BP239,BR239/20,BS239/100,BT239/60,BU239,BV239,BW239,BX239/4,SUM(BY239:CC249)/3,CE239,CG239/3,CI239,CK239,CM239,CO239,CQ239,CR239)</f>
        <v>0</v>
      </c>
      <c r="CU239" s="165" t="str">
        <f t="shared" si="2"/>
        <v/>
      </c>
    </row>
    <row r="240" ht="60.0" hidden="1" customHeight="1">
      <c r="A240" s="65"/>
      <c r="C240" s="167"/>
      <c r="D240" s="205"/>
      <c r="E240" s="206"/>
      <c r="F240" s="169"/>
      <c r="G240" s="207"/>
      <c r="H240" s="208"/>
      <c r="I240" s="169"/>
      <c r="J240" s="170"/>
      <c r="K240" s="171"/>
      <c r="L240" s="171"/>
      <c r="M240" s="171"/>
      <c r="N240" s="209"/>
      <c r="O240" s="172">
        <f t="shared" si="44"/>
        <v>0</v>
      </c>
      <c r="P240" s="166"/>
      <c r="Q240" s="173"/>
      <c r="R240" s="65"/>
      <c r="S240" s="173"/>
      <c r="T240" s="173"/>
      <c r="U240" s="166"/>
      <c r="V240" s="166"/>
      <c r="W240" s="65"/>
      <c r="X240" s="66"/>
      <c r="Y240" s="173"/>
      <c r="Z240" s="166"/>
      <c r="AA240" s="174"/>
      <c r="AB240" s="175"/>
      <c r="AC240" s="175"/>
      <c r="AD240" s="175"/>
      <c r="AE240" s="175"/>
      <c r="AF240" s="175"/>
      <c r="AG240" s="175"/>
      <c r="AH240" s="175"/>
      <c r="AI240" s="176"/>
      <c r="AJ240" s="177"/>
      <c r="AK240" s="178"/>
      <c r="AL240" s="178"/>
      <c r="AM240" s="178"/>
      <c r="AN240" s="178"/>
      <c r="AO240" s="179"/>
      <c r="AP240" s="64"/>
      <c r="AQ240" s="65"/>
      <c r="AR240" s="65"/>
      <c r="AS240" s="65"/>
      <c r="AT240" s="173"/>
      <c r="AU240" s="177"/>
      <c r="AV240" s="178"/>
      <c r="AW240" s="178"/>
      <c r="AX240" s="179"/>
      <c r="AZ240" s="166"/>
      <c r="BA240" s="177"/>
      <c r="BB240" s="178"/>
      <c r="BC240" s="178"/>
      <c r="BD240" s="178"/>
      <c r="BE240" s="178"/>
      <c r="BF240" s="178"/>
      <c r="BG240" s="178"/>
      <c r="BH240" s="178"/>
      <c r="BI240" s="179"/>
      <c r="BJ240" s="180"/>
      <c r="BK240" s="178"/>
      <c r="BL240" s="178"/>
      <c r="BM240" s="178"/>
      <c r="BN240" s="178"/>
      <c r="BO240" s="181"/>
      <c r="BP240" s="166"/>
      <c r="BQ240" s="177"/>
      <c r="BR240" s="178"/>
      <c r="BS240" s="179"/>
      <c r="BU240" s="166"/>
      <c r="BV240" s="166"/>
      <c r="BW240" s="166"/>
      <c r="BX240" s="166"/>
      <c r="BY240" s="166"/>
      <c r="BZ240" s="166"/>
      <c r="CA240" s="166"/>
      <c r="CB240" s="166"/>
      <c r="CC240" s="166"/>
      <c r="CD240" s="177"/>
      <c r="CE240" s="181"/>
      <c r="CF240" s="177"/>
      <c r="CG240" s="181"/>
      <c r="CH240" s="177"/>
      <c r="CI240" s="182"/>
      <c r="CJ240" s="177"/>
      <c r="CK240" s="182"/>
      <c r="CL240" s="177"/>
      <c r="CM240" s="182"/>
      <c r="CN240" s="177"/>
      <c r="CO240" s="182"/>
      <c r="CP240" s="177"/>
      <c r="CQ240" s="178"/>
      <c r="CR240" s="182"/>
      <c r="CS240" s="65"/>
      <c r="CT240" s="64"/>
      <c r="CU240" s="165" t="str">
        <f t="shared" si="2"/>
        <v/>
      </c>
    </row>
    <row r="241" ht="60.0" hidden="1" customHeight="1">
      <c r="A241" s="65"/>
      <c r="C241" s="167"/>
      <c r="D241" s="205"/>
      <c r="E241" s="206"/>
      <c r="F241" s="169"/>
      <c r="G241" s="207"/>
      <c r="H241" s="208"/>
      <c r="I241" s="169"/>
      <c r="J241" s="170"/>
      <c r="K241" s="171"/>
      <c r="L241" s="171"/>
      <c r="M241" s="171"/>
      <c r="N241" s="209"/>
      <c r="O241" s="172">
        <f t="shared" si="44"/>
        <v>0</v>
      </c>
      <c r="P241" s="166"/>
      <c r="Q241" s="173"/>
      <c r="R241" s="65"/>
      <c r="S241" s="173"/>
      <c r="T241" s="173"/>
      <c r="U241" s="166"/>
      <c r="V241" s="166"/>
      <c r="W241" s="65"/>
      <c r="X241" s="66"/>
      <c r="Y241" s="173"/>
      <c r="Z241" s="166"/>
      <c r="AA241" s="174"/>
      <c r="AB241" s="175"/>
      <c r="AC241" s="175"/>
      <c r="AD241" s="175"/>
      <c r="AE241" s="175"/>
      <c r="AF241" s="175"/>
      <c r="AG241" s="175"/>
      <c r="AH241" s="175"/>
      <c r="AI241" s="176"/>
      <c r="AJ241" s="177"/>
      <c r="AK241" s="178"/>
      <c r="AL241" s="178"/>
      <c r="AM241" s="178"/>
      <c r="AN241" s="178"/>
      <c r="AO241" s="179"/>
      <c r="AP241" s="64"/>
      <c r="AQ241" s="65"/>
      <c r="AR241" s="65"/>
      <c r="AS241" s="65"/>
      <c r="AT241" s="173"/>
      <c r="AU241" s="177"/>
      <c r="AV241" s="178"/>
      <c r="AW241" s="178"/>
      <c r="AX241" s="179"/>
      <c r="AZ241" s="166"/>
      <c r="BA241" s="177"/>
      <c r="BB241" s="178"/>
      <c r="BC241" s="178"/>
      <c r="BD241" s="178"/>
      <c r="BE241" s="178"/>
      <c r="BF241" s="178"/>
      <c r="BG241" s="178"/>
      <c r="BH241" s="178"/>
      <c r="BI241" s="179"/>
      <c r="BJ241" s="180"/>
      <c r="BK241" s="178"/>
      <c r="BL241" s="178"/>
      <c r="BM241" s="178"/>
      <c r="BN241" s="178"/>
      <c r="BO241" s="181"/>
      <c r="BP241" s="166"/>
      <c r="BQ241" s="177"/>
      <c r="BR241" s="178"/>
      <c r="BS241" s="179"/>
      <c r="BU241" s="166"/>
      <c r="BV241" s="166"/>
      <c r="BW241" s="166"/>
      <c r="BX241" s="166"/>
      <c r="BY241" s="166"/>
      <c r="BZ241" s="166"/>
      <c r="CA241" s="166"/>
      <c r="CB241" s="166"/>
      <c r="CC241" s="166"/>
      <c r="CD241" s="177"/>
      <c r="CE241" s="181"/>
      <c r="CF241" s="177"/>
      <c r="CG241" s="181"/>
      <c r="CH241" s="177"/>
      <c r="CI241" s="182"/>
      <c r="CJ241" s="177"/>
      <c r="CK241" s="182"/>
      <c r="CL241" s="177"/>
      <c r="CM241" s="182"/>
      <c r="CN241" s="177"/>
      <c r="CO241" s="182"/>
      <c r="CP241" s="177"/>
      <c r="CQ241" s="178"/>
      <c r="CR241" s="182"/>
      <c r="CS241" s="65"/>
      <c r="CT241" s="64"/>
      <c r="CU241" s="165" t="str">
        <f t="shared" si="2"/>
        <v/>
      </c>
    </row>
    <row r="242" ht="60.0" hidden="1" customHeight="1">
      <c r="A242" s="65"/>
      <c r="C242" s="167"/>
      <c r="D242" s="205"/>
      <c r="E242" s="206"/>
      <c r="F242" s="169"/>
      <c r="G242" s="207"/>
      <c r="H242" s="208"/>
      <c r="I242" s="169"/>
      <c r="J242" s="170"/>
      <c r="K242" s="171"/>
      <c r="L242" s="171"/>
      <c r="M242" s="171"/>
      <c r="N242" s="209"/>
      <c r="O242" s="172">
        <f t="shared" si="44"/>
        <v>0</v>
      </c>
      <c r="P242" s="166"/>
      <c r="Q242" s="173"/>
      <c r="R242" s="65"/>
      <c r="S242" s="173"/>
      <c r="T242" s="173"/>
      <c r="U242" s="166"/>
      <c r="V242" s="166"/>
      <c r="W242" s="65"/>
      <c r="X242" s="66"/>
      <c r="Y242" s="173"/>
      <c r="Z242" s="166"/>
      <c r="AA242" s="174"/>
      <c r="AB242" s="175"/>
      <c r="AC242" s="175"/>
      <c r="AD242" s="175"/>
      <c r="AE242" s="175"/>
      <c r="AF242" s="175"/>
      <c r="AG242" s="175"/>
      <c r="AH242" s="175"/>
      <c r="AI242" s="176"/>
      <c r="AJ242" s="177"/>
      <c r="AK242" s="178"/>
      <c r="AL242" s="178"/>
      <c r="AM242" s="178"/>
      <c r="AN242" s="178"/>
      <c r="AO242" s="179"/>
      <c r="AP242" s="64"/>
      <c r="AQ242" s="65"/>
      <c r="AR242" s="65"/>
      <c r="AS242" s="65"/>
      <c r="AT242" s="173"/>
      <c r="AU242" s="177"/>
      <c r="AV242" s="178"/>
      <c r="AW242" s="178"/>
      <c r="AX242" s="179"/>
      <c r="AZ242" s="166"/>
      <c r="BA242" s="177"/>
      <c r="BB242" s="178"/>
      <c r="BC242" s="178"/>
      <c r="BD242" s="178"/>
      <c r="BE242" s="178"/>
      <c r="BF242" s="178"/>
      <c r="BG242" s="178"/>
      <c r="BH242" s="178"/>
      <c r="BI242" s="179"/>
      <c r="BJ242" s="180"/>
      <c r="BK242" s="178"/>
      <c r="BL242" s="178"/>
      <c r="BM242" s="178"/>
      <c r="BN242" s="178"/>
      <c r="BO242" s="181"/>
      <c r="BP242" s="166"/>
      <c r="BQ242" s="177"/>
      <c r="BR242" s="178"/>
      <c r="BS242" s="179"/>
      <c r="BU242" s="166"/>
      <c r="BV242" s="166"/>
      <c r="BW242" s="166"/>
      <c r="BX242" s="166"/>
      <c r="BY242" s="166"/>
      <c r="BZ242" s="166"/>
      <c r="CA242" s="166"/>
      <c r="CB242" s="166"/>
      <c r="CC242" s="166"/>
      <c r="CD242" s="177"/>
      <c r="CE242" s="181"/>
      <c r="CF242" s="177"/>
      <c r="CG242" s="181"/>
      <c r="CH242" s="177"/>
      <c r="CI242" s="182"/>
      <c r="CJ242" s="177"/>
      <c r="CK242" s="182"/>
      <c r="CL242" s="177"/>
      <c r="CM242" s="182"/>
      <c r="CN242" s="177"/>
      <c r="CO242" s="182"/>
      <c r="CP242" s="177"/>
      <c r="CQ242" s="178"/>
      <c r="CR242" s="182"/>
      <c r="CS242" s="65"/>
      <c r="CT242" s="64"/>
      <c r="CU242" s="165" t="str">
        <f t="shared" si="2"/>
        <v/>
      </c>
    </row>
    <row r="243" ht="60.0" hidden="1" customHeight="1">
      <c r="A243" s="65"/>
      <c r="C243" s="167"/>
      <c r="D243" s="205"/>
      <c r="E243" s="206"/>
      <c r="F243" s="169"/>
      <c r="G243" s="207"/>
      <c r="H243" s="208"/>
      <c r="I243" s="169"/>
      <c r="J243" s="170"/>
      <c r="K243" s="171"/>
      <c r="L243" s="171"/>
      <c r="M243" s="171"/>
      <c r="N243" s="209"/>
      <c r="O243" s="172">
        <f t="shared" si="44"/>
        <v>0</v>
      </c>
      <c r="P243" s="166"/>
      <c r="Q243" s="173"/>
      <c r="R243" s="65"/>
      <c r="S243" s="173"/>
      <c r="T243" s="173"/>
      <c r="U243" s="166"/>
      <c r="V243" s="166"/>
      <c r="W243" s="65"/>
      <c r="X243" s="66"/>
      <c r="Y243" s="173"/>
      <c r="Z243" s="166"/>
      <c r="AA243" s="174"/>
      <c r="AB243" s="175"/>
      <c r="AC243" s="175"/>
      <c r="AD243" s="175"/>
      <c r="AE243" s="175"/>
      <c r="AF243" s="175"/>
      <c r="AG243" s="175"/>
      <c r="AH243" s="175"/>
      <c r="AI243" s="176"/>
      <c r="AJ243" s="177"/>
      <c r="AK243" s="178"/>
      <c r="AL243" s="178"/>
      <c r="AM243" s="178"/>
      <c r="AN243" s="178"/>
      <c r="AO243" s="179"/>
      <c r="AP243" s="64"/>
      <c r="AQ243" s="65"/>
      <c r="AR243" s="65"/>
      <c r="AS243" s="65"/>
      <c r="AT243" s="173"/>
      <c r="AU243" s="177"/>
      <c r="AV243" s="178"/>
      <c r="AW243" s="178"/>
      <c r="AX243" s="179"/>
      <c r="AZ243" s="166"/>
      <c r="BA243" s="177"/>
      <c r="BB243" s="178"/>
      <c r="BC243" s="178"/>
      <c r="BD243" s="178"/>
      <c r="BE243" s="178"/>
      <c r="BF243" s="178"/>
      <c r="BG243" s="178"/>
      <c r="BH243" s="178"/>
      <c r="BI243" s="179"/>
      <c r="BJ243" s="180"/>
      <c r="BK243" s="178"/>
      <c r="BL243" s="178"/>
      <c r="BM243" s="178"/>
      <c r="BN243" s="178"/>
      <c r="BO243" s="181"/>
      <c r="BP243" s="166"/>
      <c r="BQ243" s="177"/>
      <c r="BR243" s="178"/>
      <c r="BS243" s="179"/>
      <c r="BU243" s="166"/>
      <c r="BV243" s="166"/>
      <c r="BW243" s="166"/>
      <c r="BX243" s="166"/>
      <c r="BY243" s="166"/>
      <c r="BZ243" s="166"/>
      <c r="CA243" s="166"/>
      <c r="CB243" s="166"/>
      <c r="CC243" s="166"/>
      <c r="CD243" s="177"/>
      <c r="CE243" s="181"/>
      <c r="CF243" s="177"/>
      <c r="CG243" s="181"/>
      <c r="CH243" s="177"/>
      <c r="CI243" s="182"/>
      <c r="CJ243" s="177"/>
      <c r="CK243" s="182"/>
      <c r="CL243" s="177"/>
      <c r="CM243" s="182"/>
      <c r="CN243" s="177"/>
      <c r="CO243" s="182"/>
      <c r="CP243" s="177"/>
      <c r="CQ243" s="178"/>
      <c r="CR243" s="182"/>
      <c r="CS243" s="65"/>
      <c r="CT243" s="64"/>
      <c r="CU243" s="165" t="str">
        <f t="shared" si="2"/>
        <v/>
      </c>
    </row>
    <row r="244" ht="60.0" hidden="1" customHeight="1">
      <c r="A244" s="65"/>
      <c r="C244" s="167"/>
      <c r="D244" s="205"/>
      <c r="E244" s="206"/>
      <c r="F244" s="169"/>
      <c r="G244" s="207"/>
      <c r="H244" s="208"/>
      <c r="I244" s="169"/>
      <c r="J244" s="170"/>
      <c r="K244" s="171"/>
      <c r="L244" s="171"/>
      <c r="M244" s="171"/>
      <c r="N244" s="209"/>
      <c r="O244" s="172">
        <f t="shared" si="44"/>
        <v>0</v>
      </c>
      <c r="P244" s="166"/>
      <c r="Q244" s="173"/>
      <c r="R244" s="65"/>
      <c r="S244" s="173"/>
      <c r="T244" s="173"/>
      <c r="U244" s="166"/>
      <c r="V244" s="166"/>
      <c r="W244" s="65"/>
      <c r="X244" s="66"/>
      <c r="Y244" s="173"/>
      <c r="Z244" s="166"/>
      <c r="AA244" s="174"/>
      <c r="AB244" s="175"/>
      <c r="AC244" s="175"/>
      <c r="AD244" s="175"/>
      <c r="AE244" s="175"/>
      <c r="AF244" s="175"/>
      <c r="AG244" s="175"/>
      <c r="AH244" s="175"/>
      <c r="AI244" s="176"/>
      <c r="AJ244" s="177"/>
      <c r="AK244" s="178"/>
      <c r="AL244" s="178"/>
      <c r="AM244" s="178"/>
      <c r="AN244" s="178"/>
      <c r="AO244" s="179"/>
      <c r="AP244" s="64"/>
      <c r="AQ244" s="65"/>
      <c r="AR244" s="65"/>
      <c r="AS244" s="65"/>
      <c r="AT244" s="173"/>
      <c r="AU244" s="177"/>
      <c r="AV244" s="178"/>
      <c r="AW244" s="178"/>
      <c r="AX244" s="179"/>
      <c r="AZ244" s="166"/>
      <c r="BA244" s="177"/>
      <c r="BB244" s="178"/>
      <c r="BC244" s="178"/>
      <c r="BD244" s="178"/>
      <c r="BE244" s="178"/>
      <c r="BF244" s="178"/>
      <c r="BG244" s="178"/>
      <c r="BH244" s="178"/>
      <c r="BI244" s="179"/>
      <c r="BJ244" s="180"/>
      <c r="BK244" s="178"/>
      <c r="BL244" s="178"/>
      <c r="BM244" s="178"/>
      <c r="BN244" s="178"/>
      <c r="BO244" s="181"/>
      <c r="BP244" s="166"/>
      <c r="BQ244" s="177"/>
      <c r="BR244" s="178"/>
      <c r="BS244" s="179"/>
      <c r="BU244" s="166"/>
      <c r="BV244" s="166"/>
      <c r="BW244" s="166"/>
      <c r="BX244" s="166"/>
      <c r="BY244" s="166"/>
      <c r="BZ244" s="166"/>
      <c r="CA244" s="166"/>
      <c r="CB244" s="166"/>
      <c r="CC244" s="166"/>
      <c r="CD244" s="177"/>
      <c r="CE244" s="181"/>
      <c r="CF244" s="177"/>
      <c r="CG244" s="181"/>
      <c r="CH244" s="177"/>
      <c r="CI244" s="182"/>
      <c r="CJ244" s="177"/>
      <c r="CK244" s="182"/>
      <c r="CL244" s="177"/>
      <c r="CM244" s="182"/>
      <c r="CN244" s="177"/>
      <c r="CO244" s="182"/>
      <c r="CP244" s="177"/>
      <c r="CQ244" s="178"/>
      <c r="CR244" s="182"/>
      <c r="CS244" s="65"/>
      <c r="CT244" s="64"/>
      <c r="CU244" s="165" t="str">
        <f t="shared" si="2"/>
        <v/>
      </c>
    </row>
    <row r="245" ht="60.0" hidden="1" customHeight="1">
      <c r="A245" s="65"/>
      <c r="C245" s="167"/>
      <c r="D245" s="205"/>
      <c r="E245" s="206"/>
      <c r="F245" s="169"/>
      <c r="G245" s="207"/>
      <c r="H245" s="208"/>
      <c r="I245" s="169"/>
      <c r="J245" s="170"/>
      <c r="K245" s="171"/>
      <c r="L245" s="171"/>
      <c r="M245" s="171"/>
      <c r="N245" s="209"/>
      <c r="O245" s="172">
        <f t="shared" ref="O245:O248" si="45">IF(AND(M245&gt;=20,M245&lt;&gt;"m",RIGHT(K245,3)="Lec"),1,IF(AND(M245&gt;=20,M245&lt;&gt;"m",OR(RIGHT(K245,3)="Lab",RIGHT(K245,3)="Tut")),0.5,IF(AND(M245&gt;=20,M245&lt;&gt;"m",RIGHT(K245,2)="TL"),0.75,0)))</f>
        <v>0</v>
      </c>
      <c r="P245" s="166"/>
      <c r="Q245" s="173"/>
      <c r="R245" s="65"/>
      <c r="S245" s="173"/>
      <c r="T245" s="173"/>
      <c r="U245" s="166"/>
      <c r="V245" s="166"/>
      <c r="W245" s="65"/>
      <c r="X245" s="66"/>
      <c r="Y245" s="173"/>
      <c r="Z245" s="166"/>
      <c r="AA245" s="174"/>
      <c r="AB245" s="175"/>
      <c r="AC245" s="175"/>
      <c r="AD245" s="175"/>
      <c r="AE245" s="175"/>
      <c r="AF245" s="175"/>
      <c r="AG245" s="175"/>
      <c r="AH245" s="175"/>
      <c r="AI245" s="176"/>
      <c r="AJ245" s="177"/>
      <c r="AK245" s="178"/>
      <c r="AL245" s="178"/>
      <c r="AM245" s="178"/>
      <c r="AN245" s="178"/>
      <c r="AO245" s="179"/>
      <c r="AP245" s="64"/>
      <c r="AQ245" s="65"/>
      <c r="AR245" s="65"/>
      <c r="AS245" s="65"/>
      <c r="AT245" s="173"/>
      <c r="AU245" s="177"/>
      <c r="AV245" s="178"/>
      <c r="AW245" s="178"/>
      <c r="AX245" s="179"/>
      <c r="AZ245" s="166"/>
      <c r="BA245" s="177"/>
      <c r="BB245" s="178"/>
      <c r="BC245" s="178"/>
      <c r="BD245" s="178"/>
      <c r="BE245" s="178"/>
      <c r="BF245" s="178"/>
      <c r="BG245" s="178"/>
      <c r="BH245" s="178"/>
      <c r="BI245" s="179"/>
      <c r="BJ245" s="180"/>
      <c r="BK245" s="178"/>
      <c r="BL245" s="178"/>
      <c r="BM245" s="178"/>
      <c r="BN245" s="178"/>
      <c r="BO245" s="181"/>
      <c r="BP245" s="166"/>
      <c r="BQ245" s="177"/>
      <c r="BR245" s="178"/>
      <c r="BS245" s="179"/>
      <c r="BU245" s="166"/>
      <c r="BV245" s="166"/>
      <c r="BW245" s="166"/>
      <c r="BX245" s="166"/>
      <c r="BY245" s="166"/>
      <c r="BZ245" s="166"/>
      <c r="CA245" s="166"/>
      <c r="CB245" s="166"/>
      <c r="CC245" s="166"/>
      <c r="CD245" s="177"/>
      <c r="CE245" s="181"/>
      <c r="CF245" s="177"/>
      <c r="CG245" s="181"/>
      <c r="CH245" s="177"/>
      <c r="CI245" s="182"/>
      <c r="CJ245" s="177"/>
      <c r="CK245" s="182"/>
      <c r="CL245" s="177"/>
      <c r="CM245" s="182"/>
      <c r="CN245" s="177"/>
      <c r="CO245" s="182"/>
      <c r="CP245" s="177"/>
      <c r="CQ245" s="178"/>
      <c r="CR245" s="182"/>
      <c r="CS245" s="65"/>
      <c r="CT245" s="64"/>
      <c r="CU245" s="165" t="str">
        <f t="shared" si="2"/>
        <v/>
      </c>
    </row>
    <row r="246" ht="60.0" hidden="1" customHeight="1">
      <c r="A246" s="65"/>
      <c r="C246" s="167"/>
      <c r="D246" s="205"/>
      <c r="E246" s="206"/>
      <c r="F246" s="169"/>
      <c r="G246" s="207"/>
      <c r="H246" s="208"/>
      <c r="I246" s="169"/>
      <c r="J246" s="170"/>
      <c r="K246" s="171"/>
      <c r="L246" s="171"/>
      <c r="M246" s="171"/>
      <c r="N246" s="209"/>
      <c r="O246" s="172">
        <f t="shared" si="45"/>
        <v>0</v>
      </c>
      <c r="P246" s="166"/>
      <c r="Q246" s="173"/>
      <c r="R246" s="65"/>
      <c r="S246" s="173"/>
      <c r="T246" s="173"/>
      <c r="U246" s="166"/>
      <c r="V246" s="166"/>
      <c r="W246" s="65"/>
      <c r="X246" s="66"/>
      <c r="Y246" s="173"/>
      <c r="Z246" s="166"/>
      <c r="AA246" s="174"/>
      <c r="AB246" s="175"/>
      <c r="AC246" s="175"/>
      <c r="AD246" s="175"/>
      <c r="AE246" s="175"/>
      <c r="AF246" s="175"/>
      <c r="AG246" s="175"/>
      <c r="AH246" s="175"/>
      <c r="AI246" s="176"/>
      <c r="AJ246" s="177"/>
      <c r="AK246" s="178"/>
      <c r="AL246" s="178"/>
      <c r="AM246" s="178"/>
      <c r="AN246" s="178"/>
      <c r="AO246" s="179"/>
      <c r="AP246" s="64"/>
      <c r="AQ246" s="65"/>
      <c r="AR246" s="65"/>
      <c r="AS246" s="65"/>
      <c r="AT246" s="173"/>
      <c r="AU246" s="177"/>
      <c r="AV246" s="178"/>
      <c r="AW246" s="178"/>
      <c r="AX246" s="179"/>
      <c r="AZ246" s="166"/>
      <c r="BA246" s="177"/>
      <c r="BB246" s="178"/>
      <c r="BC246" s="178"/>
      <c r="BD246" s="178"/>
      <c r="BE246" s="178"/>
      <c r="BF246" s="178"/>
      <c r="BG246" s="178"/>
      <c r="BH246" s="178"/>
      <c r="BI246" s="179"/>
      <c r="BJ246" s="180"/>
      <c r="BK246" s="178"/>
      <c r="BL246" s="178"/>
      <c r="BM246" s="178"/>
      <c r="BN246" s="178"/>
      <c r="BO246" s="181"/>
      <c r="BP246" s="166"/>
      <c r="BQ246" s="177"/>
      <c r="BR246" s="178"/>
      <c r="BS246" s="179"/>
      <c r="BU246" s="166"/>
      <c r="BV246" s="166"/>
      <c r="BW246" s="166"/>
      <c r="BX246" s="166"/>
      <c r="BY246" s="166"/>
      <c r="BZ246" s="166"/>
      <c r="CA246" s="166"/>
      <c r="CB246" s="166"/>
      <c r="CC246" s="166"/>
      <c r="CD246" s="177"/>
      <c r="CE246" s="181"/>
      <c r="CF246" s="177"/>
      <c r="CG246" s="181"/>
      <c r="CH246" s="177"/>
      <c r="CI246" s="182"/>
      <c r="CJ246" s="177"/>
      <c r="CK246" s="182"/>
      <c r="CL246" s="177"/>
      <c r="CM246" s="182"/>
      <c r="CN246" s="177"/>
      <c r="CO246" s="182"/>
      <c r="CP246" s="177"/>
      <c r="CQ246" s="178"/>
      <c r="CR246" s="182"/>
      <c r="CS246" s="65"/>
      <c r="CT246" s="64"/>
      <c r="CU246" s="165" t="str">
        <f t="shared" si="2"/>
        <v/>
      </c>
    </row>
    <row r="247" ht="60.0" hidden="1" customHeight="1">
      <c r="A247" s="65"/>
      <c r="C247" s="167"/>
      <c r="D247" s="205"/>
      <c r="E247" s="206"/>
      <c r="F247" s="169"/>
      <c r="G247" s="207"/>
      <c r="H247" s="208"/>
      <c r="I247" s="169"/>
      <c r="J247" s="170"/>
      <c r="K247" s="171"/>
      <c r="L247" s="171"/>
      <c r="M247" s="171"/>
      <c r="N247" s="209"/>
      <c r="O247" s="172">
        <f t="shared" si="45"/>
        <v>0</v>
      </c>
      <c r="P247" s="166"/>
      <c r="Q247" s="173"/>
      <c r="R247" s="65"/>
      <c r="S247" s="173"/>
      <c r="T247" s="173"/>
      <c r="U247" s="166"/>
      <c r="V247" s="166"/>
      <c r="W247" s="65"/>
      <c r="X247" s="66"/>
      <c r="Y247" s="173"/>
      <c r="Z247" s="166"/>
      <c r="AA247" s="174"/>
      <c r="AB247" s="175"/>
      <c r="AC247" s="175"/>
      <c r="AD247" s="175"/>
      <c r="AE247" s="175"/>
      <c r="AF247" s="175"/>
      <c r="AG247" s="175"/>
      <c r="AH247" s="175"/>
      <c r="AI247" s="176"/>
      <c r="AJ247" s="177"/>
      <c r="AK247" s="178"/>
      <c r="AL247" s="178"/>
      <c r="AM247" s="178"/>
      <c r="AN247" s="178"/>
      <c r="AO247" s="179"/>
      <c r="AP247" s="64"/>
      <c r="AQ247" s="65"/>
      <c r="AR247" s="65"/>
      <c r="AS247" s="65"/>
      <c r="AT247" s="173"/>
      <c r="AU247" s="177"/>
      <c r="AV247" s="178"/>
      <c r="AW247" s="178"/>
      <c r="AX247" s="179"/>
      <c r="AZ247" s="166"/>
      <c r="BA247" s="177"/>
      <c r="BB247" s="178"/>
      <c r="BC247" s="178"/>
      <c r="BD247" s="178"/>
      <c r="BE247" s="178"/>
      <c r="BF247" s="178"/>
      <c r="BG247" s="178"/>
      <c r="BH247" s="178"/>
      <c r="BI247" s="179"/>
      <c r="BJ247" s="180"/>
      <c r="BK247" s="178"/>
      <c r="BL247" s="178"/>
      <c r="BM247" s="178"/>
      <c r="BN247" s="178"/>
      <c r="BO247" s="181"/>
      <c r="BP247" s="166"/>
      <c r="BQ247" s="177"/>
      <c r="BR247" s="178"/>
      <c r="BS247" s="179"/>
      <c r="BU247" s="166"/>
      <c r="BV247" s="166"/>
      <c r="BW247" s="166"/>
      <c r="BX247" s="166"/>
      <c r="BY247" s="166"/>
      <c r="BZ247" s="166"/>
      <c r="CA247" s="166"/>
      <c r="CB247" s="166"/>
      <c r="CC247" s="166"/>
      <c r="CD247" s="177"/>
      <c r="CE247" s="181"/>
      <c r="CF247" s="177"/>
      <c r="CG247" s="181"/>
      <c r="CH247" s="177"/>
      <c r="CI247" s="182"/>
      <c r="CJ247" s="177"/>
      <c r="CK247" s="182"/>
      <c r="CL247" s="177"/>
      <c r="CM247" s="182"/>
      <c r="CN247" s="177"/>
      <c r="CO247" s="182"/>
      <c r="CP247" s="177"/>
      <c r="CQ247" s="178"/>
      <c r="CR247" s="182"/>
      <c r="CS247" s="65"/>
      <c r="CT247" s="64"/>
      <c r="CU247" s="165" t="str">
        <f t="shared" si="2"/>
        <v/>
      </c>
    </row>
    <row r="248" ht="60.0" hidden="1" customHeight="1">
      <c r="A248" s="65"/>
      <c r="C248" s="167"/>
      <c r="D248" s="205"/>
      <c r="E248" s="206"/>
      <c r="F248" s="169"/>
      <c r="G248" s="207"/>
      <c r="H248" s="208"/>
      <c r="I248" s="169"/>
      <c r="J248" s="170"/>
      <c r="K248" s="171"/>
      <c r="L248" s="171"/>
      <c r="M248" s="171"/>
      <c r="N248" s="209"/>
      <c r="O248" s="172">
        <f t="shared" si="45"/>
        <v>0</v>
      </c>
      <c r="P248" s="166"/>
      <c r="Q248" s="173"/>
      <c r="R248" s="65"/>
      <c r="S248" s="173"/>
      <c r="T248" s="173"/>
      <c r="U248" s="166"/>
      <c r="V248" s="166"/>
      <c r="W248" s="65"/>
      <c r="X248" s="66"/>
      <c r="Y248" s="173"/>
      <c r="Z248" s="166"/>
      <c r="AA248" s="174"/>
      <c r="AB248" s="175"/>
      <c r="AC248" s="175"/>
      <c r="AD248" s="175"/>
      <c r="AE248" s="175"/>
      <c r="AF248" s="175"/>
      <c r="AG248" s="175"/>
      <c r="AH248" s="175"/>
      <c r="AI248" s="176"/>
      <c r="AJ248" s="177"/>
      <c r="AK248" s="178"/>
      <c r="AL248" s="178"/>
      <c r="AM248" s="178"/>
      <c r="AN248" s="178"/>
      <c r="AO248" s="179"/>
      <c r="AP248" s="64"/>
      <c r="AQ248" s="65"/>
      <c r="AR248" s="65"/>
      <c r="AS248" s="65"/>
      <c r="AT248" s="173"/>
      <c r="AU248" s="177"/>
      <c r="AV248" s="178"/>
      <c r="AW248" s="178"/>
      <c r="AX248" s="179"/>
      <c r="AZ248" s="166"/>
      <c r="BA248" s="177"/>
      <c r="BB248" s="178"/>
      <c r="BC248" s="178"/>
      <c r="BD248" s="178"/>
      <c r="BE248" s="178"/>
      <c r="BF248" s="178"/>
      <c r="BG248" s="178"/>
      <c r="BH248" s="178"/>
      <c r="BI248" s="179"/>
      <c r="BJ248" s="180"/>
      <c r="BK248" s="178"/>
      <c r="BL248" s="178"/>
      <c r="BM248" s="178"/>
      <c r="BN248" s="178"/>
      <c r="BO248" s="181"/>
      <c r="BP248" s="166"/>
      <c r="BQ248" s="177"/>
      <c r="BR248" s="178"/>
      <c r="BS248" s="179"/>
      <c r="BU248" s="166"/>
      <c r="BV248" s="166"/>
      <c r="BW248" s="166"/>
      <c r="BX248" s="166"/>
      <c r="BY248" s="166"/>
      <c r="BZ248" s="166"/>
      <c r="CA248" s="166"/>
      <c r="CB248" s="166"/>
      <c r="CC248" s="166"/>
      <c r="CD248" s="177"/>
      <c r="CE248" s="181"/>
      <c r="CF248" s="177"/>
      <c r="CG248" s="181"/>
      <c r="CH248" s="177"/>
      <c r="CI248" s="182"/>
      <c r="CJ248" s="177"/>
      <c r="CK248" s="182"/>
      <c r="CL248" s="177"/>
      <c r="CM248" s="182"/>
      <c r="CN248" s="177"/>
      <c r="CO248" s="182"/>
      <c r="CP248" s="177"/>
      <c r="CQ248" s="178"/>
      <c r="CR248" s="182"/>
      <c r="CS248" s="65"/>
      <c r="CT248" s="64"/>
      <c r="CU248" s="165" t="str">
        <f t="shared" si="2"/>
        <v/>
      </c>
    </row>
    <row r="249" ht="60.0" hidden="1" customHeight="1">
      <c r="A249" s="89"/>
      <c r="B249" s="6"/>
      <c r="C249" s="183"/>
      <c r="D249" s="210"/>
      <c r="E249" s="211"/>
      <c r="F249" s="185"/>
      <c r="G249" s="212"/>
      <c r="H249" s="213"/>
      <c r="I249" s="185"/>
      <c r="J249" s="186"/>
      <c r="K249" s="187"/>
      <c r="L249" s="187"/>
      <c r="M249" s="187"/>
      <c r="N249" s="214"/>
      <c r="O249" s="188">
        <f t="shared" ref="O249:O255" si="46">IF(AND(M249&lt;&gt;0,M249&lt;&gt;"m",M249&lt;&gt;"",RIGHT(K249,3)="Lec"),1,IF(AND(M249&lt;&gt;0,M249&lt;&gt;"m",M249&lt;&gt;"",OR(RIGHT(K249,3)="Lab",RIGHT(K249,3)="Tut")),0.5,IF(AND(M249&lt;&gt;0,M249&lt;&gt;"m",M249&lt;&gt;"",RIGHT(K249,2)="TL"),0.75,0)))</f>
        <v>0</v>
      </c>
      <c r="P249" s="63"/>
      <c r="Q249" s="69"/>
      <c r="R249" s="89"/>
      <c r="S249" s="69"/>
      <c r="T249" s="69"/>
      <c r="U249" s="63"/>
      <c r="V249" s="63"/>
      <c r="W249" s="89"/>
      <c r="X249" s="68"/>
      <c r="Y249" s="69"/>
      <c r="Z249" s="63"/>
      <c r="AA249" s="189"/>
      <c r="AB249" s="190"/>
      <c r="AC249" s="190"/>
      <c r="AD249" s="190"/>
      <c r="AE249" s="190"/>
      <c r="AF249" s="190"/>
      <c r="AG249" s="190"/>
      <c r="AH249" s="190"/>
      <c r="AI249" s="191"/>
      <c r="AJ249" s="192"/>
      <c r="AK249" s="193"/>
      <c r="AL249" s="193"/>
      <c r="AM249" s="193"/>
      <c r="AN249" s="193"/>
      <c r="AO249" s="194"/>
      <c r="AP249" s="103"/>
      <c r="AQ249" s="89"/>
      <c r="AR249" s="89"/>
      <c r="AS249" s="89"/>
      <c r="AT249" s="69"/>
      <c r="AU249" s="192"/>
      <c r="AV249" s="193"/>
      <c r="AW249" s="193"/>
      <c r="AX249" s="194"/>
      <c r="AY249" s="6"/>
      <c r="AZ249" s="63"/>
      <c r="BA249" s="192"/>
      <c r="BB249" s="193"/>
      <c r="BC249" s="193"/>
      <c r="BD249" s="193"/>
      <c r="BE249" s="193"/>
      <c r="BF249" s="193"/>
      <c r="BG249" s="193"/>
      <c r="BH249" s="193"/>
      <c r="BI249" s="194"/>
      <c r="BJ249" s="195"/>
      <c r="BK249" s="193"/>
      <c r="BL249" s="193"/>
      <c r="BM249" s="193"/>
      <c r="BN249" s="193"/>
      <c r="BO249" s="196"/>
      <c r="BP249" s="63"/>
      <c r="BQ249" s="192"/>
      <c r="BR249" s="193"/>
      <c r="BS249" s="194"/>
      <c r="BT249" s="6"/>
      <c r="BU249" s="63"/>
      <c r="BV249" s="63"/>
      <c r="BW249" s="63"/>
      <c r="BX249" s="63"/>
      <c r="BY249" s="63"/>
      <c r="BZ249" s="63"/>
      <c r="CA249" s="63"/>
      <c r="CB249" s="63"/>
      <c r="CC249" s="63"/>
      <c r="CD249" s="192"/>
      <c r="CE249" s="196"/>
      <c r="CF249" s="192"/>
      <c r="CG249" s="196"/>
      <c r="CH249" s="192"/>
      <c r="CI249" s="197"/>
      <c r="CJ249" s="192"/>
      <c r="CK249" s="197"/>
      <c r="CL249" s="192"/>
      <c r="CM249" s="197"/>
      <c r="CN249" s="192"/>
      <c r="CO249" s="197"/>
      <c r="CP249" s="192"/>
      <c r="CQ249" s="193"/>
      <c r="CR249" s="197"/>
      <c r="CS249" s="89"/>
      <c r="CT249" s="103"/>
      <c r="CU249" s="165" t="str">
        <f t="shared" si="2"/>
        <v/>
      </c>
    </row>
    <row r="250" ht="56.25" hidden="1" customHeight="1">
      <c r="A250" s="125">
        <v>23.0</v>
      </c>
      <c r="B250" s="199"/>
      <c r="C250" s="127"/>
      <c r="D250" s="128"/>
      <c r="E250" s="215"/>
      <c r="F250" s="216"/>
      <c r="G250" s="217"/>
      <c r="H250" s="218"/>
      <c r="I250" s="216"/>
      <c r="J250" s="170"/>
      <c r="K250" s="219"/>
      <c r="L250" s="219"/>
      <c r="M250" s="219"/>
      <c r="N250" s="220"/>
      <c r="O250" s="132">
        <f t="shared" si="46"/>
        <v>0</v>
      </c>
      <c r="P250" s="133">
        <f>COUNTIF(K250:K260,"TL")*0.75+COUNTIF(K250:K260,"Lec")*1+COUNTIF(K250:K260,"Lab")*0.5</f>
        <v>0</v>
      </c>
      <c r="Q250" s="134">
        <f>SUM((IF(LEFT(K250,1)="E",O250,0)),(IF(LEFT(K251,1)="E",O251,0)),(IF(LEFT(K252,1)="E",O252,0)),(IF(LEFT(K253,1)="E",O253,0)),(IF(LEFT(K254,1)="E",O254,0)),(IF(LEFT(K255,1)="E",O255,0)),(IF(LEFT(K256,1)="E",O256,0)),(IF(LEFT(K257,1)="E",O257,0)),(IF(LEFT(K258,1)="E",O258,0)),(IF(LEFT(K259,1)="E",O259,0)),(IF(LEFT(K260,1)="E",O260,0)))</f>
        <v>0</v>
      </c>
      <c r="R250" s="135">
        <f>SUM(IF(M256&lt;20,IF(K256="Plec",-1,IF(K256="PTL",-0.75,IF(K256="Plab",-0.5,0))),0),IF(M257&lt;20,IF(K257="Plec",-1,IF(K257="PTL",-0.75,IF(K257="Plab",-0.5,0))),0),IF(M258&lt;20,IF(K258="Plec",-1,IF(K258="PTL",-0.75,IF(K258="Plab",-0.5,0))),0),IF(M259&lt;20,IF(K259="Plec",-1,IF(K259="PTL",-0.75,IF(K259="Plab",-0.5,0))),0))</f>
        <v>0</v>
      </c>
      <c r="S250" s="134">
        <f>SUM(P250:R260)</f>
        <v>0</v>
      </c>
      <c r="T250" s="136">
        <f>SUM(IF(M250="M",IF(OR(K250="lec",K250="plec",K250="slec"),1,IF(OR(K250="lab",K250="plab",K250="slab",K250="tut",K250="ptut",K250="stut"),0.5,IF(OR(K250="TL",K250="pTL",K250="STL"),0.75,0))),0),IF(M251="M",IF(OR(K251="lec",K251="plec",K251="slec"),1,IF(OR(K251="lab",K251="plab",K251="slab",K251="tut",K251="ptut",K251="stut"),0.5,IF(OR(K251="TL",K251="pTL",K251="STL"),0.75,0))),0),IF(M252="M",IF(OR(K252="lec",K252="plec",K252="slec"),1,IF(OR(K252="lab",K252="plab",K252="slab",K252="tut",K252="ptut",K252="stut"),0.5,IF(OR(K252="TL",K252="pTL",K252="STL"),0.75,0))),0),IF(M253="M",IF(OR(K253="lec",K253="plec",K253="slec"),1,IF(OR(K253="lab",K253="plab",K253="slab",K253="tut",K253="ptut",K253="stut"),0.5,IF(OR(K253="TL",K253="pTL",K253="STL"),0.75,0))),0),IF(M254="M",IF(OR(K254="lec",K254="plec",K254="slec"),1,IF(OR(K254="lab",K254="plab",K254="slab",K254="tut",K254="ptut",K254="stut"),0.5,IF(OR(K254="TL",K254="pTL",K254="STL"),0.75,0))),0),IF(M255="M",IF(OR(K255="lec",K255="plec",K255="slec"),1,IF(OR(K255="lab",K255="plab",K255="slab",K255="tut",K255="ptut",K255="stut"),0.5,IF(OR(K255="TL",K255="pTL",K255="STL"),0.75,0))),0),IF(M256="M",IF(OR(K256="lec",K256="plec",K256="slec"),1,IF(OR(K256="lab",K256="plab",K256="slab",K256="tut",K256="ptut",K256="stut"),0.5,IF(OR(K256="TL",K256="pTL",K256="STL"),0.75,0))),0),IF(M257="M",IF(OR(K257="lec",K257="plec",K257="slec"),1,IF(OR(K257="lab",K257="plab",K257="slab",K257="tut",K257="ptut",K257="stut"),0.5,IF(OR(K257="TL",K257="pTL",K257="STL"),0.75,0))),0),IF(M258="M",IF(OR(K258="lec",K258="plec",K258="slec"),1,IF(OR(K258="lab",K258="plab",K258="slab",K258="tut",K258="ptut",K258="stut"),0.5,IF(OR(K258="TL",K258="pTL",K258="STL"),0.75,0))),0),IF(M259="M",IF(OR(K259="lec",K259="plec",K259="slec"),1,IF(OR(K259="lab",K259="plab",K259="slab",K259="tut",K259="ptut",K259="stut"),0.5,IF(OR(K259="TL",K259="pTL",K259="STL"),0.75,0))),0),IF(M260="M",IF(OR(K260="lec",K260="plec",K260="slec"),1,IF(OR(K260="lab",K260="plab",K260="slab",K260="tut",K260="ptut",K260="stut"),0.5,IF(OR(K260="TL",K260="pTL",K260="STL"),0.75,0))),0))</f>
        <v>0</v>
      </c>
      <c r="U250" s="137"/>
      <c r="V250" s="133"/>
      <c r="W250" s="138"/>
      <c r="X250" s="139">
        <f>S250-(T250+U250+V250+W250)</f>
        <v>0</v>
      </c>
      <c r="Y250" s="134" t="str">
        <f>CONCATENATE(SUM(O250:O260),"(",SUM(O250:O260)-X250,")")</f>
        <v>0(0)</v>
      </c>
      <c r="Z250" s="140"/>
      <c r="AA250" s="141"/>
      <c r="AB250" s="142"/>
      <c r="AC250" s="142"/>
      <c r="AD250" s="142"/>
      <c r="AE250" s="142"/>
      <c r="AF250" s="142"/>
      <c r="AG250" s="142"/>
      <c r="AH250" s="142"/>
      <c r="AI250" s="143"/>
      <c r="AJ250" s="144"/>
      <c r="AK250" s="145"/>
      <c r="AL250" s="145"/>
      <c r="AM250" s="145"/>
      <c r="AN250" s="145"/>
      <c r="AO250" s="146"/>
      <c r="AP250" s="147">
        <f>SUM(SUM(O250:O260),SUM(AI250:AI260)/2,AM250)</f>
        <v>0</v>
      </c>
      <c r="AQ250" s="148"/>
      <c r="AR250" s="148">
        <f>AP250*AQ250</f>
        <v>0</v>
      </c>
      <c r="AS250" s="148">
        <f>CT250</f>
        <v>0</v>
      </c>
      <c r="AT250" s="149">
        <f>AR250*0.75+AS250*0.25</f>
        <v>0</v>
      </c>
      <c r="AU250" s="150"/>
      <c r="AV250" s="151"/>
      <c r="AW250" s="151"/>
      <c r="AX250" s="152"/>
      <c r="AY250" s="153"/>
      <c r="AZ250" s="140"/>
      <c r="BA250" s="150"/>
      <c r="BB250" s="151"/>
      <c r="BC250" s="151"/>
      <c r="BD250" s="151"/>
      <c r="BE250" s="151"/>
      <c r="BF250" s="151"/>
      <c r="BG250" s="151"/>
      <c r="BH250" s="151"/>
      <c r="BI250" s="152"/>
      <c r="BJ250" s="154"/>
      <c r="BK250" s="151"/>
      <c r="BL250" s="151"/>
      <c r="BM250" s="151"/>
      <c r="BN250" s="151"/>
      <c r="BO250" s="155"/>
      <c r="BP250" s="140"/>
      <c r="BQ250" s="156"/>
      <c r="BR250" s="157"/>
      <c r="BS250" s="158"/>
      <c r="BT250" s="153"/>
      <c r="BU250" s="140"/>
      <c r="BV250" s="140"/>
      <c r="BW250" s="140"/>
      <c r="BX250" s="140"/>
      <c r="BY250" s="140"/>
      <c r="BZ250" s="140"/>
      <c r="CA250" s="140"/>
      <c r="CB250" s="140"/>
      <c r="CC250" s="140"/>
      <c r="CD250" s="150"/>
      <c r="CE250" s="155"/>
      <c r="CF250" s="150"/>
      <c r="CG250" s="155"/>
      <c r="CH250" s="159"/>
      <c r="CI250" s="160"/>
      <c r="CJ250" s="159"/>
      <c r="CK250" s="160"/>
      <c r="CL250" s="159"/>
      <c r="CM250" s="160"/>
      <c r="CN250" s="159"/>
      <c r="CO250" s="160"/>
      <c r="CP250" s="159"/>
      <c r="CQ250" s="162"/>
      <c r="CR250" s="160"/>
      <c r="CS250" s="163">
        <f>SUM(IF(AU250&lt;0,ABS(AU250),0),IF(AZ250&lt;0,ABS(AZ250),0),ABS(CI250),ABS(CK250),ABS(CM250),ABS(CO250),ABS(CQ250),ABS(CR250))</f>
        <v>0</v>
      </c>
      <c r="CT250" s="164">
        <f>SUM(AU250,AV250,AW250,AX250/400,AY250,AZ250,BG250,BH250*0.5,BI250*0.25,BJ250,BK250,BL250,BM250,BN250,BO250,BP250,BR250/20,BS250/100,BT250/60,BU250,BV250,BW250,BX250/4,SUM(BY250:CC260)/3,CE250,CG250/3,CI250,CK250,CM250,CO250,CQ250,CR250)</f>
        <v>0</v>
      </c>
      <c r="CU250" s="165" t="str">
        <f t="shared" si="2"/>
        <v/>
      </c>
    </row>
    <row r="251" ht="60.0" hidden="1" customHeight="1">
      <c r="A251" s="65"/>
      <c r="C251" s="167"/>
      <c r="D251" s="205"/>
      <c r="E251" s="206"/>
      <c r="F251" s="169"/>
      <c r="G251" s="207"/>
      <c r="H251" s="208"/>
      <c r="I251" s="169"/>
      <c r="J251" s="170"/>
      <c r="K251" s="171"/>
      <c r="L251" s="171"/>
      <c r="M251" s="171"/>
      <c r="N251" s="209"/>
      <c r="O251" s="172">
        <f t="shared" si="46"/>
        <v>0</v>
      </c>
      <c r="P251" s="166"/>
      <c r="Q251" s="173"/>
      <c r="R251" s="65"/>
      <c r="S251" s="173"/>
      <c r="T251" s="173"/>
      <c r="U251" s="166"/>
      <c r="V251" s="166"/>
      <c r="W251" s="65"/>
      <c r="X251" s="66"/>
      <c r="Y251" s="173"/>
      <c r="Z251" s="166"/>
      <c r="AA251" s="174"/>
      <c r="AB251" s="175"/>
      <c r="AC251" s="175"/>
      <c r="AD251" s="175"/>
      <c r="AE251" s="175"/>
      <c r="AF251" s="175"/>
      <c r="AG251" s="175"/>
      <c r="AH251" s="175"/>
      <c r="AI251" s="176"/>
      <c r="AJ251" s="177"/>
      <c r="AK251" s="178"/>
      <c r="AL251" s="178"/>
      <c r="AM251" s="178"/>
      <c r="AN251" s="178"/>
      <c r="AO251" s="179"/>
      <c r="AP251" s="64"/>
      <c r="AQ251" s="65"/>
      <c r="AR251" s="65"/>
      <c r="AS251" s="65"/>
      <c r="AT251" s="173"/>
      <c r="AU251" s="177"/>
      <c r="AV251" s="178"/>
      <c r="AW251" s="178"/>
      <c r="AX251" s="179"/>
      <c r="AZ251" s="166"/>
      <c r="BA251" s="177"/>
      <c r="BB251" s="178"/>
      <c r="BC251" s="178"/>
      <c r="BD251" s="178"/>
      <c r="BE251" s="178"/>
      <c r="BF251" s="178"/>
      <c r="BG251" s="178"/>
      <c r="BH251" s="178"/>
      <c r="BI251" s="179"/>
      <c r="BJ251" s="180"/>
      <c r="BK251" s="178"/>
      <c r="BL251" s="178"/>
      <c r="BM251" s="178"/>
      <c r="BN251" s="178"/>
      <c r="BO251" s="181"/>
      <c r="BP251" s="166"/>
      <c r="BQ251" s="177"/>
      <c r="BR251" s="178"/>
      <c r="BS251" s="179"/>
      <c r="BU251" s="166"/>
      <c r="BV251" s="166"/>
      <c r="BW251" s="166"/>
      <c r="BX251" s="166"/>
      <c r="BY251" s="166"/>
      <c r="BZ251" s="166"/>
      <c r="CA251" s="166"/>
      <c r="CB251" s="166"/>
      <c r="CC251" s="166"/>
      <c r="CD251" s="177"/>
      <c r="CE251" s="181"/>
      <c r="CF251" s="177"/>
      <c r="CG251" s="181"/>
      <c r="CH251" s="177"/>
      <c r="CI251" s="182"/>
      <c r="CJ251" s="177"/>
      <c r="CK251" s="182"/>
      <c r="CL251" s="177"/>
      <c r="CM251" s="182"/>
      <c r="CN251" s="177"/>
      <c r="CO251" s="182"/>
      <c r="CP251" s="177"/>
      <c r="CQ251" s="178"/>
      <c r="CR251" s="182"/>
      <c r="CS251" s="65"/>
      <c r="CT251" s="64"/>
      <c r="CU251" s="165" t="str">
        <f t="shared" si="2"/>
        <v/>
      </c>
    </row>
    <row r="252" ht="60.0" hidden="1" customHeight="1">
      <c r="A252" s="65"/>
      <c r="C252" s="167"/>
      <c r="D252" s="205"/>
      <c r="E252" s="206"/>
      <c r="F252" s="169"/>
      <c r="G252" s="207"/>
      <c r="H252" s="208"/>
      <c r="I252" s="169"/>
      <c r="J252" s="170"/>
      <c r="K252" s="171"/>
      <c r="L252" s="171"/>
      <c r="M252" s="171"/>
      <c r="N252" s="209"/>
      <c r="O252" s="172">
        <f t="shared" si="46"/>
        <v>0</v>
      </c>
      <c r="P252" s="166"/>
      <c r="Q252" s="173"/>
      <c r="R252" s="65"/>
      <c r="S252" s="173"/>
      <c r="T252" s="173"/>
      <c r="U252" s="166"/>
      <c r="V252" s="166"/>
      <c r="W252" s="65"/>
      <c r="X252" s="66"/>
      <c r="Y252" s="173"/>
      <c r="Z252" s="166"/>
      <c r="AA252" s="174"/>
      <c r="AB252" s="175"/>
      <c r="AC252" s="175"/>
      <c r="AD252" s="175"/>
      <c r="AE252" s="175"/>
      <c r="AF252" s="175"/>
      <c r="AG252" s="175"/>
      <c r="AH252" s="175"/>
      <c r="AI252" s="176"/>
      <c r="AJ252" s="177"/>
      <c r="AK252" s="178"/>
      <c r="AL252" s="178"/>
      <c r="AM252" s="178"/>
      <c r="AN252" s="178"/>
      <c r="AO252" s="179"/>
      <c r="AP252" s="64"/>
      <c r="AQ252" s="65"/>
      <c r="AR252" s="65"/>
      <c r="AS252" s="65"/>
      <c r="AT252" s="173"/>
      <c r="AU252" s="177"/>
      <c r="AV252" s="178"/>
      <c r="AW252" s="178"/>
      <c r="AX252" s="179"/>
      <c r="AZ252" s="166"/>
      <c r="BA252" s="177"/>
      <c r="BB252" s="178"/>
      <c r="BC252" s="178"/>
      <c r="BD252" s="178"/>
      <c r="BE252" s="178"/>
      <c r="BF252" s="178"/>
      <c r="BG252" s="178"/>
      <c r="BH252" s="178"/>
      <c r="BI252" s="179"/>
      <c r="BJ252" s="180"/>
      <c r="BK252" s="178"/>
      <c r="BL252" s="178"/>
      <c r="BM252" s="178"/>
      <c r="BN252" s="178"/>
      <c r="BO252" s="181"/>
      <c r="BP252" s="166"/>
      <c r="BQ252" s="177"/>
      <c r="BR252" s="178"/>
      <c r="BS252" s="179"/>
      <c r="BU252" s="166"/>
      <c r="BV252" s="166"/>
      <c r="BW252" s="166"/>
      <c r="BX252" s="166"/>
      <c r="BY252" s="166"/>
      <c r="BZ252" s="166"/>
      <c r="CA252" s="166"/>
      <c r="CB252" s="166"/>
      <c r="CC252" s="166"/>
      <c r="CD252" s="177"/>
      <c r="CE252" s="181"/>
      <c r="CF252" s="177"/>
      <c r="CG252" s="181"/>
      <c r="CH252" s="177"/>
      <c r="CI252" s="182"/>
      <c r="CJ252" s="177"/>
      <c r="CK252" s="182"/>
      <c r="CL252" s="177"/>
      <c r="CM252" s="182"/>
      <c r="CN252" s="177"/>
      <c r="CO252" s="182"/>
      <c r="CP252" s="177"/>
      <c r="CQ252" s="178"/>
      <c r="CR252" s="182"/>
      <c r="CS252" s="65"/>
      <c r="CT252" s="64"/>
      <c r="CU252" s="165" t="str">
        <f t="shared" si="2"/>
        <v/>
      </c>
    </row>
    <row r="253" ht="60.0" hidden="1" customHeight="1">
      <c r="A253" s="65"/>
      <c r="C253" s="167"/>
      <c r="D253" s="205"/>
      <c r="E253" s="206"/>
      <c r="F253" s="169"/>
      <c r="G253" s="207"/>
      <c r="H253" s="208"/>
      <c r="I253" s="169"/>
      <c r="J253" s="170"/>
      <c r="K253" s="171"/>
      <c r="L253" s="171"/>
      <c r="M253" s="171"/>
      <c r="N253" s="209"/>
      <c r="O253" s="172">
        <f t="shared" si="46"/>
        <v>0</v>
      </c>
      <c r="P253" s="166"/>
      <c r="Q253" s="173"/>
      <c r="R253" s="65"/>
      <c r="S253" s="173"/>
      <c r="T253" s="173"/>
      <c r="U253" s="166"/>
      <c r="V253" s="166"/>
      <c r="W253" s="65"/>
      <c r="X253" s="66"/>
      <c r="Y253" s="173"/>
      <c r="Z253" s="166"/>
      <c r="AA253" s="174"/>
      <c r="AB253" s="175"/>
      <c r="AC253" s="175"/>
      <c r="AD253" s="175"/>
      <c r="AE253" s="175"/>
      <c r="AF253" s="175"/>
      <c r="AG253" s="175"/>
      <c r="AH253" s="175"/>
      <c r="AI253" s="176"/>
      <c r="AJ253" s="177"/>
      <c r="AK253" s="178"/>
      <c r="AL253" s="178"/>
      <c r="AM253" s="178"/>
      <c r="AN253" s="178"/>
      <c r="AO253" s="179"/>
      <c r="AP253" s="64"/>
      <c r="AQ253" s="65"/>
      <c r="AR253" s="65"/>
      <c r="AS253" s="65"/>
      <c r="AT253" s="173"/>
      <c r="AU253" s="177"/>
      <c r="AV253" s="178"/>
      <c r="AW253" s="178"/>
      <c r="AX253" s="179"/>
      <c r="AZ253" s="166"/>
      <c r="BA253" s="177"/>
      <c r="BB253" s="178"/>
      <c r="BC253" s="178"/>
      <c r="BD253" s="178"/>
      <c r="BE253" s="178"/>
      <c r="BF253" s="178"/>
      <c r="BG253" s="178"/>
      <c r="BH253" s="178"/>
      <c r="BI253" s="179"/>
      <c r="BJ253" s="180"/>
      <c r="BK253" s="178"/>
      <c r="BL253" s="178"/>
      <c r="BM253" s="178"/>
      <c r="BN253" s="178"/>
      <c r="BO253" s="181"/>
      <c r="BP253" s="166"/>
      <c r="BQ253" s="177"/>
      <c r="BR253" s="178"/>
      <c r="BS253" s="179"/>
      <c r="BU253" s="166"/>
      <c r="BV253" s="166"/>
      <c r="BW253" s="166"/>
      <c r="BX253" s="166"/>
      <c r="BY253" s="166"/>
      <c r="BZ253" s="166"/>
      <c r="CA253" s="166"/>
      <c r="CB253" s="166"/>
      <c r="CC253" s="166"/>
      <c r="CD253" s="177"/>
      <c r="CE253" s="181"/>
      <c r="CF253" s="177"/>
      <c r="CG253" s="181"/>
      <c r="CH253" s="177"/>
      <c r="CI253" s="182"/>
      <c r="CJ253" s="177"/>
      <c r="CK253" s="182"/>
      <c r="CL253" s="177"/>
      <c r="CM253" s="182"/>
      <c r="CN253" s="177"/>
      <c r="CO253" s="182"/>
      <c r="CP253" s="177"/>
      <c r="CQ253" s="178"/>
      <c r="CR253" s="182"/>
      <c r="CS253" s="65"/>
      <c r="CT253" s="64"/>
      <c r="CU253" s="165" t="str">
        <f t="shared" si="2"/>
        <v/>
      </c>
    </row>
    <row r="254" ht="60.0" hidden="1" customHeight="1">
      <c r="A254" s="65"/>
      <c r="C254" s="167"/>
      <c r="D254" s="205"/>
      <c r="E254" s="206"/>
      <c r="F254" s="169"/>
      <c r="G254" s="207"/>
      <c r="H254" s="208"/>
      <c r="I254" s="169"/>
      <c r="J254" s="170"/>
      <c r="K254" s="171"/>
      <c r="L254" s="171"/>
      <c r="M254" s="171"/>
      <c r="N254" s="209"/>
      <c r="O254" s="172">
        <f t="shared" si="46"/>
        <v>0</v>
      </c>
      <c r="P254" s="166"/>
      <c r="Q254" s="173"/>
      <c r="R254" s="65"/>
      <c r="S254" s="173"/>
      <c r="T254" s="173"/>
      <c r="U254" s="166"/>
      <c r="V254" s="166"/>
      <c r="W254" s="65"/>
      <c r="X254" s="66"/>
      <c r="Y254" s="173"/>
      <c r="Z254" s="166"/>
      <c r="AA254" s="174"/>
      <c r="AB254" s="175"/>
      <c r="AC254" s="175"/>
      <c r="AD254" s="175"/>
      <c r="AE254" s="175"/>
      <c r="AF254" s="175"/>
      <c r="AG254" s="175"/>
      <c r="AH254" s="175"/>
      <c r="AI254" s="176"/>
      <c r="AJ254" s="177"/>
      <c r="AK254" s="178"/>
      <c r="AL254" s="178"/>
      <c r="AM254" s="178"/>
      <c r="AN254" s="178"/>
      <c r="AO254" s="179"/>
      <c r="AP254" s="64"/>
      <c r="AQ254" s="65"/>
      <c r="AR254" s="65"/>
      <c r="AS254" s="65"/>
      <c r="AT254" s="173"/>
      <c r="AU254" s="177"/>
      <c r="AV254" s="178"/>
      <c r="AW254" s="178"/>
      <c r="AX254" s="179"/>
      <c r="AZ254" s="166"/>
      <c r="BA254" s="177"/>
      <c r="BB254" s="178"/>
      <c r="BC254" s="178"/>
      <c r="BD254" s="178"/>
      <c r="BE254" s="178"/>
      <c r="BF254" s="178"/>
      <c r="BG254" s="178"/>
      <c r="BH254" s="178"/>
      <c r="BI254" s="179"/>
      <c r="BJ254" s="180"/>
      <c r="BK254" s="178"/>
      <c r="BL254" s="178"/>
      <c r="BM254" s="178"/>
      <c r="BN254" s="178"/>
      <c r="BO254" s="181"/>
      <c r="BP254" s="166"/>
      <c r="BQ254" s="177"/>
      <c r="BR254" s="178"/>
      <c r="BS254" s="179"/>
      <c r="BU254" s="166"/>
      <c r="BV254" s="166"/>
      <c r="BW254" s="166"/>
      <c r="BX254" s="166"/>
      <c r="BY254" s="166"/>
      <c r="BZ254" s="166"/>
      <c r="CA254" s="166"/>
      <c r="CB254" s="166"/>
      <c r="CC254" s="166"/>
      <c r="CD254" s="177"/>
      <c r="CE254" s="181"/>
      <c r="CF254" s="177"/>
      <c r="CG254" s="181"/>
      <c r="CH254" s="177"/>
      <c r="CI254" s="182"/>
      <c r="CJ254" s="177"/>
      <c r="CK254" s="182"/>
      <c r="CL254" s="177"/>
      <c r="CM254" s="182"/>
      <c r="CN254" s="177"/>
      <c r="CO254" s="182"/>
      <c r="CP254" s="177"/>
      <c r="CQ254" s="178"/>
      <c r="CR254" s="182"/>
      <c r="CS254" s="65"/>
      <c r="CT254" s="64"/>
      <c r="CU254" s="165" t="str">
        <f t="shared" si="2"/>
        <v/>
      </c>
    </row>
    <row r="255" ht="60.0" hidden="1" customHeight="1">
      <c r="A255" s="65"/>
      <c r="C255" s="167"/>
      <c r="D255" s="205"/>
      <c r="E255" s="206"/>
      <c r="F255" s="169"/>
      <c r="G255" s="207"/>
      <c r="H255" s="208"/>
      <c r="I255" s="169"/>
      <c r="J255" s="170"/>
      <c r="K255" s="171"/>
      <c r="L255" s="171"/>
      <c r="M255" s="171"/>
      <c r="N255" s="209"/>
      <c r="O255" s="172">
        <f t="shared" si="46"/>
        <v>0</v>
      </c>
      <c r="P255" s="166"/>
      <c r="Q255" s="173"/>
      <c r="R255" s="65"/>
      <c r="S255" s="173"/>
      <c r="T255" s="173"/>
      <c r="U255" s="166"/>
      <c r="V255" s="166"/>
      <c r="W255" s="65"/>
      <c r="X255" s="66"/>
      <c r="Y255" s="173"/>
      <c r="Z255" s="166"/>
      <c r="AA255" s="174"/>
      <c r="AB255" s="175"/>
      <c r="AC255" s="175"/>
      <c r="AD255" s="175"/>
      <c r="AE255" s="175"/>
      <c r="AF255" s="175"/>
      <c r="AG255" s="175"/>
      <c r="AH255" s="175"/>
      <c r="AI255" s="176"/>
      <c r="AJ255" s="177"/>
      <c r="AK255" s="178"/>
      <c r="AL255" s="178"/>
      <c r="AM255" s="178"/>
      <c r="AN255" s="178"/>
      <c r="AO255" s="179"/>
      <c r="AP255" s="64"/>
      <c r="AQ255" s="65"/>
      <c r="AR255" s="65"/>
      <c r="AS255" s="65"/>
      <c r="AT255" s="173"/>
      <c r="AU255" s="177"/>
      <c r="AV255" s="178"/>
      <c r="AW255" s="178"/>
      <c r="AX255" s="179"/>
      <c r="AZ255" s="166"/>
      <c r="BA255" s="177"/>
      <c r="BB255" s="178"/>
      <c r="BC255" s="178"/>
      <c r="BD255" s="178"/>
      <c r="BE255" s="178"/>
      <c r="BF255" s="178"/>
      <c r="BG255" s="178"/>
      <c r="BH255" s="178"/>
      <c r="BI255" s="179"/>
      <c r="BJ255" s="180"/>
      <c r="BK255" s="178"/>
      <c r="BL255" s="178"/>
      <c r="BM255" s="178"/>
      <c r="BN255" s="178"/>
      <c r="BO255" s="181"/>
      <c r="BP255" s="166"/>
      <c r="BQ255" s="177"/>
      <c r="BR255" s="178"/>
      <c r="BS255" s="179"/>
      <c r="BU255" s="166"/>
      <c r="BV255" s="166"/>
      <c r="BW255" s="166"/>
      <c r="BX255" s="166"/>
      <c r="BY255" s="166"/>
      <c r="BZ255" s="166"/>
      <c r="CA255" s="166"/>
      <c r="CB255" s="166"/>
      <c r="CC255" s="166"/>
      <c r="CD255" s="177"/>
      <c r="CE255" s="181"/>
      <c r="CF255" s="177"/>
      <c r="CG255" s="181"/>
      <c r="CH255" s="177"/>
      <c r="CI255" s="182"/>
      <c r="CJ255" s="177"/>
      <c r="CK255" s="182"/>
      <c r="CL255" s="177"/>
      <c r="CM255" s="182"/>
      <c r="CN255" s="177"/>
      <c r="CO255" s="182"/>
      <c r="CP255" s="177"/>
      <c r="CQ255" s="178"/>
      <c r="CR255" s="182"/>
      <c r="CS255" s="65"/>
      <c r="CT255" s="64"/>
      <c r="CU255" s="165" t="str">
        <f t="shared" si="2"/>
        <v/>
      </c>
    </row>
    <row r="256" ht="60.0" hidden="1" customHeight="1">
      <c r="A256" s="65"/>
      <c r="C256" s="167"/>
      <c r="D256" s="205"/>
      <c r="E256" s="206"/>
      <c r="F256" s="169"/>
      <c r="G256" s="207"/>
      <c r="H256" s="208"/>
      <c r="I256" s="169"/>
      <c r="J256" s="170"/>
      <c r="K256" s="171"/>
      <c r="L256" s="171"/>
      <c r="M256" s="171"/>
      <c r="N256" s="209"/>
      <c r="O256" s="172">
        <f t="shared" ref="O256:O259" si="47">IF(AND(M256&gt;=20,M256&lt;&gt;"m",RIGHT(K256,3)="Lec"),1,IF(AND(M256&gt;=20,M256&lt;&gt;"m",OR(RIGHT(K256,3)="Lab",RIGHT(K256,3)="Tut")),0.5,IF(AND(M256&gt;=20,M256&lt;&gt;"m",RIGHT(K256,2)="TL"),0.75,0)))</f>
        <v>0</v>
      </c>
      <c r="P256" s="166"/>
      <c r="Q256" s="173"/>
      <c r="R256" s="65"/>
      <c r="S256" s="173"/>
      <c r="T256" s="173"/>
      <c r="U256" s="166"/>
      <c r="V256" s="166"/>
      <c r="W256" s="65"/>
      <c r="X256" s="66"/>
      <c r="Y256" s="173"/>
      <c r="Z256" s="166"/>
      <c r="AA256" s="174"/>
      <c r="AB256" s="175"/>
      <c r="AC256" s="175"/>
      <c r="AD256" s="175"/>
      <c r="AE256" s="175"/>
      <c r="AF256" s="175"/>
      <c r="AG256" s="175"/>
      <c r="AH256" s="175"/>
      <c r="AI256" s="176"/>
      <c r="AJ256" s="177"/>
      <c r="AK256" s="178"/>
      <c r="AL256" s="178"/>
      <c r="AM256" s="178"/>
      <c r="AN256" s="178"/>
      <c r="AO256" s="179"/>
      <c r="AP256" s="64"/>
      <c r="AQ256" s="65"/>
      <c r="AR256" s="65"/>
      <c r="AS256" s="65"/>
      <c r="AT256" s="173"/>
      <c r="AU256" s="177"/>
      <c r="AV256" s="178"/>
      <c r="AW256" s="178"/>
      <c r="AX256" s="179"/>
      <c r="AZ256" s="166"/>
      <c r="BA256" s="177"/>
      <c r="BB256" s="178"/>
      <c r="BC256" s="178"/>
      <c r="BD256" s="178"/>
      <c r="BE256" s="178"/>
      <c r="BF256" s="178"/>
      <c r="BG256" s="178"/>
      <c r="BH256" s="178"/>
      <c r="BI256" s="179"/>
      <c r="BJ256" s="180"/>
      <c r="BK256" s="178"/>
      <c r="BL256" s="178"/>
      <c r="BM256" s="178"/>
      <c r="BN256" s="178"/>
      <c r="BO256" s="181"/>
      <c r="BP256" s="166"/>
      <c r="BQ256" s="177"/>
      <c r="BR256" s="178"/>
      <c r="BS256" s="179"/>
      <c r="BU256" s="166"/>
      <c r="BV256" s="166"/>
      <c r="BW256" s="166"/>
      <c r="BX256" s="166"/>
      <c r="BY256" s="166"/>
      <c r="BZ256" s="166"/>
      <c r="CA256" s="166"/>
      <c r="CB256" s="166"/>
      <c r="CC256" s="166"/>
      <c r="CD256" s="177"/>
      <c r="CE256" s="181"/>
      <c r="CF256" s="177"/>
      <c r="CG256" s="181"/>
      <c r="CH256" s="177"/>
      <c r="CI256" s="182"/>
      <c r="CJ256" s="177"/>
      <c r="CK256" s="182"/>
      <c r="CL256" s="177"/>
      <c r="CM256" s="182"/>
      <c r="CN256" s="177"/>
      <c r="CO256" s="182"/>
      <c r="CP256" s="177"/>
      <c r="CQ256" s="178"/>
      <c r="CR256" s="182"/>
      <c r="CS256" s="65"/>
      <c r="CT256" s="64"/>
      <c r="CU256" s="165" t="str">
        <f t="shared" si="2"/>
        <v/>
      </c>
    </row>
    <row r="257" ht="60.0" hidden="1" customHeight="1">
      <c r="A257" s="65"/>
      <c r="C257" s="167"/>
      <c r="D257" s="205"/>
      <c r="E257" s="206"/>
      <c r="F257" s="169"/>
      <c r="G257" s="207"/>
      <c r="H257" s="208"/>
      <c r="I257" s="169"/>
      <c r="J257" s="170"/>
      <c r="K257" s="171"/>
      <c r="L257" s="171"/>
      <c r="M257" s="171"/>
      <c r="N257" s="209"/>
      <c r="O257" s="172">
        <f t="shared" si="47"/>
        <v>0</v>
      </c>
      <c r="P257" s="166"/>
      <c r="Q257" s="173"/>
      <c r="R257" s="65"/>
      <c r="S257" s="173"/>
      <c r="T257" s="173"/>
      <c r="U257" s="166"/>
      <c r="V257" s="166"/>
      <c r="W257" s="65"/>
      <c r="X257" s="66"/>
      <c r="Y257" s="173"/>
      <c r="Z257" s="166"/>
      <c r="AA257" s="174"/>
      <c r="AB257" s="175"/>
      <c r="AC257" s="175"/>
      <c r="AD257" s="175"/>
      <c r="AE257" s="175"/>
      <c r="AF257" s="175"/>
      <c r="AG257" s="175"/>
      <c r="AH257" s="175"/>
      <c r="AI257" s="176"/>
      <c r="AJ257" s="177"/>
      <c r="AK257" s="178"/>
      <c r="AL257" s="178"/>
      <c r="AM257" s="178"/>
      <c r="AN257" s="178"/>
      <c r="AO257" s="179"/>
      <c r="AP257" s="64"/>
      <c r="AQ257" s="65"/>
      <c r="AR257" s="65"/>
      <c r="AS257" s="65"/>
      <c r="AT257" s="173"/>
      <c r="AU257" s="177"/>
      <c r="AV257" s="178"/>
      <c r="AW257" s="178"/>
      <c r="AX257" s="179"/>
      <c r="AZ257" s="166"/>
      <c r="BA257" s="177"/>
      <c r="BB257" s="178"/>
      <c r="BC257" s="178"/>
      <c r="BD257" s="178"/>
      <c r="BE257" s="178"/>
      <c r="BF257" s="178"/>
      <c r="BG257" s="178"/>
      <c r="BH257" s="178"/>
      <c r="BI257" s="179"/>
      <c r="BJ257" s="180"/>
      <c r="BK257" s="178"/>
      <c r="BL257" s="178"/>
      <c r="BM257" s="178"/>
      <c r="BN257" s="178"/>
      <c r="BO257" s="181"/>
      <c r="BP257" s="166"/>
      <c r="BQ257" s="177"/>
      <c r="BR257" s="178"/>
      <c r="BS257" s="179"/>
      <c r="BU257" s="166"/>
      <c r="BV257" s="166"/>
      <c r="BW257" s="166"/>
      <c r="BX257" s="166"/>
      <c r="BY257" s="166"/>
      <c r="BZ257" s="166"/>
      <c r="CA257" s="166"/>
      <c r="CB257" s="166"/>
      <c r="CC257" s="166"/>
      <c r="CD257" s="177"/>
      <c r="CE257" s="181"/>
      <c r="CF257" s="177"/>
      <c r="CG257" s="181"/>
      <c r="CH257" s="177"/>
      <c r="CI257" s="182"/>
      <c r="CJ257" s="177"/>
      <c r="CK257" s="182"/>
      <c r="CL257" s="177"/>
      <c r="CM257" s="182"/>
      <c r="CN257" s="177"/>
      <c r="CO257" s="182"/>
      <c r="CP257" s="177"/>
      <c r="CQ257" s="178"/>
      <c r="CR257" s="182"/>
      <c r="CS257" s="65"/>
      <c r="CT257" s="64"/>
      <c r="CU257" s="165" t="str">
        <f t="shared" si="2"/>
        <v/>
      </c>
    </row>
    <row r="258" ht="60.0" hidden="1" customHeight="1">
      <c r="A258" s="65"/>
      <c r="C258" s="167"/>
      <c r="D258" s="205"/>
      <c r="E258" s="206"/>
      <c r="F258" s="169"/>
      <c r="G258" s="207"/>
      <c r="H258" s="208"/>
      <c r="I258" s="169"/>
      <c r="J258" s="170"/>
      <c r="K258" s="171"/>
      <c r="L258" s="171"/>
      <c r="M258" s="171"/>
      <c r="N258" s="209"/>
      <c r="O258" s="172">
        <f t="shared" si="47"/>
        <v>0</v>
      </c>
      <c r="P258" s="166"/>
      <c r="Q258" s="173"/>
      <c r="R258" s="65"/>
      <c r="S258" s="173"/>
      <c r="T258" s="173"/>
      <c r="U258" s="166"/>
      <c r="V258" s="166"/>
      <c r="W258" s="65"/>
      <c r="X258" s="66"/>
      <c r="Y258" s="173"/>
      <c r="Z258" s="166"/>
      <c r="AA258" s="174"/>
      <c r="AB258" s="175"/>
      <c r="AC258" s="175"/>
      <c r="AD258" s="175"/>
      <c r="AE258" s="175"/>
      <c r="AF258" s="175"/>
      <c r="AG258" s="175"/>
      <c r="AH258" s="175"/>
      <c r="AI258" s="176"/>
      <c r="AJ258" s="177"/>
      <c r="AK258" s="178"/>
      <c r="AL258" s="178"/>
      <c r="AM258" s="178"/>
      <c r="AN258" s="178"/>
      <c r="AO258" s="179"/>
      <c r="AP258" s="64"/>
      <c r="AQ258" s="65"/>
      <c r="AR258" s="65"/>
      <c r="AS258" s="65"/>
      <c r="AT258" s="173"/>
      <c r="AU258" s="177"/>
      <c r="AV258" s="178"/>
      <c r="AW258" s="178"/>
      <c r="AX258" s="179"/>
      <c r="AZ258" s="166"/>
      <c r="BA258" s="177"/>
      <c r="BB258" s="178"/>
      <c r="BC258" s="178"/>
      <c r="BD258" s="178"/>
      <c r="BE258" s="178"/>
      <c r="BF258" s="178"/>
      <c r="BG258" s="178"/>
      <c r="BH258" s="178"/>
      <c r="BI258" s="179"/>
      <c r="BJ258" s="180"/>
      <c r="BK258" s="178"/>
      <c r="BL258" s="178"/>
      <c r="BM258" s="178"/>
      <c r="BN258" s="178"/>
      <c r="BO258" s="181"/>
      <c r="BP258" s="166"/>
      <c r="BQ258" s="177"/>
      <c r="BR258" s="178"/>
      <c r="BS258" s="179"/>
      <c r="BU258" s="166"/>
      <c r="BV258" s="166"/>
      <c r="BW258" s="166"/>
      <c r="BX258" s="166"/>
      <c r="BY258" s="166"/>
      <c r="BZ258" s="166"/>
      <c r="CA258" s="166"/>
      <c r="CB258" s="166"/>
      <c r="CC258" s="166"/>
      <c r="CD258" s="177"/>
      <c r="CE258" s="181"/>
      <c r="CF258" s="177"/>
      <c r="CG258" s="181"/>
      <c r="CH258" s="177"/>
      <c r="CI258" s="182"/>
      <c r="CJ258" s="177"/>
      <c r="CK258" s="182"/>
      <c r="CL258" s="177"/>
      <c r="CM258" s="182"/>
      <c r="CN258" s="177"/>
      <c r="CO258" s="182"/>
      <c r="CP258" s="177"/>
      <c r="CQ258" s="178"/>
      <c r="CR258" s="182"/>
      <c r="CS258" s="65"/>
      <c r="CT258" s="64"/>
      <c r="CU258" s="165" t="str">
        <f t="shared" si="2"/>
        <v/>
      </c>
    </row>
    <row r="259" ht="60.0" hidden="1" customHeight="1">
      <c r="A259" s="65"/>
      <c r="C259" s="167"/>
      <c r="D259" s="205"/>
      <c r="E259" s="206"/>
      <c r="F259" s="169"/>
      <c r="G259" s="207"/>
      <c r="H259" s="208"/>
      <c r="I259" s="169"/>
      <c r="J259" s="170"/>
      <c r="K259" s="171"/>
      <c r="L259" s="171"/>
      <c r="M259" s="171"/>
      <c r="N259" s="209"/>
      <c r="O259" s="172">
        <f t="shared" si="47"/>
        <v>0</v>
      </c>
      <c r="P259" s="166"/>
      <c r="Q259" s="173"/>
      <c r="R259" s="65"/>
      <c r="S259" s="173"/>
      <c r="T259" s="173"/>
      <c r="U259" s="166"/>
      <c r="V259" s="166"/>
      <c r="W259" s="65"/>
      <c r="X259" s="66"/>
      <c r="Y259" s="173"/>
      <c r="Z259" s="166"/>
      <c r="AA259" s="174"/>
      <c r="AB259" s="175"/>
      <c r="AC259" s="175"/>
      <c r="AD259" s="175"/>
      <c r="AE259" s="175"/>
      <c r="AF259" s="175"/>
      <c r="AG259" s="175"/>
      <c r="AH259" s="175"/>
      <c r="AI259" s="176"/>
      <c r="AJ259" s="177"/>
      <c r="AK259" s="178"/>
      <c r="AL259" s="178"/>
      <c r="AM259" s="178"/>
      <c r="AN259" s="178"/>
      <c r="AO259" s="179"/>
      <c r="AP259" s="64"/>
      <c r="AQ259" s="65"/>
      <c r="AR259" s="65"/>
      <c r="AS259" s="65"/>
      <c r="AT259" s="173"/>
      <c r="AU259" s="177"/>
      <c r="AV259" s="178"/>
      <c r="AW259" s="178"/>
      <c r="AX259" s="179"/>
      <c r="AZ259" s="166"/>
      <c r="BA259" s="177"/>
      <c r="BB259" s="178"/>
      <c r="BC259" s="178"/>
      <c r="BD259" s="178"/>
      <c r="BE259" s="178"/>
      <c r="BF259" s="178"/>
      <c r="BG259" s="178"/>
      <c r="BH259" s="178"/>
      <c r="BI259" s="179"/>
      <c r="BJ259" s="180"/>
      <c r="BK259" s="178"/>
      <c r="BL259" s="178"/>
      <c r="BM259" s="178"/>
      <c r="BN259" s="178"/>
      <c r="BO259" s="181"/>
      <c r="BP259" s="166"/>
      <c r="BQ259" s="177"/>
      <c r="BR259" s="178"/>
      <c r="BS259" s="179"/>
      <c r="BU259" s="166"/>
      <c r="BV259" s="166"/>
      <c r="BW259" s="166"/>
      <c r="BX259" s="166"/>
      <c r="BY259" s="166"/>
      <c r="BZ259" s="166"/>
      <c r="CA259" s="166"/>
      <c r="CB259" s="166"/>
      <c r="CC259" s="166"/>
      <c r="CD259" s="177"/>
      <c r="CE259" s="181"/>
      <c r="CF259" s="177"/>
      <c r="CG259" s="181"/>
      <c r="CH259" s="177"/>
      <c r="CI259" s="182"/>
      <c r="CJ259" s="177"/>
      <c r="CK259" s="182"/>
      <c r="CL259" s="177"/>
      <c r="CM259" s="182"/>
      <c r="CN259" s="177"/>
      <c r="CO259" s="182"/>
      <c r="CP259" s="177"/>
      <c r="CQ259" s="178"/>
      <c r="CR259" s="182"/>
      <c r="CS259" s="65"/>
      <c r="CT259" s="64"/>
      <c r="CU259" s="165" t="str">
        <f t="shared" si="2"/>
        <v/>
      </c>
    </row>
    <row r="260" ht="60.0" hidden="1" customHeight="1">
      <c r="A260" s="89"/>
      <c r="B260" s="6"/>
      <c r="C260" s="183"/>
      <c r="D260" s="210"/>
      <c r="E260" s="211"/>
      <c r="F260" s="185"/>
      <c r="G260" s="212"/>
      <c r="H260" s="213"/>
      <c r="I260" s="185"/>
      <c r="J260" s="186"/>
      <c r="K260" s="187"/>
      <c r="L260" s="187"/>
      <c r="M260" s="187"/>
      <c r="N260" s="214"/>
      <c r="O260" s="188">
        <f t="shared" ref="O260:O266" si="48">IF(AND(M260&lt;&gt;0,M260&lt;&gt;"m",M260&lt;&gt;"",RIGHT(K260,3)="Lec"),1,IF(AND(M260&lt;&gt;0,M260&lt;&gt;"m",M260&lt;&gt;"",OR(RIGHT(K260,3)="Lab",RIGHT(K260,3)="Tut")),0.5,IF(AND(M260&lt;&gt;0,M260&lt;&gt;"m",M260&lt;&gt;"",RIGHT(K260,2)="TL"),0.75,0)))</f>
        <v>0</v>
      </c>
      <c r="P260" s="63"/>
      <c r="Q260" s="69"/>
      <c r="R260" s="89"/>
      <c r="S260" s="69"/>
      <c r="T260" s="69"/>
      <c r="U260" s="63"/>
      <c r="V260" s="63"/>
      <c r="W260" s="89"/>
      <c r="X260" s="68"/>
      <c r="Y260" s="69"/>
      <c r="Z260" s="63"/>
      <c r="AA260" s="189"/>
      <c r="AB260" s="190"/>
      <c r="AC260" s="190"/>
      <c r="AD260" s="190"/>
      <c r="AE260" s="190"/>
      <c r="AF260" s="190"/>
      <c r="AG260" s="190"/>
      <c r="AH260" s="190"/>
      <c r="AI260" s="191"/>
      <c r="AJ260" s="192"/>
      <c r="AK260" s="193"/>
      <c r="AL260" s="193"/>
      <c r="AM260" s="193"/>
      <c r="AN260" s="193"/>
      <c r="AO260" s="194"/>
      <c r="AP260" s="103"/>
      <c r="AQ260" s="89"/>
      <c r="AR260" s="89"/>
      <c r="AS260" s="89"/>
      <c r="AT260" s="69"/>
      <c r="AU260" s="192"/>
      <c r="AV260" s="193"/>
      <c r="AW260" s="193"/>
      <c r="AX260" s="194"/>
      <c r="AY260" s="6"/>
      <c r="AZ260" s="63"/>
      <c r="BA260" s="192"/>
      <c r="BB260" s="193"/>
      <c r="BC260" s="193"/>
      <c r="BD260" s="193"/>
      <c r="BE260" s="193"/>
      <c r="BF260" s="193"/>
      <c r="BG260" s="193"/>
      <c r="BH260" s="193"/>
      <c r="BI260" s="194"/>
      <c r="BJ260" s="195"/>
      <c r="BK260" s="193"/>
      <c r="BL260" s="193"/>
      <c r="BM260" s="193"/>
      <c r="BN260" s="193"/>
      <c r="BO260" s="196"/>
      <c r="BP260" s="63"/>
      <c r="BQ260" s="192"/>
      <c r="BR260" s="193"/>
      <c r="BS260" s="194"/>
      <c r="BT260" s="6"/>
      <c r="BU260" s="63"/>
      <c r="BV260" s="63"/>
      <c r="BW260" s="63"/>
      <c r="BX260" s="63"/>
      <c r="BY260" s="63"/>
      <c r="BZ260" s="63"/>
      <c r="CA260" s="63"/>
      <c r="CB260" s="63"/>
      <c r="CC260" s="63"/>
      <c r="CD260" s="192"/>
      <c r="CE260" s="196"/>
      <c r="CF260" s="192"/>
      <c r="CG260" s="196"/>
      <c r="CH260" s="192"/>
      <c r="CI260" s="197"/>
      <c r="CJ260" s="192"/>
      <c r="CK260" s="197"/>
      <c r="CL260" s="192"/>
      <c r="CM260" s="197"/>
      <c r="CN260" s="192"/>
      <c r="CO260" s="197"/>
      <c r="CP260" s="192"/>
      <c r="CQ260" s="193"/>
      <c r="CR260" s="197"/>
      <c r="CS260" s="89"/>
      <c r="CT260" s="103"/>
      <c r="CU260" s="165" t="str">
        <f t="shared" si="2"/>
        <v/>
      </c>
    </row>
    <row r="261" ht="56.25" hidden="1" customHeight="1">
      <c r="A261" s="125">
        <v>24.0</v>
      </c>
      <c r="B261" s="199"/>
      <c r="C261" s="127"/>
      <c r="D261" s="128"/>
      <c r="E261" s="215"/>
      <c r="F261" s="216"/>
      <c r="G261" s="217"/>
      <c r="H261" s="218"/>
      <c r="I261" s="216"/>
      <c r="J261" s="170"/>
      <c r="K261" s="219"/>
      <c r="L261" s="219"/>
      <c r="M261" s="219"/>
      <c r="N261" s="220"/>
      <c r="O261" s="132">
        <f t="shared" si="48"/>
        <v>0</v>
      </c>
      <c r="P261" s="133">
        <f>COUNTIF(K261:K271,"TL")*0.75+COUNTIF(K261:K271,"Lec")*1+COUNTIF(K261:K271,"Lab")*0.5</f>
        <v>0</v>
      </c>
      <c r="Q261" s="134">
        <f>SUM((IF(LEFT(K261,1)="E",O261,0)),(IF(LEFT(K262,1)="E",O262,0)),(IF(LEFT(K263,1)="E",O263,0)),(IF(LEFT(K264,1)="E",O264,0)),(IF(LEFT(K265,1)="E",O265,0)),(IF(LEFT(K266,1)="E",O266,0)),(IF(LEFT(K267,1)="E",O267,0)),(IF(LEFT(K268,1)="E",O268,0)),(IF(LEFT(K269,1)="E",O269,0)),(IF(LEFT(K270,1)="E",O270,0)),(IF(LEFT(K271,1)="E",O271,0)))</f>
        <v>0</v>
      </c>
      <c r="R261" s="135">
        <f>SUM(IF(M267&lt;20,IF(K267="Plec",-1,IF(K267="PTL",-0.75,IF(K267="Plab",-0.5,0))),0),IF(M268&lt;20,IF(K268="Plec",-1,IF(K268="PTL",-0.75,IF(K268="Plab",-0.5,0))),0),IF(M269&lt;20,IF(K269="Plec",-1,IF(K269="PTL",-0.75,IF(K269="Plab",-0.5,0))),0),IF(M270&lt;20,IF(K270="Plec",-1,IF(K270="PTL",-0.75,IF(K270="Plab",-0.5,0))),0))</f>
        <v>0</v>
      </c>
      <c r="S261" s="134">
        <f>SUM(P261:R271)</f>
        <v>0</v>
      </c>
      <c r="T261" s="136">
        <f>SUM(IF(M261="M",IF(OR(K261="lec",K261="plec",K261="slec"),1,IF(OR(K261="lab",K261="plab",K261="slab",K261="tut",K261="ptut",K261="stut"),0.5,IF(OR(K261="TL",K261="pTL",K261="STL"),0.75,0))),0),IF(M262="M",IF(OR(K262="lec",K262="plec",K262="slec"),1,IF(OR(K262="lab",K262="plab",K262="slab",K262="tut",K262="ptut",K262="stut"),0.5,IF(OR(K262="TL",K262="pTL",K262="STL"),0.75,0))),0),IF(M263="M",IF(OR(K263="lec",K263="plec",K263="slec"),1,IF(OR(K263="lab",K263="plab",K263="slab",K263="tut",K263="ptut",K263="stut"),0.5,IF(OR(K263="TL",K263="pTL",K263="STL"),0.75,0))),0),IF(M264="M",IF(OR(K264="lec",K264="plec",K264="slec"),1,IF(OR(K264="lab",K264="plab",K264="slab",K264="tut",K264="ptut",K264="stut"),0.5,IF(OR(K264="TL",K264="pTL",K264="STL"),0.75,0))),0),IF(M265="M",IF(OR(K265="lec",K265="plec",K265="slec"),1,IF(OR(K265="lab",K265="plab",K265="slab",K265="tut",K265="ptut",K265="stut"),0.5,IF(OR(K265="TL",K265="pTL",K265="STL"),0.75,0))),0),IF(M266="M",IF(OR(K266="lec",K266="plec",K266="slec"),1,IF(OR(K266="lab",K266="plab",K266="slab",K266="tut",K266="ptut",K266="stut"),0.5,IF(OR(K266="TL",K266="pTL",K266="STL"),0.75,0))),0),IF(M267="M",IF(OR(K267="lec",K267="plec",K267="slec"),1,IF(OR(K267="lab",K267="plab",K267="slab",K267="tut",K267="ptut",K267="stut"),0.5,IF(OR(K267="TL",K267="pTL",K267="STL"),0.75,0))),0),IF(M268="M",IF(OR(K268="lec",K268="plec",K268="slec"),1,IF(OR(K268="lab",K268="plab",K268="slab",K268="tut",K268="ptut",K268="stut"),0.5,IF(OR(K268="TL",K268="pTL",K268="STL"),0.75,0))),0),IF(M269="M",IF(OR(K269="lec",K269="plec",K269="slec"),1,IF(OR(K269="lab",K269="plab",K269="slab",K269="tut",K269="ptut",K269="stut"),0.5,IF(OR(K269="TL",K269="pTL",K269="STL"),0.75,0))),0),IF(M270="M",IF(OR(K270="lec",K270="plec",K270="slec"),1,IF(OR(K270="lab",K270="plab",K270="slab",K270="tut",K270="ptut",K270="stut"),0.5,IF(OR(K270="TL",K270="pTL",K270="STL"),0.75,0))),0),IF(M271="M",IF(OR(K271="lec",K271="plec",K271="slec"),1,IF(OR(K271="lab",K271="plab",K271="slab",K271="tut",K271="ptut",K271="stut"),0.5,IF(OR(K271="TL",K271="pTL",K271="STL"),0.75,0))),0))</f>
        <v>0</v>
      </c>
      <c r="U261" s="137"/>
      <c r="V261" s="133"/>
      <c r="W261" s="138"/>
      <c r="X261" s="139">
        <f>S261-(T261+U261+V261+W261)</f>
        <v>0</v>
      </c>
      <c r="Y261" s="134" t="str">
        <f>CONCATENATE(SUM(O261:O271),"(",SUM(O261:O271)-X261,")")</f>
        <v>0(0)</v>
      </c>
      <c r="Z261" s="140"/>
      <c r="AA261" s="141"/>
      <c r="AB261" s="142"/>
      <c r="AC261" s="142"/>
      <c r="AD261" s="142"/>
      <c r="AE261" s="142"/>
      <c r="AF261" s="142"/>
      <c r="AG261" s="142"/>
      <c r="AH261" s="142"/>
      <c r="AI261" s="143"/>
      <c r="AJ261" s="144"/>
      <c r="AK261" s="145"/>
      <c r="AL261" s="145"/>
      <c r="AM261" s="145"/>
      <c r="AN261" s="145"/>
      <c r="AO261" s="146"/>
      <c r="AP261" s="147">
        <f>SUM(SUM(O261:O271),SUM(AI261:AI271)/2,AM261)</f>
        <v>0</v>
      </c>
      <c r="AQ261" s="148"/>
      <c r="AR261" s="148">
        <f>AP261*AQ261</f>
        <v>0</v>
      </c>
      <c r="AS261" s="148">
        <f>CT261</f>
        <v>0</v>
      </c>
      <c r="AT261" s="149">
        <f>AR261*0.75+AS261*0.25</f>
        <v>0</v>
      </c>
      <c r="AU261" s="150"/>
      <c r="AV261" s="151"/>
      <c r="AW261" s="151"/>
      <c r="AX261" s="152"/>
      <c r="AY261" s="153"/>
      <c r="AZ261" s="140"/>
      <c r="BA261" s="150"/>
      <c r="BB261" s="151"/>
      <c r="BC261" s="151"/>
      <c r="BD261" s="151"/>
      <c r="BE261" s="151"/>
      <c r="BF261" s="151"/>
      <c r="BG261" s="151"/>
      <c r="BH261" s="151"/>
      <c r="BI261" s="152"/>
      <c r="BJ261" s="154"/>
      <c r="BK261" s="151"/>
      <c r="BL261" s="151"/>
      <c r="BM261" s="151"/>
      <c r="BN261" s="151"/>
      <c r="BO261" s="155"/>
      <c r="BP261" s="140"/>
      <c r="BQ261" s="156"/>
      <c r="BR261" s="157"/>
      <c r="BS261" s="158"/>
      <c r="BT261" s="153"/>
      <c r="BU261" s="140"/>
      <c r="BV261" s="140"/>
      <c r="BW261" s="140"/>
      <c r="BX261" s="140"/>
      <c r="BY261" s="140"/>
      <c r="BZ261" s="140"/>
      <c r="CA261" s="140"/>
      <c r="CB261" s="140"/>
      <c r="CC261" s="140"/>
      <c r="CD261" s="150"/>
      <c r="CE261" s="155"/>
      <c r="CF261" s="150"/>
      <c r="CG261" s="155"/>
      <c r="CH261" s="159"/>
      <c r="CI261" s="160"/>
      <c r="CJ261" s="159"/>
      <c r="CK261" s="160"/>
      <c r="CL261" s="159"/>
      <c r="CM261" s="160"/>
      <c r="CN261" s="159"/>
      <c r="CO261" s="160"/>
      <c r="CP261" s="159"/>
      <c r="CQ261" s="162"/>
      <c r="CR261" s="160"/>
      <c r="CS261" s="163">
        <f>SUM(IF(AU261&lt;0,ABS(AU261),0),IF(AZ261&lt;0,ABS(AZ261),0),ABS(CI261),ABS(CK261),ABS(CM261),ABS(CO261),ABS(CQ261),ABS(CR261))</f>
        <v>0</v>
      </c>
      <c r="CT261" s="164">
        <f>SUM(AU261,AV261,AW261,AX261/400,AY261,AZ261,BG261,BH261*0.5,BI261*0.25,BJ261,BK261,BL261,BM261,BN261,BO261,BP261,BR261/20,BS261/100,BT261/60,BU261,BV261,BW261,BX261/4,SUM(BY261:CC271)/3,CE261,CG261/3,CI261,CK261,CM261,CO261,CQ261,CR261)</f>
        <v>0</v>
      </c>
      <c r="CU261" s="165" t="str">
        <f t="shared" si="2"/>
        <v/>
      </c>
    </row>
    <row r="262" ht="60.0" hidden="1" customHeight="1">
      <c r="A262" s="65"/>
      <c r="C262" s="167"/>
      <c r="D262" s="205"/>
      <c r="E262" s="206"/>
      <c r="F262" s="169"/>
      <c r="G262" s="207"/>
      <c r="H262" s="208"/>
      <c r="I262" s="169"/>
      <c r="J262" s="170"/>
      <c r="K262" s="171"/>
      <c r="L262" s="171"/>
      <c r="M262" s="171"/>
      <c r="N262" s="209"/>
      <c r="O262" s="172">
        <f t="shared" si="48"/>
        <v>0</v>
      </c>
      <c r="P262" s="166"/>
      <c r="Q262" s="173"/>
      <c r="R262" s="65"/>
      <c r="S262" s="173"/>
      <c r="T262" s="173"/>
      <c r="U262" s="166"/>
      <c r="V262" s="166"/>
      <c r="W262" s="65"/>
      <c r="X262" s="66"/>
      <c r="Y262" s="173"/>
      <c r="Z262" s="166"/>
      <c r="AA262" s="174"/>
      <c r="AB262" s="175"/>
      <c r="AC262" s="175"/>
      <c r="AD262" s="175"/>
      <c r="AE262" s="175"/>
      <c r="AF262" s="175"/>
      <c r="AG262" s="175"/>
      <c r="AH262" s="175"/>
      <c r="AI262" s="176"/>
      <c r="AJ262" s="177"/>
      <c r="AK262" s="178"/>
      <c r="AL262" s="178"/>
      <c r="AM262" s="178"/>
      <c r="AN262" s="178"/>
      <c r="AO262" s="179"/>
      <c r="AP262" s="64"/>
      <c r="AQ262" s="65"/>
      <c r="AR262" s="65"/>
      <c r="AS262" s="65"/>
      <c r="AT262" s="173"/>
      <c r="AU262" s="177"/>
      <c r="AV262" s="178"/>
      <c r="AW262" s="178"/>
      <c r="AX262" s="179"/>
      <c r="AZ262" s="166"/>
      <c r="BA262" s="177"/>
      <c r="BB262" s="178"/>
      <c r="BC262" s="178"/>
      <c r="BD262" s="178"/>
      <c r="BE262" s="178"/>
      <c r="BF262" s="178"/>
      <c r="BG262" s="178"/>
      <c r="BH262" s="178"/>
      <c r="BI262" s="179"/>
      <c r="BJ262" s="180"/>
      <c r="BK262" s="178"/>
      <c r="BL262" s="178"/>
      <c r="BM262" s="178"/>
      <c r="BN262" s="178"/>
      <c r="BO262" s="181"/>
      <c r="BP262" s="166"/>
      <c r="BQ262" s="177"/>
      <c r="BR262" s="178"/>
      <c r="BS262" s="179"/>
      <c r="BU262" s="166"/>
      <c r="BV262" s="166"/>
      <c r="BW262" s="166"/>
      <c r="BX262" s="166"/>
      <c r="BY262" s="166"/>
      <c r="BZ262" s="166"/>
      <c r="CA262" s="166"/>
      <c r="CB262" s="166"/>
      <c r="CC262" s="166"/>
      <c r="CD262" s="177"/>
      <c r="CE262" s="181"/>
      <c r="CF262" s="177"/>
      <c r="CG262" s="181"/>
      <c r="CH262" s="177"/>
      <c r="CI262" s="182"/>
      <c r="CJ262" s="177"/>
      <c r="CK262" s="182"/>
      <c r="CL262" s="177"/>
      <c r="CM262" s="182"/>
      <c r="CN262" s="177"/>
      <c r="CO262" s="182"/>
      <c r="CP262" s="177"/>
      <c r="CQ262" s="178"/>
      <c r="CR262" s="182"/>
      <c r="CS262" s="65"/>
      <c r="CT262" s="64"/>
      <c r="CU262" s="165" t="str">
        <f t="shared" si="2"/>
        <v/>
      </c>
    </row>
    <row r="263" ht="60.0" hidden="1" customHeight="1">
      <c r="A263" s="65"/>
      <c r="C263" s="167"/>
      <c r="D263" s="205"/>
      <c r="E263" s="206"/>
      <c r="F263" s="169"/>
      <c r="G263" s="207"/>
      <c r="H263" s="208"/>
      <c r="I263" s="169"/>
      <c r="J263" s="170"/>
      <c r="K263" s="171"/>
      <c r="L263" s="171"/>
      <c r="M263" s="171"/>
      <c r="N263" s="209"/>
      <c r="O263" s="172">
        <f t="shared" si="48"/>
        <v>0</v>
      </c>
      <c r="P263" s="166"/>
      <c r="Q263" s="173"/>
      <c r="R263" s="65"/>
      <c r="S263" s="173"/>
      <c r="T263" s="173"/>
      <c r="U263" s="166"/>
      <c r="V263" s="166"/>
      <c r="W263" s="65"/>
      <c r="X263" s="66"/>
      <c r="Y263" s="173"/>
      <c r="Z263" s="166"/>
      <c r="AA263" s="174"/>
      <c r="AB263" s="175"/>
      <c r="AC263" s="175"/>
      <c r="AD263" s="175"/>
      <c r="AE263" s="175"/>
      <c r="AF263" s="175"/>
      <c r="AG263" s="175"/>
      <c r="AH263" s="175"/>
      <c r="AI263" s="176"/>
      <c r="AJ263" s="177"/>
      <c r="AK263" s="178"/>
      <c r="AL263" s="178"/>
      <c r="AM263" s="178"/>
      <c r="AN263" s="178"/>
      <c r="AO263" s="179"/>
      <c r="AP263" s="64"/>
      <c r="AQ263" s="65"/>
      <c r="AR263" s="65"/>
      <c r="AS263" s="65"/>
      <c r="AT263" s="173"/>
      <c r="AU263" s="177"/>
      <c r="AV263" s="178"/>
      <c r="AW263" s="178"/>
      <c r="AX263" s="179"/>
      <c r="AZ263" s="166"/>
      <c r="BA263" s="177"/>
      <c r="BB263" s="178"/>
      <c r="BC263" s="178"/>
      <c r="BD263" s="178"/>
      <c r="BE263" s="178"/>
      <c r="BF263" s="178"/>
      <c r="BG263" s="178"/>
      <c r="BH263" s="178"/>
      <c r="BI263" s="179"/>
      <c r="BJ263" s="180"/>
      <c r="BK263" s="178"/>
      <c r="BL263" s="178"/>
      <c r="BM263" s="178"/>
      <c r="BN263" s="178"/>
      <c r="BO263" s="181"/>
      <c r="BP263" s="166"/>
      <c r="BQ263" s="177"/>
      <c r="BR263" s="178"/>
      <c r="BS263" s="179"/>
      <c r="BU263" s="166"/>
      <c r="BV263" s="166"/>
      <c r="BW263" s="166"/>
      <c r="BX263" s="166"/>
      <c r="BY263" s="166"/>
      <c r="BZ263" s="166"/>
      <c r="CA263" s="166"/>
      <c r="CB263" s="166"/>
      <c r="CC263" s="166"/>
      <c r="CD263" s="177"/>
      <c r="CE263" s="181"/>
      <c r="CF263" s="177"/>
      <c r="CG263" s="181"/>
      <c r="CH263" s="177"/>
      <c r="CI263" s="182"/>
      <c r="CJ263" s="177"/>
      <c r="CK263" s="182"/>
      <c r="CL263" s="177"/>
      <c r="CM263" s="182"/>
      <c r="CN263" s="177"/>
      <c r="CO263" s="182"/>
      <c r="CP263" s="177"/>
      <c r="CQ263" s="178"/>
      <c r="CR263" s="182"/>
      <c r="CS263" s="65"/>
      <c r="CT263" s="64"/>
      <c r="CU263" s="165" t="str">
        <f t="shared" si="2"/>
        <v/>
      </c>
    </row>
    <row r="264" ht="60.0" hidden="1" customHeight="1">
      <c r="A264" s="65"/>
      <c r="C264" s="167"/>
      <c r="D264" s="205"/>
      <c r="E264" s="206"/>
      <c r="F264" s="169"/>
      <c r="G264" s="207"/>
      <c r="H264" s="208"/>
      <c r="I264" s="169"/>
      <c r="J264" s="170"/>
      <c r="K264" s="171"/>
      <c r="L264" s="171"/>
      <c r="M264" s="171"/>
      <c r="N264" s="209"/>
      <c r="O264" s="172">
        <f t="shared" si="48"/>
        <v>0</v>
      </c>
      <c r="P264" s="166"/>
      <c r="Q264" s="173"/>
      <c r="R264" s="65"/>
      <c r="S264" s="173"/>
      <c r="T264" s="173"/>
      <c r="U264" s="166"/>
      <c r="V264" s="166"/>
      <c r="W264" s="65"/>
      <c r="X264" s="66"/>
      <c r="Y264" s="173"/>
      <c r="Z264" s="166"/>
      <c r="AA264" s="174"/>
      <c r="AB264" s="175"/>
      <c r="AC264" s="175"/>
      <c r="AD264" s="175"/>
      <c r="AE264" s="175"/>
      <c r="AF264" s="175"/>
      <c r="AG264" s="175"/>
      <c r="AH264" s="175"/>
      <c r="AI264" s="176"/>
      <c r="AJ264" s="177"/>
      <c r="AK264" s="178"/>
      <c r="AL264" s="178"/>
      <c r="AM264" s="178"/>
      <c r="AN264" s="178"/>
      <c r="AO264" s="179"/>
      <c r="AP264" s="64"/>
      <c r="AQ264" s="65"/>
      <c r="AR264" s="65"/>
      <c r="AS264" s="65"/>
      <c r="AT264" s="173"/>
      <c r="AU264" s="177"/>
      <c r="AV264" s="178"/>
      <c r="AW264" s="178"/>
      <c r="AX264" s="179"/>
      <c r="AZ264" s="166"/>
      <c r="BA264" s="177"/>
      <c r="BB264" s="178"/>
      <c r="BC264" s="178"/>
      <c r="BD264" s="178"/>
      <c r="BE264" s="178"/>
      <c r="BF264" s="178"/>
      <c r="BG264" s="178"/>
      <c r="BH264" s="178"/>
      <c r="BI264" s="179"/>
      <c r="BJ264" s="180"/>
      <c r="BK264" s="178"/>
      <c r="BL264" s="178"/>
      <c r="BM264" s="178"/>
      <c r="BN264" s="178"/>
      <c r="BO264" s="181"/>
      <c r="BP264" s="166"/>
      <c r="BQ264" s="177"/>
      <c r="BR264" s="178"/>
      <c r="BS264" s="179"/>
      <c r="BU264" s="166"/>
      <c r="BV264" s="166"/>
      <c r="BW264" s="166"/>
      <c r="BX264" s="166"/>
      <c r="BY264" s="166"/>
      <c r="BZ264" s="166"/>
      <c r="CA264" s="166"/>
      <c r="CB264" s="166"/>
      <c r="CC264" s="166"/>
      <c r="CD264" s="177"/>
      <c r="CE264" s="181"/>
      <c r="CF264" s="177"/>
      <c r="CG264" s="181"/>
      <c r="CH264" s="177"/>
      <c r="CI264" s="182"/>
      <c r="CJ264" s="177"/>
      <c r="CK264" s="182"/>
      <c r="CL264" s="177"/>
      <c r="CM264" s="182"/>
      <c r="CN264" s="177"/>
      <c r="CO264" s="182"/>
      <c r="CP264" s="177"/>
      <c r="CQ264" s="178"/>
      <c r="CR264" s="182"/>
      <c r="CS264" s="65"/>
      <c r="CT264" s="64"/>
      <c r="CU264" s="165" t="str">
        <f t="shared" si="2"/>
        <v/>
      </c>
    </row>
    <row r="265" ht="60.0" hidden="1" customHeight="1">
      <c r="A265" s="65"/>
      <c r="C265" s="167"/>
      <c r="D265" s="205"/>
      <c r="E265" s="206"/>
      <c r="F265" s="169"/>
      <c r="G265" s="207"/>
      <c r="H265" s="208"/>
      <c r="I265" s="169"/>
      <c r="J265" s="170"/>
      <c r="K265" s="171"/>
      <c r="L265" s="171"/>
      <c r="M265" s="171"/>
      <c r="N265" s="209"/>
      <c r="O265" s="172">
        <f t="shared" si="48"/>
        <v>0</v>
      </c>
      <c r="P265" s="166"/>
      <c r="Q265" s="173"/>
      <c r="R265" s="65"/>
      <c r="S265" s="173"/>
      <c r="T265" s="173"/>
      <c r="U265" s="166"/>
      <c r="V265" s="166"/>
      <c r="W265" s="65"/>
      <c r="X265" s="66"/>
      <c r="Y265" s="173"/>
      <c r="Z265" s="166"/>
      <c r="AA265" s="174"/>
      <c r="AB265" s="175"/>
      <c r="AC265" s="175"/>
      <c r="AD265" s="175"/>
      <c r="AE265" s="175"/>
      <c r="AF265" s="175"/>
      <c r="AG265" s="175"/>
      <c r="AH265" s="175"/>
      <c r="AI265" s="176"/>
      <c r="AJ265" s="177"/>
      <c r="AK265" s="178"/>
      <c r="AL265" s="178"/>
      <c r="AM265" s="178"/>
      <c r="AN265" s="178"/>
      <c r="AO265" s="179"/>
      <c r="AP265" s="64"/>
      <c r="AQ265" s="65"/>
      <c r="AR265" s="65"/>
      <c r="AS265" s="65"/>
      <c r="AT265" s="173"/>
      <c r="AU265" s="177"/>
      <c r="AV265" s="178"/>
      <c r="AW265" s="178"/>
      <c r="AX265" s="179"/>
      <c r="AZ265" s="166"/>
      <c r="BA265" s="177"/>
      <c r="BB265" s="178"/>
      <c r="BC265" s="178"/>
      <c r="BD265" s="178"/>
      <c r="BE265" s="178"/>
      <c r="BF265" s="178"/>
      <c r="BG265" s="178"/>
      <c r="BH265" s="178"/>
      <c r="BI265" s="179"/>
      <c r="BJ265" s="180"/>
      <c r="BK265" s="178"/>
      <c r="BL265" s="178"/>
      <c r="BM265" s="178"/>
      <c r="BN265" s="178"/>
      <c r="BO265" s="181"/>
      <c r="BP265" s="166"/>
      <c r="BQ265" s="177"/>
      <c r="BR265" s="178"/>
      <c r="BS265" s="179"/>
      <c r="BU265" s="166"/>
      <c r="BV265" s="166"/>
      <c r="BW265" s="166"/>
      <c r="BX265" s="166"/>
      <c r="BY265" s="166"/>
      <c r="BZ265" s="166"/>
      <c r="CA265" s="166"/>
      <c r="CB265" s="166"/>
      <c r="CC265" s="166"/>
      <c r="CD265" s="177"/>
      <c r="CE265" s="181"/>
      <c r="CF265" s="177"/>
      <c r="CG265" s="181"/>
      <c r="CH265" s="177"/>
      <c r="CI265" s="182"/>
      <c r="CJ265" s="177"/>
      <c r="CK265" s="182"/>
      <c r="CL265" s="177"/>
      <c r="CM265" s="182"/>
      <c r="CN265" s="177"/>
      <c r="CO265" s="182"/>
      <c r="CP265" s="177"/>
      <c r="CQ265" s="178"/>
      <c r="CR265" s="182"/>
      <c r="CS265" s="65"/>
      <c r="CT265" s="64"/>
      <c r="CU265" s="165" t="str">
        <f t="shared" si="2"/>
        <v/>
      </c>
    </row>
    <row r="266" ht="60.0" hidden="1" customHeight="1">
      <c r="A266" s="65"/>
      <c r="C266" s="167"/>
      <c r="D266" s="205"/>
      <c r="E266" s="206"/>
      <c r="F266" s="169"/>
      <c r="G266" s="207"/>
      <c r="H266" s="208"/>
      <c r="I266" s="169"/>
      <c r="J266" s="170"/>
      <c r="K266" s="171"/>
      <c r="L266" s="171"/>
      <c r="M266" s="171"/>
      <c r="N266" s="209"/>
      <c r="O266" s="172">
        <f t="shared" si="48"/>
        <v>0</v>
      </c>
      <c r="P266" s="166"/>
      <c r="Q266" s="173"/>
      <c r="R266" s="65"/>
      <c r="S266" s="173"/>
      <c r="T266" s="173"/>
      <c r="U266" s="166"/>
      <c r="V266" s="166"/>
      <c r="W266" s="65"/>
      <c r="X266" s="66"/>
      <c r="Y266" s="173"/>
      <c r="Z266" s="166"/>
      <c r="AA266" s="174"/>
      <c r="AB266" s="175"/>
      <c r="AC266" s="175"/>
      <c r="AD266" s="175"/>
      <c r="AE266" s="175"/>
      <c r="AF266" s="175"/>
      <c r="AG266" s="175"/>
      <c r="AH266" s="175"/>
      <c r="AI266" s="176"/>
      <c r="AJ266" s="177"/>
      <c r="AK266" s="178"/>
      <c r="AL266" s="178"/>
      <c r="AM266" s="178"/>
      <c r="AN266" s="178"/>
      <c r="AO266" s="179"/>
      <c r="AP266" s="64"/>
      <c r="AQ266" s="65"/>
      <c r="AR266" s="65"/>
      <c r="AS266" s="65"/>
      <c r="AT266" s="173"/>
      <c r="AU266" s="177"/>
      <c r="AV266" s="178"/>
      <c r="AW266" s="178"/>
      <c r="AX266" s="179"/>
      <c r="AZ266" s="166"/>
      <c r="BA266" s="177"/>
      <c r="BB266" s="178"/>
      <c r="BC266" s="178"/>
      <c r="BD266" s="178"/>
      <c r="BE266" s="178"/>
      <c r="BF266" s="178"/>
      <c r="BG266" s="178"/>
      <c r="BH266" s="178"/>
      <c r="BI266" s="179"/>
      <c r="BJ266" s="180"/>
      <c r="BK266" s="178"/>
      <c r="BL266" s="178"/>
      <c r="BM266" s="178"/>
      <c r="BN266" s="178"/>
      <c r="BO266" s="181"/>
      <c r="BP266" s="166"/>
      <c r="BQ266" s="177"/>
      <c r="BR266" s="178"/>
      <c r="BS266" s="179"/>
      <c r="BU266" s="166"/>
      <c r="BV266" s="166"/>
      <c r="BW266" s="166"/>
      <c r="BX266" s="166"/>
      <c r="BY266" s="166"/>
      <c r="BZ266" s="166"/>
      <c r="CA266" s="166"/>
      <c r="CB266" s="166"/>
      <c r="CC266" s="166"/>
      <c r="CD266" s="177"/>
      <c r="CE266" s="181"/>
      <c r="CF266" s="177"/>
      <c r="CG266" s="181"/>
      <c r="CH266" s="177"/>
      <c r="CI266" s="182"/>
      <c r="CJ266" s="177"/>
      <c r="CK266" s="182"/>
      <c r="CL266" s="177"/>
      <c r="CM266" s="182"/>
      <c r="CN266" s="177"/>
      <c r="CO266" s="182"/>
      <c r="CP266" s="177"/>
      <c r="CQ266" s="178"/>
      <c r="CR266" s="182"/>
      <c r="CS266" s="65"/>
      <c r="CT266" s="64"/>
      <c r="CU266" s="165" t="str">
        <f t="shared" si="2"/>
        <v/>
      </c>
    </row>
    <row r="267" ht="60.0" hidden="1" customHeight="1">
      <c r="A267" s="65"/>
      <c r="C267" s="167"/>
      <c r="D267" s="205"/>
      <c r="E267" s="206"/>
      <c r="F267" s="169"/>
      <c r="G267" s="207"/>
      <c r="H267" s="208"/>
      <c r="I267" s="169"/>
      <c r="J267" s="170"/>
      <c r="K267" s="171"/>
      <c r="L267" s="171"/>
      <c r="M267" s="171"/>
      <c r="N267" s="209"/>
      <c r="O267" s="172">
        <f t="shared" ref="O267:O270" si="49">IF(AND(M267&gt;=20,M267&lt;&gt;"m",RIGHT(K267,3)="Lec"),1,IF(AND(M267&gt;=20,M267&lt;&gt;"m",OR(RIGHT(K267,3)="Lab",RIGHT(K267,3)="Tut")),0.5,IF(AND(M267&gt;=20,M267&lt;&gt;"m",RIGHT(K267,2)="TL"),0.75,0)))</f>
        <v>0</v>
      </c>
      <c r="P267" s="166"/>
      <c r="Q267" s="173"/>
      <c r="R267" s="65"/>
      <c r="S267" s="173"/>
      <c r="T267" s="173"/>
      <c r="U267" s="166"/>
      <c r="V267" s="166"/>
      <c r="W267" s="65"/>
      <c r="X267" s="66"/>
      <c r="Y267" s="173"/>
      <c r="Z267" s="166"/>
      <c r="AA267" s="174"/>
      <c r="AB267" s="175"/>
      <c r="AC267" s="175"/>
      <c r="AD267" s="175"/>
      <c r="AE267" s="175"/>
      <c r="AF267" s="175"/>
      <c r="AG267" s="175"/>
      <c r="AH267" s="175"/>
      <c r="AI267" s="176"/>
      <c r="AJ267" s="177"/>
      <c r="AK267" s="178"/>
      <c r="AL267" s="178"/>
      <c r="AM267" s="178"/>
      <c r="AN267" s="178"/>
      <c r="AO267" s="179"/>
      <c r="AP267" s="64"/>
      <c r="AQ267" s="65"/>
      <c r="AR267" s="65"/>
      <c r="AS267" s="65"/>
      <c r="AT267" s="173"/>
      <c r="AU267" s="177"/>
      <c r="AV267" s="178"/>
      <c r="AW267" s="178"/>
      <c r="AX267" s="179"/>
      <c r="AZ267" s="166"/>
      <c r="BA267" s="177"/>
      <c r="BB267" s="178"/>
      <c r="BC267" s="178"/>
      <c r="BD267" s="178"/>
      <c r="BE267" s="178"/>
      <c r="BF267" s="178"/>
      <c r="BG267" s="178"/>
      <c r="BH267" s="178"/>
      <c r="BI267" s="179"/>
      <c r="BJ267" s="180"/>
      <c r="BK267" s="178"/>
      <c r="BL267" s="178"/>
      <c r="BM267" s="178"/>
      <c r="BN267" s="178"/>
      <c r="BO267" s="181"/>
      <c r="BP267" s="166"/>
      <c r="BQ267" s="177"/>
      <c r="BR267" s="178"/>
      <c r="BS267" s="179"/>
      <c r="BU267" s="166"/>
      <c r="BV267" s="166"/>
      <c r="BW267" s="166"/>
      <c r="BX267" s="166"/>
      <c r="BY267" s="166"/>
      <c r="BZ267" s="166"/>
      <c r="CA267" s="166"/>
      <c r="CB267" s="166"/>
      <c r="CC267" s="166"/>
      <c r="CD267" s="177"/>
      <c r="CE267" s="181"/>
      <c r="CF267" s="177"/>
      <c r="CG267" s="181"/>
      <c r="CH267" s="177"/>
      <c r="CI267" s="182"/>
      <c r="CJ267" s="177"/>
      <c r="CK267" s="182"/>
      <c r="CL267" s="177"/>
      <c r="CM267" s="182"/>
      <c r="CN267" s="177"/>
      <c r="CO267" s="182"/>
      <c r="CP267" s="177"/>
      <c r="CQ267" s="178"/>
      <c r="CR267" s="182"/>
      <c r="CS267" s="65"/>
      <c r="CT267" s="64"/>
      <c r="CU267" s="165" t="str">
        <f t="shared" si="2"/>
        <v/>
      </c>
    </row>
    <row r="268" ht="60.0" hidden="1" customHeight="1">
      <c r="A268" s="65"/>
      <c r="C268" s="167"/>
      <c r="D268" s="205"/>
      <c r="E268" s="206"/>
      <c r="F268" s="169"/>
      <c r="G268" s="207"/>
      <c r="H268" s="208"/>
      <c r="I268" s="169"/>
      <c r="J268" s="170"/>
      <c r="K268" s="171"/>
      <c r="L268" s="171"/>
      <c r="M268" s="171"/>
      <c r="N268" s="209"/>
      <c r="O268" s="172">
        <f t="shared" si="49"/>
        <v>0</v>
      </c>
      <c r="P268" s="166"/>
      <c r="Q268" s="173"/>
      <c r="R268" s="65"/>
      <c r="S268" s="173"/>
      <c r="T268" s="173"/>
      <c r="U268" s="166"/>
      <c r="V268" s="166"/>
      <c r="W268" s="65"/>
      <c r="X268" s="66"/>
      <c r="Y268" s="173"/>
      <c r="Z268" s="166"/>
      <c r="AA268" s="174"/>
      <c r="AB268" s="175"/>
      <c r="AC268" s="175"/>
      <c r="AD268" s="175"/>
      <c r="AE268" s="175"/>
      <c r="AF268" s="175"/>
      <c r="AG268" s="175"/>
      <c r="AH268" s="175"/>
      <c r="AI268" s="176"/>
      <c r="AJ268" s="177"/>
      <c r="AK268" s="178"/>
      <c r="AL268" s="178"/>
      <c r="AM268" s="178"/>
      <c r="AN268" s="178"/>
      <c r="AO268" s="179"/>
      <c r="AP268" s="64"/>
      <c r="AQ268" s="65"/>
      <c r="AR268" s="65"/>
      <c r="AS268" s="65"/>
      <c r="AT268" s="173"/>
      <c r="AU268" s="177"/>
      <c r="AV268" s="178"/>
      <c r="AW268" s="178"/>
      <c r="AX268" s="179"/>
      <c r="AZ268" s="166"/>
      <c r="BA268" s="177"/>
      <c r="BB268" s="178"/>
      <c r="BC268" s="178"/>
      <c r="BD268" s="178"/>
      <c r="BE268" s="178"/>
      <c r="BF268" s="178"/>
      <c r="BG268" s="178"/>
      <c r="BH268" s="178"/>
      <c r="BI268" s="179"/>
      <c r="BJ268" s="180"/>
      <c r="BK268" s="178"/>
      <c r="BL268" s="178"/>
      <c r="BM268" s="178"/>
      <c r="BN268" s="178"/>
      <c r="BO268" s="181"/>
      <c r="BP268" s="166"/>
      <c r="BQ268" s="177"/>
      <c r="BR268" s="178"/>
      <c r="BS268" s="179"/>
      <c r="BU268" s="166"/>
      <c r="BV268" s="166"/>
      <c r="BW268" s="166"/>
      <c r="BX268" s="166"/>
      <c r="BY268" s="166"/>
      <c r="BZ268" s="166"/>
      <c r="CA268" s="166"/>
      <c r="CB268" s="166"/>
      <c r="CC268" s="166"/>
      <c r="CD268" s="177"/>
      <c r="CE268" s="181"/>
      <c r="CF268" s="177"/>
      <c r="CG268" s="181"/>
      <c r="CH268" s="177"/>
      <c r="CI268" s="182"/>
      <c r="CJ268" s="177"/>
      <c r="CK268" s="182"/>
      <c r="CL268" s="177"/>
      <c r="CM268" s="182"/>
      <c r="CN268" s="177"/>
      <c r="CO268" s="182"/>
      <c r="CP268" s="177"/>
      <c r="CQ268" s="178"/>
      <c r="CR268" s="182"/>
      <c r="CS268" s="65"/>
      <c r="CT268" s="64"/>
      <c r="CU268" s="165" t="str">
        <f t="shared" si="2"/>
        <v/>
      </c>
    </row>
    <row r="269" ht="60.0" hidden="1" customHeight="1">
      <c r="A269" s="65"/>
      <c r="C269" s="167"/>
      <c r="D269" s="205"/>
      <c r="E269" s="206"/>
      <c r="F269" s="169"/>
      <c r="G269" s="207"/>
      <c r="H269" s="208"/>
      <c r="I269" s="169"/>
      <c r="J269" s="170"/>
      <c r="K269" s="171"/>
      <c r="L269" s="171"/>
      <c r="M269" s="171"/>
      <c r="N269" s="209"/>
      <c r="O269" s="172">
        <f t="shared" si="49"/>
        <v>0</v>
      </c>
      <c r="P269" s="166"/>
      <c r="Q269" s="173"/>
      <c r="R269" s="65"/>
      <c r="S269" s="173"/>
      <c r="T269" s="173"/>
      <c r="U269" s="166"/>
      <c r="V269" s="166"/>
      <c r="W269" s="65"/>
      <c r="X269" s="66"/>
      <c r="Y269" s="173"/>
      <c r="Z269" s="166"/>
      <c r="AA269" s="174"/>
      <c r="AB269" s="175"/>
      <c r="AC269" s="175"/>
      <c r="AD269" s="175"/>
      <c r="AE269" s="175"/>
      <c r="AF269" s="175"/>
      <c r="AG269" s="175"/>
      <c r="AH269" s="175"/>
      <c r="AI269" s="176"/>
      <c r="AJ269" s="177"/>
      <c r="AK269" s="178"/>
      <c r="AL269" s="178"/>
      <c r="AM269" s="178"/>
      <c r="AN269" s="178"/>
      <c r="AO269" s="179"/>
      <c r="AP269" s="64"/>
      <c r="AQ269" s="65"/>
      <c r="AR269" s="65"/>
      <c r="AS269" s="65"/>
      <c r="AT269" s="173"/>
      <c r="AU269" s="177"/>
      <c r="AV269" s="178"/>
      <c r="AW269" s="178"/>
      <c r="AX269" s="179"/>
      <c r="AZ269" s="166"/>
      <c r="BA269" s="177"/>
      <c r="BB269" s="178"/>
      <c r="BC269" s="178"/>
      <c r="BD269" s="178"/>
      <c r="BE269" s="178"/>
      <c r="BF269" s="178"/>
      <c r="BG269" s="178"/>
      <c r="BH269" s="178"/>
      <c r="BI269" s="179"/>
      <c r="BJ269" s="180"/>
      <c r="BK269" s="178"/>
      <c r="BL269" s="178"/>
      <c r="BM269" s="178"/>
      <c r="BN269" s="178"/>
      <c r="BO269" s="181"/>
      <c r="BP269" s="166"/>
      <c r="BQ269" s="177"/>
      <c r="BR269" s="178"/>
      <c r="BS269" s="179"/>
      <c r="BU269" s="166"/>
      <c r="BV269" s="166"/>
      <c r="BW269" s="166"/>
      <c r="BX269" s="166"/>
      <c r="BY269" s="166"/>
      <c r="BZ269" s="166"/>
      <c r="CA269" s="166"/>
      <c r="CB269" s="166"/>
      <c r="CC269" s="166"/>
      <c r="CD269" s="177"/>
      <c r="CE269" s="181"/>
      <c r="CF269" s="177"/>
      <c r="CG269" s="181"/>
      <c r="CH269" s="177"/>
      <c r="CI269" s="182"/>
      <c r="CJ269" s="177"/>
      <c r="CK269" s="182"/>
      <c r="CL269" s="177"/>
      <c r="CM269" s="182"/>
      <c r="CN269" s="177"/>
      <c r="CO269" s="182"/>
      <c r="CP269" s="177"/>
      <c r="CQ269" s="178"/>
      <c r="CR269" s="182"/>
      <c r="CS269" s="65"/>
      <c r="CT269" s="64"/>
      <c r="CU269" s="165" t="str">
        <f t="shared" si="2"/>
        <v/>
      </c>
    </row>
    <row r="270" ht="60.0" hidden="1" customHeight="1">
      <c r="A270" s="65"/>
      <c r="C270" s="167"/>
      <c r="D270" s="205"/>
      <c r="E270" s="206"/>
      <c r="F270" s="169"/>
      <c r="G270" s="207"/>
      <c r="H270" s="208"/>
      <c r="I270" s="169"/>
      <c r="J270" s="170"/>
      <c r="K270" s="171"/>
      <c r="L270" s="171"/>
      <c r="M270" s="171"/>
      <c r="N270" s="209"/>
      <c r="O270" s="172">
        <f t="shared" si="49"/>
        <v>0</v>
      </c>
      <c r="P270" s="166"/>
      <c r="Q270" s="173"/>
      <c r="R270" s="65"/>
      <c r="S270" s="173"/>
      <c r="T270" s="173"/>
      <c r="U270" s="166"/>
      <c r="V270" s="166"/>
      <c r="W270" s="65"/>
      <c r="X270" s="66"/>
      <c r="Y270" s="173"/>
      <c r="Z270" s="166"/>
      <c r="AA270" s="174"/>
      <c r="AB270" s="175"/>
      <c r="AC270" s="175"/>
      <c r="AD270" s="175"/>
      <c r="AE270" s="175"/>
      <c r="AF270" s="175"/>
      <c r="AG270" s="175"/>
      <c r="AH270" s="175"/>
      <c r="AI270" s="176"/>
      <c r="AJ270" s="177"/>
      <c r="AK270" s="178"/>
      <c r="AL270" s="178"/>
      <c r="AM270" s="178"/>
      <c r="AN270" s="178"/>
      <c r="AO270" s="179"/>
      <c r="AP270" s="64"/>
      <c r="AQ270" s="65"/>
      <c r="AR270" s="65"/>
      <c r="AS270" s="65"/>
      <c r="AT270" s="173"/>
      <c r="AU270" s="177"/>
      <c r="AV270" s="178"/>
      <c r="AW270" s="178"/>
      <c r="AX270" s="179"/>
      <c r="AZ270" s="166"/>
      <c r="BA270" s="177"/>
      <c r="BB270" s="178"/>
      <c r="BC270" s="178"/>
      <c r="BD270" s="178"/>
      <c r="BE270" s="178"/>
      <c r="BF270" s="178"/>
      <c r="BG270" s="178"/>
      <c r="BH270" s="178"/>
      <c r="BI270" s="179"/>
      <c r="BJ270" s="180"/>
      <c r="BK270" s="178"/>
      <c r="BL270" s="178"/>
      <c r="BM270" s="178"/>
      <c r="BN270" s="178"/>
      <c r="BO270" s="181"/>
      <c r="BP270" s="166"/>
      <c r="BQ270" s="177"/>
      <c r="BR270" s="178"/>
      <c r="BS270" s="179"/>
      <c r="BU270" s="166"/>
      <c r="BV270" s="166"/>
      <c r="BW270" s="166"/>
      <c r="BX270" s="166"/>
      <c r="BY270" s="166"/>
      <c r="BZ270" s="166"/>
      <c r="CA270" s="166"/>
      <c r="CB270" s="166"/>
      <c r="CC270" s="166"/>
      <c r="CD270" s="177"/>
      <c r="CE270" s="181"/>
      <c r="CF270" s="177"/>
      <c r="CG270" s="181"/>
      <c r="CH270" s="177"/>
      <c r="CI270" s="182"/>
      <c r="CJ270" s="177"/>
      <c r="CK270" s="182"/>
      <c r="CL270" s="177"/>
      <c r="CM270" s="182"/>
      <c r="CN270" s="177"/>
      <c r="CO270" s="182"/>
      <c r="CP270" s="177"/>
      <c r="CQ270" s="178"/>
      <c r="CR270" s="182"/>
      <c r="CS270" s="65"/>
      <c r="CT270" s="64"/>
      <c r="CU270" s="165" t="str">
        <f t="shared" si="2"/>
        <v/>
      </c>
    </row>
    <row r="271" ht="60.0" hidden="1" customHeight="1">
      <c r="A271" s="89"/>
      <c r="B271" s="6"/>
      <c r="C271" s="183"/>
      <c r="D271" s="210"/>
      <c r="E271" s="211"/>
      <c r="F271" s="185"/>
      <c r="G271" s="212"/>
      <c r="H271" s="213"/>
      <c r="I271" s="185"/>
      <c r="J271" s="186"/>
      <c r="K271" s="187"/>
      <c r="L271" s="187"/>
      <c r="M271" s="187"/>
      <c r="N271" s="214"/>
      <c r="O271" s="188">
        <f t="shared" ref="O271:O277" si="50">IF(AND(M271&lt;&gt;0,M271&lt;&gt;"m",M271&lt;&gt;"",RIGHT(K271,3)="Lec"),1,IF(AND(M271&lt;&gt;0,M271&lt;&gt;"m",M271&lt;&gt;"",OR(RIGHT(K271,3)="Lab",RIGHT(K271,3)="Tut")),0.5,IF(AND(M271&lt;&gt;0,M271&lt;&gt;"m",M271&lt;&gt;"",RIGHT(K271,2)="TL"),0.75,0)))</f>
        <v>0</v>
      </c>
      <c r="P271" s="63"/>
      <c r="Q271" s="69"/>
      <c r="R271" s="89"/>
      <c r="S271" s="69"/>
      <c r="T271" s="69"/>
      <c r="U271" s="63"/>
      <c r="V271" s="63"/>
      <c r="W271" s="89"/>
      <c r="X271" s="68"/>
      <c r="Y271" s="69"/>
      <c r="Z271" s="63"/>
      <c r="AA271" s="189"/>
      <c r="AB271" s="190"/>
      <c r="AC271" s="190"/>
      <c r="AD271" s="190"/>
      <c r="AE271" s="190"/>
      <c r="AF271" s="190"/>
      <c r="AG271" s="190"/>
      <c r="AH271" s="190"/>
      <c r="AI271" s="191"/>
      <c r="AJ271" s="192"/>
      <c r="AK271" s="193"/>
      <c r="AL271" s="193"/>
      <c r="AM271" s="193"/>
      <c r="AN271" s="193"/>
      <c r="AO271" s="194"/>
      <c r="AP271" s="103"/>
      <c r="AQ271" s="89"/>
      <c r="AR271" s="89"/>
      <c r="AS271" s="89"/>
      <c r="AT271" s="69"/>
      <c r="AU271" s="192"/>
      <c r="AV271" s="193"/>
      <c r="AW271" s="193"/>
      <c r="AX271" s="194"/>
      <c r="AY271" s="6"/>
      <c r="AZ271" s="63"/>
      <c r="BA271" s="192"/>
      <c r="BB271" s="193"/>
      <c r="BC271" s="193"/>
      <c r="BD271" s="193"/>
      <c r="BE271" s="193"/>
      <c r="BF271" s="193"/>
      <c r="BG271" s="193"/>
      <c r="BH271" s="193"/>
      <c r="BI271" s="194"/>
      <c r="BJ271" s="195"/>
      <c r="BK271" s="193"/>
      <c r="BL271" s="193"/>
      <c r="BM271" s="193"/>
      <c r="BN271" s="193"/>
      <c r="BO271" s="196"/>
      <c r="BP271" s="63"/>
      <c r="BQ271" s="192"/>
      <c r="BR271" s="193"/>
      <c r="BS271" s="194"/>
      <c r="BT271" s="6"/>
      <c r="BU271" s="63"/>
      <c r="BV271" s="63"/>
      <c r="BW271" s="63"/>
      <c r="BX271" s="63"/>
      <c r="BY271" s="63"/>
      <c r="BZ271" s="63"/>
      <c r="CA271" s="63"/>
      <c r="CB271" s="63"/>
      <c r="CC271" s="63"/>
      <c r="CD271" s="192"/>
      <c r="CE271" s="196"/>
      <c r="CF271" s="192"/>
      <c r="CG271" s="196"/>
      <c r="CH271" s="192"/>
      <c r="CI271" s="197"/>
      <c r="CJ271" s="192"/>
      <c r="CK271" s="197"/>
      <c r="CL271" s="192"/>
      <c r="CM271" s="197"/>
      <c r="CN271" s="192"/>
      <c r="CO271" s="197"/>
      <c r="CP271" s="192"/>
      <c r="CQ271" s="193"/>
      <c r="CR271" s="197"/>
      <c r="CS271" s="89"/>
      <c r="CT271" s="103"/>
      <c r="CU271" s="165" t="str">
        <f t="shared" si="2"/>
        <v/>
      </c>
    </row>
    <row r="272" ht="56.25" hidden="1" customHeight="1">
      <c r="A272" s="125">
        <v>25.0</v>
      </c>
      <c r="B272" s="199"/>
      <c r="C272" s="127"/>
      <c r="D272" s="128"/>
      <c r="E272" s="215"/>
      <c r="F272" s="216"/>
      <c r="G272" s="217"/>
      <c r="H272" s="218"/>
      <c r="I272" s="216"/>
      <c r="J272" s="170"/>
      <c r="K272" s="219"/>
      <c r="L272" s="219"/>
      <c r="M272" s="219"/>
      <c r="N272" s="220"/>
      <c r="O272" s="132">
        <f t="shared" si="50"/>
        <v>0</v>
      </c>
      <c r="P272" s="133">
        <f>COUNTIF(K272:K282,"TL")*0.75+COUNTIF(K272:K282,"Lec")*1+COUNTIF(K272:K282,"Lab")*0.5</f>
        <v>0</v>
      </c>
      <c r="Q272" s="134">
        <f>SUM((IF(LEFT(K272,1)="E",O272,0)),(IF(LEFT(K273,1)="E",O273,0)),(IF(LEFT(K274,1)="E",O274,0)),(IF(LEFT(K275,1)="E",O275,0)),(IF(LEFT(K276,1)="E",O276,0)),(IF(LEFT(K277,1)="E",O277,0)),(IF(LEFT(K278,1)="E",O278,0)),(IF(LEFT(K279,1)="E",O279,0)),(IF(LEFT(K280,1)="E",O280,0)),(IF(LEFT(K281,1)="E",O281,0)),(IF(LEFT(K282,1)="E",O282,0)))</f>
        <v>0</v>
      </c>
      <c r="R272" s="135">
        <f>SUM(IF(M278&lt;20,IF(K278="Plec",-1,IF(K278="PTL",-0.75,IF(K278="Plab",-0.5,0))),0),IF(M279&lt;20,IF(K279="Plec",-1,IF(K279="PTL",-0.75,IF(K279="Plab",-0.5,0))),0),IF(M280&lt;20,IF(K280="Plec",-1,IF(K280="PTL",-0.75,IF(K280="Plab",-0.5,0))),0),IF(M281&lt;20,IF(K281="Plec",-1,IF(K281="PTL",-0.75,IF(K281="Plab",-0.5,0))),0))</f>
        <v>0</v>
      </c>
      <c r="S272" s="134">
        <f>SUM(P272:R282)</f>
        <v>0</v>
      </c>
      <c r="T272" s="136">
        <f>SUM(IF(M272="M",IF(OR(K272="lec",K272="plec",K272="slec"),1,IF(OR(K272="lab",K272="plab",K272="slab",K272="tut",K272="ptut",K272="stut"),0.5,IF(OR(K272="TL",K272="pTL",K272="STL"),0.75,0))),0),IF(M273="M",IF(OR(K273="lec",K273="plec",K273="slec"),1,IF(OR(K273="lab",K273="plab",K273="slab",K273="tut",K273="ptut",K273="stut"),0.5,IF(OR(K273="TL",K273="pTL",K273="STL"),0.75,0))),0),IF(M274="M",IF(OR(K274="lec",K274="plec",K274="slec"),1,IF(OR(K274="lab",K274="plab",K274="slab",K274="tut",K274="ptut",K274="stut"),0.5,IF(OR(K274="TL",K274="pTL",K274="STL"),0.75,0))),0),IF(M275="M",IF(OR(K275="lec",K275="plec",K275="slec"),1,IF(OR(K275="lab",K275="plab",K275="slab",K275="tut",K275="ptut",K275="stut"),0.5,IF(OR(K275="TL",K275="pTL",K275="STL"),0.75,0))),0),IF(M276="M",IF(OR(K276="lec",K276="plec",K276="slec"),1,IF(OR(K276="lab",K276="plab",K276="slab",K276="tut",K276="ptut",K276="stut"),0.5,IF(OR(K276="TL",K276="pTL",K276="STL"),0.75,0))),0),IF(M277="M",IF(OR(K277="lec",K277="plec",K277="slec"),1,IF(OR(K277="lab",K277="plab",K277="slab",K277="tut",K277="ptut",K277="stut"),0.5,IF(OR(K277="TL",K277="pTL",K277="STL"),0.75,0))),0),IF(M278="M",IF(OR(K278="lec",K278="plec",K278="slec"),1,IF(OR(K278="lab",K278="plab",K278="slab",K278="tut",K278="ptut",K278="stut"),0.5,IF(OR(K278="TL",K278="pTL",K278="STL"),0.75,0))),0),IF(M279="M",IF(OR(K279="lec",K279="plec",K279="slec"),1,IF(OR(K279="lab",K279="plab",K279="slab",K279="tut",K279="ptut",K279="stut"),0.5,IF(OR(K279="TL",K279="pTL",K279="STL"),0.75,0))),0),IF(M280="M",IF(OR(K280="lec",K280="plec",K280="slec"),1,IF(OR(K280="lab",K280="plab",K280="slab",K280="tut",K280="ptut",K280="stut"),0.5,IF(OR(K280="TL",K280="pTL",K280="STL"),0.75,0))),0),IF(M281="M",IF(OR(K281="lec",K281="plec",K281="slec"),1,IF(OR(K281="lab",K281="plab",K281="slab",K281="tut",K281="ptut",K281="stut"),0.5,IF(OR(K281="TL",K281="pTL",K281="STL"),0.75,0))),0),IF(M282="M",IF(OR(K282="lec",K282="plec",K282="slec"),1,IF(OR(K282="lab",K282="plab",K282="slab",K282="tut",K282="ptut",K282="stut"),0.5,IF(OR(K282="TL",K282="pTL",K282="STL"),0.75,0))),0))</f>
        <v>0</v>
      </c>
      <c r="U272" s="137"/>
      <c r="V272" s="133"/>
      <c r="W272" s="138"/>
      <c r="X272" s="139">
        <f>S272-(T272+U272+V272+W272)</f>
        <v>0</v>
      </c>
      <c r="Y272" s="134" t="str">
        <f>CONCATENATE(SUM(O272:O282),"(",SUM(O272:O282)-X272,")")</f>
        <v>0(0)</v>
      </c>
      <c r="Z272" s="140"/>
      <c r="AA272" s="141"/>
      <c r="AB272" s="142"/>
      <c r="AC272" s="142"/>
      <c r="AD272" s="142"/>
      <c r="AE272" s="142"/>
      <c r="AF272" s="142"/>
      <c r="AG272" s="142"/>
      <c r="AH272" s="142"/>
      <c r="AI272" s="143"/>
      <c r="AJ272" s="144"/>
      <c r="AK272" s="145"/>
      <c r="AL272" s="145"/>
      <c r="AM272" s="145"/>
      <c r="AN272" s="145"/>
      <c r="AO272" s="146"/>
      <c r="AP272" s="147">
        <f>SUM(SUM(O272:O282),SUM(AI272:AI282)/2,AM272)</f>
        <v>0</v>
      </c>
      <c r="AQ272" s="148"/>
      <c r="AR272" s="148">
        <f>AP272*AQ272</f>
        <v>0</v>
      </c>
      <c r="AS272" s="148">
        <f>CT272</f>
        <v>0</v>
      </c>
      <c r="AT272" s="149">
        <f>AR272*0.75+AS272*0.25</f>
        <v>0</v>
      </c>
      <c r="AU272" s="150"/>
      <c r="AV272" s="151"/>
      <c r="AW272" s="151"/>
      <c r="AX272" s="152"/>
      <c r="AY272" s="153"/>
      <c r="AZ272" s="140"/>
      <c r="BA272" s="150"/>
      <c r="BB272" s="151"/>
      <c r="BC272" s="151"/>
      <c r="BD272" s="151"/>
      <c r="BE272" s="151"/>
      <c r="BF272" s="151"/>
      <c r="BG272" s="151"/>
      <c r="BH272" s="151"/>
      <c r="BI272" s="152"/>
      <c r="BJ272" s="154"/>
      <c r="BK272" s="151"/>
      <c r="BL272" s="151"/>
      <c r="BM272" s="151"/>
      <c r="BN272" s="151"/>
      <c r="BO272" s="155"/>
      <c r="BP272" s="140"/>
      <c r="BQ272" s="156"/>
      <c r="BR272" s="157"/>
      <c r="BS272" s="158"/>
      <c r="BT272" s="153"/>
      <c r="BU272" s="140"/>
      <c r="BV272" s="140"/>
      <c r="BW272" s="140"/>
      <c r="BX272" s="140"/>
      <c r="BY272" s="140"/>
      <c r="BZ272" s="140"/>
      <c r="CA272" s="140"/>
      <c r="CB272" s="140"/>
      <c r="CC272" s="140"/>
      <c r="CD272" s="150"/>
      <c r="CE272" s="155"/>
      <c r="CF272" s="150"/>
      <c r="CG272" s="155"/>
      <c r="CH272" s="159"/>
      <c r="CI272" s="160"/>
      <c r="CJ272" s="159"/>
      <c r="CK272" s="160"/>
      <c r="CL272" s="159"/>
      <c r="CM272" s="160"/>
      <c r="CN272" s="159"/>
      <c r="CO272" s="160"/>
      <c r="CP272" s="159"/>
      <c r="CQ272" s="162"/>
      <c r="CR272" s="160"/>
      <c r="CS272" s="163">
        <f>SUM(IF(AU272&lt;0,ABS(AU272),0),IF(AZ272&lt;0,ABS(AZ272),0),ABS(CI272),ABS(CK272),ABS(CM272),ABS(CO272),ABS(CQ272),ABS(CR272))</f>
        <v>0</v>
      </c>
      <c r="CT272" s="164">
        <f>SUM(AU272,AV272,AW272,AX272/400,AY272,AZ272,BG272,BH272*0.5,BI272*0.25,BJ272,BK272,BL272,BM272,BN272,BO272,BP272,BR272/20,BS272/100,BT272/60,BU272,BV272,BW272,BX272/5,SUM(BY272:CC282)/3,CE272,CG272/3,CI272,CK272,CM272,CO272,CQ272,CR272)</f>
        <v>0</v>
      </c>
      <c r="CU272" s="165" t="str">
        <f t="shared" si="2"/>
        <v/>
      </c>
    </row>
    <row r="273" ht="60.0" hidden="1" customHeight="1">
      <c r="A273" s="65"/>
      <c r="C273" s="167"/>
      <c r="D273" s="205"/>
      <c r="E273" s="206"/>
      <c r="F273" s="169"/>
      <c r="G273" s="207"/>
      <c r="H273" s="208"/>
      <c r="I273" s="169"/>
      <c r="J273" s="170"/>
      <c r="K273" s="171"/>
      <c r="L273" s="171"/>
      <c r="M273" s="171"/>
      <c r="N273" s="209"/>
      <c r="O273" s="172">
        <f t="shared" si="50"/>
        <v>0</v>
      </c>
      <c r="P273" s="166"/>
      <c r="Q273" s="173"/>
      <c r="R273" s="65"/>
      <c r="S273" s="173"/>
      <c r="T273" s="173"/>
      <c r="U273" s="166"/>
      <c r="V273" s="166"/>
      <c r="W273" s="65"/>
      <c r="X273" s="66"/>
      <c r="Y273" s="173"/>
      <c r="Z273" s="166"/>
      <c r="AA273" s="174"/>
      <c r="AB273" s="175"/>
      <c r="AC273" s="175"/>
      <c r="AD273" s="175"/>
      <c r="AE273" s="175"/>
      <c r="AF273" s="175"/>
      <c r="AG273" s="175"/>
      <c r="AH273" s="175"/>
      <c r="AI273" s="176"/>
      <c r="AJ273" s="177"/>
      <c r="AK273" s="178"/>
      <c r="AL273" s="178"/>
      <c r="AM273" s="178"/>
      <c r="AN273" s="178"/>
      <c r="AO273" s="179"/>
      <c r="AP273" s="64"/>
      <c r="AQ273" s="65"/>
      <c r="AR273" s="65"/>
      <c r="AS273" s="65"/>
      <c r="AT273" s="173"/>
      <c r="AU273" s="177"/>
      <c r="AV273" s="178"/>
      <c r="AW273" s="178"/>
      <c r="AX273" s="179"/>
      <c r="AZ273" s="166"/>
      <c r="BA273" s="177"/>
      <c r="BB273" s="178"/>
      <c r="BC273" s="178"/>
      <c r="BD273" s="178"/>
      <c r="BE273" s="178"/>
      <c r="BF273" s="178"/>
      <c r="BG273" s="178"/>
      <c r="BH273" s="178"/>
      <c r="BI273" s="179"/>
      <c r="BJ273" s="180"/>
      <c r="BK273" s="178"/>
      <c r="BL273" s="178"/>
      <c r="BM273" s="178"/>
      <c r="BN273" s="178"/>
      <c r="BO273" s="181"/>
      <c r="BP273" s="166"/>
      <c r="BQ273" s="177"/>
      <c r="BR273" s="178"/>
      <c r="BS273" s="179"/>
      <c r="BU273" s="166"/>
      <c r="BV273" s="166"/>
      <c r="BW273" s="166"/>
      <c r="BX273" s="166"/>
      <c r="BY273" s="166"/>
      <c r="BZ273" s="166"/>
      <c r="CA273" s="166"/>
      <c r="CB273" s="166"/>
      <c r="CC273" s="166"/>
      <c r="CD273" s="177"/>
      <c r="CE273" s="181"/>
      <c r="CF273" s="177"/>
      <c r="CG273" s="181"/>
      <c r="CH273" s="177"/>
      <c r="CI273" s="182"/>
      <c r="CJ273" s="177"/>
      <c r="CK273" s="182"/>
      <c r="CL273" s="177"/>
      <c r="CM273" s="182"/>
      <c r="CN273" s="177"/>
      <c r="CO273" s="182"/>
      <c r="CP273" s="177"/>
      <c r="CQ273" s="178"/>
      <c r="CR273" s="182"/>
      <c r="CS273" s="65"/>
      <c r="CT273" s="64"/>
      <c r="CU273" s="165" t="str">
        <f t="shared" si="2"/>
        <v/>
      </c>
    </row>
    <row r="274" ht="60.0" hidden="1" customHeight="1">
      <c r="A274" s="65"/>
      <c r="C274" s="167"/>
      <c r="D274" s="205"/>
      <c r="E274" s="206"/>
      <c r="F274" s="169"/>
      <c r="G274" s="207"/>
      <c r="H274" s="208"/>
      <c r="I274" s="169"/>
      <c r="J274" s="170"/>
      <c r="K274" s="171"/>
      <c r="L274" s="171"/>
      <c r="M274" s="171"/>
      <c r="N274" s="209"/>
      <c r="O274" s="172">
        <f t="shared" si="50"/>
        <v>0</v>
      </c>
      <c r="P274" s="166"/>
      <c r="Q274" s="173"/>
      <c r="R274" s="65"/>
      <c r="S274" s="173"/>
      <c r="T274" s="173"/>
      <c r="U274" s="166"/>
      <c r="V274" s="166"/>
      <c r="W274" s="65"/>
      <c r="X274" s="66"/>
      <c r="Y274" s="173"/>
      <c r="Z274" s="166"/>
      <c r="AA274" s="174"/>
      <c r="AB274" s="175"/>
      <c r="AC274" s="175"/>
      <c r="AD274" s="175"/>
      <c r="AE274" s="175"/>
      <c r="AF274" s="175"/>
      <c r="AG274" s="175"/>
      <c r="AH274" s="175"/>
      <c r="AI274" s="176"/>
      <c r="AJ274" s="177"/>
      <c r="AK274" s="178"/>
      <c r="AL274" s="178"/>
      <c r="AM274" s="178"/>
      <c r="AN274" s="178"/>
      <c r="AO274" s="179"/>
      <c r="AP274" s="64"/>
      <c r="AQ274" s="65"/>
      <c r="AR274" s="65"/>
      <c r="AS274" s="65"/>
      <c r="AT274" s="173"/>
      <c r="AU274" s="177"/>
      <c r="AV274" s="178"/>
      <c r="AW274" s="178"/>
      <c r="AX274" s="179"/>
      <c r="AZ274" s="166"/>
      <c r="BA274" s="177"/>
      <c r="BB274" s="178"/>
      <c r="BC274" s="178"/>
      <c r="BD274" s="178"/>
      <c r="BE274" s="178"/>
      <c r="BF274" s="178"/>
      <c r="BG274" s="178"/>
      <c r="BH274" s="178"/>
      <c r="BI274" s="179"/>
      <c r="BJ274" s="180"/>
      <c r="BK274" s="178"/>
      <c r="BL274" s="178"/>
      <c r="BM274" s="178"/>
      <c r="BN274" s="178"/>
      <c r="BO274" s="181"/>
      <c r="BP274" s="166"/>
      <c r="BQ274" s="177"/>
      <c r="BR274" s="178"/>
      <c r="BS274" s="179"/>
      <c r="BU274" s="166"/>
      <c r="BV274" s="166"/>
      <c r="BW274" s="166"/>
      <c r="BX274" s="166"/>
      <c r="BY274" s="166"/>
      <c r="BZ274" s="166"/>
      <c r="CA274" s="166"/>
      <c r="CB274" s="166"/>
      <c r="CC274" s="166"/>
      <c r="CD274" s="177"/>
      <c r="CE274" s="181"/>
      <c r="CF274" s="177"/>
      <c r="CG274" s="181"/>
      <c r="CH274" s="177"/>
      <c r="CI274" s="182"/>
      <c r="CJ274" s="177"/>
      <c r="CK274" s="182"/>
      <c r="CL274" s="177"/>
      <c r="CM274" s="182"/>
      <c r="CN274" s="177"/>
      <c r="CO274" s="182"/>
      <c r="CP274" s="177"/>
      <c r="CQ274" s="178"/>
      <c r="CR274" s="182"/>
      <c r="CS274" s="65"/>
      <c r="CT274" s="64"/>
      <c r="CU274" s="165" t="str">
        <f t="shared" si="2"/>
        <v/>
      </c>
    </row>
    <row r="275" ht="60.0" hidden="1" customHeight="1">
      <c r="A275" s="65"/>
      <c r="C275" s="167"/>
      <c r="D275" s="205"/>
      <c r="E275" s="206"/>
      <c r="F275" s="169"/>
      <c r="G275" s="207"/>
      <c r="H275" s="208"/>
      <c r="I275" s="169"/>
      <c r="J275" s="170"/>
      <c r="K275" s="171"/>
      <c r="L275" s="171"/>
      <c r="M275" s="171"/>
      <c r="N275" s="209"/>
      <c r="O275" s="172">
        <f t="shared" si="50"/>
        <v>0</v>
      </c>
      <c r="P275" s="166"/>
      <c r="Q275" s="173"/>
      <c r="R275" s="65"/>
      <c r="S275" s="173"/>
      <c r="T275" s="173"/>
      <c r="U275" s="166"/>
      <c r="V275" s="166"/>
      <c r="W275" s="65"/>
      <c r="X275" s="66"/>
      <c r="Y275" s="173"/>
      <c r="Z275" s="166"/>
      <c r="AA275" s="174"/>
      <c r="AB275" s="175"/>
      <c r="AC275" s="175"/>
      <c r="AD275" s="175"/>
      <c r="AE275" s="175"/>
      <c r="AF275" s="175"/>
      <c r="AG275" s="175"/>
      <c r="AH275" s="175"/>
      <c r="AI275" s="176"/>
      <c r="AJ275" s="177"/>
      <c r="AK275" s="178"/>
      <c r="AL275" s="178"/>
      <c r="AM275" s="178"/>
      <c r="AN275" s="178"/>
      <c r="AO275" s="179"/>
      <c r="AP275" s="64"/>
      <c r="AQ275" s="65"/>
      <c r="AR275" s="65"/>
      <c r="AS275" s="65"/>
      <c r="AT275" s="173"/>
      <c r="AU275" s="177"/>
      <c r="AV275" s="178"/>
      <c r="AW275" s="178"/>
      <c r="AX275" s="179"/>
      <c r="AZ275" s="166"/>
      <c r="BA275" s="177"/>
      <c r="BB275" s="178"/>
      <c r="BC275" s="178"/>
      <c r="BD275" s="178"/>
      <c r="BE275" s="178"/>
      <c r="BF275" s="178"/>
      <c r="BG275" s="178"/>
      <c r="BH275" s="178"/>
      <c r="BI275" s="179"/>
      <c r="BJ275" s="180"/>
      <c r="BK275" s="178"/>
      <c r="BL275" s="178"/>
      <c r="BM275" s="178"/>
      <c r="BN275" s="178"/>
      <c r="BO275" s="181"/>
      <c r="BP275" s="166"/>
      <c r="BQ275" s="177"/>
      <c r="BR275" s="178"/>
      <c r="BS275" s="179"/>
      <c r="BU275" s="166"/>
      <c r="BV275" s="166"/>
      <c r="BW275" s="166"/>
      <c r="BX275" s="166"/>
      <c r="BY275" s="166"/>
      <c r="BZ275" s="166"/>
      <c r="CA275" s="166"/>
      <c r="CB275" s="166"/>
      <c r="CC275" s="166"/>
      <c r="CD275" s="177"/>
      <c r="CE275" s="181"/>
      <c r="CF275" s="177"/>
      <c r="CG275" s="181"/>
      <c r="CH275" s="177"/>
      <c r="CI275" s="182"/>
      <c r="CJ275" s="177"/>
      <c r="CK275" s="182"/>
      <c r="CL275" s="177"/>
      <c r="CM275" s="182"/>
      <c r="CN275" s="177"/>
      <c r="CO275" s="182"/>
      <c r="CP275" s="177"/>
      <c r="CQ275" s="178"/>
      <c r="CR275" s="182"/>
      <c r="CS275" s="65"/>
      <c r="CT275" s="64"/>
      <c r="CU275" s="165" t="str">
        <f t="shared" si="2"/>
        <v/>
      </c>
    </row>
    <row r="276" ht="60.0" hidden="1" customHeight="1">
      <c r="A276" s="65"/>
      <c r="C276" s="167"/>
      <c r="D276" s="205"/>
      <c r="E276" s="206"/>
      <c r="F276" s="169"/>
      <c r="G276" s="207"/>
      <c r="H276" s="208"/>
      <c r="I276" s="169"/>
      <c r="J276" s="170"/>
      <c r="K276" s="171"/>
      <c r="L276" s="171"/>
      <c r="M276" s="171"/>
      <c r="N276" s="209"/>
      <c r="O276" s="172">
        <f t="shared" si="50"/>
        <v>0</v>
      </c>
      <c r="P276" s="166"/>
      <c r="Q276" s="173"/>
      <c r="R276" s="65"/>
      <c r="S276" s="173"/>
      <c r="T276" s="173"/>
      <c r="U276" s="166"/>
      <c r="V276" s="166"/>
      <c r="W276" s="65"/>
      <c r="X276" s="66"/>
      <c r="Y276" s="173"/>
      <c r="Z276" s="166"/>
      <c r="AA276" s="174"/>
      <c r="AB276" s="175"/>
      <c r="AC276" s="175"/>
      <c r="AD276" s="175"/>
      <c r="AE276" s="175"/>
      <c r="AF276" s="175"/>
      <c r="AG276" s="175"/>
      <c r="AH276" s="175"/>
      <c r="AI276" s="176"/>
      <c r="AJ276" s="177"/>
      <c r="AK276" s="178"/>
      <c r="AL276" s="178"/>
      <c r="AM276" s="178"/>
      <c r="AN276" s="178"/>
      <c r="AO276" s="179"/>
      <c r="AP276" s="64"/>
      <c r="AQ276" s="65"/>
      <c r="AR276" s="65"/>
      <c r="AS276" s="65"/>
      <c r="AT276" s="173"/>
      <c r="AU276" s="177"/>
      <c r="AV276" s="178"/>
      <c r="AW276" s="178"/>
      <c r="AX276" s="179"/>
      <c r="AZ276" s="166"/>
      <c r="BA276" s="177"/>
      <c r="BB276" s="178"/>
      <c r="BC276" s="178"/>
      <c r="BD276" s="178"/>
      <c r="BE276" s="178"/>
      <c r="BF276" s="178"/>
      <c r="BG276" s="178"/>
      <c r="BH276" s="178"/>
      <c r="BI276" s="179"/>
      <c r="BJ276" s="180"/>
      <c r="BK276" s="178"/>
      <c r="BL276" s="178"/>
      <c r="BM276" s="178"/>
      <c r="BN276" s="178"/>
      <c r="BO276" s="181"/>
      <c r="BP276" s="166"/>
      <c r="BQ276" s="177"/>
      <c r="BR276" s="178"/>
      <c r="BS276" s="179"/>
      <c r="BU276" s="166"/>
      <c r="BV276" s="166"/>
      <c r="BW276" s="166"/>
      <c r="BX276" s="166"/>
      <c r="BY276" s="166"/>
      <c r="BZ276" s="166"/>
      <c r="CA276" s="166"/>
      <c r="CB276" s="166"/>
      <c r="CC276" s="166"/>
      <c r="CD276" s="177"/>
      <c r="CE276" s="181"/>
      <c r="CF276" s="177"/>
      <c r="CG276" s="181"/>
      <c r="CH276" s="177"/>
      <c r="CI276" s="182"/>
      <c r="CJ276" s="177"/>
      <c r="CK276" s="182"/>
      <c r="CL276" s="177"/>
      <c r="CM276" s="182"/>
      <c r="CN276" s="177"/>
      <c r="CO276" s="182"/>
      <c r="CP276" s="177"/>
      <c r="CQ276" s="178"/>
      <c r="CR276" s="182"/>
      <c r="CS276" s="65"/>
      <c r="CT276" s="64"/>
      <c r="CU276" s="165" t="str">
        <f t="shared" si="2"/>
        <v/>
      </c>
    </row>
    <row r="277" ht="60.0" hidden="1" customHeight="1">
      <c r="A277" s="65"/>
      <c r="C277" s="167"/>
      <c r="D277" s="205"/>
      <c r="E277" s="206"/>
      <c r="F277" s="169"/>
      <c r="G277" s="207"/>
      <c r="H277" s="208"/>
      <c r="I277" s="169"/>
      <c r="J277" s="170"/>
      <c r="K277" s="171"/>
      <c r="L277" s="171"/>
      <c r="M277" s="171"/>
      <c r="N277" s="209"/>
      <c r="O277" s="172">
        <f t="shared" si="50"/>
        <v>0</v>
      </c>
      <c r="P277" s="166"/>
      <c r="Q277" s="173"/>
      <c r="R277" s="65"/>
      <c r="S277" s="173"/>
      <c r="T277" s="173"/>
      <c r="U277" s="166"/>
      <c r="V277" s="166"/>
      <c r="W277" s="65"/>
      <c r="X277" s="66"/>
      <c r="Y277" s="173"/>
      <c r="Z277" s="166"/>
      <c r="AA277" s="174"/>
      <c r="AB277" s="175"/>
      <c r="AC277" s="175"/>
      <c r="AD277" s="175"/>
      <c r="AE277" s="175"/>
      <c r="AF277" s="175"/>
      <c r="AG277" s="175"/>
      <c r="AH277" s="175"/>
      <c r="AI277" s="176"/>
      <c r="AJ277" s="177"/>
      <c r="AK277" s="178"/>
      <c r="AL277" s="178"/>
      <c r="AM277" s="178"/>
      <c r="AN277" s="178"/>
      <c r="AO277" s="179"/>
      <c r="AP277" s="64"/>
      <c r="AQ277" s="65"/>
      <c r="AR277" s="65"/>
      <c r="AS277" s="65"/>
      <c r="AT277" s="173"/>
      <c r="AU277" s="177"/>
      <c r="AV277" s="178"/>
      <c r="AW277" s="178"/>
      <c r="AX277" s="179"/>
      <c r="AZ277" s="166"/>
      <c r="BA277" s="177"/>
      <c r="BB277" s="178"/>
      <c r="BC277" s="178"/>
      <c r="BD277" s="178"/>
      <c r="BE277" s="178"/>
      <c r="BF277" s="178"/>
      <c r="BG277" s="178"/>
      <c r="BH277" s="178"/>
      <c r="BI277" s="179"/>
      <c r="BJ277" s="180"/>
      <c r="BK277" s="178"/>
      <c r="BL277" s="178"/>
      <c r="BM277" s="178"/>
      <c r="BN277" s="178"/>
      <c r="BO277" s="181"/>
      <c r="BP277" s="166"/>
      <c r="BQ277" s="177"/>
      <c r="BR277" s="178"/>
      <c r="BS277" s="179"/>
      <c r="BU277" s="166"/>
      <c r="BV277" s="166"/>
      <c r="BW277" s="166"/>
      <c r="BX277" s="166"/>
      <c r="BY277" s="166"/>
      <c r="BZ277" s="166"/>
      <c r="CA277" s="166"/>
      <c r="CB277" s="166"/>
      <c r="CC277" s="166"/>
      <c r="CD277" s="177"/>
      <c r="CE277" s="181"/>
      <c r="CF277" s="177"/>
      <c r="CG277" s="181"/>
      <c r="CH277" s="177"/>
      <c r="CI277" s="182"/>
      <c r="CJ277" s="177"/>
      <c r="CK277" s="182"/>
      <c r="CL277" s="177"/>
      <c r="CM277" s="182"/>
      <c r="CN277" s="177"/>
      <c r="CO277" s="182"/>
      <c r="CP277" s="177"/>
      <c r="CQ277" s="178"/>
      <c r="CR277" s="182"/>
      <c r="CS277" s="65"/>
      <c r="CT277" s="64"/>
      <c r="CU277" s="165" t="str">
        <f t="shared" si="2"/>
        <v/>
      </c>
    </row>
    <row r="278" ht="60.0" hidden="1" customHeight="1">
      <c r="A278" s="65"/>
      <c r="C278" s="167"/>
      <c r="D278" s="205"/>
      <c r="E278" s="206"/>
      <c r="F278" s="169"/>
      <c r="G278" s="207"/>
      <c r="H278" s="208"/>
      <c r="I278" s="169"/>
      <c r="J278" s="170"/>
      <c r="K278" s="171"/>
      <c r="L278" s="171"/>
      <c r="M278" s="171"/>
      <c r="N278" s="209"/>
      <c r="O278" s="172">
        <f t="shared" ref="O278:O281" si="51">IF(AND(M278&gt;=20,M278&lt;&gt;"m",RIGHT(K278,3)="Lec"),1,IF(AND(M278&gt;=20,M278&lt;&gt;"m",OR(RIGHT(K278,3)="Lab",RIGHT(K278,3)="Tut")),0.5,IF(AND(M278&gt;=20,M278&lt;&gt;"m",RIGHT(K278,2)="TL"),0.75,0)))</f>
        <v>0</v>
      </c>
      <c r="P278" s="166"/>
      <c r="Q278" s="173"/>
      <c r="R278" s="65"/>
      <c r="S278" s="173"/>
      <c r="T278" s="173"/>
      <c r="U278" s="166"/>
      <c r="V278" s="166"/>
      <c r="W278" s="65"/>
      <c r="X278" s="66"/>
      <c r="Y278" s="173"/>
      <c r="Z278" s="166"/>
      <c r="AA278" s="174"/>
      <c r="AB278" s="175"/>
      <c r="AC278" s="175"/>
      <c r="AD278" s="175"/>
      <c r="AE278" s="175"/>
      <c r="AF278" s="175"/>
      <c r="AG278" s="175"/>
      <c r="AH278" s="175"/>
      <c r="AI278" s="176"/>
      <c r="AJ278" s="177"/>
      <c r="AK278" s="178"/>
      <c r="AL278" s="178"/>
      <c r="AM278" s="178"/>
      <c r="AN278" s="178"/>
      <c r="AO278" s="179"/>
      <c r="AP278" s="64"/>
      <c r="AQ278" s="65"/>
      <c r="AR278" s="65"/>
      <c r="AS278" s="65"/>
      <c r="AT278" s="173"/>
      <c r="AU278" s="177"/>
      <c r="AV278" s="178"/>
      <c r="AW278" s="178"/>
      <c r="AX278" s="179"/>
      <c r="AZ278" s="166"/>
      <c r="BA278" s="177"/>
      <c r="BB278" s="178"/>
      <c r="BC278" s="178"/>
      <c r="BD278" s="178"/>
      <c r="BE278" s="178"/>
      <c r="BF278" s="178"/>
      <c r="BG278" s="178"/>
      <c r="BH278" s="178"/>
      <c r="BI278" s="179"/>
      <c r="BJ278" s="180"/>
      <c r="BK278" s="178"/>
      <c r="BL278" s="178"/>
      <c r="BM278" s="178"/>
      <c r="BN278" s="178"/>
      <c r="BO278" s="181"/>
      <c r="BP278" s="166"/>
      <c r="BQ278" s="177"/>
      <c r="BR278" s="178"/>
      <c r="BS278" s="179"/>
      <c r="BU278" s="166"/>
      <c r="BV278" s="166"/>
      <c r="BW278" s="166"/>
      <c r="BX278" s="166"/>
      <c r="BY278" s="166"/>
      <c r="BZ278" s="166"/>
      <c r="CA278" s="166"/>
      <c r="CB278" s="166"/>
      <c r="CC278" s="166"/>
      <c r="CD278" s="177"/>
      <c r="CE278" s="181"/>
      <c r="CF278" s="177"/>
      <c r="CG278" s="181"/>
      <c r="CH278" s="177"/>
      <c r="CI278" s="182"/>
      <c r="CJ278" s="177"/>
      <c r="CK278" s="182"/>
      <c r="CL278" s="177"/>
      <c r="CM278" s="182"/>
      <c r="CN278" s="177"/>
      <c r="CO278" s="182"/>
      <c r="CP278" s="177"/>
      <c r="CQ278" s="178"/>
      <c r="CR278" s="182"/>
      <c r="CS278" s="65"/>
      <c r="CT278" s="64"/>
      <c r="CU278" s="165" t="str">
        <f t="shared" si="2"/>
        <v/>
      </c>
    </row>
    <row r="279" ht="60.0" hidden="1" customHeight="1">
      <c r="A279" s="65"/>
      <c r="C279" s="167"/>
      <c r="D279" s="205"/>
      <c r="E279" s="206"/>
      <c r="F279" s="169"/>
      <c r="G279" s="207"/>
      <c r="H279" s="208"/>
      <c r="I279" s="169"/>
      <c r="J279" s="170"/>
      <c r="K279" s="171"/>
      <c r="L279" s="171"/>
      <c r="M279" s="171"/>
      <c r="N279" s="209"/>
      <c r="O279" s="172">
        <f t="shared" si="51"/>
        <v>0</v>
      </c>
      <c r="P279" s="166"/>
      <c r="Q279" s="173"/>
      <c r="R279" s="65"/>
      <c r="S279" s="173"/>
      <c r="T279" s="173"/>
      <c r="U279" s="166"/>
      <c r="V279" s="166"/>
      <c r="W279" s="65"/>
      <c r="X279" s="66"/>
      <c r="Y279" s="173"/>
      <c r="Z279" s="166"/>
      <c r="AA279" s="174"/>
      <c r="AB279" s="175"/>
      <c r="AC279" s="175"/>
      <c r="AD279" s="175"/>
      <c r="AE279" s="175"/>
      <c r="AF279" s="175"/>
      <c r="AG279" s="175"/>
      <c r="AH279" s="175"/>
      <c r="AI279" s="176"/>
      <c r="AJ279" s="177"/>
      <c r="AK279" s="178"/>
      <c r="AL279" s="178"/>
      <c r="AM279" s="178"/>
      <c r="AN279" s="178"/>
      <c r="AO279" s="179"/>
      <c r="AP279" s="64"/>
      <c r="AQ279" s="65"/>
      <c r="AR279" s="65"/>
      <c r="AS279" s="65"/>
      <c r="AT279" s="173"/>
      <c r="AU279" s="177"/>
      <c r="AV279" s="178"/>
      <c r="AW279" s="178"/>
      <c r="AX279" s="179"/>
      <c r="AZ279" s="166"/>
      <c r="BA279" s="177"/>
      <c r="BB279" s="178"/>
      <c r="BC279" s="178"/>
      <c r="BD279" s="178"/>
      <c r="BE279" s="178"/>
      <c r="BF279" s="178"/>
      <c r="BG279" s="178"/>
      <c r="BH279" s="178"/>
      <c r="BI279" s="179"/>
      <c r="BJ279" s="180"/>
      <c r="BK279" s="178"/>
      <c r="BL279" s="178"/>
      <c r="BM279" s="178"/>
      <c r="BN279" s="178"/>
      <c r="BO279" s="181"/>
      <c r="BP279" s="166"/>
      <c r="BQ279" s="177"/>
      <c r="BR279" s="178"/>
      <c r="BS279" s="179"/>
      <c r="BU279" s="166"/>
      <c r="BV279" s="166"/>
      <c r="BW279" s="166"/>
      <c r="BX279" s="166"/>
      <c r="BY279" s="166"/>
      <c r="BZ279" s="166"/>
      <c r="CA279" s="166"/>
      <c r="CB279" s="166"/>
      <c r="CC279" s="166"/>
      <c r="CD279" s="177"/>
      <c r="CE279" s="181"/>
      <c r="CF279" s="177"/>
      <c r="CG279" s="181"/>
      <c r="CH279" s="177"/>
      <c r="CI279" s="182"/>
      <c r="CJ279" s="177"/>
      <c r="CK279" s="182"/>
      <c r="CL279" s="177"/>
      <c r="CM279" s="182"/>
      <c r="CN279" s="177"/>
      <c r="CO279" s="182"/>
      <c r="CP279" s="177"/>
      <c r="CQ279" s="178"/>
      <c r="CR279" s="182"/>
      <c r="CS279" s="65"/>
      <c r="CT279" s="64"/>
      <c r="CU279" s="165" t="str">
        <f t="shared" si="2"/>
        <v/>
      </c>
    </row>
    <row r="280" ht="60.0" hidden="1" customHeight="1">
      <c r="A280" s="65"/>
      <c r="C280" s="167"/>
      <c r="D280" s="205"/>
      <c r="E280" s="206"/>
      <c r="F280" s="169"/>
      <c r="G280" s="207"/>
      <c r="H280" s="208"/>
      <c r="I280" s="169"/>
      <c r="J280" s="170"/>
      <c r="K280" s="171"/>
      <c r="L280" s="171"/>
      <c r="M280" s="171"/>
      <c r="N280" s="209"/>
      <c r="O280" s="172">
        <f t="shared" si="51"/>
        <v>0</v>
      </c>
      <c r="P280" s="166"/>
      <c r="Q280" s="173"/>
      <c r="R280" s="65"/>
      <c r="S280" s="173"/>
      <c r="T280" s="173"/>
      <c r="U280" s="166"/>
      <c r="V280" s="166"/>
      <c r="W280" s="65"/>
      <c r="X280" s="66"/>
      <c r="Y280" s="173"/>
      <c r="Z280" s="166"/>
      <c r="AA280" s="174"/>
      <c r="AB280" s="175"/>
      <c r="AC280" s="175"/>
      <c r="AD280" s="175"/>
      <c r="AE280" s="175"/>
      <c r="AF280" s="175"/>
      <c r="AG280" s="175"/>
      <c r="AH280" s="175"/>
      <c r="AI280" s="176"/>
      <c r="AJ280" s="177"/>
      <c r="AK280" s="178"/>
      <c r="AL280" s="178"/>
      <c r="AM280" s="178"/>
      <c r="AN280" s="178"/>
      <c r="AO280" s="179"/>
      <c r="AP280" s="64"/>
      <c r="AQ280" s="65"/>
      <c r="AR280" s="65"/>
      <c r="AS280" s="65"/>
      <c r="AT280" s="173"/>
      <c r="AU280" s="177"/>
      <c r="AV280" s="178"/>
      <c r="AW280" s="178"/>
      <c r="AX280" s="179"/>
      <c r="AZ280" s="166"/>
      <c r="BA280" s="177"/>
      <c r="BB280" s="178"/>
      <c r="BC280" s="178"/>
      <c r="BD280" s="178"/>
      <c r="BE280" s="178"/>
      <c r="BF280" s="178"/>
      <c r="BG280" s="178"/>
      <c r="BH280" s="178"/>
      <c r="BI280" s="179"/>
      <c r="BJ280" s="180"/>
      <c r="BK280" s="178"/>
      <c r="BL280" s="178"/>
      <c r="BM280" s="178"/>
      <c r="BN280" s="178"/>
      <c r="BO280" s="181"/>
      <c r="BP280" s="166"/>
      <c r="BQ280" s="177"/>
      <c r="BR280" s="178"/>
      <c r="BS280" s="179"/>
      <c r="BU280" s="166"/>
      <c r="BV280" s="166"/>
      <c r="BW280" s="166"/>
      <c r="BX280" s="166"/>
      <c r="BY280" s="166"/>
      <c r="BZ280" s="166"/>
      <c r="CA280" s="166"/>
      <c r="CB280" s="166"/>
      <c r="CC280" s="166"/>
      <c r="CD280" s="177"/>
      <c r="CE280" s="181"/>
      <c r="CF280" s="177"/>
      <c r="CG280" s="181"/>
      <c r="CH280" s="177"/>
      <c r="CI280" s="182"/>
      <c r="CJ280" s="177"/>
      <c r="CK280" s="182"/>
      <c r="CL280" s="177"/>
      <c r="CM280" s="182"/>
      <c r="CN280" s="177"/>
      <c r="CO280" s="182"/>
      <c r="CP280" s="177"/>
      <c r="CQ280" s="178"/>
      <c r="CR280" s="182"/>
      <c r="CS280" s="65"/>
      <c r="CT280" s="64"/>
      <c r="CU280" s="165" t="str">
        <f t="shared" si="2"/>
        <v/>
      </c>
    </row>
    <row r="281" ht="60.0" hidden="1" customHeight="1">
      <c r="A281" s="65"/>
      <c r="C281" s="167"/>
      <c r="D281" s="205"/>
      <c r="E281" s="206"/>
      <c r="F281" s="169"/>
      <c r="G281" s="207"/>
      <c r="H281" s="208"/>
      <c r="I281" s="169"/>
      <c r="J281" s="170"/>
      <c r="K281" s="171"/>
      <c r="L281" s="171"/>
      <c r="M281" s="171"/>
      <c r="N281" s="209"/>
      <c r="O281" s="172">
        <f t="shared" si="51"/>
        <v>0</v>
      </c>
      <c r="P281" s="166"/>
      <c r="Q281" s="173"/>
      <c r="R281" s="65"/>
      <c r="S281" s="173"/>
      <c r="T281" s="173"/>
      <c r="U281" s="166"/>
      <c r="V281" s="166"/>
      <c r="W281" s="65"/>
      <c r="X281" s="66"/>
      <c r="Y281" s="173"/>
      <c r="Z281" s="166"/>
      <c r="AA281" s="174"/>
      <c r="AB281" s="175"/>
      <c r="AC281" s="175"/>
      <c r="AD281" s="175"/>
      <c r="AE281" s="175"/>
      <c r="AF281" s="175"/>
      <c r="AG281" s="175"/>
      <c r="AH281" s="175"/>
      <c r="AI281" s="176"/>
      <c r="AJ281" s="177"/>
      <c r="AK281" s="178"/>
      <c r="AL281" s="178"/>
      <c r="AM281" s="178"/>
      <c r="AN281" s="178"/>
      <c r="AO281" s="179"/>
      <c r="AP281" s="64"/>
      <c r="AQ281" s="65"/>
      <c r="AR281" s="65"/>
      <c r="AS281" s="65"/>
      <c r="AT281" s="173"/>
      <c r="AU281" s="177"/>
      <c r="AV281" s="178"/>
      <c r="AW281" s="178"/>
      <c r="AX281" s="179"/>
      <c r="AZ281" s="166"/>
      <c r="BA281" s="177"/>
      <c r="BB281" s="178"/>
      <c r="BC281" s="178"/>
      <c r="BD281" s="178"/>
      <c r="BE281" s="178"/>
      <c r="BF281" s="178"/>
      <c r="BG281" s="178"/>
      <c r="BH281" s="178"/>
      <c r="BI281" s="179"/>
      <c r="BJ281" s="180"/>
      <c r="BK281" s="178"/>
      <c r="BL281" s="178"/>
      <c r="BM281" s="178"/>
      <c r="BN281" s="178"/>
      <c r="BO281" s="181"/>
      <c r="BP281" s="166"/>
      <c r="BQ281" s="177"/>
      <c r="BR281" s="178"/>
      <c r="BS281" s="179"/>
      <c r="BU281" s="166"/>
      <c r="BV281" s="166"/>
      <c r="BW281" s="166"/>
      <c r="BX281" s="166"/>
      <c r="BY281" s="166"/>
      <c r="BZ281" s="166"/>
      <c r="CA281" s="166"/>
      <c r="CB281" s="166"/>
      <c r="CC281" s="166"/>
      <c r="CD281" s="177"/>
      <c r="CE281" s="181"/>
      <c r="CF281" s="177"/>
      <c r="CG281" s="181"/>
      <c r="CH281" s="177"/>
      <c r="CI281" s="182"/>
      <c r="CJ281" s="177"/>
      <c r="CK281" s="182"/>
      <c r="CL281" s="177"/>
      <c r="CM281" s="182"/>
      <c r="CN281" s="177"/>
      <c r="CO281" s="182"/>
      <c r="CP281" s="177"/>
      <c r="CQ281" s="178"/>
      <c r="CR281" s="182"/>
      <c r="CS281" s="65"/>
      <c r="CT281" s="64"/>
      <c r="CU281" s="165" t="str">
        <f t="shared" si="2"/>
        <v/>
      </c>
    </row>
    <row r="282" ht="60.0" hidden="1" customHeight="1">
      <c r="A282" s="89"/>
      <c r="B282" s="6"/>
      <c r="C282" s="183"/>
      <c r="D282" s="210"/>
      <c r="E282" s="211"/>
      <c r="F282" s="185"/>
      <c r="G282" s="212"/>
      <c r="H282" s="213"/>
      <c r="I282" s="185"/>
      <c r="J282" s="186"/>
      <c r="K282" s="187"/>
      <c r="L282" s="187"/>
      <c r="M282" s="187"/>
      <c r="N282" s="214"/>
      <c r="O282" s="188">
        <f t="shared" ref="O282:O288" si="52">IF(AND(M282&lt;&gt;0,M282&lt;&gt;"m",M282&lt;&gt;"",RIGHT(K282,3)="Lec"),1,IF(AND(M282&lt;&gt;0,M282&lt;&gt;"m",M282&lt;&gt;"",OR(RIGHT(K282,3)="Lab",RIGHT(K282,3)="Tut")),0.5,IF(AND(M282&lt;&gt;0,M282&lt;&gt;"m",M282&lt;&gt;"",RIGHT(K282,2)="TL"),0.75,0)))</f>
        <v>0</v>
      </c>
      <c r="P282" s="63"/>
      <c r="Q282" s="69"/>
      <c r="R282" s="89"/>
      <c r="S282" s="69"/>
      <c r="T282" s="69"/>
      <c r="U282" s="63"/>
      <c r="V282" s="63"/>
      <c r="W282" s="89"/>
      <c r="X282" s="68"/>
      <c r="Y282" s="69"/>
      <c r="Z282" s="63"/>
      <c r="AA282" s="189"/>
      <c r="AB282" s="190"/>
      <c r="AC282" s="190"/>
      <c r="AD282" s="190"/>
      <c r="AE282" s="190"/>
      <c r="AF282" s="190"/>
      <c r="AG282" s="190"/>
      <c r="AH282" s="190"/>
      <c r="AI282" s="191"/>
      <c r="AJ282" s="192"/>
      <c r="AK282" s="193"/>
      <c r="AL282" s="193"/>
      <c r="AM282" s="193"/>
      <c r="AN282" s="193"/>
      <c r="AO282" s="194"/>
      <c r="AP282" s="103"/>
      <c r="AQ282" s="89"/>
      <c r="AR282" s="89"/>
      <c r="AS282" s="89"/>
      <c r="AT282" s="69"/>
      <c r="AU282" s="192"/>
      <c r="AV282" s="193"/>
      <c r="AW282" s="193"/>
      <c r="AX282" s="194"/>
      <c r="AY282" s="6"/>
      <c r="AZ282" s="63"/>
      <c r="BA282" s="192"/>
      <c r="BB282" s="193"/>
      <c r="BC282" s="193"/>
      <c r="BD282" s="193"/>
      <c r="BE282" s="193"/>
      <c r="BF282" s="193"/>
      <c r="BG282" s="193"/>
      <c r="BH282" s="193"/>
      <c r="BI282" s="194"/>
      <c r="BJ282" s="195"/>
      <c r="BK282" s="193"/>
      <c r="BL282" s="193"/>
      <c r="BM282" s="193"/>
      <c r="BN282" s="193"/>
      <c r="BO282" s="196"/>
      <c r="BP282" s="63"/>
      <c r="BQ282" s="192"/>
      <c r="BR282" s="193"/>
      <c r="BS282" s="194"/>
      <c r="BT282" s="6"/>
      <c r="BU282" s="63"/>
      <c r="BV282" s="63"/>
      <c r="BW282" s="63"/>
      <c r="BX282" s="63"/>
      <c r="BY282" s="63"/>
      <c r="BZ282" s="63"/>
      <c r="CA282" s="63"/>
      <c r="CB282" s="63"/>
      <c r="CC282" s="63"/>
      <c r="CD282" s="192"/>
      <c r="CE282" s="196"/>
      <c r="CF282" s="192"/>
      <c r="CG282" s="196"/>
      <c r="CH282" s="192"/>
      <c r="CI282" s="197"/>
      <c r="CJ282" s="192"/>
      <c r="CK282" s="197"/>
      <c r="CL282" s="192"/>
      <c r="CM282" s="197"/>
      <c r="CN282" s="192"/>
      <c r="CO282" s="197"/>
      <c r="CP282" s="192"/>
      <c r="CQ282" s="193"/>
      <c r="CR282" s="197"/>
      <c r="CS282" s="89"/>
      <c r="CT282" s="103"/>
      <c r="CU282" s="165" t="str">
        <f t="shared" si="2"/>
        <v/>
      </c>
    </row>
    <row r="283" ht="56.25" hidden="1" customHeight="1">
      <c r="A283" s="125">
        <v>26.0</v>
      </c>
      <c r="B283" s="199"/>
      <c r="C283" s="127"/>
      <c r="D283" s="128"/>
      <c r="E283" s="215"/>
      <c r="F283" s="216"/>
      <c r="G283" s="217"/>
      <c r="H283" s="218"/>
      <c r="I283" s="216"/>
      <c r="J283" s="170"/>
      <c r="K283" s="219"/>
      <c r="L283" s="219"/>
      <c r="M283" s="219"/>
      <c r="N283" s="220"/>
      <c r="O283" s="132">
        <f t="shared" si="52"/>
        <v>0</v>
      </c>
      <c r="P283" s="133">
        <f>COUNTIF(K283:K293,"TL")*0.75+COUNTIF(K283:K293,"Lec")*1+COUNTIF(K283:K293,"Lab")*0.5</f>
        <v>0</v>
      </c>
      <c r="Q283" s="134">
        <f>SUM((IF(LEFT(K283,1)="E",O283,0)),(IF(LEFT(K284,1)="E",O284,0)),(IF(LEFT(K285,1)="E",O285,0)),(IF(LEFT(K286,1)="E",O286,0)),(IF(LEFT(K287,1)="E",O287,0)),(IF(LEFT(K288,1)="E",O288,0)),(IF(LEFT(K289,1)="E",O289,0)),(IF(LEFT(K290,1)="E",O290,0)),(IF(LEFT(K291,1)="E",O291,0)),(IF(LEFT(K292,1)="E",O292,0)),(IF(LEFT(K293,1)="E",O293,0)))</f>
        <v>0</v>
      </c>
      <c r="R283" s="135">
        <f>SUM(IF(M289&lt;20,IF(K289="Plec",-1,IF(K289="PTL",-0.75,IF(K289="Plab",-0.5,0))),0),IF(M290&lt;20,IF(K290="Plec",-1,IF(K290="PTL",-0.75,IF(K290="Plab",-0.5,0))),0),IF(M291&lt;20,IF(K291="Plec",-1,IF(K291="PTL",-0.75,IF(K291="Plab",-0.5,0))),0),IF(M292&lt;20,IF(K292="Plec",-1,IF(K292="PTL",-0.75,IF(K292="Plab",-0.5,0))),0))</f>
        <v>0</v>
      </c>
      <c r="S283" s="134">
        <f>SUM(P283:R293)</f>
        <v>0</v>
      </c>
      <c r="T283" s="136">
        <f>SUM(IF(M283="M",IF(OR(K283="lec",K283="plec",K283="slec"),1,IF(OR(K283="lab",K283="plab",K283="slab",K283="tut",K283="ptut",K283="stut"),0.5,IF(OR(K283="TL",K283="pTL",K283="STL"),0.75,0))),0),IF(M284="M",IF(OR(K284="lec",K284="plec",K284="slec"),1,IF(OR(K284="lab",K284="plab",K284="slab",K284="tut",K284="ptut",K284="stut"),0.5,IF(OR(K284="TL",K284="pTL",K284="STL"),0.75,0))),0),IF(M285="M",IF(OR(K285="lec",K285="plec",K285="slec"),1,IF(OR(K285="lab",K285="plab",K285="slab",K285="tut",K285="ptut",K285="stut"),0.5,IF(OR(K285="TL",K285="pTL",K285="STL"),0.75,0))),0),IF(M286="M",IF(OR(K286="lec",K286="plec",K286="slec"),1,IF(OR(K286="lab",K286="plab",K286="slab",K286="tut",K286="ptut",K286="stut"),0.5,IF(OR(K286="TL",K286="pTL",K286="STL"),0.75,0))),0),IF(M287="M",IF(OR(K287="lec",K287="plec",K287="slec"),1,IF(OR(K287="lab",K287="plab",K287="slab",K287="tut",K287="ptut",K287="stut"),0.5,IF(OR(K287="TL",K287="pTL",K287="STL"),0.75,0))),0),IF(M288="M",IF(OR(K288="lec",K288="plec",K288="slec"),1,IF(OR(K288="lab",K288="plab",K288="slab",K288="tut",K288="ptut",K288="stut"),0.5,IF(OR(K288="TL",K288="pTL",K288="STL"),0.75,0))),0),IF(M289="M",IF(OR(K289="lec",K289="plec",K289="slec"),1,IF(OR(K289="lab",K289="plab",K289="slab",K289="tut",K289="ptut",K289="stut"),0.5,IF(OR(K289="TL",K289="pTL",K289="STL"),0.75,0))),0),IF(M290="M",IF(OR(K290="lec",K290="plec",K290="slec"),1,IF(OR(K290="lab",K290="plab",K290="slab",K290="tut",K290="ptut",K290="stut"),0.5,IF(OR(K290="TL",K290="pTL",K290="STL"),0.75,0))),0),IF(M291="M",IF(OR(K291="lec",K291="plec",K291="slec"),1,IF(OR(K291="lab",K291="plab",K291="slab",K291="tut",K291="ptut",K291="stut"),0.5,IF(OR(K291="TL",K291="pTL",K291="STL"),0.75,0))),0),IF(M292="M",IF(OR(K292="lec",K292="plec",K292="slec"),1,IF(OR(K292="lab",K292="plab",K292="slab",K292="tut",K292="ptut",K292="stut"),0.5,IF(OR(K292="TL",K292="pTL",K292="STL"),0.75,0))),0),IF(M293="M",IF(OR(K293="lec",K293="plec",K293="slec"),1,IF(OR(K293="lab",K293="plab",K293="slab",K293="tut",K293="ptut",K293="stut"),0.5,IF(OR(K293="TL",K293="pTL",K293="STL"),0.75,0))),0))</f>
        <v>0</v>
      </c>
      <c r="U283" s="137"/>
      <c r="V283" s="133"/>
      <c r="W283" s="138"/>
      <c r="X283" s="139">
        <f>S283-(T283+U283+V283+W283)</f>
        <v>0</v>
      </c>
      <c r="Y283" s="134" t="str">
        <f>CONCATENATE(SUM(O283:O293),"(",SUM(O283:O293)-X283,")")</f>
        <v>0(0)</v>
      </c>
      <c r="Z283" s="140"/>
      <c r="AA283" s="141"/>
      <c r="AB283" s="142"/>
      <c r="AC283" s="142"/>
      <c r="AD283" s="142"/>
      <c r="AE283" s="142"/>
      <c r="AF283" s="142"/>
      <c r="AG283" s="142"/>
      <c r="AH283" s="142"/>
      <c r="AI283" s="143"/>
      <c r="AJ283" s="144"/>
      <c r="AK283" s="145"/>
      <c r="AL283" s="145"/>
      <c r="AM283" s="145"/>
      <c r="AN283" s="145"/>
      <c r="AO283" s="146"/>
      <c r="AP283" s="147">
        <f>SUM(SUM(O283:O293),SUM(AI283:AI293)/2,AM283)</f>
        <v>0</v>
      </c>
      <c r="AQ283" s="148"/>
      <c r="AR283" s="148">
        <f>AP283*AQ283</f>
        <v>0</v>
      </c>
      <c r="AS283" s="148">
        <f>CT283</f>
        <v>0</v>
      </c>
      <c r="AT283" s="149">
        <f>AR283*0.75+AS283*0.25</f>
        <v>0</v>
      </c>
      <c r="AU283" s="150"/>
      <c r="AV283" s="151"/>
      <c r="AW283" s="151"/>
      <c r="AX283" s="152"/>
      <c r="AY283" s="153"/>
      <c r="AZ283" s="140"/>
      <c r="BA283" s="150"/>
      <c r="BB283" s="151"/>
      <c r="BC283" s="151"/>
      <c r="BD283" s="151"/>
      <c r="BE283" s="151"/>
      <c r="BF283" s="151"/>
      <c r="BG283" s="151"/>
      <c r="BH283" s="151"/>
      <c r="BI283" s="152"/>
      <c r="BJ283" s="154"/>
      <c r="BK283" s="151"/>
      <c r="BL283" s="151"/>
      <c r="BM283" s="151"/>
      <c r="BN283" s="151"/>
      <c r="BO283" s="155"/>
      <c r="BP283" s="140"/>
      <c r="BQ283" s="156"/>
      <c r="BR283" s="157"/>
      <c r="BS283" s="158"/>
      <c r="BT283" s="153"/>
      <c r="BU283" s="140"/>
      <c r="BV283" s="140"/>
      <c r="BW283" s="140"/>
      <c r="BX283" s="140"/>
      <c r="BY283" s="140"/>
      <c r="BZ283" s="140"/>
      <c r="CA283" s="140"/>
      <c r="CB283" s="140"/>
      <c r="CC283" s="140"/>
      <c r="CD283" s="150"/>
      <c r="CE283" s="155"/>
      <c r="CF283" s="150"/>
      <c r="CG283" s="155"/>
      <c r="CH283" s="159"/>
      <c r="CI283" s="160"/>
      <c r="CJ283" s="159"/>
      <c r="CK283" s="160"/>
      <c r="CL283" s="159"/>
      <c r="CM283" s="160"/>
      <c r="CN283" s="159"/>
      <c r="CO283" s="160"/>
      <c r="CP283" s="159"/>
      <c r="CQ283" s="162"/>
      <c r="CR283" s="160"/>
      <c r="CS283" s="163">
        <f>SUM(IF(AU283&lt;0,ABS(AU283),0),IF(AZ283&lt;0,ABS(AZ283),0),ABS(CI283),ABS(CK283),ABS(CM283),ABS(CO283),ABS(CQ283),ABS(CR283))</f>
        <v>0</v>
      </c>
      <c r="CT283" s="164">
        <f>SUM(AU283,AV283,AW283,AX283/400,AY283,AZ283,BG283,BH283*0.5,BI283*0.25,BJ283,BK283,BL283,BM283,BN283,BO283,BP283,BR283/20,BS283/100,BT283/60,BU283,BV283,BW283,BX283/5,SUM(BY283:CC293)/3,CE283,CG283/3,CI283,CK283,CM283,CO283,CQ283,CR283)</f>
        <v>0</v>
      </c>
      <c r="CU283" s="165" t="str">
        <f t="shared" si="2"/>
        <v/>
      </c>
    </row>
    <row r="284" ht="60.0" hidden="1" customHeight="1">
      <c r="A284" s="65"/>
      <c r="C284" s="167"/>
      <c r="D284" s="205"/>
      <c r="E284" s="206"/>
      <c r="F284" s="169"/>
      <c r="G284" s="207"/>
      <c r="H284" s="208"/>
      <c r="I284" s="169"/>
      <c r="J284" s="170"/>
      <c r="K284" s="171"/>
      <c r="L284" s="171"/>
      <c r="M284" s="171"/>
      <c r="N284" s="209"/>
      <c r="O284" s="172">
        <f t="shared" si="52"/>
        <v>0</v>
      </c>
      <c r="P284" s="166"/>
      <c r="Q284" s="173"/>
      <c r="R284" s="65"/>
      <c r="S284" s="173"/>
      <c r="T284" s="173"/>
      <c r="U284" s="166"/>
      <c r="V284" s="166"/>
      <c r="W284" s="65"/>
      <c r="X284" s="66"/>
      <c r="Y284" s="173"/>
      <c r="Z284" s="166"/>
      <c r="AA284" s="174"/>
      <c r="AB284" s="175"/>
      <c r="AC284" s="175"/>
      <c r="AD284" s="175"/>
      <c r="AE284" s="175"/>
      <c r="AF284" s="175"/>
      <c r="AG284" s="175"/>
      <c r="AH284" s="175"/>
      <c r="AI284" s="176"/>
      <c r="AJ284" s="177"/>
      <c r="AK284" s="178"/>
      <c r="AL284" s="178"/>
      <c r="AM284" s="178"/>
      <c r="AN284" s="178"/>
      <c r="AO284" s="179"/>
      <c r="AP284" s="64"/>
      <c r="AQ284" s="65"/>
      <c r="AR284" s="65"/>
      <c r="AS284" s="65"/>
      <c r="AT284" s="173"/>
      <c r="AU284" s="177"/>
      <c r="AV284" s="178"/>
      <c r="AW284" s="178"/>
      <c r="AX284" s="179"/>
      <c r="AZ284" s="166"/>
      <c r="BA284" s="177"/>
      <c r="BB284" s="178"/>
      <c r="BC284" s="178"/>
      <c r="BD284" s="178"/>
      <c r="BE284" s="178"/>
      <c r="BF284" s="178"/>
      <c r="BG284" s="178"/>
      <c r="BH284" s="178"/>
      <c r="BI284" s="179"/>
      <c r="BJ284" s="180"/>
      <c r="BK284" s="178"/>
      <c r="BL284" s="178"/>
      <c r="BM284" s="178"/>
      <c r="BN284" s="178"/>
      <c r="BO284" s="181"/>
      <c r="BP284" s="166"/>
      <c r="BQ284" s="177"/>
      <c r="BR284" s="178"/>
      <c r="BS284" s="179"/>
      <c r="BU284" s="166"/>
      <c r="BV284" s="166"/>
      <c r="BW284" s="166"/>
      <c r="BX284" s="166"/>
      <c r="BY284" s="166"/>
      <c r="BZ284" s="166"/>
      <c r="CA284" s="166"/>
      <c r="CB284" s="166"/>
      <c r="CC284" s="166"/>
      <c r="CD284" s="177"/>
      <c r="CE284" s="181"/>
      <c r="CF284" s="177"/>
      <c r="CG284" s="181"/>
      <c r="CH284" s="177"/>
      <c r="CI284" s="182"/>
      <c r="CJ284" s="177"/>
      <c r="CK284" s="182"/>
      <c r="CL284" s="177"/>
      <c r="CM284" s="182"/>
      <c r="CN284" s="177"/>
      <c r="CO284" s="182"/>
      <c r="CP284" s="177"/>
      <c r="CQ284" s="178"/>
      <c r="CR284" s="182"/>
      <c r="CS284" s="65"/>
      <c r="CT284" s="64"/>
      <c r="CU284" s="165" t="str">
        <f t="shared" si="2"/>
        <v/>
      </c>
    </row>
    <row r="285" ht="60.0" hidden="1" customHeight="1">
      <c r="A285" s="65"/>
      <c r="C285" s="167"/>
      <c r="D285" s="205"/>
      <c r="E285" s="206"/>
      <c r="F285" s="169"/>
      <c r="G285" s="207"/>
      <c r="H285" s="208"/>
      <c r="I285" s="169"/>
      <c r="J285" s="170"/>
      <c r="K285" s="171"/>
      <c r="L285" s="171"/>
      <c r="M285" s="171"/>
      <c r="N285" s="209"/>
      <c r="O285" s="172">
        <f t="shared" si="52"/>
        <v>0</v>
      </c>
      <c r="P285" s="166"/>
      <c r="Q285" s="173"/>
      <c r="R285" s="65"/>
      <c r="S285" s="173"/>
      <c r="T285" s="173"/>
      <c r="U285" s="166"/>
      <c r="V285" s="166"/>
      <c r="W285" s="65"/>
      <c r="X285" s="66"/>
      <c r="Y285" s="173"/>
      <c r="Z285" s="166"/>
      <c r="AA285" s="174"/>
      <c r="AB285" s="175"/>
      <c r="AC285" s="175"/>
      <c r="AD285" s="175"/>
      <c r="AE285" s="175"/>
      <c r="AF285" s="175"/>
      <c r="AG285" s="175"/>
      <c r="AH285" s="175"/>
      <c r="AI285" s="176"/>
      <c r="AJ285" s="177"/>
      <c r="AK285" s="178"/>
      <c r="AL285" s="178"/>
      <c r="AM285" s="178"/>
      <c r="AN285" s="178"/>
      <c r="AO285" s="179"/>
      <c r="AP285" s="64"/>
      <c r="AQ285" s="65"/>
      <c r="AR285" s="65"/>
      <c r="AS285" s="65"/>
      <c r="AT285" s="173"/>
      <c r="AU285" s="177"/>
      <c r="AV285" s="178"/>
      <c r="AW285" s="178"/>
      <c r="AX285" s="179"/>
      <c r="AZ285" s="166"/>
      <c r="BA285" s="177"/>
      <c r="BB285" s="178"/>
      <c r="BC285" s="178"/>
      <c r="BD285" s="178"/>
      <c r="BE285" s="178"/>
      <c r="BF285" s="178"/>
      <c r="BG285" s="178"/>
      <c r="BH285" s="178"/>
      <c r="BI285" s="179"/>
      <c r="BJ285" s="180"/>
      <c r="BK285" s="178"/>
      <c r="BL285" s="178"/>
      <c r="BM285" s="178"/>
      <c r="BN285" s="178"/>
      <c r="BO285" s="181"/>
      <c r="BP285" s="166"/>
      <c r="BQ285" s="177"/>
      <c r="BR285" s="178"/>
      <c r="BS285" s="179"/>
      <c r="BU285" s="166"/>
      <c r="BV285" s="166"/>
      <c r="BW285" s="166"/>
      <c r="BX285" s="166"/>
      <c r="BY285" s="166"/>
      <c r="BZ285" s="166"/>
      <c r="CA285" s="166"/>
      <c r="CB285" s="166"/>
      <c r="CC285" s="166"/>
      <c r="CD285" s="177"/>
      <c r="CE285" s="181"/>
      <c r="CF285" s="177"/>
      <c r="CG285" s="181"/>
      <c r="CH285" s="177"/>
      <c r="CI285" s="182"/>
      <c r="CJ285" s="177"/>
      <c r="CK285" s="182"/>
      <c r="CL285" s="177"/>
      <c r="CM285" s="182"/>
      <c r="CN285" s="177"/>
      <c r="CO285" s="182"/>
      <c r="CP285" s="177"/>
      <c r="CQ285" s="178"/>
      <c r="CR285" s="182"/>
      <c r="CS285" s="65"/>
      <c r="CT285" s="64"/>
      <c r="CU285" s="165" t="str">
        <f t="shared" si="2"/>
        <v/>
      </c>
    </row>
    <row r="286" ht="60.0" hidden="1" customHeight="1">
      <c r="A286" s="65"/>
      <c r="C286" s="167"/>
      <c r="D286" s="205"/>
      <c r="E286" s="206"/>
      <c r="F286" s="169"/>
      <c r="G286" s="207"/>
      <c r="H286" s="208"/>
      <c r="I286" s="169"/>
      <c r="J286" s="170"/>
      <c r="K286" s="171"/>
      <c r="L286" s="171"/>
      <c r="M286" s="171"/>
      <c r="N286" s="209"/>
      <c r="O286" s="172">
        <f t="shared" si="52"/>
        <v>0</v>
      </c>
      <c r="P286" s="166"/>
      <c r="Q286" s="173"/>
      <c r="R286" s="65"/>
      <c r="S286" s="173"/>
      <c r="T286" s="173"/>
      <c r="U286" s="166"/>
      <c r="V286" s="166"/>
      <c r="W286" s="65"/>
      <c r="X286" s="66"/>
      <c r="Y286" s="173"/>
      <c r="Z286" s="166"/>
      <c r="AA286" s="174"/>
      <c r="AB286" s="175"/>
      <c r="AC286" s="175"/>
      <c r="AD286" s="175"/>
      <c r="AE286" s="175"/>
      <c r="AF286" s="175"/>
      <c r="AG286" s="175"/>
      <c r="AH286" s="175"/>
      <c r="AI286" s="176"/>
      <c r="AJ286" s="177"/>
      <c r="AK286" s="178"/>
      <c r="AL286" s="178"/>
      <c r="AM286" s="178"/>
      <c r="AN286" s="178"/>
      <c r="AO286" s="179"/>
      <c r="AP286" s="64"/>
      <c r="AQ286" s="65"/>
      <c r="AR286" s="65"/>
      <c r="AS286" s="65"/>
      <c r="AT286" s="173"/>
      <c r="AU286" s="177"/>
      <c r="AV286" s="178"/>
      <c r="AW286" s="178"/>
      <c r="AX286" s="179"/>
      <c r="AZ286" s="166"/>
      <c r="BA286" s="177"/>
      <c r="BB286" s="178"/>
      <c r="BC286" s="178"/>
      <c r="BD286" s="178"/>
      <c r="BE286" s="178"/>
      <c r="BF286" s="178"/>
      <c r="BG286" s="178"/>
      <c r="BH286" s="178"/>
      <c r="BI286" s="179"/>
      <c r="BJ286" s="180"/>
      <c r="BK286" s="178"/>
      <c r="BL286" s="178"/>
      <c r="BM286" s="178"/>
      <c r="BN286" s="178"/>
      <c r="BO286" s="181"/>
      <c r="BP286" s="166"/>
      <c r="BQ286" s="177"/>
      <c r="BR286" s="178"/>
      <c r="BS286" s="179"/>
      <c r="BU286" s="166"/>
      <c r="BV286" s="166"/>
      <c r="BW286" s="166"/>
      <c r="BX286" s="166"/>
      <c r="BY286" s="166"/>
      <c r="BZ286" s="166"/>
      <c r="CA286" s="166"/>
      <c r="CB286" s="166"/>
      <c r="CC286" s="166"/>
      <c r="CD286" s="177"/>
      <c r="CE286" s="181"/>
      <c r="CF286" s="177"/>
      <c r="CG286" s="181"/>
      <c r="CH286" s="177"/>
      <c r="CI286" s="182"/>
      <c r="CJ286" s="177"/>
      <c r="CK286" s="182"/>
      <c r="CL286" s="177"/>
      <c r="CM286" s="182"/>
      <c r="CN286" s="177"/>
      <c r="CO286" s="182"/>
      <c r="CP286" s="177"/>
      <c r="CQ286" s="178"/>
      <c r="CR286" s="182"/>
      <c r="CS286" s="65"/>
      <c r="CT286" s="64"/>
      <c r="CU286" s="165" t="str">
        <f t="shared" si="2"/>
        <v/>
      </c>
    </row>
    <row r="287" ht="60.0" hidden="1" customHeight="1">
      <c r="A287" s="65"/>
      <c r="C287" s="167"/>
      <c r="D287" s="205"/>
      <c r="E287" s="206"/>
      <c r="F287" s="169"/>
      <c r="G287" s="207"/>
      <c r="H287" s="208"/>
      <c r="I287" s="169"/>
      <c r="J287" s="170"/>
      <c r="K287" s="171"/>
      <c r="L287" s="171"/>
      <c r="M287" s="171"/>
      <c r="N287" s="209"/>
      <c r="O287" s="172">
        <f t="shared" si="52"/>
        <v>0</v>
      </c>
      <c r="P287" s="166"/>
      <c r="Q287" s="173"/>
      <c r="R287" s="65"/>
      <c r="S287" s="173"/>
      <c r="T287" s="173"/>
      <c r="U287" s="166"/>
      <c r="V287" s="166"/>
      <c r="W287" s="65"/>
      <c r="X287" s="66"/>
      <c r="Y287" s="173"/>
      <c r="Z287" s="166"/>
      <c r="AA287" s="174"/>
      <c r="AB287" s="175"/>
      <c r="AC287" s="175"/>
      <c r="AD287" s="175"/>
      <c r="AE287" s="175"/>
      <c r="AF287" s="175"/>
      <c r="AG287" s="175"/>
      <c r="AH287" s="175"/>
      <c r="AI287" s="176"/>
      <c r="AJ287" s="177"/>
      <c r="AK287" s="178"/>
      <c r="AL287" s="178"/>
      <c r="AM287" s="178"/>
      <c r="AN287" s="178"/>
      <c r="AO287" s="179"/>
      <c r="AP287" s="64"/>
      <c r="AQ287" s="65"/>
      <c r="AR287" s="65"/>
      <c r="AS287" s="65"/>
      <c r="AT287" s="173"/>
      <c r="AU287" s="177"/>
      <c r="AV287" s="178"/>
      <c r="AW287" s="178"/>
      <c r="AX287" s="179"/>
      <c r="AZ287" s="166"/>
      <c r="BA287" s="177"/>
      <c r="BB287" s="178"/>
      <c r="BC287" s="178"/>
      <c r="BD287" s="178"/>
      <c r="BE287" s="178"/>
      <c r="BF287" s="178"/>
      <c r="BG287" s="178"/>
      <c r="BH287" s="178"/>
      <c r="BI287" s="179"/>
      <c r="BJ287" s="180"/>
      <c r="BK287" s="178"/>
      <c r="BL287" s="178"/>
      <c r="BM287" s="178"/>
      <c r="BN287" s="178"/>
      <c r="BO287" s="181"/>
      <c r="BP287" s="166"/>
      <c r="BQ287" s="177"/>
      <c r="BR287" s="178"/>
      <c r="BS287" s="179"/>
      <c r="BU287" s="166"/>
      <c r="BV287" s="166"/>
      <c r="BW287" s="166"/>
      <c r="BX287" s="166"/>
      <c r="BY287" s="166"/>
      <c r="BZ287" s="166"/>
      <c r="CA287" s="166"/>
      <c r="CB287" s="166"/>
      <c r="CC287" s="166"/>
      <c r="CD287" s="177"/>
      <c r="CE287" s="181"/>
      <c r="CF287" s="177"/>
      <c r="CG287" s="181"/>
      <c r="CH287" s="177"/>
      <c r="CI287" s="182"/>
      <c r="CJ287" s="177"/>
      <c r="CK287" s="182"/>
      <c r="CL287" s="177"/>
      <c r="CM287" s="182"/>
      <c r="CN287" s="177"/>
      <c r="CO287" s="182"/>
      <c r="CP287" s="177"/>
      <c r="CQ287" s="178"/>
      <c r="CR287" s="182"/>
      <c r="CS287" s="65"/>
      <c r="CT287" s="64"/>
      <c r="CU287" s="165" t="str">
        <f t="shared" si="2"/>
        <v/>
      </c>
    </row>
    <row r="288" ht="60.0" hidden="1" customHeight="1">
      <c r="A288" s="65"/>
      <c r="C288" s="167"/>
      <c r="D288" s="205"/>
      <c r="E288" s="206"/>
      <c r="F288" s="169"/>
      <c r="G288" s="207"/>
      <c r="H288" s="208"/>
      <c r="I288" s="169"/>
      <c r="J288" s="170"/>
      <c r="K288" s="171"/>
      <c r="L288" s="171"/>
      <c r="M288" s="171"/>
      <c r="N288" s="209"/>
      <c r="O288" s="172">
        <f t="shared" si="52"/>
        <v>0</v>
      </c>
      <c r="P288" s="166"/>
      <c r="Q288" s="173"/>
      <c r="R288" s="65"/>
      <c r="S288" s="173"/>
      <c r="T288" s="173"/>
      <c r="U288" s="166"/>
      <c r="V288" s="166"/>
      <c r="W288" s="65"/>
      <c r="X288" s="66"/>
      <c r="Y288" s="173"/>
      <c r="Z288" s="166"/>
      <c r="AA288" s="174"/>
      <c r="AB288" s="175"/>
      <c r="AC288" s="175"/>
      <c r="AD288" s="175"/>
      <c r="AE288" s="175"/>
      <c r="AF288" s="175"/>
      <c r="AG288" s="175"/>
      <c r="AH288" s="175"/>
      <c r="AI288" s="176"/>
      <c r="AJ288" s="177"/>
      <c r="AK288" s="178"/>
      <c r="AL288" s="178"/>
      <c r="AM288" s="178"/>
      <c r="AN288" s="178"/>
      <c r="AO288" s="179"/>
      <c r="AP288" s="64"/>
      <c r="AQ288" s="65"/>
      <c r="AR288" s="65"/>
      <c r="AS288" s="65"/>
      <c r="AT288" s="173"/>
      <c r="AU288" s="177"/>
      <c r="AV288" s="178"/>
      <c r="AW288" s="178"/>
      <c r="AX288" s="179"/>
      <c r="AZ288" s="166"/>
      <c r="BA288" s="177"/>
      <c r="BB288" s="178"/>
      <c r="BC288" s="178"/>
      <c r="BD288" s="178"/>
      <c r="BE288" s="178"/>
      <c r="BF288" s="178"/>
      <c r="BG288" s="178"/>
      <c r="BH288" s="178"/>
      <c r="BI288" s="179"/>
      <c r="BJ288" s="180"/>
      <c r="BK288" s="178"/>
      <c r="BL288" s="178"/>
      <c r="BM288" s="178"/>
      <c r="BN288" s="178"/>
      <c r="BO288" s="181"/>
      <c r="BP288" s="166"/>
      <c r="BQ288" s="177"/>
      <c r="BR288" s="178"/>
      <c r="BS288" s="179"/>
      <c r="BU288" s="166"/>
      <c r="BV288" s="166"/>
      <c r="BW288" s="166"/>
      <c r="BX288" s="166"/>
      <c r="BY288" s="166"/>
      <c r="BZ288" s="166"/>
      <c r="CA288" s="166"/>
      <c r="CB288" s="166"/>
      <c r="CC288" s="166"/>
      <c r="CD288" s="177"/>
      <c r="CE288" s="181"/>
      <c r="CF288" s="177"/>
      <c r="CG288" s="181"/>
      <c r="CH288" s="177"/>
      <c r="CI288" s="182"/>
      <c r="CJ288" s="177"/>
      <c r="CK288" s="182"/>
      <c r="CL288" s="177"/>
      <c r="CM288" s="182"/>
      <c r="CN288" s="177"/>
      <c r="CO288" s="182"/>
      <c r="CP288" s="177"/>
      <c r="CQ288" s="178"/>
      <c r="CR288" s="182"/>
      <c r="CS288" s="65"/>
      <c r="CT288" s="64"/>
      <c r="CU288" s="165" t="str">
        <f t="shared" si="2"/>
        <v/>
      </c>
    </row>
    <row r="289" ht="60.0" hidden="1" customHeight="1">
      <c r="A289" s="65"/>
      <c r="C289" s="167"/>
      <c r="D289" s="205"/>
      <c r="E289" s="206"/>
      <c r="F289" s="169"/>
      <c r="G289" s="207"/>
      <c r="H289" s="208"/>
      <c r="I289" s="169"/>
      <c r="J289" s="170"/>
      <c r="K289" s="171"/>
      <c r="L289" s="171"/>
      <c r="M289" s="171"/>
      <c r="N289" s="209"/>
      <c r="O289" s="172">
        <f t="shared" ref="O289:O292" si="53">IF(AND(M289&gt;=20,M289&lt;&gt;"m",RIGHT(K289,3)="Lec"),1,IF(AND(M289&gt;=20,M289&lt;&gt;"m",OR(RIGHT(K289,3)="Lab",RIGHT(K289,3)="Tut")),0.5,IF(AND(M289&gt;=20,M289&lt;&gt;"m",RIGHT(K289,2)="TL"),0.75,0)))</f>
        <v>0</v>
      </c>
      <c r="P289" s="166"/>
      <c r="Q289" s="173"/>
      <c r="R289" s="65"/>
      <c r="S289" s="173"/>
      <c r="T289" s="173"/>
      <c r="U289" s="166"/>
      <c r="V289" s="166"/>
      <c r="W289" s="65"/>
      <c r="X289" s="66"/>
      <c r="Y289" s="173"/>
      <c r="Z289" s="166"/>
      <c r="AA289" s="174"/>
      <c r="AB289" s="175"/>
      <c r="AC289" s="175"/>
      <c r="AD289" s="175"/>
      <c r="AE289" s="175"/>
      <c r="AF289" s="175"/>
      <c r="AG289" s="175"/>
      <c r="AH289" s="175"/>
      <c r="AI289" s="176"/>
      <c r="AJ289" s="177"/>
      <c r="AK289" s="178"/>
      <c r="AL289" s="178"/>
      <c r="AM289" s="178"/>
      <c r="AN289" s="178"/>
      <c r="AO289" s="179"/>
      <c r="AP289" s="64"/>
      <c r="AQ289" s="65"/>
      <c r="AR289" s="65"/>
      <c r="AS289" s="65"/>
      <c r="AT289" s="173"/>
      <c r="AU289" s="177"/>
      <c r="AV289" s="178"/>
      <c r="AW289" s="178"/>
      <c r="AX289" s="179"/>
      <c r="AZ289" s="166"/>
      <c r="BA289" s="177"/>
      <c r="BB289" s="178"/>
      <c r="BC289" s="178"/>
      <c r="BD289" s="178"/>
      <c r="BE289" s="178"/>
      <c r="BF289" s="178"/>
      <c r="BG289" s="178"/>
      <c r="BH289" s="178"/>
      <c r="BI289" s="179"/>
      <c r="BJ289" s="180"/>
      <c r="BK289" s="178"/>
      <c r="BL289" s="178"/>
      <c r="BM289" s="178"/>
      <c r="BN289" s="178"/>
      <c r="BO289" s="181"/>
      <c r="BP289" s="166"/>
      <c r="BQ289" s="177"/>
      <c r="BR289" s="178"/>
      <c r="BS289" s="179"/>
      <c r="BU289" s="166"/>
      <c r="BV289" s="166"/>
      <c r="BW289" s="166"/>
      <c r="BX289" s="166"/>
      <c r="BY289" s="166"/>
      <c r="BZ289" s="166"/>
      <c r="CA289" s="166"/>
      <c r="CB289" s="166"/>
      <c r="CC289" s="166"/>
      <c r="CD289" s="177"/>
      <c r="CE289" s="181"/>
      <c r="CF289" s="177"/>
      <c r="CG289" s="181"/>
      <c r="CH289" s="177"/>
      <c r="CI289" s="182"/>
      <c r="CJ289" s="177"/>
      <c r="CK289" s="182"/>
      <c r="CL289" s="177"/>
      <c r="CM289" s="182"/>
      <c r="CN289" s="177"/>
      <c r="CO289" s="182"/>
      <c r="CP289" s="177"/>
      <c r="CQ289" s="178"/>
      <c r="CR289" s="182"/>
      <c r="CS289" s="65"/>
      <c r="CT289" s="64"/>
      <c r="CU289" s="165" t="str">
        <f t="shared" si="2"/>
        <v/>
      </c>
    </row>
    <row r="290" ht="60.0" hidden="1" customHeight="1">
      <c r="A290" s="65"/>
      <c r="C290" s="167"/>
      <c r="D290" s="205"/>
      <c r="E290" s="206"/>
      <c r="F290" s="169"/>
      <c r="G290" s="207"/>
      <c r="H290" s="208"/>
      <c r="I290" s="169"/>
      <c r="J290" s="170"/>
      <c r="K290" s="171"/>
      <c r="L290" s="171"/>
      <c r="M290" s="171"/>
      <c r="N290" s="209"/>
      <c r="O290" s="172">
        <f t="shared" si="53"/>
        <v>0</v>
      </c>
      <c r="P290" s="166"/>
      <c r="Q290" s="173"/>
      <c r="R290" s="65"/>
      <c r="S290" s="173"/>
      <c r="T290" s="173"/>
      <c r="U290" s="166"/>
      <c r="V290" s="166"/>
      <c r="W290" s="65"/>
      <c r="X290" s="66"/>
      <c r="Y290" s="173"/>
      <c r="Z290" s="166"/>
      <c r="AA290" s="174"/>
      <c r="AB290" s="175"/>
      <c r="AC290" s="175"/>
      <c r="AD290" s="175"/>
      <c r="AE290" s="175"/>
      <c r="AF290" s="175"/>
      <c r="AG290" s="175"/>
      <c r="AH290" s="175"/>
      <c r="AI290" s="176"/>
      <c r="AJ290" s="177"/>
      <c r="AK290" s="178"/>
      <c r="AL290" s="178"/>
      <c r="AM290" s="178"/>
      <c r="AN290" s="178"/>
      <c r="AO290" s="179"/>
      <c r="AP290" s="64"/>
      <c r="AQ290" s="65"/>
      <c r="AR290" s="65"/>
      <c r="AS290" s="65"/>
      <c r="AT290" s="173"/>
      <c r="AU290" s="177"/>
      <c r="AV290" s="178"/>
      <c r="AW290" s="178"/>
      <c r="AX290" s="179"/>
      <c r="AZ290" s="166"/>
      <c r="BA290" s="177"/>
      <c r="BB290" s="178"/>
      <c r="BC290" s="178"/>
      <c r="BD290" s="178"/>
      <c r="BE290" s="178"/>
      <c r="BF290" s="178"/>
      <c r="BG290" s="178"/>
      <c r="BH290" s="178"/>
      <c r="BI290" s="179"/>
      <c r="BJ290" s="180"/>
      <c r="BK290" s="178"/>
      <c r="BL290" s="178"/>
      <c r="BM290" s="178"/>
      <c r="BN290" s="178"/>
      <c r="BO290" s="181"/>
      <c r="BP290" s="166"/>
      <c r="BQ290" s="177"/>
      <c r="BR290" s="178"/>
      <c r="BS290" s="179"/>
      <c r="BU290" s="166"/>
      <c r="BV290" s="166"/>
      <c r="BW290" s="166"/>
      <c r="BX290" s="166"/>
      <c r="BY290" s="166"/>
      <c r="BZ290" s="166"/>
      <c r="CA290" s="166"/>
      <c r="CB290" s="166"/>
      <c r="CC290" s="166"/>
      <c r="CD290" s="177"/>
      <c r="CE290" s="181"/>
      <c r="CF290" s="177"/>
      <c r="CG290" s="181"/>
      <c r="CH290" s="177"/>
      <c r="CI290" s="182"/>
      <c r="CJ290" s="177"/>
      <c r="CK290" s="182"/>
      <c r="CL290" s="177"/>
      <c r="CM290" s="182"/>
      <c r="CN290" s="177"/>
      <c r="CO290" s="182"/>
      <c r="CP290" s="177"/>
      <c r="CQ290" s="178"/>
      <c r="CR290" s="182"/>
      <c r="CS290" s="65"/>
      <c r="CT290" s="64"/>
      <c r="CU290" s="165" t="str">
        <f t="shared" si="2"/>
        <v/>
      </c>
    </row>
    <row r="291" ht="60.0" hidden="1" customHeight="1">
      <c r="A291" s="65"/>
      <c r="C291" s="167"/>
      <c r="D291" s="205"/>
      <c r="E291" s="206"/>
      <c r="F291" s="169"/>
      <c r="G291" s="207"/>
      <c r="H291" s="208"/>
      <c r="I291" s="169"/>
      <c r="J291" s="170"/>
      <c r="K291" s="171"/>
      <c r="L291" s="171"/>
      <c r="M291" s="171"/>
      <c r="N291" s="209"/>
      <c r="O291" s="172">
        <f t="shared" si="53"/>
        <v>0</v>
      </c>
      <c r="P291" s="166"/>
      <c r="Q291" s="173"/>
      <c r="R291" s="65"/>
      <c r="S291" s="173"/>
      <c r="T291" s="173"/>
      <c r="U291" s="166"/>
      <c r="V291" s="166"/>
      <c r="W291" s="65"/>
      <c r="X291" s="66"/>
      <c r="Y291" s="173"/>
      <c r="Z291" s="166"/>
      <c r="AA291" s="174"/>
      <c r="AB291" s="175"/>
      <c r="AC291" s="175"/>
      <c r="AD291" s="175"/>
      <c r="AE291" s="175"/>
      <c r="AF291" s="175"/>
      <c r="AG291" s="175"/>
      <c r="AH291" s="175"/>
      <c r="AI291" s="176"/>
      <c r="AJ291" s="177"/>
      <c r="AK291" s="178"/>
      <c r="AL291" s="178"/>
      <c r="AM291" s="178"/>
      <c r="AN291" s="178"/>
      <c r="AO291" s="179"/>
      <c r="AP291" s="64"/>
      <c r="AQ291" s="65"/>
      <c r="AR291" s="65"/>
      <c r="AS291" s="65"/>
      <c r="AT291" s="173"/>
      <c r="AU291" s="177"/>
      <c r="AV291" s="178"/>
      <c r="AW291" s="178"/>
      <c r="AX291" s="179"/>
      <c r="AZ291" s="166"/>
      <c r="BA291" s="177"/>
      <c r="BB291" s="178"/>
      <c r="BC291" s="178"/>
      <c r="BD291" s="178"/>
      <c r="BE291" s="178"/>
      <c r="BF291" s="178"/>
      <c r="BG291" s="178"/>
      <c r="BH291" s="178"/>
      <c r="BI291" s="179"/>
      <c r="BJ291" s="180"/>
      <c r="BK291" s="178"/>
      <c r="BL291" s="178"/>
      <c r="BM291" s="178"/>
      <c r="BN291" s="178"/>
      <c r="BO291" s="181"/>
      <c r="BP291" s="166"/>
      <c r="BQ291" s="177"/>
      <c r="BR291" s="178"/>
      <c r="BS291" s="179"/>
      <c r="BU291" s="166"/>
      <c r="BV291" s="166"/>
      <c r="BW291" s="166"/>
      <c r="BX291" s="166"/>
      <c r="BY291" s="166"/>
      <c r="BZ291" s="166"/>
      <c r="CA291" s="166"/>
      <c r="CB291" s="166"/>
      <c r="CC291" s="166"/>
      <c r="CD291" s="177"/>
      <c r="CE291" s="181"/>
      <c r="CF291" s="177"/>
      <c r="CG291" s="181"/>
      <c r="CH291" s="177"/>
      <c r="CI291" s="182"/>
      <c r="CJ291" s="177"/>
      <c r="CK291" s="182"/>
      <c r="CL291" s="177"/>
      <c r="CM291" s="182"/>
      <c r="CN291" s="177"/>
      <c r="CO291" s="182"/>
      <c r="CP291" s="177"/>
      <c r="CQ291" s="178"/>
      <c r="CR291" s="182"/>
      <c r="CS291" s="65"/>
      <c r="CT291" s="64"/>
      <c r="CU291" s="165" t="str">
        <f t="shared" si="2"/>
        <v/>
      </c>
    </row>
    <row r="292" ht="60.0" hidden="1" customHeight="1">
      <c r="A292" s="65"/>
      <c r="C292" s="167"/>
      <c r="D292" s="205"/>
      <c r="E292" s="206"/>
      <c r="F292" s="169"/>
      <c r="G292" s="207"/>
      <c r="H292" s="208"/>
      <c r="I292" s="169"/>
      <c r="J292" s="170"/>
      <c r="K292" s="171"/>
      <c r="L292" s="171"/>
      <c r="M292" s="171"/>
      <c r="N292" s="209"/>
      <c r="O292" s="172">
        <f t="shared" si="53"/>
        <v>0</v>
      </c>
      <c r="P292" s="166"/>
      <c r="Q292" s="173"/>
      <c r="R292" s="65"/>
      <c r="S292" s="173"/>
      <c r="T292" s="173"/>
      <c r="U292" s="166"/>
      <c r="V292" s="166"/>
      <c r="W292" s="65"/>
      <c r="X292" s="66"/>
      <c r="Y292" s="173"/>
      <c r="Z292" s="166"/>
      <c r="AA292" s="174"/>
      <c r="AB292" s="175"/>
      <c r="AC292" s="175"/>
      <c r="AD292" s="175"/>
      <c r="AE292" s="175"/>
      <c r="AF292" s="175"/>
      <c r="AG292" s="175"/>
      <c r="AH292" s="175"/>
      <c r="AI292" s="176"/>
      <c r="AJ292" s="177"/>
      <c r="AK292" s="178"/>
      <c r="AL292" s="178"/>
      <c r="AM292" s="178"/>
      <c r="AN292" s="178"/>
      <c r="AO292" s="179"/>
      <c r="AP292" s="64"/>
      <c r="AQ292" s="65"/>
      <c r="AR292" s="65"/>
      <c r="AS292" s="65"/>
      <c r="AT292" s="173"/>
      <c r="AU292" s="177"/>
      <c r="AV292" s="178"/>
      <c r="AW292" s="178"/>
      <c r="AX292" s="179"/>
      <c r="AZ292" s="166"/>
      <c r="BA292" s="177"/>
      <c r="BB292" s="178"/>
      <c r="BC292" s="178"/>
      <c r="BD292" s="178"/>
      <c r="BE292" s="178"/>
      <c r="BF292" s="178"/>
      <c r="BG292" s="178"/>
      <c r="BH292" s="178"/>
      <c r="BI292" s="179"/>
      <c r="BJ292" s="180"/>
      <c r="BK292" s="178"/>
      <c r="BL292" s="178"/>
      <c r="BM292" s="178"/>
      <c r="BN292" s="178"/>
      <c r="BO292" s="181"/>
      <c r="BP292" s="166"/>
      <c r="BQ292" s="177"/>
      <c r="BR292" s="178"/>
      <c r="BS292" s="179"/>
      <c r="BU292" s="166"/>
      <c r="BV292" s="166"/>
      <c r="BW292" s="166"/>
      <c r="BX292" s="166"/>
      <c r="BY292" s="166"/>
      <c r="BZ292" s="166"/>
      <c r="CA292" s="166"/>
      <c r="CB292" s="166"/>
      <c r="CC292" s="166"/>
      <c r="CD292" s="177"/>
      <c r="CE292" s="181"/>
      <c r="CF292" s="177"/>
      <c r="CG292" s="181"/>
      <c r="CH292" s="177"/>
      <c r="CI292" s="182"/>
      <c r="CJ292" s="177"/>
      <c r="CK292" s="182"/>
      <c r="CL292" s="177"/>
      <c r="CM292" s="182"/>
      <c r="CN292" s="177"/>
      <c r="CO292" s="182"/>
      <c r="CP292" s="177"/>
      <c r="CQ292" s="178"/>
      <c r="CR292" s="182"/>
      <c r="CS292" s="65"/>
      <c r="CT292" s="64"/>
      <c r="CU292" s="165" t="str">
        <f t="shared" si="2"/>
        <v/>
      </c>
    </row>
    <row r="293" ht="60.0" hidden="1" customHeight="1">
      <c r="A293" s="89"/>
      <c r="B293" s="6"/>
      <c r="C293" s="183"/>
      <c r="D293" s="210"/>
      <c r="E293" s="211"/>
      <c r="F293" s="185"/>
      <c r="G293" s="212"/>
      <c r="H293" s="213"/>
      <c r="I293" s="185"/>
      <c r="J293" s="186"/>
      <c r="K293" s="187"/>
      <c r="L293" s="187"/>
      <c r="M293" s="187"/>
      <c r="N293" s="214"/>
      <c r="O293" s="188">
        <f t="shared" ref="O293:O315" si="54">IF(AND(M293&lt;&gt;0,M293&lt;&gt;"m",M293&lt;&gt;"",RIGHT(K293,3)="Lec"),1,IF(AND(M293&lt;&gt;0,M293&lt;&gt;"m",M293&lt;&gt;"",OR(RIGHT(K293,3)="Lab",RIGHT(K293,3)="Tut")),0.5,IF(AND(M293&lt;&gt;0,M293&lt;&gt;"m",M293&lt;&gt;"",RIGHT(K293,2)="TL"),0.75,0)))</f>
        <v>0</v>
      </c>
      <c r="P293" s="63"/>
      <c r="Q293" s="69"/>
      <c r="R293" s="89"/>
      <c r="S293" s="69"/>
      <c r="T293" s="69"/>
      <c r="U293" s="63"/>
      <c r="V293" s="63"/>
      <c r="W293" s="89"/>
      <c r="X293" s="68"/>
      <c r="Y293" s="69"/>
      <c r="Z293" s="63"/>
      <c r="AA293" s="189"/>
      <c r="AB293" s="190"/>
      <c r="AC293" s="190"/>
      <c r="AD293" s="190"/>
      <c r="AE293" s="190"/>
      <c r="AF293" s="190"/>
      <c r="AG293" s="190"/>
      <c r="AH293" s="190"/>
      <c r="AI293" s="191"/>
      <c r="AJ293" s="192"/>
      <c r="AK293" s="193"/>
      <c r="AL293" s="193"/>
      <c r="AM293" s="193"/>
      <c r="AN293" s="193"/>
      <c r="AO293" s="194"/>
      <c r="AP293" s="103"/>
      <c r="AQ293" s="89"/>
      <c r="AR293" s="89"/>
      <c r="AS293" s="89"/>
      <c r="AT293" s="69"/>
      <c r="AU293" s="192"/>
      <c r="AV293" s="193"/>
      <c r="AW293" s="193"/>
      <c r="AX293" s="194"/>
      <c r="AY293" s="6"/>
      <c r="AZ293" s="63"/>
      <c r="BA293" s="192"/>
      <c r="BB293" s="193"/>
      <c r="BC293" s="193"/>
      <c r="BD293" s="193"/>
      <c r="BE293" s="193"/>
      <c r="BF293" s="193"/>
      <c r="BG293" s="193"/>
      <c r="BH293" s="193"/>
      <c r="BI293" s="194"/>
      <c r="BJ293" s="195"/>
      <c r="BK293" s="193"/>
      <c r="BL293" s="193"/>
      <c r="BM293" s="193"/>
      <c r="BN293" s="193"/>
      <c r="BO293" s="196"/>
      <c r="BP293" s="63"/>
      <c r="BQ293" s="192"/>
      <c r="BR293" s="193"/>
      <c r="BS293" s="194"/>
      <c r="BT293" s="6"/>
      <c r="BU293" s="63"/>
      <c r="BV293" s="63"/>
      <c r="BW293" s="63"/>
      <c r="BX293" s="63"/>
      <c r="BY293" s="63"/>
      <c r="BZ293" s="63"/>
      <c r="CA293" s="63"/>
      <c r="CB293" s="63"/>
      <c r="CC293" s="63"/>
      <c r="CD293" s="192"/>
      <c r="CE293" s="196"/>
      <c r="CF293" s="192"/>
      <c r="CG293" s="196"/>
      <c r="CH293" s="192"/>
      <c r="CI293" s="197"/>
      <c r="CJ293" s="192"/>
      <c r="CK293" s="197"/>
      <c r="CL293" s="192"/>
      <c r="CM293" s="197"/>
      <c r="CN293" s="192"/>
      <c r="CO293" s="197"/>
      <c r="CP293" s="192"/>
      <c r="CQ293" s="193"/>
      <c r="CR293" s="197"/>
      <c r="CS293" s="89"/>
      <c r="CT293" s="103"/>
      <c r="CU293" s="165" t="str">
        <f t="shared" si="2"/>
        <v/>
      </c>
    </row>
    <row r="294" ht="56.25" hidden="1" customHeight="1">
      <c r="A294" s="125">
        <v>27.0</v>
      </c>
      <c r="B294" s="199"/>
      <c r="C294" s="127"/>
      <c r="D294" s="128"/>
      <c r="E294" s="215"/>
      <c r="F294" s="216"/>
      <c r="G294" s="217"/>
      <c r="H294" s="218"/>
      <c r="I294" s="216"/>
      <c r="J294" s="170"/>
      <c r="K294" s="219"/>
      <c r="L294" s="219"/>
      <c r="M294" s="219"/>
      <c r="N294" s="220"/>
      <c r="O294" s="132">
        <f t="shared" si="54"/>
        <v>0</v>
      </c>
      <c r="P294" s="133">
        <f>COUNTIF(K294:K304,"TL")*0.75+COUNTIF(K294:K304,"Lec")*1+COUNTIF(K294:K304,"Lab")*0.5</f>
        <v>0</v>
      </c>
      <c r="Q294" s="134">
        <f>SUM((IF(LEFT(K294,1)="E",O294,0)),(IF(LEFT(K295,1)="E",O295,0)),(IF(LEFT(K296,1)="E",O296,0)),(IF(LEFT(K297,1)="E",O297,0)),(IF(LEFT(K298,1)="E",O298,0)),(IF(LEFT(K299,1)="E",O299,0)),(IF(LEFT(K300,1)="E",O300,0)),(IF(LEFT(K301,1)="E",O301,0)),(IF(LEFT(K302,1)="E",O302,0)),(IF(LEFT(K303,1)="E",O303,0)),(IF(LEFT(K304,1)="E",O304,0)))</f>
        <v>0</v>
      </c>
      <c r="R294" s="135">
        <f>SUM(IF(M300&lt;20,IF(K300="Plec",-1,IF(K300="PTL",-0.75,IF(K300="Plab",-0.5,0))),0),IF(M301&lt;20,IF(K301="Plec",-1,IF(K301="PTL",-0.75,IF(K301="Plab",-0.5,0))),0),IF(M302&lt;20,IF(K302="Plec",-1,IF(K302="PTL",-0.75,IF(K302="Plab",-0.5,0))),0),IF(M303&lt;20,IF(K303="Plec",-1,IF(K303="PTL",-0.75,IF(K303="Plab",-0.5,0))),0))</f>
        <v>0</v>
      </c>
      <c r="S294" s="134">
        <f>SUM(P294:R304)</f>
        <v>0</v>
      </c>
      <c r="T294" s="136">
        <f>SUM(IF(M294="M",IF(OR(K294="lec",K294="plec",K294="slec"),1,IF(OR(K294="lab",K294="plab",K294="slab",K294="tut",K294="ptut",K294="stut"),0.5,IF(OR(K294="TL",K294="pTL",K294="STL"),0.75,0))),0),IF(M295="M",IF(OR(K295="lec",K295="plec",K295="slec"),1,IF(OR(K295="lab",K295="plab",K295="slab",K295="tut",K295="ptut",K295="stut"),0.5,IF(OR(K295="TL",K295="pTL",K295="STL"),0.75,0))),0),IF(M296="M",IF(OR(K296="lec",K296="plec",K296="slec"),1,IF(OR(K296="lab",K296="plab",K296="slab",K296="tut",K296="ptut",K296="stut"),0.5,IF(OR(K296="TL",K296="pTL",K296="STL"),0.75,0))),0),IF(M297="M",IF(OR(K297="lec",K297="plec",K297="slec"),1,IF(OR(K297="lab",K297="plab",K297="slab",K297="tut",K297="ptut",K297="stut"),0.5,IF(OR(K297="TL",K297="pTL",K297="STL"),0.75,0))),0),IF(M298="M",IF(OR(K298="lec",K298="plec",K298="slec"),1,IF(OR(K298="lab",K298="plab",K298="slab",K298="tut",K298="ptut",K298="stut"),0.5,IF(OR(K298="TL",K298="pTL",K298="STL"),0.75,0))),0),IF(M299="M",IF(OR(K299="lec",K299="plec",K299="slec"),1,IF(OR(K299="lab",K299="plab",K299="slab",K299="tut",K299="ptut",K299="stut"),0.5,IF(OR(K299="TL",K299="pTL",K299="STL"),0.75,0))),0),IF(M300="M",IF(OR(K300="lec",K300="plec",K300="slec"),1,IF(OR(K300="lab",K300="plab",K300="slab",K300="tut",K300="ptut",K300="stut"),0.5,IF(OR(K300="TL",K300="pTL",K300="STL"),0.75,0))),0),IF(M301="M",IF(OR(K301="lec",K301="plec",K301="slec"),1,IF(OR(K301="lab",K301="plab",K301="slab",K301="tut",K301="ptut",K301="stut"),0.5,IF(OR(K301="TL",K301="pTL",K301="STL"),0.75,0))),0),IF(M302="M",IF(OR(K302="lec",K302="plec",K302="slec"),1,IF(OR(K302="lab",K302="plab",K302="slab",K302="tut",K302="ptut",K302="stut"),0.5,IF(OR(K302="TL",K302="pTL",K302="STL"),0.75,0))),0),IF(M303="M",IF(OR(K303="lec",K303="plec",K303="slec"),1,IF(OR(K303="lab",K303="plab",K303="slab",K303="tut",K303="ptut",K303="stut"),0.5,IF(OR(K303="TL",K303="pTL",K303="STL"),0.75,0))),0),IF(M304="M",IF(OR(K304="lec",K304="plec",K304="slec"),1,IF(OR(K304="lab",K304="plab",K304="slab",K304="tut",K304="ptut",K304="stut"),0.5,IF(OR(K304="TL",K304="pTL",K304="STL"),0.75,0))),0))</f>
        <v>0</v>
      </c>
      <c r="U294" s="137"/>
      <c r="V294" s="133"/>
      <c r="W294" s="138"/>
      <c r="X294" s="139">
        <f>S294-(T294+U294+V294+W294)</f>
        <v>0</v>
      </c>
      <c r="Y294" s="134" t="str">
        <f>CONCATENATE(SUM(O294:O304),"(",SUM(O294:O304)-X294,")")</f>
        <v>0(0)</v>
      </c>
      <c r="Z294" s="140"/>
      <c r="AA294" s="141"/>
      <c r="AB294" s="142"/>
      <c r="AC294" s="142"/>
      <c r="AD294" s="142"/>
      <c r="AE294" s="142"/>
      <c r="AF294" s="142"/>
      <c r="AG294" s="142"/>
      <c r="AH294" s="142"/>
      <c r="AI294" s="143"/>
      <c r="AJ294" s="144"/>
      <c r="AK294" s="145"/>
      <c r="AL294" s="145"/>
      <c r="AM294" s="145"/>
      <c r="AN294" s="145"/>
      <c r="AO294" s="146"/>
      <c r="AP294" s="147">
        <f>SUM(SUM(O294:O304),SUM(AI294:AI304)/2,AM294)</f>
        <v>0</v>
      </c>
      <c r="AQ294" s="148"/>
      <c r="AR294" s="148">
        <f>AP294*AQ294</f>
        <v>0</v>
      </c>
      <c r="AS294" s="148">
        <f>CT294</f>
        <v>0</v>
      </c>
      <c r="AT294" s="149">
        <f>AR294*0.75+AS294*0.25</f>
        <v>0</v>
      </c>
      <c r="AU294" s="150"/>
      <c r="AV294" s="151"/>
      <c r="AW294" s="151"/>
      <c r="AX294" s="152"/>
      <c r="AY294" s="153"/>
      <c r="AZ294" s="140"/>
      <c r="BA294" s="150"/>
      <c r="BB294" s="151"/>
      <c r="BC294" s="151"/>
      <c r="BD294" s="151"/>
      <c r="BE294" s="151"/>
      <c r="BF294" s="151"/>
      <c r="BG294" s="151"/>
      <c r="BH294" s="151"/>
      <c r="BI294" s="152"/>
      <c r="BJ294" s="154"/>
      <c r="BK294" s="151"/>
      <c r="BL294" s="151"/>
      <c r="BM294" s="151"/>
      <c r="BN294" s="151"/>
      <c r="BO294" s="155"/>
      <c r="BP294" s="140"/>
      <c r="BQ294" s="156"/>
      <c r="BR294" s="157"/>
      <c r="BS294" s="158"/>
      <c r="BT294" s="153"/>
      <c r="BU294" s="140"/>
      <c r="BV294" s="140"/>
      <c r="BW294" s="140"/>
      <c r="BX294" s="140"/>
      <c r="BY294" s="140"/>
      <c r="BZ294" s="140"/>
      <c r="CA294" s="140"/>
      <c r="CB294" s="140"/>
      <c r="CC294" s="140"/>
      <c r="CD294" s="150"/>
      <c r="CE294" s="155"/>
      <c r="CF294" s="150"/>
      <c r="CG294" s="155"/>
      <c r="CH294" s="159"/>
      <c r="CI294" s="160"/>
      <c r="CJ294" s="159"/>
      <c r="CK294" s="160"/>
      <c r="CL294" s="159"/>
      <c r="CM294" s="160"/>
      <c r="CN294" s="159"/>
      <c r="CO294" s="160"/>
      <c r="CP294" s="159"/>
      <c r="CQ294" s="162"/>
      <c r="CR294" s="160"/>
      <c r="CS294" s="163">
        <f>SUM(IF(AU294&lt;0,ABS(AU294),0),IF(AZ294&lt;0,ABS(AZ294),0),ABS(CI294),ABS(CK294),ABS(CM294),ABS(CO294),ABS(CQ294),ABS(CR294))</f>
        <v>0</v>
      </c>
      <c r="CT294" s="164">
        <f>SUM(AU294,AV294,AW294,AX294/400,AY294,AZ294,BG294,BH294*0.5,BI294*0.25,BJ294,BK294,BL294,BM294,BN294,BO294,BP294,BR294/20,BS294/100,BT294/60,BU294,BV294,BW294,BX294/5,SUM(BY294:CC304)/3,CE294,CG294/3,CI294,CK294,CM294,CO294,CQ294,CR294)</f>
        <v>0</v>
      </c>
      <c r="CU294" s="165" t="str">
        <f t="shared" si="2"/>
        <v/>
      </c>
    </row>
    <row r="295" ht="60.0" hidden="1" customHeight="1">
      <c r="A295" s="65"/>
      <c r="C295" s="167"/>
      <c r="D295" s="205"/>
      <c r="E295" s="206"/>
      <c r="F295" s="169"/>
      <c r="G295" s="207"/>
      <c r="H295" s="208"/>
      <c r="I295" s="169"/>
      <c r="J295" s="170"/>
      <c r="K295" s="171"/>
      <c r="L295" s="171"/>
      <c r="M295" s="171"/>
      <c r="N295" s="209"/>
      <c r="O295" s="172">
        <f t="shared" si="54"/>
        <v>0</v>
      </c>
      <c r="P295" s="166"/>
      <c r="Q295" s="173"/>
      <c r="R295" s="65"/>
      <c r="S295" s="173"/>
      <c r="T295" s="173"/>
      <c r="U295" s="166"/>
      <c r="V295" s="166"/>
      <c r="W295" s="65"/>
      <c r="X295" s="66"/>
      <c r="Y295" s="173"/>
      <c r="Z295" s="166"/>
      <c r="AA295" s="174"/>
      <c r="AB295" s="175"/>
      <c r="AC295" s="175"/>
      <c r="AD295" s="175"/>
      <c r="AE295" s="175"/>
      <c r="AF295" s="175"/>
      <c r="AG295" s="175"/>
      <c r="AH295" s="175"/>
      <c r="AI295" s="176"/>
      <c r="AJ295" s="177"/>
      <c r="AK295" s="178"/>
      <c r="AL295" s="178"/>
      <c r="AM295" s="178"/>
      <c r="AN295" s="178"/>
      <c r="AO295" s="179"/>
      <c r="AP295" s="64"/>
      <c r="AQ295" s="65"/>
      <c r="AR295" s="65"/>
      <c r="AS295" s="65"/>
      <c r="AT295" s="173"/>
      <c r="AU295" s="177"/>
      <c r="AV295" s="178"/>
      <c r="AW295" s="178"/>
      <c r="AX295" s="179"/>
      <c r="AZ295" s="166"/>
      <c r="BA295" s="177"/>
      <c r="BB295" s="178"/>
      <c r="BC295" s="178"/>
      <c r="BD295" s="178"/>
      <c r="BE295" s="178"/>
      <c r="BF295" s="178"/>
      <c r="BG295" s="178"/>
      <c r="BH295" s="178"/>
      <c r="BI295" s="179"/>
      <c r="BJ295" s="180"/>
      <c r="BK295" s="178"/>
      <c r="BL295" s="178"/>
      <c r="BM295" s="178"/>
      <c r="BN295" s="178"/>
      <c r="BO295" s="181"/>
      <c r="BP295" s="166"/>
      <c r="BQ295" s="177"/>
      <c r="BR295" s="178"/>
      <c r="BS295" s="179"/>
      <c r="BU295" s="166"/>
      <c r="BV295" s="166"/>
      <c r="BW295" s="166"/>
      <c r="BX295" s="166"/>
      <c r="BY295" s="166"/>
      <c r="BZ295" s="166"/>
      <c r="CA295" s="166"/>
      <c r="CB295" s="166"/>
      <c r="CC295" s="166"/>
      <c r="CD295" s="177"/>
      <c r="CE295" s="181"/>
      <c r="CF295" s="177"/>
      <c r="CG295" s="181"/>
      <c r="CH295" s="177"/>
      <c r="CI295" s="182"/>
      <c r="CJ295" s="177"/>
      <c r="CK295" s="182"/>
      <c r="CL295" s="177"/>
      <c r="CM295" s="182"/>
      <c r="CN295" s="177"/>
      <c r="CO295" s="182"/>
      <c r="CP295" s="177"/>
      <c r="CQ295" s="178"/>
      <c r="CR295" s="182"/>
      <c r="CS295" s="65"/>
      <c r="CT295" s="64"/>
      <c r="CU295" s="165" t="str">
        <f t="shared" si="2"/>
        <v/>
      </c>
    </row>
    <row r="296" ht="60.0" hidden="1" customHeight="1">
      <c r="A296" s="65"/>
      <c r="C296" s="167"/>
      <c r="D296" s="205"/>
      <c r="E296" s="206"/>
      <c r="F296" s="169"/>
      <c r="G296" s="207"/>
      <c r="H296" s="208"/>
      <c r="I296" s="169"/>
      <c r="J296" s="170"/>
      <c r="K296" s="171"/>
      <c r="L296" s="171"/>
      <c r="M296" s="171"/>
      <c r="N296" s="209"/>
      <c r="O296" s="172">
        <f t="shared" si="54"/>
        <v>0</v>
      </c>
      <c r="P296" s="166"/>
      <c r="Q296" s="173"/>
      <c r="R296" s="65"/>
      <c r="S296" s="173"/>
      <c r="T296" s="173"/>
      <c r="U296" s="166"/>
      <c r="V296" s="166"/>
      <c r="W296" s="65"/>
      <c r="X296" s="66"/>
      <c r="Y296" s="173"/>
      <c r="Z296" s="166"/>
      <c r="AA296" s="174"/>
      <c r="AB296" s="175"/>
      <c r="AC296" s="175"/>
      <c r="AD296" s="175"/>
      <c r="AE296" s="175"/>
      <c r="AF296" s="175"/>
      <c r="AG296" s="175"/>
      <c r="AH296" s="175"/>
      <c r="AI296" s="176"/>
      <c r="AJ296" s="177"/>
      <c r="AK296" s="178"/>
      <c r="AL296" s="178"/>
      <c r="AM296" s="178"/>
      <c r="AN296" s="178"/>
      <c r="AO296" s="179"/>
      <c r="AP296" s="64"/>
      <c r="AQ296" s="65"/>
      <c r="AR296" s="65"/>
      <c r="AS296" s="65"/>
      <c r="AT296" s="173"/>
      <c r="AU296" s="177"/>
      <c r="AV296" s="178"/>
      <c r="AW296" s="178"/>
      <c r="AX296" s="179"/>
      <c r="AZ296" s="166"/>
      <c r="BA296" s="177"/>
      <c r="BB296" s="178"/>
      <c r="BC296" s="178"/>
      <c r="BD296" s="178"/>
      <c r="BE296" s="178"/>
      <c r="BF296" s="178"/>
      <c r="BG296" s="178"/>
      <c r="BH296" s="178"/>
      <c r="BI296" s="179"/>
      <c r="BJ296" s="180"/>
      <c r="BK296" s="178"/>
      <c r="BL296" s="178"/>
      <c r="BM296" s="178"/>
      <c r="BN296" s="178"/>
      <c r="BO296" s="181"/>
      <c r="BP296" s="166"/>
      <c r="BQ296" s="177"/>
      <c r="BR296" s="178"/>
      <c r="BS296" s="179"/>
      <c r="BU296" s="166"/>
      <c r="BV296" s="166"/>
      <c r="BW296" s="166"/>
      <c r="BX296" s="166"/>
      <c r="BY296" s="166"/>
      <c r="BZ296" s="166"/>
      <c r="CA296" s="166"/>
      <c r="CB296" s="166"/>
      <c r="CC296" s="166"/>
      <c r="CD296" s="177"/>
      <c r="CE296" s="181"/>
      <c r="CF296" s="177"/>
      <c r="CG296" s="181"/>
      <c r="CH296" s="177"/>
      <c r="CI296" s="182"/>
      <c r="CJ296" s="177"/>
      <c r="CK296" s="182"/>
      <c r="CL296" s="177"/>
      <c r="CM296" s="182"/>
      <c r="CN296" s="177"/>
      <c r="CO296" s="182"/>
      <c r="CP296" s="177"/>
      <c r="CQ296" s="178"/>
      <c r="CR296" s="182"/>
      <c r="CS296" s="65"/>
      <c r="CT296" s="64"/>
      <c r="CU296" s="165" t="str">
        <f t="shared" si="2"/>
        <v/>
      </c>
    </row>
    <row r="297" ht="60.0" hidden="1" customHeight="1">
      <c r="A297" s="65"/>
      <c r="C297" s="167"/>
      <c r="D297" s="205"/>
      <c r="E297" s="206"/>
      <c r="F297" s="169"/>
      <c r="G297" s="207"/>
      <c r="H297" s="208"/>
      <c r="I297" s="169"/>
      <c r="J297" s="170"/>
      <c r="K297" s="171"/>
      <c r="L297" s="171"/>
      <c r="M297" s="171"/>
      <c r="N297" s="209"/>
      <c r="O297" s="172">
        <f t="shared" si="54"/>
        <v>0</v>
      </c>
      <c r="P297" s="166"/>
      <c r="Q297" s="173"/>
      <c r="R297" s="65"/>
      <c r="S297" s="173"/>
      <c r="T297" s="173"/>
      <c r="U297" s="166"/>
      <c r="V297" s="166"/>
      <c r="W297" s="65"/>
      <c r="X297" s="66"/>
      <c r="Y297" s="173"/>
      <c r="Z297" s="166"/>
      <c r="AA297" s="174"/>
      <c r="AB297" s="175"/>
      <c r="AC297" s="175"/>
      <c r="AD297" s="175"/>
      <c r="AE297" s="175"/>
      <c r="AF297" s="175"/>
      <c r="AG297" s="175"/>
      <c r="AH297" s="175"/>
      <c r="AI297" s="176"/>
      <c r="AJ297" s="177"/>
      <c r="AK297" s="178"/>
      <c r="AL297" s="178"/>
      <c r="AM297" s="178"/>
      <c r="AN297" s="178"/>
      <c r="AO297" s="179"/>
      <c r="AP297" s="64"/>
      <c r="AQ297" s="65"/>
      <c r="AR297" s="65"/>
      <c r="AS297" s="65"/>
      <c r="AT297" s="173"/>
      <c r="AU297" s="177"/>
      <c r="AV297" s="178"/>
      <c r="AW297" s="178"/>
      <c r="AX297" s="179"/>
      <c r="AZ297" s="166"/>
      <c r="BA297" s="177"/>
      <c r="BB297" s="178"/>
      <c r="BC297" s="178"/>
      <c r="BD297" s="178"/>
      <c r="BE297" s="178"/>
      <c r="BF297" s="178"/>
      <c r="BG297" s="178"/>
      <c r="BH297" s="178"/>
      <c r="BI297" s="179"/>
      <c r="BJ297" s="180"/>
      <c r="BK297" s="178"/>
      <c r="BL297" s="178"/>
      <c r="BM297" s="178"/>
      <c r="BN297" s="178"/>
      <c r="BO297" s="181"/>
      <c r="BP297" s="166"/>
      <c r="BQ297" s="177"/>
      <c r="BR297" s="178"/>
      <c r="BS297" s="179"/>
      <c r="BU297" s="166"/>
      <c r="BV297" s="166"/>
      <c r="BW297" s="166"/>
      <c r="BX297" s="166"/>
      <c r="BY297" s="166"/>
      <c r="BZ297" s="166"/>
      <c r="CA297" s="166"/>
      <c r="CB297" s="166"/>
      <c r="CC297" s="166"/>
      <c r="CD297" s="177"/>
      <c r="CE297" s="181"/>
      <c r="CF297" s="177"/>
      <c r="CG297" s="181"/>
      <c r="CH297" s="177"/>
      <c r="CI297" s="182"/>
      <c r="CJ297" s="177"/>
      <c r="CK297" s="182"/>
      <c r="CL297" s="177"/>
      <c r="CM297" s="182"/>
      <c r="CN297" s="177"/>
      <c r="CO297" s="182"/>
      <c r="CP297" s="177"/>
      <c r="CQ297" s="178"/>
      <c r="CR297" s="182"/>
      <c r="CS297" s="65"/>
      <c r="CT297" s="64"/>
      <c r="CU297" s="165" t="str">
        <f t="shared" si="2"/>
        <v/>
      </c>
    </row>
    <row r="298" ht="60.0" hidden="1" customHeight="1">
      <c r="A298" s="65"/>
      <c r="C298" s="167"/>
      <c r="D298" s="205"/>
      <c r="E298" s="206"/>
      <c r="F298" s="169"/>
      <c r="G298" s="207"/>
      <c r="H298" s="208"/>
      <c r="I298" s="169"/>
      <c r="J298" s="170"/>
      <c r="K298" s="171"/>
      <c r="L298" s="171"/>
      <c r="M298" s="171"/>
      <c r="N298" s="209"/>
      <c r="O298" s="172">
        <f t="shared" si="54"/>
        <v>0</v>
      </c>
      <c r="P298" s="166"/>
      <c r="Q298" s="173"/>
      <c r="R298" s="65"/>
      <c r="S298" s="173"/>
      <c r="T298" s="173"/>
      <c r="U298" s="166"/>
      <c r="V298" s="166"/>
      <c r="W298" s="65"/>
      <c r="X298" s="66"/>
      <c r="Y298" s="173"/>
      <c r="Z298" s="166"/>
      <c r="AA298" s="174"/>
      <c r="AB298" s="175"/>
      <c r="AC298" s="175"/>
      <c r="AD298" s="175"/>
      <c r="AE298" s="175"/>
      <c r="AF298" s="175"/>
      <c r="AG298" s="175"/>
      <c r="AH298" s="175"/>
      <c r="AI298" s="176"/>
      <c r="AJ298" s="177"/>
      <c r="AK298" s="178"/>
      <c r="AL298" s="178"/>
      <c r="AM298" s="178"/>
      <c r="AN298" s="178"/>
      <c r="AO298" s="179"/>
      <c r="AP298" s="64"/>
      <c r="AQ298" s="65"/>
      <c r="AR298" s="65"/>
      <c r="AS298" s="65"/>
      <c r="AT298" s="173"/>
      <c r="AU298" s="177"/>
      <c r="AV298" s="178"/>
      <c r="AW298" s="178"/>
      <c r="AX298" s="179"/>
      <c r="AZ298" s="166"/>
      <c r="BA298" s="177"/>
      <c r="BB298" s="178"/>
      <c r="BC298" s="178"/>
      <c r="BD298" s="178"/>
      <c r="BE298" s="178"/>
      <c r="BF298" s="178"/>
      <c r="BG298" s="178"/>
      <c r="BH298" s="178"/>
      <c r="BI298" s="179"/>
      <c r="BJ298" s="180"/>
      <c r="BK298" s="178"/>
      <c r="BL298" s="178"/>
      <c r="BM298" s="178"/>
      <c r="BN298" s="178"/>
      <c r="BO298" s="181"/>
      <c r="BP298" s="166"/>
      <c r="BQ298" s="177"/>
      <c r="BR298" s="178"/>
      <c r="BS298" s="179"/>
      <c r="BU298" s="166"/>
      <c r="BV298" s="166"/>
      <c r="BW298" s="166"/>
      <c r="BX298" s="166"/>
      <c r="BY298" s="166"/>
      <c r="BZ298" s="166"/>
      <c r="CA298" s="166"/>
      <c r="CB298" s="166"/>
      <c r="CC298" s="166"/>
      <c r="CD298" s="177"/>
      <c r="CE298" s="181"/>
      <c r="CF298" s="177"/>
      <c r="CG298" s="181"/>
      <c r="CH298" s="177"/>
      <c r="CI298" s="182"/>
      <c r="CJ298" s="177"/>
      <c r="CK298" s="182"/>
      <c r="CL298" s="177"/>
      <c r="CM298" s="182"/>
      <c r="CN298" s="177"/>
      <c r="CO298" s="182"/>
      <c r="CP298" s="177"/>
      <c r="CQ298" s="178"/>
      <c r="CR298" s="182"/>
      <c r="CS298" s="65"/>
      <c r="CT298" s="64"/>
      <c r="CU298" s="165" t="str">
        <f t="shared" si="2"/>
        <v/>
      </c>
    </row>
    <row r="299" ht="60.0" hidden="1" customHeight="1">
      <c r="A299" s="65"/>
      <c r="C299" s="167"/>
      <c r="D299" s="205"/>
      <c r="E299" s="206"/>
      <c r="F299" s="169"/>
      <c r="G299" s="207"/>
      <c r="H299" s="208"/>
      <c r="I299" s="169"/>
      <c r="J299" s="170"/>
      <c r="K299" s="171"/>
      <c r="L299" s="171"/>
      <c r="M299" s="171"/>
      <c r="N299" s="209"/>
      <c r="O299" s="172">
        <f t="shared" si="54"/>
        <v>0</v>
      </c>
      <c r="P299" s="166"/>
      <c r="Q299" s="173"/>
      <c r="R299" s="65"/>
      <c r="S299" s="173"/>
      <c r="T299" s="173"/>
      <c r="U299" s="166"/>
      <c r="V299" s="166"/>
      <c r="W299" s="65"/>
      <c r="X299" s="66"/>
      <c r="Y299" s="173"/>
      <c r="Z299" s="166"/>
      <c r="AA299" s="174"/>
      <c r="AB299" s="175"/>
      <c r="AC299" s="175"/>
      <c r="AD299" s="175"/>
      <c r="AE299" s="175"/>
      <c r="AF299" s="175"/>
      <c r="AG299" s="175"/>
      <c r="AH299" s="175"/>
      <c r="AI299" s="176"/>
      <c r="AJ299" s="177"/>
      <c r="AK299" s="178"/>
      <c r="AL299" s="178"/>
      <c r="AM299" s="178"/>
      <c r="AN299" s="178"/>
      <c r="AO299" s="179"/>
      <c r="AP299" s="64"/>
      <c r="AQ299" s="65"/>
      <c r="AR299" s="65"/>
      <c r="AS299" s="65"/>
      <c r="AT299" s="173"/>
      <c r="AU299" s="177"/>
      <c r="AV299" s="178"/>
      <c r="AW299" s="178"/>
      <c r="AX299" s="179"/>
      <c r="AZ299" s="166"/>
      <c r="BA299" s="177"/>
      <c r="BB299" s="178"/>
      <c r="BC299" s="178"/>
      <c r="BD299" s="178"/>
      <c r="BE299" s="178"/>
      <c r="BF299" s="178"/>
      <c r="BG299" s="178"/>
      <c r="BH299" s="178"/>
      <c r="BI299" s="179"/>
      <c r="BJ299" s="180"/>
      <c r="BK299" s="178"/>
      <c r="BL299" s="178"/>
      <c r="BM299" s="178"/>
      <c r="BN299" s="178"/>
      <c r="BO299" s="181"/>
      <c r="BP299" s="166"/>
      <c r="BQ299" s="177"/>
      <c r="BR299" s="178"/>
      <c r="BS299" s="179"/>
      <c r="BU299" s="166"/>
      <c r="BV299" s="166"/>
      <c r="BW299" s="166"/>
      <c r="BX299" s="166"/>
      <c r="BY299" s="166"/>
      <c r="BZ299" s="166"/>
      <c r="CA299" s="166"/>
      <c r="CB299" s="166"/>
      <c r="CC299" s="166"/>
      <c r="CD299" s="177"/>
      <c r="CE299" s="181"/>
      <c r="CF299" s="177"/>
      <c r="CG299" s="181"/>
      <c r="CH299" s="177"/>
      <c r="CI299" s="182"/>
      <c r="CJ299" s="177"/>
      <c r="CK299" s="182"/>
      <c r="CL299" s="177"/>
      <c r="CM299" s="182"/>
      <c r="CN299" s="177"/>
      <c r="CO299" s="182"/>
      <c r="CP299" s="177"/>
      <c r="CQ299" s="178"/>
      <c r="CR299" s="182"/>
      <c r="CS299" s="65"/>
      <c r="CT299" s="64"/>
      <c r="CU299" s="165" t="str">
        <f t="shared" si="2"/>
        <v/>
      </c>
    </row>
    <row r="300" ht="60.0" hidden="1" customHeight="1">
      <c r="A300" s="65"/>
      <c r="C300" s="167"/>
      <c r="D300" s="205"/>
      <c r="E300" s="206"/>
      <c r="F300" s="169"/>
      <c r="G300" s="207"/>
      <c r="H300" s="208"/>
      <c r="I300" s="169"/>
      <c r="J300" s="170"/>
      <c r="K300" s="171"/>
      <c r="L300" s="171"/>
      <c r="M300" s="171"/>
      <c r="N300" s="209"/>
      <c r="O300" s="172">
        <f t="shared" si="54"/>
        <v>0</v>
      </c>
      <c r="P300" s="166"/>
      <c r="Q300" s="173"/>
      <c r="R300" s="65"/>
      <c r="S300" s="173"/>
      <c r="T300" s="173"/>
      <c r="U300" s="166"/>
      <c r="V300" s="166"/>
      <c r="W300" s="65"/>
      <c r="X300" s="66"/>
      <c r="Y300" s="173"/>
      <c r="Z300" s="166"/>
      <c r="AA300" s="174"/>
      <c r="AB300" s="175"/>
      <c r="AC300" s="175"/>
      <c r="AD300" s="175"/>
      <c r="AE300" s="175"/>
      <c r="AF300" s="175"/>
      <c r="AG300" s="175"/>
      <c r="AH300" s="175"/>
      <c r="AI300" s="176"/>
      <c r="AJ300" s="177"/>
      <c r="AK300" s="178"/>
      <c r="AL300" s="178"/>
      <c r="AM300" s="178"/>
      <c r="AN300" s="178"/>
      <c r="AO300" s="179"/>
      <c r="AP300" s="64"/>
      <c r="AQ300" s="65"/>
      <c r="AR300" s="65"/>
      <c r="AS300" s="65"/>
      <c r="AT300" s="173"/>
      <c r="AU300" s="177"/>
      <c r="AV300" s="178"/>
      <c r="AW300" s="178"/>
      <c r="AX300" s="179"/>
      <c r="AZ300" s="166"/>
      <c r="BA300" s="177"/>
      <c r="BB300" s="178"/>
      <c r="BC300" s="178"/>
      <c r="BD300" s="178"/>
      <c r="BE300" s="178"/>
      <c r="BF300" s="178"/>
      <c r="BG300" s="178"/>
      <c r="BH300" s="178"/>
      <c r="BI300" s="179"/>
      <c r="BJ300" s="180"/>
      <c r="BK300" s="178"/>
      <c r="BL300" s="178"/>
      <c r="BM300" s="178"/>
      <c r="BN300" s="178"/>
      <c r="BO300" s="181"/>
      <c r="BP300" s="166"/>
      <c r="BQ300" s="177"/>
      <c r="BR300" s="178"/>
      <c r="BS300" s="179"/>
      <c r="BU300" s="166"/>
      <c r="BV300" s="166"/>
      <c r="BW300" s="166"/>
      <c r="BX300" s="166"/>
      <c r="BY300" s="166"/>
      <c r="BZ300" s="166"/>
      <c r="CA300" s="166"/>
      <c r="CB300" s="166"/>
      <c r="CC300" s="166"/>
      <c r="CD300" s="177"/>
      <c r="CE300" s="181"/>
      <c r="CF300" s="177"/>
      <c r="CG300" s="181"/>
      <c r="CH300" s="177"/>
      <c r="CI300" s="182"/>
      <c r="CJ300" s="177"/>
      <c r="CK300" s="182"/>
      <c r="CL300" s="177"/>
      <c r="CM300" s="182"/>
      <c r="CN300" s="177"/>
      <c r="CO300" s="182"/>
      <c r="CP300" s="177"/>
      <c r="CQ300" s="178"/>
      <c r="CR300" s="182"/>
      <c r="CS300" s="65"/>
      <c r="CT300" s="64"/>
      <c r="CU300" s="165" t="str">
        <f t="shared" si="2"/>
        <v/>
      </c>
    </row>
    <row r="301" ht="60.0" hidden="1" customHeight="1">
      <c r="A301" s="65"/>
      <c r="C301" s="167"/>
      <c r="D301" s="205"/>
      <c r="E301" s="206"/>
      <c r="F301" s="169"/>
      <c r="G301" s="207"/>
      <c r="H301" s="208"/>
      <c r="I301" s="169"/>
      <c r="J301" s="170"/>
      <c r="K301" s="171"/>
      <c r="L301" s="171"/>
      <c r="M301" s="171"/>
      <c r="N301" s="209"/>
      <c r="O301" s="172">
        <f t="shared" si="54"/>
        <v>0</v>
      </c>
      <c r="P301" s="166"/>
      <c r="Q301" s="173"/>
      <c r="R301" s="65"/>
      <c r="S301" s="173"/>
      <c r="T301" s="173"/>
      <c r="U301" s="166"/>
      <c r="V301" s="166"/>
      <c r="W301" s="65"/>
      <c r="X301" s="66"/>
      <c r="Y301" s="173"/>
      <c r="Z301" s="166"/>
      <c r="AA301" s="174"/>
      <c r="AB301" s="175"/>
      <c r="AC301" s="175"/>
      <c r="AD301" s="175"/>
      <c r="AE301" s="175"/>
      <c r="AF301" s="175"/>
      <c r="AG301" s="175"/>
      <c r="AH301" s="175"/>
      <c r="AI301" s="176"/>
      <c r="AJ301" s="177"/>
      <c r="AK301" s="178"/>
      <c r="AL301" s="178"/>
      <c r="AM301" s="178"/>
      <c r="AN301" s="178"/>
      <c r="AO301" s="179"/>
      <c r="AP301" s="64"/>
      <c r="AQ301" s="65"/>
      <c r="AR301" s="65"/>
      <c r="AS301" s="65"/>
      <c r="AT301" s="173"/>
      <c r="AU301" s="177"/>
      <c r="AV301" s="178"/>
      <c r="AW301" s="178"/>
      <c r="AX301" s="179"/>
      <c r="AZ301" s="166"/>
      <c r="BA301" s="177"/>
      <c r="BB301" s="178"/>
      <c r="BC301" s="178"/>
      <c r="BD301" s="178"/>
      <c r="BE301" s="178"/>
      <c r="BF301" s="178"/>
      <c r="BG301" s="178"/>
      <c r="BH301" s="178"/>
      <c r="BI301" s="179"/>
      <c r="BJ301" s="180"/>
      <c r="BK301" s="178"/>
      <c r="BL301" s="178"/>
      <c r="BM301" s="178"/>
      <c r="BN301" s="178"/>
      <c r="BO301" s="181"/>
      <c r="BP301" s="166"/>
      <c r="BQ301" s="177"/>
      <c r="BR301" s="178"/>
      <c r="BS301" s="179"/>
      <c r="BU301" s="166"/>
      <c r="BV301" s="166"/>
      <c r="BW301" s="166"/>
      <c r="BX301" s="166"/>
      <c r="BY301" s="166"/>
      <c r="BZ301" s="166"/>
      <c r="CA301" s="166"/>
      <c r="CB301" s="166"/>
      <c r="CC301" s="166"/>
      <c r="CD301" s="177"/>
      <c r="CE301" s="181"/>
      <c r="CF301" s="177"/>
      <c r="CG301" s="181"/>
      <c r="CH301" s="177"/>
      <c r="CI301" s="182"/>
      <c r="CJ301" s="177"/>
      <c r="CK301" s="182"/>
      <c r="CL301" s="177"/>
      <c r="CM301" s="182"/>
      <c r="CN301" s="177"/>
      <c r="CO301" s="182"/>
      <c r="CP301" s="177"/>
      <c r="CQ301" s="178"/>
      <c r="CR301" s="182"/>
      <c r="CS301" s="65"/>
      <c r="CT301" s="64"/>
      <c r="CU301" s="165" t="str">
        <f t="shared" si="2"/>
        <v/>
      </c>
    </row>
    <row r="302" ht="60.0" hidden="1" customHeight="1">
      <c r="A302" s="65"/>
      <c r="C302" s="167"/>
      <c r="D302" s="205"/>
      <c r="E302" s="206"/>
      <c r="F302" s="169"/>
      <c r="G302" s="207"/>
      <c r="H302" s="208"/>
      <c r="I302" s="169"/>
      <c r="J302" s="170"/>
      <c r="K302" s="171"/>
      <c r="L302" s="171"/>
      <c r="M302" s="171"/>
      <c r="N302" s="209"/>
      <c r="O302" s="172">
        <f t="shared" si="54"/>
        <v>0</v>
      </c>
      <c r="P302" s="166"/>
      <c r="Q302" s="173"/>
      <c r="R302" s="65"/>
      <c r="S302" s="173"/>
      <c r="T302" s="173"/>
      <c r="U302" s="166"/>
      <c r="V302" s="166"/>
      <c r="W302" s="65"/>
      <c r="X302" s="66"/>
      <c r="Y302" s="173"/>
      <c r="Z302" s="166"/>
      <c r="AA302" s="174"/>
      <c r="AB302" s="175"/>
      <c r="AC302" s="175"/>
      <c r="AD302" s="175"/>
      <c r="AE302" s="175"/>
      <c r="AF302" s="175"/>
      <c r="AG302" s="175"/>
      <c r="AH302" s="175"/>
      <c r="AI302" s="176"/>
      <c r="AJ302" s="177"/>
      <c r="AK302" s="178"/>
      <c r="AL302" s="178"/>
      <c r="AM302" s="178"/>
      <c r="AN302" s="178"/>
      <c r="AO302" s="179"/>
      <c r="AP302" s="64"/>
      <c r="AQ302" s="65"/>
      <c r="AR302" s="65"/>
      <c r="AS302" s="65"/>
      <c r="AT302" s="173"/>
      <c r="AU302" s="177"/>
      <c r="AV302" s="178"/>
      <c r="AW302" s="178"/>
      <c r="AX302" s="179"/>
      <c r="AZ302" s="166"/>
      <c r="BA302" s="177"/>
      <c r="BB302" s="178"/>
      <c r="BC302" s="178"/>
      <c r="BD302" s="178"/>
      <c r="BE302" s="178"/>
      <c r="BF302" s="178"/>
      <c r="BG302" s="178"/>
      <c r="BH302" s="178"/>
      <c r="BI302" s="179"/>
      <c r="BJ302" s="180"/>
      <c r="BK302" s="178"/>
      <c r="BL302" s="178"/>
      <c r="BM302" s="178"/>
      <c r="BN302" s="178"/>
      <c r="BO302" s="181"/>
      <c r="BP302" s="166"/>
      <c r="BQ302" s="177"/>
      <c r="BR302" s="178"/>
      <c r="BS302" s="179"/>
      <c r="BU302" s="166"/>
      <c r="BV302" s="166"/>
      <c r="BW302" s="166"/>
      <c r="BX302" s="166"/>
      <c r="BY302" s="166"/>
      <c r="BZ302" s="166"/>
      <c r="CA302" s="166"/>
      <c r="CB302" s="166"/>
      <c r="CC302" s="166"/>
      <c r="CD302" s="177"/>
      <c r="CE302" s="181"/>
      <c r="CF302" s="177"/>
      <c r="CG302" s="181"/>
      <c r="CH302" s="177"/>
      <c r="CI302" s="182"/>
      <c r="CJ302" s="177"/>
      <c r="CK302" s="182"/>
      <c r="CL302" s="177"/>
      <c r="CM302" s="182"/>
      <c r="CN302" s="177"/>
      <c r="CO302" s="182"/>
      <c r="CP302" s="177"/>
      <c r="CQ302" s="178"/>
      <c r="CR302" s="182"/>
      <c r="CS302" s="65"/>
      <c r="CT302" s="64"/>
      <c r="CU302" s="165" t="str">
        <f t="shared" si="2"/>
        <v/>
      </c>
    </row>
    <row r="303" ht="60.0" hidden="1" customHeight="1">
      <c r="A303" s="65"/>
      <c r="C303" s="167"/>
      <c r="D303" s="205"/>
      <c r="E303" s="206"/>
      <c r="F303" s="169"/>
      <c r="G303" s="207"/>
      <c r="H303" s="208"/>
      <c r="I303" s="169"/>
      <c r="J303" s="170"/>
      <c r="K303" s="171"/>
      <c r="L303" s="171"/>
      <c r="M303" s="171"/>
      <c r="N303" s="209"/>
      <c r="O303" s="172">
        <f t="shared" si="54"/>
        <v>0</v>
      </c>
      <c r="P303" s="166"/>
      <c r="Q303" s="173"/>
      <c r="R303" s="65"/>
      <c r="S303" s="173"/>
      <c r="T303" s="173"/>
      <c r="U303" s="166"/>
      <c r="V303" s="166"/>
      <c r="W303" s="65"/>
      <c r="X303" s="66"/>
      <c r="Y303" s="173"/>
      <c r="Z303" s="166"/>
      <c r="AA303" s="174"/>
      <c r="AB303" s="175"/>
      <c r="AC303" s="175"/>
      <c r="AD303" s="175"/>
      <c r="AE303" s="175"/>
      <c r="AF303" s="175"/>
      <c r="AG303" s="175"/>
      <c r="AH303" s="175"/>
      <c r="AI303" s="176"/>
      <c r="AJ303" s="177"/>
      <c r="AK303" s="178"/>
      <c r="AL303" s="178"/>
      <c r="AM303" s="178"/>
      <c r="AN303" s="178"/>
      <c r="AO303" s="179"/>
      <c r="AP303" s="64"/>
      <c r="AQ303" s="65"/>
      <c r="AR303" s="65"/>
      <c r="AS303" s="65"/>
      <c r="AT303" s="173"/>
      <c r="AU303" s="177"/>
      <c r="AV303" s="178"/>
      <c r="AW303" s="178"/>
      <c r="AX303" s="179"/>
      <c r="AZ303" s="166"/>
      <c r="BA303" s="177"/>
      <c r="BB303" s="178"/>
      <c r="BC303" s="178"/>
      <c r="BD303" s="178"/>
      <c r="BE303" s="178"/>
      <c r="BF303" s="178"/>
      <c r="BG303" s="178"/>
      <c r="BH303" s="178"/>
      <c r="BI303" s="179"/>
      <c r="BJ303" s="180"/>
      <c r="BK303" s="178"/>
      <c r="BL303" s="178"/>
      <c r="BM303" s="178"/>
      <c r="BN303" s="178"/>
      <c r="BO303" s="181"/>
      <c r="BP303" s="166"/>
      <c r="BQ303" s="177"/>
      <c r="BR303" s="178"/>
      <c r="BS303" s="179"/>
      <c r="BU303" s="166"/>
      <c r="BV303" s="166"/>
      <c r="BW303" s="166"/>
      <c r="BX303" s="166"/>
      <c r="BY303" s="166"/>
      <c r="BZ303" s="166"/>
      <c r="CA303" s="166"/>
      <c r="CB303" s="166"/>
      <c r="CC303" s="166"/>
      <c r="CD303" s="177"/>
      <c r="CE303" s="181"/>
      <c r="CF303" s="177"/>
      <c r="CG303" s="181"/>
      <c r="CH303" s="177"/>
      <c r="CI303" s="182"/>
      <c r="CJ303" s="177"/>
      <c r="CK303" s="182"/>
      <c r="CL303" s="177"/>
      <c r="CM303" s="182"/>
      <c r="CN303" s="177"/>
      <c r="CO303" s="182"/>
      <c r="CP303" s="177"/>
      <c r="CQ303" s="178"/>
      <c r="CR303" s="182"/>
      <c r="CS303" s="65"/>
      <c r="CT303" s="64"/>
      <c r="CU303" s="165" t="str">
        <f t="shared" si="2"/>
        <v/>
      </c>
    </row>
    <row r="304" ht="60.0" hidden="1" customHeight="1">
      <c r="A304" s="89"/>
      <c r="B304" s="6"/>
      <c r="C304" s="183"/>
      <c r="D304" s="210"/>
      <c r="E304" s="211"/>
      <c r="F304" s="185"/>
      <c r="G304" s="212"/>
      <c r="H304" s="213"/>
      <c r="I304" s="185"/>
      <c r="J304" s="186"/>
      <c r="K304" s="187"/>
      <c r="L304" s="187"/>
      <c r="M304" s="187"/>
      <c r="N304" s="214"/>
      <c r="O304" s="188">
        <f t="shared" si="54"/>
        <v>0</v>
      </c>
      <c r="P304" s="63"/>
      <c r="Q304" s="69"/>
      <c r="R304" s="89"/>
      <c r="S304" s="69"/>
      <c r="T304" s="69"/>
      <c r="U304" s="63"/>
      <c r="V304" s="63"/>
      <c r="W304" s="89"/>
      <c r="X304" s="68"/>
      <c r="Y304" s="69"/>
      <c r="Z304" s="63"/>
      <c r="AA304" s="189"/>
      <c r="AB304" s="190"/>
      <c r="AC304" s="190"/>
      <c r="AD304" s="190"/>
      <c r="AE304" s="190"/>
      <c r="AF304" s="190"/>
      <c r="AG304" s="190"/>
      <c r="AH304" s="190"/>
      <c r="AI304" s="191"/>
      <c r="AJ304" s="192"/>
      <c r="AK304" s="193"/>
      <c r="AL304" s="193"/>
      <c r="AM304" s="193"/>
      <c r="AN304" s="193"/>
      <c r="AO304" s="194"/>
      <c r="AP304" s="103"/>
      <c r="AQ304" s="89"/>
      <c r="AR304" s="89"/>
      <c r="AS304" s="89"/>
      <c r="AT304" s="69"/>
      <c r="AU304" s="192"/>
      <c r="AV304" s="193"/>
      <c r="AW304" s="193"/>
      <c r="AX304" s="194"/>
      <c r="AY304" s="6"/>
      <c r="AZ304" s="63"/>
      <c r="BA304" s="192"/>
      <c r="BB304" s="193"/>
      <c r="BC304" s="193"/>
      <c r="BD304" s="193"/>
      <c r="BE304" s="193"/>
      <c r="BF304" s="193"/>
      <c r="BG304" s="193"/>
      <c r="BH304" s="193"/>
      <c r="BI304" s="194"/>
      <c r="BJ304" s="195"/>
      <c r="BK304" s="193"/>
      <c r="BL304" s="193"/>
      <c r="BM304" s="193"/>
      <c r="BN304" s="193"/>
      <c r="BO304" s="196"/>
      <c r="BP304" s="63"/>
      <c r="BQ304" s="192"/>
      <c r="BR304" s="193"/>
      <c r="BS304" s="194"/>
      <c r="BT304" s="6"/>
      <c r="BU304" s="63"/>
      <c r="BV304" s="63"/>
      <c r="BW304" s="63"/>
      <c r="BX304" s="63"/>
      <c r="BY304" s="63"/>
      <c r="BZ304" s="63"/>
      <c r="CA304" s="63"/>
      <c r="CB304" s="63"/>
      <c r="CC304" s="63"/>
      <c r="CD304" s="192"/>
      <c r="CE304" s="196"/>
      <c r="CF304" s="192"/>
      <c r="CG304" s="196"/>
      <c r="CH304" s="192"/>
      <c r="CI304" s="197"/>
      <c r="CJ304" s="192"/>
      <c r="CK304" s="197"/>
      <c r="CL304" s="192"/>
      <c r="CM304" s="197"/>
      <c r="CN304" s="192"/>
      <c r="CO304" s="197"/>
      <c r="CP304" s="192"/>
      <c r="CQ304" s="193"/>
      <c r="CR304" s="197"/>
      <c r="CS304" s="89"/>
      <c r="CT304" s="103"/>
      <c r="CU304" s="165" t="str">
        <f t="shared" si="2"/>
        <v/>
      </c>
    </row>
    <row r="305" ht="56.25" hidden="1" customHeight="1">
      <c r="A305" s="125">
        <v>28.0</v>
      </c>
      <c r="B305" s="199"/>
      <c r="C305" s="127"/>
      <c r="D305" s="128"/>
      <c r="E305" s="215"/>
      <c r="F305" s="216"/>
      <c r="G305" s="217"/>
      <c r="H305" s="218"/>
      <c r="I305" s="216"/>
      <c r="J305" s="170"/>
      <c r="K305" s="219"/>
      <c r="L305" s="219"/>
      <c r="M305" s="219"/>
      <c r="N305" s="220"/>
      <c r="O305" s="132">
        <f t="shared" si="54"/>
        <v>0</v>
      </c>
      <c r="P305" s="133">
        <f>COUNTIF(K305:K315,"TL")*0.75+COUNTIF(K305:K315,"Lec")*1+COUNTIF(K305:K315,"Lab")*0.5</f>
        <v>0</v>
      </c>
      <c r="Q305" s="134">
        <f>SUM((IF(LEFT(K305,1)="E",O305,0)),(IF(LEFT(K306,1)="E",O306,0)),(IF(LEFT(K307,1)="E",O307,0)),(IF(LEFT(K308,1)="E",O308,0)),(IF(LEFT(K309,1)="E",O309,0)),(IF(LEFT(K310,1)="E",O310,0)),(IF(LEFT(K311,1)="E",O311,0)),(IF(LEFT(K312,1)="E",O312,0)),(IF(LEFT(K313,1)="E",O313,0)),(IF(LEFT(K314,1)="E",O314,0)),(IF(LEFT(K315,1)="E",O315,0)))</f>
        <v>0</v>
      </c>
      <c r="R305" s="135">
        <f>SUM(IF(M311&lt;20,IF(K311="Plec",-1,IF(K311="PTL",-0.75,IF(K311="Plab",-0.5,0))),0),IF(M312&lt;20,IF(K312="Plec",-1,IF(K312="PTL",-0.75,IF(K312="Plab",-0.5,0))),0),IF(M313&lt;20,IF(K313="Plec",-1,IF(K313="PTL",-0.75,IF(K313="Plab",-0.5,0))),0),IF(M314&lt;20,IF(K314="Plec",-1,IF(K314="PTL",-0.75,IF(K314="Plab",-0.5,0))),0))</f>
        <v>0</v>
      </c>
      <c r="S305" s="134">
        <f>SUM(P305:R315)</f>
        <v>0</v>
      </c>
      <c r="T305" s="136">
        <f>SUM(IF(M305="M",IF(OR(K305="lec",K305="plec",K305="slec"),1,IF(OR(K305="lab",K305="plab",K305="slab",K305="tut",K305="ptut",K305="stut"),0.5,IF(OR(K305="TL",K305="pTL",K305="STL"),0.75,0))),0),IF(M306="M",IF(OR(K306="lec",K306="plec",K306="slec"),1,IF(OR(K306="lab",K306="plab",K306="slab",K306="tut",K306="ptut",K306="stut"),0.5,IF(OR(K306="TL",K306="pTL",K306="STL"),0.75,0))),0),IF(M307="M",IF(OR(K307="lec",K307="plec",K307="slec"),1,IF(OR(K307="lab",K307="plab",K307="slab",K307="tut",K307="ptut",K307="stut"),0.5,IF(OR(K307="TL",K307="pTL",K307="STL"),0.75,0))),0),IF(M308="M",IF(OR(K308="lec",K308="plec",K308="slec"),1,IF(OR(K308="lab",K308="plab",K308="slab",K308="tut",K308="ptut",K308="stut"),0.5,IF(OR(K308="TL",K308="pTL",K308="STL"),0.75,0))),0),IF(M309="M",IF(OR(K309="lec",K309="plec",K309="slec"),1,IF(OR(K309="lab",K309="plab",K309="slab",K309="tut",K309="ptut",K309="stut"),0.5,IF(OR(K309="TL",K309="pTL",K309="STL"),0.75,0))),0),IF(M310="M",IF(OR(K310="lec",K310="plec",K310="slec"),1,IF(OR(K310="lab",K310="plab",K310="slab",K310="tut",K310="ptut",K310="stut"),0.5,IF(OR(K310="TL",K310="pTL",K310="STL"),0.75,0))),0),IF(M311="M",IF(OR(K311="lec",K311="plec",K311="slec"),1,IF(OR(K311="lab",K311="plab",K311="slab",K311="tut",K311="ptut",K311="stut"),0.5,IF(OR(K311="TL",K311="pTL",K311="STL"),0.75,0))),0),IF(M312="M",IF(OR(K312="lec",K312="plec",K312="slec"),1,IF(OR(K312="lab",K312="plab",K312="slab",K312="tut",K312="ptut",K312="stut"),0.5,IF(OR(K312="TL",K312="pTL",K312="STL"),0.75,0))),0),IF(M313="M",IF(OR(K313="lec",K313="plec",K313="slec"),1,IF(OR(K313="lab",K313="plab",K313="slab",K313="tut",K313="ptut",K313="stut"),0.5,IF(OR(K313="TL",K313="pTL",K313="STL"),0.75,0))),0),IF(M314="M",IF(OR(K314="lec",K314="plec",K314="slec"),1,IF(OR(K314="lab",K314="plab",K314="slab",K314="tut",K314="ptut",K314="stut"),0.5,IF(OR(K314="TL",K314="pTL",K314="STL"),0.75,0))),0),IF(M315="M",IF(OR(K315="lec",K315="plec",K315="slec"),1,IF(OR(K315="lab",K315="plab",K315="slab",K315="tut",K315="ptut",K315="stut"),0.5,IF(OR(K315="TL",K315="pTL",K315="STL"),0.75,0))),0))</f>
        <v>0</v>
      </c>
      <c r="U305" s="137"/>
      <c r="V305" s="133"/>
      <c r="W305" s="138"/>
      <c r="X305" s="139">
        <f>S305-(T305+U305+V305+W305)</f>
        <v>0</v>
      </c>
      <c r="Y305" s="134" t="str">
        <f>CONCATENATE(SUM(O305:O315),"(",SUM(O305:O315)-X305,")")</f>
        <v>0(0)</v>
      </c>
      <c r="Z305" s="140"/>
      <c r="AA305" s="141"/>
      <c r="AB305" s="142"/>
      <c r="AC305" s="142"/>
      <c r="AD305" s="142"/>
      <c r="AE305" s="142"/>
      <c r="AF305" s="142"/>
      <c r="AG305" s="142"/>
      <c r="AH305" s="142"/>
      <c r="AI305" s="143"/>
      <c r="AJ305" s="144"/>
      <c r="AK305" s="145"/>
      <c r="AL305" s="145"/>
      <c r="AM305" s="145"/>
      <c r="AN305" s="145"/>
      <c r="AO305" s="146"/>
      <c r="AP305" s="147">
        <f>SUM(SUM(O305:O315),SUM(AI305:AI315)/2,AM305)</f>
        <v>0</v>
      </c>
      <c r="AQ305" s="148"/>
      <c r="AR305" s="148">
        <f>AP305*AQ305</f>
        <v>0</v>
      </c>
      <c r="AS305" s="148">
        <f>CT305</f>
        <v>0</v>
      </c>
      <c r="AT305" s="149">
        <f>AR305*0.75+AS305*0.25</f>
        <v>0</v>
      </c>
      <c r="AU305" s="150"/>
      <c r="AV305" s="151"/>
      <c r="AW305" s="151"/>
      <c r="AX305" s="152"/>
      <c r="AY305" s="153"/>
      <c r="AZ305" s="140"/>
      <c r="BA305" s="150"/>
      <c r="BB305" s="151"/>
      <c r="BC305" s="151"/>
      <c r="BD305" s="151"/>
      <c r="BE305" s="151"/>
      <c r="BF305" s="151"/>
      <c r="BG305" s="151"/>
      <c r="BH305" s="151"/>
      <c r="BI305" s="152"/>
      <c r="BJ305" s="154"/>
      <c r="BK305" s="151"/>
      <c r="BL305" s="151"/>
      <c r="BM305" s="151"/>
      <c r="BN305" s="151"/>
      <c r="BO305" s="155"/>
      <c r="BP305" s="140"/>
      <c r="BQ305" s="156"/>
      <c r="BR305" s="157"/>
      <c r="BS305" s="158"/>
      <c r="BT305" s="153"/>
      <c r="BU305" s="140"/>
      <c r="BV305" s="140"/>
      <c r="BW305" s="140"/>
      <c r="BX305" s="140"/>
      <c r="BY305" s="140"/>
      <c r="BZ305" s="140"/>
      <c r="CA305" s="140"/>
      <c r="CB305" s="140"/>
      <c r="CC305" s="140"/>
      <c r="CD305" s="150"/>
      <c r="CE305" s="155"/>
      <c r="CF305" s="150"/>
      <c r="CG305" s="155"/>
      <c r="CH305" s="159"/>
      <c r="CI305" s="160"/>
      <c r="CJ305" s="159"/>
      <c r="CK305" s="160"/>
      <c r="CL305" s="159"/>
      <c r="CM305" s="160"/>
      <c r="CN305" s="159"/>
      <c r="CO305" s="160"/>
      <c r="CP305" s="159"/>
      <c r="CQ305" s="162"/>
      <c r="CR305" s="160"/>
      <c r="CS305" s="163">
        <f>SUM(IF(AU305&lt;0,ABS(AU305),0),IF(AZ305&lt;0,ABS(AZ305),0),ABS(CI305),ABS(CK305),ABS(CM305),ABS(CO305),ABS(CQ305),ABS(CR305))</f>
        <v>0</v>
      </c>
      <c r="CT305" s="164">
        <f>SUM(AU305,AV305,AW305,AX305/400,AY305,AZ305,BG305,BH305*0.5,BI305*0.25,BJ305,BK305,BL305,BM305,BN305,BO305,BP305,BR305/20,BS305/100,BT305/60,BU305,BV305,BW305,BX305/5,SUM(BY305:CC315)/3,CE305,CG305/3,CI305,CK305,CM305,CO305,CQ305,CR305)</f>
        <v>0</v>
      </c>
      <c r="CU305" s="165" t="str">
        <f t="shared" si="2"/>
        <v/>
      </c>
    </row>
    <row r="306" ht="60.0" hidden="1" customHeight="1">
      <c r="A306" s="65"/>
      <c r="C306" s="167"/>
      <c r="D306" s="205"/>
      <c r="E306" s="206"/>
      <c r="F306" s="169"/>
      <c r="G306" s="207"/>
      <c r="H306" s="208"/>
      <c r="I306" s="169"/>
      <c r="J306" s="170"/>
      <c r="K306" s="171"/>
      <c r="L306" s="171"/>
      <c r="M306" s="171"/>
      <c r="N306" s="209"/>
      <c r="O306" s="172">
        <f t="shared" si="54"/>
        <v>0</v>
      </c>
      <c r="P306" s="166"/>
      <c r="Q306" s="173"/>
      <c r="R306" s="65"/>
      <c r="S306" s="173"/>
      <c r="T306" s="173"/>
      <c r="U306" s="166"/>
      <c r="V306" s="166"/>
      <c r="W306" s="65"/>
      <c r="X306" s="66"/>
      <c r="Y306" s="173"/>
      <c r="Z306" s="166"/>
      <c r="AA306" s="174"/>
      <c r="AB306" s="175"/>
      <c r="AC306" s="175"/>
      <c r="AD306" s="175"/>
      <c r="AE306" s="175"/>
      <c r="AF306" s="175"/>
      <c r="AG306" s="175"/>
      <c r="AH306" s="175"/>
      <c r="AI306" s="176"/>
      <c r="AJ306" s="177"/>
      <c r="AK306" s="178"/>
      <c r="AL306" s="178"/>
      <c r="AM306" s="178"/>
      <c r="AN306" s="178"/>
      <c r="AO306" s="179"/>
      <c r="AP306" s="64"/>
      <c r="AQ306" s="65"/>
      <c r="AR306" s="65"/>
      <c r="AS306" s="65"/>
      <c r="AT306" s="173"/>
      <c r="AU306" s="177"/>
      <c r="AV306" s="178"/>
      <c r="AW306" s="178"/>
      <c r="AX306" s="179"/>
      <c r="AZ306" s="166"/>
      <c r="BA306" s="177"/>
      <c r="BB306" s="178"/>
      <c r="BC306" s="178"/>
      <c r="BD306" s="178"/>
      <c r="BE306" s="178"/>
      <c r="BF306" s="178"/>
      <c r="BG306" s="178"/>
      <c r="BH306" s="178"/>
      <c r="BI306" s="179"/>
      <c r="BJ306" s="180"/>
      <c r="BK306" s="178"/>
      <c r="BL306" s="178"/>
      <c r="BM306" s="178"/>
      <c r="BN306" s="178"/>
      <c r="BO306" s="181"/>
      <c r="BP306" s="166"/>
      <c r="BQ306" s="177"/>
      <c r="BR306" s="178"/>
      <c r="BS306" s="179"/>
      <c r="BU306" s="166"/>
      <c r="BV306" s="166"/>
      <c r="BW306" s="166"/>
      <c r="BX306" s="166"/>
      <c r="BY306" s="166"/>
      <c r="BZ306" s="166"/>
      <c r="CA306" s="166"/>
      <c r="CB306" s="166"/>
      <c r="CC306" s="166"/>
      <c r="CD306" s="177"/>
      <c r="CE306" s="181"/>
      <c r="CF306" s="177"/>
      <c r="CG306" s="181"/>
      <c r="CH306" s="177"/>
      <c r="CI306" s="182"/>
      <c r="CJ306" s="177"/>
      <c r="CK306" s="182"/>
      <c r="CL306" s="177"/>
      <c r="CM306" s="182"/>
      <c r="CN306" s="177"/>
      <c r="CO306" s="182"/>
      <c r="CP306" s="177"/>
      <c r="CQ306" s="178"/>
      <c r="CR306" s="182"/>
      <c r="CS306" s="65"/>
      <c r="CT306" s="64"/>
      <c r="CU306" s="165" t="str">
        <f t="shared" si="2"/>
        <v/>
      </c>
    </row>
    <row r="307" ht="60.0" hidden="1" customHeight="1">
      <c r="A307" s="65"/>
      <c r="C307" s="167"/>
      <c r="D307" s="205"/>
      <c r="E307" s="206"/>
      <c r="F307" s="169"/>
      <c r="G307" s="207"/>
      <c r="H307" s="208"/>
      <c r="I307" s="169"/>
      <c r="J307" s="170"/>
      <c r="K307" s="171"/>
      <c r="L307" s="171"/>
      <c r="M307" s="171"/>
      <c r="N307" s="209"/>
      <c r="O307" s="172">
        <f t="shared" si="54"/>
        <v>0</v>
      </c>
      <c r="P307" s="166"/>
      <c r="Q307" s="173"/>
      <c r="R307" s="65"/>
      <c r="S307" s="173"/>
      <c r="T307" s="173"/>
      <c r="U307" s="166"/>
      <c r="V307" s="166"/>
      <c r="W307" s="65"/>
      <c r="X307" s="66"/>
      <c r="Y307" s="173"/>
      <c r="Z307" s="166"/>
      <c r="AA307" s="174"/>
      <c r="AB307" s="175"/>
      <c r="AC307" s="175"/>
      <c r="AD307" s="175"/>
      <c r="AE307" s="175"/>
      <c r="AF307" s="175"/>
      <c r="AG307" s="175"/>
      <c r="AH307" s="175"/>
      <c r="AI307" s="176"/>
      <c r="AJ307" s="177"/>
      <c r="AK307" s="178"/>
      <c r="AL307" s="178"/>
      <c r="AM307" s="178"/>
      <c r="AN307" s="178"/>
      <c r="AO307" s="179"/>
      <c r="AP307" s="64"/>
      <c r="AQ307" s="65"/>
      <c r="AR307" s="65"/>
      <c r="AS307" s="65"/>
      <c r="AT307" s="173"/>
      <c r="AU307" s="177"/>
      <c r="AV307" s="178"/>
      <c r="AW307" s="178"/>
      <c r="AX307" s="179"/>
      <c r="AZ307" s="166"/>
      <c r="BA307" s="177"/>
      <c r="BB307" s="178"/>
      <c r="BC307" s="178"/>
      <c r="BD307" s="178"/>
      <c r="BE307" s="178"/>
      <c r="BF307" s="178"/>
      <c r="BG307" s="178"/>
      <c r="BH307" s="178"/>
      <c r="BI307" s="179"/>
      <c r="BJ307" s="180"/>
      <c r="BK307" s="178"/>
      <c r="BL307" s="178"/>
      <c r="BM307" s="178"/>
      <c r="BN307" s="178"/>
      <c r="BO307" s="181"/>
      <c r="BP307" s="166"/>
      <c r="BQ307" s="177"/>
      <c r="BR307" s="178"/>
      <c r="BS307" s="179"/>
      <c r="BU307" s="166"/>
      <c r="BV307" s="166"/>
      <c r="BW307" s="166"/>
      <c r="BX307" s="166"/>
      <c r="BY307" s="166"/>
      <c r="BZ307" s="166"/>
      <c r="CA307" s="166"/>
      <c r="CB307" s="166"/>
      <c r="CC307" s="166"/>
      <c r="CD307" s="177"/>
      <c r="CE307" s="181"/>
      <c r="CF307" s="177"/>
      <c r="CG307" s="181"/>
      <c r="CH307" s="177"/>
      <c r="CI307" s="182"/>
      <c r="CJ307" s="177"/>
      <c r="CK307" s="182"/>
      <c r="CL307" s="177"/>
      <c r="CM307" s="182"/>
      <c r="CN307" s="177"/>
      <c r="CO307" s="182"/>
      <c r="CP307" s="177"/>
      <c r="CQ307" s="178"/>
      <c r="CR307" s="182"/>
      <c r="CS307" s="65"/>
      <c r="CT307" s="64"/>
      <c r="CU307" s="165" t="str">
        <f t="shared" si="2"/>
        <v/>
      </c>
    </row>
    <row r="308" ht="60.0" hidden="1" customHeight="1">
      <c r="A308" s="65"/>
      <c r="C308" s="167"/>
      <c r="D308" s="205"/>
      <c r="E308" s="206"/>
      <c r="F308" s="169"/>
      <c r="G308" s="207"/>
      <c r="H308" s="208"/>
      <c r="I308" s="169"/>
      <c r="J308" s="170"/>
      <c r="K308" s="171"/>
      <c r="L308" s="171"/>
      <c r="M308" s="171"/>
      <c r="N308" s="209"/>
      <c r="O308" s="172">
        <f t="shared" si="54"/>
        <v>0</v>
      </c>
      <c r="P308" s="166"/>
      <c r="Q308" s="173"/>
      <c r="R308" s="65"/>
      <c r="S308" s="173"/>
      <c r="T308" s="173"/>
      <c r="U308" s="166"/>
      <c r="V308" s="166"/>
      <c r="W308" s="65"/>
      <c r="X308" s="66"/>
      <c r="Y308" s="173"/>
      <c r="Z308" s="166"/>
      <c r="AA308" s="174"/>
      <c r="AB308" s="175"/>
      <c r="AC308" s="175"/>
      <c r="AD308" s="175"/>
      <c r="AE308" s="175"/>
      <c r="AF308" s="175"/>
      <c r="AG308" s="175"/>
      <c r="AH308" s="175"/>
      <c r="AI308" s="176"/>
      <c r="AJ308" s="177"/>
      <c r="AK308" s="178"/>
      <c r="AL308" s="178"/>
      <c r="AM308" s="178"/>
      <c r="AN308" s="178"/>
      <c r="AO308" s="179"/>
      <c r="AP308" s="64"/>
      <c r="AQ308" s="65"/>
      <c r="AR308" s="65"/>
      <c r="AS308" s="65"/>
      <c r="AT308" s="173"/>
      <c r="AU308" s="177"/>
      <c r="AV308" s="178"/>
      <c r="AW308" s="178"/>
      <c r="AX308" s="179"/>
      <c r="AZ308" s="166"/>
      <c r="BA308" s="177"/>
      <c r="BB308" s="178"/>
      <c r="BC308" s="178"/>
      <c r="BD308" s="178"/>
      <c r="BE308" s="178"/>
      <c r="BF308" s="178"/>
      <c r="BG308" s="178"/>
      <c r="BH308" s="178"/>
      <c r="BI308" s="179"/>
      <c r="BJ308" s="180"/>
      <c r="BK308" s="178"/>
      <c r="BL308" s="178"/>
      <c r="BM308" s="178"/>
      <c r="BN308" s="178"/>
      <c r="BO308" s="181"/>
      <c r="BP308" s="166"/>
      <c r="BQ308" s="177"/>
      <c r="BR308" s="178"/>
      <c r="BS308" s="179"/>
      <c r="BU308" s="166"/>
      <c r="BV308" s="166"/>
      <c r="BW308" s="166"/>
      <c r="BX308" s="166"/>
      <c r="BY308" s="166"/>
      <c r="BZ308" s="166"/>
      <c r="CA308" s="166"/>
      <c r="CB308" s="166"/>
      <c r="CC308" s="166"/>
      <c r="CD308" s="177"/>
      <c r="CE308" s="181"/>
      <c r="CF308" s="177"/>
      <c r="CG308" s="181"/>
      <c r="CH308" s="177"/>
      <c r="CI308" s="182"/>
      <c r="CJ308" s="177"/>
      <c r="CK308" s="182"/>
      <c r="CL308" s="177"/>
      <c r="CM308" s="182"/>
      <c r="CN308" s="177"/>
      <c r="CO308" s="182"/>
      <c r="CP308" s="177"/>
      <c r="CQ308" s="178"/>
      <c r="CR308" s="182"/>
      <c r="CS308" s="65"/>
      <c r="CT308" s="64"/>
      <c r="CU308" s="165" t="str">
        <f t="shared" si="2"/>
        <v/>
      </c>
    </row>
    <row r="309" ht="60.0" hidden="1" customHeight="1">
      <c r="A309" s="65"/>
      <c r="C309" s="167"/>
      <c r="D309" s="205"/>
      <c r="E309" s="206"/>
      <c r="F309" s="169"/>
      <c r="G309" s="207"/>
      <c r="H309" s="208"/>
      <c r="I309" s="169"/>
      <c r="J309" s="170"/>
      <c r="K309" s="171"/>
      <c r="L309" s="171"/>
      <c r="M309" s="171"/>
      <c r="N309" s="209"/>
      <c r="O309" s="172">
        <f t="shared" si="54"/>
        <v>0</v>
      </c>
      <c r="P309" s="166"/>
      <c r="Q309" s="173"/>
      <c r="R309" s="65"/>
      <c r="S309" s="173"/>
      <c r="T309" s="173"/>
      <c r="U309" s="166"/>
      <c r="V309" s="166"/>
      <c r="W309" s="65"/>
      <c r="X309" s="66"/>
      <c r="Y309" s="173"/>
      <c r="Z309" s="166"/>
      <c r="AA309" s="174"/>
      <c r="AB309" s="175"/>
      <c r="AC309" s="175"/>
      <c r="AD309" s="175"/>
      <c r="AE309" s="175"/>
      <c r="AF309" s="175"/>
      <c r="AG309" s="175"/>
      <c r="AH309" s="175"/>
      <c r="AI309" s="176"/>
      <c r="AJ309" s="177"/>
      <c r="AK309" s="178"/>
      <c r="AL309" s="178"/>
      <c r="AM309" s="178"/>
      <c r="AN309" s="178"/>
      <c r="AO309" s="179"/>
      <c r="AP309" s="64"/>
      <c r="AQ309" s="65"/>
      <c r="AR309" s="65"/>
      <c r="AS309" s="65"/>
      <c r="AT309" s="173"/>
      <c r="AU309" s="177"/>
      <c r="AV309" s="178"/>
      <c r="AW309" s="178"/>
      <c r="AX309" s="179"/>
      <c r="AZ309" s="166"/>
      <c r="BA309" s="177"/>
      <c r="BB309" s="178"/>
      <c r="BC309" s="178"/>
      <c r="BD309" s="178"/>
      <c r="BE309" s="178"/>
      <c r="BF309" s="178"/>
      <c r="BG309" s="178"/>
      <c r="BH309" s="178"/>
      <c r="BI309" s="179"/>
      <c r="BJ309" s="180"/>
      <c r="BK309" s="178"/>
      <c r="BL309" s="178"/>
      <c r="BM309" s="178"/>
      <c r="BN309" s="178"/>
      <c r="BO309" s="181"/>
      <c r="BP309" s="166"/>
      <c r="BQ309" s="177"/>
      <c r="BR309" s="178"/>
      <c r="BS309" s="179"/>
      <c r="BU309" s="166"/>
      <c r="BV309" s="166"/>
      <c r="BW309" s="166"/>
      <c r="BX309" s="166"/>
      <c r="BY309" s="166"/>
      <c r="BZ309" s="166"/>
      <c r="CA309" s="166"/>
      <c r="CB309" s="166"/>
      <c r="CC309" s="166"/>
      <c r="CD309" s="177"/>
      <c r="CE309" s="181"/>
      <c r="CF309" s="177"/>
      <c r="CG309" s="181"/>
      <c r="CH309" s="177"/>
      <c r="CI309" s="182"/>
      <c r="CJ309" s="177"/>
      <c r="CK309" s="182"/>
      <c r="CL309" s="177"/>
      <c r="CM309" s="182"/>
      <c r="CN309" s="177"/>
      <c r="CO309" s="182"/>
      <c r="CP309" s="177"/>
      <c r="CQ309" s="178"/>
      <c r="CR309" s="182"/>
      <c r="CS309" s="65"/>
      <c r="CT309" s="64"/>
      <c r="CU309" s="165" t="str">
        <f t="shared" si="2"/>
        <v/>
      </c>
    </row>
    <row r="310" ht="60.0" hidden="1" customHeight="1">
      <c r="A310" s="65"/>
      <c r="C310" s="167"/>
      <c r="D310" s="205"/>
      <c r="E310" s="206"/>
      <c r="F310" s="169"/>
      <c r="G310" s="207"/>
      <c r="H310" s="208"/>
      <c r="I310" s="169"/>
      <c r="J310" s="170"/>
      <c r="K310" s="171"/>
      <c r="L310" s="171"/>
      <c r="M310" s="171"/>
      <c r="N310" s="209"/>
      <c r="O310" s="172">
        <f t="shared" si="54"/>
        <v>0</v>
      </c>
      <c r="P310" s="166"/>
      <c r="Q310" s="173"/>
      <c r="R310" s="65"/>
      <c r="S310" s="173"/>
      <c r="T310" s="173"/>
      <c r="U310" s="166"/>
      <c r="V310" s="166"/>
      <c r="W310" s="65"/>
      <c r="X310" s="66"/>
      <c r="Y310" s="173"/>
      <c r="Z310" s="166"/>
      <c r="AA310" s="174"/>
      <c r="AB310" s="175"/>
      <c r="AC310" s="175"/>
      <c r="AD310" s="175"/>
      <c r="AE310" s="175"/>
      <c r="AF310" s="175"/>
      <c r="AG310" s="175"/>
      <c r="AH310" s="175"/>
      <c r="AI310" s="176"/>
      <c r="AJ310" s="177"/>
      <c r="AK310" s="178"/>
      <c r="AL310" s="178"/>
      <c r="AM310" s="178"/>
      <c r="AN310" s="178"/>
      <c r="AO310" s="179"/>
      <c r="AP310" s="64"/>
      <c r="AQ310" s="65"/>
      <c r="AR310" s="65"/>
      <c r="AS310" s="65"/>
      <c r="AT310" s="173"/>
      <c r="AU310" s="177"/>
      <c r="AV310" s="178"/>
      <c r="AW310" s="178"/>
      <c r="AX310" s="179"/>
      <c r="AZ310" s="166"/>
      <c r="BA310" s="177"/>
      <c r="BB310" s="178"/>
      <c r="BC310" s="178"/>
      <c r="BD310" s="178"/>
      <c r="BE310" s="178"/>
      <c r="BF310" s="178"/>
      <c r="BG310" s="178"/>
      <c r="BH310" s="178"/>
      <c r="BI310" s="179"/>
      <c r="BJ310" s="180"/>
      <c r="BK310" s="178"/>
      <c r="BL310" s="178"/>
      <c r="BM310" s="178"/>
      <c r="BN310" s="178"/>
      <c r="BO310" s="181"/>
      <c r="BP310" s="166"/>
      <c r="BQ310" s="177"/>
      <c r="BR310" s="178"/>
      <c r="BS310" s="179"/>
      <c r="BU310" s="166"/>
      <c r="BV310" s="166"/>
      <c r="BW310" s="166"/>
      <c r="BX310" s="166"/>
      <c r="BY310" s="166"/>
      <c r="BZ310" s="166"/>
      <c r="CA310" s="166"/>
      <c r="CB310" s="166"/>
      <c r="CC310" s="166"/>
      <c r="CD310" s="177"/>
      <c r="CE310" s="181"/>
      <c r="CF310" s="177"/>
      <c r="CG310" s="181"/>
      <c r="CH310" s="177"/>
      <c r="CI310" s="182"/>
      <c r="CJ310" s="177"/>
      <c r="CK310" s="182"/>
      <c r="CL310" s="177"/>
      <c r="CM310" s="182"/>
      <c r="CN310" s="177"/>
      <c r="CO310" s="182"/>
      <c r="CP310" s="177"/>
      <c r="CQ310" s="178"/>
      <c r="CR310" s="182"/>
      <c r="CS310" s="65"/>
      <c r="CT310" s="64"/>
      <c r="CU310" s="165" t="str">
        <f t="shared" si="2"/>
        <v/>
      </c>
    </row>
    <row r="311" ht="60.0" hidden="1" customHeight="1">
      <c r="A311" s="65"/>
      <c r="C311" s="167"/>
      <c r="D311" s="205"/>
      <c r="E311" s="206"/>
      <c r="F311" s="169"/>
      <c r="G311" s="207"/>
      <c r="H311" s="208"/>
      <c r="I311" s="169"/>
      <c r="J311" s="170"/>
      <c r="K311" s="171"/>
      <c r="L311" s="171"/>
      <c r="M311" s="171"/>
      <c r="N311" s="209"/>
      <c r="O311" s="172">
        <f t="shared" si="54"/>
        <v>0</v>
      </c>
      <c r="P311" s="166"/>
      <c r="Q311" s="173"/>
      <c r="R311" s="65"/>
      <c r="S311" s="173"/>
      <c r="T311" s="173"/>
      <c r="U311" s="166"/>
      <c r="V311" s="166"/>
      <c r="W311" s="65"/>
      <c r="X311" s="66"/>
      <c r="Y311" s="173"/>
      <c r="Z311" s="166"/>
      <c r="AA311" s="174"/>
      <c r="AB311" s="175"/>
      <c r="AC311" s="175"/>
      <c r="AD311" s="175"/>
      <c r="AE311" s="175"/>
      <c r="AF311" s="175"/>
      <c r="AG311" s="175"/>
      <c r="AH311" s="175"/>
      <c r="AI311" s="176"/>
      <c r="AJ311" s="177"/>
      <c r="AK311" s="178"/>
      <c r="AL311" s="178"/>
      <c r="AM311" s="178"/>
      <c r="AN311" s="178"/>
      <c r="AO311" s="179"/>
      <c r="AP311" s="64"/>
      <c r="AQ311" s="65"/>
      <c r="AR311" s="65"/>
      <c r="AS311" s="65"/>
      <c r="AT311" s="173"/>
      <c r="AU311" s="177"/>
      <c r="AV311" s="178"/>
      <c r="AW311" s="178"/>
      <c r="AX311" s="179"/>
      <c r="AZ311" s="166"/>
      <c r="BA311" s="177"/>
      <c r="BB311" s="178"/>
      <c r="BC311" s="178"/>
      <c r="BD311" s="178"/>
      <c r="BE311" s="178"/>
      <c r="BF311" s="178"/>
      <c r="BG311" s="178"/>
      <c r="BH311" s="178"/>
      <c r="BI311" s="179"/>
      <c r="BJ311" s="180"/>
      <c r="BK311" s="178"/>
      <c r="BL311" s="178"/>
      <c r="BM311" s="178"/>
      <c r="BN311" s="178"/>
      <c r="BO311" s="181"/>
      <c r="BP311" s="166"/>
      <c r="BQ311" s="177"/>
      <c r="BR311" s="178"/>
      <c r="BS311" s="179"/>
      <c r="BU311" s="166"/>
      <c r="BV311" s="166"/>
      <c r="BW311" s="166"/>
      <c r="BX311" s="166"/>
      <c r="BY311" s="166"/>
      <c r="BZ311" s="166"/>
      <c r="CA311" s="166"/>
      <c r="CB311" s="166"/>
      <c r="CC311" s="166"/>
      <c r="CD311" s="177"/>
      <c r="CE311" s="181"/>
      <c r="CF311" s="177"/>
      <c r="CG311" s="181"/>
      <c r="CH311" s="177"/>
      <c r="CI311" s="182"/>
      <c r="CJ311" s="177"/>
      <c r="CK311" s="182"/>
      <c r="CL311" s="177"/>
      <c r="CM311" s="182"/>
      <c r="CN311" s="177"/>
      <c r="CO311" s="182"/>
      <c r="CP311" s="177"/>
      <c r="CQ311" s="178"/>
      <c r="CR311" s="182"/>
      <c r="CS311" s="65"/>
      <c r="CT311" s="64"/>
      <c r="CU311" s="165" t="str">
        <f t="shared" si="2"/>
        <v/>
      </c>
    </row>
    <row r="312" ht="60.0" hidden="1" customHeight="1">
      <c r="A312" s="65"/>
      <c r="C312" s="167"/>
      <c r="D312" s="205"/>
      <c r="E312" s="206"/>
      <c r="F312" s="169"/>
      <c r="G312" s="207"/>
      <c r="H312" s="208"/>
      <c r="I312" s="169"/>
      <c r="J312" s="170"/>
      <c r="K312" s="171"/>
      <c r="L312" s="171"/>
      <c r="M312" s="171"/>
      <c r="N312" s="209"/>
      <c r="O312" s="172">
        <f t="shared" si="54"/>
        <v>0</v>
      </c>
      <c r="P312" s="166"/>
      <c r="Q312" s="173"/>
      <c r="R312" s="65"/>
      <c r="S312" s="173"/>
      <c r="T312" s="173"/>
      <c r="U312" s="166"/>
      <c r="V312" s="166"/>
      <c r="W312" s="65"/>
      <c r="X312" s="66"/>
      <c r="Y312" s="173"/>
      <c r="Z312" s="166"/>
      <c r="AA312" s="174"/>
      <c r="AB312" s="175"/>
      <c r="AC312" s="175"/>
      <c r="AD312" s="175"/>
      <c r="AE312" s="175"/>
      <c r="AF312" s="175"/>
      <c r="AG312" s="175"/>
      <c r="AH312" s="175"/>
      <c r="AI312" s="176"/>
      <c r="AJ312" s="177"/>
      <c r="AK312" s="178"/>
      <c r="AL312" s="178"/>
      <c r="AM312" s="178"/>
      <c r="AN312" s="178"/>
      <c r="AO312" s="179"/>
      <c r="AP312" s="64"/>
      <c r="AQ312" s="65"/>
      <c r="AR312" s="65"/>
      <c r="AS312" s="65"/>
      <c r="AT312" s="173"/>
      <c r="AU312" s="177"/>
      <c r="AV312" s="178"/>
      <c r="AW312" s="178"/>
      <c r="AX312" s="179"/>
      <c r="AZ312" s="166"/>
      <c r="BA312" s="177"/>
      <c r="BB312" s="178"/>
      <c r="BC312" s="178"/>
      <c r="BD312" s="178"/>
      <c r="BE312" s="178"/>
      <c r="BF312" s="178"/>
      <c r="BG312" s="178"/>
      <c r="BH312" s="178"/>
      <c r="BI312" s="179"/>
      <c r="BJ312" s="180"/>
      <c r="BK312" s="178"/>
      <c r="BL312" s="178"/>
      <c r="BM312" s="178"/>
      <c r="BN312" s="178"/>
      <c r="BO312" s="181"/>
      <c r="BP312" s="166"/>
      <c r="BQ312" s="177"/>
      <c r="BR312" s="178"/>
      <c r="BS312" s="179"/>
      <c r="BU312" s="166"/>
      <c r="BV312" s="166"/>
      <c r="BW312" s="166"/>
      <c r="BX312" s="166"/>
      <c r="BY312" s="166"/>
      <c r="BZ312" s="166"/>
      <c r="CA312" s="166"/>
      <c r="CB312" s="166"/>
      <c r="CC312" s="166"/>
      <c r="CD312" s="177"/>
      <c r="CE312" s="181"/>
      <c r="CF312" s="177"/>
      <c r="CG312" s="181"/>
      <c r="CH312" s="177"/>
      <c r="CI312" s="182"/>
      <c r="CJ312" s="177"/>
      <c r="CK312" s="182"/>
      <c r="CL312" s="177"/>
      <c r="CM312" s="182"/>
      <c r="CN312" s="177"/>
      <c r="CO312" s="182"/>
      <c r="CP312" s="177"/>
      <c r="CQ312" s="178"/>
      <c r="CR312" s="182"/>
      <c r="CS312" s="65"/>
      <c r="CT312" s="64"/>
      <c r="CU312" s="165" t="str">
        <f t="shared" si="2"/>
        <v/>
      </c>
    </row>
    <row r="313" ht="60.0" hidden="1" customHeight="1">
      <c r="A313" s="65"/>
      <c r="C313" s="167"/>
      <c r="D313" s="205"/>
      <c r="E313" s="206"/>
      <c r="F313" s="169"/>
      <c r="G313" s="207"/>
      <c r="H313" s="208"/>
      <c r="I313" s="169"/>
      <c r="J313" s="170"/>
      <c r="K313" s="171"/>
      <c r="L313" s="171"/>
      <c r="M313" s="171"/>
      <c r="N313" s="209"/>
      <c r="O313" s="172">
        <f t="shared" si="54"/>
        <v>0</v>
      </c>
      <c r="P313" s="166"/>
      <c r="Q313" s="173"/>
      <c r="R313" s="65"/>
      <c r="S313" s="173"/>
      <c r="T313" s="173"/>
      <c r="U313" s="166"/>
      <c r="V313" s="166"/>
      <c r="W313" s="65"/>
      <c r="X313" s="66"/>
      <c r="Y313" s="173"/>
      <c r="Z313" s="166"/>
      <c r="AA313" s="174"/>
      <c r="AB313" s="175"/>
      <c r="AC313" s="175"/>
      <c r="AD313" s="175"/>
      <c r="AE313" s="175"/>
      <c r="AF313" s="175"/>
      <c r="AG313" s="175"/>
      <c r="AH313" s="175"/>
      <c r="AI313" s="176"/>
      <c r="AJ313" s="177"/>
      <c r="AK313" s="178"/>
      <c r="AL313" s="178"/>
      <c r="AM313" s="178"/>
      <c r="AN313" s="178"/>
      <c r="AO313" s="179"/>
      <c r="AP313" s="64"/>
      <c r="AQ313" s="65"/>
      <c r="AR313" s="65"/>
      <c r="AS313" s="65"/>
      <c r="AT313" s="173"/>
      <c r="AU313" s="177"/>
      <c r="AV313" s="178"/>
      <c r="AW313" s="178"/>
      <c r="AX313" s="179"/>
      <c r="AZ313" s="166"/>
      <c r="BA313" s="177"/>
      <c r="BB313" s="178"/>
      <c r="BC313" s="178"/>
      <c r="BD313" s="178"/>
      <c r="BE313" s="178"/>
      <c r="BF313" s="178"/>
      <c r="BG313" s="178"/>
      <c r="BH313" s="178"/>
      <c r="BI313" s="179"/>
      <c r="BJ313" s="180"/>
      <c r="BK313" s="178"/>
      <c r="BL313" s="178"/>
      <c r="BM313" s="178"/>
      <c r="BN313" s="178"/>
      <c r="BO313" s="181"/>
      <c r="BP313" s="166"/>
      <c r="BQ313" s="177"/>
      <c r="BR313" s="178"/>
      <c r="BS313" s="179"/>
      <c r="BU313" s="166"/>
      <c r="BV313" s="166"/>
      <c r="BW313" s="166"/>
      <c r="BX313" s="166"/>
      <c r="BY313" s="166"/>
      <c r="BZ313" s="166"/>
      <c r="CA313" s="166"/>
      <c r="CB313" s="166"/>
      <c r="CC313" s="166"/>
      <c r="CD313" s="177"/>
      <c r="CE313" s="181"/>
      <c r="CF313" s="177"/>
      <c r="CG313" s="181"/>
      <c r="CH313" s="177"/>
      <c r="CI313" s="182"/>
      <c r="CJ313" s="177"/>
      <c r="CK313" s="182"/>
      <c r="CL313" s="177"/>
      <c r="CM313" s="182"/>
      <c r="CN313" s="177"/>
      <c r="CO313" s="182"/>
      <c r="CP313" s="177"/>
      <c r="CQ313" s="178"/>
      <c r="CR313" s="182"/>
      <c r="CS313" s="65"/>
      <c r="CT313" s="64"/>
      <c r="CU313" s="165" t="str">
        <f t="shared" si="2"/>
        <v/>
      </c>
    </row>
    <row r="314" ht="60.0" hidden="1" customHeight="1">
      <c r="A314" s="65"/>
      <c r="C314" s="167"/>
      <c r="D314" s="205"/>
      <c r="E314" s="206"/>
      <c r="F314" s="169"/>
      <c r="G314" s="207"/>
      <c r="H314" s="208"/>
      <c r="I314" s="169"/>
      <c r="J314" s="170"/>
      <c r="K314" s="171"/>
      <c r="L314" s="171"/>
      <c r="M314" s="171"/>
      <c r="N314" s="209"/>
      <c r="O314" s="172">
        <f t="shared" si="54"/>
        <v>0</v>
      </c>
      <c r="P314" s="166"/>
      <c r="Q314" s="173"/>
      <c r="R314" s="65"/>
      <c r="S314" s="173"/>
      <c r="T314" s="173"/>
      <c r="U314" s="166"/>
      <c r="V314" s="166"/>
      <c r="W314" s="65"/>
      <c r="X314" s="66"/>
      <c r="Y314" s="173"/>
      <c r="Z314" s="166"/>
      <c r="AA314" s="174"/>
      <c r="AB314" s="175"/>
      <c r="AC314" s="175"/>
      <c r="AD314" s="175"/>
      <c r="AE314" s="175"/>
      <c r="AF314" s="175"/>
      <c r="AG314" s="175"/>
      <c r="AH314" s="175"/>
      <c r="AI314" s="176"/>
      <c r="AJ314" s="177"/>
      <c r="AK314" s="178"/>
      <c r="AL314" s="178"/>
      <c r="AM314" s="178"/>
      <c r="AN314" s="178"/>
      <c r="AO314" s="179"/>
      <c r="AP314" s="64"/>
      <c r="AQ314" s="65"/>
      <c r="AR314" s="65"/>
      <c r="AS314" s="65"/>
      <c r="AT314" s="173"/>
      <c r="AU314" s="177"/>
      <c r="AV314" s="178"/>
      <c r="AW314" s="178"/>
      <c r="AX314" s="179"/>
      <c r="AZ314" s="166"/>
      <c r="BA314" s="177"/>
      <c r="BB314" s="178"/>
      <c r="BC314" s="178"/>
      <c r="BD314" s="178"/>
      <c r="BE314" s="178"/>
      <c r="BF314" s="178"/>
      <c r="BG314" s="178"/>
      <c r="BH314" s="178"/>
      <c r="BI314" s="179"/>
      <c r="BJ314" s="180"/>
      <c r="BK314" s="178"/>
      <c r="BL314" s="178"/>
      <c r="BM314" s="178"/>
      <c r="BN314" s="178"/>
      <c r="BO314" s="181"/>
      <c r="BP314" s="166"/>
      <c r="BQ314" s="177"/>
      <c r="BR314" s="178"/>
      <c r="BS314" s="179"/>
      <c r="BU314" s="166"/>
      <c r="BV314" s="166"/>
      <c r="BW314" s="166"/>
      <c r="BX314" s="166"/>
      <c r="BY314" s="166"/>
      <c r="BZ314" s="166"/>
      <c r="CA314" s="166"/>
      <c r="CB314" s="166"/>
      <c r="CC314" s="166"/>
      <c r="CD314" s="177"/>
      <c r="CE314" s="181"/>
      <c r="CF314" s="177"/>
      <c r="CG314" s="181"/>
      <c r="CH314" s="177"/>
      <c r="CI314" s="182"/>
      <c r="CJ314" s="177"/>
      <c r="CK314" s="182"/>
      <c r="CL314" s="177"/>
      <c r="CM314" s="182"/>
      <c r="CN314" s="177"/>
      <c r="CO314" s="182"/>
      <c r="CP314" s="177"/>
      <c r="CQ314" s="178"/>
      <c r="CR314" s="182"/>
      <c r="CS314" s="65"/>
      <c r="CT314" s="64"/>
      <c r="CU314" s="165" t="str">
        <f t="shared" si="2"/>
        <v/>
      </c>
    </row>
    <row r="315" ht="276.0" hidden="1" customHeight="1">
      <c r="A315" s="65"/>
      <c r="C315" s="221"/>
      <c r="D315" s="222"/>
      <c r="E315" s="223"/>
      <c r="F315" s="224"/>
      <c r="G315" s="225"/>
      <c r="H315" s="226"/>
      <c r="I315" s="224"/>
      <c r="J315" s="227"/>
      <c r="K315" s="228"/>
      <c r="L315" s="228"/>
      <c r="M315" s="228"/>
      <c r="N315" s="229"/>
      <c r="O315" s="188">
        <f t="shared" si="54"/>
        <v>0</v>
      </c>
      <c r="P315" s="63"/>
      <c r="Q315" s="69"/>
      <c r="R315" s="89"/>
      <c r="S315" s="69"/>
      <c r="T315" s="69"/>
      <c r="U315" s="63"/>
      <c r="V315" s="63"/>
      <c r="W315" s="89"/>
      <c r="X315" s="68"/>
      <c r="Y315" s="69"/>
      <c r="Z315" s="63"/>
      <c r="AA315" s="189"/>
      <c r="AB315" s="190"/>
      <c r="AC315" s="190"/>
      <c r="AD315" s="190"/>
      <c r="AE315" s="190"/>
      <c r="AF315" s="190"/>
      <c r="AG315" s="190"/>
      <c r="AH315" s="190"/>
      <c r="AI315" s="191"/>
      <c r="AJ315" s="192"/>
      <c r="AK315" s="193"/>
      <c r="AL315" s="193"/>
      <c r="AM315" s="193"/>
      <c r="AN315" s="193"/>
      <c r="AO315" s="194"/>
      <c r="AP315" s="103"/>
      <c r="AQ315" s="89"/>
      <c r="AR315" s="89"/>
      <c r="AS315" s="89"/>
      <c r="AT315" s="69"/>
      <c r="AU315" s="192"/>
      <c r="AV315" s="193"/>
      <c r="AW315" s="193"/>
      <c r="AX315" s="194"/>
      <c r="AY315" s="6"/>
      <c r="AZ315" s="63"/>
      <c r="BA315" s="192"/>
      <c r="BB315" s="193"/>
      <c r="BC315" s="193"/>
      <c r="BD315" s="193"/>
      <c r="BE315" s="193"/>
      <c r="BF315" s="193"/>
      <c r="BG315" s="193"/>
      <c r="BH315" s="193"/>
      <c r="BI315" s="194"/>
      <c r="BJ315" s="195"/>
      <c r="BK315" s="193"/>
      <c r="BL315" s="193"/>
      <c r="BM315" s="193"/>
      <c r="BN315" s="193"/>
      <c r="BO315" s="196"/>
      <c r="BP315" s="63"/>
      <c r="BQ315" s="192"/>
      <c r="BR315" s="193"/>
      <c r="BS315" s="194"/>
      <c r="BT315" s="6"/>
      <c r="BU315" s="63"/>
      <c r="BV315" s="63"/>
      <c r="BW315" s="63"/>
      <c r="BX315" s="63"/>
      <c r="BY315" s="63"/>
      <c r="BZ315" s="63"/>
      <c r="CA315" s="63"/>
      <c r="CB315" s="63"/>
      <c r="CC315" s="63"/>
      <c r="CD315" s="192"/>
      <c r="CE315" s="196"/>
      <c r="CF315" s="192"/>
      <c r="CG315" s="196"/>
      <c r="CH315" s="192"/>
      <c r="CI315" s="197"/>
      <c r="CJ315" s="192"/>
      <c r="CK315" s="197"/>
      <c r="CL315" s="192"/>
      <c r="CM315" s="197"/>
      <c r="CN315" s="192"/>
      <c r="CO315" s="197"/>
      <c r="CP315" s="192"/>
      <c r="CQ315" s="193"/>
      <c r="CR315" s="197"/>
      <c r="CS315" s="89"/>
      <c r="CT315" s="103"/>
      <c r="CU315" s="165" t="str">
        <f t="shared" si="2"/>
        <v/>
      </c>
    </row>
    <row r="316" ht="57.0" customHeight="1">
      <c r="A316" s="230"/>
      <c r="B316" s="231"/>
      <c r="C316" s="232"/>
      <c r="D316" s="233"/>
      <c r="E316" s="234"/>
      <c r="F316" s="234"/>
      <c r="G316" s="235"/>
      <c r="H316" s="233"/>
      <c r="I316" s="236"/>
      <c r="J316" s="231"/>
      <c r="K316" s="231"/>
      <c r="L316" s="231"/>
      <c r="M316" s="231"/>
      <c r="N316" s="237"/>
      <c r="O316" s="238">
        <f t="shared" ref="O316:X316" si="55">SUM(O8:O315)</f>
        <v>0</v>
      </c>
      <c r="P316" s="239">
        <f t="shared" si="55"/>
        <v>0</v>
      </c>
      <c r="Q316" s="239">
        <f t="shared" si="55"/>
        <v>0</v>
      </c>
      <c r="R316" s="239">
        <f t="shared" si="55"/>
        <v>0</v>
      </c>
      <c r="S316" s="239">
        <f t="shared" si="55"/>
        <v>0</v>
      </c>
      <c r="T316" s="239">
        <f t="shared" si="55"/>
        <v>0</v>
      </c>
      <c r="U316" s="239">
        <f t="shared" si="55"/>
        <v>0</v>
      </c>
      <c r="V316" s="239">
        <f t="shared" si="55"/>
        <v>0</v>
      </c>
      <c r="W316" s="239">
        <f t="shared" si="55"/>
        <v>0</v>
      </c>
      <c r="X316" s="239">
        <f t="shared" si="55"/>
        <v>0</v>
      </c>
      <c r="Y316" s="240">
        <f>SUM(SUM(O8:O18)-X8,SUM(O19:O29)-X19,SUM(O30:O40)-X30,SUM(O41:O51)-X41,SUM(O52:O62)-X52,SUM(O63:O73)-X63,SUM(O74:O84)-X74,SUM(O85:O95)-X85,SUM(O96:O106)-X96,SUM(O107:O117)-X107,SUM(O118:O128)-X118,SUM(O129:O139)-X129,SUM(O140:O150)-X140,SUM(O151:O161)-X151,SUM(O162:O172)-X162,SUM(O173:O183)-X173,SUM(O184:O194)-X184,SUM(O195:O205)-X195,SUM(O206:O216)-X206,SUM(O217:O227)-X217,SUM(O228:O238)-X228,SUM(O239:O249)-X239,SUM(O250:O260)-X250,SUM(O261:O271)-X261,SUM(O272:O282)-X272,SUM(O283:O293)-X283,SUM(O294:O303)-X294,SUM(O305:O315)-X305)</f>
        <v>0</v>
      </c>
      <c r="Z316" s="239">
        <f t="shared" ref="Z316:CT316" si="56">SUM(Z8:Z315)</f>
        <v>0</v>
      </c>
      <c r="AA316" s="239">
        <f t="shared" si="56"/>
        <v>0</v>
      </c>
      <c r="AB316" s="239">
        <f t="shared" si="56"/>
        <v>0</v>
      </c>
      <c r="AC316" s="239">
        <f t="shared" si="56"/>
        <v>0</v>
      </c>
      <c r="AD316" s="239">
        <f t="shared" si="56"/>
        <v>794</v>
      </c>
      <c r="AE316" s="239">
        <f t="shared" si="56"/>
        <v>0</v>
      </c>
      <c r="AF316" s="239">
        <f t="shared" si="56"/>
        <v>27581917751</v>
      </c>
      <c r="AG316" s="239">
        <f t="shared" si="56"/>
        <v>6</v>
      </c>
      <c r="AH316" s="239">
        <f t="shared" si="56"/>
        <v>0</v>
      </c>
      <c r="AI316" s="239">
        <f t="shared" si="56"/>
        <v>0.3333333333</v>
      </c>
      <c r="AJ316" s="239">
        <f t="shared" si="56"/>
        <v>0</v>
      </c>
      <c r="AK316" s="239">
        <f t="shared" si="56"/>
        <v>0</v>
      </c>
      <c r="AL316" s="239">
        <f t="shared" si="56"/>
        <v>0</v>
      </c>
      <c r="AM316" s="239">
        <f t="shared" si="56"/>
        <v>0</v>
      </c>
      <c r="AN316" s="239">
        <f t="shared" si="56"/>
        <v>0</v>
      </c>
      <c r="AO316" s="239">
        <f t="shared" si="56"/>
        <v>0</v>
      </c>
      <c r="AP316" s="239">
        <f t="shared" si="56"/>
        <v>0.1666666667</v>
      </c>
      <c r="AQ316" s="239">
        <f t="shared" si="56"/>
        <v>0</v>
      </c>
      <c r="AR316" s="239">
        <f t="shared" si="56"/>
        <v>0</v>
      </c>
      <c r="AS316" s="239">
        <f t="shared" si="56"/>
        <v>47.81555556</v>
      </c>
      <c r="AT316" s="239">
        <f t="shared" si="56"/>
        <v>11.95388889</v>
      </c>
      <c r="AU316" s="239">
        <f t="shared" si="56"/>
        <v>0</v>
      </c>
      <c r="AV316" s="239">
        <f t="shared" si="56"/>
        <v>0</v>
      </c>
      <c r="AW316" s="239">
        <f t="shared" si="56"/>
        <v>0</v>
      </c>
      <c r="AX316" s="239">
        <f t="shared" si="56"/>
        <v>0</v>
      </c>
      <c r="AY316" s="239">
        <f t="shared" si="56"/>
        <v>0</v>
      </c>
      <c r="AZ316" s="239">
        <f t="shared" si="56"/>
        <v>0</v>
      </c>
      <c r="BA316" s="239">
        <f t="shared" si="56"/>
        <v>8</v>
      </c>
      <c r="BB316" s="239">
        <f t="shared" si="56"/>
        <v>0</v>
      </c>
      <c r="BC316" s="239">
        <f t="shared" si="56"/>
        <v>40</v>
      </c>
      <c r="BD316" s="239">
        <f t="shared" si="56"/>
        <v>412</v>
      </c>
      <c r="BE316" s="239">
        <f t="shared" si="56"/>
        <v>0</v>
      </c>
      <c r="BF316" s="239">
        <f t="shared" si="56"/>
        <v>0</v>
      </c>
      <c r="BG316" s="239">
        <f t="shared" si="56"/>
        <v>8</v>
      </c>
      <c r="BH316" s="239">
        <f t="shared" si="56"/>
        <v>0</v>
      </c>
      <c r="BI316" s="239">
        <f t="shared" si="56"/>
        <v>12</v>
      </c>
      <c r="BJ316" s="239">
        <f t="shared" si="56"/>
        <v>36</v>
      </c>
      <c r="BK316" s="239">
        <f t="shared" si="56"/>
        <v>0</v>
      </c>
      <c r="BL316" s="239">
        <f t="shared" si="56"/>
        <v>0</v>
      </c>
      <c r="BM316" s="239">
        <f t="shared" si="56"/>
        <v>0</v>
      </c>
      <c r="BN316" s="239">
        <f t="shared" si="56"/>
        <v>0</v>
      </c>
      <c r="BO316" s="239">
        <f t="shared" si="56"/>
        <v>0</v>
      </c>
      <c r="BP316" s="239">
        <f t="shared" si="56"/>
        <v>0</v>
      </c>
      <c r="BQ316" s="239">
        <f t="shared" si="56"/>
        <v>0</v>
      </c>
      <c r="BR316" s="239">
        <f t="shared" si="56"/>
        <v>45</v>
      </c>
      <c r="BS316" s="239">
        <f t="shared" si="56"/>
        <v>1</v>
      </c>
      <c r="BT316" s="239">
        <f t="shared" si="56"/>
        <v>0</v>
      </c>
      <c r="BU316" s="239">
        <f t="shared" si="56"/>
        <v>1</v>
      </c>
      <c r="BV316" s="239">
        <f t="shared" si="56"/>
        <v>0</v>
      </c>
      <c r="BW316" s="239">
        <f t="shared" si="56"/>
        <v>0</v>
      </c>
      <c r="BX316" s="239">
        <f t="shared" si="56"/>
        <v>0</v>
      </c>
      <c r="BY316" s="239">
        <f t="shared" si="56"/>
        <v>0</v>
      </c>
      <c r="BZ316" s="239">
        <f t="shared" si="56"/>
        <v>0</v>
      </c>
      <c r="CA316" s="239">
        <f t="shared" si="56"/>
        <v>0</v>
      </c>
      <c r="CB316" s="239">
        <f t="shared" si="56"/>
        <v>0</v>
      </c>
      <c r="CC316" s="239">
        <f t="shared" si="56"/>
        <v>0</v>
      </c>
      <c r="CD316" s="239">
        <f t="shared" si="56"/>
        <v>0</v>
      </c>
      <c r="CE316" s="239">
        <f t="shared" si="56"/>
        <v>0</v>
      </c>
      <c r="CF316" s="239">
        <f t="shared" si="56"/>
        <v>0</v>
      </c>
      <c r="CG316" s="239">
        <f t="shared" si="56"/>
        <v>1.666666667</v>
      </c>
      <c r="CH316" s="241">
        <f t="shared" si="56"/>
        <v>0</v>
      </c>
      <c r="CI316" s="239">
        <f t="shared" si="56"/>
        <v>0</v>
      </c>
      <c r="CJ316" s="239">
        <f t="shared" si="56"/>
        <v>0</v>
      </c>
      <c r="CK316" s="239">
        <f t="shared" si="56"/>
        <v>-3</v>
      </c>
      <c r="CL316" s="239">
        <f t="shared" si="56"/>
        <v>0</v>
      </c>
      <c r="CM316" s="239">
        <f t="shared" si="56"/>
        <v>0</v>
      </c>
      <c r="CN316" s="239">
        <f t="shared" si="56"/>
        <v>0</v>
      </c>
      <c r="CO316" s="239">
        <f t="shared" si="56"/>
        <v>0</v>
      </c>
      <c r="CP316" s="239">
        <f t="shared" si="56"/>
        <v>0</v>
      </c>
      <c r="CQ316" s="239">
        <f t="shared" si="56"/>
        <v>0</v>
      </c>
      <c r="CR316" s="239">
        <f t="shared" si="56"/>
        <v>0</v>
      </c>
      <c r="CS316" s="241">
        <f t="shared" si="56"/>
        <v>6</v>
      </c>
      <c r="CT316" s="239">
        <f t="shared" si="56"/>
        <v>47.81555556</v>
      </c>
      <c r="CU316" s="234"/>
    </row>
  </sheetData>
  <mergeCells count="2183">
    <mergeCell ref="CN151:CN161"/>
    <mergeCell ref="CO151:CO161"/>
    <mergeCell ref="CP151:CP161"/>
    <mergeCell ref="CQ151:CQ161"/>
    <mergeCell ref="CR151:CR161"/>
    <mergeCell ref="CS151:CS161"/>
    <mergeCell ref="CT151:CT161"/>
    <mergeCell ref="CG151:CG161"/>
    <mergeCell ref="CH151:CH161"/>
    <mergeCell ref="CI151:CI161"/>
    <mergeCell ref="CJ151:CJ161"/>
    <mergeCell ref="CK151:CK161"/>
    <mergeCell ref="CL151:CL161"/>
    <mergeCell ref="CM151:CM161"/>
    <mergeCell ref="AQ151:AQ161"/>
    <mergeCell ref="AR151:AR161"/>
    <mergeCell ref="AS151:AS161"/>
    <mergeCell ref="AT151:AT161"/>
    <mergeCell ref="AU151:AU161"/>
    <mergeCell ref="AV151:AV161"/>
    <mergeCell ref="AW151:AW161"/>
    <mergeCell ref="AX151:AX161"/>
    <mergeCell ref="AY151:AY161"/>
    <mergeCell ref="AZ151:AZ161"/>
    <mergeCell ref="BA151:BA161"/>
    <mergeCell ref="BB151:BB161"/>
    <mergeCell ref="BC151:BC161"/>
    <mergeCell ref="BD151:BD161"/>
    <mergeCell ref="BE151:BE161"/>
    <mergeCell ref="BF151:BF161"/>
    <mergeCell ref="BG151:BG161"/>
    <mergeCell ref="BH151:BH161"/>
    <mergeCell ref="BI151:BI161"/>
    <mergeCell ref="BJ151:BJ161"/>
    <mergeCell ref="BK151:BK161"/>
    <mergeCell ref="BL151:BL161"/>
    <mergeCell ref="BM151:BM161"/>
    <mergeCell ref="BN151:BN161"/>
    <mergeCell ref="BO151:BO161"/>
    <mergeCell ref="BP151:BP161"/>
    <mergeCell ref="BQ151:BQ161"/>
    <mergeCell ref="BR151:BR161"/>
    <mergeCell ref="BS151:BS161"/>
    <mergeCell ref="BT151:BT161"/>
    <mergeCell ref="BU151:BU161"/>
    <mergeCell ref="BV151:BV161"/>
    <mergeCell ref="BW151:BW161"/>
    <mergeCell ref="BX151:BX161"/>
    <mergeCell ref="BY151:BY161"/>
    <mergeCell ref="BZ151:BZ161"/>
    <mergeCell ref="CA151:CA161"/>
    <mergeCell ref="CB151:CB161"/>
    <mergeCell ref="CC151:CC161"/>
    <mergeCell ref="CD151:CD161"/>
    <mergeCell ref="CE151:CE161"/>
    <mergeCell ref="CF151:CF161"/>
    <mergeCell ref="AJ151:AJ161"/>
    <mergeCell ref="AK151:AK161"/>
    <mergeCell ref="AL151:AL161"/>
    <mergeCell ref="AM151:AM161"/>
    <mergeCell ref="AN151:AN161"/>
    <mergeCell ref="AO151:AO161"/>
    <mergeCell ref="AP151:AP161"/>
    <mergeCell ref="CN96:CN106"/>
    <mergeCell ref="CO96:CO106"/>
    <mergeCell ref="CG96:CG106"/>
    <mergeCell ref="CH96:CH106"/>
    <mergeCell ref="CI96:CI106"/>
    <mergeCell ref="CJ96:CJ106"/>
    <mergeCell ref="CK96:CK106"/>
    <mergeCell ref="CL96:CL106"/>
    <mergeCell ref="CM96:CM106"/>
    <mergeCell ref="AQ96:AQ106"/>
    <mergeCell ref="AR96:AR106"/>
    <mergeCell ref="AS96:AS106"/>
    <mergeCell ref="AT96:AT106"/>
    <mergeCell ref="AU96:AU106"/>
    <mergeCell ref="AV96:AV106"/>
    <mergeCell ref="AW96:AW106"/>
    <mergeCell ref="AX96:AX106"/>
    <mergeCell ref="AY96:AY106"/>
    <mergeCell ref="AZ96:AZ106"/>
    <mergeCell ref="BA96:BA106"/>
    <mergeCell ref="BB96:BB106"/>
    <mergeCell ref="BC96:BC106"/>
    <mergeCell ref="BD96:BD106"/>
    <mergeCell ref="BE96:BE106"/>
    <mergeCell ref="BF96:BF106"/>
    <mergeCell ref="BG96:BG106"/>
    <mergeCell ref="BH96:BH106"/>
    <mergeCell ref="BI96:BI106"/>
    <mergeCell ref="BJ96:BJ106"/>
    <mergeCell ref="BK96:BK106"/>
    <mergeCell ref="BL96:BL106"/>
    <mergeCell ref="BM96:BM106"/>
    <mergeCell ref="BN96:BN106"/>
    <mergeCell ref="BO96:BO106"/>
    <mergeCell ref="BP96:BP106"/>
    <mergeCell ref="BQ96:BQ106"/>
    <mergeCell ref="BR96:BR106"/>
    <mergeCell ref="BS96:BS106"/>
    <mergeCell ref="BT96:BT106"/>
    <mergeCell ref="BU96:BU106"/>
    <mergeCell ref="BV96:BV106"/>
    <mergeCell ref="BW96:BW106"/>
    <mergeCell ref="BX96:BX106"/>
    <mergeCell ref="BY96:BY106"/>
    <mergeCell ref="BZ96:BZ106"/>
    <mergeCell ref="CA96:CA106"/>
    <mergeCell ref="CB96:CB106"/>
    <mergeCell ref="CC96:CC106"/>
    <mergeCell ref="CD96:CD106"/>
    <mergeCell ref="CE96:CE106"/>
    <mergeCell ref="CF96:CF106"/>
    <mergeCell ref="AJ96:AJ106"/>
    <mergeCell ref="AK96:AK106"/>
    <mergeCell ref="AL96:AL106"/>
    <mergeCell ref="AM96:AM106"/>
    <mergeCell ref="AN96:AN106"/>
    <mergeCell ref="AO96:AO106"/>
    <mergeCell ref="AP96:AP106"/>
    <mergeCell ref="CN107:CN117"/>
    <mergeCell ref="CO107:CO117"/>
    <mergeCell ref="CP107:CP117"/>
    <mergeCell ref="CQ107:CQ117"/>
    <mergeCell ref="CR107:CR117"/>
    <mergeCell ref="CS107:CS117"/>
    <mergeCell ref="CT107:CT117"/>
    <mergeCell ref="CG107:CG117"/>
    <mergeCell ref="CH107:CH117"/>
    <mergeCell ref="CI107:CI117"/>
    <mergeCell ref="CJ107:CJ117"/>
    <mergeCell ref="CK107:CK117"/>
    <mergeCell ref="CL107:CL117"/>
    <mergeCell ref="CM107:CM117"/>
    <mergeCell ref="AQ107:AQ117"/>
    <mergeCell ref="AR107:AR117"/>
    <mergeCell ref="AS107:AS117"/>
    <mergeCell ref="AT107:AT117"/>
    <mergeCell ref="AU107:AU117"/>
    <mergeCell ref="AV107:AV117"/>
    <mergeCell ref="AW107:AW117"/>
    <mergeCell ref="AX107:AX117"/>
    <mergeCell ref="AY107:AY117"/>
    <mergeCell ref="AZ107:AZ117"/>
    <mergeCell ref="BA107:BA117"/>
    <mergeCell ref="BB107:BB117"/>
    <mergeCell ref="BC107:BC117"/>
    <mergeCell ref="BD107:BD117"/>
    <mergeCell ref="BE107:BE117"/>
    <mergeCell ref="BF107:BF117"/>
    <mergeCell ref="BG107:BG117"/>
    <mergeCell ref="BH107:BH117"/>
    <mergeCell ref="BI107:BI117"/>
    <mergeCell ref="BJ107:BJ117"/>
    <mergeCell ref="BK107:BK117"/>
    <mergeCell ref="BL107:BL117"/>
    <mergeCell ref="BM107:BM117"/>
    <mergeCell ref="BN107:BN117"/>
    <mergeCell ref="BO107:BO117"/>
    <mergeCell ref="BP107:BP117"/>
    <mergeCell ref="BQ107:BQ117"/>
    <mergeCell ref="BR107:BR117"/>
    <mergeCell ref="BS107:BS117"/>
    <mergeCell ref="BT107:BT117"/>
    <mergeCell ref="BU107:BU117"/>
    <mergeCell ref="BV107:BV117"/>
    <mergeCell ref="BW107:BW117"/>
    <mergeCell ref="BX107:BX117"/>
    <mergeCell ref="BY107:BY117"/>
    <mergeCell ref="BZ107:BZ117"/>
    <mergeCell ref="CA107:CA117"/>
    <mergeCell ref="CB107:CB117"/>
    <mergeCell ref="CC107:CC117"/>
    <mergeCell ref="CD107:CD117"/>
    <mergeCell ref="CE107:CE117"/>
    <mergeCell ref="CF107:CF117"/>
    <mergeCell ref="AJ107:AJ117"/>
    <mergeCell ref="AK107:AK117"/>
    <mergeCell ref="AL107:AL117"/>
    <mergeCell ref="AM107:AM117"/>
    <mergeCell ref="AN107:AN117"/>
    <mergeCell ref="AO107:AO117"/>
    <mergeCell ref="AP107:AP117"/>
    <mergeCell ref="CN118:CN128"/>
    <mergeCell ref="CO118:CO128"/>
    <mergeCell ref="CP118:CP128"/>
    <mergeCell ref="CQ118:CQ128"/>
    <mergeCell ref="CR118:CR128"/>
    <mergeCell ref="CS118:CS128"/>
    <mergeCell ref="CT118:CT128"/>
    <mergeCell ref="CG118:CG128"/>
    <mergeCell ref="CH118:CH128"/>
    <mergeCell ref="CI118:CI128"/>
    <mergeCell ref="CJ118:CJ128"/>
    <mergeCell ref="CK118:CK128"/>
    <mergeCell ref="CL118:CL128"/>
    <mergeCell ref="CM118:CM128"/>
    <mergeCell ref="AQ118:AQ128"/>
    <mergeCell ref="AR118:AR128"/>
    <mergeCell ref="AS118:AS128"/>
    <mergeCell ref="AT118:AT128"/>
    <mergeCell ref="AU118:AU128"/>
    <mergeCell ref="AV118:AV128"/>
    <mergeCell ref="AW118:AW128"/>
    <mergeCell ref="AX118:AX128"/>
    <mergeCell ref="AY118:AY128"/>
    <mergeCell ref="AZ118:AZ128"/>
    <mergeCell ref="BA118:BA128"/>
    <mergeCell ref="BB118:BB128"/>
    <mergeCell ref="BC118:BC128"/>
    <mergeCell ref="BD118:BD128"/>
    <mergeCell ref="BE118:BE128"/>
    <mergeCell ref="BF118:BF128"/>
    <mergeCell ref="BG118:BG128"/>
    <mergeCell ref="BH118:BH128"/>
    <mergeCell ref="BI118:BI128"/>
    <mergeCell ref="BJ118:BJ128"/>
    <mergeCell ref="BK118:BK128"/>
    <mergeCell ref="BL118:BL128"/>
    <mergeCell ref="BM118:BM128"/>
    <mergeCell ref="BN118:BN128"/>
    <mergeCell ref="BO118:BO128"/>
    <mergeCell ref="BP118:BP128"/>
    <mergeCell ref="BQ118:BQ128"/>
    <mergeCell ref="BR118:BR128"/>
    <mergeCell ref="BS118:BS128"/>
    <mergeCell ref="BT118:BT128"/>
    <mergeCell ref="BU118:BU128"/>
    <mergeCell ref="BV118:BV128"/>
    <mergeCell ref="BW118:BW128"/>
    <mergeCell ref="BX118:BX128"/>
    <mergeCell ref="BY118:BY128"/>
    <mergeCell ref="BZ118:BZ128"/>
    <mergeCell ref="CA118:CA128"/>
    <mergeCell ref="CB118:CB128"/>
    <mergeCell ref="CC118:CC128"/>
    <mergeCell ref="CD118:CD128"/>
    <mergeCell ref="CE118:CE128"/>
    <mergeCell ref="CF118:CF128"/>
    <mergeCell ref="AJ118:AJ128"/>
    <mergeCell ref="AK118:AK128"/>
    <mergeCell ref="AL118:AL128"/>
    <mergeCell ref="AM118:AM128"/>
    <mergeCell ref="AN118:AN128"/>
    <mergeCell ref="AO118:AO128"/>
    <mergeCell ref="AP118:AP128"/>
    <mergeCell ref="CN162:CN172"/>
    <mergeCell ref="CO162:CO172"/>
    <mergeCell ref="CP162:CP172"/>
    <mergeCell ref="CQ162:CQ172"/>
    <mergeCell ref="CR162:CR172"/>
    <mergeCell ref="CS162:CS172"/>
    <mergeCell ref="CT162:CT172"/>
    <mergeCell ref="CG162:CG172"/>
    <mergeCell ref="CH162:CH172"/>
    <mergeCell ref="CI162:CI172"/>
    <mergeCell ref="CJ162:CJ172"/>
    <mergeCell ref="CK162:CK172"/>
    <mergeCell ref="CL162:CL172"/>
    <mergeCell ref="CM162:CM172"/>
    <mergeCell ref="AJ162:AJ172"/>
    <mergeCell ref="AK162:AK172"/>
    <mergeCell ref="AL162:AL172"/>
    <mergeCell ref="AM162:AM172"/>
    <mergeCell ref="AN162:AN172"/>
    <mergeCell ref="AO162:AO172"/>
    <mergeCell ref="AP162:AP172"/>
    <mergeCell ref="AQ162:AQ172"/>
    <mergeCell ref="AR162:AR172"/>
    <mergeCell ref="AS162:AS172"/>
    <mergeCell ref="AT162:AT172"/>
    <mergeCell ref="AU162:AU172"/>
    <mergeCell ref="AV162:AV172"/>
    <mergeCell ref="AW162:AW172"/>
    <mergeCell ref="AX162:AX172"/>
    <mergeCell ref="AY162:AY172"/>
    <mergeCell ref="AZ162:AZ172"/>
    <mergeCell ref="BA162:BA172"/>
    <mergeCell ref="BB162:BB172"/>
    <mergeCell ref="BC162:BC172"/>
    <mergeCell ref="BD162:BD172"/>
    <mergeCell ref="BE162:BE172"/>
    <mergeCell ref="BF162:BF172"/>
    <mergeCell ref="BG162:BG172"/>
    <mergeCell ref="BH162:BH172"/>
    <mergeCell ref="BI162:BI172"/>
    <mergeCell ref="BJ162:BJ172"/>
    <mergeCell ref="BK162:BK172"/>
    <mergeCell ref="BL162:BL172"/>
    <mergeCell ref="BM162:BM172"/>
    <mergeCell ref="BN162:BN172"/>
    <mergeCell ref="BO162:BO172"/>
    <mergeCell ref="BP162:BP172"/>
    <mergeCell ref="BQ162:BQ172"/>
    <mergeCell ref="BR162:BR172"/>
    <mergeCell ref="BS162:BS172"/>
    <mergeCell ref="BT162:BT172"/>
    <mergeCell ref="BU162:BU172"/>
    <mergeCell ref="BV162:BV172"/>
    <mergeCell ref="BW162:BW172"/>
    <mergeCell ref="BX162:BX172"/>
    <mergeCell ref="BY162:BY172"/>
    <mergeCell ref="BZ162:BZ172"/>
    <mergeCell ref="CA162:CA172"/>
    <mergeCell ref="CB162:CB172"/>
    <mergeCell ref="CC162:CC172"/>
    <mergeCell ref="CD162:CD172"/>
    <mergeCell ref="CE162:CE172"/>
    <mergeCell ref="CF162:CF172"/>
    <mergeCell ref="CN206:CN216"/>
    <mergeCell ref="CO206:CO216"/>
    <mergeCell ref="CP206:CP216"/>
    <mergeCell ref="CQ206:CQ216"/>
    <mergeCell ref="CR206:CR216"/>
    <mergeCell ref="CS206:CS216"/>
    <mergeCell ref="CT206:CT216"/>
    <mergeCell ref="CG206:CG216"/>
    <mergeCell ref="CH206:CH216"/>
    <mergeCell ref="CI206:CI216"/>
    <mergeCell ref="CJ206:CJ216"/>
    <mergeCell ref="CK206:CK216"/>
    <mergeCell ref="CL206:CL216"/>
    <mergeCell ref="CM206:CM216"/>
    <mergeCell ref="AQ206:AQ216"/>
    <mergeCell ref="AR206:AR216"/>
    <mergeCell ref="AS206:AS216"/>
    <mergeCell ref="AT206:AT216"/>
    <mergeCell ref="AU206:AU216"/>
    <mergeCell ref="AV206:AV216"/>
    <mergeCell ref="AW206:AW216"/>
    <mergeCell ref="AX206:AX216"/>
    <mergeCell ref="AY206:AY216"/>
    <mergeCell ref="AZ206:AZ216"/>
    <mergeCell ref="BA206:BA216"/>
    <mergeCell ref="BB206:BB216"/>
    <mergeCell ref="BC206:BC216"/>
    <mergeCell ref="BD206:BD216"/>
    <mergeCell ref="BE206:BE216"/>
    <mergeCell ref="BF206:BF216"/>
    <mergeCell ref="BG206:BG216"/>
    <mergeCell ref="BH206:BH216"/>
    <mergeCell ref="BI206:BI216"/>
    <mergeCell ref="BJ206:BJ216"/>
    <mergeCell ref="BK206:BK216"/>
    <mergeCell ref="BL206:BL216"/>
    <mergeCell ref="BM206:BM216"/>
    <mergeCell ref="BN206:BN216"/>
    <mergeCell ref="BO206:BO216"/>
    <mergeCell ref="BP206:BP216"/>
    <mergeCell ref="BQ206:BQ216"/>
    <mergeCell ref="BR206:BR216"/>
    <mergeCell ref="BS206:BS216"/>
    <mergeCell ref="BT206:BT216"/>
    <mergeCell ref="BU206:BU216"/>
    <mergeCell ref="BV206:BV216"/>
    <mergeCell ref="BW206:BW216"/>
    <mergeCell ref="BX206:BX216"/>
    <mergeCell ref="BY206:BY216"/>
    <mergeCell ref="BZ206:BZ216"/>
    <mergeCell ref="CA206:CA216"/>
    <mergeCell ref="CB206:CB216"/>
    <mergeCell ref="CC206:CC216"/>
    <mergeCell ref="CD206:CD216"/>
    <mergeCell ref="CE206:CE216"/>
    <mergeCell ref="CF206:CF216"/>
    <mergeCell ref="AJ206:AJ216"/>
    <mergeCell ref="AK206:AK216"/>
    <mergeCell ref="AL206:AL216"/>
    <mergeCell ref="AM206:AM216"/>
    <mergeCell ref="AN206:AN216"/>
    <mergeCell ref="AO206:AO216"/>
    <mergeCell ref="AP206:AP216"/>
    <mergeCell ref="CC173:CC183"/>
    <mergeCell ref="CD173:CD183"/>
    <mergeCell ref="CE173:CE183"/>
    <mergeCell ref="CF173:CF183"/>
    <mergeCell ref="CG173:CG183"/>
    <mergeCell ref="CH173:CH183"/>
    <mergeCell ref="CI173:CI183"/>
    <mergeCell ref="CQ173:CQ183"/>
    <mergeCell ref="CR173:CR183"/>
    <mergeCell ref="CS173:CS183"/>
    <mergeCell ref="CT173:CT183"/>
    <mergeCell ref="CJ173:CJ183"/>
    <mergeCell ref="CK173:CK183"/>
    <mergeCell ref="CL173:CL183"/>
    <mergeCell ref="CM173:CM183"/>
    <mergeCell ref="CN173:CN183"/>
    <mergeCell ref="CO173:CO183"/>
    <mergeCell ref="CP173:CP183"/>
    <mergeCell ref="W173:W183"/>
    <mergeCell ref="X173:X183"/>
    <mergeCell ref="Y173:Y183"/>
    <mergeCell ref="Z173:Z183"/>
    <mergeCell ref="AJ173:AJ183"/>
    <mergeCell ref="AK173:AK183"/>
    <mergeCell ref="AL173:AL183"/>
    <mergeCell ref="AT173:AT183"/>
    <mergeCell ref="AU173:AU183"/>
    <mergeCell ref="AV173:AV183"/>
    <mergeCell ref="AW173:AW183"/>
    <mergeCell ref="AX173:AX183"/>
    <mergeCell ref="AY173:AY183"/>
    <mergeCell ref="AZ173:AZ183"/>
    <mergeCell ref="BA173:BA183"/>
    <mergeCell ref="BB173:BB183"/>
    <mergeCell ref="BC173:BC183"/>
    <mergeCell ref="BD173:BD183"/>
    <mergeCell ref="BE173:BE183"/>
    <mergeCell ref="BF173:BF183"/>
    <mergeCell ref="BG173:BG183"/>
    <mergeCell ref="BH173:BH183"/>
    <mergeCell ref="BI173:BI183"/>
    <mergeCell ref="BJ173:BJ183"/>
    <mergeCell ref="BK173:BK183"/>
    <mergeCell ref="BL173:BL183"/>
    <mergeCell ref="BM173:BM183"/>
    <mergeCell ref="BN173:BN183"/>
    <mergeCell ref="BO173:BO183"/>
    <mergeCell ref="BP173:BP183"/>
    <mergeCell ref="BQ173:BQ183"/>
    <mergeCell ref="BR173:BR183"/>
    <mergeCell ref="BS173:BS183"/>
    <mergeCell ref="BT173:BT183"/>
    <mergeCell ref="BU173:BU183"/>
    <mergeCell ref="BV173:BV183"/>
    <mergeCell ref="BW173:BW183"/>
    <mergeCell ref="BX173:BX183"/>
    <mergeCell ref="BY173:BY183"/>
    <mergeCell ref="BZ173:BZ183"/>
    <mergeCell ref="CA173:CA183"/>
    <mergeCell ref="CB173:CB183"/>
    <mergeCell ref="AM173:AM183"/>
    <mergeCell ref="AN173:AN183"/>
    <mergeCell ref="AO173:AO183"/>
    <mergeCell ref="AP173:AP183"/>
    <mergeCell ref="AQ173:AQ183"/>
    <mergeCell ref="AR173:AR183"/>
    <mergeCell ref="AS173:AS183"/>
    <mergeCell ref="CN184:CN194"/>
    <mergeCell ref="CO184:CO194"/>
    <mergeCell ref="CP184:CP194"/>
    <mergeCell ref="CQ184:CQ194"/>
    <mergeCell ref="CR184:CR194"/>
    <mergeCell ref="CS184:CS194"/>
    <mergeCell ref="CT184:CT194"/>
    <mergeCell ref="CG184:CG194"/>
    <mergeCell ref="CH184:CH194"/>
    <mergeCell ref="CI184:CI194"/>
    <mergeCell ref="CJ184:CJ194"/>
    <mergeCell ref="CK184:CK194"/>
    <mergeCell ref="CL184:CL194"/>
    <mergeCell ref="CM184:CM194"/>
    <mergeCell ref="AQ184:AQ194"/>
    <mergeCell ref="AR184:AR194"/>
    <mergeCell ref="AS184:AS194"/>
    <mergeCell ref="AT184:AT194"/>
    <mergeCell ref="AU184:AU194"/>
    <mergeCell ref="AV184:AV194"/>
    <mergeCell ref="AW184:AW194"/>
    <mergeCell ref="AX184:AX194"/>
    <mergeCell ref="AY184:AY194"/>
    <mergeCell ref="AZ184:AZ194"/>
    <mergeCell ref="BA184:BA194"/>
    <mergeCell ref="BB184:BB194"/>
    <mergeCell ref="BC184:BC194"/>
    <mergeCell ref="BD184:BD194"/>
    <mergeCell ref="BE184:BE194"/>
    <mergeCell ref="BF184:BF194"/>
    <mergeCell ref="BG184:BG194"/>
    <mergeCell ref="BH184:BH194"/>
    <mergeCell ref="BI184:BI194"/>
    <mergeCell ref="BJ184:BJ194"/>
    <mergeCell ref="BK184:BK194"/>
    <mergeCell ref="BL184:BL194"/>
    <mergeCell ref="BM184:BM194"/>
    <mergeCell ref="BN184:BN194"/>
    <mergeCell ref="BO184:BO194"/>
    <mergeCell ref="BP184:BP194"/>
    <mergeCell ref="BQ184:BQ194"/>
    <mergeCell ref="BR184:BR194"/>
    <mergeCell ref="BS184:BS194"/>
    <mergeCell ref="BT184:BT194"/>
    <mergeCell ref="BU184:BU194"/>
    <mergeCell ref="BV184:BV194"/>
    <mergeCell ref="BW184:BW194"/>
    <mergeCell ref="BX184:BX194"/>
    <mergeCell ref="BY184:BY194"/>
    <mergeCell ref="BZ184:BZ194"/>
    <mergeCell ref="CA184:CA194"/>
    <mergeCell ref="CB184:CB194"/>
    <mergeCell ref="CC184:CC194"/>
    <mergeCell ref="CD184:CD194"/>
    <mergeCell ref="CE184:CE194"/>
    <mergeCell ref="CF184:CF194"/>
    <mergeCell ref="AJ184:AJ194"/>
    <mergeCell ref="AK184:AK194"/>
    <mergeCell ref="AL184:AL194"/>
    <mergeCell ref="AM184:AM194"/>
    <mergeCell ref="AN184:AN194"/>
    <mergeCell ref="AO184:AO194"/>
    <mergeCell ref="AP184:AP194"/>
    <mergeCell ref="CN195:CN205"/>
    <mergeCell ref="CO195:CO205"/>
    <mergeCell ref="CP195:CP205"/>
    <mergeCell ref="CQ195:CQ205"/>
    <mergeCell ref="CR195:CR205"/>
    <mergeCell ref="CS195:CS205"/>
    <mergeCell ref="CT195:CT205"/>
    <mergeCell ref="CG195:CG205"/>
    <mergeCell ref="CH195:CH205"/>
    <mergeCell ref="CI195:CI205"/>
    <mergeCell ref="CJ195:CJ205"/>
    <mergeCell ref="CK195:CK205"/>
    <mergeCell ref="CL195:CL205"/>
    <mergeCell ref="CM195:CM205"/>
    <mergeCell ref="AQ195:AQ205"/>
    <mergeCell ref="AR195:AR205"/>
    <mergeCell ref="AS195:AS205"/>
    <mergeCell ref="AT195:AT205"/>
    <mergeCell ref="AU195:AU205"/>
    <mergeCell ref="AV195:AV205"/>
    <mergeCell ref="AW195:AW205"/>
    <mergeCell ref="AX195:AX205"/>
    <mergeCell ref="AY195:AY205"/>
    <mergeCell ref="AZ195:AZ205"/>
    <mergeCell ref="BA195:BA205"/>
    <mergeCell ref="BB195:BB205"/>
    <mergeCell ref="BC195:BC205"/>
    <mergeCell ref="BD195:BD205"/>
    <mergeCell ref="BE195:BE205"/>
    <mergeCell ref="BF195:BF205"/>
    <mergeCell ref="BG195:BG205"/>
    <mergeCell ref="BH195:BH205"/>
    <mergeCell ref="BI195:BI205"/>
    <mergeCell ref="BJ195:BJ205"/>
    <mergeCell ref="BK195:BK205"/>
    <mergeCell ref="BL195:BL205"/>
    <mergeCell ref="BM195:BM205"/>
    <mergeCell ref="BN195:BN205"/>
    <mergeCell ref="BO195:BO205"/>
    <mergeCell ref="BP195:BP205"/>
    <mergeCell ref="BQ195:BQ205"/>
    <mergeCell ref="BR195:BR205"/>
    <mergeCell ref="BS195:BS205"/>
    <mergeCell ref="BT195:BT205"/>
    <mergeCell ref="BU195:BU205"/>
    <mergeCell ref="BV195:BV205"/>
    <mergeCell ref="BW195:BW205"/>
    <mergeCell ref="BX195:BX205"/>
    <mergeCell ref="BY195:BY205"/>
    <mergeCell ref="BZ195:BZ205"/>
    <mergeCell ref="CA195:CA205"/>
    <mergeCell ref="CB195:CB205"/>
    <mergeCell ref="CC195:CC205"/>
    <mergeCell ref="CD195:CD205"/>
    <mergeCell ref="CE195:CE205"/>
    <mergeCell ref="CF195:CF205"/>
    <mergeCell ref="AJ195:AJ205"/>
    <mergeCell ref="AK195:AK205"/>
    <mergeCell ref="AL195:AL205"/>
    <mergeCell ref="AM195:AM205"/>
    <mergeCell ref="AN195:AN205"/>
    <mergeCell ref="AO195:AO205"/>
    <mergeCell ref="AP195:AP205"/>
    <mergeCell ref="CN217:CN227"/>
    <mergeCell ref="CO217:CO227"/>
    <mergeCell ref="CP217:CP227"/>
    <mergeCell ref="CQ217:CQ227"/>
    <mergeCell ref="CR217:CR227"/>
    <mergeCell ref="CS217:CS227"/>
    <mergeCell ref="CT217:CT227"/>
    <mergeCell ref="CG217:CG227"/>
    <mergeCell ref="CH217:CH227"/>
    <mergeCell ref="CI217:CI227"/>
    <mergeCell ref="CJ217:CJ227"/>
    <mergeCell ref="CK217:CK227"/>
    <mergeCell ref="CL217:CL227"/>
    <mergeCell ref="CM217:CM227"/>
    <mergeCell ref="AJ217:AJ227"/>
    <mergeCell ref="AK217:AK227"/>
    <mergeCell ref="AL217:AL227"/>
    <mergeCell ref="AM217:AM227"/>
    <mergeCell ref="AN217:AN227"/>
    <mergeCell ref="AO217:AO227"/>
    <mergeCell ref="AP217:AP227"/>
    <mergeCell ref="AQ217:AQ227"/>
    <mergeCell ref="AR217:AR227"/>
    <mergeCell ref="AS217:AS227"/>
    <mergeCell ref="AT217:AT227"/>
    <mergeCell ref="AU217:AU227"/>
    <mergeCell ref="AV217:AV227"/>
    <mergeCell ref="AW217:AW227"/>
    <mergeCell ref="AX217:AX227"/>
    <mergeCell ref="AY217:AY227"/>
    <mergeCell ref="AZ217:AZ227"/>
    <mergeCell ref="BA217:BA227"/>
    <mergeCell ref="BB217:BB227"/>
    <mergeCell ref="BC217:BC227"/>
    <mergeCell ref="BD217:BD227"/>
    <mergeCell ref="BE217:BE227"/>
    <mergeCell ref="BF217:BF227"/>
    <mergeCell ref="BG217:BG227"/>
    <mergeCell ref="BH217:BH227"/>
    <mergeCell ref="BI217:BI227"/>
    <mergeCell ref="BJ217:BJ227"/>
    <mergeCell ref="BK217:BK227"/>
    <mergeCell ref="BL217:BL227"/>
    <mergeCell ref="BM217:BM227"/>
    <mergeCell ref="BN217:BN227"/>
    <mergeCell ref="BO217:BO227"/>
    <mergeCell ref="BP217:BP227"/>
    <mergeCell ref="BQ217:BQ227"/>
    <mergeCell ref="BR217:BR227"/>
    <mergeCell ref="BS217:BS227"/>
    <mergeCell ref="BT217:BT227"/>
    <mergeCell ref="BU217:BU227"/>
    <mergeCell ref="BV217:BV227"/>
    <mergeCell ref="BW217:BW227"/>
    <mergeCell ref="BX217:BX227"/>
    <mergeCell ref="BY217:BY227"/>
    <mergeCell ref="BZ217:BZ227"/>
    <mergeCell ref="CA217:CA227"/>
    <mergeCell ref="CB217:CB227"/>
    <mergeCell ref="CC217:CC227"/>
    <mergeCell ref="CD217:CD227"/>
    <mergeCell ref="CE217:CE227"/>
    <mergeCell ref="CF217:CF227"/>
    <mergeCell ref="CN261:CN271"/>
    <mergeCell ref="CO261:CO271"/>
    <mergeCell ref="CP261:CP271"/>
    <mergeCell ref="CQ261:CQ271"/>
    <mergeCell ref="CR261:CR271"/>
    <mergeCell ref="CS261:CS271"/>
    <mergeCell ref="CT261:CT271"/>
    <mergeCell ref="CG261:CG271"/>
    <mergeCell ref="CH261:CH271"/>
    <mergeCell ref="CI261:CI271"/>
    <mergeCell ref="CJ261:CJ271"/>
    <mergeCell ref="CK261:CK271"/>
    <mergeCell ref="CL261:CL271"/>
    <mergeCell ref="CM261:CM271"/>
    <mergeCell ref="AJ261:AJ271"/>
    <mergeCell ref="AK261:AK271"/>
    <mergeCell ref="AL261:AL271"/>
    <mergeCell ref="AM261:AM271"/>
    <mergeCell ref="AN261:AN271"/>
    <mergeCell ref="AO261:AO271"/>
    <mergeCell ref="AP261:AP271"/>
    <mergeCell ref="AQ261:AQ271"/>
    <mergeCell ref="AR261:AR271"/>
    <mergeCell ref="AS261:AS271"/>
    <mergeCell ref="AT261:AT271"/>
    <mergeCell ref="AU261:AU271"/>
    <mergeCell ref="AV261:AV271"/>
    <mergeCell ref="AW261:AW271"/>
    <mergeCell ref="AX261:AX271"/>
    <mergeCell ref="AY261:AY271"/>
    <mergeCell ref="AZ261:AZ271"/>
    <mergeCell ref="BA261:BA271"/>
    <mergeCell ref="BB261:BB271"/>
    <mergeCell ref="BC261:BC271"/>
    <mergeCell ref="BD261:BD271"/>
    <mergeCell ref="BE261:BE271"/>
    <mergeCell ref="BF261:BF271"/>
    <mergeCell ref="BG261:BG271"/>
    <mergeCell ref="BH261:BH271"/>
    <mergeCell ref="BI261:BI271"/>
    <mergeCell ref="BJ261:BJ271"/>
    <mergeCell ref="BK261:BK271"/>
    <mergeCell ref="BL261:BL271"/>
    <mergeCell ref="BM261:BM271"/>
    <mergeCell ref="BN261:BN271"/>
    <mergeCell ref="BO261:BO271"/>
    <mergeCell ref="BP261:BP271"/>
    <mergeCell ref="BQ261:BQ271"/>
    <mergeCell ref="BR261:BR271"/>
    <mergeCell ref="BS261:BS271"/>
    <mergeCell ref="BT261:BT271"/>
    <mergeCell ref="BU261:BU271"/>
    <mergeCell ref="BV261:BV271"/>
    <mergeCell ref="BW261:BW271"/>
    <mergeCell ref="BX261:BX271"/>
    <mergeCell ref="BY261:BY271"/>
    <mergeCell ref="BZ261:BZ271"/>
    <mergeCell ref="CA261:CA271"/>
    <mergeCell ref="CB261:CB271"/>
    <mergeCell ref="CC261:CC271"/>
    <mergeCell ref="CD261:CD271"/>
    <mergeCell ref="CE261:CE271"/>
    <mergeCell ref="CF261:CF271"/>
    <mergeCell ref="W184:W194"/>
    <mergeCell ref="X184:X194"/>
    <mergeCell ref="Y184:Y194"/>
    <mergeCell ref="Z184:Z194"/>
    <mergeCell ref="P184:P194"/>
    <mergeCell ref="Q184:Q194"/>
    <mergeCell ref="R184:R194"/>
    <mergeCell ref="S184:S194"/>
    <mergeCell ref="T184:T194"/>
    <mergeCell ref="U184:U194"/>
    <mergeCell ref="V184:V194"/>
    <mergeCell ref="W195:W205"/>
    <mergeCell ref="X195:X205"/>
    <mergeCell ref="Y195:Y205"/>
    <mergeCell ref="Z195:Z205"/>
    <mergeCell ref="P195:P205"/>
    <mergeCell ref="Q195:Q205"/>
    <mergeCell ref="R195:R205"/>
    <mergeCell ref="S195:S205"/>
    <mergeCell ref="T195:T205"/>
    <mergeCell ref="U195:U205"/>
    <mergeCell ref="V195:V205"/>
    <mergeCell ref="W206:W216"/>
    <mergeCell ref="X206:X216"/>
    <mergeCell ref="Y206:Y216"/>
    <mergeCell ref="Z206:Z216"/>
    <mergeCell ref="P206:P216"/>
    <mergeCell ref="Q206:Q216"/>
    <mergeCell ref="R206:R216"/>
    <mergeCell ref="S206:S216"/>
    <mergeCell ref="T206:T216"/>
    <mergeCell ref="U206:U216"/>
    <mergeCell ref="V206:V216"/>
    <mergeCell ref="W228:W238"/>
    <mergeCell ref="X228:X238"/>
    <mergeCell ref="Y228:Y238"/>
    <mergeCell ref="Z228:Z238"/>
    <mergeCell ref="P228:P238"/>
    <mergeCell ref="Q228:Q238"/>
    <mergeCell ref="R228:R238"/>
    <mergeCell ref="S228:S238"/>
    <mergeCell ref="T228:T238"/>
    <mergeCell ref="U228:U238"/>
    <mergeCell ref="V228:V238"/>
    <mergeCell ref="BV228:BV238"/>
    <mergeCell ref="BW228:BW238"/>
    <mergeCell ref="BX228:BX238"/>
    <mergeCell ref="BY228:BY238"/>
    <mergeCell ref="BZ228:BZ238"/>
    <mergeCell ref="CA228:CA238"/>
    <mergeCell ref="CB228:CB238"/>
    <mergeCell ref="CC228:CC238"/>
    <mergeCell ref="CD228:CD238"/>
    <mergeCell ref="CE228:CE238"/>
    <mergeCell ref="CF228:CF238"/>
    <mergeCell ref="CG228:CG238"/>
    <mergeCell ref="CH228:CH238"/>
    <mergeCell ref="CI228:CI238"/>
    <mergeCell ref="CQ228:CQ238"/>
    <mergeCell ref="CR228:CR238"/>
    <mergeCell ref="CS228:CS238"/>
    <mergeCell ref="CT228:CT238"/>
    <mergeCell ref="CJ228:CJ238"/>
    <mergeCell ref="CK228:CK238"/>
    <mergeCell ref="CL228:CL238"/>
    <mergeCell ref="CM228:CM238"/>
    <mergeCell ref="CN228:CN238"/>
    <mergeCell ref="CO228:CO238"/>
    <mergeCell ref="CP228:CP238"/>
    <mergeCell ref="P217:P227"/>
    <mergeCell ref="Q217:Q227"/>
    <mergeCell ref="R217:R227"/>
    <mergeCell ref="S217:S227"/>
    <mergeCell ref="T217:T227"/>
    <mergeCell ref="U217:U227"/>
    <mergeCell ref="V217:V227"/>
    <mergeCell ref="W217:W227"/>
    <mergeCell ref="X217:X227"/>
    <mergeCell ref="Y217:Y227"/>
    <mergeCell ref="Z217:Z227"/>
    <mergeCell ref="AJ228:AJ238"/>
    <mergeCell ref="AK228:AK238"/>
    <mergeCell ref="AL228:AL238"/>
    <mergeCell ref="AT228:AT238"/>
    <mergeCell ref="AU228:AU238"/>
    <mergeCell ref="AV228:AV238"/>
    <mergeCell ref="AW228:AW238"/>
    <mergeCell ref="AX228:AX238"/>
    <mergeCell ref="AY228:AY238"/>
    <mergeCell ref="AZ228:AZ238"/>
    <mergeCell ref="BA228:BA238"/>
    <mergeCell ref="BB228:BB238"/>
    <mergeCell ref="BC228:BC238"/>
    <mergeCell ref="BD228:BD238"/>
    <mergeCell ref="BE228:BE238"/>
    <mergeCell ref="BF228:BF238"/>
    <mergeCell ref="BG228:BG238"/>
    <mergeCell ref="BH228:BH238"/>
    <mergeCell ref="BI228:BI238"/>
    <mergeCell ref="BJ228:BJ238"/>
    <mergeCell ref="BK228:BK238"/>
    <mergeCell ref="BL228:BL238"/>
    <mergeCell ref="BM228:BM238"/>
    <mergeCell ref="BN228:BN238"/>
    <mergeCell ref="BO228:BO238"/>
    <mergeCell ref="BP228:BP238"/>
    <mergeCell ref="BQ228:BQ238"/>
    <mergeCell ref="BR228:BR238"/>
    <mergeCell ref="BS228:BS238"/>
    <mergeCell ref="BT228:BT238"/>
    <mergeCell ref="BU228:BU238"/>
    <mergeCell ref="AM228:AM238"/>
    <mergeCell ref="AN228:AN238"/>
    <mergeCell ref="AO228:AO238"/>
    <mergeCell ref="AP228:AP238"/>
    <mergeCell ref="AQ228:AQ238"/>
    <mergeCell ref="AR228:AR238"/>
    <mergeCell ref="AS228:AS238"/>
    <mergeCell ref="CN239:CN249"/>
    <mergeCell ref="CO239:CO249"/>
    <mergeCell ref="CP239:CP249"/>
    <mergeCell ref="CQ239:CQ249"/>
    <mergeCell ref="CR239:CR249"/>
    <mergeCell ref="CS239:CS249"/>
    <mergeCell ref="CT239:CT249"/>
    <mergeCell ref="CG239:CG249"/>
    <mergeCell ref="CH239:CH249"/>
    <mergeCell ref="CI239:CI249"/>
    <mergeCell ref="CJ239:CJ249"/>
    <mergeCell ref="CK239:CK249"/>
    <mergeCell ref="CL239:CL249"/>
    <mergeCell ref="CM239:CM249"/>
    <mergeCell ref="AQ239:AQ249"/>
    <mergeCell ref="AR239:AR249"/>
    <mergeCell ref="AS239:AS249"/>
    <mergeCell ref="AT239:AT249"/>
    <mergeCell ref="AU239:AU249"/>
    <mergeCell ref="AV239:AV249"/>
    <mergeCell ref="AW239:AW249"/>
    <mergeCell ref="AX239:AX249"/>
    <mergeCell ref="AY239:AY249"/>
    <mergeCell ref="AZ239:AZ249"/>
    <mergeCell ref="BA239:BA249"/>
    <mergeCell ref="BB239:BB249"/>
    <mergeCell ref="BC239:BC249"/>
    <mergeCell ref="BD239:BD249"/>
    <mergeCell ref="BE239:BE249"/>
    <mergeCell ref="BF239:BF249"/>
    <mergeCell ref="BG239:BG249"/>
    <mergeCell ref="BH239:BH249"/>
    <mergeCell ref="BI239:BI249"/>
    <mergeCell ref="BJ239:BJ249"/>
    <mergeCell ref="BK239:BK249"/>
    <mergeCell ref="BL239:BL249"/>
    <mergeCell ref="BM239:BM249"/>
    <mergeCell ref="BN239:BN249"/>
    <mergeCell ref="BO239:BO249"/>
    <mergeCell ref="BP239:BP249"/>
    <mergeCell ref="BQ239:BQ249"/>
    <mergeCell ref="BR239:BR249"/>
    <mergeCell ref="BS239:BS249"/>
    <mergeCell ref="BT239:BT249"/>
    <mergeCell ref="BU239:BU249"/>
    <mergeCell ref="BV239:BV249"/>
    <mergeCell ref="BW239:BW249"/>
    <mergeCell ref="BX239:BX249"/>
    <mergeCell ref="BY239:BY249"/>
    <mergeCell ref="BZ239:BZ249"/>
    <mergeCell ref="CA239:CA249"/>
    <mergeCell ref="CB239:CB249"/>
    <mergeCell ref="CC239:CC249"/>
    <mergeCell ref="CD239:CD249"/>
    <mergeCell ref="CE239:CE249"/>
    <mergeCell ref="CF239:CF249"/>
    <mergeCell ref="AJ239:AJ249"/>
    <mergeCell ref="AK239:AK249"/>
    <mergeCell ref="AL239:AL249"/>
    <mergeCell ref="AM239:AM249"/>
    <mergeCell ref="AN239:AN249"/>
    <mergeCell ref="AO239:AO249"/>
    <mergeCell ref="AP239:AP249"/>
    <mergeCell ref="CN250:CN260"/>
    <mergeCell ref="CO250:CO260"/>
    <mergeCell ref="CP250:CP260"/>
    <mergeCell ref="CQ250:CQ260"/>
    <mergeCell ref="CR250:CR260"/>
    <mergeCell ref="CS250:CS260"/>
    <mergeCell ref="CT250:CT260"/>
    <mergeCell ref="CG250:CG260"/>
    <mergeCell ref="CH250:CH260"/>
    <mergeCell ref="CI250:CI260"/>
    <mergeCell ref="CJ250:CJ260"/>
    <mergeCell ref="CK250:CK260"/>
    <mergeCell ref="CL250:CL260"/>
    <mergeCell ref="CM250:CM260"/>
    <mergeCell ref="AQ250:AQ260"/>
    <mergeCell ref="AR250:AR260"/>
    <mergeCell ref="AS250:AS260"/>
    <mergeCell ref="AT250:AT260"/>
    <mergeCell ref="AU250:AU260"/>
    <mergeCell ref="AV250:AV260"/>
    <mergeCell ref="AW250:AW260"/>
    <mergeCell ref="AX250:AX260"/>
    <mergeCell ref="AY250:AY260"/>
    <mergeCell ref="AZ250:AZ260"/>
    <mergeCell ref="BA250:BA260"/>
    <mergeCell ref="BB250:BB260"/>
    <mergeCell ref="BC250:BC260"/>
    <mergeCell ref="BD250:BD260"/>
    <mergeCell ref="BE250:BE260"/>
    <mergeCell ref="BF250:BF260"/>
    <mergeCell ref="BG250:BG260"/>
    <mergeCell ref="BH250:BH260"/>
    <mergeCell ref="BI250:BI260"/>
    <mergeCell ref="BJ250:BJ260"/>
    <mergeCell ref="BK250:BK260"/>
    <mergeCell ref="BL250:BL260"/>
    <mergeCell ref="BM250:BM260"/>
    <mergeCell ref="BN250:BN260"/>
    <mergeCell ref="BO250:BO260"/>
    <mergeCell ref="BP250:BP260"/>
    <mergeCell ref="BQ250:BQ260"/>
    <mergeCell ref="BR250:BR260"/>
    <mergeCell ref="BS250:BS260"/>
    <mergeCell ref="BT250:BT260"/>
    <mergeCell ref="BU250:BU260"/>
    <mergeCell ref="BV250:BV260"/>
    <mergeCell ref="BW250:BW260"/>
    <mergeCell ref="BX250:BX260"/>
    <mergeCell ref="BY250:BY260"/>
    <mergeCell ref="BZ250:BZ260"/>
    <mergeCell ref="CA250:CA260"/>
    <mergeCell ref="CB250:CB260"/>
    <mergeCell ref="CC250:CC260"/>
    <mergeCell ref="CD250:CD260"/>
    <mergeCell ref="CE250:CE260"/>
    <mergeCell ref="CF250:CF260"/>
    <mergeCell ref="AJ250:AJ260"/>
    <mergeCell ref="AK250:AK260"/>
    <mergeCell ref="AL250:AL260"/>
    <mergeCell ref="AM250:AM260"/>
    <mergeCell ref="AN250:AN260"/>
    <mergeCell ref="AO250:AO260"/>
    <mergeCell ref="AP250:AP260"/>
    <mergeCell ref="CN305:CN315"/>
    <mergeCell ref="CO305:CO315"/>
    <mergeCell ref="CP305:CP315"/>
    <mergeCell ref="CQ305:CQ315"/>
    <mergeCell ref="CR305:CR315"/>
    <mergeCell ref="CS305:CS315"/>
    <mergeCell ref="CT305:CT315"/>
    <mergeCell ref="CG305:CG315"/>
    <mergeCell ref="CH305:CH315"/>
    <mergeCell ref="CI305:CI315"/>
    <mergeCell ref="CJ305:CJ315"/>
    <mergeCell ref="CK305:CK315"/>
    <mergeCell ref="CL305:CL315"/>
    <mergeCell ref="CM305:CM315"/>
    <mergeCell ref="AJ305:AJ315"/>
    <mergeCell ref="AK305:AK315"/>
    <mergeCell ref="AL305:AL315"/>
    <mergeCell ref="AM305:AM315"/>
    <mergeCell ref="AN305:AN315"/>
    <mergeCell ref="AO305:AO315"/>
    <mergeCell ref="AP305:AP315"/>
    <mergeCell ref="AQ305:AQ315"/>
    <mergeCell ref="AR305:AR315"/>
    <mergeCell ref="AS305:AS315"/>
    <mergeCell ref="AT305:AT315"/>
    <mergeCell ref="AU305:AU315"/>
    <mergeCell ref="AV305:AV315"/>
    <mergeCell ref="AW305:AW315"/>
    <mergeCell ref="AX305:AX315"/>
    <mergeCell ref="AY305:AY315"/>
    <mergeCell ref="AZ305:AZ315"/>
    <mergeCell ref="BA305:BA315"/>
    <mergeCell ref="BB305:BB315"/>
    <mergeCell ref="BC305:BC315"/>
    <mergeCell ref="BD305:BD315"/>
    <mergeCell ref="BE305:BE315"/>
    <mergeCell ref="BF305:BF315"/>
    <mergeCell ref="BG305:BG315"/>
    <mergeCell ref="BH305:BH315"/>
    <mergeCell ref="BI305:BI315"/>
    <mergeCell ref="BJ305:BJ315"/>
    <mergeCell ref="BK305:BK315"/>
    <mergeCell ref="BL305:BL315"/>
    <mergeCell ref="BM305:BM315"/>
    <mergeCell ref="BN305:BN315"/>
    <mergeCell ref="BO305:BO315"/>
    <mergeCell ref="BP305:BP315"/>
    <mergeCell ref="BQ305:BQ315"/>
    <mergeCell ref="BR305:BR315"/>
    <mergeCell ref="BS305:BS315"/>
    <mergeCell ref="BT305:BT315"/>
    <mergeCell ref="BU305:BU315"/>
    <mergeCell ref="BV305:BV315"/>
    <mergeCell ref="BW305:BW315"/>
    <mergeCell ref="BX305:BX315"/>
    <mergeCell ref="BY305:BY315"/>
    <mergeCell ref="BZ305:BZ315"/>
    <mergeCell ref="CA305:CA315"/>
    <mergeCell ref="CB305:CB315"/>
    <mergeCell ref="CC305:CC315"/>
    <mergeCell ref="CD305:CD315"/>
    <mergeCell ref="CE305:CE315"/>
    <mergeCell ref="CF305:CF315"/>
    <mergeCell ref="W239:W249"/>
    <mergeCell ref="X239:X249"/>
    <mergeCell ref="Y239:Y249"/>
    <mergeCell ref="Z239:Z249"/>
    <mergeCell ref="P239:P249"/>
    <mergeCell ref="Q239:Q249"/>
    <mergeCell ref="R239:R249"/>
    <mergeCell ref="S239:S249"/>
    <mergeCell ref="T239:T249"/>
    <mergeCell ref="U239:U249"/>
    <mergeCell ref="V239:V249"/>
    <mergeCell ref="W250:W260"/>
    <mergeCell ref="X250:X260"/>
    <mergeCell ref="Y250:Y260"/>
    <mergeCell ref="Z250:Z260"/>
    <mergeCell ref="P250:P260"/>
    <mergeCell ref="Q250:Q260"/>
    <mergeCell ref="R250:R260"/>
    <mergeCell ref="S250:S260"/>
    <mergeCell ref="T250:T260"/>
    <mergeCell ref="U250:U260"/>
    <mergeCell ref="V250:V260"/>
    <mergeCell ref="W261:W271"/>
    <mergeCell ref="X261:X271"/>
    <mergeCell ref="Y261:Y271"/>
    <mergeCell ref="Z261:Z271"/>
    <mergeCell ref="P261:P271"/>
    <mergeCell ref="Q261:Q271"/>
    <mergeCell ref="R261:R271"/>
    <mergeCell ref="S261:S271"/>
    <mergeCell ref="T261:T271"/>
    <mergeCell ref="U261:U271"/>
    <mergeCell ref="V261:V271"/>
    <mergeCell ref="P272:P282"/>
    <mergeCell ref="Q272:Q282"/>
    <mergeCell ref="R272:R282"/>
    <mergeCell ref="S272:S282"/>
    <mergeCell ref="T272:T282"/>
    <mergeCell ref="U272:U282"/>
    <mergeCell ref="V272:V282"/>
    <mergeCell ref="CC272:CC282"/>
    <mergeCell ref="CD272:CD282"/>
    <mergeCell ref="CE272:CE282"/>
    <mergeCell ref="CF272:CF282"/>
    <mergeCell ref="CG272:CG282"/>
    <mergeCell ref="CH272:CH282"/>
    <mergeCell ref="CI272:CI282"/>
    <mergeCell ref="CQ272:CQ282"/>
    <mergeCell ref="CR272:CR282"/>
    <mergeCell ref="CS272:CS282"/>
    <mergeCell ref="CT272:CT282"/>
    <mergeCell ref="CJ272:CJ282"/>
    <mergeCell ref="CK272:CK282"/>
    <mergeCell ref="CL272:CL282"/>
    <mergeCell ref="CM272:CM282"/>
    <mergeCell ref="CN272:CN282"/>
    <mergeCell ref="CO272:CO282"/>
    <mergeCell ref="CP272:CP282"/>
    <mergeCell ref="W272:W282"/>
    <mergeCell ref="X272:X282"/>
    <mergeCell ref="Y272:Y282"/>
    <mergeCell ref="Z272:Z282"/>
    <mergeCell ref="AJ272:AJ282"/>
    <mergeCell ref="AK272:AK282"/>
    <mergeCell ref="AL272:AL282"/>
    <mergeCell ref="AT272:AT282"/>
    <mergeCell ref="AU272:AU282"/>
    <mergeCell ref="AV272:AV282"/>
    <mergeCell ref="AW272:AW282"/>
    <mergeCell ref="AX272:AX282"/>
    <mergeCell ref="AY272:AY282"/>
    <mergeCell ref="AZ272:AZ282"/>
    <mergeCell ref="BA272:BA282"/>
    <mergeCell ref="BB272:BB282"/>
    <mergeCell ref="BC272:BC282"/>
    <mergeCell ref="BD272:BD282"/>
    <mergeCell ref="BE272:BE282"/>
    <mergeCell ref="BF272:BF282"/>
    <mergeCell ref="BG272:BG282"/>
    <mergeCell ref="BH272:BH282"/>
    <mergeCell ref="BI272:BI282"/>
    <mergeCell ref="BJ272:BJ282"/>
    <mergeCell ref="BK272:BK282"/>
    <mergeCell ref="BL272:BL282"/>
    <mergeCell ref="BM272:BM282"/>
    <mergeCell ref="BN272:BN282"/>
    <mergeCell ref="BO272:BO282"/>
    <mergeCell ref="BP272:BP282"/>
    <mergeCell ref="BQ272:BQ282"/>
    <mergeCell ref="BR272:BR282"/>
    <mergeCell ref="BS272:BS282"/>
    <mergeCell ref="BT272:BT282"/>
    <mergeCell ref="BU272:BU282"/>
    <mergeCell ref="BV272:BV282"/>
    <mergeCell ref="BW272:BW282"/>
    <mergeCell ref="BX272:BX282"/>
    <mergeCell ref="BY272:BY282"/>
    <mergeCell ref="BZ272:BZ282"/>
    <mergeCell ref="CA272:CA282"/>
    <mergeCell ref="CB272:CB282"/>
    <mergeCell ref="AM272:AM282"/>
    <mergeCell ref="AN272:AN282"/>
    <mergeCell ref="AO272:AO282"/>
    <mergeCell ref="AP272:AP282"/>
    <mergeCell ref="AQ272:AQ282"/>
    <mergeCell ref="AR272:AR282"/>
    <mergeCell ref="AS272:AS282"/>
    <mergeCell ref="CN283:CN293"/>
    <mergeCell ref="CO283:CO293"/>
    <mergeCell ref="CP283:CP293"/>
    <mergeCell ref="CQ283:CQ293"/>
    <mergeCell ref="CR283:CR293"/>
    <mergeCell ref="CS283:CS293"/>
    <mergeCell ref="CT283:CT293"/>
    <mergeCell ref="CG283:CG293"/>
    <mergeCell ref="CH283:CH293"/>
    <mergeCell ref="CI283:CI293"/>
    <mergeCell ref="CJ283:CJ293"/>
    <mergeCell ref="CK283:CK293"/>
    <mergeCell ref="CL283:CL293"/>
    <mergeCell ref="CM283:CM293"/>
    <mergeCell ref="AQ283:AQ293"/>
    <mergeCell ref="AR283:AR293"/>
    <mergeCell ref="AS283:AS293"/>
    <mergeCell ref="AT283:AT293"/>
    <mergeCell ref="AU283:AU293"/>
    <mergeCell ref="AV283:AV293"/>
    <mergeCell ref="AW283:AW293"/>
    <mergeCell ref="AX283:AX293"/>
    <mergeCell ref="AY283:AY293"/>
    <mergeCell ref="AZ283:AZ293"/>
    <mergeCell ref="BA283:BA293"/>
    <mergeCell ref="BB283:BB293"/>
    <mergeCell ref="BC283:BC293"/>
    <mergeCell ref="BD283:BD293"/>
    <mergeCell ref="BE283:BE293"/>
    <mergeCell ref="BF283:BF293"/>
    <mergeCell ref="BG283:BG293"/>
    <mergeCell ref="BH283:BH293"/>
    <mergeCell ref="BI283:BI293"/>
    <mergeCell ref="BJ283:BJ293"/>
    <mergeCell ref="BK283:BK293"/>
    <mergeCell ref="BL283:BL293"/>
    <mergeCell ref="BM283:BM293"/>
    <mergeCell ref="BN283:BN293"/>
    <mergeCell ref="BO283:BO293"/>
    <mergeCell ref="BP283:BP293"/>
    <mergeCell ref="BQ283:BQ293"/>
    <mergeCell ref="BR283:BR293"/>
    <mergeCell ref="BS283:BS293"/>
    <mergeCell ref="BT283:BT293"/>
    <mergeCell ref="BU283:BU293"/>
    <mergeCell ref="BV283:BV293"/>
    <mergeCell ref="BW283:BW293"/>
    <mergeCell ref="BX283:BX293"/>
    <mergeCell ref="BY283:BY293"/>
    <mergeCell ref="BZ283:BZ293"/>
    <mergeCell ref="CA283:CA293"/>
    <mergeCell ref="CB283:CB293"/>
    <mergeCell ref="CC283:CC293"/>
    <mergeCell ref="CD283:CD293"/>
    <mergeCell ref="CE283:CE293"/>
    <mergeCell ref="CF283:CF293"/>
    <mergeCell ref="AJ283:AJ293"/>
    <mergeCell ref="AK283:AK293"/>
    <mergeCell ref="AL283:AL293"/>
    <mergeCell ref="AM283:AM293"/>
    <mergeCell ref="AN283:AN293"/>
    <mergeCell ref="AO283:AO293"/>
    <mergeCell ref="AP283:AP293"/>
    <mergeCell ref="CN294:CN304"/>
    <mergeCell ref="CO294:CO304"/>
    <mergeCell ref="CP294:CP304"/>
    <mergeCell ref="CQ294:CQ304"/>
    <mergeCell ref="CR294:CR304"/>
    <mergeCell ref="CS294:CS304"/>
    <mergeCell ref="CT294:CT304"/>
    <mergeCell ref="CG294:CG304"/>
    <mergeCell ref="CH294:CH304"/>
    <mergeCell ref="CI294:CI304"/>
    <mergeCell ref="CJ294:CJ304"/>
    <mergeCell ref="CK294:CK304"/>
    <mergeCell ref="CL294:CL304"/>
    <mergeCell ref="CM294:CM304"/>
    <mergeCell ref="AQ294:AQ304"/>
    <mergeCell ref="AR294:AR304"/>
    <mergeCell ref="AS294:AS304"/>
    <mergeCell ref="AT294:AT304"/>
    <mergeCell ref="AU294:AU304"/>
    <mergeCell ref="AV294:AV304"/>
    <mergeCell ref="AW294:AW304"/>
    <mergeCell ref="AX294:AX304"/>
    <mergeCell ref="AY294:AY304"/>
    <mergeCell ref="AZ294:AZ304"/>
    <mergeCell ref="BA294:BA304"/>
    <mergeCell ref="BB294:BB304"/>
    <mergeCell ref="BC294:BC304"/>
    <mergeCell ref="BD294:BD304"/>
    <mergeCell ref="BE294:BE304"/>
    <mergeCell ref="BF294:BF304"/>
    <mergeCell ref="BG294:BG304"/>
    <mergeCell ref="BH294:BH304"/>
    <mergeCell ref="BI294:BI304"/>
    <mergeCell ref="BJ294:BJ304"/>
    <mergeCell ref="BK294:BK304"/>
    <mergeCell ref="BL294:BL304"/>
    <mergeCell ref="BM294:BM304"/>
    <mergeCell ref="BN294:BN304"/>
    <mergeCell ref="BO294:BO304"/>
    <mergeCell ref="BP294:BP304"/>
    <mergeCell ref="BQ294:BQ304"/>
    <mergeCell ref="BR294:BR304"/>
    <mergeCell ref="BS294:BS304"/>
    <mergeCell ref="BT294:BT304"/>
    <mergeCell ref="BU294:BU304"/>
    <mergeCell ref="BV294:BV304"/>
    <mergeCell ref="BW294:BW304"/>
    <mergeCell ref="BX294:BX304"/>
    <mergeCell ref="BY294:BY304"/>
    <mergeCell ref="BZ294:BZ304"/>
    <mergeCell ref="CA294:CA304"/>
    <mergeCell ref="CB294:CB304"/>
    <mergeCell ref="CC294:CC304"/>
    <mergeCell ref="CD294:CD304"/>
    <mergeCell ref="CE294:CE304"/>
    <mergeCell ref="CF294:CF304"/>
    <mergeCell ref="AJ294:AJ304"/>
    <mergeCell ref="AK294:AK304"/>
    <mergeCell ref="AL294:AL304"/>
    <mergeCell ref="AM294:AM304"/>
    <mergeCell ref="AN294:AN304"/>
    <mergeCell ref="AO294:AO304"/>
    <mergeCell ref="AP294:AP304"/>
    <mergeCell ref="AR5:AR7"/>
    <mergeCell ref="AS5:AS7"/>
    <mergeCell ref="AT5:AT7"/>
    <mergeCell ref="AU5:AX5"/>
    <mergeCell ref="AY5:AY6"/>
    <mergeCell ref="AZ5:AZ6"/>
    <mergeCell ref="BA5:BO5"/>
    <mergeCell ref="BP5:BU5"/>
    <mergeCell ref="BV5:BW5"/>
    <mergeCell ref="BX5:CG5"/>
    <mergeCell ref="BV6:BV7"/>
    <mergeCell ref="BW6:BW7"/>
    <mergeCell ref="BX6:CE6"/>
    <mergeCell ref="CF6:CG6"/>
    <mergeCell ref="A6:A7"/>
    <mergeCell ref="B6:B7"/>
    <mergeCell ref="C6:C7"/>
    <mergeCell ref="D6:D7"/>
    <mergeCell ref="A1:AT1"/>
    <mergeCell ref="AU1:CT1"/>
    <mergeCell ref="A2:AT2"/>
    <mergeCell ref="AU2:CT2"/>
    <mergeCell ref="A3:AT3"/>
    <mergeCell ref="AU3:CT3"/>
    <mergeCell ref="A4:AR4"/>
    <mergeCell ref="CH6:CI6"/>
    <mergeCell ref="CJ6:CK6"/>
    <mergeCell ref="CL6:CM6"/>
    <mergeCell ref="CN6:CO6"/>
    <mergeCell ref="CP6:CP7"/>
    <mergeCell ref="CQ6:CQ7"/>
    <mergeCell ref="CR6:CR7"/>
    <mergeCell ref="CS6:CS7"/>
    <mergeCell ref="CT6:CT7"/>
    <mergeCell ref="AU4:CG4"/>
    <mergeCell ref="CH4:CS5"/>
    <mergeCell ref="A5:Z5"/>
    <mergeCell ref="AJ5:AO6"/>
    <mergeCell ref="AP5:AP7"/>
    <mergeCell ref="AQ5:AQ7"/>
    <mergeCell ref="N6:N7"/>
    <mergeCell ref="AW8:AW18"/>
    <mergeCell ref="AX8:AX18"/>
    <mergeCell ref="AP8:AP18"/>
    <mergeCell ref="AQ8:AQ18"/>
    <mergeCell ref="AR8:AR18"/>
    <mergeCell ref="AS8:AS18"/>
    <mergeCell ref="AT8:AT18"/>
    <mergeCell ref="AU8:AU18"/>
    <mergeCell ref="AV8:AV18"/>
    <mergeCell ref="BK8:BK18"/>
    <mergeCell ref="BL8:BL18"/>
    <mergeCell ref="BD8:BD18"/>
    <mergeCell ref="BE8:BE18"/>
    <mergeCell ref="BF8:BF18"/>
    <mergeCell ref="BG8:BG18"/>
    <mergeCell ref="BH8:BH18"/>
    <mergeCell ref="BI8:BI18"/>
    <mergeCell ref="BJ8:BJ18"/>
    <mergeCell ref="BP6:BP7"/>
    <mergeCell ref="BQ6:BS6"/>
    <mergeCell ref="BM8:BM18"/>
    <mergeCell ref="BN8:BN18"/>
    <mergeCell ref="BO8:BO18"/>
    <mergeCell ref="BP8:BP18"/>
    <mergeCell ref="BQ8:BQ18"/>
    <mergeCell ref="BR8:BR18"/>
    <mergeCell ref="BS8:BS18"/>
    <mergeCell ref="BT8:BT18"/>
    <mergeCell ref="BU8:BU18"/>
    <mergeCell ref="BV8:BV18"/>
    <mergeCell ref="BW8:BW18"/>
    <mergeCell ref="BX8:BX18"/>
    <mergeCell ref="CM8:CM18"/>
    <mergeCell ref="CN8:CN18"/>
    <mergeCell ref="CO8:CO18"/>
    <mergeCell ref="CP8:CP18"/>
    <mergeCell ref="CQ8:CQ18"/>
    <mergeCell ref="CR8:CR18"/>
    <mergeCell ref="CS8:CS18"/>
    <mergeCell ref="CT8:CT18"/>
    <mergeCell ref="CF8:CF18"/>
    <mergeCell ref="CG8:CG18"/>
    <mergeCell ref="CH8:CH18"/>
    <mergeCell ref="CI8:CI18"/>
    <mergeCell ref="CJ8:CJ18"/>
    <mergeCell ref="CK8:CK18"/>
    <mergeCell ref="CL8:CL18"/>
    <mergeCell ref="CM19:CM29"/>
    <mergeCell ref="CN19:CN29"/>
    <mergeCell ref="CO19:CO29"/>
    <mergeCell ref="CP19:CP29"/>
    <mergeCell ref="CQ19:CQ29"/>
    <mergeCell ref="CR19:CR29"/>
    <mergeCell ref="CS19:CS29"/>
    <mergeCell ref="CT19:CT29"/>
    <mergeCell ref="CF19:CF29"/>
    <mergeCell ref="CG19:CG29"/>
    <mergeCell ref="CH19:CH29"/>
    <mergeCell ref="CI19:CI29"/>
    <mergeCell ref="CJ19:CJ29"/>
    <mergeCell ref="CK19:CK29"/>
    <mergeCell ref="CL19:CL29"/>
    <mergeCell ref="BH19:BH29"/>
    <mergeCell ref="BI19:BI29"/>
    <mergeCell ref="BA19:BA29"/>
    <mergeCell ref="BB19:BB29"/>
    <mergeCell ref="BC19:BC29"/>
    <mergeCell ref="BD19:BD29"/>
    <mergeCell ref="BE19:BE29"/>
    <mergeCell ref="BF19:BF29"/>
    <mergeCell ref="BG19:BG29"/>
    <mergeCell ref="CQ52:CQ62"/>
    <mergeCell ref="CR52:CR62"/>
    <mergeCell ref="CJ52:CJ62"/>
    <mergeCell ref="CK52:CK62"/>
    <mergeCell ref="CL52:CL62"/>
    <mergeCell ref="CM52:CM62"/>
    <mergeCell ref="CN52:CN62"/>
    <mergeCell ref="CO52:CO62"/>
    <mergeCell ref="CP52:CP62"/>
    <mergeCell ref="AM52:AM62"/>
    <mergeCell ref="AN52:AN62"/>
    <mergeCell ref="AO52:AO62"/>
    <mergeCell ref="AP52:AP62"/>
    <mergeCell ref="AQ52:AQ62"/>
    <mergeCell ref="AR52:AR62"/>
    <mergeCell ref="AS52:AS62"/>
    <mergeCell ref="AT52:AT62"/>
    <mergeCell ref="AU52:AU62"/>
    <mergeCell ref="AV52:AV62"/>
    <mergeCell ref="AW52:AW62"/>
    <mergeCell ref="AX52:AX62"/>
    <mergeCell ref="AY52:AY62"/>
    <mergeCell ref="AZ52:AZ62"/>
    <mergeCell ref="BA52:BA62"/>
    <mergeCell ref="BB52:BB62"/>
    <mergeCell ref="BC52:BC62"/>
    <mergeCell ref="BD52:BD62"/>
    <mergeCell ref="BE52:BE62"/>
    <mergeCell ref="BF52:BF62"/>
    <mergeCell ref="BG52:BG62"/>
    <mergeCell ref="BH52:BH62"/>
    <mergeCell ref="BI52:BI62"/>
    <mergeCell ref="BJ52:BJ62"/>
    <mergeCell ref="BK52:BK62"/>
    <mergeCell ref="BL52:BL62"/>
    <mergeCell ref="BM52:BM62"/>
    <mergeCell ref="BN52:BN62"/>
    <mergeCell ref="BO52:BO62"/>
    <mergeCell ref="BP52:BP62"/>
    <mergeCell ref="BQ52:BQ62"/>
    <mergeCell ref="BR52:BR62"/>
    <mergeCell ref="BS52:BS62"/>
    <mergeCell ref="BT52:BT62"/>
    <mergeCell ref="BU52:BU62"/>
    <mergeCell ref="BV52:BV62"/>
    <mergeCell ref="BW52:BW62"/>
    <mergeCell ref="BX52:BX62"/>
    <mergeCell ref="BY52:BY62"/>
    <mergeCell ref="BZ52:BZ62"/>
    <mergeCell ref="CA52:CA62"/>
    <mergeCell ref="CB52:CB62"/>
    <mergeCell ref="CC52:CC62"/>
    <mergeCell ref="CD52:CD62"/>
    <mergeCell ref="CE52:CE62"/>
    <mergeCell ref="CF52:CF62"/>
    <mergeCell ref="CG52:CG62"/>
    <mergeCell ref="CH52:CH62"/>
    <mergeCell ref="CI52:CI62"/>
    <mergeCell ref="AU6:AU7"/>
    <mergeCell ref="AV6:AV7"/>
    <mergeCell ref="BA6:BI6"/>
    <mergeCell ref="BL6:BN6"/>
    <mergeCell ref="BT6:BT7"/>
    <mergeCell ref="BU6:BU7"/>
    <mergeCell ref="E6:L6"/>
    <mergeCell ref="M6:M7"/>
    <mergeCell ref="A8:A18"/>
    <mergeCell ref="B8:B18"/>
    <mergeCell ref="P8:P18"/>
    <mergeCell ref="Q8:Q18"/>
    <mergeCell ref="R8:R18"/>
    <mergeCell ref="AA5:AI6"/>
    <mergeCell ref="Z6:Z7"/>
    <mergeCell ref="AK8:AK18"/>
    <mergeCell ref="AL8:AL18"/>
    <mergeCell ref="AM8:AM18"/>
    <mergeCell ref="AN8:AN18"/>
    <mergeCell ref="AO8:AO18"/>
    <mergeCell ref="AW6:AW7"/>
    <mergeCell ref="AX6:AX7"/>
    <mergeCell ref="AY8:AY18"/>
    <mergeCell ref="AZ8:AZ18"/>
    <mergeCell ref="BA8:BA18"/>
    <mergeCell ref="BB8:BB18"/>
    <mergeCell ref="BC8:BC18"/>
    <mergeCell ref="BY8:BY18"/>
    <mergeCell ref="BZ8:BZ18"/>
    <mergeCell ref="CA8:CA18"/>
    <mergeCell ref="CB8:CB18"/>
    <mergeCell ref="CC8:CC18"/>
    <mergeCell ref="CD8:CD18"/>
    <mergeCell ref="CE8:CE18"/>
    <mergeCell ref="BJ19:BJ29"/>
    <mergeCell ref="BK19:BK29"/>
    <mergeCell ref="BL19:BL29"/>
    <mergeCell ref="BM19:BM29"/>
    <mergeCell ref="BN19:BN29"/>
    <mergeCell ref="BO19:BO29"/>
    <mergeCell ref="BP19:BP29"/>
    <mergeCell ref="BX19:BX29"/>
    <mergeCell ref="BY19:BY29"/>
    <mergeCell ref="BZ19:BZ29"/>
    <mergeCell ref="CA19:CA29"/>
    <mergeCell ref="CB19:CB29"/>
    <mergeCell ref="CC19:CC29"/>
    <mergeCell ref="CD19:CD29"/>
    <mergeCell ref="CE19:CE29"/>
    <mergeCell ref="BQ19:BQ29"/>
    <mergeCell ref="BR19:BR29"/>
    <mergeCell ref="BS19:BS29"/>
    <mergeCell ref="BT19:BT29"/>
    <mergeCell ref="BU19:BU29"/>
    <mergeCell ref="BV19:BV29"/>
    <mergeCell ref="BW19:BW29"/>
    <mergeCell ref="AQ30:AQ40"/>
    <mergeCell ref="AR30:AR40"/>
    <mergeCell ref="AS30:AS40"/>
    <mergeCell ref="AT30:AT40"/>
    <mergeCell ref="AU30:AU40"/>
    <mergeCell ref="AV30:AV40"/>
    <mergeCell ref="AW30:AW40"/>
    <mergeCell ref="AX30:AX40"/>
    <mergeCell ref="AY30:AY40"/>
    <mergeCell ref="BA30:BA40"/>
    <mergeCell ref="BB30:BB40"/>
    <mergeCell ref="BC30:BC40"/>
    <mergeCell ref="BD30:BD40"/>
    <mergeCell ref="BE30:BE40"/>
    <mergeCell ref="BF30:BF40"/>
    <mergeCell ref="BG30:BG40"/>
    <mergeCell ref="BH30:BH40"/>
    <mergeCell ref="BI30:BI40"/>
    <mergeCell ref="BJ30:BJ40"/>
    <mergeCell ref="BK30:BK40"/>
    <mergeCell ref="BL30:BL40"/>
    <mergeCell ref="BM30:BM40"/>
    <mergeCell ref="BN30:BN40"/>
    <mergeCell ref="BO30:BO40"/>
    <mergeCell ref="BP30:BP40"/>
    <mergeCell ref="BQ30:BQ40"/>
    <mergeCell ref="BR30:BR40"/>
    <mergeCell ref="BS30:BS40"/>
    <mergeCell ref="BT30:BT40"/>
    <mergeCell ref="BU30:BU40"/>
    <mergeCell ref="BV30:BV40"/>
    <mergeCell ref="BW30:BW40"/>
    <mergeCell ref="BX30:BX40"/>
    <mergeCell ref="BY30:BY40"/>
    <mergeCell ref="BZ30:BZ40"/>
    <mergeCell ref="CA30:CA40"/>
    <mergeCell ref="CB30:CB40"/>
    <mergeCell ref="CC30:CC40"/>
    <mergeCell ref="CD30:CD40"/>
    <mergeCell ref="CE30:CE40"/>
    <mergeCell ref="CF30:CF40"/>
    <mergeCell ref="CG30:CG40"/>
    <mergeCell ref="CO30:CO40"/>
    <mergeCell ref="CP30:CP40"/>
    <mergeCell ref="CQ30:CQ40"/>
    <mergeCell ref="CR30:CR40"/>
    <mergeCell ref="CS30:CS40"/>
    <mergeCell ref="CT30:CT40"/>
    <mergeCell ref="CH30:CH40"/>
    <mergeCell ref="CI30:CI40"/>
    <mergeCell ref="CJ30:CJ40"/>
    <mergeCell ref="CK30:CK40"/>
    <mergeCell ref="CL30:CL40"/>
    <mergeCell ref="CM30:CM40"/>
    <mergeCell ref="CN30:CN40"/>
    <mergeCell ref="Z8:Z18"/>
    <mergeCell ref="AJ8:AJ18"/>
    <mergeCell ref="A19:A29"/>
    <mergeCell ref="B19:B29"/>
    <mergeCell ref="A30:A40"/>
    <mergeCell ref="B30:B40"/>
    <mergeCell ref="S8:S18"/>
    <mergeCell ref="T8:T18"/>
    <mergeCell ref="U8:U18"/>
    <mergeCell ref="V8:V18"/>
    <mergeCell ref="W8:W18"/>
    <mergeCell ref="X8:X18"/>
    <mergeCell ref="Y8:Y18"/>
    <mergeCell ref="W19:W29"/>
    <mergeCell ref="X19:X29"/>
    <mergeCell ref="Y19:Y29"/>
    <mergeCell ref="Z19:Z29"/>
    <mergeCell ref="AJ19:AJ29"/>
    <mergeCell ref="AK19:AK29"/>
    <mergeCell ref="AL19:AL29"/>
    <mergeCell ref="AT19:AT29"/>
    <mergeCell ref="AU19:AU29"/>
    <mergeCell ref="AV19:AV29"/>
    <mergeCell ref="AW19:AW29"/>
    <mergeCell ref="AX19:AX29"/>
    <mergeCell ref="AY19:AY29"/>
    <mergeCell ref="AZ19:AZ29"/>
    <mergeCell ref="AZ30:AZ40"/>
    <mergeCell ref="P19:P29"/>
    <mergeCell ref="Q19:Q29"/>
    <mergeCell ref="R19:R29"/>
    <mergeCell ref="S19:S29"/>
    <mergeCell ref="T19:T29"/>
    <mergeCell ref="U19:U29"/>
    <mergeCell ref="V19:V29"/>
    <mergeCell ref="AM19:AM29"/>
    <mergeCell ref="AN19:AN29"/>
    <mergeCell ref="AO19:AO29"/>
    <mergeCell ref="AP19:AP29"/>
    <mergeCell ref="AQ19:AQ29"/>
    <mergeCell ref="AR19:AR29"/>
    <mergeCell ref="AS19:AS29"/>
    <mergeCell ref="BX41:BX51"/>
    <mergeCell ref="BY41:BY51"/>
    <mergeCell ref="BZ41:BZ51"/>
    <mergeCell ref="CA41:CA51"/>
    <mergeCell ref="CB41:CB51"/>
    <mergeCell ref="CC41:CC51"/>
    <mergeCell ref="CD41:CD51"/>
    <mergeCell ref="CE41:CE51"/>
    <mergeCell ref="CF41:CF51"/>
    <mergeCell ref="CG41:CG51"/>
    <mergeCell ref="CH41:CH51"/>
    <mergeCell ref="CI41:CI51"/>
    <mergeCell ref="CJ41:CJ51"/>
    <mergeCell ref="CK41:CK51"/>
    <mergeCell ref="CS41:CS51"/>
    <mergeCell ref="CT41:CT51"/>
    <mergeCell ref="CS52:CS62"/>
    <mergeCell ref="CT52:CT62"/>
    <mergeCell ref="CL41:CL51"/>
    <mergeCell ref="CM41:CM51"/>
    <mergeCell ref="CN41:CN51"/>
    <mergeCell ref="CO41:CO51"/>
    <mergeCell ref="CP41:CP51"/>
    <mergeCell ref="CQ41:CQ51"/>
    <mergeCell ref="CR41:CR51"/>
    <mergeCell ref="Y30:Y40"/>
    <mergeCell ref="Z30:Z40"/>
    <mergeCell ref="AJ30:AJ40"/>
    <mergeCell ref="AK30:AK40"/>
    <mergeCell ref="AL30:AL40"/>
    <mergeCell ref="AM30:AM40"/>
    <mergeCell ref="AN30:AN40"/>
    <mergeCell ref="AO30:AO40"/>
    <mergeCell ref="AP30:AP40"/>
    <mergeCell ref="AJ41:AJ51"/>
    <mergeCell ref="AK41:AK51"/>
    <mergeCell ref="AL41:AL51"/>
    <mergeCell ref="AM41:AM51"/>
    <mergeCell ref="AN41:AN51"/>
    <mergeCell ref="AO41:AO51"/>
    <mergeCell ref="AP41:AP51"/>
    <mergeCell ref="AQ41:AQ51"/>
    <mergeCell ref="AR41:AR51"/>
    <mergeCell ref="AS41:AS51"/>
    <mergeCell ref="AT41:AT51"/>
    <mergeCell ref="AU41:AU51"/>
    <mergeCell ref="AV41:AV51"/>
    <mergeCell ref="AW41:AW51"/>
    <mergeCell ref="AX41:AX51"/>
    <mergeCell ref="AY41:AY51"/>
    <mergeCell ref="AZ41:AZ51"/>
    <mergeCell ref="BA41:BA51"/>
    <mergeCell ref="BB41:BB51"/>
    <mergeCell ref="BC41:BC51"/>
    <mergeCell ref="BD41:BD51"/>
    <mergeCell ref="BE41:BE51"/>
    <mergeCell ref="BF41:BF51"/>
    <mergeCell ref="BG41:BG51"/>
    <mergeCell ref="BH41:BH51"/>
    <mergeCell ref="BI41:BI51"/>
    <mergeCell ref="BJ41:BJ51"/>
    <mergeCell ref="BK41:BK51"/>
    <mergeCell ref="BL41:BL51"/>
    <mergeCell ref="BM41:BM51"/>
    <mergeCell ref="BN41:BN51"/>
    <mergeCell ref="BO41:BO51"/>
    <mergeCell ref="BP41:BP51"/>
    <mergeCell ref="BQ41:BQ51"/>
    <mergeCell ref="BR41:BR51"/>
    <mergeCell ref="BS41:BS51"/>
    <mergeCell ref="BT41:BT51"/>
    <mergeCell ref="BU41:BU51"/>
    <mergeCell ref="BV41:BV51"/>
    <mergeCell ref="BW41:BW51"/>
    <mergeCell ref="CN63:CN73"/>
    <mergeCell ref="CO63:CO73"/>
    <mergeCell ref="CP63:CP73"/>
    <mergeCell ref="CQ63:CQ73"/>
    <mergeCell ref="CR63:CR73"/>
    <mergeCell ref="CS63:CS73"/>
    <mergeCell ref="CT63:CT73"/>
    <mergeCell ref="CG63:CG73"/>
    <mergeCell ref="CH63:CH73"/>
    <mergeCell ref="CI63:CI73"/>
    <mergeCell ref="CJ63:CJ73"/>
    <mergeCell ref="CK63:CK73"/>
    <mergeCell ref="CL63:CL73"/>
    <mergeCell ref="CM63:CM73"/>
    <mergeCell ref="AJ63:AJ73"/>
    <mergeCell ref="AK63:AK73"/>
    <mergeCell ref="AL63:AL73"/>
    <mergeCell ref="AM63:AM73"/>
    <mergeCell ref="AN63:AN73"/>
    <mergeCell ref="AO63:AO73"/>
    <mergeCell ref="AP63:AP73"/>
    <mergeCell ref="AQ63:AQ73"/>
    <mergeCell ref="AR63:AR73"/>
    <mergeCell ref="AS63:AS73"/>
    <mergeCell ref="AT63:AT73"/>
    <mergeCell ref="AU63:AU73"/>
    <mergeCell ref="AV63:AV73"/>
    <mergeCell ref="AW63:AW73"/>
    <mergeCell ref="AX63:AX73"/>
    <mergeCell ref="AY63:AY73"/>
    <mergeCell ref="AZ63:AZ73"/>
    <mergeCell ref="BA63:BA73"/>
    <mergeCell ref="BB63:BB73"/>
    <mergeCell ref="BC63:BC73"/>
    <mergeCell ref="BD63:BD73"/>
    <mergeCell ref="BE63:BE73"/>
    <mergeCell ref="BF63:BF73"/>
    <mergeCell ref="BG63:BG73"/>
    <mergeCell ref="BH63:BH73"/>
    <mergeCell ref="BI63:BI73"/>
    <mergeCell ref="BJ63:BJ73"/>
    <mergeCell ref="BK63:BK73"/>
    <mergeCell ref="BL63:BL73"/>
    <mergeCell ref="BM63:BM73"/>
    <mergeCell ref="BN63:BN73"/>
    <mergeCell ref="BO63:BO73"/>
    <mergeCell ref="BP63:BP73"/>
    <mergeCell ref="BQ63:BQ73"/>
    <mergeCell ref="BR63:BR73"/>
    <mergeCell ref="BS63:BS73"/>
    <mergeCell ref="BT63:BT73"/>
    <mergeCell ref="BU63:BU73"/>
    <mergeCell ref="BV63:BV73"/>
    <mergeCell ref="BW63:BW73"/>
    <mergeCell ref="BX63:BX73"/>
    <mergeCell ref="BY63:BY73"/>
    <mergeCell ref="BZ63:BZ73"/>
    <mergeCell ref="CA63:CA73"/>
    <mergeCell ref="CB63:CB73"/>
    <mergeCell ref="CC63:CC73"/>
    <mergeCell ref="CD63:CD73"/>
    <mergeCell ref="CE63:CE73"/>
    <mergeCell ref="CF63:CF73"/>
    <mergeCell ref="W63:W73"/>
    <mergeCell ref="X63:X73"/>
    <mergeCell ref="P63:P73"/>
    <mergeCell ref="Q63:Q73"/>
    <mergeCell ref="R63:R73"/>
    <mergeCell ref="S63:S73"/>
    <mergeCell ref="T63:T73"/>
    <mergeCell ref="U63:U73"/>
    <mergeCell ref="V63:V73"/>
    <mergeCell ref="CN74:CN84"/>
    <mergeCell ref="CO74:CO84"/>
    <mergeCell ref="CP74:CP84"/>
    <mergeCell ref="CQ74:CQ84"/>
    <mergeCell ref="CR74:CR84"/>
    <mergeCell ref="CS74:CS84"/>
    <mergeCell ref="CT74:CT84"/>
    <mergeCell ref="CG74:CG84"/>
    <mergeCell ref="CH74:CH84"/>
    <mergeCell ref="CI74:CI84"/>
    <mergeCell ref="CJ74:CJ84"/>
    <mergeCell ref="CK74:CK84"/>
    <mergeCell ref="CL74:CL84"/>
    <mergeCell ref="CM74:CM84"/>
    <mergeCell ref="AJ74:AJ84"/>
    <mergeCell ref="AK74:AK84"/>
    <mergeCell ref="AL74:AL84"/>
    <mergeCell ref="AM74:AM84"/>
    <mergeCell ref="AN74:AN84"/>
    <mergeCell ref="AO74:AO84"/>
    <mergeCell ref="AP74:AP84"/>
    <mergeCell ref="AQ74:AQ84"/>
    <mergeCell ref="AR74:AR84"/>
    <mergeCell ref="AS74:AS84"/>
    <mergeCell ref="AT74:AT84"/>
    <mergeCell ref="AU74:AU84"/>
    <mergeCell ref="AV74:AV84"/>
    <mergeCell ref="AW74:AW84"/>
    <mergeCell ref="AX74:AX84"/>
    <mergeCell ref="AY74:AY84"/>
    <mergeCell ref="AZ74:AZ84"/>
    <mergeCell ref="BA74:BA84"/>
    <mergeCell ref="BB74:BB84"/>
    <mergeCell ref="BC74:BC84"/>
    <mergeCell ref="BD74:BD84"/>
    <mergeCell ref="BE74:BE84"/>
    <mergeCell ref="BF74:BF84"/>
    <mergeCell ref="BG74:BG84"/>
    <mergeCell ref="BH74:BH84"/>
    <mergeCell ref="BI74:BI84"/>
    <mergeCell ref="BJ74:BJ84"/>
    <mergeCell ref="BK74:BK84"/>
    <mergeCell ref="BL74:BL84"/>
    <mergeCell ref="BM74:BM84"/>
    <mergeCell ref="BN74:BN84"/>
    <mergeCell ref="BO74:BO84"/>
    <mergeCell ref="BP74:BP84"/>
    <mergeCell ref="BQ74:BQ84"/>
    <mergeCell ref="BR74:BR84"/>
    <mergeCell ref="BS74:BS84"/>
    <mergeCell ref="BT74:BT84"/>
    <mergeCell ref="BU74:BU84"/>
    <mergeCell ref="BV74:BV84"/>
    <mergeCell ref="BW74:BW84"/>
    <mergeCell ref="BX74:BX84"/>
    <mergeCell ref="BY74:BY84"/>
    <mergeCell ref="BZ74:BZ84"/>
    <mergeCell ref="CA74:CA84"/>
    <mergeCell ref="CB74:CB84"/>
    <mergeCell ref="CC74:CC84"/>
    <mergeCell ref="CD74:CD84"/>
    <mergeCell ref="CE74:CE84"/>
    <mergeCell ref="CF74:CF84"/>
    <mergeCell ref="W52:W62"/>
    <mergeCell ref="X52:X62"/>
    <mergeCell ref="Y52:Y62"/>
    <mergeCell ref="Z52:Z62"/>
    <mergeCell ref="AJ52:AJ62"/>
    <mergeCell ref="AK52:AK62"/>
    <mergeCell ref="AL52:AL62"/>
    <mergeCell ref="P52:P62"/>
    <mergeCell ref="Q52:Q62"/>
    <mergeCell ref="R52:R62"/>
    <mergeCell ref="S52:S62"/>
    <mergeCell ref="T52:T62"/>
    <mergeCell ref="U52:U62"/>
    <mergeCell ref="V52:V62"/>
    <mergeCell ref="BX85:BX95"/>
    <mergeCell ref="BY85:BY95"/>
    <mergeCell ref="BZ85:BZ95"/>
    <mergeCell ref="CA85:CA95"/>
    <mergeCell ref="CB85:CB95"/>
    <mergeCell ref="CC85:CC95"/>
    <mergeCell ref="CD85:CD95"/>
    <mergeCell ref="CE85:CE95"/>
    <mergeCell ref="CF85:CF95"/>
    <mergeCell ref="CG85:CG95"/>
    <mergeCell ref="CH85:CH95"/>
    <mergeCell ref="CI85:CI95"/>
    <mergeCell ref="CJ85:CJ95"/>
    <mergeCell ref="CK85:CK95"/>
    <mergeCell ref="CS85:CS95"/>
    <mergeCell ref="CT85:CT95"/>
    <mergeCell ref="CP96:CP106"/>
    <mergeCell ref="CQ96:CQ106"/>
    <mergeCell ref="CR96:CR106"/>
    <mergeCell ref="CS96:CS106"/>
    <mergeCell ref="CT96:CT106"/>
    <mergeCell ref="CL85:CL95"/>
    <mergeCell ref="CM85:CM95"/>
    <mergeCell ref="CN85:CN95"/>
    <mergeCell ref="CO85:CO95"/>
    <mergeCell ref="CP85:CP95"/>
    <mergeCell ref="CQ85:CQ95"/>
    <mergeCell ref="CR85:CR95"/>
    <mergeCell ref="A74:A84"/>
    <mergeCell ref="A85:A95"/>
    <mergeCell ref="A96:A106"/>
    <mergeCell ref="A41:A51"/>
    <mergeCell ref="B41:B51"/>
    <mergeCell ref="A52:A62"/>
    <mergeCell ref="B52:B62"/>
    <mergeCell ref="A63:A73"/>
    <mergeCell ref="B63:B73"/>
    <mergeCell ref="B74:B84"/>
    <mergeCell ref="P74:P84"/>
    <mergeCell ref="Q74:Q84"/>
    <mergeCell ref="R74:R84"/>
    <mergeCell ref="S74:S84"/>
    <mergeCell ref="T74:T84"/>
    <mergeCell ref="U74:U84"/>
    <mergeCell ref="V74:V84"/>
    <mergeCell ref="W74:W84"/>
    <mergeCell ref="X74:X84"/>
    <mergeCell ref="AJ85:AJ95"/>
    <mergeCell ref="AK85:AK95"/>
    <mergeCell ref="AL85:AL95"/>
    <mergeCell ref="AM85:AM95"/>
    <mergeCell ref="AN85:AN95"/>
    <mergeCell ref="AV85:AV95"/>
    <mergeCell ref="AW85:AW95"/>
    <mergeCell ref="AX85:AX95"/>
    <mergeCell ref="AY85:AY95"/>
    <mergeCell ref="AZ85:AZ95"/>
    <mergeCell ref="BA85:BA95"/>
    <mergeCell ref="BB85:BB95"/>
    <mergeCell ref="BC85:BC95"/>
    <mergeCell ref="BD85:BD95"/>
    <mergeCell ref="BE85:BE95"/>
    <mergeCell ref="BF85:BF95"/>
    <mergeCell ref="BG85:BG95"/>
    <mergeCell ref="BH85:BH95"/>
    <mergeCell ref="BI85:BI95"/>
    <mergeCell ref="BJ85:BJ95"/>
    <mergeCell ref="BK85:BK95"/>
    <mergeCell ref="BL85:BL95"/>
    <mergeCell ref="BM85:BM95"/>
    <mergeCell ref="BN85:BN95"/>
    <mergeCell ref="BO85:BO95"/>
    <mergeCell ref="BP85:BP95"/>
    <mergeCell ref="BQ85:BQ95"/>
    <mergeCell ref="BR85:BR95"/>
    <mergeCell ref="BS85:BS95"/>
    <mergeCell ref="BT85:BT95"/>
    <mergeCell ref="BU85:BU95"/>
    <mergeCell ref="BV85:BV95"/>
    <mergeCell ref="BW85:BW95"/>
    <mergeCell ref="AO85:AO95"/>
    <mergeCell ref="AP85:AP95"/>
    <mergeCell ref="AQ85:AQ95"/>
    <mergeCell ref="AR85:AR95"/>
    <mergeCell ref="AS85:AS95"/>
    <mergeCell ref="AT85:AT95"/>
    <mergeCell ref="AU85:AU95"/>
    <mergeCell ref="CN129:CN139"/>
    <mergeCell ref="CO129:CO139"/>
    <mergeCell ref="CP129:CP139"/>
    <mergeCell ref="CQ129:CQ139"/>
    <mergeCell ref="CR129:CR139"/>
    <mergeCell ref="CS129:CS139"/>
    <mergeCell ref="CT129:CT139"/>
    <mergeCell ref="CG129:CG139"/>
    <mergeCell ref="CH129:CH139"/>
    <mergeCell ref="CI129:CI139"/>
    <mergeCell ref="CJ129:CJ139"/>
    <mergeCell ref="CK129:CK139"/>
    <mergeCell ref="CL129:CL139"/>
    <mergeCell ref="CM129:CM139"/>
    <mergeCell ref="AQ129:AQ139"/>
    <mergeCell ref="AR129:AR139"/>
    <mergeCell ref="AS129:AS139"/>
    <mergeCell ref="AT129:AT139"/>
    <mergeCell ref="AU129:AU139"/>
    <mergeCell ref="AV129:AV139"/>
    <mergeCell ref="AW129:AW139"/>
    <mergeCell ref="AX129:AX139"/>
    <mergeCell ref="AY129:AY139"/>
    <mergeCell ref="AZ129:AZ139"/>
    <mergeCell ref="BA129:BA139"/>
    <mergeCell ref="BB129:BB139"/>
    <mergeCell ref="BC129:BC139"/>
    <mergeCell ref="BD129:BD139"/>
    <mergeCell ref="BE129:BE139"/>
    <mergeCell ref="BF129:BF139"/>
    <mergeCell ref="BG129:BG139"/>
    <mergeCell ref="BH129:BH139"/>
    <mergeCell ref="BI129:BI139"/>
    <mergeCell ref="BJ129:BJ139"/>
    <mergeCell ref="BK129:BK139"/>
    <mergeCell ref="BL129:BL139"/>
    <mergeCell ref="BM129:BM139"/>
    <mergeCell ref="BN129:BN139"/>
    <mergeCell ref="BO129:BO139"/>
    <mergeCell ref="BP129:BP139"/>
    <mergeCell ref="BQ129:BQ139"/>
    <mergeCell ref="BR129:BR139"/>
    <mergeCell ref="BS129:BS139"/>
    <mergeCell ref="BT129:BT139"/>
    <mergeCell ref="BU129:BU139"/>
    <mergeCell ref="BV129:BV139"/>
    <mergeCell ref="BW129:BW139"/>
    <mergeCell ref="BX129:BX139"/>
    <mergeCell ref="BY129:BY139"/>
    <mergeCell ref="BZ129:BZ139"/>
    <mergeCell ref="CA129:CA139"/>
    <mergeCell ref="CB129:CB139"/>
    <mergeCell ref="CC129:CC139"/>
    <mergeCell ref="CD129:CD139"/>
    <mergeCell ref="CE129:CE139"/>
    <mergeCell ref="CF129:CF139"/>
    <mergeCell ref="AJ129:AJ139"/>
    <mergeCell ref="AK129:AK139"/>
    <mergeCell ref="AL129:AL139"/>
    <mergeCell ref="AM129:AM139"/>
    <mergeCell ref="AN129:AN139"/>
    <mergeCell ref="AO129:AO139"/>
    <mergeCell ref="AP129:AP139"/>
    <mergeCell ref="CN140:CN150"/>
    <mergeCell ref="CO140:CO150"/>
    <mergeCell ref="CP140:CP150"/>
    <mergeCell ref="CQ140:CQ150"/>
    <mergeCell ref="CR140:CR150"/>
    <mergeCell ref="CS140:CS150"/>
    <mergeCell ref="CT140:CT150"/>
    <mergeCell ref="CG140:CG150"/>
    <mergeCell ref="CH140:CH150"/>
    <mergeCell ref="CI140:CI150"/>
    <mergeCell ref="CJ140:CJ150"/>
    <mergeCell ref="CK140:CK150"/>
    <mergeCell ref="CL140:CL150"/>
    <mergeCell ref="CM140:CM150"/>
    <mergeCell ref="AQ140:AQ150"/>
    <mergeCell ref="AR140:AR150"/>
    <mergeCell ref="AS140:AS150"/>
    <mergeCell ref="AT140:AT150"/>
    <mergeCell ref="AU140:AU150"/>
    <mergeCell ref="AV140:AV150"/>
    <mergeCell ref="AW140:AW150"/>
    <mergeCell ref="AX140:AX150"/>
    <mergeCell ref="AY140:AY150"/>
    <mergeCell ref="AZ140:AZ150"/>
    <mergeCell ref="BA140:BA150"/>
    <mergeCell ref="BB140:BB150"/>
    <mergeCell ref="BC140:BC150"/>
    <mergeCell ref="BD140:BD150"/>
    <mergeCell ref="BE140:BE150"/>
    <mergeCell ref="BF140:BF150"/>
    <mergeCell ref="BG140:BG150"/>
    <mergeCell ref="BH140:BH150"/>
    <mergeCell ref="BI140:BI150"/>
    <mergeCell ref="BJ140:BJ150"/>
    <mergeCell ref="BK140:BK150"/>
    <mergeCell ref="BL140:BL150"/>
    <mergeCell ref="BM140:BM150"/>
    <mergeCell ref="BN140:BN150"/>
    <mergeCell ref="BO140:BO150"/>
    <mergeCell ref="BP140:BP150"/>
    <mergeCell ref="BQ140:BQ150"/>
    <mergeCell ref="BR140:BR150"/>
    <mergeCell ref="BS140:BS150"/>
    <mergeCell ref="BT140:BT150"/>
    <mergeCell ref="BU140:BU150"/>
    <mergeCell ref="BV140:BV150"/>
    <mergeCell ref="BW140:BW150"/>
    <mergeCell ref="BX140:BX150"/>
    <mergeCell ref="BY140:BY150"/>
    <mergeCell ref="BZ140:BZ150"/>
    <mergeCell ref="CA140:CA150"/>
    <mergeCell ref="CB140:CB150"/>
    <mergeCell ref="CC140:CC150"/>
    <mergeCell ref="CD140:CD150"/>
    <mergeCell ref="CE140:CE150"/>
    <mergeCell ref="CF140:CF150"/>
    <mergeCell ref="AJ140:AJ150"/>
    <mergeCell ref="AK140:AK150"/>
    <mergeCell ref="AL140:AL150"/>
    <mergeCell ref="AM140:AM150"/>
    <mergeCell ref="AN140:AN150"/>
    <mergeCell ref="AO140:AO150"/>
    <mergeCell ref="AP140:AP150"/>
    <mergeCell ref="W96:W106"/>
    <mergeCell ref="X96:X106"/>
    <mergeCell ref="P96:P106"/>
    <mergeCell ref="Q96:Q106"/>
    <mergeCell ref="R96:R106"/>
    <mergeCell ref="S96:S106"/>
    <mergeCell ref="T96:T106"/>
    <mergeCell ref="U96:U106"/>
    <mergeCell ref="V96:V106"/>
    <mergeCell ref="W107:W117"/>
    <mergeCell ref="X107:X117"/>
    <mergeCell ref="P107:P117"/>
    <mergeCell ref="Q107:Q117"/>
    <mergeCell ref="R107:R117"/>
    <mergeCell ref="S107:S117"/>
    <mergeCell ref="T107:T117"/>
    <mergeCell ref="U107:U117"/>
    <mergeCell ref="V107:V117"/>
    <mergeCell ref="W118:W128"/>
    <mergeCell ref="X118:X128"/>
    <mergeCell ref="P118:P128"/>
    <mergeCell ref="Q118:Q128"/>
    <mergeCell ref="R118:R128"/>
    <mergeCell ref="S118:S128"/>
    <mergeCell ref="T118:T128"/>
    <mergeCell ref="U118:U128"/>
    <mergeCell ref="V118:V128"/>
    <mergeCell ref="W85:W95"/>
    <mergeCell ref="X85:X95"/>
    <mergeCell ref="Y85:Y95"/>
    <mergeCell ref="Z85:Z95"/>
    <mergeCell ref="Y96:Y106"/>
    <mergeCell ref="Z96:Z106"/>
    <mergeCell ref="Z107:Z117"/>
    <mergeCell ref="P85:P95"/>
    <mergeCell ref="Q85:Q95"/>
    <mergeCell ref="R85:R95"/>
    <mergeCell ref="S85:S95"/>
    <mergeCell ref="T85:T95"/>
    <mergeCell ref="U85:U95"/>
    <mergeCell ref="V85:V95"/>
    <mergeCell ref="B85:B95"/>
    <mergeCell ref="B96:B106"/>
    <mergeCell ref="A107:A117"/>
    <mergeCell ref="B107:B117"/>
    <mergeCell ref="A118:A128"/>
    <mergeCell ref="B118:B128"/>
    <mergeCell ref="B129:B139"/>
    <mergeCell ref="A129:A139"/>
    <mergeCell ref="A140:A150"/>
    <mergeCell ref="A151:A161"/>
    <mergeCell ref="A162:A172"/>
    <mergeCell ref="A173:A183"/>
    <mergeCell ref="A184:A194"/>
    <mergeCell ref="A195:A205"/>
    <mergeCell ref="B140:B150"/>
    <mergeCell ref="B151:B161"/>
    <mergeCell ref="B162:B172"/>
    <mergeCell ref="B173:B183"/>
    <mergeCell ref="B184:B194"/>
    <mergeCell ref="B195:B205"/>
    <mergeCell ref="B206:B216"/>
    <mergeCell ref="A283:A293"/>
    <mergeCell ref="A294:A304"/>
    <mergeCell ref="A305:A315"/>
    <mergeCell ref="A206:A216"/>
    <mergeCell ref="A217:A227"/>
    <mergeCell ref="A228:A238"/>
    <mergeCell ref="A239:A249"/>
    <mergeCell ref="A250:A260"/>
    <mergeCell ref="A261:A271"/>
    <mergeCell ref="A272:A282"/>
    <mergeCell ref="B294:B304"/>
    <mergeCell ref="B305:B315"/>
    <mergeCell ref="B217:B227"/>
    <mergeCell ref="B228:B238"/>
    <mergeCell ref="B239:B249"/>
    <mergeCell ref="B250:B260"/>
    <mergeCell ref="B261:B271"/>
    <mergeCell ref="B272:B282"/>
    <mergeCell ref="B283:B293"/>
    <mergeCell ref="W30:W40"/>
    <mergeCell ref="X30:X40"/>
    <mergeCell ref="P30:P40"/>
    <mergeCell ref="Q30:Q40"/>
    <mergeCell ref="R30:R40"/>
    <mergeCell ref="S30:S40"/>
    <mergeCell ref="T30:T40"/>
    <mergeCell ref="U30:U40"/>
    <mergeCell ref="V30:V40"/>
    <mergeCell ref="W41:W51"/>
    <mergeCell ref="X41:X51"/>
    <mergeCell ref="Y41:Y51"/>
    <mergeCell ref="Z41:Z51"/>
    <mergeCell ref="Y63:Y73"/>
    <mergeCell ref="Z63:Z73"/>
    <mergeCell ref="Y74:Y84"/>
    <mergeCell ref="Z74:Z84"/>
    <mergeCell ref="P41:P51"/>
    <mergeCell ref="Q41:Q51"/>
    <mergeCell ref="R41:R51"/>
    <mergeCell ref="S41:S51"/>
    <mergeCell ref="T41:T51"/>
    <mergeCell ref="U41:U51"/>
    <mergeCell ref="V41:V51"/>
    <mergeCell ref="Y107:Y117"/>
    <mergeCell ref="Y118:Y128"/>
    <mergeCell ref="Z118:Z128"/>
    <mergeCell ref="W129:W139"/>
    <mergeCell ref="X129:X139"/>
    <mergeCell ref="Y129:Y139"/>
    <mergeCell ref="Z129:Z139"/>
    <mergeCell ref="P129:P139"/>
    <mergeCell ref="Q129:Q139"/>
    <mergeCell ref="R129:R139"/>
    <mergeCell ref="S129:S139"/>
    <mergeCell ref="T129:T139"/>
    <mergeCell ref="U129:U139"/>
    <mergeCell ref="V129:V139"/>
    <mergeCell ref="W283:W293"/>
    <mergeCell ref="X283:X293"/>
    <mergeCell ref="Y283:Y293"/>
    <mergeCell ref="Z283:Z293"/>
    <mergeCell ref="P283:P293"/>
    <mergeCell ref="Q283:Q293"/>
    <mergeCell ref="R283:R293"/>
    <mergeCell ref="S283:S293"/>
    <mergeCell ref="T283:T293"/>
    <mergeCell ref="U283:U293"/>
    <mergeCell ref="V283:V293"/>
    <mergeCell ref="W294:W304"/>
    <mergeCell ref="X294:X304"/>
    <mergeCell ref="Y294:Y304"/>
    <mergeCell ref="Z294:Z304"/>
    <mergeCell ref="P294:P304"/>
    <mergeCell ref="Q294:Q304"/>
    <mergeCell ref="R294:R304"/>
    <mergeCell ref="S294:S304"/>
    <mergeCell ref="T294:T304"/>
    <mergeCell ref="U294:U304"/>
    <mergeCell ref="V294:V304"/>
    <mergeCell ref="W305:W315"/>
    <mergeCell ref="X305:X315"/>
    <mergeCell ref="Y305:Y315"/>
    <mergeCell ref="Z305:Z315"/>
    <mergeCell ref="P305:P315"/>
    <mergeCell ref="Q305:Q315"/>
    <mergeCell ref="R305:R315"/>
    <mergeCell ref="S305:S315"/>
    <mergeCell ref="T305:T315"/>
    <mergeCell ref="U305:U315"/>
    <mergeCell ref="V305:V315"/>
    <mergeCell ref="W140:W150"/>
    <mergeCell ref="X140:X150"/>
    <mergeCell ref="Y140:Y150"/>
    <mergeCell ref="Z140:Z150"/>
    <mergeCell ref="P140:P150"/>
    <mergeCell ref="Q140:Q150"/>
    <mergeCell ref="R140:R150"/>
    <mergeCell ref="S140:S150"/>
    <mergeCell ref="T140:T150"/>
    <mergeCell ref="U140:U150"/>
    <mergeCell ref="V140:V150"/>
    <mergeCell ref="W151:W161"/>
    <mergeCell ref="X151:X161"/>
    <mergeCell ref="Y151:Y161"/>
    <mergeCell ref="Z151:Z161"/>
    <mergeCell ref="P151:P161"/>
    <mergeCell ref="Q151:Q161"/>
    <mergeCell ref="R151:R161"/>
    <mergeCell ref="S151:S161"/>
    <mergeCell ref="T151:T161"/>
    <mergeCell ref="U151:U161"/>
    <mergeCell ref="V151:V161"/>
    <mergeCell ref="W162:W172"/>
    <mergeCell ref="X162:X172"/>
    <mergeCell ref="Y162:Y172"/>
    <mergeCell ref="Z162:Z172"/>
    <mergeCell ref="P162:P172"/>
    <mergeCell ref="Q162:Q172"/>
    <mergeCell ref="R162:R172"/>
    <mergeCell ref="S162:S172"/>
    <mergeCell ref="T162:T172"/>
    <mergeCell ref="U162:U172"/>
    <mergeCell ref="V162:V172"/>
    <mergeCell ref="P173:P183"/>
    <mergeCell ref="Q173:Q183"/>
    <mergeCell ref="R173:R183"/>
    <mergeCell ref="S173:S183"/>
    <mergeCell ref="T173:T183"/>
    <mergeCell ref="U173:U183"/>
    <mergeCell ref="V173:V183"/>
  </mergeCells>
  <conditionalFormatting sqref="E228:N315">
    <cfRule type="expression" dxfId="0" priority="1">
      <formula>AND($F228&lt;&gt;"",OR($M228=0,$M228=""))</formula>
    </cfRule>
  </conditionalFormatting>
  <conditionalFormatting sqref="E228:N315">
    <cfRule type="expression" dxfId="1" priority="2">
      <formula>LEFT($K228,1)="E"</formula>
    </cfRule>
  </conditionalFormatting>
  <conditionalFormatting sqref="E228:N315">
    <cfRule type="expression" dxfId="2" priority="3">
      <formula>LEFT($K228,1)="P"</formula>
    </cfRule>
  </conditionalFormatting>
  <conditionalFormatting sqref="E228:N315">
    <cfRule type="expression" dxfId="3" priority="4">
      <formula>LEFT($K228,1)="S"</formula>
    </cfRule>
  </conditionalFormatting>
  <conditionalFormatting sqref="E162:N227">
    <cfRule type="expression" dxfId="0" priority="5">
      <formula>AND($F162&lt;&gt;"",OR($M162=0,$M162=""))</formula>
    </cfRule>
  </conditionalFormatting>
  <conditionalFormatting sqref="E162:N227">
    <cfRule type="expression" dxfId="1" priority="6">
      <formula>LEFT($K162,1)="E"</formula>
    </cfRule>
  </conditionalFormatting>
  <conditionalFormatting sqref="E162:N227">
    <cfRule type="expression" dxfId="2" priority="7">
      <formula>LEFT($K162,1)="P"</formula>
    </cfRule>
  </conditionalFormatting>
  <conditionalFormatting sqref="E162:N227">
    <cfRule type="expression" dxfId="3" priority="8">
      <formula>LEFT($K162,1)="S"</formula>
    </cfRule>
  </conditionalFormatting>
  <conditionalFormatting sqref="E8:N8">
    <cfRule type="expression" dxfId="0" priority="9">
      <formula>AND($F8&lt;&gt;"",OR($M8=0,$M8=""))</formula>
    </cfRule>
  </conditionalFormatting>
  <conditionalFormatting sqref="E8:N8">
    <cfRule type="expression" dxfId="1" priority="10">
      <formula>LEFT($K8,1)="E"</formula>
    </cfRule>
  </conditionalFormatting>
  <conditionalFormatting sqref="E8:N8">
    <cfRule type="expression" dxfId="2" priority="11">
      <formula>LEFT($K8,1)="P"</formula>
    </cfRule>
  </conditionalFormatting>
  <conditionalFormatting sqref="E8:N8">
    <cfRule type="expression" dxfId="3" priority="12">
      <formula>LEFT($K8,1)="S"</formula>
    </cfRule>
  </conditionalFormatting>
  <conditionalFormatting sqref="E9:N9">
    <cfRule type="expression" dxfId="0" priority="13">
      <formula>AND($F9&lt;&gt;"",OR($M9=0,$M9=""))</formula>
    </cfRule>
  </conditionalFormatting>
  <conditionalFormatting sqref="E9:N9">
    <cfRule type="expression" dxfId="1" priority="14">
      <formula>LEFT($K9,1)="E"</formula>
    </cfRule>
  </conditionalFormatting>
  <conditionalFormatting sqref="E9:N9">
    <cfRule type="expression" dxfId="2" priority="15">
      <formula>LEFT($K9,1)="P"</formula>
    </cfRule>
  </conditionalFormatting>
  <conditionalFormatting sqref="E9:N9">
    <cfRule type="expression" dxfId="3" priority="16">
      <formula>LEFT($K9,1)="S"</formula>
    </cfRule>
  </conditionalFormatting>
  <conditionalFormatting sqref="E10:N18">
    <cfRule type="expression" dxfId="0" priority="17">
      <formula>AND($F10&lt;&gt;"",OR($M10=0,$M10=""))</formula>
    </cfRule>
  </conditionalFormatting>
  <conditionalFormatting sqref="E10:N18">
    <cfRule type="expression" dxfId="1" priority="18">
      <formula>LEFT($K10,1)="E"</formula>
    </cfRule>
  </conditionalFormatting>
  <conditionalFormatting sqref="E10:N18">
    <cfRule type="expression" dxfId="2" priority="19">
      <formula>LEFT($K10,1)="P"</formula>
    </cfRule>
  </conditionalFormatting>
  <conditionalFormatting sqref="E10:N18">
    <cfRule type="expression" dxfId="3" priority="20">
      <formula>LEFT($K10,1)="S"</formula>
    </cfRule>
  </conditionalFormatting>
  <conditionalFormatting sqref="E10">
    <cfRule type="expression" dxfId="0" priority="21">
      <formula>AND($F10&lt;&gt;"",OR($M10=0,$M10=""))</formula>
    </cfRule>
  </conditionalFormatting>
  <conditionalFormatting sqref="E10">
    <cfRule type="expression" dxfId="1" priority="22">
      <formula>LEFT($K10,1)="E"</formula>
    </cfRule>
  </conditionalFormatting>
  <conditionalFormatting sqref="E10">
    <cfRule type="expression" dxfId="2" priority="23">
      <formula>LEFT($K10,1)="P"</formula>
    </cfRule>
  </conditionalFormatting>
  <conditionalFormatting sqref="E10">
    <cfRule type="expression" dxfId="3" priority="24">
      <formula>LEFT($K10,1)="S"</formula>
    </cfRule>
  </conditionalFormatting>
  <conditionalFormatting sqref="E11">
    <cfRule type="expression" dxfId="0" priority="25">
      <formula>AND($F11&lt;&gt;"",OR($M11=0,$M11=""))</formula>
    </cfRule>
  </conditionalFormatting>
  <conditionalFormatting sqref="E11">
    <cfRule type="expression" dxfId="1" priority="26">
      <formula>LEFT($K11,1)="E"</formula>
    </cfRule>
  </conditionalFormatting>
  <conditionalFormatting sqref="E11">
    <cfRule type="expression" dxfId="2" priority="27">
      <formula>LEFT($K11,1)="P"</formula>
    </cfRule>
  </conditionalFormatting>
  <conditionalFormatting sqref="E11">
    <cfRule type="expression" dxfId="3" priority="28">
      <formula>LEFT($K11,1)="S"</formula>
    </cfRule>
  </conditionalFormatting>
  <conditionalFormatting sqref="E8:N8">
    <cfRule type="expression" dxfId="0" priority="29">
      <formula>AND($F8&lt;&gt;"",OR($M8=0,$M8=""))</formula>
    </cfRule>
  </conditionalFormatting>
  <conditionalFormatting sqref="E8:N8">
    <cfRule type="expression" dxfId="1" priority="30">
      <formula>LEFT($K8,1)="E"</formula>
    </cfRule>
  </conditionalFormatting>
  <conditionalFormatting sqref="E8:N8">
    <cfRule type="expression" dxfId="2" priority="31">
      <formula>LEFT($K8,1)="P"</formula>
    </cfRule>
  </conditionalFormatting>
  <conditionalFormatting sqref="E8:N8">
    <cfRule type="expression" dxfId="3" priority="32">
      <formula>LEFT($K8,1)="S"</formula>
    </cfRule>
  </conditionalFormatting>
  <conditionalFormatting sqref="E9:N9">
    <cfRule type="expression" dxfId="0" priority="33">
      <formula>AND($F9&lt;&gt;"",OR($M9=0,$M9=""))</formula>
    </cfRule>
  </conditionalFormatting>
  <conditionalFormatting sqref="E9:N9">
    <cfRule type="expression" dxfId="1" priority="34">
      <formula>LEFT($K9,1)="E"</formula>
    </cfRule>
  </conditionalFormatting>
  <conditionalFormatting sqref="E9:N9">
    <cfRule type="expression" dxfId="2" priority="35">
      <formula>LEFT($K9,1)="P"</formula>
    </cfRule>
  </conditionalFormatting>
  <conditionalFormatting sqref="E9:N9">
    <cfRule type="expression" dxfId="3" priority="36">
      <formula>LEFT($K9,1)="S"</formula>
    </cfRule>
  </conditionalFormatting>
  <conditionalFormatting sqref="E10:N18">
    <cfRule type="expression" dxfId="0" priority="37">
      <formula>AND($F10&lt;&gt;"",OR($M10=0,$M10=""))</formula>
    </cfRule>
  </conditionalFormatting>
  <conditionalFormatting sqref="E10:N18">
    <cfRule type="expression" dxfId="1" priority="38">
      <formula>LEFT($K10,1)="E"</formula>
    </cfRule>
  </conditionalFormatting>
  <conditionalFormatting sqref="E10:N18">
    <cfRule type="expression" dxfId="2" priority="39">
      <formula>LEFT($K10,1)="P"</formula>
    </cfRule>
  </conditionalFormatting>
  <conditionalFormatting sqref="E10:N18">
    <cfRule type="expression" dxfId="3" priority="40">
      <formula>LEFT($K10,1)="S"</formula>
    </cfRule>
  </conditionalFormatting>
  <conditionalFormatting sqref="E10">
    <cfRule type="expression" dxfId="0" priority="41">
      <formula>AND($F10&lt;&gt;"",OR($M10=0,$M10=""))</formula>
    </cfRule>
  </conditionalFormatting>
  <conditionalFormatting sqref="E10">
    <cfRule type="expression" dxfId="1" priority="42">
      <formula>LEFT($K10,1)="E"</formula>
    </cfRule>
  </conditionalFormatting>
  <conditionalFormatting sqref="E10">
    <cfRule type="expression" dxfId="2" priority="43">
      <formula>LEFT($K10,1)="P"</formula>
    </cfRule>
  </conditionalFormatting>
  <conditionalFormatting sqref="E10">
    <cfRule type="expression" dxfId="3" priority="44">
      <formula>LEFT($K10,1)="S"</formula>
    </cfRule>
  </conditionalFormatting>
  <conditionalFormatting sqref="E11">
    <cfRule type="expression" dxfId="0" priority="45">
      <formula>AND($F11&lt;&gt;"",OR($M11=0,$M11=""))</formula>
    </cfRule>
  </conditionalFormatting>
  <conditionalFormatting sqref="E11">
    <cfRule type="expression" dxfId="1" priority="46">
      <formula>LEFT($K11,1)="E"</formula>
    </cfRule>
  </conditionalFormatting>
  <conditionalFormatting sqref="E11">
    <cfRule type="expression" dxfId="2" priority="47">
      <formula>LEFT($K11,1)="P"</formula>
    </cfRule>
  </conditionalFormatting>
  <conditionalFormatting sqref="E11">
    <cfRule type="expression" dxfId="3" priority="48">
      <formula>LEFT($K11,1)="S"</formula>
    </cfRule>
  </conditionalFormatting>
  <conditionalFormatting sqref="E19:N19 E30:N30 E41:N41 E52:N52 E63:N63 E74:N74 E85:N85 E96:N96 E107:N107 E118:N118 E129:N129 E140:N140 E151:N151">
    <cfRule type="expression" dxfId="0" priority="49">
      <formula>AND($F19&lt;&gt;"",OR($M19=0,$M19=""))</formula>
    </cfRule>
  </conditionalFormatting>
  <conditionalFormatting sqref="E19:N19 E30:N30 E41:N41 E52:N52 E63:N63 E74:N74 E85:N85 E96:N96 E107:N107 E118:N118 E129:N129 E140:N140 E151:N151">
    <cfRule type="expression" dxfId="1" priority="50">
      <formula>LEFT($K19,1)="E"</formula>
    </cfRule>
  </conditionalFormatting>
  <conditionalFormatting sqref="E19:N19 E30:N30 E41:N41 E52:N52 E63:N63 E74:N74 E85:N85 E96:N96 E107:N107 E118:N118 E129:N129 E140:N140 E151:N151">
    <cfRule type="expression" dxfId="2" priority="51">
      <formula>LEFT($K19,1)="P"</formula>
    </cfRule>
  </conditionalFormatting>
  <conditionalFormatting sqref="E19:N19 E30:N30 E41:N41 E52:N52 E63:N63 E74:N74 E85:N85 E96:N96 E107:N107 E118:N118 E129:N129 E140:N140 E151:N151">
    <cfRule type="expression" dxfId="3" priority="52">
      <formula>LEFT($K19,1)="S"</formula>
    </cfRule>
  </conditionalFormatting>
  <conditionalFormatting sqref="E20:N20 E31:N31 E42:N42 E53:N53 E64:N64 E75:N75 E86:N86 E97:N97 E108:N108 E119:N119 E130:N130 E141:N141 E152:N152">
    <cfRule type="expression" dxfId="0" priority="53">
      <formula>AND($F20&lt;&gt;"",OR($M20=0,$M20=""))</formula>
    </cfRule>
  </conditionalFormatting>
  <conditionalFormatting sqref="E20:N20 E31:N31 E42:N42 E53:N53 E64:N64 E75:N75 E86:N86 E97:N97 E108:N108 E119:N119 E130:N130 E141:N141 E152:N152">
    <cfRule type="expression" dxfId="1" priority="54">
      <formula>LEFT($K20,1)="E"</formula>
    </cfRule>
  </conditionalFormatting>
  <conditionalFormatting sqref="E20:N20 E31:N31 E42:N42 E53:N53 E64:N64 E75:N75 E86:N86 E97:N97 E108:N108 E119:N119 E130:N130 E141:N141 E152:N152">
    <cfRule type="expression" dxfId="2" priority="55">
      <formula>LEFT($K20,1)="P"</formula>
    </cfRule>
  </conditionalFormatting>
  <conditionalFormatting sqref="E20:N20 E31:N31 E42:N42 E53:N53 E64:N64 E75:N75 E86:N86 E97:N97 E108:N108 E119:N119 E130:N130 E141:N141 E152:N152">
    <cfRule type="expression" dxfId="3" priority="56">
      <formula>LEFT($K20,1)="S"</formula>
    </cfRule>
  </conditionalFormatting>
  <conditionalFormatting sqref="E21:N29 E32:N40 E43:N51 E54:N62 E65:N73 E76:N84 E87:N95 E98:N106 E109:N117 E120:N128 E131:N139 E142:N150 E153:N161">
    <cfRule type="expression" dxfId="0" priority="57">
      <formula>AND($F21&lt;&gt;"",OR($M21=0,$M21=""))</formula>
    </cfRule>
  </conditionalFormatting>
  <conditionalFormatting sqref="E21:N29 E32:N40 E43:N51 E54:N62 E65:N73 E76:N84 E87:N95 E98:N106 E109:N117 E120:N128 E131:N139 E142:N150 E153:N161">
    <cfRule type="expression" dxfId="1" priority="58">
      <formula>LEFT($K21,1)="E"</formula>
    </cfRule>
  </conditionalFormatting>
  <conditionalFormatting sqref="E21:N29 E32:N40 E43:N51 E54:N62 E65:N73 E76:N84 E87:N95 E98:N106 E109:N117 E120:N128 E131:N139 E142:N150 E153:N161">
    <cfRule type="expression" dxfId="2" priority="59">
      <formula>LEFT($K21,1)="P"</formula>
    </cfRule>
  </conditionalFormatting>
  <conditionalFormatting sqref="E21:N29 E32:N40 E43:N51 E54:N62 E65:N73 E76:N84 E87:N95 E98:N106 E109:N117 E120:N128 E131:N139 E142:N150 E153:N161">
    <cfRule type="expression" dxfId="3" priority="60">
      <formula>LEFT($K21,1)="S"</formula>
    </cfRule>
  </conditionalFormatting>
  <conditionalFormatting sqref="E21 E32 E43 E54 E65 E76 E87 E98 E109 E120 E131 E142 E153">
    <cfRule type="expression" dxfId="0" priority="61">
      <formula>AND($F21&lt;&gt;"",OR($M21=0,$M21=""))</formula>
    </cfRule>
  </conditionalFormatting>
  <conditionalFormatting sqref="E21 E32 E43 E54 E65 E76 E87 E98 E109 E120 E131 E142 E153">
    <cfRule type="expression" dxfId="1" priority="62">
      <formula>LEFT($K21,1)="E"</formula>
    </cfRule>
  </conditionalFormatting>
  <conditionalFormatting sqref="E21 E32 E43 E54 E65 E76 E87 E98 E109 E120 E131 E142 E153">
    <cfRule type="expression" dxfId="2" priority="63">
      <formula>LEFT($K21,1)="P"</formula>
    </cfRule>
  </conditionalFormatting>
  <conditionalFormatting sqref="E21 E32 E43 E54 E65 E76 E87 E98 E109 E120 E131 E142 E153">
    <cfRule type="expression" dxfId="3" priority="64">
      <formula>LEFT($K21,1)="S"</formula>
    </cfRule>
  </conditionalFormatting>
  <conditionalFormatting sqref="E22 E33 E44 E55 E66 E77 E88 E99 E110 E121 E132 E143 E154">
    <cfRule type="expression" dxfId="0" priority="65">
      <formula>AND($F22&lt;&gt;"",OR($M22=0,$M22=""))</formula>
    </cfRule>
  </conditionalFormatting>
  <conditionalFormatting sqref="E22 E33 E44 E55 E66 E77 E88 E99 E110 E121 E132 E143 E154">
    <cfRule type="expression" dxfId="1" priority="66">
      <formula>LEFT($K22,1)="E"</formula>
    </cfRule>
  </conditionalFormatting>
  <conditionalFormatting sqref="E22 E33 E44 E55 E66 E77 E88 E99 E110 E121 E132 E143 E154">
    <cfRule type="expression" dxfId="2" priority="67">
      <formula>LEFT($K22,1)="P"</formula>
    </cfRule>
  </conditionalFormatting>
  <conditionalFormatting sqref="E22 E33 E44 E55 E66 E77 E88 E99 E110 E121 E132 E143 E154">
    <cfRule type="expression" dxfId="3" priority="68">
      <formula>LEFT($K22,1)="S"</formula>
    </cfRule>
  </conditionalFormatting>
  <conditionalFormatting sqref="E19:N19 E30:N30 E41:N41 E52:N52 E63:N63 E74:N74 E85:N85 E96:N96 E107:N107 E118:N118 E129:N129 E140:N140 E151:N151">
    <cfRule type="expression" dxfId="0" priority="69">
      <formula>AND($F19&lt;&gt;"",OR($M19=0,$M19=""))</formula>
    </cfRule>
  </conditionalFormatting>
  <conditionalFormatting sqref="E19:N19 E30:N30 E41:N41 E52:N52 E63:N63 E74:N74 E85:N85 E96:N96 E107:N107 E118:N118 E129:N129 E140:N140 E151:N151">
    <cfRule type="expression" dxfId="1" priority="70">
      <formula>LEFT($K19,1)="E"</formula>
    </cfRule>
  </conditionalFormatting>
  <conditionalFormatting sqref="E19:N19 E30:N30 E41:N41 E52:N52 E63:N63 E74:N74 E85:N85 E96:N96 E107:N107 E118:N118 E129:N129 E140:N140 E151:N151">
    <cfRule type="expression" dxfId="2" priority="71">
      <formula>LEFT($K19,1)="P"</formula>
    </cfRule>
  </conditionalFormatting>
  <conditionalFormatting sqref="E19:N19 E30:N30 E41:N41 E52:N52 E63:N63 E74:N74 E85:N85 E96:N96 E107:N107 E118:N118 E129:N129 E140:N140 E151:N151">
    <cfRule type="expression" dxfId="3" priority="72">
      <formula>LEFT($K19,1)="S"</formula>
    </cfRule>
  </conditionalFormatting>
  <conditionalFormatting sqref="E20:N20 E31:N31 E42:N42 E53:N53 E64:N64 E75:N75 E86:N86 E97:N97 E108:N108 E119:N119 E130:N130 E141:N141 E152:N152">
    <cfRule type="expression" dxfId="0" priority="73">
      <formula>AND($F20&lt;&gt;"",OR($M20=0,$M20=""))</formula>
    </cfRule>
  </conditionalFormatting>
  <conditionalFormatting sqref="E20:N20 E31:N31 E42:N42 E53:N53 E64:N64 E75:N75 E86:N86 E97:N97 E108:N108 E119:N119 E130:N130 E141:N141 E152:N152">
    <cfRule type="expression" dxfId="1" priority="74">
      <formula>LEFT($K20,1)="E"</formula>
    </cfRule>
  </conditionalFormatting>
  <conditionalFormatting sqref="E20:N20 E31:N31 E42:N42 E53:N53 E64:N64 E75:N75 E86:N86 E97:N97 E108:N108 E119:N119 E130:N130 E141:N141 E152:N152">
    <cfRule type="expression" dxfId="2" priority="75">
      <formula>LEFT($K20,1)="P"</formula>
    </cfRule>
  </conditionalFormatting>
  <conditionalFormatting sqref="E20:N20 E31:N31 E42:N42 E53:N53 E64:N64 E75:N75 E86:N86 E97:N97 E108:N108 E119:N119 E130:N130 E141:N141 E152:N152">
    <cfRule type="expression" dxfId="3" priority="76">
      <formula>LEFT($K20,1)="S"</formula>
    </cfRule>
  </conditionalFormatting>
  <conditionalFormatting sqref="E21:N29 E32:N40 E43:N51 E54:N62 E65:N73 E76:N84 E87:N95 E98:N106 E109:N117 E120:N128 E131:N139 E142:N150 E153:N161">
    <cfRule type="expression" dxfId="0" priority="77">
      <formula>AND($F21&lt;&gt;"",OR($M21=0,$M21=""))</formula>
    </cfRule>
  </conditionalFormatting>
  <conditionalFormatting sqref="E21:N29 E32:N40 E43:N51 E54:N62 E65:N73 E76:N84 E87:N95 E98:N106 E109:N117 E120:N128 E131:N139 E142:N150 E153:N161">
    <cfRule type="expression" dxfId="1" priority="78">
      <formula>LEFT($K21,1)="E"</formula>
    </cfRule>
  </conditionalFormatting>
  <conditionalFormatting sqref="E21:N29 E32:N40 E43:N51 E54:N62 E65:N73 E76:N84 E87:N95 E98:N106 E109:N117 E120:N128 E131:N139 E142:N150 E153:N161">
    <cfRule type="expression" dxfId="2" priority="79">
      <formula>LEFT($K21,1)="P"</formula>
    </cfRule>
  </conditionalFormatting>
  <conditionalFormatting sqref="E21:N29 E32:N40 E43:N51 E54:N62 E65:N73 E76:N84 E87:N95 E98:N106 E109:N117 E120:N128 E131:N139 E142:N150 E153:N161">
    <cfRule type="expression" dxfId="3" priority="80">
      <formula>LEFT($K21,1)="S"</formula>
    </cfRule>
  </conditionalFormatting>
  <conditionalFormatting sqref="E21 E32 E43 E54 E65 E76 E87 E98 E109 E120 E131 E142 E153">
    <cfRule type="expression" dxfId="0" priority="81">
      <formula>AND($F21&lt;&gt;"",OR($M21=0,$M21=""))</formula>
    </cfRule>
  </conditionalFormatting>
  <conditionalFormatting sqref="E21 E32 E43 E54 E65 E76 E87 E98 E109 E120 E131 E142 E153">
    <cfRule type="expression" dxfId="1" priority="82">
      <formula>LEFT($K21,1)="E"</formula>
    </cfRule>
  </conditionalFormatting>
  <conditionalFormatting sqref="E21 E32 E43 E54 E65 E76 E87 E98 E109 E120 E131 E142 E153">
    <cfRule type="expression" dxfId="2" priority="83">
      <formula>LEFT($K21,1)="P"</formula>
    </cfRule>
  </conditionalFormatting>
  <conditionalFormatting sqref="E21 E32 E43 E54 E65 E76 E87 E98 E109 E120 E131 E142 E153">
    <cfRule type="expression" dxfId="3" priority="84">
      <formula>LEFT($K21,1)="S"</formula>
    </cfRule>
  </conditionalFormatting>
  <conditionalFormatting sqref="E22 E33 E44 E55 E66 E77 E88 E99 E110 E121 E132 E143 E154">
    <cfRule type="expression" dxfId="0" priority="85">
      <formula>AND($F22&lt;&gt;"",OR($M22=0,$M22=""))</formula>
    </cfRule>
  </conditionalFormatting>
  <conditionalFormatting sqref="E22 E33 E44 E55 E66 E77 E88 E99 E110 E121 E132 E143 E154">
    <cfRule type="expression" dxfId="1" priority="86">
      <formula>LEFT($K22,1)="E"</formula>
    </cfRule>
  </conditionalFormatting>
  <conditionalFormatting sqref="E22 E33 E44 E55 E66 E77 E88 E99 E110 E121 E132 E143 E154">
    <cfRule type="expression" dxfId="2" priority="87">
      <formula>LEFT($K22,1)="P"</formula>
    </cfRule>
  </conditionalFormatting>
  <conditionalFormatting sqref="E22 E33 E44 E55 E66 E77 E88 E99 E110 E121 E132 E143 E154">
    <cfRule type="expression" dxfId="3" priority="88">
      <formula>LEFT($K22,1)="S"</formula>
    </cfRule>
  </conditionalFormatting>
  <printOptions/>
  <pageMargins bottom="0.75" footer="0.0" header="0.0" left="0.7" right="0.7" top="0.75"/>
  <pageSetup paperSize="8" orientation="landscape"/>
  <rowBreaks count="2" manualBreakCount="2">
    <brk id="205" man="1"/>
    <brk id="95" man="1"/>
  </rowBreaks>
  <colBreaks count="1" manualBreakCount="1">
    <brk id="46"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18.0"/>
    <col customWidth="1" min="2" max="2" width="48.43"/>
    <col customWidth="1" min="3" max="4" width="35.0"/>
    <col customWidth="1" min="5" max="6" width="31.86"/>
    <col customWidth="1" min="7" max="9" width="26.43"/>
    <col customWidth="1" min="10" max="10" width="31.29"/>
    <col customWidth="1" min="11" max="26" width="26.43"/>
    <col customWidth="1" min="27" max="35" width="25.86"/>
    <col customWidth="1" min="36" max="46" width="35.0"/>
    <col customWidth="1" min="47" max="67" width="28.43"/>
    <col customWidth="1" min="68" max="68" width="35.43"/>
    <col customWidth="1" min="69" max="83" width="28.43"/>
    <col customWidth="1" min="84" max="84" width="43.43"/>
    <col customWidth="1" min="85" max="85" width="39.57"/>
    <col customWidth="1" min="86" max="97" width="28.43"/>
    <col customWidth="1" min="98" max="98" width="39.57"/>
    <col customWidth="1" min="99" max="99" width="28.14"/>
  </cols>
  <sheetData>
    <row r="1">
      <c r="A1" s="1" t="str">
        <f>CONCATENATE("DAILY REPORT   DATE :  ",MID(CELL("filename",A1),FIND("]",CELL("filename",A1),1)+1,255))</f>
        <v>#VALUE!</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3"/>
      <c r="AU1" s="1" t="str">
        <f>A1</f>
        <v>#VALUE!</v>
      </c>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3"/>
      <c r="CU1" s="242"/>
    </row>
    <row r="2">
      <c r="A2" s="5"/>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7"/>
      <c r="AU2" s="8"/>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11"/>
      <c r="CU2" s="242"/>
    </row>
    <row r="3">
      <c r="A3" s="8" t="s">
        <v>207</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11"/>
      <c r="AU3" s="1" t="str">
        <f>A3</f>
        <v>COLLEGE NAME : L.J. INSTITUTE OF ENGINEERING AND TECHNOLOGY                                DEPARTMENT NAME :   SY4(CST CS&amp;IT)                     YEAR : 2024-25                              SEMESTER : III</v>
      </c>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3"/>
      <c r="CU3" s="242"/>
    </row>
    <row r="4" ht="61.5" customHeight="1">
      <c r="A4" s="12" t="s">
        <v>1</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4"/>
      <c r="AS4" s="15"/>
      <c r="AT4" s="16"/>
      <c r="AU4" s="17" t="s">
        <v>2</v>
      </c>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8"/>
      <c r="CH4" s="19" t="s">
        <v>3</v>
      </c>
      <c r="CI4" s="2"/>
      <c r="CJ4" s="2"/>
      <c r="CK4" s="2"/>
      <c r="CL4" s="2"/>
      <c r="CM4" s="2"/>
      <c r="CN4" s="2"/>
      <c r="CO4" s="2"/>
      <c r="CP4" s="2"/>
      <c r="CQ4" s="2"/>
      <c r="CR4" s="2"/>
      <c r="CS4" s="20"/>
      <c r="CT4" s="21"/>
      <c r="CU4" s="243"/>
    </row>
    <row r="5" ht="61.5" customHeight="1">
      <c r="A5" s="244" t="s">
        <v>4</v>
      </c>
      <c r="B5" s="24"/>
      <c r="C5" s="24"/>
      <c r="D5" s="24"/>
      <c r="E5" s="24"/>
      <c r="F5" s="24"/>
      <c r="G5" s="24"/>
      <c r="H5" s="24"/>
      <c r="I5" s="24"/>
      <c r="J5" s="24"/>
      <c r="K5" s="24"/>
      <c r="L5" s="24"/>
      <c r="M5" s="24"/>
      <c r="N5" s="24"/>
      <c r="O5" s="24"/>
      <c r="P5" s="24"/>
      <c r="Q5" s="24"/>
      <c r="R5" s="24"/>
      <c r="S5" s="24"/>
      <c r="T5" s="24"/>
      <c r="U5" s="24"/>
      <c r="V5" s="24"/>
      <c r="W5" s="24"/>
      <c r="X5" s="24"/>
      <c r="Y5" s="24"/>
      <c r="Z5" s="25"/>
      <c r="AA5" s="26" t="s">
        <v>5</v>
      </c>
      <c r="AB5" s="2"/>
      <c r="AC5" s="2"/>
      <c r="AD5" s="2"/>
      <c r="AE5" s="2"/>
      <c r="AF5" s="2"/>
      <c r="AG5" s="2"/>
      <c r="AH5" s="2"/>
      <c r="AI5" s="3"/>
      <c r="AJ5" s="27" t="s">
        <v>6</v>
      </c>
      <c r="AK5" s="28"/>
      <c r="AL5" s="28"/>
      <c r="AM5" s="28"/>
      <c r="AN5" s="28"/>
      <c r="AO5" s="29"/>
      <c r="AP5" s="30" t="s">
        <v>7</v>
      </c>
      <c r="AQ5" s="31" t="s">
        <v>8</v>
      </c>
      <c r="AR5" s="31" t="s">
        <v>9</v>
      </c>
      <c r="AS5" s="31" t="s">
        <v>208</v>
      </c>
      <c r="AT5" s="32" t="s">
        <v>11</v>
      </c>
      <c r="AU5" s="33" t="s">
        <v>12</v>
      </c>
      <c r="AV5" s="34"/>
      <c r="AW5" s="34"/>
      <c r="AX5" s="35"/>
      <c r="AY5" s="36" t="s">
        <v>13</v>
      </c>
      <c r="AZ5" s="37" t="s">
        <v>14</v>
      </c>
      <c r="BA5" s="38" t="s">
        <v>15</v>
      </c>
      <c r="BB5" s="24"/>
      <c r="BC5" s="24"/>
      <c r="BD5" s="24"/>
      <c r="BE5" s="24"/>
      <c r="BF5" s="24"/>
      <c r="BG5" s="24"/>
      <c r="BH5" s="24"/>
      <c r="BI5" s="24"/>
      <c r="BJ5" s="24"/>
      <c r="BK5" s="24"/>
      <c r="BL5" s="24"/>
      <c r="BM5" s="24"/>
      <c r="BN5" s="24"/>
      <c r="BO5" s="39"/>
      <c r="BP5" s="40" t="s">
        <v>16</v>
      </c>
      <c r="BQ5" s="24"/>
      <c r="BR5" s="24"/>
      <c r="BS5" s="24"/>
      <c r="BT5" s="24"/>
      <c r="BU5" s="41"/>
      <c r="BV5" s="42" t="s">
        <v>17</v>
      </c>
      <c r="BW5" s="14"/>
      <c r="BX5" s="43" t="s">
        <v>18</v>
      </c>
      <c r="BY5" s="34"/>
      <c r="BZ5" s="34"/>
      <c r="CA5" s="34"/>
      <c r="CB5" s="34"/>
      <c r="CC5" s="34"/>
      <c r="CD5" s="34"/>
      <c r="CE5" s="34"/>
      <c r="CF5" s="34"/>
      <c r="CG5" s="44"/>
      <c r="CH5" s="45"/>
      <c r="CI5" s="46"/>
      <c r="CJ5" s="46"/>
      <c r="CK5" s="46"/>
      <c r="CL5" s="46"/>
      <c r="CM5" s="46"/>
      <c r="CN5" s="46"/>
      <c r="CO5" s="46"/>
      <c r="CP5" s="46"/>
      <c r="CQ5" s="46"/>
      <c r="CR5" s="46"/>
      <c r="CS5" s="47"/>
      <c r="CT5" s="48"/>
      <c r="CU5" s="245"/>
    </row>
    <row r="6" ht="174.0" customHeight="1">
      <c r="A6" s="50" t="s">
        <v>19</v>
      </c>
      <c r="B6" s="50" t="s">
        <v>20</v>
      </c>
      <c r="C6" s="50" t="s">
        <v>21</v>
      </c>
      <c r="D6" s="51" t="s">
        <v>22</v>
      </c>
      <c r="E6" s="246" t="s">
        <v>23</v>
      </c>
      <c r="F6" s="9"/>
      <c r="G6" s="9"/>
      <c r="H6" s="9"/>
      <c r="I6" s="9"/>
      <c r="J6" s="9"/>
      <c r="K6" s="9"/>
      <c r="L6" s="11"/>
      <c r="M6" s="53" t="s">
        <v>24</v>
      </c>
      <c r="N6" s="247" t="s">
        <v>25</v>
      </c>
      <c r="O6" s="57" t="s">
        <v>26</v>
      </c>
      <c r="P6" s="56" t="s">
        <v>27</v>
      </c>
      <c r="Q6" s="57" t="s">
        <v>28</v>
      </c>
      <c r="R6" s="57" t="s">
        <v>29</v>
      </c>
      <c r="S6" s="57" t="s">
        <v>30</v>
      </c>
      <c r="T6" s="58" t="s">
        <v>31</v>
      </c>
      <c r="U6" s="59" t="s">
        <v>32</v>
      </c>
      <c r="V6" s="60" t="s">
        <v>33</v>
      </c>
      <c r="W6" s="61" t="s">
        <v>34</v>
      </c>
      <c r="X6" s="62" t="s">
        <v>35</v>
      </c>
      <c r="Y6" s="58" t="s">
        <v>36</v>
      </c>
      <c r="Z6" s="59" t="s">
        <v>37</v>
      </c>
      <c r="AA6" s="63"/>
      <c r="AB6" s="6"/>
      <c r="AC6" s="6"/>
      <c r="AD6" s="6"/>
      <c r="AE6" s="6"/>
      <c r="AF6" s="6"/>
      <c r="AG6" s="6"/>
      <c r="AH6" s="6"/>
      <c r="AI6" s="7"/>
      <c r="AJ6" s="63"/>
      <c r="AK6" s="6"/>
      <c r="AL6" s="6"/>
      <c r="AM6" s="6"/>
      <c r="AN6" s="6"/>
      <c r="AO6" s="7"/>
      <c r="AP6" s="64"/>
      <c r="AQ6" s="65"/>
      <c r="AR6" s="65"/>
      <c r="AS6" s="65"/>
      <c r="AT6" s="66"/>
      <c r="AU6" s="67" t="s">
        <v>38</v>
      </c>
      <c r="AV6" s="67" t="s">
        <v>39</v>
      </c>
      <c r="AW6" s="51" t="s">
        <v>40</v>
      </c>
      <c r="AX6" s="67" t="s">
        <v>41</v>
      </c>
      <c r="AY6" s="68"/>
      <c r="AZ6" s="69"/>
      <c r="BA6" s="70" t="s">
        <v>42</v>
      </c>
      <c r="BB6" s="46"/>
      <c r="BC6" s="46"/>
      <c r="BD6" s="46"/>
      <c r="BE6" s="46"/>
      <c r="BF6" s="46"/>
      <c r="BG6" s="46"/>
      <c r="BH6" s="46"/>
      <c r="BI6" s="71"/>
      <c r="BJ6" s="72" t="s">
        <v>43</v>
      </c>
      <c r="BK6" s="73" t="s">
        <v>44</v>
      </c>
      <c r="BL6" s="74" t="s">
        <v>45</v>
      </c>
      <c r="BM6" s="24"/>
      <c r="BN6" s="39"/>
      <c r="BO6" s="73" t="s">
        <v>46</v>
      </c>
      <c r="BP6" s="59" t="s">
        <v>47</v>
      </c>
      <c r="BQ6" s="75" t="s">
        <v>48</v>
      </c>
      <c r="BS6" s="76"/>
      <c r="BT6" s="75" t="s">
        <v>49</v>
      </c>
      <c r="BU6" s="75" t="s">
        <v>209</v>
      </c>
      <c r="BV6" s="51" t="s">
        <v>51</v>
      </c>
      <c r="BW6" s="51" t="s">
        <v>52</v>
      </c>
      <c r="BX6" s="77" t="s">
        <v>53</v>
      </c>
      <c r="BY6" s="9"/>
      <c r="BZ6" s="9"/>
      <c r="CA6" s="9"/>
      <c r="CB6" s="9"/>
      <c r="CC6" s="9"/>
      <c r="CD6" s="9"/>
      <c r="CE6" s="11"/>
      <c r="CF6" s="78" t="s">
        <v>54</v>
      </c>
      <c r="CG6" s="3"/>
      <c r="CH6" s="79" t="s">
        <v>55</v>
      </c>
      <c r="CI6" s="80"/>
      <c r="CJ6" s="81" t="s">
        <v>56</v>
      </c>
      <c r="CK6" s="82"/>
      <c r="CL6" s="81" t="s">
        <v>57</v>
      </c>
      <c r="CM6" s="82"/>
      <c r="CN6" s="81" t="s">
        <v>58</v>
      </c>
      <c r="CO6" s="82"/>
      <c r="CP6" s="83" t="s">
        <v>59</v>
      </c>
      <c r="CQ6" s="84" t="s">
        <v>210</v>
      </c>
      <c r="CR6" s="85" t="s">
        <v>211</v>
      </c>
      <c r="CS6" s="86" t="s">
        <v>62</v>
      </c>
      <c r="CT6" s="87" t="s">
        <v>63</v>
      </c>
      <c r="CU6" s="248"/>
    </row>
    <row r="7" ht="291.0" customHeight="1">
      <c r="A7" s="89"/>
      <c r="B7" s="89"/>
      <c r="C7" s="89"/>
      <c r="D7" s="89"/>
      <c r="E7" s="90" t="s">
        <v>64</v>
      </c>
      <c r="F7" s="91" t="s">
        <v>65</v>
      </c>
      <c r="G7" s="91" t="s">
        <v>212</v>
      </c>
      <c r="H7" s="91" t="s">
        <v>67</v>
      </c>
      <c r="I7" s="91" t="s">
        <v>68</v>
      </c>
      <c r="J7" s="92" t="s">
        <v>69</v>
      </c>
      <c r="K7" s="92" t="s">
        <v>70</v>
      </c>
      <c r="L7" s="249" t="s">
        <v>71</v>
      </c>
      <c r="M7" s="89"/>
      <c r="N7" s="7"/>
      <c r="O7" s="95" t="s">
        <v>72</v>
      </c>
      <c r="P7" s="78" t="s">
        <v>73</v>
      </c>
      <c r="Q7" s="95" t="s">
        <v>74</v>
      </c>
      <c r="R7" s="95" t="s">
        <v>75</v>
      </c>
      <c r="S7" s="95" t="s">
        <v>76</v>
      </c>
      <c r="T7" s="95" t="s">
        <v>77</v>
      </c>
      <c r="U7" s="78" t="s">
        <v>78</v>
      </c>
      <c r="V7" s="78" t="s">
        <v>79</v>
      </c>
      <c r="W7" s="67" t="s">
        <v>80</v>
      </c>
      <c r="X7" s="94" t="s">
        <v>81</v>
      </c>
      <c r="Y7" s="95" t="s">
        <v>82</v>
      </c>
      <c r="Z7" s="63"/>
      <c r="AA7" s="96" t="s">
        <v>83</v>
      </c>
      <c r="AB7" s="97" t="s">
        <v>84</v>
      </c>
      <c r="AC7" s="98" t="s">
        <v>85</v>
      </c>
      <c r="AD7" s="98" t="s">
        <v>86</v>
      </c>
      <c r="AE7" s="98" t="s">
        <v>87</v>
      </c>
      <c r="AF7" s="98" t="s">
        <v>88</v>
      </c>
      <c r="AG7" s="98" t="s">
        <v>89</v>
      </c>
      <c r="AH7" s="98" t="s">
        <v>213</v>
      </c>
      <c r="AI7" s="99" t="s">
        <v>214</v>
      </c>
      <c r="AJ7" s="100" t="s">
        <v>92</v>
      </c>
      <c r="AK7" s="101" t="s">
        <v>93</v>
      </c>
      <c r="AL7" s="101" t="s">
        <v>94</v>
      </c>
      <c r="AM7" s="101" t="s">
        <v>95</v>
      </c>
      <c r="AN7" s="101" t="s">
        <v>96</v>
      </c>
      <c r="AO7" s="102" t="s">
        <v>97</v>
      </c>
      <c r="AP7" s="103"/>
      <c r="AQ7" s="89"/>
      <c r="AR7" s="89"/>
      <c r="AS7" s="89"/>
      <c r="AT7" s="68"/>
      <c r="AU7" s="89"/>
      <c r="AV7" s="89"/>
      <c r="AW7" s="89"/>
      <c r="AX7" s="89"/>
      <c r="AY7" s="104" t="s">
        <v>98</v>
      </c>
      <c r="AZ7" s="105" t="s">
        <v>99</v>
      </c>
      <c r="BA7" s="106" t="s">
        <v>100</v>
      </c>
      <c r="BB7" s="107" t="s">
        <v>101</v>
      </c>
      <c r="BC7" s="107" t="s">
        <v>102</v>
      </c>
      <c r="BD7" s="107" t="s">
        <v>103</v>
      </c>
      <c r="BE7" s="107" t="s">
        <v>104</v>
      </c>
      <c r="BF7" s="107" t="s">
        <v>105</v>
      </c>
      <c r="BG7" s="107" t="s">
        <v>106</v>
      </c>
      <c r="BH7" s="107" t="s">
        <v>107</v>
      </c>
      <c r="BI7" s="108" t="s">
        <v>108</v>
      </c>
      <c r="BJ7" s="109" t="s">
        <v>109</v>
      </c>
      <c r="BK7" s="110" t="s">
        <v>110</v>
      </c>
      <c r="BL7" s="111" t="s">
        <v>215</v>
      </c>
      <c r="BM7" s="111" t="s">
        <v>216</v>
      </c>
      <c r="BN7" s="112" t="s">
        <v>217</v>
      </c>
      <c r="BO7" s="113" t="s">
        <v>114</v>
      </c>
      <c r="BP7" s="63"/>
      <c r="BQ7" s="90" t="s">
        <v>115</v>
      </c>
      <c r="BR7" s="114" t="s">
        <v>116</v>
      </c>
      <c r="BS7" s="115" t="s">
        <v>117</v>
      </c>
      <c r="BT7" s="63"/>
      <c r="BU7" s="63"/>
      <c r="BV7" s="89"/>
      <c r="BW7" s="89"/>
      <c r="BX7" s="116" t="s">
        <v>118</v>
      </c>
      <c r="BY7" s="101" t="s">
        <v>119</v>
      </c>
      <c r="BZ7" s="101" t="s">
        <v>120</v>
      </c>
      <c r="CA7" s="101" t="s">
        <v>121</v>
      </c>
      <c r="CB7" s="101" t="s">
        <v>122</v>
      </c>
      <c r="CC7" s="117" t="s">
        <v>123</v>
      </c>
      <c r="CD7" s="111" t="s">
        <v>124</v>
      </c>
      <c r="CE7" s="113" t="s">
        <v>125</v>
      </c>
      <c r="CF7" s="118" t="s">
        <v>126</v>
      </c>
      <c r="CG7" s="119" t="s">
        <v>127</v>
      </c>
      <c r="CH7" s="120" t="s">
        <v>128</v>
      </c>
      <c r="CI7" s="121" t="s">
        <v>218</v>
      </c>
      <c r="CJ7" s="122" t="s">
        <v>130</v>
      </c>
      <c r="CK7" s="123" t="s">
        <v>219</v>
      </c>
      <c r="CL7" s="122" t="s">
        <v>132</v>
      </c>
      <c r="CM7" s="123" t="s">
        <v>220</v>
      </c>
      <c r="CN7" s="122" t="s">
        <v>134</v>
      </c>
      <c r="CO7" s="123" t="s">
        <v>221</v>
      </c>
      <c r="CP7" s="89"/>
      <c r="CQ7" s="69"/>
      <c r="CR7" s="69"/>
      <c r="CS7" s="69"/>
      <c r="CT7" s="89"/>
      <c r="CU7" s="248"/>
    </row>
    <row r="8" ht="56.25" customHeight="1">
      <c r="A8" s="125">
        <v>1.0</v>
      </c>
      <c r="B8" s="199" t="s">
        <v>136</v>
      </c>
      <c r="C8" s="127">
        <v>1.0</v>
      </c>
      <c r="D8" s="168" t="s">
        <v>137</v>
      </c>
      <c r="E8" s="129"/>
      <c r="F8" s="130"/>
      <c r="G8" s="130"/>
      <c r="H8" s="130"/>
      <c r="I8" s="130"/>
      <c r="J8" s="130"/>
      <c r="K8" s="131"/>
      <c r="L8" s="131"/>
      <c r="M8" s="131"/>
      <c r="N8" s="131"/>
      <c r="O8" s="250">
        <f t="shared" ref="O8:O13" si="1">IF(AND(M8&lt;&gt;0,M8&lt;&gt;"m",M8&lt;&gt;"",RIGHT(K8,3)="Lec"),1,IF(AND(M8&lt;&gt;0,M8&lt;&gt;"m",M8&lt;&gt;"",OR(RIGHT(K8,3)="Lab",RIGHT(K8,3)="Tut")),0.5,IF(AND(M8&lt;&gt;0,M8&lt;&gt;"m",M8&lt;&gt;"",RIGHT(K8,2)="TL"),0.75,0)))</f>
        <v>0</v>
      </c>
      <c r="P8" s="251">
        <f>COUNTIF(K8:K18,"TL")*0.75+COUNTIF(K8:K18,"Lec")*1+COUNTIF(K8:K18,"Lab")*0.5</f>
        <v>0</v>
      </c>
      <c r="Q8" s="134">
        <f>SUM((IF(LEFT(K8,1)="E",O8,0)),(IF(LEFT(K9,1)="E",O9,0)),(IF(LEFT(K10,1)="E",O10,0)),(IF(LEFT(K11,1)="E",O11,0)),(IF(LEFT(K12,1)="E",O12,0)),(IF(LEFT(K13,1)="E",O13,0)),(IF(LEFT(K14,1)="E",O14,0)),(IF(LEFT(K15,1)="E",O15,0)),(IF(LEFT(K16,1)="E",O16,0)),(IF(LEFT(K17,1)="E",O17,0)),(IF(LEFT(K18,1)="E",O18,0)))</f>
        <v>0</v>
      </c>
      <c r="R8" s="135">
        <f>SUM(IF(M14&lt;20,IF(K14="Plec",-1,IF(K14="PTL",-0.75,IF(K14="Plab",-0.5,0))),0),IF(M15&lt;20,IF(K15="Plec",-1,IF(K15="PTL",-0.75,IF(K15="Plab",-0.5,0))),0),IF(M16&lt;20,IF(K16="Plec",-1,IF(K16="PTL",-0.75,IF(K16="Plab",-0.5,0))),0),IF(M17&lt;20,IF(K17="Plec",-1,IF(K17="PTL",-0.75,IF(K17="Plab",-0.5,0))),0))</f>
        <v>0</v>
      </c>
      <c r="S8" s="134">
        <f>SUM(P8:R18)</f>
        <v>0</v>
      </c>
      <c r="T8" s="136">
        <f>SUM(IF(M8="M",IF(OR(K8="lec",K8="plec",K8="slec"),1,IF(OR(K8="lab",K8="plab",K8="slab",K8="tut",K8="ptut",K8="stut"),0.5,IF(OR(K8="TL",K8="pTL",K8="STL"),0.75,0))),0),IF(M9="M",IF(OR(K9="lec",K9="plec",K9="slec"),1,IF(OR(K9="lab",K9="plab",K9="slab",K9="tut",K9="ptut",K9="stut"),0.5,IF(OR(K9="TL",K9="pTL",K9="STL"),0.75,0))),0),IF(M10="M",IF(OR(K10="lec",K10="plec",K10="slec"),1,IF(OR(K10="lab",K10="plab",K10="slab",K10="tut",K10="ptut",K10="stut"),0.5,IF(OR(K10="TL",K10="pTL",K10="STL"),0.75,0))),0),IF(M11="M",IF(OR(K11="lec",K11="plec",K11="slec"),1,IF(OR(K11="lab",K11="plab",K11="slab",K11="tut",K11="ptut",K11="stut"),0.5,IF(OR(K11="TL",K11="pTL",K11="STL"),0.75,0))),0),IF(M12="M",IF(OR(K12="lec",K12="plec",K12="slec"),1,IF(OR(K12="lab",K12="plab",K12="slab",K12="tut",K12="ptut",K12="stut"),0.5,IF(OR(K12="TL",K12="pTL",K12="STL"),0.75,0))),0),IF(M13="M",IF(OR(K13="lec",K13="plec",K13="slec"),1,IF(OR(K13="lab",K13="plab",K13="slab",K13="tut",K13="ptut",K13="stut"),0.5,IF(OR(K13="TL",K13="pTL",K13="STL"),0.75,0))),0),IF(M14="M",IF(OR(K14="lec",K14="plec",K14="slec"),1,IF(OR(K14="lab",K14="plab",K14="slab",K14="tut",K14="ptut",K14="stut"),0.5,IF(OR(K14="TL",K14="pTL",K14="STL"),0.75,0))),0),IF(M15="M",IF(OR(K15="lec",K15="plec",K15="slec"),1,IF(OR(K15="lab",K15="plab",K15="slab",K15="tut",K15="ptut",K15="stut"),0.5,IF(OR(K15="TL",K15="pTL",K15="STL"),0.75,0))),0),IF(M16="M",IF(OR(K16="lec",K16="plec",K16="slec"),1,IF(OR(K16="lab",K16="plab",K16="slab",K16="tut",K16="ptut",K16="stut"),0.5,IF(OR(K16="TL",K16="pTL",K16="STL"),0.75,0))),0),IF(M17="M",IF(OR(K17="lec",K17="plec",K17="slec"),1,IF(OR(K17="lab",K17="plab",K17="slab",K17="tut",K17="ptut",K17="stut"),0.5,IF(OR(K17="TL",K17="pTL",K17="STL"),0.75,0))),0),IF(M18="M",IF(OR(K18="lec",K18="plec",K18="slec"),1,IF(OR(K18="lab",K18="plab",K18="slab",K18="tut",K18="ptut",K18="stut"),0.5,IF(OR(K18="TL",K18="pTL",K18="STL"),0.75,0))),0))</f>
        <v>0</v>
      </c>
      <c r="U8" s="137"/>
      <c r="V8" s="133"/>
      <c r="W8" s="138"/>
      <c r="X8" s="139">
        <f>S8-(T8+U8+V8+W8)</f>
        <v>0</v>
      </c>
      <c r="Y8" s="134" t="str">
        <f>CONCATENATE(SUM(O8:O18),"(",SUM(O8:O18)-X8,")")</f>
        <v>0(0)</v>
      </c>
      <c r="Z8" s="140"/>
      <c r="AA8" s="141"/>
      <c r="AB8" s="142"/>
      <c r="AC8" s="142"/>
      <c r="AD8" s="142"/>
      <c r="AE8" s="142"/>
      <c r="AF8" s="142"/>
      <c r="AG8" s="142"/>
      <c r="AH8" s="142"/>
      <c r="AI8" s="143"/>
      <c r="AJ8" s="144"/>
      <c r="AK8" s="145"/>
      <c r="AL8" s="145"/>
      <c r="AM8" s="145"/>
      <c r="AN8" s="145"/>
      <c r="AO8" s="146"/>
      <c r="AP8" s="147">
        <f>SUM(SUM(O8:O18),SUM(AI8:AI18)/2,AM8)</f>
        <v>0</v>
      </c>
      <c r="AQ8" s="148"/>
      <c r="AR8" s="148">
        <f>AP8*AQ8</f>
        <v>0</v>
      </c>
      <c r="AS8" s="148">
        <f>CT8</f>
        <v>0</v>
      </c>
      <c r="AT8" s="149">
        <f>AR8*0.75+AS8*0.25</f>
        <v>0</v>
      </c>
      <c r="AU8" s="150"/>
      <c r="AV8" s="151"/>
      <c r="AW8" s="151"/>
      <c r="AX8" s="152"/>
      <c r="AY8" s="153"/>
      <c r="AZ8" s="140"/>
      <c r="BA8" s="150"/>
      <c r="BB8" s="151"/>
      <c r="BC8" s="151"/>
      <c r="BD8" s="151"/>
      <c r="BE8" s="151"/>
      <c r="BF8" s="151"/>
      <c r="BG8" s="151"/>
      <c r="BH8" s="151"/>
      <c r="BI8" s="152"/>
      <c r="BJ8" s="154"/>
      <c r="BK8" s="151"/>
      <c r="BL8" s="151"/>
      <c r="BM8" s="151"/>
      <c r="BN8" s="151"/>
      <c r="BO8" s="155"/>
      <c r="BP8" s="140"/>
      <c r="BQ8" s="156"/>
      <c r="BR8" s="157"/>
      <c r="BS8" s="158"/>
      <c r="BT8" s="153"/>
      <c r="BU8" s="140"/>
      <c r="BV8" s="140"/>
      <c r="BW8" s="140"/>
      <c r="BX8" s="140"/>
      <c r="BY8" s="140"/>
      <c r="BZ8" s="140"/>
      <c r="CA8" s="140"/>
      <c r="CB8" s="140"/>
      <c r="CC8" s="140"/>
      <c r="CD8" s="150"/>
      <c r="CE8" s="155"/>
      <c r="CF8" s="150"/>
      <c r="CG8" s="152"/>
      <c r="CH8" s="252"/>
      <c r="CI8" s="160"/>
      <c r="CJ8" s="159"/>
      <c r="CK8" s="160"/>
      <c r="CL8" s="159"/>
      <c r="CM8" s="160"/>
      <c r="CN8" s="159"/>
      <c r="CO8" s="160"/>
      <c r="CP8" s="159"/>
      <c r="CQ8" s="162"/>
      <c r="CR8" s="160"/>
      <c r="CS8" s="253">
        <f>SUM(CS19:CS305)</f>
        <v>0</v>
      </c>
      <c r="CT8" s="254">
        <f>SUM(AU8,AV8,AW8,AX8/400,AY8,AZ8,BG8,BH8*0.5,BI8*0.25,BJ8,BK8,BL8,BM8,BN8,BO8,BP8,BR8/20,BS8/100,BT8/60,BU8,BV8,BW8,BX8/4,SUM(BY8:CC18)/3,CE8,CG8/3,CI8,CK8,CM8,CO8,CQ8,CR8)</f>
        <v>0</v>
      </c>
      <c r="CU8" s="255" t="str">
        <f t="shared" ref="CU8:CU315" si="2">D8</f>
        <v>STS</v>
      </c>
    </row>
    <row r="9" ht="60.0" customHeight="1">
      <c r="A9" s="65"/>
      <c r="C9" s="167">
        <v>2.0</v>
      </c>
      <c r="D9" s="168" t="s">
        <v>137</v>
      </c>
      <c r="E9" s="169"/>
      <c r="F9" s="170"/>
      <c r="G9" s="170"/>
      <c r="H9" s="170"/>
      <c r="I9" s="170"/>
      <c r="J9" s="170"/>
      <c r="K9" s="171"/>
      <c r="L9" s="171"/>
      <c r="M9" s="171"/>
      <c r="N9" s="171"/>
      <c r="O9" s="256">
        <f t="shared" si="1"/>
        <v>0</v>
      </c>
      <c r="Q9" s="173"/>
      <c r="R9" s="65"/>
      <c r="S9" s="173"/>
      <c r="T9" s="173"/>
      <c r="U9" s="166"/>
      <c r="V9" s="166"/>
      <c r="W9" s="65"/>
      <c r="X9" s="66"/>
      <c r="Y9" s="173"/>
      <c r="Z9" s="166"/>
      <c r="AA9" s="174"/>
      <c r="AB9" s="175"/>
      <c r="AC9" s="175"/>
      <c r="AD9" s="175"/>
      <c r="AE9" s="175"/>
      <c r="AF9" s="175"/>
      <c r="AG9" s="175"/>
      <c r="AH9" s="175"/>
      <c r="AI9" s="176"/>
      <c r="AJ9" s="177"/>
      <c r="AK9" s="178"/>
      <c r="AL9" s="178"/>
      <c r="AM9" s="178"/>
      <c r="AN9" s="178"/>
      <c r="AO9" s="179"/>
      <c r="AP9" s="64"/>
      <c r="AQ9" s="65"/>
      <c r="AR9" s="65"/>
      <c r="AS9" s="65"/>
      <c r="AT9" s="173"/>
      <c r="AU9" s="177"/>
      <c r="AV9" s="178"/>
      <c r="AW9" s="178"/>
      <c r="AX9" s="179"/>
      <c r="AZ9" s="166"/>
      <c r="BA9" s="177"/>
      <c r="BB9" s="178"/>
      <c r="BC9" s="178"/>
      <c r="BD9" s="178"/>
      <c r="BE9" s="178"/>
      <c r="BF9" s="178"/>
      <c r="BG9" s="178"/>
      <c r="BH9" s="178"/>
      <c r="BI9" s="179"/>
      <c r="BJ9" s="180"/>
      <c r="BK9" s="178"/>
      <c r="BL9" s="178"/>
      <c r="BM9" s="178"/>
      <c r="BN9" s="178"/>
      <c r="BO9" s="181"/>
      <c r="BP9" s="166"/>
      <c r="BQ9" s="177"/>
      <c r="BR9" s="178"/>
      <c r="BS9" s="179"/>
      <c r="BU9" s="166"/>
      <c r="BV9" s="166"/>
      <c r="BW9" s="166"/>
      <c r="BX9" s="166"/>
      <c r="BY9" s="166"/>
      <c r="BZ9" s="166"/>
      <c r="CA9" s="166"/>
      <c r="CB9" s="166"/>
      <c r="CC9" s="166"/>
      <c r="CD9" s="177"/>
      <c r="CE9" s="181"/>
      <c r="CF9" s="177"/>
      <c r="CG9" s="179"/>
      <c r="CH9" s="257"/>
      <c r="CI9" s="182"/>
      <c r="CJ9" s="177"/>
      <c r="CK9" s="182"/>
      <c r="CL9" s="177"/>
      <c r="CM9" s="182"/>
      <c r="CN9" s="177"/>
      <c r="CO9" s="182"/>
      <c r="CP9" s="177"/>
      <c r="CQ9" s="178"/>
      <c r="CR9" s="182"/>
      <c r="CS9" s="173"/>
      <c r="CT9" s="65"/>
      <c r="CU9" s="255" t="str">
        <f t="shared" si="2"/>
        <v>STS</v>
      </c>
    </row>
    <row r="10" ht="60.0" customHeight="1">
      <c r="A10" s="65"/>
      <c r="C10" s="167">
        <v>3.0</v>
      </c>
      <c r="D10" s="168" t="s">
        <v>137</v>
      </c>
      <c r="E10" s="169"/>
      <c r="F10" s="170"/>
      <c r="G10" s="170"/>
      <c r="H10" s="170"/>
      <c r="I10" s="170"/>
      <c r="J10" s="170"/>
      <c r="K10" s="171"/>
      <c r="L10" s="171"/>
      <c r="M10" s="171"/>
      <c r="N10" s="171"/>
      <c r="O10" s="256">
        <f t="shared" si="1"/>
        <v>0</v>
      </c>
      <c r="Q10" s="173"/>
      <c r="R10" s="65"/>
      <c r="S10" s="173"/>
      <c r="T10" s="173"/>
      <c r="U10" s="166"/>
      <c r="V10" s="166"/>
      <c r="W10" s="65"/>
      <c r="X10" s="66"/>
      <c r="Y10" s="173"/>
      <c r="Z10" s="166"/>
      <c r="AA10" s="174"/>
      <c r="AB10" s="175"/>
      <c r="AC10" s="175"/>
      <c r="AD10" s="175"/>
      <c r="AE10" s="175"/>
      <c r="AF10" s="175"/>
      <c r="AG10" s="175"/>
      <c r="AH10" s="175"/>
      <c r="AI10" s="176"/>
      <c r="AJ10" s="177"/>
      <c r="AK10" s="178"/>
      <c r="AL10" s="178"/>
      <c r="AM10" s="178"/>
      <c r="AN10" s="178"/>
      <c r="AO10" s="179"/>
      <c r="AP10" s="64"/>
      <c r="AQ10" s="65"/>
      <c r="AR10" s="65"/>
      <c r="AS10" s="65"/>
      <c r="AT10" s="173"/>
      <c r="AU10" s="177"/>
      <c r="AV10" s="178"/>
      <c r="AW10" s="178"/>
      <c r="AX10" s="179"/>
      <c r="AZ10" s="166"/>
      <c r="BA10" s="177"/>
      <c r="BB10" s="178"/>
      <c r="BC10" s="178"/>
      <c r="BD10" s="178"/>
      <c r="BE10" s="178"/>
      <c r="BF10" s="178"/>
      <c r="BG10" s="178"/>
      <c r="BH10" s="178"/>
      <c r="BI10" s="179"/>
      <c r="BJ10" s="180"/>
      <c r="BK10" s="178"/>
      <c r="BL10" s="178"/>
      <c r="BM10" s="178"/>
      <c r="BN10" s="178"/>
      <c r="BO10" s="181"/>
      <c r="BP10" s="166"/>
      <c r="BQ10" s="177"/>
      <c r="BR10" s="178"/>
      <c r="BS10" s="179"/>
      <c r="BU10" s="166"/>
      <c r="BV10" s="166"/>
      <c r="BW10" s="166"/>
      <c r="BX10" s="166"/>
      <c r="BY10" s="166"/>
      <c r="BZ10" s="166"/>
      <c r="CA10" s="166"/>
      <c r="CB10" s="166"/>
      <c r="CC10" s="166"/>
      <c r="CD10" s="177"/>
      <c r="CE10" s="181"/>
      <c r="CF10" s="177"/>
      <c r="CG10" s="179"/>
      <c r="CH10" s="257"/>
      <c r="CI10" s="182"/>
      <c r="CJ10" s="177"/>
      <c r="CK10" s="182"/>
      <c r="CL10" s="177"/>
      <c r="CM10" s="182"/>
      <c r="CN10" s="177"/>
      <c r="CO10" s="182"/>
      <c r="CP10" s="177"/>
      <c r="CQ10" s="178"/>
      <c r="CR10" s="182"/>
      <c r="CS10" s="173"/>
      <c r="CT10" s="65"/>
      <c r="CU10" s="255" t="str">
        <f t="shared" si="2"/>
        <v>STS</v>
      </c>
    </row>
    <row r="11" ht="60.0" customHeight="1">
      <c r="A11" s="65"/>
      <c r="C11" s="167">
        <v>4.0</v>
      </c>
      <c r="D11" s="168" t="s">
        <v>137</v>
      </c>
      <c r="E11" s="169"/>
      <c r="F11" s="170"/>
      <c r="G11" s="170"/>
      <c r="H11" s="170"/>
      <c r="I11" s="170"/>
      <c r="J11" s="170"/>
      <c r="K11" s="171"/>
      <c r="L11" s="171"/>
      <c r="M11" s="171"/>
      <c r="N11" s="171"/>
      <c r="O11" s="256">
        <f t="shared" si="1"/>
        <v>0</v>
      </c>
      <c r="Q11" s="173"/>
      <c r="R11" s="65"/>
      <c r="S11" s="173"/>
      <c r="T11" s="173"/>
      <c r="U11" s="166"/>
      <c r="V11" s="166"/>
      <c r="W11" s="65"/>
      <c r="X11" s="66"/>
      <c r="Y11" s="173"/>
      <c r="Z11" s="166"/>
      <c r="AA11" s="174"/>
      <c r="AB11" s="175"/>
      <c r="AC11" s="175"/>
      <c r="AD11" s="175"/>
      <c r="AE11" s="175"/>
      <c r="AF11" s="175"/>
      <c r="AG11" s="175"/>
      <c r="AH11" s="175"/>
      <c r="AI11" s="176"/>
      <c r="AJ11" s="177"/>
      <c r="AK11" s="178"/>
      <c r="AL11" s="178"/>
      <c r="AM11" s="178"/>
      <c r="AN11" s="178"/>
      <c r="AO11" s="179"/>
      <c r="AP11" s="64"/>
      <c r="AQ11" s="65"/>
      <c r="AR11" s="65"/>
      <c r="AS11" s="65"/>
      <c r="AT11" s="173"/>
      <c r="AU11" s="177"/>
      <c r="AV11" s="178"/>
      <c r="AW11" s="178"/>
      <c r="AX11" s="179"/>
      <c r="AZ11" s="166"/>
      <c r="BA11" s="177"/>
      <c r="BB11" s="178"/>
      <c r="BC11" s="178"/>
      <c r="BD11" s="178"/>
      <c r="BE11" s="178"/>
      <c r="BF11" s="178"/>
      <c r="BG11" s="178"/>
      <c r="BH11" s="178"/>
      <c r="BI11" s="179"/>
      <c r="BJ11" s="180"/>
      <c r="BK11" s="178"/>
      <c r="BL11" s="178"/>
      <c r="BM11" s="178"/>
      <c r="BN11" s="178"/>
      <c r="BO11" s="181"/>
      <c r="BP11" s="166"/>
      <c r="BQ11" s="177"/>
      <c r="BR11" s="178"/>
      <c r="BS11" s="179"/>
      <c r="BU11" s="166"/>
      <c r="BV11" s="166"/>
      <c r="BW11" s="166"/>
      <c r="BX11" s="166"/>
      <c r="BY11" s="166"/>
      <c r="BZ11" s="166"/>
      <c r="CA11" s="166"/>
      <c r="CB11" s="166"/>
      <c r="CC11" s="166"/>
      <c r="CD11" s="177"/>
      <c r="CE11" s="181"/>
      <c r="CF11" s="177"/>
      <c r="CG11" s="179"/>
      <c r="CH11" s="257"/>
      <c r="CI11" s="182"/>
      <c r="CJ11" s="177"/>
      <c r="CK11" s="182"/>
      <c r="CL11" s="177"/>
      <c r="CM11" s="182"/>
      <c r="CN11" s="177"/>
      <c r="CO11" s="182"/>
      <c r="CP11" s="177"/>
      <c r="CQ11" s="178"/>
      <c r="CR11" s="182"/>
      <c r="CS11" s="173"/>
      <c r="CT11" s="65"/>
      <c r="CU11" s="255" t="str">
        <f t="shared" si="2"/>
        <v>STS</v>
      </c>
    </row>
    <row r="12" ht="60.0" customHeight="1">
      <c r="A12" s="65"/>
      <c r="C12" s="167">
        <v>5.0</v>
      </c>
      <c r="D12" s="168" t="s">
        <v>137</v>
      </c>
      <c r="E12" s="169"/>
      <c r="F12" s="170"/>
      <c r="G12" s="170"/>
      <c r="H12" s="170"/>
      <c r="I12" s="170"/>
      <c r="J12" s="170"/>
      <c r="K12" s="171"/>
      <c r="L12" s="171"/>
      <c r="M12" s="171"/>
      <c r="N12" s="171"/>
      <c r="O12" s="256">
        <f t="shared" si="1"/>
        <v>0</v>
      </c>
      <c r="Q12" s="173"/>
      <c r="R12" s="65"/>
      <c r="S12" s="173"/>
      <c r="T12" s="173"/>
      <c r="U12" s="166"/>
      <c r="V12" s="166"/>
      <c r="W12" s="65"/>
      <c r="X12" s="66"/>
      <c r="Y12" s="173"/>
      <c r="Z12" s="166"/>
      <c r="AA12" s="174"/>
      <c r="AB12" s="175"/>
      <c r="AC12" s="175"/>
      <c r="AD12" s="175"/>
      <c r="AE12" s="175"/>
      <c r="AF12" s="175"/>
      <c r="AG12" s="175"/>
      <c r="AH12" s="175"/>
      <c r="AI12" s="176"/>
      <c r="AJ12" s="177"/>
      <c r="AK12" s="178"/>
      <c r="AL12" s="178"/>
      <c r="AM12" s="178"/>
      <c r="AN12" s="178"/>
      <c r="AO12" s="179"/>
      <c r="AP12" s="64"/>
      <c r="AQ12" s="65"/>
      <c r="AR12" s="65"/>
      <c r="AS12" s="65"/>
      <c r="AT12" s="173"/>
      <c r="AU12" s="177"/>
      <c r="AV12" s="178"/>
      <c r="AW12" s="178"/>
      <c r="AX12" s="179"/>
      <c r="AZ12" s="166"/>
      <c r="BA12" s="177"/>
      <c r="BB12" s="178"/>
      <c r="BC12" s="178"/>
      <c r="BD12" s="178"/>
      <c r="BE12" s="178"/>
      <c r="BF12" s="178"/>
      <c r="BG12" s="178"/>
      <c r="BH12" s="178"/>
      <c r="BI12" s="179"/>
      <c r="BJ12" s="180"/>
      <c r="BK12" s="178"/>
      <c r="BL12" s="178"/>
      <c r="BM12" s="178"/>
      <c r="BN12" s="178"/>
      <c r="BO12" s="181"/>
      <c r="BP12" s="166"/>
      <c r="BQ12" s="177"/>
      <c r="BR12" s="178"/>
      <c r="BS12" s="179"/>
      <c r="BU12" s="166"/>
      <c r="BV12" s="166"/>
      <c r="BW12" s="166"/>
      <c r="BX12" s="166"/>
      <c r="BY12" s="166"/>
      <c r="BZ12" s="166"/>
      <c r="CA12" s="166"/>
      <c r="CB12" s="166"/>
      <c r="CC12" s="166"/>
      <c r="CD12" s="177"/>
      <c r="CE12" s="181"/>
      <c r="CF12" s="177"/>
      <c r="CG12" s="179"/>
      <c r="CH12" s="257"/>
      <c r="CI12" s="182"/>
      <c r="CJ12" s="177"/>
      <c r="CK12" s="182"/>
      <c r="CL12" s="177"/>
      <c r="CM12" s="182"/>
      <c r="CN12" s="177"/>
      <c r="CO12" s="182"/>
      <c r="CP12" s="177"/>
      <c r="CQ12" s="178"/>
      <c r="CR12" s="182"/>
      <c r="CS12" s="173"/>
      <c r="CT12" s="65"/>
      <c r="CU12" s="255" t="str">
        <f t="shared" si="2"/>
        <v>STS</v>
      </c>
    </row>
    <row r="13" ht="60.0" customHeight="1">
      <c r="A13" s="65"/>
      <c r="C13" s="167">
        <v>6.0</v>
      </c>
      <c r="D13" s="168" t="s">
        <v>137</v>
      </c>
      <c r="E13" s="169"/>
      <c r="F13" s="170"/>
      <c r="G13" s="170"/>
      <c r="H13" s="170"/>
      <c r="I13" s="170"/>
      <c r="J13" s="170"/>
      <c r="K13" s="171"/>
      <c r="L13" s="171"/>
      <c r="M13" s="171"/>
      <c r="N13" s="171"/>
      <c r="O13" s="256">
        <f t="shared" si="1"/>
        <v>0</v>
      </c>
      <c r="Q13" s="173"/>
      <c r="R13" s="65"/>
      <c r="S13" s="173"/>
      <c r="T13" s="173"/>
      <c r="U13" s="166"/>
      <c r="V13" s="166"/>
      <c r="W13" s="65"/>
      <c r="X13" s="66"/>
      <c r="Y13" s="173"/>
      <c r="Z13" s="166"/>
      <c r="AA13" s="174"/>
      <c r="AB13" s="175"/>
      <c r="AC13" s="175"/>
      <c r="AD13" s="175"/>
      <c r="AE13" s="175"/>
      <c r="AF13" s="175"/>
      <c r="AG13" s="175"/>
      <c r="AH13" s="175"/>
      <c r="AI13" s="176"/>
      <c r="AJ13" s="177"/>
      <c r="AK13" s="178"/>
      <c r="AL13" s="178"/>
      <c r="AM13" s="178"/>
      <c r="AN13" s="178"/>
      <c r="AO13" s="179"/>
      <c r="AP13" s="64"/>
      <c r="AQ13" s="65"/>
      <c r="AR13" s="65"/>
      <c r="AS13" s="65"/>
      <c r="AT13" s="173"/>
      <c r="AU13" s="177"/>
      <c r="AV13" s="178"/>
      <c r="AW13" s="178"/>
      <c r="AX13" s="179"/>
      <c r="AZ13" s="166"/>
      <c r="BA13" s="177"/>
      <c r="BB13" s="178"/>
      <c r="BC13" s="178"/>
      <c r="BD13" s="178"/>
      <c r="BE13" s="178"/>
      <c r="BF13" s="178"/>
      <c r="BG13" s="178"/>
      <c r="BH13" s="178"/>
      <c r="BI13" s="179"/>
      <c r="BJ13" s="180"/>
      <c r="BK13" s="178"/>
      <c r="BL13" s="178"/>
      <c r="BM13" s="178"/>
      <c r="BN13" s="178"/>
      <c r="BO13" s="181"/>
      <c r="BP13" s="166"/>
      <c r="BQ13" s="177"/>
      <c r="BR13" s="178"/>
      <c r="BS13" s="179"/>
      <c r="BU13" s="166"/>
      <c r="BV13" s="166"/>
      <c r="BW13" s="166"/>
      <c r="BX13" s="166"/>
      <c r="BY13" s="166"/>
      <c r="BZ13" s="166"/>
      <c r="CA13" s="166"/>
      <c r="CB13" s="166"/>
      <c r="CC13" s="166"/>
      <c r="CD13" s="177"/>
      <c r="CE13" s="181"/>
      <c r="CF13" s="177"/>
      <c r="CG13" s="179"/>
      <c r="CH13" s="257"/>
      <c r="CI13" s="182"/>
      <c r="CJ13" s="177"/>
      <c r="CK13" s="182"/>
      <c r="CL13" s="177"/>
      <c r="CM13" s="182"/>
      <c r="CN13" s="177"/>
      <c r="CO13" s="182"/>
      <c r="CP13" s="177"/>
      <c r="CQ13" s="178"/>
      <c r="CR13" s="182"/>
      <c r="CS13" s="173"/>
      <c r="CT13" s="65"/>
      <c r="CU13" s="255" t="str">
        <f t="shared" si="2"/>
        <v>STS</v>
      </c>
    </row>
    <row r="14" ht="60.0" customHeight="1">
      <c r="A14" s="65"/>
      <c r="C14" s="167">
        <v>7.0</v>
      </c>
      <c r="D14" s="168" t="s">
        <v>137</v>
      </c>
      <c r="E14" s="169"/>
      <c r="F14" s="170"/>
      <c r="G14" s="170"/>
      <c r="H14" s="170"/>
      <c r="I14" s="170"/>
      <c r="J14" s="170"/>
      <c r="K14" s="171"/>
      <c r="L14" s="171"/>
      <c r="M14" s="171"/>
      <c r="N14" s="171"/>
      <c r="O14" s="256">
        <f t="shared" ref="O14:O17" si="3">IF(AND(M14&gt;=20,M14&lt;&gt;"m",RIGHT(K14,3)="Lec"),1,IF(AND(M14&gt;=20,M14&lt;&gt;"m",OR(RIGHT(K14,3)="Lab",RIGHT(K14,3)="Tut")),0.5,IF(AND(M14&gt;=20,M14&lt;&gt;"m",RIGHT(K14,2)="TL"),0.75,0)))</f>
        <v>0</v>
      </c>
      <c r="Q14" s="173"/>
      <c r="R14" s="65"/>
      <c r="S14" s="173"/>
      <c r="T14" s="173"/>
      <c r="U14" s="166"/>
      <c r="V14" s="166"/>
      <c r="W14" s="65"/>
      <c r="X14" s="66"/>
      <c r="Y14" s="173"/>
      <c r="Z14" s="166"/>
      <c r="AA14" s="174"/>
      <c r="AB14" s="175"/>
      <c r="AC14" s="175"/>
      <c r="AD14" s="175"/>
      <c r="AE14" s="175"/>
      <c r="AF14" s="175"/>
      <c r="AG14" s="175"/>
      <c r="AH14" s="175"/>
      <c r="AI14" s="176"/>
      <c r="AJ14" s="177"/>
      <c r="AK14" s="178"/>
      <c r="AL14" s="178"/>
      <c r="AM14" s="178"/>
      <c r="AN14" s="178"/>
      <c r="AO14" s="179"/>
      <c r="AP14" s="64"/>
      <c r="AQ14" s="65"/>
      <c r="AR14" s="65"/>
      <c r="AS14" s="65"/>
      <c r="AT14" s="173"/>
      <c r="AU14" s="177"/>
      <c r="AV14" s="178"/>
      <c r="AW14" s="178"/>
      <c r="AX14" s="179"/>
      <c r="AZ14" s="166"/>
      <c r="BA14" s="177"/>
      <c r="BB14" s="178"/>
      <c r="BC14" s="178"/>
      <c r="BD14" s="178"/>
      <c r="BE14" s="178"/>
      <c r="BF14" s="178"/>
      <c r="BG14" s="178"/>
      <c r="BH14" s="178"/>
      <c r="BI14" s="179"/>
      <c r="BJ14" s="180"/>
      <c r="BK14" s="178"/>
      <c r="BL14" s="178"/>
      <c r="BM14" s="178"/>
      <c r="BN14" s="178"/>
      <c r="BO14" s="181"/>
      <c r="BP14" s="166"/>
      <c r="BQ14" s="177"/>
      <c r="BR14" s="178"/>
      <c r="BS14" s="179"/>
      <c r="BU14" s="166"/>
      <c r="BV14" s="166"/>
      <c r="BW14" s="166"/>
      <c r="BX14" s="166"/>
      <c r="BY14" s="166"/>
      <c r="BZ14" s="166"/>
      <c r="CA14" s="166"/>
      <c r="CB14" s="166"/>
      <c r="CC14" s="166"/>
      <c r="CD14" s="177"/>
      <c r="CE14" s="181"/>
      <c r="CF14" s="177"/>
      <c r="CG14" s="179"/>
      <c r="CH14" s="257"/>
      <c r="CI14" s="182"/>
      <c r="CJ14" s="177"/>
      <c r="CK14" s="182"/>
      <c r="CL14" s="177"/>
      <c r="CM14" s="182"/>
      <c r="CN14" s="177"/>
      <c r="CO14" s="182"/>
      <c r="CP14" s="177"/>
      <c r="CQ14" s="178"/>
      <c r="CR14" s="182"/>
      <c r="CS14" s="173"/>
      <c r="CT14" s="65"/>
      <c r="CU14" s="255" t="str">
        <f t="shared" si="2"/>
        <v>STS</v>
      </c>
    </row>
    <row r="15" ht="60.0" customHeight="1">
      <c r="A15" s="65"/>
      <c r="C15" s="167">
        <v>8.0</v>
      </c>
      <c r="D15" s="168" t="s">
        <v>137</v>
      </c>
      <c r="E15" s="169"/>
      <c r="F15" s="170"/>
      <c r="G15" s="170"/>
      <c r="H15" s="170"/>
      <c r="I15" s="170"/>
      <c r="J15" s="170"/>
      <c r="K15" s="171"/>
      <c r="L15" s="171"/>
      <c r="M15" s="171"/>
      <c r="N15" s="171"/>
      <c r="O15" s="256">
        <f t="shared" si="3"/>
        <v>0</v>
      </c>
      <c r="Q15" s="173"/>
      <c r="R15" s="65"/>
      <c r="S15" s="173"/>
      <c r="T15" s="173"/>
      <c r="U15" s="166"/>
      <c r="V15" s="166"/>
      <c r="W15" s="65"/>
      <c r="X15" s="66"/>
      <c r="Y15" s="173"/>
      <c r="Z15" s="166"/>
      <c r="AA15" s="174"/>
      <c r="AB15" s="175"/>
      <c r="AC15" s="175"/>
      <c r="AD15" s="175"/>
      <c r="AE15" s="175"/>
      <c r="AF15" s="175"/>
      <c r="AG15" s="175"/>
      <c r="AH15" s="175"/>
      <c r="AI15" s="176"/>
      <c r="AJ15" s="177"/>
      <c r="AK15" s="178"/>
      <c r="AL15" s="178"/>
      <c r="AM15" s="178"/>
      <c r="AN15" s="178"/>
      <c r="AO15" s="179"/>
      <c r="AP15" s="64"/>
      <c r="AQ15" s="65"/>
      <c r="AR15" s="65"/>
      <c r="AS15" s="65"/>
      <c r="AT15" s="173"/>
      <c r="AU15" s="177"/>
      <c r="AV15" s="178"/>
      <c r="AW15" s="178"/>
      <c r="AX15" s="179"/>
      <c r="AZ15" s="166"/>
      <c r="BA15" s="177"/>
      <c r="BB15" s="178"/>
      <c r="BC15" s="178"/>
      <c r="BD15" s="178"/>
      <c r="BE15" s="178"/>
      <c r="BF15" s="178"/>
      <c r="BG15" s="178"/>
      <c r="BH15" s="178"/>
      <c r="BI15" s="179"/>
      <c r="BJ15" s="180"/>
      <c r="BK15" s="178"/>
      <c r="BL15" s="178"/>
      <c r="BM15" s="178"/>
      <c r="BN15" s="178"/>
      <c r="BO15" s="181"/>
      <c r="BP15" s="166"/>
      <c r="BQ15" s="177"/>
      <c r="BR15" s="178"/>
      <c r="BS15" s="179"/>
      <c r="BU15" s="166"/>
      <c r="BV15" s="166"/>
      <c r="BW15" s="166"/>
      <c r="BX15" s="166"/>
      <c r="BY15" s="166"/>
      <c r="BZ15" s="166"/>
      <c r="CA15" s="166"/>
      <c r="CB15" s="166"/>
      <c r="CC15" s="166"/>
      <c r="CD15" s="177"/>
      <c r="CE15" s="181"/>
      <c r="CF15" s="177"/>
      <c r="CG15" s="179"/>
      <c r="CH15" s="257"/>
      <c r="CI15" s="182"/>
      <c r="CJ15" s="177"/>
      <c r="CK15" s="182"/>
      <c r="CL15" s="177"/>
      <c r="CM15" s="182"/>
      <c r="CN15" s="177"/>
      <c r="CO15" s="182"/>
      <c r="CP15" s="177"/>
      <c r="CQ15" s="178"/>
      <c r="CR15" s="182"/>
      <c r="CS15" s="173"/>
      <c r="CT15" s="65"/>
      <c r="CU15" s="255" t="str">
        <f t="shared" si="2"/>
        <v>STS</v>
      </c>
    </row>
    <row r="16" ht="60.0" customHeight="1">
      <c r="A16" s="65"/>
      <c r="C16" s="167">
        <v>9.0</v>
      </c>
      <c r="D16" s="168" t="s">
        <v>137</v>
      </c>
      <c r="E16" s="169"/>
      <c r="F16" s="170"/>
      <c r="G16" s="170"/>
      <c r="H16" s="170"/>
      <c r="I16" s="170"/>
      <c r="J16" s="170"/>
      <c r="K16" s="171"/>
      <c r="L16" s="171"/>
      <c r="M16" s="171"/>
      <c r="N16" s="171"/>
      <c r="O16" s="256">
        <f t="shared" si="3"/>
        <v>0</v>
      </c>
      <c r="Q16" s="173"/>
      <c r="R16" s="65"/>
      <c r="S16" s="173"/>
      <c r="T16" s="173"/>
      <c r="U16" s="166"/>
      <c r="V16" s="166"/>
      <c r="W16" s="65"/>
      <c r="X16" s="66"/>
      <c r="Y16" s="173"/>
      <c r="Z16" s="166"/>
      <c r="AA16" s="174"/>
      <c r="AB16" s="175"/>
      <c r="AC16" s="175"/>
      <c r="AD16" s="175"/>
      <c r="AE16" s="175"/>
      <c r="AF16" s="175"/>
      <c r="AG16" s="175"/>
      <c r="AH16" s="175"/>
      <c r="AI16" s="176"/>
      <c r="AJ16" s="177"/>
      <c r="AK16" s="178"/>
      <c r="AL16" s="178"/>
      <c r="AM16" s="178"/>
      <c r="AN16" s="178"/>
      <c r="AO16" s="179"/>
      <c r="AP16" s="64"/>
      <c r="AQ16" s="65"/>
      <c r="AR16" s="65"/>
      <c r="AS16" s="65"/>
      <c r="AT16" s="173"/>
      <c r="AU16" s="177"/>
      <c r="AV16" s="178"/>
      <c r="AW16" s="178"/>
      <c r="AX16" s="179"/>
      <c r="AZ16" s="166"/>
      <c r="BA16" s="177"/>
      <c r="BB16" s="178"/>
      <c r="BC16" s="178"/>
      <c r="BD16" s="178"/>
      <c r="BE16" s="178"/>
      <c r="BF16" s="178"/>
      <c r="BG16" s="178"/>
      <c r="BH16" s="178"/>
      <c r="BI16" s="179"/>
      <c r="BJ16" s="180"/>
      <c r="BK16" s="178"/>
      <c r="BL16" s="178"/>
      <c r="BM16" s="178"/>
      <c r="BN16" s="178"/>
      <c r="BO16" s="181"/>
      <c r="BP16" s="166"/>
      <c r="BQ16" s="177"/>
      <c r="BR16" s="178"/>
      <c r="BS16" s="179"/>
      <c r="BU16" s="166"/>
      <c r="BV16" s="166"/>
      <c r="BW16" s="166"/>
      <c r="BX16" s="166"/>
      <c r="BY16" s="166"/>
      <c r="BZ16" s="166"/>
      <c r="CA16" s="166"/>
      <c r="CB16" s="166"/>
      <c r="CC16" s="166"/>
      <c r="CD16" s="177"/>
      <c r="CE16" s="181"/>
      <c r="CF16" s="177"/>
      <c r="CG16" s="179"/>
      <c r="CH16" s="257"/>
      <c r="CI16" s="182"/>
      <c r="CJ16" s="177"/>
      <c r="CK16" s="182"/>
      <c r="CL16" s="177"/>
      <c r="CM16" s="182"/>
      <c r="CN16" s="177"/>
      <c r="CO16" s="182"/>
      <c r="CP16" s="177"/>
      <c r="CQ16" s="178"/>
      <c r="CR16" s="182"/>
      <c r="CS16" s="173"/>
      <c r="CT16" s="65"/>
      <c r="CU16" s="255" t="str">
        <f t="shared" si="2"/>
        <v>STS</v>
      </c>
    </row>
    <row r="17" ht="60.0" customHeight="1">
      <c r="A17" s="65"/>
      <c r="C17" s="167">
        <v>10.0</v>
      </c>
      <c r="D17" s="168" t="s">
        <v>137</v>
      </c>
      <c r="E17" s="169"/>
      <c r="F17" s="170"/>
      <c r="G17" s="170"/>
      <c r="H17" s="170"/>
      <c r="I17" s="170"/>
      <c r="J17" s="170"/>
      <c r="K17" s="171"/>
      <c r="L17" s="171"/>
      <c r="M17" s="171"/>
      <c r="N17" s="171"/>
      <c r="O17" s="256">
        <f t="shared" si="3"/>
        <v>0</v>
      </c>
      <c r="Q17" s="173"/>
      <c r="R17" s="65"/>
      <c r="S17" s="173"/>
      <c r="T17" s="173"/>
      <c r="U17" s="166"/>
      <c r="V17" s="166"/>
      <c r="W17" s="65"/>
      <c r="X17" s="66"/>
      <c r="Y17" s="173"/>
      <c r="Z17" s="166"/>
      <c r="AA17" s="174"/>
      <c r="AB17" s="175"/>
      <c r="AC17" s="175"/>
      <c r="AD17" s="175"/>
      <c r="AE17" s="175"/>
      <c r="AF17" s="175"/>
      <c r="AG17" s="175"/>
      <c r="AH17" s="175"/>
      <c r="AI17" s="176"/>
      <c r="AJ17" s="177"/>
      <c r="AK17" s="178"/>
      <c r="AL17" s="178"/>
      <c r="AM17" s="178"/>
      <c r="AN17" s="178"/>
      <c r="AO17" s="179"/>
      <c r="AP17" s="64"/>
      <c r="AQ17" s="65"/>
      <c r="AR17" s="65"/>
      <c r="AS17" s="65"/>
      <c r="AT17" s="173"/>
      <c r="AU17" s="177"/>
      <c r="AV17" s="178"/>
      <c r="AW17" s="178"/>
      <c r="AX17" s="179"/>
      <c r="AZ17" s="166"/>
      <c r="BA17" s="177"/>
      <c r="BB17" s="178"/>
      <c r="BC17" s="178"/>
      <c r="BD17" s="178"/>
      <c r="BE17" s="178"/>
      <c r="BF17" s="178"/>
      <c r="BG17" s="178"/>
      <c r="BH17" s="178"/>
      <c r="BI17" s="179"/>
      <c r="BJ17" s="180"/>
      <c r="BK17" s="178"/>
      <c r="BL17" s="178"/>
      <c r="BM17" s="178"/>
      <c r="BN17" s="178"/>
      <c r="BO17" s="181"/>
      <c r="BP17" s="166"/>
      <c r="BQ17" s="177"/>
      <c r="BR17" s="178"/>
      <c r="BS17" s="179"/>
      <c r="BU17" s="166"/>
      <c r="BV17" s="166"/>
      <c r="BW17" s="166"/>
      <c r="BX17" s="166"/>
      <c r="BY17" s="166"/>
      <c r="BZ17" s="166"/>
      <c r="CA17" s="166"/>
      <c r="CB17" s="166"/>
      <c r="CC17" s="166"/>
      <c r="CD17" s="177"/>
      <c r="CE17" s="181"/>
      <c r="CF17" s="177"/>
      <c r="CG17" s="179"/>
      <c r="CH17" s="257"/>
      <c r="CI17" s="182"/>
      <c r="CJ17" s="177"/>
      <c r="CK17" s="182"/>
      <c r="CL17" s="177"/>
      <c r="CM17" s="182"/>
      <c r="CN17" s="177"/>
      <c r="CO17" s="182"/>
      <c r="CP17" s="177"/>
      <c r="CQ17" s="178"/>
      <c r="CR17" s="182"/>
      <c r="CS17" s="173"/>
      <c r="CT17" s="65"/>
      <c r="CU17" s="255" t="str">
        <f t="shared" si="2"/>
        <v>STS</v>
      </c>
    </row>
    <row r="18" ht="60.0" customHeight="1">
      <c r="A18" s="89"/>
      <c r="C18" s="183">
        <v>11.0</v>
      </c>
      <c r="D18" s="210" t="s">
        <v>137</v>
      </c>
      <c r="E18" s="185"/>
      <c r="F18" s="186"/>
      <c r="G18" s="186"/>
      <c r="H18" s="186"/>
      <c r="I18" s="186"/>
      <c r="J18" s="186"/>
      <c r="K18" s="187"/>
      <c r="L18" s="187"/>
      <c r="M18" s="187"/>
      <c r="N18" s="187"/>
      <c r="O18" s="258">
        <f t="shared" ref="O18:O24" si="4">IF(AND(M18&lt;&gt;0,M18&lt;&gt;"m",M18&lt;&gt;"",RIGHT(K18,3)="Lec"),1,IF(AND(M18&lt;&gt;0,M18&lt;&gt;"m",M18&lt;&gt;"",OR(RIGHT(K18,3)="Lab",RIGHT(K18,3)="Tut")),0.5,IF(AND(M18&lt;&gt;0,M18&lt;&gt;"m",M18&lt;&gt;"",RIGHT(K18,2)="TL"),0.75,0)))</f>
        <v>0</v>
      </c>
      <c r="P18" s="6"/>
      <c r="Q18" s="69"/>
      <c r="R18" s="89"/>
      <c r="S18" s="69"/>
      <c r="T18" s="69"/>
      <c r="U18" s="63"/>
      <c r="V18" s="63"/>
      <c r="W18" s="89"/>
      <c r="X18" s="68"/>
      <c r="Y18" s="69"/>
      <c r="Z18" s="63"/>
      <c r="AA18" s="189"/>
      <c r="AB18" s="190"/>
      <c r="AC18" s="190"/>
      <c r="AD18" s="190"/>
      <c r="AE18" s="190"/>
      <c r="AF18" s="190"/>
      <c r="AG18" s="190"/>
      <c r="AH18" s="190"/>
      <c r="AI18" s="191"/>
      <c r="AJ18" s="192"/>
      <c r="AK18" s="193"/>
      <c r="AL18" s="193"/>
      <c r="AM18" s="193"/>
      <c r="AN18" s="193"/>
      <c r="AO18" s="194"/>
      <c r="AP18" s="103"/>
      <c r="AQ18" s="89"/>
      <c r="AR18" s="89"/>
      <c r="AS18" s="89"/>
      <c r="AT18" s="69"/>
      <c r="AU18" s="192"/>
      <c r="AV18" s="193"/>
      <c r="AW18" s="193"/>
      <c r="AX18" s="194"/>
      <c r="AY18" s="6"/>
      <c r="AZ18" s="63"/>
      <c r="BA18" s="192"/>
      <c r="BB18" s="193"/>
      <c r="BC18" s="193"/>
      <c r="BD18" s="193"/>
      <c r="BE18" s="193"/>
      <c r="BF18" s="193"/>
      <c r="BG18" s="193"/>
      <c r="BH18" s="193"/>
      <c r="BI18" s="194"/>
      <c r="BJ18" s="195"/>
      <c r="BK18" s="193"/>
      <c r="BL18" s="193"/>
      <c r="BM18" s="193"/>
      <c r="BN18" s="193"/>
      <c r="BO18" s="196"/>
      <c r="BP18" s="63"/>
      <c r="BQ18" s="192"/>
      <c r="BR18" s="193"/>
      <c r="BS18" s="194"/>
      <c r="BT18" s="6"/>
      <c r="BU18" s="63"/>
      <c r="BV18" s="63"/>
      <c r="BW18" s="63"/>
      <c r="BX18" s="63"/>
      <c r="BY18" s="63"/>
      <c r="BZ18" s="63"/>
      <c r="CA18" s="63"/>
      <c r="CB18" s="63"/>
      <c r="CC18" s="63"/>
      <c r="CD18" s="192"/>
      <c r="CE18" s="196"/>
      <c r="CF18" s="192"/>
      <c r="CG18" s="194"/>
      <c r="CH18" s="259"/>
      <c r="CI18" s="197"/>
      <c r="CJ18" s="192"/>
      <c r="CK18" s="197"/>
      <c r="CL18" s="192"/>
      <c r="CM18" s="197"/>
      <c r="CN18" s="192"/>
      <c r="CO18" s="197"/>
      <c r="CP18" s="192"/>
      <c r="CQ18" s="193"/>
      <c r="CR18" s="197"/>
      <c r="CS18" s="69"/>
      <c r="CT18" s="89"/>
      <c r="CU18" s="255" t="str">
        <f t="shared" si="2"/>
        <v>STS</v>
      </c>
    </row>
    <row r="19" ht="56.25" customHeight="1">
      <c r="A19" s="125">
        <v>2.0</v>
      </c>
      <c r="B19" s="199" t="s">
        <v>146</v>
      </c>
      <c r="C19" s="127">
        <v>1.0</v>
      </c>
      <c r="D19" s="168" t="s">
        <v>147</v>
      </c>
      <c r="E19" s="129"/>
      <c r="F19" s="130"/>
      <c r="G19" s="130"/>
      <c r="H19" s="130"/>
      <c r="I19" s="130"/>
      <c r="J19" s="130"/>
      <c r="K19" s="131"/>
      <c r="L19" s="131"/>
      <c r="M19" s="131"/>
      <c r="N19" s="131"/>
      <c r="O19" s="250">
        <f t="shared" si="4"/>
        <v>0</v>
      </c>
      <c r="P19" s="251">
        <f>COUNTIF(K19:K29,"TL")*0.75+COUNTIF(K19:K29,"Lec")*1+COUNTIF(K19:K29,"Lab")*0.5</f>
        <v>0</v>
      </c>
      <c r="Q19" s="134">
        <f>SUM((IF(LEFT(K19,1)="E",O19,0)),(IF(LEFT(K20,1)="E",O20,0)),(IF(LEFT(K21,1)="E",O21,0)),(IF(LEFT(K22,1)="E",O22,0)),(IF(LEFT(K23,1)="E",O23,0)),(IF(LEFT(K24,1)="E",O24,0)),(IF(LEFT(K25,1)="E",O25,0)),(IF(LEFT(K26,1)="E",O26,0)),(IF(LEFT(K27,1)="E",O27,0)),(IF(LEFT(K28,1)="E",O28,0)),(IF(LEFT(K29,1)="E",O29,0)))</f>
        <v>0</v>
      </c>
      <c r="R19" s="135">
        <f>SUM(IF(M25&lt;20,IF(K25="Plec",-1,IF(K25="PTL",-0.75,IF(K25="Plab",-0.5,0))),0),IF(M26&lt;20,IF(K26="Plec",-1,IF(K26="PTL",-0.75,IF(K26="Plab",-0.5,0))),0),IF(M27&lt;20,IF(K27="Plec",-1,IF(K27="PTL",-0.75,IF(K27="Plab",-0.5,0))),0),IF(M28&lt;20,IF(K28="Plec",-1,IF(K28="PTL",-0.75,IF(K28="Plab",-0.5,0))),0))</f>
        <v>0</v>
      </c>
      <c r="S19" s="134">
        <f>SUM(P19:R29)</f>
        <v>0</v>
      </c>
      <c r="T19" s="136">
        <f>SUM(IF(M19="M",IF(OR(K19="lec",K19="plec",K19="slec"),1,IF(OR(K19="lab",K19="plab",K19="slab",K19="tut",K19="ptut",K19="stut"),0.5,IF(OR(K19="TL",K19="pTL",K19="STL"),0.75,0))),0),IF(M20="M",IF(OR(K20="lec",K20="plec",K20="slec"),1,IF(OR(K20="lab",K20="plab",K20="slab",K20="tut",K20="ptut",K20="stut"),0.5,IF(OR(K20="TL",K20="pTL",K20="STL"),0.75,0))),0),IF(M21="M",IF(OR(K21="lec",K21="plec",K21="slec"),1,IF(OR(K21="lab",K21="plab",K21="slab",K21="tut",K21="ptut",K21="stut"),0.5,IF(OR(K21="TL",K21="pTL",K21="STL"),0.75,0))),0),IF(M22="M",IF(OR(K22="lec",K22="plec",K22="slec"),1,IF(OR(K22="lab",K22="plab",K22="slab",K22="tut",K22="ptut",K22="stut"),0.5,IF(OR(K22="TL",K22="pTL",K22="STL"),0.75,0))),0),IF(M23="M",IF(OR(K23="lec",K23="plec",K23="slec"),1,IF(OR(K23="lab",K23="plab",K23="slab",K23="tut",K23="ptut",K23="stut"),0.5,IF(OR(K23="TL",K23="pTL",K23="STL"),0.75,0))),0),IF(M24="M",IF(OR(K24="lec",K24="plec",K24="slec"),1,IF(OR(K24="lab",K24="plab",K24="slab",K24="tut",K24="ptut",K24="stut"),0.5,IF(OR(K24="TL",K24="pTL",K24="STL"),0.75,0))),0),IF(M25="M",IF(OR(K25="lec",K25="plec",K25="slec"),1,IF(OR(K25="lab",K25="plab",K25="slab",K25="tut",K25="ptut",K25="stut"),0.5,IF(OR(K25="TL",K25="pTL",K25="STL"),0.75,0))),0),IF(M26="M",IF(OR(K26="lec",K26="plec",K26="slec"),1,IF(OR(K26="lab",K26="plab",K26="slab",K26="tut",K26="ptut",K26="stut"),0.5,IF(OR(K26="TL",K26="pTL",K26="STL"),0.75,0))),0),IF(M27="M",IF(OR(K27="lec",K27="plec",K27="slec"),1,IF(OR(K27="lab",K27="plab",K27="slab",K27="tut",K27="ptut",K27="stut"),0.5,IF(OR(K27="TL",K27="pTL",K27="STL"),0.75,0))),0),IF(M28="M",IF(OR(K28="lec",K28="plec",K28="slec"),1,IF(OR(K28="lab",K28="plab",K28="slab",K28="tut",K28="ptut",K28="stut"),0.5,IF(OR(K28="TL",K28="pTL",K28="STL"),0.75,0))),0),IF(M29="M",IF(OR(K29="lec",K29="plec",K29="slec"),1,IF(OR(K29="lab",K29="plab",K29="slab",K29="tut",K29="ptut",K29="stut"),0.5,IF(OR(K29="TL",K29="pTL",K29="STL"),0.75,0))),0))</f>
        <v>0</v>
      </c>
      <c r="U19" s="137"/>
      <c r="V19" s="133"/>
      <c r="W19" s="138"/>
      <c r="X19" s="139">
        <f>S19-(T19+U19+V19+W19)</f>
        <v>0</v>
      </c>
      <c r="Y19" s="134" t="str">
        <f>CONCATENATE(SUM(O19:O29),"(",SUM(O19:O29)-X19,")")</f>
        <v>0(0)</v>
      </c>
      <c r="Z19" s="140"/>
      <c r="AA19" s="141"/>
      <c r="AB19" s="142"/>
      <c r="AC19" s="142"/>
      <c r="AD19" s="142"/>
      <c r="AE19" s="142"/>
      <c r="AF19" s="142"/>
      <c r="AG19" s="142"/>
      <c r="AH19" s="142"/>
      <c r="AI19" s="143"/>
      <c r="AJ19" s="144"/>
      <c r="AK19" s="145"/>
      <c r="AL19" s="145"/>
      <c r="AM19" s="145"/>
      <c r="AN19" s="145"/>
      <c r="AO19" s="146"/>
      <c r="AP19" s="147">
        <f>SUM(SUM(O19:O29),SUM(AI19:AI29)/2,AM19)</f>
        <v>0</v>
      </c>
      <c r="AQ19" s="148"/>
      <c r="AR19" s="148">
        <f>AP19*AQ19</f>
        <v>0</v>
      </c>
      <c r="AS19" s="148">
        <f>CT19</f>
        <v>0.35</v>
      </c>
      <c r="AT19" s="149">
        <f>AR19*0.75+AS19*0.25</f>
        <v>0.0875</v>
      </c>
      <c r="AU19" s="150"/>
      <c r="AV19" s="151"/>
      <c r="AW19" s="151"/>
      <c r="AX19" s="152"/>
      <c r="AY19" s="153"/>
      <c r="AZ19" s="140"/>
      <c r="BA19" s="150"/>
      <c r="BB19" s="151"/>
      <c r="BC19" s="151"/>
      <c r="BD19" s="151"/>
      <c r="BE19" s="151"/>
      <c r="BF19" s="151"/>
      <c r="BG19" s="151"/>
      <c r="BH19" s="151"/>
      <c r="BI19" s="152"/>
      <c r="BJ19" s="154"/>
      <c r="BK19" s="151"/>
      <c r="BL19" s="151"/>
      <c r="BM19" s="151"/>
      <c r="BN19" s="151"/>
      <c r="BO19" s="155"/>
      <c r="BP19" s="140"/>
      <c r="BQ19" s="156" t="s">
        <v>222</v>
      </c>
      <c r="BR19" s="157">
        <v>7.0</v>
      </c>
      <c r="BS19" s="158">
        <v>0.0</v>
      </c>
      <c r="BT19" s="153"/>
      <c r="BU19" s="140"/>
      <c r="BV19" s="140"/>
      <c r="BW19" s="140"/>
      <c r="BX19" s="140"/>
      <c r="BY19" s="140"/>
      <c r="BZ19" s="140"/>
      <c r="CA19" s="140"/>
      <c r="CB19" s="140"/>
      <c r="CC19" s="140"/>
      <c r="CD19" s="150"/>
      <c r="CE19" s="155"/>
      <c r="CF19" s="150"/>
      <c r="CG19" s="152"/>
      <c r="CH19" s="252"/>
      <c r="CI19" s="160"/>
      <c r="CJ19" s="159"/>
      <c r="CK19" s="160"/>
      <c r="CL19" s="159"/>
      <c r="CM19" s="160"/>
      <c r="CN19" s="159"/>
      <c r="CO19" s="160"/>
      <c r="CP19" s="159"/>
      <c r="CQ19" s="162"/>
      <c r="CR19" s="160"/>
      <c r="CS19" s="253">
        <f>SUM(IF(AU19&lt;0,ABS(AU19),0),IF(AZ19&lt;0,ABS(AZ19),0),ABS(CI19),ABS(CK19),ABS(CM19),ABS(CO19),ABS(CQ19),ABS(CR19))</f>
        <v>0</v>
      </c>
      <c r="CT19" s="254">
        <f>SUM(AU19,AV19,AW19,AX19/400,AY19,AZ19,BG19,BH19*0.5,BI19*0.25,BJ19,BK19,BL19,BM19,BN19,BO19,BP19,BR19/20,BS19/100,BT19/60,BU19,BV19,BW19,BX19/4,SUM(BY19:CC29)/3,CE19,CG19/3,CI19,CK19,CM19,CO19,CQ19,CR19)</f>
        <v>0.35</v>
      </c>
      <c r="CU19" s="255" t="str">
        <f t="shared" si="2"/>
        <v>DVB</v>
      </c>
    </row>
    <row r="20" ht="60.0" customHeight="1">
      <c r="A20" s="65"/>
      <c r="C20" s="167">
        <v>2.0</v>
      </c>
      <c r="D20" s="168" t="s">
        <v>147</v>
      </c>
      <c r="E20" s="169"/>
      <c r="F20" s="170"/>
      <c r="G20" s="170"/>
      <c r="H20" s="170"/>
      <c r="I20" s="170"/>
      <c r="J20" s="170"/>
      <c r="K20" s="171"/>
      <c r="L20" s="171"/>
      <c r="M20" s="171"/>
      <c r="N20" s="171"/>
      <c r="O20" s="256">
        <f t="shared" si="4"/>
        <v>0</v>
      </c>
      <c r="Q20" s="173"/>
      <c r="R20" s="65"/>
      <c r="S20" s="173"/>
      <c r="T20" s="173"/>
      <c r="U20" s="166"/>
      <c r="V20" s="166"/>
      <c r="W20" s="65"/>
      <c r="X20" s="66"/>
      <c r="Y20" s="173"/>
      <c r="Z20" s="166"/>
      <c r="AA20" s="174"/>
      <c r="AB20" s="175"/>
      <c r="AC20" s="175"/>
      <c r="AD20" s="175"/>
      <c r="AE20" s="175"/>
      <c r="AF20" s="175"/>
      <c r="AG20" s="175"/>
      <c r="AH20" s="175"/>
      <c r="AI20" s="176"/>
      <c r="AJ20" s="177"/>
      <c r="AK20" s="178"/>
      <c r="AL20" s="178"/>
      <c r="AM20" s="178"/>
      <c r="AN20" s="178"/>
      <c r="AO20" s="179"/>
      <c r="AP20" s="64"/>
      <c r="AQ20" s="65"/>
      <c r="AR20" s="65"/>
      <c r="AS20" s="65"/>
      <c r="AT20" s="173"/>
      <c r="AU20" s="177"/>
      <c r="AV20" s="178"/>
      <c r="AW20" s="178"/>
      <c r="AX20" s="179"/>
      <c r="AZ20" s="166"/>
      <c r="BA20" s="177"/>
      <c r="BB20" s="178"/>
      <c r="BC20" s="178"/>
      <c r="BD20" s="178"/>
      <c r="BE20" s="178"/>
      <c r="BF20" s="178"/>
      <c r="BG20" s="178"/>
      <c r="BH20" s="178"/>
      <c r="BI20" s="179"/>
      <c r="BJ20" s="180"/>
      <c r="BK20" s="178"/>
      <c r="BL20" s="178"/>
      <c r="BM20" s="178"/>
      <c r="BN20" s="178"/>
      <c r="BO20" s="181"/>
      <c r="BP20" s="166"/>
      <c r="BQ20" s="177"/>
      <c r="BR20" s="178"/>
      <c r="BS20" s="179"/>
      <c r="BU20" s="166"/>
      <c r="BV20" s="166"/>
      <c r="BW20" s="166"/>
      <c r="BX20" s="166"/>
      <c r="BY20" s="166"/>
      <c r="BZ20" s="166"/>
      <c r="CA20" s="166"/>
      <c r="CB20" s="166"/>
      <c r="CC20" s="166"/>
      <c r="CD20" s="177"/>
      <c r="CE20" s="181"/>
      <c r="CF20" s="177"/>
      <c r="CG20" s="179"/>
      <c r="CH20" s="257"/>
      <c r="CI20" s="182"/>
      <c r="CJ20" s="177"/>
      <c r="CK20" s="182"/>
      <c r="CL20" s="177"/>
      <c r="CM20" s="182"/>
      <c r="CN20" s="177"/>
      <c r="CO20" s="182"/>
      <c r="CP20" s="177"/>
      <c r="CQ20" s="178"/>
      <c r="CR20" s="182"/>
      <c r="CS20" s="173"/>
      <c r="CT20" s="65"/>
      <c r="CU20" s="255" t="str">
        <f t="shared" si="2"/>
        <v>DVB</v>
      </c>
    </row>
    <row r="21" ht="60.0" customHeight="1">
      <c r="A21" s="65"/>
      <c r="C21" s="167">
        <v>3.0</v>
      </c>
      <c r="D21" s="168" t="s">
        <v>147</v>
      </c>
      <c r="E21" s="169"/>
      <c r="F21" s="170"/>
      <c r="G21" s="170"/>
      <c r="H21" s="170"/>
      <c r="I21" s="170"/>
      <c r="J21" s="170"/>
      <c r="K21" s="171"/>
      <c r="L21" s="171"/>
      <c r="M21" s="171"/>
      <c r="N21" s="171"/>
      <c r="O21" s="256">
        <f t="shared" si="4"/>
        <v>0</v>
      </c>
      <c r="Q21" s="173"/>
      <c r="R21" s="65"/>
      <c r="S21" s="173"/>
      <c r="T21" s="173"/>
      <c r="U21" s="166"/>
      <c r="V21" s="166"/>
      <c r="W21" s="65"/>
      <c r="X21" s="66"/>
      <c r="Y21" s="173"/>
      <c r="Z21" s="166"/>
      <c r="AA21" s="174"/>
      <c r="AB21" s="175"/>
      <c r="AC21" s="175"/>
      <c r="AD21" s="175"/>
      <c r="AE21" s="175"/>
      <c r="AF21" s="175"/>
      <c r="AG21" s="175"/>
      <c r="AH21" s="175"/>
      <c r="AI21" s="176"/>
      <c r="AJ21" s="177"/>
      <c r="AK21" s="178"/>
      <c r="AL21" s="178"/>
      <c r="AM21" s="178"/>
      <c r="AN21" s="178"/>
      <c r="AO21" s="179"/>
      <c r="AP21" s="64"/>
      <c r="AQ21" s="65"/>
      <c r="AR21" s="65"/>
      <c r="AS21" s="65"/>
      <c r="AT21" s="173"/>
      <c r="AU21" s="177"/>
      <c r="AV21" s="178"/>
      <c r="AW21" s="178"/>
      <c r="AX21" s="179"/>
      <c r="AZ21" s="166"/>
      <c r="BA21" s="177"/>
      <c r="BB21" s="178"/>
      <c r="BC21" s="178"/>
      <c r="BD21" s="178"/>
      <c r="BE21" s="178"/>
      <c r="BF21" s="178"/>
      <c r="BG21" s="178"/>
      <c r="BH21" s="178"/>
      <c r="BI21" s="179"/>
      <c r="BJ21" s="180"/>
      <c r="BK21" s="178"/>
      <c r="BL21" s="178"/>
      <c r="BM21" s="178"/>
      <c r="BN21" s="178"/>
      <c r="BO21" s="181"/>
      <c r="BP21" s="166"/>
      <c r="BQ21" s="177"/>
      <c r="BR21" s="178"/>
      <c r="BS21" s="179"/>
      <c r="BU21" s="166"/>
      <c r="BV21" s="166"/>
      <c r="BW21" s="166"/>
      <c r="BX21" s="166"/>
      <c r="BY21" s="166"/>
      <c r="BZ21" s="166"/>
      <c r="CA21" s="166"/>
      <c r="CB21" s="166"/>
      <c r="CC21" s="166"/>
      <c r="CD21" s="177"/>
      <c r="CE21" s="181"/>
      <c r="CF21" s="177"/>
      <c r="CG21" s="179"/>
      <c r="CH21" s="257"/>
      <c r="CI21" s="182"/>
      <c r="CJ21" s="177"/>
      <c r="CK21" s="182"/>
      <c r="CL21" s="177"/>
      <c r="CM21" s="182"/>
      <c r="CN21" s="177"/>
      <c r="CO21" s="182"/>
      <c r="CP21" s="177"/>
      <c r="CQ21" s="178"/>
      <c r="CR21" s="182"/>
      <c r="CS21" s="173"/>
      <c r="CT21" s="65"/>
      <c r="CU21" s="255" t="str">
        <f t="shared" si="2"/>
        <v>DVB</v>
      </c>
    </row>
    <row r="22" ht="60.0" customHeight="1">
      <c r="A22" s="65"/>
      <c r="C22" s="167">
        <v>4.0</v>
      </c>
      <c r="D22" s="168" t="s">
        <v>147</v>
      </c>
      <c r="E22" s="169"/>
      <c r="F22" s="170"/>
      <c r="G22" s="170"/>
      <c r="H22" s="170"/>
      <c r="I22" s="170"/>
      <c r="J22" s="170"/>
      <c r="K22" s="171"/>
      <c r="L22" s="171"/>
      <c r="M22" s="171"/>
      <c r="N22" s="171"/>
      <c r="O22" s="256">
        <f t="shared" si="4"/>
        <v>0</v>
      </c>
      <c r="Q22" s="173"/>
      <c r="R22" s="65"/>
      <c r="S22" s="173"/>
      <c r="T22" s="173"/>
      <c r="U22" s="166"/>
      <c r="V22" s="166"/>
      <c r="W22" s="65"/>
      <c r="X22" s="66"/>
      <c r="Y22" s="173"/>
      <c r="Z22" s="166"/>
      <c r="AA22" s="174"/>
      <c r="AB22" s="175"/>
      <c r="AC22" s="175"/>
      <c r="AD22" s="175"/>
      <c r="AE22" s="175"/>
      <c r="AF22" s="175"/>
      <c r="AG22" s="175"/>
      <c r="AH22" s="175"/>
      <c r="AI22" s="176"/>
      <c r="AJ22" s="177"/>
      <c r="AK22" s="178"/>
      <c r="AL22" s="178"/>
      <c r="AM22" s="178"/>
      <c r="AN22" s="178"/>
      <c r="AO22" s="179"/>
      <c r="AP22" s="64"/>
      <c r="AQ22" s="65"/>
      <c r="AR22" s="65"/>
      <c r="AS22" s="65"/>
      <c r="AT22" s="173"/>
      <c r="AU22" s="177"/>
      <c r="AV22" s="178"/>
      <c r="AW22" s="178"/>
      <c r="AX22" s="179"/>
      <c r="AZ22" s="166"/>
      <c r="BA22" s="177"/>
      <c r="BB22" s="178"/>
      <c r="BC22" s="178"/>
      <c r="BD22" s="178"/>
      <c r="BE22" s="178"/>
      <c r="BF22" s="178"/>
      <c r="BG22" s="178"/>
      <c r="BH22" s="178"/>
      <c r="BI22" s="179"/>
      <c r="BJ22" s="180"/>
      <c r="BK22" s="178"/>
      <c r="BL22" s="178"/>
      <c r="BM22" s="178"/>
      <c r="BN22" s="178"/>
      <c r="BO22" s="181"/>
      <c r="BP22" s="166"/>
      <c r="BQ22" s="177"/>
      <c r="BR22" s="178"/>
      <c r="BS22" s="179"/>
      <c r="BU22" s="166"/>
      <c r="BV22" s="166"/>
      <c r="BW22" s="166"/>
      <c r="BX22" s="166"/>
      <c r="BY22" s="166"/>
      <c r="BZ22" s="166"/>
      <c r="CA22" s="166"/>
      <c r="CB22" s="166"/>
      <c r="CC22" s="166"/>
      <c r="CD22" s="177"/>
      <c r="CE22" s="181"/>
      <c r="CF22" s="177"/>
      <c r="CG22" s="179"/>
      <c r="CH22" s="257"/>
      <c r="CI22" s="182"/>
      <c r="CJ22" s="177"/>
      <c r="CK22" s="182"/>
      <c r="CL22" s="177"/>
      <c r="CM22" s="182"/>
      <c r="CN22" s="177"/>
      <c r="CO22" s="182"/>
      <c r="CP22" s="177"/>
      <c r="CQ22" s="178"/>
      <c r="CR22" s="182"/>
      <c r="CS22" s="173"/>
      <c r="CT22" s="65"/>
      <c r="CU22" s="255" t="str">
        <f t="shared" si="2"/>
        <v>DVB</v>
      </c>
    </row>
    <row r="23" ht="60.0" customHeight="1">
      <c r="A23" s="65"/>
      <c r="C23" s="167">
        <v>5.0</v>
      </c>
      <c r="D23" s="168" t="s">
        <v>147</v>
      </c>
      <c r="E23" s="169"/>
      <c r="F23" s="170"/>
      <c r="G23" s="170"/>
      <c r="H23" s="170"/>
      <c r="I23" s="170"/>
      <c r="J23" s="170"/>
      <c r="K23" s="171"/>
      <c r="L23" s="171"/>
      <c r="M23" s="171"/>
      <c r="N23" s="171"/>
      <c r="O23" s="256">
        <f t="shared" si="4"/>
        <v>0</v>
      </c>
      <c r="Q23" s="173"/>
      <c r="R23" s="65"/>
      <c r="S23" s="173"/>
      <c r="T23" s="173"/>
      <c r="U23" s="166"/>
      <c r="V23" s="166"/>
      <c r="W23" s="65"/>
      <c r="X23" s="66"/>
      <c r="Y23" s="173"/>
      <c r="Z23" s="166"/>
      <c r="AA23" s="174"/>
      <c r="AB23" s="175"/>
      <c r="AC23" s="175"/>
      <c r="AD23" s="175"/>
      <c r="AE23" s="175"/>
      <c r="AF23" s="175"/>
      <c r="AG23" s="175"/>
      <c r="AH23" s="175"/>
      <c r="AI23" s="176"/>
      <c r="AJ23" s="177"/>
      <c r="AK23" s="178"/>
      <c r="AL23" s="178"/>
      <c r="AM23" s="178"/>
      <c r="AN23" s="178"/>
      <c r="AO23" s="179"/>
      <c r="AP23" s="64"/>
      <c r="AQ23" s="65"/>
      <c r="AR23" s="65"/>
      <c r="AS23" s="65"/>
      <c r="AT23" s="173"/>
      <c r="AU23" s="177"/>
      <c r="AV23" s="178"/>
      <c r="AW23" s="178"/>
      <c r="AX23" s="179"/>
      <c r="AZ23" s="166"/>
      <c r="BA23" s="177"/>
      <c r="BB23" s="178"/>
      <c r="BC23" s="178"/>
      <c r="BD23" s="178"/>
      <c r="BE23" s="178"/>
      <c r="BF23" s="178"/>
      <c r="BG23" s="178"/>
      <c r="BH23" s="178"/>
      <c r="BI23" s="179"/>
      <c r="BJ23" s="180"/>
      <c r="BK23" s="178"/>
      <c r="BL23" s="178"/>
      <c r="BM23" s="178"/>
      <c r="BN23" s="178"/>
      <c r="BO23" s="181"/>
      <c r="BP23" s="166"/>
      <c r="BQ23" s="177"/>
      <c r="BR23" s="178"/>
      <c r="BS23" s="179"/>
      <c r="BU23" s="166"/>
      <c r="BV23" s="166"/>
      <c r="BW23" s="166"/>
      <c r="BX23" s="166"/>
      <c r="BY23" s="166"/>
      <c r="BZ23" s="166"/>
      <c r="CA23" s="166"/>
      <c r="CB23" s="166"/>
      <c r="CC23" s="166"/>
      <c r="CD23" s="177"/>
      <c r="CE23" s="181"/>
      <c r="CF23" s="177"/>
      <c r="CG23" s="179"/>
      <c r="CH23" s="257"/>
      <c r="CI23" s="182"/>
      <c r="CJ23" s="177"/>
      <c r="CK23" s="182"/>
      <c r="CL23" s="177"/>
      <c r="CM23" s="182"/>
      <c r="CN23" s="177"/>
      <c r="CO23" s="182"/>
      <c r="CP23" s="177"/>
      <c r="CQ23" s="178"/>
      <c r="CR23" s="182"/>
      <c r="CS23" s="173"/>
      <c r="CT23" s="65"/>
      <c r="CU23" s="255" t="str">
        <f t="shared" si="2"/>
        <v>DVB</v>
      </c>
    </row>
    <row r="24" ht="60.0" customHeight="1">
      <c r="A24" s="65"/>
      <c r="C24" s="167">
        <v>6.0</v>
      </c>
      <c r="D24" s="168" t="s">
        <v>147</v>
      </c>
      <c r="E24" s="169"/>
      <c r="F24" s="170"/>
      <c r="G24" s="170"/>
      <c r="H24" s="170"/>
      <c r="I24" s="170"/>
      <c r="J24" s="170"/>
      <c r="K24" s="171"/>
      <c r="L24" s="171"/>
      <c r="M24" s="171"/>
      <c r="N24" s="171"/>
      <c r="O24" s="256">
        <f t="shared" si="4"/>
        <v>0</v>
      </c>
      <c r="Q24" s="173"/>
      <c r="R24" s="65"/>
      <c r="S24" s="173"/>
      <c r="T24" s="173"/>
      <c r="U24" s="166"/>
      <c r="V24" s="166"/>
      <c r="W24" s="65"/>
      <c r="X24" s="66"/>
      <c r="Y24" s="173"/>
      <c r="Z24" s="166"/>
      <c r="AA24" s="174"/>
      <c r="AB24" s="175"/>
      <c r="AC24" s="175"/>
      <c r="AD24" s="175"/>
      <c r="AE24" s="175"/>
      <c r="AF24" s="175"/>
      <c r="AG24" s="175"/>
      <c r="AH24" s="175"/>
      <c r="AI24" s="176"/>
      <c r="AJ24" s="177"/>
      <c r="AK24" s="178"/>
      <c r="AL24" s="178"/>
      <c r="AM24" s="178"/>
      <c r="AN24" s="178"/>
      <c r="AO24" s="179"/>
      <c r="AP24" s="64"/>
      <c r="AQ24" s="65"/>
      <c r="AR24" s="65"/>
      <c r="AS24" s="65"/>
      <c r="AT24" s="173"/>
      <c r="AU24" s="177"/>
      <c r="AV24" s="178"/>
      <c r="AW24" s="178"/>
      <c r="AX24" s="179"/>
      <c r="AZ24" s="166"/>
      <c r="BA24" s="177"/>
      <c r="BB24" s="178"/>
      <c r="BC24" s="178"/>
      <c r="BD24" s="178"/>
      <c r="BE24" s="178"/>
      <c r="BF24" s="178"/>
      <c r="BG24" s="178"/>
      <c r="BH24" s="178"/>
      <c r="BI24" s="179"/>
      <c r="BJ24" s="180"/>
      <c r="BK24" s="178"/>
      <c r="BL24" s="178"/>
      <c r="BM24" s="178"/>
      <c r="BN24" s="178"/>
      <c r="BO24" s="181"/>
      <c r="BP24" s="166"/>
      <c r="BQ24" s="177"/>
      <c r="BR24" s="178"/>
      <c r="BS24" s="179"/>
      <c r="BU24" s="166"/>
      <c r="BV24" s="166"/>
      <c r="BW24" s="166"/>
      <c r="BX24" s="166"/>
      <c r="BY24" s="166"/>
      <c r="BZ24" s="166"/>
      <c r="CA24" s="166"/>
      <c r="CB24" s="166"/>
      <c r="CC24" s="166"/>
      <c r="CD24" s="177"/>
      <c r="CE24" s="181"/>
      <c r="CF24" s="177"/>
      <c r="CG24" s="179"/>
      <c r="CH24" s="257"/>
      <c r="CI24" s="182"/>
      <c r="CJ24" s="177"/>
      <c r="CK24" s="182"/>
      <c r="CL24" s="177"/>
      <c r="CM24" s="182"/>
      <c r="CN24" s="177"/>
      <c r="CO24" s="182"/>
      <c r="CP24" s="177"/>
      <c r="CQ24" s="178"/>
      <c r="CR24" s="182"/>
      <c r="CS24" s="173"/>
      <c r="CT24" s="65"/>
      <c r="CU24" s="255" t="str">
        <f t="shared" si="2"/>
        <v>DVB</v>
      </c>
    </row>
    <row r="25" ht="60.0" customHeight="1">
      <c r="A25" s="65"/>
      <c r="C25" s="167">
        <v>7.0</v>
      </c>
      <c r="D25" s="168" t="s">
        <v>147</v>
      </c>
      <c r="E25" s="169"/>
      <c r="F25" s="170"/>
      <c r="G25" s="170"/>
      <c r="H25" s="170"/>
      <c r="I25" s="170"/>
      <c r="J25" s="170"/>
      <c r="K25" s="171"/>
      <c r="L25" s="171"/>
      <c r="M25" s="171"/>
      <c r="N25" s="171"/>
      <c r="O25" s="256">
        <f t="shared" ref="O25:O28" si="5">IF(AND(M25&gt;=20,M25&lt;&gt;"m",RIGHT(K25,3)="Lec"),1,IF(AND(M25&gt;=20,M25&lt;&gt;"m",OR(RIGHT(K25,3)="Lab",RIGHT(K25,3)="Tut")),0.5,IF(AND(M25&gt;=20,M25&lt;&gt;"m",RIGHT(K25,2)="TL"),0.75,0)))</f>
        <v>0</v>
      </c>
      <c r="Q25" s="173"/>
      <c r="R25" s="65"/>
      <c r="S25" s="173"/>
      <c r="T25" s="173"/>
      <c r="U25" s="166"/>
      <c r="V25" s="166"/>
      <c r="W25" s="65"/>
      <c r="X25" s="66"/>
      <c r="Y25" s="173"/>
      <c r="Z25" s="166"/>
      <c r="AA25" s="174"/>
      <c r="AB25" s="175"/>
      <c r="AC25" s="175"/>
      <c r="AD25" s="175"/>
      <c r="AE25" s="175"/>
      <c r="AF25" s="175"/>
      <c r="AG25" s="175"/>
      <c r="AH25" s="175"/>
      <c r="AI25" s="176"/>
      <c r="AJ25" s="177"/>
      <c r="AK25" s="178"/>
      <c r="AL25" s="178"/>
      <c r="AM25" s="178"/>
      <c r="AN25" s="178"/>
      <c r="AO25" s="179"/>
      <c r="AP25" s="64"/>
      <c r="AQ25" s="65"/>
      <c r="AR25" s="65"/>
      <c r="AS25" s="65"/>
      <c r="AT25" s="173"/>
      <c r="AU25" s="177"/>
      <c r="AV25" s="178"/>
      <c r="AW25" s="178"/>
      <c r="AX25" s="179"/>
      <c r="AZ25" s="166"/>
      <c r="BA25" s="177"/>
      <c r="BB25" s="178"/>
      <c r="BC25" s="178"/>
      <c r="BD25" s="178"/>
      <c r="BE25" s="178"/>
      <c r="BF25" s="178"/>
      <c r="BG25" s="178"/>
      <c r="BH25" s="178"/>
      <c r="BI25" s="179"/>
      <c r="BJ25" s="180"/>
      <c r="BK25" s="178"/>
      <c r="BL25" s="178"/>
      <c r="BM25" s="178"/>
      <c r="BN25" s="178"/>
      <c r="BO25" s="181"/>
      <c r="BP25" s="166"/>
      <c r="BQ25" s="177"/>
      <c r="BR25" s="178"/>
      <c r="BS25" s="179"/>
      <c r="BU25" s="166"/>
      <c r="BV25" s="166"/>
      <c r="BW25" s="166"/>
      <c r="BX25" s="166"/>
      <c r="BY25" s="166"/>
      <c r="BZ25" s="166"/>
      <c r="CA25" s="166"/>
      <c r="CB25" s="166"/>
      <c r="CC25" s="166"/>
      <c r="CD25" s="177"/>
      <c r="CE25" s="181"/>
      <c r="CF25" s="177"/>
      <c r="CG25" s="179"/>
      <c r="CH25" s="257"/>
      <c r="CI25" s="182"/>
      <c r="CJ25" s="177"/>
      <c r="CK25" s="182"/>
      <c r="CL25" s="177"/>
      <c r="CM25" s="182"/>
      <c r="CN25" s="177"/>
      <c r="CO25" s="182"/>
      <c r="CP25" s="177"/>
      <c r="CQ25" s="178"/>
      <c r="CR25" s="182"/>
      <c r="CS25" s="173"/>
      <c r="CT25" s="65"/>
      <c r="CU25" s="255" t="str">
        <f t="shared" si="2"/>
        <v>DVB</v>
      </c>
    </row>
    <row r="26" ht="60.0" customHeight="1">
      <c r="A26" s="65"/>
      <c r="C26" s="167">
        <v>8.0</v>
      </c>
      <c r="D26" s="168" t="s">
        <v>147</v>
      </c>
      <c r="E26" s="169"/>
      <c r="F26" s="170"/>
      <c r="G26" s="170"/>
      <c r="H26" s="170"/>
      <c r="I26" s="170"/>
      <c r="J26" s="170"/>
      <c r="K26" s="171"/>
      <c r="L26" s="171"/>
      <c r="M26" s="171"/>
      <c r="N26" s="171"/>
      <c r="O26" s="256">
        <f t="shared" si="5"/>
        <v>0</v>
      </c>
      <c r="Q26" s="173"/>
      <c r="R26" s="65"/>
      <c r="S26" s="173"/>
      <c r="T26" s="173"/>
      <c r="U26" s="166"/>
      <c r="V26" s="166"/>
      <c r="W26" s="65"/>
      <c r="X26" s="66"/>
      <c r="Y26" s="173"/>
      <c r="Z26" s="166"/>
      <c r="AA26" s="174"/>
      <c r="AB26" s="175"/>
      <c r="AC26" s="175"/>
      <c r="AD26" s="175"/>
      <c r="AE26" s="175"/>
      <c r="AF26" s="175"/>
      <c r="AG26" s="175"/>
      <c r="AH26" s="175"/>
      <c r="AI26" s="176"/>
      <c r="AJ26" s="177"/>
      <c r="AK26" s="178"/>
      <c r="AL26" s="178"/>
      <c r="AM26" s="178"/>
      <c r="AN26" s="178"/>
      <c r="AO26" s="179"/>
      <c r="AP26" s="64"/>
      <c r="AQ26" s="65"/>
      <c r="AR26" s="65"/>
      <c r="AS26" s="65"/>
      <c r="AT26" s="173"/>
      <c r="AU26" s="177"/>
      <c r="AV26" s="178"/>
      <c r="AW26" s="178"/>
      <c r="AX26" s="179"/>
      <c r="AZ26" s="166"/>
      <c r="BA26" s="177"/>
      <c r="BB26" s="178"/>
      <c r="BC26" s="178"/>
      <c r="BD26" s="178"/>
      <c r="BE26" s="178"/>
      <c r="BF26" s="178"/>
      <c r="BG26" s="178"/>
      <c r="BH26" s="178"/>
      <c r="BI26" s="179"/>
      <c r="BJ26" s="180"/>
      <c r="BK26" s="178"/>
      <c r="BL26" s="178"/>
      <c r="BM26" s="178"/>
      <c r="BN26" s="178"/>
      <c r="BO26" s="181"/>
      <c r="BP26" s="166"/>
      <c r="BQ26" s="177"/>
      <c r="BR26" s="178"/>
      <c r="BS26" s="179"/>
      <c r="BU26" s="166"/>
      <c r="BV26" s="166"/>
      <c r="BW26" s="166"/>
      <c r="BX26" s="166"/>
      <c r="BY26" s="166"/>
      <c r="BZ26" s="166"/>
      <c r="CA26" s="166"/>
      <c r="CB26" s="166"/>
      <c r="CC26" s="166"/>
      <c r="CD26" s="177"/>
      <c r="CE26" s="181"/>
      <c r="CF26" s="177"/>
      <c r="CG26" s="179"/>
      <c r="CH26" s="257"/>
      <c r="CI26" s="182"/>
      <c r="CJ26" s="177"/>
      <c r="CK26" s="182"/>
      <c r="CL26" s="177"/>
      <c r="CM26" s="182"/>
      <c r="CN26" s="177"/>
      <c r="CO26" s="182"/>
      <c r="CP26" s="177"/>
      <c r="CQ26" s="178"/>
      <c r="CR26" s="182"/>
      <c r="CS26" s="173"/>
      <c r="CT26" s="65"/>
      <c r="CU26" s="255" t="str">
        <f t="shared" si="2"/>
        <v>DVB</v>
      </c>
    </row>
    <row r="27" ht="60.0" customHeight="1">
      <c r="A27" s="65"/>
      <c r="C27" s="167">
        <v>9.0</v>
      </c>
      <c r="D27" s="168" t="s">
        <v>147</v>
      </c>
      <c r="E27" s="169"/>
      <c r="F27" s="170"/>
      <c r="G27" s="170"/>
      <c r="H27" s="170"/>
      <c r="I27" s="170"/>
      <c r="J27" s="170"/>
      <c r="K27" s="171"/>
      <c r="L27" s="171"/>
      <c r="M27" s="171"/>
      <c r="N27" s="171"/>
      <c r="O27" s="256">
        <f t="shared" si="5"/>
        <v>0</v>
      </c>
      <c r="Q27" s="173"/>
      <c r="R27" s="65"/>
      <c r="S27" s="173"/>
      <c r="T27" s="173"/>
      <c r="U27" s="166"/>
      <c r="V27" s="166"/>
      <c r="W27" s="65"/>
      <c r="X27" s="66"/>
      <c r="Y27" s="173"/>
      <c r="Z27" s="166"/>
      <c r="AA27" s="174"/>
      <c r="AB27" s="175"/>
      <c r="AC27" s="175"/>
      <c r="AD27" s="175"/>
      <c r="AE27" s="175"/>
      <c r="AF27" s="175"/>
      <c r="AG27" s="175"/>
      <c r="AH27" s="175"/>
      <c r="AI27" s="176"/>
      <c r="AJ27" s="177"/>
      <c r="AK27" s="178"/>
      <c r="AL27" s="178"/>
      <c r="AM27" s="178"/>
      <c r="AN27" s="178"/>
      <c r="AO27" s="179"/>
      <c r="AP27" s="64"/>
      <c r="AQ27" s="65"/>
      <c r="AR27" s="65"/>
      <c r="AS27" s="65"/>
      <c r="AT27" s="173"/>
      <c r="AU27" s="177"/>
      <c r="AV27" s="178"/>
      <c r="AW27" s="178"/>
      <c r="AX27" s="179"/>
      <c r="AZ27" s="166"/>
      <c r="BA27" s="177"/>
      <c r="BB27" s="178"/>
      <c r="BC27" s="178"/>
      <c r="BD27" s="178"/>
      <c r="BE27" s="178"/>
      <c r="BF27" s="178"/>
      <c r="BG27" s="178"/>
      <c r="BH27" s="178"/>
      <c r="BI27" s="179"/>
      <c r="BJ27" s="180"/>
      <c r="BK27" s="178"/>
      <c r="BL27" s="178"/>
      <c r="BM27" s="178"/>
      <c r="BN27" s="178"/>
      <c r="BO27" s="181"/>
      <c r="BP27" s="166"/>
      <c r="BQ27" s="177"/>
      <c r="BR27" s="178"/>
      <c r="BS27" s="179"/>
      <c r="BU27" s="166"/>
      <c r="BV27" s="166"/>
      <c r="BW27" s="166"/>
      <c r="BX27" s="166"/>
      <c r="BY27" s="166"/>
      <c r="BZ27" s="166"/>
      <c r="CA27" s="166"/>
      <c r="CB27" s="166"/>
      <c r="CC27" s="166"/>
      <c r="CD27" s="177"/>
      <c r="CE27" s="181"/>
      <c r="CF27" s="177"/>
      <c r="CG27" s="179"/>
      <c r="CH27" s="257"/>
      <c r="CI27" s="182"/>
      <c r="CJ27" s="177"/>
      <c r="CK27" s="182"/>
      <c r="CL27" s="177"/>
      <c r="CM27" s="182"/>
      <c r="CN27" s="177"/>
      <c r="CO27" s="182"/>
      <c r="CP27" s="177"/>
      <c r="CQ27" s="178"/>
      <c r="CR27" s="182"/>
      <c r="CS27" s="173"/>
      <c r="CT27" s="65"/>
      <c r="CU27" s="255" t="str">
        <f t="shared" si="2"/>
        <v>DVB</v>
      </c>
    </row>
    <row r="28" ht="60.0" customHeight="1">
      <c r="A28" s="65"/>
      <c r="C28" s="167">
        <v>10.0</v>
      </c>
      <c r="D28" s="168" t="s">
        <v>147</v>
      </c>
      <c r="E28" s="169"/>
      <c r="F28" s="170"/>
      <c r="G28" s="170"/>
      <c r="H28" s="170"/>
      <c r="I28" s="170"/>
      <c r="J28" s="170"/>
      <c r="K28" s="171"/>
      <c r="L28" s="171"/>
      <c r="M28" s="171"/>
      <c r="N28" s="171"/>
      <c r="O28" s="256">
        <f t="shared" si="5"/>
        <v>0</v>
      </c>
      <c r="Q28" s="173"/>
      <c r="R28" s="65"/>
      <c r="S28" s="173"/>
      <c r="T28" s="173"/>
      <c r="U28" s="166"/>
      <c r="V28" s="166"/>
      <c r="W28" s="65"/>
      <c r="X28" s="66"/>
      <c r="Y28" s="173"/>
      <c r="Z28" s="166"/>
      <c r="AA28" s="174"/>
      <c r="AB28" s="175"/>
      <c r="AC28" s="175"/>
      <c r="AD28" s="175"/>
      <c r="AE28" s="175"/>
      <c r="AF28" s="175"/>
      <c r="AG28" s="175"/>
      <c r="AH28" s="175"/>
      <c r="AI28" s="176"/>
      <c r="AJ28" s="177"/>
      <c r="AK28" s="178"/>
      <c r="AL28" s="178"/>
      <c r="AM28" s="178"/>
      <c r="AN28" s="178"/>
      <c r="AO28" s="179"/>
      <c r="AP28" s="64"/>
      <c r="AQ28" s="65"/>
      <c r="AR28" s="65"/>
      <c r="AS28" s="65"/>
      <c r="AT28" s="173"/>
      <c r="AU28" s="177"/>
      <c r="AV28" s="178"/>
      <c r="AW28" s="178"/>
      <c r="AX28" s="179"/>
      <c r="AZ28" s="166"/>
      <c r="BA28" s="177"/>
      <c r="BB28" s="178"/>
      <c r="BC28" s="178"/>
      <c r="BD28" s="178"/>
      <c r="BE28" s="178"/>
      <c r="BF28" s="178"/>
      <c r="BG28" s="178"/>
      <c r="BH28" s="178"/>
      <c r="BI28" s="179"/>
      <c r="BJ28" s="180"/>
      <c r="BK28" s="178"/>
      <c r="BL28" s="178"/>
      <c r="BM28" s="178"/>
      <c r="BN28" s="178"/>
      <c r="BO28" s="181"/>
      <c r="BP28" s="166"/>
      <c r="BQ28" s="177"/>
      <c r="BR28" s="178"/>
      <c r="BS28" s="179"/>
      <c r="BU28" s="166"/>
      <c r="BV28" s="166"/>
      <c r="BW28" s="166"/>
      <c r="BX28" s="166"/>
      <c r="BY28" s="166"/>
      <c r="BZ28" s="166"/>
      <c r="CA28" s="166"/>
      <c r="CB28" s="166"/>
      <c r="CC28" s="166"/>
      <c r="CD28" s="177"/>
      <c r="CE28" s="181"/>
      <c r="CF28" s="177"/>
      <c r="CG28" s="179"/>
      <c r="CH28" s="257"/>
      <c r="CI28" s="182"/>
      <c r="CJ28" s="177"/>
      <c r="CK28" s="182"/>
      <c r="CL28" s="177"/>
      <c r="CM28" s="182"/>
      <c r="CN28" s="177"/>
      <c r="CO28" s="182"/>
      <c r="CP28" s="177"/>
      <c r="CQ28" s="178"/>
      <c r="CR28" s="182"/>
      <c r="CS28" s="173"/>
      <c r="CT28" s="65"/>
      <c r="CU28" s="255" t="str">
        <f t="shared" si="2"/>
        <v>DVB</v>
      </c>
    </row>
    <row r="29" ht="60.0" customHeight="1">
      <c r="A29" s="89"/>
      <c r="C29" s="183">
        <v>11.0</v>
      </c>
      <c r="D29" s="210" t="s">
        <v>147</v>
      </c>
      <c r="E29" s="185"/>
      <c r="F29" s="186"/>
      <c r="G29" s="186"/>
      <c r="H29" s="186"/>
      <c r="I29" s="186"/>
      <c r="J29" s="186"/>
      <c r="K29" s="187"/>
      <c r="L29" s="187"/>
      <c r="M29" s="187"/>
      <c r="N29" s="187"/>
      <c r="O29" s="258">
        <f t="shared" ref="O29:O35" si="6">IF(AND(M29&lt;&gt;0,M29&lt;&gt;"m",M29&lt;&gt;"",RIGHT(K29,3)="Lec"),1,IF(AND(M29&lt;&gt;0,M29&lt;&gt;"m",M29&lt;&gt;"",OR(RIGHT(K29,3)="Lab",RIGHT(K29,3)="Tut")),0.5,IF(AND(M29&lt;&gt;0,M29&lt;&gt;"m",M29&lt;&gt;"",RIGHT(K29,2)="TL"),0.75,0)))</f>
        <v>0</v>
      </c>
      <c r="P29" s="6"/>
      <c r="Q29" s="69"/>
      <c r="R29" s="89"/>
      <c r="S29" s="69"/>
      <c r="T29" s="69"/>
      <c r="U29" s="63"/>
      <c r="V29" s="63"/>
      <c r="W29" s="89"/>
      <c r="X29" s="68"/>
      <c r="Y29" s="69"/>
      <c r="Z29" s="63"/>
      <c r="AA29" s="189"/>
      <c r="AB29" s="190"/>
      <c r="AC29" s="190"/>
      <c r="AD29" s="190"/>
      <c r="AE29" s="190"/>
      <c r="AF29" s="190"/>
      <c r="AG29" s="190"/>
      <c r="AH29" s="190"/>
      <c r="AI29" s="191"/>
      <c r="AJ29" s="192"/>
      <c r="AK29" s="193"/>
      <c r="AL29" s="193"/>
      <c r="AM29" s="193"/>
      <c r="AN29" s="193"/>
      <c r="AO29" s="194"/>
      <c r="AP29" s="103"/>
      <c r="AQ29" s="89"/>
      <c r="AR29" s="89"/>
      <c r="AS29" s="89"/>
      <c r="AT29" s="69"/>
      <c r="AU29" s="192"/>
      <c r="AV29" s="193"/>
      <c r="AW29" s="193"/>
      <c r="AX29" s="194"/>
      <c r="AY29" s="6"/>
      <c r="AZ29" s="63"/>
      <c r="BA29" s="192"/>
      <c r="BB29" s="193"/>
      <c r="BC29" s="193"/>
      <c r="BD29" s="193"/>
      <c r="BE29" s="193"/>
      <c r="BF29" s="193"/>
      <c r="BG29" s="193"/>
      <c r="BH29" s="193"/>
      <c r="BI29" s="194"/>
      <c r="BJ29" s="195"/>
      <c r="BK29" s="193"/>
      <c r="BL29" s="193"/>
      <c r="BM29" s="193"/>
      <c r="BN29" s="193"/>
      <c r="BO29" s="196"/>
      <c r="BP29" s="63"/>
      <c r="BQ29" s="192"/>
      <c r="BR29" s="193"/>
      <c r="BS29" s="194"/>
      <c r="BT29" s="6"/>
      <c r="BU29" s="63"/>
      <c r="BV29" s="63"/>
      <c r="BW29" s="63"/>
      <c r="BX29" s="63"/>
      <c r="BY29" s="63"/>
      <c r="BZ29" s="63"/>
      <c r="CA29" s="63"/>
      <c r="CB29" s="63"/>
      <c r="CC29" s="63"/>
      <c r="CD29" s="192"/>
      <c r="CE29" s="196"/>
      <c r="CF29" s="192"/>
      <c r="CG29" s="194"/>
      <c r="CH29" s="259"/>
      <c r="CI29" s="197"/>
      <c r="CJ29" s="192"/>
      <c r="CK29" s="197"/>
      <c r="CL29" s="192"/>
      <c r="CM29" s="197"/>
      <c r="CN29" s="192"/>
      <c r="CO29" s="197"/>
      <c r="CP29" s="192"/>
      <c r="CQ29" s="193"/>
      <c r="CR29" s="197"/>
      <c r="CS29" s="69"/>
      <c r="CT29" s="89"/>
      <c r="CU29" s="255" t="str">
        <f t="shared" si="2"/>
        <v>DVB</v>
      </c>
    </row>
    <row r="30" ht="56.25" customHeight="1">
      <c r="A30" s="125">
        <v>3.0</v>
      </c>
      <c r="B30" s="199" t="s">
        <v>153</v>
      </c>
      <c r="C30" s="127">
        <v>1.0</v>
      </c>
      <c r="D30" s="168" t="s">
        <v>154</v>
      </c>
      <c r="E30" s="129"/>
      <c r="F30" s="130"/>
      <c r="G30" s="130"/>
      <c r="H30" s="130"/>
      <c r="I30" s="130"/>
      <c r="J30" s="130"/>
      <c r="K30" s="131"/>
      <c r="L30" s="131"/>
      <c r="M30" s="131"/>
      <c r="N30" s="131"/>
      <c r="O30" s="250">
        <f t="shared" si="6"/>
        <v>0</v>
      </c>
      <c r="P30" s="251">
        <f>COUNTIF(K30:K40,"TL")*0.75+COUNTIF(K30:K40,"Lec")*1+COUNTIF(K30:K40,"Lab")*0.5</f>
        <v>0</v>
      </c>
      <c r="Q30" s="134">
        <f>SUM((IF(LEFT(K30,1)="E",O30,0)),(IF(LEFT(K31,1)="E",O31,0)),(IF(LEFT(K32,1)="E",O32,0)),(IF(LEFT(K33,1)="E",O33,0)),(IF(LEFT(K34,1)="E",O34,0)),(IF(LEFT(K35,1)="E",O35,0)),(IF(LEFT(K36,1)="E",O36,0)),(IF(LEFT(K37,1)="E",O37,0)),(IF(LEFT(K38,1)="E",O38,0)),(IF(LEFT(K39,1)="E",O39,0)),(IF(LEFT(K40,1)="E",O40,0)))</f>
        <v>0</v>
      </c>
      <c r="R30" s="135">
        <f>SUM(IF(M36&lt;20,IF(K36="Plec",-1,IF(K36="PTL",-0.75,IF(K36="Plab",-0.5,0))),0),IF(M37&lt;20,IF(K37="Plec",-1,IF(K37="PTL",-0.75,IF(K37="Plab",-0.5,0))),0),IF(M38&lt;20,IF(K38="Plec",-1,IF(K38="PTL",-0.75,IF(K38="Plab",-0.5,0))),0),IF(M39&lt;20,IF(K39="Plec",-1,IF(K39="PTL",-0.75,IF(K39="Plab",-0.5,0))),0))</f>
        <v>0</v>
      </c>
      <c r="S30" s="134">
        <f>SUM(P30:R40)</f>
        <v>0</v>
      </c>
      <c r="T30" s="136">
        <f>SUM(IF(M30="M",IF(OR(K30="lec",K30="plec",K30="slec"),1,IF(OR(K30="lab",K30="plab",K30="slab",K30="tut",K30="ptut",K30="stut"),0.5,IF(OR(K30="TL",K30="pTL",K30="STL"),0.75,0))),0),IF(M31="M",IF(OR(K31="lec",K31="plec",K31="slec"),1,IF(OR(K31="lab",K31="plab",K31="slab",K31="tut",K31="ptut",K31="stut"),0.5,IF(OR(K31="TL",K31="pTL",K31="STL"),0.75,0))),0),IF(M32="M",IF(OR(K32="lec",K32="plec",K32="slec"),1,IF(OR(K32="lab",K32="plab",K32="slab",K32="tut",K32="ptut",K32="stut"),0.5,IF(OR(K32="TL",K32="pTL",K32="STL"),0.75,0))),0),IF(M33="M",IF(OR(K33="lec",K33="plec",K33="slec"),1,IF(OR(K33="lab",K33="plab",K33="slab",K33="tut",K33="ptut",K33="stut"),0.5,IF(OR(K33="TL",K33="pTL",K33="STL"),0.75,0))),0),IF(M34="M",IF(OR(K34="lec",K34="plec",K34="slec"),1,IF(OR(K34="lab",K34="plab",K34="slab",K34="tut",K34="ptut",K34="stut"),0.5,IF(OR(K34="TL",K34="pTL",K34="STL"),0.75,0))),0),IF(M35="M",IF(OR(K35="lec",K35="plec",K35="slec"),1,IF(OR(K35="lab",K35="plab",K35="slab",K35="tut",K35="ptut",K35="stut"),0.5,IF(OR(K35="TL",K35="pTL",K35="STL"),0.75,0))),0),IF(M36="M",IF(OR(K36="lec",K36="plec",K36="slec"),1,IF(OR(K36="lab",K36="plab",K36="slab",K36="tut",K36="ptut",K36="stut"),0.5,IF(OR(K36="TL",K36="pTL",K36="STL"),0.75,0))),0),IF(M37="M",IF(OR(K37="lec",K37="plec",K37="slec"),1,IF(OR(K37="lab",K37="plab",K37="slab",K37="tut",K37="ptut",K37="stut"),0.5,IF(OR(K37="TL",K37="pTL",K37="STL"),0.75,0))),0),IF(M38="M",IF(OR(K38="lec",K38="plec",K38="slec"),1,IF(OR(K38="lab",K38="plab",K38="slab",K38="tut",K38="ptut",K38="stut"),0.5,IF(OR(K38="TL",K38="pTL",K38="STL"),0.75,0))),0),IF(M39="M",IF(OR(K39="lec",K39="plec",K39="slec"),1,IF(OR(K39="lab",K39="plab",K39="slab",K39="tut",K39="ptut",K39="stut"),0.5,IF(OR(K39="TL",K39="pTL",K39="STL"),0.75,0))),0),IF(M40="M",IF(OR(K40="lec",K40="plec",K40="slec"),1,IF(OR(K40="lab",K40="plab",K40="slab",K40="tut",K40="ptut",K40="stut"),0.5,IF(OR(K40="TL",K40="pTL",K40="STL"),0.75,0))),0))</f>
        <v>0</v>
      </c>
      <c r="U30" s="137"/>
      <c r="V30" s="133"/>
      <c r="W30" s="138"/>
      <c r="X30" s="139">
        <f>S30-(T30+U30+V30+W30)</f>
        <v>0</v>
      </c>
      <c r="Y30" s="134" t="str">
        <f>CONCATENATE(SUM(O30:O40),"(",SUM(O30:O40)-X30,")")</f>
        <v>0(0)</v>
      </c>
      <c r="Z30" s="140"/>
      <c r="AA30" s="141"/>
      <c r="AB30" s="142"/>
      <c r="AC30" s="142"/>
      <c r="AD30" s="142"/>
      <c r="AE30" s="142"/>
      <c r="AF30" s="142"/>
      <c r="AG30" s="142"/>
      <c r="AH30" s="142"/>
      <c r="AI30" s="143"/>
      <c r="AJ30" s="144"/>
      <c r="AK30" s="145"/>
      <c r="AL30" s="145"/>
      <c r="AM30" s="145"/>
      <c r="AN30" s="145"/>
      <c r="AO30" s="146"/>
      <c r="AP30" s="147">
        <f>SUM(SUM(O30:O40),SUM(AI30:AI40)/2,AM30)</f>
        <v>0</v>
      </c>
      <c r="AQ30" s="148"/>
      <c r="AR30" s="148">
        <f>AP30*AQ30</f>
        <v>0</v>
      </c>
      <c r="AS30" s="148">
        <f>CT30</f>
        <v>5.6</v>
      </c>
      <c r="AT30" s="149">
        <f>AR30*0.75+AS30*0.25</f>
        <v>1.4</v>
      </c>
      <c r="AU30" s="150"/>
      <c r="AV30" s="151"/>
      <c r="AW30" s="151"/>
      <c r="AX30" s="152"/>
      <c r="AY30" s="153"/>
      <c r="AZ30" s="140"/>
      <c r="BA30" s="150"/>
      <c r="BB30" s="151"/>
      <c r="BC30" s="151"/>
      <c r="BD30" s="151"/>
      <c r="BE30" s="151"/>
      <c r="BF30" s="151"/>
      <c r="BG30" s="151"/>
      <c r="BH30" s="151"/>
      <c r="BI30" s="152"/>
      <c r="BJ30" s="154"/>
      <c r="BK30" s="151"/>
      <c r="BL30" s="151"/>
      <c r="BM30" s="151">
        <v>5.3</v>
      </c>
      <c r="BN30" s="151"/>
      <c r="BO30" s="155"/>
      <c r="BP30" s="140"/>
      <c r="BQ30" s="156" t="s">
        <v>222</v>
      </c>
      <c r="BR30" s="157">
        <v>6.0</v>
      </c>
      <c r="BS30" s="158">
        <v>0.0</v>
      </c>
      <c r="BT30" s="153"/>
      <c r="BU30" s="140"/>
      <c r="BV30" s="140"/>
      <c r="BW30" s="140"/>
      <c r="BX30" s="140"/>
      <c r="BY30" s="140"/>
      <c r="BZ30" s="140"/>
      <c r="CA30" s="140"/>
      <c r="CB30" s="140"/>
      <c r="CC30" s="140"/>
      <c r="CD30" s="150"/>
      <c r="CE30" s="155"/>
      <c r="CF30" s="150" t="s">
        <v>223</v>
      </c>
      <c r="CG30" s="152"/>
      <c r="CH30" s="252"/>
      <c r="CI30" s="160"/>
      <c r="CJ30" s="159"/>
      <c r="CK30" s="160"/>
      <c r="CL30" s="159"/>
      <c r="CM30" s="160"/>
      <c r="CN30" s="159"/>
      <c r="CO30" s="160"/>
      <c r="CP30" s="159"/>
      <c r="CQ30" s="162"/>
      <c r="CR30" s="160"/>
      <c r="CS30" s="253">
        <f>SUM(IF(AU30&lt;0,ABS(AU30),0),IF(AZ30&lt;0,ABS(AZ30),0),ABS(CI30),ABS(CK30),ABS(CM30),ABS(CO30),ABS(CQ30),ABS(CR30))</f>
        <v>0</v>
      </c>
      <c r="CT30" s="254">
        <f>SUM(AU30,AV30,AW30,AX30/400,AY30,AZ30,BG30,BH30*0.5,BI30*0.25,BJ30,BK30,BL30,BM30,BN30,BO30,BP30,BR30/20,BS30/100,BT30/60,BU30,BV30,BW30,BX30/4,SUM(BY30:CC40)/3,CE30,CG30/3,CI30,CK30,CM30,CO30,CQ30,CR30)</f>
        <v>5.6</v>
      </c>
      <c r="CU30" s="255" t="str">
        <f t="shared" si="2"/>
        <v>MPH</v>
      </c>
    </row>
    <row r="31" ht="60.0" customHeight="1">
      <c r="A31" s="65"/>
      <c r="C31" s="167">
        <v>2.0</v>
      </c>
      <c r="D31" s="168" t="s">
        <v>154</v>
      </c>
      <c r="E31" s="169"/>
      <c r="F31" s="170"/>
      <c r="G31" s="170"/>
      <c r="H31" s="170"/>
      <c r="I31" s="170"/>
      <c r="J31" s="170"/>
      <c r="K31" s="171"/>
      <c r="L31" s="171"/>
      <c r="M31" s="171"/>
      <c r="N31" s="171"/>
      <c r="O31" s="256">
        <f t="shared" si="6"/>
        <v>0</v>
      </c>
      <c r="Q31" s="173"/>
      <c r="R31" s="65"/>
      <c r="S31" s="173"/>
      <c r="T31" s="173"/>
      <c r="U31" s="166"/>
      <c r="V31" s="166"/>
      <c r="W31" s="65"/>
      <c r="X31" s="66"/>
      <c r="Y31" s="173"/>
      <c r="Z31" s="166"/>
      <c r="AA31" s="174"/>
      <c r="AB31" s="175"/>
      <c r="AC31" s="175"/>
      <c r="AD31" s="175"/>
      <c r="AE31" s="175"/>
      <c r="AF31" s="175"/>
      <c r="AG31" s="175"/>
      <c r="AH31" s="175"/>
      <c r="AI31" s="176"/>
      <c r="AJ31" s="177"/>
      <c r="AK31" s="178"/>
      <c r="AL31" s="178"/>
      <c r="AM31" s="178"/>
      <c r="AN31" s="178"/>
      <c r="AO31" s="179"/>
      <c r="AP31" s="64"/>
      <c r="AQ31" s="65"/>
      <c r="AR31" s="65"/>
      <c r="AS31" s="65"/>
      <c r="AT31" s="173"/>
      <c r="AU31" s="177"/>
      <c r="AV31" s="178"/>
      <c r="AW31" s="178"/>
      <c r="AX31" s="179"/>
      <c r="AZ31" s="166"/>
      <c r="BA31" s="177"/>
      <c r="BB31" s="178"/>
      <c r="BC31" s="178"/>
      <c r="BD31" s="178"/>
      <c r="BE31" s="178"/>
      <c r="BF31" s="178"/>
      <c r="BG31" s="178"/>
      <c r="BH31" s="178"/>
      <c r="BI31" s="179"/>
      <c r="BJ31" s="180"/>
      <c r="BK31" s="178"/>
      <c r="BL31" s="178"/>
      <c r="BM31" s="178"/>
      <c r="BN31" s="178"/>
      <c r="BO31" s="181"/>
      <c r="BP31" s="166"/>
      <c r="BQ31" s="177"/>
      <c r="BR31" s="178"/>
      <c r="BS31" s="179"/>
      <c r="BU31" s="166"/>
      <c r="BV31" s="166"/>
      <c r="BW31" s="166"/>
      <c r="BX31" s="166"/>
      <c r="BY31" s="166"/>
      <c r="BZ31" s="166"/>
      <c r="CA31" s="166"/>
      <c r="CB31" s="166"/>
      <c r="CC31" s="166"/>
      <c r="CD31" s="177"/>
      <c r="CE31" s="181"/>
      <c r="CF31" s="177"/>
      <c r="CG31" s="179"/>
      <c r="CH31" s="257"/>
      <c r="CI31" s="182"/>
      <c r="CJ31" s="177"/>
      <c r="CK31" s="182"/>
      <c r="CL31" s="177"/>
      <c r="CM31" s="182"/>
      <c r="CN31" s="177"/>
      <c r="CO31" s="182"/>
      <c r="CP31" s="177"/>
      <c r="CQ31" s="178"/>
      <c r="CR31" s="182"/>
      <c r="CS31" s="173"/>
      <c r="CT31" s="65"/>
      <c r="CU31" s="255" t="str">
        <f t="shared" si="2"/>
        <v>MPH</v>
      </c>
    </row>
    <row r="32" ht="60.0" customHeight="1">
      <c r="A32" s="65"/>
      <c r="C32" s="167">
        <v>3.0</v>
      </c>
      <c r="D32" s="168" t="s">
        <v>154</v>
      </c>
      <c r="E32" s="169"/>
      <c r="F32" s="170"/>
      <c r="G32" s="170"/>
      <c r="H32" s="170"/>
      <c r="I32" s="170"/>
      <c r="J32" s="170"/>
      <c r="K32" s="171"/>
      <c r="L32" s="171"/>
      <c r="M32" s="171"/>
      <c r="N32" s="171"/>
      <c r="O32" s="256">
        <f t="shared" si="6"/>
        <v>0</v>
      </c>
      <c r="Q32" s="173"/>
      <c r="R32" s="65"/>
      <c r="S32" s="173"/>
      <c r="T32" s="173"/>
      <c r="U32" s="166"/>
      <c r="V32" s="166"/>
      <c r="W32" s="65"/>
      <c r="X32" s="66"/>
      <c r="Y32" s="173"/>
      <c r="Z32" s="166"/>
      <c r="AA32" s="174"/>
      <c r="AB32" s="175"/>
      <c r="AC32" s="175"/>
      <c r="AD32" s="175"/>
      <c r="AE32" s="175"/>
      <c r="AF32" s="175"/>
      <c r="AG32" s="175"/>
      <c r="AH32" s="175"/>
      <c r="AI32" s="176"/>
      <c r="AJ32" s="177"/>
      <c r="AK32" s="178"/>
      <c r="AL32" s="178"/>
      <c r="AM32" s="178"/>
      <c r="AN32" s="178"/>
      <c r="AO32" s="179"/>
      <c r="AP32" s="64"/>
      <c r="AQ32" s="65"/>
      <c r="AR32" s="65"/>
      <c r="AS32" s="65"/>
      <c r="AT32" s="173"/>
      <c r="AU32" s="177"/>
      <c r="AV32" s="178"/>
      <c r="AW32" s="178"/>
      <c r="AX32" s="179"/>
      <c r="AZ32" s="166"/>
      <c r="BA32" s="177"/>
      <c r="BB32" s="178"/>
      <c r="BC32" s="178"/>
      <c r="BD32" s="178"/>
      <c r="BE32" s="178"/>
      <c r="BF32" s="178"/>
      <c r="BG32" s="178"/>
      <c r="BH32" s="178"/>
      <c r="BI32" s="179"/>
      <c r="BJ32" s="180"/>
      <c r="BK32" s="178"/>
      <c r="BL32" s="178"/>
      <c r="BM32" s="178"/>
      <c r="BN32" s="178"/>
      <c r="BO32" s="181"/>
      <c r="BP32" s="166"/>
      <c r="BQ32" s="177"/>
      <c r="BR32" s="178"/>
      <c r="BS32" s="179"/>
      <c r="BU32" s="166"/>
      <c r="BV32" s="166"/>
      <c r="BW32" s="166"/>
      <c r="BX32" s="166"/>
      <c r="BY32" s="166"/>
      <c r="BZ32" s="166"/>
      <c r="CA32" s="166"/>
      <c r="CB32" s="166"/>
      <c r="CC32" s="166"/>
      <c r="CD32" s="177"/>
      <c r="CE32" s="181"/>
      <c r="CF32" s="177"/>
      <c r="CG32" s="179"/>
      <c r="CH32" s="257"/>
      <c r="CI32" s="182"/>
      <c r="CJ32" s="177"/>
      <c r="CK32" s="182"/>
      <c r="CL32" s="177"/>
      <c r="CM32" s="182"/>
      <c r="CN32" s="177"/>
      <c r="CO32" s="182"/>
      <c r="CP32" s="177"/>
      <c r="CQ32" s="178"/>
      <c r="CR32" s="182"/>
      <c r="CS32" s="173"/>
      <c r="CT32" s="65"/>
      <c r="CU32" s="255" t="str">
        <f t="shared" si="2"/>
        <v>MPH</v>
      </c>
    </row>
    <row r="33" ht="60.0" customHeight="1">
      <c r="A33" s="65"/>
      <c r="C33" s="167">
        <v>4.0</v>
      </c>
      <c r="D33" s="168" t="s">
        <v>154</v>
      </c>
      <c r="E33" s="169"/>
      <c r="F33" s="170"/>
      <c r="G33" s="170"/>
      <c r="H33" s="170"/>
      <c r="I33" s="170"/>
      <c r="J33" s="170"/>
      <c r="K33" s="171"/>
      <c r="L33" s="171"/>
      <c r="M33" s="171"/>
      <c r="N33" s="171"/>
      <c r="O33" s="256">
        <f t="shared" si="6"/>
        <v>0</v>
      </c>
      <c r="Q33" s="173"/>
      <c r="R33" s="65"/>
      <c r="S33" s="173"/>
      <c r="T33" s="173"/>
      <c r="U33" s="166"/>
      <c r="V33" s="166"/>
      <c r="W33" s="65"/>
      <c r="X33" s="66"/>
      <c r="Y33" s="173"/>
      <c r="Z33" s="166"/>
      <c r="AA33" s="174"/>
      <c r="AB33" s="175"/>
      <c r="AC33" s="175"/>
      <c r="AD33" s="175"/>
      <c r="AE33" s="175"/>
      <c r="AF33" s="175"/>
      <c r="AG33" s="175"/>
      <c r="AH33" s="175"/>
      <c r="AI33" s="176"/>
      <c r="AJ33" s="177"/>
      <c r="AK33" s="178"/>
      <c r="AL33" s="178"/>
      <c r="AM33" s="178"/>
      <c r="AN33" s="178"/>
      <c r="AO33" s="179"/>
      <c r="AP33" s="64"/>
      <c r="AQ33" s="65"/>
      <c r="AR33" s="65"/>
      <c r="AS33" s="65"/>
      <c r="AT33" s="173"/>
      <c r="AU33" s="177"/>
      <c r="AV33" s="178"/>
      <c r="AW33" s="178"/>
      <c r="AX33" s="179"/>
      <c r="AZ33" s="166"/>
      <c r="BA33" s="177"/>
      <c r="BB33" s="178"/>
      <c r="BC33" s="178"/>
      <c r="BD33" s="178"/>
      <c r="BE33" s="178"/>
      <c r="BF33" s="178"/>
      <c r="BG33" s="178"/>
      <c r="BH33" s="178"/>
      <c r="BI33" s="179"/>
      <c r="BJ33" s="180"/>
      <c r="BK33" s="178"/>
      <c r="BL33" s="178"/>
      <c r="BM33" s="178"/>
      <c r="BN33" s="178"/>
      <c r="BO33" s="181"/>
      <c r="BP33" s="166"/>
      <c r="BQ33" s="177"/>
      <c r="BR33" s="178"/>
      <c r="BS33" s="179"/>
      <c r="BU33" s="166"/>
      <c r="BV33" s="166"/>
      <c r="BW33" s="166"/>
      <c r="BX33" s="166"/>
      <c r="BY33" s="166"/>
      <c r="BZ33" s="166"/>
      <c r="CA33" s="166"/>
      <c r="CB33" s="166"/>
      <c r="CC33" s="166"/>
      <c r="CD33" s="177"/>
      <c r="CE33" s="181"/>
      <c r="CF33" s="177"/>
      <c r="CG33" s="179"/>
      <c r="CH33" s="257"/>
      <c r="CI33" s="182"/>
      <c r="CJ33" s="177"/>
      <c r="CK33" s="182"/>
      <c r="CL33" s="177"/>
      <c r="CM33" s="182"/>
      <c r="CN33" s="177"/>
      <c r="CO33" s="182"/>
      <c r="CP33" s="177"/>
      <c r="CQ33" s="178"/>
      <c r="CR33" s="182"/>
      <c r="CS33" s="173"/>
      <c r="CT33" s="65"/>
      <c r="CU33" s="255" t="str">
        <f t="shared" si="2"/>
        <v>MPH</v>
      </c>
    </row>
    <row r="34" ht="60.0" customHeight="1">
      <c r="A34" s="65"/>
      <c r="C34" s="167">
        <v>5.0</v>
      </c>
      <c r="D34" s="168" t="s">
        <v>154</v>
      </c>
      <c r="E34" s="169"/>
      <c r="F34" s="170"/>
      <c r="G34" s="170"/>
      <c r="H34" s="170"/>
      <c r="I34" s="170"/>
      <c r="J34" s="170"/>
      <c r="K34" s="171"/>
      <c r="L34" s="171"/>
      <c r="M34" s="171"/>
      <c r="N34" s="171"/>
      <c r="O34" s="256">
        <f t="shared" si="6"/>
        <v>0</v>
      </c>
      <c r="Q34" s="173"/>
      <c r="R34" s="65"/>
      <c r="S34" s="173"/>
      <c r="T34" s="173"/>
      <c r="U34" s="166"/>
      <c r="V34" s="166"/>
      <c r="W34" s="65"/>
      <c r="X34" s="66"/>
      <c r="Y34" s="173"/>
      <c r="Z34" s="166"/>
      <c r="AA34" s="174"/>
      <c r="AB34" s="175"/>
      <c r="AC34" s="175"/>
      <c r="AD34" s="175"/>
      <c r="AE34" s="175"/>
      <c r="AF34" s="175"/>
      <c r="AG34" s="175"/>
      <c r="AH34" s="175"/>
      <c r="AI34" s="176"/>
      <c r="AJ34" s="177"/>
      <c r="AK34" s="178"/>
      <c r="AL34" s="178"/>
      <c r="AM34" s="178"/>
      <c r="AN34" s="178"/>
      <c r="AO34" s="179"/>
      <c r="AP34" s="64"/>
      <c r="AQ34" s="65"/>
      <c r="AR34" s="65"/>
      <c r="AS34" s="65"/>
      <c r="AT34" s="173"/>
      <c r="AU34" s="177"/>
      <c r="AV34" s="178"/>
      <c r="AW34" s="178"/>
      <c r="AX34" s="179"/>
      <c r="AZ34" s="166"/>
      <c r="BA34" s="177"/>
      <c r="BB34" s="178"/>
      <c r="BC34" s="178"/>
      <c r="BD34" s="178"/>
      <c r="BE34" s="178"/>
      <c r="BF34" s="178"/>
      <c r="BG34" s="178"/>
      <c r="BH34" s="178"/>
      <c r="BI34" s="179"/>
      <c r="BJ34" s="180"/>
      <c r="BK34" s="178"/>
      <c r="BL34" s="178"/>
      <c r="BM34" s="178"/>
      <c r="BN34" s="178"/>
      <c r="BO34" s="181"/>
      <c r="BP34" s="166"/>
      <c r="BQ34" s="177"/>
      <c r="BR34" s="178"/>
      <c r="BS34" s="179"/>
      <c r="BU34" s="166"/>
      <c r="BV34" s="166"/>
      <c r="BW34" s="166"/>
      <c r="BX34" s="166"/>
      <c r="BY34" s="166"/>
      <c r="BZ34" s="166"/>
      <c r="CA34" s="166"/>
      <c r="CB34" s="166"/>
      <c r="CC34" s="166"/>
      <c r="CD34" s="177"/>
      <c r="CE34" s="181"/>
      <c r="CF34" s="177"/>
      <c r="CG34" s="179"/>
      <c r="CH34" s="257"/>
      <c r="CI34" s="182"/>
      <c r="CJ34" s="177"/>
      <c r="CK34" s="182"/>
      <c r="CL34" s="177"/>
      <c r="CM34" s="182"/>
      <c r="CN34" s="177"/>
      <c r="CO34" s="182"/>
      <c r="CP34" s="177"/>
      <c r="CQ34" s="178"/>
      <c r="CR34" s="182"/>
      <c r="CS34" s="173"/>
      <c r="CT34" s="65"/>
      <c r="CU34" s="255" t="str">
        <f t="shared" si="2"/>
        <v>MPH</v>
      </c>
    </row>
    <row r="35" ht="60.0" customHeight="1">
      <c r="A35" s="65"/>
      <c r="C35" s="167">
        <v>6.0</v>
      </c>
      <c r="D35" s="168" t="s">
        <v>154</v>
      </c>
      <c r="E35" s="169"/>
      <c r="F35" s="170"/>
      <c r="G35" s="170"/>
      <c r="H35" s="170"/>
      <c r="I35" s="170"/>
      <c r="J35" s="170"/>
      <c r="K35" s="171"/>
      <c r="L35" s="171"/>
      <c r="M35" s="171"/>
      <c r="N35" s="171"/>
      <c r="O35" s="256">
        <f t="shared" si="6"/>
        <v>0</v>
      </c>
      <c r="Q35" s="173"/>
      <c r="R35" s="65"/>
      <c r="S35" s="173"/>
      <c r="T35" s="173"/>
      <c r="U35" s="166"/>
      <c r="V35" s="166"/>
      <c r="W35" s="65"/>
      <c r="X35" s="66"/>
      <c r="Y35" s="173"/>
      <c r="Z35" s="166"/>
      <c r="AA35" s="174"/>
      <c r="AB35" s="175"/>
      <c r="AC35" s="175"/>
      <c r="AD35" s="175"/>
      <c r="AE35" s="175"/>
      <c r="AF35" s="175"/>
      <c r="AG35" s="175"/>
      <c r="AH35" s="175"/>
      <c r="AI35" s="176"/>
      <c r="AJ35" s="177"/>
      <c r="AK35" s="178"/>
      <c r="AL35" s="178"/>
      <c r="AM35" s="178"/>
      <c r="AN35" s="178"/>
      <c r="AO35" s="179"/>
      <c r="AP35" s="64"/>
      <c r="AQ35" s="65"/>
      <c r="AR35" s="65"/>
      <c r="AS35" s="65"/>
      <c r="AT35" s="173"/>
      <c r="AU35" s="177"/>
      <c r="AV35" s="178"/>
      <c r="AW35" s="178"/>
      <c r="AX35" s="179"/>
      <c r="AZ35" s="166"/>
      <c r="BA35" s="177"/>
      <c r="BB35" s="178"/>
      <c r="BC35" s="178"/>
      <c r="BD35" s="178"/>
      <c r="BE35" s="178"/>
      <c r="BF35" s="178"/>
      <c r="BG35" s="178"/>
      <c r="BH35" s="178"/>
      <c r="BI35" s="179"/>
      <c r="BJ35" s="180"/>
      <c r="BK35" s="178"/>
      <c r="BL35" s="178"/>
      <c r="BM35" s="178"/>
      <c r="BN35" s="178"/>
      <c r="BO35" s="181"/>
      <c r="BP35" s="166"/>
      <c r="BQ35" s="177"/>
      <c r="BR35" s="178"/>
      <c r="BS35" s="179"/>
      <c r="BU35" s="166"/>
      <c r="BV35" s="166"/>
      <c r="BW35" s="166"/>
      <c r="BX35" s="166"/>
      <c r="BY35" s="166"/>
      <c r="BZ35" s="166"/>
      <c r="CA35" s="166"/>
      <c r="CB35" s="166"/>
      <c r="CC35" s="166"/>
      <c r="CD35" s="177"/>
      <c r="CE35" s="181"/>
      <c r="CF35" s="177"/>
      <c r="CG35" s="179"/>
      <c r="CH35" s="257"/>
      <c r="CI35" s="182"/>
      <c r="CJ35" s="177"/>
      <c r="CK35" s="182"/>
      <c r="CL35" s="177"/>
      <c r="CM35" s="182"/>
      <c r="CN35" s="177"/>
      <c r="CO35" s="182"/>
      <c r="CP35" s="177"/>
      <c r="CQ35" s="178"/>
      <c r="CR35" s="182"/>
      <c r="CS35" s="173"/>
      <c r="CT35" s="65"/>
      <c r="CU35" s="255" t="str">
        <f t="shared" si="2"/>
        <v>MPH</v>
      </c>
    </row>
    <row r="36" ht="60.0" customHeight="1">
      <c r="A36" s="65"/>
      <c r="C36" s="167">
        <v>7.0</v>
      </c>
      <c r="D36" s="168" t="s">
        <v>154</v>
      </c>
      <c r="E36" s="169"/>
      <c r="F36" s="170"/>
      <c r="G36" s="170"/>
      <c r="H36" s="170"/>
      <c r="I36" s="170"/>
      <c r="J36" s="170"/>
      <c r="K36" s="171"/>
      <c r="L36" s="171"/>
      <c r="M36" s="171"/>
      <c r="N36" s="171"/>
      <c r="O36" s="256">
        <f t="shared" ref="O36:O39" si="7">IF(AND(M36&gt;=20,M36&lt;&gt;"m",RIGHT(K36,3)="Lec"),1,IF(AND(M36&gt;=20,M36&lt;&gt;"m",OR(RIGHT(K36,3)="Lab",RIGHT(K36,3)="Tut")),0.5,IF(AND(M36&gt;=20,M36&lt;&gt;"m",RIGHT(K36,2)="TL"),0.75,0)))</f>
        <v>0</v>
      </c>
      <c r="Q36" s="173"/>
      <c r="R36" s="65"/>
      <c r="S36" s="173"/>
      <c r="T36" s="173"/>
      <c r="U36" s="166"/>
      <c r="V36" s="166"/>
      <c r="W36" s="65"/>
      <c r="X36" s="66"/>
      <c r="Y36" s="173"/>
      <c r="Z36" s="166"/>
      <c r="AA36" s="174"/>
      <c r="AB36" s="175"/>
      <c r="AC36" s="175"/>
      <c r="AD36" s="175"/>
      <c r="AE36" s="175"/>
      <c r="AF36" s="175"/>
      <c r="AG36" s="175"/>
      <c r="AH36" s="175"/>
      <c r="AI36" s="176"/>
      <c r="AJ36" s="177"/>
      <c r="AK36" s="178"/>
      <c r="AL36" s="178"/>
      <c r="AM36" s="178"/>
      <c r="AN36" s="178"/>
      <c r="AO36" s="179"/>
      <c r="AP36" s="64"/>
      <c r="AQ36" s="65"/>
      <c r="AR36" s="65"/>
      <c r="AS36" s="65"/>
      <c r="AT36" s="173"/>
      <c r="AU36" s="177"/>
      <c r="AV36" s="178"/>
      <c r="AW36" s="178"/>
      <c r="AX36" s="179"/>
      <c r="AZ36" s="166"/>
      <c r="BA36" s="177"/>
      <c r="BB36" s="178"/>
      <c r="BC36" s="178"/>
      <c r="BD36" s="178"/>
      <c r="BE36" s="178"/>
      <c r="BF36" s="178"/>
      <c r="BG36" s="178"/>
      <c r="BH36" s="178"/>
      <c r="BI36" s="179"/>
      <c r="BJ36" s="180"/>
      <c r="BK36" s="178"/>
      <c r="BL36" s="178"/>
      <c r="BM36" s="178"/>
      <c r="BN36" s="178"/>
      <c r="BO36" s="181"/>
      <c r="BP36" s="166"/>
      <c r="BQ36" s="177"/>
      <c r="BR36" s="178"/>
      <c r="BS36" s="179"/>
      <c r="BU36" s="166"/>
      <c r="BV36" s="166"/>
      <c r="BW36" s="166"/>
      <c r="BX36" s="166"/>
      <c r="BY36" s="166"/>
      <c r="BZ36" s="166"/>
      <c r="CA36" s="166"/>
      <c r="CB36" s="166"/>
      <c r="CC36" s="166"/>
      <c r="CD36" s="177"/>
      <c r="CE36" s="181"/>
      <c r="CF36" s="177"/>
      <c r="CG36" s="179"/>
      <c r="CH36" s="257"/>
      <c r="CI36" s="182"/>
      <c r="CJ36" s="177"/>
      <c r="CK36" s="182"/>
      <c r="CL36" s="177"/>
      <c r="CM36" s="182"/>
      <c r="CN36" s="177"/>
      <c r="CO36" s="182"/>
      <c r="CP36" s="177"/>
      <c r="CQ36" s="178"/>
      <c r="CR36" s="182"/>
      <c r="CS36" s="173"/>
      <c r="CT36" s="65"/>
      <c r="CU36" s="255" t="str">
        <f t="shared" si="2"/>
        <v>MPH</v>
      </c>
    </row>
    <row r="37" ht="60.0" customHeight="1">
      <c r="A37" s="65"/>
      <c r="C37" s="167">
        <v>8.0</v>
      </c>
      <c r="D37" s="168" t="s">
        <v>154</v>
      </c>
      <c r="E37" s="169"/>
      <c r="F37" s="170"/>
      <c r="G37" s="170"/>
      <c r="H37" s="170"/>
      <c r="I37" s="170"/>
      <c r="J37" s="170"/>
      <c r="K37" s="171"/>
      <c r="L37" s="171"/>
      <c r="M37" s="171"/>
      <c r="N37" s="171"/>
      <c r="O37" s="256">
        <f t="shared" si="7"/>
        <v>0</v>
      </c>
      <c r="Q37" s="173"/>
      <c r="R37" s="65"/>
      <c r="S37" s="173"/>
      <c r="T37" s="173"/>
      <c r="U37" s="166"/>
      <c r="V37" s="166"/>
      <c r="W37" s="65"/>
      <c r="X37" s="66"/>
      <c r="Y37" s="173"/>
      <c r="Z37" s="166"/>
      <c r="AA37" s="174"/>
      <c r="AB37" s="175"/>
      <c r="AC37" s="175"/>
      <c r="AD37" s="175"/>
      <c r="AE37" s="175"/>
      <c r="AF37" s="175"/>
      <c r="AG37" s="175"/>
      <c r="AH37" s="175"/>
      <c r="AI37" s="176"/>
      <c r="AJ37" s="177"/>
      <c r="AK37" s="178"/>
      <c r="AL37" s="178"/>
      <c r="AM37" s="178"/>
      <c r="AN37" s="178"/>
      <c r="AO37" s="179"/>
      <c r="AP37" s="64"/>
      <c r="AQ37" s="65"/>
      <c r="AR37" s="65"/>
      <c r="AS37" s="65"/>
      <c r="AT37" s="173"/>
      <c r="AU37" s="177"/>
      <c r="AV37" s="178"/>
      <c r="AW37" s="178"/>
      <c r="AX37" s="179"/>
      <c r="AZ37" s="166"/>
      <c r="BA37" s="177"/>
      <c r="BB37" s="178"/>
      <c r="BC37" s="178"/>
      <c r="BD37" s="178"/>
      <c r="BE37" s="178"/>
      <c r="BF37" s="178"/>
      <c r="BG37" s="178"/>
      <c r="BH37" s="178"/>
      <c r="BI37" s="179"/>
      <c r="BJ37" s="180"/>
      <c r="BK37" s="178"/>
      <c r="BL37" s="178"/>
      <c r="BM37" s="178"/>
      <c r="BN37" s="178"/>
      <c r="BO37" s="181"/>
      <c r="BP37" s="166"/>
      <c r="BQ37" s="177"/>
      <c r="BR37" s="178"/>
      <c r="BS37" s="179"/>
      <c r="BU37" s="166"/>
      <c r="BV37" s="166"/>
      <c r="BW37" s="166"/>
      <c r="BX37" s="166"/>
      <c r="BY37" s="166"/>
      <c r="BZ37" s="166"/>
      <c r="CA37" s="166"/>
      <c r="CB37" s="166"/>
      <c r="CC37" s="166"/>
      <c r="CD37" s="177"/>
      <c r="CE37" s="181"/>
      <c r="CF37" s="177"/>
      <c r="CG37" s="179"/>
      <c r="CH37" s="257"/>
      <c r="CI37" s="182"/>
      <c r="CJ37" s="177"/>
      <c r="CK37" s="182"/>
      <c r="CL37" s="177"/>
      <c r="CM37" s="182"/>
      <c r="CN37" s="177"/>
      <c r="CO37" s="182"/>
      <c r="CP37" s="177"/>
      <c r="CQ37" s="178"/>
      <c r="CR37" s="182"/>
      <c r="CS37" s="173"/>
      <c r="CT37" s="65"/>
      <c r="CU37" s="255" t="str">
        <f t="shared" si="2"/>
        <v>MPH</v>
      </c>
    </row>
    <row r="38" ht="60.0" customHeight="1">
      <c r="A38" s="65"/>
      <c r="C38" s="167">
        <v>9.0</v>
      </c>
      <c r="D38" s="168" t="s">
        <v>154</v>
      </c>
      <c r="E38" s="169"/>
      <c r="F38" s="170"/>
      <c r="G38" s="170"/>
      <c r="H38" s="170"/>
      <c r="I38" s="170"/>
      <c r="J38" s="170"/>
      <c r="K38" s="171"/>
      <c r="L38" s="171"/>
      <c r="M38" s="171"/>
      <c r="N38" s="171"/>
      <c r="O38" s="256">
        <f t="shared" si="7"/>
        <v>0</v>
      </c>
      <c r="Q38" s="173"/>
      <c r="R38" s="65"/>
      <c r="S38" s="173"/>
      <c r="T38" s="173"/>
      <c r="U38" s="166"/>
      <c r="V38" s="166"/>
      <c r="W38" s="65"/>
      <c r="X38" s="66"/>
      <c r="Y38" s="173"/>
      <c r="Z38" s="166"/>
      <c r="AA38" s="174"/>
      <c r="AB38" s="175"/>
      <c r="AC38" s="175"/>
      <c r="AD38" s="175"/>
      <c r="AE38" s="175"/>
      <c r="AF38" s="175"/>
      <c r="AG38" s="175"/>
      <c r="AH38" s="175"/>
      <c r="AI38" s="176"/>
      <c r="AJ38" s="177"/>
      <c r="AK38" s="178"/>
      <c r="AL38" s="178"/>
      <c r="AM38" s="178"/>
      <c r="AN38" s="178"/>
      <c r="AO38" s="179"/>
      <c r="AP38" s="64"/>
      <c r="AQ38" s="65"/>
      <c r="AR38" s="65"/>
      <c r="AS38" s="65"/>
      <c r="AT38" s="173"/>
      <c r="AU38" s="177"/>
      <c r="AV38" s="178"/>
      <c r="AW38" s="178"/>
      <c r="AX38" s="179"/>
      <c r="AZ38" s="166"/>
      <c r="BA38" s="177"/>
      <c r="BB38" s="178"/>
      <c r="BC38" s="178"/>
      <c r="BD38" s="178"/>
      <c r="BE38" s="178"/>
      <c r="BF38" s="178"/>
      <c r="BG38" s="178"/>
      <c r="BH38" s="178"/>
      <c r="BI38" s="179"/>
      <c r="BJ38" s="180"/>
      <c r="BK38" s="178"/>
      <c r="BL38" s="178"/>
      <c r="BM38" s="178"/>
      <c r="BN38" s="178"/>
      <c r="BO38" s="181"/>
      <c r="BP38" s="166"/>
      <c r="BQ38" s="177"/>
      <c r="BR38" s="178"/>
      <c r="BS38" s="179"/>
      <c r="BU38" s="166"/>
      <c r="BV38" s="166"/>
      <c r="BW38" s="166"/>
      <c r="BX38" s="166"/>
      <c r="BY38" s="166"/>
      <c r="BZ38" s="166"/>
      <c r="CA38" s="166"/>
      <c r="CB38" s="166"/>
      <c r="CC38" s="166"/>
      <c r="CD38" s="177"/>
      <c r="CE38" s="181"/>
      <c r="CF38" s="177"/>
      <c r="CG38" s="179"/>
      <c r="CH38" s="257"/>
      <c r="CI38" s="182"/>
      <c r="CJ38" s="177"/>
      <c r="CK38" s="182"/>
      <c r="CL38" s="177"/>
      <c r="CM38" s="182"/>
      <c r="CN38" s="177"/>
      <c r="CO38" s="182"/>
      <c r="CP38" s="177"/>
      <c r="CQ38" s="178"/>
      <c r="CR38" s="182"/>
      <c r="CS38" s="173"/>
      <c r="CT38" s="65"/>
      <c r="CU38" s="255" t="str">
        <f t="shared" si="2"/>
        <v>MPH</v>
      </c>
    </row>
    <row r="39" ht="60.0" customHeight="1">
      <c r="A39" s="65"/>
      <c r="C39" s="167">
        <v>10.0</v>
      </c>
      <c r="D39" s="168" t="s">
        <v>154</v>
      </c>
      <c r="E39" s="169"/>
      <c r="F39" s="170"/>
      <c r="G39" s="170"/>
      <c r="H39" s="170"/>
      <c r="I39" s="170"/>
      <c r="J39" s="170"/>
      <c r="K39" s="171"/>
      <c r="L39" s="171"/>
      <c r="M39" s="171"/>
      <c r="N39" s="171"/>
      <c r="O39" s="256">
        <f t="shared" si="7"/>
        <v>0</v>
      </c>
      <c r="Q39" s="173"/>
      <c r="R39" s="65"/>
      <c r="S39" s="173"/>
      <c r="T39" s="173"/>
      <c r="U39" s="166"/>
      <c r="V39" s="166"/>
      <c r="W39" s="65"/>
      <c r="X39" s="66"/>
      <c r="Y39" s="173"/>
      <c r="Z39" s="166"/>
      <c r="AA39" s="174"/>
      <c r="AB39" s="175"/>
      <c r="AC39" s="175"/>
      <c r="AD39" s="175"/>
      <c r="AE39" s="175"/>
      <c r="AF39" s="175"/>
      <c r="AG39" s="175"/>
      <c r="AH39" s="175"/>
      <c r="AI39" s="176"/>
      <c r="AJ39" s="177"/>
      <c r="AK39" s="178"/>
      <c r="AL39" s="178"/>
      <c r="AM39" s="178"/>
      <c r="AN39" s="178"/>
      <c r="AO39" s="179"/>
      <c r="AP39" s="64"/>
      <c r="AQ39" s="65"/>
      <c r="AR39" s="65"/>
      <c r="AS39" s="65"/>
      <c r="AT39" s="173"/>
      <c r="AU39" s="177"/>
      <c r="AV39" s="178"/>
      <c r="AW39" s="178"/>
      <c r="AX39" s="179"/>
      <c r="AZ39" s="166"/>
      <c r="BA39" s="177"/>
      <c r="BB39" s="178"/>
      <c r="BC39" s="178"/>
      <c r="BD39" s="178"/>
      <c r="BE39" s="178"/>
      <c r="BF39" s="178"/>
      <c r="BG39" s="178"/>
      <c r="BH39" s="178"/>
      <c r="BI39" s="179"/>
      <c r="BJ39" s="180"/>
      <c r="BK39" s="178"/>
      <c r="BL39" s="178"/>
      <c r="BM39" s="178"/>
      <c r="BN39" s="178"/>
      <c r="BO39" s="181"/>
      <c r="BP39" s="166"/>
      <c r="BQ39" s="177"/>
      <c r="BR39" s="178"/>
      <c r="BS39" s="179"/>
      <c r="BU39" s="166"/>
      <c r="BV39" s="166"/>
      <c r="BW39" s="166"/>
      <c r="BX39" s="166"/>
      <c r="BY39" s="166"/>
      <c r="BZ39" s="166"/>
      <c r="CA39" s="166"/>
      <c r="CB39" s="166"/>
      <c r="CC39" s="166"/>
      <c r="CD39" s="177"/>
      <c r="CE39" s="181"/>
      <c r="CF39" s="177"/>
      <c r="CG39" s="179"/>
      <c r="CH39" s="257"/>
      <c r="CI39" s="182"/>
      <c r="CJ39" s="177"/>
      <c r="CK39" s="182"/>
      <c r="CL39" s="177"/>
      <c r="CM39" s="182"/>
      <c r="CN39" s="177"/>
      <c r="CO39" s="182"/>
      <c r="CP39" s="177"/>
      <c r="CQ39" s="178"/>
      <c r="CR39" s="182"/>
      <c r="CS39" s="173"/>
      <c r="CT39" s="65"/>
      <c r="CU39" s="255" t="str">
        <f t="shared" si="2"/>
        <v>MPH</v>
      </c>
    </row>
    <row r="40" ht="60.0" customHeight="1">
      <c r="A40" s="89"/>
      <c r="C40" s="183">
        <v>11.0</v>
      </c>
      <c r="D40" s="210" t="s">
        <v>154</v>
      </c>
      <c r="E40" s="185"/>
      <c r="F40" s="186"/>
      <c r="G40" s="186"/>
      <c r="H40" s="186"/>
      <c r="I40" s="186"/>
      <c r="J40" s="186"/>
      <c r="K40" s="187"/>
      <c r="L40" s="187"/>
      <c r="M40" s="187"/>
      <c r="N40" s="187"/>
      <c r="O40" s="258">
        <f t="shared" ref="O40:O46" si="8">IF(AND(M40&lt;&gt;0,M40&lt;&gt;"m",M40&lt;&gt;"",RIGHT(K40,3)="Lec"),1,IF(AND(M40&lt;&gt;0,M40&lt;&gt;"m",M40&lt;&gt;"",OR(RIGHT(K40,3)="Lab",RIGHT(K40,3)="Tut")),0.5,IF(AND(M40&lt;&gt;0,M40&lt;&gt;"m",M40&lt;&gt;"",RIGHT(K40,2)="TL"),0.75,0)))</f>
        <v>0</v>
      </c>
      <c r="P40" s="6"/>
      <c r="Q40" s="69"/>
      <c r="R40" s="89"/>
      <c r="S40" s="69"/>
      <c r="T40" s="69"/>
      <c r="U40" s="63"/>
      <c r="V40" s="63"/>
      <c r="W40" s="89"/>
      <c r="X40" s="68"/>
      <c r="Y40" s="69"/>
      <c r="Z40" s="63"/>
      <c r="AA40" s="189"/>
      <c r="AB40" s="190"/>
      <c r="AC40" s="190"/>
      <c r="AD40" s="190"/>
      <c r="AE40" s="190"/>
      <c r="AF40" s="190"/>
      <c r="AG40" s="190"/>
      <c r="AH40" s="190"/>
      <c r="AI40" s="191"/>
      <c r="AJ40" s="192"/>
      <c r="AK40" s="193"/>
      <c r="AL40" s="193"/>
      <c r="AM40" s="193"/>
      <c r="AN40" s="193"/>
      <c r="AO40" s="194"/>
      <c r="AP40" s="103"/>
      <c r="AQ40" s="89"/>
      <c r="AR40" s="89"/>
      <c r="AS40" s="89"/>
      <c r="AT40" s="69"/>
      <c r="AU40" s="192"/>
      <c r="AV40" s="193"/>
      <c r="AW40" s="193"/>
      <c r="AX40" s="194"/>
      <c r="AY40" s="6"/>
      <c r="AZ40" s="63"/>
      <c r="BA40" s="192"/>
      <c r="BB40" s="193"/>
      <c r="BC40" s="193"/>
      <c r="BD40" s="193"/>
      <c r="BE40" s="193"/>
      <c r="BF40" s="193"/>
      <c r="BG40" s="193"/>
      <c r="BH40" s="193"/>
      <c r="BI40" s="194"/>
      <c r="BJ40" s="195"/>
      <c r="BK40" s="193"/>
      <c r="BL40" s="193"/>
      <c r="BM40" s="193"/>
      <c r="BN40" s="193"/>
      <c r="BO40" s="196"/>
      <c r="BP40" s="63"/>
      <c r="BQ40" s="192"/>
      <c r="BR40" s="193"/>
      <c r="BS40" s="194"/>
      <c r="BT40" s="6"/>
      <c r="BU40" s="63"/>
      <c r="BV40" s="63"/>
      <c r="BW40" s="63"/>
      <c r="BX40" s="63"/>
      <c r="BY40" s="63"/>
      <c r="BZ40" s="63"/>
      <c r="CA40" s="63"/>
      <c r="CB40" s="63"/>
      <c r="CC40" s="63"/>
      <c r="CD40" s="192"/>
      <c r="CE40" s="196"/>
      <c r="CF40" s="192"/>
      <c r="CG40" s="194"/>
      <c r="CH40" s="259"/>
      <c r="CI40" s="197"/>
      <c r="CJ40" s="192"/>
      <c r="CK40" s="197"/>
      <c r="CL40" s="192"/>
      <c r="CM40" s="197"/>
      <c r="CN40" s="192"/>
      <c r="CO40" s="197"/>
      <c r="CP40" s="192"/>
      <c r="CQ40" s="193"/>
      <c r="CR40" s="197"/>
      <c r="CS40" s="69"/>
      <c r="CT40" s="89"/>
      <c r="CU40" s="255" t="str">
        <f t="shared" si="2"/>
        <v>MPH</v>
      </c>
    </row>
    <row r="41" ht="56.25" customHeight="1">
      <c r="A41" s="125">
        <v>4.0</v>
      </c>
      <c r="B41" s="199" t="s">
        <v>157</v>
      </c>
      <c r="C41" s="127">
        <v>1.0</v>
      </c>
      <c r="D41" s="168" t="s">
        <v>158</v>
      </c>
      <c r="E41" s="129"/>
      <c r="F41" s="130"/>
      <c r="G41" s="130"/>
      <c r="H41" s="130"/>
      <c r="I41" s="130"/>
      <c r="J41" s="130"/>
      <c r="K41" s="131"/>
      <c r="L41" s="131"/>
      <c r="M41" s="131"/>
      <c r="N41" s="131"/>
      <c r="O41" s="250">
        <f t="shared" si="8"/>
        <v>0</v>
      </c>
      <c r="P41" s="251">
        <f>COUNTIF(K41:K51,"TL")*0.75+COUNTIF(K41:K51,"Lec")*1+COUNTIF(K41:K51,"Lab")*0.5</f>
        <v>0</v>
      </c>
      <c r="Q41" s="134">
        <f>SUM((IF(LEFT(K41,1)="E",O41,0)),(IF(LEFT(K42,1)="E",O42,0)),(IF(LEFT(K43,1)="E",O43,0)),(IF(LEFT(K44,1)="E",O44,0)),(IF(LEFT(K45,1)="E",O45,0)),(IF(LEFT(K46,1)="E",O46,0)),(IF(LEFT(K47,1)="E",O47,0)),(IF(LEFT(K48,1)="E",O48,0)),(IF(LEFT(K49,1)="E",O49,0)),(IF(LEFT(K50,1)="E",O50,0)),(IF(LEFT(K51,1)="E",O51,0)))</f>
        <v>0</v>
      </c>
      <c r="R41" s="135">
        <f>SUM(IF(M47&lt;20,IF(K47="Plec",-1,IF(K47="PTL",-0.75,IF(K47="Plab",-0.5,0))),0),IF(M48&lt;20,IF(K48="Plec",-1,IF(K48="PTL",-0.75,IF(K48="Plab",-0.5,0))),0),IF(M49&lt;20,IF(K49="Plec",-1,IF(K49="PTL",-0.75,IF(K49="Plab",-0.5,0))),0),IF(M50&lt;20,IF(K50="Plec",-1,IF(K50="PTL",-0.75,IF(K50="Plab",-0.5,0))),0))</f>
        <v>0</v>
      </c>
      <c r="S41" s="134">
        <f>SUM(P41:R51)</f>
        <v>0</v>
      </c>
      <c r="T41" s="136">
        <f>SUM(IF(M41="M",IF(OR(K41="lec",K41="plec",K41="slec"),1,IF(OR(K41="lab",K41="plab",K41="slab",K41="tut",K41="ptut",K41="stut"),0.5,IF(OR(K41="TL",K41="pTL",K41="STL"),0.75,0))),0),IF(M42="M",IF(OR(K42="lec",K42="plec",K42="slec"),1,IF(OR(K42="lab",K42="plab",K42="slab",K42="tut",K42="ptut",K42="stut"),0.5,IF(OR(K42="TL",K42="pTL",K42="STL"),0.75,0))),0),IF(M43="M",IF(OR(K43="lec",K43="plec",K43="slec"),1,IF(OR(K43="lab",K43="plab",K43="slab",K43="tut",K43="ptut",K43="stut"),0.5,IF(OR(K43="TL",K43="pTL",K43="STL"),0.75,0))),0),IF(M44="M",IF(OR(K44="lec",K44="plec",K44="slec"),1,IF(OR(K44="lab",K44="plab",K44="slab",K44="tut",K44="ptut",K44="stut"),0.5,IF(OR(K44="TL",K44="pTL",K44="STL"),0.75,0))),0),IF(M45="M",IF(OR(K45="lec",K45="plec",K45="slec"),1,IF(OR(K45="lab",K45="plab",K45="slab",K45="tut",K45="ptut",K45="stut"),0.5,IF(OR(K45="TL",K45="pTL",K45="STL"),0.75,0))),0),IF(M46="M",IF(OR(K46="lec",K46="plec",K46="slec"),1,IF(OR(K46="lab",K46="plab",K46="slab",K46="tut",K46="ptut",K46="stut"),0.5,IF(OR(K46="TL",K46="pTL",K46="STL"),0.75,0))),0),IF(M47="M",IF(OR(K47="lec",K47="plec",K47="slec"),1,IF(OR(K47="lab",K47="plab",K47="slab",K47="tut",K47="ptut",K47="stut"),0.5,IF(OR(K47="TL",K47="pTL",K47="STL"),0.75,0))),0),IF(M48="M",IF(OR(K48="lec",K48="plec",K48="slec"),1,IF(OR(K48="lab",K48="plab",K48="slab",K48="tut",K48="ptut",K48="stut"),0.5,IF(OR(K48="TL",K48="pTL",K48="STL"),0.75,0))),0),IF(M49="M",IF(OR(K49="lec",K49="plec",K49="slec"),1,IF(OR(K49="lab",K49="plab",K49="slab",K49="tut",K49="ptut",K49="stut"),0.5,IF(OR(K49="TL",K49="pTL",K49="STL"),0.75,0))),0),IF(M50="M",IF(OR(K50="lec",K50="plec",K50="slec"),1,IF(OR(K50="lab",K50="plab",K50="slab",K50="tut",K50="ptut",K50="stut"),0.5,IF(OR(K50="TL",K50="pTL",K50="STL"),0.75,0))),0),IF(M51="M",IF(OR(K51="lec",K51="plec",K51="slec"),1,IF(OR(K51="lab",K51="plab",K51="slab",K51="tut",K51="ptut",K51="stut"),0.5,IF(OR(K51="TL",K51="pTL",K51="STL"),0.75,0))),0))</f>
        <v>0</v>
      </c>
      <c r="U41" s="137"/>
      <c r="V41" s="133"/>
      <c r="W41" s="138"/>
      <c r="X41" s="139">
        <f>S41-(T41+U41+V41+W41)</f>
        <v>0</v>
      </c>
      <c r="Y41" s="134" t="str">
        <f>CONCATENATE(SUM(O41:O51),"(",SUM(O41:O51)-X41,")")</f>
        <v>0(0)</v>
      </c>
      <c r="Z41" s="140"/>
      <c r="AA41" s="141"/>
      <c r="AB41" s="142"/>
      <c r="AC41" s="142"/>
      <c r="AD41" s="142"/>
      <c r="AE41" s="142"/>
      <c r="AF41" s="142"/>
      <c r="AG41" s="142"/>
      <c r="AH41" s="142"/>
      <c r="AI41" s="143"/>
      <c r="AJ41" s="144"/>
      <c r="AK41" s="145"/>
      <c r="AL41" s="145"/>
      <c r="AM41" s="145"/>
      <c r="AN41" s="145"/>
      <c r="AO41" s="146"/>
      <c r="AP41" s="147">
        <f>SUM(SUM(O41:O51),SUM(AI41:AI51)/2,AM41)</f>
        <v>0</v>
      </c>
      <c r="AQ41" s="148"/>
      <c r="AR41" s="148">
        <f>AP41*AQ41</f>
        <v>0</v>
      </c>
      <c r="AS41" s="148">
        <f>CT41</f>
        <v>0.2</v>
      </c>
      <c r="AT41" s="149">
        <f>AR41*0.75+AS41*0.25</f>
        <v>0.05</v>
      </c>
      <c r="AU41" s="150"/>
      <c r="AV41" s="151"/>
      <c r="AW41" s="151"/>
      <c r="AX41" s="152"/>
      <c r="AY41" s="153"/>
      <c r="AZ41" s="140"/>
      <c r="BA41" s="150"/>
      <c r="BB41" s="151"/>
      <c r="BC41" s="151"/>
      <c r="BD41" s="151"/>
      <c r="BE41" s="151"/>
      <c r="BF41" s="151"/>
      <c r="BG41" s="151"/>
      <c r="BH41" s="151"/>
      <c r="BI41" s="152"/>
      <c r="BJ41" s="154"/>
      <c r="BK41" s="151"/>
      <c r="BL41" s="151"/>
      <c r="BM41" s="151"/>
      <c r="BN41" s="151"/>
      <c r="BO41" s="155"/>
      <c r="BP41" s="140"/>
      <c r="BQ41" s="156" t="s">
        <v>222</v>
      </c>
      <c r="BR41" s="157">
        <v>4.0</v>
      </c>
      <c r="BS41" s="158">
        <v>0.0</v>
      </c>
      <c r="BT41" s="153"/>
      <c r="BU41" s="140"/>
      <c r="BV41" s="140"/>
      <c r="BW41" s="140"/>
      <c r="BX41" s="140"/>
      <c r="BY41" s="140"/>
      <c r="BZ41" s="140"/>
      <c r="CA41" s="140"/>
      <c r="CB41" s="140"/>
      <c r="CC41" s="140"/>
      <c r="CD41" s="150"/>
      <c r="CE41" s="155"/>
      <c r="CF41" s="150"/>
      <c r="CG41" s="152"/>
      <c r="CH41" s="252">
        <v>1.0</v>
      </c>
      <c r="CI41" s="160">
        <v>0.0</v>
      </c>
      <c r="CJ41" s="159"/>
      <c r="CK41" s="160"/>
      <c r="CL41" s="159"/>
      <c r="CM41" s="160"/>
      <c r="CN41" s="159"/>
      <c r="CO41" s="160"/>
      <c r="CP41" s="159"/>
      <c r="CQ41" s="162"/>
      <c r="CR41" s="160"/>
      <c r="CS41" s="253">
        <f>SUM(IF(AU41&lt;0,ABS(AU41),0),IF(AZ41&lt;0,ABS(AZ41),0),ABS(CI41),ABS(CK41),ABS(CM41),ABS(CO41),ABS(CQ41),ABS(CR41))</f>
        <v>0</v>
      </c>
      <c r="CT41" s="254">
        <f>SUM(AU41,AV41,AW41,AX41/400,AY41,AZ41,BG41,BH41*0.5,BI41*0.25,BJ41,BK41,BL41,BM41,BN41,BO41,BP41,BR41/20,BS41/100,BT41/60,BU41,BV41,BW41,BX41/4,SUM(BY41:CC51)/3,CE41,CG41/3,CI41,CK41,CM41,CO41,CQ41,CR41)</f>
        <v>0.2</v>
      </c>
      <c r="CU41" s="255" t="str">
        <f t="shared" si="2"/>
        <v>MVK</v>
      </c>
    </row>
    <row r="42" ht="60.0" customHeight="1">
      <c r="A42" s="65"/>
      <c r="C42" s="167">
        <v>2.0</v>
      </c>
      <c r="D42" s="168" t="s">
        <v>158</v>
      </c>
      <c r="E42" s="169"/>
      <c r="F42" s="170"/>
      <c r="G42" s="170"/>
      <c r="H42" s="170"/>
      <c r="I42" s="170"/>
      <c r="J42" s="170"/>
      <c r="K42" s="171"/>
      <c r="L42" s="171"/>
      <c r="M42" s="171"/>
      <c r="N42" s="171"/>
      <c r="O42" s="256">
        <f t="shared" si="8"/>
        <v>0</v>
      </c>
      <c r="Q42" s="173"/>
      <c r="R42" s="65"/>
      <c r="S42" s="173"/>
      <c r="T42" s="173"/>
      <c r="U42" s="166"/>
      <c r="V42" s="166"/>
      <c r="W42" s="65"/>
      <c r="X42" s="66"/>
      <c r="Y42" s="173"/>
      <c r="Z42" s="166"/>
      <c r="AA42" s="174"/>
      <c r="AB42" s="175"/>
      <c r="AC42" s="175"/>
      <c r="AD42" s="175"/>
      <c r="AE42" s="175"/>
      <c r="AF42" s="175"/>
      <c r="AG42" s="175"/>
      <c r="AH42" s="175"/>
      <c r="AI42" s="176"/>
      <c r="AJ42" s="177"/>
      <c r="AK42" s="178"/>
      <c r="AL42" s="178"/>
      <c r="AM42" s="178"/>
      <c r="AN42" s="178"/>
      <c r="AO42" s="179"/>
      <c r="AP42" s="64"/>
      <c r="AQ42" s="65"/>
      <c r="AR42" s="65"/>
      <c r="AS42" s="65"/>
      <c r="AT42" s="173"/>
      <c r="AU42" s="177"/>
      <c r="AV42" s="178"/>
      <c r="AW42" s="178"/>
      <c r="AX42" s="179"/>
      <c r="AZ42" s="166"/>
      <c r="BA42" s="177"/>
      <c r="BB42" s="178"/>
      <c r="BC42" s="178"/>
      <c r="BD42" s="178"/>
      <c r="BE42" s="178"/>
      <c r="BF42" s="178"/>
      <c r="BG42" s="178"/>
      <c r="BH42" s="178"/>
      <c r="BI42" s="179"/>
      <c r="BJ42" s="180"/>
      <c r="BK42" s="178"/>
      <c r="BL42" s="178"/>
      <c r="BM42" s="178"/>
      <c r="BN42" s="178"/>
      <c r="BO42" s="181"/>
      <c r="BP42" s="166"/>
      <c r="BQ42" s="177"/>
      <c r="BR42" s="178"/>
      <c r="BS42" s="179"/>
      <c r="BU42" s="166"/>
      <c r="BV42" s="166"/>
      <c r="BW42" s="166"/>
      <c r="BX42" s="166"/>
      <c r="BY42" s="166"/>
      <c r="BZ42" s="166"/>
      <c r="CA42" s="166"/>
      <c r="CB42" s="166"/>
      <c r="CC42" s="166"/>
      <c r="CD42" s="177"/>
      <c r="CE42" s="181"/>
      <c r="CF42" s="177"/>
      <c r="CG42" s="179"/>
      <c r="CH42" s="257"/>
      <c r="CI42" s="182"/>
      <c r="CJ42" s="177"/>
      <c r="CK42" s="182"/>
      <c r="CL42" s="177"/>
      <c r="CM42" s="182"/>
      <c r="CN42" s="177"/>
      <c r="CO42" s="182"/>
      <c r="CP42" s="177"/>
      <c r="CQ42" s="178"/>
      <c r="CR42" s="182"/>
      <c r="CS42" s="173"/>
      <c r="CT42" s="65"/>
      <c r="CU42" s="255" t="str">
        <f t="shared" si="2"/>
        <v>MVK</v>
      </c>
    </row>
    <row r="43" ht="60.0" customHeight="1">
      <c r="A43" s="65"/>
      <c r="C43" s="167">
        <v>3.0</v>
      </c>
      <c r="D43" s="168" t="s">
        <v>158</v>
      </c>
      <c r="E43" s="169"/>
      <c r="F43" s="170"/>
      <c r="G43" s="170"/>
      <c r="H43" s="170"/>
      <c r="I43" s="170"/>
      <c r="J43" s="170"/>
      <c r="K43" s="171"/>
      <c r="L43" s="171"/>
      <c r="M43" s="171"/>
      <c r="N43" s="171"/>
      <c r="O43" s="256">
        <f t="shared" si="8"/>
        <v>0</v>
      </c>
      <c r="Q43" s="173"/>
      <c r="R43" s="65"/>
      <c r="S43" s="173"/>
      <c r="T43" s="173"/>
      <c r="U43" s="166"/>
      <c r="V43" s="166"/>
      <c r="W43" s="65"/>
      <c r="X43" s="66"/>
      <c r="Y43" s="173"/>
      <c r="Z43" s="166"/>
      <c r="AA43" s="174"/>
      <c r="AB43" s="175"/>
      <c r="AC43" s="175"/>
      <c r="AD43" s="175"/>
      <c r="AE43" s="175"/>
      <c r="AF43" s="175"/>
      <c r="AG43" s="175"/>
      <c r="AH43" s="175"/>
      <c r="AI43" s="176"/>
      <c r="AJ43" s="177"/>
      <c r="AK43" s="178"/>
      <c r="AL43" s="178"/>
      <c r="AM43" s="178"/>
      <c r="AN43" s="178"/>
      <c r="AO43" s="179"/>
      <c r="AP43" s="64"/>
      <c r="AQ43" s="65"/>
      <c r="AR43" s="65"/>
      <c r="AS43" s="65"/>
      <c r="AT43" s="173"/>
      <c r="AU43" s="177"/>
      <c r="AV43" s="178"/>
      <c r="AW43" s="178"/>
      <c r="AX43" s="179"/>
      <c r="AZ43" s="166"/>
      <c r="BA43" s="177"/>
      <c r="BB43" s="178"/>
      <c r="BC43" s="178"/>
      <c r="BD43" s="178"/>
      <c r="BE43" s="178"/>
      <c r="BF43" s="178"/>
      <c r="BG43" s="178"/>
      <c r="BH43" s="178"/>
      <c r="BI43" s="179"/>
      <c r="BJ43" s="180"/>
      <c r="BK43" s="178"/>
      <c r="BL43" s="178"/>
      <c r="BM43" s="178"/>
      <c r="BN43" s="178"/>
      <c r="BO43" s="181"/>
      <c r="BP43" s="166"/>
      <c r="BQ43" s="177"/>
      <c r="BR43" s="178"/>
      <c r="BS43" s="179"/>
      <c r="BU43" s="166"/>
      <c r="BV43" s="166"/>
      <c r="BW43" s="166"/>
      <c r="BX43" s="166"/>
      <c r="BY43" s="166"/>
      <c r="BZ43" s="166"/>
      <c r="CA43" s="166"/>
      <c r="CB43" s="166"/>
      <c r="CC43" s="166"/>
      <c r="CD43" s="177"/>
      <c r="CE43" s="181"/>
      <c r="CF43" s="177"/>
      <c r="CG43" s="179"/>
      <c r="CH43" s="257"/>
      <c r="CI43" s="182"/>
      <c r="CJ43" s="177"/>
      <c r="CK43" s="182"/>
      <c r="CL43" s="177"/>
      <c r="CM43" s="182"/>
      <c r="CN43" s="177"/>
      <c r="CO43" s="182"/>
      <c r="CP43" s="177"/>
      <c r="CQ43" s="178"/>
      <c r="CR43" s="182"/>
      <c r="CS43" s="173"/>
      <c r="CT43" s="65"/>
      <c r="CU43" s="255" t="str">
        <f t="shared" si="2"/>
        <v>MVK</v>
      </c>
    </row>
    <row r="44" ht="60.0" customHeight="1">
      <c r="A44" s="65"/>
      <c r="C44" s="167">
        <v>4.0</v>
      </c>
      <c r="D44" s="168" t="s">
        <v>158</v>
      </c>
      <c r="E44" s="169"/>
      <c r="F44" s="170"/>
      <c r="G44" s="170"/>
      <c r="H44" s="170"/>
      <c r="I44" s="170"/>
      <c r="J44" s="170"/>
      <c r="K44" s="171"/>
      <c r="L44" s="171"/>
      <c r="M44" s="171"/>
      <c r="N44" s="171"/>
      <c r="O44" s="256">
        <f t="shared" si="8"/>
        <v>0</v>
      </c>
      <c r="Q44" s="173"/>
      <c r="R44" s="65"/>
      <c r="S44" s="173"/>
      <c r="T44" s="173"/>
      <c r="U44" s="166"/>
      <c r="V44" s="166"/>
      <c r="W44" s="65"/>
      <c r="X44" s="66"/>
      <c r="Y44" s="173"/>
      <c r="Z44" s="166"/>
      <c r="AA44" s="174"/>
      <c r="AB44" s="175"/>
      <c r="AC44" s="175"/>
      <c r="AD44" s="175"/>
      <c r="AE44" s="175"/>
      <c r="AF44" s="175"/>
      <c r="AG44" s="175"/>
      <c r="AH44" s="175"/>
      <c r="AI44" s="176"/>
      <c r="AJ44" s="177"/>
      <c r="AK44" s="178"/>
      <c r="AL44" s="178"/>
      <c r="AM44" s="178"/>
      <c r="AN44" s="178"/>
      <c r="AO44" s="179"/>
      <c r="AP44" s="64"/>
      <c r="AQ44" s="65"/>
      <c r="AR44" s="65"/>
      <c r="AS44" s="65"/>
      <c r="AT44" s="173"/>
      <c r="AU44" s="177"/>
      <c r="AV44" s="178"/>
      <c r="AW44" s="178"/>
      <c r="AX44" s="179"/>
      <c r="AZ44" s="166"/>
      <c r="BA44" s="177"/>
      <c r="BB44" s="178"/>
      <c r="BC44" s="178"/>
      <c r="BD44" s="178"/>
      <c r="BE44" s="178"/>
      <c r="BF44" s="178"/>
      <c r="BG44" s="178"/>
      <c r="BH44" s="178"/>
      <c r="BI44" s="179"/>
      <c r="BJ44" s="180"/>
      <c r="BK44" s="178"/>
      <c r="BL44" s="178"/>
      <c r="BM44" s="178"/>
      <c r="BN44" s="178"/>
      <c r="BO44" s="181"/>
      <c r="BP44" s="166"/>
      <c r="BQ44" s="177"/>
      <c r="BR44" s="178"/>
      <c r="BS44" s="179"/>
      <c r="BU44" s="166"/>
      <c r="BV44" s="166"/>
      <c r="BW44" s="166"/>
      <c r="BX44" s="166"/>
      <c r="BY44" s="166"/>
      <c r="BZ44" s="166"/>
      <c r="CA44" s="166"/>
      <c r="CB44" s="166"/>
      <c r="CC44" s="166"/>
      <c r="CD44" s="177"/>
      <c r="CE44" s="181"/>
      <c r="CF44" s="177"/>
      <c r="CG44" s="179"/>
      <c r="CH44" s="257"/>
      <c r="CI44" s="182"/>
      <c r="CJ44" s="177"/>
      <c r="CK44" s="182"/>
      <c r="CL44" s="177"/>
      <c r="CM44" s="182"/>
      <c r="CN44" s="177"/>
      <c r="CO44" s="182"/>
      <c r="CP44" s="177"/>
      <c r="CQ44" s="178"/>
      <c r="CR44" s="182"/>
      <c r="CS44" s="173"/>
      <c r="CT44" s="65"/>
      <c r="CU44" s="255" t="str">
        <f t="shared" si="2"/>
        <v>MVK</v>
      </c>
    </row>
    <row r="45" ht="60.0" customHeight="1">
      <c r="A45" s="65"/>
      <c r="C45" s="167">
        <v>5.0</v>
      </c>
      <c r="D45" s="168" t="s">
        <v>158</v>
      </c>
      <c r="E45" s="169"/>
      <c r="F45" s="170"/>
      <c r="G45" s="170"/>
      <c r="H45" s="170"/>
      <c r="I45" s="170"/>
      <c r="J45" s="170"/>
      <c r="K45" s="171"/>
      <c r="L45" s="171"/>
      <c r="M45" s="171"/>
      <c r="N45" s="171"/>
      <c r="O45" s="256">
        <f t="shared" si="8"/>
        <v>0</v>
      </c>
      <c r="Q45" s="173"/>
      <c r="R45" s="65"/>
      <c r="S45" s="173"/>
      <c r="T45" s="173"/>
      <c r="U45" s="166"/>
      <c r="V45" s="166"/>
      <c r="W45" s="65"/>
      <c r="X45" s="66"/>
      <c r="Y45" s="173"/>
      <c r="Z45" s="166"/>
      <c r="AA45" s="174"/>
      <c r="AB45" s="175"/>
      <c r="AC45" s="175"/>
      <c r="AD45" s="175"/>
      <c r="AE45" s="175"/>
      <c r="AF45" s="175"/>
      <c r="AG45" s="175"/>
      <c r="AH45" s="175"/>
      <c r="AI45" s="176"/>
      <c r="AJ45" s="177"/>
      <c r="AK45" s="178"/>
      <c r="AL45" s="178"/>
      <c r="AM45" s="178"/>
      <c r="AN45" s="178"/>
      <c r="AO45" s="179"/>
      <c r="AP45" s="64"/>
      <c r="AQ45" s="65"/>
      <c r="AR45" s="65"/>
      <c r="AS45" s="65"/>
      <c r="AT45" s="173"/>
      <c r="AU45" s="177"/>
      <c r="AV45" s="178"/>
      <c r="AW45" s="178"/>
      <c r="AX45" s="179"/>
      <c r="AZ45" s="166"/>
      <c r="BA45" s="177"/>
      <c r="BB45" s="178"/>
      <c r="BC45" s="178"/>
      <c r="BD45" s="178"/>
      <c r="BE45" s="178"/>
      <c r="BF45" s="178"/>
      <c r="BG45" s="178"/>
      <c r="BH45" s="178"/>
      <c r="BI45" s="179"/>
      <c r="BJ45" s="180"/>
      <c r="BK45" s="178"/>
      <c r="BL45" s="178"/>
      <c r="BM45" s="178"/>
      <c r="BN45" s="178"/>
      <c r="BO45" s="181"/>
      <c r="BP45" s="166"/>
      <c r="BQ45" s="177"/>
      <c r="BR45" s="178"/>
      <c r="BS45" s="179"/>
      <c r="BU45" s="166"/>
      <c r="BV45" s="166"/>
      <c r="BW45" s="166"/>
      <c r="BX45" s="166"/>
      <c r="BY45" s="166"/>
      <c r="BZ45" s="166"/>
      <c r="CA45" s="166"/>
      <c r="CB45" s="166"/>
      <c r="CC45" s="166"/>
      <c r="CD45" s="177"/>
      <c r="CE45" s="181"/>
      <c r="CF45" s="177"/>
      <c r="CG45" s="179"/>
      <c r="CH45" s="257"/>
      <c r="CI45" s="182"/>
      <c r="CJ45" s="177"/>
      <c r="CK45" s="182"/>
      <c r="CL45" s="177"/>
      <c r="CM45" s="182"/>
      <c r="CN45" s="177"/>
      <c r="CO45" s="182"/>
      <c r="CP45" s="177"/>
      <c r="CQ45" s="178"/>
      <c r="CR45" s="182"/>
      <c r="CS45" s="173"/>
      <c r="CT45" s="65"/>
      <c r="CU45" s="255" t="str">
        <f t="shared" si="2"/>
        <v>MVK</v>
      </c>
    </row>
    <row r="46" ht="60.0" customHeight="1">
      <c r="A46" s="65"/>
      <c r="C46" s="167">
        <v>6.0</v>
      </c>
      <c r="D46" s="168" t="s">
        <v>158</v>
      </c>
      <c r="E46" s="169"/>
      <c r="F46" s="170"/>
      <c r="G46" s="170"/>
      <c r="H46" s="170"/>
      <c r="I46" s="170"/>
      <c r="J46" s="170"/>
      <c r="K46" s="171"/>
      <c r="L46" s="171"/>
      <c r="M46" s="171"/>
      <c r="N46" s="171"/>
      <c r="O46" s="256">
        <f t="shared" si="8"/>
        <v>0</v>
      </c>
      <c r="Q46" s="173"/>
      <c r="R46" s="65"/>
      <c r="S46" s="173"/>
      <c r="T46" s="173"/>
      <c r="U46" s="166"/>
      <c r="V46" s="166"/>
      <c r="W46" s="65"/>
      <c r="X46" s="66"/>
      <c r="Y46" s="173"/>
      <c r="Z46" s="166"/>
      <c r="AA46" s="174"/>
      <c r="AB46" s="175"/>
      <c r="AC46" s="175"/>
      <c r="AD46" s="175"/>
      <c r="AE46" s="175"/>
      <c r="AF46" s="175"/>
      <c r="AG46" s="175"/>
      <c r="AH46" s="175"/>
      <c r="AI46" s="176"/>
      <c r="AJ46" s="177"/>
      <c r="AK46" s="178"/>
      <c r="AL46" s="178"/>
      <c r="AM46" s="178"/>
      <c r="AN46" s="178"/>
      <c r="AO46" s="179"/>
      <c r="AP46" s="64"/>
      <c r="AQ46" s="65"/>
      <c r="AR46" s="65"/>
      <c r="AS46" s="65"/>
      <c r="AT46" s="173"/>
      <c r="AU46" s="177"/>
      <c r="AV46" s="178"/>
      <c r="AW46" s="178"/>
      <c r="AX46" s="179"/>
      <c r="AZ46" s="166"/>
      <c r="BA46" s="177"/>
      <c r="BB46" s="178"/>
      <c r="BC46" s="178"/>
      <c r="BD46" s="178"/>
      <c r="BE46" s="178"/>
      <c r="BF46" s="178"/>
      <c r="BG46" s="178"/>
      <c r="BH46" s="178"/>
      <c r="BI46" s="179"/>
      <c r="BJ46" s="180"/>
      <c r="BK46" s="178"/>
      <c r="BL46" s="178"/>
      <c r="BM46" s="178"/>
      <c r="BN46" s="178"/>
      <c r="BO46" s="181"/>
      <c r="BP46" s="166"/>
      <c r="BQ46" s="177"/>
      <c r="BR46" s="178"/>
      <c r="BS46" s="179"/>
      <c r="BU46" s="166"/>
      <c r="BV46" s="166"/>
      <c r="BW46" s="166"/>
      <c r="BX46" s="166"/>
      <c r="BY46" s="166"/>
      <c r="BZ46" s="166"/>
      <c r="CA46" s="166"/>
      <c r="CB46" s="166"/>
      <c r="CC46" s="166"/>
      <c r="CD46" s="177"/>
      <c r="CE46" s="181"/>
      <c r="CF46" s="177"/>
      <c r="CG46" s="179"/>
      <c r="CH46" s="257"/>
      <c r="CI46" s="182"/>
      <c r="CJ46" s="177"/>
      <c r="CK46" s="182"/>
      <c r="CL46" s="177"/>
      <c r="CM46" s="182"/>
      <c r="CN46" s="177"/>
      <c r="CO46" s="182"/>
      <c r="CP46" s="177"/>
      <c r="CQ46" s="178"/>
      <c r="CR46" s="182"/>
      <c r="CS46" s="173"/>
      <c r="CT46" s="65"/>
      <c r="CU46" s="255" t="str">
        <f t="shared" si="2"/>
        <v>MVK</v>
      </c>
    </row>
    <row r="47" ht="60.0" customHeight="1">
      <c r="A47" s="65"/>
      <c r="C47" s="167">
        <v>7.0</v>
      </c>
      <c r="D47" s="168" t="s">
        <v>158</v>
      </c>
      <c r="E47" s="169"/>
      <c r="F47" s="170"/>
      <c r="G47" s="170"/>
      <c r="H47" s="170"/>
      <c r="I47" s="170"/>
      <c r="J47" s="170"/>
      <c r="K47" s="171"/>
      <c r="L47" s="171"/>
      <c r="M47" s="171"/>
      <c r="N47" s="171"/>
      <c r="O47" s="256">
        <f t="shared" ref="O47:O50" si="9">IF(AND(M47&gt;=20,M47&lt;&gt;"m",RIGHT(K47,3)="Lec"),1,IF(AND(M47&gt;=20,M47&lt;&gt;"m",OR(RIGHT(K47,3)="Lab",RIGHT(K47,3)="Tut")),0.5,IF(AND(M47&gt;=20,M47&lt;&gt;"m",RIGHT(K47,2)="TL"),0.75,0)))</f>
        <v>0</v>
      </c>
      <c r="Q47" s="173"/>
      <c r="R47" s="65"/>
      <c r="S47" s="173"/>
      <c r="T47" s="173"/>
      <c r="U47" s="166"/>
      <c r="V47" s="166"/>
      <c r="W47" s="65"/>
      <c r="X47" s="66"/>
      <c r="Y47" s="173"/>
      <c r="Z47" s="166"/>
      <c r="AA47" s="174"/>
      <c r="AB47" s="175"/>
      <c r="AC47" s="175"/>
      <c r="AD47" s="175"/>
      <c r="AE47" s="175"/>
      <c r="AF47" s="175"/>
      <c r="AG47" s="175"/>
      <c r="AH47" s="175"/>
      <c r="AI47" s="176"/>
      <c r="AJ47" s="177"/>
      <c r="AK47" s="178"/>
      <c r="AL47" s="178"/>
      <c r="AM47" s="178"/>
      <c r="AN47" s="178"/>
      <c r="AO47" s="179"/>
      <c r="AP47" s="64"/>
      <c r="AQ47" s="65"/>
      <c r="AR47" s="65"/>
      <c r="AS47" s="65"/>
      <c r="AT47" s="173"/>
      <c r="AU47" s="177"/>
      <c r="AV47" s="178"/>
      <c r="AW47" s="178"/>
      <c r="AX47" s="179"/>
      <c r="AZ47" s="166"/>
      <c r="BA47" s="177"/>
      <c r="BB47" s="178"/>
      <c r="BC47" s="178"/>
      <c r="BD47" s="178"/>
      <c r="BE47" s="178"/>
      <c r="BF47" s="178"/>
      <c r="BG47" s="178"/>
      <c r="BH47" s="178"/>
      <c r="BI47" s="179"/>
      <c r="BJ47" s="180"/>
      <c r="BK47" s="178"/>
      <c r="BL47" s="178"/>
      <c r="BM47" s="178"/>
      <c r="BN47" s="178"/>
      <c r="BO47" s="181"/>
      <c r="BP47" s="166"/>
      <c r="BQ47" s="177"/>
      <c r="BR47" s="178"/>
      <c r="BS47" s="179"/>
      <c r="BU47" s="166"/>
      <c r="BV47" s="166"/>
      <c r="BW47" s="166"/>
      <c r="BX47" s="166"/>
      <c r="BY47" s="166"/>
      <c r="BZ47" s="166"/>
      <c r="CA47" s="166"/>
      <c r="CB47" s="166"/>
      <c r="CC47" s="166"/>
      <c r="CD47" s="177"/>
      <c r="CE47" s="181"/>
      <c r="CF47" s="177"/>
      <c r="CG47" s="179"/>
      <c r="CH47" s="257"/>
      <c r="CI47" s="182"/>
      <c r="CJ47" s="177"/>
      <c r="CK47" s="182"/>
      <c r="CL47" s="177"/>
      <c r="CM47" s="182"/>
      <c r="CN47" s="177"/>
      <c r="CO47" s="182"/>
      <c r="CP47" s="177"/>
      <c r="CQ47" s="178"/>
      <c r="CR47" s="182"/>
      <c r="CS47" s="173"/>
      <c r="CT47" s="65"/>
      <c r="CU47" s="255" t="str">
        <f t="shared" si="2"/>
        <v>MVK</v>
      </c>
    </row>
    <row r="48" ht="60.0" customHeight="1">
      <c r="A48" s="65"/>
      <c r="C48" s="167">
        <v>8.0</v>
      </c>
      <c r="D48" s="168" t="s">
        <v>158</v>
      </c>
      <c r="E48" s="169"/>
      <c r="F48" s="170"/>
      <c r="G48" s="170"/>
      <c r="H48" s="170"/>
      <c r="I48" s="170"/>
      <c r="J48" s="170"/>
      <c r="K48" s="171"/>
      <c r="L48" s="171"/>
      <c r="M48" s="171"/>
      <c r="N48" s="171"/>
      <c r="O48" s="256">
        <f t="shared" si="9"/>
        <v>0</v>
      </c>
      <c r="Q48" s="173"/>
      <c r="R48" s="65"/>
      <c r="S48" s="173"/>
      <c r="T48" s="173"/>
      <c r="U48" s="166"/>
      <c r="V48" s="166"/>
      <c r="W48" s="65"/>
      <c r="X48" s="66"/>
      <c r="Y48" s="173"/>
      <c r="Z48" s="166"/>
      <c r="AA48" s="174"/>
      <c r="AB48" s="175"/>
      <c r="AC48" s="175"/>
      <c r="AD48" s="175"/>
      <c r="AE48" s="175"/>
      <c r="AF48" s="175"/>
      <c r="AG48" s="175"/>
      <c r="AH48" s="175"/>
      <c r="AI48" s="176"/>
      <c r="AJ48" s="177"/>
      <c r="AK48" s="178"/>
      <c r="AL48" s="178"/>
      <c r="AM48" s="178"/>
      <c r="AN48" s="178"/>
      <c r="AO48" s="179"/>
      <c r="AP48" s="64"/>
      <c r="AQ48" s="65"/>
      <c r="AR48" s="65"/>
      <c r="AS48" s="65"/>
      <c r="AT48" s="173"/>
      <c r="AU48" s="177"/>
      <c r="AV48" s="178"/>
      <c r="AW48" s="178"/>
      <c r="AX48" s="179"/>
      <c r="AZ48" s="166"/>
      <c r="BA48" s="177"/>
      <c r="BB48" s="178"/>
      <c r="BC48" s="178"/>
      <c r="BD48" s="178"/>
      <c r="BE48" s="178"/>
      <c r="BF48" s="178"/>
      <c r="BG48" s="178"/>
      <c r="BH48" s="178"/>
      <c r="BI48" s="179"/>
      <c r="BJ48" s="180"/>
      <c r="BK48" s="178"/>
      <c r="BL48" s="178"/>
      <c r="BM48" s="178"/>
      <c r="BN48" s="178"/>
      <c r="BO48" s="181"/>
      <c r="BP48" s="166"/>
      <c r="BQ48" s="177"/>
      <c r="BR48" s="178"/>
      <c r="BS48" s="179"/>
      <c r="BU48" s="166"/>
      <c r="BV48" s="166"/>
      <c r="BW48" s="166"/>
      <c r="BX48" s="166"/>
      <c r="BY48" s="166"/>
      <c r="BZ48" s="166"/>
      <c r="CA48" s="166"/>
      <c r="CB48" s="166"/>
      <c r="CC48" s="166"/>
      <c r="CD48" s="177"/>
      <c r="CE48" s="181"/>
      <c r="CF48" s="177"/>
      <c r="CG48" s="179"/>
      <c r="CH48" s="257"/>
      <c r="CI48" s="182"/>
      <c r="CJ48" s="177"/>
      <c r="CK48" s="182"/>
      <c r="CL48" s="177"/>
      <c r="CM48" s="182"/>
      <c r="CN48" s="177"/>
      <c r="CO48" s="182"/>
      <c r="CP48" s="177"/>
      <c r="CQ48" s="178"/>
      <c r="CR48" s="182"/>
      <c r="CS48" s="173"/>
      <c r="CT48" s="65"/>
      <c r="CU48" s="255" t="str">
        <f t="shared" si="2"/>
        <v>MVK</v>
      </c>
    </row>
    <row r="49" ht="60.0" customHeight="1">
      <c r="A49" s="65"/>
      <c r="C49" s="167">
        <v>9.0</v>
      </c>
      <c r="D49" s="168" t="s">
        <v>158</v>
      </c>
      <c r="E49" s="169"/>
      <c r="F49" s="170"/>
      <c r="G49" s="170"/>
      <c r="H49" s="170"/>
      <c r="I49" s="170"/>
      <c r="J49" s="170"/>
      <c r="K49" s="171"/>
      <c r="L49" s="171"/>
      <c r="M49" s="171"/>
      <c r="N49" s="171"/>
      <c r="O49" s="256">
        <f t="shared" si="9"/>
        <v>0</v>
      </c>
      <c r="Q49" s="173"/>
      <c r="R49" s="65"/>
      <c r="S49" s="173"/>
      <c r="T49" s="173"/>
      <c r="U49" s="166"/>
      <c r="V49" s="166"/>
      <c r="W49" s="65"/>
      <c r="X49" s="66"/>
      <c r="Y49" s="173"/>
      <c r="Z49" s="166"/>
      <c r="AA49" s="174"/>
      <c r="AB49" s="175"/>
      <c r="AC49" s="175"/>
      <c r="AD49" s="175"/>
      <c r="AE49" s="175"/>
      <c r="AF49" s="175"/>
      <c r="AG49" s="175"/>
      <c r="AH49" s="175"/>
      <c r="AI49" s="176"/>
      <c r="AJ49" s="177"/>
      <c r="AK49" s="178"/>
      <c r="AL49" s="178"/>
      <c r="AM49" s="178"/>
      <c r="AN49" s="178"/>
      <c r="AO49" s="179"/>
      <c r="AP49" s="64"/>
      <c r="AQ49" s="65"/>
      <c r="AR49" s="65"/>
      <c r="AS49" s="65"/>
      <c r="AT49" s="173"/>
      <c r="AU49" s="177"/>
      <c r="AV49" s="178"/>
      <c r="AW49" s="178"/>
      <c r="AX49" s="179"/>
      <c r="AZ49" s="166"/>
      <c r="BA49" s="177"/>
      <c r="BB49" s="178"/>
      <c r="BC49" s="178"/>
      <c r="BD49" s="178"/>
      <c r="BE49" s="178"/>
      <c r="BF49" s="178"/>
      <c r="BG49" s="178"/>
      <c r="BH49" s="178"/>
      <c r="BI49" s="179"/>
      <c r="BJ49" s="180"/>
      <c r="BK49" s="178"/>
      <c r="BL49" s="178"/>
      <c r="BM49" s="178"/>
      <c r="BN49" s="178"/>
      <c r="BO49" s="181"/>
      <c r="BP49" s="166"/>
      <c r="BQ49" s="177"/>
      <c r="BR49" s="178"/>
      <c r="BS49" s="179"/>
      <c r="BU49" s="166"/>
      <c r="BV49" s="166"/>
      <c r="BW49" s="166"/>
      <c r="BX49" s="166"/>
      <c r="BY49" s="166"/>
      <c r="BZ49" s="166"/>
      <c r="CA49" s="166"/>
      <c r="CB49" s="166"/>
      <c r="CC49" s="166"/>
      <c r="CD49" s="177"/>
      <c r="CE49" s="181"/>
      <c r="CF49" s="177"/>
      <c r="CG49" s="179"/>
      <c r="CH49" s="257"/>
      <c r="CI49" s="182"/>
      <c r="CJ49" s="177"/>
      <c r="CK49" s="182"/>
      <c r="CL49" s="177"/>
      <c r="CM49" s="182"/>
      <c r="CN49" s="177"/>
      <c r="CO49" s="182"/>
      <c r="CP49" s="177"/>
      <c r="CQ49" s="178"/>
      <c r="CR49" s="182"/>
      <c r="CS49" s="173"/>
      <c r="CT49" s="65"/>
      <c r="CU49" s="255" t="str">
        <f t="shared" si="2"/>
        <v>MVK</v>
      </c>
    </row>
    <row r="50" ht="60.0" customHeight="1">
      <c r="A50" s="65"/>
      <c r="C50" s="167">
        <v>10.0</v>
      </c>
      <c r="D50" s="168" t="s">
        <v>158</v>
      </c>
      <c r="E50" s="169"/>
      <c r="F50" s="170"/>
      <c r="G50" s="170"/>
      <c r="H50" s="170"/>
      <c r="I50" s="170"/>
      <c r="J50" s="170"/>
      <c r="K50" s="171"/>
      <c r="L50" s="171"/>
      <c r="M50" s="171"/>
      <c r="N50" s="171"/>
      <c r="O50" s="256">
        <f t="shared" si="9"/>
        <v>0</v>
      </c>
      <c r="Q50" s="173"/>
      <c r="R50" s="65"/>
      <c r="S50" s="173"/>
      <c r="T50" s="173"/>
      <c r="U50" s="166"/>
      <c r="V50" s="166"/>
      <c r="W50" s="65"/>
      <c r="X50" s="66"/>
      <c r="Y50" s="173"/>
      <c r="Z50" s="166"/>
      <c r="AA50" s="174"/>
      <c r="AB50" s="175"/>
      <c r="AC50" s="175"/>
      <c r="AD50" s="175"/>
      <c r="AE50" s="175"/>
      <c r="AF50" s="175"/>
      <c r="AG50" s="175"/>
      <c r="AH50" s="175"/>
      <c r="AI50" s="176"/>
      <c r="AJ50" s="177"/>
      <c r="AK50" s="178"/>
      <c r="AL50" s="178"/>
      <c r="AM50" s="178"/>
      <c r="AN50" s="178"/>
      <c r="AO50" s="179"/>
      <c r="AP50" s="64"/>
      <c r="AQ50" s="65"/>
      <c r="AR50" s="65"/>
      <c r="AS50" s="65"/>
      <c r="AT50" s="173"/>
      <c r="AU50" s="177"/>
      <c r="AV50" s="178"/>
      <c r="AW50" s="178"/>
      <c r="AX50" s="179"/>
      <c r="AZ50" s="166"/>
      <c r="BA50" s="177"/>
      <c r="BB50" s="178"/>
      <c r="BC50" s="178"/>
      <c r="BD50" s="178"/>
      <c r="BE50" s="178"/>
      <c r="BF50" s="178"/>
      <c r="BG50" s="178"/>
      <c r="BH50" s="178"/>
      <c r="BI50" s="179"/>
      <c r="BJ50" s="180"/>
      <c r="BK50" s="178"/>
      <c r="BL50" s="178"/>
      <c r="BM50" s="178"/>
      <c r="BN50" s="178"/>
      <c r="BO50" s="181"/>
      <c r="BP50" s="166"/>
      <c r="BQ50" s="177"/>
      <c r="BR50" s="178"/>
      <c r="BS50" s="179"/>
      <c r="BU50" s="166"/>
      <c r="BV50" s="166"/>
      <c r="BW50" s="166"/>
      <c r="BX50" s="166"/>
      <c r="BY50" s="166"/>
      <c r="BZ50" s="166"/>
      <c r="CA50" s="166"/>
      <c r="CB50" s="166"/>
      <c r="CC50" s="166"/>
      <c r="CD50" s="177"/>
      <c r="CE50" s="181"/>
      <c r="CF50" s="177"/>
      <c r="CG50" s="179"/>
      <c r="CH50" s="257"/>
      <c r="CI50" s="182"/>
      <c r="CJ50" s="177"/>
      <c r="CK50" s="182"/>
      <c r="CL50" s="177"/>
      <c r="CM50" s="182"/>
      <c r="CN50" s="177"/>
      <c r="CO50" s="182"/>
      <c r="CP50" s="177"/>
      <c r="CQ50" s="178"/>
      <c r="CR50" s="182"/>
      <c r="CS50" s="173"/>
      <c r="CT50" s="65"/>
      <c r="CU50" s="255" t="str">
        <f t="shared" si="2"/>
        <v>MVK</v>
      </c>
    </row>
    <row r="51" ht="60.0" customHeight="1">
      <c r="A51" s="89"/>
      <c r="C51" s="183">
        <v>11.0</v>
      </c>
      <c r="D51" s="210" t="s">
        <v>158</v>
      </c>
      <c r="E51" s="185"/>
      <c r="F51" s="186"/>
      <c r="G51" s="186"/>
      <c r="H51" s="186"/>
      <c r="I51" s="186"/>
      <c r="J51" s="186"/>
      <c r="K51" s="187"/>
      <c r="L51" s="187"/>
      <c r="M51" s="187"/>
      <c r="N51" s="187"/>
      <c r="O51" s="258">
        <f t="shared" ref="O51:O57" si="10">IF(AND(M51&lt;&gt;0,M51&lt;&gt;"m",M51&lt;&gt;"",RIGHT(K51,3)="Lec"),1,IF(AND(M51&lt;&gt;0,M51&lt;&gt;"m",M51&lt;&gt;"",OR(RIGHT(K51,3)="Lab",RIGHT(K51,3)="Tut")),0.5,IF(AND(M51&lt;&gt;0,M51&lt;&gt;"m",M51&lt;&gt;"",RIGHT(K51,2)="TL"),0.75,0)))</f>
        <v>0</v>
      </c>
      <c r="P51" s="6"/>
      <c r="Q51" s="69"/>
      <c r="R51" s="89"/>
      <c r="S51" s="69"/>
      <c r="T51" s="69"/>
      <c r="U51" s="63"/>
      <c r="V51" s="63"/>
      <c r="W51" s="89"/>
      <c r="X51" s="68"/>
      <c r="Y51" s="69"/>
      <c r="Z51" s="63"/>
      <c r="AA51" s="189"/>
      <c r="AB51" s="190"/>
      <c r="AC51" s="190"/>
      <c r="AD51" s="190"/>
      <c r="AE51" s="190"/>
      <c r="AF51" s="190"/>
      <c r="AG51" s="190"/>
      <c r="AH51" s="190"/>
      <c r="AI51" s="191"/>
      <c r="AJ51" s="192"/>
      <c r="AK51" s="193"/>
      <c r="AL51" s="193"/>
      <c r="AM51" s="193"/>
      <c r="AN51" s="193"/>
      <c r="AO51" s="194"/>
      <c r="AP51" s="103"/>
      <c r="AQ51" s="89"/>
      <c r="AR51" s="89"/>
      <c r="AS51" s="89"/>
      <c r="AT51" s="69"/>
      <c r="AU51" s="192"/>
      <c r="AV51" s="193"/>
      <c r="AW51" s="193"/>
      <c r="AX51" s="194"/>
      <c r="AY51" s="6"/>
      <c r="AZ51" s="63"/>
      <c r="BA51" s="192"/>
      <c r="BB51" s="193"/>
      <c r="BC51" s="193"/>
      <c r="BD51" s="193"/>
      <c r="BE51" s="193"/>
      <c r="BF51" s="193"/>
      <c r="BG51" s="193"/>
      <c r="BH51" s="193"/>
      <c r="BI51" s="194"/>
      <c r="BJ51" s="195"/>
      <c r="BK51" s="193"/>
      <c r="BL51" s="193"/>
      <c r="BM51" s="193"/>
      <c r="BN51" s="193"/>
      <c r="BO51" s="196"/>
      <c r="BP51" s="63"/>
      <c r="BQ51" s="192"/>
      <c r="BR51" s="193"/>
      <c r="BS51" s="194"/>
      <c r="BT51" s="6"/>
      <c r="BU51" s="63"/>
      <c r="BV51" s="63"/>
      <c r="BW51" s="63"/>
      <c r="BX51" s="63"/>
      <c r="BY51" s="63"/>
      <c r="BZ51" s="63"/>
      <c r="CA51" s="63"/>
      <c r="CB51" s="63"/>
      <c r="CC51" s="63"/>
      <c r="CD51" s="192"/>
      <c r="CE51" s="196"/>
      <c r="CF51" s="192"/>
      <c r="CG51" s="194"/>
      <c r="CH51" s="259"/>
      <c r="CI51" s="197"/>
      <c r="CJ51" s="192"/>
      <c r="CK51" s="197"/>
      <c r="CL51" s="192"/>
      <c r="CM51" s="197"/>
      <c r="CN51" s="192"/>
      <c r="CO51" s="197"/>
      <c r="CP51" s="192"/>
      <c r="CQ51" s="193"/>
      <c r="CR51" s="197"/>
      <c r="CS51" s="69"/>
      <c r="CT51" s="89"/>
      <c r="CU51" s="255" t="str">
        <f t="shared" si="2"/>
        <v>MVK</v>
      </c>
    </row>
    <row r="52" ht="56.25" customHeight="1">
      <c r="A52" s="125">
        <v>5.0</v>
      </c>
      <c r="B52" s="199" t="s">
        <v>161</v>
      </c>
      <c r="C52" s="127">
        <v>1.0</v>
      </c>
      <c r="D52" s="168" t="s">
        <v>162</v>
      </c>
      <c r="E52" s="129"/>
      <c r="F52" s="130"/>
      <c r="G52" s="130"/>
      <c r="H52" s="130"/>
      <c r="I52" s="130"/>
      <c r="J52" s="130"/>
      <c r="K52" s="131"/>
      <c r="L52" s="131"/>
      <c r="M52" s="131"/>
      <c r="N52" s="131"/>
      <c r="O52" s="250">
        <f t="shared" si="10"/>
        <v>0</v>
      </c>
      <c r="P52" s="251">
        <f>COUNTIF(K52:K62,"TL")*0.75+COUNTIF(K52:K62,"Lec")*1+COUNTIF(K52:K62,"Lab")*0.5</f>
        <v>0</v>
      </c>
      <c r="Q52" s="134">
        <f>SUM((IF(LEFT(K52,1)="E",O52,0)),(IF(LEFT(K53,1)="E",O53,0)),(IF(LEFT(K54,1)="E",O54,0)),(IF(LEFT(K55,1)="E",O55,0)),(IF(LEFT(K56,1)="E",O56,0)),(IF(LEFT(K57,1)="E",O57,0)),(IF(LEFT(K58,1)="E",O58,0)),(IF(LEFT(K59,1)="E",O59,0)),(IF(LEFT(K60,1)="E",O60,0)),(IF(LEFT(K61,1)="E",O61,0)),(IF(LEFT(K62,1)="E",O62,0)))</f>
        <v>0</v>
      </c>
      <c r="R52" s="135">
        <f>SUM(IF(M58&lt;20,IF(K58="Plec",-1,IF(K58="PTL",-0.75,IF(K58="Plab",-0.5,0))),0),IF(M59&lt;20,IF(K59="Plec",-1,IF(K59="PTL",-0.75,IF(K59="Plab",-0.5,0))),0),IF(M60&lt;20,IF(K60="Plec",-1,IF(K60="PTL",-0.75,IF(K60="Plab",-0.5,0))),0),IF(M61&lt;20,IF(K61="Plec",-1,IF(K61="PTL",-0.75,IF(K61="Plab",-0.5,0))),0))</f>
        <v>0</v>
      </c>
      <c r="S52" s="134">
        <f>SUM(P52:R62)</f>
        <v>0</v>
      </c>
      <c r="T52" s="136">
        <f>SUM(IF(M52="M",IF(OR(K52="lec",K52="plec",K52="slec"),1,IF(OR(K52="lab",K52="plab",K52="slab",K52="tut",K52="ptut",K52="stut"),0.5,IF(OR(K52="TL",K52="pTL",K52="STL"),0.75,0))),0),IF(M53="M",IF(OR(K53="lec",K53="plec",K53="slec"),1,IF(OR(K53="lab",K53="plab",K53="slab",K53="tut",K53="ptut",K53="stut"),0.5,IF(OR(K53="TL",K53="pTL",K53="STL"),0.75,0))),0),IF(M54="M",IF(OR(K54="lec",K54="plec",K54="slec"),1,IF(OR(K54="lab",K54="plab",K54="slab",K54="tut",K54="ptut",K54="stut"),0.5,IF(OR(K54="TL",K54="pTL",K54="STL"),0.75,0))),0),IF(M55="M",IF(OR(K55="lec",K55="plec",K55="slec"),1,IF(OR(K55="lab",K55="plab",K55="slab",K55="tut",K55="ptut",K55="stut"),0.5,IF(OR(K55="TL",K55="pTL",K55="STL"),0.75,0))),0),IF(M56="M",IF(OR(K56="lec",K56="plec",K56="slec"),1,IF(OR(K56="lab",K56="plab",K56="slab",K56="tut",K56="ptut",K56="stut"),0.5,IF(OR(K56="TL",K56="pTL",K56="STL"),0.75,0))),0),IF(M57="M",IF(OR(K57="lec",K57="plec",K57="slec"),1,IF(OR(K57="lab",K57="plab",K57="slab",K57="tut",K57="ptut",K57="stut"),0.5,IF(OR(K57="TL",K57="pTL",K57="STL"),0.75,0))),0),IF(M58="M",IF(OR(K58="lec",K58="plec",K58="slec"),1,IF(OR(K58="lab",K58="plab",K58="slab",K58="tut",K58="ptut",K58="stut"),0.5,IF(OR(K58="TL",K58="pTL",K58="STL"),0.75,0))),0),IF(M59="M",IF(OR(K59="lec",K59="plec",K59="slec"),1,IF(OR(K59="lab",K59="plab",K59="slab",K59="tut",K59="ptut",K59="stut"),0.5,IF(OR(K59="TL",K59="pTL",K59="STL"),0.75,0))),0),IF(M60="M",IF(OR(K60="lec",K60="plec",K60="slec"),1,IF(OR(K60="lab",K60="plab",K60="slab",K60="tut",K60="ptut",K60="stut"),0.5,IF(OR(K60="TL",K60="pTL",K60="STL"),0.75,0))),0),IF(M61="M",IF(OR(K61="lec",K61="plec",K61="slec"),1,IF(OR(K61="lab",K61="plab",K61="slab",K61="tut",K61="ptut",K61="stut"),0.5,IF(OR(K61="TL",K61="pTL",K61="STL"),0.75,0))),0),IF(M62="M",IF(OR(K62="lec",K62="plec",K62="slec"),1,IF(OR(K62="lab",K62="plab",K62="slab",K62="tut",K62="ptut",K62="stut"),0.5,IF(OR(K62="TL",K62="pTL",K62="STL"),0.75,0))),0))</f>
        <v>0</v>
      </c>
      <c r="U52" s="137"/>
      <c r="V52" s="133"/>
      <c r="W52" s="138"/>
      <c r="X52" s="139">
        <f>S52-(T52+U52+V52+W52)</f>
        <v>0</v>
      </c>
      <c r="Y52" s="134" t="str">
        <f>CONCATENATE(SUM(O52:O62),"(",SUM(O52:O62)-X52,")")</f>
        <v>0(0)</v>
      </c>
      <c r="Z52" s="140"/>
      <c r="AA52" s="141"/>
      <c r="AB52" s="142"/>
      <c r="AC52" s="142"/>
      <c r="AD52" s="142"/>
      <c r="AE52" s="142"/>
      <c r="AF52" s="142"/>
      <c r="AG52" s="142"/>
      <c r="AH52" s="142"/>
      <c r="AI52" s="143"/>
      <c r="AJ52" s="144"/>
      <c r="AK52" s="145"/>
      <c r="AL52" s="145"/>
      <c r="AM52" s="145"/>
      <c r="AN52" s="145"/>
      <c r="AO52" s="146"/>
      <c r="AP52" s="147">
        <f>SUM(SUM(O52:O62),SUM(AI52:AI62)/2,AM52)</f>
        <v>0</v>
      </c>
      <c r="AQ52" s="148"/>
      <c r="AR52" s="148">
        <f>AP52*AQ52</f>
        <v>0</v>
      </c>
      <c r="AS52" s="148">
        <f>CT52</f>
        <v>0.25</v>
      </c>
      <c r="AT52" s="149">
        <f>AR52*0.75+AS52*0.25</f>
        <v>0.0625</v>
      </c>
      <c r="AU52" s="150"/>
      <c r="AV52" s="151"/>
      <c r="AW52" s="151"/>
      <c r="AX52" s="152"/>
      <c r="AY52" s="153"/>
      <c r="AZ52" s="140"/>
      <c r="BA52" s="150"/>
      <c r="BB52" s="151"/>
      <c r="BC52" s="151"/>
      <c r="BD52" s="151"/>
      <c r="BE52" s="151"/>
      <c r="BF52" s="151"/>
      <c r="BG52" s="151"/>
      <c r="BH52" s="151"/>
      <c r="BI52" s="152"/>
      <c r="BJ52" s="154"/>
      <c r="BK52" s="151"/>
      <c r="BL52" s="151"/>
      <c r="BM52" s="151"/>
      <c r="BN52" s="151"/>
      <c r="BO52" s="155"/>
      <c r="BP52" s="140"/>
      <c r="BQ52" s="156" t="s">
        <v>222</v>
      </c>
      <c r="BR52" s="157">
        <v>5.0</v>
      </c>
      <c r="BS52" s="158">
        <v>0.0</v>
      </c>
      <c r="BT52" s="153"/>
      <c r="BU52" s="140"/>
      <c r="BV52" s="140"/>
      <c r="BW52" s="140"/>
      <c r="BX52" s="140"/>
      <c r="BY52" s="140"/>
      <c r="BZ52" s="140"/>
      <c r="CA52" s="140"/>
      <c r="CB52" s="140"/>
      <c r="CC52" s="140"/>
      <c r="CD52" s="150"/>
      <c r="CE52" s="155"/>
      <c r="CF52" s="150"/>
      <c r="CG52" s="152"/>
      <c r="CH52" s="252"/>
      <c r="CI52" s="160"/>
      <c r="CJ52" s="159"/>
      <c r="CK52" s="160"/>
      <c r="CL52" s="159"/>
      <c r="CM52" s="160"/>
      <c r="CN52" s="159"/>
      <c r="CO52" s="160"/>
      <c r="CP52" s="159"/>
      <c r="CQ52" s="162"/>
      <c r="CR52" s="160"/>
      <c r="CS52" s="253">
        <f>SUM(IF(AU52&lt;0,ABS(AU52),0),IF(AZ52&lt;0,ABS(AZ52),0),ABS(CI52),ABS(CK52),ABS(CM52),ABS(CO52),ABS(CQ52),ABS(CR52))</f>
        <v>0</v>
      </c>
      <c r="CT52" s="254">
        <f>SUM(AU52,AV52,AW52,AX52/400,AY52,AZ52,BG52,BH52*0.5,BI52*0.25,BJ52,BK52,BL52,BM52,BN52,BO52,BP52,BR52/20,BS52/100,BT52/60,BU52,BV52,BW52,BX52/4,SUM(BY52:CC62)/3,CE52,CG52/3,CI52,CK52,CM52,CO52,CQ52,CR52)</f>
        <v>0.25</v>
      </c>
      <c r="CU52" s="255" t="str">
        <f t="shared" si="2"/>
        <v>PCS</v>
      </c>
    </row>
    <row r="53" ht="60.0" customHeight="1">
      <c r="A53" s="65"/>
      <c r="C53" s="167">
        <v>2.0</v>
      </c>
      <c r="D53" s="168" t="s">
        <v>162</v>
      </c>
      <c r="E53" s="169"/>
      <c r="F53" s="170"/>
      <c r="G53" s="170"/>
      <c r="H53" s="170"/>
      <c r="I53" s="170"/>
      <c r="J53" s="170"/>
      <c r="K53" s="171"/>
      <c r="L53" s="171"/>
      <c r="M53" s="171"/>
      <c r="N53" s="171"/>
      <c r="O53" s="256">
        <f t="shared" si="10"/>
        <v>0</v>
      </c>
      <c r="Q53" s="173"/>
      <c r="R53" s="65"/>
      <c r="S53" s="173"/>
      <c r="T53" s="173"/>
      <c r="U53" s="166"/>
      <c r="V53" s="166"/>
      <c r="W53" s="65"/>
      <c r="X53" s="66"/>
      <c r="Y53" s="173"/>
      <c r="Z53" s="166"/>
      <c r="AA53" s="174"/>
      <c r="AB53" s="175"/>
      <c r="AC53" s="175"/>
      <c r="AD53" s="175"/>
      <c r="AE53" s="175"/>
      <c r="AF53" s="175"/>
      <c r="AG53" s="175"/>
      <c r="AH53" s="175"/>
      <c r="AI53" s="176"/>
      <c r="AJ53" s="177"/>
      <c r="AK53" s="178"/>
      <c r="AL53" s="178"/>
      <c r="AM53" s="178"/>
      <c r="AN53" s="178"/>
      <c r="AO53" s="179"/>
      <c r="AP53" s="64"/>
      <c r="AQ53" s="65"/>
      <c r="AR53" s="65"/>
      <c r="AS53" s="65"/>
      <c r="AT53" s="173"/>
      <c r="AU53" s="177"/>
      <c r="AV53" s="178"/>
      <c r="AW53" s="178"/>
      <c r="AX53" s="179"/>
      <c r="AZ53" s="166"/>
      <c r="BA53" s="177"/>
      <c r="BB53" s="178"/>
      <c r="BC53" s="178"/>
      <c r="BD53" s="178"/>
      <c r="BE53" s="178"/>
      <c r="BF53" s="178"/>
      <c r="BG53" s="178"/>
      <c r="BH53" s="178"/>
      <c r="BI53" s="179"/>
      <c r="BJ53" s="180"/>
      <c r="BK53" s="178"/>
      <c r="BL53" s="178"/>
      <c r="BM53" s="178"/>
      <c r="BN53" s="178"/>
      <c r="BO53" s="181"/>
      <c r="BP53" s="166"/>
      <c r="BQ53" s="177"/>
      <c r="BR53" s="178"/>
      <c r="BS53" s="179"/>
      <c r="BU53" s="166"/>
      <c r="BV53" s="166"/>
      <c r="BW53" s="166"/>
      <c r="BX53" s="166"/>
      <c r="BY53" s="166"/>
      <c r="BZ53" s="166"/>
      <c r="CA53" s="166"/>
      <c r="CB53" s="166"/>
      <c r="CC53" s="166"/>
      <c r="CD53" s="177"/>
      <c r="CE53" s="181"/>
      <c r="CF53" s="177"/>
      <c r="CG53" s="179"/>
      <c r="CH53" s="257"/>
      <c r="CI53" s="182"/>
      <c r="CJ53" s="177"/>
      <c r="CK53" s="182"/>
      <c r="CL53" s="177"/>
      <c r="CM53" s="182"/>
      <c r="CN53" s="177"/>
      <c r="CO53" s="182"/>
      <c r="CP53" s="177"/>
      <c r="CQ53" s="178"/>
      <c r="CR53" s="182"/>
      <c r="CS53" s="173"/>
      <c r="CT53" s="65"/>
      <c r="CU53" s="255" t="str">
        <f t="shared" si="2"/>
        <v>PCS</v>
      </c>
    </row>
    <row r="54" ht="60.0" customHeight="1">
      <c r="A54" s="65"/>
      <c r="C54" s="167">
        <v>3.0</v>
      </c>
      <c r="D54" s="168" t="s">
        <v>162</v>
      </c>
      <c r="E54" s="169"/>
      <c r="F54" s="170"/>
      <c r="G54" s="170"/>
      <c r="H54" s="170"/>
      <c r="I54" s="170"/>
      <c r="J54" s="170"/>
      <c r="K54" s="171"/>
      <c r="L54" s="171"/>
      <c r="M54" s="171"/>
      <c r="N54" s="171"/>
      <c r="O54" s="256">
        <f t="shared" si="10"/>
        <v>0</v>
      </c>
      <c r="Q54" s="173"/>
      <c r="R54" s="65"/>
      <c r="S54" s="173"/>
      <c r="T54" s="173"/>
      <c r="U54" s="166"/>
      <c r="V54" s="166"/>
      <c r="W54" s="65"/>
      <c r="X54" s="66"/>
      <c r="Y54" s="173"/>
      <c r="Z54" s="166"/>
      <c r="AA54" s="174"/>
      <c r="AB54" s="175"/>
      <c r="AC54" s="175"/>
      <c r="AD54" s="175"/>
      <c r="AE54" s="175"/>
      <c r="AF54" s="175"/>
      <c r="AG54" s="175"/>
      <c r="AH54" s="175"/>
      <c r="AI54" s="176"/>
      <c r="AJ54" s="177"/>
      <c r="AK54" s="178"/>
      <c r="AL54" s="178"/>
      <c r="AM54" s="178"/>
      <c r="AN54" s="178"/>
      <c r="AO54" s="179"/>
      <c r="AP54" s="64"/>
      <c r="AQ54" s="65"/>
      <c r="AR54" s="65"/>
      <c r="AS54" s="65"/>
      <c r="AT54" s="173"/>
      <c r="AU54" s="177"/>
      <c r="AV54" s="178"/>
      <c r="AW54" s="178"/>
      <c r="AX54" s="179"/>
      <c r="AZ54" s="166"/>
      <c r="BA54" s="177"/>
      <c r="BB54" s="178"/>
      <c r="BC54" s="178"/>
      <c r="BD54" s="178"/>
      <c r="BE54" s="178"/>
      <c r="BF54" s="178"/>
      <c r="BG54" s="178"/>
      <c r="BH54" s="178"/>
      <c r="BI54" s="179"/>
      <c r="BJ54" s="180"/>
      <c r="BK54" s="178"/>
      <c r="BL54" s="178"/>
      <c r="BM54" s="178"/>
      <c r="BN54" s="178"/>
      <c r="BO54" s="181"/>
      <c r="BP54" s="166"/>
      <c r="BQ54" s="177"/>
      <c r="BR54" s="178"/>
      <c r="BS54" s="179"/>
      <c r="BU54" s="166"/>
      <c r="BV54" s="166"/>
      <c r="BW54" s="166"/>
      <c r="BX54" s="166"/>
      <c r="BY54" s="166"/>
      <c r="BZ54" s="166"/>
      <c r="CA54" s="166"/>
      <c r="CB54" s="166"/>
      <c r="CC54" s="166"/>
      <c r="CD54" s="177"/>
      <c r="CE54" s="181"/>
      <c r="CF54" s="177"/>
      <c r="CG54" s="179"/>
      <c r="CH54" s="257"/>
      <c r="CI54" s="182"/>
      <c r="CJ54" s="177"/>
      <c r="CK54" s="182"/>
      <c r="CL54" s="177"/>
      <c r="CM54" s="182"/>
      <c r="CN54" s="177"/>
      <c r="CO54" s="182"/>
      <c r="CP54" s="177"/>
      <c r="CQ54" s="178"/>
      <c r="CR54" s="182"/>
      <c r="CS54" s="173"/>
      <c r="CT54" s="65"/>
      <c r="CU54" s="255" t="str">
        <f t="shared" si="2"/>
        <v>PCS</v>
      </c>
    </row>
    <row r="55" ht="60.0" customHeight="1">
      <c r="A55" s="65"/>
      <c r="C55" s="167">
        <v>4.0</v>
      </c>
      <c r="D55" s="168" t="s">
        <v>162</v>
      </c>
      <c r="E55" s="169"/>
      <c r="F55" s="170"/>
      <c r="G55" s="170"/>
      <c r="H55" s="170"/>
      <c r="I55" s="170"/>
      <c r="J55" s="170"/>
      <c r="K55" s="171"/>
      <c r="L55" s="171"/>
      <c r="M55" s="171"/>
      <c r="N55" s="171"/>
      <c r="O55" s="256">
        <f t="shared" si="10"/>
        <v>0</v>
      </c>
      <c r="Q55" s="173"/>
      <c r="R55" s="65"/>
      <c r="S55" s="173"/>
      <c r="T55" s="173"/>
      <c r="U55" s="166"/>
      <c r="V55" s="166"/>
      <c r="W55" s="65"/>
      <c r="X55" s="66"/>
      <c r="Y55" s="173"/>
      <c r="Z55" s="166"/>
      <c r="AA55" s="174"/>
      <c r="AB55" s="175"/>
      <c r="AC55" s="175"/>
      <c r="AD55" s="175"/>
      <c r="AE55" s="175"/>
      <c r="AF55" s="175"/>
      <c r="AG55" s="175"/>
      <c r="AH55" s="175"/>
      <c r="AI55" s="176"/>
      <c r="AJ55" s="177"/>
      <c r="AK55" s="178"/>
      <c r="AL55" s="178"/>
      <c r="AM55" s="178"/>
      <c r="AN55" s="178"/>
      <c r="AO55" s="179"/>
      <c r="AP55" s="64"/>
      <c r="AQ55" s="65"/>
      <c r="AR55" s="65"/>
      <c r="AS55" s="65"/>
      <c r="AT55" s="173"/>
      <c r="AU55" s="177"/>
      <c r="AV55" s="178"/>
      <c r="AW55" s="178"/>
      <c r="AX55" s="179"/>
      <c r="AZ55" s="166"/>
      <c r="BA55" s="177"/>
      <c r="BB55" s="178"/>
      <c r="BC55" s="178"/>
      <c r="BD55" s="178"/>
      <c r="BE55" s="178"/>
      <c r="BF55" s="178"/>
      <c r="BG55" s="178"/>
      <c r="BH55" s="178"/>
      <c r="BI55" s="179"/>
      <c r="BJ55" s="180"/>
      <c r="BK55" s="178"/>
      <c r="BL55" s="178"/>
      <c r="BM55" s="178"/>
      <c r="BN55" s="178"/>
      <c r="BO55" s="181"/>
      <c r="BP55" s="166"/>
      <c r="BQ55" s="177"/>
      <c r="BR55" s="178"/>
      <c r="BS55" s="179"/>
      <c r="BU55" s="166"/>
      <c r="BV55" s="166"/>
      <c r="BW55" s="166"/>
      <c r="BX55" s="166"/>
      <c r="BY55" s="166"/>
      <c r="BZ55" s="166"/>
      <c r="CA55" s="166"/>
      <c r="CB55" s="166"/>
      <c r="CC55" s="166"/>
      <c r="CD55" s="177"/>
      <c r="CE55" s="181"/>
      <c r="CF55" s="177"/>
      <c r="CG55" s="179"/>
      <c r="CH55" s="257"/>
      <c r="CI55" s="182"/>
      <c r="CJ55" s="177"/>
      <c r="CK55" s="182"/>
      <c r="CL55" s="177"/>
      <c r="CM55" s="182"/>
      <c r="CN55" s="177"/>
      <c r="CO55" s="182"/>
      <c r="CP55" s="177"/>
      <c r="CQ55" s="178"/>
      <c r="CR55" s="182"/>
      <c r="CS55" s="173"/>
      <c r="CT55" s="65"/>
      <c r="CU55" s="255" t="str">
        <f t="shared" si="2"/>
        <v>PCS</v>
      </c>
    </row>
    <row r="56" ht="60.0" customHeight="1">
      <c r="A56" s="65"/>
      <c r="C56" s="167">
        <v>5.0</v>
      </c>
      <c r="D56" s="168" t="s">
        <v>162</v>
      </c>
      <c r="E56" s="169"/>
      <c r="F56" s="170"/>
      <c r="G56" s="170"/>
      <c r="H56" s="170"/>
      <c r="I56" s="170"/>
      <c r="J56" s="170"/>
      <c r="K56" s="171"/>
      <c r="L56" s="171"/>
      <c r="M56" s="171"/>
      <c r="N56" s="171"/>
      <c r="O56" s="256">
        <f t="shared" si="10"/>
        <v>0</v>
      </c>
      <c r="Q56" s="173"/>
      <c r="R56" s="65"/>
      <c r="S56" s="173"/>
      <c r="T56" s="173"/>
      <c r="U56" s="166"/>
      <c r="V56" s="166"/>
      <c r="W56" s="65"/>
      <c r="X56" s="66"/>
      <c r="Y56" s="173"/>
      <c r="Z56" s="166"/>
      <c r="AA56" s="174"/>
      <c r="AB56" s="175"/>
      <c r="AC56" s="175"/>
      <c r="AD56" s="175"/>
      <c r="AE56" s="175"/>
      <c r="AF56" s="175"/>
      <c r="AG56" s="175"/>
      <c r="AH56" s="175"/>
      <c r="AI56" s="176"/>
      <c r="AJ56" s="177"/>
      <c r="AK56" s="178"/>
      <c r="AL56" s="178"/>
      <c r="AM56" s="178"/>
      <c r="AN56" s="178"/>
      <c r="AO56" s="179"/>
      <c r="AP56" s="64"/>
      <c r="AQ56" s="65"/>
      <c r="AR56" s="65"/>
      <c r="AS56" s="65"/>
      <c r="AT56" s="173"/>
      <c r="AU56" s="177"/>
      <c r="AV56" s="178"/>
      <c r="AW56" s="178"/>
      <c r="AX56" s="179"/>
      <c r="AZ56" s="166"/>
      <c r="BA56" s="177"/>
      <c r="BB56" s="178"/>
      <c r="BC56" s="178"/>
      <c r="BD56" s="178"/>
      <c r="BE56" s="178"/>
      <c r="BF56" s="178"/>
      <c r="BG56" s="178"/>
      <c r="BH56" s="178"/>
      <c r="BI56" s="179"/>
      <c r="BJ56" s="180"/>
      <c r="BK56" s="178"/>
      <c r="BL56" s="178"/>
      <c r="BM56" s="178"/>
      <c r="BN56" s="178"/>
      <c r="BO56" s="181"/>
      <c r="BP56" s="166"/>
      <c r="BQ56" s="177"/>
      <c r="BR56" s="178"/>
      <c r="BS56" s="179"/>
      <c r="BU56" s="166"/>
      <c r="BV56" s="166"/>
      <c r="BW56" s="166"/>
      <c r="BX56" s="166"/>
      <c r="BY56" s="166"/>
      <c r="BZ56" s="166"/>
      <c r="CA56" s="166"/>
      <c r="CB56" s="166"/>
      <c r="CC56" s="166"/>
      <c r="CD56" s="177"/>
      <c r="CE56" s="181"/>
      <c r="CF56" s="177"/>
      <c r="CG56" s="179"/>
      <c r="CH56" s="257"/>
      <c r="CI56" s="182"/>
      <c r="CJ56" s="177"/>
      <c r="CK56" s="182"/>
      <c r="CL56" s="177"/>
      <c r="CM56" s="182"/>
      <c r="CN56" s="177"/>
      <c r="CO56" s="182"/>
      <c r="CP56" s="177"/>
      <c r="CQ56" s="178"/>
      <c r="CR56" s="182"/>
      <c r="CS56" s="173"/>
      <c r="CT56" s="65"/>
      <c r="CU56" s="255" t="str">
        <f t="shared" si="2"/>
        <v>PCS</v>
      </c>
    </row>
    <row r="57" ht="60.0" customHeight="1">
      <c r="A57" s="65"/>
      <c r="C57" s="167">
        <v>6.0</v>
      </c>
      <c r="D57" s="168" t="s">
        <v>162</v>
      </c>
      <c r="E57" s="169"/>
      <c r="F57" s="170"/>
      <c r="G57" s="170"/>
      <c r="H57" s="170"/>
      <c r="I57" s="170"/>
      <c r="J57" s="170"/>
      <c r="K57" s="171"/>
      <c r="L57" s="171"/>
      <c r="M57" s="171"/>
      <c r="N57" s="171"/>
      <c r="O57" s="256">
        <f t="shared" si="10"/>
        <v>0</v>
      </c>
      <c r="Q57" s="173"/>
      <c r="R57" s="65"/>
      <c r="S57" s="173"/>
      <c r="T57" s="173"/>
      <c r="U57" s="166"/>
      <c r="V57" s="166"/>
      <c r="W57" s="65"/>
      <c r="X57" s="66"/>
      <c r="Y57" s="173"/>
      <c r="Z57" s="166"/>
      <c r="AA57" s="174"/>
      <c r="AB57" s="175"/>
      <c r="AC57" s="175"/>
      <c r="AD57" s="175"/>
      <c r="AE57" s="175"/>
      <c r="AF57" s="175"/>
      <c r="AG57" s="175"/>
      <c r="AH57" s="175"/>
      <c r="AI57" s="176"/>
      <c r="AJ57" s="177"/>
      <c r="AK57" s="178"/>
      <c r="AL57" s="178"/>
      <c r="AM57" s="178"/>
      <c r="AN57" s="178"/>
      <c r="AO57" s="179"/>
      <c r="AP57" s="64"/>
      <c r="AQ57" s="65"/>
      <c r="AR57" s="65"/>
      <c r="AS57" s="65"/>
      <c r="AT57" s="173"/>
      <c r="AU57" s="177"/>
      <c r="AV57" s="178"/>
      <c r="AW57" s="178"/>
      <c r="AX57" s="179"/>
      <c r="AZ57" s="166"/>
      <c r="BA57" s="177"/>
      <c r="BB57" s="178"/>
      <c r="BC57" s="178"/>
      <c r="BD57" s="178"/>
      <c r="BE57" s="178"/>
      <c r="BF57" s="178"/>
      <c r="BG57" s="178"/>
      <c r="BH57" s="178"/>
      <c r="BI57" s="179"/>
      <c r="BJ57" s="180"/>
      <c r="BK57" s="178"/>
      <c r="BL57" s="178"/>
      <c r="BM57" s="178"/>
      <c r="BN57" s="178"/>
      <c r="BO57" s="181"/>
      <c r="BP57" s="166"/>
      <c r="BQ57" s="177"/>
      <c r="BR57" s="178"/>
      <c r="BS57" s="179"/>
      <c r="BU57" s="166"/>
      <c r="BV57" s="166"/>
      <c r="BW57" s="166"/>
      <c r="BX57" s="166"/>
      <c r="BY57" s="166"/>
      <c r="BZ57" s="166"/>
      <c r="CA57" s="166"/>
      <c r="CB57" s="166"/>
      <c r="CC57" s="166"/>
      <c r="CD57" s="177"/>
      <c r="CE57" s="181"/>
      <c r="CF57" s="177"/>
      <c r="CG57" s="179"/>
      <c r="CH57" s="257"/>
      <c r="CI57" s="182"/>
      <c r="CJ57" s="177"/>
      <c r="CK57" s="182"/>
      <c r="CL57" s="177"/>
      <c r="CM57" s="182"/>
      <c r="CN57" s="177"/>
      <c r="CO57" s="182"/>
      <c r="CP57" s="177"/>
      <c r="CQ57" s="178"/>
      <c r="CR57" s="182"/>
      <c r="CS57" s="173"/>
      <c r="CT57" s="65"/>
      <c r="CU57" s="255" t="str">
        <f t="shared" si="2"/>
        <v>PCS</v>
      </c>
    </row>
    <row r="58" ht="60.0" customHeight="1">
      <c r="A58" s="65"/>
      <c r="C58" s="167">
        <v>7.0</v>
      </c>
      <c r="D58" s="168" t="s">
        <v>162</v>
      </c>
      <c r="E58" s="169"/>
      <c r="F58" s="170"/>
      <c r="G58" s="170"/>
      <c r="H58" s="170"/>
      <c r="I58" s="170"/>
      <c r="J58" s="170"/>
      <c r="K58" s="171"/>
      <c r="L58" s="171"/>
      <c r="M58" s="171"/>
      <c r="N58" s="171"/>
      <c r="O58" s="256">
        <f t="shared" ref="O58:O61" si="11">IF(AND(M58&gt;=20,M58&lt;&gt;"m",RIGHT(K58,3)="Lec"),1,IF(AND(M58&gt;=20,M58&lt;&gt;"m",OR(RIGHT(K58,3)="Lab",RIGHT(K58,3)="Tut")),0.5,IF(AND(M58&gt;=20,M58&lt;&gt;"m",RIGHT(K58,2)="TL"),0.75,0)))</f>
        <v>0</v>
      </c>
      <c r="Q58" s="173"/>
      <c r="R58" s="65"/>
      <c r="S58" s="173"/>
      <c r="T58" s="173"/>
      <c r="U58" s="166"/>
      <c r="V58" s="166"/>
      <c r="W58" s="65"/>
      <c r="X58" s="66"/>
      <c r="Y58" s="173"/>
      <c r="Z58" s="166"/>
      <c r="AA58" s="174"/>
      <c r="AB58" s="175"/>
      <c r="AC58" s="175"/>
      <c r="AD58" s="175"/>
      <c r="AE58" s="175"/>
      <c r="AF58" s="175"/>
      <c r="AG58" s="175"/>
      <c r="AH58" s="175"/>
      <c r="AI58" s="176"/>
      <c r="AJ58" s="177"/>
      <c r="AK58" s="178"/>
      <c r="AL58" s="178"/>
      <c r="AM58" s="178"/>
      <c r="AN58" s="178"/>
      <c r="AO58" s="179"/>
      <c r="AP58" s="64"/>
      <c r="AQ58" s="65"/>
      <c r="AR58" s="65"/>
      <c r="AS58" s="65"/>
      <c r="AT58" s="173"/>
      <c r="AU58" s="177"/>
      <c r="AV58" s="178"/>
      <c r="AW58" s="178"/>
      <c r="AX58" s="179"/>
      <c r="AZ58" s="166"/>
      <c r="BA58" s="177"/>
      <c r="BB58" s="178"/>
      <c r="BC58" s="178"/>
      <c r="BD58" s="178"/>
      <c r="BE58" s="178"/>
      <c r="BF58" s="178"/>
      <c r="BG58" s="178"/>
      <c r="BH58" s="178"/>
      <c r="BI58" s="179"/>
      <c r="BJ58" s="180"/>
      <c r="BK58" s="178"/>
      <c r="BL58" s="178"/>
      <c r="BM58" s="178"/>
      <c r="BN58" s="178"/>
      <c r="BO58" s="181"/>
      <c r="BP58" s="166"/>
      <c r="BQ58" s="177"/>
      <c r="BR58" s="178"/>
      <c r="BS58" s="179"/>
      <c r="BU58" s="166"/>
      <c r="BV58" s="166"/>
      <c r="BW58" s="166"/>
      <c r="BX58" s="166"/>
      <c r="BY58" s="166"/>
      <c r="BZ58" s="166"/>
      <c r="CA58" s="166"/>
      <c r="CB58" s="166"/>
      <c r="CC58" s="166"/>
      <c r="CD58" s="177"/>
      <c r="CE58" s="181"/>
      <c r="CF58" s="177"/>
      <c r="CG58" s="179"/>
      <c r="CH58" s="257"/>
      <c r="CI58" s="182"/>
      <c r="CJ58" s="177"/>
      <c r="CK58" s="182"/>
      <c r="CL58" s="177"/>
      <c r="CM58" s="182"/>
      <c r="CN58" s="177"/>
      <c r="CO58" s="182"/>
      <c r="CP58" s="177"/>
      <c r="CQ58" s="178"/>
      <c r="CR58" s="182"/>
      <c r="CS58" s="173"/>
      <c r="CT58" s="65"/>
      <c r="CU58" s="255" t="str">
        <f t="shared" si="2"/>
        <v>PCS</v>
      </c>
    </row>
    <row r="59" ht="60.0" customHeight="1">
      <c r="A59" s="65"/>
      <c r="C59" s="167">
        <v>8.0</v>
      </c>
      <c r="D59" s="168" t="s">
        <v>162</v>
      </c>
      <c r="E59" s="169"/>
      <c r="F59" s="170"/>
      <c r="G59" s="170"/>
      <c r="H59" s="170"/>
      <c r="I59" s="170"/>
      <c r="J59" s="170"/>
      <c r="K59" s="171"/>
      <c r="L59" s="171"/>
      <c r="M59" s="171"/>
      <c r="N59" s="171"/>
      <c r="O59" s="256">
        <f t="shared" si="11"/>
        <v>0</v>
      </c>
      <c r="Q59" s="173"/>
      <c r="R59" s="65"/>
      <c r="S59" s="173"/>
      <c r="T59" s="173"/>
      <c r="U59" s="166"/>
      <c r="V59" s="166"/>
      <c r="W59" s="65"/>
      <c r="X59" s="66"/>
      <c r="Y59" s="173"/>
      <c r="Z59" s="166"/>
      <c r="AA59" s="174"/>
      <c r="AB59" s="175"/>
      <c r="AC59" s="175"/>
      <c r="AD59" s="175"/>
      <c r="AE59" s="175"/>
      <c r="AF59" s="175"/>
      <c r="AG59" s="175"/>
      <c r="AH59" s="175"/>
      <c r="AI59" s="176"/>
      <c r="AJ59" s="177"/>
      <c r="AK59" s="178"/>
      <c r="AL59" s="178"/>
      <c r="AM59" s="178"/>
      <c r="AN59" s="178"/>
      <c r="AO59" s="179"/>
      <c r="AP59" s="64"/>
      <c r="AQ59" s="65"/>
      <c r="AR59" s="65"/>
      <c r="AS59" s="65"/>
      <c r="AT59" s="173"/>
      <c r="AU59" s="177"/>
      <c r="AV59" s="178"/>
      <c r="AW59" s="178"/>
      <c r="AX59" s="179"/>
      <c r="AZ59" s="166"/>
      <c r="BA59" s="177"/>
      <c r="BB59" s="178"/>
      <c r="BC59" s="178"/>
      <c r="BD59" s="178"/>
      <c r="BE59" s="178"/>
      <c r="BF59" s="178"/>
      <c r="BG59" s="178"/>
      <c r="BH59" s="178"/>
      <c r="BI59" s="179"/>
      <c r="BJ59" s="180"/>
      <c r="BK59" s="178"/>
      <c r="BL59" s="178"/>
      <c r="BM59" s="178"/>
      <c r="BN59" s="178"/>
      <c r="BO59" s="181"/>
      <c r="BP59" s="166"/>
      <c r="BQ59" s="177"/>
      <c r="BR59" s="178"/>
      <c r="BS59" s="179"/>
      <c r="BU59" s="166"/>
      <c r="BV59" s="166"/>
      <c r="BW59" s="166"/>
      <c r="BX59" s="166"/>
      <c r="BY59" s="166"/>
      <c r="BZ59" s="166"/>
      <c r="CA59" s="166"/>
      <c r="CB59" s="166"/>
      <c r="CC59" s="166"/>
      <c r="CD59" s="177"/>
      <c r="CE59" s="181"/>
      <c r="CF59" s="177"/>
      <c r="CG59" s="179"/>
      <c r="CH59" s="257"/>
      <c r="CI59" s="182"/>
      <c r="CJ59" s="177"/>
      <c r="CK59" s="182"/>
      <c r="CL59" s="177"/>
      <c r="CM59" s="182"/>
      <c r="CN59" s="177"/>
      <c r="CO59" s="182"/>
      <c r="CP59" s="177"/>
      <c r="CQ59" s="178"/>
      <c r="CR59" s="182"/>
      <c r="CS59" s="173"/>
      <c r="CT59" s="65"/>
      <c r="CU59" s="255" t="str">
        <f t="shared" si="2"/>
        <v>PCS</v>
      </c>
    </row>
    <row r="60" ht="60.0" customHeight="1">
      <c r="A60" s="65"/>
      <c r="C60" s="167">
        <v>9.0</v>
      </c>
      <c r="D60" s="168" t="s">
        <v>162</v>
      </c>
      <c r="E60" s="169"/>
      <c r="F60" s="170"/>
      <c r="G60" s="170"/>
      <c r="H60" s="170"/>
      <c r="I60" s="170"/>
      <c r="J60" s="170"/>
      <c r="K60" s="171"/>
      <c r="L60" s="171"/>
      <c r="M60" s="171"/>
      <c r="N60" s="171"/>
      <c r="O60" s="256">
        <f t="shared" si="11"/>
        <v>0</v>
      </c>
      <c r="Q60" s="173"/>
      <c r="R60" s="65"/>
      <c r="S60" s="173"/>
      <c r="T60" s="173"/>
      <c r="U60" s="166"/>
      <c r="V60" s="166"/>
      <c r="W60" s="65"/>
      <c r="X60" s="66"/>
      <c r="Y60" s="173"/>
      <c r="Z60" s="166"/>
      <c r="AA60" s="174"/>
      <c r="AB60" s="175"/>
      <c r="AC60" s="175"/>
      <c r="AD60" s="175"/>
      <c r="AE60" s="175"/>
      <c r="AF60" s="175"/>
      <c r="AG60" s="175"/>
      <c r="AH60" s="175"/>
      <c r="AI60" s="176"/>
      <c r="AJ60" s="177"/>
      <c r="AK60" s="178"/>
      <c r="AL60" s="178"/>
      <c r="AM60" s="178"/>
      <c r="AN60" s="178"/>
      <c r="AO60" s="179"/>
      <c r="AP60" s="64"/>
      <c r="AQ60" s="65"/>
      <c r="AR60" s="65"/>
      <c r="AS60" s="65"/>
      <c r="AT60" s="173"/>
      <c r="AU60" s="177"/>
      <c r="AV60" s="178"/>
      <c r="AW60" s="178"/>
      <c r="AX60" s="179"/>
      <c r="AZ60" s="166"/>
      <c r="BA60" s="177"/>
      <c r="BB60" s="178"/>
      <c r="BC60" s="178"/>
      <c r="BD60" s="178"/>
      <c r="BE60" s="178"/>
      <c r="BF60" s="178"/>
      <c r="BG60" s="178"/>
      <c r="BH60" s="178"/>
      <c r="BI60" s="179"/>
      <c r="BJ60" s="180"/>
      <c r="BK60" s="178"/>
      <c r="BL60" s="178"/>
      <c r="BM60" s="178"/>
      <c r="BN60" s="178"/>
      <c r="BO60" s="181"/>
      <c r="BP60" s="166"/>
      <c r="BQ60" s="177"/>
      <c r="BR60" s="178"/>
      <c r="BS60" s="179"/>
      <c r="BU60" s="166"/>
      <c r="BV60" s="166"/>
      <c r="BW60" s="166"/>
      <c r="BX60" s="166"/>
      <c r="BY60" s="166"/>
      <c r="BZ60" s="166"/>
      <c r="CA60" s="166"/>
      <c r="CB60" s="166"/>
      <c r="CC60" s="166"/>
      <c r="CD60" s="177"/>
      <c r="CE60" s="181"/>
      <c r="CF60" s="177"/>
      <c r="CG60" s="179"/>
      <c r="CH60" s="257"/>
      <c r="CI60" s="182"/>
      <c r="CJ60" s="177"/>
      <c r="CK60" s="182"/>
      <c r="CL60" s="177"/>
      <c r="CM60" s="182"/>
      <c r="CN60" s="177"/>
      <c r="CO60" s="182"/>
      <c r="CP60" s="177"/>
      <c r="CQ60" s="178"/>
      <c r="CR60" s="182"/>
      <c r="CS60" s="173"/>
      <c r="CT60" s="65"/>
      <c r="CU60" s="255" t="str">
        <f t="shared" si="2"/>
        <v>PCS</v>
      </c>
    </row>
    <row r="61" ht="60.0" customHeight="1">
      <c r="A61" s="65"/>
      <c r="C61" s="167">
        <v>10.0</v>
      </c>
      <c r="D61" s="168" t="s">
        <v>162</v>
      </c>
      <c r="E61" s="169"/>
      <c r="F61" s="170"/>
      <c r="G61" s="170"/>
      <c r="H61" s="170"/>
      <c r="I61" s="170"/>
      <c r="J61" s="170"/>
      <c r="K61" s="171"/>
      <c r="L61" s="171"/>
      <c r="M61" s="171"/>
      <c r="N61" s="171"/>
      <c r="O61" s="256">
        <f t="shared" si="11"/>
        <v>0</v>
      </c>
      <c r="Q61" s="173"/>
      <c r="R61" s="65"/>
      <c r="S61" s="173"/>
      <c r="T61" s="173"/>
      <c r="U61" s="166"/>
      <c r="V61" s="166"/>
      <c r="W61" s="65"/>
      <c r="X61" s="66"/>
      <c r="Y61" s="173"/>
      <c r="Z61" s="166"/>
      <c r="AA61" s="174"/>
      <c r="AB61" s="175"/>
      <c r="AC61" s="175"/>
      <c r="AD61" s="175"/>
      <c r="AE61" s="175"/>
      <c r="AF61" s="175"/>
      <c r="AG61" s="175"/>
      <c r="AH61" s="175"/>
      <c r="AI61" s="176"/>
      <c r="AJ61" s="177"/>
      <c r="AK61" s="178"/>
      <c r="AL61" s="178"/>
      <c r="AM61" s="178"/>
      <c r="AN61" s="178"/>
      <c r="AO61" s="179"/>
      <c r="AP61" s="64"/>
      <c r="AQ61" s="65"/>
      <c r="AR61" s="65"/>
      <c r="AS61" s="65"/>
      <c r="AT61" s="173"/>
      <c r="AU61" s="177"/>
      <c r="AV61" s="178"/>
      <c r="AW61" s="178"/>
      <c r="AX61" s="179"/>
      <c r="AZ61" s="166"/>
      <c r="BA61" s="177"/>
      <c r="BB61" s="178"/>
      <c r="BC61" s="178"/>
      <c r="BD61" s="178"/>
      <c r="BE61" s="178"/>
      <c r="BF61" s="178"/>
      <c r="BG61" s="178"/>
      <c r="BH61" s="178"/>
      <c r="BI61" s="179"/>
      <c r="BJ61" s="180"/>
      <c r="BK61" s="178"/>
      <c r="BL61" s="178"/>
      <c r="BM61" s="178"/>
      <c r="BN61" s="178"/>
      <c r="BO61" s="181"/>
      <c r="BP61" s="166"/>
      <c r="BQ61" s="177"/>
      <c r="BR61" s="178"/>
      <c r="BS61" s="179"/>
      <c r="BU61" s="166"/>
      <c r="BV61" s="166"/>
      <c r="BW61" s="166"/>
      <c r="BX61" s="166"/>
      <c r="BY61" s="166"/>
      <c r="BZ61" s="166"/>
      <c r="CA61" s="166"/>
      <c r="CB61" s="166"/>
      <c r="CC61" s="166"/>
      <c r="CD61" s="177"/>
      <c r="CE61" s="181"/>
      <c r="CF61" s="177"/>
      <c r="CG61" s="179"/>
      <c r="CH61" s="257"/>
      <c r="CI61" s="182"/>
      <c r="CJ61" s="177"/>
      <c r="CK61" s="182"/>
      <c r="CL61" s="177"/>
      <c r="CM61" s="182"/>
      <c r="CN61" s="177"/>
      <c r="CO61" s="182"/>
      <c r="CP61" s="177"/>
      <c r="CQ61" s="178"/>
      <c r="CR61" s="182"/>
      <c r="CS61" s="173"/>
      <c r="CT61" s="65"/>
      <c r="CU61" s="255" t="str">
        <f t="shared" si="2"/>
        <v>PCS</v>
      </c>
    </row>
    <row r="62" ht="60.0" customHeight="1">
      <c r="A62" s="89"/>
      <c r="C62" s="183">
        <v>11.0</v>
      </c>
      <c r="D62" s="210" t="s">
        <v>162</v>
      </c>
      <c r="E62" s="185"/>
      <c r="F62" s="186"/>
      <c r="G62" s="186"/>
      <c r="H62" s="186"/>
      <c r="I62" s="186"/>
      <c r="J62" s="186"/>
      <c r="K62" s="187"/>
      <c r="L62" s="187"/>
      <c r="M62" s="187"/>
      <c r="N62" s="187"/>
      <c r="O62" s="258">
        <f t="shared" ref="O62:O68" si="12">IF(AND(M62&lt;&gt;0,M62&lt;&gt;"m",M62&lt;&gt;"",RIGHT(K62,3)="Lec"),1,IF(AND(M62&lt;&gt;0,M62&lt;&gt;"m",M62&lt;&gt;"",OR(RIGHT(K62,3)="Lab",RIGHT(K62,3)="Tut")),0.5,IF(AND(M62&lt;&gt;0,M62&lt;&gt;"m",M62&lt;&gt;"",RIGHT(K62,2)="TL"),0.75,0)))</f>
        <v>0</v>
      </c>
      <c r="P62" s="6"/>
      <c r="Q62" s="69"/>
      <c r="R62" s="89"/>
      <c r="S62" s="69"/>
      <c r="T62" s="69"/>
      <c r="U62" s="63"/>
      <c r="V62" s="63"/>
      <c r="W62" s="89"/>
      <c r="X62" s="68"/>
      <c r="Y62" s="69"/>
      <c r="Z62" s="63"/>
      <c r="AA62" s="189"/>
      <c r="AB62" s="190"/>
      <c r="AC62" s="190"/>
      <c r="AD62" s="190"/>
      <c r="AE62" s="190"/>
      <c r="AF62" s="190"/>
      <c r="AG62" s="190"/>
      <c r="AH62" s="190"/>
      <c r="AI62" s="191"/>
      <c r="AJ62" s="192"/>
      <c r="AK62" s="193"/>
      <c r="AL62" s="193"/>
      <c r="AM62" s="193"/>
      <c r="AN62" s="193"/>
      <c r="AO62" s="194"/>
      <c r="AP62" s="103"/>
      <c r="AQ62" s="89"/>
      <c r="AR62" s="89"/>
      <c r="AS62" s="89"/>
      <c r="AT62" s="69"/>
      <c r="AU62" s="192"/>
      <c r="AV62" s="193"/>
      <c r="AW62" s="193"/>
      <c r="AX62" s="194"/>
      <c r="AY62" s="6"/>
      <c r="AZ62" s="63"/>
      <c r="BA62" s="192"/>
      <c r="BB62" s="193"/>
      <c r="BC62" s="193"/>
      <c r="BD62" s="193"/>
      <c r="BE62" s="193"/>
      <c r="BF62" s="193"/>
      <c r="BG62" s="193"/>
      <c r="BH62" s="193"/>
      <c r="BI62" s="194"/>
      <c r="BJ62" s="195"/>
      <c r="BK62" s="193"/>
      <c r="BL62" s="193"/>
      <c r="BM62" s="193"/>
      <c r="BN62" s="193"/>
      <c r="BO62" s="196"/>
      <c r="BP62" s="63"/>
      <c r="BQ62" s="192"/>
      <c r="BR62" s="193"/>
      <c r="BS62" s="194"/>
      <c r="BT62" s="6"/>
      <c r="BU62" s="63"/>
      <c r="BV62" s="63"/>
      <c r="BW62" s="63"/>
      <c r="BX62" s="63"/>
      <c r="BY62" s="63"/>
      <c r="BZ62" s="63"/>
      <c r="CA62" s="63"/>
      <c r="CB62" s="63"/>
      <c r="CC62" s="63"/>
      <c r="CD62" s="192"/>
      <c r="CE62" s="196"/>
      <c r="CF62" s="192"/>
      <c r="CG62" s="194"/>
      <c r="CH62" s="259"/>
      <c r="CI62" s="197"/>
      <c r="CJ62" s="192"/>
      <c r="CK62" s="197"/>
      <c r="CL62" s="192"/>
      <c r="CM62" s="197"/>
      <c r="CN62" s="192"/>
      <c r="CO62" s="197"/>
      <c r="CP62" s="192"/>
      <c r="CQ62" s="193"/>
      <c r="CR62" s="197"/>
      <c r="CS62" s="69"/>
      <c r="CT62" s="89"/>
      <c r="CU62" s="255" t="str">
        <f t="shared" si="2"/>
        <v>PCS</v>
      </c>
    </row>
    <row r="63" ht="56.25" customHeight="1">
      <c r="A63" s="125">
        <v>6.0</v>
      </c>
      <c r="B63" s="199" t="s">
        <v>164</v>
      </c>
      <c r="C63" s="127">
        <v>1.0</v>
      </c>
      <c r="D63" s="168" t="s">
        <v>165</v>
      </c>
      <c r="E63" s="129"/>
      <c r="F63" s="130"/>
      <c r="G63" s="130"/>
      <c r="H63" s="130"/>
      <c r="I63" s="130"/>
      <c r="J63" s="130"/>
      <c r="K63" s="131"/>
      <c r="L63" s="131"/>
      <c r="M63" s="131"/>
      <c r="N63" s="131"/>
      <c r="O63" s="250">
        <f t="shared" si="12"/>
        <v>0</v>
      </c>
      <c r="P63" s="251">
        <f>COUNTIF(K63:K73,"TL")*0.75+COUNTIF(K63:K73,"Lec")*1+COUNTIF(K63:K73,"Lab")*0.5</f>
        <v>0</v>
      </c>
      <c r="Q63" s="134">
        <f>SUM((IF(LEFT(K63,1)="E",O63,0)),(IF(LEFT(K64,1)="E",O64,0)),(IF(LEFT(K65,1)="E",O65,0)),(IF(LEFT(K66,1)="E",O66,0)),(IF(LEFT(K67,1)="E",O67,0)),(IF(LEFT(K68,1)="E",O68,0)),(IF(LEFT(K69,1)="E",O69,0)),(IF(LEFT(K70,1)="E",O70,0)),(IF(LEFT(K71,1)="E",O71,0)),(IF(LEFT(K72,1)="E",O72,0)),(IF(LEFT(K73,1)="E",O73,0)))</f>
        <v>0</v>
      </c>
      <c r="R63" s="135">
        <f>SUM(IF(M69&lt;20,IF(K69="Plec",-1,IF(K69="PTL",-0.75,IF(K69="Plab",-0.5,0))),0),IF(M70&lt;20,IF(K70="Plec",-1,IF(K70="PTL",-0.75,IF(K70="Plab",-0.5,0))),0),IF(M71&lt;20,IF(K71="Plec",-1,IF(K71="PTL",-0.75,IF(K71="Plab",-0.5,0))),0),IF(M72&lt;20,IF(K72="Plec",-1,IF(K72="PTL",-0.75,IF(K72="Plab",-0.5,0))),0))</f>
        <v>0</v>
      </c>
      <c r="S63" s="134">
        <f>SUM(P63:R73)</f>
        <v>0</v>
      </c>
      <c r="T63" s="136">
        <f>SUM(IF(M63="M",IF(OR(K63="lec",K63="plec",K63="slec"),1,IF(OR(K63="lab",K63="plab",K63="slab",K63="tut",K63="ptut",K63="stut"),0.5,IF(OR(K63="TL",K63="pTL",K63="STL"),0.75,0))),0),IF(M64="M",IF(OR(K64="lec",K64="plec",K64="slec"),1,IF(OR(K64="lab",K64="plab",K64="slab",K64="tut",K64="ptut",K64="stut"),0.5,IF(OR(K64="TL",K64="pTL",K64="STL"),0.75,0))),0),IF(M65="M",IF(OR(K65="lec",K65="plec",K65="slec"),1,IF(OR(K65="lab",K65="plab",K65="slab",K65="tut",K65="ptut",K65="stut"),0.5,IF(OR(K65="TL",K65="pTL",K65="STL"),0.75,0))),0),IF(M66="M",IF(OR(K66="lec",K66="plec",K66="slec"),1,IF(OR(K66="lab",K66="plab",K66="slab",K66="tut",K66="ptut",K66="stut"),0.5,IF(OR(K66="TL",K66="pTL",K66="STL"),0.75,0))),0),IF(M67="M",IF(OR(K67="lec",K67="plec",K67="slec"),1,IF(OR(K67="lab",K67="plab",K67="slab",K67="tut",K67="ptut",K67="stut"),0.5,IF(OR(K67="TL",K67="pTL",K67="STL"),0.75,0))),0),IF(M68="M",IF(OR(K68="lec",K68="plec",K68="slec"),1,IF(OR(K68="lab",K68="plab",K68="slab",K68="tut",K68="ptut",K68="stut"),0.5,IF(OR(K68="TL",K68="pTL",K68="STL"),0.75,0))),0),IF(M69="M",IF(OR(K69="lec",K69="plec",K69="slec"),1,IF(OR(K69="lab",K69="plab",K69="slab",K69="tut",K69="ptut",K69="stut"),0.5,IF(OR(K69="TL",K69="pTL",K69="STL"),0.75,0))),0),IF(M70="M",IF(OR(K70="lec",K70="plec",K70="slec"),1,IF(OR(K70="lab",K70="plab",K70="slab",K70="tut",K70="ptut",K70="stut"),0.5,IF(OR(K70="TL",K70="pTL",K70="STL"),0.75,0))),0),IF(M71="M",IF(OR(K71="lec",K71="plec",K71="slec"),1,IF(OR(K71="lab",K71="plab",K71="slab",K71="tut",K71="ptut",K71="stut"),0.5,IF(OR(K71="TL",K71="pTL",K71="STL"),0.75,0))),0),IF(M72="M",IF(OR(K72="lec",K72="plec",K72="slec"),1,IF(OR(K72="lab",K72="plab",K72="slab",K72="tut",K72="ptut",K72="stut"),0.5,IF(OR(K72="TL",K72="pTL",K72="STL"),0.75,0))),0),IF(M73="M",IF(OR(K73="lec",K73="plec",K73="slec"),1,IF(OR(K73="lab",K73="plab",K73="slab",K73="tut",K73="ptut",K73="stut"),0.5,IF(OR(K73="TL",K73="pTL",K73="STL"),0.75,0))),0))</f>
        <v>0</v>
      </c>
      <c r="U63" s="137"/>
      <c r="V63" s="133"/>
      <c r="W63" s="138"/>
      <c r="X63" s="139">
        <f>S63-(T63+U63+V63+W63)</f>
        <v>0</v>
      </c>
      <c r="Y63" s="134" t="str">
        <f>CONCATENATE(SUM(O63:O73),"(",SUM(O63:O73)-X63,")")</f>
        <v>0(0)</v>
      </c>
      <c r="Z63" s="140"/>
      <c r="AA63" s="141" t="s">
        <v>186</v>
      </c>
      <c r="AB63" s="142" t="s">
        <v>139</v>
      </c>
      <c r="AC63" s="142" t="s">
        <v>224</v>
      </c>
      <c r="AD63" s="142">
        <v>3.0</v>
      </c>
      <c r="AE63" s="142" t="s">
        <v>225</v>
      </c>
      <c r="AF63" s="142">
        <v>9.499817172E9</v>
      </c>
      <c r="AG63" s="142">
        <v>1.0</v>
      </c>
      <c r="AH63" s="142" t="s">
        <v>226</v>
      </c>
      <c r="AI63" s="143">
        <v>0.5</v>
      </c>
      <c r="AJ63" s="144"/>
      <c r="AK63" s="145"/>
      <c r="AL63" s="145"/>
      <c r="AM63" s="145"/>
      <c r="AN63" s="145"/>
      <c r="AO63" s="146"/>
      <c r="AP63" s="147">
        <f>SUM(SUM(O63:O73),SUM(AI63:AI73)/2,AM63)</f>
        <v>0.25</v>
      </c>
      <c r="AQ63" s="148"/>
      <c r="AR63" s="148">
        <f>AP63*AQ63</f>
        <v>0</v>
      </c>
      <c r="AS63" s="148">
        <f>CT63</f>
        <v>0.2</v>
      </c>
      <c r="AT63" s="149">
        <f>AR63*0.75+AS63*0.25</f>
        <v>0.05</v>
      </c>
      <c r="AU63" s="150"/>
      <c r="AV63" s="151"/>
      <c r="AW63" s="151"/>
      <c r="AX63" s="152"/>
      <c r="AY63" s="153"/>
      <c r="AZ63" s="140"/>
      <c r="BA63" s="150"/>
      <c r="BB63" s="151"/>
      <c r="BC63" s="151"/>
      <c r="BD63" s="151"/>
      <c r="BE63" s="151"/>
      <c r="BF63" s="151"/>
      <c r="BG63" s="151"/>
      <c r="BH63" s="151"/>
      <c r="BI63" s="152"/>
      <c r="BJ63" s="154"/>
      <c r="BK63" s="151"/>
      <c r="BL63" s="151"/>
      <c r="BM63" s="151"/>
      <c r="BN63" s="151"/>
      <c r="BO63" s="155"/>
      <c r="BP63" s="140"/>
      <c r="BQ63" s="156" t="s">
        <v>227</v>
      </c>
      <c r="BR63" s="157">
        <v>4.0</v>
      </c>
      <c r="BS63" s="158">
        <v>0.0</v>
      </c>
      <c r="BT63" s="153"/>
      <c r="BU63" s="140"/>
      <c r="BV63" s="140"/>
      <c r="BW63" s="140"/>
      <c r="BX63" s="140"/>
      <c r="BY63" s="140"/>
      <c r="BZ63" s="140"/>
      <c r="CA63" s="140"/>
      <c r="CB63" s="140"/>
      <c r="CC63" s="140"/>
      <c r="CD63" s="150"/>
      <c r="CE63" s="155"/>
      <c r="CF63" s="150"/>
      <c r="CG63" s="152"/>
      <c r="CH63" s="252"/>
      <c r="CI63" s="160"/>
      <c r="CJ63" s="159"/>
      <c r="CK63" s="160"/>
      <c r="CL63" s="159"/>
      <c r="CM63" s="160"/>
      <c r="CN63" s="159"/>
      <c r="CO63" s="160"/>
      <c r="CP63" s="159"/>
      <c r="CQ63" s="162"/>
      <c r="CR63" s="160"/>
      <c r="CS63" s="253">
        <f>SUM(IF(AU63&lt;0,ABS(AU63),0),IF(AZ63&lt;0,ABS(AZ63),0),ABS(CI63),ABS(CK63),ABS(CM63),ABS(CO63),ABS(CQ63),ABS(CR63))</f>
        <v>0</v>
      </c>
      <c r="CT63" s="254">
        <f>SUM(AU63,AV63,AW63,AX63/400,AY63,AZ63,BG63,BH63*0.5,BI63*0.25,BJ63,BK63,BL63,BM63,BN63,BO63,BP63,BR63/20,BS63/100,BT63/60,BU63,BV63,BW63,BX63/4,SUM(BY63:CC73)/3,CE63,CG63/3,CI63,CK63,CM63,CO63,CQ63,CR63)</f>
        <v>0.2</v>
      </c>
      <c r="CU63" s="255" t="str">
        <f t="shared" si="2"/>
        <v>PKP</v>
      </c>
    </row>
    <row r="64" ht="60.0" customHeight="1">
      <c r="A64" s="65"/>
      <c r="C64" s="167">
        <v>2.0</v>
      </c>
      <c r="D64" s="168" t="s">
        <v>165</v>
      </c>
      <c r="E64" s="169"/>
      <c r="F64" s="170"/>
      <c r="G64" s="170"/>
      <c r="H64" s="170"/>
      <c r="I64" s="170"/>
      <c r="J64" s="170"/>
      <c r="K64" s="171"/>
      <c r="L64" s="171"/>
      <c r="M64" s="171"/>
      <c r="N64" s="171"/>
      <c r="O64" s="256">
        <f t="shared" si="12"/>
        <v>0</v>
      </c>
      <c r="Q64" s="173"/>
      <c r="R64" s="65"/>
      <c r="S64" s="173"/>
      <c r="T64" s="173"/>
      <c r="U64" s="166"/>
      <c r="V64" s="166"/>
      <c r="W64" s="65"/>
      <c r="X64" s="66"/>
      <c r="Y64" s="173"/>
      <c r="Z64" s="166"/>
      <c r="AA64" s="174"/>
      <c r="AB64" s="175"/>
      <c r="AC64" s="175"/>
      <c r="AD64" s="175"/>
      <c r="AE64" s="175"/>
      <c r="AF64" s="175"/>
      <c r="AG64" s="175"/>
      <c r="AH64" s="175"/>
      <c r="AI64" s="176"/>
      <c r="AJ64" s="177"/>
      <c r="AK64" s="178"/>
      <c r="AL64" s="178"/>
      <c r="AM64" s="178"/>
      <c r="AN64" s="178"/>
      <c r="AO64" s="179"/>
      <c r="AP64" s="64"/>
      <c r="AQ64" s="65"/>
      <c r="AR64" s="65"/>
      <c r="AS64" s="65"/>
      <c r="AT64" s="173"/>
      <c r="AU64" s="177"/>
      <c r="AV64" s="178"/>
      <c r="AW64" s="178"/>
      <c r="AX64" s="179"/>
      <c r="AZ64" s="166"/>
      <c r="BA64" s="177"/>
      <c r="BB64" s="178"/>
      <c r="BC64" s="178"/>
      <c r="BD64" s="178"/>
      <c r="BE64" s="178"/>
      <c r="BF64" s="178"/>
      <c r="BG64" s="178"/>
      <c r="BH64" s="178"/>
      <c r="BI64" s="179"/>
      <c r="BJ64" s="180"/>
      <c r="BK64" s="178"/>
      <c r="BL64" s="178"/>
      <c r="BM64" s="178"/>
      <c r="BN64" s="178"/>
      <c r="BO64" s="181"/>
      <c r="BP64" s="166"/>
      <c r="BQ64" s="177"/>
      <c r="BR64" s="178"/>
      <c r="BS64" s="179"/>
      <c r="BU64" s="166"/>
      <c r="BV64" s="166"/>
      <c r="BW64" s="166"/>
      <c r="BX64" s="166"/>
      <c r="BY64" s="166"/>
      <c r="BZ64" s="166"/>
      <c r="CA64" s="166"/>
      <c r="CB64" s="166"/>
      <c r="CC64" s="166"/>
      <c r="CD64" s="177"/>
      <c r="CE64" s="181"/>
      <c r="CF64" s="177"/>
      <c r="CG64" s="179"/>
      <c r="CH64" s="257"/>
      <c r="CI64" s="182"/>
      <c r="CJ64" s="177"/>
      <c r="CK64" s="182"/>
      <c r="CL64" s="177"/>
      <c r="CM64" s="182"/>
      <c r="CN64" s="177"/>
      <c r="CO64" s="182"/>
      <c r="CP64" s="177"/>
      <c r="CQ64" s="178"/>
      <c r="CR64" s="182"/>
      <c r="CS64" s="173"/>
      <c r="CT64" s="65"/>
      <c r="CU64" s="255" t="str">
        <f t="shared" si="2"/>
        <v>PKP</v>
      </c>
    </row>
    <row r="65" ht="60.0" customHeight="1">
      <c r="A65" s="65"/>
      <c r="C65" s="167">
        <v>3.0</v>
      </c>
      <c r="D65" s="168" t="s">
        <v>165</v>
      </c>
      <c r="E65" s="169"/>
      <c r="F65" s="170"/>
      <c r="G65" s="170"/>
      <c r="H65" s="170"/>
      <c r="I65" s="170"/>
      <c r="J65" s="170"/>
      <c r="K65" s="171"/>
      <c r="L65" s="171"/>
      <c r="M65" s="171"/>
      <c r="N65" s="171"/>
      <c r="O65" s="256">
        <f t="shared" si="12"/>
        <v>0</v>
      </c>
      <c r="Q65" s="173"/>
      <c r="R65" s="65"/>
      <c r="S65" s="173"/>
      <c r="T65" s="173"/>
      <c r="U65" s="166"/>
      <c r="V65" s="166"/>
      <c r="W65" s="65"/>
      <c r="X65" s="66"/>
      <c r="Y65" s="173"/>
      <c r="Z65" s="166"/>
      <c r="AA65" s="174"/>
      <c r="AB65" s="175"/>
      <c r="AC65" s="175"/>
      <c r="AD65" s="175"/>
      <c r="AE65" s="175"/>
      <c r="AF65" s="175"/>
      <c r="AG65" s="175"/>
      <c r="AH65" s="175"/>
      <c r="AI65" s="176"/>
      <c r="AJ65" s="177"/>
      <c r="AK65" s="178"/>
      <c r="AL65" s="178"/>
      <c r="AM65" s="178"/>
      <c r="AN65" s="178"/>
      <c r="AO65" s="179"/>
      <c r="AP65" s="64"/>
      <c r="AQ65" s="65"/>
      <c r="AR65" s="65"/>
      <c r="AS65" s="65"/>
      <c r="AT65" s="173"/>
      <c r="AU65" s="177"/>
      <c r="AV65" s="178"/>
      <c r="AW65" s="178"/>
      <c r="AX65" s="179"/>
      <c r="AZ65" s="166"/>
      <c r="BA65" s="177"/>
      <c r="BB65" s="178"/>
      <c r="BC65" s="178"/>
      <c r="BD65" s="178"/>
      <c r="BE65" s="178"/>
      <c r="BF65" s="178"/>
      <c r="BG65" s="178"/>
      <c r="BH65" s="178"/>
      <c r="BI65" s="179"/>
      <c r="BJ65" s="180"/>
      <c r="BK65" s="178"/>
      <c r="BL65" s="178"/>
      <c r="BM65" s="178"/>
      <c r="BN65" s="178"/>
      <c r="BO65" s="181"/>
      <c r="BP65" s="166"/>
      <c r="BQ65" s="177"/>
      <c r="BR65" s="178"/>
      <c r="BS65" s="179"/>
      <c r="BU65" s="166"/>
      <c r="BV65" s="166"/>
      <c r="BW65" s="166"/>
      <c r="BX65" s="166"/>
      <c r="BY65" s="166"/>
      <c r="BZ65" s="166"/>
      <c r="CA65" s="166"/>
      <c r="CB65" s="166"/>
      <c r="CC65" s="166"/>
      <c r="CD65" s="177"/>
      <c r="CE65" s="181"/>
      <c r="CF65" s="177"/>
      <c r="CG65" s="179"/>
      <c r="CH65" s="257"/>
      <c r="CI65" s="182"/>
      <c r="CJ65" s="177"/>
      <c r="CK65" s="182"/>
      <c r="CL65" s="177"/>
      <c r="CM65" s="182"/>
      <c r="CN65" s="177"/>
      <c r="CO65" s="182"/>
      <c r="CP65" s="177"/>
      <c r="CQ65" s="178"/>
      <c r="CR65" s="182"/>
      <c r="CS65" s="173"/>
      <c r="CT65" s="65"/>
      <c r="CU65" s="255" t="str">
        <f t="shared" si="2"/>
        <v>PKP</v>
      </c>
    </row>
    <row r="66" ht="60.0" customHeight="1">
      <c r="A66" s="65"/>
      <c r="C66" s="167">
        <v>4.0</v>
      </c>
      <c r="D66" s="168" t="s">
        <v>165</v>
      </c>
      <c r="E66" s="169"/>
      <c r="F66" s="170"/>
      <c r="G66" s="170"/>
      <c r="H66" s="170"/>
      <c r="I66" s="170"/>
      <c r="J66" s="170"/>
      <c r="K66" s="171"/>
      <c r="L66" s="171"/>
      <c r="M66" s="171"/>
      <c r="N66" s="171"/>
      <c r="O66" s="256">
        <f t="shared" si="12"/>
        <v>0</v>
      </c>
      <c r="Q66" s="173"/>
      <c r="R66" s="65"/>
      <c r="S66" s="173"/>
      <c r="T66" s="173"/>
      <c r="U66" s="166"/>
      <c r="V66" s="166"/>
      <c r="W66" s="65"/>
      <c r="X66" s="66"/>
      <c r="Y66" s="173"/>
      <c r="Z66" s="166"/>
      <c r="AA66" s="174"/>
      <c r="AB66" s="175"/>
      <c r="AC66" s="175"/>
      <c r="AD66" s="175"/>
      <c r="AE66" s="175"/>
      <c r="AF66" s="175"/>
      <c r="AG66" s="175"/>
      <c r="AH66" s="175"/>
      <c r="AI66" s="176"/>
      <c r="AJ66" s="177"/>
      <c r="AK66" s="178"/>
      <c r="AL66" s="178"/>
      <c r="AM66" s="178"/>
      <c r="AN66" s="178"/>
      <c r="AO66" s="179"/>
      <c r="AP66" s="64"/>
      <c r="AQ66" s="65"/>
      <c r="AR66" s="65"/>
      <c r="AS66" s="65"/>
      <c r="AT66" s="173"/>
      <c r="AU66" s="177"/>
      <c r="AV66" s="178"/>
      <c r="AW66" s="178"/>
      <c r="AX66" s="179"/>
      <c r="AZ66" s="166"/>
      <c r="BA66" s="177"/>
      <c r="BB66" s="178"/>
      <c r="BC66" s="178"/>
      <c r="BD66" s="178"/>
      <c r="BE66" s="178"/>
      <c r="BF66" s="178"/>
      <c r="BG66" s="178"/>
      <c r="BH66" s="178"/>
      <c r="BI66" s="179"/>
      <c r="BJ66" s="180"/>
      <c r="BK66" s="178"/>
      <c r="BL66" s="178"/>
      <c r="BM66" s="178"/>
      <c r="BN66" s="178"/>
      <c r="BO66" s="181"/>
      <c r="BP66" s="166"/>
      <c r="BQ66" s="177"/>
      <c r="BR66" s="178"/>
      <c r="BS66" s="179"/>
      <c r="BU66" s="166"/>
      <c r="BV66" s="166"/>
      <c r="BW66" s="166"/>
      <c r="BX66" s="166"/>
      <c r="BY66" s="166"/>
      <c r="BZ66" s="166"/>
      <c r="CA66" s="166"/>
      <c r="CB66" s="166"/>
      <c r="CC66" s="166"/>
      <c r="CD66" s="177"/>
      <c r="CE66" s="181"/>
      <c r="CF66" s="177"/>
      <c r="CG66" s="179"/>
      <c r="CH66" s="257"/>
      <c r="CI66" s="182"/>
      <c r="CJ66" s="177"/>
      <c r="CK66" s="182"/>
      <c r="CL66" s="177"/>
      <c r="CM66" s="182"/>
      <c r="CN66" s="177"/>
      <c r="CO66" s="182"/>
      <c r="CP66" s="177"/>
      <c r="CQ66" s="178"/>
      <c r="CR66" s="182"/>
      <c r="CS66" s="173"/>
      <c r="CT66" s="65"/>
      <c r="CU66" s="255" t="str">
        <f t="shared" si="2"/>
        <v>PKP</v>
      </c>
    </row>
    <row r="67" ht="60.0" customHeight="1">
      <c r="A67" s="65"/>
      <c r="C67" s="167">
        <v>5.0</v>
      </c>
      <c r="D67" s="168" t="s">
        <v>165</v>
      </c>
      <c r="E67" s="169"/>
      <c r="F67" s="170"/>
      <c r="G67" s="170"/>
      <c r="H67" s="170"/>
      <c r="I67" s="170"/>
      <c r="J67" s="170"/>
      <c r="K67" s="171"/>
      <c r="L67" s="171"/>
      <c r="M67" s="171"/>
      <c r="N67" s="171"/>
      <c r="O67" s="256">
        <f t="shared" si="12"/>
        <v>0</v>
      </c>
      <c r="Q67" s="173"/>
      <c r="R67" s="65"/>
      <c r="S67" s="173"/>
      <c r="T67" s="173"/>
      <c r="U67" s="166"/>
      <c r="V67" s="166"/>
      <c r="W67" s="65"/>
      <c r="X67" s="66"/>
      <c r="Y67" s="173"/>
      <c r="Z67" s="166"/>
      <c r="AA67" s="174"/>
      <c r="AB67" s="175"/>
      <c r="AC67" s="175"/>
      <c r="AD67" s="175"/>
      <c r="AE67" s="175"/>
      <c r="AF67" s="175"/>
      <c r="AG67" s="175"/>
      <c r="AH67" s="175"/>
      <c r="AI67" s="176"/>
      <c r="AJ67" s="177"/>
      <c r="AK67" s="178"/>
      <c r="AL67" s="178"/>
      <c r="AM67" s="178"/>
      <c r="AN67" s="178"/>
      <c r="AO67" s="179"/>
      <c r="AP67" s="64"/>
      <c r="AQ67" s="65"/>
      <c r="AR67" s="65"/>
      <c r="AS67" s="65"/>
      <c r="AT67" s="173"/>
      <c r="AU67" s="177"/>
      <c r="AV67" s="178"/>
      <c r="AW67" s="178"/>
      <c r="AX67" s="179"/>
      <c r="AZ67" s="166"/>
      <c r="BA67" s="177"/>
      <c r="BB67" s="178"/>
      <c r="BC67" s="178"/>
      <c r="BD67" s="178"/>
      <c r="BE67" s="178"/>
      <c r="BF67" s="178"/>
      <c r="BG67" s="178"/>
      <c r="BH67" s="178"/>
      <c r="BI67" s="179"/>
      <c r="BJ67" s="180"/>
      <c r="BK67" s="178"/>
      <c r="BL67" s="178"/>
      <c r="BM67" s="178"/>
      <c r="BN67" s="178"/>
      <c r="BO67" s="181"/>
      <c r="BP67" s="166"/>
      <c r="BQ67" s="177"/>
      <c r="BR67" s="178"/>
      <c r="BS67" s="179"/>
      <c r="BU67" s="166"/>
      <c r="BV67" s="166"/>
      <c r="BW67" s="166"/>
      <c r="BX67" s="166"/>
      <c r="BY67" s="166"/>
      <c r="BZ67" s="166"/>
      <c r="CA67" s="166"/>
      <c r="CB67" s="166"/>
      <c r="CC67" s="166"/>
      <c r="CD67" s="177"/>
      <c r="CE67" s="181"/>
      <c r="CF67" s="177"/>
      <c r="CG67" s="179"/>
      <c r="CH67" s="257"/>
      <c r="CI67" s="182"/>
      <c r="CJ67" s="177"/>
      <c r="CK67" s="182"/>
      <c r="CL67" s="177"/>
      <c r="CM67" s="182"/>
      <c r="CN67" s="177"/>
      <c r="CO67" s="182"/>
      <c r="CP67" s="177"/>
      <c r="CQ67" s="178"/>
      <c r="CR67" s="182"/>
      <c r="CS67" s="173"/>
      <c r="CT67" s="65"/>
      <c r="CU67" s="255" t="str">
        <f t="shared" si="2"/>
        <v>PKP</v>
      </c>
    </row>
    <row r="68" ht="60.0" customHeight="1">
      <c r="A68" s="65"/>
      <c r="C68" s="167">
        <v>6.0</v>
      </c>
      <c r="D68" s="168" t="s">
        <v>165</v>
      </c>
      <c r="E68" s="169"/>
      <c r="F68" s="170"/>
      <c r="G68" s="170"/>
      <c r="H68" s="170"/>
      <c r="I68" s="170"/>
      <c r="J68" s="170"/>
      <c r="K68" s="171"/>
      <c r="L68" s="171"/>
      <c r="M68" s="171"/>
      <c r="N68" s="171"/>
      <c r="O68" s="256">
        <f t="shared" si="12"/>
        <v>0</v>
      </c>
      <c r="Q68" s="173"/>
      <c r="R68" s="65"/>
      <c r="S68" s="173"/>
      <c r="T68" s="173"/>
      <c r="U68" s="166"/>
      <c r="V68" s="166"/>
      <c r="W68" s="65"/>
      <c r="X68" s="66"/>
      <c r="Y68" s="173"/>
      <c r="Z68" s="166"/>
      <c r="AA68" s="174"/>
      <c r="AB68" s="175"/>
      <c r="AC68" s="175"/>
      <c r="AD68" s="175"/>
      <c r="AE68" s="175"/>
      <c r="AF68" s="175"/>
      <c r="AG68" s="175"/>
      <c r="AH68" s="175"/>
      <c r="AI68" s="176"/>
      <c r="AJ68" s="177"/>
      <c r="AK68" s="178"/>
      <c r="AL68" s="178"/>
      <c r="AM68" s="178"/>
      <c r="AN68" s="178"/>
      <c r="AO68" s="179"/>
      <c r="AP68" s="64"/>
      <c r="AQ68" s="65"/>
      <c r="AR68" s="65"/>
      <c r="AS68" s="65"/>
      <c r="AT68" s="173"/>
      <c r="AU68" s="177"/>
      <c r="AV68" s="178"/>
      <c r="AW68" s="178"/>
      <c r="AX68" s="179"/>
      <c r="AZ68" s="166"/>
      <c r="BA68" s="177"/>
      <c r="BB68" s="178"/>
      <c r="BC68" s="178"/>
      <c r="BD68" s="178"/>
      <c r="BE68" s="178"/>
      <c r="BF68" s="178"/>
      <c r="BG68" s="178"/>
      <c r="BH68" s="178"/>
      <c r="BI68" s="179"/>
      <c r="BJ68" s="180"/>
      <c r="BK68" s="178"/>
      <c r="BL68" s="178"/>
      <c r="BM68" s="178"/>
      <c r="BN68" s="178"/>
      <c r="BO68" s="181"/>
      <c r="BP68" s="166"/>
      <c r="BQ68" s="177"/>
      <c r="BR68" s="178"/>
      <c r="BS68" s="179"/>
      <c r="BU68" s="166"/>
      <c r="BV68" s="166"/>
      <c r="BW68" s="166"/>
      <c r="BX68" s="166"/>
      <c r="BY68" s="166"/>
      <c r="BZ68" s="166"/>
      <c r="CA68" s="166"/>
      <c r="CB68" s="166"/>
      <c r="CC68" s="166"/>
      <c r="CD68" s="177"/>
      <c r="CE68" s="181"/>
      <c r="CF68" s="177"/>
      <c r="CG68" s="179"/>
      <c r="CH68" s="257"/>
      <c r="CI68" s="182"/>
      <c r="CJ68" s="177"/>
      <c r="CK68" s="182"/>
      <c r="CL68" s="177"/>
      <c r="CM68" s="182"/>
      <c r="CN68" s="177"/>
      <c r="CO68" s="182"/>
      <c r="CP68" s="177"/>
      <c r="CQ68" s="178"/>
      <c r="CR68" s="182"/>
      <c r="CS68" s="173"/>
      <c r="CT68" s="65"/>
      <c r="CU68" s="255" t="str">
        <f t="shared" si="2"/>
        <v>PKP</v>
      </c>
    </row>
    <row r="69" ht="60.0" customHeight="1">
      <c r="A69" s="65"/>
      <c r="C69" s="167">
        <v>7.0</v>
      </c>
      <c r="D69" s="168" t="s">
        <v>165</v>
      </c>
      <c r="E69" s="169"/>
      <c r="F69" s="170"/>
      <c r="G69" s="170"/>
      <c r="H69" s="170"/>
      <c r="I69" s="170"/>
      <c r="J69" s="170"/>
      <c r="K69" s="171"/>
      <c r="L69" s="171"/>
      <c r="M69" s="171"/>
      <c r="N69" s="171"/>
      <c r="O69" s="256">
        <f t="shared" ref="O69:O72" si="13">IF(AND(M69&gt;=20,M69&lt;&gt;"m",RIGHT(K69,3)="Lec"),1,IF(AND(M69&gt;=20,M69&lt;&gt;"m",OR(RIGHT(K69,3)="Lab",RIGHT(K69,3)="Tut")),0.5,IF(AND(M69&gt;=20,M69&lt;&gt;"m",RIGHT(K69,2)="TL"),0.75,0)))</f>
        <v>0</v>
      </c>
      <c r="Q69" s="173"/>
      <c r="R69" s="65"/>
      <c r="S69" s="173"/>
      <c r="T69" s="173"/>
      <c r="U69" s="166"/>
      <c r="V69" s="166"/>
      <c r="W69" s="65"/>
      <c r="X69" s="66"/>
      <c r="Y69" s="173"/>
      <c r="Z69" s="166"/>
      <c r="AA69" s="174"/>
      <c r="AB69" s="175"/>
      <c r="AC69" s="175"/>
      <c r="AD69" s="175"/>
      <c r="AE69" s="175"/>
      <c r="AF69" s="175"/>
      <c r="AG69" s="175"/>
      <c r="AH69" s="175"/>
      <c r="AI69" s="176"/>
      <c r="AJ69" s="177"/>
      <c r="AK69" s="178"/>
      <c r="AL69" s="178"/>
      <c r="AM69" s="178"/>
      <c r="AN69" s="178"/>
      <c r="AO69" s="179"/>
      <c r="AP69" s="64"/>
      <c r="AQ69" s="65"/>
      <c r="AR69" s="65"/>
      <c r="AS69" s="65"/>
      <c r="AT69" s="173"/>
      <c r="AU69" s="177"/>
      <c r="AV69" s="178"/>
      <c r="AW69" s="178"/>
      <c r="AX69" s="179"/>
      <c r="AZ69" s="166"/>
      <c r="BA69" s="177"/>
      <c r="BB69" s="178"/>
      <c r="BC69" s="178"/>
      <c r="BD69" s="178"/>
      <c r="BE69" s="178"/>
      <c r="BF69" s="178"/>
      <c r="BG69" s="178"/>
      <c r="BH69" s="178"/>
      <c r="BI69" s="179"/>
      <c r="BJ69" s="180"/>
      <c r="BK69" s="178"/>
      <c r="BL69" s="178"/>
      <c r="BM69" s="178"/>
      <c r="BN69" s="178"/>
      <c r="BO69" s="181"/>
      <c r="BP69" s="166"/>
      <c r="BQ69" s="177"/>
      <c r="BR69" s="178"/>
      <c r="BS69" s="179"/>
      <c r="BU69" s="166"/>
      <c r="BV69" s="166"/>
      <c r="BW69" s="166"/>
      <c r="BX69" s="166"/>
      <c r="BY69" s="166"/>
      <c r="BZ69" s="166"/>
      <c r="CA69" s="166"/>
      <c r="CB69" s="166"/>
      <c r="CC69" s="166"/>
      <c r="CD69" s="177"/>
      <c r="CE69" s="181"/>
      <c r="CF69" s="177"/>
      <c r="CG69" s="179"/>
      <c r="CH69" s="257"/>
      <c r="CI69" s="182"/>
      <c r="CJ69" s="177"/>
      <c r="CK69" s="182"/>
      <c r="CL69" s="177"/>
      <c r="CM69" s="182"/>
      <c r="CN69" s="177"/>
      <c r="CO69" s="182"/>
      <c r="CP69" s="177"/>
      <c r="CQ69" s="178"/>
      <c r="CR69" s="182"/>
      <c r="CS69" s="173"/>
      <c r="CT69" s="65"/>
      <c r="CU69" s="255" t="str">
        <f t="shared" si="2"/>
        <v>PKP</v>
      </c>
    </row>
    <row r="70" ht="60.0" customHeight="1">
      <c r="A70" s="65"/>
      <c r="C70" s="167">
        <v>8.0</v>
      </c>
      <c r="D70" s="168" t="s">
        <v>165</v>
      </c>
      <c r="E70" s="169"/>
      <c r="F70" s="170"/>
      <c r="G70" s="170"/>
      <c r="H70" s="170"/>
      <c r="I70" s="170"/>
      <c r="J70" s="170"/>
      <c r="K70" s="171"/>
      <c r="L70" s="171"/>
      <c r="M70" s="171"/>
      <c r="N70" s="171"/>
      <c r="O70" s="256">
        <f t="shared" si="13"/>
        <v>0</v>
      </c>
      <c r="Q70" s="173"/>
      <c r="R70" s="65"/>
      <c r="S70" s="173"/>
      <c r="T70" s="173"/>
      <c r="U70" s="166"/>
      <c r="V70" s="166"/>
      <c r="W70" s="65"/>
      <c r="X70" s="66"/>
      <c r="Y70" s="173"/>
      <c r="Z70" s="166"/>
      <c r="AA70" s="174"/>
      <c r="AB70" s="175"/>
      <c r="AC70" s="175"/>
      <c r="AD70" s="175"/>
      <c r="AE70" s="175"/>
      <c r="AF70" s="175"/>
      <c r="AG70" s="175"/>
      <c r="AH70" s="175"/>
      <c r="AI70" s="176"/>
      <c r="AJ70" s="177"/>
      <c r="AK70" s="178"/>
      <c r="AL70" s="178"/>
      <c r="AM70" s="178"/>
      <c r="AN70" s="178"/>
      <c r="AO70" s="179"/>
      <c r="AP70" s="64"/>
      <c r="AQ70" s="65"/>
      <c r="AR70" s="65"/>
      <c r="AS70" s="65"/>
      <c r="AT70" s="173"/>
      <c r="AU70" s="177"/>
      <c r="AV70" s="178"/>
      <c r="AW70" s="178"/>
      <c r="AX70" s="179"/>
      <c r="AZ70" s="166"/>
      <c r="BA70" s="177"/>
      <c r="BB70" s="178"/>
      <c r="BC70" s="178"/>
      <c r="BD70" s="178"/>
      <c r="BE70" s="178"/>
      <c r="BF70" s="178"/>
      <c r="BG70" s="178"/>
      <c r="BH70" s="178"/>
      <c r="BI70" s="179"/>
      <c r="BJ70" s="180"/>
      <c r="BK70" s="178"/>
      <c r="BL70" s="178"/>
      <c r="BM70" s="178"/>
      <c r="BN70" s="178"/>
      <c r="BO70" s="181"/>
      <c r="BP70" s="166"/>
      <c r="BQ70" s="177"/>
      <c r="BR70" s="178"/>
      <c r="BS70" s="179"/>
      <c r="BU70" s="166"/>
      <c r="BV70" s="166"/>
      <c r="BW70" s="166"/>
      <c r="BX70" s="166"/>
      <c r="BY70" s="166"/>
      <c r="BZ70" s="166"/>
      <c r="CA70" s="166"/>
      <c r="CB70" s="166"/>
      <c r="CC70" s="166"/>
      <c r="CD70" s="177"/>
      <c r="CE70" s="181"/>
      <c r="CF70" s="177"/>
      <c r="CG70" s="179"/>
      <c r="CH70" s="257"/>
      <c r="CI70" s="182"/>
      <c r="CJ70" s="177"/>
      <c r="CK70" s="182"/>
      <c r="CL70" s="177"/>
      <c r="CM70" s="182"/>
      <c r="CN70" s="177"/>
      <c r="CO70" s="182"/>
      <c r="CP70" s="177"/>
      <c r="CQ70" s="178"/>
      <c r="CR70" s="182"/>
      <c r="CS70" s="173"/>
      <c r="CT70" s="65"/>
      <c r="CU70" s="255" t="str">
        <f t="shared" si="2"/>
        <v>PKP</v>
      </c>
    </row>
    <row r="71" ht="60.0" customHeight="1">
      <c r="A71" s="65"/>
      <c r="C71" s="167">
        <v>9.0</v>
      </c>
      <c r="D71" s="168" t="s">
        <v>165</v>
      </c>
      <c r="E71" s="169"/>
      <c r="F71" s="170"/>
      <c r="G71" s="170"/>
      <c r="H71" s="170"/>
      <c r="I71" s="170"/>
      <c r="J71" s="170"/>
      <c r="K71" s="171"/>
      <c r="L71" s="171"/>
      <c r="M71" s="171"/>
      <c r="N71" s="171"/>
      <c r="O71" s="256">
        <f t="shared" si="13"/>
        <v>0</v>
      </c>
      <c r="Q71" s="173"/>
      <c r="R71" s="65"/>
      <c r="S71" s="173"/>
      <c r="T71" s="173"/>
      <c r="U71" s="166"/>
      <c r="V71" s="166"/>
      <c r="W71" s="65"/>
      <c r="X71" s="66"/>
      <c r="Y71" s="173"/>
      <c r="Z71" s="166"/>
      <c r="AA71" s="174"/>
      <c r="AB71" s="175"/>
      <c r="AC71" s="175"/>
      <c r="AD71" s="175"/>
      <c r="AE71" s="175"/>
      <c r="AF71" s="175"/>
      <c r="AG71" s="175"/>
      <c r="AH71" s="175"/>
      <c r="AI71" s="176"/>
      <c r="AJ71" s="177"/>
      <c r="AK71" s="178"/>
      <c r="AL71" s="178"/>
      <c r="AM71" s="178"/>
      <c r="AN71" s="178"/>
      <c r="AO71" s="179"/>
      <c r="AP71" s="64"/>
      <c r="AQ71" s="65"/>
      <c r="AR71" s="65"/>
      <c r="AS71" s="65"/>
      <c r="AT71" s="173"/>
      <c r="AU71" s="177"/>
      <c r="AV71" s="178"/>
      <c r="AW71" s="178"/>
      <c r="AX71" s="179"/>
      <c r="AZ71" s="166"/>
      <c r="BA71" s="177"/>
      <c r="BB71" s="178"/>
      <c r="BC71" s="178"/>
      <c r="BD71" s="178"/>
      <c r="BE71" s="178"/>
      <c r="BF71" s="178"/>
      <c r="BG71" s="178"/>
      <c r="BH71" s="178"/>
      <c r="BI71" s="179"/>
      <c r="BJ71" s="180"/>
      <c r="BK71" s="178"/>
      <c r="BL71" s="178"/>
      <c r="BM71" s="178"/>
      <c r="BN71" s="178"/>
      <c r="BO71" s="181"/>
      <c r="BP71" s="166"/>
      <c r="BQ71" s="177"/>
      <c r="BR71" s="178"/>
      <c r="BS71" s="179"/>
      <c r="BU71" s="166"/>
      <c r="BV71" s="166"/>
      <c r="BW71" s="166"/>
      <c r="BX71" s="166"/>
      <c r="BY71" s="166"/>
      <c r="BZ71" s="166"/>
      <c r="CA71" s="166"/>
      <c r="CB71" s="166"/>
      <c r="CC71" s="166"/>
      <c r="CD71" s="177"/>
      <c r="CE71" s="181"/>
      <c r="CF71" s="177"/>
      <c r="CG71" s="179"/>
      <c r="CH71" s="257"/>
      <c r="CI71" s="182"/>
      <c r="CJ71" s="177"/>
      <c r="CK71" s="182"/>
      <c r="CL71" s="177"/>
      <c r="CM71" s="182"/>
      <c r="CN71" s="177"/>
      <c r="CO71" s="182"/>
      <c r="CP71" s="177"/>
      <c r="CQ71" s="178"/>
      <c r="CR71" s="182"/>
      <c r="CS71" s="173"/>
      <c r="CT71" s="65"/>
      <c r="CU71" s="255" t="str">
        <f t="shared" si="2"/>
        <v>PKP</v>
      </c>
    </row>
    <row r="72" ht="60.0" customHeight="1">
      <c r="A72" s="65"/>
      <c r="C72" s="167">
        <v>10.0</v>
      </c>
      <c r="D72" s="168" t="s">
        <v>165</v>
      </c>
      <c r="E72" s="169"/>
      <c r="F72" s="170"/>
      <c r="G72" s="170"/>
      <c r="H72" s="170"/>
      <c r="I72" s="170"/>
      <c r="J72" s="170"/>
      <c r="K72" s="171"/>
      <c r="L72" s="171"/>
      <c r="M72" s="171"/>
      <c r="N72" s="171"/>
      <c r="O72" s="256">
        <f t="shared" si="13"/>
        <v>0</v>
      </c>
      <c r="Q72" s="173"/>
      <c r="R72" s="65"/>
      <c r="S72" s="173"/>
      <c r="T72" s="173"/>
      <c r="U72" s="166"/>
      <c r="V72" s="166"/>
      <c r="W72" s="65"/>
      <c r="X72" s="66"/>
      <c r="Y72" s="173"/>
      <c r="Z72" s="166"/>
      <c r="AA72" s="174"/>
      <c r="AB72" s="175"/>
      <c r="AC72" s="175"/>
      <c r="AD72" s="175"/>
      <c r="AE72" s="175"/>
      <c r="AF72" s="175"/>
      <c r="AG72" s="175"/>
      <c r="AH72" s="175"/>
      <c r="AI72" s="176"/>
      <c r="AJ72" s="177"/>
      <c r="AK72" s="178"/>
      <c r="AL72" s="178"/>
      <c r="AM72" s="178"/>
      <c r="AN72" s="178"/>
      <c r="AO72" s="179"/>
      <c r="AP72" s="64"/>
      <c r="AQ72" s="65"/>
      <c r="AR72" s="65"/>
      <c r="AS72" s="65"/>
      <c r="AT72" s="173"/>
      <c r="AU72" s="177"/>
      <c r="AV72" s="178"/>
      <c r="AW72" s="178"/>
      <c r="AX72" s="179"/>
      <c r="AZ72" s="166"/>
      <c r="BA72" s="177"/>
      <c r="BB72" s="178"/>
      <c r="BC72" s="178"/>
      <c r="BD72" s="178"/>
      <c r="BE72" s="178"/>
      <c r="BF72" s="178"/>
      <c r="BG72" s="178"/>
      <c r="BH72" s="178"/>
      <c r="BI72" s="179"/>
      <c r="BJ72" s="180"/>
      <c r="BK72" s="178"/>
      <c r="BL72" s="178"/>
      <c r="BM72" s="178"/>
      <c r="BN72" s="178"/>
      <c r="BO72" s="181"/>
      <c r="BP72" s="166"/>
      <c r="BQ72" s="177"/>
      <c r="BR72" s="178"/>
      <c r="BS72" s="179"/>
      <c r="BU72" s="166"/>
      <c r="BV72" s="166"/>
      <c r="BW72" s="166"/>
      <c r="BX72" s="166"/>
      <c r="BY72" s="166"/>
      <c r="BZ72" s="166"/>
      <c r="CA72" s="166"/>
      <c r="CB72" s="166"/>
      <c r="CC72" s="166"/>
      <c r="CD72" s="177"/>
      <c r="CE72" s="181"/>
      <c r="CF72" s="177"/>
      <c r="CG72" s="179"/>
      <c r="CH72" s="257"/>
      <c r="CI72" s="182"/>
      <c r="CJ72" s="177"/>
      <c r="CK72" s="182"/>
      <c r="CL72" s="177"/>
      <c r="CM72" s="182"/>
      <c r="CN72" s="177"/>
      <c r="CO72" s="182"/>
      <c r="CP72" s="177"/>
      <c r="CQ72" s="178"/>
      <c r="CR72" s="182"/>
      <c r="CS72" s="173"/>
      <c r="CT72" s="65"/>
      <c r="CU72" s="255" t="str">
        <f t="shared" si="2"/>
        <v>PKP</v>
      </c>
    </row>
    <row r="73" ht="60.0" customHeight="1">
      <c r="A73" s="89"/>
      <c r="C73" s="183">
        <v>11.0</v>
      </c>
      <c r="D73" s="210" t="s">
        <v>165</v>
      </c>
      <c r="E73" s="185"/>
      <c r="F73" s="186"/>
      <c r="G73" s="186"/>
      <c r="H73" s="186"/>
      <c r="I73" s="186"/>
      <c r="J73" s="186"/>
      <c r="K73" s="187"/>
      <c r="L73" s="187"/>
      <c r="M73" s="187"/>
      <c r="N73" s="187"/>
      <c r="O73" s="258">
        <f t="shared" ref="O73:O79" si="14">IF(AND(M73&lt;&gt;0,M73&lt;&gt;"m",M73&lt;&gt;"",RIGHT(K73,3)="Lec"),1,IF(AND(M73&lt;&gt;0,M73&lt;&gt;"m",M73&lt;&gt;"",OR(RIGHT(K73,3)="Lab",RIGHT(K73,3)="Tut")),0.5,IF(AND(M73&lt;&gt;0,M73&lt;&gt;"m",M73&lt;&gt;"",RIGHT(K73,2)="TL"),0.75,0)))</f>
        <v>0</v>
      </c>
      <c r="P73" s="6"/>
      <c r="Q73" s="69"/>
      <c r="R73" s="89"/>
      <c r="S73" s="69"/>
      <c r="T73" s="69"/>
      <c r="U73" s="63"/>
      <c r="V73" s="63"/>
      <c r="W73" s="89"/>
      <c r="X73" s="68"/>
      <c r="Y73" s="69"/>
      <c r="Z73" s="63"/>
      <c r="AA73" s="189"/>
      <c r="AB73" s="190"/>
      <c r="AC73" s="190"/>
      <c r="AD73" s="190"/>
      <c r="AE73" s="190"/>
      <c r="AF73" s="190"/>
      <c r="AG73" s="190"/>
      <c r="AH73" s="190"/>
      <c r="AI73" s="191"/>
      <c r="AJ73" s="192"/>
      <c r="AK73" s="193"/>
      <c r="AL73" s="193"/>
      <c r="AM73" s="193"/>
      <c r="AN73" s="193"/>
      <c r="AO73" s="194"/>
      <c r="AP73" s="103"/>
      <c r="AQ73" s="89"/>
      <c r="AR73" s="89"/>
      <c r="AS73" s="89"/>
      <c r="AT73" s="69"/>
      <c r="AU73" s="192"/>
      <c r="AV73" s="193"/>
      <c r="AW73" s="193"/>
      <c r="AX73" s="194"/>
      <c r="AY73" s="6"/>
      <c r="AZ73" s="63"/>
      <c r="BA73" s="192"/>
      <c r="BB73" s="193"/>
      <c r="BC73" s="193"/>
      <c r="BD73" s="193"/>
      <c r="BE73" s="193"/>
      <c r="BF73" s="193"/>
      <c r="BG73" s="193"/>
      <c r="BH73" s="193"/>
      <c r="BI73" s="194"/>
      <c r="BJ73" s="195"/>
      <c r="BK73" s="193"/>
      <c r="BL73" s="193"/>
      <c r="BM73" s="193"/>
      <c r="BN73" s="193"/>
      <c r="BO73" s="196"/>
      <c r="BP73" s="63"/>
      <c r="BQ73" s="192"/>
      <c r="BR73" s="193"/>
      <c r="BS73" s="194"/>
      <c r="BT73" s="6"/>
      <c r="BU73" s="63"/>
      <c r="BV73" s="63"/>
      <c r="BW73" s="63"/>
      <c r="BX73" s="63"/>
      <c r="BY73" s="63"/>
      <c r="BZ73" s="63"/>
      <c r="CA73" s="63"/>
      <c r="CB73" s="63"/>
      <c r="CC73" s="63"/>
      <c r="CD73" s="192"/>
      <c r="CE73" s="196"/>
      <c r="CF73" s="192"/>
      <c r="CG73" s="194"/>
      <c r="CH73" s="259"/>
      <c r="CI73" s="197"/>
      <c r="CJ73" s="192"/>
      <c r="CK73" s="197"/>
      <c r="CL73" s="192"/>
      <c r="CM73" s="197"/>
      <c r="CN73" s="192"/>
      <c r="CO73" s="197"/>
      <c r="CP73" s="192"/>
      <c r="CQ73" s="193"/>
      <c r="CR73" s="197"/>
      <c r="CS73" s="69"/>
      <c r="CT73" s="89"/>
      <c r="CU73" s="255" t="str">
        <f t="shared" si="2"/>
        <v>PKP</v>
      </c>
    </row>
    <row r="74" ht="56.25" customHeight="1">
      <c r="A74" s="125">
        <v>7.0</v>
      </c>
      <c r="B74" s="199" t="s">
        <v>169</v>
      </c>
      <c r="C74" s="127">
        <v>1.0</v>
      </c>
      <c r="D74" s="168" t="s">
        <v>170</v>
      </c>
      <c r="E74" s="129"/>
      <c r="F74" s="130"/>
      <c r="G74" s="130"/>
      <c r="H74" s="130"/>
      <c r="I74" s="130"/>
      <c r="J74" s="130"/>
      <c r="K74" s="131"/>
      <c r="L74" s="131"/>
      <c r="M74" s="131"/>
      <c r="N74" s="131"/>
      <c r="O74" s="250">
        <f t="shared" si="14"/>
        <v>0</v>
      </c>
      <c r="P74" s="251">
        <f>COUNTIF(K74:K84,"TL")*0.75+COUNTIF(K74:K84,"Lec")*1+COUNTIF(K74:K84,"Lab")*0.5</f>
        <v>0</v>
      </c>
      <c r="Q74" s="134">
        <f>SUM((IF(LEFT(K74,1)="E",O74,0)),(IF(LEFT(K75,1)="E",O75,0)),(IF(LEFT(K76,1)="E",O76,0)),(IF(LEFT(K77,1)="E",O77,0)),(IF(LEFT(K78,1)="E",O78,0)),(IF(LEFT(K79,1)="E",O79,0)),(IF(LEFT(K80,1)="E",O80,0)),(IF(LEFT(K81,1)="E",O81,0)),(IF(LEFT(K82,1)="E",O82,0)),(IF(LEFT(K83,1)="E",O83,0)),(IF(LEFT(K84,1)="E",O84,0)))</f>
        <v>0</v>
      </c>
      <c r="R74" s="135">
        <f>SUM(IF(M80&lt;20,IF(K80="Plec",-1,IF(K80="PTL",-0.75,IF(K80="Plab",-0.5,0))),0),IF(M81&lt;20,IF(K81="Plec",-1,IF(K81="PTL",-0.75,IF(K81="Plab",-0.5,0))),0),IF(M82&lt;20,IF(K82="Plec",-1,IF(K82="PTL",-0.75,IF(K82="Plab",-0.5,0))),0),IF(M83&lt;20,IF(K83="Plec",-1,IF(K83="PTL",-0.75,IF(K83="Plab",-0.5,0))),0))</f>
        <v>0</v>
      </c>
      <c r="S74" s="134">
        <f>SUM(P74:R84)</f>
        <v>0</v>
      </c>
      <c r="T74" s="136">
        <f>SUM(IF(M74="M",IF(OR(K74="lec",K74="plec",K74="slec"),1,IF(OR(K74="lab",K74="plab",K74="slab",K74="tut",K74="ptut",K74="stut"),0.5,IF(OR(K74="TL",K74="pTL",K74="STL"),0.75,0))),0),IF(M75="M",IF(OR(K75="lec",K75="plec",K75="slec"),1,IF(OR(K75="lab",K75="plab",K75="slab",K75="tut",K75="ptut",K75="stut"),0.5,IF(OR(K75="TL",K75="pTL",K75="STL"),0.75,0))),0),IF(M76="M",IF(OR(K76="lec",K76="plec",K76="slec"),1,IF(OR(K76="lab",K76="plab",K76="slab",K76="tut",K76="ptut",K76="stut"),0.5,IF(OR(K76="TL",K76="pTL",K76="STL"),0.75,0))),0),IF(M77="M",IF(OR(K77="lec",K77="plec",K77="slec"),1,IF(OR(K77="lab",K77="plab",K77="slab",K77="tut",K77="ptut",K77="stut"),0.5,IF(OR(K77="TL",K77="pTL",K77="STL"),0.75,0))),0),IF(M78="M",IF(OR(K78="lec",K78="plec",K78="slec"),1,IF(OR(K78="lab",K78="plab",K78="slab",K78="tut",K78="ptut",K78="stut"),0.5,IF(OR(K78="TL",K78="pTL",K78="STL"),0.75,0))),0),IF(M79="M",IF(OR(K79="lec",K79="plec",K79="slec"),1,IF(OR(K79="lab",K79="plab",K79="slab",K79="tut",K79="ptut",K79="stut"),0.5,IF(OR(K79="TL",K79="pTL",K79="STL"),0.75,0))),0),IF(M80="M",IF(OR(K80="lec",K80="plec",K80="slec"),1,IF(OR(K80="lab",K80="plab",K80="slab",K80="tut",K80="ptut",K80="stut"),0.5,IF(OR(K80="TL",K80="pTL",K80="STL"),0.75,0))),0),IF(M81="M",IF(OR(K81="lec",K81="plec",K81="slec"),1,IF(OR(K81="lab",K81="plab",K81="slab",K81="tut",K81="ptut",K81="stut"),0.5,IF(OR(K81="TL",K81="pTL",K81="STL"),0.75,0))),0),IF(M82="M",IF(OR(K82="lec",K82="plec",K82="slec"),1,IF(OR(K82="lab",K82="plab",K82="slab",K82="tut",K82="ptut",K82="stut"),0.5,IF(OR(K82="TL",K82="pTL",K82="STL"),0.75,0))),0),IF(M83="M",IF(OR(K83="lec",K83="plec",K83="slec"),1,IF(OR(K83="lab",K83="plab",K83="slab",K83="tut",K83="ptut",K83="stut"),0.5,IF(OR(K83="TL",K83="pTL",K83="STL"),0.75,0))),0),IF(M84="M",IF(OR(K84="lec",K84="plec",K84="slec"),1,IF(OR(K84="lab",K84="plab",K84="slab",K84="tut",K84="ptut",K84="stut"),0.5,IF(OR(K84="TL",K84="pTL",K84="STL"),0.75,0))),0))</f>
        <v>0</v>
      </c>
      <c r="U74" s="137"/>
      <c r="V74" s="133"/>
      <c r="W74" s="138"/>
      <c r="X74" s="139">
        <f>S74-(T74+U74+V74+W74)</f>
        <v>0</v>
      </c>
      <c r="Y74" s="134" t="str">
        <f>CONCATENATE(SUM(O74:O84),"(",SUM(O74:O84)-X74,")")</f>
        <v>0(0)</v>
      </c>
      <c r="Z74" s="140"/>
      <c r="AA74" s="141"/>
      <c r="AB74" s="142"/>
      <c r="AC74" s="142"/>
      <c r="AD74" s="142"/>
      <c r="AE74" s="142"/>
      <c r="AF74" s="142"/>
      <c r="AG74" s="142"/>
      <c r="AH74" s="142"/>
      <c r="AI74" s="143"/>
      <c r="AJ74" s="144"/>
      <c r="AK74" s="145"/>
      <c r="AL74" s="145"/>
      <c r="AM74" s="145"/>
      <c r="AN74" s="145"/>
      <c r="AO74" s="146"/>
      <c r="AP74" s="147">
        <f>SUM(SUM(O74:O84),SUM(AI74:AI84)/2,AM74)</f>
        <v>0</v>
      </c>
      <c r="AQ74" s="148"/>
      <c r="AR74" s="148">
        <f>AP74*AQ74</f>
        <v>0</v>
      </c>
      <c r="AS74" s="148">
        <f>CT74</f>
        <v>0.3</v>
      </c>
      <c r="AT74" s="149">
        <f>AR74*0.75+AS74*0.25</f>
        <v>0.075</v>
      </c>
      <c r="AU74" s="150"/>
      <c r="AV74" s="151"/>
      <c r="AW74" s="151"/>
      <c r="AX74" s="152"/>
      <c r="AY74" s="153"/>
      <c r="AZ74" s="140"/>
      <c r="BA74" s="150"/>
      <c r="BB74" s="151"/>
      <c r="BC74" s="151"/>
      <c r="BD74" s="151"/>
      <c r="BE74" s="151"/>
      <c r="BF74" s="151"/>
      <c r="BG74" s="151"/>
      <c r="BH74" s="151"/>
      <c r="BI74" s="152"/>
      <c r="BJ74" s="154"/>
      <c r="BK74" s="151"/>
      <c r="BL74" s="151"/>
      <c r="BM74" s="151"/>
      <c r="BN74" s="151"/>
      <c r="BO74" s="155"/>
      <c r="BP74" s="140"/>
      <c r="BQ74" s="156" t="s">
        <v>228</v>
      </c>
      <c r="BR74" s="157">
        <v>6.0</v>
      </c>
      <c r="BS74" s="158">
        <v>0.0</v>
      </c>
      <c r="BT74" s="153"/>
      <c r="BU74" s="140"/>
      <c r="BV74" s="140"/>
      <c r="BW74" s="140"/>
      <c r="BX74" s="140"/>
      <c r="BY74" s="140"/>
      <c r="BZ74" s="140"/>
      <c r="CA74" s="140"/>
      <c r="CB74" s="140"/>
      <c r="CC74" s="140"/>
      <c r="CD74" s="150"/>
      <c r="CE74" s="155"/>
      <c r="CF74" s="150"/>
      <c r="CG74" s="152"/>
      <c r="CH74" s="252"/>
      <c r="CI74" s="160"/>
      <c r="CJ74" s="159"/>
      <c r="CK74" s="160"/>
      <c r="CL74" s="159"/>
      <c r="CM74" s="160"/>
      <c r="CN74" s="159"/>
      <c r="CO74" s="160"/>
      <c r="CP74" s="159"/>
      <c r="CQ74" s="162"/>
      <c r="CR74" s="160"/>
      <c r="CS74" s="253">
        <f>SUM(IF(AU74&lt;0,ABS(AU74),0),IF(AZ74&lt;0,ABS(AZ74),0),ABS(CI74),ABS(CK74),ABS(CM74),ABS(CO74),ABS(CQ74),ABS(CR74))</f>
        <v>0</v>
      </c>
      <c r="CT74" s="254">
        <f>SUM(AU74,AV74,AW74,AX74/400,AY74,AZ74,BG74,BH74*0.5,BI74*0.25,BJ74,BK74,BL74,BM74,BN74,BO74,BP74,BR74/20,BS74/100,BT74/60,BU74,BV74,BW74,BX74/4,SUM(BY74:CC84)/3,CE74,CG74/3,CI74,CK74,CM74,CO74,CQ74,CR74)</f>
        <v>0.3</v>
      </c>
      <c r="CU74" s="255" t="str">
        <f t="shared" si="2"/>
        <v>SDP</v>
      </c>
    </row>
    <row r="75" ht="60.0" customHeight="1">
      <c r="A75" s="65"/>
      <c r="C75" s="167">
        <v>2.0</v>
      </c>
      <c r="D75" s="168" t="s">
        <v>170</v>
      </c>
      <c r="E75" s="169"/>
      <c r="F75" s="170"/>
      <c r="G75" s="170"/>
      <c r="H75" s="170"/>
      <c r="I75" s="170"/>
      <c r="J75" s="170"/>
      <c r="K75" s="171"/>
      <c r="L75" s="171"/>
      <c r="M75" s="171"/>
      <c r="N75" s="171"/>
      <c r="O75" s="256">
        <f t="shared" si="14"/>
        <v>0</v>
      </c>
      <c r="Q75" s="173"/>
      <c r="R75" s="65"/>
      <c r="S75" s="173"/>
      <c r="T75" s="173"/>
      <c r="U75" s="166"/>
      <c r="V75" s="166"/>
      <c r="W75" s="65"/>
      <c r="X75" s="66"/>
      <c r="Y75" s="173"/>
      <c r="Z75" s="166"/>
      <c r="AA75" s="174"/>
      <c r="AB75" s="175"/>
      <c r="AC75" s="175"/>
      <c r="AD75" s="175"/>
      <c r="AE75" s="175"/>
      <c r="AF75" s="175"/>
      <c r="AG75" s="175"/>
      <c r="AH75" s="175"/>
      <c r="AI75" s="176"/>
      <c r="AJ75" s="177"/>
      <c r="AK75" s="178"/>
      <c r="AL75" s="178"/>
      <c r="AM75" s="178"/>
      <c r="AN75" s="178"/>
      <c r="AO75" s="179"/>
      <c r="AP75" s="64"/>
      <c r="AQ75" s="65"/>
      <c r="AR75" s="65"/>
      <c r="AS75" s="65"/>
      <c r="AT75" s="173"/>
      <c r="AU75" s="177"/>
      <c r="AV75" s="178"/>
      <c r="AW75" s="178"/>
      <c r="AX75" s="179"/>
      <c r="AZ75" s="166"/>
      <c r="BA75" s="177"/>
      <c r="BB75" s="178"/>
      <c r="BC75" s="178"/>
      <c r="BD75" s="178"/>
      <c r="BE75" s="178"/>
      <c r="BF75" s="178"/>
      <c r="BG75" s="178"/>
      <c r="BH75" s="178"/>
      <c r="BI75" s="179"/>
      <c r="BJ75" s="180"/>
      <c r="BK75" s="178"/>
      <c r="BL75" s="178"/>
      <c r="BM75" s="178"/>
      <c r="BN75" s="178"/>
      <c r="BO75" s="181"/>
      <c r="BP75" s="166"/>
      <c r="BQ75" s="177"/>
      <c r="BR75" s="178"/>
      <c r="BS75" s="179"/>
      <c r="BU75" s="166"/>
      <c r="BV75" s="166"/>
      <c r="BW75" s="166"/>
      <c r="BX75" s="166"/>
      <c r="BY75" s="166"/>
      <c r="BZ75" s="166"/>
      <c r="CA75" s="166"/>
      <c r="CB75" s="166"/>
      <c r="CC75" s="166"/>
      <c r="CD75" s="177"/>
      <c r="CE75" s="181"/>
      <c r="CF75" s="177"/>
      <c r="CG75" s="179"/>
      <c r="CH75" s="257"/>
      <c r="CI75" s="182"/>
      <c r="CJ75" s="177"/>
      <c r="CK75" s="182"/>
      <c r="CL75" s="177"/>
      <c r="CM75" s="182"/>
      <c r="CN75" s="177"/>
      <c r="CO75" s="182"/>
      <c r="CP75" s="177"/>
      <c r="CQ75" s="178"/>
      <c r="CR75" s="182"/>
      <c r="CS75" s="173"/>
      <c r="CT75" s="65"/>
      <c r="CU75" s="255" t="str">
        <f t="shared" si="2"/>
        <v>SDP</v>
      </c>
    </row>
    <row r="76" ht="60.0" customHeight="1">
      <c r="A76" s="65"/>
      <c r="C76" s="167">
        <v>3.0</v>
      </c>
      <c r="D76" s="168" t="s">
        <v>170</v>
      </c>
      <c r="E76" s="169"/>
      <c r="F76" s="170"/>
      <c r="G76" s="170"/>
      <c r="H76" s="170"/>
      <c r="I76" s="170"/>
      <c r="J76" s="170"/>
      <c r="K76" s="171"/>
      <c r="L76" s="171"/>
      <c r="M76" s="171"/>
      <c r="N76" s="171"/>
      <c r="O76" s="256">
        <f t="shared" si="14"/>
        <v>0</v>
      </c>
      <c r="Q76" s="173"/>
      <c r="R76" s="65"/>
      <c r="S76" s="173"/>
      <c r="T76" s="173"/>
      <c r="U76" s="166"/>
      <c r="V76" s="166"/>
      <c r="W76" s="65"/>
      <c r="X76" s="66"/>
      <c r="Y76" s="173"/>
      <c r="Z76" s="166"/>
      <c r="AA76" s="174"/>
      <c r="AB76" s="175"/>
      <c r="AC76" s="175"/>
      <c r="AD76" s="175"/>
      <c r="AE76" s="175"/>
      <c r="AF76" s="175"/>
      <c r="AG76" s="175"/>
      <c r="AH76" s="175"/>
      <c r="AI76" s="176"/>
      <c r="AJ76" s="177"/>
      <c r="AK76" s="178"/>
      <c r="AL76" s="178"/>
      <c r="AM76" s="178"/>
      <c r="AN76" s="178"/>
      <c r="AO76" s="179"/>
      <c r="AP76" s="64"/>
      <c r="AQ76" s="65"/>
      <c r="AR76" s="65"/>
      <c r="AS76" s="65"/>
      <c r="AT76" s="173"/>
      <c r="AU76" s="177"/>
      <c r="AV76" s="178"/>
      <c r="AW76" s="178"/>
      <c r="AX76" s="179"/>
      <c r="AZ76" s="166"/>
      <c r="BA76" s="177"/>
      <c r="BB76" s="178"/>
      <c r="BC76" s="178"/>
      <c r="BD76" s="178"/>
      <c r="BE76" s="178"/>
      <c r="BF76" s="178"/>
      <c r="BG76" s="178"/>
      <c r="BH76" s="178"/>
      <c r="BI76" s="179"/>
      <c r="BJ76" s="180"/>
      <c r="BK76" s="178"/>
      <c r="BL76" s="178"/>
      <c r="BM76" s="178"/>
      <c r="BN76" s="178"/>
      <c r="BO76" s="181"/>
      <c r="BP76" s="166"/>
      <c r="BQ76" s="177"/>
      <c r="BR76" s="178"/>
      <c r="BS76" s="179"/>
      <c r="BU76" s="166"/>
      <c r="BV76" s="166"/>
      <c r="BW76" s="166"/>
      <c r="BX76" s="166"/>
      <c r="BY76" s="166"/>
      <c r="BZ76" s="166"/>
      <c r="CA76" s="166"/>
      <c r="CB76" s="166"/>
      <c r="CC76" s="166"/>
      <c r="CD76" s="177"/>
      <c r="CE76" s="181"/>
      <c r="CF76" s="177"/>
      <c r="CG76" s="179"/>
      <c r="CH76" s="257"/>
      <c r="CI76" s="182"/>
      <c r="CJ76" s="177"/>
      <c r="CK76" s="182"/>
      <c r="CL76" s="177"/>
      <c r="CM76" s="182"/>
      <c r="CN76" s="177"/>
      <c r="CO76" s="182"/>
      <c r="CP76" s="177"/>
      <c r="CQ76" s="178"/>
      <c r="CR76" s="182"/>
      <c r="CS76" s="173"/>
      <c r="CT76" s="65"/>
      <c r="CU76" s="255" t="str">
        <f t="shared" si="2"/>
        <v>SDP</v>
      </c>
    </row>
    <row r="77" ht="60.0" customHeight="1">
      <c r="A77" s="65"/>
      <c r="C77" s="167">
        <v>4.0</v>
      </c>
      <c r="D77" s="168" t="s">
        <v>170</v>
      </c>
      <c r="E77" s="169"/>
      <c r="F77" s="170"/>
      <c r="G77" s="170"/>
      <c r="H77" s="170"/>
      <c r="I77" s="170"/>
      <c r="J77" s="170"/>
      <c r="K77" s="171"/>
      <c r="L77" s="171"/>
      <c r="M77" s="171"/>
      <c r="N77" s="171"/>
      <c r="O77" s="256">
        <f t="shared" si="14"/>
        <v>0</v>
      </c>
      <c r="Q77" s="173"/>
      <c r="R77" s="65"/>
      <c r="S77" s="173"/>
      <c r="T77" s="173"/>
      <c r="U77" s="166"/>
      <c r="V77" s="166"/>
      <c r="W77" s="65"/>
      <c r="X77" s="66"/>
      <c r="Y77" s="173"/>
      <c r="Z77" s="166"/>
      <c r="AA77" s="174"/>
      <c r="AB77" s="175"/>
      <c r="AC77" s="175"/>
      <c r="AD77" s="175"/>
      <c r="AE77" s="175"/>
      <c r="AF77" s="175"/>
      <c r="AG77" s="175"/>
      <c r="AH77" s="175"/>
      <c r="AI77" s="176"/>
      <c r="AJ77" s="177"/>
      <c r="AK77" s="178"/>
      <c r="AL77" s="178"/>
      <c r="AM77" s="178"/>
      <c r="AN77" s="178"/>
      <c r="AO77" s="179"/>
      <c r="AP77" s="64"/>
      <c r="AQ77" s="65"/>
      <c r="AR77" s="65"/>
      <c r="AS77" s="65"/>
      <c r="AT77" s="173"/>
      <c r="AU77" s="177"/>
      <c r="AV77" s="178"/>
      <c r="AW77" s="178"/>
      <c r="AX77" s="179"/>
      <c r="AZ77" s="166"/>
      <c r="BA77" s="177"/>
      <c r="BB77" s="178"/>
      <c r="BC77" s="178"/>
      <c r="BD77" s="178"/>
      <c r="BE77" s="178"/>
      <c r="BF77" s="178"/>
      <c r="BG77" s="178"/>
      <c r="BH77" s="178"/>
      <c r="BI77" s="179"/>
      <c r="BJ77" s="180"/>
      <c r="BK77" s="178"/>
      <c r="BL77" s="178"/>
      <c r="BM77" s="178"/>
      <c r="BN77" s="178"/>
      <c r="BO77" s="181"/>
      <c r="BP77" s="166"/>
      <c r="BQ77" s="177"/>
      <c r="BR77" s="178"/>
      <c r="BS77" s="179"/>
      <c r="BU77" s="166"/>
      <c r="BV77" s="166"/>
      <c r="BW77" s="166"/>
      <c r="BX77" s="166"/>
      <c r="BY77" s="166"/>
      <c r="BZ77" s="166"/>
      <c r="CA77" s="166"/>
      <c r="CB77" s="166"/>
      <c r="CC77" s="166"/>
      <c r="CD77" s="177"/>
      <c r="CE77" s="181"/>
      <c r="CF77" s="177"/>
      <c r="CG77" s="179"/>
      <c r="CH77" s="257"/>
      <c r="CI77" s="182"/>
      <c r="CJ77" s="177"/>
      <c r="CK77" s="182"/>
      <c r="CL77" s="177"/>
      <c r="CM77" s="182"/>
      <c r="CN77" s="177"/>
      <c r="CO77" s="182"/>
      <c r="CP77" s="177"/>
      <c r="CQ77" s="178"/>
      <c r="CR77" s="182"/>
      <c r="CS77" s="173"/>
      <c r="CT77" s="65"/>
      <c r="CU77" s="255" t="str">
        <f t="shared" si="2"/>
        <v>SDP</v>
      </c>
    </row>
    <row r="78" ht="60.0" customHeight="1">
      <c r="A78" s="65"/>
      <c r="C78" s="167">
        <v>5.0</v>
      </c>
      <c r="D78" s="168" t="s">
        <v>170</v>
      </c>
      <c r="E78" s="169"/>
      <c r="F78" s="170"/>
      <c r="G78" s="170"/>
      <c r="H78" s="170"/>
      <c r="I78" s="170"/>
      <c r="J78" s="170"/>
      <c r="K78" s="171"/>
      <c r="L78" s="171"/>
      <c r="M78" s="171"/>
      <c r="N78" s="171"/>
      <c r="O78" s="256">
        <f t="shared" si="14"/>
        <v>0</v>
      </c>
      <c r="Q78" s="173"/>
      <c r="R78" s="65"/>
      <c r="S78" s="173"/>
      <c r="T78" s="173"/>
      <c r="U78" s="166"/>
      <c r="V78" s="166"/>
      <c r="W78" s="65"/>
      <c r="X78" s="66"/>
      <c r="Y78" s="173"/>
      <c r="Z78" s="166"/>
      <c r="AA78" s="174"/>
      <c r="AB78" s="175"/>
      <c r="AC78" s="175"/>
      <c r="AD78" s="175"/>
      <c r="AE78" s="175"/>
      <c r="AF78" s="175"/>
      <c r="AG78" s="175"/>
      <c r="AH78" s="175"/>
      <c r="AI78" s="176"/>
      <c r="AJ78" s="177"/>
      <c r="AK78" s="178"/>
      <c r="AL78" s="178"/>
      <c r="AM78" s="178"/>
      <c r="AN78" s="178"/>
      <c r="AO78" s="179"/>
      <c r="AP78" s="64"/>
      <c r="AQ78" s="65"/>
      <c r="AR78" s="65"/>
      <c r="AS78" s="65"/>
      <c r="AT78" s="173"/>
      <c r="AU78" s="177"/>
      <c r="AV78" s="178"/>
      <c r="AW78" s="178"/>
      <c r="AX78" s="179"/>
      <c r="AZ78" s="166"/>
      <c r="BA78" s="177"/>
      <c r="BB78" s="178"/>
      <c r="BC78" s="178"/>
      <c r="BD78" s="178"/>
      <c r="BE78" s="178"/>
      <c r="BF78" s="178"/>
      <c r="BG78" s="178"/>
      <c r="BH78" s="178"/>
      <c r="BI78" s="179"/>
      <c r="BJ78" s="180"/>
      <c r="BK78" s="178"/>
      <c r="BL78" s="178"/>
      <c r="BM78" s="178"/>
      <c r="BN78" s="178"/>
      <c r="BO78" s="181"/>
      <c r="BP78" s="166"/>
      <c r="BQ78" s="177"/>
      <c r="BR78" s="178"/>
      <c r="BS78" s="179"/>
      <c r="BU78" s="166"/>
      <c r="BV78" s="166"/>
      <c r="BW78" s="166"/>
      <c r="BX78" s="166"/>
      <c r="BY78" s="166"/>
      <c r="BZ78" s="166"/>
      <c r="CA78" s="166"/>
      <c r="CB78" s="166"/>
      <c r="CC78" s="166"/>
      <c r="CD78" s="177"/>
      <c r="CE78" s="181"/>
      <c r="CF78" s="177"/>
      <c r="CG78" s="179"/>
      <c r="CH78" s="257"/>
      <c r="CI78" s="182"/>
      <c r="CJ78" s="177"/>
      <c r="CK78" s="182"/>
      <c r="CL78" s="177"/>
      <c r="CM78" s="182"/>
      <c r="CN78" s="177"/>
      <c r="CO78" s="182"/>
      <c r="CP78" s="177"/>
      <c r="CQ78" s="178"/>
      <c r="CR78" s="182"/>
      <c r="CS78" s="173"/>
      <c r="CT78" s="65"/>
      <c r="CU78" s="255" t="str">
        <f t="shared" si="2"/>
        <v>SDP</v>
      </c>
    </row>
    <row r="79" ht="60.0" customHeight="1">
      <c r="A79" s="65"/>
      <c r="C79" s="167">
        <v>6.0</v>
      </c>
      <c r="D79" s="168" t="s">
        <v>170</v>
      </c>
      <c r="E79" s="169"/>
      <c r="F79" s="170"/>
      <c r="G79" s="170"/>
      <c r="H79" s="170"/>
      <c r="I79" s="170"/>
      <c r="J79" s="170"/>
      <c r="K79" s="171"/>
      <c r="L79" s="171"/>
      <c r="M79" s="171"/>
      <c r="N79" s="171"/>
      <c r="O79" s="256">
        <f t="shared" si="14"/>
        <v>0</v>
      </c>
      <c r="Q79" s="173"/>
      <c r="R79" s="65"/>
      <c r="S79" s="173"/>
      <c r="T79" s="173"/>
      <c r="U79" s="166"/>
      <c r="V79" s="166"/>
      <c r="W79" s="65"/>
      <c r="X79" s="66"/>
      <c r="Y79" s="173"/>
      <c r="Z79" s="166"/>
      <c r="AA79" s="174"/>
      <c r="AB79" s="175"/>
      <c r="AC79" s="175"/>
      <c r="AD79" s="175"/>
      <c r="AE79" s="175"/>
      <c r="AF79" s="175"/>
      <c r="AG79" s="175"/>
      <c r="AH79" s="175"/>
      <c r="AI79" s="176"/>
      <c r="AJ79" s="177"/>
      <c r="AK79" s="178"/>
      <c r="AL79" s="178"/>
      <c r="AM79" s="178"/>
      <c r="AN79" s="178"/>
      <c r="AO79" s="179"/>
      <c r="AP79" s="64"/>
      <c r="AQ79" s="65"/>
      <c r="AR79" s="65"/>
      <c r="AS79" s="65"/>
      <c r="AT79" s="173"/>
      <c r="AU79" s="177"/>
      <c r="AV79" s="178"/>
      <c r="AW79" s="178"/>
      <c r="AX79" s="179"/>
      <c r="AZ79" s="166"/>
      <c r="BA79" s="177"/>
      <c r="BB79" s="178"/>
      <c r="BC79" s="178"/>
      <c r="BD79" s="178"/>
      <c r="BE79" s="178"/>
      <c r="BF79" s="178"/>
      <c r="BG79" s="178"/>
      <c r="BH79" s="178"/>
      <c r="BI79" s="179"/>
      <c r="BJ79" s="180"/>
      <c r="BK79" s="178"/>
      <c r="BL79" s="178"/>
      <c r="BM79" s="178"/>
      <c r="BN79" s="178"/>
      <c r="BO79" s="181"/>
      <c r="BP79" s="166"/>
      <c r="BQ79" s="177"/>
      <c r="BR79" s="178"/>
      <c r="BS79" s="179"/>
      <c r="BU79" s="166"/>
      <c r="BV79" s="166"/>
      <c r="BW79" s="166"/>
      <c r="BX79" s="166"/>
      <c r="BY79" s="166"/>
      <c r="BZ79" s="166"/>
      <c r="CA79" s="166"/>
      <c r="CB79" s="166"/>
      <c r="CC79" s="166"/>
      <c r="CD79" s="177"/>
      <c r="CE79" s="181"/>
      <c r="CF79" s="177"/>
      <c r="CG79" s="179"/>
      <c r="CH79" s="257"/>
      <c r="CI79" s="182"/>
      <c r="CJ79" s="177"/>
      <c r="CK79" s="182"/>
      <c r="CL79" s="177"/>
      <c r="CM79" s="182"/>
      <c r="CN79" s="177"/>
      <c r="CO79" s="182"/>
      <c r="CP79" s="177"/>
      <c r="CQ79" s="178"/>
      <c r="CR79" s="182"/>
      <c r="CS79" s="173"/>
      <c r="CT79" s="65"/>
      <c r="CU79" s="255" t="str">
        <f t="shared" si="2"/>
        <v>SDP</v>
      </c>
    </row>
    <row r="80" ht="60.0" customHeight="1">
      <c r="A80" s="65"/>
      <c r="C80" s="167">
        <v>7.0</v>
      </c>
      <c r="D80" s="168" t="s">
        <v>170</v>
      </c>
      <c r="E80" s="169"/>
      <c r="F80" s="170"/>
      <c r="G80" s="170"/>
      <c r="H80" s="170"/>
      <c r="I80" s="170"/>
      <c r="J80" s="170"/>
      <c r="K80" s="171"/>
      <c r="L80" s="171"/>
      <c r="M80" s="171"/>
      <c r="N80" s="171"/>
      <c r="O80" s="256">
        <f t="shared" ref="O80:O83" si="15">IF(AND(M80&gt;=20,M80&lt;&gt;"m",RIGHT(K80,3)="Lec"),1,IF(AND(M80&gt;=20,M80&lt;&gt;"m",OR(RIGHT(K80,3)="Lab",RIGHT(K80,3)="Tut")),0.5,IF(AND(M80&gt;=20,M80&lt;&gt;"m",RIGHT(K80,2)="TL"),0.75,0)))</f>
        <v>0</v>
      </c>
      <c r="Q80" s="173"/>
      <c r="R80" s="65"/>
      <c r="S80" s="173"/>
      <c r="T80" s="173"/>
      <c r="U80" s="166"/>
      <c r="V80" s="166"/>
      <c r="W80" s="65"/>
      <c r="X80" s="66"/>
      <c r="Y80" s="173"/>
      <c r="Z80" s="166"/>
      <c r="AA80" s="174"/>
      <c r="AB80" s="175"/>
      <c r="AC80" s="175"/>
      <c r="AD80" s="175"/>
      <c r="AE80" s="175"/>
      <c r="AF80" s="175"/>
      <c r="AG80" s="175"/>
      <c r="AH80" s="175"/>
      <c r="AI80" s="176"/>
      <c r="AJ80" s="177"/>
      <c r="AK80" s="178"/>
      <c r="AL80" s="178"/>
      <c r="AM80" s="178"/>
      <c r="AN80" s="178"/>
      <c r="AO80" s="179"/>
      <c r="AP80" s="64"/>
      <c r="AQ80" s="65"/>
      <c r="AR80" s="65"/>
      <c r="AS80" s="65"/>
      <c r="AT80" s="173"/>
      <c r="AU80" s="177"/>
      <c r="AV80" s="178"/>
      <c r="AW80" s="178"/>
      <c r="AX80" s="179"/>
      <c r="AZ80" s="166"/>
      <c r="BA80" s="177"/>
      <c r="BB80" s="178"/>
      <c r="BC80" s="178"/>
      <c r="BD80" s="178"/>
      <c r="BE80" s="178"/>
      <c r="BF80" s="178"/>
      <c r="BG80" s="178"/>
      <c r="BH80" s="178"/>
      <c r="BI80" s="179"/>
      <c r="BJ80" s="180"/>
      <c r="BK80" s="178"/>
      <c r="BL80" s="178"/>
      <c r="BM80" s="178"/>
      <c r="BN80" s="178"/>
      <c r="BO80" s="181"/>
      <c r="BP80" s="166"/>
      <c r="BQ80" s="177"/>
      <c r="BR80" s="178"/>
      <c r="BS80" s="179"/>
      <c r="BU80" s="166"/>
      <c r="BV80" s="166"/>
      <c r="BW80" s="166"/>
      <c r="BX80" s="166"/>
      <c r="BY80" s="166"/>
      <c r="BZ80" s="166"/>
      <c r="CA80" s="166"/>
      <c r="CB80" s="166"/>
      <c r="CC80" s="166"/>
      <c r="CD80" s="177"/>
      <c r="CE80" s="181"/>
      <c r="CF80" s="177"/>
      <c r="CG80" s="179"/>
      <c r="CH80" s="257"/>
      <c r="CI80" s="182"/>
      <c r="CJ80" s="177"/>
      <c r="CK80" s="182"/>
      <c r="CL80" s="177"/>
      <c r="CM80" s="182"/>
      <c r="CN80" s="177"/>
      <c r="CO80" s="182"/>
      <c r="CP80" s="177"/>
      <c r="CQ80" s="178"/>
      <c r="CR80" s="182"/>
      <c r="CS80" s="173"/>
      <c r="CT80" s="65"/>
      <c r="CU80" s="255" t="str">
        <f t="shared" si="2"/>
        <v>SDP</v>
      </c>
    </row>
    <row r="81" ht="60.0" customHeight="1">
      <c r="A81" s="65"/>
      <c r="C81" s="167">
        <v>8.0</v>
      </c>
      <c r="D81" s="168" t="s">
        <v>170</v>
      </c>
      <c r="E81" s="169"/>
      <c r="F81" s="170"/>
      <c r="G81" s="170"/>
      <c r="H81" s="170"/>
      <c r="I81" s="170"/>
      <c r="J81" s="170"/>
      <c r="K81" s="171"/>
      <c r="L81" s="171"/>
      <c r="M81" s="171"/>
      <c r="N81" s="171"/>
      <c r="O81" s="256">
        <f t="shared" si="15"/>
        <v>0</v>
      </c>
      <c r="Q81" s="173"/>
      <c r="R81" s="65"/>
      <c r="S81" s="173"/>
      <c r="T81" s="173"/>
      <c r="U81" s="166"/>
      <c r="V81" s="166"/>
      <c r="W81" s="65"/>
      <c r="X81" s="66"/>
      <c r="Y81" s="173"/>
      <c r="Z81" s="166"/>
      <c r="AA81" s="174"/>
      <c r="AB81" s="175"/>
      <c r="AC81" s="175"/>
      <c r="AD81" s="175"/>
      <c r="AE81" s="175"/>
      <c r="AF81" s="175"/>
      <c r="AG81" s="175"/>
      <c r="AH81" s="175"/>
      <c r="AI81" s="176"/>
      <c r="AJ81" s="177"/>
      <c r="AK81" s="178"/>
      <c r="AL81" s="178"/>
      <c r="AM81" s="178"/>
      <c r="AN81" s="178"/>
      <c r="AO81" s="179"/>
      <c r="AP81" s="64"/>
      <c r="AQ81" s="65"/>
      <c r="AR81" s="65"/>
      <c r="AS81" s="65"/>
      <c r="AT81" s="173"/>
      <c r="AU81" s="177"/>
      <c r="AV81" s="178"/>
      <c r="AW81" s="178"/>
      <c r="AX81" s="179"/>
      <c r="AZ81" s="166"/>
      <c r="BA81" s="177"/>
      <c r="BB81" s="178"/>
      <c r="BC81" s="178"/>
      <c r="BD81" s="178"/>
      <c r="BE81" s="178"/>
      <c r="BF81" s="178"/>
      <c r="BG81" s="178"/>
      <c r="BH81" s="178"/>
      <c r="BI81" s="179"/>
      <c r="BJ81" s="180"/>
      <c r="BK81" s="178"/>
      <c r="BL81" s="178"/>
      <c r="BM81" s="178"/>
      <c r="BN81" s="178"/>
      <c r="BO81" s="181"/>
      <c r="BP81" s="166"/>
      <c r="BQ81" s="177"/>
      <c r="BR81" s="178"/>
      <c r="BS81" s="179"/>
      <c r="BU81" s="166"/>
      <c r="BV81" s="166"/>
      <c r="BW81" s="166"/>
      <c r="BX81" s="166"/>
      <c r="BY81" s="166"/>
      <c r="BZ81" s="166"/>
      <c r="CA81" s="166"/>
      <c r="CB81" s="166"/>
      <c r="CC81" s="166"/>
      <c r="CD81" s="177"/>
      <c r="CE81" s="181"/>
      <c r="CF81" s="177"/>
      <c r="CG81" s="179"/>
      <c r="CH81" s="257"/>
      <c r="CI81" s="182"/>
      <c r="CJ81" s="177"/>
      <c r="CK81" s="182"/>
      <c r="CL81" s="177"/>
      <c r="CM81" s="182"/>
      <c r="CN81" s="177"/>
      <c r="CO81" s="182"/>
      <c r="CP81" s="177"/>
      <c r="CQ81" s="178"/>
      <c r="CR81" s="182"/>
      <c r="CS81" s="173"/>
      <c r="CT81" s="65"/>
      <c r="CU81" s="255" t="str">
        <f t="shared" si="2"/>
        <v>SDP</v>
      </c>
    </row>
    <row r="82" ht="60.0" customHeight="1">
      <c r="A82" s="65"/>
      <c r="C82" s="167">
        <v>9.0</v>
      </c>
      <c r="D82" s="168" t="s">
        <v>170</v>
      </c>
      <c r="E82" s="169"/>
      <c r="F82" s="170"/>
      <c r="G82" s="170"/>
      <c r="H82" s="170"/>
      <c r="I82" s="170"/>
      <c r="J82" s="170"/>
      <c r="K82" s="171"/>
      <c r="L82" s="171"/>
      <c r="M82" s="171"/>
      <c r="N82" s="171"/>
      <c r="O82" s="256">
        <f t="shared" si="15"/>
        <v>0</v>
      </c>
      <c r="Q82" s="173"/>
      <c r="R82" s="65"/>
      <c r="S82" s="173"/>
      <c r="T82" s="173"/>
      <c r="U82" s="166"/>
      <c r="V82" s="166"/>
      <c r="W82" s="65"/>
      <c r="X82" s="66"/>
      <c r="Y82" s="173"/>
      <c r="Z82" s="166"/>
      <c r="AA82" s="174"/>
      <c r="AB82" s="175"/>
      <c r="AC82" s="175"/>
      <c r="AD82" s="175"/>
      <c r="AE82" s="175"/>
      <c r="AF82" s="175"/>
      <c r="AG82" s="175"/>
      <c r="AH82" s="175"/>
      <c r="AI82" s="176"/>
      <c r="AJ82" s="177"/>
      <c r="AK82" s="178"/>
      <c r="AL82" s="178"/>
      <c r="AM82" s="178"/>
      <c r="AN82" s="178"/>
      <c r="AO82" s="179"/>
      <c r="AP82" s="64"/>
      <c r="AQ82" s="65"/>
      <c r="AR82" s="65"/>
      <c r="AS82" s="65"/>
      <c r="AT82" s="173"/>
      <c r="AU82" s="177"/>
      <c r="AV82" s="178"/>
      <c r="AW82" s="178"/>
      <c r="AX82" s="179"/>
      <c r="AZ82" s="166"/>
      <c r="BA82" s="177"/>
      <c r="BB82" s="178"/>
      <c r="BC82" s="178"/>
      <c r="BD82" s="178"/>
      <c r="BE82" s="178"/>
      <c r="BF82" s="178"/>
      <c r="BG82" s="178"/>
      <c r="BH82" s="178"/>
      <c r="BI82" s="179"/>
      <c r="BJ82" s="180"/>
      <c r="BK82" s="178"/>
      <c r="BL82" s="178"/>
      <c r="BM82" s="178"/>
      <c r="BN82" s="178"/>
      <c r="BO82" s="181"/>
      <c r="BP82" s="166"/>
      <c r="BQ82" s="177"/>
      <c r="BR82" s="178"/>
      <c r="BS82" s="179"/>
      <c r="BU82" s="166"/>
      <c r="BV82" s="166"/>
      <c r="BW82" s="166"/>
      <c r="BX82" s="166"/>
      <c r="BY82" s="166"/>
      <c r="BZ82" s="166"/>
      <c r="CA82" s="166"/>
      <c r="CB82" s="166"/>
      <c r="CC82" s="166"/>
      <c r="CD82" s="177"/>
      <c r="CE82" s="181"/>
      <c r="CF82" s="177"/>
      <c r="CG82" s="179"/>
      <c r="CH82" s="257"/>
      <c r="CI82" s="182"/>
      <c r="CJ82" s="177"/>
      <c r="CK82" s="182"/>
      <c r="CL82" s="177"/>
      <c r="CM82" s="182"/>
      <c r="CN82" s="177"/>
      <c r="CO82" s="182"/>
      <c r="CP82" s="177"/>
      <c r="CQ82" s="178"/>
      <c r="CR82" s="182"/>
      <c r="CS82" s="173"/>
      <c r="CT82" s="65"/>
      <c r="CU82" s="255" t="str">
        <f t="shared" si="2"/>
        <v>SDP</v>
      </c>
    </row>
    <row r="83" ht="60.0" customHeight="1">
      <c r="A83" s="65"/>
      <c r="C83" s="167">
        <v>10.0</v>
      </c>
      <c r="D83" s="168" t="s">
        <v>170</v>
      </c>
      <c r="E83" s="169"/>
      <c r="F83" s="170"/>
      <c r="G83" s="170"/>
      <c r="H83" s="170"/>
      <c r="I83" s="170"/>
      <c r="J83" s="170"/>
      <c r="K83" s="171"/>
      <c r="L83" s="171"/>
      <c r="M83" s="171"/>
      <c r="N83" s="171"/>
      <c r="O83" s="256">
        <f t="shared" si="15"/>
        <v>0</v>
      </c>
      <c r="Q83" s="173"/>
      <c r="R83" s="65"/>
      <c r="S83" s="173"/>
      <c r="T83" s="173"/>
      <c r="U83" s="166"/>
      <c r="V83" s="166"/>
      <c r="W83" s="65"/>
      <c r="X83" s="66"/>
      <c r="Y83" s="173"/>
      <c r="Z83" s="166"/>
      <c r="AA83" s="174"/>
      <c r="AB83" s="175"/>
      <c r="AC83" s="175"/>
      <c r="AD83" s="175"/>
      <c r="AE83" s="175"/>
      <c r="AF83" s="175"/>
      <c r="AG83" s="175"/>
      <c r="AH83" s="175"/>
      <c r="AI83" s="176"/>
      <c r="AJ83" s="177"/>
      <c r="AK83" s="178"/>
      <c r="AL83" s="178"/>
      <c r="AM83" s="178"/>
      <c r="AN83" s="178"/>
      <c r="AO83" s="179"/>
      <c r="AP83" s="64"/>
      <c r="AQ83" s="65"/>
      <c r="AR83" s="65"/>
      <c r="AS83" s="65"/>
      <c r="AT83" s="173"/>
      <c r="AU83" s="177"/>
      <c r="AV83" s="178"/>
      <c r="AW83" s="178"/>
      <c r="AX83" s="179"/>
      <c r="AZ83" s="166"/>
      <c r="BA83" s="177"/>
      <c r="BB83" s="178"/>
      <c r="BC83" s="178"/>
      <c r="BD83" s="178"/>
      <c r="BE83" s="178"/>
      <c r="BF83" s="178"/>
      <c r="BG83" s="178"/>
      <c r="BH83" s="178"/>
      <c r="BI83" s="179"/>
      <c r="BJ83" s="180"/>
      <c r="BK83" s="178"/>
      <c r="BL83" s="178"/>
      <c r="BM83" s="178"/>
      <c r="BN83" s="178"/>
      <c r="BO83" s="181"/>
      <c r="BP83" s="166"/>
      <c r="BQ83" s="177"/>
      <c r="BR83" s="178"/>
      <c r="BS83" s="179"/>
      <c r="BU83" s="166"/>
      <c r="BV83" s="166"/>
      <c r="BW83" s="166"/>
      <c r="BX83" s="166"/>
      <c r="BY83" s="166"/>
      <c r="BZ83" s="166"/>
      <c r="CA83" s="166"/>
      <c r="CB83" s="166"/>
      <c r="CC83" s="166"/>
      <c r="CD83" s="177"/>
      <c r="CE83" s="181"/>
      <c r="CF83" s="177"/>
      <c r="CG83" s="179"/>
      <c r="CH83" s="257"/>
      <c r="CI83" s="182"/>
      <c r="CJ83" s="177"/>
      <c r="CK83" s="182"/>
      <c r="CL83" s="177"/>
      <c r="CM83" s="182"/>
      <c r="CN83" s="177"/>
      <c r="CO83" s="182"/>
      <c r="CP83" s="177"/>
      <c r="CQ83" s="178"/>
      <c r="CR83" s="182"/>
      <c r="CS83" s="173"/>
      <c r="CT83" s="65"/>
      <c r="CU83" s="255" t="str">
        <f t="shared" si="2"/>
        <v>SDP</v>
      </c>
    </row>
    <row r="84" ht="60.0" customHeight="1">
      <c r="A84" s="89"/>
      <c r="C84" s="183">
        <v>11.0</v>
      </c>
      <c r="D84" s="210" t="s">
        <v>170</v>
      </c>
      <c r="E84" s="185"/>
      <c r="F84" s="186"/>
      <c r="G84" s="186"/>
      <c r="H84" s="186"/>
      <c r="I84" s="186"/>
      <c r="J84" s="186"/>
      <c r="K84" s="187"/>
      <c r="L84" s="187"/>
      <c r="M84" s="187"/>
      <c r="N84" s="187"/>
      <c r="O84" s="258">
        <f t="shared" ref="O84:O90" si="16">IF(AND(M84&lt;&gt;0,M84&lt;&gt;"m",M84&lt;&gt;"",RIGHT(K84,3)="Lec"),1,IF(AND(M84&lt;&gt;0,M84&lt;&gt;"m",M84&lt;&gt;"",OR(RIGHT(K84,3)="Lab",RIGHT(K84,3)="Tut")),0.5,IF(AND(M84&lt;&gt;0,M84&lt;&gt;"m",M84&lt;&gt;"",RIGHT(K84,2)="TL"),0.75,0)))</f>
        <v>0</v>
      </c>
      <c r="P84" s="6"/>
      <c r="Q84" s="69"/>
      <c r="R84" s="89"/>
      <c r="S84" s="69"/>
      <c r="T84" s="69"/>
      <c r="U84" s="63"/>
      <c r="V84" s="63"/>
      <c r="W84" s="89"/>
      <c r="X84" s="68"/>
      <c r="Y84" s="69"/>
      <c r="Z84" s="63"/>
      <c r="AA84" s="189"/>
      <c r="AB84" s="190"/>
      <c r="AC84" s="190"/>
      <c r="AD84" s="190"/>
      <c r="AE84" s="190"/>
      <c r="AF84" s="190"/>
      <c r="AG84" s="190"/>
      <c r="AH84" s="190"/>
      <c r="AI84" s="191"/>
      <c r="AJ84" s="192"/>
      <c r="AK84" s="193"/>
      <c r="AL84" s="193"/>
      <c r="AM84" s="193"/>
      <c r="AN84" s="193"/>
      <c r="AO84" s="194"/>
      <c r="AP84" s="103"/>
      <c r="AQ84" s="89"/>
      <c r="AR84" s="89"/>
      <c r="AS84" s="89"/>
      <c r="AT84" s="69"/>
      <c r="AU84" s="192"/>
      <c r="AV84" s="193"/>
      <c r="AW84" s="193"/>
      <c r="AX84" s="194"/>
      <c r="AY84" s="6"/>
      <c r="AZ84" s="63"/>
      <c r="BA84" s="192"/>
      <c r="BB84" s="193"/>
      <c r="BC84" s="193"/>
      <c r="BD84" s="193"/>
      <c r="BE84" s="193"/>
      <c r="BF84" s="193"/>
      <c r="BG84" s="193"/>
      <c r="BH84" s="193"/>
      <c r="BI84" s="194"/>
      <c r="BJ84" s="195"/>
      <c r="BK84" s="193"/>
      <c r="BL84" s="193"/>
      <c r="BM84" s="193"/>
      <c r="BN84" s="193"/>
      <c r="BO84" s="196"/>
      <c r="BP84" s="63"/>
      <c r="BQ84" s="192"/>
      <c r="BR84" s="193"/>
      <c r="BS84" s="194"/>
      <c r="BT84" s="6"/>
      <c r="BU84" s="63"/>
      <c r="BV84" s="63"/>
      <c r="BW84" s="63"/>
      <c r="BX84" s="63"/>
      <c r="BY84" s="63"/>
      <c r="BZ84" s="63"/>
      <c r="CA84" s="63"/>
      <c r="CB84" s="63"/>
      <c r="CC84" s="63"/>
      <c r="CD84" s="192"/>
      <c r="CE84" s="196"/>
      <c r="CF84" s="192"/>
      <c r="CG84" s="194"/>
      <c r="CH84" s="259"/>
      <c r="CI84" s="197"/>
      <c r="CJ84" s="192"/>
      <c r="CK84" s="197"/>
      <c r="CL84" s="192"/>
      <c r="CM84" s="197"/>
      <c r="CN84" s="192"/>
      <c r="CO84" s="197"/>
      <c r="CP84" s="192"/>
      <c r="CQ84" s="193"/>
      <c r="CR84" s="197"/>
      <c r="CS84" s="69"/>
      <c r="CT84" s="89"/>
      <c r="CU84" s="255" t="str">
        <f t="shared" si="2"/>
        <v>SDP</v>
      </c>
    </row>
    <row r="85" ht="56.25" customHeight="1">
      <c r="A85" s="125">
        <v>8.0</v>
      </c>
      <c r="B85" s="199" t="s">
        <v>174</v>
      </c>
      <c r="C85" s="127">
        <v>1.0</v>
      </c>
      <c r="D85" s="168" t="s">
        <v>175</v>
      </c>
      <c r="E85" s="129"/>
      <c r="F85" s="130"/>
      <c r="G85" s="130"/>
      <c r="H85" s="130"/>
      <c r="I85" s="130"/>
      <c r="J85" s="130"/>
      <c r="K85" s="131"/>
      <c r="L85" s="131"/>
      <c r="M85" s="131"/>
      <c r="N85" s="131"/>
      <c r="O85" s="250">
        <f t="shared" si="16"/>
        <v>0</v>
      </c>
      <c r="P85" s="251">
        <f>COUNTIF(K85:K95,"TL")*0.75+COUNTIF(K85:K95,"Lec")*1+COUNTIF(K85:K95,"Lab")*0.5</f>
        <v>0</v>
      </c>
      <c r="Q85" s="134">
        <f>SUM((IF(LEFT(K85,1)="E",O85,0)),(IF(LEFT(K86,1)="E",O86,0)),(IF(LEFT(K87,1)="E",O87,0)),(IF(LEFT(K88,1)="E",O88,0)),(IF(LEFT(K89,1)="E",O89,0)),(IF(LEFT(K90,1)="E",O90,0)),(IF(LEFT(K91,1)="E",O91,0)),(IF(LEFT(K92,1)="E",O92,0)),(IF(LEFT(K93,1)="E",O93,0)),(IF(LEFT(K94,1)="E",O94,0)),(IF(LEFT(K95,1)="E",O95,0)))</f>
        <v>0</v>
      </c>
      <c r="R85" s="135">
        <f>SUM(IF(M91&lt;20,IF(K91="Plec",-1,IF(K91="PTL",-0.75,IF(K91="Plab",-0.5,0))),0),IF(M92&lt;20,IF(K92="Plec",-1,IF(K92="PTL",-0.75,IF(K92="Plab",-0.5,0))),0),IF(M93&lt;20,IF(K93="Plec",-1,IF(K93="PTL",-0.75,IF(K93="Plab",-0.5,0))),0),IF(M94&lt;20,IF(K94="Plec",-1,IF(K94="PTL",-0.75,IF(K94="Plab",-0.5,0))),0))</f>
        <v>0</v>
      </c>
      <c r="S85" s="134">
        <f>SUM(P85:R95)</f>
        <v>0</v>
      </c>
      <c r="T85" s="136">
        <f>SUM(IF(M85="M",IF(OR(K85="lec",K85="plec",K85="slec"),1,IF(OR(K85="lab",K85="plab",K85="slab",K85="tut",K85="ptut",K85="stut"),0.5,IF(OR(K85="TL",K85="pTL",K85="STL"),0.75,0))),0),IF(M86="M",IF(OR(K86="lec",K86="plec",K86="slec"),1,IF(OR(K86="lab",K86="plab",K86="slab",K86="tut",K86="ptut",K86="stut"),0.5,IF(OR(K86="TL",K86="pTL",K86="STL"),0.75,0))),0),IF(M87="M",IF(OR(K87="lec",K87="plec",K87="slec"),1,IF(OR(K87="lab",K87="plab",K87="slab",K87="tut",K87="ptut",K87="stut"),0.5,IF(OR(K87="TL",K87="pTL",K87="STL"),0.75,0))),0),IF(M88="M",IF(OR(K88="lec",K88="plec",K88="slec"),1,IF(OR(K88="lab",K88="plab",K88="slab",K88="tut",K88="ptut",K88="stut"),0.5,IF(OR(K88="TL",K88="pTL",K88="STL"),0.75,0))),0),IF(M89="M",IF(OR(K89="lec",K89="plec",K89="slec"),1,IF(OR(K89="lab",K89="plab",K89="slab",K89="tut",K89="ptut",K89="stut"),0.5,IF(OR(K89="TL",K89="pTL",K89="STL"),0.75,0))),0),IF(M90="M",IF(OR(K90="lec",K90="plec",K90="slec"),1,IF(OR(K90="lab",K90="plab",K90="slab",K90="tut",K90="ptut",K90="stut"),0.5,IF(OR(K90="TL",K90="pTL",K90="STL"),0.75,0))),0),IF(M91="M",IF(OR(K91="lec",K91="plec",K91="slec"),1,IF(OR(K91="lab",K91="plab",K91="slab",K91="tut",K91="ptut",K91="stut"),0.5,IF(OR(K91="TL",K91="pTL",K91="STL"),0.75,0))),0),IF(M92="M",IF(OR(K92="lec",K92="plec",K92="slec"),1,IF(OR(K92="lab",K92="plab",K92="slab",K92="tut",K92="ptut",K92="stut"),0.5,IF(OR(K92="TL",K92="pTL",K92="STL"),0.75,0))),0),IF(M93="M",IF(OR(K93="lec",K93="plec",K93="slec"),1,IF(OR(K93="lab",K93="plab",K93="slab",K93="tut",K93="ptut",K93="stut"),0.5,IF(OR(K93="TL",K93="pTL",K93="STL"),0.75,0))),0),IF(M94="M",IF(OR(K94="lec",K94="plec",K94="slec"),1,IF(OR(K94="lab",K94="plab",K94="slab",K94="tut",K94="ptut",K94="stut"),0.5,IF(OR(K94="TL",K94="pTL",K94="STL"),0.75,0))),0),IF(M95="M",IF(OR(K95="lec",K95="plec",K95="slec"),1,IF(OR(K95="lab",K95="plab",K95="slab",K95="tut",K95="ptut",K95="stut"),0.5,IF(OR(K95="TL",K95="pTL",K95="STL"),0.75,0))),0))</f>
        <v>0</v>
      </c>
      <c r="U85" s="137"/>
      <c r="V85" s="133"/>
      <c r="W85" s="138"/>
      <c r="X85" s="139">
        <f>S85-(T85+U85+V85+W85)</f>
        <v>0</v>
      </c>
      <c r="Y85" s="134" t="str">
        <f>CONCATENATE(SUM(O85:O95),"(",SUM(O85:O95)-X85,")")</f>
        <v>0(0)</v>
      </c>
      <c r="Z85" s="140"/>
      <c r="AA85" s="141"/>
      <c r="AB85" s="142"/>
      <c r="AC85" s="142"/>
      <c r="AD85" s="142"/>
      <c r="AE85" s="142"/>
      <c r="AF85" s="142"/>
      <c r="AG85" s="142"/>
      <c r="AH85" s="142"/>
      <c r="AI85" s="143"/>
      <c r="AJ85" s="144"/>
      <c r="AK85" s="145"/>
      <c r="AL85" s="145"/>
      <c r="AM85" s="145"/>
      <c r="AN85" s="145"/>
      <c r="AO85" s="146"/>
      <c r="AP85" s="147">
        <f>SUM(SUM(O85:O95),SUM(AI85:AI95)/2,AM85)</f>
        <v>0</v>
      </c>
      <c r="AQ85" s="148"/>
      <c r="AR85" s="148">
        <f>AP85*AQ85</f>
        <v>0</v>
      </c>
      <c r="AS85" s="148">
        <f>CT85</f>
        <v>0.5888888889</v>
      </c>
      <c r="AT85" s="149">
        <f>AR85*0.75+AS85*0.25</f>
        <v>0.1472222222</v>
      </c>
      <c r="AU85" s="150"/>
      <c r="AV85" s="151"/>
      <c r="AW85" s="151"/>
      <c r="AX85" s="152"/>
      <c r="AY85" s="153"/>
      <c r="AZ85" s="140"/>
      <c r="BA85" s="150"/>
      <c r="BB85" s="151"/>
      <c r="BC85" s="151"/>
      <c r="BD85" s="151"/>
      <c r="BE85" s="151"/>
      <c r="BF85" s="151"/>
      <c r="BG85" s="151"/>
      <c r="BH85" s="151"/>
      <c r="BI85" s="152"/>
      <c r="BJ85" s="154"/>
      <c r="BK85" s="151"/>
      <c r="BL85" s="151"/>
      <c r="BM85" s="151"/>
      <c r="BN85" s="151"/>
      <c r="BO85" s="155"/>
      <c r="BP85" s="140"/>
      <c r="BQ85" s="156" t="s">
        <v>229</v>
      </c>
      <c r="BR85" s="157">
        <v>4.0</v>
      </c>
      <c r="BS85" s="158">
        <v>0.0</v>
      </c>
      <c r="BT85" s="153"/>
      <c r="BU85" s="140"/>
      <c r="BV85" s="140"/>
      <c r="BW85" s="140"/>
      <c r="BX85" s="140"/>
      <c r="BY85" s="140"/>
      <c r="BZ85" s="140"/>
      <c r="CA85" s="140"/>
      <c r="CB85" s="140"/>
      <c r="CC85" s="140"/>
      <c r="CD85" s="150"/>
      <c r="CE85" s="155"/>
      <c r="CF85" s="150" t="s">
        <v>230</v>
      </c>
      <c r="CG85" s="152">
        <f>70/60</f>
        <v>1.166666667</v>
      </c>
      <c r="CH85" s="252"/>
      <c r="CI85" s="160"/>
      <c r="CJ85" s="159"/>
      <c r="CK85" s="160"/>
      <c r="CL85" s="159"/>
      <c r="CM85" s="160"/>
      <c r="CN85" s="159"/>
      <c r="CO85" s="160"/>
      <c r="CP85" s="159"/>
      <c r="CQ85" s="162"/>
      <c r="CR85" s="160"/>
      <c r="CS85" s="253">
        <f>SUM(IF(AU85&lt;0,ABS(AU85),0),IF(AZ85&lt;0,ABS(AZ85),0),ABS(CI85),ABS(CK85),ABS(CM85),ABS(CO85),ABS(CQ85),ABS(CR85))</f>
        <v>0</v>
      </c>
      <c r="CT85" s="254">
        <f>SUM(AU85,AV85,AW85,AX85/400,AY85,AZ85,BG85,BH85*0.5,BI85*0.25,BJ85,BK85,BL85,BM85,BN85,BO85,BP85,BR85/20,BS85/100,BT85/60,BU85,BV85,BW85,BX85/4,SUM(BY85:CC95)/3,CE85,CG85/3,CI85,CK85,CM85,CO85,CQ85,CR85)</f>
        <v>0.5888888889</v>
      </c>
      <c r="CU85" s="255" t="str">
        <f t="shared" si="2"/>
        <v>SHP</v>
      </c>
    </row>
    <row r="86" ht="60.0" customHeight="1">
      <c r="A86" s="65"/>
      <c r="C86" s="167">
        <v>2.0</v>
      </c>
      <c r="D86" s="168" t="s">
        <v>175</v>
      </c>
      <c r="E86" s="169"/>
      <c r="F86" s="170"/>
      <c r="G86" s="170"/>
      <c r="H86" s="170"/>
      <c r="I86" s="170"/>
      <c r="J86" s="170"/>
      <c r="K86" s="171"/>
      <c r="L86" s="171"/>
      <c r="M86" s="171"/>
      <c r="N86" s="171"/>
      <c r="O86" s="256">
        <f t="shared" si="16"/>
        <v>0</v>
      </c>
      <c r="Q86" s="173"/>
      <c r="R86" s="65"/>
      <c r="S86" s="173"/>
      <c r="T86" s="173"/>
      <c r="U86" s="166"/>
      <c r="V86" s="166"/>
      <c r="W86" s="65"/>
      <c r="X86" s="66"/>
      <c r="Y86" s="173"/>
      <c r="Z86" s="166"/>
      <c r="AA86" s="174"/>
      <c r="AB86" s="175"/>
      <c r="AC86" s="175"/>
      <c r="AD86" s="175"/>
      <c r="AE86" s="175"/>
      <c r="AF86" s="175"/>
      <c r="AG86" s="175"/>
      <c r="AH86" s="175"/>
      <c r="AI86" s="176"/>
      <c r="AJ86" s="177"/>
      <c r="AK86" s="178"/>
      <c r="AL86" s="178"/>
      <c r="AM86" s="178"/>
      <c r="AN86" s="178"/>
      <c r="AO86" s="179"/>
      <c r="AP86" s="64"/>
      <c r="AQ86" s="65"/>
      <c r="AR86" s="65"/>
      <c r="AS86" s="65"/>
      <c r="AT86" s="173"/>
      <c r="AU86" s="177"/>
      <c r="AV86" s="178"/>
      <c r="AW86" s="178"/>
      <c r="AX86" s="179"/>
      <c r="AZ86" s="166"/>
      <c r="BA86" s="177"/>
      <c r="BB86" s="178"/>
      <c r="BC86" s="178"/>
      <c r="BD86" s="178"/>
      <c r="BE86" s="178"/>
      <c r="BF86" s="178"/>
      <c r="BG86" s="178"/>
      <c r="BH86" s="178"/>
      <c r="BI86" s="179"/>
      <c r="BJ86" s="180"/>
      <c r="BK86" s="178"/>
      <c r="BL86" s="178"/>
      <c r="BM86" s="178"/>
      <c r="BN86" s="178"/>
      <c r="BO86" s="181"/>
      <c r="BP86" s="166"/>
      <c r="BQ86" s="177"/>
      <c r="BR86" s="178"/>
      <c r="BS86" s="179"/>
      <c r="BU86" s="166"/>
      <c r="BV86" s="166"/>
      <c r="BW86" s="166"/>
      <c r="BX86" s="166"/>
      <c r="BY86" s="166"/>
      <c r="BZ86" s="166"/>
      <c r="CA86" s="166"/>
      <c r="CB86" s="166"/>
      <c r="CC86" s="166"/>
      <c r="CD86" s="177"/>
      <c r="CE86" s="181"/>
      <c r="CF86" s="177"/>
      <c r="CG86" s="179"/>
      <c r="CH86" s="257"/>
      <c r="CI86" s="182"/>
      <c r="CJ86" s="177"/>
      <c r="CK86" s="182"/>
      <c r="CL86" s="177"/>
      <c r="CM86" s="182"/>
      <c r="CN86" s="177"/>
      <c r="CO86" s="182"/>
      <c r="CP86" s="177"/>
      <c r="CQ86" s="178"/>
      <c r="CR86" s="182"/>
      <c r="CS86" s="173"/>
      <c r="CT86" s="65"/>
      <c r="CU86" s="255" t="str">
        <f t="shared" si="2"/>
        <v>SHP</v>
      </c>
    </row>
    <row r="87" ht="60.0" customHeight="1">
      <c r="A87" s="65"/>
      <c r="C87" s="167">
        <v>3.0</v>
      </c>
      <c r="D87" s="168" t="s">
        <v>175</v>
      </c>
      <c r="E87" s="169"/>
      <c r="F87" s="170"/>
      <c r="G87" s="170"/>
      <c r="H87" s="170"/>
      <c r="I87" s="170"/>
      <c r="J87" s="170"/>
      <c r="K87" s="171"/>
      <c r="L87" s="171"/>
      <c r="M87" s="171"/>
      <c r="N87" s="171"/>
      <c r="O87" s="256">
        <f t="shared" si="16"/>
        <v>0</v>
      </c>
      <c r="Q87" s="173"/>
      <c r="R87" s="65"/>
      <c r="S87" s="173"/>
      <c r="T87" s="173"/>
      <c r="U87" s="166"/>
      <c r="V87" s="166"/>
      <c r="W87" s="65"/>
      <c r="X87" s="66"/>
      <c r="Y87" s="173"/>
      <c r="Z87" s="166"/>
      <c r="AA87" s="174"/>
      <c r="AB87" s="175"/>
      <c r="AC87" s="175"/>
      <c r="AD87" s="175"/>
      <c r="AE87" s="175"/>
      <c r="AF87" s="175"/>
      <c r="AG87" s="175"/>
      <c r="AH87" s="175"/>
      <c r="AI87" s="176"/>
      <c r="AJ87" s="177"/>
      <c r="AK87" s="178"/>
      <c r="AL87" s="178"/>
      <c r="AM87" s="178"/>
      <c r="AN87" s="178"/>
      <c r="AO87" s="179"/>
      <c r="AP87" s="64"/>
      <c r="AQ87" s="65"/>
      <c r="AR87" s="65"/>
      <c r="AS87" s="65"/>
      <c r="AT87" s="173"/>
      <c r="AU87" s="177"/>
      <c r="AV87" s="178"/>
      <c r="AW87" s="178"/>
      <c r="AX87" s="179"/>
      <c r="AZ87" s="166"/>
      <c r="BA87" s="177"/>
      <c r="BB87" s="178"/>
      <c r="BC87" s="178"/>
      <c r="BD87" s="178"/>
      <c r="BE87" s="178"/>
      <c r="BF87" s="178"/>
      <c r="BG87" s="178"/>
      <c r="BH87" s="178"/>
      <c r="BI87" s="179"/>
      <c r="BJ87" s="180"/>
      <c r="BK87" s="178"/>
      <c r="BL87" s="178"/>
      <c r="BM87" s="178"/>
      <c r="BN87" s="178"/>
      <c r="BO87" s="181"/>
      <c r="BP87" s="166"/>
      <c r="BQ87" s="177"/>
      <c r="BR87" s="178"/>
      <c r="BS87" s="179"/>
      <c r="BU87" s="166"/>
      <c r="BV87" s="166"/>
      <c r="BW87" s="166"/>
      <c r="BX87" s="166"/>
      <c r="BY87" s="166"/>
      <c r="BZ87" s="166"/>
      <c r="CA87" s="166"/>
      <c r="CB87" s="166"/>
      <c r="CC87" s="166"/>
      <c r="CD87" s="177"/>
      <c r="CE87" s="181"/>
      <c r="CF87" s="177"/>
      <c r="CG87" s="179"/>
      <c r="CH87" s="257"/>
      <c r="CI87" s="182"/>
      <c r="CJ87" s="177"/>
      <c r="CK87" s="182"/>
      <c r="CL87" s="177"/>
      <c r="CM87" s="182"/>
      <c r="CN87" s="177"/>
      <c r="CO87" s="182"/>
      <c r="CP87" s="177"/>
      <c r="CQ87" s="178"/>
      <c r="CR87" s="182"/>
      <c r="CS87" s="173"/>
      <c r="CT87" s="65"/>
      <c r="CU87" s="255" t="str">
        <f t="shared" si="2"/>
        <v>SHP</v>
      </c>
    </row>
    <row r="88" ht="60.0" customHeight="1">
      <c r="A88" s="65"/>
      <c r="C88" s="167">
        <v>4.0</v>
      </c>
      <c r="D88" s="168" t="s">
        <v>175</v>
      </c>
      <c r="E88" s="169"/>
      <c r="F88" s="170"/>
      <c r="G88" s="170"/>
      <c r="H88" s="170"/>
      <c r="I88" s="170"/>
      <c r="J88" s="170"/>
      <c r="K88" s="171"/>
      <c r="L88" s="171"/>
      <c r="M88" s="171"/>
      <c r="N88" s="171"/>
      <c r="O88" s="256">
        <f t="shared" si="16"/>
        <v>0</v>
      </c>
      <c r="Q88" s="173"/>
      <c r="R88" s="65"/>
      <c r="S88" s="173"/>
      <c r="T88" s="173"/>
      <c r="U88" s="166"/>
      <c r="V88" s="166"/>
      <c r="W88" s="65"/>
      <c r="X88" s="66"/>
      <c r="Y88" s="173"/>
      <c r="Z88" s="166"/>
      <c r="AA88" s="174"/>
      <c r="AB88" s="175"/>
      <c r="AC88" s="175"/>
      <c r="AD88" s="175"/>
      <c r="AE88" s="175"/>
      <c r="AF88" s="175"/>
      <c r="AG88" s="175"/>
      <c r="AH88" s="175"/>
      <c r="AI88" s="176"/>
      <c r="AJ88" s="177"/>
      <c r="AK88" s="178"/>
      <c r="AL88" s="178"/>
      <c r="AM88" s="178"/>
      <c r="AN88" s="178"/>
      <c r="AO88" s="179"/>
      <c r="AP88" s="64"/>
      <c r="AQ88" s="65"/>
      <c r="AR88" s="65"/>
      <c r="AS88" s="65"/>
      <c r="AT88" s="173"/>
      <c r="AU88" s="177"/>
      <c r="AV88" s="178"/>
      <c r="AW88" s="178"/>
      <c r="AX88" s="179"/>
      <c r="AZ88" s="166"/>
      <c r="BA88" s="177"/>
      <c r="BB88" s="178"/>
      <c r="BC88" s="178"/>
      <c r="BD88" s="178"/>
      <c r="BE88" s="178"/>
      <c r="BF88" s="178"/>
      <c r="BG88" s="178"/>
      <c r="BH88" s="178"/>
      <c r="BI88" s="179"/>
      <c r="BJ88" s="180"/>
      <c r="BK88" s="178"/>
      <c r="BL88" s="178"/>
      <c r="BM88" s="178"/>
      <c r="BN88" s="178"/>
      <c r="BO88" s="181"/>
      <c r="BP88" s="166"/>
      <c r="BQ88" s="177"/>
      <c r="BR88" s="178"/>
      <c r="BS88" s="179"/>
      <c r="BU88" s="166"/>
      <c r="BV88" s="166"/>
      <c r="BW88" s="166"/>
      <c r="BX88" s="166"/>
      <c r="BY88" s="166"/>
      <c r="BZ88" s="166"/>
      <c r="CA88" s="166"/>
      <c r="CB88" s="166"/>
      <c r="CC88" s="166"/>
      <c r="CD88" s="177"/>
      <c r="CE88" s="181"/>
      <c r="CF88" s="177"/>
      <c r="CG88" s="179"/>
      <c r="CH88" s="257"/>
      <c r="CI88" s="182"/>
      <c r="CJ88" s="177"/>
      <c r="CK88" s="182"/>
      <c r="CL88" s="177"/>
      <c r="CM88" s="182"/>
      <c r="CN88" s="177"/>
      <c r="CO88" s="182"/>
      <c r="CP88" s="177"/>
      <c r="CQ88" s="178"/>
      <c r="CR88" s="182"/>
      <c r="CS88" s="173"/>
      <c r="CT88" s="65"/>
      <c r="CU88" s="255" t="str">
        <f t="shared" si="2"/>
        <v>SHP</v>
      </c>
    </row>
    <row r="89" ht="60.0" customHeight="1">
      <c r="A89" s="65"/>
      <c r="C89" s="167">
        <v>5.0</v>
      </c>
      <c r="D89" s="168" t="s">
        <v>175</v>
      </c>
      <c r="E89" s="169"/>
      <c r="F89" s="170"/>
      <c r="G89" s="170"/>
      <c r="H89" s="170"/>
      <c r="I89" s="170"/>
      <c r="J89" s="170"/>
      <c r="K89" s="171"/>
      <c r="L89" s="171"/>
      <c r="M89" s="171"/>
      <c r="N89" s="171"/>
      <c r="O89" s="256">
        <f t="shared" si="16"/>
        <v>0</v>
      </c>
      <c r="Q89" s="173"/>
      <c r="R89" s="65"/>
      <c r="S89" s="173"/>
      <c r="T89" s="173"/>
      <c r="U89" s="166"/>
      <c r="V89" s="166"/>
      <c r="W89" s="65"/>
      <c r="X89" s="66"/>
      <c r="Y89" s="173"/>
      <c r="Z89" s="166"/>
      <c r="AA89" s="174"/>
      <c r="AB89" s="175"/>
      <c r="AC89" s="175"/>
      <c r="AD89" s="175"/>
      <c r="AE89" s="175"/>
      <c r="AF89" s="175"/>
      <c r="AG89" s="175"/>
      <c r="AH89" s="175"/>
      <c r="AI89" s="176"/>
      <c r="AJ89" s="177"/>
      <c r="AK89" s="178"/>
      <c r="AL89" s="178"/>
      <c r="AM89" s="178"/>
      <c r="AN89" s="178"/>
      <c r="AO89" s="179"/>
      <c r="AP89" s="64"/>
      <c r="AQ89" s="65"/>
      <c r="AR89" s="65"/>
      <c r="AS89" s="65"/>
      <c r="AT89" s="173"/>
      <c r="AU89" s="177"/>
      <c r="AV89" s="178"/>
      <c r="AW89" s="178"/>
      <c r="AX89" s="179"/>
      <c r="AZ89" s="166"/>
      <c r="BA89" s="177"/>
      <c r="BB89" s="178"/>
      <c r="BC89" s="178"/>
      <c r="BD89" s="178"/>
      <c r="BE89" s="178"/>
      <c r="BF89" s="178"/>
      <c r="BG89" s="178"/>
      <c r="BH89" s="178"/>
      <c r="BI89" s="179"/>
      <c r="BJ89" s="180"/>
      <c r="BK89" s="178"/>
      <c r="BL89" s="178"/>
      <c r="BM89" s="178"/>
      <c r="BN89" s="178"/>
      <c r="BO89" s="181"/>
      <c r="BP89" s="166"/>
      <c r="BQ89" s="177"/>
      <c r="BR89" s="178"/>
      <c r="BS89" s="179"/>
      <c r="BU89" s="166"/>
      <c r="BV89" s="166"/>
      <c r="BW89" s="166"/>
      <c r="BX89" s="166"/>
      <c r="BY89" s="166"/>
      <c r="BZ89" s="166"/>
      <c r="CA89" s="166"/>
      <c r="CB89" s="166"/>
      <c r="CC89" s="166"/>
      <c r="CD89" s="177"/>
      <c r="CE89" s="181"/>
      <c r="CF89" s="177"/>
      <c r="CG89" s="179"/>
      <c r="CH89" s="257"/>
      <c r="CI89" s="182"/>
      <c r="CJ89" s="177"/>
      <c r="CK89" s="182"/>
      <c r="CL89" s="177"/>
      <c r="CM89" s="182"/>
      <c r="CN89" s="177"/>
      <c r="CO89" s="182"/>
      <c r="CP89" s="177"/>
      <c r="CQ89" s="178"/>
      <c r="CR89" s="182"/>
      <c r="CS89" s="173"/>
      <c r="CT89" s="65"/>
      <c r="CU89" s="255" t="str">
        <f t="shared" si="2"/>
        <v>SHP</v>
      </c>
    </row>
    <row r="90" ht="60.0" customHeight="1">
      <c r="A90" s="65"/>
      <c r="C90" s="167">
        <v>6.0</v>
      </c>
      <c r="D90" s="168" t="s">
        <v>175</v>
      </c>
      <c r="E90" s="169"/>
      <c r="F90" s="170"/>
      <c r="G90" s="170"/>
      <c r="H90" s="170"/>
      <c r="I90" s="170"/>
      <c r="J90" s="170"/>
      <c r="K90" s="171"/>
      <c r="L90" s="171"/>
      <c r="M90" s="171"/>
      <c r="N90" s="171"/>
      <c r="O90" s="256">
        <f t="shared" si="16"/>
        <v>0</v>
      </c>
      <c r="Q90" s="173"/>
      <c r="R90" s="65"/>
      <c r="S90" s="173"/>
      <c r="T90" s="173"/>
      <c r="U90" s="166"/>
      <c r="V90" s="166"/>
      <c r="W90" s="65"/>
      <c r="X90" s="66"/>
      <c r="Y90" s="173"/>
      <c r="Z90" s="166"/>
      <c r="AA90" s="174"/>
      <c r="AB90" s="175"/>
      <c r="AC90" s="175"/>
      <c r="AD90" s="175"/>
      <c r="AE90" s="175"/>
      <c r="AF90" s="175"/>
      <c r="AG90" s="175"/>
      <c r="AH90" s="175"/>
      <c r="AI90" s="176"/>
      <c r="AJ90" s="177"/>
      <c r="AK90" s="178"/>
      <c r="AL90" s="178"/>
      <c r="AM90" s="178"/>
      <c r="AN90" s="178"/>
      <c r="AO90" s="179"/>
      <c r="AP90" s="64"/>
      <c r="AQ90" s="65"/>
      <c r="AR90" s="65"/>
      <c r="AS90" s="65"/>
      <c r="AT90" s="173"/>
      <c r="AU90" s="177"/>
      <c r="AV90" s="178"/>
      <c r="AW90" s="178"/>
      <c r="AX90" s="179"/>
      <c r="AZ90" s="166"/>
      <c r="BA90" s="177"/>
      <c r="BB90" s="178"/>
      <c r="BC90" s="178"/>
      <c r="BD90" s="178"/>
      <c r="BE90" s="178"/>
      <c r="BF90" s="178"/>
      <c r="BG90" s="178"/>
      <c r="BH90" s="178"/>
      <c r="BI90" s="179"/>
      <c r="BJ90" s="180"/>
      <c r="BK90" s="178"/>
      <c r="BL90" s="178"/>
      <c r="BM90" s="178"/>
      <c r="BN90" s="178"/>
      <c r="BO90" s="181"/>
      <c r="BP90" s="166"/>
      <c r="BQ90" s="177"/>
      <c r="BR90" s="178"/>
      <c r="BS90" s="179"/>
      <c r="BU90" s="166"/>
      <c r="BV90" s="166"/>
      <c r="BW90" s="166"/>
      <c r="BX90" s="166"/>
      <c r="BY90" s="166"/>
      <c r="BZ90" s="166"/>
      <c r="CA90" s="166"/>
      <c r="CB90" s="166"/>
      <c r="CC90" s="166"/>
      <c r="CD90" s="177"/>
      <c r="CE90" s="181"/>
      <c r="CF90" s="177"/>
      <c r="CG90" s="179"/>
      <c r="CH90" s="257"/>
      <c r="CI90" s="182"/>
      <c r="CJ90" s="177"/>
      <c r="CK90" s="182"/>
      <c r="CL90" s="177"/>
      <c r="CM90" s="182"/>
      <c r="CN90" s="177"/>
      <c r="CO90" s="182"/>
      <c r="CP90" s="177"/>
      <c r="CQ90" s="178"/>
      <c r="CR90" s="182"/>
      <c r="CS90" s="173"/>
      <c r="CT90" s="65"/>
      <c r="CU90" s="255" t="str">
        <f t="shared" si="2"/>
        <v>SHP</v>
      </c>
    </row>
    <row r="91" ht="60.0" customHeight="1">
      <c r="A91" s="65"/>
      <c r="C91" s="167">
        <v>7.0</v>
      </c>
      <c r="D91" s="168" t="s">
        <v>175</v>
      </c>
      <c r="E91" s="169"/>
      <c r="F91" s="170"/>
      <c r="G91" s="170"/>
      <c r="H91" s="170"/>
      <c r="I91" s="170"/>
      <c r="J91" s="170"/>
      <c r="K91" s="171"/>
      <c r="L91" s="171"/>
      <c r="M91" s="171"/>
      <c r="N91" s="171"/>
      <c r="O91" s="256">
        <f t="shared" ref="O91:O94" si="17">IF(AND(M91&gt;=20,M91&lt;&gt;"m",RIGHT(K91,3)="Lec"),1,IF(AND(M91&gt;=20,M91&lt;&gt;"m",OR(RIGHT(K91,3)="Lab",RIGHT(K91,3)="Tut")),0.5,IF(AND(M91&gt;=20,M91&lt;&gt;"m",RIGHT(K91,2)="TL"),0.75,0)))</f>
        <v>0</v>
      </c>
      <c r="Q91" s="173"/>
      <c r="R91" s="65"/>
      <c r="S91" s="173"/>
      <c r="T91" s="173"/>
      <c r="U91" s="166"/>
      <c r="V91" s="166"/>
      <c r="W91" s="65"/>
      <c r="X91" s="66"/>
      <c r="Y91" s="173"/>
      <c r="Z91" s="166"/>
      <c r="AA91" s="174"/>
      <c r="AB91" s="175"/>
      <c r="AC91" s="175"/>
      <c r="AD91" s="175"/>
      <c r="AE91" s="175"/>
      <c r="AF91" s="175"/>
      <c r="AG91" s="175"/>
      <c r="AH91" s="175"/>
      <c r="AI91" s="176"/>
      <c r="AJ91" s="177"/>
      <c r="AK91" s="178"/>
      <c r="AL91" s="178"/>
      <c r="AM91" s="178"/>
      <c r="AN91" s="178"/>
      <c r="AO91" s="179"/>
      <c r="AP91" s="64"/>
      <c r="AQ91" s="65"/>
      <c r="AR91" s="65"/>
      <c r="AS91" s="65"/>
      <c r="AT91" s="173"/>
      <c r="AU91" s="177"/>
      <c r="AV91" s="178"/>
      <c r="AW91" s="178"/>
      <c r="AX91" s="179"/>
      <c r="AZ91" s="166"/>
      <c r="BA91" s="177"/>
      <c r="BB91" s="178"/>
      <c r="BC91" s="178"/>
      <c r="BD91" s="178"/>
      <c r="BE91" s="178"/>
      <c r="BF91" s="178"/>
      <c r="BG91" s="178"/>
      <c r="BH91" s="178"/>
      <c r="BI91" s="179"/>
      <c r="BJ91" s="180"/>
      <c r="BK91" s="178"/>
      <c r="BL91" s="178"/>
      <c r="BM91" s="178"/>
      <c r="BN91" s="178"/>
      <c r="BO91" s="181"/>
      <c r="BP91" s="166"/>
      <c r="BQ91" s="177"/>
      <c r="BR91" s="178"/>
      <c r="BS91" s="179"/>
      <c r="BU91" s="166"/>
      <c r="BV91" s="166"/>
      <c r="BW91" s="166"/>
      <c r="BX91" s="166"/>
      <c r="BY91" s="166"/>
      <c r="BZ91" s="166"/>
      <c r="CA91" s="166"/>
      <c r="CB91" s="166"/>
      <c r="CC91" s="166"/>
      <c r="CD91" s="177"/>
      <c r="CE91" s="181"/>
      <c r="CF91" s="177"/>
      <c r="CG91" s="179"/>
      <c r="CH91" s="257"/>
      <c r="CI91" s="182"/>
      <c r="CJ91" s="177"/>
      <c r="CK91" s="182"/>
      <c r="CL91" s="177"/>
      <c r="CM91" s="182"/>
      <c r="CN91" s="177"/>
      <c r="CO91" s="182"/>
      <c r="CP91" s="177"/>
      <c r="CQ91" s="178"/>
      <c r="CR91" s="182"/>
      <c r="CS91" s="173"/>
      <c r="CT91" s="65"/>
      <c r="CU91" s="255" t="str">
        <f t="shared" si="2"/>
        <v>SHP</v>
      </c>
    </row>
    <row r="92" ht="60.0" customHeight="1">
      <c r="A92" s="65"/>
      <c r="C92" s="167">
        <v>8.0</v>
      </c>
      <c r="D92" s="168" t="s">
        <v>175</v>
      </c>
      <c r="E92" s="169"/>
      <c r="F92" s="170"/>
      <c r="G92" s="170"/>
      <c r="H92" s="170"/>
      <c r="I92" s="170"/>
      <c r="J92" s="170"/>
      <c r="K92" s="171"/>
      <c r="L92" s="171"/>
      <c r="M92" s="171"/>
      <c r="N92" s="171"/>
      <c r="O92" s="256">
        <f t="shared" si="17"/>
        <v>0</v>
      </c>
      <c r="Q92" s="173"/>
      <c r="R92" s="65"/>
      <c r="S92" s="173"/>
      <c r="T92" s="173"/>
      <c r="U92" s="166"/>
      <c r="V92" s="166"/>
      <c r="W92" s="65"/>
      <c r="X92" s="66"/>
      <c r="Y92" s="173"/>
      <c r="Z92" s="166"/>
      <c r="AA92" s="174"/>
      <c r="AB92" s="175"/>
      <c r="AC92" s="175"/>
      <c r="AD92" s="175"/>
      <c r="AE92" s="175"/>
      <c r="AF92" s="175"/>
      <c r="AG92" s="175"/>
      <c r="AH92" s="175"/>
      <c r="AI92" s="176"/>
      <c r="AJ92" s="177"/>
      <c r="AK92" s="178"/>
      <c r="AL92" s="178"/>
      <c r="AM92" s="178"/>
      <c r="AN92" s="178"/>
      <c r="AO92" s="179"/>
      <c r="AP92" s="64"/>
      <c r="AQ92" s="65"/>
      <c r="AR92" s="65"/>
      <c r="AS92" s="65"/>
      <c r="AT92" s="173"/>
      <c r="AU92" s="177"/>
      <c r="AV92" s="178"/>
      <c r="AW92" s="178"/>
      <c r="AX92" s="179"/>
      <c r="AZ92" s="166"/>
      <c r="BA92" s="177"/>
      <c r="BB92" s="178"/>
      <c r="BC92" s="178"/>
      <c r="BD92" s="178"/>
      <c r="BE92" s="178"/>
      <c r="BF92" s="178"/>
      <c r="BG92" s="178"/>
      <c r="BH92" s="178"/>
      <c r="BI92" s="179"/>
      <c r="BJ92" s="180"/>
      <c r="BK92" s="178"/>
      <c r="BL92" s="178"/>
      <c r="BM92" s="178"/>
      <c r="BN92" s="178"/>
      <c r="BO92" s="181"/>
      <c r="BP92" s="166"/>
      <c r="BQ92" s="177"/>
      <c r="BR92" s="178"/>
      <c r="BS92" s="179"/>
      <c r="BU92" s="166"/>
      <c r="BV92" s="166"/>
      <c r="BW92" s="166"/>
      <c r="BX92" s="166"/>
      <c r="BY92" s="166"/>
      <c r="BZ92" s="166"/>
      <c r="CA92" s="166"/>
      <c r="CB92" s="166"/>
      <c r="CC92" s="166"/>
      <c r="CD92" s="177"/>
      <c r="CE92" s="181"/>
      <c r="CF92" s="177"/>
      <c r="CG92" s="179"/>
      <c r="CH92" s="257"/>
      <c r="CI92" s="182"/>
      <c r="CJ92" s="177"/>
      <c r="CK92" s="182"/>
      <c r="CL92" s="177"/>
      <c r="CM92" s="182"/>
      <c r="CN92" s="177"/>
      <c r="CO92" s="182"/>
      <c r="CP92" s="177"/>
      <c r="CQ92" s="178"/>
      <c r="CR92" s="182"/>
      <c r="CS92" s="173"/>
      <c r="CT92" s="65"/>
      <c r="CU92" s="255" t="str">
        <f t="shared" si="2"/>
        <v>SHP</v>
      </c>
    </row>
    <row r="93" ht="60.0" customHeight="1">
      <c r="A93" s="65"/>
      <c r="C93" s="167">
        <v>9.0</v>
      </c>
      <c r="D93" s="168" t="s">
        <v>175</v>
      </c>
      <c r="E93" s="169"/>
      <c r="F93" s="170"/>
      <c r="G93" s="170"/>
      <c r="H93" s="170"/>
      <c r="I93" s="170"/>
      <c r="J93" s="170"/>
      <c r="K93" s="171"/>
      <c r="L93" s="171"/>
      <c r="M93" s="171"/>
      <c r="N93" s="171"/>
      <c r="O93" s="256">
        <f t="shared" si="17"/>
        <v>0</v>
      </c>
      <c r="Q93" s="173"/>
      <c r="R93" s="65"/>
      <c r="S93" s="173"/>
      <c r="T93" s="173"/>
      <c r="U93" s="166"/>
      <c r="V93" s="166"/>
      <c r="W93" s="65"/>
      <c r="X93" s="66"/>
      <c r="Y93" s="173"/>
      <c r="Z93" s="166"/>
      <c r="AA93" s="174"/>
      <c r="AB93" s="175"/>
      <c r="AC93" s="175"/>
      <c r="AD93" s="175"/>
      <c r="AE93" s="175"/>
      <c r="AF93" s="175"/>
      <c r="AG93" s="175"/>
      <c r="AH93" s="175"/>
      <c r="AI93" s="176"/>
      <c r="AJ93" s="177"/>
      <c r="AK93" s="178"/>
      <c r="AL93" s="178"/>
      <c r="AM93" s="178"/>
      <c r="AN93" s="178"/>
      <c r="AO93" s="179"/>
      <c r="AP93" s="64"/>
      <c r="AQ93" s="65"/>
      <c r="AR93" s="65"/>
      <c r="AS93" s="65"/>
      <c r="AT93" s="173"/>
      <c r="AU93" s="177"/>
      <c r="AV93" s="178"/>
      <c r="AW93" s="178"/>
      <c r="AX93" s="179"/>
      <c r="AZ93" s="166"/>
      <c r="BA93" s="177"/>
      <c r="BB93" s="178"/>
      <c r="BC93" s="178"/>
      <c r="BD93" s="178"/>
      <c r="BE93" s="178"/>
      <c r="BF93" s="178"/>
      <c r="BG93" s="178"/>
      <c r="BH93" s="178"/>
      <c r="BI93" s="179"/>
      <c r="BJ93" s="180"/>
      <c r="BK93" s="178"/>
      <c r="BL93" s="178"/>
      <c r="BM93" s="178"/>
      <c r="BN93" s="178"/>
      <c r="BO93" s="181"/>
      <c r="BP93" s="166"/>
      <c r="BQ93" s="177"/>
      <c r="BR93" s="178"/>
      <c r="BS93" s="179"/>
      <c r="BU93" s="166"/>
      <c r="BV93" s="166"/>
      <c r="BW93" s="166"/>
      <c r="BX93" s="166"/>
      <c r="BY93" s="166"/>
      <c r="BZ93" s="166"/>
      <c r="CA93" s="166"/>
      <c r="CB93" s="166"/>
      <c r="CC93" s="166"/>
      <c r="CD93" s="177"/>
      <c r="CE93" s="181"/>
      <c r="CF93" s="177"/>
      <c r="CG93" s="179"/>
      <c r="CH93" s="257"/>
      <c r="CI93" s="182"/>
      <c r="CJ93" s="177"/>
      <c r="CK93" s="182"/>
      <c r="CL93" s="177"/>
      <c r="CM93" s="182"/>
      <c r="CN93" s="177"/>
      <c r="CO93" s="182"/>
      <c r="CP93" s="177"/>
      <c r="CQ93" s="178"/>
      <c r="CR93" s="182"/>
      <c r="CS93" s="173"/>
      <c r="CT93" s="65"/>
      <c r="CU93" s="255" t="str">
        <f t="shared" si="2"/>
        <v>SHP</v>
      </c>
    </row>
    <row r="94" ht="60.0" customHeight="1">
      <c r="A94" s="65"/>
      <c r="C94" s="167">
        <v>10.0</v>
      </c>
      <c r="D94" s="168" t="s">
        <v>175</v>
      </c>
      <c r="E94" s="169"/>
      <c r="F94" s="170"/>
      <c r="G94" s="170"/>
      <c r="H94" s="170"/>
      <c r="I94" s="170"/>
      <c r="J94" s="170"/>
      <c r="K94" s="171"/>
      <c r="L94" s="171"/>
      <c r="M94" s="171"/>
      <c r="N94" s="171"/>
      <c r="O94" s="256">
        <f t="shared" si="17"/>
        <v>0</v>
      </c>
      <c r="Q94" s="173"/>
      <c r="R94" s="65"/>
      <c r="S94" s="173"/>
      <c r="T94" s="173"/>
      <c r="U94" s="166"/>
      <c r="V94" s="166"/>
      <c r="W94" s="65"/>
      <c r="X94" s="66"/>
      <c r="Y94" s="173"/>
      <c r="Z94" s="166"/>
      <c r="AA94" s="174"/>
      <c r="AB94" s="175"/>
      <c r="AC94" s="175"/>
      <c r="AD94" s="175"/>
      <c r="AE94" s="175"/>
      <c r="AF94" s="175"/>
      <c r="AG94" s="175"/>
      <c r="AH94" s="175"/>
      <c r="AI94" s="176"/>
      <c r="AJ94" s="177"/>
      <c r="AK94" s="178"/>
      <c r="AL94" s="178"/>
      <c r="AM94" s="178"/>
      <c r="AN94" s="178"/>
      <c r="AO94" s="179"/>
      <c r="AP94" s="64"/>
      <c r="AQ94" s="65"/>
      <c r="AR94" s="65"/>
      <c r="AS94" s="65"/>
      <c r="AT94" s="173"/>
      <c r="AU94" s="177"/>
      <c r="AV94" s="178"/>
      <c r="AW94" s="178"/>
      <c r="AX94" s="179"/>
      <c r="AZ94" s="166"/>
      <c r="BA94" s="177"/>
      <c r="BB94" s="178"/>
      <c r="BC94" s="178"/>
      <c r="BD94" s="178"/>
      <c r="BE94" s="178"/>
      <c r="BF94" s="178"/>
      <c r="BG94" s="178"/>
      <c r="BH94" s="178"/>
      <c r="BI94" s="179"/>
      <c r="BJ94" s="180"/>
      <c r="BK94" s="178"/>
      <c r="BL94" s="178"/>
      <c r="BM94" s="178"/>
      <c r="BN94" s="178"/>
      <c r="BO94" s="181"/>
      <c r="BP94" s="166"/>
      <c r="BQ94" s="177"/>
      <c r="BR94" s="178"/>
      <c r="BS94" s="179"/>
      <c r="BU94" s="166"/>
      <c r="BV94" s="166"/>
      <c r="BW94" s="166"/>
      <c r="BX94" s="166"/>
      <c r="BY94" s="166"/>
      <c r="BZ94" s="166"/>
      <c r="CA94" s="166"/>
      <c r="CB94" s="166"/>
      <c r="CC94" s="166"/>
      <c r="CD94" s="177"/>
      <c r="CE94" s="181"/>
      <c r="CF94" s="177"/>
      <c r="CG94" s="179"/>
      <c r="CH94" s="257"/>
      <c r="CI94" s="182"/>
      <c r="CJ94" s="177"/>
      <c r="CK94" s="182"/>
      <c r="CL94" s="177"/>
      <c r="CM94" s="182"/>
      <c r="CN94" s="177"/>
      <c r="CO94" s="182"/>
      <c r="CP94" s="177"/>
      <c r="CQ94" s="178"/>
      <c r="CR94" s="182"/>
      <c r="CS94" s="173"/>
      <c r="CT94" s="65"/>
      <c r="CU94" s="255" t="str">
        <f t="shared" si="2"/>
        <v>SHP</v>
      </c>
    </row>
    <row r="95" ht="60.0" customHeight="1">
      <c r="A95" s="89"/>
      <c r="C95" s="183">
        <v>11.0</v>
      </c>
      <c r="D95" s="210" t="s">
        <v>175</v>
      </c>
      <c r="E95" s="185"/>
      <c r="F95" s="186"/>
      <c r="G95" s="186"/>
      <c r="H95" s="186"/>
      <c r="I95" s="186"/>
      <c r="J95" s="186"/>
      <c r="K95" s="187"/>
      <c r="L95" s="187"/>
      <c r="M95" s="187"/>
      <c r="N95" s="187"/>
      <c r="O95" s="258">
        <f t="shared" ref="O95:O101" si="18">IF(AND(M95&lt;&gt;0,M95&lt;&gt;"m",M95&lt;&gt;"",RIGHT(K95,3)="Lec"),1,IF(AND(M95&lt;&gt;0,M95&lt;&gt;"m",M95&lt;&gt;"",OR(RIGHT(K95,3)="Lab",RIGHT(K95,3)="Tut")),0.5,IF(AND(M95&lt;&gt;0,M95&lt;&gt;"m",M95&lt;&gt;"",RIGHT(K95,2)="TL"),0.75,0)))</f>
        <v>0</v>
      </c>
      <c r="P95" s="6"/>
      <c r="Q95" s="69"/>
      <c r="R95" s="89"/>
      <c r="S95" s="69"/>
      <c r="T95" s="69"/>
      <c r="U95" s="63"/>
      <c r="V95" s="63"/>
      <c r="W95" s="89"/>
      <c r="X95" s="68"/>
      <c r="Y95" s="69"/>
      <c r="Z95" s="63"/>
      <c r="AA95" s="189"/>
      <c r="AB95" s="190"/>
      <c r="AC95" s="190"/>
      <c r="AD95" s="190"/>
      <c r="AE95" s="190"/>
      <c r="AF95" s="190"/>
      <c r="AG95" s="190"/>
      <c r="AH95" s="190"/>
      <c r="AI95" s="191"/>
      <c r="AJ95" s="192"/>
      <c r="AK95" s="193"/>
      <c r="AL95" s="193"/>
      <c r="AM95" s="193"/>
      <c r="AN95" s="193"/>
      <c r="AO95" s="194"/>
      <c r="AP95" s="103"/>
      <c r="AQ95" s="89"/>
      <c r="AR95" s="89"/>
      <c r="AS95" s="89"/>
      <c r="AT95" s="69"/>
      <c r="AU95" s="192"/>
      <c r="AV95" s="193"/>
      <c r="AW95" s="193"/>
      <c r="AX95" s="194"/>
      <c r="AY95" s="6"/>
      <c r="AZ95" s="63"/>
      <c r="BA95" s="192"/>
      <c r="BB95" s="193"/>
      <c r="BC95" s="193"/>
      <c r="BD95" s="193"/>
      <c r="BE95" s="193"/>
      <c r="BF95" s="193"/>
      <c r="BG95" s="193"/>
      <c r="BH95" s="193"/>
      <c r="BI95" s="194"/>
      <c r="BJ95" s="195"/>
      <c r="BK95" s="193"/>
      <c r="BL95" s="193"/>
      <c r="BM95" s="193"/>
      <c r="BN95" s="193"/>
      <c r="BO95" s="196"/>
      <c r="BP95" s="63"/>
      <c r="BQ95" s="192"/>
      <c r="BR95" s="193"/>
      <c r="BS95" s="194"/>
      <c r="BT95" s="6"/>
      <c r="BU95" s="63"/>
      <c r="BV95" s="63"/>
      <c r="BW95" s="63"/>
      <c r="BX95" s="63"/>
      <c r="BY95" s="63"/>
      <c r="BZ95" s="63"/>
      <c r="CA95" s="63"/>
      <c r="CB95" s="63"/>
      <c r="CC95" s="63"/>
      <c r="CD95" s="192"/>
      <c r="CE95" s="196"/>
      <c r="CF95" s="192"/>
      <c r="CG95" s="194"/>
      <c r="CH95" s="259"/>
      <c r="CI95" s="197"/>
      <c r="CJ95" s="192"/>
      <c r="CK95" s="197"/>
      <c r="CL95" s="192"/>
      <c r="CM95" s="197"/>
      <c r="CN95" s="192"/>
      <c r="CO95" s="197"/>
      <c r="CP95" s="192"/>
      <c r="CQ95" s="193"/>
      <c r="CR95" s="197"/>
      <c r="CS95" s="69"/>
      <c r="CT95" s="89"/>
      <c r="CU95" s="255" t="str">
        <f t="shared" si="2"/>
        <v>SHP</v>
      </c>
    </row>
    <row r="96" ht="56.25" customHeight="1">
      <c r="A96" s="125">
        <v>9.0</v>
      </c>
      <c r="B96" s="199" t="s">
        <v>179</v>
      </c>
      <c r="C96" s="127">
        <v>1.0</v>
      </c>
      <c r="D96" s="168" t="s">
        <v>180</v>
      </c>
      <c r="E96" s="129"/>
      <c r="F96" s="130"/>
      <c r="G96" s="130"/>
      <c r="H96" s="130"/>
      <c r="I96" s="130"/>
      <c r="J96" s="130"/>
      <c r="K96" s="131"/>
      <c r="L96" s="131"/>
      <c r="M96" s="131"/>
      <c r="N96" s="131"/>
      <c r="O96" s="250">
        <f t="shared" si="18"/>
        <v>0</v>
      </c>
      <c r="P96" s="251">
        <f>COUNTIF(K96:K106,"TL")*0.75+COUNTIF(K96:K106,"Lec")*1+COUNTIF(K96:K106,"Lab")*0.5</f>
        <v>0</v>
      </c>
      <c r="Q96" s="134">
        <f>SUM((IF(LEFT(K96,1)="E",O96,0)),(IF(LEFT(K97,1)="E",O97,0)),(IF(LEFT(K98,1)="E",O98,0)),(IF(LEFT(K99,1)="E",O99,0)),(IF(LEFT(K100,1)="E",O100,0)),(IF(LEFT(K101,1)="E",O101,0)),(IF(LEFT(K102,1)="E",O102,0)),(IF(LEFT(K103,1)="E",O103,0)),(IF(LEFT(K104,1)="E",O104,0)),(IF(LEFT(K105,1)="E",O105,0)),(IF(LEFT(K106,1)="E",O106,0)))</f>
        <v>0</v>
      </c>
      <c r="R96" s="135">
        <f>SUM(IF(M102&lt;20,IF(K102="Plec",-1,IF(K102="PTL",-0.75,IF(K102="Plab",-0.5,0))),0),IF(M103&lt;20,IF(K103="Plec",-1,IF(K103="PTL",-0.75,IF(K103="Plab",-0.5,0))),0),IF(M104&lt;20,IF(K104="Plec",-1,IF(K104="PTL",-0.75,IF(K104="Plab",-0.5,0))),0),IF(M105&lt;20,IF(K105="Plec",-1,IF(K105="PTL",-0.75,IF(K105="Plab",-0.5,0))),0))</f>
        <v>0</v>
      </c>
      <c r="S96" s="134">
        <f>SUM(P96:R106)</f>
        <v>0</v>
      </c>
      <c r="T96" s="136">
        <f>SUM(IF(M96="M",IF(OR(K96="lec",K96="plec",K96="slec"),1,IF(OR(K96="lab",K96="plab",K96="slab",K96="tut",K96="ptut",K96="stut"),0.5,IF(OR(K96="TL",K96="pTL",K96="STL"),0.75,0))),0),IF(M97="M",IF(OR(K97="lec",K97="plec",K97="slec"),1,IF(OR(K97="lab",K97="plab",K97="slab",K97="tut",K97="ptut",K97="stut"),0.5,IF(OR(K97="TL",K97="pTL",K97="STL"),0.75,0))),0),IF(M98="M",IF(OR(K98="lec",K98="plec",K98="slec"),1,IF(OR(K98="lab",K98="plab",K98="slab",K98="tut",K98="ptut",K98="stut"),0.5,IF(OR(K98="TL",K98="pTL",K98="STL"),0.75,0))),0),IF(M99="M",IF(OR(K99="lec",K99="plec",K99="slec"),1,IF(OR(K99="lab",K99="plab",K99="slab",K99="tut",K99="ptut",K99="stut"),0.5,IF(OR(K99="TL",K99="pTL",K99="STL"),0.75,0))),0),IF(M100="M",IF(OR(K100="lec",K100="plec",K100="slec"),1,IF(OR(K100="lab",K100="plab",K100="slab",K100="tut",K100="ptut",K100="stut"),0.5,IF(OR(K100="TL",K100="pTL",K100="STL"),0.75,0))),0),IF(M101="M",IF(OR(K101="lec",K101="plec",K101="slec"),1,IF(OR(K101="lab",K101="plab",K101="slab",K101="tut",K101="ptut",K101="stut"),0.5,IF(OR(K101="TL",K101="pTL",K101="STL"),0.75,0))),0),IF(M102="M",IF(OR(K102="lec",K102="plec",K102="slec"),1,IF(OR(K102="lab",K102="plab",K102="slab",K102="tut",K102="ptut",K102="stut"),0.5,IF(OR(K102="TL",K102="pTL",K102="STL"),0.75,0))),0),IF(M103="M",IF(OR(K103="lec",K103="plec",K103="slec"),1,IF(OR(K103="lab",K103="plab",K103="slab",K103="tut",K103="ptut",K103="stut"),0.5,IF(OR(K103="TL",K103="pTL",K103="STL"),0.75,0))),0),IF(M104="M",IF(OR(K104="lec",K104="plec",K104="slec"),1,IF(OR(K104="lab",K104="plab",K104="slab",K104="tut",K104="ptut",K104="stut"),0.5,IF(OR(K104="TL",K104="pTL",K104="STL"),0.75,0))),0),IF(M105="M",IF(OR(K105="lec",K105="plec",K105="slec"),1,IF(OR(K105="lab",K105="plab",K105="slab",K105="tut",K105="ptut",K105="stut"),0.5,IF(OR(K105="TL",K105="pTL",K105="STL"),0.75,0))),0),IF(M106="M",IF(OR(K106="lec",K106="plec",K106="slec"),1,IF(OR(K106="lab",K106="plab",K106="slab",K106="tut",K106="ptut",K106="stut"),0.5,IF(OR(K106="TL",K106="pTL",K106="STL"),0.75,0))),0))</f>
        <v>0</v>
      </c>
      <c r="U96" s="137"/>
      <c r="V96" s="133"/>
      <c r="W96" s="138"/>
      <c r="X96" s="139">
        <f>S96-(T96+U96+V96+W96)</f>
        <v>0</v>
      </c>
      <c r="Y96" s="134" t="str">
        <f>CONCATENATE(SUM(O96:O106),"(",SUM(O96:O106)-X96,")")</f>
        <v>0(0)</v>
      </c>
      <c r="Z96" s="140"/>
      <c r="AA96" s="141"/>
      <c r="AB96" s="142"/>
      <c r="AC96" s="142"/>
      <c r="AD96" s="142"/>
      <c r="AE96" s="142"/>
      <c r="AF96" s="142"/>
      <c r="AG96" s="142"/>
      <c r="AH96" s="142"/>
      <c r="AI96" s="143"/>
      <c r="AJ96" s="144"/>
      <c r="AK96" s="145"/>
      <c r="AL96" s="145"/>
      <c r="AM96" s="145"/>
      <c r="AN96" s="145"/>
      <c r="AO96" s="146"/>
      <c r="AP96" s="147">
        <f>SUM(SUM(O96:O106),SUM(AI96:AI106)/2,AM96)</f>
        <v>0</v>
      </c>
      <c r="AQ96" s="148"/>
      <c r="AR96" s="148">
        <f>AP96*AQ96</f>
        <v>0</v>
      </c>
      <c r="AS96" s="148">
        <f>CT96</f>
        <v>0.25</v>
      </c>
      <c r="AT96" s="149">
        <f>AR96*0.75+AS96*0.25</f>
        <v>0.0625</v>
      </c>
      <c r="AU96" s="150"/>
      <c r="AV96" s="151"/>
      <c r="AW96" s="151"/>
      <c r="AX96" s="152"/>
      <c r="AY96" s="153"/>
      <c r="AZ96" s="140"/>
      <c r="BA96" s="150"/>
      <c r="BB96" s="151"/>
      <c r="BC96" s="151"/>
      <c r="BD96" s="151"/>
      <c r="BE96" s="151"/>
      <c r="BF96" s="151"/>
      <c r="BG96" s="151"/>
      <c r="BH96" s="151"/>
      <c r="BI96" s="152"/>
      <c r="BJ96" s="154"/>
      <c r="BK96" s="151"/>
      <c r="BL96" s="151"/>
      <c r="BM96" s="151"/>
      <c r="BN96" s="151"/>
      <c r="BO96" s="155"/>
      <c r="BP96" s="140"/>
      <c r="BQ96" s="156" t="s">
        <v>231</v>
      </c>
      <c r="BR96" s="157">
        <v>5.0</v>
      </c>
      <c r="BS96" s="158">
        <v>0.0</v>
      </c>
      <c r="BT96" s="153"/>
      <c r="BU96" s="140"/>
      <c r="BV96" s="140"/>
      <c r="BW96" s="140"/>
      <c r="BX96" s="140"/>
      <c r="BY96" s="140"/>
      <c r="BZ96" s="140"/>
      <c r="CA96" s="140"/>
      <c r="CB96" s="140"/>
      <c r="CC96" s="140"/>
      <c r="CD96" s="150"/>
      <c r="CE96" s="155"/>
      <c r="CF96" s="150"/>
      <c r="CG96" s="152"/>
      <c r="CH96" s="252"/>
      <c r="CI96" s="160"/>
      <c r="CJ96" s="159"/>
      <c r="CK96" s="160"/>
      <c r="CL96" s="159"/>
      <c r="CM96" s="160"/>
      <c r="CN96" s="159"/>
      <c r="CO96" s="160"/>
      <c r="CP96" s="159"/>
      <c r="CQ96" s="162"/>
      <c r="CR96" s="160"/>
      <c r="CS96" s="253">
        <f>SUM(IF(AU96&lt;0,ABS(AU96),0),IF(AZ96&lt;0,ABS(AZ96),0),ABS(CI96),ABS(CK96),ABS(CM96),ABS(CO96),ABS(CQ96),ABS(CR96))</f>
        <v>0</v>
      </c>
      <c r="CT96" s="254">
        <f>SUM(AU96,AV96,AW96,AX96/400,AY96,AZ96,BG96,BH96*0.5,BI96*0.25,BJ96,BK96,BL96,BM96,BN96,BO96,BP96,BR96/20,BS96/100,BT96/60,BU96,BV96,BW96,BX96/4,SUM(BY96:CC106)/3,CE96,CG96/3,CI96,CK96,CM96,CO96,CQ96,CR96)</f>
        <v>0.25</v>
      </c>
      <c r="CU96" s="255" t="str">
        <f t="shared" si="2"/>
        <v>ZMP</v>
      </c>
    </row>
    <row r="97" ht="60.0" customHeight="1">
      <c r="A97" s="65"/>
      <c r="C97" s="167">
        <v>2.0</v>
      </c>
      <c r="D97" s="168" t="s">
        <v>180</v>
      </c>
      <c r="E97" s="169"/>
      <c r="F97" s="170"/>
      <c r="G97" s="170"/>
      <c r="H97" s="170"/>
      <c r="I97" s="170"/>
      <c r="J97" s="170"/>
      <c r="K97" s="171"/>
      <c r="L97" s="171"/>
      <c r="M97" s="171"/>
      <c r="N97" s="171"/>
      <c r="O97" s="256">
        <f t="shared" si="18"/>
        <v>0</v>
      </c>
      <c r="Q97" s="173"/>
      <c r="R97" s="65"/>
      <c r="S97" s="173"/>
      <c r="T97" s="173"/>
      <c r="U97" s="166"/>
      <c r="V97" s="166"/>
      <c r="W97" s="65"/>
      <c r="X97" s="66"/>
      <c r="Y97" s="173"/>
      <c r="Z97" s="166"/>
      <c r="AA97" s="174"/>
      <c r="AB97" s="175"/>
      <c r="AC97" s="175"/>
      <c r="AD97" s="175"/>
      <c r="AE97" s="175"/>
      <c r="AF97" s="175"/>
      <c r="AG97" s="175"/>
      <c r="AH97" s="175"/>
      <c r="AI97" s="176"/>
      <c r="AJ97" s="177"/>
      <c r="AK97" s="178"/>
      <c r="AL97" s="178"/>
      <c r="AM97" s="178"/>
      <c r="AN97" s="178"/>
      <c r="AO97" s="179"/>
      <c r="AP97" s="64"/>
      <c r="AQ97" s="65"/>
      <c r="AR97" s="65"/>
      <c r="AS97" s="65"/>
      <c r="AT97" s="173"/>
      <c r="AU97" s="177"/>
      <c r="AV97" s="178"/>
      <c r="AW97" s="178"/>
      <c r="AX97" s="179"/>
      <c r="AZ97" s="166"/>
      <c r="BA97" s="177"/>
      <c r="BB97" s="178"/>
      <c r="BC97" s="178"/>
      <c r="BD97" s="178"/>
      <c r="BE97" s="178"/>
      <c r="BF97" s="178"/>
      <c r="BG97" s="178"/>
      <c r="BH97" s="178"/>
      <c r="BI97" s="179"/>
      <c r="BJ97" s="180"/>
      <c r="BK97" s="178"/>
      <c r="BL97" s="178"/>
      <c r="BM97" s="178"/>
      <c r="BN97" s="178"/>
      <c r="BO97" s="181"/>
      <c r="BP97" s="166"/>
      <c r="BQ97" s="177"/>
      <c r="BR97" s="178"/>
      <c r="BS97" s="179"/>
      <c r="BU97" s="166"/>
      <c r="BV97" s="166"/>
      <c r="BW97" s="166"/>
      <c r="BX97" s="166"/>
      <c r="BY97" s="166"/>
      <c r="BZ97" s="166"/>
      <c r="CA97" s="166"/>
      <c r="CB97" s="166"/>
      <c r="CC97" s="166"/>
      <c r="CD97" s="177"/>
      <c r="CE97" s="181"/>
      <c r="CF97" s="177"/>
      <c r="CG97" s="179"/>
      <c r="CH97" s="257"/>
      <c r="CI97" s="182"/>
      <c r="CJ97" s="177"/>
      <c r="CK97" s="182"/>
      <c r="CL97" s="177"/>
      <c r="CM97" s="182"/>
      <c r="CN97" s="177"/>
      <c r="CO97" s="182"/>
      <c r="CP97" s="177"/>
      <c r="CQ97" s="178"/>
      <c r="CR97" s="182"/>
      <c r="CS97" s="173"/>
      <c r="CT97" s="65"/>
      <c r="CU97" s="255" t="str">
        <f t="shared" si="2"/>
        <v>ZMP</v>
      </c>
    </row>
    <row r="98" ht="60.0" customHeight="1">
      <c r="A98" s="65"/>
      <c r="C98" s="167">
        <v>3.0</v>
      </c>
      <c r="D98" s="168" t="s">
        <v>180</v>
      </c>
      <c r="E98" s="169"/>
      <c r="F98" s="170"/>
      <c r="G98" s="170"/>
      <c r="H98" s="170"/>
      <c r="I98" s="170"/>
      <c r="J98" s="170"/>
      <c r="K98" s="171"/>
      <c r="L98" s="171"/>
      <c r="M98" s="171"/>
      <c r="N98" s="171"/>
      <c r="O98" s="256">
        <f t="shared" si="18"/>
        <v>0</v>
      </c>
      <c r="Q98" s="173"/>
      <c r="R98" s="65"/>
      <c r="S98" s="173"/>
      <c r="T98" s="173"/>
      <c r="U98" s="166"/>
      <c r="V98" s="166"/>
      <c r="W98" s="65"/>
      <c r="X98" s="66"/>
      <c r="Y98" s="173"/>
      <c r="Z98" s="166"/>
      <c r="AA98" s="174"/>
      <c r="AB98" s="175"/>
      <c r="AC98" s="175"/>
      <c r="AD98" s="175"/>
      <c r="AE98" s="175"/>
      <c r="AF98" s="175"/>
      <c r="AG98" s="175"/>
      <c r="AH98" s="175"/>
      <c r="AI98" s="176"/>
      <c r="AJ98" s="177"/>
      <c r="AK98" s="178"/>
      <c r="AL98" s="178"/>
      <c r="AM98" s="178"/>
      <c r="AN98" s="178"/>
      <c r="AO98" s="179"/>
      <c r="AP98" s="64"/>
      <c r="AQ98" s="65"/>
      <c r="AR98" s="65"/>
      <c r="AS98" s="65"/>
      <c r="AT98" s="173"/>
      <c r="AU98" s="177"/>
      <c r="AV98" s="178"/>
      <c r="AW98" s="178"/>
      <c r="AX98" s="179"/>
      <c r="AZ98" s="166"/>
      <c r="BA98" s="177"/>
      <c r="BB98" s="178"/>
      <c r="BC98" s="178"/>
      <c r="BD98" s="178"/>
      <c r="BE98" s="178"/>
      <c r="BF98" s="178"/>
      <c r="BG98" s="178"/>
      <c r="BH98" s="178"/>
      <c r="BI98" s="179"/>
      <c r="BJ98" s="180"/>
      <c r="BK98" s="178"/>
      <c r="BL98" s="178"/>
      <c r="BM98" s="178"/>
      <c r="BN98" s="178"/>
      <c r="BO98" s="181"/>
      <c r="BP98" s="166"/>
      <c r="BQ98" s="177"/>
      <c r="BR98" s="178"/>
      <c r="BS98" s="179"/>
      <c r="BU98" s="166"/>
      <c r="BV98" s="166"/>
      <c r="BW98" s="166"/>
      <c r="BX98" s="166"/>
      <c r="BY98" s="166"/>
      <c r="BZ98" s="166"/>
      <c r="CA98" s="166"/>
      <c r="CB98" s="166"/>
      <c r="CC98" s="166"/>
      <c r="CD98" s="177"/>
      <c r="CE98" s="181"/>
      <c r="CF98" s="177"/>
      <c r="CG98" s="179"/>
      <c r="CH98" s="257"/>
      <c r="CI98" s="182"/>
      <c r="CJ98" s="177"/>
      <c r="CK98" s="182"/>
      <c r="CL98" s="177"/>
      <c r="CM98" s="182"/>
      <c r="CN98" s="177"/>
      <c r="CO98" s="182"/>
      <c r="CP98" s="177"/>
      <c r="CQ98" s="178"/>
      <c r="CR98" s="182"/>
      <c r="CS98" s="173"/>
      <c r="CT98" s="65"/>
      <c r="CU98" s="255" t="str">
        <f t="shared" si="2"/>
        <v>ZMP</v>
      </c>
    </row>
    <row r="99" ht="60.0" customHeight="1">
      <c r="A99" s="65"/>
      <c r="C99" s="167">
        <v>4.0</v>
      </c>
      <c r="D99" s="168" t="s">
        <v>180</v>
      </c>
      <c r="E99" s="169"/>
      <c r="F99" s="170"/>
      <c r="G99" s="170"/>
      <c r="H99" s="170"/>
      <c r="I99" s="170"/>
      <c r="J99" s="170"/>
      <c r="K99" s="171"/>
      <c r="L99" s="171"/>
      <c r="M99" s="171"/>
      <c r="N99" s="171"/>
      <c r="O99" s="256">
        <f t="shared" si="18"/>
        <v>0</v>
      </c>
      <c r="Q99" s="173"/>
      <c r="R99" s="65"/>
      <c r="S99" s="173"/>
      <c r="T99" s="173"/>
      <c r="U99" s="166"/>
      <c r="V99" s="166"/>
      <c r="W99" s="65"/>
      <c r="X99" s="66"/>
      <c r="Y99" s="173"/>
      <c r="Z99" s="166"/>
      <c r="AA99" s="174"/>
      <c r="AB99" s="175"/>
      <c r="AC99" s="175"/>
      <c r="AD99" s="175"/>
      <c r="AE99" s="175"/>
      <c r="AF99" s="175"/>
      <c r="AG99" s="175"/>
      <c r="AH99" s="175"/>
      <c r="AI99" s="176"/>
      <c r="AJ99" s="177"/>
      <c r="AK99" s="178"/>
      <c r="AL99" s="178"/>
      <c r="AM99" s="178"/>
      <c r="AN99" s="178"/>
      <c r="AO99" s="179"/>
      <c r="AP99" s="64"/>
      <c r="AQ99" s="65"/>
      <c r="AR99" s="65"/>
      <c r="AS99" s="65"/>
      <c r="AT99" s="173"/>
      <c r="AU99" s="177"/>
      <c r="AV99" s="178"/>
      <c r="AW99" s="178"/>
      <c r="AX99" s="179"/>
      <c r="AZ99" s="166"/>
      <c r="BA99" s="177"/>
      <c r="BB99" s="178"/>
      <c r="BC99" s="178"/>
      <c r="BD99" s="178"/>
      <c r="BE99" s="178"/>
      <c r="BF99" s="178"/>
      <c r="BG99" s="178"/>
      <c r="BH99" s="178"/>
      <c r="BI99" s="179"/>
      <c r="BJ99" s="180"/>
      <c r="BK99" s="178"/>
      <c r="BL99" s="178"/>
      <c r="BM99" s="178"/>
      <c r="BN99" s="178"/>
      <c r="BO99" s="181"/>
      <c r="BP99" s="166"/>
      <c r="BQ99" s="177"/>
      <c r="BR99" s="178"/>
      <c r="BS99" s="179"/>
      <c r="BU99" s="166"/>
      <c r="BV99" s="166"/>
      <c r="BW99" s="166"/>
      <c r="BX99" s="166"/>
      <c r="BY99" s="166"/>
      <c r="BZ99" s="166"/>
      <c r="CA99" s="166"/>
      <c r="CB99" s="166"/>
      <c r="CC99" s="166"/>
      <c r="CD99" s="177"/>
      <c r="CE99" s="181"/>
      <c r="CF99" s="177"/>
      <c r="CG99" s="179"/>
      <c r="CH99" s="257"/>
      <c r="CI99" s="182"/>
      <c r="CJ99" s="177"/>
      <c r="CK99" s="182"/>
      <c r="CL99" s="177"/>
      <c r="CM99" s="182"/>
      <c r="CN99" s="177"/>
      <c r="CO99" s="182"/>
      <c r="CP99" s="177"/>
      <c r="CQ99" s="178"/>
      <c r="CR99" s="182"/>
      <c r="CS99" s="173"/>
      <c r="CT99" s="65"/>
      <c r="CU99" s="255" t="str">
        <f t="shared" si="2"/>
        <v>ZMP</v>
      </c>
    </row>
    <row r="100" ht="60.0" customHeight="1">
      <c r="A100" s="65"/>
      <c r="C100" s="167">
        <v>5.0</v>
      </c>
      <c r="D100" s="168" t="s">
        <v>180</v>
      </c>
      <c r="E100" s="169"/>
      <c r="F100" s="170"/>
      <c r="G100" s="170"/>
      <c r="H100" s="170"/>
      <c r="I100" s="170"/>
      <c r="J100" s="170"/>
      <c r="K100" s="171"/>
      <c r="L100" s="171"/>
      <c r="M100" s="171"/>
      <c r="N100" s="171"/>
      <c r="O100" s="256">
        <f t="shared" si="18"/>
        <v>0</v>
      </c>
      <c r="Q100" s="173"/>
      <c r="R100" s="65"/>
      <c r="S100" s="173"/>
      <c r="T100" s="173"/>
      <c r="U100" s="166"/>
      <c r="V100" s="166"/>
      <c r="W100" s="65"/>
      <c r="X100" s="66"/>
      <c r="Y100" s="173"/>
      <c r="Z100" s="166"/>
      <c r="AA100" s="174"/>
      <c r="AB100" s="175"/>
      <c r="AC100" s="175"/>
      <c r="AD100" s="175"/>
      <c r="AE100" s="175"/>
      <c r="AF100" s="175"/>
      <c r="AG100" s="175"/>
      <c r="AH100" s="175"/>
      <c r="AI100" s="176"/>
      <c r="AJ100" s="177"/>
      <c r="AK100" s="178"/>
      <c r="AL100" s="178"/>
      <c r="AM100" s="178"/>
      <c r="AN100" s="178"/>
      <c r="AO100" s="179"/>
      <c r="AP100" s="64"/>
      <c r="AQ100" s="65"/>
      <c r="AR100" s="65"/>
      <c r="AS100" s="65"/>
      <c r="AT100" s="173"/>
      <c r="AU100" s="177"/>
      <c r="AV100" s="178"/>
      <c r="AW100" s="178"/>
      <c r="AX100" s="179"/>
      <c r="AZ100" s="166"/>
      <c r="BA100" s="177"/>
      <c r="BB100" s="178"/>
      <c r="BC100" s="178"/>
      <c r="BD100" s="178"/>
      <c r="BE100" s="178"/>
      <c r="BF100" s="178"/>
      <c r="BG100" s="178"/>
      <c r="BH100" s="178"/>
      <c r="BI100" s="179"/>
      <c r="BJ100" s="180"/>
      <c r="BK100" s="178"/>
      <c r="BL100" s="178"/>
      <c r="BM100" s="178"/>
      <c r="BN100" s="178"/>
      <c r="BO100" s="181"/>
      <c r="BP100" s="166"/>
      <c r="BQ100" s="177"/>
      <c r="BR100" s="178"/>
      <c r="BS100" s="179"/>
      <c r="BU100" s="166"/>
      <c r="BV100" s="166"/>
      <c r="BW100" s="166"/>
      <c r="BX100" s="166"/>
      <c r="BY100" s="166"/>
      <c r="BZ100" s="166"/>
      <c r="CA100" s="166"/>
      <c r="CB100" s="166"/>
      <c r="CC100" s="166"/>
      <c r="CD100" s="177"/>
      <c r="CE100" s="181"/>
      <c r="CF100" s="177"/>
      <c r="CG100" s="179"/>
      <c r="CH100" s="257"/>
      <c r="CI100" s="182"/>
      <c r="CJ100" s="177"/>
      <c r="CK100" s="182"/>
      <c r="CL100" s="177"/>
      <c r="CM100" s="182"/>
      <c r="CN100" s="177"/>
      <c r="CO100" s="182"/>
      <c r="CP100" s="177"/>
      <c r="CQ100" s="178"/>
      <c r="CR100" s="182"/>
      <c r="CS100" s="173"/>
      <c r="CT100" s="65"/>
      <c r="CU100" s="255" t="str">
        <f t="shared" si="2"/>
        <v>ZMP</v>
      </c>
    </row>
    <row r="101" ht="60.0" customHeight="1">
      <c r="A101" s="65"/>
      <c r="C101" s="167">
        <v>6.0</v>
      </c>
      <c r="D101" s="168" t="s">
        <v>180</v>
      </c>
      <c r="E101" s="169"/>
      <c r="F101" s="170"/>
      <c r="G101" s="170"/>
      <c r="H101" s="170"/>
      <c r="I101" s="170"/>
      <c r="J101" s="170"/>
      <c r="K101" s="171"/>
      <c r="L101" s="171"/>
      <c r="M101" s="171"/>
      <c r="N101" s="171"/>
      <c r="O101" s="256">
        <f t="shared" si="18"/>
        <v>0</v>
      </c>
      <c r="Q101" s="173"/>
      <c r="R101" s="65"/>
      <c r="S101" s="173"/>
      <c r="T101" s="173"/>
      <c r="U101" s="166"/>
      <c r="V101" s="166"/>
      <c r="W101" s="65"/>
      <c r="X101" s="66"/>
      <c r="Y101" s="173"/>
      <c r="Z101" s="166"/>
      <c r="AA101" s="174"/>
      <c r="AB101" s="175"/>
      <c r="AC101" s="175"/>
      <c r="AD101" s="175"/>
      <c r="AE101" s="175"/>
      <c r="AF101" s="175"/>
      <c r="AG101" s="175"/>
      <c r="AH101" s="175"/>
      <c r="AI101" s="176"/>
      <c r="AJ101" s="177"/>
      <c r="AK101" s="178"/>
      <c r="AL101" s="178"/>
      <c r="AM101" s="178"/>
      <c r="AN101" s="178"/>
      <c r="AO101" s="179"/>
      <c r="AP101" s="64"/>
      <c r="AQ101" s="65"/>
      <c r="AR101" s="65"/>
      <c r="AS101" s="65"/>
      <c r="AT101" s="173"/>
      <c r="AU101" s="177"/>
      <c r="AV101" s="178"/>
      <c r="AW101" s="178"/>
      <c r="AX101" s="179"/>
      <c r="AZ101" s="166"/>
      <c r="BA101" s="177"/>
      <c r="BB101" s="178"/>
      <c r="BC101" s="178"/>
      <c r="BD101" s="178"/>
      <c r="BE101" s="178"/>
      <c r="BF101" s="178"/>
      <c r="BG101" s="178"/>
      <c r="BH101" s="178"/>
      <c r="BI101" s="179"/>
      <c r="BJ101" s="180"/>
      <c r="BK101" s="178"/>
      <c r="BL101" s="178"/>
      <c r="BM101" s="178"/>
      <c r="BN101" s="178"/>
      <c r="BO101" s="181"/>
      <c r="BP101" s="166"/>
      <c r="BQ101" s="177"/>
      <c r="BR101" s="178"/>
      <c r="BS101" s="179"/>
      <c r="BU101" s="166"/>
      <c r="BV101" s="166"/>
      <c r="BW101" s="166"/>
      <c r="BX101" s="166"/>
      <c r="BY101" s="166"/>
      <c r="BZ101" s="166"/>
      <c r="CA101" s="166"/>
      <c r="CB101" s="166"/>
      <c r="CC101" s="166"/>
      <c r="CD101" s="177"/>
      <c r="CE101" s="181"/>
      <c r="CF101" s="177"/>
      <c r="CG101" s="179"/>
      <c r="CH101" s="257"/>
      <c r="CI101" s="182"/>
      <c r="CJ101" s="177"/>
      <c r="CK101" s="182"/>
      <c r="CL101" s="177"/>
      <c r="CM101" s="182"/>
      <c r="CN101" s="177"/>
      <c r="CO101" s="182"/>
      <c r="CP101" s="177"/>
      <c r="CQ101" s="178"/>
      <c r="CR101" s="182"/>
      <c r="CS101" s="173"/>
      <c r="CT101" s="65"/>
      <c r="CU101" s="255" t="str">
        <f t="shared" si="2"/>
        <v>ZMP</v>
      </c>
    </row>
    <row r="102" ht="60.0" customHeight="1">
      <c r="A102" s="65"/>
      <c r="C102" s="167">
        <v>7.0</v>
      </c>
      <c r="D102" s="168" t="s">
        <v>180</v>
      </c>
      <c r="E102" s="169"/>
      <c r="F102" s="170"/>
      <c r="G102" s="170"/>
      <c r="H102" s="170"/>
      <c r="I102" s="170"/>
      <c r="J102" s="170"/>
      <c r="K102" s="171"/>
      <c r="L102" s="171"/>
      <c r="M102" s="171"/>
      <c r="N102" s="171"/>
      <c r="O102" s="256">
        <f t="shared" ref="O102:O105" si="19">IF(AND(M102&gt;=20,M102&lt;&gt;"m",RIGHT(K102,3)="Lec"),1,IF(AND(M102&gt;=20,M102&lt;&gt;"m",OR(RIGHT(K102,3)="Lab",RIGHT(K102,3)="Tut")),0.5,IF(AND(M102&gt;=20,M102&lt;&gt;"m",RIGHT(K102,2)="TL"),0.75,0)))</f>
        <v>0</v>
      </c>
      <c r="Q102" s="173"/>
      <c r="R102" s="65"/>
      <c r="S102" s="173"/>
      <c r="T102" s="173"/>
      <c r="U102" s="166"/>
      <c r="V102" s="166"/>
      <c r="W102" s="65"/>
      <c r="X102" s="66"/>
      <c r="Y102" s="173"/>
      <c r="Z102" s="166"/>
      <c r="AA102" s="174"/>
      <c r="AB102" s="175"/>
      <c r="AC102" s="175"/>
      <c r="AD102" s="175"/>
      <c r="AE102" s="175"/>
      <c r="AF102" s="175"/>
      <c r="AG102" s="175"/>
      <c r="AH102" s="175"/>
      <c r="AI102" s="176"/>
      <c r="AJ102" s="177"/>
      <c r="AK102" s="178"/>
      <c r="AL102" s="178"/>
      <c r="AM102" s="178"/>
      <c r="AN102" s="178"/>
      <c r="AO102" s="179"/>
      <c r="AP102" s="64"/>
      <c r="AQ102" s="65"/>
      <c r="AR102" s="65"/>
      <c r="AS102" s="65"/>
      <c r="AT102" s="173"/>
      <c r="AU102" s="177"/>
      <c r="AV102" s="178"/>
      <c r="AW102" s="178"/>
      <c r="AX102" s="179"/>
      <c r="AZ102" s="166"/>
      <c r="BA102" s="177"/>
      <c r="BB102" s="178"/>
      <c r="BC102" s="178"/>
      <c r="BD102" s="178"/>
      <c r="BE102" s="178"/>
      <c r="BF102" s="178"/>
      <c r="BG102" s="178"/>
      <c r="BH102" s="178"/>
      <c r="BI102" s="179"/>
      <c r="BJ102" s="180"/>
      <c r="BK102" s="178"/>
      <c r="BL102" s="178"/>
      <c r="BM102" s="178"/>
      <c r="BN102" s="178"/>
      <c r="BO102" s="181"/>
      <c r="BP102" s="166"/>
      <c r="BQ102" s="177"/>
      <c r="BR102" s="178"/>
      <c r="BS102" s="179"/>
      <c r="BU102" s="166"/>
      <c r="BV102" s="166"/>
      <c r="BW102" s="166"/>
      <c r="BX102" s="166"/>
      <c r="BY102" s="166"/>
      <c r="BZ102" s="166"/>
      <c r="CA102" s="166"/>
      <c r="CB102" s="166"/>
      <c r="CC102" s="166"/>
      <c r="CD102" s="177"/>
      <c r="CE102" s="181"/>
      <c r="CF102" s="177"/>
      <c r="CG102" s="179"/>
      <c r="CH102" s="257"/>
      <c r="CI102" s="182"/>
      <c r="CJ102" s="177"/>
      <c r="CK102" s="182"/>
      <c r="CL102" s="177"/>
      <c r="CM102" s="182"/>
      <c r="CN102" s="177"/>
      <c r="CO102" s="182"/>
      <c r="CP102" s="177"/>
      <c r="CQ102" s="178"/>
      <c r="CR102" s="182"/>
      <c r="CS102" s="173"/>
      <c r="CT102" s="65"/>
      <c r="CU102" s="255" t="str">
        <f t="shared" si="2"/>
        <v>ZMP</v>
      </c>
    </row>
    <row r="103" ht="60.0" customHeight="1">
      <c r="A103" s="65"/>
      <c r="C103" s="167">
        <v>8.0</v>
      </c>
      <c r="D103" s="168" t="s">
        <v>180</v>
      </c>
      <c r="E103" s="169"/>
      <c r="F103" s="170"/>
      <c r="G103" s="170"/>
      <c r="H103" s="170"/>
      <c r="I103" s="170"/>
      <c r="J103" s="170"/>
      <c r="K103" s="171"/>
      <c r="L103" s="171"/>
      <c r="M103" s="171"/>
      <c r="N103" s="171"/>
      <c r="O103" s="256">
        <f t="shared" si="19"/>
        <v>0</v>
      </c>
      <c r="Q103" s="173"/>
      <c r="R103" s="65"/>
      <c r="S103" s="173"/>
      <c r="T103" s="173"/>
      <c r="U103" s="166"/>
      <c r="V103" s="166"/>
      <c r="W103" s="65"/>
      <c r="X103" s="66"/>
      <c r="Y103" s="173"/>
      <c r="Z103" s="166"/>
      <c r="AA103" s="174"/>
      <c r="AB103" s="175"/>
      <c r="AC103" s="175"/>
      <c r="AD103" s="175"/>
      <c r="AE103" s="175"/>
      <c r="AF103" s="175"/>
      <c r="AG103" s="175"/>
      <c r="AH103" s="175"/>
      <c r="AI103" s="176"/>
      <c r="AJ103" s="177"/>
      <c r="AK103" s="178"/>
      <c r="AL103" s="178"/>
      <c r="AM103" s="178"/>
      <c r="AN103" s="178"/>
      <c r="AO103" s="179"/>
      <c r="AP103" s="64"/>
      <c r="AQ103" s="65"/>
      <c r="AR103" s="65"/>
      <c r="AS103" s="65"/>
      <c r="AT103" s="173"/>
      <c r="AU103" s="177"/>
      <c r="AV103" s="178"/>
      <c r="AW103" s="178"/>
      <c r="AX103" s="179"/>
      <c r="AZ103" s="166"/>
      <c r="BA103" s="177"/>
      <c r="BB103" s="178"/>
      <c r="BC103" s="178"/>
      <c r="BD103" s="178"/>
      <c r="BE103" s="178"/>
      <c r="BF103" s="178"/>
      <c r="BG103" s="178"/>
      <c r="BH103" s="178"/>
      <c r="BI103" s="179"/>
      <c r="BJ103" s="180"/>
      <c r="BK103" s="178"/>
      <c r="BL103" s="178"/>
      <c r="BM103" s="178"/>
      <c r="BN103" s="178"/>
      <c r="BO103" s="181"/>
      <c r="BP103" s="166"/>
      <c r="BQ103" s="177"/>
      <c r="BR103" s="178"/>
      <c r="BS103" s="179"/>
      <c r="BU103" s="166"/>
      <c r="BV103" s="166"/>
      <c r="BW103" s="166"/>
      <c r="BX103" s="166"/>
      <c r="BY103" s="166"/>
      <c r="BZ103" s="166"/>
      <c r="CA103" s="166"/>
      <c r="CB103" s="166"/>
      <c r="CC103" s="166"/>
      <c r="CD103" s="177"/>
      <c r="CE103" s="181"/>
      <c r="CF103" s="177"/>
      <c r="CG103" s="179"/>
      <c r="CH103" s="257"/>
      <c r="CI103" s="182"/>
      <c r="CJ103" s="177"/>
      <c r="CK103" s="182"/>
      <c r="CL103" s="177"/>
      <c r="CM103" s="182"/>
      <c r="CN103" s="177"/>
      <c r="CO103" s="182"/>
      <c r="CP103" s="177"/>
      <c r="CQ103" s="178"/>
      <c r="CR103" s="182"/>
      <c r="CS103" s="173"/>
      <c r="CT103" s="65"/>
      <c r="CU103" s="255" t="str">
        <f t="shared" si="2"/>
        <v>ZMP</v>
      </c>
    </row>
    <row r="104" ht="60.0" customHeight="1">
      <c r="A104" s="65"/>
      <c r="C104" s="167">
        <v>9.0</v>
      </c>
      <c r="D104" s="168" t="s">
        <v>180</v>
      </c>
      <c r="E104" s="169"/>
      <c r="F104" s="170"/>
      <c r="G104" s="170"/>
      <c r="H104" s="170"/>
      <c r="I104" s="170"/>
      <c r="J104" s="170"/>
      <c r="K104" s="171"/>
      <c r="L104" s="171"/>
      <c r="M104" s="171"/>
      <c r="N104" s="171"/>
      <c r="O104" s="256">
        <f t="shared" si="19"/>
        <v>0</v>
      </c>
      <c r="Q104" s="173"/>
      <c r="R104" s="65"/>
      <c r="S104" s="173"/>
      <c r="T104" s="173"/>
      <c r="U104" s="166"/>
      <c r="V104" s="166"/>
      <c r="W104" s="65"/>
      <c r="X104" s="66"/>
      <c r="Y104" s="173"/>
      <c r="Z104" s="166"/>
      <c r="AA104" s="174"/>
      <c r="AB104" s="175"/>
      <c r="AC104" s="175"/>
      <c r="AD104" s="175"/>
      <c r="AE104" s="175"/>
      <c r="AF104" s="175"/>
      <c r="AG104" s="175"/>
      <c r="AH104" s="175"/>
      <c r="AI104" s="176"/>
      <c r="AJ104" s="177"/>
      <c r="AK104" s="178"/>
      <c r="AL104" s="178"/>
      <c r="AM104" s="178"/>
      <c r="AN104" s="178"/>
      <c r="AO104" s="179"/>
      <c r="AP104" s="64"/>
      <c r="AQ104" s="65"/>
      <c r="AR104" s="65"/>
      <c r="AS104" s="65"/>
      <c r="AT104" s="173"/>
      <c r="AU104" s="177"/>
      <c r="AV104" s="178"/>
      <c r="AW104" s="178"/>
      <c r="AX104" s="179"/>
      <c r="AZ104" s="166"/>
      <c r="BA104" s="177"/>
      <c r="BB104" s="178"/>
      <c r="BC104" s="178"/>
      <c r="BD104" s="178"/>
      <c r="BE104" s="178"/>
      <c r="BF104" s="178"/>
      <c r="BG104" s="178"/>
      <c r="BH104" s="178"/>
      <c r="BI104" s="179"/>
      <c r="BJ104" s="180"/>
      <c r="BK104" s="178"/>
      <c r="BL104" s="178"/>
      <c r="BM104" s="178"/>
      <c r="BN104" s="178"/>
      <c r="BO104" s="181"/>
      <c r="BP104" s="166"/>
      <c r="BQ104" s="177"/>
      <c r="BR104" s="178"/>
      <c r="BS104" s="179"/>
      <c r="BU104" s="166"/>
      <c r="BV104" s="166"/>
      <c r="BW104" s="166"/>
      <c r="BX104" s="166"/>
      <c r="BY104" s="166"/>
      <c r="BZ104" s="166"/>
      <c r="CA104" s="166"/>
      <c r="CB104" s="166"/>
      <c r="CC104" s="166"/>
      <c r="CD104" s="177"/>
      <c r="CE104" s="181"/>
      <c r="CF104" s="177"/>
      <c r="CG104" s="179"/>
      <c r="CH104" s="257"/>
      <c r="CI104" s="182"/>
      <c r="CJ104" s="177"/>
      <c r="CK104" s="182"/>
      <c r="CL104" s="177"/>
      <c r="CM104" s="182"/>
      <c r="CN104" s="177"/>
      <c r="CO104" s="182"/>
      <c r="CP104" s="177"/>
      <c r="CQ104" s="178"/>
      <c r="CR104" s="182"/>
      <c r="CS104" s="173"/>
      <c r="CT104" s="65"/>
      <c r="CU104" s="255" t="str">
        <f t="shared" si="2"/>
        <v>ZMP</v>
      </c>
    </row>
    <row r="105" ht="60.0" customHeight="1">
      <c r="A105" s="65"/>
      <c r="C105" s="167">
        <v>10.0</v>
      </c>
      <c r="D105" s="168" t="s">
        <v>180</v>
      </c>
      <c r="E105" s="169"/>
      <c r="F105" s="170"/>
      <c r="G105" s="170"/>
      <c r="H105" s="170"/>
      <c r="I105" s="170"/>
      <c r="J105" s="170"/>
      <c r="K105" s="171"/>
      <c r="L105" s="171"/>
      <c r="M105" s="171"/>
      <c r="N105" s="171"/>
      <c r="O105" s="256">
        <f t="shared" si="19"/>
        <v>0</v>
      </c>
      <c r="Q105" s="173"/>
      <c r="R105" s="65"/>
      <c r="S105" s="173"/>
      <c r="T105" s="173"/>
      <c r="U105" s="166"/>
      <c r="V105" s="166"/>
      <c r="W105" s="65"/>
      <c r="X105" s="66"/>
      <c r="Y105" s="173"/>
      <c r="Z105" s="166"/>
      <c r="AA105" s="174"/>
      <c r="AB105" s="175"/>
      <c r="AC105" s="175"/>
      <c r="AD105" s="175"/>
      <c r="AE105" s="175"/>
      <c r="AF105" s="175"/>
      <c r="AG105" s="175"/>
      <c r="AH105" s="175"/>
      <c r="AI105" s="176"/>
      <c r="AJ105" s="177"/>
      <c r="AK105" s="178"/>
      <c r="AL105" s="178"/>
      <c r="AM105" s="178"/>
      <c r="AN105" s="178"/>
      <c r="AO105" s="179"/>
      <c r="AP105" s="64"/>
      <c r="AQ105" s="65"/>
      <c r="AR105" s="65"/>
      <c r="AS105" s="65"/>
      <c r="AT105" s="173"/>
      <c r="AU105" s="177"/>
      <c r="AV105" s="178"/>
      <c r="AW105" s="178"/>
      <c r="AX105" s="179"/>
      <c r="AZ105" s="166"/>
      <c r="BA105" s="177"/>
      <c r="BB105" s="178"/>
      <c r="BC105" s="178"/>
      <c r="BD105" s="178"/>
      <c r="BE105" s="178"/>
      <c r="BF105" s="178"/>
      <c r="BG105" s="178"/>
      <c r="BH105" s="178"/>
      <c r="BI105" s="179"/>
      <c r="BJ105" s="180"/>
      <c r="BK105" s="178"/>
      <c r="BL105" s="178"/>
      <c r="BM105" s="178"/>
      <c r="BN105" s="178"/>
      <c r="BO105" s="181"/>
      <c r="BP105" s="166"/>
      <c r="BQ105" s="177"/>
      <c r="BR105" s="178"/>
      <c r="BS105" s="179"/>
      <c r="BU105" s="166"/>
      <c r="BV105" s="166"/>
      <c r="BW105" s="166"/>
      <c r="BX105" s="166"/>
      <c r="BY105" s="166"/>
      <c r="BZ105" s="166"/>
      <c r="CA105" s="166"/>
      <c r="CB105" s="166"/>
      <c r="CC105" s="166"/>
      <c r="CD105" s="177"/>
      <c r="CE105" s="181"/>
      <c r="CF105" s="177"/>
      <c r="CG105" s="179"/>
      <c r="CH105" s="257"/>
      <c r="CI105" s="182"/>
      <c r="CJ105" s="177"/>
      <c r="CK105" s="182"/>
      <c r="CL105" s="177"/>
      <c r="CM105" s="182"/>
      <c r="CN105" s="177"/>
      <c r="CO105" s="182"/>
      <c r="CP105" s="177"/>
      <c r="CQ105" s="178"/>
      <c r="CR105" s="182"/>
      <c r="CS105" s="173"/>
      <c r="CT105" s="65"/>
      <c r="CU105" s="255" t="str">
        <f t="shared" si="2"/>
        <v>ZMP</v>
      </c>
    </row>
    <row r="106" ht="60.0" customHeight="1">
      <c r="A106" s="89"/>
      <c r="C106" s="183">
        <v>11.0</v>
      </c>
      <c r="D106" s="210" t="s">
        <v>180</v>
      </c>
      <c r="E106" s="185"/>
      <c r="F106" s="186"/>
      <c r="G106" s="186"/>
      <c r="H106" s="186"/>
      <c r="I106" s="186"/>
      <c r="J106" s="186"/>
      <c r="K106" s="187"/>
      <c r="L106" s="187"/>
      <c r="M106" s="187"/>
      <c r="N106" s="187"/>
      <c r="O106" s="258">
        <f t="shared" ref="O106:O112" si="20">IF(AND(M106&lt;&gt;0,M106&lt;&gt;"m",M106&lt;&gt;"",RIGHT(K106,3)="Lec"),1,IF(AND(M106&lt;&gt;0,M106&lt;&gt;"m",M106&lt;&gt;"",OR(RIGHT(K106,3)="Lab",RIGHT(K106,3)="Tut")),0.5,IF(AND(M106&lt;&gt;0,M106&lt;&gt;"m",M106&lt;&gt;"",RIGHT(K106,2)="TL"),0.75,0)))</f>
        <v>0</v>
      </c>
      <c r="P106" s="6"/>
      <c r="Q106" s="69"/>
      <c r="R106" s="89"/>
      <c r="S106" s="69"/>
      <c r="T106" s="69"/>
      <c r="U106" s="63"/>
      <c r="V106" s="63"/>
      <c r="W106" s="89"/>
      <c r="X106" s="68"/>
      <c r="Y106" s="69"/>
      <c r="Z106" s="63"/>
      <c r="AA106" s="189"/>
      <c r="AB106" s="190"/>
      <c r="AC106" s="190"/>
      <c r="AD106" s="190"/>
      <c r="AE106" s="190"/>
      <c r="AF106" s="190"/>
      <c r="AG106" s="190"/>
      <c r="AH106" s="190"/>
      <c r="AI106" s="191"/>
      <c r="AJ106" s="192"/>
      <c r="AK106" s="193"/>
      <c r="AL106" s="193"/>
      <c r="AM106" s="193"/>
      <c r="AN106" s="193"/>
      <c r="AO106" s="194"/>
      <c r="AP106" s="103"/>
      <c r="AQ106" s="89"/>
      <c r="AR106" s="89"/>
      <c r="AS106" s="89"/>
      <c r="AT106" s="69"/>
      <c r="AU106" s="192"/>
      <c r="AV106" s="193"/>
      <c r="AW106" s="193"/>
      <c r="AX106" s="194"/>
      <c r="AY106" s="6"/>
      <c r="AZ106" s="63"/>
      <c r="BA106" s="192"/>
      <c r="BB106" s="193"/>
      <c r="BC106" s="193"/>
      <c r="BD106" s="193"/>
      <c r="BE106" s="193"/>
      <c r="BF106" s="193"/>
      <c r="BG106" s="193"/>
      <c r="BH106" s="193"/>
      <c r="BI106" s="194"/>
      <c r="BJ106" s="195"/>
      <c r="BK106" s="193"/>
      <c r="BL106" s="193"/>
      <c r="BM106" s="193"/>
      <c r="BN106" s="193"/>
      <c r="BO106" s="196"/>
      <c r="BP106" s="63"/>
      <c r="BQ106" s="192"/>
      <c r="BR106" s="193"/>
      <c r="BS106" s="194"/>
      <c r="BT106" s="6"/>
      <c r="BU106" s="63"/>
      <c r="BV106" s="63"/>
      <c r="BW106" s="63"/>
      <c r="BX106" s="63"/>
      <c r="BY106" s="63"/>
      <c r="BZ106" s="63"/>
      <c r="CA106" s="63"/>
      <c r="CB106" s="63"/>
      <c r="CC106" s="63"/>
      <c r="CD106" s="192"/>
      <c r="CE106" s="196"/>
      <c r="CF106" s="192"/>
      <c r="CG106" s="194"/>
      <c r="CH106" s="259"/>
      <c r="CI106" s="197"/>
      <c r="CJ106" s="192"/>
      <c r="CK106" s="197"/>
      <c r="CL106" s="192"/>
      <c r="CM106" s="197"/>
      <c r="CN106" s="192"/>
      <c r="CO106" s="197"/>
      <c r="CP106" s="192"/>
      <c r="CQ106" s="193"/>
      <c r="CR106" s="197"/>
      <c r="CS106" s="69"/>
      <c r="CT106" s="89"/>
      <c r="CU106" s="255" t="str">
        <f t="shared" si="2"/>
        <v>ZMP</v>
      </c>
    </row>
    <row r="107" ht="56.25" customHeight="1">
      <c r="A107" s="125">
        <v>10.0</v>
      </c>
      <c r="B107" s="199" t="s">
        <v>184</v>
      </c>
      <c r="C107" s="127">
        <v>1.0</v>
      </c>
      <c r="D107" s="168" t="s">
        <v>185</v>
      </c>
      <c r="E107" s="129"/>
      <c r="F107" s="130"/>
      <c r="G107" s="130"/>
      <c r="H107" s="130"/>
      <c r="I107" s="130"/>
      <c r="J107" s="130"/>
      <c r="K107" s="131"/>
      <c r="L107" s="131"/>
      <c r="M107" s="131"/>
      <c r="N107" s="131"/>
      <c r="O107" s="250">
        <f t="shared" si="20"/>
        <v>0</v>
      </c>
      <c r="P107" s="251">
        <f>COUNTIF(K107:K117,"TL")*0.75+COUNTIF(K107:K117,"Lec")*1+COUNTIF(K107:K117,"Lab")*0.5</f>
        <v>0</v>
      </c>
      <c r="Q107" s="134">
        <f>SUM((IF(LEFT(K107,1)="E",O107,0)),(IF(LEFT(K108,1)="E",O108,0)),(IF(LEFT(K109,1)="E",O109,0)),(IF(LEFT(K110,1)="E",O110,0)),(IF(LEFT(K111,1)="E",O111,0)),(IF(LEFT(K112,1)="E",O112,0)),(IF(LEFT(K113,1)="E",O113,0)),(IF(LEFT(K114,1)="E",O114,0)),(IF(LEFT(K115,1)="E",O115,0)),(IF(LEFT(K116,1)="E",O116,0)),(IF(LEFT(K117,1)="E",O117,0)))</f>
        <v>0</v>
      </c>
      <c r="R107" s="135">
        <f>SUM(IF(M113&lt;20,IF(K113="Plec",-1,IF(K113="PTL",-0.75,IF(K113="Plab",-0.5,0))),0),IF(M114&lt;20,IF(K114="Plec",-1,IF(K114="PTL",-0.75,IF(K114="Plab",-0.5,0))),0),IF(M115&lt;20,IF(K115="Plec",-1,IF(K115="PTL",-0.75,IF(K115="Plab",-0.5,0))),0),IF(M116&lt;20,IF(K116="Plec",-1,IF(K116="PTL",-0.75,IF(K116="Plab",-0.5,0))),0))</f>
        <v>0</v>
      </c>
      <c r="S107" s="134">
        <f>SUM(P107:R117)</f>
        <v>0</v>
      </c>
      <c r="T107" s="136">
        <f>SUM(IF(M107="M",IF(OR(K107="lec",K107="plec",K107="slec"),1,IF(OR(K107="lab",K107="plab",K107="slab",K107="tut",K107="ptut",K107="stut"),0.5,IF(OR(K107="TL",K107="pTL",K107="STL"),0.75,0))),0),IF(M108="M",IF(OR(K108="lec",K108="plec",K108="slec"),1,IF(OR(K108="lab",K108="plab",K108="slab",K108="tut",K108="ptut",K108="stut"),0.5,IF(OR(K108="TL",K108="pTL",K108="STL"),0.75,0))),0),IF(M109="M",IF(OR(K109="lec",K109="plec",K109="slec"),1,IF(OR(K109="lab",K109="plab",K109="slab",K109="tut",K109="ptut",K109="stut"),0.5,IF(OR(K109="TL",K109="pTL",K109="STL"),0.75,0))),0),IF(M110="M",IF(OR(K110="lec",K110="plec",K110="slec"),1,IF(OR(K110="lab",K110="plab",K110="slab",K110="tut",K110="ptut",K110="stut"),0.5,IF(OR(K110="TL",K110="pTL",K110="STL"),0.75,0))),0),IF(M111="M",IF(OR(K111="lec",K111="plec",K111="slec"),1,IF(OR(K111="lab",K111="plab",K111="slab",K111="tut",K111="ptut",K111="stut"),0.5,IF(OR(K111="TL",K111="pTL",K111="STL"),0.75,0))),0),IF(M112="M",IF(OR(K112="lec",K112="plec",K112="slec"),1,IF(OR(K112="lab",K112="plab",K112="slab",K112="tut",K112="ptut",K112="stut"),0.5,IF(OR(K112="TL",K112="pTL",K112="STL"),0.75,0))),0),IF(M113="M",IF(OR(K113="lec",K113="plec",K113="slec"),1,IF(OR(K113="lab",K113="plab",K113="slab",K113="tut",K113="ptut",K113="stut"),0.5,IF(OR(K113="TL",K113="pTL",K113="STL"),0.75,0))),0),IF(M114="M",IF(OR(K114="lec",K114="plec",K114="slec"),1,IF(OR(K114="lab",K114="plab",K114="slab",K114="tut",K114="ptut",K114="stut"),0.5,IF(OR(K114="TL",K114="pTL",K114="STL"),0.75,0))),0),IF(M115="M",IF(OR(K115="lec",K115="plec",K115="slec"),1,IF(OR(K115="lab",K115="plab",K115="slab",K115="tut",K115="ptut",K115="stut"),0.5,IF(OR(K115="TL",K115="pTL",K115="STL"),0.75,0))),0),IF(M116="M",IF(OR(K116="lec",K116="plec",K116="slec"),1,IF(OR(K116="lab",K116="plab",K116="slab",K116="tut",K116="ptut",K116="stut"),0.5,IF(OR(K116="TL",K116="pTL",K116="STL"),0.75,0))),0),IF(M117="M",IF(OR(K117="lec",K117="plec",K117="slec"),1,IF(OR(K117="lab",K117="plab",K117="slab",K117="tut",K117="ptut",K117="stut"),0.5,IF(OR(K117="TL",K117="pTL",K117="STL"),0.75,0))),0))</f>
        <v>0</v>
      </c>
      <c r="U107" s="137"/>
      <c r="V107" s="133"/>
      <c r="W107" s="138"/>
      <c r="X107" s="139">
        <f>S107-(T107+U107+V107+W107)</f>
        <v>0</v>
      </c>
      <c r="Y107" s="134" t="str">
        <f>CONCATENATE(SUM(O107:O117),"(",SUM(O107:O117)-X107,")")</f>
        <v>0(0)</v>
      </c>
      <c r="Z107" s="140"/>
      <c r="AA107" s="141"/>
      <c r="AB107" s="142"/>
      <c r="AC107" s="142"/>
      <c r="AD107" s="142"/>
      <c r="AE107" s="142"/>
      <c r="AF107" s="142"/>
      <c r="AG107" s="142"/>
      <c r="AH107" s="142"/>
      <c r="AI107" s="143"/>
      <c r="AJ107" s="144"/>
      <c r="AK107" s="145"/>
      <c r="AL107" s="145"/>
      <c r="AM107" s="145"/>
      <c r="AN107" s="145"/>
      <c r="AO107" s="146"/>
      <c r="AP107" s="147">
        <f>SUM(SUM(O107:O117),SUM(AI107:AI117)/2,AM107)</f>
        <v>0</v>
      </c>
      <c r="AQ107" s="148"/>
      <c r="AR107" s="148">
        <f>AP107*AQ107</f>
        <v>0</v>
      </c>
      <c r="AS107" s="148">
        <f>CT107</f>
        <v>0.3</v>
      </c>
      <c r="AT107" s="149">
        <f>AR107*0.75+AS107*0.25</f>
        <v>0.075</v>
      </c>
      <c r="AU107" s="150"/>
      <c r="AV107" s="151"/>
      <c r="AW107" s="151"/>
      <c r="AX107" s="152"/>
      <c r="AY107" s="153"/>
      <c r="AZ107" s="140"/>
      <c r="BA107" s="150"/>
      <c r="BB107" s="151"/>
      <c r="BC107" s="151"/>
      <c r="BD107" s="151"/>
      <c r="BE107" s="151"/>
      <c r="BF107" s="151"/>
      <c r="BG107" s="151"/>
      <c r="BH107" s="151"/>
      <c r="BI107" s="152"/>
      <c r="BJ107" s="154"/>
      <c r="BK107" s="151"/>
      <c r="BL107" s="151"/>
      <c r="BM107" s="151"/>
      <c r="BN107" s="151"/>
      <c r="BO107" s="155"/>
      <c r="BP107" s="140"/>
      <c r="BQ107" s="156" t="s">
        <v>229</v>
      </c>
      <c r="BR107" s="157">
        <v>6.0</v>
      </c>
      <c r="BS107" s="158">
        <v>0.0</v>
      </c>
      <c r="BT107" s="153"/>
      <c r="BU107" s="140"/>
      <c r="BV107" s="140"/>
      <c r="BW107" s="140"/>
      <c r="BX107" s="140"/>
      <c r="BY107" s="140"/>
      <c r="BZ107" s="140"/>
      <c r="CA107" s="140"/>
      <c r="CB107" s="140"/>
      <c r="CC107" s="140"/>
      <c r="CD107" s="150"/>
      <c r="CE107" s="155"/>
      <c r="CF107" s="150"/>
      <c r="CG107" s="152"/>
      <c r="CH107" s="252"/>
      <c r="CI107" s="160"/>
      <c r="CJ107" s="159"/>
      <c r="CK107" s="160"/>
      <c r="CL107" s="159"/>
      <c r="CM107" s="160"/>
      <c r="CN107" s="159"/>
      <c r="CO107" s="160"/>
      <c r="CP107" s="159"/>
      <c r="CQ107" s="162"/>
      <c r="CR107" s="160"/>
      <c r="CS107" s="253">
        <f>SUM(IF(AU107&lt;0,ABS(AU107),0),IF(AZ107&lt;0,ABS(AZ107),0),ABS(CI107),ABS(CK107),ABS(CM107),ABS(CO107),ABS(CQ107),ABS(CR107))</f>
        <v>0</v>
      </c>
      <c r="CT107" s="254">
        <f>SUM(AU107,AV107,AW107,AX107/400,AY107,AZ107,BG107,BH107*0.5,BI107*0.25,BJ107,BK107,BL107,BM107,BN107,BO107,BP107,BR107/20,BS107/100,BT107/60,BU107,BV107,BW107,BX107/4,SUM(BY107:CC117)/3,CE107,CG107/3,CI107,CK107,CM107,CO107,CQ107,CR107)</f>
        <v>0.3</v>
      </c>
      <c r="CU107" s="255" t="str">
        <f t="shared" si="2"/>
        <v>ZPB</v>
      </c>
    </row>
    <row r="108" ht="60.0" customHeight="1">
      <c r="A108" s="65"/>
      <c r="C108" s="167">
        <v>2.0</v>
      </c>
      <c r="D108" s="168" t="s">
        <v>185</v>
      </c>
      <c r="E108" s="169"/>
      <c r="F108" s="170"/>
      <c r="G108" s="170"/>
      <c r="H108" s="170"/>
      <c r="I108" s="170"/>
      <c r="J108" s="170"/>
      <c r="K108" s="171"/>
      <c r="L108" s="171"/>
      <c r="M108" s="171"/>
      <c r="N108" s="171"/>
      <c r="O108" s="256">
        <f t="shared" si="20"/>
        <v>0</v>
      </c>
      <c r="Q108" s="173"/>
      <c r="R108" s="65"/>
      <c r="S108" s="173"/>
      <c r="T108" s="173"/>
      <c r="U108" s="166"/>
      <c r="V108" s="166"/>
      <c r="W108" s="65"/>
      <c r="X108" s="66"/>
      <c r="Y108" s="173"/>
      <c r="Z108" s="166"/>
      <c r="AA108" s="174"/>
      <c r="AB108" s="175"/>
      <c r="AC108" s="175"/>
      <c r="AD108" s="175"/>
      <c r="AE108" s="175"/>
      <c r="AF108" s="175"/>
      <c r="AG108" s="175"/>
      <c r="AH108" s="175"/>
      <c r="AI108" s="176"/>
      <c r="AJ108" s="177"/>
      <c r="AK108" s="178"/>
      <c r="AL108" s="178"/>
      <c r="AM108" s="178"/>
      <c r="AN108" s="178"/>
      <c r="AO108" s="179"/>
      <c r="AP108" s="64"/>
      <c r="AQ108" s="65"/>
      <c r="AR108" s="65"/>
      <c r="AS108" s="65"/>
      <c r="AT108" s="173"/>
      <c r="AU108" s="177"/>
      <c r="AV108" s="178"/>
      <c r="AW108" s="178"/>
      <c r="AX108" s="179"/>
      <c r="AZ108" s="166"/>
      <c r="BA108" s="177"/>
      <c r="BB108" s="178"/>
      <c r="BC108" s="178"/>
      <c r="BD108" s="178"/>
      <c r="BE108" s="178"/>
      <c r="BF108" s="178"/>
      <c r="BG108" s="178"/>
      <c r="BH108" s="178"/>
      <c r="BI108" s="179"/>
      <c r="BJ108" s="180"/>
      <c r="BK108" s="178"/>
      <c r="BL108" s="178"/>
      <c r="BM108" s="178"/>
      <c r="BN108" s="178"/>
      <c r="BO108" s="181"/>
      <c r="BP108" s="166"/>
      <c r="BQ108" s="177"/>
      <c r="BR108" s="178"/>
      <c r="BS108" s="179"/>
      <c r="BU108" s="166"/>
      <c r="BV108" s="166"/>
      <c r="BW108" s="166"/>
      <c r="BX108" s="166"/>
      <c r="BY108" s="166"/>
      <c r="BZ108" s="166"/>
      <c r="CA108" s="166"/>
      <c r="CB108" s="166"/>
      <c r="CC108" s="166"/>
      <c r="CD108" s="177"/>
      <c r="CE108" s="181"/>
      <c r="CF108" s="177"/>
      <c r="CG108" s="179"/>
      <c r="CH108" s="257"/>
      <c r="CI108" s="182"/>
      <c r="CJ108" s="177"/>
      <c r="CK108" s="182"/>
      <c r="CL108" s="177"/>
      <c r="CM108" s="182"/>
      <c r="CN108" s="177"/>
      <c r="CO108" s="182"/>
      <c r="CP108" s="177"/>
      <c r="CQ108" s="178"/>
      <c r="CR108" s="182"/>
      <c r="CS108" s="173"/>
      <c r="CT108" s="65"/>
      <c r="CU108" s="255" t="str">
        <f t="shared" si="2"/>
        <v>ZPB</v>
      </c>
    </row>
    <row r="109" ht="60.0" customHeight="1">
      <c r="A109" s="65"/>
      <c r="C109" s="167">
        <v>3.0</v>
      </c>
      <c r="D109" s="168" t="s">
        <v>185</v>
      </c>
      <c r="E109" s="169"/>
      <c r="F109" s="170"/>
      <c r="G109" s="170"/>
      <c r="H109" s="170"/>
      <c r="I109" s="170"/>
      <c r="J109" s="170"/>
      <c r="K109" s="171"/>
      <c r="L109" s="171"/>
      <c r="M109" s="171"/>
      <c r="N109" s="171"/>
      <c r="O109" s="256">
        <f t="shared" si="20"/>
        <v>0</v>
      </c>
      <c r="Q109" s="173"/>
      <c r="R109" s="65"/>
      <c r="S109" s="173"/>
      <c r="T109" s="173"/>
      <c r="U109" s="166"/>
      <c r="V109" s="166"/>
      <c r="W109" s="65"/>
      <c r="X109" s="66"/>
      <c r="Y109" s="173"/>
      <c r="Z109" s="166"/>
      <c r="AA109" s="174"/>
      <c r="AB109" s="175"/>
      <c r="AC109" s="175"/>
      <c r="AD109" s="175"/>
      <c r="AE109" s="175"/>
      <c r="AF109" s="175"/>
      <c r="AG109" s="175"/>
      <c r="AH109" s="175"/>
      <c r="AI109" s="176"/>
      <c r="AJ109" s="177"/>
      <c r="AK109" s="178"/>
      <c r="AL109" s="178"/>
      <c r="AM109" s="178"/>
      <c r="AN109" s="178"/>
      <c r="AO109" s="179"/>
      <c r="AP109" s="64"/>
      <c r="AQ109" s="65"/>
      <c r="AR109" s="65"/>
      <c r="AS109" s="65"/>
      <c r="AT109" s="173"/>
      <c r="AU109" s="177"/>
      <c r="AV109" s="178"/>
      <c r="AW109" s="178"/>
      <c r="AX109" s="179"/>
      <c r="AZ109" s="166"/>
      <c r="BA109" s="177"/>
      <c r="BB109" s="178"/>
      <c r="BC109" s="178"/>
      <c r="BD109" s="178"/>
      <c r="BE109" s="178"/>
      <c r="BF109" s="178"/>
      <c r="BG109" s="178"/>
      <c r="BH109" s="178"/>
      <c r="BI109" s="179"/>
      <c r="BJ109" s="180"/>
      <c r="BK109" s="178"/>
      <c r="BL109" s="178"/>
      <c r="BM109" s="178"/>
      <c r="BN109" s="178"/>
      <c r="BO109" s="181"/>
      <c r="BP109" s="166"/>
      <c r="BQ109" s="177"/>
      <c r="BR109" s="178"/>
      <c r="BS109" s="179"/>
      <c r="BU109" s="166"/>
      <c r="BV109" s="166"/>
      <c r="BW109" s="166"/>
      <c r="BX109" s="166"/>
      <c r="BY109" s="166"/>
      <c r="BZ109" s="166"/>
      <c r="CA109" s="166"/>
      <c r="CB109" s="166"/>
      <c r="CC109" s="166"/>
      <c r="CD109" s="177"/>
      <c r="CE109" s="181"/>
      <c r="CF109" s="177"/>
      <c r="CG109" s="179"/>
      <c r="CH109" s="257"/>
      <c r="CI109" s="182"/>
      <c r="CJ109" s="177"/>
      <c r="CK109" s="182"/>
      <c r="CL109" s="177"/>
      <c r="CM109" s="182"/>
      <c r="CN109" s="177"/>
      <c r="CO109" s="182"/>
      <c r="CP109" s="177"/>
      <c r="CQ109" s="178"/>
      <c r="CR109" s="182"/>
      <c r="CS109" s="173"/>
      <c r="CT109" s="65"/>
      <c r="CU109" s="255" t="str">
        <f t="shared" si="2"/>
        <v>ZPB</v>
      </c>
    </row>
    <row r="110" ht="60.0" customHeight="1">
      <c r="A110" s="65"/>
      <c r="C110" s="167">
        <v>4.0</v>
      </c>
      <c r="D110" s="168" t="s">
        <v>185</v>
      </c>
      <c r="E110" s="169"/>
      <c r="F110" s="170"/>
      <c r="G110" s="170"/>
      <c r="H110" s="170"/>
      <c r="I110" s="170"/>
      <c r="J110" s="170"/>
      <c r="K110" s="171"/>
      <c r="L110" s="171"/>
      <c r="M110" s="171"/>
      <c r="N110" s="171"/>
      <c r="O110" s="256">
        <f t="shared" si="20"/>
        <v>0</v>
      </c>
      <c r="Q110" s="173"/>
      <c r="R110" s="65"/>
      <c r="S110" s="173"/>
      <c r="T110" s="173"/>
      <c r="U110" s="166"/>
      <c r="V110" s="166"/>
      <c r="W110" s="65"/>
      <c r="X110" s="66"/>
      <c r="Y110" s="173"/>
      <c r="Z110" s="166"/>
      <c r="AA110" s="174"/>
      <c r="AB110" s="175"/>
      <c r="AC110" s="175"/>
      <c r="AD110" s="175"/>
      <c r="AE110" s="175"/>
      <c r="AF110" s="175"/>
      <c r="AG110" s="175"/>
      <c r="AH110" s="175"/>
      <c r="AI110" s="176"/>
      <c r="AJ110" s="177"/>
      <c r="AK110" s="178"/>
      <c r="AL110" s="178"/>
      <c r="AM110" s="178"/>
      <c r="AN110" s="178"/>
      <c r="AO110" s="179"/>
      <c r="AP110" s="64"/>
      <c r="AQ110" s="65"/>
      <c r="AR110" s="65"/>
      <c r="AS110" s="65"/>
      <c r="AT110" s="173"/>
      <c r="AU110" s="177"/>
      <c r="AV110" s="178"/>
      <c r="AW110" s="178"/>
      <c r="AX110" s="179"/>
      <c r="AZ110" s="166"/>
      <c r="BA110" s="177"/>
      <c r="BB110" s="178"/>
      <c r="BC110" s="178"/>
      <c r="BD110" s="178"/>
      <c r="BE110" s="178"/>
      <c r="BF110" s="178"/>
      <c r="BG110" s="178"/>
      <c r="BH110" s="178"/>
      <c r="BI110" s="179"/>
      <c r="BJ110" s="180"/>
      <c r="BK110" s="178"/>
      <c r="BL110" s="178"/>
      <c r="BM110" s="178"/>
      <c r="BN110" s="178"/>
      <c r="BO110" s="181"/>
      <c r="BP110" s="166"/>
      <c r="BQ110" s="177"/>
      <c r="BR110" s="178"/>
      <c r="BS110" s="179"/>
      <c r="BU110" s="166"/>
      <c r="BV110" s="166"/>
      <c r="BW110" s="166"/>
      <c r="BX110" s="166"/>
      <c r="BY110" s="166"/>
      <c r="BZ110" s="166"/>
      <c r="CA110" s="166"/>
      <c r="CB110" s="166"/>
      <c r="CC110" s="166"/>
      <c r="CD110" s="177"/>
      <c r="CE110" s="181"/>
      <c r="CF110" s="177"/>
      <c r="CG110" s="179"/>
      <c r="CH110" s="257"/>
      <c r="CI110" s="182"/>
      <c r="CJ110" s="177"/>
      <c r="CK110" s="182"/>
      <c r="CL110" s="177"/>
      <c r="CM110" s="182"/>
      <c r="CN110" s="177"/>
      <c r="CO110" s="182"/>
      <c r="CP110" s="177"/>
      <c r="CQ110" s="178"/>
      <c r="CR110" s="182"/>
      <c r="CS110" s="173"/>
      <c r="CT110" s="65"/>
      <c r="CU110" s="255" t="str">
        <f t="shared" si="2"/>
        <v>ZPB</v>
      </c>
    </row>
    <row r="111" ht="60.0" customHeight="1">
      <c r="A111" s="65"/>
      <c r="C111" s="167">
        <v>5.0</v>
      </c>
      <c r="D111" s="168" t="s">
        <v>185</v>
      </c>
      <c r="E111" s="169"/>
      <c r="F111" s="170"/>
      <c r="G111" s="170"/>
      <c r="H111" s="170"/>
      <c r="I111" s="170"/>
      <c r="J111" s="170"/>
      <c r="K111" s="171"/>
      <c r="L111" s="171"/>
      <c r="M111" s="171"/>
      <c r="N111" s="171"/>
      <c r="O111" s="256">
        <f t="shared" si="20"/>
        <v>0</v>
      </c>
      <c r="Q111" s="173"/>
      <c r="R111" s="65"/>
      <c r="S111" s="173"/>
      <c r="T111" s="173"/>
      <c r="U111" s="166"/>
      <c r="V111" s="166"/>
      <c r="W111" s="65"/>
      <c r="X111" s="66"/>
      <c r="Y111" s="173"/>
      <c r="Z111" s="166"/>
      <c r="AA111" s="174"/>
      <c r="AB111" s="175"/>
      <c r="AC111" s="175"/>
      <c r="AD111" s="175"/>
      <c r="AE111" s="175"/>
      <c r="AF111" s="175"/>
      <c r="AG111" s="175"/>
      <c r="AH111" s="175"/>
      <c r="AI111" s="176"/>
      <c r="AJ111" s="177"/>
      <c r="AK111" s="178"/>
      <c r="AL111" s="178"/>
      <c r="AM111" s="178"/>
      <c r="AN111" s="178"/>
      <c r="AO111" s="179"/>
      <c r="AP111" s="64"/>
      <c r="AQ111" s="65"/>
      <c r="AR111" s="65"/>
      <c r="AS111" s="65"/>
      <c r="AT111" s="173"/>
      <c r="AU111" s="177"/>
      <c r="AV111" s="178"/>
      <c r="AW111" s="178"/>
      <c r="AX111" s="179"/>
      <c r="AZ111" s="166"/>
      <c r="BA111" s="177"/>
      <c r="BB111" s="178"/>
      <c r="BC111" s="178"/>
      <c r="BD111" s="178"/>
      <c r="BE111" s="178"/>
      <c r="BF111" s="178"/>
      <c r="BG111" s="178"/>
      <c r="BH111" s="178"/>
      <c r="BI111" s="179"/>
      <c r="BJ111" s="180"/>
      <c r="BK111" s="178"/>
      <c r="BL111" s="178"/>
      <c r="BM111" s="178"/>
      <c r="BN111" s="178"/>
      <c r="BO111" s="181"/>
      <c r="BP111" s="166"/>
      <c r="BQ111" s="177"/>
      <c r="BR111" s="178"/>
      <c r="BS111" s="179"/>
      <c r="BU111" s="166"/>
      <c r="BV111" s="166"/>
      <c r="BW111" s="166"/>
      <c r="BX111" s="166"/>
      <c r="BY111" s="166"/>
      <c r="BZ111" s="166"/>
      <c r="CA111" s="166"/>
      <c r="CB111" s="166"/>
      <c r="CC111" s="166"/>
      <c r="CD111" s="177"/>
      <c r="CE111" s="181"/>
      <c r="CF111" s="177"/>
      <c r="CG111" s="179"/>
      <c r="CH111" s="257"/>
      <c r="CI111" s="182"/>
      <c r="CJ111" s="177"/>
      <c r="CK111" s="182"/>
      <c r="CL111" s="177"/>
      <c r="CM111" s="182"/>
      <c r="CN111" s="177"/>
      <c r="CO111" s="182"/>
      <c r="CP111" s="177"/>
      <c r="CQ111" s="178"/>
      <c r="CR111" s="182"/>
      <c r="CS111" s="173"/>
      <c r="CT111" s="65"/>
      <c r="CU111" s="255" t="str">
        <f t="shared" si="2"/>
        <v>ZPB</v>
      </c>
    </row>
    <row r="112" ht="60.0" customHeight="1">
      <c r="A112" s="65"/>
      <c r="C112" s="167">
        <v>6.0</v>
      </c>
      <c r="D112" s="168" t="s">
        <v>185</v>
      </c>
      <c r="E112" s="169"/>
      <c r="F112" s="170"/>
      <c r="G112" s="170"/>
      <c r="H112" s="170"/>
      <c r="I112" s="170"/>
      <c r="J112" s="170"/>
      <c r="K112" s="171"/>
      <c r="L112" s="171"/>
      <c r="M112" s="171"/>
      <c r="N112" s="171"/>
      <c r="O112" s="256">
        <f t="shared" si="20"/>
        <v>0</v>
      </c>
      <c r="Q112" s="173"/>
      <c r="R112" s="65"/>
      <c r="S112" s="173"/>
      <c r="T112" s="173"/>
      <c r="U112" s="166"/>
      <c r="V112" s="166"/>
      <c r="W112" s="65"/>
      <c r="X112" s="66"/>
      <c r="Y112" s="173"/>
      <c r="Z112" s="166"/>
      <c r="AA112" s="174"/>
      <c r="AB112" s="175"/>
      <c r="AC112" s="175"/>
      <c r="AD112" s="175"/>
      <c r="AE112" s="175"/>
      <c r="AF112" s="175"/>
      <c r="AG112" s="175"/>
      <c r="AH112" s="175"/>
      <c r="AI112" s="176"/>
      <c r="AJ112" s="177"/>
      <c r="AK112" s="178"/>
      <c r="AL112" s="178"/>
      <c r="AM112" s="178"/>
      <c r="AN112" s="178"/>
      <c r="AO112" s="179"/>
      <c r="AP112" s="64"/>
      <c r="AQ112" s="65"/>
      <c r="AR112" s="65"/>
      <c r="AS112" s="65"/>
      <c r="AT112" s="173"/>
      <c r="AU112" s="177"/>
      <c r="AV112" s="178"/>
      <c r="AW112" s="178"/>
      <c r="AX112" s="179"/>
      <c r="AZ112" s="166"/>
      <c r="BA112" s="177"/>
      <c r="BB112" s="178"/>
      <c r="BC112" s="178"/>
      <c r="BD112" s="178"/>
      <c r="BE112" s="178"/>
      <c r="BF112" s="178"/>
      <c r="BG112" s="178"/>
      <c r="BH112" s="178"/>
      <c r="BI112" s="179"/>
      <c r="BJ112" s="180"/>
      <c r="BK112" s="178"/>
      <c r="BL112" s="178"/>
      <c r="BM112" s="178"/>
      <c r="BN112" s="178"/>
      <c r="BO112" s="181"/>
      <c r="BP112" s="166"/>
      <c r="BQ112" s="177"/>
      <c r="BR112" s="178"/>
      <c r="BS112" s="179"/>
      <c r="BU112" s="166"/>
      <c r="BV112" s="166"/>
      <c r="BW112" s="166"/>
      <c r="BX112" s="166"/>
      <c r="BY112" s="166"/>
      <c r="BZ112" s="166"/>
      <c r="CA112" s="166"/>
      <c r="CB112" s="166"/>
      <c r="CC112" s="166"/>
      <c r="CD112" s="177"/>
      <c r="CE112" s="181"/>
      <c r="CF112" s="177"/>
      <c r="CG112" s="179"/>
      <c r="CH112" s="257"/>
      <c r="CI112" s="182"/>
      <c r="CJ112" s="177"/>
      <c r="CK112" s="182"/>
      <c r="CL112" s="177"/>
      <c r="CM112" s="182"/>
      <c r="CN112" s="177"/>
      <c r="CO112" s="182"/>
      <c r="CP112" s="177"/>
      <c r="CQ112" s="178"/>
      <c r="CR112" s="182"/>
      <c r="CS112" s="173"/>
      <c r="CT112" s="65"/>
      <c r="CU112" s="255" t="str">
        <f t="shared" si="2"/>
        <v>ZPB</v>
      </c>
    </row>
    <row r="113" ht="60.0" customHeight="1">
      <c r="A113" s="65"/>
      <c r="C113" s="167">
        <v>7.0</v>
      </c>
      <c r="D113" s="168" t="s">
        <v>185</v>
      </c>
      <c r="E113" s="169"/>
      <c r="F113" s="170"/>
      <c r="G113" s="170"/>
      <c r="H113" s="170"/>
      <c r="I113" s="170"/>
      <c r="J113" s="170"/>
      <c r="K113" s="171"/>
      <c r="L113" s="171"/>
      <c r="M113" s="171"/>
      <c r="N113" s="171"/>
      <c r="O113" s="256">
        <f t="shared" ref="O113:O116" si="21">IF(AND(M113&gt;=20,M113&lt;&gt;"m",RIGHT(K113,3)="Lec"),1,IF(AND(M113&gt;=20,M113&lt;&gt;"m",OR(RIGHT(K113,3)="Lab",RIGHT(K113,3)="Tut")),0.5,IF(AND(M113&gt;=20,M113&lt;&gt;"m",RIGHT(K113,2)="TL"),0.75,0)))</f>
        <v>0</v>
      </c>
      <c r="Q113" s="173"/>
      <c r="R113" s="65"/>
      <c r="S113" s="173"/>
      <c r="T113" s="173"/>
      <c r="U113" s="166"/>
      <c r="V113" s="166"/>
      <c r="W113" s="65"/>
      <c r="X113" s="66"/>
      <c r="Y113" s="173"/>
      <c r="Z113" s="166"/>
      <c r="AA113" s="174"/>
      <c r="AB113" s="175"/>
      <c r="AC113" s="175"/>
      <c r="AD113" s="175"/>
      <c r="AE113" s="175"/>
      <c r="AF113" s="175"/>
      <c r="AG113" s="175"/>
      <c r="AH113" s="175"/>
      <c r="AI113" s="176"/>
      <c r="AJ113" s="177"/>
      <c r="AK113" s="178"/>
      <c r="AL113" s="178"/>
      <c r="AM113" s="178"/>
      <c r="AN113" s="178"/>
      <c r="AO113" s="179"/>
      <c r="AP113" s="64"/>
      <c r="AQ113" s="65"/>
      <c r="AR113" s="65"/>
      <c r="AS113" s="65"/>
      <c r="AT113" s="173"/>
      <c r="AU113" s="177"/>
      <c r="AV113" s="178"/>
      <c r="AW113" s="178"/>
      <c r="AX113" s="179"/>
      <c r="AZ113" s="166"/>
      <c r="BA113" s="177"/>
      <c r="BB113" s="178"/>
      <c r="BC113" s="178"/>
      <c r="BD113" s="178"/>
      <c r="BE113" s="178"/>
      <c r="BF113" s="178"/>
      <c r="BG113" s="178"/>
      <c r="BH113" s="178"/>
      <c r="BI113" s="179"/>
      <c r="BJ113" s="180"/>
      <c r="BK113" s="178"/>
      <c r="BL113" s="178"/>
      <c r="BM113" s="178"/>
      <c r="BN113" s="178"/>
      <c r="BO113" s="181"/>
      <c r="BP113" s="166"/>
      <c r="BQ113" s="177"/>
      <c r="BR113" s="178"/>
      <c r="BS113" s="179"/>
      <c r="BU113" s="166"/>
      <c r="BV113" s="166"/>
      <c r="BW113" s="166"/>
      <c r="BX113" s="166"/>
      <c r="BY113" s="166"/>
      <c r="BZ113" s="166"/>
      <c r="CA113" s="166"/>
      <c r="CB113" s="166"/>
      <c r="CC113" s="166"/>
      <c r="CD113" s="177"/>
      <c r="CE113" s="181"/>
      <c r="CF113" s="177"/>
      <c r="CG113" s="179"/>
      <c r="CH113" s="257"/>
      <c r="CI113" s="182"/>
      <c r="CJ113" s="177"/>
      <c r="CK113" s="182"/>
      <c r="CL113" s="177"/>
      <c r="CM113" s="182"/>
      <c r="CN113" s="177"/>
      <c r="CO113" s="182"/>
      <c r="CP113" s="177"/>
      <c r="CQ113" s="178"/>
      <c r="CR113" s="182"/>
      <c r="CS113" s="173"/>
      <c r="CT113" s="65"/>
      <c r="CU113" s="255" t="str">
        <f t="shared" si="2"/>
        <v>ZPB</v>
      </c>
    </row>
    <row r="114" ht="60.0" customHeight="1">
      <c r="A114" s="65"/>
      <c r="C114" s="167">
        <v>8.0</v>
      </c>
      <c r="D114" s="168" t="s">
        <v>185</v>
      </c>
      <c r="E114" s="169"/>
      <c r="F114" s="170"/>
      <c r="G114" s="170"/>
      <c r="H114" s="170"/>
      <c r="I114" s="170"/>
      <c r="J114" s="170"/>
      <c r="K114" s="171"/>
      <c r="L114" s="171"/>
      <c r="M114" s="171"/>
      <c r="N114" s="171"/>
      <c r="O114" s="256">
        <f t="shared" si="21"/>
        <v>0</v>
      </c>
      <c r="Q114" s="173"/>
      <c r="R114" s="65"/>
      <c r="S114" s="173"/>
      <c r="T114" s="173"/>
      <c r="U114" s="166"/>
      <c r="V114" s="166"/>
      <c r="W114" s="65"/>
      <c r="X114" s="66"/>
      <c r="Y114" s="173"/>
      <c r="Z114" s="166"/>
      <c r="AA114" s="174"/>
      <c r="AB114" s="175"/>
      <c r="AC114" s="175"/>
      <c r="AD114" s="175"/>
      <c r="AE114" s="175"/>
      <c r="AF114" s="175"/>
      <c r="AG114" s="175"/>
      <c r="AH114" s="175"/>
      <c r="AI114" s="176"/>
      <c r="AJ114" s="177"/>
      <c r="AK114" s="178"/>
      <c r="AL114" s="178"/>
      <c r="AM114" s="178"/>
      <c r="AN114" s="178"/>
      <c r="AO114" s="179"/>
      <c r="AP114" s="64"/>
      <c r="AQ114" s="65"/>
      <c r="AR114" s="65"/>
      <c r="AS114" s="65"/>
      <c r="AT114" s="173"/>
      <c r="AU114" s="177"/>
      <c r="AV114" s="178"/>
      <c r="AW114" s="178"/>
      <c r="AX114" s="179"/>
      <c r="AZ114" s="166"/>
      <c r="BA114" s="177"/>
      <c r="BB114" s="178"/>
      <c r="BC114" s="178"/>
      <c r="BD114" s="178"/>
      <c r="BE114" s="178"/>
      <c r="BF114" s="178"/>
      <c r="BG114" s="178"/>
      <c r="BH114" s="178"/>
      <c r="BI114" s="179"/>
      <c r="BJ114" s="180"/>
      <c r="BK114" s="178"/>
      <c r="BL114" s="178"/>
      <c r="BM114" s="178"/>
      <c r="BN114" s="178"/>
      <c r="BO114" s="181"/>
      <c r="BP114" s="166"/>
      <c r="BQ114" s="177"/>
      <c r="BR114" s="178"/>
      <c r="BS114" s="179"/>
      <c r="BU114" s="166"/>
      <c r="BV114" s="166"/>
      <c r="BW114" s="166"/>
      <c r="BX114" s="166"/>
      <c r="BY114" s="166"/>
      <c r="BZ114" s="166"/>
      <c r="CA114" s="166"/>
      <c r="CB114" s="166"/>
      <c r="CC114" s="166"/>
      <c r="CD114" s="177"/>
      <c r="CE114" s="181"/>
      <c r="CF114" s="177"/>
      <c r="CG114" s="179"/>
      <c r="CH114" s="257"/>
      <c r="CI114" s="182"/>
      <c r="CJ114" s="177"/>
      <c r="CK114" s="182"/>
      <c r="CL114" s="177"/>
      <c r="CM114" s="182"/>
      <c r="CN114" s="177"/>
      <c r="CO114" s="182"/>
      <c r="CP114" s="177"/>
      <c r="CQ114" s="178"/>
      <c r="CR114" s="182"/>
      <c r="CS114" s="173"/>
      <c r="CT114" s="65"/>
      <c r="CU114" s="255" t="str">
        <f t="shared" si="2"/>
        <v>ZPB</v>
      </c>
    </row>
    <row r="115" ht="60.0" customHeight="1">
      <c r="A115" s="65"/>
      <c r="C115" s="167">
        <v>9.0</v>
      </c>
      <c r="D115" s="168" t="s">
        <v>185</v>
      </c>
      <c r="E115" s="169"/>
      <c r="F115" s="170"/>
      <c r="G115" s="170"/>
      <c r="H115" s="170"/>
      <c r="I115" s="170"/>
      <c r="J115" s="170"/>
      <c r="K115" s="171"/>
      <c r="L115" s="171"/>
      <c r="M115" s="171"/>
      <c r="N115" s="171"/>
      <c r="O115" s="256">
        <f t="shared" si="21"/>
        <v>0</v>
      </c>
      <c r="Q115" s="173"/>
      <c r="R115" s="65"/>
      <c r="S115" s="173"/>
      <c r="T115" s="173"/>
      <c r="U115" s="166"/>
      <c r="V115" s="166"/>
      <c r="W115" s="65"/>
      <c r="X115" s="66"/>
      <c r="Y115" s="173"/>
      <c r="Z115" s="166"/>
      <c r="AA115" s="174"/>
      <c r="AB115" s="175"/>
      <c r="AC115" s="175"/>
      <c r="AD115" s="175"/>
      <c r="AE115" s="175"/>
      <c r="AF115" s="175"/>
      <c r="AG115" s="175"/>
      <c r="AH115" s="175"/>
      <c r="AI115" s="176"/>
      <c r="AJ115" s="177"/>
      <c r="AK115" s="178"/>
      <c r="AL115" s="178"/>
      <c r="AM115" s="178"/>
      <c r="AN115" s="178"/>
      <c r="AO115" s="179"/>
      <c r="AP115" s="64"/>
      <c r="AQ115" s="65"/>
      <c r="AR115" s="65"/>
      <c r="AS115" s="65"/>
      <c r="AT115" s="173"/>
      <c r="AU115" s="177"/>
      <c r="AV115" s="178"/>
      <c r="AW115" s="178"/>
      <c r="AX115" s="179"/>
      <c r="AZ115" s="166"/>
      <c r="BA115" s="177"/>
      <c r="BB115" s="178"/>
      <c r="BC115" s="178"/>
      <c r="BD115" s="178"/>
      <c r="BE115" s="178"/>
      <c r="BF115" s="178"/>
      <c r="BG115" s="178"/>
      <c r="BH115" s="178"/>
      <c r="BI115" s="179"/>
      <c r="BJ115" s="180"/>
      <c r="BK115" s="178"/>
      <c r="BL115" s="178"/>
      <c r="BM115" s="178"/>
      <c r="BN115" s="178"/>
      <c r="BO115" s="181"/>
      <c r="BP115" s="166"/>
      <c r="BQ115" s="177"/>
      <c r="BR115" s="178"/>
      <c r="BS115" s="179"/>
      <c r="BU115" s="166"/>
      <c r="BV115" s="166"/>
      <c r="BW115" s="166"/>
      <c r="BX115" s="166"/>
      <c r="BY115" s="166"/>
      <c r="BZ115" s="166"/>
      <c r="CA115" s="166"/>
      <c r="CB115" s="166"/>
      <c r="CC115" s="166"/>
      <c r="CD115" s="177"/>
      <c r="CE115" s="181"/>
      <c r="CF115" s="177"/>
      <c r="CG115" s="179"/>
      <c r="CH115" s="257"/>
      <c r="CI115" s="182"/>
      <c r="CJ115" s="177"/>
      <c r="CK115" s="182"/>
      <c r="CL115" s="177"/>
      <c r="CM115" s="182"/>
      <c r="CN115" s="177"/>
      <c r="CO115" s="182"/>
      <c r="CP115" s="177"/>
      <c r="CQ115" s="178"/>
      <c r="CR115" s="182"/>
      <c r="CS115" s="173"/>
      <c r="CT115" s="65"/>
      <c r="CU115" s="255" t="str">
        <f t="shared" si="2"/>
        <v>ZPB</v>
      </c>
    </row>
    <row r="116" ht="60.0" customHeight="1">
      <c r="A116" s="65"/>
      <c r="C116" s="167">
        <v>10.0</v>
      </c>
      <c r="D116" s="168" t="s">
        <v>185</v>
      </c>
      <c r="E116" s="169"/>
      <c r="F116" s="170"/>
      <c r="G116" s="170"/>
      <c r="H116" s="170"/>
      <c r="I116" s="170"/>
      <c r="J116" s="170"/>
      <c r="K116" s="171"/>
      <c r="L116" s="171"/>
      <c r="M116" s="171"/>
      <c r="N116" s="171"/>
      <c r="O116" s="256">
        <f t="shared" si="21"/>
        <v>0</v>
      </c>
      <c r="Q116" s="173"/>
      <c r="R116" s="65"/>
      <c r="S116" s="173"/>
      <c r="T116" s="173"/>
      <c r="U116" s="166"/>
      <c r="V116" s="166"/>
      <c r="W116" s="65"/>
      <c r="X116" s="66"/>
      <c r="Y116" s="173"/>
      <c r="Z116" s="166"/>
      <c r="AA116" s="174"/>
      <c r="AB116" s="175"/>
      <c r="AC116" s="175"/>
      <c r="AD116" s="175"/>
      <c r="AE116" s="175"/>
      <c r="AF116" s="175"/>
      <c r="AG116" s="175"/>
      <c r="AH116" s="175"/>
      <c r="AI116" s="176"/>
      <c r="AJ116" s="177"/>
      <c r="AK116" s="178"/>
      <c r="AL116" s="178"/>
      <c r="AM116" s="178"/>
      <c r="AN116" s="178"/>
      <c r="AO116" s="179"/>
      <c r="AP116" s="64"/>
      <c r="AQ116" s="65"/>
      <c r="AR116" s="65"/>
      <c r="AS116" s="65"/>
      <c r="AT116" s="173"/>
      <c r="AU116" s="177"/>
      <c r="AV116" s="178"/>
      <c r="AW116" s="178"/>
      <c r="AX116" s="179"/>
      <c r="AZ116" s="166"/>
      <c r="BA116" s="177"/>
      <c r="BB116" s="178"/>
      <c r="BC116" s="178"/>
      <c r="BD116" s="178"/>
      <c r="BE116" s="178"/>
      <c r="BF116" s="178"/>
      <c r="BG116" s="178"/>
      <c r="BH116" s="178"/>
      <c r="BI116" s="179"/>
      <c r="BJ116" s="180"/>
      <c r="BK116" s="178"/>
      <c r="BL116" s="178"/>
      <c r="BM116" s="178"/>
      <c r="BN116" s="178"/>
      <c r="BO116" s="181"/>
      <c r="BP116" s="166"/>
      <c r="BQ116" s="177"/>
      <c r="BR116" s="178"/>
      <c r="BS116" s="179"/>
      <c r="BU116" s="166"/>
      <c r="BV116" s="166"/>
      <c r="BW116" s="166"/>
      <c r="BX116" s="166"/>
      <c r="BY116" s="166"/>
      <c r="BZ116" s="166"/>
      <c r="CA116" s="166"/>
      <c r="CB116" s="166"/>
      <c r="CC116" s="166"/>
      <c r="CD116" s="177"/>
      <c r="CE116" s="181"/>
      <c r="CF116" s="177"/>
      <c r="CG116" s="179"/>
      <c r="CH116" s="257"/>
      <c r="CI116" s="182"/>
      <c r="CJ116" s="177"/>
      <c r="CK116" s="182"/>
      <c r="CL116" s="177"/>
      <c r="CM116" s="182"/>
      <c r="CN116" s="177"/>
      <c r="CO116" s="182"/>
      <c r="CP116" s="177"/>
      <c r="CQ116" s="178"/>
      <c r="CR116" s="182"/>
      <c r="CS116" s="173"/>
      <c r="CT116" s="65"/>
      <c r="CU116" s="255" t="str">
        <f t="shared" si="2"/>
        <v>ZPB</v>
      </c>
    </row>
    <row r="117" ht="60.0" customHeight="1">
      <c r="A117" s="89"/>
      <c r="C117" s="183">
        <v>11.0</v>
      </c>
      <c r="D117" s="210" t="s">
        <v>185</v>
      </c>
      <c r="E117" s="185"/>
      <c r="F117" s="186"/>
      <c r="G117" s="186"/>
      <c r="H117" s="186"/>
      <c r="I117" s="186"/>
      <c r="J117" s="186"/>
      <c r="K117" s="187"/>
      <c r="L117" s="187"/>
      <c r="M117" s="187"/>
      <c r="N117" s="187"/>
      <c r="O117" s="258">
        <f t="shared" ref="O117:O123" si="22">IF(AND(M117&lt;&gt;0,M117&lt;&gt;"m",M117&lt;&gt;"",RIGHT(K117,3)="Lec"),1,IF(AND(M117&lt;&gt;0,M117&lt;&gt;"m",M117&lt;&gt;"",OR(RIGHT(K117,3)="Lab",RIGHT(K117,3)="Tut")),0.5,IF(AND(M117&lt;&gt;0,M117&lt;&gt;"m",M117&lt;&gt;"",RIGHT(K117,2)="TL"),0.75,0)))</f>
        <v>0</v>
      </c>
      <c r="P117" s="6"/>
      <c r="Q117" s="69"/>
      <c r="R117" s="89"/>
      <c r="S117" s="69"/>
      <c r="T117" s="69"/>
      <c r="U117" s="63"/>
      <c r="V117" s="63"/>
      <c r="W117" s="89"/>
      <c r="X117" s="68"/>
      <c r="Y117" s="69"/>
      <c r="Z117" s="63"/>
      <c r="AA117" s="189"/>
      <c r="AB117" s="190"/>
      <c r="AC117" s="190"/>
      <c r="AD117" s="190"/>
      <c r="AE117" s="190"/>
      <c r="AF117" s="190"/>
      <c r="AG117" s="190"/>
      <c r="AH117" s="190"/>
      <c r="AI117" s="191"/>
      <c r="AJ117" s="192"/>
      <c r="AK117" s="193"/>
      <c r="AL117" s="193"/>
      <c r="AM117" s="193"/>
      <c r="AN117" s="193"/>
      <c r="AO117" s="194"/>
      <c r="AP117" s="103"/>
      <c r="AQ117" s="89"/>
      <c r="AR117" s="89"/>
      <c r="AS117" s="89"/>
      <c r="AT117" s="69"/>
      <c r="AU117" s="192"/>
      <c r="AV117" s="193"/>
      <c r="AW117" s="193"/>
      <c r="AX117" s="194"/>
      <c r="AY117" s="6"/>
      <c r="AZ117" s="63"/>
      <c r="BA117" s="192"/>
      <c r="BB117" s="193"/>
      <c r="BC117" s="193"/>
      <c r="BD117" s="193"/>
      <c r="BE117" s="193"/>
      <c r="BF117" s="193"/>
      <c r="BG117" s="193"/>
      <c r="BH117" s="193"/>
      <c r="BI117" s="194"/>
      <c r="BJ117" s="195"/>
      <c r="BK117" s="193"/>
      <c r="BL117" s="193"/>
      <c r="BM117" s="193"/>
      <c r="BN117" s="193"/>
      <c r="BO117" s="196"/>
      <c r="BP117" s="63"/>
      <c r="BQ117" s="192"/>
      <c r="BR117" s="193"/>
      <c r="BS117" s="194"/>
      <c r="BT117" s="6"/>
      <c r="BU117" s="63"/>
      <c r="BV117" s="63"/>
      <c r="BW117" s="63"/>
      <c r="BX117" s="63"/>
      <c r="BY117" s="63"/>
      <c r="BZ117" s="63"/>
      <c r="CA117" s="63"/>
      <c r="CB117" s="63"/>
      <c r="CC117" s="63"/>
      <c r="CD117" s="192"/>
      <c r="CE117" s="196"/>
      <c r="CF117" s="192"/>
      <c r="CG117" s="194"/>
      <c r="CH117" s="259"/>
      <c r="CI117" s="197"/>
      <c r="CJ117" s="192"/>
      <c r="CK117" s="197"/>
      <c r="CL117" s="192"/>
      <c r="CM117" s="197"/>
      <c r="CN117" s="192"/>
      <c r="CO117" s="197"/>
      <c r="CP117" s="192"/>
      <c r="CQ117" s="193"/>
      <c r="CR117" s="197"/>
      <c r="CS117" s="69"/>
      <c r="CT117" s="89"/>
      <c r="CU117" s="255" t="str">
        <f t="shared" si="2"/>
        <v>ZPB</v>
      </c>
    </row>
    <row r="118" ht="56.25" customHeight="1">
      <c r="A118" s="125">
        <v>11.0</v>
      </c>
      <c r="B118" s="199" t="s">
        <v>194</v>
      </c>
      <c r="C118" s="127">
        <v>1.0</v>
      </c>
      <c r="D118" s="168" t="s">
        <v>195</v>
      </c>
      <c r="E118" s="129"/>
      <c r="F118" s="130"/>
      <c r="G118" s="130"/>
      <c r="H118" s="130"/>
      <c r="I118" s="130"/>
      <c r="J118" s="130"/>
      <c r="K118" s="131"/>
      <c r="L118" s="131"/>
      <c r="M118" s="131"/>
      <c r="N118" s="131"/>
      <c r="O118" s="250">
        <f t="shared" si="22"/>
        <v>0</v>
      </c>
      <c r="P118" s="251">
        <f>COUNTIF(K118:K128,"TL")*0.75+COUNTIF(K118:K128,"Lec")*1+COUNTIF(K118:K128,"Lab")*0.5</f>
        <v>0</v>
      </c>
      <c r="Q118" s="134">
        <f>SUM((IF(LEFT(K118,1)="E",O118,0)),(IF(LEFT(K119,1)="E",O119,0)),(IF(LEFT(K120,1)="E",O120,0)),(IF(LEFT(K121,1)="E",O121,0)),(IF(LEFT(K122,1)="E",O122,0)),(IF(LEFT(K123,1)="E",O123,0)),(IF(LEFT(K124,1)="E",O124,0)),(IF(LEFT(K125,1)="E",O125,0)),(IF(LEFT(K126,1)="E",O126,0)),(IF(LEFT(K127,1)="E",O127,0)),(IF(LEFT(K128,1)="E",O128,0)))</f>
        <v>0</v>
      </c>
      <c r="R118" s="135">
        <f>SUM(IF(M124&lt;20,IF(K124="Plec",-1,IF(K124="PTL",-0.75,IF(K124="Plab",-0.5,0))),0),IF(M125&lt;20,IF(K125="Plec",-1,IF(K125="PTL",-0.75,IF(K125="Plab",-0.5,0))),0),IF(M126&lt;20,IF(K126="Plec",-1,IF(K126="PTL",-0.75,IF(K126="Plab",-0.5,0))),0),IF(M127&lt;20,IF(K127="Plec",-1,IF(K127="PTL",-0.75,IF(K127="Plab",-0.5,0))),0))</f>
        <v>0</v>
      </c>
      <c r="S118" s="134">
        <f>SUM(P118:R128)</f>
        <v>0</v>
      </c>
      <c r="T118" s="136">
        <f>SUM(IF(M118="M",IF(OR(K118="lec",K118="plec",K118="slec"),1,IF(OR(K118="lab",K118="plab",K118="slab",K118="tut",K118="ptut",K118="stut"),0.5,IF(OR(K118="TL",K118="pTL",K118="STL"),0.75,0))),0),IF(M119="M",IF(OR(K119="lec",K119="plec",K119="slec"),1,IF(OR(K119="lab",K119="plab",K119="slab",K119="tut",K119="ptut",K119="stut"),0.5,IF(OR(K119="TL",K119="pTL",K119="STL"),0.75,0))),0),IF(M120="M",IF(OR(K120="lec",K120="plec",K120="slec"),1,IF(OR(K120="lab",K120="plab",K120="slab",K120="tut",K120="ptut",K120="stut"),0.5,IF(OR(K120="TL",K120="pTL",K120="STL"),0.75,0))),0),IF(M121="M",IF(OR(K121="lec",K121="plec",K121="slec"),1,IF(OR(K121="lab",K121="plab",K121="slab",K121="tut",K121="ptut",K121="stut"),0.5,IF(OR(K121="TL",K121="pTL",K121="STL"),0.75,0))),0),IF(M122="M",IF(OR(K122="lec",K122="plec",K122="slec"),1,IF(OR(K122="lab",K122="plab",K122="slab",K122="tut",K122="ptut",K122="stut"),0.5,IF(OR(K122="TL",K122="pTL",K122="STL"),0.75,0))),0),IF(M123="M",IF(OR(K123="lec",K123="plec",K123="slec"),1,IF(OR(K123="lab",K123="plab",K123="slab",K123="tut",K123="ptut",K123="stut"),0.5,IF(OR(K123="TL",K123="pTL",K123="STL"),0.75,0))),0),IF(M124="M",IF(OR(K124="lec",K124="plec",K124="slec"),1,IF(OR(K124="lab",K124="plab",K124="slab",K124="tut",K124="ptut",K124="stut"),0.5,IF(OR(K124="TL",K124="pTL",K124="STL"),0.75,0))),0),IF(M125="M",IF(OR(K125="lec",K125="plec",K125="slec"),1,IF(OR(K125="lab",K125="plab",K125="slab",K125="tut",K125="ptut",K125="stut"),0.5,IF(OR(K125="TL",K125="pTL",K125="STL"),0.75,0))),0),IF(M126="M",IF(OR(K126="lec",K126="plec",K126="slec"),1,IF(OR(K126="lab",K126="plab",K126="slab",K126="tut",K126="ptut",K126="stut"),0.5,IF(OR(K126="TL",K126="pTL",K126="STL"),0.75,0))),0),IF(M127="M",IF(OR(K127="lec",K127="plec",K127="slec"),1,IF(OR(K127="lab",K127="plab",K127="slab",K127="tut",K127="ptut",K127="stut"),0.5,IF(OR(K127="TL",K127="pTL",K127="STL"),0.75,0))),0),IF(M128="M",IF(OR(K128="lec",K128="plec",K128="slec"),1,IF(OR(K128="lab",K128="plab",K128="slab",K128="tut",K128="ptut",K128="stut"),0.5,IF(OR(K128="TL",K128="pTL",K128="STL"),0.75,0))),0))</f>
        <v>0</v>
      </c>
      <c r="U118" s="137"/>
      <c r="V118" s="133"/>
      <c r="W118" s="138"/>
      <c r="X118" s="139">
        <f>S118-(T118+U118+V118+W118)</f>
        <v>0</v>
      </c>
      <c r="Y118" s="134" t="str">
        <f>CONCATENATE(SUM(O118:O128),"(",SUM(O118:O128)-X118,")")</f>
        <v>0(0)</v>
      </c>
      <c r="Z118" s="140"/>
      <c r="AA118" s="141"/>
      <c r="AB118" s="142"/>
      <c r="AC118" s="142"/>
      <c r="AD118" s="142"/>
      <c r="AE118" s="142"/>
      <c r="AF118" s="142"/>
      <c r="AG118" s="142"/>
      <c r="AH118" s="142"/>
      <c r="AI118" s="143"/>
      <c r="AJ118" s="144"/>
      <c r="AK118" s="145"/>
      <c r="AL118" s="145"/>
      <c r="AM118" s="145"/>
      <c r="AN118" s="145"/>
      <c r="AO118" s="146"/>
      <c r="AP118" s="147">
        <f>SUM(SUM(O118:O128),SUM(AI118:AI128)/2,AM118)</f>
        <v>0</v>
      </c>
      <c r="AQ118" s="148"/>
      <c r="AR118" s="148">
        <f>AP118*AQ118</f>
        <v>0</v>
      </c>
      <c r="AS118" s="148">
        <f>CT118</f>
        <v>0</v>
      </c>
      <c r="AT118" s="149">
        <f>AR118*0.75+AS118*0.25</f>
        <v>0</v>
      </c>
      <c r="AU118" s="150"/>
      <c r="AV118" s="151"/>
      <c r="AW118" s="151"/>
      <c r="AX118" s="152"/>
      <c r="AY118" s="153"/>
      <c r="AZ118" s="140"/>
      <c r="BA118" s="150"/>
      <c r="BB118" s="151"/>
      <c r="BC118" s="151"/>
      <c r="BD118" s="151"/>
      <c r="BE118" s="151"/>
      <c r="BF118" s="151"/>
      <c r="BG118" s="151"/>
      <c r="BH118" s="151"/>
      <c r="BI118" s="152"/>
      <c r="BJ118" s="154"/>
      <c r="BK118" s="151"/>
      <c r="BL118" s="151"/>
      <c r="BM118" s="151"/>
      <c r="BN118" s="151"/>
      <c r="BO118" s="155"/>
      <c r="BP118" s="140"/>
      <c r="BQ118" s="156"/>
      <c r="BR118" s="157"/>
      <c r="BS118" s="158"/>
      <c r="BT118" s="153"/>
      <c r="BU118" s="140"/>
      <c r="BV118" s="140"/>
      <c r="BW118" s="140"/>
      <c r="BX118" s="140"/>
      <c r="BY118" s="140"/>
      <c r="BZ118" s="140"/>
      <c r="CA118" s="140"/>
      <c r="CB118" s="140"/>
      <c r="CC118" s="140"/>
      <c r="CD118" s="150"/>
      <c r="CE118" s="155"/>
      <c r="CF118" s="150"/>
      <c r="CG118" s="152"/>
      <c r="CH118" s="252"/>
      <c r="CI118" s="160"/>
      <c r="CJ118" s="159"/>
      <c r="CK118" s="160"/>
      <c r="CL118" s="159"/>
      <c r="CM118" s="160"/>
      <c r="CN118" s="159"/>
      <c r="CO118" s="160"/>
      <c r="CP118" s="159"/>
      <c r="CQ118" s="162"/>
      <c r="CR118" s="160"/>
      <c r="CS118" s="253">
        <f>SUM(IF(AU118&lt;0,ABS(AU118),0),IF(AZ118&lt;0,ABS(AZ118),0),ABS(CI118),ABS(CK118),ABS(CM118),ABS(CO118),ABS(CQ118),ABS(CR118))</f>
        <v>0</v>
      </c>
      <c r="CT118" s="254">
        <f>SUM(AU118,AV118,AW118,AX118/400,AY118,AZ118,BG118,BH118*0.5,BI118*0.25,BJ118,BK118,BL118,BM118,BN118,BO118,BP118,BR118/20,BS118/100,BT118/60,BU118,BV118,BW118,BX118/4,SUM(BY118:CC128)/3,CE118,CG118/3,CI118,CK118,CM118,CO118,CQ118,CR118)</f>
        <v>0</v>
      </c>
      <c r="CU118" s="255" t="str">
        <f t="shared" si="2"/>
        <v>DPS</v>
      </c>
    </row>
    <row r="119" ht="60.0" customHeight="1">
      <c r="A119" s="65"/>
      <c r="C119" s="167">
        <v>2.0</v>
      </c>
      <c r="D119" s="168" t="s">
        <v>195</v>
      </c>
      <c r="E119" s="169"/>
      <c r="F119" s="170"/>
      <c r="G119" s="170"/>
      <c r="H119" s="170"/>
      <c r="I119" s="170"/>
      <c r="J119" s="170"/>
      <c r="K119" s="171"/>
      <c r="L119" s="171"/>
      <c r="M119" s="171"/>
      <c r="N119" s="171"/>
      <c r="O119" s="256">
        <f t="shared" si="22"/>
        <v>0</v>
      </c>
      <c r="Q119" s="173"/>
      <c r="R119" s="65"/>
      <c r="S119" s="173"/>
      <c r="T119" s="173"/>
      <c r="U119" s="166"/>
      <c r="V119" s="166"/>
      <c r="W119" s="65"/>
      <c r="X119" s="66"/>
      <c r="Y119" s="173"/>
      <c r="Z119" s="166"/>
      <c r="AA119" s="174"/>
      <c r="AB119" s="175"/>
      <c r="AC119" s="175"/>
      <c r="AD119" s="175"/>
      <c r="AE119" s="175"/>
      <c r="AF119" s="175"/>
      <c r="AG119" s="175"/>
      <c r="AH119" s="175"/>
      <c r="AI119" s="176"/>
      <c r="AJ119" s="177"/>
      <c r="AK119" s="178"/>
      <c r="AL119" s="178"/>
      <c r="AM119" s="178"/>
      <c r="AN119" s="178"/>
      <c r="AO119" s="179"/>
      <c r="AP119" s="64"/>
      <c r="AQ119" s="65"/>
      <c r="AR119" s="65"/>
      <c r="AS119" s="65"/>
      <c r="AT119" s="173"/>
      <c r="AU119" s="177"/>
      <c r="AV119" s="178"/>
      <c r="AW119" s="178"/>
      <c r="AX119" s="179"/>
      <c r="AZ119" s="166"/>
      <c r="BA119" s="177"/>
      <c r="BB119" s="178"/>
      <c r="BC119" s="178"/>
      <c r="BD119" s="178"/>
      <c r="BE119" s="178"/>
      <c r="BF119" s="178"/>
      <c r="BG119" s="178"/>
      <c r="BH119" s="178"/>
      <c r="BI119" s="179"/>
      <c r="BJ119" s="180"/>
      <c r="BK119" s="178"/>
      <c r="BL119" s="178"/>
      <c r="BM119" s="178"/>
      <c r="BN119" s="178"/>
      <c r="BO119" s="181"/>
      <c r="BP119" s="166"/>
      <c r="BQ119" s="177"/>
      <c r="BR119" s="178"/>
      <c r="BS119" s="179"/>
      <c r="BU119" s="166"/>
      <c r="BV119" s="166"/>
      <c r="BW119" s="166"/>
      <c r="BX119" s="166"/>
      <c r="BY119" s="166"/>
      <c r="BZ119" s="166"/>
      <c r="CA119" s="166"/>
      <c r="CB119" s="166"/>
      <c r="CC119" s="166"/>
      <c r="CD119" s="177"/>
      <c r="CE119" s="181"/>
      <c r="CF119" s="177"/>
      <c r="CG119" s="179"/>
      <c r="CH119" s="257"/>
      <c r="CI119" s="182"/>
      <c r="CJ119" s="177"/>
      <c r="CK119" s="182"/>
      <c r="CL119" s="177"/>
      <c r="CM119" s="182"/>
      <c r="CN119" s="177"/>
      <c r="CO119" s="182"/>
      <c r="CP119" s="177"/>
      <c r="CQ119" s="178"/>
      <c r="CR119" s="182"/>
      <c r="CS119" s="173"/>
      <c r="CT119" s="65"/>
      <c r="CU119" s="255" t="str">
        <f t="shared" si="2"/>
        <v>DPS</v>
      </c>
    </row>
    <row r="120" ht="60.0" customHeight="1">
      <c r="A120" s="65"/>
      <c r="C120" s="167">
        <v>3.0</v>
      </c>
      <c r="D120" s="168" t="s">
        <v>195</v>
      </c>
      <c r="E120" s="169"/>
      <c r="F120" s="170"/>
      <c r="G120" s="170"/>
      <c r="H120" s="170"/>
      <c r="I120" s="170"/>
      <c r="J120" s="170"/>
      <c r="K120" s="171"/>
      <c r="L120" s="171"/>
      <c r="M120" s="171"/>
      <c r="N120" s="171"/>
      <c r="O120" s="256">
        <f t="shared" si="22"/>
        <v>0</v>
      </c>
      <c r="Q120" s="173"/>
      <c r="R120" s="65"/>
      <c r="S120" s="173"/>
      <c r="T120" s="173"/>
      <c r="U120" s="166"/>
      <c r="V120" s="166"/>
      <c r="W120" s="65"/>
      <c r="X120" s="66"/>
      <c r="Y120" s="173"/>
      <c r="Z120" s="166"/>
      <c r="AA120" s="174"/>
      <c r="AB120" s="175"/>
      <c r="AC120" s="175"/>
      <c r="AD120" s="175"/>
      <c r="AE120" s="175"/>
      <c r="AF120" s="175"/>
      <c r="AG120" s="175"/>
      <c r="AH120" s="175"/>
      <c r="AI120" s="176"/>
      <c r="AJ120" s="177"/>
      <c r="AK120" s="178"/>
      <c r="AL120" s="178"/>
      <c r="AM120" s="178"/>
      <c r="AN120" s="178"/>
      <c r="AO120" s="179"/>
      <c r="AP120" s="64"/>
      <c r="AQ120" s="65"/>
      <c r="AR120" s="65"/>
      <c r="AS120" s="65"/>
      <c r="AT120" s="173"/>
      <c r="AU120" s="177"/>
      <c r="AV120" s="178"/>
      <c r="AW120" s="178"/>
      <c r="AX120" s="179"/>
      <c r="AZ120" s="166"/>
      <c r="BA120" s="177"/>
      <c r="BB120" s="178"/>
      <c r="BC120" s="178"/>
      <c r="BD120" s="178"/>
      <c r="BE120" s="178"/>
      <c r="BF120" s="178"/>
      <c r="BG120" s="178"/>
      <c r="BH120" s="178"/>
      <c r="BI120" s="179"/>
      <c r="BJ120" s="180"/>
      <c r="BK120" s="178"/>
      <c r="BL120" s="178"/>
      <c r="BM120" s="178"/>
      <c r="BN120" s="178"/>
      <c r="BO120" s="181"/>
      <c r="BP120" s="166"/>
      <c r="BQ120" s="177"/>
      <c r="BR120" s="178"/>
      <c r="BS120" s="179"/>
      <c r="BU120" s="166"/>
      <c r="BV120" s="166"/>
      <c r="BW120" s="166"/>
      <c r="BX120" s="166"/>
      <c r="BY120" s="166"/>
      <c r="BZ120" s="166"/>
      <c r="CA120" s="166"/>
      <c r="CB120" s="166"/>
      <c r="CC120" s="166"/>
      <c r="CD120" s="177"/>
      <c r="CE120" s="181"/>
      <c r="CF120" s="177"/>
      <c r="CG120" s="179"/>
      <c r="CH120" s="257"/>
      <c r="CI120" s="182"/>
      <c r="CJ120" s="177"/>
      <c r="CK120" s="182"/>
      <c r="CL120" s="177"/>
      <c r="CM120" s="182"/>
      <c r="CN120" s="177"/>
      <c r="CO120" s="182"/>
      <c r="CP120" s="177"/>
      <c r="CQ120" s="178"/>
      <c r="CR120" s="182"/>
      <c r="CS120" s="173"/>
      <c r="CT120" s="65"/>
      <c r="CU120" s="255" t="str">
        <f t="shared" si="2"/>
        <v>DPS</v>
      </c>
    </row>
    <row r="121" ht="60.0" customHeight="1">
      <c r="A121" s="65"/>
      <c r="C121" s="167">
        <v>4.0</v>
      </c>
      <c r="D121" s="168" t="s">
        <v>195</v>
      </c>
      <c r="E121" s="169"/>
      <c r="F121" s="170"/>
      <c r="G121" s="170"/>
      <c r="H121" s="170"/>
      <c r="I121" s="170"/>
      <c r="J121" s="170"/>
      <c r="K121" s="171"/>
      <c r="L121" s="171"/>
      <c r="M121" s="171"/>
      <c r="N121" s="171"/>
      <c r="O121" s="256">
        <f t="shared" si="22"/>
        <v>0</v>
      </c>
      <c r="Q121" s="173"/>
      <c r="R121" s="65"/>
      <c r="S121" s="173"/>
      <c r="T121" s="173"/>
      <c r="U121" s="166"/>
      <c r="V121" s="166"/>
      <c r="W121" s="65"/>
      <c r="X121" s="66"/>
      <c r="Y121" s="173"/>
      <c r="Z121" s="166"/>
      <c r="AA121" s="174"/>
      <c r="AB121" s="175"/>
      <c r="AC121" s="175"/>
      <c r="AD121" s="175"/>
      <c r="AE121" s="175"/>
      <c r="AF121" s="175"/>
      <c r="AG121" s="175"/>
      <c r="AH121" s="175"/>
      <c r="AI121" s="176"/>
      <c r="AJ121" s="177"/>
      <c r="AK121" s="178"/>
      <c r="AL121" s="178"/>
      <c r="AM121" s="178"/>
      <c r="AN121" s="178"/>
      <c r="AO121" s="179"/>
      <c r="AP121" s="64"/>
      <c r="AQ121" s="65"/>
      <c r="AR121" s="65"/>
      <c r="AS121" s="65"/>
      <c r="AT121" s="173"/>
      <c r="AU121" s="177"/>
      <c r="AV121" s="178"/>
      <c r="AW121" s="178"/>
      <c r="AX121" s="179"/>
      <c r="AZ121" s="166"/>
      <c r="BA121" s="177"/>
      <c r="BB121" s="178"/>
      <c r="BC121" s="178"/>
      <c r="BD121" s="178"/>
      <c r="BE121" s="178"/>
      <c r="BF121" s="178"/>
      <c r="BG121" s="178"/>
      <c r="BH121" s="178"/>
      <c r="BI121" s="179"/>
      <c r="BJ121" s="180"/>
      <c r="BK121" s="178"/>
      <c r="BL121" s="178"/>
      <c r="BM121" s="178"/>
      <c r="BN121" s="178"/>
      <c r="BO121" s="181"/>
      <c r="BP121" s="166"/>
      <c r="BQ121" s="177"/>
      <c r="BR121" s="178"/>
      <c r="BS121" s="179"/>
      <c r="BU121" s="166"/>
      <c r="BV121" s="166"/>
      <c r="BW121" s="166"/>
      <c r="BX121" s="166"/>
      <c r="BY121" s="166"/>
      <c r="BZ121" s="166"/>
      <c r="CA121" s="166"/>
      <c r="CB121" s="166"/>
      <c r="CC121" s="166"/>
      <c r="CD121" s="177"/>
      <c r="CE121" s="181"/>
      <c r="CF121" s="177"/>
      <c r="CG121" s="179"/>
      <c r="CH121" s="257"/>
      <c r="CI121" s="182"/>
      <c r="CJ121" s="177"/>
      <c r="CK121" s="182"/>
      <c r="CL121" s="177"/>
      <c r="CM121" s="182"/>
      <c r="CN121" s="177"/>
      <c r="CO121" s="182"/>
      <c r="CP121" s="177"/>
      <c r="CQ121" s="178"/>
      <c r="CR121" s="182"/>
      <c r="CS121" s="173"/>
      <c r="CT121" s="65"/>
      <c r="CU121" s="255" t="str">
        <f t="shared" si="2"/>
        <v>DPS</v>
      </c>
    </row>
    <row r="122" ht="60.0" customHeight="1">
      <c r="A122" s="65"/>
      <c r="C122" s="167">
        <v>5.0</v>
      </c>
      <c r="D122" s="168" t="s">
        <v>195</v>
      </c>
      <c r="E122" s="169"/>
      <c r="F122" s="170"/>
      <c r="G122" s="170"/>
      <c r="H122" s="170"/>
      <c r="I122" s="170"/>
      <c r="J122" s="170"/>
      <c r="K122" s="171"/>
      <c r="L122" s="171"/>
      <c r="M122" s="171"/>
      <c r="N122" s="171"/>
      <c r="O122" s="256">
        <f t="shared" si="22"/>
        <v>0</v>
      </c>
      <c r="Q122" s="173"/>
      <c r="R122" s="65"/>
      <c r="S122" s="173"/>
      <c r="T122" s="173"/>
      <c r="U122" s="166"/>
      <c r="V122" s="166"/>
      <c r="W122" s="65"/>
      <c r="X122" s="66"/>
      <c r="Y122" s="173"/>
      <c r="Z122" s="166"/>
      <c r="AA122" s="174"/>
      <c r="AB122" s="175"/>
      <c r="AC122" s="175"/>
      <c r="AD122" s="175"/>
      <c r="AE122" s="175"/>
      <c r="AF122" s="175"/>
      <c r="AG122" s="175"/>
      <c r="AH122" s="175"/>
      <c r="AI122" s="176"/>
      <c r="AJ122" s="177"/>
      <c r="AK122" s="178"/>
      <c r="AL122" s="178"/>
      <c r="AM122" s="178"/>
      <c r="AN122" s="178"/>
      <c r="AO122" s="179"/>
      <c r="AP122" s="64"/>
      <c r="AQ122" s="65"/>
      <c r="AR122" s="65"/>
      <c r="AS122" s="65"/>
      <c r="AT122" s="173"/>
      <c r="AU122" s="177"/>
      <c r="AV122" s="178"/>
      <c r="AW122" s="178"/>
      <c r="AX122" s="179"/>
      <c r="AZ122" s="166"/>
      <c r="BA122" s="177"/>
      <c r="BB122" s="178"/>
      <c r="BC122" s="178"/>
      <c r="BD122" s="178"/>
      <c r="BE122" s="178"/>
      <c r="BF122" s="178"/>
      <c r="BG122" s="178"/>
      <c r="BH122" s="178"/>
      <c r="BI122" s="179"/>
      <c r="BJ122" s="180"/>
      <c r="BK122" s="178"/>
      <c r="BL122" s="178"/>
      <c r="BM122" s="178"/>
      <c r="BN122" s="178"/>
      <c r="BO122" s="181"/>
      <c r="BP122" s="166"/>
      <c r="BQ122" s="177"/>
      <c r="BR122" s="178"/>
      <c r="BS122" s="179"/>
      <c r="BU122" s="166"/>
      <c r="BV122" s="166"/>
      <c r="BW122" s="166"/>
      <c r="BX122" s="166"/>
      <c r="BY122" s="166"/>
      <c r="BZ122" s="166"/>
      <c r="CA122" s="166"/>
      <c r="CB122" s="166"/>
      <c r="CC122" s="166"/>
      <c r="CD122" s="177"/>
      <c r="CE122" s="181"/>
      <c r="CF122" s="177"/>
      <c r="CG122" s="179"/>
      <c r="CH122" s="257"/>
      <c r="CI122" s="182"/>
      <c r="CJ122" s="177"/>
      <c r="CK122" s="182"/>
      <c r="CL122" s="177"/>
      <c r="CM122" s="182"/>
      <c r="CN122" s="177"/>
      <c r="CO122" s="182"/>
      <c r="CP122" s="177"/>
      <c r="CQ122" s="178"/>
      <c r="CR122" s="182"/>
      <c r="CS122" s="173"/>
      <c r="CT122" s="65"/>
      <c r="CU122" s="255" t="str">
        <f t="shared" si="2"/>
        <v>DPS</v>
      </c>
    </row>
    <row r="123" ht="60.0" customHeight="1">
      <c r="A123" s="65"/>
      <c r="C123" s="167">
        <v>6.0</v>
      </c>
      <c r="D123" s="168" t="s">
        <v>195</v>
      </c>
      <c r="E123" s="169"/>
      <c r="F123" s="170"/>
      <c r="G123" s="170"/>
      <c r="H123" s="170"/>
      <c r="I123" s="170"/>
      <c r="J123" s="170"/>
      <c r="K123" s="171"/>
      <c r="L123" s="171"/>
      <c r="M123" s="171"/>
      <c r="N123" s="171"/>
      <c r="O123" s="256">
        <f t="shared" si="22"/>
        <v>0</v>
      </c>
      <c r="Q123" s="173"/>
      <c r="R123" s="65"/>
      <c r="S123" s="173"/>
      <c r="T123" s="173"/>
      <c r="U123" s="166"/>
      <c r="V123" s="166"/>
      <c r="W123" s="65"/>
      <c r="X123" s="66"/>
      <c r="Y123" s="173"/>
      <c r="Z123" s="166"/>
      <c r="AA123" s="174"/>
      <c r="AB123" s="175"/>
      <c r="AC123" s="175"/>
      <c r="AD123" s="175"/>
      <c r="AE123" s="175"/>
      <c r="AF123" s="175"/>
      <c r="AG123" s="175"/>
      <c r="AH123" s="175"/>
      <c r="AI123" s="176"/>
      <c r="AJ123" s="177"/>
      <c r="AK123" s="178"/>
      <c r="AL123" s="178"/>
      <c r="AM123" s="178"/>
      <c r="AN123" s="178"/>
      <c r="AO123" s="179"/>
      <c r="AP123" s="64"/>
      <c r="AQ123" s="65"/>
      <c r="AR123" s="65"/>
      <c r="AS123" s="65"/>
      <c r="AT123" s="173"/>
      <c r="AU123" s="177"/>
      <c r="AV123" s="178"/>
      <c r="AW123" s="178"/>
      <c r="AX123" s="179"/>
      <c r="AZ123" s="166"/>
      <c r="BA123" s="177"/>
      <c r="BB123" s="178"/>
      <c r="BC123" s="178"/>
      <c r="BD123" s="178"/>
      <c r="BE123" s="178"/>
      <c r="BF123" s="178"/>
      <c r="BG123" s="178"/>
      <c r="BH123" s="178"/>
      <c r="BI123" s="179"/>
      <c r="BJ123" s="180"/>
      <c r="BK123" s="178"/>
      <c r="BL123" s="178"/>
      <c r="BM123" s="178"/>
      <c r="BN123" s="178"/>
      <c r="BO123" s="181"/>
      <c r="BP123" s="166"/>
      <c r="BQ123" s="177"/>
      <c r="BR123" s="178"/>
      <c r="BS123" s="179"/>
      <c r="BU123" s="166"/>
      <c r="BV123" s="166"/>
      <c r="BW123" s="166"/>
      <c r="BX123" s="166"/>
      <c r="BY123" s="166"/>
      <c r="BZ123" s="166"/>
      <c r="CA123" s="166"/>
      <c r="CB123" s="166"/>
      <c r="CC123" s="166"/>
      <c r="CD123" s="177"/>
      <c r="CE123" s="181"/>
      <c r="CF123" s="177"/>
      <c r="CG123" s="179"/>
      <c r="CH123" s="257"/>
      <c r="CI123" s="182"/>
      <c r="CJ123" s="177"/>
      <c r="CK123" s="182"/>
      <c r="CL123" s="177"/>
      <c r="CM123" s="182"/>
      <c r="CN123" s="177"/>
      <c r="CO123" s="182"/>
      <c r="CP123" s="177"/>
      <c r="CQ123" s="178"/>
      <c r="CR123" s="182"/>
      <c r="CS123" s="173"/>
      <c r="CT123" s="65"/>
      <c r="CU123" s="255" t="str">
        <f t="shared" si="2"/>
        <v>DPS</v>
      </c>
    </row>
    <row r="124" ht="60.0" customHeight="1">
      <c r="A124" s="65"/>
      <c r="C124" s="167">
        <v>7.0</v>
      </c>
      <c r="D124" s="168" t="s">
        <v>195</v>
      </c>
      <c r="E124" s="169"/>
      <c r="F124" s="170"/>
      <c r="G124" s="170"/>
      <c r="H124" s="170"/>
      <c r="I124" s="170"/>
      <c r="J124" s="170"/>
      <c r="K124" s="171"/>
      <c r="L124" s="171"/>
      <c r="M124" s="171"/>
      <c r="N124" s="171"/>
      <c r="O124" s="256">
        <f t="shared" ref="O124:O127" si="23">IF(AND(M124&gt;=20,M124&lt;&gt;"m",RIGHT(K124,3)="Lec"),1,IF(AND(M124&gt;=20,M124&lt;&gt;"m",OR(RIGHT(K124,3)="Lab",RIGHT(K124,3)="Tut")),0.5,IF(AND(M124&gt;=20,M124&lt;&gt;"m",RIGHT(K124,2)="TL"),0.75,0)))</f>
        <v>0</v>
      </c>
      <c r="Q124" s="173"/>
      <c r="R124" s="65"/>
      <c r="S124" s="173"/>
      <c r="T124" s="173"/>
      <c r="U124" s="166"/>
      <c r="V124" s="166"/>
      <c r="W124" s="65"/>
      <c r="X124" s="66"/>
      <c r="Y124" s="173"/>
      <c r="Z124" s="166"/>
      <c r="AA124" s="174"/>
      <c r="AB124" s="175"/>
      <c r="AC124" s="175"/>
      <c r="AD124" s="175"/>
      <c r="AE124" s="175"/>
      <c r="AF124" s="175"/>
      <c r="AG124" s="175"/>
      <c r="AH124" s="175"/>
      <c r="AI124" s="176"/>
      <c r="AJ124" s="177"/>
      <c r="AK124" s="178"/>
      <c r="AL124" s="178"/>
      <c r="AM124" s="178"/>
      <c r="AN124" s="178"/>
      <c r="AO124" s="179"/>
      <c r="AP124" s="64"/>
      <c r="AQ124" s="65"/>
      <c r="AR124" s="65"/>
      <c r="AS124" s="65"/>
      <c r="AT124" s="173"/>
      <c r="AU124" s="177"/>
      <c r="AV124" s="178"/>
      <c r="AW124" s="178"/>
      <c r="AX124" s="179"/>
      <c r="AZ124" s="166"/>
      <c r="BA124" s="177"/>
      <c r="BB124" s="178"/>
      <c r="BC124" s="178"/>
      <c r="BD124" s="178"/>
      <c r="BE124" s="178"/>
      <c r="BF124" s="178"/>
      <c r="BG124" s="178"/>
      <c r="BH124" s="178"/>
      <c r="BI124" s="179"/>
      <c r="BJ124" s="180"/>
      <c r="BK124" s="178"/>
      <c r="BL124" s="178"/>
      <c r="BM124" s="178"/>
      <c r="BN124" s="178"/>
      <c r="BO124" s="181"/>
      <c r="BP124" s="166"/>
      <c r="BQ124" s="177"/>
      <c r="BR124" s="178"/>
      <c r="BS124" s="179"/>
      <c r="BU124" s="166"/>
      <c r="BV124" s="166"/>
      <c r="BW124" s="166"/>
      <c r="BX124" s="166"/>
      <c r="BY124" s="166"/>
      <c r="BZ124" s="166"/>
      <c r="CA124" s="166"/>
      <c r="CB124" s="166"/>
      <c r="CC124" s="166"/>
      <c r="CD124" s="177"/>
      <c r="CE124" s="181"/>
      <c r="CF124" s="177"/>
      <c r="CG124" s="179"/>
      <c r="CH124" s="257"/>
      <c r="CI124" s="182"/>
      <c r="CJ124" s="177"/>
      <c r="CK124" s="182"/>
      <c r="CL124" s="177"/>
      <c r="CM124" s="182"/>
      <c r="CN124" s="177"/>
      <c r="CO124" s="182"/>
      <c r="CP124" s="177"/>
      <c r="CQ124" s="178"/>
      <c r="CR124" s="182"/>
      <c r="CS124" s="173"/>
      <c r="CT124" s="65"/>
      <c r="CU124" s="255" t="str">
        <f t="shared" si="2"/>
        <v>DPS</v>
      </c>
    </row>
    <row r="125" ht="60.0" customHeight="1">
      <c r="A125" s="65"/>
      <c r="C125" s="167">
        <v>8.0</v>
      </c>
      <c r="D125" s="168" t="s">
        <v>195</v>
      </c>
      <c r="E125" s="169"/>
      <c r="F125" s="170"/>
      <c r="G125" s="170"/>
      <c r="H125" s="170"/>
      <c r="I125" s="170"/>
      <c r="J125" s="170"/>
      <c r="K125" s="171"/>
      <c r="L125" s="171"/>
      <c r="M125" s="171"/>
      <c r="N125" s="171"/>
      <c r="O125" s="256">
        <f t="shared" si="23"/>
        <v>0</v>
      </c>
      <c r="Q125" s="173"/>
      <c r="R125" s="65"/>
      <c r="S125" s="173"/>
      <c r="T125" s="173"/>
      <c r="U125" s="166"/>
      <c r="V125" s="166"/>
      <c r="W125" s="65"/>
      <c r="X125" s="66"/>
      <c r="Y125" s="173"/>
      <c r="Z125" s="166"/>
      <c r="AA125" s="174"/>
      <c r="AB125" s="175"/>
      <c r="AC125" s="175"/>
      <c r="AD125" s="175"/>
      <c r="AE125" s="175"/>
      <c r="AF125" s="175"/>
      <c r="AG125" s="175"/>
      <c r="AH125" s="175"/>
      <c r="AI125" s="176"/>
      <c r="AJ125" s="177"/>
      <c r="AK125" s="178"/>
      <c r="AL125" s="178"/>
      <c r="AM125" s="178"/>
      <c r="AN125" s="178"/>
      <c r="AO125" s="179"/>
      <c r="AP125" s="64"/>
      <c r="AQ125" s="65"/>
      <c r="AR125" s="65"/>
      <c r="AS125" s="65"/>
      <c r="AT125" s="173"/>
      <c r="AU125" s="177"/>
      <c r="AV125" s="178"/>
      <c r="AW125" s="178"/>
      <c r="AX125" s="179"/>
      <c r="AZ125" s="166"/>
      <c r="BA125" s="177"/>
      <c r="BB125" s="178"/>
      <c r="BC125" s="178"/>
      <c r="BD125" s="178"/>
      <c r="BE125" s="178"/>
      <c r="BF125" s="178"/>
      <c r="BG125" s="178"/>
      <c r="BH125" s="178"/>
      <c r="BI125" s="179"/>
      <c r="BJ125" s="180"/>
      <c r="BK125" s="178"/>
      <c r="BL125" s="178"/>
      <c r="BM125" s="178"/>
      <c r="BN125" s="178"/>
      <c r="BO125" s="181"/>
      <c r="BP125" s="166"/>
      <c r="BQ125" s="177"/>
      <c r="BR125" s="178"/>
      <c r="BS125" s="179"/>
      <c r="BU125" s="166"/>
      <c r="BV125" s="166"/>
      <c r="BW125" s="166"/>
      <c r="BX125" s="166"/>
      <c r="BY125" s="166"/>
      <c r="BZ125" s="166"/>
      <c r="CA125" s="166"/>
      <c r="CB125" s="166"/>
      <c r="CC125" s="166"/>
      <c r="CD125" s="177"/>
      <c r="CE125" s="181"/>
      <c r="CF125" s="177"/>
      <c r="CG125" s="179"/>
      <c r="CH125" s="257"/>
      <c r="CI125" s="182"/>
      <c r="CJ125" s="177"/>
      <c r="CK125" s="182"/>
      <c r="CL125" s="177"/>
      <c r="CM125" s="182"/>
      <c r="CN125" s="177"/>
      <c r="CO125" s="182"/>
      <c r="CP125" s="177"/>
      <c r="CQ125" s="178"/>
      <c r="CR125" s="182"/>
      <c r="CS125" s="173"/>
      <c r="CT125" s="65"/>
      <c r="CU125" s="255" t="str">
        <f t="shared" si="2"/>
        <v>DPS</v>
      </c>
    </row>
    <row r="126" ht="60.0" customHeight="1">
      <c r="A126" s="65"/>
      <c r="C126" s="167">
        <v>9.0</v>
      </c>
      <c r="D126" s="168" t="s">
        <v>195</v>
      </c>
      <c r="E126" s="169"/>
      <c r="F126" s="170"/>
      <c r="G126" s="170"/>
      <c r="H126" s="170"/>
      <c r="I126" s="170"/>
      <c r="J126" s="170"/>
      <c r="K126" s="171"/>
      <c r="L126" s="171"/>
      <c r="M126" s="171"/>
      <c r="N126" s="171"/>
      <c r="O126" s="256">
        <f t="shared" si="23"/>
        <v>0</v>
      </c>
      <c r="Q126" s="173"/>
      <c r="R126" s="65"/>
      <c r="S126" s="173"/>
      <c r="T126" s="173"/>
      <c r="U126" s="166"/>
      <c r="V126" s="166"/>
      <c r="W126" s="65"/>
      <c r="X126" s="66"/>
      <c r="Y126" s="173"/>
      <c r="Z126" s="166"/>
      <c r="AA126" s="174"/>
      <c r="AB126" s="175"/>
      <c r="AC126" s="175"/>
      <c r="AD126" s="175"/>
      <c r="AE126" s="175"/>
      <c r="AF126" s="175"/>
      <c r="AG126" s="175"/>
      <c r="AH126" s="175"/>
      <c r="AI126" s="176"/>
      <c r="AJ126" s="177"/>
      <c r="AK126" s="178"/>
      <c r="AL126" s="178"/>
      <c r="AM126" s="178"/>
      <c r="AN126" s="178"/>
      <c r="AO126" s="179"/>
      <c r="AP126" s="64"/>
      <c r="AQ126" s="65"/>
      <c r="AR126" s="65"/>
      <c r="AS126" s="65"/>
      <c r="AT126" s="173"/>
      <c r="AU126" s="177"/>
      <c r="AV126" s="178"/>
      <c r="AW126" s="178"/>
      <c r="AX126" s="179"/>
      <c r="AZ126" s="166"/>
      <c r="BA126" s="177"/>
      <c r="BB126" s="178"/>
      <c r="BC126" s="178"/>
      <c r="BD126" s="178"/>
      <c r="BE126" s="178"/>
      <c r="BF126" s="178"/>
      <c r="BG126" s="178"/>
      <c r="BH126" s="178"/>
      <c r="BI126" s="179"/>
      <c r="BJ126" s="180"/>
      <c r="BK126" s="178"/>
      <c r="BL126" s="178"/>
      <c r="BM126" s="178"/>
      <c r="BN126" s="178"/>
      <c r="BO126" s="181"/>
      <c r="BP126" s="166"/>
      <c r="BQ126" s="177"/>
      <c r="BR126" s="178"/>
      <c r="BS126" s="179"/>
      <c r="BU126" s="166"/>
      <c r="BV126" s="166"/>
      <c r="BW126" s="166"/>
      <c r="BX126" s="166"/>
      <c r="BY126" s="166"/>
      <c r="BZ126" s="166"/>
      <c r="CA126" s="166"/>
      <c r="CB126" s="166"/>
      <c r="CC126" s="166"/>
      <c r="CD126" s="177"/>
      <c r="CE126" s="181"/>
      <c r="CF126" s="177"/>
      <c r="CG126" s="179"/>
      <c r="CH126" s="257"/>
      <c r="CI126" s="182"/>
      <c r="CJ126" s="177"/>
      <c r="CK126" s="182"/>
      <c r="CL126" s="177"/>
      <c r="CM126" s="182"/>
      <c r="CN126" s="177"/>
      <c r="CO126" s="182"/>
      <c r="CP126" s="177"/>
      <c r="CQ126" s="178"/>
      <c r="CR126" s="182"/>
      <c r="CS126" s="173"/>
      <c r="CT126" s="65"/>
      <c r="CU126" s="255" t="str">
        <f t="shared" si="2"/>
        <v>DPS</v>
      </c>
    </row>
    <row r="127" ht="60.0" customHeight="1">
      <c r="A127" s="65"/>
      <c r="C127" s="167">
        <v>10.0</v>
      </c>
      <c r="D127" s="168" t="s">
        <v>195</v>
      </c>
      <c r="E127" s="169"/>
      <c r="F127" s="170"/>
      <c r="G127" s="170"/>
      <c r="H127" s="170"/>
      <c r="I127" s="170"/>
      <c r="J127" s="170"/>
      <c r="K127" s="171"/>
      <c r="L127" s="171"/>
      <c r="M127" s="171"/>
      <c r="N127" s="171"/>
      <c r="O127" s="256">
        <f t="shared" si="23"/>
        <v>0</v>
      </c>
      <c r="Q127" s="173"/>
      <c r="R127" s="65"/>
      <c r="S127" s="173"/>
      <c r="T127" s="173"/>
      <c r="U127" s="166"/>
      <c r="V127" s="166"/>
      <c r="W127" s="65"/>
      <c r="X127" s="66"/>
      <c r="Y127" s="173"/>
      <c r="Z127" s="166"/>
      <c r="AA127" s="174"/>
      <c r="AB127" s="175"/>
      <c r="AC127" s="175"/>
      <c r="AD127" s="175"/>
      <c r="AE127" s="175"/>
      <c r="AF127" s="175"/>
      <c r="AG127" s="175"/>
      <c r="AH127" s="175"/>
      <c r="AI127" s="176"/>
      <c r="AJ127" s="177"/>
      <c r="AK127" s="178"/>
      <c r="AL127" s="178"/>
      <c r="AM127" s="178"/>
      <c r="AN127" s="178"/>
      <c r="AO127" s="179"/>
      <c r="AP127" s="64"/>
      <c r="AQ127" s="65"/>
      <c r="AR127" s="65"/>
      <c r="AS127" s="65"/>
      <c r="AT127" s="173"/>
      <c r="AU127" s="177"/>
      <c r="AV127" s="178"/>
      <c r="AW127" s="178"/>
      <c r="AX127" s="179"/>
      <c r="AZ127" s="166"/>
      <c r="BA127" s="177"/>
      <c r="BB127" s="178"/>
      <c r="BC127" s="178"/>
      <c r="BD127" s="178"/>
      <c r="BE127" s="178"/>
      <c r="BF127" s="178"/>
      <c r="BG127" s="178"/>
      <c r="BH127" s="178"/>
      <c r="BI127" s="179"/>
      <c r="BJ127" s="180"/>
      <c r="BK127" s="178"/>
      <c r="BL127" s="178"/>
      <c r="BM127" s="178"/>
      <c r="BN127" s="178"/>
      <c r="BO127" s="181"/>
      <c r="BP127" s="166"/>
      <c r="BQ127" s="177"/>
      <c r="BR127" s="178"/>
      <c r="BS127" s="179"/>
      <c r="BU127" s="166"/>
      <c r="BV127" s="166"/>
      <c r="BW127" s="166"/>
      <c r="BX127" s="166"/>
      <c r="BY127" s="166"/>
      <c r="BZ127" s="166"/>
      <c r="CA127" s="166"/>
      <c r="CB127" s="166"/>
      <c r="CC127" s="166"/>
      <c r="CD127" s="177"/>
      <c r="CE127" s="181"/>
      <c r="CF127" s="177"/>
      <c r="CG127" s="179"/>
      <c r="CH127" s="257"/>
      <c r="CI127" s="182"/>
      <c r="CJ127" s="177"/>
      <c r="CK127" s="182"/>
      <c r="CL127" s="177"/>
      <c r="CM127" s="182"/>
      <c r="CN127" s="177"/>
      <c r="CO127" s="182"/>
      <c r="CP127" s="177"/>
      <c r="CQ127" s="178"/>
      <c r="CR127" s="182"/>
      <c r="CS127" s="173"/>
      <c r="CT127" s="65"/>
      <c r="CU127" s="255" t="str">
        <f t="shared" si="2"/>
        <v>DPS</v>
      </c>
    </row>
    <row r="128" ht="60.0" customHeight="1">
      <c r="A128" s="89"/>
      <c r="C128" s="183">
        <v>11.0</v>
      </c>
      <c r="D128" s="210" t="s">
        <v>195</v>
      </c>
      <c r="E128" s="185"/>
      <c r="F128" s="186"/>
      <c r="G128" s="186"/>
      <c r="H128" s="186"/>
      <c r="I128" s="186"/>
      <c r="J128" s="186"/>
      <c r="K128" s="187"/>
      <c r="L128" s="187"/>
      <c r="M128" s="187"/>
      <c r="N128" s="187"/>
      <c r="O128" s="258">
        <f t="shared" ref="O128:O134" si="24">IF(AND(M128&lt;&gt;0,M128&lt;&gt;"m",M128&lt;&gt;"",RIGHT(K128,3)="Lec"),1,IF(AND(M128&lt;&gt;0,M128&lt;&gt;"m",M128&lt;&gt;"",OR(RIGHT(K128,3)="Lab",RIGHT(K128,3)="Tut")),0.5,IF(AND(M128&lt;&gt;0,M128&lt;&gt;"m",M128&lt;&gt;"",RIGHT(K128,2)="TL"),0.75,0)))</f>
        <v>0</v>
      </c>
      <c r="P128" s="6"/>
      <c r="Q128" s="69"/>
      <c r="R128" s="89"/>
      <c r="S128" s="69"/>
      <c r="T128" s="69"/>
      <c r="U128" s="63"/>
      <c r="V128" s="63"/>
      <c r="W128" s="89"/>
      <c r="X128" s="68"/>
      <c r="Y128" s="69"/>
      <c r="Z128" s="63"/>
      <c r="AA128" s="189"/>
      <c r="AB128" s="190"/>
      <c r="AC128" s="190"/>
      <c r="AD128" s="190"/>
      <c r="AE128" s="190"/>
      <c r="AF128" s="190"/>
      <c r="AG128" s="190"/>
      <c r="AH128" s="190"/>
      <c r="AI128" s="191"/>
      <c r="AJ128" s="192"/>
      <c r="AK128" s="193"/>
      <c r="AL128" s="193"/>
      <c r="AM128" s="193"/>
      <c r="AN128" s="193"/>
      <c r="AO128" s="194"/>
      <c r="AP128" s="103"/>
      <c r="AQ128" s="89"/>
      <c r="AR128" s="89"/>
      <c r="AS128" s="89"/>
      <c r="AT128" s="69"/>
      <c r="AU128" s="192"/>
      <c r="AV128" s="193"/>
      <c r="AW128" s="193"/>
      <c r="AX128" s="194"/>
      <c r="AY128" s="6"/>
      <c r="AZ128" s="63"/>
      <c r="BA128" s="192"/>
      <c r="BB128" s="193"/>
      <c r="BC128" s="193"/>
      <c r="BD128" s="193"/>
      <c r="BE128" s="193"/>
      <c r="BF128" s="193"/>
      <c r="BG128" s="193"/>
      <c r="BH128" s="193"/>
      <c r="BI128" s="194"/>
      <c r="BJ128" s="195"/>
      <c r="BK128" s="193"/>
      <c r="BL128" s="193"/>
      <c r="BM128" s="193"/>
      <c r="BN128" s="193"/>
      <c r="BO128" s="196"/>
      <c r="BP128" s="63"/>
      <c r="BQ128" s="192"/>
      <c r="BR128" s="193"/>
      <c r="BS128" s="194"/>
      <c r="BT128" s="6"/>
      <c r="BU128" s="63"/>
      <c r="BV128" s="63"/>
      <c r="BW128" s="63"/>
      <c r="BX128" s="63"/>
      <c r="BY128" s="63"/>
      <c r="BZ128" s="63"/>
      <c r="CA128" s="63"/>
      <c r="CB128" s="63"/>
      <c r="CC128" s="63"/>
      <c r="CD128" s="192"/>
      <c r="CE128" s="196"/>
      <c r="CF128" s="192"/>
      <c r="CG128" s="194"/>
      <c r="CH128" s="259"/>
      <c r="CI128" s="197"/>
      <c r="CJ128" s="192"/>
      <c r="CK128" s="197"/>
      <c r="CL128" s="192"/>
      <c r="CM128" s="197"/>
      <c r="CN128" s="192"/>
      <c r="CO128" s="197"/>
      <c r="CP128" s="192"/>
      <c r="CQ128" s="193"/>
      <c r="CR128" s="197"/>
      <c r="CS128" s="69"/>
      <c r="CT128" s="89"/>
      <c r="CU128" s="255" t="str">
        <f t="shared" si="2"/>
        <v>DPS</v>
      </c>
    </row>
    <row r="129" ht="56.25" customHeight="1">
      <c r="A129" s="125">
        <v>12.0</v>
      </c>
      <c r="B129" s="199" t="s">
        <v>196</v>
      </c>
      <c r="C129" s="127">
        <v>1.0</v>
      </c>
      <c r="D129" s="168" t="s">
        <v>197</v>
      </c>
      <c r="E129" s="129"/>
      <c r="F129" s="130"/>
      <c r="G129" s="130"/>
      <c r="H129" s="130"/>
      <c r="I129" s="130"/>
      <c r="J129" s="130"/>
      <c r="K129" s="131"/>
      <c r="L129" s="131"/>
      <c r="M129" s="131"/>
      <c r="N129" s="131"/>
      <c r="O129" s="250">
        <f t="shared" si="24"/>
        <v>0</v>
      </c>
      <c r="P129" s="251">
        <f>COUNTIF(K129:K139,"TL")*0.75+COUNTIF(K129:K139,"Lec")*1+COUNTIF(K129:K139,"Lab")*0.5</f>
        <v>0</v>
      </c>
      <c r="Q129" s="134">
        <f>SUM((IF(LEFT(K129,1)="E",O129,0)),(IF(LEFT(K130,1)="E",O130,0)),(IF(LEFT(K131,1)="E",O131,0)),(IF(LEFT(K132,1)="E",O132,0)),(IF(LEFT(K133,1)="E",O133,0)),(IF(LEFT(K134,1)="E",O134,0)),(IF(LEFT(K135,1)="E",O135,0)),(IF(LEFT(K136,1)="E",O136,0)),(IF(LEFT(K137,1)="E",O137,0)),(IF(LEFT(K138,1)="E",O138,0)),(IF(LEFT(K139,1)="E",O139,0)))</f>
        <v>0</v>
      </c>
      <c r="R129" s="135">
        <f>SUM(IF(M135&lt;20,IF(K135="Plec",-1,IF(K135="PTL",-0.75,IF(K135="Plab",-0.5,0))),0),IF(M136&lt;20,IF(K136="Plec",-1,IF(K136="PTL",-0.75,IF(K136="Plab",-0.5,0))),0),IF(M137&lt;20,IF(K137="Plec",-1,IF(K137="PTL",-0.75,IF(K137="Plab",-0.5,0))),0),IF(M138&lt;20,IF(K138="Plec",-1,IF(K138="PTL",-0.75,IF(K138="Plab",-0.5,0))),0))</f>
        <v>0</v>
      </c>
      <c r="S129" s="134">
        <f>SUM(P129:R139)</f>
        <v>0</v>
      </c>
      <c r="T129" s="136">
        <f>SUM(IF(M129="M",IF(OR(K129="lec",K129="plec",K129="slec"),1,IF(OR(K129="lab",K129="plab",K129="slab",K129="tut",K129="ptut",K129="stut"),0.5,IF(OR(K129="TL",K129="pTL",K129="STL"),0.75,0))),0),IF(M130="M",IF(OR(K130="lec",K130="plec",K130="slec"),1,IF(OR(K130="lab",K130="plab",K130="slab",K130="tut",K130="ptut",K130="stut"),0.5,IF(OR(K130="TL",K130="pTL",K130="STL"),0.75,0))),0),IF(M131="M",IF(OR(K131="lec",K131="plec",K131="slec"),1,IF(OR(K131="lab",K131="plab",K131="slab",K131="tut",K131="ptut",K131="stut"),0.5,IF(OR(K131="TL",K131="pTL",K131="STL"),0.75,0))),0),IF(M132="M",IF(OR(K132="lec",K132="plec",K132="slec"),1,IF(OR(K132="lab",K132="plab",K132="slab",K132="tut",K132="ptut",K132="stut"),0.5,IF(OR(K132="TL",K132="pTL",K132="STL"),0.75,0))),0),IF(M133="M",IF(OR(K133="lec",K133="plec",K133="slec"),1,IF(OR(K133="lab",K133="plab",K133="slab",K133="tut",K133="ptut",K133="stut"),0.5,IF(OR(K133="TL",K133="pTL",K133="STL"),0.75,0))),0),IF(M134="M",IF(OR(K134="lec",K134="plec",K134="slec"),1,IF(OR(K134="lab",K134="plab",K134="slab",K134="tut",K134="ptut",K134="stut"),0.5,IF(OR(K134="TL",K134="pTL",K134="STL"),0.75,0))),0),IF(M135="M",IF(OR(K135="lec",K135="plec",K135="slec"),1,IF(OR(K135="lab",K135="plab",K135="slab",K135="tut",K135="ptut",K135="stut"),0.5,IF(OR(K135="TL",K135="pTL",K135="STL"),0.75,0))),0),IF(M136="M",IF(OR(K136="lec",K136="plec",K136="slec"),1,IF(OR(K136="lab",K136="plab",K136="slab",K136="tut",K136="ptut",K136="stut"),0.5,IF(OR(K136="TL",K136="pTL",K136="STL"),0.75,0))),0),IF(M137="M",IF(OR(K137="lec",K137="plec",K137="slec"),1,IF(OR(K137="lab",K137="plab",K137="slab",K137="tut",K137="ptut",K137="stut"),0.5,IF(OR(K137="TL",K137="pTL",K137="STL"),0.75,0))),0),IF(M138="M",IF(OR(K138="lec",K138="plec",K138="slec"),1,IF(OR(K138="lab",K138="plab",K138="slab",K138="tut",K138="ptut",K138="stut"),0.5,IF(OR(K138="TL",K138="pTL",K138="STL"),0.75,0))),0),IF(M139="M",IF(OR(K139="lec",K139="plec",K139="slec"),1,IF(OR(K139="lab",K139="plab",K139="slab",K139="tut",K139="ptut",K139="stut"),0.5,IF(OR(K139="TL",K139="pTL",K139="STL"),0.75,0))),0))</f>
        <v>0</v>
      </c>
      <c r="U129" s="137"/>
      <c r="V129" s="133"/>
      <c r="W129" s="138"/>
      <c r="X129" s="139">
        <f>S129-(T129+U129+V129+W129)</f>
        <v>0</v>
      </c>
      <c r="Y129" s="134" t="str">
        <f>CONCATENATE(SUM(O129:O139),"(",SUM(O129:O139)-X129,")")</f>
        <v>0(0)</v>
      </c>
      <c r="Z129" s="140"/>
      <c r="AA129" s="141"/>
      <c r="AB129" s="142"/>
      <c r="AC129" s="142"/>
      <c r="AD129" s="142"/>
      <c r="AE129" s="142"/>
      <c r="AF129" s="142"/>
      <c r="AG129" s="142"/>
      <c r="AH129" s="142"/>
      <c r="AI129" s="143"/>
      <c r="AJ129" s="144"/>
      <c r="AK129" s="145"/>
      <c r="AL129" s="145"/>
      <c r="AM129" s="145"/>
      <c r="AN129" s="145"/>
      <c r="AO129" s="146"/>
      <c r="AP129" s="147">
        <f>SUM(SUM(O129:O139),SUM(AI129:AI139)/2,AM129)</f>
        <v>0</v>
      </c>
      <c r="AQ129" s="148"/>
      <c r="AR129" s="148">
        <f>AP129*AQ129</f>
        <v>0</v>
      </c>
      <c r="AS129" s="148">
        <f>CT129</f>
        <v>0</v>
      </c>
      <c r="AT129" s="149">
        <f>AR129*0.75+AS129*0.25</f>
        <v>0</v>
      </c>
      <c r="AU129" s="150"/>
      <c r="AV129" s="151"/>
      <c r="AW129" s="151"/>
      <c r="AX129" s="152"/>
      <c r="AY129" s="153"/>
      <c r="AZ129" s="140"/>
      <c r="BA129" s="150"/>
      <c r="BB129" s="151"/>
      <c r="BC129" s="151"/>
      <c r="BD129" s="151"/>
      <c r="BE129" s="151"/>
      <c r="BF129" s="151"/>
      <c r="BG129" s="151"/>
      <c r="BH129" s="151"/>
      <c r="BI129" s="152"/>
      <c r="BJ129" s="154"/>
      <c r="BK129" s="151"/>
      <c r="BL129" s="151"/>
      <c r="BM129" s="151"/>
      <c r="BN129" s="151"/>
      <c r="BO129" s="155"/>
      <c r="BP129" s="140"/>
      <c r="BQ129" s="156"/>
      <c r="BR129" s="157"/>
      <c r="BS129" s="158"/>
      <c r="BT129" s="153"/>
      <c r="BU129" s="140"/>
      <c r="BV129" s="140"/>
      <c r="BW129" s="140"/>
      <c r="BX129" s="140"/>
      <c r="BY129" s="140"/>
      <c r="BZ129" s="140"/>
      <c r="CA129" s="140"/>
      <c r="CB129" s="140"/>
      <c r="CC129" s="140"/>
      <c r="CD129" s="150"/>
      <c r="CE129" s="155"/>
      <c r="CF129" s="150"/>
      <c r="CG129" s="152"/>
      <c r="CH129" s="252"/>
      <c r="CI129" s="160"/>
      <c r="CJ129" s="159"/>
      <c r="CK129" s="160"/>
      <c r="CL129" s="159"/>
      <c r="CM129" s="160"/>
      <c r="CN129" s="159"/>
      <c r="CO129" s="160"/>
      <c r="CP129" s="159"/>
      <c r="CQ129" s="162"/>
      <c r="CR129" s="160"/>
      <c r="CS129" s="253">
        <f>SUM(IF(AU129&lt;0,ABS(AU129),0),IF(AZ129&lt;0,ABS(AZ129),0),ABS(CI129),ABS(CK129),ABS(CM129),ABS(CO129),ABS(CQ129),ABS(CR129))</f>
        <v>0</v>
      </c>
      <c r="CT129" s="254">
        <f>SUM(AU129,AV129,AW129,AX129/400,AY129,AZ129,BG129,BH129*0.5,BI129*0.25,BJ129,BK129,BL129,BM129,BN129,BO129,BP129,BR129/20,BS129/100,BT129/60,BU129,BV129,BW129,BX129/4,SUM(BY129:CC139)/3,CE129,CG129/3,CI129,CK129,CM129,CO129,CQ129,CR129)</f>
        <v>0</v>
      </c>
      <c r="CU129" s="255" t="str">
        <f t="shared" si="2"/>
        <v>MSS</v>
      </c>
    </row>
    <row r="130" ht="60.0" customHeight="1">
      <c r="A130" s="65"/>
      <c r="C130" s="167">
        <v>2.0</v>
      </c>
      <c r="D130" s="168" t="s">
        <v>197</v>
      </c>
      <c r="E130" s="169"/>
      <c r="F130" s="170"/>
      <c r="G130" s="170"/>
      <c r="H130" s="170"/>
      <c r="I130" s="170"/>
      <c r="J130" s="170"/>
      <c r="K130" s="171"/>
      <c r="L130" s="171"/>
      <c r="M130" s="171"/>
      <c r="N130" s="171"/>
      <c r="O130" s="256">
        <f t="shared" si="24"/>
        <v>0</v>
      </c>
      <c r="Q130" s="173"/>
      <c r="R130" s="65"/>
      <c r="S130" s="173"/>
      <c r="T130" s="173"/>
      <c r="U130" s="166"/>
      <c r="V130" s="166"/>
      <c r="W130" s="65"/>
      <c r="X130" s="66"/>
      <c r="Y130" s="173"/>
      <c r="Z130" s="166"/>
      <c r="AA130" s="174"/>
      <c r="AB130" s="175"/>
      <c r="AC130" s="175"/>
      <c r="AD130" s="175"/>
      <c r="AE130" s="175"/>
      <c r="AF130" s="175"/>
      <c r="AG130" s="175"/>
      <c r="AH130" s="175"/>
      <c r="AI130" s="176"/>
      <c r="AJ130" s="177"/>
      <c r="AK130" s="178"/>
      <c r="AL130" s="178"/>
      <c r="AM130" s="178"/>
      <c r="AN130" s="178"/>
      <c r="AO130" s="179"/>
      <c r="AP130" s="64"/>
      <c r="AQ130" s="65"/>
      <c r="AR130" s="65"/>
      <c r="AS130" s="65"/>
      <c r="AT130" s="173"/>
      <c r="AU130" s="177"/>
      <c r="AV130" s="178"/>
      <c r="AW130" s="178"/>
      <c r="AX130" s="179"/>
      <c r="AZ130" s="166"/>
      <c r="BA130" s="177"/>
      <c r="BB130" s="178"/>
      <c r="BC130" s="178"/>
      <c r="BD130" s="178"/>
      <c r="BE130" s="178"/>
      <c r="BF130" s="178"/>
      <c r="BG130" s="178"/>
      <c r="BH130" s="178"/>
      <c r="BI130" s="179"/>
      <c r="BJ130" s="180"/>
      <c r="BK130" s="178"/>
      <c r="BL130" s="178"/>
      <c r="BM130" s="178"/>
      <c r="BN130" s="178"/>
      <c r="BO130" s="181"/>
      <c r="BP130" s="166"/>
      <c r="BQ130" s="177"/>
      <c r="BR130" s="178"/>
      <c r="BS130" s="179"/>
      <c r="BU130" s="166"/>
      <c r="BV130" s="166"/>
      <c r="BW130" s="166"/>
      <c r="BX130" s="166"/>
      <c r="BY130" s="166"/>
      <c r="BZ130" s="166"/>
      <c r="CA130" s="166"/>
      <c r="CB130" s="166"/>
      <c r="CC130" s="166"/>
      <c r="CD130" s="177"/>
      <c r="CE130" s="181"/>
      <c r="CF130" s="177"/>
      <c r="CG130" s="179"/>
      <c r="CH130" s="257"/>
      <c r="CI130" s="182"/>
      <c r="CJ130" s="177"/>
      <c r="CK130" s="182"/>
      <c r="CL130" s="177"/>
      <c r="CM130" s="182"/>
      <c r="CN130" s="177"/>
      <c r="CO130" s="182"/>
      <c r="CP130" s="177"/>
      <c r="CQ130" s="178"/>
      <c r="CR130" s="182"/>
      <c r="CS130" s="173"/>
      <c r="CT130" s="65"/>
      <c r="CU130" s="255" t="str">
        <f t="shared" si="2"/>
        <v>MSS</v>
      </c>
    </row>
    <row r="131" ht="60.0" customHeight="1">
      <c r="A131" s="65"/>
      <c r="C131" s="167">
        <v>3.0</v>
      </c>
      <c r="D131" s="168" t="s">
        <v>197</v>
      </c>
      <c r="E131" s="169"/>
      <c r="F131" s="170"/>
      <c r="G131" s="170"/>
      <c r="H131" s="170"/>
      <c r="I131" s="170"/>
      <c r="J131" s="170"/>
      <c r="K131" s="171"/>
      <c r="L131" s="171"/>
      <c r="M131" s="171"/>
      <c r="N131" s="171"/>
      <c r="O131" s="256">
        <f t="shared" si="24"/>
        <v>0</v>
      </c>
      <c r="Q131" s="173"/>
      <c r="R131" s="65"/>
      <c r="S131" s="173"/>
      <c r="T131" s="173"/>
      <c r="U131" s="166"/>
      <c r="V131" s="166"/>
      <c r="W131" s="65"/>
      <c r="X131" s="66"/>
      <c r="Y131" s="173"/>
      <c r="Z131" s="166"/>
      <c r="AA131" s="174"/>
      <c r="AB131" s="175"/>
      <c r="AC131" s="175"/>
      <c r="AD131" s="175"/>
      <c r="AE131" s="175"/>
      <c r="AF131" s="175"/>
      <c r="AG131" s="175"/>
      <c r="AH131" s="175"/>
      <c r="AI131" s="176"/>
      <c r="AJ131" s="177"/>
      <c r="AK131" s="178"/>
      <c r="AL131" s="178"/>
      <c r="AM131" s="178"/>
      <c r="AN131" s="178"/>
      <c r="AO131" s="179"/>
      <c r="AP131" s="64"/>
      <c r="AQ131" s="65"/>
      <c r="AR131" s="65"/>
      <c r="AS131" s="65"/>
      <c r="AT131" s="173"/>
      <c r="AU131" s="177"/>
      <c r="AV131" s="178"/>
      <c r="AW131" s="178"/>
      <c r="AX131" s="179"/>
      <c r="AZ131" s="166"/>
      <c r="BA131" s="177"/>
      <c r="BB131" s="178"/>
      <c r="BC131" s="178"/>
      <c r="BD131" s="178"/>
      <c r="BE131" s="178"/>
      <c r="BF131" s="178"/>
      <c r="BG131" s="178"/>
      <c r="BH131" s="178"/>
      <c r="BI131" s="179"/>
      <c r="BJ131" s="180"/>
      <c r="BK131" s="178"/>
      <c r="BL131" s="178"/>
      <c r="BM131" s="178"/>
      <c r="BN131" s="178"/>
      <c r="BO131" s="181"/>
      <c r="BP131" s="166"/>
      <c r="BQ131" s="177"/>
      <c r="BR131" s="178"/>
      <c r="BS131" s="179"/>
      <c r="BU131" s="166"/>
      <c r="BV131" s="166"/>
      <c r="BW131" s="166"/>
      <c r="BX131" s="166"/>
      <c r="BY131" s="166"/>
      <c r="BZ131" s="166"/>
      <c r="CA131" s="166"/>
      <c r="CB131" s="166"/>
      <c r="CC131" s="166"/>
      <c r="CD131" s="177"/>
      <c r="CE131" s="181"/>
      <c r="CF131" s="177"/>
      <c r="CG131" s="179"/>
      <c r="CH131" s="257"/>
      <c r="CI131" s="182"/>
      <c r="CJ131" s="177"/>
      <c r="CK131" s="182"/>
      <c r="CL131" s="177"/>
      <c r="CM131" s="182"/>
      <c r="CN131" s="177"/>
      <c r="CO131" s="182"/>
      <c r="CP131" s="177"/>
      <c r="CQ131" s="178"/>
      <c r="CR131" s="182"/>
      <c r="CS131" s="173"/>
      <c r="CT131" s="65"/>
      <c r="CU131" s="255" t="str">
        <f t="shared" si="2"/>
        <v>MSS</v>
      </c>
    </row>
    <row r="132" ht="60.0" customHeight="1">
      <c r="A132" s="65"/>
      <c r="C132" s="167">
        <v>4.0</v>
      </c>
      <c r="D132" s="168" t="s">
        <v>197</v>
      </c>
      <c r="E132" s="169"/>
      <c r="F132" s="170"/>
      <c r="G132" s="170"/>
      <c r="H132" s="170"/>
      <c r="I132" s="170"/>
      <c r="J132" s="170"/>
      <c r="K132" s="171"/>
      <c r="L132" s="171"/>
      <c r="M132" s="171"/>
      <c r="N132" s="171"/>
      <c r="O132" s="256">
        <f t="shared" si="24"/>
        <v>0</v>
      </c>
      <c r="Q132" s="173"/>
      <c r="R132" s="65"/>
      <c r="S132" s="173"/>
      <c r="T132" s="173"/>
      <c r="U132" s="166"/>
      <c r="V132" s="166"/>
      <c r="W132" s="65"/>
      <c r="X132" s="66"/>
      <c r="Y132" s="173"/>
      <c r="Z132" s="166"/>
      <c r="AA132" s="174"/>
      <c r="AB132" s="175"/>
      <c r="AC132" s="175"/>
      <c r="AD132" s="175"/>
      <c r="AE132" s="175"/>
      <c r="AF132" s="175"/>
      <c r="AG132" s="175"/>
      <c r="AH132" s="175"/>
      <c r="AI132" s="176"/>
      <c r="AJ132" s="177"/>
      <c r="AK132" s="178"/>
      <c r="AL132" s="178"/>
      <c r="AM132" s="178"/>
      <c r="AN132" s="178"/>
      <c r="AO132" s="179"/>
      <c r="AP132" s="64"/>
      <c r="AQ132" s="65"/>
      <c r="AR132" s="65"/>
      <c r="AS132" s="65"/>
      <c r="AT132" s="173"/>
      <c r="AU132" s="177"/>
      <c r="AV132" s="178"/>
      <c r="AW132" s="178"/>
      <c r="AX132" s="179"/>
      <c r="AZ132" s="166"/>
      <c r="BA132" s="177"/>
      <c r="BB132" s="178"/>
      <c r="BC132" s="178"/>
      <c r="BD132" s="178"/>
      <c r="BE132" s="178"/>
      <c r="BF132" s="178"/>
      <c r="BG132" s="178"/>
      <c r="BH132" s="178"/>
      <c r="BI132" s="179"/>
      <c r="BJ132" s="180"/>
      <c r="BK132" s="178"/>
      <c r="BL132" s="178"/>
      <c r="BM132" s="178"/>
      <c r="BN132" s="178"/>
      <c r="BO132" s="181"/>
      <c r="BP132" s="166"/>
      <c r="BQ132" s="177"/>
      <c r="BR132" s="178"/>
      <c r="BS132" s="179"/>
      <c r="BU132" s="166"/>
      <c r="BV132" s="166"/>
      <c r="BW132" s="166"/>
      <c r="BX132" s="166"/>
      <c r="BY132" s="166"/>
      <c r="BZ132" s="166"/>
      <c r="CA132" s="166"/>
      <c r="CB132" s="166"/>
      <c r="CC132" s="166"/>
      <c r="CD132" s="177"/>
      <c r="CE132" s="181"/>
      <c r="CF132" s="177"/>
      <c r="CG132" s="179"/>
      <c r="CH132" s="257"/>
      <c r="CI132" s="182"/>
      <c r="CJ132" s="177"/>
      <c r="CK132" s="182"/>
      <c r="CL132" s="177"/>
      <c r="CM132" s="182"/>
      <c r="CN132" s="177"/>
      <c r="CO132" s="182"/>
      <c r="CP132" s="177"/>
      <c r="CQ132" s="178"/>
      <c r="CR132" s="182"/>
      <c r="CS132" s="173"/>
      <c r="CT132" s="65"/>
      <c r="CU132" s="255" t="str">
        <f t="shared" si="2"/>
        <v>MSS</v>
      </c>
    </row>
    <row r="133" ht="60.0" customHeight="1">
      <c r="A133" s="65"/>
      <c r="C133" s="167">
        <v>5.0</v>
      </c>
      <c r="D133" s="168" t="s">
        <v>197</v>
      </c>
      <c r="E133" s="169"/>
      <c r="F133" s="170"/>
      <c r="G133" s="170"/>
      <c r="H133" s="170"/>
      <c r="I133" s="170"/>
      <c r="J133" s="170"/>
      <c r="K133" s="171"/>
      <c r="L133" s="171"/>
      <c r="M133" s="171"/>
      <c r="N133" s="171"/>
      <c r="O133" s="256">
        <f t="shared" si="24"/>
        <v>0</v>
      </c>
      <c r="Q133" s="173"/>
      <c r="R133" s="65"/>
      <c r="S133" s="173"/>
      <c r="T133" s="173"/>
      <c r="U133" s="166"/>
      <c r="V133" s="166"/>
      <c r="W133" s="65"/>
      <c r="X133" s="66"/>
      <c r="Y133" s="173"/>
      <c r="Z133" s="166"/>
      <c r="AA133" s="174"/>
      <c r="AB133" s="175"/>
      <c r="AC133" s="175"/>
      <c r="AD133" s="175"/>
      <c r="AE133" s="175"/>
      <c r="AF133" s="175"/>
      <c r="AG133" s="175"/>
      <c r="AH133" s="175"/>
      <c r="AI133" s="176"/>
      <c r="AJ133" s="177"/>
      <c r="AK133" s="178"/>
      <c r="AL133" s="178"/>
      <c r="AM133" s="178"/>
      <c r="AN133" s="178"/>
      <c r="AO133" s="179"/>
      <c r="AP133" s="64"/>
      <c r="AQ133" s="65"/>
      <c r="AR133" s="65"/>
      <c r="AS133" s="65"/>
      <c r="AT133" s="173"/>
      <c r="AU133" s="177"/>
      <c r="AV133" s="178"/>
      <c r="AW133" s="178"/>
      <c r="AX133" s="179"/>
      <c r="AZ133" s="166"/>
      <c r="BA133" s="177"/>
      <c r="BB133" s="178"/>
      <c r="BC133" s="178"/>
      <c r="BD133" s="178"/>
      <c r="BE133" s="178"/>
      <c r="BF133" s="178"/>
      <c r="BG133" s="178"/>
      <c r="BH133" s="178"/>
      <c r="BI133" s="179"/>
      <c r="BJ133" s="180"/>
      <c r="BK133" s="178"/>
      <c r="BL133" s="178"/>
      <c r="BM133" s="178"/>
      <c r="BN133" s="178"/>
      <c r="BO133" s="181"/>
      <c r="BP133" s="166"/>
      <c r="BQ133" s="177"/>
      <c r="BR133" s="178"/>
      <c r="BS133" s="179"/>
      <c r="BU133" s="166"/>
      <c r="BV133" s="166"/>
      <c r="BW133" s="166"/>
      <c r="BX133" s="166"/>
      <c r="BY133" s="166"/>
      <c r="BZ133" s="166"/>
      <c r="CA133" s="166"/>
      <c r="CB133" s="166"/>
      <c r="CC133" s="166"/>
      <c r="CD133" s="177"/>
      <c r="CE133" s="181"/>
      <c r="CF133" s="177"/>
      <c r="CG133" s="179"/>
      <c r="CH133" s="257"/>
      <c r="CI133" s="182"/>
      <c r="CJ133" s="177"/>
      <c r="CK133" s="182"/>
      <c r="CL133" s="177"/>
      <c r="CM133" s="182"/>
      <c r="CN133" s="177"/>
      <c r="CO133" s="182"/>
      <c r="CP133" s="177"/>
      <c r="CQ133" s="178"/>
      <c r="CR133" s="182"/>
      <c r="CS133" s="173"/>
      <c r="CT133" s="65"/>
      <c r="CU133" s="255" t="str">
        <f t="shared" si="2"/>
        <v>MSS</v>
      </c>
    </row>
    <row r="134" ht="60.0" customHeight="1">
      <c r="A134" s="65"/>
      <c r="C134" s="167">
        <v>6.0</v>
      </c>
      <c r="D134" s="168" t="s">
        <v>197</v>
      </c>
      <c r="E134" s="169"/>
      <c r="F134" s="170"/>
      <c r="G134" s="170"/>
      <c r="H134" s="170"/>
      <c r="I134" s="170"/>
      <c r="J134" s="170"/>
      <c r="K134" s="171"/>
      <c r="L134" s="171"/>
      <c r="M134" s="171"/>
      <c r="N134" s="171"/>
      <c r="O134" s="256">
        <f t="shared" si="24"/>
        <v>0</v>
      </c>
      <c r="Q134" s="173"/>
      <c r="R134" s="65"/>
      <c r="S134" s="173"/>
      <c r="T134" s="173"/>
      <c r="U134" s="166"/>
      <c r="V134" s="166"/>
      <c r="W134" s="65"/>
      <c r="X134" s="66"/>
      <c r="Y134" s="173"/>
      <c r="Z134" s="166"/>
      <c r="AA134" s="174"/>
      <c r="AB134" s="175"/>
      <c r="AC134" s="175"/>
      <c r="AD134" s="175"/>
      <c r="AE134" s="175"/>
      <c r="AF134" s="175"/>
      <c r="AG134" s="175"/>
      <c r="AH134" s="175"/>
      <c r="AI134" s="176"/>
      <c r="AJ134" s="177"/>
      <c r="AK134" s="178"/>
      <c r="AL134" s="178"/>
      <c r="AM134" s="178"/>
      <c r="AN134" s="178"/>
      <c r="AO134" s="179"/>
      <c r="AP134" s="64"/>
      <c r="AQ134" s="65"/>
      <c r="AR134" s="65"/>
      <c r="AS134" s="65"/>
      <c r="AT134" s="173"/>
      <c r="AU134" s="177"/>
      <c r="AV134" s="178"/>
      <c r="AW134" s="178"/>
      <c r="AX134" s="179"/>
      <c r="AZ134" s="166"/>
      <c r="BA134" s="177"/>
      <c r="BB134" s="178"/>
      <c r="BC134" s="178"/>
      <c r="BD134" s="178"/>
      <c r="BE134" s="178"/>
      <c r="BF134" s="178"/>
      <c r="BG134" s="178"/>
      <c r="BH134" s="178"/>
      <c r="BI134" s="179"/>
      <c r="BJ134" s="180"/>
      <c r="BK134" s="178"/>
      <c r="BL134" s="178"/>
      <c r="BM134" s="178"/>
      <c r="BN134" s="178"/>
      <c r="BO134" s="181"/>
      <c r="BP134" s="166"/>
      <c r="BQ134" s="177"/>
      <c r="BR134" s="178"/>
      <c r="BS134" s="179"/>
      <c r="BU134" s="166"/>
      <c r="BV134" s="166"/>
      <c r="BW134" s="166"/>
      <c r="BX134" s="166"/>
      <c r="BY134" s="166"/>
      <c r="BZ134" s="166"/>
      <c r="CA134" s="166"/>
      <c r="CB134" s="166"/>
      <c r="CC134" s="166"/>
      <c r="CD134" s="177"/>
      <c r="CE134" s="181"/>
      <c r="CF134" s="177"/>
      <c r="CG134" s="179"/>
      <c r="CH134" s="257"/>
      <c r="CI134" s="182"/>
      <c r="CJ134" s="177"/>
      <c r="CK134" s="182"/>
      <c r="CL134" s="177"/>
      <c r="CM134" s="182"/>
      <c r="CN134" s="177"/>
      <c r="CO134" s="182"/>
      <c r="CP134" s="177"/>
      <c r="CQ134" s="178"/>
      <c r="CR134" s="182"/>
      <c r="CS134" s="173"/>
      <c r="CT134" s="65"/>
      <c r="CU134" s="255" t="str">
        <f t="shared" si="2"/>
        <v>MSS</v>
      </c>
    </row>
    <row r="135" ht="60.0" customHeight="1">
      <c r="A135" s="65"/>
      <c r="C135" s="167">
        <v>7.0</v>
      </c>
      <c r="D135" s="168" t="s">
        <v>197</v>
      </c>
      <c r="E135" s="169"/>
      <c r="F135" s="170"/>
      <c r="G135" s="170"/>
      <c r="H135" s="170"/>
      <c r="I135" s="170"/>
      <c r="J135" s="170"/>
      <c r="K135" s="171"/>
      <c r="L135" s="171"/>
      <c r="M135" s="171"/>
      <c r="N135" s="171"/>
      <c r="O135" s="256">
        <f t="shared" ref="O135:O138" si="25">IF(AND(M135&gt;=20,M135&lt;&gt;"m",RIGHT(K135,3)="Lec"),1,IF(AND(M135&gt;=20,M135&lt;&gt;"m",OR(RIGHT(K135,3)="Lab",RIGHT(K135,3)="Tut")),0.5,IF(AND(M135&gt;=20,M135&lt;&gt;"m",RIGHT(K135,2)="TL"),0.75,0)))</f>
        <v>0</v>
      </c>
      <c r="Q135" s="173"/>
      <c r="R135" s="65"/>
      <c r="S135" s="173"/>
      <c r="T135" s="173"/>
      <c r="U135" s="166"/>
      <c r="V135" s="166"/>
      <c r="W135" s="65"/>
      <c r="X135" s="66"/>
      <c r="Y135" s="173"/>
      <c r="Z135" s="166"/>
      <c r="AA135" s="174"/>
      <c r="AB135" s="175"/>
      <c r="AC135" s="175"/>
      <c r="AD135" s="175"/>
      <c r="AE135" s="175"/>
      <c r="AF135" s="175"/>
      <c r="AG135" s="175"/>
      <c r="AH135" s="175"/>
      <c r="AI135" s="176"/>
      <c r="AJ135" s="177"/>
      <c r="AK135" s="178"/>
      <c r="AL135" s="178"/>
      <c r="AM135" s="178"/>
      <c r="AN135" s="178"/>
      <c r="AO135" s="179"/>
      <c r="AP135" s="64"/>
      <c r="AQ135" s="65"/>
      <c r="AR135" s="65"/>
      <c r="AS135" s="65"/>
      <c r="AT135" s="173"/>
      <c r="AU135" s="177"/>
      <c r="AV135" s="178"/>
      <c r="AW135" s="178"/>
      <c r="AX135" s="179"/>
      <c r="AZ135" s="166"/>
      <c r="BA135" s="177"/>
      <c r="BB135" s="178"/>
      <c r="BC135" s="178"/>
      <c r="BD135" s="178"/>
      <c r="BE135" s="178"/>
      <c r="BF135" s="178"/>
      <c r="BG135" s="178"/>
      <c r="BH135" s="178"/>
      <c r="BI135" s="179"/>
      <c r="BJ135" s="180"/>
      <c r="BK135" s="178"/>
      <c r="BL135" s="178"/>
      <c r="BM135" s="178"/>
      <c r="BN135" s="178"/>
      <c r="BO135" s="181"/>
      <c r="BP135" s="166"/>
      <c r="BQ135" s="177"/>
      <c r="BR135" s="178"/>
      <c r="BS135" s="179"/>
      <c r="BU135" s="166"/>
      <c r="BV135" s="166"/>
      <c r="BW135" s="166"/>
      <c r="BX135" s="166"/>
      <c r="BY135" s="166"/>
      <c r="BZ135" s="166"/>
      <c r="CA135" s="166"/>
      <c r="CB135" s="166"/>
      <c r="CC135" s="166"/>
      <c r="CD135" s="177"/>
      <c r="CE135" s="181"/>
      <c r="CF135" s="177"/>
      <c r="CG135" s="179"/>
      <c r="CH135" s="257"/>
      <c r="CI135" s="182"/>
      <c r="CJ135" s="177"/>
      <c r="CK135" s="182"/>
      <c r="CL135" s="177"/>
      <c r="CM135" s="182"/>
      <c r="CN135" s="177"/>
      <c r="CO135" s="182"/>
      <c r="CP135" s="177"/>
      <c r="CQ135" s="178"/>
      <c r="CR135" s="182"/>
      <c r="CS135" s="173"/>
      <c r="CT135" s="65"/>
      <c r="CU135" s="255" t="str">
        <f t="shared" si="2"/>
        <v>MSS</v>
      </c>
    </row>
    <row r="136" ht="60.0" customHeight="1">
      <c r="A136" s="65"/>
      <c r="C136" s="167">
        <v>8.0</v>
      </c>
      <c r="D136" s="168" t="s">
        <v>197</v>
      </c>
      <c r="E136" s="169"/>
      <c r="F136" s="170"/>
      <c r="G136" s="170"/>
      <c r="H136" s="170"/>
      <c r="I136" s="170"/>
      <c r="J136" s="170"/>
      <c r="K136" s="171"/>
      <c r="L136" s="171"/>
      <c r="M136" s="171"/>
      <c r="N136" s="171"/>
      <c r="O136" s="256">
        <f t="shared" si="25"/>
        <v>0</v>
      </c>
      <c r="Q136" s="173"/>
      <c r="R136" s="65"/>
      <c r="S136" s="173"/>
      <c r="T136" s="173"/>
      <c r="U136" s="166"/>
      <c r="V136" s="166"/>
      <c r="W136" s="65"/>
      <c r="X136" s="66"/>
      <c r="Y136" s="173"/>
      <c r="Z136" s="166"/>
      <c r="AA136" s="174"/>
      <c r="AB136" s="175"/>
      <c r="AC136" s="175"/>
      <c r="AD136" s="175"/>
      <c r="AE136" s="175"/>
      <c r="AF136" s="175"/>
      <c r="AG136" s="175"/>
      <c r="AH136" s="175"/>
      <c r="AI136" s="176"/>
      <c r="AJ136" s="177"/>
      <c r="AK136" s="178"/>
      <c r="AL136" s="178"/>
      <c r="AM136" s="178"/>
      <c r="AN136" s="178"/>
      <c r="AO136" s="179"/>
      <c r="AP136" s="64"/>
      <c r="AQ136" s="65"/>
      <c r="AR136" s="65"/>
      <c r="AS136" s="65"/>
      <c r="AT136" s="173"/>
      <c r="AU136" s="177"/>
      <c r="AV136" s="178"/>
      <c r="AW136" s="178"/>
      <c r="AX136" s="179"/>
      <c r="AZ136" s="166"/>
      <c r="BA136" s="177"/>
      <c r="BB136" s="178"/>
      <c r="BC136" s="178"/>
      <c r="BD136" s="178"/>
      <c r="BE136" s="178"/>
      <c r="BF136" s="178"/>
      <c r="BG136" s="178"/>
      <c r="BH136" s="178"/>
      <c r="BI136" s="179"/>
      <c r="BJ136" s="180"/>
      <c r="BK136" s="178"/>
      <c r="BL136" s="178"/>
      <c r="BM136" s="178"/>
      <c r="BN136" s="178"/>
      <c r="BO136" s="181"/>
      <c r="BP136" s="166"/>
      <c r="BQ136" s="177"/>
      <c r="BR136" s="178"/>
      <c r="BS136" s="179"/>
      <c r="BU136" s="166"/>
      <c r="BV136" s="166"/>
      <c r="BW136" s="166"/>
      <c r="BX136" s="166"/>
      <c r="BY136" s="166"/>
      <c r="BZ136" s="166"/>
      <c r="CA136" s="166"/>
      <c r="CB136" s="166"/>
      <c r="CC136" s="166"/>
      <c r="CD136" s="177"/>
      <c r="CE136" s="181"/>
      <c r="CF136" s="177"/>
      <c r="CG136" s="179"/>
      <c r="CH136" s="257"/>
      <c r="CI136" s="182"/>
      <c r="CJ136" s="177"/>
      <c r="CK136" s="182"/>
      <c r="CL136" s="177"/>
      <c r="CM136" s="182"/>
      <c r="CN136" s="177"/>
      <c r="CO136" s="182"/>
      <c r="CP136" s="177"/>
      <c r="CQ136" s="178"/>
      <c r="CR136" s="182"/>
      <c r="CS136" s="173"/>
      <c r="CT136" s="65"/>
      <c r="CU136" s="255" t="str">
        <f t="shared" si="2"/>
        <v>MSS</v>
      </c>
    </row>
    <row r="137" ht="60.0" customHeight="1">
      <c r="A137" s="65"/>
      <c r="C137" s="167">
        <v>9.0</v>
      </c>
      <c r="D137" s="168" t="s">
        <v>197</v>
      </c>
      <c r="E137" s="169"/>
      <c r="F137" s="170"/>
      <c r="G137" s="170"/>
      <c r="H137" s="170"/>
      <c r="I137" s="170"/>
      <c r="J137" s="170"/>
      <c r="K137" s="171"/>
      <c r="L137" s="171"/>
      <c r="M137" s="171"/>
      <c r="N137" s="171"/>
      <c r="O137" s="256">
        <f t="shared" si="25"/>
        <v>0</v>
      </c>
      <c r="Q137" s="173"/>
      <c r="R137" s="65"/>
      <c r="S137" s="173"/>
      <c r="T137" s="173"/>
      <c r="U137" s="166"/>
      <c r="V137" s="166"/>
      <c r="W137" s="65"/>
      <c r="X137" s="66"/>
      <c r="Y137" s="173"/>
      <c r="Z137" s="166"/>
      <c r="AA137" s="174"/>
      <c r="AB137" s="175"/>
      <c r="AC137" s="175"/>
      <c r="AD137" s="175"/>
      <c r="AE137" s="175"/>
      <c r="AF137" s="175"/>
      <c r="AG137" s="175"/>
      <c r="AH137" s="175"/>
      <c r="AI137" s="176"/>
      <c r="AJ137" s="177"/>
      <c r="AK137" s="178"/>
      <c r="AL137" s="178"/>
      <c r="AM137" s="178"/>
      <c r="AN137" s="178"/>
      <c r="AO137" s="179"/>
      <c r="AP137" s="64"/>
      <c r="AQ137" s="65"/>
      <c r="AR137" s="65"/>
      <c r="AS137" s="65"/>
      <c r="AT137" s="173"/>
      <c r="AU137" s="177"/>
      <c r="AV137" s="178"/>
      <c r="AW137" s="178"/>
      <c r="AX137" s="179"/>
      <c r="AZ137" s="166"/>
      <c r="BA137" s="177"/>
      <c r="BB137" s="178"/>
      <c r="BC137" s="178"/>
      <c r="BD137" s="178"/>
      <c r="BE137" s="178"/>
      <c r="BF137" s="178"/>
      <c r="BG137" s="178"/>
      <c r="BH137" s="178"/>
      <c r="BI137" s="179"/>
      <c r="BJ137" s="180"/>
      <c r="BK137" s="178"/>
      <c r="BL137" s="178"/>
      <c r="BM137" s="178"/>
      <c r="BN137" s="178"/>
      <c r="BO137" s="181"/>
      <c r="BP137" s="166"/>
      <c r="BQ137" s="177"/>
      <c r="BR137" s="178"/>
      <c r="BS137" s="179"/>
      <c r="BU137" s="166"/>
      <c r="BV137" s="166"/>
      <c r="BW137" s="166"/>
      <c r="BX137" s="166"/>
      <c r="BY137" s="166"/>
      <c r="BZ137" s="166"/>
      <c r="CA137" s="166"/>
      <c r="CB137" s="166"/>
      <c r="CC137" s="166"/>
      <c r="CD137" s="177"/>
      <c r="CE137" s="181"/>
      <c r="CF137" s="177"/>
      <c r="CG137" s="179"/>
      <c r="CH137" s="257"/>
      <c r="CI137" s="182"/>
      <c r="CJ137" s="177"/>
      <c r="CK137" s="182"/>
      <c r="CL137" s="177"/>
      <c r="CM137" s="182"/>
      <c r="CN137" s="177"/>
      <c r="CO137" s="182"/>
      <c r="CP137" s="177"/>
      <c r="CQ137" s="178"/>
      <c r="CR137" s="182"/>
      <c r="CS137" s="173"/>
      <c r="CT137" s="65"/>
      <c r="CU137" s="255" t="str">
        <f t="shared" si="2"/>
        <v>MSS</v>
      </c>
    </row>
    <row r="138" ht="60.0" customHeight="1">
      <c r="A138" s="65"/>
      <c r="C138" s="167">
        <v>10.0</v>
      </c>
      <c r="D138" s="168" t="s">
        <v>197</v>
      </c>
      <c r="E138" s="169"/>
      <c r="F138" s="170"/>
      <c r="G138" s="170"/>
      <c r="H138" s="170"/>
      <c r="I138" s="170"/>
      <c r="J138" s="170"/>
      <c r="K138" s="171"/>
      <c r="L138" s="171"/>
      <c r="M138" s="171"/>
      <c r="N138" s="171"/>
      <c r="O138" s="256">
        <f t="shared" si="25"/>
        <v>0</v>
      </c>
      <c r="Q138" s="173"/>
      <c r="R138" s="65"/>
      <c r="S138" s="173"/>
      <c r="T138" s="173"/>
      <c r="U138" s="166"/>
      <c r="V138" s="166"/>
      <c r="W138" s="65"/>
      <c r="X138" s="66"/>
      <c r="Y138" s="173"/>
      <c r="Z138" s="166"/>
      <c r="AA138" s="174"/>
      <c r="AB138" s="175"/>
      <c r="AC138" s="175"/>
      <c r="AD138" s="175"/>
      <c r="AE138" s="175"/>
      <c r="AF138" s="175"/>
      <c r="AG138" s="175"/>
      <c r="AH138" s="175"/>
      <c r="AI138" s="176"/>
      <c r="AJ138" s="177"/>
      <c r="AK138" s="178"/>
      <c r="AL138" s="178"/>
      <c r="AM138" s="178"/>
      <c r="AN138" s="178"/>
      <c r="AO138" s="179"/>
      <c r="AP138" s="64"/>
      <c r="AQ138" s="65"/>
      <c r="AR138" s="65"/>
      <c r="AS138" s="65"/>
      <c r="AT138" s="173"/>
      <c r="AU138" s="177"/>
      <c r="AV138" s="178"/>
      <c r="AW138" s="178"/>
      <c r="AX138" s="179"/>
      <c r="AZ138" s="166"/>
      <c r="BA138" s="177"/>
      <c r="BB138" s="178"/>
      <c r="BC138" s="178"/>
      <c r="BD138" s="178"/>
      <c r="BE138" s="178"/>
      <c r="BF138" s="178"/>
      <c r="BG138" s="178"/>
      <c r="BH138" s="178"/>
      <c r="BI138" s="179"/>
      <c r="BJ138" s="180"/>
      <c r="BK138" s="178"/>
      <c r="BL138" s="178"/>
      <c r="BM138" s="178"/>
      <c r="BN138" s="178"/>
      <c r="BO138" s="181"/>
      <c r="BP138" s="166"/>
      <c r="BQ138" s="177"/>
      <c r="BR138" s="178"/>
      <c r="BS138" s="179"/>
      <c r="BU138" s="166"/>
      <c r="BV138" s="166"/>
      <c r="BW138" s="166"/>
      <c r="BX138" s="166"/>
      <c r="BY138" s="166"/>
      <c r="BZ138" s="166"/>
      <c r="CA138" s="166"/>
      <c r="CB138" s="166"/>
      <c r="CC138" s="166"/>
      <c r="CD138" s="177"/>
      <c r="CE138" s="181"/>
      <c r="CF138" s="177"/>
      <c r="CG138" s="179"/>
      <c r="CH138" s="257"/>
      <c r="CI138" s="182"/>
      <c r="CJ138" s="177"/>
      <c r="CK138" s="182"/>
      <c r="CL138" s="177"/>
      <c r="CM138" s="182"/>
      <c r="CN138" s="177"/>
      <c r="CO138" s="182"/>
      <c r="CP138" s="177"/>
      <c r="CQ138" s="178"/>
      <c r="CR138" s="182"/>
      <c r="CS138" s="173"/>
      <c r="CT138" s="65"/>
      <c r="CU138" s="255" t="str">
        <f t="shared" si="2"/>
        <v>MSS</v>
      </c>
    </row>
    <row r="139" ht="60.0" customHeight="1">
      <c r="A139" s="89"/>
      <c r="C139" s="183">
        <v>11.0</v>
      </c>
      <c r="D139" s="210" t="s">
        <v>197</v>
      </c>
      <c r="E139" s="185"/>
      <c r="F139" s="186"/>
      <c r="G139" s="186"/>
      <c r="H139" s="186"/>
      <c r="I139" s="186"/>
      <c r="J139" s="186"/>
      <c r="K139" s="187"/>
      <c r="L139" s="187"/>
      <c r="M139" s="187"/>
      <c r="N139" s="187"/>
      <c r="O139" s="258">
        <f t="shared" ref="O139:O145" si="26">IF(AND(M139&lt;&gt;0,M139&lt;&gt;"m",M139&lt;&gt;"",RIGHT(K139,3)="Lec"),1,IF(AND(M139&lt;&gt;0,M139&lt;&gt;"m",M139&lt;&gt;"",OR(RIGHT(K139,3)="Lab",RIGHT(K139,3)="Tut")),0.5,IF(AND(M139&lt;&gt;0,M139&lt;&gt;"m",M139&lt;&gt;"",RIGHT(K139,2)="TL"),0.75,0)))</f>
        <v>0</v>
      </c>
      <c r="P139" s="6"/>
      <c r="Q139" s="69"/>
      <c r="R139" s="89"/>
      <c r="S139" s="69"/>
      <c r="T139" s="69"/>
      <c r="U139" s="63"/>
      <c r="V139" s="63"/>
      <c r="W139" s="89"/>
      <c r="X139" s="68"/>
      <c r="Y139" s="69"/>
      <c r="Z139" s="63"/>
      <c r="AA139" s="189"/>
      <c r="AB139" s="190"/>
      <c r="AC139" s="190"/>
      <c r="AD139" s="190"/>
      <c r="AE139" s="190"/>
      <c r="AF139" s="190"/>
      <c r="AG139" s="190"/>
      <c r="AH139" s="190"/>
      <c r="AI139" s="191"/>
      <c r="AJ139" s="192"/>
      <c r="AK139" s="193"/>
      <c r="AL139" s="193"/>
      <c r="AM139" s="193"/>
      <c r="AN139" s="193"/>
      <c r="AO139" s="194"/>
      <c r="AP139" s="103"/>
      <c r="AQ139" s="89"/>
      <c r="AR139" s="89"/>
      <c r="AS139" s="89"/>
      <c r="AT139" s="69"/>
      <c r="AU139" s="192"/>
      <c r="AV139" s="193"/>
      <c r="AW139" s="193"/>
      <c r="AX139" s="194"/>
      <c r="AY139" s="6"/>
      <c r="AZ139" s="63"/>
      <c r="BA139" s="192"/>
      <c r="BB139" s="193"/>
      <c r="BC139" s="193"/>
      <c r="BD139" s="193"/>
      <c r="BE139" s="193"/>
      <c r="BF139" s="193"/>
      <c r="BG139" s="193"/>
      <c r="BH139" s="193"/>
      <c r="BI139" s="194"/>
      <c r="BJ139" s="195"/>
      <c r="BK139" s="193"/>
      <c r="BL139" s="193"/>
      <c r="BM139" s="193"/>
      <c r="BN139" s="193"/>
      <c r="BO139" s="196"/>
      <c r="BP139" s="63"/>
      <c r="BQ139" s="192"/>
      <c r="BR139" s="193"/>
      <c r="BS139" s="194"/>
      <c r="BT139" s="6"/>
      <c r="BU139" s="63"/>
      <c r="BV139" s="63"/>
      <c r="BW139" s="63"/>
      <c r="BX139" s="63"/>
      <c r="BY139" s="63"/>
      <c r="BZ139" s="63"/>
      <c r="CA139" s="63"/>
      <c r="CB139" s="63"/>
      <c r="CC139" s="63"/>
      <c r="CD139" s="192"/>
      <c r="CE139" s="196"/>
      <c r="CF139" s="192"/>
      <c r="CG139" s="194"/>
      <c r="CH139" s="259"/>
      <c r="CI139" s="197"/>
      <c r="CJ139" s="192"/>
      <c r="CK139" s="197"/>
      <c r="CL139" s="192"/>
      <c r="CM139" s="197"/>
      <c r="CN139" s="192"/>
      <c r="CO139" s="197"/>
      <c r="CP139" s="192"/>
      <c r="CQ139" s="193"/>
      <c r="CR139" s="197"/>
      <c r="CS139" s="69"/>
      <c r="CT139" s="89"/>
      <c r="CU139" s="255" t="str">
        <f t="shared" si="2"/>
        <v>MSS</v>
      </c>
    </row>
    <row r="140" ht="56.25" customHeight="1">
      <c r="A140" s="125">
        <v>13.0</v>
      </c>
      <c r="B140" s="199" t="s">
        <v>199</v>
      </c>
      <c r="C140" s="127">
        <v>1.0</v>
      </c>
      <c r="D140" s="168" t="s">
        <v>200</v>
      </c>
      <c r="E140" s="129"/>
      <c r="F140" s="130"/>
      <c r="G140" s="130"/>
      <c r="H140" s="130"/>
      <c r="I140" s="130"/>
      <c r="J140" s="130"/>
      <c r="K140" s="131"/>
      <c r="L140" s="131"/>
      <c r="M140" s="131"/>
      <c r="N140" s="131"/>
      <c r="O140" s="250">
        <f t="shared" si="26"/>
        <v>0</v>
      </c>
      <c r="P140" s="251">
        <f>COUNTIF(K140:K150,"TL")*0.75+COUNTIF(K140:K150,"Lec")*1+COUNTIF(K140:K150,"Lab")*0.5</f>
        <v>0</v>
      </c>
      <c r="Q140" s="134">
        <f>SUM((IF(LEFT(K140,1)="E",O140,0)),(IF(LEFT(K141,1)="E",O141,0)),(IF(LEFT(K142,1)="E",O142,0)),(IF(LEFT(K143,1)="E",O143,0)),(IF(LEFT(K144,1)="E",O144,0)),(IF(LEFT(K145,1)="E",O145,0)),(IF(LEFT(K146,1)="E",O146,0)),(IF(LEFT(K147,1)="E",O147,0)),(IF(LEFT(K148,1)="E",O148,0)),(IF(LEFT(K149,1)="E",O149,0)),(IF(LEFT(K150,1)="E",O150,0)))</f>
        <v>0</v>
      </c>
      <c r="R140" s="135">
        <f>SUM(IF(M146&lt;20,IF(K146="Plec",-1,IF(K146="PTL",-0.75,IF(K146="Plab",-0.5,0))),0),IF(M147&lt;20,IF(K147="Plec",-1,IF(K147="PTL",-0.75,IF(K147="Plab",-0.5,0))),0),IF(M148&lt;20,IF(K148="Plec",-1,IF(K148="PTL",-0.75,IF(K148="Plab",-0.5,0))),0),IF(M149&lt;20,IF(K149="Plec",-1,IF(K149="PTL",-0.75,IF(K149="Plab",-0.5,0))),0))</f>
        <v>0</v>
      </c>
      <c r="S140" s="134">
        <f>SUM(P140:R150)</f>
        <v>0</v>
      </c>
      <c r="T140" s="136">
        <f>SUM(IF(M140="M",IF(OR(K140="lec",K140="plec",K140="slec"),1,IF(OR(K140="lab",K140="plab",K140="slab",K140="tut",K140="ptut",K140="stut"),0.5,IF(OR(K140="TL",K140="pTL",K140="STL"),0.75,0))),0),IF(M141="M",IF(OR(K141="lec",K141="plec",K141="slec"),1,IF(OR(K141="lab",K141="plab",K141="slab",K141="tut",K141="ptut",K141="stut"),0.5,IF(OR(K141="TL",K141="pTL",K141="STL"),0.75,0))),0),IF(M142="M",IF(OR(K142="lec",K142="plec",K142="slec"),1,IF(OR(K142="lab",K142="plab",K142="slab",K142="tut",K142="ptut",K142="stut"),0.5,IF(OR(K142="TL",K142="pTL",K142="STL"),0.75,0))),0),IF(M143="M",IF(OR(K143="lec",K143="plec",K143="slec"),1,IF(OR(K143="lab",K143="plab",K143="slab",K143="tut",K143="ptut",K143="stut"),0.5,IF(OR(K143="TL",K143="pTL",K143="STL"),0.75,0))),0),IF(M144="M",IF(OR(K144="lec",K144="plec",K144="slec"),1,IF(OR(K144="lab",K144="plab",K144="slab",K144="tut",K144="ptut",K144="stut"),0.5,IF(OR(K144="TL",K144="pTL",K144="STL"),0.75,0))),0),IF(M145="M",IF(OR(K145="lec",K145="plec",K145="slec"),1,IF(OR(K145="lab",K145="plab",K145="slab",K145="tut",K145="ptut",K145="stut"),0.5,IF(OR(K145="TL",K145="pTL",K145="STL"),0.75,0))),0),IF(M146="M",IF(OR(K146="lec",K146="plec",K146="slec"),1,IF(OR(K146="lab",K146="plab",K146="slab",K146="tut",K146="ptut",K146="stut"),0.5,IF(OR(K146="TL",K146="pTL",K146="STL"),0.75,0))),0),IF(M147="M",IF(OR(K147="lec",K147="plec",K147="slec"),1,IF(OR(K147="lab",K147="plab",K147="slab",K147="tut",K147="ptut",K147="stut"),0.5,IF(OR(K147="TL",K147="pTL",K147="STL"),0.75,0))),0),IF(M148="M",IF(OR(K148="lec",K148="plec",K148="slec"),1,IF(OR(K148="lab",K148="plab",K148="slab",K148="tut",K148="ptut",K148="stut"),0.5,IF(OR(K148="TL",K148="pTL",K148="STL"),0.75,0))),0),IF(M149="M",IF(OR(K149="lec",K149="plec",K149="slec"),1,IF(OR(K149="lab",K149="plab",K149="slab",K149="tut",K149="ptut",K149="stut"),0.5,IF(OR(K149="TL",K149="pTL",K149="STL"),0.75,0))),0),IF(M150="M",IF(OR(K150="lec",K150="plec",K150="slec"),1,IF(OR(K150="lab",K150="plab",K150="slab",K150="tut",K150="ptut",K150="stut"),0.5,IF(OR(K150="TL",K150="pTL",K150="STL"),0.75,0))),0))</f>
        <v>0</v>
      </c>
      <c r="U140" s="137"/>
      <c r="V140" s="133"/>
      <c r="W140" s="138"/>
      <c r="X140" s="139">
        <f>S140-(T140+U140+V140+W140)</f>
        <v>0</v>
      </c>
      <c r="Y140" s="134" t="str">
        <f>CONCATENATE(SUM(O140:O150),"(",SUM(O140:O150)-X140,")")</f>
        <v>0(0)</v>
      </c>
      <c r="Z140" s="140"/>
      <c r="AA140" s="141"/>
      <c r="AB140" s="142"/>
      <c r="AC140" s="142"/>
      <c r="AD140" s="142"/>
      <c r="AE140" s="142"/>
      <c r="AF140" s="142"/>
      <c r="AG140" s="142"/>
      <c r="AH140" s="142"/>
      <c r="AI140" s="143"/>
      <c r="AJ140" s="144"/>
      <c r="AK140" s="145"/>
      <c r="AL140" s="145"/>
      <c r="AM140" s="145"/>
      <c r="AN140" s="145"/>
      <c r="AO140" s="146"/>
      <c r="AP140" s="147">
        <f>SUM(SUM(O140:O150),SUM(AI140:AI150)/2,AM140)</f>
        <v>0</v>
      </c>
      <c r="AQ140" s="148"/>
      <c r="AR140" s="148">
        <f>AP140*AQ140</f>
        <v>0</v>
      </c>
      <c r="AS140" s="148">
        <f>CT140</f>
        <v>0</v>
      </c>
      <c r="AT140" s="149">
        <f>AR140*0.75+AS140*0.25</f>
        <v>0</v>
      </c>
      <c r="AU140" s="150"/>
      <c r="AV140" s="151"/>
      <c r="AW140" s="151"/>
      <c r="AX140" s="152"/>
      <c r="AY140" s="153"/>
      <c r="AZ140" s="140"/>
      <c r="BA140" s="150"/>
      <c r="BB140" s="151"/>
      <c r="BC140" s="151"/>
      <c r="BD140" s="151"/>
      <c r="BE140" s="151"/>
      <c r="BF140" s="151"/>
      <c r="BG140" s="151"/>
      <c r="BH140" s="151"/>
      <c r="BI140" s="152"/>
      <c r="BJ140" s="154"/>
      <c r="BK140" s="151"/>
      <c r="BL140" s="151"/>
      <c r="BM140" s="151"/>
      <c r="BN140" s="151"/>
      <c r="BO140" s="155"/>
      <c r="BP140" s="140"/>
      <c r="BQ140" s="156"/>
      <c r="BR140" s="157"/>
      <c r="BS140" s="158"/>
      <c r="BT140" s="153"/>
      <c r="BU140" s="140"/>
      <c r="BV140" s="140"/>
      <c r="BW140" s="140"/>
      <c r="BX140" s="140"/>
      <c r="BY140" s="140"/>
      <c r="BZ140" s="140"/>
      <c r="CA140" s="140"/>
      <c r="CB140" s="140"/>
      <c r="CC140" s="140"/>
      <c r="CD140" s="150"/>
      <c r="CE140" s="155"/>
      <c r="CF140" s="150"/>
      <c r="CG140" s="152"/>
      <c r="CH140" s="252"/>
      <c r="CI140" s="160"/>
      <c r="CJ140" s="159"/>
      <c r="CK140" s="160"/>
      <c r="CL140" s="159"/>
      <c r="CM140" s="160"/>
      <c r="CN140" s="159"/>
      <c r="CO140" s="160"/>
      <c r="CP140" s="159"/>
      <c r="CQ140" s="162"/>
      <c r="CR140" s="160"/>
      <c r="CS140" s="253">
        <f>SUM(IF(AU140&lt;0,ABS(AU140),0),IF(AZ140&lt;0,ABS(AZ140),0),ABS(CI140),ABS(CK140),ABS(CM140),ABS(CO140),ABS(CQ140),ABS(CR140))</f>
        <v>0</v>
      </c>
      <c r="CT140" s="254">
        <f>SUM(AU140,AV140,AW140,AX140/400,AY140,AZ140,BG140,BH140*0.5,BI140*0.25,BJ140,BK140,BL140,BM140,BN140,BO140,BP140,BR140/20,BS140/100,BT140/60,BU140,BV140,BW140,BX140/4,SUM(BY140:CC150)/3,CE140,CG140/3,CI140,CK140,CM140,CO140,CQ140,CR140)</f>
        <v>0</v>
      </c>
      <c r="CU140" s="255" t="str">
        <f t="shared" si="2"/>
        <v>MSP</v>
      </c>
    </row>
    <row r="141" ht="60.0" customHeight="1">
      <c r="A141" s="65"/>
      <c r="C141" s="167">
        <v>2.0</v>
      </c>
      <c r="D141" s="168" t="s">
        <v>200</v>
      </c>
      <c r="E141" s="169"/>
      <c r="F141" s="170"/>
      <c r="G141" s="170"/>
      <c r="H141" s="170"/>
      <c r="I141" s="170"/>
      <c r="J141" s="170"/>
      <c r="K141" s="171"/>
      <c r="L141" s="171"/>
      <c r="M141" s="171"/>
      <c r="N141" s="171"/>
      <c r="O141" s="256">
        <f t="shared" si="26"/>
        <v>0</v>
      </c>
      <c r="Q141" s="173"/>
      <c r="R141" s="65"/>
      <c r="S141" s="173"/>
      <c r="T141" s="173"/>
      <c r="U141" s="166"/>
      <c r="V141" s="166"/>
      <c r="W141" s="65"/>
      <c r="X141" s="66"/>
      <c r="Y141" s="173"/>
      <c r="Z141" s="166"/>
      <c r="AA141" s="174"/>
      <c r="AB141" s="175"/>
      <c r="AC141" s="175"/>
      <c r="AD141" s="175"/>
      <c r="AE141" s="175"/>
      <c r="AF141" s="175"/>
      <c r="AG141" s="175"/>
      <c r="AH141" s="175"/>
      <c r="AI141" s="176"/>
      <c r="AJ141" s="177"/>
      <c r="AK141" s="178"/>
      <c r="AL141" s="178"/>
      <c r="AM141" s="178"/>
      <c r="AN141" s="178"/>
      <c r="AO141" s="179"/>
      <c r="AP141" s="64"/>
      <c r="AQ141" s="65"/>
      <c r="AR141" s="65"/>
      <c r="AS141" s="65"/>
      <c r="AT141" s="173"/>
      <c r="AU141" s="177"/>
      <c r="AV141" s="178"/>
      <c r="AW141" s="178"/>
      <c r="AX141" s="179"/>
      <c r="AZ141" s="166"/>
      <c r="BA141" s="177"/>
      <c r="BB141" s="178"/>
      <c r="BC141" s="178"/>
      <c r="BD141" s="178"/>
      <c r="BE141" s="178"/>
      <c r="BF141" s="178"/>
      <c r="BG141" s="178"/>
      <c r="BH141" s="178"/>
      <c r="BI141" s="179"/>
      <c r="BJ141" s="180"/>
      <c r="BK141" s="178"/>
      <c r="BL141" s="178"/>
      <c r="BM141" s="178"/>
      <c r="BN141" s="178"/>
      <c r="BO141" s="181"/>
      <c r="BP141" s="166"/>
      <c r="BQ141" s="177"/>
      <c r="BR141" s="178"/>
      <c r="BS141" s="179"/>
      <c r="BU141" s="166"/>
      <c r="BV141" s="166"/>
      <c r="BW141" s="166"/>
      <c r="BX141" s="166"/>
      <c r="BY141" s="166"/>
      <c r="BZ141" s="166"/>
      <c r="CA141" s="166"/>
      <c r="CB141" s="166"/>
      <c r="CC141" s="166"/>
      <c r="CD141" s="177"/>
      <c r="CE141" s="181"/>
      <c r="CF141" s="177"/>
      <c r="CG141" s="179"/>
      <c r="CH141" s="257"/>
      <c r="CI141" s="182"/>
      <c r="CJ141" s="177"/>
      <c r="CK141" s="182"/>
      <c r="CL141" s="177"/>
      <c r="CM141" s="182"/>
      <c r="CN141" s="177"/>
      <c r="CO141" s="182"/>
      <c r="CP141" s="177"/>
      <c r="CQ141" s="178"/>
      <c r="CR141" s="182"/>
      <c r="CS141" s="173"/>
      <c r="CT141" s="65"/>
      <c r="CU141" s="255" t="str">
        <f t="shared" si="2"/>
        <v>MSP</v>
      </c>
    </row>
    <row r="142" ht="60.0" customHeight="1">
      <c r="A142" s="65"/>
      <c r="C142" s="167">
        <v>3.0</v>
      </c>
      <c r="D142" s="168" t="s">
        <v>200</v>
      </c>
      <c r="E142" s="169"/>
      <c r="F142" s="170"/>
      <c r="G142" s="170"/>
      <c r="H142" s="170"/>
      <c r="I142" s="170"/>
      <c r="J142" s="170"/>
      <c r="K142" s="171"/>
      <c r="L142" s="171"/>
      <c r="M142" s="171"/>
      <c r="N142" s="171"/>
      <c r="O142" s="256">
        <f t="shared" si="26"/>
        <v>0</v>
      </c>
      <c r="Q142" s="173"/>
      <c r="R142" s="65"/>
      <c r="S142" s="173"/>
      <c r="T142" s="173"/>
      <c r="U142" s="166"/>
      <c r="V142" s="166"/>
      <c r="W142" s="65"/>
      <c r="X142" s="66"/>
      <c r="Y142" s="173"/>
      <c r="Z142" s="166"/>
      <c r="AA142" s="174"/>
      <c r="AB142" s="175"/>
      <c r="AC142" s="175"/>
      <c r="AD142" s="175"/>
      <c r="AE142" s="175"/>
      <c r="AF142" s="175"/>
      <c r="AG142" s="175"/>
      <c r="AH142" s="175"/>
      <c r="AI142" s="176"/>
      <c r="AJ142" s="177"/>
      <c r="AK142" s="178"/>
      <c r="AL142" s="178"/>
      <c r="AM142" s="178"/>
      <c r="AN142" s="178"/>
      <c r="AO142" s="179"/>
      <c r="AP142" s="64"/>
      <c r="AQ142" s="65"/>
      <c r="AR142" s="65"/>
      <c r="AS142" s="65"/>
      <c r="AT142" s="173"/>
      <c r="AU142" s="177"/>
      <c r="AV142" s="178"/>
      <c r="AW142" s="178"/>
      <c r="AX142" s="179"/>
      <c r="AZ142" s="166"/>
      <c r="BA142" s="177"/>
      <c r="BB142" s="178"/>
      <c r="BC142" s="178"/>
      <c r="BD142" s="178"/>
      <c r="BE142" s="178"/>
      <c r="BF142" s="178"/>
      <c r="BG142" s="178"/>
      <c r="BH142" s="178"/>
      <c r="BI142" s="179"/>
      <c r="BJ142" s="180"/>
      <c r="BK142" s="178"/>
      <c r="BL142" s="178"/>
      <c r="BM142" s="178"/>
      <c r="BN142" s="178"/>
      <c r="BO142" s="181"/>
      <c r="BP142" s="166"/>
      <c r="BQ142" s="177"/>
      <c r="BR142" s="178"/>
      <c r="BS142" s="179"/>
      <c r="BU142" s="166"/>
      <c r="BV142" s="166"/>
      <c r="BW142" s="166"/>
      <c r="BX142" s="166"/>
      <c r="BY142" s="166"/>
      <c r="BZ142" s="166"/>
      <c r="CA142" s="166"/>
      <c r="CB142" s="166"/>
      <c r="CC142" s="166"/>
      <c r="CD142" s="177"/>
      <c r="CE142" s="181"/>
      <c r="CF142" s="177"/>
      <c r="CG142" s="179"/>
      <c r="CH142" s="257"/>
      <c r="CI142" s="182"/>
      <c r="CJ142" s="177"/>
      <c r="CK142" s="182"/>
      <c r="CL142" s="177"/>
      <c r="CM142" s="182"/>
      <c r="CN142" s="177"/>
      <c r="CO142" s="182"/>
      <c r="CP142" s="177"/>
      <c r="CQ142" s="178"/>
      <c r="CR142" s="182"/>
      <c r="CS142" s="173"/>
      <c r="CT142" s="65"/>
      <c r="CU142" s="255" t="str">
        <f t="shared" si="2"/>
        <v>MSP</v>
      </c>
    </row>
    <row r="143" ht="60.0" customHeight="1">
      <c r="A143" s="65"/>
      <c r="C143" s="167">
        <v>4.0</v>
      </c>
      <c r="D143" s="168" t="s">
        <v>200</v>
      </c>
      <c r="E143" s="169"/>
      <c r="F143" s="170"/>
      <c r="G143" s="170"/>
      <c r="H143" s="170"/>
      <c r="I143" s="170"/>
      <c r="J143" s="170"/>
      <c r="K143" s="171"/>
      <c r="L143" s="171"/>
      <c r="M143" s="171"/>
      <c r="N143" s="171"/>
      <c r="O143" s="256">
        <f t="shared" si="26"/>
        <v>0</v>
      </c>
      <c r="Q143" s="173"/>
      <c r="R143" s="65"/>
      <c r="S143" s="173"/>
      <c r="T143" s="173"/>
      <c r="U143" s="166"/>
      <c r="V143" s="166"/>
      <c r="W143" s="65"/>
      <c r="X143" s="66"/>
      <c r="Y143" s="173"/>
      <c r="Z143" s="166"/>
      <c r="AA143" s="174"/>
      <c r="AB143" s="175"/>
      <c r="AC143" s="175"/>
      <c r="AD143" s="175"/>
      <c r="AE143" s="175"/>
      <c r="AF143" s="175"/>
      <c r="AG143" s="175"/>
      <c r="AH143" s="175"/>
      <c r="AI143" s="176"/>
      <c r="AJ143" s="177"/>
      <c r="AK143" s="178"/>
      <c r="AL143" s="178"/>
      <c r="AM143" s="178"/>
      <c r="AN143" s="178"/>
      <c r="AO143" s="179"/>
      <c r="AP143" s="64"/>
      <c r="AQ143" s="65"/>
      <c r="AR143" s="65"/>
      <c r="AS143" s="65"/>
      <c r="AT143" s="173"/>
      <c r="AU143" s="177"/>
      <c r="AV143" s="178"/>
      <c r="AW143" s="178"/>
      <c r="AX143" s="179"/>
      <c r="AZ143" s="166"/>
      <c r="BA143" s="177"/>
      <c r="BB143" s="178"/>
      <c r="BC143" s="178"/>
      <c r="BD143" s="178"/>
      <c r="BE143" s="178"/>
      <c r="BF143" s="178"/>
      <c r="BG143" s="178"/>
      <c r="BH143" s="178"/>
      <c r="BI143" s="179"/>
      <c r="BJ143" s="180"/>
      <c r="BK143" s="178"/>
      <c r="BL143" s="178"/>
      <c r="BM143" s="178"/>
      <c r="BN143" s="178"/>
      <c r="BO143" s="181"/>
      <c r="BP143" s="166"/>
      <c r="BQ143" s="177"/>
      <c r="BR143" s="178"/>
      <c r="BS143" s="179"/>
      <c r="BU143" s="166"/>
      <c r="BV143" s="166"/>
      <c r="BW143" s="166"/>
      <c r="BX143" s="166"/>
      <c r="BY143" s="166"/>
      <c r="BZ143" s="166"/>
      <c r="CA143" s="166"/>
      <c r="CB143" s="166"/>
      <c r="CC143" s="166"/>
      <c r="CD143" s="177"/>
      <c r="CE143" s="181"/>
      <c r="CF143" s="177"/>
      <c r="CG143" s="179"/>
      <c r="CH143" s="257"/>
      <c r="CI143" s="182"/>
      <c r="CJ143" s="177"/>
      <c r="CK143" s="182"/>
      <c r="CL143" s="177"/>
      <c r="CM143" s="182"/>
      <c r="CN143" s="177"/>
      <c r="CO143" s="182"/>
      <c r="CP143" s="177"/>
      <c r="CQ143" s="178"/>
      <c r="CR143" s="182"/>
      <c r="CS143" s="173"/>
      <c r="CT143" s="65"/>
      <c r="CU143" s="255" t="str">
        <f t="shared" si="2"/>
        <v>MSP</v>
      </c>
    </row>
    <row r="144" ht="60.0" customHeight="1">
      <c r="A144" s="65"/>
      <c r="C144" s="167">
        <v>5.0</v>
      </c>
      <c r="D144" s="168" t="s">
        <v>200</v>
      </c>
      <c r="E144" s="169"/>
      <c r="F144" s="170"/>
      <c r="G144" s="170"/>
      <c r="H144" s="170"/>
      <c r="I144" s="170"/>
      <c r="J144" s="170"/>
      <c r="K144" s="171"/>
      <c r="L144" s="171"/>
      <c r="M144" s="171"/>
      <c r="N144" s="171"/>
      <c r="O144" s="256">
        <f t="shared" si="26"/>
        <v>0</v>
      </c>
      <c r="Q144" s="173"/>
      <c r="R144" s="65"/>
      <c r="S144" s="173"/>
      <c r="T144" s="173"/>
      <c r="U144" s="166"/>
      <c r="V144" s="166"/>
      <c r="W144" s="65"/>
      <c r="X144" s="66"/>
      <c r="Y144" s="173"/>
      <c r="Z144" s="166"/>
      <c r="AA144" s="174"/>
      <c r="AB144" s="175"/>
      <c r="AC144" s="175"/>
      <c r="AD144" s="175"/>
      <c r="AE144" s="175"/>
      <c r="AF144" s="175"/>
      <c r="AG144" s="175"/>
      <c r="AH144" s="175"/>
      <c r="AI144" s="176"/>
      <c r="AJ144" s="177"/>
      <c r="AK144" s="178"/>
      <c r="AL144" s="178"/>
      <c r="AM144" s="178"/>
      <c r="AN144" s="178"/>
      <c r="AO144" s="179"/>
      <c r="AP144" s="64"/>
      <c r="AQ144" s="65"/>
      <c r="AR144" s="65"/>
      <c r="AS144" s="65"/>
      <c r="AT144" s="173"/>
      <c r="AU144" s="177"/>
      <c r="AV144" s="178"/>
      <c r="AW144" s="178"/>
      <c r="AX144" s="179"/>
      <c r="AZ144" s="166"/>
      <c r="BA144" s="177"/>
      <c r="BB144" s="178"/>
      <c r="BC144" s="178"/>
      <c r="BD144" s="178"/>
      <c r="BE144" s="178"/>
      <c r="BF144" s="178"/>
      <c r="BG144" s="178"/>
      <c r="BH144" s="178"/>
      <c r="BI144" s="179"/>
      <c r="BJ144" s="180"/>
      <c r="BK144" s="178"/>
      <c r="BL144" s="178"/>
      <c r="BM144" s="178"/>
      <c r="BN144" s="178"/>
      <c r="BO144" s="181"/>
      <c r="BP144" s="166"/>
      <c r="BQ144" s="177"/>
      <c r="BR144" s="178"/>
      <c r="BS144" s="179"/>
      <c r="BU144" s="166"/>
      <c r="BV144" s="166"/>
      <c r="BW144" s="166"/>
      <c r="BX144" s="166"/>
      <c r="BY144" s="166"/>
      <c r="BZ144" s="166"/>
      <c r="CA144" s="166"/>
      <c r="CB144" s="166"/>
      <c r="CC144" s="166"/>
      <c r="CD144" s="177"/>
      <c r="CE144" s="181"/>
      <c r="CF144" s="177"/>
      <c r="CG144" s="179"/>
      <c r="CH144" s="257"/>
      <c r="CI144" s="182"/>
      <c r="CJ144" s="177"/>
      <c r="CK144" s="182"/>
      <c r="CL144" s="177"/>
      <c r="CM144" s="182"/>
      <c r="CN144" s="177"/>
      <c r="CO144" s="182"/>
      <c r="CP144" s="177"/>
      <c r="CQ144" s="178"/>
      <c r="CR144" s="182"/>
      <c r="CS144" s="173"/>
      <c r="CT144" s="65"/>
      <c r="CU144" s="255" t="str">
        <f t="shared" si="2"/>
        <v>MSP</v>
      </c>
    </row>
    <row r="145" ht="60.0" customHeight="1">
      <c r="A145" s="65"/>
      <c r="C145" s="167">
        <v>6.0</v>
      </c>
      <c r="D145" s="168" t="s">
        <v>200</v>
      </c>
      <c r="E145" s="169"/>
      <c r="F145" s="170"/>
      <c r="G145" s="170"/>
      <c r="H145" s="170"/>
      <c r="I145" s="170"/>
      <c r="J145" s="170"/>
      <c r="K145" s="171"/>
      <c r="L145" s="171"/>
      <c r="M145" s="171"/>
      <c r="N145" s="171"/>
      <c r="O145" s="256">
        <f t="shared" si="26"/>
        <v>0</v>
      </c>
      <c r="Q145" s="173"/>
      <c r="R145" s="65"/>
      <c r="S145" s="173"/>
      <c r="T145" s="173"/>
      <c r="U145" s="166"/>
      <c r="V145" s="166"/>
      <c r="W145" s="65"/>
      <c r="X145" s="66"/>
      <c r="Y145" s="173"/>
      <c r="Z145" s="166"/>
      <c r="AA145" s="174"/>
      <c r="AB145" s="175"/>
      <c r="AC145" s="175"/>
      <c r="AD145" s="175"/>
      <c r="AE145" s="175"/>
      <c r="AF145" s="175"/>
      <c r="AG145" s="175"/>
      <c r="AH145" s="175"/>
      <c r="AI145" s="176"/>
      <c r="AJ145" s="177"/>
      <c r="AK145" s="178"/>
      <c r="AL145" s="178"/>
      <c r="AM145" s="178"/>
      <c r="AN145" s="178"/>
      <c r="AO145" s="179"/>
      <c r="AP145" s="64"/>
      <c r="AQ145" s="65"/>
      <c r="AR145" s="65"/>
      <c r="AS145" s="65"/>
      <c r="AT145" s="173"/>
      <c r="AU145" s="177"/>
      <c r="AV145" s="178"/>
      <c r="AW145" s="178"/>
      <c r="AX145" s="179"/>
      <c r="AZ145" s="166"/>
      <c r="BA145" s="177"/>
      <c r="BB145" s="178"/>
      <c r="BC145" s="178"/>
      <c r="BD145" s="178"/>
      <c r="BE145" s="178"/>
      <c r="BF145" s="178"/>
      <c r="BG145" s="178"/>
      <c r="BH145" s="178"/>
      <c r="BI145" s="179"/>
      <c r="BJ145" s="180"/>
      <c r="BK145" s="178"/>
      <c r="BL145" s="178"/>
      <c r="BM145" s="178"/>
      <c r="BN145" s="178"/>
      <c r="BO145" s="181"/>
      <c r="BP145" s="166"/>
      <c r="BQ145" s="177"/>
      <c r="BR145" s="178"/>
      <c r="BS145" s="179"/>
      <c r="BU145" s="166"/>
      <c r="BV145" s="166"/>
      <c r="BW145" s="166"/>
      <c r="BX145" s="166"/>
      <c r="BY145" s="166"/>
      <c r="BZ145" s="166"/>
      <c r="CA145" s="166"/>
      <c r="CB145" s="166"/>
      <c r="CC145" s="166"/>
      <c r="CD145" s="177"/>
      <c r="CE145" s="181"/>
      <c r="CF145" s="177"/>
      <c r="CG145" s="179"/>
      <c r="CH145" s="257"/>
      <c r="CI145" s="182"/>
      <c r="CJ145" s="177"/>
      <c r="CK145" s="182"/>
      <c r="CL145" s="177"/>
      <c r="CM145" s="182"/>
      <c r="CN145" s="177"/>
      <c r="CO145" s="182"/>
      <c r="CP145" s="177"/>
      <c r="CQ145" s="178"/>
      <c r="CR145" s="182"/>
      <c r="CS145" s="173"/>
      <c r="CT145" s="65"/>
      <c r="CU145" s="255" t="str">
        <f t="shared" si="2"/>
        <v>MSP</v>
      </c>
    </row>
    <row r="146" ht="60.0" customHeight="1">
      <c r="A146" s="65"/>
      <c r="C146" s="167">
        <v>7.0</v>
      </c>
      <c r="D146" s="168" t="s">
        <v>200</v>
      </c>
      <c r="E146" s="169"/>
      <c r="F146" s="170"/>
      <c r="G146" s="170"/>
      <c r="H146" s="170"/>
      <c r="I146" s="170"/>
      <c r="J146" s="170"/>
      <c r="K146" s="171"/>
      <c r="L146" s="171"/>
      <c r="M146" s="171"/>
      <c r="N146" s="171"/>
      <c r="O146" s="256">
        <f t="shared" ref="O146:O149" si="27">IF(AND(M146&gt;=20,M146&lt;&gt;"m",RIGHT(K146,3)="Lec"),1,IF(AND(M146&gt;=20,M146&lt;&gt;"m",OR(RIGHT(K146,3)="Lab",RIGHT(K146,3)="Tut")),0.5,IF(AND(M146&gt;=20,M146&lt;&gt;"m",RIGHT(K146,2)="TL"),0.75,0)))</f>
        <v>0</v>
      </c>
      <c r="Q146" s="173"/>
      <c r="R146" s="65"/>
      <c r="S146" s="173"/>
      <c r="T146" s="173"/>
      <c r="U146" s="166"/>
      <c r="V146" s="166"/>
      <c r="W146" s="65"/>
      <c r="X146" s="66"/>
      <c r="Y146" s="173"/>
      <c r="Z146" s="166"/>
      <c r="AA146" s="174"/>
      <c r="AB146" s="175"/>
      <c r="AC146" s="175"/>
      <c r="AD146" s="175"/>
      <c r="AE146" s="175"/>
      <c r="AF146" s="175"/>
      <c r="AG146" s="175"/>
      <c r="AH146" s="175"/>
      <c r="AI146" s="176"/>
      <c r="AJ146" s="177"/>
      <c r="AK146" s="178"/>
      <c r="AL146" s="178"/>
      <c r="AM146" s="178"/>
      <c r="AN146" s="178"/>
      <c r="AO146" s="179"/>
      <c r="AP146" s="64"/>
      <c r="AQ146" s="65"/>
      <c r="AR146" s="65"/>
      <c r="AS146" s="65"/>
      <c r="AT146" s="173"/>
      <c r="AU146" s="177"/>
      <c r="AV146" s="178"/>
      <c r="AW146" s="178"/>
      <c r="AX146" s="179"/>
      <c r="AZ146" s="166"/>
      <c r="BA146" s="177"/>
      <c r="BB146" s="178"/>
      <c r="BC146" s="178"/>
      <c r="BD146" s="178"/>
      <c r="BE146" s="178"/>
      <c r="BF146" s="178"/>
      <c r="BG146" s="178"/>
      <c r="BH146" s="178"/>
      <c r="BI146" s="179"/>
      <c r="BJ146" s="180"/>
      <c r="BK146" s="178"/>
      <c r="BL146" s="178"/>
      <c r="BM146" s="178"/>
      <c r="BN146" s="178"/>
      <c r="BO146" s="181"/>
      <c r="BP146" s="166"/>
      <c r="BQ146" s="177"/>
      <c r="BR146" s="178"/>
      <c r="BS146" s="179"/>
      <c r="BU146" s="166"/>
      <c r="BV146" s="166"/>
      <c r="BW146" s="166"/>
      <c r="BX146" s="166"/>
      <c r="BY146" s="166"/>
      <c r="BZ146" s="166"/>
      <c r="CA146" s="166"/>
      <c r="CB146" s="166"/>
      <c r="CC146" s="166"/>
      <c r="CD146" s="177"/>
      <c r="CE146" s="181"/>
      <c r="CF146" s="177"/>
      <c r="CG146" s="179"/>
      <c r="CH146" s="257"/>
      <c r="CI146" s="182"/>
      <c r="CJ146" s="177"/>
      <c r="CK146" s="182"/>
      <c r="CL146" s="177"/>
      <c r="CM146" s="182"/>
      <c r="CN146" s="177"/>
      <c r="CO146" s="182"/>
      <c r="CP146" s="177"/>
      <c r="CQ146" s="178"/>
      <c r="CR146" s="182"/>
      <c r="CS146" s="173"/>
      <c r="CT146" s="65"/>
      <c r="CU146" s="255" t="str">
        <f t="shared" si="2"/>
        <v>MSP</v>
      </c>
    </row>
    <row r="147" ht="60.0" customHeight="1">
      <c r="A147" s="65"/>
      <c r="C147" s="167">
        <v>8.0</v>
      </c>
      <c r="D147" s="168" t="s">
        <v>200</v>
      </c>
      <c r="E147" s="169"/>
      <c r="F147" s="170"/>
      <c r="G147" s="170"/>
      <c r="H147" s="170"/>
      <c r="I147" s="170"/>
      <c r="J147" s="170"/>
      <c r="K147" s="171"/>
      <c r="L147" s="171"/>
      <c r="M147" s="171"/>
      <c r="N147" s="171"/>
      <c r="O147" s="256">
        <f t="shared" si="27"/>
        <v>0</v>
      </c>
      <c r="Q147" s="173"/>
      <c r="R147" s="65"/>
      <c r="S147" s="173"/>
      <c r="T147" s="173"/>
      <c r="U147" s="166"/>
      <c r="V147" s="166"/>
      <c r="W147" s="65"/>
      <c r="X147" s="66"/>
      <c r="Y147" s="173"/>
      <c r="Z147" s="166"/>
      <c r="AA147" s="174"/>
      <c r="AB147" s="175"/>
      <c r="AC147" s="175"/>
      <c r="AD147" s="175"/>
      <c r="AE147" s="175"/>
      <c r="AF147" s="175"/>
      <c r="AG147" s="175"/>
      <c r="AH147" s="175"/>
      <c r="AI147" s="176"/>
      <c r="AJ147" s="177"/>
      <c r="AK147" s="178"/>
      <c r="AL147" s="178"/>
      <c r="AM147" s="178"/>
      <c r="AN147" s="178"/>
      <c r="AO147" s="179"/>
      <c r="AP147" s="64"/>
      <c r="AQ147" s="65"/>
      <c r="AR147" s="65"/>
      <c r="AS147" s="65"/>
      <c r="AT147" s="173"/>
      <c r="AU147" s="177"/>
      <c r="AV147" s="178"/>
      <c r="AW147" s="178"/>
      <c r="AX147" s="179"/>
      <c r="AZ147" s="166"/>
      <c r="BA147" s="177"/>
      <c r="BB147" s="178"/>
      <c r="BC147" s="178"/>
      <c r="BD147" s="178"/>
      <c r="BE147" s="178"/>
      <c r="BF147" s="178"/>
      <c r="BG147" s="178"/>
      <c r="BH147" s="178"/>
      <c r="BI147" s="179"/>
      <c r="BJ147" s="180"/>
      <c r="BK147" s="178"/>
      <c r="BL147" s="178"/>
      <c r="BM147" s="178"/>
      <c r="BN147" s="178"/>
      <c r="BO147" s="181"/>
      <c r="BP147" s="166"/>
      <c r="BQ147" s="177"/>
      <c r="BR147" s="178"/>
      <c r="BS147" s="179"/>
      <c r="BU147" s="166"/>
      <c r="BV147" s="166"/>
      <c r="BW147" s="166"/>
      <c r="BX147" s="166"/>
      <c r="BY147" s="166"/>
      <c r="BZ147" s="166"/>
      <c r="CA147" s="166"/>
      <c r="CB147" s="166"/>
      <c r="CC147" s="166"/>
      <c r="CD147" s="177"/>
      <c r="CE147" s="181"/>
      <c r="CF147" s="177"/>
      <c r="CG147" s="179"/>
      <c r="CH147" s="257"/>
      <c r="CI147" s="182"/>
      <c r="CJ147" s="177"/>
      <c r="CK147" s="182"/>
      <c r="CL147" s="177"/>
      <c r="CM147" s="182"/>
      <c r="CN147" s="177"/>
      <c r="CO147" s="182"/>
      <c r="CP147" s="177"/>
      <c r="CQ147" s="178"/>
      <c r="CR147" s="182"/>
      <c r="CS147" s="173"/>
      <c r="CT147" s="65"/>
      <c r="CU147" s="255" t="str">
        <f t="shared" si="2"/>
        <v>MSP</v>
      </c>
    </row>
    <row r="148" ht="60.0" customHeight="1">
      <c r="A148" s="65"/>
      <c r="C148" s="167">
        <v>9.0</v>
      </c>
      <c r="D148" s="168" t="s">
        <v>200</v>
      </c>
      <c r="E148" s="169"/>
      <c r="F148" s="170"/>
      <c r="G148" s="170"/>
      <c r="H148" s="170"/>
      <c r="I148" s="170"/>
      <c r="J148" s="170"/>
      <c r="K148" s="171"/>
      <c r="L148" s="171"/>
      <c r="M148" s="171"/>
      <c r="N148" s="171"/>
      <c r="O148" s="256">
        <f t="shared" si="27"/>
        <v>0</v>
      </c>
      <c r="Q148" s="173"/>
      <c r="R148" s="65"/>
      <c r="S148" s="173"/>
      <c r="T148" s="173"/>
      <c r="U148" s="166"/>
      <c r="V148" s="166"/>
      <c r="W148" s="65"/>
      <c r="X148" s="66"/>
      <c r="Y148" s="173"/>
      <c r="Z148" s="166"/>
      <c r="AA148" s="174"/>
      <c r="AB148" s="175"/>
      <c r="AC148" s="175"/>
      <c r="AD148" s="175"/>
      <c r="AE148" s="175"/>
      <c r="AF148" s="175"/>
      <c r="AG148" s="175"/>
      <c r="AH148" s="175"/>
      <c r="AI148" s="176"/>
      <c r="AJ148" s="177"/>
      <c r="AK148" s="178"/>
      <c r="AL148" s="178"/>
      <c r="AM148" s="178"/>
      <c r="AN148" s="178"/>
      <c r="AO148" s="179"/>
      <c r="AP148" s="64"/>
      <c r="AQ148" s="65"/>
      <c r="AR148" s="65"/>
      <c r="AS148" s="65"/>
      <c r="AT148" s="173"/>
      <c r="AU148" s="177"/>
      <c r="AV148" s="178"/>
      <c r="AW148" s="178"/>
      <c r="AX148" s="179"/>
      <c r="AZ148" s="166"/>
      <c r="BA148" s="177"/>
      <c r="BB148" s="178"/>
      <c r="BC148" s="178"/>
      <c r="BD148" s="178"/>
      <c r="BE148" s="178"/>
      <c r="BF148" s="178"/>
      <c r="BG148" s="178"/>
      <c r="BH148" s="178"/>
      <c r="BI148" s="179"/>
      <c r="BJ148" s="180"/>
      <c r="BK148" s="178"/>
      <c r="BL148" s="178"/>
      <c r="BM148" s="178"/>
      <c r="BN148" s="178"/>
      <c r="BO148" s="181"/>
      <c r="BP148" s="166"/>
      <c r="BQ148" s="177"/>
      <c r="BR148" s="178"/>
      <c r="BS148" s="179"/>
      <c r="BU148" s="166"/>
      <c r="BV148" s="166"/>
      <c r="BW148" s="166"/>
      <c r="BX148" s="166"/>
      <c r="BY148" s="166"/>
      <c r="BZ148" s="166"/>
      <c r="CA148" s="166"/>
      <c r="CB148" s="166"/>
      <c r="CC148" s="166"/>
      <c r="CD148" s="177"/>
      <c r="CE148" s="181"/>
      <c r="CF148" s="177"/>
      <c r="CG148" s="179"/>
      <c r="CH148" s="257"/>
      <c r="CI148" s="182"/>
      <c r="CJ148" s="177"/>
      <c r="CK148" s="182"/>
      <c r="CL148" s="177"/>
      <c r="CM148" s="182"/>
      <c r="CN148" s="177"/>
      <c r="CO148" s="182"/>
      <c r="CP148" s="177"/>
      <c r="CQ148" s="178"/>
      <c r="CR148" s="182"/>
      <c r="CS148" s="173"/>
      <c r="CT148" s="65"/>
      <c r="CU148" s="255" t="str">
        <f t="shared" si="2"/>
        <v>MSP</v>
      </c>
    </row>
    <row r="149" ht="60.0" customHeight="1">
      <c r="A149" s="65"/>
      <c r="C149" s="167">
        <v>10.0</v>
      </c>
      <c r="D149" s="168" t="s">
        <v>200</v>
      </c>
      <c r="E149" s="169"/>
      <c r="F149" s="170"/>
      <c r="G149" s="170"/>
      <c r="H149" s="170"/>
      <c r="I149" s="170"/>
      <c r="J149" s="170"/>
      <c r="K149" s="171"/>
      <c r="L149" s="171"/>
      <c r="M149" s="171"/>
      <c r="N149" s="171"/>
      <c r="O149" s="256">
        <f t="shared" si="27"/>
        <v>0</v>
      </c>
      <c r="Q149" s="173"/>
      <c r="R149" s="65"/>
      <c r="S149" s="173"/>
      <c r="T149" s="173"/>
      <c r="U149" s="166"/>
      <c r="V149" s="166"/>
      <c r="W149" s="65"/>
      <c r="X149" s="66"/>
      <c r="Y149" s="173"/>
      <c r="Z149" s="166"/>
      <c r="AA149" s="174"/>
      <c r="AB149" s="175"/>
      <c r="AC149" s="175"/>
      <c r="AD149" s="175"/>
      <c r="AE149" s="175"/>
      <c r="AF149" s="175"/>
      <c r="AG149" s="175"/>
      <c r="AH149" s="175"/>
      <c r="AI149" s="176"/>
      <c r="AJ149" s="177"/>
      <c r="AK149" s="178"/>
      <c r="AL149" s="178"/>
      <c r="AM149" s="178"/>
      <c r="AN149" s="178"/>
      <c r="AO149" s="179"/>
      <c r="AP149" s="64"/>
      <c r="AQ149" s="65"/>
      <c r="AR149" s="65"/>
      <c r="AS149" s="65"/>
      <c r="AT149" s="173"/>
      <c r="AU149" s="177"/>
      <c r="AV149" s="178"/>
      <c r="AW149" s="178"/>
      <c r="AX149" s="179"/>
      <c r="AZ149" s="166"/>
      <c r="BA149" s="177"/>
      <c r="BB149" s="178"/>
      <c r="BC149" s="178"/>
      <c r="BD149" s="178"/>
      <c r="BE149" s="178"/>
      <c r="BF149" s="178"/>
      <c r="BG149" s="178"/>
      <c r="BH149" s="178"/>
      <c r="BI149" s="179"/>
      <c r="BJ149" s="180"/>
      <c r="BK149" s="178"/>
      <c r="BL149" s="178"/>
      <c r="BM149" s="178"/>
      <c r="BN149" s="178"/>
      <c r="BO149" s="181"/>
      <c r="BP149" s="166"/>
      <c r="BQ149" s="177"/>
      <c r="BR149" s="178"/>
      <c r="BS149" s="179"/>
      <c r="BU149" s="166"/>
      <c r="BV149" s="166"/>
      <c r="BW149" s="166"/>
      <c r="BX149" s="166"/>
      <c r="BY149" s="166"/>
      <c r="BZ149" s="166"/>
      <c r="CA149" s="166"/>
      <c r="CB149" s="166"/>
      <c r="CC149" s="166"/>
      <c r="CD149" s="177"/>
      <c r="CE149" s="181"/>
      <c r="CF149" s="177"/>
      <c r="CG149" s="179"/>
      <c r="CH149" s="257"/>
      <c r="CI149" s="182"/>
      <c r="CJ149" s="177"/>
      <c r="CK149" s="182"/>
      <c r="CL149" s="177"/>
      <c r="CM149" s="182"/>
      <c r="CN149" s="177"/>
      <c r="CO149" s="182"/>
      <c r="CP149" s="177"/>
      <c r="CQ149" s="178"/>
      <c r="CR149" s="182"/>
      <c r="CS149" s="173"/>
      <c r="CT149" s="65"/>
      <c r="CU149" s="255" t="str">
        <f t="shared" si="2"/>
        <v>MSP</v>
      </c>
    </row>
    <row r="150" ht="60.0" customHeight="1">
      <c r="A150" s="89"/>
      <c r="C150" s="183">
        <v>11.0</v>
      </c>
      <c r="D150" s="210" t="s">
        <v>200</v>
      </c>
      <c r="E150" s="185"/>
      <c r="F150" s="186"/>
      <c r="G150" s="186"/>
      <c r="H150" s="186"/>
      <c r="I150" s="186"/>
      <c r="J150" s="186"/>
      <c r="K150" s="187"/>
      <c r="L150" s="187"/>
      <c r="M150" s="187"/>
      <c r="N150" s="187"/>
      <c r="O150" s="258">
        <f t="shared" ref="O150:O156" si="28">IF(AND(M150&lt;&gt;0,M150&lt;&gt;"m",M150&lt;&gt;"",RIGHT(K150,3)="Lec"),1,IF(AND(M150&lt;&gt;0,M150&lt;&gt;"m",M150&lt;&gt;"",OR(RIGHT(K150,3)="Lab",RIGHT(K150,3)="Tut")),0.5,IF(AND(M150&lt;&gt;0,M150&lt;&gt;"m",M150&lt;&gt;"",RIGHT(K150,2)="TL"),0.75,0)))</f>
        <v>0</v>
      </c>
      <c r="P150" s="6"/>
      <c r="Q150" s="69"/>
      <c r="R150" s="89"/>
      <c r="S150" s="69"/>
      <c r="T150" s="69"/>
      <c r="U150" s="63"/>
      <c r="V150" s="63"/>
      <c r="W150" s="89"/>
      <c r="X150" s="68"/>
      <c r="Y150" s="69"/>
      <c r="Z150" s="63"/>
      <c r="AA150" s="189"/>
      <c r="AB150" s="190"/>
      <c r="AC150" s="190"/>
      <c r="AD150" s="190"/>
      <c r="AE150" s="190"/>
      <c r="AF150" s="190"/>
      <c r="AG150" s="190"/>
      <c r="AH150" s="190"/>
      <c r="AI150" s="191"/>
      <c r="AJ150" s="192"/>
      <c r="AK150" s="193"/>
      <c r="AL150" s="193"/>
      <c r="AM150" s="193"/>
      <c r="AN150" s="193"/>
      <c r="AO150" s="194"/>
      <c r="AP150" s="103"/>
      <c r="AQ150" s="89"/>
      <c r="AR150" s="89"/>
      <c r="AS150" s="89"/>
      <c r="AT150" s="69"/>
      <c r="AU150" s="192"/>
      <c r="AV150" s="193"/>
      <c r="AW150" s="193"/>
      <c r="AX150" s="194"/>
      <c r="AY150" s="6"/>
      <c r="AZ150" s="63"/>
      <c r="BA150" s="192"/>
      <c r="BB150" s="193"/>
      <c r="BC150" s="193"/>
      <c r="BD150" s="193"/>
      <c r="BE150" s="193"/>
      <c r="BF150" s="193"/>
      <c r="BG150" s="193"/>
      <c r="BH150" s="193"/>
      <c r="BI150" s="194"/>
      <c r="BJ150" s="195"/>
      <c r="BK150" s="193"/>
      <c r="BL150" s="193"/>
      <c r="BM150" s="193"/>
      <c r="BN150" s="193"/>
      <c r="BO150" s="196"/>
      <c r="BP150" s="63"/>
      <c r="BQ150" s="192"/>
      <c r="BR150" s="193"/>
      <c r="BS150" s="194"/>
      <c r="BT150" s="6"/>
      <c r="BU150" s="63"/>
      <c r="BV150" s="63"/>
      <c r="BW150" s="63"/>
      <c r="BX150" s="63"/>
      <c r="BY150" s="63"/>
      <c r="BZ150" s="63"/>
      <c r="CA150" s="63"/>
      <c r="CB150" s="63"/>
      <c r="CC150" s="63"/>
      <c r="CD150" s="192"/>
      <c r="CE150" s="196"/>
      <c r="CF150" s="192"/>
      <c r="CG150" s="194"/>
      <c r="CH150" s="259"/>
      <c r="CI150" s="197"/>
      <c r="CJ150" s="192"/>
      <c r="CK150" s="197"/>
      <c r="CL150" s="192"/>
      <c r="CM150" s="197"/>
      <c r="CN150" s="192"/>
      <c r="CO150" s="197"/>
      <c r="CP150" s="192"/>
      <c r="CQ150" s="193"/>
      <c r="CR150" s="197"/>
      <c r="CS150" s="69"/>
      <c r="CT150" s="89"/>
      <c r="CU150" s="255" t="str">
        <f t="shared" si="2"/>
        <v>MSP</v>
      </c>
    </row>
    <row r="151" ht="56.25" customHeight="1">
      <c r="A151" s="125">
        <v>14.0</v>
      </c>
      <c r="B151" s="199" t="s">
        <v>204</v>
      </c>
      <c r="C151" s="127">
        <v>1.0</v>
      </c>
      <c r="D151" s="168" t="s">
        <v>205</v>
      </c>
      <c r="E151" s="129"/>
      <c r="F151" s="130"/>
      <c r="G151" s="130"/>
      <c r="H151" s="130"/>
      <c r="I151" s="130"/>
      <c r="J151" s="130"/>
      <c r="K151" s="131"/>
      <c r="L151" s="131"/>
      <c r="M151" s="131"/>
      <c r="N151" s="131"/>
      <c r="O151" s="250">
        <f t="shared" si="28"/>
        <v>0</v>
      </c>
      <c r="P151" s="251">
        <f>COUNTIF(K151:K161,"TL")*0.75+COUNTIF(K151:K161,"Lec")*1+COUNTIF(K151:K161,"Lab")*0.5</f>
        <v>0</v>
      </c>
      <c r="Q151" s="134">
        <f>SUM((IF(LEFT(K151,1)="E",O151,0)),(IF(LEFT(K152,1)="E",O152,0)),(IF(LEFT(K153,1)="E",O153,0)),(IF(LEFT(K154,1)="E",O154,0)),(IF(LEFT(K155,1)="E",O155,0)),(IF(LEFT(K156,1)="E",O156,0)),(IF(LEFT(K157,1)="E",O157,0)),(IF(LEFT(K158,1)="E",O158,0)),(IF(LEFT(K159,1)="E",O159,0)),(IF(LEFT(K160,1)="E",O160,0)),(IF(LEFT(K161,1)="E",O161,0)))</f>
        <v>0</v>
      </c>
      <c r="R151" s="135">
        <f>SUM(IF(M157&lt;20,IF(K157="Plec",-1,IF(K157="PTL",-0.75,IF(K157="Plab",-0.5,0))),0),IF(M158&lt;20,IF(K158="Plec",-1,IF(K158="PTL",-0.75,IF(K158="Plab",-0.5,0))),0),IF(M159&lt;20,IF(K159="Plec",-1,IF(K159="PTL",-0.75,IF(K159="Plab",-0.5,0))),0),IF(M160&lt;20,IF(K160="Plec",-1,IF(K160="PTL",-0.75,IF(K160="Plab",-0.5,0))),0))</f>
        <v>0</v>
      </c>
      <c r="S151" s="134">
        <f>SUM(P151:R161)</f>
        <v>0</v>
      </c>
      <c r="T151" s="136">
        <f>SUM(IF(M151="M",IF(OR(K151="lec",K151="plec",K151="slec"),1,IF(OR(K151="lab",K151="plab",K151="slab",K151="tut",K151="ptut",K151="stut"),0.5,IF(OR(K151="TL",K151="pTL",K151="STL"),0.75,0))),0),IF(M152="M",IF(OR(K152="lec",K152="plec",K152="slec"),1,IF(OR(K152="lab",K152="plab",K152="slab",K152="tut",K152="ptut",K152="stut"),0.5,IF(OR(K152="TL",K152="pTL",K152="STL"),0.75,0))),0),IF(M153="M",IF(OR(K153="lec",K153="plec",K153="slec"),1,IF(OR(K153="lab",K153="plab",K153="slab",K153="tut",K153="ptut",K153="stut"),0.5,IF(OR(K153="TL",K153="pTL",K153="STL"),0.75,0))),0),IF(M154="M",IF(OR(K154="lec",K154="plec",K154="slec"),1,IF(OR(K154="lab",K154="plab",K154="slab",K154="tut",K154="ptut",K154="stut"),0.5,IF(OR(K154="TL",K154="pTL",K154="STL"),0.75,0))),0),IF(M155="M",IF(OR(K155="lec",K155="plec",K155="slec"),1,IF(OR(K155="lab",K155="plab",K155="slab",K155="tut",K155="ptut",K155="stut"),0.5,IF(OR(K155="TL",K155="pTL",K155="STL"),0.75,0))),0),IF(M156="M",IF(OR(K156="lec",K156="plec",K156="slec"),1,IF(OR(K156="lab",K156="plab",K156="slab",K156="tut",K156="ptut",K156="stut"),0.5,IF(OR(K156="TL",K156="pTL",K156="STL"),0.75,0))),0),IF(M157="M",IF(OR(K157="lec",K157="plec",K157="slec"),1,IF(OR(K157="lab",K157="plab",K157="slab",K157="tut",K157="ptut",K157="stut"),0.5,IF(OR(K157="TL",K157="pTL",K157="STL"),0.75,0))),0),IF(M158="M",IF(OR(K158="lec",K158="plec",K158="slec"),1,IF(OR(K158="lab",K158="plab",K158="slab",K158="tut",K158="ptut",K158="stut"),0.5,IF(OR(K158="TL",K158="pTL",K158="STL"),0.75,0))),0),IF(M159="M",IF(OR(K159="lec",K159="plec",K159="slec"),1,IF(OR(K159="lab",K159="plab",K159="slab",K159="tut",K159="ptut",K159="stut"),0.5,IF(OR(K159="TL",K159="pTL",K159="STL"),0.75,0))),0),IF(M160="M",IF(OR(K160="lec",K160="plec",K160="slec"),1,IF(OR(K160="lab",K160="plab",K160="slab",K160="tut",K160="ptut",K160="stut"),0.5,IF(OR(K160="TL",K160="pTL",K160="STL"),0.75,0))),0),IF(M161="M",IF(OR(K161="lec",K161="plec",K161="slec"),1,IF(OR(K161="lab",K161="plab",K161="slab",K161="tut",K161="ptut",K161="stut"),0.5,IF(OR(K161="TL",K161="pTL",K161="STL"),0.75,0))),0))</f>
        <v>0</v>
      </c>
      <c r="U151" s="137"/>
      <c r="V151" s="133"/>
      <c r="W151" s="138"/>
      <c r="X151" s="139">
        <f>S151-(T151+U151+V151+W151)</f>
        <v>0</v>
      </c>
      <c r="Y151" s="134" t="str">
        <f>CONCATENATE(SUM(O151:O161),"(",SUM(O151:O161)-X151,")")</f>
        <v>0(0)</v>
      </c>
      <c r="Z151" s="140"/>
      <c r="AA151" s="141"/>
      <c r="AB151" s="142"/>
      <c r="AC151" s="142"/>
      <c r="AD151" s="142"/>
      <c r="AE151" s="142"/>
      <c r="AF151" s="142"/>
      <c r="AG151" s="142"/>
      <c r="AH151" s="142"/>
      <c r="AI151" s="143"/>
      <c r="AJ151" s="144"/>
      <c r="AK151" s="145"/>
      <c r="AL151" s="145"/>
      <c r="AM151" s="145"/>
      <c r="AN151" s="145"/>
      <c r="AO151" s="146"/>
      <c r="AP151" s="147">
        <f>SUM(SUM(O151:O161),SUM(AI151:AI161)/2,AM151)</f>
        <v>0</v>
      </c>
      <c r="AQ151" s="148"/>
      <c r="AR151" s="148">
        <f>AP151*AQ151</f>
        <v>0</v>
      </c>
      <c r="AS151" s="148">
        <f>CT151</f>
        <v>0</v>
      </c>
      <c r="AT151" s="149">
        <f>AR151*0.75+AS151*0.25</f>
        <v>0</v>
      </c>
      <c r="AU151" s="150"/>
      <c r="AV151" s="151"/>
      <c r="AW151" s="151"/>
      <c r="AX151" s="152"/>
      <c r="AY151" s="153"/>
      <c r="AZ151" s="140"/>
      <c r="BA151" s="150"/>
      <c r="BB151" s="151"/>
      <c r="BC151" s="151"/>
      <c r="BD151" s="151"/>
      <c r="BE151" s="151"/>
      <c r="BF151" s="151"/>
      <c r="BG151" s="151"/>
      <c r="BH151" s="151"/>
      <c r="BI151" s="152"/>
      <c r="BJ151" s="154"/>
      <c r="BK151" s="151"/>
      <c r="BL151" s="151"/>
      <c r="BM151" s="151"/>
      <c r="BN151" s="151"/>
      <c r="BO151" s="155"/>
      <c r="BP151" s="140"/>
      <c r="BQ151" s="156"/>
      <c r="BR151" s="157"/>
      <c r="BS151" s="158"/>
      <c r="BT151" s="153"/>
      <c r="BU151" s="140"/>
      <c r="BV151" s="140"/>
      <c r="BW151" s="140"/>
      <c r="BX151" s="140"/>
      <c r="BY151" s="140"/>
      <c r="BZ151" s="140"/>
      <c r="CA151" s="140"/>
      <c r="CB151" s="140"/>
      <c r="CC151" s="140"/>
      <c r="CD151" s="150"/>
      <c r="CE151" s="155"/>
      <c r="CF151" s="150"/>
      <c r="CG151" s="152"/>
      <c r="CH151" s="252">
        <v>0.5</v>
      </c>
      <c r="CI151" s="160">
        <v>0.0</v>
      </c>
      <c r="CJ151" s="159"/>
      <c r="CK151" s="160"/>
      <c r="CL151" s="159"/>
      <c r="CM151" s="160"/>
      <c r="CN151" s="159"/>
      <c r="CO151" s="160"/>
      <c r="CP151" s="159"/>
      <c r="CQ151" s="162"/>
      <c r="CR151" s="160"/>
      <c r="CS151" s="253">
        <f>SUM(IF(AU151&lt;0,ABS(AU151),0),IF(AZ151&lt;0,ABS(AZ151),0),ABS(CI151),ABS(CK151),ABS(CM151),ABS(CO151),ABS(CQ151),ABS(CR151))</f>
        <v>0</v>
      </c>
      <c r="CT151" s="254">
        <f>SUM(AU151,AV151,AW151,AX151/400,AY151,AZ151,BG151,BH151*0.5,BI151*0.25,BJ151,BK151,BL151,BM151,BN151,BO151,BP151,BR151/20,BS151/100,BT151/60,BU151,BV151,BW151,BX151/4,SUM(BY151:CC161)/3,CE151,CG151/3,CI151,CK151,CM151,CO151,CQ151,CR151)</f>
        <v>0</v>
      </c>
      <c r="CU151" s="255" t="str">
        <f t="shared" si="2"/>
        <v>AJK</v>
      </c>
    </row>
    <row r="152" ht="60.0" customHeight="1">
      <c r="A152" s="65"/>
      <c r="C152" s="167">
        <v>2.0</v>
      </c>
      <c r="D152" s="168" t="s">
        <v>205</v>
      </c>
      <c r="E152" s="169"/>
      <c r="F152" s="170"/>
      <c r="G152" s="170"/>
      <c r="H152" s="170"/>
      <c r="I152" s="170"/>
      <c r="J152" s="170"/>
      <c r="K152" s="171"/>
      <c r="L152" s="171"/>
      <c r="M152" s="171"/>
      <c r="N152" s="171"/>
      <c r="O152" s="256">
        <f t="shared" si="28"/>
        <v>0</v>
      </c>
      <c r="Q152" s="173"/>
      <c r="R152" s="65"/>
      <c r="S152" s="173"/>
      <c r="T152" s="173"/>
      <c r="U152" s="166"/>
      <c r="V152" s="166"/>
      <c r="W152" s="65"/>
      <c r="X152" s="66"/>
      <c r="Y152" s="173"/>
      <c r="Z152" s="166"/>
      <c r="AA152" s="174"/>
      <c r="AB152" s="175"/>
      <c r="AC152" s="175"/>
      <c r="AD152" s="175"/>
      <c r="AE152" s="175"/>
      <c r="AF152" s="175"/>
      <c r="AG152" s="175"/>
      <c r="AH152" s="175"/>
      <c r="AI152" s="176"/>
      <c r="AJ152" s="177"/>
      <c r="AK152" s="178"/>
      <c r="AL152" s="178"/>
      <c r="AM152" s="178"/>
      <c r="AN152" s="178"/>
      <c r="AO152" s="179"/>
      <c r="AP152" s="64"/>
      <c r="AQ152" s="65"/>
      <c r="AR152" s="65"/>
      <c r="AS152" s="65"/>
      <c r="AT152" s="173"/>
      <c r="AU152" s="177"/>
      <c r="AV152" s="178"/>
      <c r="AW152" s="178"/>
      <c r="AX152" s="179"/>
      <c r="AZ152" s="166"/>
      <c r="BA152" s="177"/>
      <c r="BB152" s="178"/>
      <c r="BC152" s="178"/>
      <c r="BD152" s="178"/>
      <c r="BE152" s="178"/>
      <c r="BF152" s="178"/>
      <c r="BG152" s="178"/>
      <c r="BH152" s="178"/>
      <c r="BI152" s="179"/>
      <c r="BJ152" s="180"/>
      <c r="BK152" s="178"/>
      <c r="BL152" s="178"/>
      <c r="BM152" s="178"/>
      <c r="BN152" s="178"/>
      <c r="BO152" s="181"/>
      <c r="BP152" s="166"/>
      <c r="BQ152" s="177"/>
      <c r="BR152" s="178"/>
      <c r="BS152" s="179"/>
      <c r="BU152" s="166"/>
      <c r="BV152" s="166"/>
      <c r="BW152" s="166"/>
      <c r="BX152" s="166"/>
      <c r="BY152" s="166"/>
      <c r="BZ152" s="166"/>
      <c r="CA152" s="166"/>
      <c r="CB152" s="166"/>
      <c r="CC152" s="166"/>
      <c r="CD152" s="177"/>
      <c r="CE152" s="181"/>
      <c r="CF152" s="177"/>
      <c r="CG152" s="179"/>
      <c r="CH152" s="257"/>
      <c r="CI152" s="182"/>
      <c r="CJ152" s="177"/>
      <c r="CK152" s="182"/>
      <c r="CL152" s="177"/>
      <c r="CM152" s="182"/>
      <c r="CN152" s="177"/>
      <c r="CO152" s="182"/>
      <c r="CP152" s="177"/>
      <c r="CQ152" s="178"/>
      <c r="CR152" s="182"/>
      <c r="CS152" s="173"/>
      <c r="CT152" s="65"/>
      <c r="CU152" s="255" t="str">
        <f t="shared" si="2"/>
        <v>AJK</v>
      </c>
    </row>
    <row r="153" ht="60.0" customHeight="1">
      <c r="A153" s="65"/>
      <c r="C153" s="167">
        <v>3.0</v>
      </c>
      <c r="D153" s="168" t="s">
        <v>205</v>
      </c>
      <c r="E153" s="169"/>
      <c r="F153" s="170"/>
      <c r="G153" s="170"/>
      <c r="H153" s="170"/>
      <c r="I153" s="170"/>
      <c r="J153" s="170"/>
      <c r="K153" s="171"/>
      <c r="L153" s="171"/>
      <c r="M153" s="171"/>
      <c r="N153" s="171"/>
      <c r="O153" s="256">
        <f t="shared" si="28"/>
        <v>0</v>
      </c>
      <c r="Q153" s="173"/>
      <c r="R153" s="65"/>
      <c r="S153" s="173"/>
      <c r="T153" s="173"/>
      <c r="U153" s="166"/>
      <c r="V153" s="166"/>
      <c r="W153" s="65"/>
      <c r="X153" s="66"/>
      <c r="Y153" s="173"/>
      <c r="Z153" s="166"/>
      <c r="AA153" s="174"/>
      <c r="AB153" s="175"/>
      <c r="AC153" s="175"/>
      <c r="AD153" s="175"/>
      <c r="AE153" s="175"/>
      <c r="AF153" s="175"/>
      <c r="AG153" s="175"/>
      <c r="AH153" s="175"/>
      <c r="AI153" s="176"/>
      <c r="AJ153" s="177"/>
      <c r="AK153" s="178"/>
      <c r="AL153" s="178"/>
      <c r="AM153" s="178"/>
      <c r="AN153" s="178"/>
      <c r="AO153" s="179"/>
      <c r="AP153" s="64"/>
      <c r="AQ153" s="65"/>
      <c r="AR153" s="65"/>
      <c r="AS153" s="65"/>
      <c r="AT153" s="173"/>
      <c r="AU153" s="177"/>
      <c r="AV153" s="178"/>
      <c r="AW153" s="178"/>
      <c r="AX153" s="179"/>
      <c r="AZ153" s="166"/>
      <c r="BA153" s="177"/>
      <c r="BB153" s="178"/>
      <c r="BC153" s="178"/>
      <c r="BD153" s="178"/>
      <c r="BE153" s="178"/>
      <c r="BF153" s="178"/>
      <c r="BG153" s="178"/>
      <c r="BH153" s="178"/>
      <c r="BI153" s="179"/>
      <c r="BJ153" s="180"/>
      <c r="BK153" s="178"/>
      <c r="BL153" s="178"/>
      <c r="BM153" s="178"/>
      <c r="BN153" s="178"/>
      <c r="BO153" s="181"/>
      <c r="BP153" s="166"/>
      <c r="BQ153" s="177"/>
      <c r="BR153" s="178"/>
      <c r="BS153" s="179"/>
      <c r="BU153" s="166"/>
      <c r="BV153" s="166"/>
      <c r="BW153" s="166"/>
      <c r="BX153" s="166"/>
      <c r="BY153" s="166"/>
      <c r="BZ153" s="166"/>
      <c r="CA153" s="166"/>
      <c r="CB153" s="166"/>
      <c r="CC153" s="166"/>
      <c r="CD153" s="177"/>
      <c r="CE153" s="181"/>
      <c r="CF153" s="177"/>
      <c r="CG153" s="179"/>
      <c r="CH153" s="257"/>
      <c r="CI153" s="182"/>
      <c r="CJ153" s="177"/>
      <c r="CK153" s="182"/>
      <c r="CL153" s="177"/>
      <c r="CM153" s="182"/>
      <c r="CN153" s="177"/>
      <c r="CO153" s="182"/>
      <c r="CP153" s="177"/>
      <c r="CQ153" s="178"/>
      <c r="CR153" s="182"/>
      <c r="CS153" s="173"/>
      <c r="CT153" s="65"/>
      <c r="CU153" s="255" t="str">
        <f t="shared" si="2"/>
        <v>AJK</v>
      </c>
    </row>
    <row r="154" ht="60.0" customHeight="1">
      <c r="A154" s="65"/>
      <c r="C154" s="167">
        <v>4.0</v>
      </c>
      <c r="D154" s="168" t="s">
        <v>205</v>
      </c>
      <c r="E154" s="169"/>
      <c r="F154" s="170"/>
      <c r="G154" s="170"/>
      <c r="H154" s="170"/>
      <c r="I154" s="170"/>
      <c r="J154" s="170"/>
      <c r="K154" s="171"/>
      <c r="L154" s="171"/>
      <c r="M154" s="171"/>
      <c r="N154" s="171"/>
      <c r="O154" s="256">
        <f t="shared" si="28"/>
        <v>0</v>
      </c>
      <c r="Q154" s="173"/>
      <c r="R154" s="65"/>
      <c r="S154" s="173"/>
      <c r="T154" s="173"/>
      <c r="U154" s="166"/>
      <c r="V154" s="166"/>
      <c r="W154" s="65"/>
      <c r="X154" s="66"/>
      <c r="Y154" s="173"/>
      <c r="Z154" s="166"/>
      <c r="AA154" s="174"/>
      <c r="AB154" s="175"/>
      <c r="AC154" s="175"/>
      <c r="AD154" s="175"/>
      <c r="AE154" s="175"/>
      <c r="AF154" s="175"/>
      <c r="AG154" s="175"/>
      <c r="AH154" s="175"/>
      <c r="AI154" s="176"/>
      <c r="AJ154" s="177"/>
      <c r="AK154" s="178"/>
      <c r="AL154" s="178"/>
      <c r="AM154" s="178"/>
      <c r="AN154" s="178"/>
      <c r="AO154" s="179"/>
      <c r="AP154" s="64"/>
      <c r="AQ154" s="65"/>
      <c r="AR154" s="65"/>
      <c r="AS154" s="65"/>
      <c r="AT154" s="173"/>
      <c r="AU154" s="177"/>
      <c r="AV154" s="178"/>
      <c r="AW154" s="178"/>
      <c r="AX154" s="179"/>
      <c r="AZ154" s="166"/>
      <c r="BA154" s="177"/>
      <c r="BB154" s="178"/>
      <c r="BC154" s="178"/>
      <c r="BD154" s="178"/>
      <c r="BE154" s="178"/>
      <c r="BF154" s="178"/>
      <c r="BG154" s="178"/>
      <c r="BH154" s="178"/>
      <c r="BI154" s="179"/>
      <c r="BJ154" s="180"/>
      <c r="BK154" s="178"/>
      <c r="BL154" s="178"/>
      <c r="BM154" s="178"/>
      <c r="BN154" s="178"/>
      <c r="BO154" s="181"/>
      <c r="BP154" s="166"/>
      <c r="BQ154" s="177"/>
      <c r="BR154" s="178"/>
      <c r="BS154" s="179"/>
      <c r="BU154" s="166"/>
      <c r="BV154" s="166"/>
      <c r="BW154" s="166"/>
      <c r="BX154" s="166"/>
      <c r="BY154" s="166"/>
      <c r="BZ154" s="166"/>
      <c r="CA154" s="166"/>
      <c r="CB154" s="166"/>
      <c r="CC154" s="166"/>
      <c r="CD154" s="177"/>
      <c r="CE154" s="181"/>
      <c r="CF154" s="177"/>
      <c r="CG154" s="179"/>
      <c r="CH154" s="257"/>
      <c r="CI154" s="182"/>
      <c r="CJ154" s="177"/>
      <c r="CK154" s="182"/>
      <c r="CL154" s="177"/>
      <c r="CM154" s="182"/>
      <c r="CN154" s="177"/>
      <c r="CO154" s="182"/>
      <c r="CP154" s="177"/>
      <c r="CQ154" s="178"/>
      <c r="CR154" s="182"/>
      <c r="CS154" s="173"/>
      <c r="CT154" s="65"/>
      <c r="CU154" s="255" t="str">
        <f t="shared" si="2"/>
        <v>AJK</v>
      </c>
    </row>
    <row r="155" ht="60.0" customHeight="1">
      <c r="A155" s="65"/>
      <c r="C155" s="167">
        <v>5.0</v>
      </c>
      <c r="D155" s="168" t="s">
        <v>205</v>
      </c>
      <c r="E155" s="169"/>
      <c r="F155" s="170"/>
      <c r="G155" s="170"/>
      <c r="H155" s="170"/>
      <c r="I155" s="170"/>
      <c r="J155" s="170"/>
      <c r="K155" s="171"/>
      <c r="L155" s="171"/>
      <c r="M155" s="171"/>
      <c r="N155" s="171"/>
      <c r="O155" s="256">
        <f t="shared" si="28"/>
        <v>0</v>
      </c>
      <c r="Q155" s="173"/>
      <c r="R155" s="65"/>
      <c r="S155" s="173"/>
      <c r="T155" s="173"/>
      <c r="U155" s="166"/>
      <c r="V155" s="166"/>
      <c r="W155" s="65"/>
      <c r="X155" s="66"/>
      <c r="Y155" s="173"/>
      <c r="Z155" s="166"/>
      <c r="AA155" s="174"/>
      <c r="AB155" s="175"/>
      <c r="AC155" s="175"/>
      <c r="AD155" s="175"/>
      <c r="AE155" s="175"/>
      <c r="AF155" s="175"/>
      <c r="AG155" s="175"/>
      <c r="AH155" s="175"/>
      <c r="AI155" s="176"/>
      <c r="AJ155" s="177"/>
      <c r="AK155" s="178"/>
      <c r="AL155" s="178"/>
      <c r="AM155" s="178"/>
      <c r="AN155" s="178"/>
      <c r="AO155" s="179"/>
      <c r="AP155" s="64"/>
      <c r="AQ155" s="65"/>
      <c r="AR155" s="65"/>
      <c r="AS155" s="65"/>
      <c r="AT155" s="173"/>
      <c r="AU155" s="177"/>
      <c r="AV155" s="178"/>
      <c r="AW155" s="178"/>
      <c r="AX155" s="179"/>
      <c r="AZ155" s="166"/>
      <c r="BA155" s="177"/>
      <c r="BB155" s="178"/>
      <c r="BC155" s="178"/>
      <c r="BD155" s="178"/>
      <c r="BE155" s="178"/>
      <c r="BF155" s="178"/>
      <c r="BG155" s="178"/>
      <c r="BH155" s="178"/>
      <c r="BI155" s="179"/>
      <c r="BJ155" s="180"/>
      <c r="BK155" s="178"/>
      <c r="BL155" s="178"/>
      <c r="BM155" s="178"/>
      <c r="BN155" s="178"/>
      <c r="BO155" s="181"/>
      <c r="BP155" s="166"/>
      <c r="BQ155" s="177"/>
      <c r="BR155" s="178"/>
      <c r="BS155" s="179"/>
      <c r="BU155" s="166"/>
      <c r="BV155" s="166"/>
      <c r="BW155" s="166"/>
      <c r="BX155" s="166"/>
      <c r="BY155" s="166"/>
      <c r="BZ155" s="166"/>
      <c r="CA155" s="166"/>
      <c r="CB155" s="166"/>
      <c r="CC155" s="166"/>
      <c r="CD155" s="177"/>
      <c r="CE155" s="181"/>
      <c r="CF155" s="177"/>
      <c r="CG155" s="179"/>
      <c r="CH155" s="257"/>
      <c r="CI155" s="182"/>
      <c r="CJ155" s="177"/>
      <c r="CK155" s="182"/>
      <c r="CL155" s="177"/>
      <c r="CM155" s="182"/>
      <c r="CN155" s="177"/>
      <c r="CO155" s="182"/>
      <c r="CP155" s="177"/>
      <c r="CQ155" s="178"/>
      <c r="CR155" s="182"/>
      <c r="CS155" s="173"/>
      <c r="CT155" s="65"/>
      <c r="CU155" s="255" t="str">
        <f t="shared" si="2"/>
        <v>AJK</v>
      </c>
    </row>
    <row r="156" ht="60.0" customHeight="1">
      <c r="A156" s="65"/>
      <c r="C156" s="167">
        <v>6.0</v>
      </c>
      <c r="D156" s="168" t="s">
        <v>205</v>
      </c>
      <c r="E156" s="169"/>
      <c r="F156" s="170"/>
      <c r="G156" s="170"/>
      <c r="H156" s="170"/>
      <c r="I156" s="170"/>
      <c r="J156" s="170"/>
      <c r="K156" s="171"/>
      <c r="L156" s="171"/>
      <c r="M156" s="171"/>
      <c r="N156" s="171"/>
      <c r="O156" s="256">
        <f t="shared" si="28"/>
        <v>0</v>
      </c>
      <c r="Q156" s="173"/>
      <c r="R156" s="65"/>
      <c r="S156" s="173"/>
      <c r="T156" s="173"/>
      <c r="U156" s="166"/>
      <c r="V156" s="166"/>
      <c r="W156" s="65"/>
      <c r="X156" s="66"/>
      <c r="Y156" s="173"/>
      <c r="Z156" s="166"/>
      <c r="AA156" s="174"/>
      <c r="AB156" s="175"/>
      <c r="AC156" s="175"/>
      <c r="AD156" s="175"/>
      <c r="AE156" s="175"/>
      <c r="AF156" s="175"/>
      <c r="AG156" s="175"/>
      <c r="AH156" s="175"/>
      <c r="AI156" s="176"/>
      <c r="AJ156" s="177"/>
      <c r="AK156" s="178"/>
      <c r="AL156" s="178"/>
      <c r="AM156" s="178"/>
      <c r="AN156" s="178"/>
      <c r="AO156" s="179"/>
      <c r="AP156" s="64"/>
      <c r="AQ156" s="65"/>
      <c r="AR156" s="65"/>
      <c r="AS156" s="65"/>
      <c r="AT156" s="173"/>
      <c r="AU156" s="177"/>
      <c r="AV156" s="178"/>
      <c r="AW156" s="178"/>
      <c r="AX156" s="179"/>
      <c r="AZ156" s="166"/>
      <c r="BA156" s="177"/>
      <c r="BB156" s="178"/>
      <c r="BC156" s="178"/>
      <c r="BD156" s="178"/>
      <c r="BE156" s="178"/>
      <c r="BF156" s="178"/>
      <c r="BG156" s="178"/>
      <c r="BH156" s="178"/>
      <c r="BI156" s="179"/>
      <c r="BJ156" s="180"/>
      <c r="BK156" s="178"/>
      <c r="BL156" s="178"/>
      <c r="BM156" s="178"/>
      <c r="BN156" s="178"/>
      <c r="BO156" s="181"/>
      <c r="BP156" s="166"/>
      <c r="BQ156" s="177"/>
      <c r="BR156" s="178"/>
      <c r="BS156" s="179"/>
      <c r="BU156" s="166"/>
      <c r="BV156" s="166"/>
      <c r="BW156" s="166"/>
      <c r="BX156" s="166"/>
      <c r="BY156" s="166"/>
      <c r="BZ156" s="166"/>
      <c r="CA156" s="166"/>
      <c r="CB156" s="166"/>
      <c r="CC156" s="166"/>
      <c r="CD156" s="177"/>
      <c r="CE156" s="181"/>
      <c r="CF156" s="177"/>
      <c r="CG156" s="179"/>
      <c r="CH156" s="257"/>
      <c r="CI156" s="182"/>
      <c r="CJ156" s="177"/>
      <c r="CK156" s="182"/>
      <c r="CL156" s="177"/>
      <c r="CM156" s="182"/>
      <c r="CN156" s="177"/>
      <c r="CO156" s="182"/>
      <c r="CP156" s="177"/>
      <c r="CQ156" s="178"/>
      <c r="CR156" s="182"/>
      <c r="CS156" s="173"/>
      <c r="CT156" s="65"/>
      <c r="CU156" s="255" t="str">
        <f t="shared" si="2"/>
        <v>AJK</v>
      </c>
    </row>
    <row r="157" ht="60.0" customHeight="1">
      <c r="A157" s="65"/>
      <c r="C157" s="167">
        <v>7.0</v>
      </c>
      <c r="D157" s="168" t="s">
        <v>205</v>
      </c>
      <c r="E157" s="169"/>
      <c r="F157" s="170"/>
      <c r="G157" s="170"/>
      <c r="H157" s="170"/>
      <c r="I157" s="170"/>
      <c r="J157" s="170"/>
      <c r="K157" s="171"/>
      <c r="L157" s="171"/>
      <c r="M157" s="171"/>
      <c r="N157" s="171"/>
      <c r="O157" s="256">
        <f t="shared" ref="O157:O160" si="29">IF(AND(M157&gt;=20,M157&lt;&gt;"m",RIGHT(K157,3)="Lec"),1,IF(AND(M157&gt;=20,M157&lt;&gt;"m",OR(RIGHT(K157,3)="Lab",RIGHT(K157,3)="Tut")),0.5,IF(AND(M157&gt;=20,M157&lt;&gt;"m",RIGHT(K157,2)="TL"),0.75,0)))</f>
        <v>0</v>
      </c>
      <c r="Q157" s="173"/>
      <c r="R157" s="65"/>
      <c r="S157" s="173"/>
      <c r="T157" s="173"/>
      <c r="U157" s="166"/>
      <c r="V157" s="166"/>
      <c r="W157" s="65"/>
      <c r="X157" s="66"/>
      <c r="Y157" s="173"/>
      <c r="Z157" s="166"/>
      <c r="AA157" s="174"/>
      <c r="AB157" s="175"/>
      <c r="AC157" s="175"/>
      <c r="AD157" s="175"/>
      <c r="AE157" s="175"/>
      <c r="AF157" s="175"/>
      <c r="AG157" s="175"/>
      <c r="AH157" s="175"/>
      <c r="AI157" s="176"/>
      <c r="AJ157" s="177"/>
      <c r="AK157" s="178"/>
      <c r="AL157" s="178"/>
      <c r="AM157" s="178"/>
      <c r="AN157" s="178"/>
      <c r="AO157" s="179"/>
      <c r="AP157" s="64"/>
      <c r="AQ157" s="65"/>
      <c r="AR157" s="65"/>
      <c r="AS157" s="65"/>
      <c r="AT157" s="173"/>
      <c r="AU157" s="177"/>
      <c r="AV157" s="178"/>
      <c r="AW157" s="178"/>
      <c r="AX157" s="179"/>
      <c r="AZ157" s="166"/>
      <c r="BA157" s="177"/>
      <c r="BB157" s="178"/>
      <c r="BC157" s="178"/>
      <c r="BD157" s="178"/>
      <c r="BE157" s="178"/>
      <c r="BF157" s="178"/>
      <c r="BG157" s="178"/>
      <c r="BH157" s="178"/>
      <c r="BI157" s="179"/>
      <c r="BJ157" s="180"/>
      <c r="BK157" s="178"/>
      <c r="BL157" s="178"/>
      <c r="BM157" s="178"/>
      <c r="BN157" s="178"/>
      <c r="BO157" s="181"/>
      <c r="BP157" s="166"/>
      <c r="BQ157" s="177"/>
      <c r="BR157" s="178"/>
      <c r="BS157" s="179"/>
      <c r="BU157" s="166"/>
      <c r="BV157" s="166"/>
      <c r="BW157" s="166"/>
      <c r="BX157" s="166"/>
      <c r="BY157" s="166"/>
      <c r="BZ157" s="166"/>
      <c r="CA157" s="166"/>
      <c r="CB157" s="166"/>
      <c r="CC157" s="166"/>
      <c r="CD157" s="177"/>
      <c r="CE157" s="181"/>
      <c r="CF157" s="177"/>
      <c r="CG157" s="179"/>
      <c r="CH157" s="257"/>
      <c r="CI157" s="182"/>
      <c r="CJ157" s="177"/>
      <c r="CK157" s="182"/>
      <c r="CL157" s="177"/>
      <c r="CM157" s="182"/>
      <c r="CN157" s="177"/>
      <c r="CO157" s="182"/>
      <c r="CP157" s="177"/>
      <c r="CQ157" s="178"/>
      <c r="CR157" s="182"/>
      <c r="CS157" s="173"/>
      <c r="CT157" s="65"/>
      <c r="CU157" s="255" t="str">
        <f t="shared" si="2"/>
        <v>AJK</v>
      </c>
    </row>
    <row r="158" ht="60.0" customHeight="1">
      <c r="A158" s="65"/>
      <c r="C158" s="167">
        <v>8.0</v>
      </c>
      <c r="D158" s="168" t="s">
        <v>205</v>
      </c>
      <c r="E158" s="169"/>
      <c r="F158" s="170"/>
      <c r="G158" s="170"/>
      <c r="H158" s="170"/>
      <c r="I158" s="170"/>
      <c r="J158" s="170"/>
      <c r="K158" s="171"/>
      <c r="L158" s="171"/>
      <c r="M158" s="171"/>
      <c r="N158" s="171"/>
      <c r="O158" s="256">
        <f t="shared" si="29"/>
        <v>0</v>
      </c>
      <c r="Q158" s="173"/>
      <c r="R158" s="65"/>
      <c r="S158" s="173"/>
      <c r="T158" s="173"/>
      <c r="U158" s="166"/>
      <c r="V158" s="166"/>
      <c r="W158" s="65"/>
      <c r="X158" s="66"/>
      <c r="Y158" s="173"/>
      <c r="Z158" s="166"/>
      <c r="AA158" s="174"/>
      <c r="AB158" s="175"/>
      <c r="AC158" s="175"/>
      <c r="AD158" s="175"/>
      <c r="AE158" s="175"/>
      <c r="AF158" s="175"/>
      <c r="AG158" s="175"/>
      <c r="AH158" s="175"/>
      <c r="AI158" s="176"/>
      <c r="AJ158" s="177"/>
      <c r="AK158" s="178"/>
      <c r="AL158" s="178"/>
      <c r="AM158" s="178"/>
      <c r="AN158" s="178"/>
      <c r="AO158" s="179"/>
      <c r="AP158" s="64"/>
      <c r="AQ158" s="65"/>
      <c r="AR158" s="65"/>
      <c r="AS158" s="65"/>
      <c r="AT158" s="173"/>
      <c r="AU158" s="177"/>
      <c r="AV158" s="178"/>
      <c r="AW158" s="178"/>
      <c r="AX158" s="179"/>
      <c r="AZ158" s="166"/>
      <c r="BA158" s="177"/>
      <c r="BB158" s="178"/>
      <c r="BC158" s="178"/>
      <c r="BD158" s="178"/>
      <c r="BE158" s="178"/>
      <c r="BF158" s="178"/>
      <c r="BG158" s="178"/>
      <c r="BH158" s="178"/>
      <c r="BI158" s="179"/>
      <c r="BJ158" s="180"/>
      <c r="BK158" s="178"/>
      <c r="BL158" s="178"/>
      <c r="BM158" s="178"/>
      <c r="BN158" s="178"/>
      <c r="BO158" s="181"/>
      <c r="BP158" s="166"/>
      <c r="BQ158" s="177"/>
      <c r="BR158" s="178"/>
      <c r="BS158" s="179"/>
      <c r="BU158" s="166"/>
      <c r="BV158" s="166"/>
      <c r="BW158" s="166"/>
      <c r="BX158" s="166"/>
      <c r="BY158" s="166"/>
      <c r="BZ158" s="166"/>
      <c r="CA158" s="166"/>
      <c r="CB158" s="166"/>
      <c r="CC158" s="166"/>
      <c r="CD158" s="177"/>
      <c r="CE158" s="181"/>
      <c r="CF158" s="177"/>
      <c r="CG158" s="179"/>
      <c r="CH158" s="257"/>
      <c r="CI158" s="182"/>
      <c r="CJ158" s="177"/>
      <c r="CK158" s="182"/>
      <c r="CL158" s="177"/>
      <c r="CM158" s="182"/>
      <c r="CN158" s="177"/>
      <c r="CO158" s="182"/>
      <c r="CP158" s="177"/>
      <c r="CQ158" s="178"/>
      <c r="CR158" s="182"/>
      <c r="CS158" s="173"/>
      <c r="CT158" s="65"/>
      <c r="CU158" s="255" t="str">
        <f t="shared" si="2"/>
        <v>AJK</v>
      </c>
    </row>
    <row r="159" ht="60.0" customHeight="1">
      <c r="A159" s="65"/>
      <c r="C159" s="167">
        <v>9.0</v>
      </c>
      <c r="D159" s="168" t="s">
        <v>205</v>
      </c>
      <c r="E159" s="169"/>
      <c r="F159" s="170"/>
      <c r="G159" s="170"/>
      <c r="H159" s="170"/>
      <c r="I159" s="170"/>
      <c r="J159" s="170"/>
      <c r="K159" s="171"/>
      <c r="L159" s="171"/>
      <c r="M159" s="171"/>
      <c r="N159" s="171"/>
      <c r="O159" s="256">
        <f t="shared" si="29"/>
        <v>0</v>
      </c>
      <c r="Q159" s="173"/>
      <c r="R159" s="65"/>
      <c r="S159" s="173"/>
      <c r="T159" s="173"/>
      <c r="U159" s="166"/>
      <c r="V159" s="166"/>
      <c r="W159" s="65"/>
      <c r="X159" s="66"/>
      <c r="Y159" s="173"/>
      <c r="Z159" s="166"/>
      <c r="AA159" s="174"/>
      <c r="AB159" s="175"/>
      <c r="AC159" s="175"/>
      <c r="AD159" s="175"/>
      <c r="AE159" s="175"/>
      <c r="AF159" s="175"/>
      <c r="AG159" s="175"/>
      <c r="AH159" s="175"/>
      <c r="AI159" s="176"/>
      <c r="AJ159" s="177"/>
      <c r="AK159" s="178"/>
      <c r="AL159" s="178"/>
      <c r="AM159" s="178"/>
      <c r="AN159" s="178"/>
      <c r="AO159" s="179"/>
      <c r="AP159" s="64"/>
      <c r="AQ159" s="65"/>
      <c r="AR159" s="65"/>
      <c r="AS159" s="65"/>
      <c r="AT159" s="173"/>
      <c r="AU159" s="177"/>
      <c r="AV159" s="178"/>
      <c r="AW159" s="178"/>
      <c r="AX159" s="179"/>
      <c r="AZ159" s="166"/>
      <c r="BA159" s="177"/>
      <c r="BB159" s="178"/>
      <c r="BC159" s="178"/>
      <c r="BD159" s="178"/>
      <c r="BE159" s="178"/>
      <c r="BF159" s="178"/>
      <c r="BG159" s="178"/>
      <c r="BH159" s="178"/>
      <c r="BI159" s="179"/>
      <c r="BJ159" s="180"/>
      <c r="BK159" s="178"/>
      <c r="BL159" s="178"/>
      <c r="BM159" s="178"/>
      <c r="BN159" s="178"/>
      <c r="BO159" s="181"/>
      <c r="BP159" s="166"/>
      <c r="BQ159" s="177"/>
      <c r="BR159" s="178"/>
      <c r="BS159" s="179"/>
      <c r="BU159" s="166"/>
      <c r="BV159" s="166"/>
      <c r="BW159" s="166"/>
      <c r="BX159" s="166"/>
      <c r="BY159" s="166"/>
      <c r="BZ159" s="166"/>
      <c r="CA159" s="166"/>
      <c r="CB159" s="166"/>
      <c r="CC159" s="166"/>
      <c r="CD159" s="177"/>
      <c r="CE159" s="181"/>
      <c r="CF159" s="177"/>
      <c r="CG159" s="179"/>
      <c r="CH159" s="257"/>
      <c r="CI159" s="182"/>
      <c r="CJ159" s="177"/>
      <c r="CK159" s="182"/>
      <c r="CL159" s="177"/>
      <c r="CM159" s="182"/>
      <c r="CN159" s="177"/>
      <c r="CO159" s="182"/>
      <c r="CP159" s="177"/>
      <c r="CQ159" s="178"/>
      <c r="CR159" s="182"/>
      <c r="CS159" s="173"/>
      <c r="CT159" s="65"/>
      <c r="CU159" s="255" t="str">
        <f t="shared" si="2"/>
        <v>AJK</v>
      </c>
    </row>
    <row r="160" ht="60.0" customHeight="1">
      <c r="A160" s="65"/>
      <c r="C160" s="167">
        <v>10.0</v>
      </c>
      <c r="D160" s="168" t="s">
        <v>205</v>
      </c>
      <c r="E160" s="169"/>
      <c r="F160" s="170"/>
      <c r="G160" s="170"/>
      <c r="H160" s="170"/>
      <c r="I160" s="170"/>
      <c r="J160" s="170"/>
      <c r="K160" s="171"/>
      <c r="L160" s="171"/>
      <c r="M160" s="171"/>
      <c r="N160" s="171"/>
      <c r="O160" s="256">
        <f t="shared" si="29"/>
        <v>0</v>
      </c>
      <c r="Q160" s="173"/>
      <c r="R160" s="65"/>
      <c r="S160" s="173"/>
      <c r="T160" s="173"/>
      <c r="U160" s="166"/>
      <c r="V160" s="166"/>
      <c r="W160" s="65"/>
      <c r="X160" s="66"/>
      <c r="Y160" s="173"/>
      <c r="Z160" s="166"/>
      <c r="AA160" s="174"/>
      <c r="AB160" s="175"/>
      <c r="AC160" s="175"/>
      <c r="AD160" s="175"/>
      <c r="AE160" s="175"/>
      <c r="AF160" s="175"/>
      <c r="AG160" s="175"/>
      <c r="AH160" s="175"/>
      <c r="AI160" s="176"/>
      <c r="AJ160" s="177"/>
      <c r="AK160" s="178"/>
      <c r="AL160" s="178"/>
      <c r="AM160" s="178"/>
      <c r="AN160" s="178"/>
      <c r="AO160" s="179"/>
      <c r="AP160" s="64"/>
      <c r="AQ160" s="65"/>
      <c r="AR160" s="65"/>
      <c r="AS160" s="65"/>
      <c r="AT160" s="173"/>
      <c r="AU160" s="177"/>
      <c r="AV160" s="178"/>
      <c r="AW160" s="178"/>
      <c r="AX160" s="179"/>
      <c r="AZ160" s="166"/>
      <c r="BA160" s="177"/>
      <c r="BB160" s="178"/>
      <c r="BC160" s="178"/>
      <c r="BD160" s="178"/>
      <c r="BE160" s="178"/>
      <c r="BF160" s="178"/>
      <c r="BG160" s="178"/>
      <c r="BH160" s="178"/>
      <c r="BI160" s="179"/>
      <c r="BJ160" s="180"/>
      <c r="BK160" s="178"/>
      <c r="BL160" s="178"/>
      <c r="BM160" s="178"/>
      <c r="BN160" s="178"/>
      <c r="BO160" s="181"/>
      <c r="BP160" s="166"/>
      <c r="BQ160" s="177"/>
      <c r="BR160" s="178"/>
      <c r="BS160" s="179"/>
      <c r="BU160" s="166"/>
      <c r="BV160" s="166"/>
      <c r="BW160" s="166"/>
      <c r="BX160" s="166"/>
      <c r="BY160" s="166"/>
      <c r="BZ160" s="166"/>
      <c r="CA160" s="166"/>
      <c r="CB160" s="166"/>
      <c r="CC160" s="166"/>
      <c r="CD160" s="177"/>
      <c r="CE160" s="181"/>
      <c r="CF160" s="177"/>
      <c r="CG160" s="179"/>
      <c r="CH160" s="257"/>
      <c r="CI160" s="182"/>
      <c r="CJ160" s="177"/>
      <c r="CK160" s="182"/>
      <c r="CL160" s="177"/>
      <c r="CM160" s="182"/>
      <c r="CN160" s="177"/>
      <c r="CO160" s="182"/>
      <c r="CP160" s="177"/>
      <c r="CQ160" s="178"/>
      <c r="CR160" s="182"/>
      <c r="CS160" s="173"/>
      <c r="CT160" s="65"/>
      <c r="CU160" s="255" t="str">
        <f t="shared" si="2"/>
        <v>AJK</v>
      </c>
    </row>
    <row r="161" ht="60.0" customHeight="1">
      <c r="A161" s="89"/>
      <c r="C161" s="183">
        <v>11.0</v>
      </c>
      <c r="D161" s="210" t="s">
        <v>205</v>
      </c>
      <c r="E161" s="185"/>
      <c r="F161" s="186"/>
      <c r="G161" s="186"/>
      <c r="H161" s="186"/>
      <c r="I161" s="186"/>
      <c r="J161" s="186"/>
      <c r="K161" s="187"/>
      <c r="L161" s="187"/>
      <c r="M161" s="187"/>
      <c r="N161" s="187"/>
      <c r="O161" s="258">
        <f t="shared" ref="O161:O167" si="30">IF(AND(M161&lt;&gt;0,M161&lt;&gt;"m",M161&lt;&gt;"",RIGHT(K161,3)="Lec"),1,IF(AND(M161&lt;&gt;0,M161&lt;&gt;"m",M161&lt;&gt;"",OR(RIGHT(K161,3)="Lab",RIGHT(K161,3)="Tut")),0.5,IF(AND(M161&lt;&gt;0,M161&lt;&gt;"m",M161&lt;&gt;"",RIGHT(K161,2)="TL"),0.75,0)))</f>
        <v>0</v>
      </c>
      <c r="P161" s="6"/>
      <c r="Q161" s="69"/>
      <c r="R161" s="89"/>
      <c r="S161" s="69"/>
      <c r="T161" s="69"/>
      <c r="U161" s="63"/>
      <c r="V161" s="63"/>
      <c r="W161" s="89"/>
      <c r="X161" s="68"/>
      <c r="Y161" s="69"/>
      <c r="Z161" s="63"/>
      <c r="AA161" s="189"/>
      <c r="AB161" s="190"/>
      <c r="AC161" s="190"/>
      <c r="AD161" s="190"/>
      <c r="AE161" s="190"/>
      <c r="AF161" s="190"/>
      <c r="AG161" s="190"/>
      <c r="AH161" s="190"/>
      <c r="AI161" s="191"/>
      <c r="AJ161" s="192"/>
      <c r="AK161" s="193"/>
      <c r="AL161" s="193"/>
      <c r="AM161" s="193"/>
      <c r="AN161" s="193"/>
      <c r="AO161" s="194"/>
      <c r="AP161" s="103"/>
      <c r="AQ161" s="89"/>
      <c r="AR161" s="89"/>
      <c r="AS161" s="89"/>
      <c r="AT161" s="69"/>
      <c r="AU161" s="192"/>
      <c r="AV161" s="193"/>
      <c r="AW161" s="193"/>
      <c r="AX161" s="194"/>
      <c r="AY161" s="6"/>
      <c r="AZ161" s="63"/>
      <c r="BA161" s="192"/>
      <c r="BB161" s="193"/>
      <c r="BC161" s="193"/>
      <c r="BD161" s="193"/>
      <c r="BE161" s="193"/>
      <c r="BF161" s="193"/>
      <c r="BG161" s="193"/>
      <c r="BH161" s="193"/>
      <c r="BI161" s="194"/>
      <c r="BJ161" s="195"/>
      <c r="BK161" s="193"/>
      <c r="BL161" s="193"/>
      <c r="BM161" s="193"/>
      <c r="BN161" s="193"/>
      <c r="BO161" s="196"/>
      <c r="BP161" s="63"/>
      <c r="BQ161" s="192"/>
      <c r="BR161" s="193"/>
      <c r="BS161" s="194"/>
      <c r="BT161" s="6"/>
      <c r="BU161" s="63"/>
      <c r="BV161" s="63"/>
      <c r="BW161" s="63"/>
      <c r="BX161" s="63"/>
      <c r="BY161" s="63"/>
      <c r="BZ161" s="63"/>
      <c r="CA161" s="63"/>
      <c r="CB161" s="63"/>
      <c r="CC161" s="63"/>
      <c r="CD161" s="192"/>
      <c r="CE161" s="196"/>
      <c r="CF161" s="192"/>
      <c r="CG161" s="194"/>
      <c r="CH161" s="259"/>
      <c r="CI161" s="197"/>
      <c r="CJ161" s="192"/>
      <c r="CK161" s="197"/>
      <c r="CL161" s="192"/>
      <c r="CM161" s="197"/>
      <c r="CN161" s="192"/>
      <c r="CO161" s="197"/>
      <c r="CP161" s="192"/>
      <c r="CQ161" s="193"/>
      <c r="CR161" s="197"/>
      <c r="CS161" s="69"/>
      <c r="CT161" s="89"/>
      <c r="CU161" s="255" t="str">
        <f t="shared" si="2"/>
        <v>AJK</v>
      </c>
    </row>
    <row r="162" ht="56.25" hidden="1" customHeight="1">
      <c r="A162" s="125"/>
      <c r="B162" s="199"/>
      <c r="C162" s="127"/>
      <c r="D162" s="128"/>
      <c r="E162" s="260"/>
      <c r="F162" s="261"/>
      <c r="G162" s="261"/>
      <c r="H162" s="261"/>
      <c r="I162" s="261"/>
      <c r="J162" s="170"/>
      <c r="K162" s="219"/>
      <c r="L162" s="219"/>
      <c r="M162" s="219"/>
      <c r="N162" s="220"/>
      <c r="O162" s="132">
        <f t="shared" si="30"/>
        <v>0</v>
      </c>
      <c r="P162" s="133">
        <f>COUNTIF(K162:K172,"TL")*0.75+COUNTIF(K162:K172,"Lec")*1+COUNTIF(K162:K172,"Lab")*0.5</f>
        <v>0</v>
      </c>
      <c r="Q162" s="134">
        <f>SUM((IF(LEFT(K162,1)="E",O162,0)),(IF(LEFT(K163,1)="E",O163,0)),(IF(LEFT(K164,1)="E",O164,0)),(IF(LEFT(K165,1)="E",O165,0)),(IF(LEFT(K166,1)="E",O166,0)),(IF(LEFT(K167,1)="E",O167,0)),(IF(LEFT(K168,1)="E",O168,0)),(IF(LEFT(K169,1)="E",O169,0)),(IF(LEFT(K170,1)="E",O170,0)),(IF(LEFT(K171,1)="E",O171,0)),(IF(LEFT(K172,1)="E",O172,0)))</f>
        <v>0</v>
      </c>
      <c r="R162" s="135">
        <f>SUM(IF(M168&lt;20,IF(K168="Plec",-1,IF(K168="PTL",-0.75,IF(K168="Plab",-0.5,0))),0),IF(M169&lt;20,IF(K169="Plec",-1,IF(K169="PTL",-0.75,IF(K169="Plab",-0.5,0))),0),IF(M170&lt;20,IF(K170="Plec",-1,IF(K170="PTL",-0.75,IF(K170="Plab",-0.5,0))),0),IF(M171&lt;20,IF(K171="Plec",-1,IF(K171="PTL",-0.75,IF(K171="Plab",-0.5,0))),0))</f>
        <v>0</v>
      </c>
      <c r="S162" s="134">
        <f>SUM(P162:R172)</f>
        <v>0</v>
      </c>
      <c r="T162" s="136">
        <f>SUM(IF(M162="M",IF(OR(K162="lec",K162="plec",K162="slec"),1,IF(OR(K162="lab",K162="plab",K162="slab",K162="tut",K162="ptut",K162="stut"),0.5,IF(OR(K162="TL",K162="pTL",K162="STL"),0.75,0))),0),IF(M163="M",IF(OR(K163="lec",K163="plec",K163="slec"),1,IF(OR(K163="lab",K163="plab",K163="slab",K163="tut",K163="ptut",K163="stut"),0.5,IF(OR(K163="TL",K163="pTL",K163="STL"),0.75,0))),0),IF(M164="M",IF(OR(K164="lec",K164="plec",K164="slec"),1,IF(OR(K164="lab",K164="plab",K164="slab",K164="tut",K164="ptut",K164="stut"),0.5,IF(OR(K164="TL",K164="pTL",K164="STL"),0.75,0))),0),IF(M165="M",IF(OR(K165="lec",K165="plec",K165="slec"),1,IF(OR(K165="lab",K165="plab",K165="slab",K165="tut",K165="ptut",K165="stut"),0.5,IF(OR(K165="TL",K165="pTL",K165="STL"),0.75,0))),0),IF(M166="M",IF(OR(K166="lec",K166="plec",K166="slec"),1,IF(OR(K166="lab",K166="plab",K166="slab",K166="tut",K166="ptut",K166="stut"),0.5,IF(OR(K166="TL",K166="pTL",K166="STL"),0.75,0))),0),IF(M167="M",IF(OR(K167="lec",K167="plec",K167="slec"),1,IF(OR(K167="lab",K167="plab",K167="slab",K167="tut",K167="ptut",K167="stut"),0.5,IF(OR(K167="TL",K167="pTL",K167="STL"),0.75,0))),0),IF(M168="M",IF(OR(K168="lec",K168="plec",K168="slec"),1,IF(OR(K168="lab",K168="plab",K168="slab",K168="tut",K168="ptut",K168="stut"),0.5,IF(OR(K168="TL",K168="pTL",K168="STL"),0.75,0))),0),IF(M169="M",IF(OR(K169="lec",K169="plec",K169="slec"),1,IF(OR(K169="lab",K169="plab",K169="slab",K169="tut",K169="ptut",K169="stut"),0.5,IF(OR(K169="TL",K169="pTL",K169="STL"),0.75,0))),0),IF(M170="M",IF(OR(K170="lec",K170="plec",K170="slec"),1,IF(OR(K170="lab",K170="plab",K170="slab",K170="tut",K170="ptut",K170="stut"),0.5,IF(OR(K170="TL",K170="pTL",K170="STL"),0.75,0))),0),IF(M171="M",IF(OR(K171="lec",K171="plec",K171="slec"),1,IF(OR(K171="lab",K171="plab",K171="slab",K171="tut",K171="ptut",K171="stut"),0.5,IF(OR(K171="TL",K171="pTL",K171="STL"),0.75,0))),0),IF(M172="M",IF(OR(K172="lec",K172="plec",K172="slec"),1,IF(OR(K172="lab",K172="plab",K172="slab",K172="tut",K172="ptut",K172="stut"),0.5,IF(OR(K172="TL",K172="pTL",K172="STL"),0.75,0))),0))</f>
        <v>0</v>
      </c>
      <c r="U162" s="137"/>
      <c r="V162" s="133"/>
      <c r="W162" s="138"/>
      <c r="X162" s="139">
        <f>S162-(T162+U162+V162+W162)</f>
        <v>0</v>
      </c>
      <c r="Y162" s="134" t="str">
        <f>CONCATENATE(SUM(O162:O172),"(",SUM(O162:O172)-X162,")")</f>
        <v>0(0)</v>
      </c>
      <c r="Z162" s="140"/>
      <c r="AA162" s="141"/>
      <c r="AB162" s="142"/>
      <c r="AC162" s="142"/>
      <c r="AD162" s="142"/>
      <c r="AE162" s="142"/>
      <c r="AF162" s="142"/>
      <c r="AG162" s="142"/>
      <c r="AH162" s="142"/>
      <c r="AI162" s="143"/>
      <c r="AJ162" s="144"/>
      <c r="AK162" s="145"/>
      <c r="AL162" s="145"/>
      <c r="AM162" s="145"/>
      <c r="AN162" s="145"/>
      <c r="AO162" s="146"/>
      <c r="AP162" s="147">
        <f>SUM(SUM(O162:O172),SUM(AI162:AI172)/2,AM162)</f>
        <v>0</v>
      </c>
      <c r="AQ162" s="148"/>
      <c r="AR162" s="148">
        <f>AP162*AQ162</f>
        <v>0</v>
      </c>
      <c r="AS162" s="148">
        <f>CT162</f>
        <v>0</v>
      </c>
      <c r="AT162" s="149">
        <f>AR162*0.75+AS162*0.25</f>
        <v>0</v>
      </c>
      <c r="AU162" s="150"/>
      <c r="AV162" s="151"/>
      <c r="AW162" s="151"/>
      <c r="AX162" s="152"/>
      <c r="AY162" s="153"/>
      <c r="AZ162" s="140"/>
      <c r="BA162" s="150"/>
      <c r="BB162" s="151"/>
      <c r="BC162" s="151"/>
      <c r="BD162" s="151"/>
      <c r="BE162" s="151"/>
      <c r="BF162" s="151"/>
      <c r="BG162" s="151"/>
      <c r="BH162" s="151"/>
      <c r="BI162" s="152"/>
      <c r="BJ162" s="154"/>
      <c r="BK162" s="151"/>
      <c r="BL162" s="151"/>
      <c r="BM162" s="151"/>
      <c r="BN162" s="151"/>
      <c r="BO162" s="155"/>
      <c r="BP162" s="140"/>
      <c r="BQ162" s="156"/>
      <c r="BR162" s="157"/>
      <c r="BS162" s="158"/>
      <c r="BT162" s="153"/>
      <c r="BU162" s="140"/>
      <c r="BV162" s="140"/>
      <c r="BW162" s="140"/>
      <c r="BX162" s="140"/>
      <c r="BY162" s="140"/>
      <c r="BZ162" s="140"/>
      <c r="CA162" s="140"/>
      <c r="CB162" s="140"/>
      <c r="CC162" s="140"/>
      <c r="CD162" s="150"/>
      <c r="CE162" s="155"/>
      <c r="CF162" s="150"/>
      <c r="CG162" s="152"/>
      <c r="CH162" s="252"/>
      <c r="CI162" s="160"/>
      <c r="CJ162" s="159"/>
      <c r="CK162" s="160"/>
      <c r="CL162" s="159"/>
      <c r="CM162" s="160"/>
      <c r="CN162" s="159"/>
      <c r="CO162" s="160"/>
      <c r="CP162" s="159"/>
      <c r="CQ162" s="162"/>
      <c r="CR162" s="160"/>
      <c r="CS162" s="253">
        <f>SUM(IF(AU162&lt;0,ABS(AU162),0),IF(AZ162&lt;0,ABS(AZ162),0),ABS(CI162),ABS(CK162),ABS(CM162),ABS(CO162),ABS(CQ162),ABS(CR162))</f>
        <v>0</v>
      </c>
      <c r="CT162" s="254">
        <f>SUM(AU162,AV162,AW162,AX162/400,AY162,AZ162,BG162,BH162*0.5,BI162*0.25,BJ162,BK162,BL162,BM162,BN162,BO162,BP162,BR162/20,BS162/100,BT162/60,BU162,BV162,BW162,BX162/4,SUM(BY162:CC172)/3,CE162,CG162/3,CI162,CK162,CM162,CO162,CQ162,CR162)</f>
        <v>0</v>
      </c>
      <c r="CU162" s="255" t="str">
        <f t="shared" si="2"/>
        <v/>
      </c>
    </row>
    <row r="163" ht="60.0" hidden="1" customHeight="1">
      <c r="A163" s="65"/>
      <c r="C163" s="167"/>
      <c r="D163" s="205"/>
      <c r="E163" s="262"/>
      <c r="F163" s="170"/>
      <c r="G163" s="170"/>
      <c r="H163" s="170"/>
      <c r="I163" s="170"/>
      <c r="J163" s="170"/>
      <c r="K163" s="171"/>
      <c r="L163" s="171"/>
      <c r="M163" s="171"/>
      <c r="N163" s="209"/>
      <c r="O163" s="172">
        <f t="shared" si="30"/>
        <v>0</v>
      </c>
      <c r="P163" s="166"/>
      <c r="Q163" s="173"/>
      <c r="R163" s="65"/>
      <c r="S163" s="173"/>
      <c r="T163" s="173"/>
      <c r="U163" s="166"/>
      <c r="V163" s="166"/>
      <c r="W163" s="65"/>
      <c r="X163" s="66"/>
      <c r="Y163" s="173"/>
      <c r="Z163" s="166"/>
      <c r="AA163" s="174"/>
      <c r="AB163" s="175"/>
      <c r="AC163" s="175"/>
      <c r="AD163" s="175"/>
      <c r="AE163" s="175"/>
      <c r="AF163" s="175"/>
      <c r="AG163" s="175"/>
      <c r="AH163" s="175"/>
      <c r="AI163" s="176"/>
      <c r="AJ163" s="177"/>
      <c r="AK163" s="178"/>
      <c r="AL163" s="178"/>
      <c r="AM163" s="178"/>
      <c r="AN163" s="178"/>
      <c r="AO163" s="179"/>
      <c r="AP163" s="64"/>
      <c r="AQ163" s="65"/>
      <c r="AR163" s="65"/>
      <c r="AS163" s="65"/>
      <c r="AT163" s="173"/>
      <c r="AU163" s="177"/>
      <c r="AV163" s="178"/>
      <c r="AW163" s="178"/>
      <c r="AX163" s="179"/>
      <c r="AZ163" s="166"/>
      <c r="BA163" s="177"/>
      <c r="BB163" s="178"/>
      <c r="BC163" s="178"/>
      <c r="BD163" s="178"/>
      <c r="BE163" s="178"/>
      <c r="BF163" s="178"/>
      <c r="BG163" s="178"/>
      <c r="BH163" s="178"/>
      <c r="BI163" s="179"/>
      <c r="BJ163" s="180"/>
      <c r="BK163" s="178"/>
      <c r="BL163" s="178"/>
      <c r="BM163" s="178"/>
      <c r="BN163" s="178"/>
      <c r="BO163" s="181"/>
      <c r="BP163" s="166"/>
      <c r="BQ163" s="177"/>
      <c r="BR163" s="178"/>
      <c r="BS163" s="179"/>
      <c r="BU163" s="166"/>
      <c r="BV163" s="166"/>
      <c r="BW163" s="166"/>
      <c r="BX163" s="166"/>
      <c r="BY163" s="166"/>
      <c r="BZ163" s="166"/>
      <c r="CA163" s="166"/>
      <c r="CB163" s="166"/>
      <c r="CC163" s="166"/>
      <c r="CD163" s="177"/>
      <c r="CE163" s="181"/>
      <c r="CF163" s="177"/>
      <c r="CG163" s="179"/>
      <c r="CH163" s="257"/>
      <c r="CI163" s="182"/>
      <c r="CJ163" s="177"/>
      <c r="CK163" s="182"/>
      <c r="CL163" s="177"/>
      <c r="CM163" s="182"/>
      <c r="CN163" s="177"/>
      <c r="CO163" s="182"/>
      <c r="CP163" s="177"/>
      <c r="CQ163" s="178"/>
      <c r="CR163" s="182"/>
      <c r="CS163" s="173"/>
      <c r="CT163" s="65"/>
      <c r="CU163" s="255" t="str">
        <f t="shared" si="2"/>
        <v/>
      </c>
    </row>
    <row r="164" ht="60.0" hidden="1" customHeight="1">
      <c r="A164" s="65"/>
      <c r="C164" s="167"/>
      <c r="D164" s="205"/>
      <c r="E164" s="262"/>
      <c r="F164" s="170"/>
      <c r="G164" s="170"/>
      <c r="H164" s="170"/>
      <c r="I164" s="170"/>
      <c r="J164" s="170"/>
      <c r="K164" s="171"/>
      <c r="L164" s="171"/>
      <c r="M164" s="171"/>
      <c r="N164" s="209"/>
      <c r="O164" s="172">
        <f t="shared" si="30"/>
        <v>0</v>
      </c>
      <c r="P164" s="166"/>
      <c r="Q164" s="173"/>
      <c r="R164" s="65"/>
      <c r="S164" s="173"/>
      <c r="T164" s="173"/>
      <c r="U164" s="166"/>
      <c r="V164" s="166"/>
      <c r="W164" s="65"/>
      <c r="X164" s="66"/>
      <c r="Y164" s="173"/>
      <c r="Z164" s="166"/>
      <c r="AA164" s="174"/>
      <c r="AB164" s="175"/>
      <c r="AC164" s="175"/>
      <c r="AD164" s="175"/>
      <c r="AE164" s="175"/>
      <c r="AF164" s="175"/>
      <c r="AG164" s="175"/>
      <c r="AH164" s="175"/>
      <c r="AI164" s="176"/>
      <c r="AJ164" s="177"/>
      <c r="AK164" s="178"/>
      <c r="AL164" s="178"/>
      <c r="AM164" s="178"/>
      <c r="AN164" s="178"/>
      <c r="AO164" s="179"/>
      <c r="AP164" s="64"/>
      <c r="AQ164" s="65"/>
      <c r="AR164" s="65"/>
      <c r="AS164" s="65"/>
      <c r="AT164" s="173"/>
      <c r="AU164" s="177"/>
      <c r="AV164" s="178"/>
      <c r="AW164" s="178"/>
      <c r="AX164" s="179"/>
      <c r="AZ164" s="166"/>
      <c r="BA164" s="177"/>
      <c r="BB164" s="178"/>
      <c r="BC164" s="178"/>
      <c r="BD164" s="178"/>
      <c r="BE164" s="178"/>
      <c r="BF164" s="178"/>
      <c r="BG164" s="178"/>
      <c r="BH164" s="178"/>
      <c r="BI164" s="179"/>
      <c r="BJ164" s="180"/>
      <c r="BK164" s="178"/>
      <c r="BL164" s="178"/>
      <c r="BM164" s="178"/>
      <c r="BN164" s="178"/>
      <c r="BO164" s="181"/>
      <c r="BP164" s="166"/>
      <c r="BQ164" s="177"/>
      <c r="BR164" s="178"/>
      <c r="BS164" s="179"/>
      <c r="BU164" s="166"/>
      <c r="BV164" s="166"/>
      <c r="BW164" s="166"/>
      <c r="BX164" s="166"/>
      <c r="BY164" s="166"/>
      <c r="BZ164" s="166"/>
      <c r="CA164" s="166"/>
      <c r="CB164" s="166"/>
      <c r="CC164" s="166"/>
      <c r="CD164" s="177"/>
      <c r="CE164" s="181"/>
      <c r="CF164" s="177"/>
      <c r="CG164" s="179"/>
      <c r="CH164" s="257"/>
      <c r="CI164" s="182"/>
      <c r="CJ164" s="177"/>
      <c r="CK164" s="182"/>
      <c r="CL164" s="177"/>
      <c r="CM164" s="182"/>
      <c r="CN164" s="177"/>
      <c r="CO164" s="182"/>
      <c r="CP164" s="177"/>
      <c r="CQ164" s="178"/>
      <c r="CR164" s="182"/>
      <c r="CS164" s="173"/>
      <c r="CT164" s="65"/>
      <c r="CU164" s="255" t="str">
        <f t="shared" si="2"/>
        <v/>
      </c>
    </row>
    <row r="165" ht="60.0" hidden="1" customHeight="1">
      <c r="A165" s="65"/>
      <c r="C165" s="167"/>
      <c r="D165" s="205"/>
      <c r="E165" s="262"/>
      <c r="F165" s="170"/>
      <c r="G165" s="170"/>
      <c r="H165" s="170"/>
      <c r="I165" s="170"/>
      <c r="J165" s="170"/>
      <c r="K165" s="171"/>
      <c r="L165" s="171"/>
      <c r="M165" s="171"/>
      <c r="N165" s="209"/>
      <c r="O165" s="172">
        <f t="shared" si="30"/>
        <v>0</v>
      </c>
      <c r="P165" s="166"/>
      <c r="Q165" s="173"/>
      <c r="R165" s="65"/>
      <c r="S165" s="173"/>
      <c r="T165" s="173"/>
      <c r="U165" s="166"/>
      <c r="V165" s="166"/>
      <c r="W165" s="65"/>
      <c r="X165" s="66"/>
      <c r="Y165" s="173"/>
      <c r="Z165" s="166"/>
      <c r="AA165" s="174"/>
      <c r="AB165" s="175"/>
      <c r="AC165" s="175"/>
      <c r="AD165" s="175"/>
      <c r="AE165" s="175"/>
      <c r="AF165" s="175"/>
      <c r="AG165" s="175"/>
      <c r="AH165" s="175"/>
      <c r="AI165" s="176"/>
      <c r="AJ165" s="177"/>
      <c r="AK165" s="178"/>
      <c r="AL165" s="178"/>
      <c r="AM165" s="178"/>
      <c r="AN165" s="178"/>
      <c r="AO165" s="179"/>
      <c r="AP165" s="64"/>
      <c r="AQ165" s="65"/>
      <c r="AR165" s="65"/>
      <c r="AS165" s="65"/>
      <c r="AT165" s="173"/>
      <c r="AU165" s="177"/>
      <c r="AV165" s="178"/>
      <c r="AW165" s="178"/>
      <c r="AX165" s="179"/>
      <c r="AZ165" s="166"/>
      <c r="BA165" s="177"/>
      <c r="BB165" s="178"/>
      <c r="BC165" s="178"/>
      <c r="BD165" s="178"/>
      <c r="BE165" s="178"/>
      <c r="BF165" s="178"/>
      <c r="BG165" s="178"/>
      <c r="BH165" s="178"/>
      <c r="BI165" s="179"/>
      <c r="BJ165" s="180"/>
      <c r="BK165" s="178"/>
      <c r="BL165" s="178"/>
      <c r="BM165" s="178"/>
      <c r="BN165" s="178"/>
      <c r="BO165" s="181"/>
      <c r="BP165" s="166"/>
      <c r="BQ165" s="177"/>
      <c r="BR165" s="178"/>
      <c r="BS165" s="179"/>
      <c r="BU165" s="166"/>
      <c r="BV165" s="166"/>
      <c r="BW165" s="166"/>
      <c r="BX165" s="166"/>
      <c r="BY165" s="166"/>
      <c r="BZ165" s="166"/>
      <c r="CA165" s="166"/>
      <c r="CB165" s="166"/>
      <c r="CC165" s="166"/>
      <c r="CD165" s="177"/>
      <c r="CE165" s="181"/>
      <c r="CF165" s="177"/>
      <c r="CG165" s="179"/>
      <c r="CH165" s="257"/>
      <c r="CI165" s="182"/>
      <c r="CJ165" s="177"/>
      <c r="CK165" s="182"/>
      <c r="CL165" s="177"/>
      <c r="CM165" s="182"/>
      <c r="CN165" s="177"/>
      <c r="CO165" s="182"/>
      <c r="CP165" s="177"/>
      <c r="CQ165" s="178"/>
      <c r="CR165" s="182"/>
      <c r="CS165" s="173"/>
      <c r="CT165" s="65"/>
      <c r="CU165" s="255" t="str">
        <f t="shared" si="2"/>
        <v/>
      </c>
    </row>
    <row r="166" ht="60.0" hidden="1" customHeight="1">
      <c r="A166" s="65"/>
      <c r="C166" s="167"/>
      <c r="D166" s="205"/>
      <c r="E166" s="262"/>
      <c r="F166" s="170"/>
      <c r="G166" s="170"/>
      <c r="H166" s="170"/>
      <c r="I166" s="170"/>
      <c r="J166" s="170"/>
      <c r="K166" s="171"/>
      <c r="L166" s="171"/>
      <c r="M166" s="171"/>
      <c r="N166" s="209"/>
      <c r="O166" s="172">
        <f t="shared" si="30"/>
        <v>0</v>
      </c>
      <c r="P166" s="166"/>
      <c r="Q166" s="173"/>
      <c r="R166" s="65"/>
      <c r="S166" s="173"/>
      <c r="T166" s="173"/>
      <c r="U166" s="166"/>
      <c r="V166" s="166"/>
      <c r="W166" s="65"/>
      <c r="X166" s="66"/>
      <c r="Y166" s="173"/>
      <c r="Z166" s="166"/>
      <c r="AA166" s="174"/>
      <c r="AB166" s="175"/>
      <c r="AC166" s="175"/>
      <c r="AD166" s="175"/>
      <c r="AE166" s="175"/>
      <c r="AF166" s="175"/>
      <c r="AG166" s="175"/>
      <c r="AH166" s="175"/>
      <c r="AI166" s="176"/>
      <c r="AJ166" s="177"/>
      <c r="AK166" s="178"/>
      <c r="AL166" s="178"/>
      <c r="AM166" s="178"/>
      <c r="AN166" s="178"/>
      <c r="AO166" s="179"/>
      <c r="AP166" s="64"/>
      <c r="AQ166" s="65"/>
      <c r="AR166" s="65"/>
      <c r="AS166" s="65"/>
      <c r="AT166" s="173"/>
      <c r="AU166" s="177"/>
      <c r="AV166" s="178"/>
      <c r="AW166" s="178"/>
      <c r="AX166" s="179"/>
      <c r="AZ166" s="166"/>
      <c r="BA166" s="177"/>
      <c r="BB166" s="178"/>
      <c r="BC166" s="178"/>
      <c r="BD166" s="178"/>
      <c r="BE166" s="178"/>
      <c r="BF166" s="178"/>
      <c r="BG166" s="178"/>
      <c r="BH166" s="178"/>
      <c r="BI166" s="179"/>
      <c r="BJ166" s="180"/>
      <c r="BK166" s="178"/>
      <c r="BL166" s="178"/>
      <c r="BM166" s="178"/>
      <c r="BN166" s="178"/>
      <c r="BO166" s="181"/>
      <c r="BP166" s="166"/>
      <c r="BQ166" s="177"/>
      <c r="BR166" s="178"/>
      <c r="BS166" s="179"/>
      <c r="BU166" s="166"/>
      <c r="BV166" s="166"/>
      <c r="BW166" s="166"/>
      <c r="BX166" s="166"/>
      <c r="BY166" s="166"/>
      <c r="BZ166" s="166"/>
      <c r="CA166" s="166"/>
      <c r="CB166" s="166"/>
      <c r="CC166" s="166"/>
      <c r="CD166" s="177"/>
      <c r="CE166" s="181"/>
      <c r="CF166" s="177"/>
      <c r="CG166" s="179"/>
      <c r="CH166" s="257"/>
      <c r="CI166" s="182"/>
      <c r="CJ166" s="177"/>
      <c r="CK166" s="182"/>
      <c r="CL166" s="177"/>
      <c r="CM166" s="182"/>
      <c r="CN166" s="177"/>
      <c r="CO166" s="182"/>
      <c r="CP166" s="177"/>
      <c r="CQ166" s="178"/>
      <c r="CR166" s="182"/>
      <c r="CS166" s="173"/>
      <c r="CT166" s="65"/>
      <c r="CU166" s="255" t="str">
        <f t="shared" si="2"/>
        <v/>
      </c>
    </row>
    <row r="167" ht="60.0" hidden="1" customHeight="1">
      <c r="A167" s="65"/>
      <c r="C167" s="167"/>
      <c r="D167" s="205"/>
      <c r="E167" s="262"/>
      <c r="F167" s="170"/>
      <c r="G167" s="170"/>
      <c r="H167" s="170"/>
      <c r="I167" s="170"/>
      <c r="J167" s="170"/>
      <c r="K167" s="171"/>
      <c r="L167" s="171"/>
      <c r="M167" s="171"/>
      <c r="N167" s="209"/>
      <c r="O167" s="172">
        <f t="shared" si="30"/>
        <v>0</v>
      </c>
      <c r="P167" s="166"/>
      <c r="Q167" s="173"/>
      <c r="R167" s="65"/>
      <c r="S167" s="173"/>
      <c r="T167" s="173"/>
      <c r="U167" s="166"/>
      <c r="V167" s="166"/>
      <c r="W167" s="65"/>
      <c r="X167" s="66"/>
      <c r="Y167" s="173"/>
      <c r="Z167" s="166"/>
      <c r="AA167" s="174"/>
      <c r="AB167" s="175"/>
      <c r="AC167" s="175"/>
      <c r="AD167" s="175"/>
      <c r="AE167" s="175"/>
      <c r="AF167" s="175"/>
      <c r="AG167" s="175"/>
      <c r="AH167" s="175"/>
      <c r="AI167" s="176"/>
      <c r="AJ167" s="177"/>
      <c r="AK167" s="178"/>
      <c r="AL167" s="178"/>
      <c r="AM167" s="178"/>
      <c r="AN167" s="178"/>
      <c r="AO167" s="179"/>
      <c r="AP167" s="64"/>
      <c r="AQ167" s="65"/>
      <c r="AR167" s="65"/>
      <c r="AS167" s="65"/>
      <c r="AT167" s="173"/>
      <c r="AU167" s="177"/>
      <c r="AV167" s="178"/>
      <c r="AW167" s="178"/>
      <c r="AX167" s="179"/>
      <c r="AZ167" s="166"/>
      <c r="BA167" s="177"/>
      <c r="BB167" s="178"/>
      <c r="BC167" s="178"/>
      <c r="BD167" s="178"/>
      <c r="BE167" s="178"/>
      <c r="BF167" s="178"/>
      <c r="BG167" s="178"/>
      <c r="BH167" s="178"/>
      <c r="BI167" s="179"/>
      <c r="BJ167" s="180"/>
      <c r="BK167" s="178"/>
      <c r="BL167" s="178"/>
      <c r="BM167" s="178"/>
      <c r="BN167" s="178"/>
      <c r="BO167" s="181"/>
      <c r="BP167" s="166"/>
      <c r="BQ167" s="177"/>
      <c r="BR167" s="178"/>
      <c r="BS167" s="179"/>
      <c r="BU167" s="166"/>
      <c r="BV167" s="166"/>
      <c r="BW167" s="166"/>
      <c r="BX167" s="166"/>
      <c r="BY167" s="166"/>
      <c r="BZ167" s="166"/>
      <c r="CA167" s="166"/>
      <c r="CB167" s="166"/>
      <c r="CC167" s="166"/>
      <c r="CD167" s="177"/>
      <c r="CE167" s="181"/>
      <c r="CF167" s="177"/>
      <c r="CG167" s="179"/>
      <c r="CH167" s="257"/>
      <c r="CI167" s="182"/>
      <c r="CJ167" s="177"/>
      <c r="CK167" s="182"/>
      <c r="CL167" s="177"/>
      <c r="CM167" s="182"/>
      <c r="CN167" s="177"/>
      <c r="CO167" s="182"/>
      <c r="CP167" s="177"/>
      <c r="CQ167" s="178"/>
      <c r="CR167" s="182"/>
      <c r="CS167" s="173"/>
      <c r="CT167" s="65"/>
      <c r="CU167" s="255" t="str">
        <f t="shared" si="2"/>
        <v/>
      </c>
    </row>
    <row r="168" ht="60.0" hidden="1" customHeight="1">
      <c r="A168" s="65"/>
      <c r="C168" s="167"/>
      <c r="D168" s="205"/>
      <c r="E168" s="262"/>
      <c r="F168" s="170"/>
      <c r="G168" s="170"/>
      <c r="H168" s="170"/>
      <c r="I168" s="170"/>
      <c r="J168" s="170"/>
      <c r="K168" s="171"/>
      <c r="L168" s="171"/>
      <c r="M168" s="171"/>
      <c r="N168" s="209"/>
      <c r="O168" s="172">
        <f t="shared" ref="O168:O171" si="31">IF(AND(M168&gt;=20,M168&lt;&gt;"m",RIGHT(K168,3)="Lec"),1,IF(AND(M168&gt;=20,M168&lt;&gt;"m",OR(RIGHT(K168,3)="Lab",RIGHT(K168,3)="Tut")),0.5,IF(AND(M168&gt;=20,M168&lt;&gt;"m",RIGHT(K168,2)="TL"),0.75,0)))</f>
        <v>0</v>
      </c>
      <c r="P168" s="166"/>
      <c r="Q168" s="173"/>
      <c r="R168" s="65"/>
      <c r="S168" s="173"/>
      <c r="T168" s="173"/>
      <c r="U168" s="166"/>
      <c r="V168" s="166"/>
      <c r="W168" s="65"/>
      <c r="X168" s="66"/>
      <c r="Y168" s="173"/>
      <c r="Z168" s="166"/>
      <c r="AA168" s="174"/>
      <c r="AB168" s="175"/>
      <c r="AC168" s="175"/>
      <c r="AD168" s="175"/>
      <c r="AE168" s="175"/>
      <c r="AF168" s="175"/>
      <c r="AG168" s="175"/>
      <c r="AH168" s="175"/>
      <c r="AI168" s="176"/>
      <c r="AJ168" s="177"/>
      <c r="AK168" s="178"/>
      <c r="AL168" s="178"/>
      <c r="AM168" s="178"/>
      <c r="AN168" s="178"/>
      <c r="AO168" s="179"/>
      <c r="AP168" s="64"/>
      <c r="AQ168" s="65"/>
      <c r="AR168" s="65"/>
      <c r="AS168" s="65"/>
      <c r="AT168" s="173"/>
      <c r="AU168" s="177"/>
      <c r="AV168" s="178"/>
      <c r="AW168" s="178"/>
      <c r="AX168" s="179"/>
      <c r="AZ168" s="166"/>
      <c r="BA168" s="177"/>
      <c r="BB168" s="178"/>
      <c r="BC168" s="178"/>
      <c r="BD168" s="178"/>
      <c r="BE168" s="178"/>
      <c r="BF168" s="178"/>
      <c r="BG168" s="178"/>
      <c r="BH168" s="178"/>
      <c r="BI168" s="179"/>
      <c r="BJ168" s="180"/>
      <c r="BK168" s="178"/>
      <c r="BL168" s="178"/>
      <c r="BM168" s="178"/>
      <c r="BN168" s="178"/>
      <c r="BO168" s="181"/>
      <c r="BP168" s="166"/>
      <c r="BQ168" s="177"/>
      <c r="BR168" s="178"/>
      <c r="BS168" s="179"/>
      <c r="BU168" s="166"/>
      <c r="BV168" s="166"/>
      <c r="BW168" s="166"/>
      <c r="BX168" s="166"/>
      <c r="BY168" s="166"/>
      <c r="BZ168" s="166"/>
      <c r="CA168" s="166"/>
      <c r="CB168" s="166"/>
      <c r="CC168" s="166"/>
      <c r="CD168" s="177"/>
      <c r="CE168" s="181"/>
      <c r="CF168" s="177"/>
      <c r="CG168" s="179"/>
      <c r="CH168" s="257"/>
      <c r="CI168" s="182"/>
      <c r="CJ168" s="177"/>
      <c r="CK168" s="182"/>
      <c r="CL168" s="177"/>
      <c r="CM168" s="182"/>
      <c r="CN168" s="177"/>
      <c r="CO168" s="182"/>
      <c r="CP168" s="177"/>
      <c r="CQ168" s="178"/>
      <c r="CR168" s="182"/>
      <c r="CS168" s="173"/>
      <c r="CT168" s="65"/>
      <c r="CU168" s="255" t="str">
        <f t="shared" si="2"/>
        <v/>
      </c>
    </row>
    <row r="169" ht="60.0" hidden="1" customHeight="1">
      <c r="A169" s="65"/>
      <c r="C169" s="167"/>
      <c r="D169" s="205"/>
      <c r="E169" s="262"/>
      <c r="F169" s="170"/>
      <c r="G169" s="170"/>
      <c r="H169" s="170"/>
      <c r="I169" s="170"/>
      <c r="J169" s="170"/>
      <c r="K169" s="171"/>
      <c r="L169" s="171"/>
      <c r="M169" s="171"/>
      <c r="N169" s="209"/>
      <c r="O169" s="172">
        <f t="shared" si="31"/>
        <v>0</v>
      </c>
      <c r="P169" s="166"/>
      <c r="Q169" s="173"/>
      <c r="R169" s="65"/>
      <c r="S169" s="173"/>
      <c r="T169" s="173"/>
      <c r="U169" s="166"/>
      <c r="V169" s="166"/>
      <c r="W169" s="65"/>
      <c r="X169" s="66"/>
      <c r="Y169" s="173"/>
      <c r="Z169" s="166"/>
      <c r="AA169" s="174"/>
      <c r="AB169" s="175"/>
      <c r="AC169" s="175"/>
      <c r="AD169" s="175"/>
      <c r="AE169" s="175"/>
      <c r="AF169" s="175"/>
      <c r="AG169" s="175"/>
      <c r="AH169" s="175"/>
      <c r="AI169" s="176"/>
      <c r="AJ169" s="177"/>
      <c r="AK169" s="178"/>
      <c r="AL169" s="178"/>
      <c r="AM169" s="178"/>
      <c r="AN169" s="178"/>
      <c r="AO169" s="179"/>
      <c r="AP169" s="64"/>
      <c r="AQ169" s="65"/>
      <c r="AR169" s="65"/>
      <c r="AS169" s="65"/>
      <c r="AT169" s="173"/>
      <c r="AU169" s="177"/>
      <c r="AV169" s="178"/>
      <c r="AW169" s="178"/>
      <c r="AX169" s="179"/>
      <c r="AZ169" s="166"/>
      <c r="BA169" s="177"/>
      <c r="BB169" s="178"/>
      <c r="BC169" s="178"/>
      <c r="BD169" s="178"/>
      <c r="BE169" s="178"/>
      <c r="BF169" s="178"/>
      <c r="BG169" s="178"/>
      <c r="BH169" s="178"/>
      <c r="BI169" s="179"/>
      <c r="BJ169" s="180"/>
      <c r="BK169" s="178"/>
      <c r="BL169" s="178"/>
      <c r="BM169" s="178"/>
      <c r="BN169" s="178"/>
      <c r="BO169" s="181"/>
      <c r="BP169" s="166"/>
      <c r="BQ169" s="177"/>
      <c r="BR169" s="178"/>
      <c r="BS169" s="179"/>
      <c r="BU169" s="166"/>
      <c r="BV169" s="166"/>
      <c r="BW169" s="166"/>
      <c r="BX169" s="166"/>
      <c r="BY169" s="166"/>
      <c r="BZ169" s="166"/>
      <c r="CA169" s="166"/>
      <c r="CB169" s="166"/>
      <c r="CC169" s="166"/>
      <c r="CD169" s="177"/>
      <c r="CE169" s="181"/>
      <c r="CF169" s="177"/>
      <c r="CG169" s="179"/>
      <c r="CH169" s="257"/>
      <c r="CI169" s="182"/>
      <c r="CJ169" s="177"/>
      <c r="CK169" s="182"/>
      <c r="CL169" s="177"/>
      <c r="CM169" s="182"/>
      <c r="CN169" s="177"/>
      <c r="CO169" s="182"/>
      <c r="CP169" s="177"/>
      <c r="CQ169" s="178"/>
      <c r="CR169" s="182"/>
      <c r="CS169" s="173"/>
      <c r="CT169" s="65"/>
      <c r="CU169" s="255" t="str">
        <f t="shared" si="2"/>
        <v/>
      </c>
    </row>
    <row r="170" ht="60.0" hidden="1" customHeight="1">
      <c r="A170" s="65"/>
      <c r="C170" s="167"/>
      <c r="D170" s="205"/>
      <c r="E170" s="262"/>
      <c r="F170" s="170"/>
      <c r="G170" s="170"/>
      <c r="H170" s="170"/>
      <c r="I170" s="170"/>
      <c r="J170" s="170"/>
      <c r="K170" s="171"/>
      <c r="L170" s="171"/>
      <c r="M170" s="171"/>
      <c r="N170" s="209"/>
      <c r="O170" s="172">
        <f t="shared" si="31"/>
        <v>0</v>
      </c>
      <c r="P170" s="166"/>
      <c r="Q170" s="173"/>
      <c r="R170" s="65"/>
      <c r="S170" s="173"/>
      <c r="T170" s="173"/>
      <c r="U170" s="166"/>
      <c r="V170" s="166"/>
      <c r="W170" s="65"/>
      <c r="X170" s="66"/>
      <c r="Y170" s="173"/>
      <c r="Z170" s="166"/>
      <c r="AA170" s="174"/>
      <c r="AB170" s="175"/>
      <c r="AC170" s="175"/>
      <c r="AD170" s="175"/>
      <c r="AE170" s="175"/>
      <c r="AF170" s="175"/>
      <c r="AG170" s="175"/>
      <c r="AH170" s="175"/>
      <c r="AI170" s="176"/>
      <c r="AJ170" s="177"/>
      <c r="AK170" s="178"/>
      <c r="AL170" s="178"/>
      <c r="AM170" s="178"/>
      <c r="AN170" s="178"/>
      <c r="AO170" s="179"/>
      <c r="AP170" s="64"/>
      <c r="AQ170" s="65"/>
      <c r="AR170" s="65"/>
      <c r="AS170" s="65"/>
      <c r="AT170" s="173"/>
      <c r="AU170" s="177"/>
      <c r="AV170" s="178"/>
      <c r="AW170" s="178"/>
      <c r="AX170" s="179"/>
      <c r="AZ170" s="166"/>
      <c r="BA170" s="177"/>
      <c r="BB170" s="178"/>
      <c r="BC170" s="178"/>
      <c r="BD170" s="178"/>
      <c r="BE170" s="178"/>
      <c r="BF170" s="178"/>
      <c r="BG170" s="178"/>
      <c r="BH170" s="178"/>
      <c r="BI170" s="179"/>
      <c r="BJ170" s="180"/>
      <c r="BK170" s="178"/>
      <c r="BL170" s="178"/>
      <c r="BM170" s="178"/>
      <c r="BN170" s="178"/>
      <c r="BO170" s="181"/>
      <c r="BP170" s="166"/>
      <c r="BQ170" s="177"/>
      <c r="BR170" s="178"/>
      <c r="BS170" s="179"/>
      <c r="BU170" s="166"/>
      <c r="BV170" s="166"/>
      <c r="BW170" s="166"/>
      <c r="BX170" s="166"/>
      <c r="BY170" s="166"/>
      <c r="BZ170" s="166"/>
      <c r="CA170" s="166"/>
      <c r="CB170" s="166"/>
      <c r="CC170" s="166"/>
      <c r="CD170" s="177"/>
      <c r="CE170" s="181"/>
      <c r="CF170" s="177"/>
      <c r="CG170" s="179"/>
      <c r="CH170" s="257"/>
      <c r="CI170" s="182"/>
      <c r="CJ170" s="177"/>
      <c r="CK170" s="182"/>
      <c r="CL170" s="177"/>
      <c r="CM170" s="182"/>
      <c r="CN170" s="177"/>
      <c r="CO170" s="182"/>
      <c r="CP170" s="177"/>
      <c r="CQ170" s="178"/>
      <c r="CR170" s="182"/>
      <c r="CS170" s="173"/>
      <c r="CT170" s="65"/>
      <c r="CU170" s="255" t="str">
        <f t="shared" si="2"/>
        <v/>
      </c>
    </row>
    <row r="171" ht="60.0" hidden="1" customHeight="1">
      <c r="A171" s="65"/>
      <c r="C171" s="167"/>
      <c r="D171" s="205"/>
      <c r="E171" s="262"/>
      <c r="F171" s="170"/>
      <c r="G171" s="170"/>
      <c r="H171" s="170"/>
      <c r="I171" s="170"/>
      <c r="J171" s="170"/>
      <c r="K171" s="171"/>
      <c r="L171" s="171"/>
      <c r="M171" s="171"/>
      <c r="N171" s="209"/>
      <c r="O171" s="172">
        <f t="shared" si="31"/>
        <v>0</v>
      </c>
      <c r="P171" s="166"/>
      <c r="Q171" s="173"/>
      <c r="R171" s="65"/>
      <c r="S171" s="173"/>
      <c r="T171" s="173"/>
      <c r="U171" s="166"/>
      <c r="V171" s="166"/>
      <c r="W171" s="65"/>
      <c r="X171" s="66"/>
      <c r="Y171" s="173"/>
      <c r="Z171" s="166"/>
      <c r="AA171" s="174"/>
      <c r="AB171" s="175"/>
      <c r="AC171" s="175"/>
      <c r="AD171" s="175"/>
      <c r="AE171" s="175"/>
      <c r="AF171" s="175"/>
      <c r="AG171" s="175"/>
      <c r="AH171" s="175"/>
      <c r="AI171" s="176"/>
      <c r="AJ171" s="177"/>
      <c r="AK171" s="178"/>
      <c r="AL171" s="178"/>
      <c r="AM171" s="178"/>
      <c r="AN171" s="178"/>
      <c r="AO171" s="179"/>
      <c r="AP171" s="64"/>
      <c r="AQ171" s="65"/>
      <c r="AR171" s="65"/>
      <c r="AS171" s="65"/>
      <c r="AT171" s="173"/>
      <c r="AU171" s="177"/>
      <c r="AV171" s="178"/>
      <c r="AW171" s="178"/>
      <c r="AX171" s="179"/>
      <c r="AZ171" s="166"/>
      <c r="BA171" s="177"/>
      <c r="BB171" s="178"/>
      <c r="BC171" s="178"/>
      <c r="BD171" s="178"/>
      <c r="BE171" s="178"/>
      <c r="BF171" s="178"/>
      <c r="BG171" s="178"/>
      <c r="BH171" s="178"/>
      <c r="BI171" s="179"/>
      <c r="BJ171" s="180"/>
      <c r="BK171" s="178"/>
      <c r="BL171" s="178"/>
      <c r="BM171" s="178"/>
      <c r="BN171" s="178"/>
      <c r="BO171" s="181"/>
      <c r="BP171" s="166"/>
      <c r="BQ171" s="177"/>
      <c r="BR171" s="178"/>
      <c r="BS171" s="179"/>
      <c r="BU171" s="166"/>
      <c r="BV171" s="166"/>
      <c r="BW171" s="166"/>
      <c r="BX171" s="166"/>
      <c r="BY171" s="166"/>
      <c r="BZ171" s="166"/>
      <c r="CA171" s="166"/>
      <c r="CB171" s="166"/>
      <c r="CC171" s="166"/>
      <c r="CD171" s="177"/>
      <c r="CE171" s="181"/>
      <c r="CF171" s="177"/>
      <c r="CG171" s="179"/>
      <c r="CH171" s="257"/>
      <c r="CI171" s="182"/>
      <c r="CJ171" s="177"/>
      <c r="CK171" s="182"/>
      <c r="CL171" s="177"/>
      <c r="CM171" s="182"/>
      <c r="CN171" s="177"/>
      <c r="CO171" s="182"/>
      <c r="CP171" s="177"/>
      <c r="CQ171" s="178"/>
      <c r="CR171" s="182"/>
      <c r="CS171" s="173"/>
      <c r="CT171" s="65"/>
      <c r="CU171" s="255" t="str">
        <f t="shared" si="2"/>
        <v/>
      </c>
    </row>
    <row r="172" ht="60.0" hidden="1" customHeight="1">
      <c r="A172" s="89"/>
      <c r="B172" s="6"/>
      <c r="C172" s="183"/>
      <c r="D172" s="210"/>
      <c r="E172" s="263"/>
      <c r="F172" s="186"/>
      <c r="G172" s="186"/>
      <c r="H172" s="186"/>
      <c r="I172" s="186"/>
      <c r="J172" s="186"/>
      <c r="K172" s="187"/>
      <c r="L172" s="187"/>
      <c r="M172" s="187"/>
      <c r="N172" s="214"/>
      <c r="O172" s="188">
        <f t="shared" ref="O172:O178" si="32">IF(AND(M172&lt;&gt;0,M172&lt;&gt;"m",M172&lt;&gt;"",RIGHT(K172,3)="Lec"),1,IF(AND(M172&lt;&gt;0,M172&lt;&gt;"m",M172&lt;&gt;"",OR(RIGHT(K172,3)="Lab",RIGHT(K172,3)="Tut")),0.5,IF(AND(M172&lt;&gt;0,M172&lt;&gt;"m",M172&lt;&gt;"",RIGHT(K172,2)="TL"),0.75,0)))</f>
        <v>0</v>
      </c>
      <c r="P172" s="63"/>
      <c r="Q172" s="69"/>
      <c r="R172" s="89"/>
      <c r="S172" s="69"/>
      <c r="T172" s="69"/>
      <c r="U172" s="63"/>
      <c r="V172" s="63"/>
      <c r="W172" s="89"/>
      <c r="X172" s="68"/>
      <c r="Y172" s="69"/>
      <c r="Z172" s="63"/>
      <c r="AA172" s="189"/>
      <c r="AB172" s="190"/>
      <c r="AC172" s="190"/>
      <c r="AD172" s="190"/>
      <c r="AE172" s="190"/>
      <c r="AF172" s="190"/>
      <c r="AG172" s="190"/>
      <c r="AH172" s="190"/>
      <c r="AI172" s="191"/>
      <c r="AJ172" s="192"/>
      <c r="AK172" s="193"/>
      <c r="AL172" s="193"/>
      <c r="AM172" s="193"/>
      <c r="AN172" s="193"/>
      <c r="AO172" s="194"/>
      <c r="AP172" s="103"/>
      <c r="AQ172" s="89"/>
      <c r="AR172" s="89"/>
      <c r="AS172" s="89"/>
      <c r="AT172" s="69"/>
      <c r="AU172" s="192"/>
      <c r="AV172" s="193"/>
      <c r="AW172" s="193"/>
      <c r="AX172" s="194"/>
      <c r="AY172" s="6"/>
      <c r="AZ172" s="63"/>
      <c r="BA172" s="192"/>
      <c r="BB172" s="193"/>
      <c r="BC172" s="193"/>
      <c r="BD172" s="193"/>
      <c r="BE172" s="193"/>
      <c r="BF172" s="193"/>
      <c r="BG172" s="193"/>
      <c r="BH172" s="193"/>
      <c r="BI172" s="194"/>
      <c r="BJ172" s="195"/>
      <c r="BK172" s="193"/>
      <c r="BL172" s="193"/>
      <c r="BM172" s="193"/>
      <c r="BN172" s="193"/>
      <c r="BO172" s="196"/>
      <c r="BP172" s="63"/>
      <c r="BQ172" s="192"/>
      <c r="BR172" s="193"/>
      <c r="BS172" s="194"/>
      <c r="BT172" s="6"/>
      <c r="BU172" s="63"/>
      <c r="BV172" s="63"/>
      <c r="BW172" s="63"/>
      <c r="BX172" s="63"/>
      <c r="BY172" s="63"/>
      <c r="BZ172" s="63"/>
      <c r="CA172" s="63"/>
      <c r="CB172" s="63"/>
      <c r="CC172" s="63"/>
      <c r="CD172" s="192"/>
      <c r="CE172" s="196"/>
      <c r="CF172" s="192"/>
      <c r="CG172" s="194"/>
      <c r="CH172" s="259"/>
      <c r="CI172" s="197"/>
      <c r="CJ172" s="192"/>
      <c r="CK172" s="197"/>
      <c r="CL172" s="192"/>
      <c r="CM172" s="197"/>
      <c r="CN172" s="192"/>
      <c r="CO172" s="197"/>
      <c r="CP172" s="192"/>
      <c r="CQ172" s="193"/>
      <c r="CR172" s="197"/>
      <c r="CS172" s="69"/>
      <c r="CT172" s="89"/>
      <c r="CU172" s="255" t="str">
        <f t="shared" si="2"/>
        <v/>
      </c>
    </row>
    <row r="173" ht="56.25" hidden="1" customHeight="1">
      <c r="A173" s="125">
        <v>16.0</v>
      </c>
      <c r="B173" s="199"/>
      <c r="C173" s="127"/>
      <c r="D173" s="128"/>
      <c r="E173" s="260"/>
      <c r="F173" s="261"/>
      <c r="G173" s="261"/>
      <c r="H173" s="261"/>
      <c r="I173" s="261"/>
      <c r="J173" s="170"/>
      <c r="K173" s="219"/>
      <c r="L173" s="219"/>
      <c r="M173" s="219"/>
      <c r="N173" s="220"/>
      <c r="O173" s="132">
        <f t="shared" si="32"/>
        <v>0</v>
      </c>
      <c r="P173" s="133">
        <f>COUNTIF(K173:K183,"TL")*0.75+COUNTIF(K173:K183,"Lec")*1+COUNTIF(K173:K183,"Lab")*0.5</f>
        <v>0</v>
      </c>
      <c r="Q173" s="134">
        <f>SUM((IF(LEFT(K173,1)="E",O173,0)),(IF(LEFT(K174,1)="E",O174,0)),(IF(LEFT(K175,1)="E",O175,0)),(IF(LEFT(K176,1)="E",O176,0)),(IF(LEFT(K177,1)="E",O177,0)),(IF(LEFT(K178,1)="E",O178,0)),(IF(LEFT(K179,1)="E",O179,0)),(IF(LEFT(K180,1)="E",O180,0)),(IF(LEFT(K181,1)="E",O181,0)),(IF(LEFT(K182,1)="E",O182,0)),(IF(LEFT(K183,1)="E",O183,0)))</f>
        <v>0</v>
      </c>
      <c r="R173" s="135">
        <f>SUM(IF(M179&lt;20,IF(K179="Plec",-1,IF(K179="PTL",-0.75,IF(K179="Plab",-0.5,0))),0),IF(M180&lt;20,IF(K180="Plec",-1,IF(K180="PTL",-0.75,IF(K180="Plab",-0.5,0))),0),IF(M181&lt;20,IF(K181="Plec",-1,IF(K181="PTL",-0.75,IF(K181="Plab",-0.5,0))),0),IF(M182&lt;20,IF(K182="Plec",-1,IF(K182="PTL",-0.75,IF(K182="Plab",-0.5,0))),0))</f>
        <v>0</v>
      </c>
      <c r="S173" s="134">
        <f>SUM(P173:R183)</f>
        <v>0</v>
      </c>
      <c r="T173" s="136">
        <f>SUM(IF(M173="M",IF(OR(K173="lec",K173="plec",K173="slec"),1,IF(OR(K173="lab",K173="plab",K173="slab",K173="tut",K173="ptut",K173="stut"),0.5,IF(OR(K173="TL",K173="pTL",K173="STL"),0.75,0))),0),IF(M174="M",IF(OR(K174="lec",K174="plec",K174="slec"),1,IF(OR(K174="lab",K174="plab",K174="slab",K174="tut",K174="ptut",K174="stut"),0.5,IF(OR(K174="TL",K174="pTL",K174="STL"),0.75,0))),0),IF(M175="M",IF(OR(K175="lec",K175="plec",K175="slec"),1,IF(OR(K175="lab",K175="plab",K175="slab",K175="tut",K175="ptut",K175="stut"),0.5,IF(OR(K175="TL",K175="pTL",K175="STL"),0.75,0))),0),IF(M176="M",IF(OR(K176="lec",K176="plec",K176="slec"),1,IF(OR(K176="lab",K176="plab",K176="slab",K176="tut",K176="ptut",K176="stut"),0.5,IF(OR(K176="TL",K176="pTL",K176="STL"),0.75,0))),0),IF(M177="M",IF(OR(K177="lec",K177="plec",K177="slec"),1,IF(OR(K177="lab",K177="plab",K177="slab",K177="tut",K177="ptut",K177="stut"),0.5,IF(OR(K177="TL",K177="pTL",K177="STL"),0.75,0))),0),IF(M178="M",IF(OR(K178="lec",K178="plec",K178="slec"),1,IF(OR(K178="lab",K178="plab",K178="slab",K178="tut",K178="ptut",K178="stut"),0.5,IF(OR(K178="TL",K178="pTL",K178="STL"),0.75,0))),0),IF(M179="M",IF(OR(K179="lec",K179="plec",K179="slec"),1,IF(OR(K179="lab",K179="plab",K179="slab",K179="tut",K179="ptut",K179="stut"),0.5,IF(OR(K179="TL",K179="pTL",K179="STL"),0.75,0))),0),IF(M180="M",IF(OR(K180="lec",K180="plec",K180="slec"),1,IF(OR(K180="lab",K180="plab",K180="slab",K180="tut",K180="ptut",K180="stut"),0.5,IF(OR(K180="TL",K180="pTL",K180="STL"),0.75,0))),0),IF(M181="M",IF(OR(K181="lec",K181="plec",K181="slec"),1,IF(OR(K181="lab",K181="plab",K181="slab",K181="tut",K181="ptut",K181="stut"),0.5,IF(OR(K181="TL",K181="pTL",K181="STL"),0.75,0))),0),IF(M182="M",IF(OR(K182="lec",K182="plec",K182="slec"),1,IF(OR(K182="lab",K182="plab",K182="slab",K182="tut",K182="ptut",K182="stut"),0.5,IF(OR(K182="TL",K182="pTL",K182="STL"),0.75,0))),0),IF(M183="M",IF(OR(K183="lec",K183="plec",K183="slec"),1,IF(OR(K183="lab",K183="plab",K183="slab",K183="tut",K183="ptut",K183="stut"),0.5,IF(OR(K183="TL",K183="pTL",K183="STL"),0.75,0))),0))</f>
        <v>0</v>
      </c>
      <c r="U173" s="137"/>
      <c r="V173" s="133"/>
      <c r="W173" s="138"/>
      <c r="X173" s="139">
        <f>S173-(T173+U173+V173+W173)</f>
        <v>0</v>
      </c>
      <c r="Y173" s="134" t="str">
        <f>CONCATENATE(SUM(O173:O183),"(",SUM(O173:O183)-X173,")")</f>
        <v>0(0)</v>
      </c>
      <c r="Z173" s="140"/>
      <c r="AA173" s="141"/>
      <c r="AB173" s="142"/>
      <c r="AC173" s="142"/>
      <c r="AD173" s="142"/>
      <c r="AE173" s="142"/>
      <c r="AF173" s="142"/>
      <c r="AG173" s="142"/>
      <c r="AH173" s="142"/>
      <c r="AI173" s="143"/>
      <c r="AJ173" s="144"/>
      <c r="AK173" s="145"/>
      <c r="AL173" s="145"/>
      <c r="AM173" s="145"/>
      <c r="AN173" s="145"/>
      <c r="AO173" s="146"/>
      <c r="AP173" s="147">
        <f>SUM(SUM(O173:O183),SUM(AI173:AI183)/2,AM173)</f>
        <v>0</v>
      </c>
      <c r="AQ173" s="148"/>
      <c r="AR173" s="148">
        <f>AP173*AQ173</f>
        <v>0</v>
      </c>
      <c r="AS173" s="148">
        <f>CT173</f>
        <v>0</v>
      </c>
      <c r="AT173" s="149">
        <f>AR173*0.75+AS173*0.25</f>
        <v>0</v>
      </c>
      <c r="AU173" s="150"/>
      <c r="AV173" s="151"/>
      <c r="AW173" s="151"/>
      <c r="AX173" s="152"/>
      <c r="AY173" s="153"/>
      <c r="AZ173" s="140"/>
      <c r="BA173" s="150"/>
      <c r="BB173" s="151"/>
      <c r="BC173" s="151"/>
      <c r="BD173" s="151"/>
      <c r="BE173" s="151"/>
      <c r="BF173" s="151"/>
      <c r="BG173" s="151"/>
      <c r="BH173" s="151"/>
      <c r="BI173" s="152"/>
      <c r="BJ173" s="154"/>
      <c r="BK173" s="151"/>
      <c r="BL173" s="151"/>
      <c r="BM173" s="151"/>
      <c r="BN173" s="151"/>
      <c r="BO173" s="155"/>
      <c r="BP173" s="140"/>
      <c r="BQ173" s="156"/>
      <c r="BR173" s="157"/>
      <c r="BS173" s="158"/>
      <c r="BT173" s="153"/>
      <c r="BU173" s="140"/>
      <c r="BV173" s="140"/>
      <c r="BW173" s="140"/>
      <c r="BX173" s="140"/>
      <c r="BY173" s="140"/>
      <c r="BZ173" s="140"/>
      <c r="CA173" s="140"/>
      <c r="CB173" s="140"/>
      <c r="CC173" s="140"/>
      <c r="CD173" s="150"/>
      <c r="CE173" s="155"/>
      <c r="CF173" s="150"/>
      <c r="CG173" s="152"/>
      <c r="CH173" s="252"/>
      <c r="CI173" s="160"/>
      <c r="CJ173" s="159"/>
      <c r="CK173" s="160"/>
      <c r="CL173" s="159"/>
      <c r="CM173" s="160"/>
      <c r="CN173" s="159"/>
      <c r="CO173" s="160"/>
      <c r="CP173" s="159"/>
      <c r="CQ173" s="162"/>
      <c r="CR173" s="160"/>
      <c r="CS173" s="253">
        <f>SUM(IF(AU173&lt;0,ABS(AU173),0),IF(AZ173&lt;0,ABS(AZ173),0),ABS(CI173),ABS(CK173),ABS(CM173),ABS(CO173),ABS(CQ173),ABS(CR173))</f>
        <v>0</v>
      </c>
      <c r="CT173" s="254">
        <f>SUM(AU173,AV173,AW173,AX173/400,AY173,AZ173,BG173,BH173*0.5,BI173*0.25,BJ173,BK173,BL173,BM173,BN173,BO173,BP173,BR173/20,BS173/100,BT173/60,BU173,BV173,BW173,BX173/4,SUM(BY173:CC183)/3,CE173,CG173/3,CI173,CK173,CM173,CO173,CQ173,CR173)</f>
        <v>0</v>
      </c>
      <c r="CU173" s="255" t="str">
        <f t="shared" si="2"/>
        <v/>
      </c>
    </row>
    <row r="174" ht="60.0" hidden="1" customHeight="1">
      <c r="A174" s="65"/>
      <c r="C174" s="167"/>
      <c r="D174" s="205"/>
      <c r="E174" s="262"/>
      <c r="F174" s="170"/>
      <c r="G174" s="170"/>
      <c r="H174" s="170"/>
      <c r="I174" s="170"/>
      <c r="J174" s="170"/>
      <c r="K174" s="171"/>
      <c r="L174" s="171"/>
      <c r="M174" s="171"/>
      <c r="N174" s="209"/>
      <c r="O174" s="172">
        <f t="shared" si="32"/>
        <v>0</v>
      </c>
      <c r="P174" s="166"/>
      <c r="Q174" s="173"/>
      <c r="R174" s="65"/>
      <c r="S174" s="173"/>
      <c r="T174" s="173"/>
      <c r="U174" s="166"/>
      <c r="V174" s="166"/>
      <c r="W174" s="65"/>
      <c r="X174" s="66"/>
      <c r="Y174" s="173"/>
      <c r="Z174" s="166"/>
      <c r="AA174" s="174"/>
      <c r="AB174" s="175"/>
      <c r="AC174" s="175"/>
      <c r="AD174" s="175"/>
      <c r="AE174" s="175"/>
      <c r="AF174" s="175"/>
      <c r="AG174" s="175"/>
      <c r="AH174" s="175"/>
      <c r="AI174" s="176"/>
      <c r="AJ174" s="177"/>
      <c r="AK174" s="178"/>
      <c r="AL174" s="178"/>
      <c r="AM174" s="178"/>
      <c r="AN174" s="178"/>
      <c r="AO174" s="179"/>
      <c r="AP174" s="64"/>
      <c r="AQ174" s="65"/>
      <c r="AR174" s="65"/>
      <c r="AS174" s="65"/>
      <c r="AT174" s="173"/>
      <c r="AU174" s="177"/>
      <c r="AV174" s="178"/>
      <c r="AW174" s="178"/>
      <c r="AX174" s="179"/>
      <c r="AZ174" s="166"/>
      <c r="BA174" s="177"/>
      <c r="BB174" s="178"/>
      <c r="BC174" s="178"/>
      <c r="BD174" s="178"/>
      <c r="BE174" s="178"/>
      <c r="BF174" s="178"/>
      <c r="BG174" s="178"/>
      <c r="BH174" s="178"/>
      <c r="BI174" s="179"/>
      <c r="BJ174" s="180"/>
      <c r="BK174" s="178"/>
      <c r="BL174" s="178"/>
      <c r="BM174" s="178"/>
      <c r="BN174" s="178"/>
      <c r="BO174" s="181"/>
      <c r="BP174" s="166"/>
      <c r="BQ174" s="177"/>
      <c r="BR174" s="178"/>
      <c r="BS174" s="179"/>
      <c r="BU174" s="166"/>
      <c r="BV174" s="166"/>
      <c r="BW174" s="166"/>
      <c r="BX174" s="166"/>
      <c r="BY174" s="166"/>
      <c r="BZ174" s="166"/>
      <c r="CA174" s="166"/>
      <c r="CB174" s="166"/>
      <c r="CC174" s="166"/>
      <c r="CD174" s="177"/>
      <c r="CE174" s="181"/>
      <c r="CF174" s="177"/>
      <c r="CG174" s="179"/>
      <c r="CH174" s="257"/>
      <c r="CI174" s="182"/>
      <c r="CJ174" s="177"/>
      <c r="CK174" s="182"/>
      <c r="CL174" s="177"/>
      <c r="CM174" s="182"/>
      <c r="CN174" s="177"/>
      <c r="CO174" s="182"/>
      <c r="CP174" s="177"/>
      <c r="CQ174" s="178"/>
      <c r="CR174" s="182"/>
      <c r="CS174" s="173"/>
      <c r="CT174" s="65"/>
      <c r="CU174" s="255" t="str">
        <f t="shared" si="2"/>
        <v/>
      </c>
    </row>
    <row r="175" ht="60.0" hidden="1" customHeight="1">
      <c r="A175" s="65"/>
      <c r="C175" s="167"/>
      <c r="D175" s="205"/>
      <c r="E175" s="262"/>
      <c r="F175" s="170"/>
      <c r="G175" s="170"/>
      <c r="H175" s="170"/>
      <c r="I175" s="170"/>
      <c r="J175" s="170"/>
      <c r="K175" s="171"/>
      <c r="L175" s="171"/>
      <c r="M175" s="171"/>
      <c r="N175" s="209"/>
      <c r="O175" s="172">
        <f t="shared" si="32"/>
        <v>0</v>
      </c>
      <c r="P175" s="166"/>
      <c r="Q175" s="173"/>
      <c r="R175" s="65"/>
      <c r="S175" s="173"/>
      <c r="T175" s="173"/>
      <c r="U175" s="166"/>
      <c r="V175" s="166"/>
      <c r="W175" s="65"/>
      <c r="X175" s="66"/>
      <c r="Y175" s="173"/>
      <c r="Z175" s="166"/>
      <c r="AA175" s="174"/>
      <c r="AB175" s="175"/>
      <c r="AC175" s="175"/>
      <c r="AD175" s="175"/>
      <c r="AE175" s="175"/>
      <c r="AF175" s="175"/>
      <c r="AG175" s="175"/>
      <c r="AH175" s="175"/>
      <c r="AI175" s="176"/>
      <c r="AJ175" s="177"/>
      <c r="AK175" s="178"/>
      <c r="AL175" s="178"/>
      <c r="AM175" s="178"/>
      <c r="AN175" s="178"/>
      <c r="AO175" s="179"/>
      <c r="AP175" s="64"/>
      <c r="AQ175" s="65"/>
      <c r="AR175" s="65"/>
      <c r="AS175" s="65"/>
      <c r="AT175" s="173"/>
      <c r="AU175" s="177"/>
      <c r="AV175" s="178"/>
      <c r="AW175" s="178"/>
      <c r="AX175" s="179"/>
      <c r="AZ175" s="166"/>
      <c r="BA175" s="177"/>
      <c r="BB175" s="178"/>
      <c r="BC175" s="178"/>
      <c r="BD175" s="178"/>
      <c r="BE175" s="178"/>
      <c r="BF175" s="178"/>
      <c r="BG175" s="178"/>
      <c r="BH175" s="178"/>
      <c r="BI175" s="179"/>
      <c r="BJ175" s="180"/>
      <c r="BK175" s="178"/>
      <c r="BL175" s="178"/>
      <c r="BM175" s="178"/>
      <c r="BN175" s="178"/>
      <c r="BO175" s="181"/>
      <c r="BP175" s="166"/>
      <c r="BQ175" s="177"/>
      <c r="BR175" s="178"/>
      <c r="BS175" s="179"/>
      <c r="BU175" s="166"/>
      <c r="BV175" s="166"/>
      <c r="BW175" s="166"/>
      <c r="BX175" s="166"/>
      <c r="BY175" s="166"/>
      <c r="BZ175" s="166"/>
      <c r="CA175" s="166"/>
      <c r="CB175" s="166"/>
      <c r="CC175" s="166"/>
      <c r="CD175" s="177"/>
      <c r="CE175" s="181"/>
      <c r="CF175" s="177"/>
      <c r="CG175" s="179"/>
      <c r="CH175" s="257"/>
      <c r="CI175" s="182"/>
      <c r="CJ175" s="177"/>
      <c r="CK175" s="182"/>
      <c r="CL175" s="177"/>
      <c r="CM175" s="182"/>
      <c r="CN175" s="177"/>
      <c r="CO175" s="182"/>
      <c r="CP175" s="177"/>
      <c r="CQ175" s="178"/>
      <c r="CR175" s="182"/>
      <c r="CS175" s="173"/>
      <c r="CT175" s="65"/>
      <c r="CU175" s="255" t="str">
        <f t="shared" si="2"/>
        <v/>
      </c>
    </row>
    <row r="176" ht="60.0" hidden="1" customHeight="1">
      <c r="A176" s="65"/>
      <c r="C176" s="167"/>
      <c r="D176" s="205"/>
      <c r="E176" s="262"/>
      <c r="F176" s="170"/>
      <c r="G176" s="170"/>
      <c r="H176" s="170"/>
      <c r="I176" s="170"/>
      <c r="J176" s="170"/>
      <c r="K176" s="171"/>
      <c r="L176" s="171"/>
      <c r="M176" s="171"/>
      <c r="N176" s="209"/>
      <c r="O176" s="172">
        <f t="shared" si="32"/>
        <v>0</v>
      </c>
      <c r="P176" s="166"/>
      <c r="Q176" s="173"/>
      <c r="R176" s="65"/>
      <c r="S176" s="173"/>
      <c r="T176" s="173"/>
      <c r="U176" s="166"/>
      <c r="V176" s="166"/>
      <c r="W176" s="65"/>
      <c r="X176" s="66"/>
      <c r="Y176" s="173"/>
      <c r="Z176" s="166"/>
      <c r="AA176" s="174"/>
      <c r="AB176" s="175"/>
      <c r="AC176" s="175"/>
      <c r="AD176" s="175"/>
      <c r="AE176" s="175"/>
      <c r="AF176" s="175"/>
      <c r="AG176" s="175"/>
      <c r="AH176" s="175"/>
      <c r="AI176" s="176"/>
      <c r="AJ176" s="177"/>
      <c r="AK176" s="178"/>
      <c r="AL176" s="178"/>
      <c r="AM176" s="178"/>
      <c r="AN176" s="178"/>
      <c r="AO176" s="179"/>
      <c r="AP176" s="64"/>
      <c r="AQ176" s="65"/>
      <c r="AR176" s="65"/>
      <c r="AS176" s="65"/>
      <c r="AT176" s="173"/>
      <c r="AU176" s="177"/>
      <c r="AV176" s="178"/>
      <c r="AW176" s="178"/>
      <c r="AX176" s="179"/>
      <c r="AZ176" s="166"/>
      <c r="BA176" s="177"/>
      <c r="BB176" s="178"/>
      <c r="BC176" s="178"/>
      <c r="BD176" s="178"/>
      <c r="BE176" s="178"/>
      <c r="BF176" s="178"/>
      <c r="BG176" s="178"/>
      <c r="BH176" s="178"/>
      <c r="BI176" s="179"/>
      <c r="BJ176" s="180"/>
      <c r="BK176" s="178"/>
      <c r="BL176" s="178"/>
      <c r="BM176" s="178"/>
      <c r="BN176" s="178"/>
      <c r="BO176" s="181"/>
      <c r="BP176" s="166"/>
      <c r="BQ176" s="177"/>
      <c r="BR176" s="178"/>
      <c r="BS176" s="179"/>
      <c r="BU176" s="166"/>
      <c r="BV176" s="166"/>
      <c r="BW176" s="166"/>
      <c r="BX176" s="166"/>
      <c r="BY176" s="166"/>
      <c r="BZ176" s="166"/>
      <c r="CA176" s="166"/>
      <c r="CB176" s="166"/>
      <c r="CC176" s="166"/>
      <c r="CD176" s="177"/>
      <c r="CE176" s="181"/>
      <c r="CF176" s="177"/>
      <c r="CG176" s="179"/>
      <c r="CH176" s="257"/>
      <c r="CI176" s="182"/>
      <c r="CJ176" s="177"/>
      <c r="CK176" s="182"/>
      <c r="CL176" s="177"/>
      <c r="CM176" s="182"/>
      <c r="CN176" s="177"/>
      <c r="CO176" s="182"/>
      <c r="CP176" s="177"/>
      <c r="CQ176" s="178"/>
      <c r="CR176" s="182"/>
      <c r="CS176" s="173"/>
      <c r="CT176" s="65"/>
      <c r="CU176" s="255" t="str">
        <f t="shared" si="2"/>
        <v/>
      </c>
    </row>
    <row r="177" ht="60.0" hidden="1" customHeight="1">
      <c r="A177" s="65"/>
      <c r="C177" s="167"/>
      <c r="D177" s="205"/>
      <c r="E177" s="262"/>
      <c r="F177" s="170"/>
      <c r="G177" s="170"/>
      <c r="H177" s="170"/>
      <c r="I177" s="170"/>
      <c r="J177" s="170"/>
      <c r="K177" s="171"/>
      <c r="L177" s="171"/>
      <c r="M177" s="171"/>
      <c r="N177" s="209"/>
      <c r="O177" s="172">
        <f t="shared" si="32"/>
        <v>0</v>
      </c>
      <c r="P177" s="166"/>
      <c r="Q177" s="173"/>
      <c r="R177" s="65"/>
      <c r="S177" s="173"/>
      <c r="T177" s="173"/>
      <c r="U177" s="166"/>
      <c r="V177" s="166"/>
      <c r="W177" s="65"/>
      <c r="X177" s="66"/>
      <c r="Y177" s="173"/>
      <c r="Z177" s="166"/>
      <c r="AA177" s="174"/>
      <c r="AB177" s="175"/>
      <c r="AC177" s="175"/>
      <c r="AD177" s="175"/>
      <c r="AE177" s="175"/>
      <c r="AF177" s="175"/>
      <c r="AG177" s="175"/>
      <c r="AH177" s="175"/>
      <c r="AI177" s="176"/>
      <c r="AJ177" s="177"/>
      <c r="AK177" s="178"/>
      <c r="AL177" s="178"/>
      <c r="AM177" s="178"/>
      <c r="AN177" s="178"/>
      <c r="AO177" s="179"/>
      <c r="AP177" s="64"/>
      <c r="AQ177" s="65"/>
      <c r="AR177" s="65"/>
      <c r="AS177" s="65"/>
      <c r="AT177" s="173"/>
      <c r="AU177" s="177"/>
      <c r="AV177" s="178"/>
      <c r="AW177" s="178"/>
      <c r="AX177" s="179"/>
      <c r="AZ177" s="166"/>
      <c r="BA177" s="177"/>
      <c r="BB177" s="178"/>
      <c r="BC177" s="178"/>
      <c r="BD177" s="178"/>
      <c r="BE177" s="178"/>
      <c r="BF177" s="178"/>
      <c r="BG177" s="178"/>
      <c r="BH177" s="178"/>
      <c r="BI177" s="179"/>
      <c r="BJ177" s="180"/>
      <c r="BK177" s="178"/>
      <c r="BL177" s="178"/>
      <c r="BM177" s="178"/>
      <c r="BN177" s="178"/>
      <c r="BO177" s="181"/>
      <c r="BP177" s="166"/>
      <c r="BQ177" s="177"/>
      <c r="BR177" s="178"/>
      <c r="BS177" s="179"/>
      <c r="BU177" s="166"/>
      <c r="BV177" s="166"/>
      <c r="BW177" s="166"/>
      <c r="BX177" s="166"/>
      <c r="BY177" s="166"/>
      <c r="BZ177" s="166"/>
      <c r="CA177" s="166"/>
      <c r="CB177" s="166"/>
      <c r="CC177" s="166"/>
      <c r="CD177" s="177"/>
      <c r="CE177" s="181"/>
      <c r="CF177" s="177"/>
      <c r="CG177" s="179"/>
      <c r="CH177" s="257"/>
      <c r="CI177" s="182"/>
      <c r="CJ177" s="177"/>
      <c r="CK177" s="182"/>
      <c r="CL177" s="177"/>
      <c r="CM177" s="182"/>
      <c r="CN177" s="177"/>
      <c r="CO177" s="182"/>
      <c r="CP177" s="177"/>
      <c r="CQ177" s="178"/>
      <c r="CR177" s="182"/>
      <c r="CS177" s="173"/>
      <c r="CT177" s="65"/>
      <c r="CU177" s="255" t="str">
        <f t="shared" si="2"/>
        <v/>
      </c>
    </row>
    <row r="178" ht="60.0" hidden="1" customHeight="1">
      <c r="A178" s="65"/>
      <c r="C178" s="167"/>
      <c r="D178" s="205"/>
      <c r="E178" s="262"/>
      <c r="F178" s="170"/>
      <c r="G178" s="170"/>
      <c r="H178" s="170"/>
      <c r="I178" s="170"/>
      <c r="J178" s="170"/>
      <c r="K178" s="171"/>
      <c r="L178" s="171"/>
      <c r="M178" s="171"/>
      <c r="N178" s="209"/>
      <c r="O178" s="172">
        <f t="shared" si="32"/>
        <v>0</v>
      </c>
      <c r="P178" s="166"/>
      <c r="Q178" s="173"/>
      <c r="R178" s="65"/>
      <c r="S178" s="173"/>
      <c r="T178" s="173"/>
      <c r="U178" s="166"/>
      <c r="V178" s="166"/>
      <c r="W178" s="65"/>
      <c r="X178" s="66"/>
      <c r="Y178" s="173"/>
      <c r="Z178" s="166"/>
      <c r="AA178" s="174"/>
      <c r="AB178" s="175"/>
      <c r="AC178" s="175"/>
      <c r="AD178" s="175"/>
      <c r="AE178" s="175"/>
      <c r="AF178" s="175"/>
      <c r="AG178" s="175"/>
      <c r="AH178" s="175"/>
      <c r="AI178" s="176"/>
      <c r="AJ178" s="177"/>
      <c r="AK178" s="178"/>
      <c r="AL178" s="178"/>
      <c r="AM178" s="178"/>
      <c r="AN178" s="178"/>
      <c r="AO178" s="179"/>
      <c r="AP178" s="64"/>
      <c r="AQ178" s="65"/>
      <c r="AR178" s="65"/>
      <c r="AS178" s="65"/>
      <c r="AT178" s="173"/>
      <c r="AU178" s="177"/>
      <c r="AV178" s="178"/>
      <c r="AW178" s="178"/>
      <c r="AX178" s="179"/>
      <c r="AZ178" s="166"/>
      <c r="BA178" s="177"/>
      <c r="BB178" s="178"/>
      <c r="BC178" s="178"/>
      <c r="BD178" s="178"/>
      <c r="BE178" s="178"/>
      <c r="BF178" s="178"/>
      <c r="BG178" s="178"/>
      <c r="BH178" s="178"/>
      <c r="BI178" s="179"/>
      <c r="BJ178" s="180"/>
      <c r="BK178" s="178"/>
      <c r="BL178" s="178"/>
      <c r="BM178" s="178"/>
      <c r="BN178" s="178"/>
      <c r="BO178" s="181"/>
      <c r="BP178" s="166"/>
      <c r="BQ178" s="177"/>
      <c r="BR178" s="178"/>
      <c r="BS178" s="179"/>
      <c r="BU178" s="166"/>
      <c r="BV178" s="166"/>
      <c r="BW178" s="166"/>
      <c r="BX178" s="166"/>
      <c r="BY178" s="166"/>
      <c r="BZ178" s="166"/>
      <c r="CA178" s="166"/>
      <c r="CB178" s="166"/>
      <c r="CC178" s="166"/>
      <c r="CD178" s="177"/>
      <c r="CE178" s="181"/>
      <c r="CF178" s="177"/>
      <c r="CG178" s="179"/>
      <c r="CH178" s="257"/>
      <c r="CI178" s="182"/>
      <c r="CJ178" s="177"/>
      <c r="CK178" s="182"/>
      <c r="CL178" s="177"/>
      <c r="CM178" s="182"/>
      <c r="CN178" s="177"/>
      <c r="CO178" s="182"/>
      <c r="CP178" s="177"/>
      <c r="CQ178" s="178"/>
      <c r="CR178" s="182"/>
      <c r="CS178" s="173"/>
      <c r="CT178" s="65"/>
      <c r="CU178" s="255" t="str">
        <f t="shared" si="2"/>
        <v/>
      </c>
    </row>
    <row r="179" ht="60.0" hidden="1" customHeight="1">
      <c r="A179" s="65"/>
      <c r="C179" s="167"/>
      <c r="D179" s="205"/>
      <c r="E179" s="262"/>
      <c r="F179" s="170"/>
      <c r="G179" s="170"/>
      <c r="H179" s="170"/>
      <c r="I179" s="170"/>
      <c r="J179" s="170"/>
      <c r="K179" s="171"/>
      <c r="L179" s="171"/>
      <c r="M179" s="171"/>
      <c r="N179" s="209"/>
      <c r="O179" s="172">
        <f t="shared" ref="O179:O182" si="33">IF(AND(M179&gt;=20,M179&lt;&gt;"m",RIGHT(K179,3)="Lec"),1,IF(AND(M179&gt;=20,M179&lt;&gt;"m",OR(RIGHT(K179,3)="Lab",RIGHT(K179,3)="Tut")),0.5,IF(AND(M179&gt;=20,M179&lt;&gt;"m",RIGHT(K179,2)="TL"),0.75,0)))</f>
        <v>0</v>
      </c>
      <c r="P179" s="166"/>
      <c r="Q179" s="173"/>
      <c r="R179" s="65"/>
      <c r="S179" s="173"/>
      <c r="T179" s="173"/>
      <c r="U179" s="166"/>
      <c r="V179" s="166"/>
      <c r="W179" s="65"/>
      <c r="X179" s="66"/>
      <c r="Y179" s="173"/>
      <c r="Z179" s="166"/>
      <c r="AA179" s="174"/>
      <c r="AB179" s="175"/>
      <c r="AC179" s="175"/>
      <c r="AD179" s="175"/>
      <c r="AE179" s="175"/>
      <c r="AF179" s="175"/>
      <c r="AG179" s="175"/>
      <c r="AH179" s="175"/>
      <c r="AI179" s="176"/>
      <c r="AJ179" s="177"/>
      <c r="AK179" s="178"/>
      <c r="AL179" s="178"/>
      <c r="AM179" s="178"/>
      <c r="AN179" s="178"/>
      <c r="AO179" s="179"/>
      <c r="AP179" s="64"/>
      <c r="AQ179" s="65"/>
      <c r="AR179" s="65"/>
      <c r="AS179" s="65"/>
      <c r="AT179" s="173"/>
      <c r="AU179" s="177"/>
      <c r="AV179" s="178"/>
      <c r="AW179" s="178"/>
      <c r="AX179" s="179"/>
      <c r="AZ179" s="166"/>
      <c r="BA179" s="177"/>
      <c r="BB179" s="178"/>
      <c r="BC179" s="178"/>
      <c r="BD179" s="178"/>
      <c r="BE179" s="178"/>
      <c r="BF179" s="178"/>
      <c r="BG179" s="178"/>
      <c r="BH179" s="178"/>
      <c r="BI179" s="179"/>
      <c r="BJ179" s="180"/>
      <c r="BK179" s="178"/>
      <c r="BL179" s="178"/>
      <c r="BM179" s="178"/>
      <c r="BN179" s="178"/>
      <c r="BO179" s="181"/>
      <c r="BP179" s="166"/>
      <c r="BQ179" s="177"/>
      <c r="BR179" s="178"/>
      <c r="BS179" s="179"/>
      <c r="BU179" s="166"/>
      <c r="BV179" s="166"/>
      <c r="BW179" s="166"/>
      <c r="BX179" s="166"/>
      <c r="BY179" s="166"/>
      <c r="BZ179" s="166"/>
      <c r="CA179" s="166"/>
      <c r="CB179" s="166"/>
      <c r="CC179" s="166"/>
      <c r="CD179" s="177"/>
      <c r="CE179" s="181"/>
      <c r="CF179" s="177"/>
      <c r="CG179" s="179"/>
      <c r="CH179" s="257"/>
      <c r="CI179" s="182"/>
      <c r="CJ179" s="177"/>
      <c r="CK179" s="182"/>
      <c r="CL179" s="177"/>
      <c r="CM179" s="182"/>
      <c r="CN179" s="177"/>
      <c r="CO179" s="182"/>
      <c r="CP179" s="177"/>
      <c r="CQ179" s="178"/>
      <c r="CR179" s="182"/>
      <c r="CS179" s="173"/>
      <c r="CT179" s="65"/>
      <c r="CU179" s="255" t="str">
        <f t="shared" si="2"/>
        <v/>
      </c>
    </row>
    <row r="180" ht="60.0" hidden="1" customHeight="1">
      <c r="A180" s="65"/>
      <c r="C180" s="167"/>
      <c r="D180" s="205"/>
      <c r="E180" s="262"/>
      <c r="F180" s="170"/>
      <c r="G180" s="170"/>
      <c r="H180" s="170"/>
      <c r="I180" s="170"/>
      <c r="J180" s="170"/>
      <c r="K180" s="171"/>
      <c r="L180" s="171"/>
      <c r="M180" s="171"/>
      <c r="N180" s="209"/>
      <c r="O180" s="172">
        <f t="shared" si="33"/>
        <v>0</v>
      </c>
      <c r="P180" s="166"/>
      <c r="Q180" s="173"/>
      <c r="R180" s="65"/>
      <c r="S180" s="173"/>
      <c r="T180" s="173"/>
      <c r="U180" s="166"/>
      <c r="V180" s="166"/>
      <c r="W180" s="65"/>
      <c r="X180" s="66"/>
      <c r="Y180" s="173"/>
      <c r="Z180" s="166"/>
      <c r="AA180" s="174"/>
      <c r="AB180" s="175"/>
      <c r="AC180" s="175"/>
      <c r="AD180" s="175"/>
      <c r="AE180" s="175"/>
      <c r="AF180" s="175"/>
      <c r="AG180" s="175"/>
      <c r="AH180" s="175"/>
      <c r="AI180" s="176"/>
      <c r="AJ180" s="177"/>
      <c r="AK180" s="178"/>
      <c r="AL180" s="178"/>
      <c r="AM180" s="178"/>
      <c r="AN180" s="178"/>
      <c r="AO180" s="179"/>
      <c r="AP180" s="64"/>
      <c r="AQ180" s="65"/>
      <c r="AR180" s="65"/>
      <c r="AS180" s="65"/>
      <c r="AT180" s="173"/>
      <c r="AU180" s="177"/>
      <c r="AV180" s="178"/>
      <c r="AW180" s="178"/>
      <c r="AX180" s="179"/>
      <c r="AZ180" s="166"/>
      <c r="BA180" s="177"/>
      <c r="BB180" s="178"/>
      <c r="BC180" s="178"/>
      <c r="BD180" s="178"/>
      <c r="BE180" s="178"/>
      <c r="BF180" s="178"/>
      <c r="BG180" s="178"/>
      <c r="BH180" s="178"/>
      <c r="BI180" s="179"/>
      <c r="BJ180" s="180"/>
      <c r="BK180" s="178"/>
      <c r="BL180" s="178"/>
      <c r="BM180" s="178"/>
      <c r="BN180" s="178"/>
      <c r="BO180" s="181"/>
      <c r="BP180" s="166"/>
      <c r="BQ180" s="177"/>
      <c r="BR180" s="178"/>
      <c r="BS180" s="179"/>
      <c r="BU180" s="166"/>
      <c r="BV180" s="166"/>
      <c r="BW180" s="166"/>
      <c r="BX180" s="166"/>
      <c r="BY180" s="166"/>
      <c r="BZ180" s="166"/>
      <c r="CA180" s="166"/>
      <c r="CB180" s="166"/>
      <c r="CC180" s="166"/>
      <c r="CD180" s="177"/>
      <c r="CE180" s="181"/>
      <c r="CF180" s="177"/>
      <c r="CG180" s="179"/>
      <c r="CH180" s="257"/>
      <c r="CI180" s="182"/>
      <c r="CJ180" s="177"/>
      <c r="CK180" s="182"/>
      <c r="CL180" s="177"/>
      <c r="CM180" s="182"/>
      <c r="CN180" s="177"/>
      <c r="CO180" s="182"/>
      <c r="CP180" s="177"/>
      <c r="CQ180" s="178"/>
      <c r="CR180" s="182"/>
      <c r="CS180" s="173"/>
      <c r="CT180" s="65"/>
      <c r="CU180" s="255" t="str">
        <f t="shared" si="2"/>
        <v/>
      </c>
    </row>
    <row r="181" ht="60.0" hidden="1" customHeight="1">
      <c r="A181" s="65"/>
      <c r="C181" s="167"/>
      <c r="D181" s="205"/>
      <c r="E181" s="262"/>
      <c r="F181" s="170"/>
      <c r="G181" s="170"/>
      <c r="H181" s="170"/>
      <c r="I181" s="170"/>
      <c r="J181" s="170"/>
      <c r="K181" s="171"/>
      <c r="L181" s="171"/>
      <c r="M181" s="171"/>
      <c r="N181" s="209"/>
      <c r="O181" s="172">
        <f t="shared" si="33"/>
        <v>0</v>
      </c>
      <c r="P181" s="166"/>
      <c r="Q181" s="173"/>
      <c r="R181" s="65"/>
      <c r="S181" s="173"/>
      <c r="T181" s="173"/>
      <c r="U181" s="166"/>
      <c r="V181" s="166"/>
      <c r="W181" s="65"/>
      <c r="X181" s="66"/>
      <c r="Y181" s="173"/>
      <c r="Z181" s="166"/>
      <c r="AA181" s="174"/>
      <c r="AB181" s="175"/>
      <c r="AC181" s="175"/>
      <c r="AD181" s="175"/>
      <c r="AE181" s="175"/>
      <c r="AF181" s="175"/>
      <c r="AG181" s="175"/>
      <c r="AH181" s="175"/>
      <c r="AI181" s="176"/>
      <c r="AJ181" s="177"/>
      <c r="AK181" s="178"/>
      <c r="AL181" s="178"/>
      <c r="AM181" s="178"/>
      <c r="AN181" s="178"/>
      <c r="AO181" s="179"/>
      <c r="AP181" s="64"/>
      <c r="AQ181" s="65"/>
      <c r="AR181" s="65"/>
      <c r="AS181" s="65"/>
      <c r="AT181" s="173"/>
      <c r="AU181" s="177"/>
      <c r="AV181" s="178"/>
      <c r="AW181" s="178"/>
      <c r="AX181" s="179"/>
      <c r="AZ181" s="166"/>
      <c r="BA181" s="177"/>
      <c r="BB181" s="178"/>
      <c r="BC181" s="178"/>
      <c r="BD181" s="178"/>
      <c r="BE181" s="178"/>
      <c r="BF181" s="178"/>
      <c r="BG181" s="178"/>
      <c r="BH181" s="178"/>
      <c r="BI181" s="179"/>
      <c r="BJ181" s="180"/>
      <c r="BK181" s="178"/>
      <c r="BL181" s="178"/>
      <c r="BM181" s="178"/>
      <c r="BN181" s="178"/>
      <c r="BO181" s="181"/>
      <c r="BP181" s="166"/>
      <c r="BQ181" s="177"/>
      <c r="BR181" s="178"/>
      <c r="BS181" s="179"/>
      <c r="BU181" s="166"/>
      <c r="BV181" s="166"/>
      <c r="BW181" s="166"/>
      <c r="BX181" s="166"/>
      <c r="BY181" s="166"/>
      <c r="BZ181" s="166"/>
      <c r="CA181" s="166"/>
      <c r="CB181" s="166"/>
      <c r="CC181" s="166"/>
      <c r="CD181" s="177"/>
      <c r="CE181" s="181"/>
      <c r="CF181" s="177"/>
      <c r="CG181" s="179"/>
      <c r="CH181" s="257"/>
      <c r="CI181" s="182"/>
      <c r="CJ181" s="177"/>
      <c r="CK181" s="182"/>
      <c r="CL181" s="177"/>
      <c r="CM181" s="182"/>
      <c r="CN181" s="177"/>
      <c r="CO181" s="182"/>
      <c r="CP181" s="177"/>
      <c r="CQ181" s="178"/>
      <c r="CR181" s="182"/>
      <c r="CS181" s="173"/>
      <c r="CT181" s="65"/>
      <c r="CU181" s="255" t="str">
        <f t="shared" si="2"/>
        <v/>
      </c>
    </row>
    <row r="182" ht="60.0" hidden="1" customHeight="1">
      <c r="A182" s="65"/>
      <c r="C182" s="167"/>
      <c r="D182" s="205"/>
      <c r="E182" s="262"/>
      <c r="F182" s="170"/>
      <c r="G182" s="170"/>
      <c r="H182" s="170"/>
      <c r="I182" s="170"/>
      <c r="J182" s="170"/>
      <c r="K182" s="171"/>
      <c r="L182" s="171"/>
      <c r="M182" s="171"/>
      <c r="N182" s="209"/>
      <c r="O182" s="172">
        <f t="shared" si="33"/>
        <v>0</v>
      </c>
      <c r="P182" s="166"/>
      <c r="Q182" s="173"/>
      <c r="R182" s="65"/>
      <c r="S182" s="173"/>
      <c r="T182" s="173"/>
      <c r="U182" s="166"/>
      <c r="V182" s="166"/>
      <c r="W182" s="65"/>
      <c r="X182" s="66"/>
      <c r="Y182" s="173"/>
      <c r="Z182" s="166"/>
      <c r="AA182" s="174"/>
      <c r="AB182" s="175"/>
      <c r="AC182" s="175"/>
      <c r="AD182" s="175"/>
      <c r="AE182" s="175"/>
      <c r="AF182" s="175"/>
      <c r="AG182" s="175"/>
      <c r="AH182" s="175"/>
      <c r="AI182" s="176"/>
      <c r="AJ182" s="177"/>
      <c r="AK182" s="178"/>
      <c r="AL182" s="178"/>
      <c r="AM182" s="178"/>
      <c r="AN182" s="178"/>
      <c r="AO182" s="179"/>
      <c r="AP182" s="64"/>
      <c r="AQ182" s="65"/>
      <c r="AR182" s="65"/>
      <c r="AS182" s="65"/>
      <c r="AT182" s="173"/>
      <c r="AU182" s="177"/>
      <c r="AV182" s="178"/>
      <c r="AW182" s="178"/>
      <c r="AX182" s="179"/>
      <c r="AZ182" s="166"/>
      <c r="BA182" s="177"/>
      <c r="BB182" s="178"/>
      <c r="BC182" s="178"/>
      <c r="BD182" s="178"/>
      <c r="BE182" s="178"/>
      <c r="BF182" s="178"/>
      <c r="BG182" s="178"/>
      <c r="BH182" s="178"/>
      <c r="BI182" s="179"/>
      <c r="BJ182" s="180"/>
      <c r="BK182" s="178"/>
      <c r="BL182" s="178"/>
      <c r="BM182" s="178"/>
      <c r="BN182" s="178"/>
      <c r="BO182" s="181"/>
      <c r="BP182" s="166"/>
      <c r="BQ182" s="177"/>
      <c r="BR182" s="178"/>
      <c r="BS182" s="179"/>
      <c r="BU182" s="166"/>
      <c r="BV182" s="166"/>
      <c r="BW182" s="166"/>
      <c r="BX182" s="166"/>
      <c r="BY182" s="166"/>
      <c r="BZ182" s="166"/>
      <c r="CA182" s="166"/>
      <c r="CB182" s="166"/>
      <c r="CC182" s="166"/>
      <c r="CD182" s="177"/>
      <c r="CE182" s="181"/>
      <c r="CF182" s="177"/>
      <c r="CG182" s="179"/>
      <c r="CH182" s="257"/>
      <c r="CI182" s="182"/>
      <c r="CJ182" s="177"/>
      <c r="CK182" s="182"/>
      <c r="CL182" s="177"/>
      <c r="CM182" s="182"/>
      <c r="CN182" s="177"/>
      <c r="CO182" s="182"/>
      <c r="CP182" s="177"/>
      <c r="CQ182" s="178"/>
      <c r="CR182" s="182"/>
      <c r="CS182" s="173"/>
      <c r="CT182" s="65"/>
      <c r="CU182" s="255" t="str">
        <f t="shared" si="2"/>
        <v/>
      </c>
    </row>
    <row r="183" ht="60.0" hidden="1" customHeight="1">
      <c r="A183" s="89"/>
      <c r="B183" s="6"/>
      <c r="C183" s="183"/>
      <c r="D183" s="210"/>
      <c r="E183" s="263"/>
      <c r="F183" s="186"/>
      <c r="G183" s="186"/>
      <c r="H183" s="186"/>
      <c r="I183" s="186"/>
      <c r="J183" s="186"/>
      <c r="K183" s="187"/>
      <c r="L183" s="187"/>
      <c r="M183" s="187"/>
      <c r="N183" s="214"/>
      <c r="O183" s="188">
        <f t="shared" ref="O183:O189" si="34">IF(AND(M183&lt;&gt;0,M183&lt;&gt;"m",M183&lt;&gt;"",RIGHT(K183,3)="Lec"),1,IF(AND(M183&lt;&gt;0,M183&lt;&gt;"m",M183&lt;&gt;"",OR(RIGHT(K183,3)="Lab",RIGHT(K183,3)="Tut")),0.5,IF(AND(M183&lt;&gt;0,M183&lt;&gt;"m",M183&lt;&gt;"",RIGHT(K183,2)="TL"),0.75,0)))</f>
        <v>0</v>
      </c>
      <c r="P183" s="63"/>
      <c r="Q183" s="69"/>
      <c r="R183" s="89"/>
      <c r="S183" s="69"/>
      <c r="T183" s="69"/>
      <c r="U183" s="63"/>
      <c r="V183" s="63"/>
      <c r="W183" s="89"/>
      <c r="X183" s="68"/>
      <c r="Y183" s="69"/>
      <c r="Z183" s="63"/>
      <c r="AA183" s="189"/>
      <c r="AB183" s="190"/>
      <c r="AC183" s="190"/>
      <c r="AD183" s="190"/>
      <c r="AE183" s="190"/>
      <c r="AF183" s="190"/>
      <c r="AG183" s="190"/>
      <c r="AH183" s="190"/>
      <c r="AI183" s="191"/>
      <c r="AJ183" s="192"/>
      <c r="AK183" s="193"/>
      <c r="AL183" s="193"/>
      <c r="AM183" s="193"/>
      <c r="AN183" s="193"/>
      <c r="AO183" s="194"/>
      <c r="AP183" s="103"/>
      <c r="AQ183" s="89"/>
      <c r="AR183" s="89"/>
      <c r="AS183" s="89"/>
      <c r="AT183" s="69"/>
      <c r="AU183" s="192"/>
      <c r="AV183" s="193"/>
      <c r="AW183" s="193"/>
      <c r="AX183" s="194"/>
      <c r="AY183" s="6"/>
      <c r="AZ183" s="63"/>
      <c r="BA183" s="192"/>
      <c r="BB183" s="193"/>
      <c r="BC183" s="193"/>
      <c r="BD183" s="193"/>
      <c r="BE183" s="193"/>
      <c r="BF183" s="193"/>
      <c r="BG183" s="193"/>
      <c r="BH183" s="193"/>
      <c r="BI183" s="194"/>
      <c r="BJ183" s="195"/>
      <c r="BK183" s="193"/>
      <c r="BL183" s="193"/>
      <c r="BM183" s="193"/>
      <c r="BN183" s="193"/>
      <c r="BO183" s="196"/>
      <c r="BP183" s="63"/>
      <c r="BQ183" s="192"/>
      <c r="BR183" s="193"/>
      <c r="BS183" s="194"/>
      <c r="BT183" s="6"/>
      <c r="BU183" s="63"/>
      <c r="BV183" s="63"/>
      <c r="BW183" s="63"/>
      <c r="BX183" s="63"/>
      <c r="BY183" s="63"/>
      <c r="BZ183" s="63"/>
      <c r="CA183" s="63"/>
      <c r="CB183" s="63"/>
      <c r="CC183" s="63"/>
      <c r="CD183" s="192"/>
      <c r="CE183" s="196"/>
      <c r="CF183" s="192"/>
      <c r="CG183" s="194"/>
      <c r="CH183" s="259"/>
      <c r="CI183" s="197"/>
      <c r="CJ183" s="192"/>
      <c r="CK183" s="197"/>
      <c r="CL183" s="192"/>
      <c r="CM183" s="197"/>
      <c r="CN183" s="192"/>
      <c r="CO183" s="197"/>
      <c r="CP183" s="192"/>
      <c r="CQ183" s="193"/>
      <c r="CR183" s="197"/>
      <c r="CS183" s="69"/>
      <c r="CT183" s="89"/>
      <c r="CU183" s="255" t="str">
        <f t="shared" si="2"/>
        <v/>
      </c>
    </row>
    <row r="184" ht="56.25" hidden="1" customHeight="1">
      <c r="A184" s="125">
        <v>17.0</v>
      </c>
      <c r="B184" s="199"/>
      <c r="C184" s="127"/>
      <c r="D184" s="128"/>
      <c r="E184" s="260"/>
      <c r="F184" s="261"/>
      <c r="G184" s="261"/>
      <c r="H184" s="261"/>
      <c r="I184" s="261"/>
      <c r="J184" s="170"/>
      <c r="K184" s="219"/>
      <c r="L184" s="219"/>
      <c r="M184" s="219"/>
      <c r="N184" s="220"/>
      <c r="O184" s="132">
        <f t="shared" si="34"/>
        <v>0</v>
      </c>
      <c r="P184" s="133">
        <f>COUNTIF(K184:K194,"TL")*0.75+COUNTIF(K184:K194,"Lec")*1+COUNTIF(K184:K194,"Lab")*0.5</f>
        <v>0</v>
      </c>
      <c r="Q184" s="134">
        <f>SUM((IF(LEFT(K184,1)="E",O184,0)),(IF(LEFT(K185,1)="E",O185,0)),(IF(LEFT(K186,1)="E",O186,0)),(IF(LEFT(K187,1)="E",O187,0)),(IF(LEFT(K188,1)="E",O188,0)),(IF(LEFT(K189,1)="E",O189,0)),(IF(LEFT(K190,1)="E",O190,0)),(IF(LEFT(K191,1)="E",O191,0)),(IF(LEFT(K192,1)="E",O192,0)),(IF(LEFT(K193,1)="E",O193,0)),(IF(LEFT(K194,1)="E",O194,0)))</f>
        <v>0</v>
      </c>
      <c r="R184" s="135">
        <f>SUM(IF(M190&lt;20,IF(K190="Plec",-1,IF(K190="PTL",-0.75,IF(K190="Plab",-0.5,0))),0),IF(M191&lt;20,IF(K191="Plec",-1,IF(K191="PTL",-0.75,IF(K191="Plab",-0.5,0))),0),IF(M192&lt;20,IF(K192="Plec",-1,IF(K192="PTL",-0.75,IF(K192="Plab",-0.5,0))),0),IF(M193&lt;20,IF(K193="Plec",-1,IF(K193="PTL",-0.75,IF(K193="Plab",-0.5,0))),0))</f>
        <v>0</v>
      </c>
      <c r="S184" s="134">
        <f>SUM(P184:R194)</f>
        <v>0</v>
      </c>
      <c r="T184" s="136">
        <f>SUM(IF(M184="M",IF(OR(K184="lec",K184="plec",K184="slec"),1,IF(OR(K184="lab",K184="plab",K184="slab",K184="tut",K184="ptut",K184="stut"),0.5,IF(OR(K184="TL",K184="pTL",K184="STL"),0.75,0))),0),IF(M185="M",IF(OR(K185="lec",K185="plec",K185="slec"),1,IF(OR(K185="lab",K185="plab",K185="slab",K185="tut",K185="ptut",K185="stut"),0.5,IF(OR(K185="TL",K185="pTL",K185="STL"),0.75,0))),0),IF(M186="M",IF(OR(K186="lec",K186="plec",K186="slec"),1,IF(OR(K186="lab",K186="plab",K186="slab",K186="tut",K186="ptut",K186="stut"),0.5,IF(OR(K186="TL",K186="pTL",K186="STL"),0.75,0))),0),IF(M187="M",IF(OR(K187="lec",K187="plec",K187="slec"),1,IF(OR(K187="lab",K187="plab",K187="slab",K187="tut",K187="ptut",K187="stut"),0.5,IF(OR(K187="TL",K187="pTL",K187="STL"),0.75,0))),0),IF(M188="M",IF(OR(K188="lec",K188="plec",K188="slec"),1,IF(OR(K188="lab",K188="plab",K188="slab",K188="tut",K188="ptut",K188="stut"),0.5,IF(OR(K188="TL",K188="pTL",K188="STL"),0.75,0))),0),IF(M189="M",IF(OR(K189="lec",K189="plec",K189="slec"),1,IF(OR(K189="lab",K189="plab",K189="slab",K189="tut",K189="ptut",K189="stut"),0.5,IF(OR(K189="TL",K189="pTL",K189="STL"),0.75,0))),0),IF(M190="M",IF(OR(K190="lec",K190="plec",K190="slec"),1,IF(OR(K190="lab",K190="plab",K190="slab",K190="tut",K190="ptut",K190="stut"),0.5,IF(OR(K190="TL",K190="pTL",K190="STL"),0.75,0))),0),IF(M191="M",IF(OR(K191="lec",K191="plec",K191="slec"),1,IF(OR(K191="lab",K191="plab",K191="slab",K191="tut",K191="ptut",K191="stut"),0.5,IF(OR(K191="TL",K191="pTL",K191="STL"),0.75,0))),0),IF(M192="M",IF(OR(K192="lec",K192="plec",K192="slec"),1,IF(OR(K192="lab",K192="plab",K192="slab",K192="tut",K192="ptut",K192="stut"),0.5,IF(OR(K192="TL",K192="pTL",K192="STL"),0.75,0))),0),IF(M193="M",IF(OR(K193="lec",K193="plec",K193="slec"),1,IF(OR(K193="lab",K193="plab",K193="slab",K193="tut",K193="ptut",K193="stut"),0.5,IF(OR(K193="TL",K193="pTL",K193="STL"),0.75,0))),0),IF(M194="M",IF(OR(K194="lec",K194="plec",K194="slec"),1,IF(OR(K194="lab",K194="plab",K194="slab",K194="tut",K194="ptut",K194="stut"),0.5,IF(OR(K194="TL",K194="pTL",K194="STL"),0.75,0))),0))</f>
        <v>0</v>
      </c>
      <c r="U184" s="137"/>
      <c r="V184" s="133"/>
      <c r="W184" s="138"/>
      <c r="X184" s="139">
        <f>S184-(T184+U184+V184+W184)</f>
        <v>0</v>
      </c>
      <c r="Y184" s="134" t="str">
        <f>CONCATENATE(SUM(O184:O194),"(",SUM(O184:O194)-X184,")")</f>
        <v>0(0)</v>
      </c>
      <c r="Z184" s="140"/>
      <c r="AA184" s="141"/>
      <c r="AB184" s="142"/>
      <c r="AC184" s="142"/>
      <c r="AD184" s="142"/>
      <c r="AE184" s="142"/>
      <c r="AF184" s="142"/>
      <c r="AG184" s="142"/>
      <c r="AH184" s="142"/>
      <c r="AI184" s="143"/>
      <c r="AJ184" s="144"/>
      <c r="AK184" s="145"/>
      <c r="AL184" s="145"/>
      <c r="AM184" s="145"/>
      <c r="AN184" s="145"/>
      <c r="AO184" s="146"/>
      <c r="AP184" s="147">
        <f>SUM(SUM(O184:O194),SUM(AI184:AI194)/2,AM184)</f>
        <v>0</v>
      </c>
      <c r="AQ184" s="148"/>
      <c r="AR184" s="148">
        <f>AP184*AQ184</f>
        <v>0</v>
      </c>
      <c r="AS184" s="148">
        <f>CT184</f>
        <v>0</v>
      </c>
      <c r="AT184" s="149">
        <f>AR184*0.75+AS184*0.25</f>
        <v>0</v>
      </c>
      <c r="AU184" s="150"/>
      <c r="AV184" s="151"/>
      <c r="AW184" s="151"/>
      <c r="AX184" s="152"/>
      <c r="AY184" s="153"/>
      <c r="AZ184" s="140"/>
      <c r="BA184" s="150"/>
      <c r="BB184" s="151"/>
      <c r="BC184" s="151"/>
      <c r="BD184" s="151"/>
      <c r="BE184" s="151"/>
      <c r="BF184" s="151"/>
      <c r="BG184" s="151"/>
      <c r="BH184" s="151"/>
      <c r="BI184" s="152"/>
      <c r="BJ184" s="154"/>
      <c r="BK184" s="151"/>
      <c r="BL184" s="151"/>
      <c r="BM184" s="151"/>
      <c r="BN184" s="151"/>
      <c r="BO184" s="155"/>
      <c r="BP184" s="140"/>
      <c r="BQ184" s="156"/>
      <c r="BR184" s="157"/>
      <c r="BS184" s="158"/>
      <c r="BT184" s="153"/>
      <c r="BU184" s="140"/>
      <c r="BV184" s="140"/>
      <c r="BW184" s="140"/>
      <c r="BX184" s="140"/>
      <c r="BY184" s="140"/>
      <c r="BZ184" s="140"/>
      <c r="CA184" s="140"/>
      <c r="CB184" s="140"/>
      <c r="CC184" s="140"/>
      <c r="CD184" s="150"/>
      <c r="CE184" s="155"/>
      <c r="CF184" s="150"/>
      <c r="CG184" s="152"/>
      <c r="CH184" s="252"/>
      <c r="CI184" s="160"/>
      <c r="CJ184" s="159"/>
      <c r="CK184" s="160"/>
      <c r="CL184" s="159"/>
      <c r="CM184" s="160"/>
      <c r="CN184" s="159"/>
      <c r="CO184" s="160"/>
      <c r="CP184" s="159"/>
      <c r="CQ184" s="162"/>
      <c r="CR184" s="160"/>
      <c r="CS184" s="253">
        <f>SUM(IF(AU184&lt;0,ABS(AU184),0),IF(AZ184&lt;0,ABS(AZ184),0),ABS(CI184),ABS(CK184),ABS(CM184),ABS(CO184),ABS(CQ184),ABS(CR184))</f>
        <v>0</v>
      </c>
      <c r="CT184" s="254">
        <f>SUM(AU184,AV184,AW184,AX184/400,AY184,AZ184,BG184,BH184*0.5,BI184*0.25,BJ184,BK184,BL184,BM184,BN184,BO184,BP184,BR184/20,BS184/100,BT184/60,BU184,BV184,BW184,BX184/4,SUM(BY184:CC194)/3,CE184,CG184/3,CI184,CK184,CM184,CO184,CQ184,CR184)</f>
        <v>0</v>
      </c>
      <c r="CU184" s="255" t="str">
        <f t="shared" si="2"/>
        <v/>
      </c>
    </row>
    <row r="185" ht="60.0" hidden="1" customHeight="1">
      <c r="A185" s="65"/>
      <c r="C185" s="167"/>
      <c r="D185" s="205"/>
      <c r="E185" s="262"/>
      <c r="F185" s="170"/>
      <c r="G185" s="170"/>
      <c r="H185" s="170"/>
      <c r="I185" s="170"/>
      <c r="J185" s="170"/>
      <c r="K185" s="171"/>
      <c r="L185" s="171"/>
      <c r="M185" s="171"/>
      <c r="N185" s="209"/>
      <c r="O185" s="172">
        <f t="shared" si="34"/>
        <v>0</v>
      </c>
      <c r="P185" s="166"/>
      <c r="Q185" s="173"/>
      <c r="R185" s="65"/>
      <c r="S185" s="173"/>
      <c r="T185" s="173"/>
      <c r="U185" s="166"/>
      <c r="V185" s="166"/>
      <c r="W185" s="65"/>
      <c r="X185" s="66"/>
      <c r="Y185" s="173"/>
      <c r="Z185" s="166"/>
      <c r="AA185" s="174"/>
      <c r="AB185" s="175"/>
      <c r="AC185" s="175"/>
      <c r="AD185" s="175"/>
      <c r="AE185" s="175"/>
      <c r="AF185" s="175"/>
      <c r="AG185" s="175"/>
      <c r="AH185" s="175"/>
      <c r="AI185" s="176"/>
      <c r="AJ185" s="177"/>
      <c r="AK185" s="178"/>
      <c r="AL185" s="178"/>
      <c r="AM185" s="178"/>
      <c r="AN185" s="178"/>
      <c r="AO185" s="179"/>
      <c r="AP185" s="64"/>
      <c r="AQ185" s="65"/>
      <c r="AR185" s="65"/>
      <c r="AS185" s="65"/>
      <c r="AT185" s="173"/>
      <c r="AU185" s="177"/>
      <c r="AV185" s="178"/>
      <c r="AW185" s="178"/>
      <c r="AX185" s="179"/>
      <c r="AZ185" s="166"/>
      <c r="BA185" s="177"/>
      <c r="BB185" s="178"/>
      <c r="BC185" s="178"/>
      <c r="BD185" s="178"/>
      <c r="BE185" s="178"/>
      <c r="BF185" s="178"/>
      <c r="BG185" s="178"/>
      <c r="BH185" s="178"/>
      <c r="BI185" s="179"/>
      <c r="BJ185" s="180"/>
      <c r="BK185" s="178"/>
      <c r="BL185" s="178"/>
      <c r="BM185" s="178"/>
      <c r="BN185" s="178"/>
      <c r="BO185" s="181"/>
      <c r="BP185" s="166"/>
      <c r="BQ185" s="177"/>
      <c r="BR185" s="178"/>
      <c r="BS185" s="179"/>
      <c r="BU185" s="166"/>
      <c r="BV185" s="166"/>
      <c r="BW185" s="166"/>
      <c r="BX185" s="166"/>
      <c r="BY185" s="166"/>
      <c r="BZ185" s="166"/>
      <c r="CA185" s="166"/>
      <c r="CB185" s="166"/>
      <c r="CC185" s="166"/>
      <c r="CD185" s="177"/>
      <c r="CE185" s="181"/>
      <c r="CF185" s="177"/>
      <c r="CG185" s="179"/>
      <c r="CH185" s="257"/>
      <c r="CI185" s="182"/>
      <c r="CJ185" s="177"/>
      <c r="CK185" s="182"/>
      <c r="CL185" s="177"/>
      <c r="CM185" s="182"/>
      <c r="CN185" s="177"/>
      <c r="CO185" s="182"/>
      <c r="CP185" s="177"/>
      <c r="CQ185" s="178"/>
      <c r="CR185" s="182"/>
      <c r="CS185" s="173"/>
      <c r="CT185" s="65"/>
      <c r="CU185" s="255" t="str">
        <f t="shared" si="2"/>
        <v/>
      </c>
    </row>
    <row r="186" ht="60.0" hidden="1" customHeight="1">
      <c r="A186" s="65"/>
      <c r="C186" s="167"/>
      <c r="D186" s="205"/>
      <c r="E186" s="262"/>
      <c r="F186" s="170"/>
      <c r="G186" s="170"/>
      <c r="H186" s="170"/>
      <c r="I186" s="170"/>
      <c r="J186" s="170"/>
      <c r="K186" s="171"/>
      <c r="L186" s="171"/>
      <c r="M186" s="171"/>
      <c r="N186" s="209"/>
      <c r="O186" s="172">
        <f t="shared" si="34"/>
        <v>0</v>
      </c>
      <c r="P186" s="166"/>
      <c r="Q186" s="173"/>
      <c r="R186" s="65"/>
      <c r="S186" s="173"/>
      <c r="T186" s="173"/>
      <c r="U186" s="166"/>
      <c r="V186" s="166"/>
      <c r="W186" s="65"/>
      <c r="X186" s="66"/>
      <c r="Y186" s="173"/>
      <c r="Z186" s="166"/>
      <c r="AA186" s="174"/>
      <c r="AB186" s="175"/>
      <c r="AC186" s="175"/>
      <c r="AD186" s="175"/>
      <c r="AE186" s="175"/>
      <c r="AF186" s="175"/>
      <c r="AG186" s="175"/>
      <c r="AH186" s="175"/>
      <c r="AI186" s="176"/>
      <c r="AJ186" s="177"/>
      <c r="AK186" s="178"/>
      <c r="AL186" s="178"/>
      <c r="AM186" s="178"/>
      <c r="AN186" s="178"/>
      <c r="AO186" s="179"/>
      <c r="AP186" s="64"/>
      <c r="AQ186" s="65"/>
      <c r="AR186" s="65"/>
      <c r="AS186" s="65"/>
      <c r="AT186" s="173"/>
      <c r="AU186" s="177"/>
      <c r="AV186" s="178"/>
      <c r="AW186" s="178"/>
      <c r="AX186" s="179"/>
      <c r="AZ186" s="166"/>
      <c r="BA186" s="177"/>
      <c r="BB186" s="178"/>
      <c r="BC186" s="178"/>
      <c r="BD186" s="178"/>
      <c r="BE186" s="178"/>
      <c r="BF186" s="178"/>
      <c r="BG186" s="178"/>
      <c r="BH186" s="178"/>
      <c r="BI186" s="179"/>
      <c r="BJ186" s="180"/>
      <c r="BK186" s="178"/>
      <c r="BL186" s="178"/>
      <c r="BM186" s="178"/>
      <c r="BN186" s="178"/>
      <c r="BO186" s="181"/>
      <c r="BP186" s="166"/>
      <c r="BQ186" s="177"/>
      <c r="BR186" s="178"/>
      <c r="BS186" s="179"/>
      <c r="BU186" s="166"/>
      <c r="BV186" s="166"/>
      <c r="BW186" s="166"/>
      <c r="BX186" s="166"/>
      <c r="BY186" s="166"/>
      <c r="BZ186" s="166"/>
      <c r="CA186" s="166"/>
      <c r="CB186" s="166"/>
      <c r="CC186" s="166"/>
      <c r="CD186" s="177"/>
      <c r="CE186" s="181"/>
      <c r="CF186" s="177"/>
      <c r="CG186" s="179"/>
      <c r="CH186" s="257"/>
      <c r="CI186" s="182"/>
      <c r="CJ186" s="177"/>
      <c r="CK186" s="182"/>
      <c r="CL186" s="177"/>
      <c r="CM186" s="182"/>
      <c r="CN186" s="177"/>
      <c r="CO186" s="182"/>
      <c r="CP186" s="177"/>
      <c r="CQ186" s="178"/>
      <c r="CR186" s="182"/>
      <c r="CS186" s="173"/>
      <c r="CT186" s="65"/>
      <c r="CU186" s="255" t="str">
        <f t="shared" si="2"/>
        <v/>
      </c>
    </row>
    <row r="187" ht="60.0" hidden="1" customHeight="1">
      <c r="A187" s="65"/>
      <c r="C187" s="167"/>
      <c r="D187" s="205"/>
      <c r="E187" s="262"/>
      <c r="F187" s="170"/>
      <c r="G187" s="170"/>
      <c r="H187" s="170"/>
      <c r="I187" s="170"/>
      <c r="J187" s="170"/>
      <c r="K187" s="171"/>
      <c r="L187" s="171"/>
      <c r="M187" s="171"/>
      <c r="N187" s="209"/>
      <c r="O187" s="172">
        <f t="shared" si="34"/>
        <v>0</v>
      </c>
      <c r="P187" s="166"/>
      <c r="Q187" s="173"/>
      <c r="R187" s="65"/>
      <c r="S187" s="173"/>
      <c r="T187" s="173"/>
      <c r="U187" s="166"/>
      <c r="V187" s="166"/>
      <c r="W187" s="65"/>
      <c r="X187" s="66"/>
      <c r="Y187" s="173"/>
      <c r="Z187" s="166"/>
      <c r="AA187" s="174"/>
      <c r="AB187" s="175"/>
      <c r="AC187" s="175"/>
      <c r="AD187" s="175"/>
      <c r="AE187" s="175"/>
      <c r="AF187" s="175"/>
      <c r="AG187" s="175"/>
      <c r="AH187" s="175"/>
      <c r="AI187" s="176"/>
      <c r="AJ187" s="177"/>
      <c r="AK187" s="178"/>
      <c r="AL187" s="178"/>
      <c r="AM187" s="178"/>
      <c r="AN187" s="178"/>
      <c r="AO187" s="179"/>
      <c r="AP187" s="64"/>
      <c r="AQ187" s="65"/>
      <c r="AR187" s="65"/>
      <c r="AS187" s="65"/>
      <c r="AT187" s="173"/>
      <c r="AU187" s="177"/>
      <c r="AV187" s="178"/>
      <c r="AW187" s="178"/>
      <c r="AX187" s="179"/>
      <c r="AZ187" s="166"/>
      <c r="BA187" s="177"/>
      <c r="BB187" s="178"/>
      <c r="BC187" s="178"/>
      <c r="BD187" s="178"/>
      <c r="BE187" s="178"/>
      <c r="BF187" s="178"/>
      <c r="BG187" s="178"/>
      <c r="BH187" s="178"/>
      <c r="BI187" s="179"/>
      <c r="BJ187" s="180"/>
      <c r="BK187" s="178"/>
      <c r="BL187" s="178"/>
      <c r="BM187" s="178"/>
      <c r="BN187" s="178"/>
      <c r="BO187" s="181"/>
      <c r="BP187" s="166"/>
      <c r="BQ187" s="177"/>
      <c r="BR187" s="178"/>
      <c r="BS187" s="179"/>
      <c r="BU187" s="166"/>
      <c r="BV187" s="166"/>
      <c r="BW187" s="166"/>
      <c r="BX187" s="166"/>
      <c r="BY187" s="166"/>
      <c r="BZ187" s="166"/>
      <c r="CA187" s="166"/>
      <c r="CB187" s="166"/>
      <c r="CC187" s="166"/>
      <c r="CD187" s="177"/>
      <c r="CE187" s="181"/>
      <c r="CF187" s="177"/>
      <c r="CG187" s="179"/>
      <c r="CH187" s="257"/>
      <c r="CI187" s="182"/>
      <c r="CJ187" s="177"/>
      <c r="CK187" s="182"/>
      <c r="CL187" s="177"/>
      <c r="CM187" s="182"/>
      <c r="CN187" s="177"/>
      <c r="CO187" s="182"/>
      <c r="CP187" s="177"/>
      <c r="CQ187" s="178"/>
      <c r="CR187" s="182"/>
      <c r="CS187" s="173"/>
      <c r="CT187" s="65"/>
      <c r="CU187" s="255" t="str">
        <f t="shared" si="2"/>
        <v/>
      </c>
    </row>
    <row r="188" ht="60.0" hidden="1" customHeight="1">
      <c r="A188" s="65"/>
      <c r="C188" s="167"/>
      <c r="D188" s="205"/>
      <c r="E188" s="262"/>
      <c r="F188" s="170"/>
      <c r="G188" s="170"/>
      <c r="H188" s="170"/>
      <c r="I188" s="170"/>
      <c r="J188" s="170"/>
      <c r="K188" s="171"/>
      <c r="L188" s="171"/>
      <c r="M188" s="171"/>
      <c r="N188" s="209"/>
      <c r="O188" s="172">
        <f t="shared" si="34"/>
        <v>0</v>
      </c>
      <c r="P188" s="166"/>
      <c r="Q188" s="173"/>
      <c r="R188" s="65"/>
      <c r="S188" s="173"/>
      <c r="T188" s="173"/>
      <c r="U188" s="166"/>
      <c r="V188" s="166"/>
      <c r="W188" s="65"/>
      <c r="X188" s="66"/>
      <c r="Y188" s="173"/>
      <c r="Z188" s="166"/>
      <c r="AA188" s="174"/>
      <c r="AB188" s="175"/>
      <c r="AC188" s="175"/>
      <c r="AD188" s="175"/>
      <c r="AE188" s="175"/>
      <c r="AF188" s="175"/>
      <c r="AG188" s="175"/>
      <c r="AH188" s="175"/>
      <c r="AI188" s="176"/>
      <c r="AJ188" s="177"/>
      <c r="AK188" s="178"/>
      <c r="AL188" s="178"/>
      <c r="AM188" s="178"/>
      <c r="AN188" s="178"/>
      <c r="AO188" s="179"/>
      <c r="AP188" s="64"/>
      <c r="AQ188" s="65"/>
      <c r="AR188" s="65"/>
      <c r="AS188" s="65"/>
      <c r="AT188" s="173"/>
      <c r="AU188" s="177"/>
      <c r="AV188" s="178"/>
      <c r="AW188" s="178"/>
      <c r="AX188" s="179"/>
      <c r="AZ188" s="166"/>
      <c r="BA188" s="177"/>
      <c r="BB188" s="178"/>
      <c r="BC188" s="178"/>
      <c r="BD188" s="178"/>
      <c r="BE188" s="178"/>
      <c r="BF188" s="178"/>
      <c r="BG188" s="178"/>
      <c r="BH188" s="178"/>
      <c r="BI188" s="179"/>
      <c r="BJ188" s="180"/>
      <c r="BK188" s="178"/>
      <c r="BL188" s="178"/>
      <c r="BM188" s="178"/>
      <c r="BN188" s="178"/>
      <c r="BO188" s="181"/>
      <c r="BP188" s="166"/>
      <c r="BQ188" s="177"/>
      <c r="BR188" s="178"/>
      <c r="BS188" s="179"/>
      <c r="BU188" s="166"/>
      <c r="BV188" s="166"/>
      <c r="BW188" s="166"/>
      <c r="BX188" s="166"/>
      <c r="BY188" s="166"/>
      <c r="BZ188" s="166"/>
      <c r="CA188" s="166"/>
      <c r="CB188" s="166"/>
      <c r="CC188" s="166"/>
      <c r="CD188" s="177"/>
      <c r="CE188" s="181"/>
      <c r="CF188" s="177"/>
      <c r="CG188" s="179"/>
      <c r="CH188" s="257"/>
      <c r="CI188" s="182"/>
      <c r="CJ188" s="177"/>
      <c r="CK188" s="182"/>
      <c r="CL188" s="177"/>
      <c r="CM188" s="182"/>
      <c r="CN188" s="177"/>
      <c r="CO188" s="182"/>
      <c r="CP188" s="177"/>
      <c r="CQ188" s="178"/>
      <c r="CR188" s="182"/>
      <c r="CS188" s="173"/>
      <c r="CT188" s="65"/>
      <c r="CU188" s="255" t="str">
        <f t="shared" si="2"/>
        <v/>
      </c>
    </row>
    <row r="189" ht="60.0" hidden="1" customHeight="1">
      <c r="A189" s="65"/>
      <c r="C189" s="167"/>
      <c r="D189" s="205"/>
      <c r="E189" s="262"/>
      <c r="F189" s="170"/>
      <c r="G189" s="170"/>
      <c r="H189" s="170"/>
      <c r="I189" s="170"/>
      <c r="J189" s="170"/>
      <c r="K189" s="171"/>
      <c r="L189" s="171"/>
      <c r="M189" s="171"/>
      <c r="N189" s="209"/>
      <c r="O189" s="172">
        <f t="shared" si="34"/>
        <v>0</v>
      </c>
      <c r="P189" s="166"/>
      <c r="Q189" s="173"/>
      <c r="R189" s="65"/>
      <c r="S189" s="173"/>
      <c r="T189" s="173"/>
      <c r="U189" s="166"/>
      <c r="V189" s="166"/>
      <c r="W189" s="65"/>
      <c r="X189" s="66"/>
      <c r="Y189" s="173"/>
      <c r="Z189" s="166"/>
      <c r="AA189" s="174"/>
      <c r="AB189" s="175"/>
      <c r="AC189" s="175"/>
      <c r="AD189" s="175"/>
      <c r="AE189" s="175"/>
      <c r="AF189" s="175"/>
      <c r="AG189" s="175"/>
      <c r="AH189" s="175"/>
      <c r="AI189" s="176"/>
      <c r="AJ189" s="177"/>
      <c r="AK189" s="178"/>
      <c r="AL189" s="178"/>
      <c r="AM189" s="178"/>
      <c r="AN189" s="178"/>
      <c r="AO189" s="179"/>
      <c r="AP189" s="64"/>
      <c r="AQ189" s="65"/>
      <c r="AR189" s="65"/>
      <c r="AS189" s="65"/>
      <c r="AT189" s="173"/>
      <c r="AU189" s="177"/>
      <c r="AV189" s="178"/>
      <c r="AW189" s="178"/>
      <c r="AX189" s="179"/>
      <c r="AZ189" s="166"/>
      <c r="BA189" s="177"/>
      <c r="BB189" s="178"/>
      <c r="BC189" s="178"/>
      <c r="BD189" s="178"/>
      <c r="BE189" s="178"/>
      <c r="BF189" s="178"/>
      <c r="BG189" s="178"/>
      <c r="BH189" s="178"/>
      <c r="BI189" s="179"/>
      <c r="BJ189" s="180"/>
      <c r="BK189" s="178"/>
      <c r="BL189" s="178"/>
      <c r="BM189" s="178"/>
      <c r="BN189" s="178"/>
      <c r="BO189" s="181"/>
      <c r="BP189" s="166"/>
      <c r="BQ189" s="177"/>
      <c r="BR189" s="178"/>
      <c r="BS189" s="179"/>
      <c r="BU189" s="166"/>
      <c r="BV189" s="166"/>
      <c r="BW189" s="166"/>
      <c r="BX189" s="166"/>
      <c r="BY189" s="166"/>
      <c r="BZ189" s="166"/>
      <c r="CA189" s="166"/>
      <c r="CB189" s="166"/>
      <c r="CC189" s="166"/>
      <c r="CD189" s="177"/>
      <c r="CE189" s="181"/>
      <c r="CF189" s="177"/>
      <c r="CG189" s="179"/>
      <c r="CH189" s="257"/>
      <c r="CI189" s="182"/>
      <c r="CJ189" s="177"/>
      <c r="CK189" s="182"/>
      <c r="CL189" s="177"/>
      <c r="CM189" s="182"/>
      <c r="CN189" s="177"/>
      <c r="CO189" s="182"/>
      <c r="CP189" s="177"/>
      <c r="CQ189" s="178"/>
      <c r="CR189" s="182"/>
      <c r="CS189" s="173"/>
      <c r="CT189" s="65"/>
      <c r="CU189" s="255" t="str">
        <f t="shared" si="2"/>
        <v/>
      </c>
    </row>
    <row r="190" ht="60.0" hidden="1" customHeight="1">
      <c r="A190" s="65"/>
      <c r="C190" s="167"/>
      <c r="D190" s="205"/>
      <c r="E190" s="262"/>
      <c r="F190" s="170"/>
      <c r="G190" s="170"/>
      <c r="H190" s="170"/>
      <c r="I190" s="170"/>
      <c r="J190" s="170"/>
      <c r="K190" s="171"/>
      <c r="L190" s="171"/>
      <c r="M190" s="171"/>
      <c r="N190" s="209"/>
      <c r="O190" s="172">
        <f t="shared" ref="O190:O193" si="35">IF(AND(M190&gt;=20,M190&lt;&gt;"m",RIGHT(K190,3)="Lec"),1,IF(AND(M190&gt;=20,M190&lt;&gt;"m",OR(RIGHT(K190,3)="Lab",RIGHT(K190,3)="Tut")),0.5,IF(AND(M190&gt;=20,M190&lt;&gt;"m",RIGHT(K190,2)="TL"),0.75,0)))</f>
        <v>0</v>
      </c>
      <c r="P190" s="166"/>
      <c r="Q190" s="173"/>
      <c r="R190" s="65"/>
      <c r="S190" s="173"/>
      <c r="T190" s="173"/>
      <c r="U190" s="166"/>
      <c r="V190" s="166"/>
      <c r="W190" s="65"/>
      <c r="X190" s="66"/>
      <c r="Y190" s="173"/>
      <c r="Z190" s="166"/>
      <c r="AA190" s="174"/>
      <c r="AB190" s="175"/>
      <c r="AC190" s="175"/>
      <c r="AD190" s="175"/>
      <c r="AE190" s="175"/>
      <c r="AF190" s="175"/>
      <c r="AG190" s="175"/>
      <c r="AH190" s="175"/>
      <c r="AI190" s="176"/>
      <c r="AJ190" s="177"/>
      <c r="AK190" s="178"/>
      <c r="AL190" s="178"/>
      <c r="AM190" s="178"/>
      <c r="AN190" s="178"/>
      <c r="AO190" s="179"/>
      <c r="AP190" s="64"/>
      <c r="AQ190" s="65"/>
      <c r="AR190" s="65"/>
      <c r="AS190" s="65"/>
      <c r="AT190" s="173"/>
      <c r="AU190" s="177"/>
      <c r="AV190" s="178"/>
      <c r="AW190" s="178"/>
      <c r="AX190" s="179"/>
      <c r="AZ190" s="166"/>
      <c r="BA190" s="177"/>
      <c r="BB190" s="178"/>
      <c r="BC190" s="178"/>
      <c r="BD190" s="178"/>
      <c r="BE190" s="178"/>
      <c r="BF190" s="178"/>
      <c r="BG190" s="178"/>
      <c r="BH190" s="178"/>
      <c r="BI190" s="179"/>
      <c r="BJ190" s="180"/>
      <c r="BK190" s="178"/>
      <c r="BL190" s="178"/>
      <c r="BM190" s="178"/>
      <c r="BN190" s="178"/>
      <c r="BO190" s="181"/>
      <c r="BP190" s="166"/>
      <c r="BQ190" s="177"/>
      <c r="BR190" s="178"/>
      <c r="BS190" s="179"/>
      <c r="BU190" s="166"/>
      <c r="BV190" s="166"/>
      <c r="BW190" s="166"/>
      <c r="BX190" s="166"/>
      <c r="BY190" s="166"/>
      <c r="BZ190" s="166"/>
      <c r="CA190" s="166"/>
      <c r="CB190" s="166"/>
      <c r="CC190" s="166"/>
      <c r="CD190" s="177"/>
      <c r="CE190" s="181"/>
      <c r="CF190" s="177"/>
      <c r="CG190" s="179"/>
      <c r="CH190" s="257"/>
      <c r="CI190" s="182"/>
      <c r="CJ190" s="177"/>
      <c r="CK190" s="182"/>
      <c r="CL190" s="177"/>
      <c r="CM190" s="182"/>
      <c r="CN190" s="177"/>
      <c r="CO190" s="182"/>
      <c r="CP190" s="177"/>
      <c r="CQ190" s="178"/>
      <c r="CR190" s="182"/>
      <c r="CS190" s="173"/>
      <c r="CT190" s="65"/>
      <c r="CU190" s="255" t="str">
        <f t="shared" si="2"/>
        <v/>
      </c>
    </row>
    <row r="191" ht="60.0" hidden="1" customHeight="1">
      <c r="A191" s="65"/>
      <c r="C191" s="167"/>
      <c r="D191" s="205"/>
      <c r="E191" s="262"/>
      <c r="F191" s="170"/>
      <c r="G191" s="170"/>
      <c r="H191" s="170"/>
      <c r="I191" s="170"/>
      <c r="J191" s="170"/>
      <c r="K191" s="171"/>
      <c r="L191" s="171"/>
      <c r="M191" s="171"/>
      <c r="N191" s="209"/>
      <c r="O191" s="172">
        <f t="shared" si="35"/>
        <v>0</v>
      </c>
      <c r="P191" s="166"/>
      <c r="Q191" s="173"/>
      <c r="R191" s="65"/>
      <c r="S191" s="173"/>
      <c r="T191" s="173"/>
      <c r="U191" s="166"/>
      <c r="V191" s="166"/>
      <c r="W191" s="65"/>
      <c r="X191" s="66"/>
      <c r="Y191" s="173"/>
      <c r="Z191" s="166"/>
      <c r="AA191" s="174"/>
      <c r="AB191" s="175"/>
      <c r="AC191" s="175"/>
      <c r="AD191" s="175"/>
      <c r="AE191" s="175"/>
      <c r="AF191" s="175"/>
      <c r="AG191" s="175"/>
      <c r="AH191" s="175"/>
      <c r="AI191" s="176"/>
      <c r="AJ191" s="177"/>
      <c r="AK191" s="178"/>
      <c r="AL191" s="178"/>
      <c r="AM191" s="178"/>
      <c r="AN191" s="178"/>
      <c r="AO191" s="179"/>
      <c r="AP191" s="64"/>
      <c r="AQ191" s="65"/>
      <c r="AR191" s="65"/>
      <c r="AS191" s="65"/>
      <c r="AT191" s="173"/>
      <c r="AU191" s="177"/>
      <c r="AV191" s="178"/>
      <c r="AW191" s="178"/>
      <c r="AX191" s="179"/>
      <c r="AZ191" s="166"/>
      <c r="BA191" s="177"/>
      <c r="BB191" s="178"/>
      <c r="BC191" s="178"/>
      <c r="BD191" s="178"/>
      <c r="BE191" s="178"/>
      <c r="BF191" s="178"/>
      <c r="BG191" s="178"/>
      <c r="BH191" s="178"/>
      <c r="BI191" s="179"/>
      <c r="BJ191" s="180"/>
      <c r="BK191" s="178"/>
      <c r="BL191" s="178"/>
      <c r="BM191" s="178"/>
      <c r="BN191" s="178"/>
      <c r="BO191" s="181"/>
      <c r="BP191" s="166"/>
      <c r="BQ191" s="177"/>
      <c r="BR191" s="178"/>
      <c r="BS191" s="179"/>
      <c r="BU191" s="166"/>
      <c r="BV191" s="166"/>
      <c r="BW191" s="166"/>
      <c r="BX191" s="166"/>
      <c r="BY191" s="166"/>
      <c r="BZ191" s="166"/>
      <c r="CA191" s="166"/>
      <c r="CB191" s="166"/>
      <c r="CC191" s="166"/>
      <c r="CD191" s="177"/>
      <c r="CE191" s="181"/>
      <c r="CF191" s="177"/>
      <c r="CG191" s="179"/>
      <c r="CH191" s="257"/>
      <c r="CI191" s="182"/>
      <c r="CJ191" s="177"/>
      <c r="CK191" s="182"/>
      <c r="CL191" s="177"/>
      <c r="CM191" s="182"/>
      <c r="CN191" s="177"/>
      <c r="CO191" s="182"/>
      <c r="CP191" s="177"/>
      <c r="CQ191" s="178"/>
      <c r="CR191" s="182"/>
      <c r="CS191" s="173"/>
      <c r="CT191" s="65"/>
      <c r="CU191" s="255" t="str">
        <f t="shared" si="2"/>
        <v/>
      </c>
    </row>
    <row r="192" ht="60.0" hidden="1" customHeight="1">
      <c r="A192" s="65"/>
      <c r="C192" s="167"/>
      <c r="D192" s="205"/>
      <c r="E192" s="262"/>
      <c r="F192" s="170"/>
      <c r="G192" s="170"/>
      <c r="H192" s="170"/>
      <c r="I192" s="170"/>
      <c r="J192" s="170"/>
      <c r="K192" s="171"/>
      <c r="L192" s="171"/>
      <c r="M192" s="171"/>
      <c r="N192" s="209"/>
      <c r="O192" s="172">
        <f t="shared" si="35"/>
        <v>0</v>
      </c>
      <c r="P192" s="166"/>
      <c r="Q192" s="173"/>
      <c r="R192" s="65"/>
      <c r="S192" s="173"/>
      <c r="T192" s="173"/>
      <c r="U192" s="166"/>
      <c r="V192" s="166"/>
      <c r="W192" s="65"/>
      <c r="X192" s="66"/>
      <c r="Y192" s="173"/>
      <c r="Z192" s="166"/>
      <c r="AA192" s="174"/>
      <c r="AB192" s="175"/>
      <c r="AC192" s="175"/>
      <c r="AD192" s="175"/>
      <c r="AE192" s="175"/>
      <c r="AF192" s="175"/>
      <c r="AG192" s="175"/>
      <c r="AH192" s="175"/>
      <c r="AI192" s="176"/>
      <c r="AJ192" s="177"/>
      <c r="AK192" s="178"/>
      <c r="AL192" s="178"/>
      <c r="AM192" s="178"/>
      <c r="AN192" s="178"/>
      <c r="AO192" s="179"/>
      <c r="AP192" s="64"/>
      <c r="AQ192" s="65"/>
      <c r="AR192" s="65"/>
      <c r="AS192" s="65"/>
      <c r="AT192" s="173"/>
      <c r="AU192" s="177"/>
      <c r="AV192" s="178"/>
      <c r="AW192" s="178"/>
      <c r="AX192" s="179"/>
      <c r="AZ192" s="166"/>
      <c r="BA192" s="177"/>
      <c r="BB192" s="178"/>
      <c r="BC192" s="178"/>
      <c r="BD192" s="178"/>
      <c r="BE192" s="178"/>
      <c r="BF192" s="178"/>
      <c r="BG192" s="178"/>
      <c r="BH192" s="178"/>
      <c r="BI192" s="179"/>
      <c r="BJ192" s="180"/>
      <c r="BK192" s="178"/>
      <c r="BL192" s="178"/>
      <c r="BM192" s="178"/>
      <c r="BN192" s="178"/>
      <c r="BO192" s="181"/>
      <c r="BP192" s="166"/>
      <c r="BQ192" s="177"/>
      <c r="BR192" s="178"/>
      <c r="BS192" s="179"/>
      <c r="BU192" s="166"/>
      <c r="BV192" s="166"/>
      <c r="BW192" s="166"/>
      <c r="BX192" s="166"/>
      <c r="BY192" s="166"/>
      <c r="BZ192" s="166"/>
      <c r="CA192" s="166"/>
      <c r="CB192" s="166"/>
      <c r="CC192" s="166"/>
      <c r="CD192" s="177"/>
      <c r="CE192" s="181"/>
      <c r="CF192" s="177"/>
      <c r="CG192" s="179"/>
      <c r="CH192" s="257"/>
      <c r="CI192" s="182"/>
      <c r="CJ192" s="177"/>
      <c r="CK192" s="182"/>
      <c r="CL192" s="177"/>
      <c r="CM192" s="182"/>
      <c r="CN192" s="177"/>
      <c r="CO192" s="182"/>
      <c r="CP192" s="177"/>
      <c r="CQ192" s="178"/>
      <c r="CR192" s="182"/>
      <c r="CS192" s="173"/>
      <c r="CT192" s="65"/>
      <c r="CU192" s="255" t="str">
        <f t="shared" si="2"/>
        <v/>
      </c>
    </row>
    <row r="193" ht="60.0" hidden="1" customHeight="1">
      <c r="A193" s="65"/>
      <c r="C193" s="167"/>
      <c r="D193" s="205"/>
      <c r="E193" s="262"/>
      <c r="F193" s="170"/>
      <c r="G193" s="170"/>
      <c r="H193" s="170"/>
      <c r="I193" s="170"/>
      <c r="J193" s="170"/>
      <c r="K193" s="171"/>
      <c r="L193" s="171"/>
      <c r="M193" s="171"/>
      <c r="N193" s="209"/>
      <c r="O193" s="172">
        <f t="shared" si="35"/>
        <v>0</v>
      </c>
      <c r="P193" s="166"/>
      <c r="Q193" s="173"/>
      <c r="R193" s="65"/>
      <c r="S193" s="173"/>
      <c r="T193" s="173"/>
      <c r="U193" s="166"/>
      <c r="V193" s="166"/>
      <c r="W193" s="65"/>
      <c r="X193" s="66"/>
      <c r="Y193" s="173"/>
      <c r="Z193" s="166"/>
      <c r="AA193" s="174"/>
      <c r="AB193" s="175"/>
      <c r="AC193" s="175"/>
      <c r="AD193" s="175"/>
      <c r="AE193" s="175"/>
      <c r="AF193" s="175"/>
      <c r="AG193" s="175"/>
      <c r="AH193" s="175"/>
      <c r="AI193" s="176"/>
      <c r="AJ193" s="177"/>
      <c r="AK193" s="178"/>
      <c r="AL193" s="178"/>
      <c r="AM193" s="178"/>
      <c r="AN193" s="178"/>
      <c r="AO193" s="179"/>
      <c r="AP193" s="64"/>
      <c r="AQ193" s="65"/>
      <c r="AR193" s="65"/>
      <c r="AS193" s="65"/>
      <c r="AT193" s="173"/>
      <c r="AU193" s="177"/>
      <c r="AV193" s="178"/>
      <c r="AW193" s="178"/>
      <c r="AX193" s="179"/>
      <c r="AZ193" s="166"/>
      <c r="BA193" s="177"/>
      <c r="BB193" s="178"/>
      <c r="BC193" s="178"/>
      <c r="BD193" s="178"/>
      <c r="BE193" s="178"/>
      <c r="BF193" s="178"/>
      <c r="BG193" s="178"/>
      <c r="BH193" s="178"/>
      <c r="BI193" s="179"/>
      <c r="BJ193" s="180"/>
      <c r="BK193" s="178"/>
      <c r="BL193" s="178"/>
      <c r="BM193" s="178"/>
      <c r="BN193" s="178"/>
      <c r="BO193" s="181"/>
      <c r="BP193" s="166"/>
      <c r="BQ193" s="177"/>
      <c r="BR193" s="178"/>
      <c r="BS193" s="179"/>
      <c r="BU193" s="166"/>
      <c r="BV193" s="166"/>
      <c r="BW193" s="166"/>
      <c r="BX193" s="166"/>
      <c r="BY193" s="166"/>
      <c r="BZ193" s="166"/>
      <c r="CA193" s="166"/>
      <c r="CB193" s="166"/>
      <c r="CC193" s="166"/>
      <c r="CD193" s="177"/>
      <c r="CE193" s="181"/>
      <c r="CF193" s="177"/>
      <c r="CG193" s="179"/>
      <c r="CH193" s="257"/>
      <c r="CI193" s="182"/>
      <c r="CJ193" s="177"/>
      <c r="CK193" s="182"/>
      <c r="CL193" s="177"/>
      <c r="CM193" s="182"/>
      <c r="CN193" s="177"/>
      <c r="CO193" s="182"/>
      <c r="CP193" s="177"/>
      <c r="CQ193" s="178"/>
      <c r="CR193" s="182"/>
      <c r="CS193" s="173"/>
      <c r="CT193" s="65"/>
      <c r="CU193" s="255" t="str">
        <f t="shared" si="2"/>
        <v/>
      </c>
    </row>
    <row r="194" ht="60.0" hidden="1" customHeight="1">
      <c r="A194" s="89"/>
      <c r="B194" s="6"/>
      <c r="C194" s="183"/>
      <c r="D194" s="210"/>
      <c r="E194" s="263"/>
      <c r="F194" s="186"/>
      <c r="G194" s="186"/>
      <c r="H194" s="186"/>
      <c r="I194" s="186"/>
      <c r="J194" s="186"/>
      <c r="K194" s="187"/>
      <c r="L194" s="187"/>
      <c r="M194" s="187"/>
      <c r="N194" s="214"/>
      <c r="O194" s="188">
        <f t="shared" ref="O194:O200" si="36">IF(AND(M194&lt;&gt;0,M194&lt;&gt;"m",M194&lt;&gt;"",RIGHT(K194,3)="Lec"),1,IF(AND(M194&lt;&gt;0,M194&lt;&gt;"m",M194&lt;&gt;"",OR(RIGHT(K194,3)="Lab",RIGHT(K194,3)="Tut")),0.5,IF(AND(M194&lt;&gt;0,M194&lt;&gt;"m",M194&lt;&gt;"",RIGHT(K194,2)="TL"),0.75,0)))</f>
        <v>0</v>
      </c>
      <c r="P194" s="63"/>
      <c r="Q194" s="69"/>
      <c r="R194" s="89"/>
      <c r="S194" s="69"/>
      <c r="T194" s="69"/>
      <c r="U194" s="63"/>
      <c r="V194" s="63"/>
      <c r="W194" s="89"/>
      <c r="X194" s="68"/>
      <c r="Y194" s="69"/>
      <c r="Z194" s="63"/>
      <c r="AA194" s="189"/>
      <c r="AB194" s="190"/>
      <c r="AC194" s="190"/>
      <c r="AD194" s="190"/>
      <c r="AE194" s="190"/>
      <c r="AF194" s="190"/>
      <c r="AG194" s="190"/>
      <c r="AH194" s="190"/>
      <c r="AI194" s="191"/>
      <c r="AJ194" s="192"/>
      <c r="AK194" s="193"/>
      <c r="AL194" s="193"/>
      <c r="AM194" s="193"/>
      <c r="AN194" s="193"/>
      <c r="AO194" s="194"/>
      <c r="AP194" s="103"/>
      <c r="AQ194" s="89"/>
      <c r="AR194" s="89"/>
      <c r="AS194" s="89"/>
      <c r="AT194" s="69"/>
      <c r="AU194" s="192"/>
      <c r="AV194" s="193"/>
      <c r="AW194" s="193"/>
      <c r="AX194" s="194"/>
      <c r="AY194" s="6"/>
      <c r="AZ194" s="63"/>
      <c r="BA194" s="192"/>
      <c r="BB194" s="193"/>
      <c r="BC194" s="193"/>
      <c r="BD194" s="193"/>
      <c r="BE194" s="193"/>
      <c r="BF194" s="193"/>
      <c r="BG194" s="193"/>
      <c r="BH194" s="193"/>
      <c r="BI194" s="194"/>
      <c r="BJ194" s="195"/>
      <c r="BK194" s="193"/>
      <c r="BL194" s="193"/>
      <c r="BM194" s="193"/>
      <c r="BN194" s="193"/>
      <c r="BO194" s="196"/>
      <c r="BP194" s="63"/>
      <c r="BQ194" s="192"/>
      <c r="BR194" s="193"/>
      <c r="BS194" s="194"/>
      <c r="BT194" s="6"/>
      <c r="BU194" s="63"/>
      <c r="BV194" s="63"/>
      <c r="BW194" s="63"/>
      <c r="BX194" s="63"/>
      <c r="BY194" s="63"/>
      <c r="BZ194" s="63"/>
      <c r="CA194" s="63"/>
      <c r="CB194" s="63"/>
      <c r="CC194" s="63"/>
      <c r="CD194" s="192"/>
      <c r="CE194" s="196"/>
      <c r="CF194" s="192"/>
      <c r="CG194" s="194"/>
      <c r="CH194" s="259"/>
      <c r="CI194" s="197"/>
      <c r="CJ194" s="192"/>
      <c r="CK194" s="197"/>
      <c r="CL194" s="192"/>
      <c r="CM194" s="197"/>
      <c r="CN194" s="192"/>
      <c r="CO194" s="197"/>
      <c r="CP194" s="192"/>
      <c r="CQ194" s="193"/>
      <c r="CR194" s="197"/>
      <c r="CS194" s="69"/>
      <c r="CT194" s="89"/>
      <c r="CU194" s="255" t="str">
        <f t="shared" si="2"/>
        <v/>
      </c>
    </row>
    <row r="195" ht="56.25" hidden="1" customHeight="1">
      <c r="A195" s="125">
        <v>18.0</v>
      </c>
      <c r="B195" s="199"/>
      <c r="C195" s="127"/>
      <c r="D195" s="128"/>
      <c r="E195" s="260"/>
      <c r="F195" s="261"/>
      <c r="G195" s="261"/>
      <c r="H195" s="261"/>
      <c r="I195" s="261"/>
      <c r="J195" s="170"/>
      <c r="K195" s="219"/>
      <c r="L195" s="219"/>
      <c r="M195" s="219"/>
      <c r="N195" s="220"/>
      <c r="O195" s="132">
        <f t="shared" si="36"/>
        <v>0</v>
      </c>
      <c r="P195" s="133">
        <f>COUNTIF(K195:K205,"TL")*0.75+COUNTIF(K195:K205,"Lec")*1+COUNTIF(K195:K205,"Lab")*0.5</f>
        <v>0</v>
      </c>
      <c r="Q195" s="134">
        <f>SUM((IF(LEFT(K195,1)="E",O195,0)),(IF(LEFT(K196,1)="E",O196,0)),(IF(LEFT(K197,1)="E",O197,0)),(IF(LEFT(K198,1)="E",O198,0)),(IF(LEFT(K199,1)="E",O199,0)),(IF(LEFT(K200,1)="E",O200,0)),(IF(LEFT(K201,1)="E",O201,0)),(IF(LEFT(K202,1)="E",O202,0)),(IF(LEFT(K203,1)="E",O203,0)),(IF(LEFT(K204,1)="E",O204,0)),(IF(LEFT(K205,1)="E",O205,0)))</f>
        <v>0</v>
      </c>
      <c r="R195" s="135">
        <f>SUM(IF(M201&lt;20,IF(K201="Plec",-1,IF(K201="PTL",-0.75,IF(K201="Plab",-0.5,0))),0),IF(M202&lt;20,IF(K202="Plec",-1,IF(K202="PTL",-0.75,IF(K202="Plab",-0.5,0))),0),IF(M203&lt;20,IF(K203="Plec",-1,IF(K203="PTL",-0.75,IF(K203="Plab",-0.5,0))),0),IF(M204&lt;20,IF(K204="Plec",-1,IF(K204="PTL",-0.75,IF(K204="Plab",-0.5,0))),0))</f>
        <v>0</v>
      </c>
      <c r="S195" s="134">
        <f>SUM(P195:R205)</f>
        <v>0</v>
      </c>
      <c r="T195" s="136">
        <f>SUM(IF(M195="M",IF(OR(K195="lec",K195="plec",K195="slec"),1,IF(OR(K195="lab",K195="plab",K195="slab",K195="tut",K195="ptut",K195="stut"),0.5,IF(OR(K195="TL",K195="pTL",K195="STL"),0.75,0))),0),IF(M196="M",IF(OR(K196="lec",K196="plec",K196="slec"),1,IF(OR(K196="lab",K196="plab",K196="slab",K196="tut",K196="ptut",K196="stut"),0.5,IF(OR(K196="TL",K196="pTL",K196="STL"),0.75,0))),0),IF(M197="M",IF(OR(K197="lec",K197="plec",K197="slec"),1,IF(OR(K197="lab",K197="plab",K197="slab",K197="tut",K197="ptut",K197="stut"),0.5,IF(OR(K197="TL",K197="pTL",K197="STL"),0.75,0))),0),IF(M198="M",IF(OR(K198="lec",K198="plec",K198="slec"),1,IF(OR(K198="lab",K198="plab",K198="slab",K198="tut",K198="ptut",K198="stut"),0.5,IF(OR(K198="TL",K198="pTL",K198="STL"),0.75,0))),0),IF(M199="M",IF(OR(K199="lec",K199="plec",K199="slec"),1,IF(OR(K199="lab",K199="plab",K199="slab",K199="tut",K199="ptut",K199="stut"),0.5,IF(OR(K199="TL",K199="pTL",K199="STL"),0.75,0))),0),IF(M200="M",IF(OR(K200="lec",K200="plec",K200="slec"),1,IF(OR(K200="lab",K200="plab",K200="slab",K200="tut",K200="ptut",K200="stut"),0.5,IF(OR(K200="TL",K200="pTL",K200="STL"),0.75,0))),0),IF(M201="M",IF(OR(K201="lec",K201="plec",K201="slec"),1,IF(OR(K201="lab",K201="plab",K201="slab",K201="tut",K201="ptut",K201="stut"),0.5,IF(OR(K201="TL",K201="pTL",K201="STL"),0.75,0))),0),IF(M202="M",IF(OR(K202="lec",K202="plec",K202="slec"),1,IF(OR(K202="lab",K202="plab",K202="slab",K202="tut",K202="ptut",K202="stut"),0.5,IF(OR(K202="TL",K202="pTL",K202="STL"),0.75,0))),0),IF(M203="M",IF(OR(K203="lec",K203="plec",K203="slec"),1,IF(OR(K203="lab",K203="plab",K203="slab",K203="tut",K203="ptut",K203="stut"),0.5,IF(OR(K203="TL",K203="pTL",K203="STL"),0.75,0))),0),IF(M204="M",IF(OR(K204="lec",K204="plec",K204="slec"),1,IF(OR(K204="lab",K204="plab",K204="slab",K204="tut",K204="ptut",K204="stut"),0.5,IF(OR(K204="TL",K204="pTL",K204="STL"),0.75,0))),0),IF(M205="M",IF(OR(K205="lec",K205="plec",K205="slec"),1,IF(OR(K205="lab",K205="plab",K205="slab",K205="tut",K205="ptut",K205="stut"),0.5,IF(OR(K205="TL",K205="pTL",K205="STL"),0.75,0))),0))</f>
        <v>0</v>
      </c>
      <c r="U195" s="137"/>
      <c r="V195" s="133"/>
      <c r="W195" s="138"/>
      <c r="X195" s="139">
        <f>S195-(T195+U195+V195+W195)</f>
        <v>0</v>
      </c>
      <c r="Y195" s="134" t="str">
        <f>CONCATENATE(SUM(O195:O205),"(",SUM(O195:O205)-X195,")")</f>
        <v>0(0)</v>
      </c>
      <c r="Z195" s="140"/>
      <c r="AA195" s="141"/>
      <c r="AB195" s="142"/>
      <c r="AC195" s="142"/>
      <c r="AD195" s="142"/>
      <c r="AE195" s="142"/>
      <c r="AF195" s="142"/>
      <c r="AG195" s="142"/>
      <c r="AH195" s="142"/>
      <c r="AI195" s="143"/>
      <c r="AJ195" s="144"/>
      <c r="AK195" s="145"/>
      <c r="AL195" s="145"/>
      <c r="AM195" s="145"/>
      <c r="AN195" s="145"/>
      <c r="AO195" s="146"/>
      <c r="AP195" s="147">
        <f>SUM(SUM(O195:O205),SUM(AI195:AI205)/2,AM195)</f>
        <v>0</v>
      </c>
      <c r="AQ195" s="148"/>
      <c r="AR195" s="148">
        <f>AP195*AQ195</f>
        <v>0</v>
      </c>
      <c r="AS195" s="148">
        <f>CT195</f>
        <v>0</v>
      </c>
      <c r="AT195" s="149">
        <f>AR195*0.75+AS195*0.25</f>
        <v>0</v>
      </c>
      <c r="AU195" s="150"/>
      <c r="AV195" s="151"/>
      <c r="AW195" s="151"/>
      <c r="AX195" s="152"/>
      <c r="AY195" s="153"/>
      <c r="AZ195" s="140"/>
      <c r="BA195" s="150"/>
      <c r="BB195" s="151"/>
      <c r="BC195" s="151"/>
      <c r="BD195" s="151"/>
      <c r="BE195" s="151"/>
      <c r="BF195" s="151"/>
      <c r="BG195" s="151"/>
      <c r="BH195" s="151"/>
      <c r="BI195" s="152"/>
      <c r="BJ195" s="154"/>
      <c r="BK195" s="151"/>
      <c r="BL195" s="151"/>
      <c r="BM195" s="151"/>
      <c r="BN195" s="151"/>
      <c r="BO195" s="155"/>
      <c r="BP195" s="140"/>
      <c r="BQ195" s="156"/>
      <c r="BR195" s="157"/>
      <c r="BS195" s="158"/>
      <c r="BT195" s="153"/>
      <c r="BU195" s="140"/>
      <c r="BV195" s="140"/>
      <c r="BW195" s="140"/>
      <c r="BX195" s="140"/>
      <c r="BY195" s="140"/>
      <c r="BZ195" s="140"/>
      <c r="CA195" s="140"/>
      <c r="CB195" s="140"/>
      <c r="CC195" s="140"/>
      <c r="CD195" s="150"/>
      <c r="CE195" s="155"/>
      <c r="CF195" s="150"/>
      <c r="CG195" s="152"/>
      <c r="CH195" s="252"/>
      <c r="CI195" s="160"/>
      <c r="CJ195" s="159"/>
      <c r="CK195" s="160"/>
      <c r="CL195" s="159"/>
      <c r="CM195" s="160"/>
      <c r="CN195" s="159"/>
      <c r="CO195" s="160"/>
      <c r="CP195" s="159"/>
      <c r="CQ195" s="162"/>
      <c r="CR195" s="160"/>
      <c r="CS195" s="253">
        <f>SUM(IF(AU195&lt;0,ABS(AU195),0),IF(AZ195&lt;0,ABS(AZ195),0),ABS(CI195),ABS(CK195),ABS(CM195),ABS(CO195),ABS(CQ195),ABS(CR195))</f>
        <v>0</v>
      </c>
      <c r="CT195" s="254">
        <f>SUM(AU195,AV195,AW195,AX195/400,AY195,AZ195,BG195,BH195*0.5,BI195*0.25,BJ195,BK195,BL195,BM195,BN195,BO195,BP195,BR195/20,BS195/100,BT195/60,BU195,BV195,BW195,BX195/4,SUM(BY195:CC205)/3,CE195,CG195/3,CI195,CK195,CM195,CO195,CQ195,CR195)</f>
        <v>0</v>
      </c>
      <c r="CU195" s="255" t="str">
        <f t="shared" si="2"/>
        <v/>
      </c>
    </row>
    <row r="196" ht="60.0" hidden="1" customHeight="1">
      <c r="A196" s="65"/>
      <c r="C196" s="167"/>
      <c r="D196" s="205"/>
      <c r="E196" s="262"/>
      <c r="F196" s="170"/>
      <c r="G196" s="170"/>
      <c r="H196" s="170"/>
      <c r="I196" s="170"/>
      <c r="J196" s="170"/>
      <c r="K196" s="171"/>
      <c r="L196" s="171"/>
      <c r="M196" s="171"/>
      <c r="N196" s="209"/>
      <c r="O196" s="172">
        <f t="shared" si="36"/>
        <v>0</v>
      </c>
      <c r="P196" s="166"/>
      <c r="Q196" s="173"/>
      <c r="R196" s="65"/>
      <c r="S196" s="173"/>
      <c r="T196" s="173"/>
      <c r="U196" s="166"/>
      <c r="V196" s="166"/>
      <c r="W196" s="65"/>
      <c r="X196" s="66"/>
      <c r="Y196" s="173"/>
      <c r="Z196" s="166"/>
      <c r="AA196" s="174"/>
      <c r="AB196" s="175"/>
      <c r="AC196" s="175"/>
      <c r="AD196" s="175"/>
      <c r="AE196" s="175"/>
      <c r="AF196" s="175"/>
      <c r="AG196" s="175"/>
      <c r="AH196" s="175"/>
      <c r="AI196" s="176"/>
      <c r="AJ196" s="177"/>
      <c r="AK196" s="178"/>
      <c r="AL196" s="178"/>
      <c r="AM196" s="178"/>
      <c r="AN196" s="178"/>
      <c r="AO196" s="179"/>
      <c r="AP196" s="64"/>
      <c r="AQ196" s="65"/>
      <c r="AR196" s="65"/>
      <c r="AS196" s="65"/>
      <c r="AT196" s="173"/>
      <c r="AU196" s="177"/>
      <c r="AV196" s="178"/>
      <c r="AW196" s="178"/>
      <c r="AX196" s="179"/>
      <c r="AZ196" s="166"/>
      <c r="BA196" s="177"/>
      <c r="BB196" s="178"/>
      <c r="BC196" s="178"/>
      <c r="BD196" s="178"/>
      <c r="BE196" s="178"/>
      <c r="BF196" s="178"/>
      <c r="BG196" s="178"/>
      <c r="BH196" s="178"/>
      <c r="BI196" s="179"/>
      <c r="BJ196" s="180"/>
      <c r="BK196" s="178"/>
      <c r="BL196" s="178"/>
      <c r="BM196" s="178"/>
      <c r="BN196" s="178"/>
      <c r="BO196" s="181"/>
      <c r="BP196" s="166"/>
      <c r="BQ196" s="177"/>
      <c r="BR196" s="178"/>
      <c r="BS196" s="179"/>
      <c r="BU196" s="166"/>
      <c r="BV196" s="166"/>
      <c r="BW196" s="166"/>
      <c r="BX196" s="166"/>
      <c r="BY196" s="166"/>
      <c r="BZ196" s="166"/>
      <c r="CA196" s="166"/>
      <c r="CB196" s="166"/>
      <c r="CC196" s="166"/>
      <c r="CD196" s="177"/>
      <c r="CE196" s="181"/>
      <c r="CF196" s="177"/>
      <c r="CG196" s="179"/>
      <c r="CH196" s="257"/>
      <c r="CI196" s="182"/>
      <c r="CJ196" s="177"/>
      <c r="CK196" s="182"/>
      <c r="CL196" s="177"/>
      <c r="CM196" s="182"/>
      <c r="CN196" s="177"/>
      <c r="CO196" s="182"/>
      <c r="CP196" s="177"/>
      <c r="CQ196" s="178"/>
      <c r="CR196" s="182"/>
      <c r="CS196" s="173"/>
      <c r="CT196" s="65"/>
      <c r="CU196" s="255" t="str">
        <f t="shared" si="2"/>
        <v/>
      </c>
    </row>
    <row r="197" ht="60.0" hidden="1" customHeight="1">
      <c r="A197" s="65"/>
      <c r="C197" s="167"/>
      <c r="D197" s="205"/>
      <c r="E197" s="262"/>
      <c r="F197" s="170"/>
      <c r="G197" s="170"/>
      <c r="H197" s="170"/>
      <c r="I197" s="170"/>
      <c r="J197" s="170"/>
      <c r="K197" s="171"/>
      <c r="L197" s="171"/>
      <c r="M197" s="171"/>
      <c r="N197" s="209"/>
      <c r="O197" s="172">
        <f t="shared" si="36"/>
        <v>0</v>
      </c>
      <c r="P197" s="166"/>
      <c r="Q197" s="173"/>
      <c r="R197" s="65"/>
      <c r="S197" s="173"/>
      <c r="T197" s="173"/>
      <c r="U197" s="166"/>
      <c r="V197" s="166"/>
      <c r="W197" s="65"/>
      <c r="X197" s="66"/>
      <c r="Y197" s="173"/>
      <c r="Z197" s="166"/>
      <c r="AA197" s="174"/>
      <c r="AB197" s="175"/>
      <c r="AC197" s="175"/>
      <c r="AD197" s="175"/>
      <c r="AE197" s="175"/>
      <c r="AF197" s="175"/>
      <c r="AG197" s="175"/>
      <c r="AH197" s="175"/>
      <c r="AI197" s="176"/>
      <c r="AJ197" s="177"/>
      <c r="AK197" s="178"/>
      <c r="AL197" s="178"/>
      <c r="AM197" s="178"/>
      <c r="AN197" s="178"/>
      <c r="AO197" s="179"/>
      <c r="AP197" s="64"/>
      <c r="AQ197" s="65"/>
      <c r="AR197" s="65"/>
      <c r="AS197" s="65"/>
      <c r="AT197" s="173"/>
      <c r="AU197" s="177"/>
      <c r="AV197" s="178"/>
      <c r="AW197" s="178"/>
      <c r="AX197" s="179"/>
      <c r="AZ197" s="166"/>
      <c r="BA197" s="177"/>
      <c r="BB197" s="178"/>
      <c r="BC197" s="178"/>
      <c r="BD197" s="178"/>
      <c r="BE197" s="178"/>
      <c r="BF197" s="178"/>
      <c r="BG197" s="178"/>
      <c r="BH197" s="178"/>
      <c r="BI197" s="179"/>
      <c r="BJ197" s="180"/>
      <c r="BK197" s="178"/>
      <c r="BL197" s="178"/>
      <c r="BM197" s="178"/>
      <c r="BN197" s="178"/>
      <c r="BO197" s="181"/>
      <c r="BP197" s="166"/>
      <c r="BQ197" s="177"/>
      <c r="BR197" s="178"/>
      <c r="BS197" s="179"/>
      <c r="BU197" s="166"/>
      <c r="BV197" s="166"/>
      <c r="BW197" s="166"/>
      <c r="BX197" s="166"/>
      <c r="BY197" s="166"/>
      <c r="BZ197" s="166"/>
      <c r="CA197" s="166"/>
      <c r="CB197" s="166"/>
      <c r="CC197" s="166"/>
      <c r="CD197" s="177"/>
      <c r="CE197" s="181"/>
      <c r="CF197" s="177"/>
      <c r="CG197" s="179"/>
      <c r="CH197" s="257"/>
      <c r="CI197" s="182"/>
      <c r="CJ197" s="177"/>
      <c r="CK197" s="182"/>
      <c r="CL197" s="177"/>
      <c r="CM197" s="182"/>
      <c r="CN197" s="177"/>
      <c r="CO197" s="182"/>
      <c r="CP197" s="177"/>
      <c r="CQ197" s="178"/>
      <c r="CR197" s="182"/>
      <c r="CS197" s="173"/>
      <c r="CT197" s="65"/>
      <c r="CU197" s="255" t="str">
        <f t="shared" si="2"/>
        <v/>
      </c>
    </row>
    <row r="198" ht="60.0" hidden="1" customHeight="1">
      <c r="A198" s="65"/>
      <c r="C198" s="167"/>
      <c r="D198" s="205"/>
      <c r="E198" s="262"/>
      <c r="F198" s="170"/>
      <c r="G198" s="170"/>
      <c r="H198" s="170"/>
      <c r="I198" s="170"/>
      <c r="J198" s="170"/>
      <c r="K198" s="171"/>
      <c r="L198" s="171"/>
      <c r="M198" s="171"/>
      <c r="N198" s="209"/>
      <c r="O198" s="172">
        <f t="shared" si="36"/>
        <v>0</v>
      </c>
      <c r="P198" s="166"/>
      <c r="Q198" s="173"/>
      <c r="R198" s="65"/>
      <c r="S198" s="173"/>
      <c r="T198" s="173"/>
      <c r="U198" s="166"/>
      <c r="V198" s="166"/>
      <c r="W198" s="65"/>
      <c r="X198" s="66"/>
      <c r="Y198" s="173"/>
      <c r="Z198" s="166"/>
      <c r="AA198" s="174"/>
      <c r="AB198" s="175"/>
      <c r="AC198" s="175"/>
      <c r="AD198" s="175"/>
      <c r="AE198" s="175"/>
      <c r="AF198" s="175"/>
      <c r="AG198" s="175"/>
      <c r="AH198" s="175"/>
      <c r="AI198" s="176"/>
      <c r="AJ198" s="177"/>
      <c r="AK198" s="178"/>
      <c r="AL198" s="178"/>
      <c r="AM198" s="178"/>
      <c r="AN198" s="178"/>
      <c r="AO198" s="179"/>
      <c r="AP198" s="64"/>
      <c r="AQ198" s="65"/>
      <c r="AR198" s="65"/>
      <c r="AS198" s="65"/>
      <c r="AT198" s="173"/>
      <c r="AU198" s="177"/>
      <c r="AV198" s="178"/>
      <c r="AW198" s="178"/>
      <c r="AX198" s="179"/>
      <c r="AZ198" s="166"/>
      <c r="BA198" s="177"/>
      <c r="BB198" s="178"/>
      <c r="BC198" s="178"/>
      <c r="BD198" s="178"/>
      <c r="BE198" s="178"/>
      <c r="BF198" s="178"/>
      <c r="BG198" s="178"/>
      <c r="BH198" s="178"/>
      <c r="BI198" s="179"/>
      <c r="BJ198" s="180"/>
      <c r="BK198" s="178"/>
      <c r="BL198" s="178"/>
      <c r="BM198" s="178"/>
      <c r="BN198" s="178"/>
      <c r="BO198" s="181"/>
      <c r="BP198" s="166"/>
      <c r="BQ198" s="177"/>
      <c r="BR198" s="178"/>
      <c r="BS198" s="179"/>
      <c r="BU198" s="166"/>
      <c r="BV198" s="166"/>
      <c r="BW198" s="166"/>
      <c r="BX198" s="166"/>
      <c r="BY198" s="166"/>
      <c r="BZ198" s="166"/>
      <c r="CA198" s="166"/>
      <c r="CB198" s="166"/>
      <c r="CC198" s="166"/>
      <c r="CD198" s="177"/>
      <c r="CE198" s="181"/>
      <c r="CF198" s="177"/>
      <c r="CG198" s="179"/>
      <c r="CH198" s="257"/>
      <c r="CI198" s="182"/>
      <c r="CJ198" s="177"/>
      <c r="CK198" s="182"/>
      <c r="CL198" s="177"/>
      <c r="CM198" s="182"/>
      <c r="CN198" s="177"/>
      <c r="CO198" s="182"/>
      <c r="CP198" s="177"/>
      <c r="CQ198" s="178"/>
      <c r="CR198" s="182"/>
      <c r="CS198" s="173"/>
      <c r="CT198" s="65"/>
      <c r="CU198" s="255" t="str">
        <f t="shared" si="2"/>
        <v/>
      </c>
    </row>
    <row r="199" ht="60.0" hidden="1" customHeight="1">
      <c r="A199" s="65"/>
      <c r="C199" s="167"/>
      <c r="D199" s="205"/>
      <c r="E199" s="262"/>
      <c r="F199" s="170"/>
      <c r="G199" s="170"/>
      <c r="H199" s="170"/>
      <c r="I199" s="170"/>
      <c r="J199" s="170"/>
      <c r="K199" s="171"/>
      <c r="L199" s="171"/>
      <c r="M199" s="171"/>
      <c r="N199" s="209"/>
      <c r="O199" s="172">
        <f t="shared" si="36"/>
        <v>0</v>
      </c>
      <c r="P199" s="166"/>
      <c r="Q199" s="173"/>
      <c r="R199" s="65"/>
      <c r="S199" s="173"/>
      <c r="T199" s="173"/>
      <c r="U199" s="166"/>
      <c r="V199" s="166"/>
      <c r="W199" s="65"/>
      <c r="X199" s="66"/>
      <c r="Y199" s="173"/>
      <c r="Z199" s="166"/>
      <c r="AA199" s="174"/>
      <c r="AB199" s="175"/>
      <c r="AC199" s="175"/>
      <c r="AD199" s="175"/>
      <c r="AE199" s="175"/>
      <c r="AF199" s="175"/>
      <c r="AG199" s="175"/>
      <c r="AH199" s="175"/>
      <c r="AI199" s="176"/>
      <c r="AJ199" s="177"/>
      <c r="AK199" s="178"/>
      <c r="AL199" s="178"/>
      <c r="AM199" s="178"/>
      <c r="AN199" s="178"/>
      <c r="AO199" s="179"/>
      <c r="AP199" s="64"/>
      <c r="AQ199" s="65"/>
      <c r="AR199" s="65"/>
      <c r="AS199" s="65"/>
      <c r="AT199" s="173"/>
      <c r="AU199" s="177"/>
      <c r="AV199" s="178"/>
      <c r="AW199" s="178"/>
      <c r="AX199" s="179"/>
      <c r="AZ199" s="166"/>
      <c r="BA199" s="177"/>
      <c r="BB199" s="178"/>
      <c r="BC199" s="178"/>
      <c r="BD199" s="178"/>
      <c r="BE199" s="178"/>
      <c r="BF199" s="178"/>
      <c r="BG199" s="178"/>
      <c r="BH199" s="178"/>
      <c r="BI199" s="179"/>
      <c r="BJ199" s="180"/>
      <c r="BK199" s="178"/>
      <c r="BL199" s="178"/>
      <c r="BM199" s="178"/>
      <c r="BN199" s="178"/>
      <c r="BO199" s="181"/>
      <c r="BP199" s="166"/>
      <c r="BQ199" s="177"/>
      <c r="BR199" s="178"/>
      <c r="BS199" s="179"/>
      <c r="BU199" s="166"/>
      <c r="BV199" s="166"/>
      <c r="BW199" s="166"/>
      <c r="BX199" s="166"/>
      <c r="BY199" s="166"/>
      <c r="BZ199" s="166"/>
      <c r="CA199" s="166"/>
      <c r="CB199" s="166"/>
      <c r="CC199" s="166"/>
      <c r="CD199" s="177"/>
      <c r="CE199" s="181"/>
      <c r="CF199" s="177"/>
      <c r="CG199" s="179"/>
      <c r="CH199" s="257"/>
      <c r="CI199" s="182"/>
      <c r="CJ199" s="177"/>
      <c r="CK199" s="182"/>
      <c r="CL199" s="177"/>
      <c r="CM199" s="182"/>
      <c r="CN199" s="177"/>
      <c r="CO199" s="182"/>
      <c r="CP199" s="177"/>
      <c r="CQ199" s="178"/>
      <c r="CR199" s="182"/>
      <c r="CS199" s="173"/>
      <c r="CT199" s="65"/>
      <c r="CU199" s="255" t="str">
        <f t="shared" si="2"/>
        <v/>
      </c>
    </row>
    <row r="200" ht="60.0" hidden="1" customHeight="1">
      <c r="A200" s="65"/>
      <c r="C200" s="167"/>
      <c r="D200" s="205"/>
      <c r="E200" s="262"/>
      <c r="F200" s="170"/>
      <c r="G200" s="170"/>
      <c r="H200" s="170"/>
      <c r="I200" s="170"/>
      <c r="J200" s="170"/>
      <c r="K200" s="171"/>
      <c r="L200" s="171"/>
      <c r="M200" s="171"/>
      <c r="N200" s="209"/>
      <c r="O200" s="172">
        <f t="shared" si="36"/>
        <v>0</v>
      </c>
      <c r="P200" s="166"/>
      <c r="Q200" s="173"/>
      <c r="R200" s="65"/>
      <c r="S200" s="173"/>
      <c r="T200" s="173"/>
      <c r="U200" s="166"/>
      <c r="V200" s="166"/>
      <c r="W200" s="65"/>
      <c r="X200" s="66"/>
      <c r="Y200" s="173"/>
      <c r="Z200" s="166"/>
      <c r="AA200" s="174"/>
      <c r="AB200" s="175"/>
      <c r="AC200" s="175"/>
      <c r="AD200" s="175"/>
      <c r="AE200" s="175"/>
      <c r="AF200" s="175"/>
      <c r="AG200" s="175"/>
      <c r="AH200" s="175"/>
      <c r="AI200" s="176"/>
      <c r="AJ200" s="177"/>
      <c r="AK200" s="178"/>
      <c r="AL200" s="178"/>
      <c r="AM200" s="178"/>
      <c r="AN200" s="178"/>
      <c r="AO200" s="179"/>
      <c r="AP200" s="64"/>
      <c r="AQ200" s="65"/>
      <c r="AR200" s="65"/>
      <c r="AS200" s="65"/>
      <c r="AT200" s="173"/>
      <c r="AU200" s="177"/>
      <c r="AV200" s="178"/>
      <c r="AW200" s="178"/>
      <c r="AX200" s="179"/>
      <c r="AZ200" s="166"/>
      <c r="BA200" s="177"/>
      <c r="BB200" s="178"/>
      <c r="BC200" s="178"/>
      <c r="BD200" s="178"/>
      <c r="BE200" s="178"/>
      <c r="BF200" s="178"/>
      <c r="BG200" s="178"/>
      <c r="BH200" s="178"/>
      <c r="BI200" s="179"/>
      <c r="BJ200" s="180"/>
      <c r="BK200" s="178"/>
      <c r="BL200" s="178"/>
      <c r="BM200" s="178"/>
      <c r="BN200" s="178"/>
      <c r="BO200" s="181"/>
      <c r="BP200" s="166"/>
      <c r="BQ200" s="177"/>
      <c r="BR200" s="178"/>
      <c r="BS200" s="179"/>
      <c r="BU200" s="166"/>
      <c r="BV200" s="166"/>
      <c r="BW200" s="166"/>
      <c r="BX200" s="166"/>
      <c r="BY200" s="166"/>
      <c r="BZ200" s="166"/>
      <c r="CA200" s="166"/>
      <c r="CB200" s="166"/>
      <c r="CC200" s="166"/>
      <c r="CD200" s="177"/>
      <c r="CE200" s="181"/>
      <c r="CF200" s="177"/>
      <c r="CG200" s="179"/>
      <c r="CH200" s="257"/>
      <c r="CI200" s="182"/>
      <c r="CJ200" s="177"/>
      <c r="CK200" s="182"/>
      <c r="CL200" s="177"/>
      <c r="CM200" s="182"/>
      <c r="CN200" s="177"/>
      <c r="CO200" s="182"/>
      <c r="CP200" s="177"/>
      <c r="CQ200" s="178"/>
      <c r="CR200" s="182"/>
      <c r="CS200" s="173"/>
      <c r="CT200" s="65"/>
      <c r="CU200" s="255" t="str">
        <f t="shared" si="2"/>
        <v/>
      </c>
    </row>
    <row r="201" ht="60.0" hidden="1" customHeight="1">
      <c r="A201" s="65"/>
      <c r="C201" s="167"/>
      <c r="D201" s="205"/>
      <c r="E201" s="262"/>
      <c r="F201" s="170"/>
      <c r="G201" s="170"/>
      <c r="H201" s="170"/>
      <c r="I201" s="170"/>
      <c r="J201" s="170"/>
      <c r="K201" s="171"/>
      <c r="L201" s="171"/>
      <c r="M201" s="171"/>
      <c r="N201" s="209"/>
      <c r="O201" s="172">
        <f t="shared" ref="O201:O204" si="37">IF(AND(M201&gt;=20,M201&lt;&gt;"m",RIGHT(K201,3)="Lec"),1,IF(AND(M201&gt;=20,M201&lt;&gt;"m",OR(RIGHT(K201,3)="Lab",RIGHT(K201,3)="Tut")),0.5,IF(AND(M201&gt;=20,M201&lt;&gt;"m",RIGHT(K201,2)="TL"),0.75,0)))</f>
        <v>0</v>
      </c>
      <c r="P201" s="166"/>
      <c r="Q201" s="173"/>
      <c r="R201" s="65"/>
      <c r="S201" s="173"/>
      <c r="T201" s="173"/>
      <c r="U201" s="166"/>
      <c r="V201" s="166"/>
      <c r="W201" s="65"/>
      <c r="X201" s="66"/>
      <c r="Y201" s="173"/>
      <c r="Z201" s="166"/>
      <c r="AA201" s="174"/>
      <c r="AB201" s="175"/>
      <c r="AC201" s="175"/>
      <c r="AD201" s="175"/>
      <c r="AE201" s="175"/>
      <c r="AF201" s="175"/>
      <c r="AG201" s="175"/>
      <c r="AH201" s="175"/>
      <c r="AI201" s="176"/>
      <c r="AJ201" s="177"/>
      <c r="AK201" s="178"/>
      <c r="AL201" s="178"/>
      <c r="AM201" s="178"/>
      <c r="AN201" s="178"/>
      <c r="AO201" s="179"/>
      <c r="AP201" s="64"/>
      <c r="AQ201" s="65"/>
      <c r="AR201" s="65"/>
      <c r="AS201" s="65"/>
      <c r="AT201" s="173"/>
      <c r="AU201" s="177"/>
      <c r="AV201" s="178"/>
      <c r="AW201" s="178"/>
      <c r="AX201" s="179"/>
      <c r="AZ201" s="166"/>
      <c r="BA201" s="177"/>
      <c r="BB201" s="178"/>
      <c r="BC201" s="178"/>
      <c r="BD201" s="178"/>
      <c r="BE201" s="178"/>
      <c r="BF201" s="178"/>
      <c r="BG201" s="178"/>
      <c r="BH201" s="178"/>
      <c r="BI201" s="179"/>
      <c r="BJ201" s="180"/>
      <c r="BK201" s="178"/>
      <c r="BL201" s="178"/>
      <c r="BM201" s="178"/>
      <c r="BN201" s="178"/>
      <c r="BO201" s="181"/>
      <c r="BP201" s="166"/>
      <c r="BQ201" s="177"/>
      <c r="BR201" s="178"/>
      <c r="BS201" s="179"/>
      <c r="BU201" s="166"/>
      <c r="BV201" s="166"/>
      <c r="BW201" s="166"/>
      <c r="BX201" s="166"/>
      <c r="BY201" s="166"/>
      <c r="BZ201" s="166"/>
      <c r="CA201" s="166"/>
      <c r="CB201" s="166"/>
      <c r="CC201" s="166"/>
      <c r="CD201" s="177"/>
      <c r="CE201" s="181"/>
      <c r="CF201" s="177"/>
      <c r="CG201" s="179"/>
      <c r="CH201" s="257"/>
      <c r="CI201" s="182"/>
      <c r="CJ201" s="177"/>
      <c r="CK201" s="182"/>
      <c r="CL201" s="177"/>
      <c r="CM201" s="182"/>
      <c r="CN201" s="177"/>
      <c r="CO201" s="182"/>
      <c r="CP201" s="177"/>
      <c r="CQ201" s="178"/>
      <c r="CR201" s="182"/>
      <c r="CS201" s="173"/>
      <c r="CT201" s="65"/>
      <c r="CU201" s="255" t="str">
        <f t="shared" si="2"/>
        <v/>
      </c>
    </row>
    <row r="202" ht="60.0" hidden="1" customHeight="1">
      <c r="A202" s="65"/>
      <c r="C202" s="167"/>
      <c r="D202" s="205"/>
      <c r="E202" s="262"/>
      <c r="F202" s="170"/>
      <c r="G202" s="170"/>
      <c r="H202" s="170"/>
      <c r="I202" s="170"/>
      <c r="J202" s="170"/>
      <c r="K202" s="171"/>
      <c r="L202" s="171"/>
      <c r="M202" s="171"/>
      <c r="N202" s="209"/>
      <c r="O202" s="172">
        <f t="shared" si="37"/>
        <v>0</v>
      </c>
      <c r="P202" s="166"/>
      <c r="Q202" s="173"/>
      <c r="R202" s="65"/>
      <c r="S202" s="173"/>
      <c r="T202" s="173"/>
      <c r="U202" s="166"/>
      <c r="V202" s="166"/>
      <c r="W202" s="65"/>
      <c r="X202" s="66"/>
      <c r="Y202" s="173"/>
      <c r="Z202" s="166"/>
      <c r="AA202" s="174"/>
      <c r="AB202" s="175"/>
      <c r="AC202" s="175"/>
      <c r="AD202" s="175"/>
      <c r="AE202" s="175"/>
      <c r="AF202" s="175"/>
      <c r="AG202" s="175"/>
      <c r="AH202" s="175"/>
      <c r="AI202" s="176"/>
      <c r="AJ202" s="177"/>
      <c r="AK202" s="178"/>
      <c r="AL202" s="178"/>
      <c r="AM202" s="178"/>
      <c r="AN202" s="178"/>
      <c r="AO202" s="179"/>
      <c r="AP202" s="64"/>
      <c r="AQ202" s="65"/>
      <c r="AR202" s="65"/>
      <c r="AS202" s="65"/>
      <c r="AT202" s="173"/>
      <c r="AU202" s="177"/>
      <c r="AV202" s="178"/>
      <c r="AW202" s="178"/>
      <c r="AX202" s="179"/>
      <c r="AZ202" s="166"/>
      <c r="BA202" s="177"/>
      <c r="BB202" s="178"/>
      <c r="BC202" s="178"/>
      <c r="BD202" s="178"/>
      <c r="BE202" s="178"/>
      <c r="BF202" s="178"/>
      <c r="BG202" s="178"/>
      <c r="BH202" s="178"/>
      <c r="BI202" s="179"/>
      <c r="BJ202" s="180"/>
      <c r="BK202" s="178"/>
      <c r="BL202" s="178"/>
      <c r="BM202" s="178"/>
      <c r="BN202" s="178"/>
      <c r="BO202" s="181"/>
      <c r="BP202" s="166"/>
      <c r="BQ202" s="177"/>
      <c r="BR202" s="178"/>
      <c r="BS202" s="179"/>
      <c r="BU202" s="166"/>
      <c r="BV202" s="166"/>
      <c r="BW202" s="166"/>
      <c r="BX202" s="166"/>
      <c r="BY202" s="166"/>
      <c r="BZ202" s="166"/>
      <c r="CA202" s="166"/>
      <c r="CB202" s="166"/>
      <c r="CC202" s="166"/>
      <c r="CD202" s="177"/>
      <c r="CE202" s="181"/>
      <c r="CF202" s="177"/>
      <c r="CG202" s="179"/>
      <c r="CH202" s="257"/>
      <c r="CI202" s="182"/>
      <c r="CJ202" s="177"/>
      <c r="CK202" s="182"/>
      <c r="CL202" s="177"/>
      <c r="CM202" s="182"/>
      <c r="CN202" s="177"/>
      <c r="CO202" s="182"/>
      <c r="CP202" s="177"/>
      <c r="CQ202" s="178"/>
      <c r="CR202" s="182"/>
      <c r="CS202" s="173"/>
      <c r="CT202" s="65"/>
      <c r="CU202" s="255" t="str">
        <f t="shared" si="2"/>
        <v/>
      </c>
    </row>
    <row r="203" ht="60.0" hidden="1" customHeight="1">
      <c r="A203" s="65"/>
      <c r="C203" s="167"/>
      <c r="D203" s="205"/>
      <c r="E203" s="262"/>
      <c r="F203" s="170"/>
      <c r="G203" s="170"/>
      <c r="H203" s="170"/>
      <c r="I203" s="170"/>
      <c r="J203" s="170"/>
      <c r="K203" s="171"/>
      <c r="L203" s="171"/>
      <c r="M203" s="171"/>
      <c r="N203" s="209"/>
      <c r="O203" s="172">
        <f t="shared" si="37"/>
        <v>0</v>
      </c>
      <c r="P203" s="166"/>
      <c r="Q203" s="173"/>
      <c r="R203" s="65"/>
      <c r="S203" s="173"/>
      <c r="T203" s="173"/>
      <c r="U203" s="166"/>
      <c r="V203" s="166"/>
      <c r="W203" s="65"/>
      <c r="X203" s="66"/>
      <c r="Y203" s="173"/>
      <c r="Z203" s="166"/>
      <c r="AA203" s="174"/>
      <c r="AB203" s="175"/>
      <c r="AC203" s="175"/>
      <c r="AD203" s="175"/>
      <c r="AE203" s="175"/>
      <c r="AF203" s="175"/>
      <c r="AG203" s="175"/>
      <c r="AH203" s="175"/>
      <c r="AI203" s="176"/>
      <c r="AJ203" s="177"/>
      <c r="AK203" s="178"/>
      <c r="AL203" s="178"/>
      <c r="AM203" s="178"/>
      <c r="AN203" s="178"/>
      <c r="AO203" s="179"/>
      <c r="AP203" s="64"/>
      <c r="AQ203" s="65"/>
      <c r="AR203" s="65"/>
      <c r="AS203" s="65"/>
      <c r="AT203" s="173"/>
      <c r="AU203" s="177"/>
      <c r="AV203" s="178"/>
      <c r="AW203" s="178"/>
      <c r="AX203" s="179"/>
      <c r="AZ203" s="166"/>
      <c r="BA203" s="177"/>
      <c r="BB203" s="178"/>
      <c r="BC203" s="178"/>
      <c r="BD203" s="178"/>
      <c r="BE203" s="178"/>
      <c r="BF203" s="178"/>
      <c r="BG203" s="178"/>
      <c r="BH203" s="178"/>
      <c r="BI203" s="179"/>
      <c r="BJ203" s="180"/>
      <c r="BK203" s="178"/>
      <c r="BL203" s="178"/>
      <c r="BM203" s="178"/>
      <c r="BN203" s="178"/>
      <c r="BO203" s="181"/>
      <c r="BP203" s="166"/>
      <c r="BQ203" s="177"/>
      <c r="BR203" s="178"/>
      <c r="BS203" s="179"/>
      <c r="BU203" s="166"/>
      <c r="BV203" s="166"/>
      <c r="BW203" s="166"/>
      <c r="BX203" s="166"/>
      <c r="BY203" s="166"/>
      <c r="BZ203" s="166"/>
      <c r="CA203" s="166"/>
      <c r="CB203" s="166"/>
      <c r="CC203" s="166"/>
      <c r="CD203" s="177"/>
      <c r="CE203" s="181"/>
      <c r="CF203" s="177"/>
      <c r="CG203" s="179"/>
      <c r="CH203" s="257"/>
      <c r="CI203" s="182"/>
      <c r="CJ203" s="177"/>
      <c r="CK203" s="182"/>
      <c r="CL203" s="177"/>
      <c r="CM203" s="182"/>
      <c r="CN203" s="177"/>
      <c r="CO203" s="182"/>
      <c r="CP203" s="177"/>
      <c r="CQ203" s="178"/>
      <c r="CR203" s="182"/>
      <c r="CS203" s="173"/>
      <c r="CT203" s="65"/>
      <c r="CU203" s="255" t="str">
        <f t="shared" si="2"/>
        <v/>
      </c>
    </row>
    <row r="204" ht="60.0" hidden="1" customHeight="1">
      <c r="A204" s="65"/>
      <c r="C204" s="167"/>
      <c r="D204" s="205"/>
      <c r="E204" s="262"/>
      <c r="F204" s="170"/>
      <c r="G204" s="170"/>
      <c r="H204" s="170"/>
      <c r="I204" s="170"/>
      <c r="J204" s="170"/>
      <c r="K204" s="171"/>
      <c r="L204" s="171"/>
      <c r="M204" s="171"/>
      <c r="N204" s="209"/>
      <c r="O204" s="172">
        <f t="shared" si="37"/>
        <v>0</v>
      </c>
      <c r="P204" s="166"/>
      <c r="Q204" s="173"/>
      <c r="R204" s="65"/>
      <c r="S204" s="173"/>
      <c r="T204" s="173"/>
      <c r="U204" s="166"/>
      <c r="V204" s="166"/>
      <c r="W204" s="65"/>
      <c r="X204" s="66"/>
      <c r="Y204" s="173"/>
      <c r="Z204" s="166"/>
      <c r="AA204" s="174"/>
      <c r="AB204" s="175"/>
      <c r="AC204" s="175"/>
      <c r="AD204" s="175"/>
      <c r="AE204" s="175"/>
      <c r="AF204" s="175"/>
      <c r="AG204" s="175"/>
      <c r="AH204" s="175"/>
      <c r="AI204" s="176"/>
      <c r="AJ204" s="177"/>
      <c r="AK204" s="178"/>
      <c r="AL204" s="178"/>
      <c r="AM204" s="178"/>
      <c r="AN204" s="178"/>
      <c r="AO204" s="179"/>
      <c r="AP204" s="64"/>
      <c r="AQ204" s="65"/>
      <c r="AR204" s="65"/>
      <c r="AS204" s="65"/>
      <c r="AT204" s="173"/>
      <c r="AU204" s="177"/>
      <c r="AV204" s="178"/>
      <c r="AW204" s="178"/>
      <c r="AX204" s="179"/>
      <c r="AZ204" s="166"/>
      <c r="BA204" s="177"/>
      <c r="BB204" s="178"/>
      <c r="BC204" s="178"/>
      <c r="BD204" s="178"/>
      <c r="BE204" s="178"/>
      <c r="BF204" s="178"/>
      <c r="BG204" s="178"/>
      <c r="BH204" s="178"/>
      <c r="BI204" s="179"/>
      <c r="BJ204" s="180"/>
      <c r="BK204" s="178"/>
      <c r="BL204" s="178"/>
      <c r="BM204" s="178"/>
      <c r="BN204" s="178"/>
      <c r="BO204" s="181"/>
      <c r="BP204" s="166"/>
      <c r="BQ204" s="177"/>
      <c r="BR204" s="178"/>
      <c r="BS204" s="179"/>
      <c r="BU204" s="166"/>
      <c r="BV204" s="166"/>
      <c r="BW204" s="166"/>
      <c r="BX204" s="166"/>
      <c r="BY204" s="166"/>
      <c r="BZ204" s="166"/>
      <c r="CA204" s="166"/>
      <c r="CB204" s="166"/>
      <c r="CC204" s="166"/>
      <c r="CD204" s="177"/>
      <c r="CE204" s="181"/>
      <c r="CF204" s="177"/>
      <c r="CG204" s="179"/>
      <c r="CH204" s="257"/>
      <c r="CI204" s="182"/>
      <c r="CJ204" s="177"/>
      <c r="CK204" s="182"/>
      <c r="CL204" s="177"/>
      <c r="CM204" s="182"/>
      <c r="CN204" s="177"/>
      <c r="CO204" s="182"/>
      <c r="CP204" s="177"/>
      <c r="CQ204" s="178"/>
      <c r="CR204" s="182"/>
      <c r="CS204" s="173"/>
      <c r="CT204" s="65"/>
      <c r="CU204" s="255" t="str">
        <f t="shared" si="2"/>
        <v/>
      </c>
    </row>
    <row r="205" ht="60.0" hidden="1" customHeight="1">
      <c r="A205" s="89"/>
      <c r="B205" s="6"/>
      <c r="C205" s="183"/>
      <c r="D205" s="210"/>
      <c r="E205" s="263"/>
      <c r="F205" s="186"/>
      <c r="G205" s="186"/>
      <c r="H205" s="186"/>
      <c r="I205" s="186"/>
      <c r="J205" s="186"/>
      <c r="K205" s="187"/>
      <c r="L205" s="187"/>
      <c r="M205" s="187"/>
      <c r="N205" s="214"/>
      <c r="O205" s="188">
        <f t="shared" ref="O205:O211" si="38">IF(AND(M205&lt;&gt;0,M205&lt;&gt;"m",M205&lt;&gt;"",RIGHT(K205,3)="Lec"),1,IF(AND(M205&lt;&gt;0,M205&lt;&gt;"m",M205&lt;&gt;"",OR(RIGHT(K205,3)="Lab",RIGHT(K205,3)="Tut")),0.5,IF(AND(M205&lt;&gt;0,M205&lt;&gt;"m",M205&lt;&gt;"",RIGHT(K205,2)="TL"),0.75,0)))</f>
        <v>0</v>
      </c>
      <c r="P205" s="63"/>
      <c r="Q205" s="69"/>
      <c r="R205" s="89"/>
      <c r="S205" s="69"/>
      <c r="T205" s="69"/>
      <c r="U205" s="63"/>
      <c r="V205" s="63"/>
      <c r="W205" s="89"/>
      <c r="X205" s="68"/>
      <c r="Y205" s="69"/>
      <c r="Z205" s="63"/>
      <c r="AA205" s="189"/>
      <c r="AB205" s="190"/>
      <c r="AC205" s="190"/>
      <c r="AD205" s="190"/>
      <c r="AE205" s="190"/>
      <c r="AF205" s="190"/>
      <c r="AG205" s="190"/>
      <c r="AH205" s="190"/>
      <c r="AI205" s="191"/>
      <c r="AJ205" s="192"/>
      <c r="AK205" s="193"/>
      <c r="AL205" s="193"/>
      <c r="AM205" s="193"/>
      <c r="AN205" s="193"/>
      <c r="AO205" s="194"/>
      <c r="AP205" s="103"/>
      <c r="AQ205" s="89"/>
      <c r="AR205" s="89"/>
      <c r="AS205" s="89"/>
      <c r="AT205" s="69"/>
      <c r="AU205" s="192"/>
      <c r="AV205" s="193"/>
      <c r="AW205" s="193"/>
      <c r="AX205" s="194"/>
      <c r="AY205" s="6"/>
      <c r="AZ205" s="63"/>
      <c r="BA205" s="192"/>
      <c r="BB205" s="193"/>
      <c r="BC205" s="193"/>
      <c r="BD205" s="193"/>
      <c r="BE205" s="193"/>
      <c r="BF205" s="193"/>
      <c r="BG205" s="193"/>
      <c r="BH205" s="193"/>
      <c r="BI205" s="194"/>
      <c r="BJ205" s="195"/>
      <c r="BK205" s="193"/>
      <c r="BL205" s="193"/>
      <c r="BM205" s="193"/>
      <c r="BN205" s="193"/>
      <c r="BO205" s="196"/>
      <c r="BP205" s="63"/>
      <c r="BQ205" s="192"/>
      <c r="BR205" s="193"/>
      <c r="BS205" s="194"/>
      <c r="BT205" s="6"/>
      <c r="BU205" s="63"/>
      <c r="BV205" s="63"/>
      <c r="BW205" s="63"/>
      <c r="BX205" s="63"/>
      <c r="BY205" s="63"/>
      <c r="BZ205" s="63"/>
      <c r="CA205" s="63"/>
      <c r="CB205" s="63"/>
      <c r="CC205" s="63"/>
      <c r="CD205" s="192"/>
      <c r="CE205" s="196"/>
      <c r="CF205" s="192"/>
      <c r="CG205" s="194"/>
      <c r="CH205" s="259"/>
      <c r="CI205" s="197"/>
      <c r="CJ205" s="192"/>
      <c r="CK205" s="197"/>
      <c r="CL205" s="192"/>
      <c r="CM205" s="197"/>
      <c r="CN205" s="192"/>
      <c r="CO205" s="197"/>
      <c r="CP205" s="192"/>
      <c r="CQ205" s="193"/>
      <c r="CR205" s="197"/>
      <c r="CS205" s="69"/>
      <c r="CT205" s="89"/>
      <c r="CU205" s="255" t="str">
        <f t="shared" si="2"/>
        <v/>
      </c>
    </row>
    <row r="206" ht="56.25" hidden="1" customHeight="1">
      <c r="A206" s="125">
        <v>19.0</v>
      </c>
      <c r="B206" s="199"/>
      <c r="C206" s="127"/>
      <c r="D206" s="128"/>
      <c r="E206" s="260"/>
      <c r="F206" s="261"/>
      <c r="G206" s="261"/>
      <c r="H206" s="261"/>
      <c r="I206" s="261"/>
      <c r="J206" s="170"/>
      <c r="K206" s="219"/>
      <c r="L206" s="219"/>
      <c r="M206" s="219"/>
      <c r="N206" s="220"/>
      <c r="O206" s="132">
        <f t="shared" si="38"/>
        <v>0</v>
      </c>
      <c r="P206" s="133">
        <f>COUNTIF(K206:K216,"TL")*0.75+COUNTIF(K206:K216,"Lec")*1+COUNTIF(K206:K216,"Lab")*0.5</f>
        <v>0</v>
      </c>
      <c r="Q206" s="134">
        <f>SUM((IF(LEFT(K206,1)="E",O206,0)),(IF(LEFT(K207,1)="E",O207,0)),(IF(LEFT(K208,1)="E",O208,0)),(IF(LEFT(K209,1)="E",O209,0)),(IF(LEFT(K210,1)="E",O210,0)),(IF(LEFT(K211,1)="E",O211,0)),(IF(LEFT(K212,1)="E",O212,0)),(IF(LEFT(K213,1)="E",O213,0)),(IF(LEFT(K214,1)="E",O214,0)),(IF(LEFT(K215,1)="E",O215,0)),(IF(LEFT(K216,1)="E",O216,0)))</f>
        <v>0</v>
      </c>
      <c r="R206" s="135">
        <f>SUM(IF(M212&lt;20,IF(K212="Plec",-1,IF(K212="PTL",-0.75,IF(K212="Plab",-0.5,0))),0),IF(M213&lt;20,IF(K213="Plec",-1,IF(K213="PTL",-0.75,IF(K213="Plab",-0.5,0))),0),IF(M214&lt;20,IF(K214="Plec",-1,IF(K214="PTL",-0.75,IF(K214="Plab",-0.5,0))),0),IF(M215&lt;20,IF(K215="Plec",-1,IF(K215="PTL",-0.75,IF(K215="Plab",-0.5,0))),0))</f>
        <v>0</v>
      </c>
      <c r="S206" s="134">
        <f>SUM(P206:R216)</f>
        <v>0</v>
      </c>
      <c r="T206" s="136">
        <f>SUM(IF(M206="M",IF(OR(K206="lec",K206="plec",K206="slec"),1,IF(OR(K206="lab",K206="plab",K206="slab",K206="tut",K206="ptut",K206="stut"),0.5,IF(OR(K206="TL",K206="pTL",K206="STL"),0.75,0))),0),IF(M207="M",IF(OR(K207="lec",K207="plec",K207="slec"),1,IF(OR(K207="lab",K207="plab",K207="slab",K207="tut",K207="ptut",K207="stut"),0.5,IF(OR(K207="TL",K207="pTL",K207="STL"),0.75,0))),0),IF(M208="M",IF(OR(K208="lec",K208="plec",K208="slec"),1,IF(OR(K208="lab",K208="plab",K208="slab",K208="tut",K208="ptut",K208="stut"),0.5,IF(OR(K208="TL",K208="pTL",K208="STL"),0.75,0))),0),IF(M209="M",IF(OR(K209="lec",K209="plec",K209="slec"),1,IF(OR(K209="lab",K209="plab",K209="slab",K209="tut",K209="ptut",K209="stut"),0.5,IF(OR(K209="TL",K209="pTL",K209="STL"),0.75,0))),0),IF(M210="M",IF(OR(K210="lec",K210="plec",K210="slec"),1,IF(OR(K210="lab",K210="plab",K210="slab",K210="tut",K210="ptut",K210="stut"),0.5,IF(OR(K210="TL",K210="pTL",K210="STL"),0.75,0))),0),IF(M211="M",IF(OR(K211="lec",K211="plec",K211="slec"),1,IF(OR(K211="lab",K211="plab",K211="slab",K211="tut",K211="ptut",K211="stut"),0.5,IF(OR(K211="TL",K211="pTL",K211="STL"),0.75,0))),0),IF(M212="M",IF(OR(K212="lec",K212="plec",K212="slec"),1,IF(OR(K212="lab",K212="plab",K212="slab",K212="tut",K212="ptut",K212="stut"),0.5,IF(OR(K212="TL",K212="pTL",K212="STL"),0.75,0))),0),IF(M213="M",IF(OR(K213="lec",K213="plec",K213="slec"),1,IF(OR(K213="lab",K213="plab",K213="slab",K213="tut",K213="ptut",K213="stut"),0.5,IF(OR(K213="TL",K213="pTL",K213="STL"),0.75,0))),0),IF(M214="M",IF(OR(K214="lec",K214="plec",K214="slec"),1,IF(OR(K214="lab",K214="plab",K214="slab",K214="tut",K214="ptut",K214="stut"),0.5,IF(OR(K214="TL",K214="pTL",K214="STL"),0.75,0))),0),IF(M215="M",IF(OR(K215="lec",K215="plec",K215="slec"),1,IF(OR(K215="lab",K215="plab",K215="slab",K215="tut",K215="ptut",K215="stut"),0.5,IF(OR(K215="TL",K215="pTL",K215="STL"),0.75,0))),0),IF(M216="M",IF(OR(K216="lec",K216="plec",K216="slec"),1,IF(OR(K216="lab",K216="plab",K216="slab",K216="tut",K216="ptut",K216="stut"),0.5,IF(OR(K216="TL",K216="pTL",K216="STL"),0.75,0))),0))</f>
        <v>0</v>
      </c>
      <c r="U206" s="137"/>
      <c r="V206" s="133"/>
      <c r="W206" s="138"/>
      <c r="X206" s="139">
        <f>S206-(T206+U206+V206+W206)</f>
        <v>0</v>
      </c>
      <c r="Y206" s="134" t="str">
        <f>CONCATENATE(SUM(O206:O216),"(",SUM(O206:O216)-X206,")")</f>
        <v>0(0)</v>
      </c>
      <c r="Z206" s="140"/>
      <c r="AA206" s="141"/>
      <c r="AB206" s="142"/>
      <c r="AC206" s="142"/>
      <c r="AD206" s="142"/>
      <c r="AE206" s="142"/>
      <c r="AF206" s="142"/>
      <c r="AG206" s="142"/>
      <c r="AH206" s="142"/>
      <c r="AI206" s="143"/>
      <c r="AJ206" s="144"/>
      <c r="AK206" s="145"/>
      <c r="AL206" s="145"/>
      <c r="AM206" s="145"/>
      <c r="AN206" s="145"/>
      <c r="AO206" s="146"/>
      <c r="AP206" s="147">
        <f>SUM(SUM(O206:O216),SUM(AI206:AI216)/2,AM206)</f>
        <v>0</v>
      </c>
      <c r="AQ206" s="148"/>
      <c r="AR206" s="148">
        <f>AP206*AQ206</f>
        <v>0</v>
      </c>
      <c r="AS206" s="148">
        <f>CT206</f>
        <v>0</v>
      </c>
      <c r="AT206" s="149">
        <f>AR206*0.75+AS206*0.25</f>
        <v>0</v>
      </c>
      <c r="AU206" s="150"/>
      <c r="AV206" s="151"/>
      <c r="AW206" s="151"/>
      <c r="AX206" s="152"/>
      <c r="AY206" s="153"/>
      <c r="AZ206" s="140"/>
      <c r="BA206" s="150"/>
      <c r="BB206" s="151"/>
      <c r="BC206" s="151"/>
      <c r="BD206" s="151"/>
      <c r="BE206" s="151"/>
      <c r="BF206" s="151"/>
      <c r="BG206" s="151"/>
      <c r="BH206" s="151"/>
      <c r="BI206" s="152"/>
      <c r="BJ206" s="154"/>
      <c r="BK206" s="151"/>
      <c r="BL206" s="151"/>
      <c r="BM206" s="151"/>
      <c r="BN206" s="151"/>
      <c r="BO206" s="155"/>
      <c r="BP206" s="140"/>
      <c r="BQ206" s="156"/>
      <c r="BR206" s="157"/>
      <c r="BS206" s="158"/>
      <c r="BT206" s="153"/>
      <c r="BU206" s="140"/>
      <c r="BV206" s="140"/>
      <c r="BW206" s="140"/>
      <c r="BX206" s="140"/>
      <c r="BY206" s="140"/>
      <c r="BZ206" s="140"/>
      <c r="CA206" s="140"/>
      <c r="CB206" s="140"/>
      <c r="CC206" s="140"/>
      <c r="CD206" s="150"/>
      <c r="CE206" s="155"/>
      <c r="CF206" s="150"/>
      <c r="CG206" s="152"/>
      <c r="CH206" s="252"/>
      <c r="CI206" s="160"/>
      <c r="CJ206" s="159"/>
      <c r="CK206" s="160"/>
      <c r="CL206" s="159"/>
      <c r="CM206" s="160"/>
      <c r="CN206" s="159"/>
      <c r="CO206" s="160"/>
      <c r="CP206" s="159"/>
      <c r="CQ206" s="162"/>
      <c r="CR206" s="160"/>
      <c r="CS206" s="253">
        <f>SUM(IF(AU206&lt;0,ABS(AU206),0),IF(AZ206&lt;0,ABS(AZ206),0),ABS(CI206),ABS(CK206),ABS(CM206),ABS(CO206),ABS(CQ206),ABS(CR206))</f>
        <v>0</v>
      </c>
      <c r="CT206" s="254">
        <f>SUM(AU206,AV206,AW206,AX206/400,AY206,AZ206,BG206,BH206*0.5,BI206*0.25,BJ206,BK206,BL206,BM206,BN206,BO206,BP206,BR206/20,BS206/100,BT206/60,BU206,BV206,BW206,BX206/4,SUM(BY206:CC216)/3,CE206,CG206/3,CI206,CK206,CM206,CO206,CQ206,CR206)</f>
        <v>0</v>
      </c>
      <c r="CU206" s="255" t="str">
        <f t="shared" si="2"/>
        <v/>
      </c>
    </row>
    <row r="207" ht="60.0" hidden="1" customHeight="1">
      <c r="A207" s="65"/>
      <c r="C207" s="167"/>
      <c r="D207" s="205"/>
      <c r="E207" s="262"/>
      <c r="F207" s="170"/>
      <c r="G207" s="170"/>
      <c r="H207" s="170"/>
      <c r="I207" s="170"/>
      <c r="J207" s="170"/>
      <c r="K207" s="171"/>
      <c r="L207" s="171"/>
      <c r="M207" s="171"/>
      <c r="N207" s="209"/>
      <c r="O207" s="172">
        <f t="shared" si="38"/>
        <v>0</v>
      </c>
      <c r="P207" s="166"/>
      <c r="Q207" s="173"/>
      <c r="R207" s="65"/>
      <c r="S207" s="173"/>
      <c r="T207" s="173"/>
      <c r="U207" s="166"/>
      <c r="V207" s="166"/>
      <c r="W207" s="65"/>
      <c r="X207" s="66"/>
      <c r="Y207" s="173"/>
      <c r="Z207" s="166"/>
      <c r="AA207" s="174"/>
      <c r="AB207" s="175"/>
      <c r="AC207" s="175"/>
      <c r="AD207" s="175"/>
      <c r="AE207" s="175"/>
      <c r="AF207" s="175"/>
      <c r="AG207" s="175"/>
      <c r="AH207" s="175"/>
      <c r="AI207" s="176"/>
      <c r="AJ207" s="177"/>
      <c r="AK207" s="178"/>
      <c r="AL207" s="178"/>
      <c r="AM207" s="178"/>
      <c r="AN207" s="178"/>
      <c r="AO207" s="179"/>
      <c r="AP207" s="64"/>
      <c r="AQ207" s="65"/>
      <c r="AR207" s="65"/>
      <c r="AS207" s="65"/>
      <c r="AT207" s="173"/>
      <c r="AU207" s="177"/>
      <c r="AV207" s="178"/>
      <c r="AW207" s="178"/>
      <c r="AX207" s="179"/>
      <c r="AZ207" s="166"/>
      <c r="BA207" s="177"/>
      <c r="BB207" s="178"/>
      <c r="BC207" s="178"/>
      <c r="BD207" s="178"/>
      <c r="BE207" s="178"/>
      <c r="BF207" s="178"/>
      <c r="BG207" s="178"/>
      <c r="BH207" s="178"/>
      <c r="BI207" s="179"/>
      <c r="BJ207" s="180"/>
      <c r="BK207" s="178"/>
      <c r="BL207" s="178"/>
      <c r="BM207" s="178"/>
      <c r="BN207" s="178"/>
      <c r="BO207" s="181"/>
      <c r="BP207" s="166"/>
      <c r="BQ207" s="177"/>
      <c r="BR207" s="178"/>
      <c r="BS207" s="179"/>
      <c r="BU207" s="166"/>
      <c r="BV207" s="166"/>
      <c r="BW207" s="166"/>
      <c r="BX207" s="166"/>
      <c r="BY207" s="166"/>
      <c r="BZ207" s="166"/>
      <c r="CA207" s="166"/>
      <c r="CB207" s="166"/>
      <c r="CC207" s="166"/>
      <c r="CD207" s="177"/>
      <c r="CE207" s="181"/>
      <c r="CF207" s="177"/>
      <c r="CG207" s="179"/>
      <c r="CH207" s="257"/>
      <c r="CI207" s="182"/>
      <c r="CJ207" s="177"/>
      <c r="CK207" s="182"/>
      <c r="CL207" s="177"/>
      <c r="CM207" s="182"/>
      <c r="CN207" s="177"/>
      <c r="CO207" s="182"/>
      <c r="CP207" s="177"/>
      <c r="CQ207" s="178"/>
      <c r="CR207" s="182"/>
      <c r="CS207" s="173"/>
      <c r="CT207" s="65"/>
      <c r="CU207" s="255" t="str">
        <f t="shared" si="2"/>
        <v/>
      </c>
    </row>
    <row r="208" ht="60.0" hidden="1" customHeight="1">
      <c r="A208" s="65"/>
      <c r="C208" s="167"/>
      <c r="D208" s="205"/>
      <c r="E208" s="262"/>
      <c r="F208" s="170"/>
      <c r="G208" s="170"/>
      <c r="H208" s="170"/>
      <c r="I208" s="170"/>
      <c r="J208" s="170"/>
      <c r="K208" s="171"/>
      <c r="L208" s="171"/>
      <c r="M208" s="171"/>
      <c r="N208" s="209"/>
      <c r="O208" s="172">
        <f t="shared" si="38"/>
        <v>0</v>
      </c>
      <c r="P208" s="166"/>
      <c r="Q208" s="173"/>
      <c r="R208" s="65"/>
      <c r="S208" s="173"/>
      <c r="T208" s="173"/>
      <c r="U208" s="166"/>
      <c r="V208" s="166"/>
      <c r="W208" s="65"/>
      <c r="X208" s="66"/>
      <c r="Y208" s="173"/>
      <c r="Z208" s="166"/>
      <c r="AA208" s="174"/>
      <c r="AB208" s="175"/>
      <c r="AC208" s="175"/>
      <c r="AD208" s="175"/>
      <c r="AE208" s="175"/>
      <c r="AF208" s="175"/>
      <c r="AG208" s="175"/>
      <c r="AH208" s="175"/>
      <c r="AI208" s="176"/>
      <c r="AJ208" s="177"/>
      <c r="AK208" s="178"/>
      <c r="AL208" s="178"/>
      <c r="AM208" s="178"/>
      <c r="AN208" s="178"/>
      <c r="AO208" s="179"/>
      <c r="AP208" s="64"/>
      <c r="AQ208" s="65"/>
      <c r="AR208" s="65"/>
      <c r="AS208" s="65"/>
      <c r="AT208" s="173"/>
      <c r="AU208" s="177"/>
      <c r="AV208" s="178"/>
      <c r="AW208" s="178"/>
      <c r="AX208" s="179"/>
      <c r="AZ208" s="166"/>
      <c r="BA208" s="177"/>
      <c r="BB208" s="178"/>
      <c r="BC208" s="178"/>
      <c r="BD208" s="178"/>
      <c r="BE208" s="178"/>
      <c r="BF208" s="178"/>
      <c r="BG208" s="178"/>
      <c r="BH208" s="178"/>
      <c r="BI208" s="179"/>
      <c r="BJ208" s="180"/>
      <c r="BK208" s="178"/>
      <c r="BL208" s="178"/>
      <c r="BM208" s="178"/>
      <c r="BN208" s="178"/>
      <c r="BO208" s="181"/>
      <c r="BP208" s="166"/>
      <c r="BQ208" s="177"/>
      <c r="BR208" s="178"/>
      <c r="BS208" s="179"/>
      <c r="BU208" s="166"/>
      <c r="BV208" s="166"/>
      <c r="BW208" s="166"/>
      <c r="BX208" s="166"/>
      <c r="BY208" s="166"/>
      <c r="BZ208" s="166"/>
      <c r="CA208" s="166"/>
      <c r="CB208" s="166"/>
      <c r="CC208" s="166"/>
      <c r="CD208" s="177"/>
      <c r="CE208" s="181"/>
      <c r="CF208" s="177"/>
      <c r="CG208" s="179"/>
      <c r="CH208" s="257"/>
      <c r="CI208" s="182"/>
      <c r="CJ208" s="177"/>
      <c r="CK208" s="182"/>
      <c r="CL208" s="177"/>
      <c r="CM208" s="182"/>
      <c r="CN208" s="177"/>
      <c r="CO208" s="182"/>
      <c r="CP208" s="177"/>
      <c r="CQ208" s="178"/>
      <c r="CR208" s="182"/>
      <c r="CS208" s="173"/>
      <c r="CT208" s="65"/>
      <c r="CU208" s="255" t="str">
        <f t="shared" si="2"/>
        <v/>
      </c>
    </row>
    <row r="209" ht="60.0" hidden="1" customHeight="1">
      <c r="A209" s="65"/>
      <c r="C209" s="167"/>
      <c r="D209" s="205"/>
      <c r="E209" s="262"/>
      <c r="F209" s="170"/>
      <c r="G209" s="170"/>
      <c r="H209" s="170"/>
      <c r="I209" s="170"/>
      <c r="J209" s="170"/>
      <c r="K209" s="171"/>
      <c r="L209" s="171"/>
      <c r="M209" s="171"/>
      <c r="N209" s="209"/>
      <c r="O209" s="172">
        <f t="shared" si="38"/>
        <v>0</v>
      </c>
      <c r="P209" s="166"/>
      <c r="Q209" s="173"/>
      <c r="R209" s="65"/>
      <c r="S209" s="173"/>
      <c r="T209" s="173"/>
      <c r="U209" s="166"/>
      <c r="V209" s="166"/>
      <c r="W209" s="65"/>
      <c r="X209" s="66"/>
      <c r="Y209" s="173"/>
      <c r="Z209" s="166"/>
      <c r="AA209" s="174"/>
      <c r="AB209" s="175"/>
      <c r="AC209" s="175"/>
      <c r="AD209" s="175"/>
      <c r="AE209" s="175"/>
      <c r="AF209" s="175"/>
      <c r="AG209" s="175"/>
      <c r="AH209" s="175"/>
      <c r="AI209" s="176"/>
      <c r="AJ209" s="177"/>
      <c r="AK209" s="178"/>
      <c r="AL209" s="178"/>
      <c r="AM209" s="178"/>
      <c r="AN209" s="178"/>
      <c r="AO209" s="179"/>
      <c r="AP209" s="64"/>
      <c r="AQ209" s="65"/>
      <c r="AR209" s="65"/>
      <c r="AS209" s="65"/>
      <c r="AT209" s="173"/>
      <c r="AU209" s="177"/>
      <c r="AV209" s="178"/>
      <c r="AW209" s="178"/>
      <c r="AX209" s="179"/>
      <c r="AZ209" s="166"/>
      <c r="BA209" s="177"/>
      <c r="BB209" s="178"/>
      <c r="BC209" s="178"/>
      <c r="BD209" s="178"/>
      <c r="BE209" s="178"/>
      <c r="BF209" s="178"/>
      <c r="BG209" s="178"/>
      <c r="BH209" s="178"/>
      <c r="BI209" s="179"/>
      <c r="BJ209" s="180"/>
      <c r="BK209" s="178"/>
      <c r="BL209" s="178"/>
      <c r="BM209" s="178"/>
      <c r="BN209" s="178"/>
      <c r="BO209" s="181"/>
      <c r="BP209" s="166"/>
      <c r="BQ209" s="177"/>
      <c r="BR209" s="178"/>
      <c r="BS209" s="179"/>
      <c r="BU209" s="166"/>
      <c r="BV209" s="166"/>
      <c r="BW209" s="166"/>
      <c r="BX209" s="166"/>
      <c r="BY209" s="166"/>
      <c r="BZ209" s="166"/>
      <c r="CA209" s="166"/>
      <c r="CB209" s="166"/>
      <c r="CC209" s="166"/>
      <c r="CD209" s="177"/>
      <c r="CE209" s="181"/>
      <c r="CF209" s="177"/>
      <c r="CG209" s="179"/>
      <c r="CH209" s="257"/>
      <c r="CI209" s="182"/>
      <c r="CJ209" s="177"/>
      <c r="CK209" s="182"/>
      <c r="CL209" s="177"/>
      <c r="CM209" s="182"/>
      <c r="CN209" s="177"/>
      <c r="CO209" s="182"/>
      <c r="CP209" s="177"/>
      <c r="CQ209" s="178"/>
      <c r="CR209" s="182"/>
      <c r="CS209" s="173"/>
      <c r="CT209" s="65"/>
      <c r="CU209" s="255" t="str">
        <f t="shared" si="2"/>
        <v/>
      </c>
    </row>
    <row r="210" ht="60.0" hidden="1" customHeight="1">
      <c r="A210" s="65"/>
      <c r="C210" s="167"/>
      <c r="D210" s="205"/>
      <c r="E210" s="262"/>
      <c r="F210" s="170"/>
      <c r="G210" s="170"/>
      <c r="H210" s="170"/>
      <c r="I210" s="170"/>
      <c r="J210" s="170"/>
      <c r="K210" s="171"/>
      <c r="L210" s="171"/>
      <c r="M210" s="171"/>
      <c r="N210" s="209"/>
      <c r="O210" s="172">
        <f t="shared" si="38"/>
        <v>0</v>
      </c>
      <c r="P210" s="166"/>
      <c r="Q210" s="173"/>
      <c r="R210" s="65"/>
      <c r="S210" s="173"/>
      <c r="T210" s="173"/>
      <c r="U210" s="166"/>
      <c r="V210" s="166"/>
      <c r="W210" s="65"/>
      <c r="X210" s="66"/>
      <c r="Y210" s="173"/>
      <c r="Z210" s="166"/>
      <c r="AA210" s="174"/>
      <c r="AB210" s="175"/>
      <c r="AC210" s="175"/>
      <c r="AD210" s="175"/>
      <c r="AE210" s="175"/>
      <c r="AF210" s="175"/>
      <c r="AG210" s="175"/>
      <c r="AH210" s="175"/>
      <c r="AI210" s="176"/>
      <c r="AJ210" s="177"/>
      <c r="AK210" s="178"/>
      <c r="AL210" s="178"/>
      <c r="AM210" s="178"/>
      <c r="AN210" s="178"/>
      <c r="AO210" s="179"/>
      <c r="AP210" s="64"/>
      <c r="AQ210" s="65"/>
      <c r="AR210" s="65"/>
      <c r="AS210" s="65"/>
      <c r="AT210" s="173"/>
      <c r="AU210" s="177"/>
      <c r="AV210" s="178"/>
      <c r="AW210" s="178"/>
      <c r="AX210" s="179"/>
      <c r="AZ210" s="166"/>
      <c r="BA210" s="177"/>
      <c r="BB210" s="178"/>
      <c r="BC210" s="178"/>
      <c r="BD210" s="178"/>
      <c r="BE210" s="178"/>
      <c r="BF210" s="178"/>
      <c r="BG210" s="178"/>
      <c r="BH210" s="178"/>
      <c r="BI210" s="179"/>
      <c r="BJ210" s="180"/>
      <c r="BK210" s="178"/>
      <c r="BL210" s="178"/>
      <c r="BM210" s="178"/>
      <c r="BN210" s="178"/>
      <c r="BO210" s="181"/>
      <c r="BP210" s="166"/>
      <c r="BQ210" s="177"/>
      <c r="BR210" s="178"/>
      <c r="BS210" s="179"/>
      <c r="BU210" s="166"/>
      <c r="BV210" s="166"/>
      <c r="BW210" s="166"/>
      <c r="BX210" s="166"/>
      <c r="BY210" s="166"/>
      <c r="BZ210" s="166"/>
      <c r="CA210" s="166"/>
      <c r="CB210" s="166"/>
      <c r="CC210" s="166"/>
      <c r="CD210" s="177"/>
      <c r="CE210" s="181"/>
      <c r="CF210" s="177"/>
      <c r="CG210" s="179"/>
      <c r="CH210" s="257"/>
      <c r="CI210" s="182"/>
      <c r="CJ210" s="177"/>
      <c r="CK210" s="182"/>
      <c r="CL210" s="177"/>
      <c r="CM210" s="182"/>
      <c r="CN210" s="177"/>
      <c r="CO210" s="182"/>
      <c r="CP210" s="177"/>
      <c r="CQ210" s="178"/>
      <c r="CR210" s="182"/>
      <c r="CS210" s="173"/>
      <c r="CT210" s="65"/>
      <c r="CU210" s="255" t="str">
        <f t="shared" si="2"/>
        <v/>
      </c>
    </row>
    <row r="211" ht="60.0" hidden="1" customHeight="1">
      <c r="A211" s="65"/>
      <c r="C211" s="167"/>
      <c r="D211" s="205"/>
      <c r="E211" s="262"/>
      <c r="F211" s="170"/>
      <c r="G211" s="170"/>
      <c r="H211" s="170"/>
      <c r="I211" s="170"/>
      <c r="J211" s="170"/>
      <c r="K211" s="171"/>
      <c r="L211" s="171"/>
      <c r="M211" s="171"/>
      <c r="N211" s="209"/>
      <c r="O211" s="172">
        <f t="shared" si="38"/>
        <v>0</v>
      </c>
      <c r="P211" s="166"/>
      <c r="Q211" s="173"/>
      <c r="R211" s="65"/>
      <c r="S211" s="173"/>
      <c r="T211" s="173"/>
      <c r="U211" s="166"/>
      <c r="V211" s="166"/>
      <c r="W211" s="65"/>
      <c r="X211" s="66"/>
      <c r="Y211" s="173"/>
      <c r="Z211" s="166"/>
      <c r="AA211" s="174"/>
      <c r="AB211" s="175"/>
      <c r="AC211" s="175"/>
      <c r="AD211" s="175"/>
      <c r="AE211" s="175"/>
      <c r="AF211" s="175"/>
      <c r="AG211" s="175"/>
      <c r="AH211" s="175"/>
      <c r="AI211" s="176"/>
      <c r="AJ211" s="177"/>
      <c r="AK211" s="178"/>
      <c r="AL211" s="178"/>
      <c r="AM211" s="178"/>
      <c r="AN211" s="178"/>
      <c r="AO211" s="179"/>
      <c r="AP211" s="64"/>
      <c r="AQ211" s="65"/>
      <c r="AR211" s="65"/>
      <c r="AS211" s="65"/>
      <c r="AT211" s="173"/>
      <c r="AU211" s="177"/>
      <c r="AV211" s="178"/>
      <c r="AW211" s="178"/>
      <c r="AX211" s="179"/>
      <c r="AZ211" s="166"/>
      <c r="BA211" s="177"/>
      <c r="BB211" s="178"/>
      <c r="BC211" s="178"/>
      <c r="BD211" s="178"/>
      <c r="BE211" s="178"/>
      <c r="BF211" s="178"/>
      <c r="BG211" s="178"/>
      <c r="BH211" s="178"/>
      <c r="BI211" s="179"/>
      <c r="BJ211" s="180"/>
      <c r="BK211" s="178"/>
      <c r="BL211" s="178"/>
      <c r="BM211" s="178"/>
      <c r="BN211" s="178"/>
      <c r="BO211" s="181"/>
      <c r="BP211" s="166"/>
      <c r="BQ211" s="177"/>
      <c r="BR211" s="178"/>
      <c r="BS211" s="179"/>
      <c r="BU211" s="166"/>
      <c r="BV211" s="166"/>
      <c r="BW211" s="166"/>
      <c r="BX211" s="166"/>
      <c r="BY211" s="166"/>
      <c r="BZ211" s="166"/>
      <c r="CA211" s="166"/>
      <c r="CB211" s="166"/>
      <c r="CC211" s="166"/>
      <c r="CD211" s="177"/>
      <c r="CE211" s="181"/>
      <c r="CF211" s="177"/>
      <c r="CG211" s="179"/>
      <c r="CH211" s="257"/>
      <c r="CI211" s="182"/>
      <c r="CJ211" s="177"/>
      <c r="CK211" s="182"/>
      <c r="CL211" s="177"/>
      <c r="CM211" s="182"/>
      <c r="CN211" s="177"/>
      <c r="CO211" s="182"/>
      <c r="CP211" s="177"/>
      <c r="CQ211" s="178"/>
      <c r="CR211" s="182"/>
      <c r="CS211" s="173"/>
      <c r="CT211" s="65"/>
      <c r="CU211" s="255" t="str">
        <f t="shared" si="2"/>
        <v/>
      </c>
    </row>
    <row r="212" ht="60.0" hidden="1" customHeight="1">
      <c r="A212" s="65"/>
      <c r="C212" s="167"/>
      <c r="D212" s="205"/>
      <c r="E212" s="262"/>
      <c r="F212" s="170"/>
      <c r="G212" s="170"/>
      <c r="H212" s="170"/>
      <c r="I212" s="170"/>
      <c r="J212" s="170"/>
      <c r="K212" s="171"/>
      <c r="L212" s="171"/>
      <c r="M212" s="171"/>
      <c r="N212" s="209"/>
      <c r="O212" s="172">
        <f t="shared" ref="O212:O215" si="39">IF(AND(M212&gt;=20,M212&lt;&gt;"m",RIGHT(K212,3)="Lec"),1,IF(AND(M212&gt;=20,M212&lt;&gt;"m",OR(RIGHT(K212,3)="Lab",RIGHT(K212,3)="Tut")),0.5,IF(AND(M212&gt;=20,M212&lt;&gt;"m",RIGHT(K212,2)="TL"),0.75,0)))</f>
        <v>0</v>
      </c>
      <c r="P212" s="166"/>
      <c r="Q212" s="173"/>
      <c r="R212" s="65"/>
      <c r="S212" s="173"/>
      <c r="T212" s="173"/>
      <c r="U212" s="166"/>
      <c r="V212" s="166"/>
      <c r="W212" s="65"/>
      <c r="X212" s="66"/>
      <c r="Y212" s="173"/>
      <c r="Z212" s="166"/>
      <c r="AA212" s="174"/>
      <c r="AB212" s="175"/>
      <c r="AC212" s="175"/>
      <c r="AD212" s="175"/>
      <c r="AE212" s="175"/>
      <c r="AF212" s="175"/>
      <c r="AG212" s="175"/>
      <c r="AH212" s="175"/>
      <c r="AI212" s="176"/>
      <c r="AJ212" s="177"/>
      <c r="AK212" s="178"/>
      <c r="AL212" s="178"/>
      <c r="AM212" s="178"/>
      <c r="AN212" s="178"/>
      <c r="AO212" s="179"/>
      <c r="AP212" s="64"/>
      <c r="AQ212" s="65"/>
      <c r="AR212" s="65"/>
      <c r="AS212" s="65"/>
      <c r="AT212" s="173"/>
      <c r="AU212" s="177"/>
      <c r="AV212" s="178"/>
      <c r="AW212" s="178"/>
      <c r="AX212" s="179"/>
      <c r="AZ212" s="166"/>
      <c r="BA212" s="177"/>
      <c r="BB212" s="178"/>
      <c r="BC212" s="178"/>
      <c r="BD212" s="178"/>
      <c r="BE212" s="178"/>
      <c r="BF212" s="178"/>
      <c r="BG212" s="178"/>
      <c r="BH212" s="178"/>
      <c r="BI212" s="179"/>
      <c r="BJ212" s="180"/>
      <c r="BK212" s="178"/>
      <c r="BL212" s="178"/>
      <c r="BM212" s="178"/>
      <c r="BN212" s="178"/>
      <c r="BO212" s="181"/>
      <c r="BP212" s="166"/>
      <c r="BQ212" s="177"/>
      <c r="BR212" s="178"/>
      <c r="BS212" s="179"/>
      <c r="BU212" s="166"/>
      <c r="BV212" s="166"/>
      <c r="BW212" s="166"/>
      <c r="BX212" s="166"/>
      <c r="BY212" s="166"/>
      <c r="BZ212" s="166"/>
      <c r="CA212" s="166"/>
      <c r="CB212" s="166"/>
      <c r="CC212" s="166"/>
      <c r="CD212" s="177"/>
      <c r="CE212" s="181"/>
      <c r="CF212" s="177"/>
      <c r="CG212" s="179"/>
      <c r="CH212" s="257"/>
      <c r="CI212" s="182"/>
      <c r="CJ212" s="177"/>
      <c r="CK212" s="182"/>
      <c r="CL212" s="177"/>
      <c r="CM212" s="182"/>
      <c r="CN212" s="177"/>
      <c r="CO212" s="182"/>
      <c r="CP212" s="177"/>
      <c r="CQ212" s="178"/>
      <c r="CR212" s="182"/>
      <c r="CS212" s="173"/>
      <c r="CT212" s="65"/>
      <c r="CU212" s="255" t="str">
        <f t="shared" si="2"/>
        <v/>
      </c>
    </row>
    <row r="213" ht="60.0" hidden="1" customHeight="1">
      <c r="A213" s="65"/>
      <c r="C213" s="167"/>
      <c r="D213" s="205"/>
      <c r="E213" s="262"/>
      <c r="F213" s="170"/>
      <c r="G213" s="170"/>
      <c r="H213" s="170"/>
      <c r="I213" s="170"/>
      <c r="J213" s="170"/>
      <c r="K213" s="171"/>
      <c r="L213" s="171"/>
      <c r="M213" s="171"/>
      <c r="N213" s="209"/>
      <c r="O213" s="172">
        <f t="shared" si="39"/>
        <v>0</v>
      </c>
      <c r="P213" s="166"/>
      <c r="Q213" s="173"/>
      <c r="R213" s="65"/>
      <c r="S213" s="173"/>
      <c r="T213" s="173"/>
      <c r="U213" s="166"/>
      <c r="V213" s="166"/>
      <c r="W213" s="65"/>
      <c r="X213" s="66"/>
      <c r="Y213" s="173"/>
      <c r="Z213" s="166"/>
      <c r="AA213" s="174"/>
      <c r="AB213" s="175"/>
      <c r="AC213" s="175"/>
      <c r="AD213" s="175"/>
      <c r="AE213" s="175"/>
      <c r="AF213" s="175"/>
      <c r="AG213" s="175"/>
      <c r="AH213" s="175"/>
      <c r="AI213" s="176"/>
      <c r="AJ213" s="177"/>
      <c r="AK213" s="178"/>
      <c r="AL213" s="178"/>
      <c r="AM213" s="178"/>
      <c r="AN213" s="178"/>
      <c r="AO213" s="179"/>
      <c r="AP213" s="64"/>
      <c r="AQ213" s="65"/>
      <c r="AR213" s="65"/>
      <c r="AS213" s="65"/>
      <c r="AT213" s="173"/>
      <c r="AU213" s="177"/>
      <c r="AV213" s="178"/>
      <c r="AW213" s="178"/>
      <c r="AX213" s="179"/>
      <c r="AZ213" s="166"/>
      <c r="BA213" s="177"/>
      <c r="BB213" s="178"/>
      <c r="BC213" s="178"/>
      <c r="BD213" s="178"/>
      <c r="BE213" s="178"/>
      <c r="BF213" s="178"/>
      <c r="BG213" s="178"/>
      <c r="BH213" s="178"/>
      <c r="BI213" s="179"/>
      <c r="BJ213" s="180"/>
      <c r="BK213" s="178"/>
      <c r="BL213" s="178"/>
      <c r="BM213" s="178"/>
      <c r="BN213" s="178"/>
      <c r="BO213" s="181"/>
      <c r="BP213" s="166"/>
      <c r="BQ213" s="177"/>
      <c r="BR213" s="178"/>
      <c r="BS213" s="179"/>
      <c r="BU213" s="166"/>
      <c r="BV213" s="166"/>
      <c r="BW213" s="166"/>
      <c r="BX213" s="166"/>
      <c r="BY213" s="166"/>
      <c r="BZ213" s="166"/>
      <c r="CA213" s="166"/>
      <c r="CB213" s="166"/>
      <c r="CC213" s="166"/>
      <c r="CD213" s="177"/>
      <c r="CE213" s="181"/>
      <c r="CF213" s="177"/>
      <c r="CG213" s="179"/>
      <c r="CH213" s="257"/>
      <c r="CI213" s="182"/>
      <c r="CJ213" s="177"/>
      <c r="CK213" s="182"/>
      <c r="CL213" s="177"/>
      <c r="CM213" s="182"/>
      <c r="CN213" s="177"/>
      <c r="CO213" s="182"/>
      <c r="CP213" s="177"/>
      <c r="CQ213" s="178"/>
      <c r="CR213" s="182"/>
      <c r="CS213" s="173"/>
      <c r="CT213" s="65"/>
      <c r="CU213" s="255" t="str">
        <f t="shared" si="2"/>
        <v/>
      </c>
    </row>
    <row r="214" ht="60.0" hidden="1" customHeight="1">
      <c r="A214" s="65"/>
      <c r="C214" s="167"/>
      <c r="D214" s="205"/>
      <c r="E214" s="262"/>
      <c r="F214" s="170"/>
      <c r="G214" s="170"/>
      <c r="H214" s="170"/>
      <c r="I214" s="170"/>
      <c r="J214" s="170"/>
      <c r="K214" s="171"/>
      <c r="L214" s="171"/>
      <c r="M214" s="171"/>
      <c r="N214" s="209"/>
      <c r="O214" s="172">
        <f t="shared" si="39"/>
        <v>0</v>
      </c>
      <c r="P214" s="166"/>
      <c r="Q214" s="173"/>
      <c r="R214" s="65"/>
      <c r="S214" s="173"/>
      <c r="T214" s="173"/>
      <c r="U214" s="166"/>
      <c r="V214" s="166"/>
      <c r="W214" s="65"/>
      <c r="X214" s="66"/>
      <c r="Y214" s="173"/>
      <c r="Z214" s="166"/>
      <c r="AA214" s="174"/>
      <c r="AB214" s="175"/>
      <c r="AC214" s="175"/>
      <c r="AD214" s="175"/>
      <c r="AE214" s="175"/>
      <c r="AF214" s="175"/>
      <c r="AG214" s="175"/>
      <c r="AH214" s="175"/>
      <c r="AI214" s="176"/>
      <c r="AJ214" s="177"/>
      <c r="AK214" s="178"/>
      <c r="AL214" s="178"/>
      <c r="AM214" s="178"/>
      <c r="AN214" s="178"/>
      <c r="AO214" s="179"/>
      <c r="AP214" s="64"/>
      <c r="AQ214" s="65"/>
      <c r="AR214" s="65"/>
      <c r="AS214" s="65"/>
      <c r="AT214" s="173"/>
      <c r="AU214" s="177"/>
      <c r="AV214" s="178"/>
      <c r="AW214" s="178"/>
      <c r="AX214" s="179"/>
      <c r="AZ214" s="166"/>
      <c r="BA214" s="177"/>
      <c r="BB214" s="178"/>
      <c r="BC214" s="178"/>
      <c r="BD214" s="178"/>
      <c r="BE214" s="178"/>
      <c r="BF214" s="178"/>
      <c r="BG214" s="178"/>
      <c r="BH214" s="178"/>
      <c r="BI214" s="179"/>
      <c r="BJ214" s="180"/>
      <c r="BK214" s="178"/>
      <c r="BL214" s="178"/>
      <c r="BM214" s="178"/>
      <c r="BN214" s="178"/>
      <c r="BO214" s="181"/>
      <c r="BP214" s="166"/>
      <c r="BQ214" s="177"/>
      <c r="BR214" s="178"/>
      <c r="BS214" s="179"/>
      <c r="BU214" s="166"/>
      <c r="BV214" s="166"/>
      <c r="BW214" s="166"/>
      <c r="BX214" s="166"/>
      <c r="BY214" s="166"/>
      <c r="BZ214" s="166"/>
      <c r="CA214" s="166"/>
      <c r="CB214" s="166"/>
      <c r="CC214" s="166"/>
      <c r="CD214" s="177"/>
      <c r="CE214" s="181"/>
      <c r="CF214" s="177"/>
      <c r="CG214" s="179"/>
      <c r="CH214" s="257"/>
      <c r="CI214" s="182"/>
      <c r="CJ214" s="177"/>
      <c r="CK214" s="182"/>
      <c r="CL214" s="177"/>
      <c r="CM214" s="182"/>
      <c r="CN214" s="177"/>
      <c r="CO214" s="182"/>
      <c r="CP214" s="177"/>
      <c r="CQ214" s="178"/>
      <c r="CR214" s="182"/>
      <c r="CS214" s="173"/>
      <c r="CT214" s="65"/>
      <c r="CU214" s="255" t="str">
        <f t="shared" si="2"/>
        <v/>
      </c>
    </row>
    <row r="215" ht="60.0" hidden="1" customHeight="1">
      <c r="A215" s="65"/>
      <c r="C215" s="167"/>
      <c r="D215" s="205"/>
      <c r="E215" s="262"/>
      <c r="F215" s="170"/>
      <c r="G215" s="170"/>
      <c r="H215" s="170"/>
      <c r="I215" s="170"/>
      <c r="J215" s="170"/>
      <c r="K215" s="171"/>
      <c r="L215" s="171"/>
      <c r="M215" s="171"/>
      <c r="N215" s="209"/>
      <c r="O215" s="172">
        <f t="shared" si="39"/>
        <v>0</v>
      </c>
      <c r="P215" s="166"/>
      <c r="Q215" s="173"/>
      <c r="R215" s="65"/>
      <c r="S215" s="173"/>
      <c r="T215" s="173"/>
      <c r="U215" s="166"/>
      <c r="V215" s="166"/>
      <c r="W215" s="65"/>
      <c r="X215" s="66"/>
      <c r="Y215" s="173"/>
      <c r="Z215" s="166"/>
      <c r="AA215" s="174"/>
      <c r="AB215" s="175"/>
      <c r="AC215" s="175"/>
      <c r="AD215" s="175"/>
      <c r="AE215" s="175"/>
      <c r="AF215" s="175"/>
      <c r="AG215" s="175"/>
      <c r="AH215" s="175"/>
      <c r="AI215" s="176"/>
      <c r="AJ215" s="177"/>
      <c r="AK215" s="178"/>
      <c r="AL215" s="178"/>
      <c r="AM215" s="178"/>
      <c r="AN215" s="178"/>
      <c r="AO215" s="179"/>
      <c r="AP215" s="64"/>
      <c r="AQ215" s="65"/>
      <c r="AR215" s="65"/>
      <c r="AS215" s="65"/>
      <c r="AT215" s="173"/>
      <c r="AU215" s="177"/>
      <c r="AV215" s="178"/>
      <c r="AW215" s="178"/>
      <c r="AX215" s="179"/>
      <c r="AZ215" s="166"/>
      <c r="BA215" s="177"/>
      <c r="BB215" s="178"/>
      <c r="BC215" s="178"/>
      <c r="BD215" s="178"/>
      <c r="BE215" s="178"/>
      <c r="BF215" s="178"/>
      <c r="BG215" s="178"/>
      <c r="BH215" s="178"/>
      <c r="BI215" s="179"/>
      <c r="BJ215" s="180"/>
      <c r="BK215" s="178"/>
      <c r="BL215" s="178"/>
      <c r="BM215" s="178"/>
      <c r="BN215" s="178"/>
      <c r="BO215" s="181"/>
      <c r="BP215" s="166"/>
      <c r="BQ215" s="177"/>
      <c r="BR215" s="178"/>
      <c r="BS215" s="179"/>
      <c r="BU215" s="166"/>
      <c r="BV215" s="166"/>
      <c r="BW215" s="166"/>
      <c r="BX215" s="166"/>
      <c r="BY215" s="166"/>
      <c r="BZ215" s="166"/>
      <c r="CA215" s="166"/>
      <c r="CB215" s="166"/>
      <c r="CC215" s="166"/>
      <c r="CD215" s="177"/>
      <c r="CE215" s="181"/>
      <c r="CF215" s="177"/>
      <c r="CG215" s="179"/>
      <c r="CH215" s="257"/>
      <c r="CI215" s="182"/>
      <c r="CJ215" s="177"/>
      <c r="CK215" s="182"/>
      <c r="CL215" s="177"/>
      <c r="CM215" s="182"/>
      <c r="CN215" s="177"/>
      <c r="CO215" s="182"/>
      <c r="CP215" s="177"/>
      <c r="CQ215" s="178"/>
      <c r="CR215" s="182"/>
      <c r="CS215" s="173"/>
      <c r="CT215" s="65"/>
      <c r="CU215" s="255" t="str">
        <f t="shared" si="2"/>
        <v/>
      </c>
    </row>
    <row r="216" ht="60.0" hidden="1" customHeight="1">
      <c r="A216" s="89"/>
      <c r="B216" s="6"/>
      <c r="C216" s="183"/>
      <c r="D216" s="210"/>
      <c r="E216" s="263"/>
      <c r="F216" s="186"/>
      <c r="G216" s="186"/>
      <c r="H216" s="186"/>
      <c r="I216" s="186"/>
      <c r="J216" s="186"/>
      <c r="K216" s="187"/>
      <c r="L216" s="187"/>
      <c r="M216" s="187"/>
      <c r="N216" s="214"/>
      <c r="O216" s="188">
        <f t="shared" ref="O216:O222" si="40">IF(AND(M216&lt;&gt;0,M216&lt;&gt;"m",M216&lt;&gt;"",RIGHT(K216,3)="Lec"),1,IF(AND(M216&lt;&gt;0,M216&lt;&gt;"m",M216&lt;&gt;"",OR(RIGHT(K216,3)="Lab",RIGHT(K216,3)="Tut")),0.5,IF(AND(M216&lt;&gt;0,M216&lt;&gt;"m",M216&lt;&gt;"",RIGHT(K216,2)="TL"),0.75,0)))</f>
        <v>0</v>
      </c>
      <c r="P216" s="63"/>
      <c r="Q216" s="69"/>
      <c r="R216" s="89"/>
      <c r="S216" s="69"/>
      <c r="T216" s="69"/>
      <c r="U216" s="63"/>
      <c r="V216" s="63"/>
      <c r="W216" s="89"/>
      <c r="X216" s="68"/>
      <c r="Y216" s="69"/>
      <c r="Z216" s="63"/>
      <c r="AA216" s="189"/>
      <c r="AB216" s="190"/>
      <c r="AC216" s="190"/>
      <c r="AD216" s="190"/>
      <c r="AE216" s="190"/>
      <c r="AF216" s="190"/>
      <c r="AG216" s="190"/>
      <c r="AH216" s="190"/>
      <c r="AI216" s="191"/>
      <c r="AJ216" s="192"/>
      <c r="AK216" s="193"/>
      <c r="AL216" s="193"/>
      <c r="AM216" s="193"/>
      <c r="AN216" s="193"/>
      <c r="AO216" s="194"/>
      <c r="AP216" s="103"/>
      <c r="AQ216" s="89"/>
      <c r="AR216" s="89"/>
      <c r="AS216" s="89"/>
      <c r="AT216" s="69"/>
      <c r="AU216" s="192"/>
      <c r="AV216" s="193"/>
      <c r="AW216" s="193"/>
      <c r="AX216" s="194"/>
      <c r="AY216" s="6"/>
      <c r="AZ216" s="63"/>
      <c r="BA216" s="192"/>
      <c r="BB216" s="193"/>
      <c r="BC216" s="193"/>
      <c r="BD216" s="193"/>
      <c r="BE216" s="193"/>
      <c r="BF216" s="193"/>
      <c r="BG216" s="193"/>
      <c r="BH216" s="193"/>
      <c r="BI216" s="194"/>
      <c r="BJ216" s="195"/>
      <c r="BK216" s="193"/>
      <c r="BL216" s="193"/>
      <c r="BM216" s="193"/>
      <c r="BN216" s="193"/>
      <c r="BO216" s="196"/>
      <c r="BP216" s="63"/>
      <c r="BQ216" s="192"/>
      <c r="BR216" s="193"/>
      <c r="BS216" s="194"/>
      <c r="BT216" s="6"/>
      <c r="BU216" s="63"/>
      <c r="BV216" s="63"/>
      <c r="BW216" s="63"/>
      <c r="BX216" s="63"/>
      <c r="BY216" s="63"/>
      <c r="BZ216" s="63"/>
      <c r="CA216" s="63"/>
      <c r="CB216" s="63"/>
      <c r="CC216" s="63"/>
      <c r="CD216" s="192"/>
      <c r="CE216" s="196"/>
      <c r="CF216" s="192"/>
      <c r="CG216" s="194"/>
      <c r="CH216" s="259"/>
      <c r="CI216" s="197"/>
      <c r="CJ216" s="192"/>
      <c r="CK216" s="197"/>
      <c r="CL216" s="192"/>
      <c r="CM216" s="197"/>
      <c r="CN216" s="192"/>
      <c r="CO216" s="197"/>
      <c r="CP216" s="192"/>
      <c r="CQ216" s="193"/>
      <c r="CR216" s="197"/>
      <c r="CS216" s="69"/>
      <c r="CT216" s="89"/>
      <c r="CU216" s="255" t="str">
        <f t="shared" si="2"/>
        <v/>
      </c>
    </row>
    <row r="217" ht="56.25" hidden="1" customHeight="1">
      <c r="A217" s="125">
        <v>20.0</v>
      </c>
      <c r="B217" s="199"/>
      <c r="C217" s="127"/>
      <c r="D217" s="128"/>
      <c r="E217" s="260"/>
      <c r="F217" s="261"/>
      <c r="G217" s="261"/>
      <c r="H217" s="261"/>
      <c r="I217" s="261"/>
      <c r="J217" s="170"/>
      <c r="K217" s="219"/>
      <c r="L217" s="219"/>
      <c r="M217" s="219"/>
      <c r="N217" s="220"/>
      <c r="O217" s="132">
        <f t="shared" si="40"/>
        <v>0</v>
      </c>
      <c r="P217" s="133">
        <f>COUNTIF(K217:K227,"TL")*0.75+COUNTIF(K217:K227,"Lec")*1+COUNTIF(K217:K227,"Lab")*0.5</f>
        <v>0</v>
      </c>
      <c r="Q217" s="134">
        <f>SUM((IF(LEFT(K217,1)="E",O217,0)),(IF(LEFT(K218,1)="E",O218,0)),(IF(LEFT(K219,1)="E",O219,0)),(IF(LEFT(K220,1)="E",O220,0)),(IF(LEFT(K221,1)="E",O221,0)),(IF(LEFT(K222,1)="E",O222,0)),(IF(LEFT(K223,1)="E",O223,0)),(IF(LEFT(K224,1)="E",O224,0)),(IF(LEFT(K225,1)="E",O225,0)),(IF(LEFT(K226,1)="E",O226,0)),(IF(LEFT(K227,1)="E",O227,0)))</f>
        <v>0</v>
      </c>
      <c r="R217" s="135">
        <f>SUM(IF(M223&lt;20,IF(K223="Plec",-1,IF(K223="PTL",-0.75,IF(K223="Plab",-0.5,0))),0),IF(M224&lt;20,IF(K224="Plec",-1,IF(K224="PTL",-0.75,IF(K224="Plab",-0.5,0))),0),IF(M225&lt;20,IF(K225="Plec",-1,IF(K225="PTL",-0.75,IF(K225="Plab",-0.5,0))),0),IF(M226&lt;20,IF(K226="Plec",-1,IF(K226="PTL",-0.75,IF(K226="Plab",-0.5,0))),0))</f>
        <v>0</v>
      </c>
      <c r="S217" s="134">
        <f>SUM(P217:R227)</f>
        <v>0</v>
      </c>
      <c r="T217" s="136">
        <f>SUM(IF(M217="M",IF(OR(K217="lec",K217="plec",K217="slec"),1,IF(OR(K217="lab",K217="plab",K217="slab",K217="tut",K217="ptut",K217="stut"),0.5,IF(OR(K217="TL",K217="pTL",K217="STL"),0.75,0))),0),IF(M218="M",IF(OR(K218="lec",K218="plec",K218="slec"),1,IF(OR(K218="lab",K218="plab",K218="slab",K218="tut",K218="ptut",K218="stut"),0.5,IF(OR(K218="TL",K218="pTL",K218="STL"),0.75,0))),0),IF(M219="M",IF(OR(K219="lec",K219="plec",K219="slec"),1,IF(OR(K219="lab",K219="plab",K219="slab",K219="tut",K219="ptut",K219="stut"),0.5,IF(OR(K219="TL",K219="pTL",K219="STL"),0.75,0))),0),IF(M220="M",IF(OR(K220="lec",K220="plec",K220="slec"),1,IF(OR(K220="lab",K220="plab",K220="slab",K220="tut",K220="ptut",K220="stut"),0.5,IF(OR(K220="TL",K220="pTL",K220="STL"),0.75,0))),0),IF(M221="M",IF(OR(K221="lec",K221="plec",K221="slec"),1,IF(OR(K221="lab",K221="plab",K221="slab",K221="tut",K221="ptut",K221="stut"),0.5,IF(OR(K221="TL",K221="pTL",K221="STL"),0.75,0))),0),IF(M222="M",IF(OR(K222="lec",K222="plec",K222="slec"),1,IF(OR(K222="lab",K222="plab",K222="slab",K222="tut",K222="ptut",K222="stut"),0.5,IF(OR(K222="TL",K222="pTL",K222="STL"),0.75,0))),0),IF(M223="M",IF(OR(K223="lec",K223="plec",K223="slec"),1,IF(OR(K223="lab",K223="plab",K223="slab",K223="tut",K223="ptut",K223="stut"),0.5,IF(OR(K223="TL",K223="pTL",K223="STL"),0.75,0))),0),IF(M224="M",IF(OR(K224="lec",K224="plec",K224="slec"),1,IF(OR(K224="lab",K224="plab",K224="slab",K224="tut",K224="ptut",K224="stut"),0.5,IF(OR(K224="TL",K224="pTL",K224="STL"),0.75,0))),0),IF(M225="M",IF(OR(K225="lec",K225="plec",K225="slec"),1,IF(OR(K225="lab",K225="plab",K225="slab",K225="tut",K225="ptut",K225="stut"),0.5,IF(OR(K225="TL",K225="pTL",K225="STL"),0.75,0))),0),IF(M226="M",IF(OR(K226="lec",K226="plec",K226="slec"),1,IF(OR(K226="lab",K226="plab",K226="slab",K226="tut",K226="ptut",K226="stut"),0.5,IF(OR(K226="TL",K226="pTL",K226="STL"),0.75,0))),0),IF(M227="M",IF(OR(K227="lec",K227="plec",K227="slec"),1,IF(OR(K227="lab",K227="plab",K227="slab",K227="tut",K227="ptut",K227="stut"),0.5,IF(OR(K227="TL",K227="pTL",K227="STL"),0.75,0))),0))</f>
        <v>0</v>
      </c>
      <c r="U217" s="137"/>
      <c r="V217" s="133"/>
      <c r="W217" s="138"/>
      <c r="X217" s="139">
        <f>S217-(T217+U217+V217+W217)</f>
        <v>0</v>
      </c>
      <c r="Y217" s="134" t="str">
        <f>CONCATENATE(SUM(O217:O227),"(",SUM(O217:O227)-X217,")")</f>
        <v>0(0)</v>
      </c>
      <c r="Z217" s="140"/>
      <c r="AA217" s="141"/>
      <c r="AB217" s="142"/>
      <c r="AC217" s="142"/>
      <c r="AD217" s="142"/>
      <c r="AE217" s="142"/>
      <c r="AF217" s="142"/>
      <c r="AG217" s="142"/>
      <c r="AH217" s="142"/>
      <c r="AI217" s="143"/>
      <c r="AJ217" s="144"/>
      <c r="AK217" s="145"/>
      <c r="AL217" s="145"/>
      <c r="AM217" s="145"/>
      <c r="AN217" s="145"/>
      <c r="AO217" s="146"/>
      <c r="AP217" s="147">
        <f>SUM(SUM(O217:O227),SUM(AI217:AI227)/2,AM217)</f>
        <v>0</v>
      </c>
      <c r="AQ217" s="148"/>
      <c r="AR217" s="148">
        <f>AP217*AQ217</f>
        <v>0</v>
      </c>
      <c r="AS217" s="148">
        <f>CT217</f>
        <v>0</v>
      </c>
      <c r="AT217" s="149">
        <f>AR217*0.75+AS217*0.25</f>
        <v>0</v>
      </c>
      <c r="AU217" s="150"/>
      <c r="AV217" s="151"/>
      <c r="AW217" s="151"/>
      <c r="AX217" s="152"/>
      <c r="AY217" s="153"/>
      <c r="AZ217" s="140"/>
      <c r="BA217" s="150"/>
      <c r="BB217" s="151"/>
      <c r="BC217" s="151"/>
      <c r="BD217" s="151"/>
      <c r="BE217" s="151"/>
      <c r="BF217" s="151"/>
      <c r="BG217" s="151"/>
      <c r="BH217" s="151"/>
      <c r="BI217" s="152"/>
      <c r="BJ217" s="154"/>
      <c r="BK217" s="151"/>
      <c r="BL217" s="151"/>
      <c r="BM217" s="151"/>
      <c r="BN217" s="151"/>
      <c r="BO217" s="155"/>
      <c r="BP217" s="140"/>
      <c r="BQ217" s="156"/>
      <c r="BR217" s="157"/>
      <c r="BS217" s="158"/>
      <c r="BT217" s="153"/>
      <c r="BU217" s="140"/>
      <c r="BV217" s="140"/>
      <c r="BW217" s="140"/>
      <c r="BX217" s="140"/>
      <c r="BY217" s="140"/>
      <c r="BZ217" s="140"/>
      <c r="CA217" s="140"/>
      <c r="CB217" s="140"/>
      <c r="CC217" s="140"/>
      <c r="CD217" s="150"/>
      <c r="CE217" s="155"/>
      <c r="CF217" s="150"/>
      <c r="CG217" s="152"/>
      <c r="CH217" s="252"/>
      <c r="CI217" s="160"/>
      <c r="CJ217" s="159"/>
      <c r="CK217" s="160"/>
      <c r="CL217" s="159"/>
      <c r="CM217" s="160"/>
      <c r="CN217" s="159"/>
      <c r="CO217" s="160"/>
      <c r="CP217" s="159"/>
      <c r="CQ217" s="162"/>
      <c r="CR217" s="160"/>
      <c r="CS217" s="253">
        <f>SUM(IF(AU217&lt;0,ABS(AU217),0),IF(AZ217&lt;0,ABS(AZ217),0),ABS(CI217),ABS(CK217),ABS(CM217),ABS(CO217),ABS(CQ217),ABS(CR217))</f>
        <v>0</v>
      </c>
      <c r="CT217" s="254">
        <f>SUM(AU217,AV217,AW217,AX217/400,AY217,AZ217,BG217,BH217*0.5,BI217*0.25,BJ217,BK217,BL217,BM217,BN217,BO217,BP217,BR217/20,BS217/100,BT217/60,BU217,BV217,BW217,BX217/4,SUM(BY217:CC227)/3,CE217,CG217/3,CI217,CK217,CM217,CO217,CQ217,CR217)</f>
        <v>0</v>
      </c>
      <c r="CU217" s="255" t="str">
        <f t="shared" si="2"/>
        <v/>
      </c>
    </row>
    <row r="218" ht="60.0" hidden="1" customHeight="1">
      <c r="A218" s="65"/>
      <c r="C218" s="167"/>
      <c r="D218" s="205"/>
      <c r="E218" s="262"/>
      <c r="F218" s="170"/>
      <c r="G218" s="170"/>
      <c r="H218" s="170"/>
      <c r="I218" s="170"/>
      <c r="J218" s="170"/>
      <c r="K218" s="171"/>
      <c r="L218" s="171"/>
      <c r="M218" s="171"/>
      <c r="N218" s="209"/>
      <c r="O218" s="172">
        <f t="shared" si="40"/>
        <v>0</v>
      </c>
      <c r="P218" s="166"/>
      <c r="Q218" s="173"/>
      <c r="R218" s="65"/>
      <c r="S218" s="173"/>
      <c r="T218" s="173"/>
      <c r="U218" s="166"/>
      <c r="V218" s="166"/>
      <c r="W218" s="65"/>
      <c r="X218" s="66"/>
      <c r="Y218" s="173"/>
      <c r="Z218" s="166"/>
      <c r="AA218" s="174"/>
      <c r="AB218" s="175"/>
      <c r="AC218" s="175"/>
      <c r="AD218" s="175"/>
      <c r="AE218" s="175"/>
      <c r="AF218" s="175"/>
      <c r="AG218" s="175"/>
      <c r="AH218" s="175"/>
      <c r="AI218" s="176"/>
      <c r="AJ218" s="177"/>
      <c r="AK218" s="178"/>
      <c r="AL218" s="178"/>
      <c r="AM218" s="178"/>
      <c r="AN218" s="178"/>
      <c r="AO218" s="179"/>
      <c r="AP218" s="64"/>
      <c r="AQ218" s="65"/>
      <c r="AR218" s="65"/>
      <c r="AS218" s="65"/>
      <c r="AT218" s="173"/>
      <c r="AU218" s="177"/>
      <c r="AV218" s="178"/>
      <c r="AW218" s="178"/>
      <c r="AX218" s="179"/>
      <c r="AZ218" s="166"/>
      <c r="BA218" s="177"/>
      <c r="BB218" s="178"/>
      <c r="BC218" s="178"/>
      <c r="BD218" s="178"/>
      <c r="BE218" s="178"/>
      <c r="BF218" s="178"/>
      <c r="BG218" s="178"/>
      <c r="BH218" s="178"/>
      <c r="BI218" s="179"/>
      <c r="BJ218" s="180"/>
      <c r="BK218" s="178"/>
      <c r="BL218" s="178"/>
      <c r="BM218" s="178"/>
      <c r="BN218" s="178"/>
      <c r="BO218" s="181"/>
      <c r="BP218" s="166"/>
      <c r="BQ218" s="177"/>
      <c r="BR218" s="178"/>
      <c r="BS218" s="179"/>
      <c r="BU218" s="166"/>
      <c r="BV218" s="166"/>
      <c r="BW218" s="166"/>
      <c r="BX218" s="166"/>
      <c r="BY218" s="166"/>
      <c r="BZ218" s="166"/>
      <c r="CA218" s="166"/>
      <c r="CB218" s="166"/>
      <c r="CC218" s="166"/>
      <c r="CD218" s="177"/>
      <c r="CE218" s="181"/>
      <c r="CF218" s="177"/>
      <c r="CG218" s="179"/>
      <c r="CH218" s="257"/>
      <c r="CI218" s="182"/>
      <c r="CJ218" s="177"/>
      <c r="CK218" s="182"/>
      <c r="CL218" s="177"/>
      <c r="CM218" s="182"/>
      <c r="CN218" s="177"/>
      <c r="CO218" s="182"/>
      <c r="CP218" s="177"/>
      <c r="CQ218" s="178"/>
      <c r="CR218" s="182"/>
      <c r="CS218" s="173"/>
      <c r="CT218" s="65"/>
      <c r="CU218" s="255" t="str">
        <f t="shared" si="2"/>
        <v/>
      </c>
    </row>
    <row r="219" ht="60.0" hidden="1" customHeight="1">
      <c r="A219" s="65"/>
      <c r="C219" s="167"/>
      <c r="D219" s="205"/>
      <c r="E219" s="262"/>
      <c r="F219" s="170"/>
      <c r="G219" s="170"/>
      <c r="H219" s="170"/>
      <c r="I219" s="170"/>
      <c r="J219" s="170"/>
      <c r="K219" s="171"/>
      <c r="L219" s="171"/>
      <c r="M219" s="171"/>
      <c r="N219" s="209"/>
      <c r="O219" s="172">
        <f t="shared" si="40"/>
        <v>0</v>
      </c>
      <c r="P219" s="166"/>
      <c r="Q219" s="173"/>
      <c r="R219" s="65"/>
      <c r="S219" s="173"/>
      <c r="T219" s="173"/>
      <c r="U219" s="166"/>
      <c r="V219" s="166"/>
      <c r="W219" s="65"/>
      <c r="X219" s="66"/>
      <c r="Y219" s="173"/>
      <c r="Z219" s="166"/>
      <c r="AA219" s="174"/>
      <c r="AB219" s="175"/>
      <c r="AC219" s="175"/>
      <c r="AD219" s="175"/>
      <c r="AE219" s="175"/>
      <c r="AF219" s="175"/>
      <c r="AG219" s="175"/>
      <c r="AH219" s="175"/>
      <c r="AI219" s="176"/>
      <c r="AJ219" s="177"/>
      <c r="AK219" s="178"/>
      <c r="AL219" s="178"/>
      <c r="AM219" s="178"/>
      <c r="AN219" s="178"/>
      <c r="AO219" s="179"/>
      <c r="AP219" s="64"/>
      <c r="AQ219" s="65"/>
      <c r="AR219" s="65"/>
      <c r="AS219" s="65"/>
      <c r="AT219" s="173"/>
      <c r="AU219" s="177"/>
      <c r="AV219" s="178"/>
      <c r="AW219" s="178"/>
      <c r="AX219" s="179"/>
      <c r="AZ219" s="166"/>
      <c r="BA219" s="177"/>
      <c r="BB219" s="178"/>
      <c r="BC219" s="178"/>
      <c r="BD219" s="178"/>
      <c r="BE219" s="178"/>
      <c r="BF219" s="178"/>
      <c r="BG219" s="178"/>
      <c r="BH219" s="178"/>
      <c r="BI219" s="179"/>
      <c r="BJ219" s="180"/>
      <c r="BK219" s="178"/>
      <c r="BL219" s="178"/>
      <c r="BM219" s="178"/>
      <c r="BN219" s="178"/>
      <c r="BO219" s="181"/>
      <c r="BP219" s="166"/>
      <c r="BQ219" s="177"/>
      <c r="BR219" s="178"/>
      <c r="BS219" s="179"/>
      <c r="BU219" s="166"/>
      <c r="BV219" s="166"/>
      <c r="BW219" s="166"/>
      <c r="BX219" s="166"/>
      <c r="BY219" s="166"/>
      <c r="BZ219" s="166"/>
      <c r="CA219" s="166"/>
      <c r="CB219" s="166"/>
      <c r="CC219" s="166"/>
      <c r="CD219" s="177"/>
      <c r="CE219" s="181"/>
      <c r="CF219" s="177"/>
      <c r="CG219" s="179"/>
      <c r="CH219" s="257"/>
      <c r="CI219" s="182"/>
      <c r="CJ219" s="177"/>
      <c r="CK219" s="182"/>
      <c r="CL219" s="177"/>
      <c r="CM219" s="182"/>
      <c r="CN219" s="177"/>
      <c r="CO219" s="182"/>
      <c r="CP219" s="177"/>
      <c r="CQ219" s="178"/>
      <c r="CR219" s="182"/>
      <c r="CS219" s="173"/>
      <c r="CT219" s="65"/>
      <c r="CU219" s="255" t="str">
        <f t="shared" si="2"/>
        <v/>
      </c>
    </row>
    <row r="220" ht="60.0" hidden="1" customHeight="1">
      <c r="A220" s="65"/>
      <c r="C220" s="167"/>
      <c r="D220" s="205"/>
      <c r="E220" s="262"/>
      <c r="F220" s="170"/>
      <c r="G220" s="170"/>
      <c r="H220" s="170"/>
      <c r="I220" s="170"/>
      <c r="J220" s="170"/>
      <c r="K220" s="171"/>
      <c r="L220" s="171"/>
      <c r="M220" s="171"/>
      <c r="N220" s="209"/>
      <c r="O220" s="172">
        <f t="shared" si="40"/>
        <v>0</v>
      </c>
      <c r="P220" s="166"/>
      <c r="Q220" s="173"/>
      <c r="R220" s="65"/>
      <c r="S220" s="173"/>
      <c r="T220" s="173"/>
      <c r="U220" s="166"/>
      <c r="V220" s="166"/>
      <c r="W220" s="65"/>
      <c r="X220" s="66"/>
      <c r="Y220" s="173"/>
      <c r="Z220" s="166"/>
      <c r="AA220" s="174"/>
      <c r="AB220" s="175"/>
      <c r="AC220" s="175"/>
      <c r="AD220" s="175"/>
      <c r="AE220" s="175"/>
      <c r="AF220" s="175"/>
      <c r="AG220" s="175"/>
      <c r="AH220" s="175"/>
      <c r="AI220" s="176"/>
      <c r="AJ220" s="177"/>
      <c r="AK220" s="178"/>
      <c r="AL220" s="178"/>
      <c r="AM220" s="178"/>
      <c r="AN220" s="178"/>
      <c r="AO220" s="179"/>
      <c r="AP220" s="64"/>
      <c r="AQ220" s="65"/>
      <c r="AR220" s="65"/>
      <c r="AS220" s="65"/>
      <c r="AT220" s="173"/>
      <c r="AU220" s="177"/>
      <c r="AV220" s="178"/>
      <c r="AW220" s="178"/>
      <c r="AX220" s="179"/>
      <c r="AZ220" s="166"/>
      <c r="BA220" s="177"/>
      <c r="BB220" s="178"/>
      <c r="BC220" s="178"/>
      <c r="BD220" s="178"/>
      <c r="BE220" s="178"/>
      <c r="BF220" s="178"/>
      <c r="BG220" s="178"/>
      <c r="BH220" s="178"/>
      <c r="BI220" s="179"/>
      <c r="BJ220" s="180"/>
      <c r="BK220" s="178"/>
      <c r="BL220" s="178"/>
      <c r="BM220" s="178"/>
      <c r="BN220" s="178"/>
      <c r="BO220" s="181"/>
      <c r="BP220" s="166"/>
      <c r="BQ220" s="177"/>
      <c r="BR220" s="178"/>
      <c r="BS220" s="179"/>
      <c r="BU220" s="166"/>
      <c r="BV220" s="166"/>
      <c r="BW220" s="166"/>
      <c r="BX220" s="166"/>
      <c r="BY220" s="166"/>
      <c r="BZ220" s="166"/>
      <c r="CA220" s="166"/>
      <c r="CB220" s="166"/>
      <c r="CC220" s="166"/>
      <c r="CD220" s="177"/>
      <c r="CE220" s="181"/>
      <c r="CF220" s="177"/>
      <c r="CG220" s="179"/>
      <c r="CH220" s="257"/>
      <c r="CI220" s="182"/>
      <c r="CJ220" s="177"/>
      <c r="CK220" s="182"/>
      <c r="CL220" s="177"/>
      <c r="CM220" s="182"/>
      <c r="CN220" s="177"/>
      <c r="CO220" s="182"/>
      <c r="CP220" s="177"/>
      <c r="CQ220" s="178"/>
      <c r="CR220" s="182"/>
      <c r="CS220" s="173"/>
      <c r="CT220" s="65"/>
      <c r="CU220" s="255" t="str">
        <f t="shared" si="2"/>
        <v/>
      </c>
    </row>
    <row r="221" ht="60.0" hidden="1" customHeight="1">
      <c r="A221" s="65"/>
      <c r="C221" s="167"/>
      <c r="D221" s="205"/>
      <c r="E221" s="262"/>
      <c r="F221" s="170"/>
      <c r="G221" s="170"/>
      <c r="H221" s="170"/>
      <c r="I221" s="170"/>
      <c r="J221" s="170"/>
      <c r="K221" s="171"/>
      <c r="L221" s="171"/>
      <c r="M221" s="171"/>
      <c r="N221" s="209"/>
      <c r="O221" s="172">
        <f t="shared" si="40"/>
        <v>0</v>
      </c>
      <c r="P221" s="166"/>
      <c r="Q221" s="173"/>
      <c r="R221" s="65"/>
      <c r="S221" s="173"/>
      <c r="T221" s="173"/>
      <c r="U221" s="166"/>
      <c r="V221" s="166"/>
      <c r="W221" s="65"/>
      <c r="X221" s="66"/>
      <c r="Y221" s="173"/>
      <c r="Z221" s="166"/>
      <c r="AA221" s="174"/>
      <c r="AB221" s="175"/>
      <c r="AC221" s="175"/>
      <c r="AD221" s="175"/>
      <c r="AE221" s="175"/>
      <c r="AF221" s="175"/>
      <c r="AG221" s="175"/>
      <c r="AH221" s="175"/>
      <c r="AI221" s="176"/>
      <c r="AJ221" s="177"/>
      <c r="AK221" s="178"/>
      <c r="AL221" s="178"/>
      <c r="AM221" s="178"/>
      <c r="AN221" s="178"/>
      <c r="AO221" s="179"/>
      <c r="AP221" s="64"/>
      <c r="AQ221" s="65"/>
      <c r="AR221" s="65"/>
      <c r="AS221" s="65"/>
      <c r="AT221" s="173"/>
      <c r="AU221" s="177"/>
      <c r="AV221" s="178"/>
      <c r="AW221" s="178"/>
      <c r="AX221" s="179"/>
      <c r="AZ221" s="166"/>
      <c r="BA221" s="177"/>
      <c r="BB221" s="178"/>
      <c r="BC221" s="178"/>
      <c r="BD221" s="178"/>
      <c r="BE221" s="178"/>
      <c r="BF221" s="178"/>
      <c r="BG221" s="178"/>
      <c r="BH221" s="178"/>
      <c r="BI221" s="179"/>
      <c r="BJ221" s="180"/>
      <c r="BK221" s="178"/>
      <c r="BL221" s="178"/>
      <c r="BM221" s="178"/>
      <c r="BN221" s="178"/>
      <c r="BO221" s="181"/>
      <c r="BP221" s="166"/>
      <c r="BQ221" s="177"/>
      <c r="BR221" s="178"/>
      <c r="BS221" s="179"/>
      <c r="BU221" s="166"/>
      <c r="BV221" s="166"/>
      <c r="BW221" s="166"/>
      <c r="BX221" s="166"/>
      <c r="BY221" s="166"/>
      <c r="BZ221" s="166"/>
      <c r="CA221" s="166"/>
      <c r="CB221" s="166"/>
      <c r="CC221" s="166"/>
      <c r="CD221" s="177"/>
      <c r="CE221" s="181"/>
      <c r="CF221" s="177"/>
      <c r="CG221" s="179"/>
      <c r="CH221" s="257"/>
      <c r="CI221" s="182"/>
      <c r="CJ221" s="177"/>
      <c r="CK221" s="182"/>
      <c r="CL221" s="177"/>
      <c r="CM221" s="182"/>
      <c r="CN221" s="177"/>
      <c r="CO221" s="182"/>
      <c r="CP221" s="177"/>
      <c r="CQ221" s="178"/>
      <c r="CR221" s="182"/>
      <c r="CS221" s="173"/>
      <c r="CT221" s="65"/>
      <c r="CU221" s="255" t="str">
        <f t="shared" si="2"/>
        <v/>
      </c>
    </row>
    <row r="222" ht="60.0" hidden="1" customHeight="1">
      <c r="A222" s="65"/>
      <c r="C222" s="167"/>
      <c r="D222" s="205"/>
      <c r="E222" s="262"/>
      <c r="F222" s="170"/>
      <c r="G222" s="170"/>
      <c r="H222" s="170"/>
      <c r="I222" s="170"/>
      <c r="J222" s="170"/>
      <c r="K222" s="171"/>
      <c r="L222" s="171"/>
      <c r="M222" s="171"/>
      <c r="N222" s="209"/>
      <c r="O222" s="172">
        <f t="shared" si="40"/>
        <v>0</v>
      </c>
      <c r="P222" s="166"/>
      <c r="Q222" s="173"/>
      <c r="R222" s="65"/>
      <c r="S222" s="173"/>
      <c r="T222" s="173"/>
      <c r="U222" s="166"/>
      <c r="V222" s="166"/>
      <c r="W222" s="65"/>
      <c r="X222" s="66"/>
      <c r="Y222" s="173"/>
      <c r="Z222" s="166"/>
      <c r="AA222" s="174"/>
      <c r="AB222" s="175"/>
      <c r="AC222" s="175"/>
      <c r="AD222" s="175"/>
      <c r="AE222" s="175"/>
      <c r="AF222" s="175"/>
      <c r="AG222" s="175"/>
      <c r="AH222" s="175"/>
      <c r="AI222" s="176"/>
      <c r="AJ222" s="177"/>
      <c r="AK222" s="178"/>
      <c r="AL222" s="178"/>
      <c r="AM222" s="178"/>
      <c r="AN222" s="178"/>
      <c r="AO222" s="179"/>
      <c r="AP222" s="64"/>
      <c r="AQ222" s="65"/>
      <c r="AR222" s="65"/>
      <c r="AS222" s="65"/>
      <c r="AT222" s="173"/>
      <c r="AU222" s="177"/>
      <c r="AV222" s="178"/>
      <c r="AW222" s="178"/>
      <c r="AX222" s="179"/>
      <c r="AZ222" s="166"/>
      <c r="BA222" s="177"/>
      <c r="BB222" s="178"/>
      <c r="BC222" s="178"/>
      <c r="BD222" s="178"/>
      <c r="BE222" s="178"/>
      <c r="BF222" s="178"/>
      <c r="BG222" s="178"/>
      <c r="BH222" s="178"/>
      <c r="BI222" s="179"/>
      <c r="BJ222" s="180"/>
      <c r="BK222" s="178"/>
      <c r="BL222" s="178"/>
      <c r="BM222" s="178"/>
      <c r="BN222" s="178"/>
      <c r="BO222" s="181"/>
      <c r="BP222" s="166"/>
      <c r="BQ222" s="177"/>
      <c r="BR222" s="178"/>
      <c r="BS222" s="179"/>
      <c r="BU222" s="166"/>
      <c r="BV222" s="166"/>
      <c r="BW222" s="166"/>
      <c r="BX222" s="166"/>
      <c r="BY222" s="166"/>
      <c r="BZ222" s="166"/>
      <c r="CA222" s="166"/>
      <c r="CB222" s="166"/>
      <c r="CC222" s="166"/>
      <c r="CD222" s="177"/>
      <c r="CE222" s="181"/>
      <c r="CF222" s="177"/>
      <c r="CG222" s="179"/>
      <c r="CH222" s="257"/>
      <c r="CI222" s="182"/>
      <c r="CJ222" s="177"/>
      <c r="CK222" s="182"/>
      <c r="CL222" s="177"/>
      <c r="CM222" s="182"/>
      <c r="CN222" s="177"/>
      <c r="CO222" s="182"/>
      <c r="CP222" s="177"/>
      <c r="CQ222" s="178"/>
      <c r="CR222" s="182"/>
      <c r="CS222" s="173"/>
      <c r="CT222" s="65"/>
      <c r="CU222" s="255" t="str">
        <f t="shared" si="2"/>
        <v/>
      </c>
    </row>
    <row r="223" ht="60.0" hidden="1" customHeight="1">
      <c r="A223" s="65"/>
      <c r="C223" s="167"/>
      <c r="D223" s="205"/>
      <c r="E223" s="262"/>
      <c r="F223" s="170"/>
      <c r="G223" s="170"/>
      <c r="H223" s="170"/>
      <c r="I223" s="170"/>
      <c r="J223" s="170"/>
      <c r="K223" s="171"/>
      <c r="L223" s="171"/>
      <c r="M223" s="171"/>
      <c r="N223" s="209"/>
      <c r="O223" s="172">
        <f t="shared" ref="O223:O226" si="41">IF(AND(M223&gt;=20,M223&lt;&gt;"m",RIGHT(K223,3)="Lec"),1,IF(AND(M223&gt;=20,M223&lt;&gt;"m",OR(RIGHT(K223,3)="Lab",RIGHT(K223,3)="Tut")),0.5,IF(AND(M223&gt;=20,M223&lt;&gt;"m",RIGHT(K223,2)="TL"),0.75,0)))</f>
        <v>0</v>
      </c>
      <c r="P223" s="166"/>
      <c r="Q223" s="173"/>
      <c r="R223" s="65"/>
      <c r="S223" s="173"/>
      <c r="T223" s="173"/>
      <c r="U223" s="166"/>
      <c r="V223" s="166"/>
      <c r="W223" s="65"/>
      <c r="X223" s="66"/>
      <c r="Y223" s="173"/>
      <c r="Z223" s="166"/>
      <c r="AA223" s="174"/>
      <c r="AB223" s="175"/>
      <c r="AC223" s="175"/>
      <c r="AD223" s="175"/>
      <c r="AE223" s="175"/>
      <c r="AF223" s="175"/>
      <c r="AG223" s="175"/>
      <c r="AH223" s="175"/>
      <c r="AI223" s="176"/>
      <c r="AJ223" s="177"/>
      <c r="AK223" s="178"/>
      <c r="AL223" s="178"/>
      <c r="AM223" s="178"/>
      <c r="AN223" s="178"/>
      <c r="AO223" s="179"/>
      <c r="AP223" s="64"/>
      <c r="AQ223" s="65"/>
      <c r="AR223" s="65"/>
      <c r="AS223" s="65"/>
      <c r="AT223" s="173"/>
      <c r="AU223" s="177"/>
      <c r="AV223" s="178"/>
      <c r="AW223" s="178"/>
      <c r="AX223" s="179"/>
      <c r="AZ223" s="166"/>
      <c r="BA223" s="177"/>
      <c r="BB223" s="178"/>
      <c r="BC223" s="178"/>
      <c r="BD223" s="178"/>
      <c r="BE223" s="178"/>
      <c r="BF223" s="178"/>
      <c r="BG223" s="178"/>
      <c r="BH223" s="178"/>
      <c r="BI223" s="179"/>
      <c r="BJ223" s="180"/>
      <c r="BK223" s="178"/>
      <c r="BL223" s="178"/>
      <c r="BM223" s="178"/>
      <c r="BN223" s="178"/>
      <c r="BO223" s="181"/>
      <c r="BP223" s="166"/>
      <c r="BQ223" s="177"/>
      <c r="BR223" s="178"/>
      <c r="BS223" s="179"/>
      <c r="BU223" s="166"/>
      <c r="BV223" s="166"/>
      <c r="BW223" s="166"/>
      <c r="BX223" s="166"/>
      <c r="BY223" s="166"/>
      <c r="BZ223" s="166"/>
      <c r="CA223" s="166"/>
      <c r="CB223" s="166"/>
      <c r="CC223" s="166"/>
      <c r="CD223" s="177"/>
      <c r="CE223" s="181"/>
      <c r="CF223" s="177"/>
      <c r="CG223" s="179"/>
      <c r="CH223" s="257"/>
      <c r="CI223" s="182"/>
      <c r="CJ223" s="177"/>
      <c r="CK223" s="182"/>
      <c r="CL223" s="177"/>
      <c r="CM223" s="182"/>
      <c r="CN223" s="177"/>
      <c r="CO223" s="182"/>
      <c r="CP223" s="177"/>
      <c r="CQ223" s="178"/>
      <c r="CR223" s="182"/>
      <c r="CS223" s="173"/>
      <c r="CT223" s="65"/>
      <c r="CU223" s="255" t="str">
        <f t="shared" si="2"/>
        <v/>
      </c>
    </row>
    <row r="224" ht="60.0" hidden="1" customHeight="1">
      <c r="A224" s="65"/>
      <c r="C224" s="167"/>
      <c r="D224" s="205"/>
      <c r="E224" s="262"/>
      <c r="F224" s="170"/>
      <c r="G224" s="170"/>
      <c r="H224" s="170"/>
      <c r="I224" s="170"/>
      <c r="J224" s="170"/>
      <c r="K224" s="171"/>
      <c r="L224" s="171"/>
      <c r="M224" s="171"/>
      <c r="N224" s="209"/>
      <c r="O224" s="172">
        <f t="shared" si="41"/>
        <v>0</v>
      </c>
      <c r="P224" s="166"/>
      <c r="Q224" s="173"/>
      <c r="R224" s="65"/>
      <c r="S224" s="173"/>
      <c r="T224" s="173"/>
      <c r="U224" s="166"/>
      <c r="V224" s="166"/>
      <c r="W224" s="65"/>
      <c r="X224" s="66"/>
      <c r="Y224" s="173"/>
      <c r="Z224" s="166"/>
      <c r="AA224" s="174"/>
      <c r="AB224" s="175"/>
      <c r="AC224" s="175"/>
      <c r="AD224" s="175"/>
      <c r="AE224" s="175"/>
      <c r="AF224" s="175"/>
      <c r="AG224" s="175"/>
      <c r="AH224" s="175"/>
      <c r="AI224" s="176"/>
      <c r="AJ224" s="177"/>
      <c r="AK224" s="178"/>
      <c r="AL224" s="178"/>
      <c r="AM224" s="178"/>
      <c r="AN224" s="178"/>
      <c r="AO224" s="179"/>
      <c r="AP224" s="64"/>
      <c r="AQ224" s="65"/>
      <c r="AR224" s="65"/>
      <c r="AS224" s="65"/>
      <c r="AT224" s="173"/>
      <c r="AU224" s="177"/>
      <c r="AV224" s="178"/>
      <c r="AW224" s="178"/>
      <c r="AX224" s="179"/>
      <c r="AZ224" s="166"/>
      <c r="BA224" s="177"/>
      <c r="BB224" s="178"/>
      <c r="BC224" s="178"/>
      <c r="BD224" s="178"/>
      <c r="BE224" s="178"/>
      <c r="BF224" s="178"/>
      <c r="BG224" s="178"/>
      <c r="BH224" s="178"/>
      <c r="BI224" s="179"/>
      <c r="BJ224" s="180"/>
      <c r="BK224" s="178"/>
      <c r="BL224" s="178"/>
      <c r="BM224" s="178"/>
      <c r="BN224" s="178"/>
      <c r="BO224" s="181"/>
      <c r="BP224" s="166"/>
      <c r="BQ224" s="177"/>
      <c r="BR224" s="178"/>
      <c r="BS224" s="179"/>
      <c r="BU224" s="166"/>
      <c r="BV224" s="166"/>
      <c r="BW224" s="166"/>
      <c r="BX224" s="166"/>
      <c r="BY224" s="166"/>
      <c r="BZ224" s="166"/>
      <c r="CA224" s="166"/>
      <c r="CB224" s="166"/>
      <c r="CC224" s="166"/>
      <c r="CD224" s="177"/>
      <c r="CE224" s="181"/>
      <c r="CF224" s="177"/>
      <c r="CG224" s="179"/>
      <c r="CH224" s="257"/>
      <c r="CI224" s="182"/>
      <c r="CJ224" s="177"/>
      <c r="CK224" s="182"/>
      <c r="CL224" s="177"/>
      <c r="CM224" s="182"/>
      <c r="CN224" s="177"/>
      <c r="CO224" s="182"/>
      <c r="CP224" s="177"/>
      <c r="CQ224" s="178"/>
      <c r="CR224" s="182"/>
      <c r="CS224" s="173"/>
      <c r="CT224" s="65"/>
      <c r="CU224" s="255" t="str">
        <f t="shared" si="2"/>
        <v/>
      </c>
    </row>
    <row r="225" ht="60.0" hidden="1" customHeight="1">
      <c r="A225" s="65"/>
      <c r="C225" s="167"/>
      <c r="D225" s="205"/>
      <c r="E225" s="262"/>
      <c r="F225" s="170"/>
      <c r="G225" s="170"/>
      <c r="H225" s="170"/>
      <c r="I225" s="170"/>
      <c r="J225" s="170"/>
      <c r="K225" s="171"/>
      <c r="L225" s="171"/>
      <c r="M225" s="171"/>
      <c r="N225" s="209"/>
      <c r="O225" s="172">
        <f t="shared" si="41"/>
        <v>0</v>
      </c>
      <c r="P225" s="166"/>
      <c r="Q225" s="173"/>
      <c r="R225" s="65"/>
      <c r="S225" s="173"/>
      <c r="T225" s="173"/>
      <c r="U225" s="166"/>
      <c r="V225" s="166"/>
      <c r="W225" s="65"/>
      <c r="X225" s="66"/>
      <c r="Y225" s="173"/>
      <c r="Z225" s="166"/>
      <c r="AA225" s="174"/>
      <c r="AB225" s="175"/>
      <c r="AC225" s="175"/>
      <c r="AD225" s="175"/>
      <c r="AE225" s="175"/>
      <c r="AF225" s="175"/>
      <c r="AG225" s="175"/>
      <c r="AH225" s="175"/>
      <c r="AI225" s="176"/>
      <c r="AJ225" s="177"/>
      <c r="AK225" s="178"/>
      <c r="AL225" s="178"/>
      <c r="AM225" s="178"/>
      <c r="AN225" s="178"/>
      <c r="AO225" s="179"/>
      <c r="AP225" s="64"/>
      <c r="AQ225" s="65"/>
      <c r="AR225" s="65"/>
      <c r="AS225" s="65"/>
      <c r="AT225" s="173"/>
      <c r="AU225" s="177"/>
      <c r="AV225" s="178"/>
      <c r="AW225" s="178"/>
      <c r="AX225" s="179"/>
      <c r="AZ225" s="166"/>
      <c r="BA225" s="177"/>
      <c r="BB225" s="178"/>
      <c r="BC225" s="178"/>
      <c r="BD225" s="178"/>
      <c r="BE225" s="178"/>
      <c r="BF225" s="178"/>
      <c r="BG225" s="178"/>
      <c r="BH225" s="178"/>
      <c r="BI225" s="179"/>
      <c r="BJ225" s="180"/>
      <c r="BK225" s="178"/>
      <c r="BL225" s="178"/>
      <c r="BM225" s="178"/>
      <c r="BN225" s="178"/>
      <c r="BO225" s="181"/>
      <c r="BP225" s="166"/>
      <c r="BQ225" s="177"/>
      <c r="BR225" s="178"/>
      <c r="BS225" s="179"/>
      <c r="BU225" s="166"/>
      <c r="BV225" s="166"/>
      <c r="BW225" s="166"/>
      <c r="BX225" s="166"/>
      <c r="BY225" s="166"/>
      <c r="BZ225" s="166"/>
      <c r="CA225" s="166"/>
      <c r="CB225" s="166"/>
      <c r="CC225" s="166"/>
      <c r="CD225" s="177"/>
      <c r="CE225" s="181"/>
      <c r="CF225" s="177"/>
      <c r="CG225" s="179"/>
      <c r="CH225" s="257"/>
      <c r="CI225" s="182"/>
      <c r="CJ225" s="177"/>
      <c r="CK225" s="182"/>
      <c r="CL225" s="177"/>
      <c r="CM225" s="182"/>
      <c r="CN225" s="177"/>
      <c r="CO225" s="182"/>
      <c r="CP225" s="177"/>
      <c r="CQ225" s="178"/>
      <c r="CR225" s="182"/>
      <c r="CS225" s="173"/>
      <c r="CT225" s="65"/>
      <c r="CU225" s="255" t="str">
        <f t="shared" si="2"/>
        <v/>
      </c>
    </row>
    <row r="226" ht="60.0" hidden="1" customHeight="1">
      <c r="A226" s="65"/>
      <c r="C226" s="167"/>
      <c r="D226" s="205"/>
      <c r="E226" s="262"/>
      <c r="F226" s="170"/>
      <c r="G226" s="170"/>
      <c r="H226" s="170"/>
      <c r="I226" s="170"/>
      <c r="J226" s="170"/>
      <c r="K226" s="171"/>
      <c r="L226" s="171"/>
      <c r="M226" s="171"/>
      <c r="N226" s="209"/>
      <c r="O226" s="172">
        <f t="shared" si="41"/>
        <v>0</v>
      </c>
      <c r="P226" s="166"/>
      <c r="Q226" s="173"/>
      <c r="R226" s="65"/>
      <c r="S226" s="173"/>
      <c r="T226" s="173"/>
      <c r="U226" s="166"/>
      <c r="V226" s="166"/>
      <c r="W226" s="65"/>
      <c r="X226" s="66"/>
      <c r="Y226" s="173"/>
      <c r="Z226" s="166"/>
      <c r="AA226" s="174"/>
      <c r="AB226" s="175"/>
      <c r="AC226" s="175"/>
      <c r="AD226" s="175"/>
      <c r="AE226" s="175"/>
      <c r="AF226" s="175"/>
      <c r="AG226" s="175"/>
      <c r="AH226" s="175"/>
      <c r="AI226" s="176"/>
      <c r="AJ226" s="177"/>
      <c r="AK226" s="178"/>
      <c r="AL226" s="178"/>
      <c r="AM226" s="178"/>
      <c r="AN226" s="178"/>
      <c r="AO226" s="179"/>
      <c r="AP226" s="64"/>
      <c r="AQ226" s="65"/>
      <c r="AR226" s="65"/>
      <c r="AS226" s="65"/>
      <c r="AT226" s="173"/>
      <c r="AU226" s="177"/>
      <c r="AV226" s="178"/>
      <c r="AW226" s="178"/>
      <c r="AX226" s="179"/>
      <c r="AZ226" s="166"/>
      <c r="BA226" s="177"/>
      <c r="BB226" s="178"/>
      <c r="BC226" s="178"/>
      <c r="BD226" s="178"/>
      <c r="BE226" s="178"/>
      <c r="BF226" s="178"/>
      <c r="BG226" s="178"/>
      <c r="BH226" s="178"/>
      <c r="BI226" s="179"/>
      <c r="BJ226" s="180"/>
      <c r="BK226" s="178"/>
      <c r="BL226" s="178"/>
      <c r="BM226" s="178"/>
      <c r="BN226" s="178"/>
      <c r="BO226" s="181"/>
      <c r="BP226" s="166"/>
      <c r="BQ226" s="177"/>
      <c r="BR226" s="178"/>
      <c r="BS226" s="179"/>
      <c r="BU226" s="166"/>
      <c r="BV226" s="166"/>
      <c r="BW226" s="166"/>
      <c r="BX226" s="166"/>
      <c r="BY226" s="166"/>
      <c r="BZ226" s="166"/>
      <c r="CA226" s="166"/>
      <c r="CB226" s="166"/>
      <c r="CC226" s="166"/>
      <c r="CD226" s="177"/>
      <c r="CE226" s="181"/>
      <c r="CF226" s="177"/>
      <c r="CG226" s="179"/>
      <c r="CH226" s="257"/>
      <c r="CI226" s="182"/>
      <c r="CJ226" s="177"/>
      <c r="CK226" s="182"/>
      <c r="CL226" s="177"/>
      <c r="CM226" s="182"/>
      <c r="CN226" s="177"/>
      <c r="CO226" s="182"/>
      <c r="CP226" s="177"/>
      <c r="CQ226" s="178"/>
      <c r="CR226" s="182"/>
      <c r="CS226" s="173"/>
      <c r="CT226" s="65"/>
      <c r="CU226" s="255" t="str">
        <f t="shared" si="2"/>
        <v/>
      </c>
    </row>
    <row r="227" ht="60.0" hidden="1" customHeight="1">
      <c r="A227" s="89"/>
      <c r="B227" s="6"/>
      <c r="C227" s="183"/>
      <c r="D227" s="210"/>
      <c r="E227" s="263"/>
      <c r="F227" s="186"/>
      <c r="G227" s="186"/>
      <c r="H227" s="186"/>
      <c r="I227" s="186"/>
      <c r="J227" s="186"/>
      <c r="K227" s="187"/>
      <c r="L227" s="187"/>
      <c r="M227" s="187"/>
      <c r="N227" s="214"/>
      <c r="O227" s="188">
        <f t="shared" ref="O227:O233" si="42">IF(AND(M227&lt;&gt;0,M227&lt;&gt;"m",M227&lt;&gt;"",RIGHT(K227,3)="Lec"),1,IF(AND(M227&lt;&gt;0,M227&lt;&gt;"m",M227&lt;&gt;"",OR(RIGHT(K227,3)="Lab",RIGHT(K227,3)="Tut")),0.5,IF(AND(M227&lt;&gt;0,M227&lt;&gt;"m",M227&lt;&gt;"",RIGHT(K227,2)="TL"),0.75,0)))</f>
        <v>0</v>
      </c>
      <c r="P227" s="63"/>
      <c r="Q227" s="69"/>
      <c r="R227" s="89"/>
      <c r="S227" s="69"/>
      <c r="T227" s="69"/>
      <c r="U227" s="63"/>
      <c r="V227" s="63"/>
      <c r="W227" s="89"/>
      <c r="X227" s="68"/>
      <c r="Y227" s="69"/>
      <c r="Z227" s="63"/>
      <c r="AA227" s="189"/>
      <c r="AB227" s="190"/>
      <c r="AC227" s="190"/>
      <c r="AD227" s="190"/>
      <c r="AE227" s="190"/>
      <c r="AF227" s="190"/>
      <c r="AG227" s="190"/>
      <c r="AH227" s="190"/>
      <c r="AI227" s="191"/>
      <c r="AJ227" s="192"/>
      <c r="AK227" s="193"/>
      <c r="AL227" s="193"/>
      <c r="AM227" s="193"/>
      <c r="AN227" s="193"/>
      <c r="AO227" s="194"/>
      <c r="AP227" s="103"/>
      <c r="AQ227" s="89"/>
      <c r="AR227" s="89"/>
      <c r="AS227" s="89"/>
      <c r="AT227" s="69"/>
      <c r="AU227" s="192"/>
      <c r="AV227" s="193"/>
      <c r="AW227" s="193"/>
      <c r="AX227" s="194"/>
      <c r="AY227" s="6"/>
      <c r="AZ227" s="63"/>
      <c r="BA227" s="192"/>
      <c r="BB227" s="193"/>
      <c r="BC227" s="193"/>
      <c r="BD227" s="193"/>
      <c r="BE227" s="193"/>
      <c r="BF227" s="193"/>
      <c r="BG227" s="193"/>
      <c r="BH227" s="193"/>
      <c r="BI227" s="194"/>
      <c r="BJ227" s="195"/>
      <c r="BK227" s="193"/>
      <c r="BL227" s="193"/>
      <c r="BM227" s="193"/>
      <c r="BN227" s="193"/>
      <c r="BO227" s="196"/>
      <c r="BP227" s="63"/>
      <c r="BQ227" s="192"/>
      <c r="BR227" s="193"/>
      <c r="BS227" s="194"/>
      <c r="BT227" s="6"/>
      <c r="BU227" s="63"/>
      <c r="BV227" s="63"/>
      <c r="BW227" s="63"/>
      <c r="BX227" s="63"/>
      <c r="BY227" s="63"/>
      <c r="BZ227" s="63"/>
      <c r="CA227" s="63"/>
      <c r="CB227" s="63"/>
      <c r="CC227" s="63"/>
      <c r="CD227" s="192"/>
      <c r="CE227" s="196"/>
      <c r="CF227" s="192"/>
      <c r="CG227" s="194"/>
      <c r="CH227" s="259"/>
      <c r="CI227" s="197"/>
      <c r="CJ227" s="192"/>
      <c r="CK227" s="197"/>
      <c r="CL227" s="192"/>
      <c r="CM227" s="197"/>
      <c r="CN227" s="192"/>
      <c r="CO227" s="197"/>
      <c r="CP227" s="192"/>
      <c r="CQ227" s="193"/>
      <c r="CR227" s="197"/>
      <c r="CS227" s="69"/>
      <c r="CT227" s="89"/>
      <c r="CU227" s="255" t="str">
        <f t="shared" si="2"/>
        <v/>
      </c>
    </row>
    <row r="228" ht="56.25" hidden="1" customHeight="1">
      <c r="A228" s="125">
        <v>21.0</v>
      </c>
      <c r="B228" s="199"/>
      <c r="C228" s="127"/>
      <c r="D228" s="128"/>
      <c r="E228" s="260"/>
      <c r="F228" s="261"/>
      <c r="G228" s="261"/>
      <c r="H228" s="261"/>
      <c r="I228" s="261"/>
      <c r="J228" s="170"/>
      <c r="K228" s="219"/>
      <c r="L228" s="219"/>
      <c r="M228" s="219"/>
      <c r="N228" s="220"/>
      <c r="O228" s="132">
        <f t="shared" si="42"/>
        <v>0</v>
      </c>
      <c r="P228" s="133">
        <f>COUNTIF(K228:K238,"TL")*0.75+COUNTIF(K228:K238,"Lec")*1+COUNTIF(K228:K238,"Lab")*0.5</f>
        <v>0</v>
      </c>
      <c r="Q228" s="134">
        <f>SUM((IF(LEFT(K228,1)="E",O228,0)),(IF(LEFT(K229,1)="E",O229,0)),(IF(LEFT(K230,1)="E",O230,0)),(IF(LEFT(K231,1)="E",O231,0)),(IF(LEFT(K232,1)="E",O232,0)),(IF(LEFT(K233,1)="E",O233,0)),(IF(LEFT(K234,1)="E",O234,0)),(IF(LEFT(K235,1)="E",O235,0)),(IF(LEFT(K236,1)="E",O236,0)),(IF(LEFT(K237,1)="E",O237,0)),(IF(LEFT(K238,1)="E",O238,0)))</f>
        <v>0</v>
      </c>
      <c r="R228" s="135">
        <f>SUM(IF(M234&lt;20,IF(K234="Plec",-1,IF(K234="PTL",-0.75,IF(K234="Plab",-0.5,0))),0),IF(M235&lt;20,IF(K235="Plec",-1,IF(K235="PTL",-0.75,IF(K235="Plab",-0.5,0))),0),IF(M236&lt;20,IF(K236="Plec",-1,IF(K236="PTL",-0.75,IF(K236="Plab",-0.5,0))),0),IF(M237&lt;20,IF(K237="Plec",-1,IF(K237="PTL",-0.75,IF(K237="Plab",-0.5,0))),0))</f>
        <v>0</v>
      </c>
      <c r="S228" s="134">
        <f>SUM(P228:R238)</f>
        <v>0</v>
      </c>
      <c r="T228" s="136">
        <f>SUM(IF(M228="M",IF(OR(K228="lec",K228="plec",K228="slec"),1,IF(OR(K228="lab",K228="plab",K228="slab",K228="tut",K228="ptut",K228="stut"),0.5,IF(OR(K228="TL",K228="pTL",K228="STL"),0.75,0))),0),IF(M229="M",IF(OR(K229="lec",K229="plec",K229="slec"),1,IF(OR(K229="lab",K229="plab",K229="slab",K229="tut",K229="ptut",K229="stut"),0.5,IF(OR(K229="TL",K229="pTL",K229="STL"),0.75,0))),0),IF(M230="M",IF(OR(K230="lec",K230="plec",K230="slec"),1,IF(OR(K230="lab",K230="plab",K230="slab",K230="tut",K230="ptut",K230="stut"),0.5,IF(OR(K230="TL",K230="pTL",K230="STL"),0.75,0))),0),IF(M231="M",IF(OR(K231="lec",K231="plec",K231="slec"),1,IF(OR(K231="lab",K231="plab",K231="slab",K231="tut",K231="ptut",K231="stut"),0.5,IF(OR(K231="TL",K231="pTL",K231="STL"),0.75,0))),0),IF(M232="M",IF(OR(K232="lec",K232="plec",K232="slec"),1,IF(OR(K232="lab",K232="plab",K232="slab",K232="tut",K232="ptut",K232="stut"),0.5,IF(OR(K232="TL",K232="pTL",K232="STL"),0.75,0))),0),IF(M233="M",IF(OR(K233="lec",K233="plec",K233="slec"),1,IF(OR(K233="lab",K233="plab",K233="slab",K233="tut",K233="ptut",K233="stut"),0.5,IF(OR(K233="TL",K233="pTL",K233="STL"),0.75,0))),0),IF(M234="M",IF(OR(K234="lec",K234="plec",K234="slec"),1,IF(OR(K234="lab",K234="plab",K234="slab",K234="tut",K234="ptut",K234="stut"),0.5,IF(OR(K234="TL",K234="pTL",K234="STL"),0.75,0))),0),IF(M235="M",IF(OR(K235="lec",K235="plec",K235="slec"),1,IF(OR(K235="lab",K235="plab",K235="slab",K235="tut",K235="ptut",K235="stut"),0.5,IF(OR(K235="TL",K235="pTL",K235="STL"),0.75,0))),0),IF(M236="M",IF(OR(K236="lec",K236="plec",K236="slec"),1,IF(OR(K236="lab",K236="plab",K236="slab",K236="tut",K236="ptut",K236="stut"),0.5,IF(OR(K236="TL",K236="pTL",K236="STL"),0.75,0))),0),IF(M237="M",IF(OR(K237="lec",K237="plec",K237="slec"),1,IF(OR(K237="lab",K237="plab",K237="slab",K237="tut",K237="ptut",K237="stut"),0.5,IF(OR(K237="TL",K237="pTL",K237="STL"),0.75,0))),0),IF(M238="M",IF(OR(K238="lec",K238="plec",K238="slec"),1,IF(OR(K238="lab",K238="plab",K238="slab",K238="tut",K238="ptut",K238="stut"),0.5,IF(OR(K238="TL",K238="pTL",K238="STL"),0.75,0))),0))</f>
        <v>0</v>
      </c>
      <c r="U228" s="137"/>
      <c r="V228" s="133"/>
      <c r="W228" s="138"/>
      <c r="X228" s="139">
        <f>S228-(T228+U228+V228+W228)</f>
        <v>0</v>
      </c>
      <c r="Y228" s="134" t="str">
        <f>CONCATENATE(SUM(O228:O238),"(",SUM(O228:O238)-X228,")")</f>
        <v>0(0)</v>
      </c>
      <c r="Z228" s="140"/>
      <c r="AA228" s="141"/>
      <c r="AB228" s="142"/>
      <c r="AC228" s="142"/>
      <c r="AD228" s="142"/>
      <c r="AE228" s="142"/>
      <c r="AF228" s="142"/>
      <c r="AG228" s="142"/>
      <c r="AH228" s="142"/>
      <c r="AI228" s="143"/>
      <c r="AJ228" s="144"/>
      <c r="AK228" s="145"/>
      <c r="AL228" s="145"/>
      <c r="AM228" s="145"/>
      <c r="AN228" s="145"/>
      <c r="AO228" s="146"/>
      <c r="AP228" s="147">
        <f>SUM(SUM(O228:O238),SUM(AI228:AI238)/2,AM228)</f>
        <v>0</v>
      </c>
      <c r="AQ228" s="148"/>
      <c r="AR228" s="148">
        <f>AP228*AQ228</f>
        <v>0</v>
      </c>
      <c r="AS228" s="148">
        <f>CT228</f>
        <v>0</v>
      </c>
      <c r="AT228" s="149">
        <f>AR228*0.75+AS228*0.25</f>
        <v>0</v>
      </c>
      <c r="AU228" s="150"/>
      <c r="AV228" s="151"/>
      <c r="AW228" s="151"/>
      <c r="AX228" s="152"/>
      <c r="AY228" s="153"/>
      <c r="AZ228" s="140"/>
      <c r="BA228" s="150"/>
      <c r="BB228" s="151"/>
      <c r="BC228" s="151"/>
      <c r="BD228" s="151"/>
      <c r="BE228" s="151"/>
      <c r="BF228" s="151"/>
      <c r="BG228" s="151"/>
      <c r="BH228" s="151"/>
      <c r="BI228" s="152"/>
      <c r="BJ228" s="154"/>
      <c r="BK228" s="151"/>
      <c r="BL228" s="151"/>
      <c r="BM228" s="151"/>
      <c r="BN228" s="151"/>
      <c r="BO228" s="155"/>
      <c r="BP228" s="140"/>
      <c r="BQ228" s="156"/>
      <c r="BR228" s="157"/>
      <c r="BS228" s="158"/>
      <c r="BT228" s="153"/>
      <c r="BU228" s="140"/>
      <c r="BV228" s="140"/>
      <c r="BW228" s="140"/>
      <c r="BX228" s="140"/>
      <c r="BY228" s="140"/>
      <c r="BZ228" s="140"/>
      <c r="CA228" s="140"/>
      <c r="CB228" s="140"/>
      <c r="CC228" s="140"/>
      <c r="CD228" s="150"/>
      <c r="CE228" s="155"/>
      <c r="CF228" s="150"/>
      <c r="CG228" s="152"/>
      <c r="CH228" s="252"/>
      <c r="CI228" s="160"/>
      <c r="CJ228" s="159"/>
      <c r="CK228" s="160"/>
      <c r="CL228" s="159"/>
      <c r="CM228" s="160"/>
      <c r="CN228" s="159"/>
      <c r="CO228" s="160"/>
      <c r="CP228" s="159"/>
      <c r="CQ228" s="162"/>
      <c r="CR228" s="160"/>
      <c r="CS228" s="253">
        <f>SUM(IF(AU228&lt;0,ABS(AU228),0),IF(AZ228&lt;0,ABS(AZ228),0),ABS(CI228),ABS(CK228),ABS(CM228),ABS(CO228),ABS(CQ228),ABS(CR228))</f>
        <v>0</v>
      </c>
      <c r="CT228" s="254">
        <f>SUM(AU228,AV228,AW228,AX228/400,AY228,AZ228,BG228,BH228*0.5,BI228*0.25,BJ228,BK228,BL228,BM228,BN228,BO228,BP228,BR228/20,BS228/100,BT228/60,BU228,BV228,BW228,BX228/4,SUM(BY228:CC238)/3,CE228,CG228/3,CI228,CK228,CM228,CO228,CQ228,CR228)</f>
        <v>0</v>
      </c>
      <c r="CU228" s="255" t="str">
        <f t="shared" si="2"/>
        <v/>
      </c>
    </row>
    <row r="229" ht="60.0" hidden="1" customHeight="1">
      <c r="A229" s="65"/>
      <c r="C229" s="167"/>
      <c r="D229" s="205"/>
      <c r="E229" s="262"/>
      <c r="F229" s="170"/>
      <c r="G229" s="170"/>
      <c r="H229" s="170"/>
      <c r="I229" s="170"/>
      <c r="J229" s="170"/>
      <c r="K229" s="171"/>
      <c r="L229" s="171"/>
      <c r="M229" s="171"/>
      <c r="N229" s="209"/>
      <c r="O229" s="172">
        <f t="shared" si="42"/>
        <v>0</v>
      </c>
      <c r="P229" s="166"/>
      <c r="Q229" s="173"/>
      <c r="R229" s="65"/>
      <c r="S229" s="173"/>
      <c r="T229" s="173"/>
      <c r="U229" s="166"/>
      <c r="V229" s="166"/>
      <c r="W229" s="65"/>
      <c r="X229" s="66"/>
      <c r="Y229" s="173"/>
      <c r="Z229" s="166"/>
      <c r="AA229" s="174"/>
      <c r="AB229" s="175"/>
      <c r="AC229" s="175"/>
      <c r="AD229" s="175"/>
      <c r="AE229" s="175"/>
      <c r="AF229" s="175"/>
      <c r="AG229" s="175"/>
      <c r="AH229" s="175"/>
      <c r="AI229" s="176"/>
      <c r="AJ229" s="177"/>
      <c r="AK229" s="178"/>
      <c r="AL229" s="178"/>
      <c r="AM229" s="178"/>
      <c r="AN229" s="178"/>
      <c r="AO229" s="179"/>
      <c r="AP229" s="64"/>
      <c r="AQ229" s="65"/>
      <c r="AR229" s="65"/>
      <c r="AS229" s="65"/>
      <c r="AT229" s="173"/>
      <c r="AU229" s="177"/>
      <c r="AV229" s="178"/>
      <c r="AW229" s="178"/>
      <c r="AX229" s="179"/>
      <c r="AZ229" s="166"/>
      <c r="BA229" s="177"/>
      <c r="BB229" s="178"/>
      <c r="BC229" s="178"/>
      <c r="BD229" s="178"/>
      <c r="BE229" s="178"/>
      <c r="BF229" s="178"/>
      <c r="BG229" s="178"/>
      <c r="BH229" s="178"/>
      <c r="BI229" s="179"/>
      <c r="BJ229" s="180"/>
      <c r="BK229" s="178"/>
      <c r="BL229" s="178"/>
      <c r="BM229" s="178"/>
      <c r="BN229" s="178"/>
      <c r="BO229" s="181"/>
      <c r="BP229" s="166"/>
      <c r="BQ229" s="177"/>
      <c r="BR229" s="178"/>
      <c r="BS229" s="179"/>
      <c r="BU229" s="166"/>
      <c r="BV229" s="166"/>
      <c r="BW229" s="166"/>
      <c r="BX229" s="166"/>
      <c r="BY229" s="166"/>
      <c r="BZ229" s="166"/>
      <c r="CA229" s="166"/>
      <c r="CB229" s="166"/>
      <c r="CC229" s="166"/>
      <c r="CD229" s="177"/>
      <c r="CE229" s="181"/>
      <c r="CF229" s="177"/>
      <c r="CG229" s="179"/>
      <c r="CH229" s="257"/>
      <c r="CI229" s="182"/>
      <c r="CJ229" s="177"/>
      <c r="CK229" s="182"/>
      <c r="CL229" s="177"/>
      <c r="CM229" s="182"/>
      <c r="CN229" s="177"/>
      <c r="CO229" s="182"/>
      <c r="CP229" s="177"/>
      <c r="CQ229" s="178"/>
      <c r="CR229" s="182"/>
      <c r="CS229" s="173"/>
      <c r="CT229" s="65"/>
      <c r="CU229" s="255" t="str">
        <f t="shared" si="2"/>
        <v/>
      </c>
    </row>
    <row r="230" ht="60.0" hidden="1" customHeight="1">
      <c r="A230" s="65"/>
      <c r="C230" s="167"/>
      <c r="D230" s="205"/>
      <c r="E230" s="262"/>
      <c r="F230" s="170"/>
      <c r="G230" s="170"/>
      <c r="H230" s="170"/>
      <c r="I230" s="170"/>
      <c r="J230" s="170"/>
      <c r="K230" s="171"/>
      <c r="L230" s="171"/>
      <c r="M230" s="171"/>
      <c r="N230" s="209"/>
      <c r="O230" s="172">
        <f t="shared" si="42"/>
        <v>0</v>
      </c>
      <c r="P230" s="166"/>
      <c r="Q230" s="173"/>
      <c r="R230" s="65"/>
      <c r="S230" s="173"/>
      <c r="T230" s="173"/>
      <c r="U230" s="166"/>
      <c r="V230" s="166"/>
      <c r="W230" s="65"/>
      <c r="X230" s="66"/>
      <c r="Y230" s="173"/>
      <c r="Z230" s="166"/>
      <c r="AA230" s="174"/>
      <c r="AB230" s="175"/>
      <c r="AC230" s="175"/>
      <c r="AD230" s="175"/>
      <c r="AE230" s="175"/>
      <c r="AF230" s="175"/>
      <c r="AG230" s="175"/>
      <c r="AH230" s="175"/>
      <c r="AI230" s="176"/>
      <c r="AJ230" s="177"/>
      <c r="AK230" s="178"/>
      <c r="AL230" s="178"/>
      <c r="AM230" s="178"/>
      <c r="AN230" s="178"/>
      <c r="AO230" s="179"/>
      <c r="AP230" s="64"/>
      <c r="AQ230" s="65"/>
      <c r="AR230" s="65"/>
      <c r="AS230" s="65"/>
      <c r="AT230" s="173"/>
      <c r="AU230" s="177"/>
      <c r="AV230" s="178"/>
      <c r="AW230" s="178"/>
      <c r="AX230" s="179"/>
      <c r="AZ230" s="166"/>
      <c r="BA230" s="177"/>
      <c r="BB230" s="178"/>
      <c r="BC230" s="178"/>
      <c r="BD230" s="178"/>
      <c r="BE230" s="178"/>
      <c r="BF230" s="178"/>
      <c r="BG230" s="178"/>
      <c r="BH230" s="178"/>
      <c r="BI230" s="179"/>
      <c r="BJ230" s="180"/>
      <c r="BK230" s="178"/>
      <c r="BL230" s="178"/>
      <c r="BM230" s="178"/>
      <c r="BN230" s="178"/>
      <c r="BO230" s="181"/>
      <c r="BP230" s="166"/>
      <c r="BQ230" s="177"/>
      <c r="BR230" s="178"/>
      <c r="BS230" s="179"/>
      <c r="BU230" s="166"/>
      <c r="BV230" s="166"/>
      <c r="BW230" s="166"/>
      <c r="BX230" s="166"/>
      <c r="BY230" s="166"/>
      <c r="BZ230" s="166"/>
      <c r="CA230" s="166"/>
      <c r="CB230" s="166"/>
      <c r="CC230" s="166"/>
      <c r="CD230" s="177"/>
      <c r="CE230" s="181"/>
      <c r="CF230" s="177"/>
      <c r="CG230" s="179"/>
      <c r="CH230" s="257"/>
      <c r="CI230" s="182"/>
      <c r="CJ230" s="177"/>
      <c r="CK230" s="182"/>
      <c r="CL230" s="177"/>
      <c r="CM230" s="182"/>
      <c r="CN230" s="177"/>
      <c r="CO230" s="182"/>
      <c r="CP230" s="177"/>
      <c r="CQ230" s="178"/>
      <c r="CR230" s="182"/>
      <c r="CS230" s="173"/>
      <c r="CT230" s="65"/>
      <c r="CU230" s="255" t="str">
        <f t="shared" si="2"/>
        <v/>
      </c>
    </row>
    <row r="231" ht="60.0" hidden="1" customHeight="1">
      <c r="A231" s="65"/>
      <c r="C231" s="167"/>
      <c r="D231" s="205"/>
      <c r="E231" s="262"/>
      <c r="F231" s="170"/>
      <c r="G231" s="170"/>
      <c r="H231" s="170"/>
      <c r="I231" s="170"/>
      <c r="J231" s="170"/>
      <c r="K231" s="171"/>
      <c r="L231" s="171"/>
      <c r="M231" s="171"/>
      <c r="N231" s="209"/>
      <c r="O231" s="172">
        <f t="shared" si="42"/>
        <v>0</v>
      </c>
      <c r="P231" s="166"/>
      <c r="Q231" s="173"/>
      <c r="R231" s="65"/>
      <c r="S231" s="173"/>
      <c r="T231" s="173"/>
      <c r="U231" s="166"/>
      <c r="V231" s="166"/>
      <c r="W231" s="65"/>
      <c r="X231" s="66"/>
      <c r="Y231" s="173"/>
      <c r="Z231" s="166"/>
      <c r="AA231" s="174"/>
      <c r="AB231" s="175"/>
      <c r="AC231" s="175"/>
      <c r="AD231" s="175"/>
      <c r="AE231" s="175"/>
      <c r="AF231" s="175"/>
      <c r="AG231" s="175"/>
      <c r="AH231" s="175"/>
      <c r="AI231" s="176"/>
      <c r="AJ231" s="177"/>
      <c r="AK231" s="178"/>
      <c r="AL231" s="178"/>
      <c r="AM231" s="178"/>
      <c r="AN231" s="178"/>
      <c r="AO231" s="179"/>
      <c r="AP231" s="64"/>
      <c r="AQ231" s="65"/>
      <c r="AR231" s="65"/>
      <c r="AS231" s="65"/>
      <c r="AT231" s="173"/>
      <c r="AU231" s="177"/>
      <c r="AV231" s="178"/>
      <c r="AW231" s="178"/>
      <c r="AX231" s="179"/>
      <c r="AZ231" s="166"/>
      <c r="BA231" s="177"/>
      <c r="BB231" s="178"/>
      <c r="BC231" s="178"/>
      <c r="BD231" s="178"/>
      <c r="BE231" s="178"/>
      <c r="BF231" s="178"/>
      <c r="BG231" s="178"/>
      <c r="BH231" s="178"/>
      <c r="BI231" s="179"/>
      <c r="BJ231" s="180"/>
      <c r="BK231" s="178"/>
      <c r="BL231" s="178"/>
      <c r="BM231" s="178"/>
      <c r="BN231" s="178"/>
      <c r="BO231" s="181"/>
      <c r="BP231" s="166"/>
      <c r="BQ231" s="177"/>
      <c r="BR231" s="178"/>
      <c r="BS231" s="179"/>
      <c r="BU231" s="166"/>
      <c r="BV231" s="166"/>
      <c r="BW231" s="166"/>
      <c r="BX231" s="166"/>
      <c r="BY231" s="166"/>
      <c r="BZ231" s="166"/>
      <c r="CA231" s="166"/>
      <c r="CB231" s="166"/>
      <c r="CC231" s="166"/>
      <c r="CD231" s="177"/>
      <c r="CE231" s="181"/>
      <c r="CF231" s="177"/>
      <c r="CG231" s="179"/>
      <c r="CH231" s="257"/>
      <c r="CI231" s="182"/>
      <c r="CJ231" s="177"/>
      <c r="CK231" s="182"/>
      <c r="CL231" s="177"/>
      <c r="CM231" s="182"/>
      <c r="CN231" s="177"/>
      <c r="CO231" s="182"/>
      <c r="CP231" s="177"/>
      <c r="CQ231" s="178"/>
      <c r="CR231" s="182"/>
      <c r="CS231" s="173"/>
      <c r="CT231" s="65"/>
      <c r="CU231" s="255" t="str">
        <f t="shared" si="2"/>
        <v/>
      </c>
    </row>
    <row r="232" ht="60.0" hidden="1" customHeight="1">
      <c r="A232" s="65"/>
      <c r="C232" s="167"/>
      <c r="D232" s="205"/>
      <c r="E232" s="262"/>
      <c r="F232" s="170"/>
      <c r="G232" s="170"/>
      <c r="H232" s="170"/>
      <c r="I232" s="170"/>
      <c r="J232" s="170"/>
      <c r="K232" s="171"/>
      <c r="L232" s="171"/>
      <c r="M232" s="171"/>
      <c r="N232" s="209"/>
      <c r="O232" s="172">
        <f t="shared" si="42"/>
        <v>0</v>
      </c>
      <c r="P232" s="166"/>
      <c r="Q232" s="173"/>
      <c r="R232" s="65"/>
      <c r="S232" s="173"/>
      <c r="T232" s="173"/>
      <c r="U232" s="166"/>
      <c r="V232" s="166"/>
      <c r="W232" s="65"/>
      <c r="X232" s="66"/>
      <c r="Y232" s="173"/>
      <c r="Z232" s="166"/>
      <c r="AA232" s="174"/>
      <c r="AB232" s="175"/>
      <c r="AC232" s="175"/>
      <c r="AD232" s="175"/>
      <c r="AE232" s="175"/>
      <c r="AF232" s="175"/>
      <c r="AG232" s="175"/>
      <c r="AH232" s="175"/>
      <c r="AI232" s="176"/>
      <c r="AJ232" s="177"/>
      <c r="AK232" s="178"/>
      <c r="AL232" s="178"/>
      <c r="AM232" s="178"/>
      <c r="AN232" s="178"/>
      <c r="AO232" s="179"/>
      <c r="AP232" s="64"/>
      <c r="AQ232" s="65"/>
      <c r="AR232" s="65"/>
      <c r="AS232" s="65"/>
      <c r="AT232" s="173"/>
      <c r="AU232" s="177"/>
      <c r="AV232" s="178"/>
      <c r="AW232" s="178"/>
      <c r="AX232" s="179"/>
      <c r="AZ232" s="166"/>
      <c r="BA232" s="177"/>
      <c r="BB232" s="178"/>
      <c r="BC232" s="178"/>
      <c r="BD232" s="178"/>
      <c r="BE232" s="178"/>
      <c r="BF232" s="178"/>
      <c r="BG232" s="178"/>
      <c r="BH232" s="178"/>
      <c r="BI232" s="179"/>
      <c r="BJ232" s="180"/>
      <c r="BK232" s="178"/>
      <c r="BL232" s="178"/>
      <c r="BM232" s="178"/>
      <c r="BN232" s="178"/>
      <c r="BO232" s="181"/>
      <c r="BP232" s="166"/>
      <c r="BQ232" s="177"/>
      <c r="BR232" s="178"/>
      <c r="BS232" s="179"/>
      <c r="BU232" s="166"/>
      <c r="BV232" s="166"/>
      <c r="BW232" s="166"/>
      <c r="BX232" s="166"/>
      <c r="BY232" s="166"/>
      <c r="BZ232" s="166"/>
      <c r="CA232" s="166"/>
      <c r="CB232" s="166"/>
      <c r="CC232" s="166"/>
      <c r="CD232" s="177"/>
      <c r="CE232" s="181"/>
      <c r="CF232" s="177"/>
      <c r="CG232" s="179"/>
      <c r="CH232" s="257"/>
      <c r="CI232" s="182"/>
      <c r="CJ232" s="177"/>
      <c r="CK232" s="182"/>
      <c r="CL232" s="177"/>
      <c r="CM232" s="182"/>
      <c r="CN232" s="177"/>
      <c r="CO232" s="182"/>
      <c r="CP232" s="177"/>
      <c r="CQ232" s="178"/>
      <c r="CR232" s="182"/>
      <c r="CS232" s="173"/>
      <c r="CT232" s="65"/>
      <c r="CU232" s="255" t="str">
        <f t="shared" si="2"/>
        <v/>
      </c>
    </row>
    <row r="233" ht="60.0" hidden="1" customHeight="1">
      <c r="A233" s="65"/>
      <c r="C233" s="167"/>
      <c r="D233" s="205"/>
      <c r="E233" s="262"/>
      <c r="F233" s="170"/>
      <c r="G233" s="170"/>
      <c r="H233" s="170"/>
      <c r="I233" s="170"/>
      <c r="J233" s="170"/>
      <c r="K233" s="171"/>
      <c r="L233" s="171"/>
      <c r="M233" s="171"/>
      <c r="N233" s="209"/>
      <c r="O233" s="172">
        <f t="shared" si="42"/>
        <v>0</v>
      </c>
      <c r="P233" s="166"/>
      <c r="Q233" s="173"/>
      <c r="R233" s="65"/>
      <c r="S233" s="173"/>
      <c r="T233" s="173"/>
      <c r="U233" s="166"/>
      <c r="V233" s="166"/>
      <c r="W233" s="65"/>
      <c r="X233" s="66"/>
      <c r="Y233" s="173"/>
      <c r="Z233" s="166"/>
      <c r="AA233" s="174"/>
      <c r="AB233" s="175"/>
      <c r="AC233" s="175"/>
      <c r="AD233" s="175"/>
      <c r="AE233" s="175"/>
      <c r="AF233" s="175"/>
      <c r="AG233" s="175"/>
      <c r="AH233" s="175"/>
      <c r="AI233" s="176"/>
      <c r="AJ233" s="177"/>
      <c r="AK233" s="178"/>
      <c r="AL233" s="178"/>
      <c r="AM233" s="178"/>
      <c r="AN233" s="178"/>
      <c r="AO233" s="179"/>
      <c r="AP233" s="64"/>
      <c r="AQ233" s="65"/>
      <c r="AR233" s="65"/>
      <c r="AS233" s="65"/>
      <c r="AT233" s="173"/>
      <c r="AU233" s="177"/>
      <c r="AV233" s="178"/>
      <c r="AW233" s="178"/>
      <c r="AX233" s="179"/>
      <c r="AZ233" s="166"/>
      <c r="BA233" s="177"/>
      <c r="BB233" s="178"/>
      <c r="BC233" s="178"/>
      <c r="BD233" s="178"/>
      <c r="BE233" s="178"/>
      <c r="BF233" s="178"/>
      <c r="BG233" s="178"/>
      <c r="BH233" s="178"/>
      <c r="BI233" s="179"/>
      <c r="BJ233" s="180"/>
      <c r="BK233" s="178"/>
      <c r="BL233" s="178"/>
      <c r="BM233" s="178"/>
      <c r="BN233" s="178"/>
      <c r="BO233" s="181"/>
      <c r="BP233" s="166"/>
      <c r="BQ233" s="177"/>
      <c r="BR233" s="178"/>
      <c r="BS233" s="179"/>
      <c r="BU233" s="166"/>
      <c r="BV233" s="166"/>
      <c r="BW233" s="166"/>
      <c r="BX233" s="166"/>
      <c r="BY233" s="166"/>
      <c r="BZ233" s="166"/>
      <c r="CA233" s="166"/>
      <c r="CB233" s="166"/>
      <c r="CC233" s="166"/>
      <c r="CD233" s="177"/>
      <c r="CE233" s="181"/>
      <c r="CF233" s="177"/>
      <c r="CG233" s="179"/>
      <c r="CH233" s="257"/>
      <c r="CI233" s="182"/>
      <c r="CJ233" s="177"/>
      <c r="CK233" s="182"/>
      <c r="CL233" s="177"/>
      <c r="CM233" s="182"/>
      <c r="CN233" s="177"/>
      <c r="CO233" s="182"/>
      <c r="CP233" s="177"/>
      <c r="CQ233" s="178"/>
      <c r="CR233" s="182"/>
      <c r="CS233" s="173"/>
      <c r="CT233" s="65"/>
      <c r="CU233" s="255" t="str">
        <f t="shared" si="2"/>
        <v/>
      </c>
    </row>
    <row r="234" ht="60.0" hidden="1" customHeight="1">
      <c r="A234" s="65"/>
      <c r="C234" s="167"/>
      <c r="D234" s="205"/>
      <c r="E234" s="262"/>
      <c r="F234" s="170"/>
      <c r="G234" s="170"/>
      <c r="H234" s="170"/>
      <c r="I234" s="170"/>
      <c r="J234" s="170"/>
      <c r="K234" s="171"/>
      <c r="L234" s="171"/>
      <c r="M234" s="171"/>
      <c r="N234" s="209"/>
      <c r="O234" s="172">
        <f t="shared" ref="O234:O237" si="43">IF(AND(M234&gt;=20,M234&lt;&gt;"m",RIGHT(K234,3)="Lec"),1,IF(AND(M234&gt;=20,M234&lt;&gt;"m",OR(RIGHT(K234,3)="Lab",RIGHT(K234,3)="Tut")),0.5,IF(AND(M234&gt;=20,M234&lt;&gt;"m",RIGHT(K234,2)="TL"),0.75,0)))</f>
        <v>0</v>
      </c>
      <c r="P234" s="166"/>
      <c r="Q234" s="173"/>
      <c r="R234" s="65"/>
      <c r="S234" s="173"/>
      <c r="T234" s="173"/>
      <c r="U234" s="166"/>
      <c r="V234" s="166"/>
      <c r="W234" s="65"/>
      <c r="X234" s="66"/>
      <c r="Y234" s="173"/>
      <c r="Z234" s="166"/>
      <c r="AA234" s="174"/>
      <c r="AB234" s="175"/>
      <c r="AC234" s="175"/>
      <c r="AD234" s="175"/>
      <c r="AE234" s="175"/>
      <c r="AF234" s="175"/>
      <c r="AG234" s="175"/>
      <c r="AH234" s="175"/>
      <c r="AI234" s="176"/>
      <c r="AJ234" s="177"/>
      <c r="AK234" s="178"/>
      <c r="AL234" s="178"/>
      <c r="AM234" s="178"/>
      <c r="AN234" s="178"/>
      <c r="AO234" s="179"/>
      <c r="AP234" s="64"/>
      <c r="AQ234" s="65"/>
      <c r="AR234" s="65"/>
      <c r="AS234" s="65"/>
      <c r="AT234" s="173"/>
      <c r="AU234" s="177"/>
      <c r="AV234" s="178"/>
      <c r="AW234" s="178"/>
      <c r="AX234" s="179"/>
      <c r="AZ234" s="166"/>
      <c r="BA234" s="177"/>
      <c r="BB234" s="178"/>
      <c r="BC234" s="178"/>
      <c r="BD234" s="178"/>
      <c r="BE234" s="178"/>
      <c r="BF234" s="178"/>
      <c r="BG234" s="178"/>
      <c r="BH234" s="178"/>
      <c r="BI234" s="179"/>
      <c r="BJ234" s="180"/>
      <c r="BK234" s="178"/>
      <c r="BL234" s="178"/>
      <c r="BM234" s="178"/>
      <c r="BN234" s="178"/>
      <c r="BO234" s="181"/>
      <c r="BP234" s="166"/>
      <c r="BQ234" s="177"/>
      <c r="BR234" s="178"/>
      <c r="BS234" s="179"/>
      <c r="BU234" s="166"/>
      <c r="BV234" s="166"/>
      <c r="BW234" s="166"/>
      <c r="BX234" s="166"/>
      <c r="BY234" s="166"/>
      <c r="BZ234" s="166"/>
      <c r="CA234" s="166"/>
      <c r="CB234" s="166"/>
      <c r="CC234" s="166"/>
      <c r="CD234" s="177"/>
      <c r="CE234" s="181"/>
      <c r="CF234" s="177"/>
      <c r="CG234" s="179"/>
      <c r="CH234" s="257"/>
      <c r="CI234" s="182"/>
      <c r="CJ234" s="177"/>
      <c r="CK234" s="182"/>
      <c r="CL234" s="177"/>
      <c r="CM234" s="182"/>
      <c r="CN234" s="177"/>
      <c r="CO234" s="182"/>
      <c r="CP234" s="177"/>
      <c r="CQ234" s="178"/>
      <c r="CR234" s="182"/>
      <c r="CS234" s="173"/>
      <c r="CT234" s="65"/>
      <c r="CU234" s="255" t="str">
        <f t="shared" si="2"/>
        <v/>
      </c>
    </row>
    <row r="235" ht="60.0" hidden="1" customHeight="1">
      <c r="A235" s="65"/>
      <c r="C235" s="167"/>
      <c r="D235" s="205"/>
      <c r="E235" s="262"/>
      <c r="F235" s="170"/>
      <c r="G235" s="170"/>
      <c r="H235" s="170"/>
      <c r="I235" s="170"/>
      <c r="J235" s="170"/>
      <c r="K235" s="171"/>
      <c r="L235" s="171"/>
      <c r="M235" s="171"/>
      <c r="N235" s="209"/>
      <c r="O235" s="172">
        <f t="shared" si="43"/>
        <v>0</v>
      </c>
      <c r="P235" s="166"/>
      <c r="Q235" s="173"/>
      <c r="R235" s="65"/>
      <c r="S235" s="173"/>
      <c r="T235" s="173"/>
      <c r="U235" s="166"/>
      <c r="V235" s="166"/>
      <c r="W235" s="65"/>
      <c r="X235" s="66"/>
      <c r="Y235" s="173"/>
      <c r="Z235" s="166"/>
      <c r="AA235" s="174"/>
      <c r="AB235" s="175"/>
      <c r="AC235" s="175"/>
      <c r="AD235" s="175"/>
      <c r="AE235" s="175"/>
      <c r="AF235" s="175"/>
      <c r="AG235" s="175"/>
      <c r="AH235" s="175"/>
      <c r="AI235" s="176"/>
      <c r="AJ235" s="177"/>
      <c r="AK235" s="178"/>
      <c r="AL235" s="178"/>
      <c r="AM235" s="178"/>
      <c r="AN235" s="178"/>
      <c r="AO235" s="179"/>
      <c r="AP235" s="64"/>
      <c r="AQ235" s="65"/>
      <c r="AR235" s="65"/>
      <c r="AS235" s="65"/>
      <c r="AT235" s="173"/>
      <c r="AU235" s="177"/>
      <c r="AV235" s="178"/>
      <c r="AW235" s="178"/>
      <c r="AX235" s="179"/>
      <c r="AZ235" s="166"/>
      <c r="BA235" s="177"/>
      <c r="BB235" s="178"/>
      <c r="BC235" s="178"/>
      <c r="BD235" s="178"/>
      <c r="BE235" s="178"/>
      <c r="BF235" s="178"/>
      <c r="BG235" s="178"/>
      <c r="BH235" s="178"/>
      <c r="BI235" s="179"/>
      <c r="BJ235" s="180"/>
      <c r="BK235" s="178"/>
      <c r="BL235" s="178"/>
      <c r="BM235" s="178"/>
      <c r="BN235" s="178"/>
      <c r="BO235" s="181"/>
      <c r="BP235" s="166"/>
      <c r="BQ235" s="177"/>
      <c r="BR235" s="178"/>
      <c r="BS235" s="179"/>
      <c r="BU235" s="166"/>
      <c r="BV235" s="166"/>
      <c r="BW235" s="166"/>
      <c r="BX235" s="166"/>
      <c r="BY235" s="166"/>
      <c r="BZ235" s="166"/>
      <c r="CA235" s="166"/>
      <c r="CB235" s="166"/>
      <c r="CC235" s="166"/>
      <c r="CD235" s="177"/>
      <c r="CE235" s="181"/>
      <c r="CF235" s="177"/>
      <c r="CG235" s="179"/>
      <c r="CH235" s="257"/>
      <c r="CI235" s="182"/>
      <c r="CJ235" s="177"/>
      <c r="CK235" s="182"/>
      <c r="CL235" s="177"/>
      <c r="CM235" s="182"/>
      <c r="CN235" s="177"/>
      <c r="CO235" s="182"/>
      <c r="CP235" s="177"/>
      <c r="CQ235" s="178"/>
      <c r="CR235" s="182"/>
      <c r="CS235" s="173"/>
      <c r="CT235" s="65"/>
      <c r="CU235" s="255" t="str">
        <f t="shared" si="2"/>
        <v/>
      </c>
    </row>
    <row r="236" ht="60.0" hidden="1" customHeight="1">
      <c r="A236" s="65"/>
      <c r="C236" s="167"/>
      <c r="D236" s="205"/>
      <c r="E236" s="262"/>
      <c r="F236" s="170"/>
      <c r="G236" s="170"/>
      <c r="H236" s="170"/>
      <c r="I236" s="170"/>
      <c r="J236" s="170"/>
      <c r="K236" s="171"/>
      <c r="L236" s="171"/>
      <c r="M236" s="171"/>
      <c r="N236" s="209"/>
      <c r="O236" s="172">
        <f t="shared" si="43"/>
        <v>0</v>
      </c>
      <c r="P236" s="166"/>
      <c r="Q236" s="173"/>
      <c r="R236" s="65"/>
      <c r="S236" s="173"/>
      <c r="T236" s="173"/>
      <c r="U236" s="166"/>
      <c r="V236" s="166"/>
      <c r="W236" s="65"/>
      <c r="X236" s="66"/>
      <c r="Y236" s="173"/>
      <c r="Z236" s="166"/>
      <c r="AA236" s="174"/>
      <c r="AB236" s="175"/>
      <c r="AC236" s="175"/>
      <c r="AD236" s="175"/>
      <c r="AE236" s="175"/>
      <c r="AF236" s="175"/>
      <c r="AG236" s="175"/>
      <c r="AH236" s="175"/>
      <c r="AI236" s="176"/>
      <c r="AJ236" s="177"/>
      <c r="AK236" s="178"/>
      <c r="AL236" s="178"/>
      <c r="AM236" s="178"/>
      <c r="AN236" s="178"/>
      <c r="AO236" s="179"/>
      <c r="AP236" s="64"/>
      <c r="AQ236" s="65"/>
      <c r="AR236" s="65"/>
      <c r="AS236" s="65"/>
      <c r="AT236" s="173"/>
      <c r="AU236" s="177"/>
      <c r="AV236" s="178"/>
      <c r="AW236" s="178"/>
      <c r="AX236" s="179"/>
      <c r="AZ236" s="166"/>
      <c r="BA236" s="177"/>
      <c r="BB236" s="178"/>
      <c r="BC236" s="178"/>
      <c r="BD236" s="178"/>
      <c r="BE236" s="178"/>
      <c r="BF236" s="178"/>
      <c r="BG236" s="178"/>
      <c r="BH236" s="178"/>
      <c r="BI236" s="179"/>
      <c r="BJ236" s="180"/>
      <c r="BK236" s="178"/>
      <c r="BL236" s="178"/>
      <c r="BM236" s="178"/>
      <c r="BN236" s="178"/>
      <c r="BO236" s="181"/>
      <c r="BP236" s="166"/>
      <c r="BQ236" s="177"/>
      <c r="BR236" s="178"/>
      <c r="BS236" s="179"/>
      <c r="BU236" s="166"/>
      <c r="BV236" s="166"/>
      <c r="BW236" s="166"/>
      <c r="BX236" s="166"/>
      <c r="BY236" s="166"/>
      <c r="BZ236" s="166"/>
      <c r="CA236" s="166"/>
      <c r="CB236" s="166"/>
      <c r="CC236" s="166"/>
      <c r="CD236" s="177"/>
      <c r="CE236" s="181"/>
      <c r="CF236" s="177"/>
      <c r="CG236" s="179"/>
      <c r="CH236" s="257"/>
      <c r="CI236" s="182"/>
      <c r="CJ236" s="177"/>
      <c r="CK236" s="182"/>
      <c r="CL236" s="177"/>
      <c r="CM236" s="182"/>
      <c r="CN236" s="177"/>
      <c r="CO236" s="182"/>
      <c r="CP236" s="177"/>
      <c r="CQ236" s="178"/>
      <c r="CR236" s="182"/>
      <c r="CS236" s="173"/>
      <c r="CT236" s="65"/>
      <c r="CU236" s="255" t="str">
        <f t="shared" si="2"/>
        <v/>
      </c>
    </row>
    <row r="237" ht="60.0" hidden="1" customHeight="1">
      <c r="A237" s="65"/>
      <c r="C237" s="167"/>
      <c r="D237" s="205"/>
      <c r="E237" s="262"/>
      <c r="F237" s="170"/>
      <c r="G237" s="170"/>
      <c r="H237" s="170"/>
      <c r="I237" s="170"/>
      <c r="J237" s="170"/>
      <c r="K237" s="171"/>
      <c r="L237" s="171"/>
      <c r="M237" s="171"/>
      <c r="N237" s="209"/>
      <c r="O237" s="172">
        <f t="shared" si="43"/>
        <v>0</v>
      </c>
      <c r="P237" s="166"/>
      <c r="Q237" s="173"/>
      <c r="R237" s="65"/>
      <c r="S237" s="173"/>
      <c r="T237" s="173"/>
      <c r="U237" s="166"/>
      <c r="V237" s="166"/>
      <c r="W237" s="65"/>
      <c r="X237" s="66"/>
      <c r="Y237" s="173"/>
      <c r="Z237" s="166"/>
      <c r="AA237" s="174"/>
      <c r="AB237" s="175"/>
      <c r="AC237" s="175"/>
      <c r="AD237" s="175"/>
      <c r="AE237" s="175"/>
      <c r="AF237" s="175"/>
      <c r="AG237" s="175"/>
      <c r="AH237" s="175"/>
      <c r="AI237" s="176"/>
      <c r="AJ237" s="177"/>
      <c r="AK237" s="178"/>
      <c r="AL237" s="178"/>
      <c r="AM237" s="178"/>
      <c r="AN237" s="178"/>
      <c r="AO237" s="179"/>
      <c r="AP237" s="64"/>
      <c r="AQ237" s="65"/>
      <c r="AR237" s="65"/>
      <c r="AS237" s="65"/>
      <c r="AT237" s="173"/>
      <c r="AU237" s="177"/>
      <c r="AV237" s="178"/>
      <c r="AW237" s="178"/>
      <c r="AX237" s="179"/>
      <c r="AZ237" s="166"/>
      <c r="BA237" s="177"/>
      <c r="BB237" s="178"/>
      <c r="BC237" s="178"/>
      <c r="BD237" s="178"/>
      <c r="BE237" s="178"/>
      <c r="BF237" s="178"/>
      <c r="BG237" s="178"/>
      <c r="BH237" s="178"/>
      <c r="BI237" s="179"/>
      <c r="BJ237" s="180"/>
      <c r="BK237" s="178"/>
      <c r="BL237" s="178"/>
      <c r="BM237" s="178"/>
      <c r="BN237" s="178"/>
      <c r="BO237" s="181"/>
      <c r="BP237" s="166"/>
      <c r="BQ237" s="177"/>
      <c r="BR237" s="178"/>
      <c r="BS237" s="179"/>
      <c r="BU237" s="166"/>
      <c r="BV237" s="166"/>
      <c r="BW237" s="166"/>
      <c r="BX237" s="166"/>
      <c r="BY237" s="166"/>
      <c r="BZ237" s="166"/>
      <c r="CA237" s="166"/>
      <c r="CB237" s="166"/>
      <c r="CC237" s="166"/>
      <c r="CD237" s="177"/>
      <c r="CE237" s="181"/>
      <c r="CF237" s="177"/>
      <c r="CG237" s="179"/>
      <c r="CH237" s="257"/>
      <c r="CI237" s="182"/>
      <c r="CJ237" s="177"/>
      <c r="CK237" s="182"/>
      <c r="CL237" s="177"/>
      <c r="CM237" s="182"/>
      <c r="CN237" s="177"/>
      <c r="CO237" s="182"/>
      <c r="CP237" s="177"/>
      <c r="CQ237" s="178"/>
      <c r="CR237" s="182"/>
      <c r="CS237" s="173"/>
      <c r="CT237" s="65"/>
      <c r="CU237" s="255" t="str">
        <f t="shared" si="2"/>
        <v/>
      </c>
    </row>
    <row r="238" ht="60.0" hidden="1" customHeight="1">
      <c r="A238" s="89"/>
      <c r="B238" s="6"/>
      <c r="C238" s="183"/>
      <c r="D238" s="210"/>
      <c r="E238" s="263"/>
      <c r="F238" s="186"/>
      <c r="G238" s="186"/>
      <c r="H238" s="186"/>
      <c r="I238" s="186"/>
      <c r="J238" s="186"/>
      <c r="K238" s="187"/>
      <c r="L238" s="187"/>
      <c r="M238" s="187"/>
      <c r="N238" s="214"/>
      <c r="O238" s="188">
        <f t="shared" ref="O238:O244" si="44">IF(AND(M238&lt;&gt;0,M238&lt;&gt;"m",M238&lt;&gt;"",RIGHT(K238,3)="Lec"),1,IF(AND(M238&lt;&gt;0,M238&lt;&gt;"m",M238&lt;&gt;"",OR(RIGHT(K238,3)="Lab",RIGHT(K238,3)="Tut")),0.5,IF(AND(M238&lt;&gt;0,M238&lt;&gt;"m",M238&lt;&gt;"",RIGHT(K238,2)="TL"),0.75,0)))</f>
        <v>0</v>
      </c>
      <c r="P238" s="63"/>
      <c r="Q238" s="69"/>
      <c r="R238" s="89"/>
      <c r="S238" s="69"/>
      <c r="T238" s="69"/>
      <c r="U238" s="63"/>
      <c r="V238" s="63"/>
      <c r="W238" s="89"/>
      <c r="X238" s="68"/>
      <c r="Y238" s="69"/>
      <c r="Z238" s="63"/>
      <c r="AA238" s="189"/>
      <c r="AB238" s="190"/>
      <c r="AC238" s="190"/>
      <c r="AD238" s="190"/>
      <c r="AE238" s="190"/>
      <c r="AF238" s="190"/>
      <c r="AG238" s="190"/>
      <c r="AH238" s="190"/>
      <c r="AI238" s="191"/>
      <c r="AJ238" s="192"/>
      <c r="AK238" s="193"/>
      <c r="AL238" s="193"/>
      <c r="AM238" s="193"/>
      <c r="AN238" s="193"/>
      <c r="AO238" s="194"/>
      <c r="AP238" s="103"/>
      <c r="AQ238" s="89"/>
      <c r="AR238" s="89"/>
      <c r="AS238" s="89"/>
      <c r="AT238" s="69"/>
      <c r="AU238" s="192"/>
      <c r="AV238" s="193"/>
      <c r="AW238" s="193"/>
      <c r="AX238" s="194"/>
      <c r="AY238" s="6"/>
      <c r="AZ238" s="63"/>
      <c r="BA238" s="192"/>
      <c r="BB238" s="193"/>
      <c r="BC238" s="193"/>
      <c r="BD238" s="193"/>
      <c r="BE238" s="193"/>
      <c r="BF238" s="193"/>
      <c r="BG238" s="193"/>
      <c r="BH238" s="193"/>
      <c r="BI238" s="194"/>
      <c r="BJ238" s="195"/>
      <c r="BK238" s="193"/>
      <c r="BL238" s="193"/>
      <c r="BM238" s="193"/>
      <c r="BN238" s="193"/>
      <c r="BO238" s="196"/>
      <c r="BP238" s="63"/>
      <c r="BQ238" s="192"/>
      <c r="BR238" s="193"/>
      <c r="BS238" s="194"/>
      <c r="BT238" s="6"/>
      <c r="BU238" s="63"/>
      <c r="BV238" s="63"/>
      <c r="BW238" s="63"/>
      <c r="BX238" s="63"/>
      <c r="BY238" s="63"/>
      <c r="BZ238" s="63"/>
      <c r="CA238" s="63"/>
      <c r="CB238" s="63"/>
      <c r="CC238" s="63"/>
      <c r="CD238" s="192"/>
      <c r="CE238" s="196"/>
      <c r="CF238" s="192"/>
      <c r="CG238" s="194"/>
      <c r="CH238" s="259"/>
      <c r="CI238" s="197"/>
      <c r="CJ238" s="192"/>
      <c r="CK238" s="197"/>
      <c r="CL238" s="192"/>
      <c r="CM238" s="197"/>
      <c r="CN238" s="192"/>
      <c r="CO238" s="197"/>
      <c r="CP238" s="192"/>
      <c r="CQ238" s="193"/>
      <c r="CR238" s="197"/>
      <c r="CS238" s="69"/>
      <c r="CT238" s="89"/>
      <c r="CU238" s="255" t="str">
        <f t="shared" si="2"/>
        <v/>
      </c>
    </row>
    <row r="239" ht="56.25" hidden="1" customHeight="1">
      <c r="A239" s="125">
        <v>22.0</v>
      </c>
      <c r="B239" s="199"/>
      <c r="C239" s="127"/>
      <c r="D239" s="128"/>
      <c r="E239" s="260"/>
      <c r="F239" s="261"/>
      <c r="G239" s="261"/>
      <c r="H239" s="261"/>
      <c r="I239" s="261"/>
      <c r="J239" s="170"/>
      <c r="K239" s="219"/>
      <c r="L239" s="219"/>
      <c r="M239" s="219"/>
      <c r="N239" s="220"/>
      <c r="O239" s="132">
        <f t="shared" si="44"/>
        <v>0</v>
      </c>
      <c r="P239" s="133">
        <f>COUNTIF(K239:K249,"TL")*0.75+COUNTIF(K239:K249,"Lec")*1+COUNTIF(K239:K249,"Lab")*0.5</f>
        <v>0</v>
      </c>
      <c r="Q239" s="134">
        <f>SUM((IF(LEFT(K239,1)="E",O239,0)),(IF(LEFT(K240,1)="E",O240,0)),(IF(LEFT(K241,1)="E",O241,0)),(IF(LEFT(K242,1)="E",O242,0)),(IF(LEFT(K243,1)="E",O243,0)),(IF(LEFT(K244,1)="E",O244,0)),(IF(LEFT(K245,1)="E",O245,0)),(IF(LEFT(K246,1)="E",O246,0)),(IF(LEFT(K247,1)="E",O247,0)),(IF(LEFT(K248,1)="E",O248,0)),(IF(LEFT(K249,1)="E",O249,0)))</f>
        <v>0</v>
      </c>
      <c r="R239" s="135">
        <f>SUM(IF(M245&lt;20,IF(K245="Plec",-1,IF(K245="PTL",-0.75,IF(K245="Plab",-0.5,0))),0),IF(M246&lt;20,IF(K246="Plec",-1,IF(K246="PTL",-0.75,IF(K246="Plab",-0.5,0))),0),IF(M247&lt;20,IF(K247="Plec",-1,IF(K247="PTL",-0.75,IF(K247="Plab",-0.5,0))),0),IF(M248&lt;20,IF(K248="Plec",-1,IF(K248="PTL",-0.75,IF(K248="Plab",-0.5,0))),0))</f>
        <v>0</v>
      </c>
      <c r="S239" s="134">
        <f>SUM(P239:R249)</f>
        <v>0</v>
      </c>
      <c r="T239" s="136">
        <f>SUM(IF(M239="M",IF(OR(K239="lec",K239="plec",K239="slec"),1,IF(OR(K239="lab",K239="plab",K239="slab",K239="tut",K239="ptut",K239="stut"),0.5,IF(OR(K239="TL",K239="pTL",K239="STL"),0.75,0))),0),IF(M240="M",IF(OR(K240="lec",K240="plec",K240="slec"),1,IF(OR(K240="lab",K240="plab",K240="slab",K240="tut",K240="ptut",K240="stut"),0.5,IF(OR(K240="TL",K240="pTL",K240="STL"),0.75,0))),0),IF(M241="M",IF(OR(K241="lec",K241="plec",K241="slec"),1,IF(OR(K241="lab",K241="plab",K241="slab",K241="tut",K241="ptut",K241="stut"),0.5,IF(OR(K241="TL",K241="pTL",K241="STL"),0.75,0))),0),IF(M242="M",IF(OR(K242="lec",K242="plec",K242="slec"),1,IF(OR(K242="lab",K242="plab",K242="slab",K242="tut",K242="ptut",K242="stut"),0.5,IF(OR(K242="TL",K242="pTL",K242="STL"),0.75,0))),0),IF(M243="M",IF(OR(K243="lec",K243="plec",K243="slec"),1,IF(OR(K243="lab",K243="plab",K243="slab",K243="tut",K243="ptut",K243="stut"),0.5,IF(OR(K243="TL",K243="pTL",K243="STL"),0.75,0))),0),IF(M244="M",IF(OR(K244="lec",K244="plec",K244="slec"),1,IF(OR(K244="lab",K244="plab",K244="slab",K244="tut",K244="ptut",K244="stut"),0.5,IF(OR(K244="TL",K244="pTL",K244="STL"),0.75,0))),0),IF(M245="M",IF(OR(K245="lec",K245="plec",K245="slec"),1,IF(OR(K245="lab",K245="plab",K245="slab",K245="tut",K245="ptut",K245="stut"),0.5,IF(OR(K245="TL",K245="pTL",K245="STL"),0.75,0))),0),IF(M246="M",IF(OR(K246="lec",K246="plec",K246="slec"),1,IF(OR(K246="lab",K246="plab",K246="slab",K246="tut",K246="ptut",K246="stut"),0.5,IF(OR(K246="TL",K246="pTL",K246="STL"),0.75,0))),0),IF(M247="M",IF(OR(K247="lec",K247="plec",K247="slec"),1,IF(OR(K247="lab",K247="plab",K247="slab",K247="tut",K247="ptut",K247="stut"),0.5,IF(OR(K247="TL",K247="pTL",K247="STL"),0.75,0))),0),IF(M248="M",IF(OR(K248="lec",K248="plec",K248="slec"),1,IF(OR(K248="lab",K248="plab",K248="slab",K248="tut",K248="ptut",K248="stut"),0.5,IF(OR(K248="TL",K248="pTL",K248="STL"),0.75,0))),0),IF(M249="M",IF(OR(K249="lec",K249="plec",K249="slec"),1,IF(OR(K249="lab",K249="plab",K249="slab",K249="tut",K249="ptut",K249="stut"),0.5,IF(OR(K249="TL",K249="pTL",K249="STL"),0.75,0))),0))</f>
        <v>0</v>
      </c>
      <c r="U239" s="137"/>
      <c r="V239" s="133"/>
      <c r="W239" s="138"/>
      <c r="X239" s="139">
        <f>S239-(T239+U239+V239+W239)</f>
        <v>0</v>
      </c>
      <c r="Y239" s="134" t="str">
        <f>CONCATENATE(SUM(O239:O249),"(",SUM(O239:O249)-X239,")")</f>
        <v>0(0)</v>
      </c>
      <c r="Z239" s="140"/>
      <c r="AA239" s="141"/>
      <c r="AB239" s="142"/>
      <c r="AC239" s="142"/>
      <c r="AD239" s="142"/>
      <c r="AE239" s="142"/>
      <c r="AF239" s="142"/>
      <c r="AG239" s="142"/>
      <c r="AH239" s="142"/>
      <c r="AI239" s="143"/>
      <c r="AJ239" s="144"/>
      <c r="AK239" s="145"/>
      <c r="AL239" s="145"/>
      <c r="AM239" s="145"/>
      <c r="AN239" s="145"/>
      <c r="AO239" s="146"/>
      <c r="AP239" s="147">
        <f>SUM(SUM(O239:O249),SUM(AI239:AI249)/2,AM239)</f>
        <v>0</v>
      </c>
      <c r="AQ239" s="148"/>
      <c r="AR239" s="148">
        <f>AP239*AQ239</f>
        <v>0</v>
      </c>
      <c r="AS239" s="148">
        <f>CT239</f>
        <v>0</v>
      </c>
      <c r="AT239" s="149">
        <f>AR239*0.75+AS239*0.25</f>
        <v>0</v>
      </c>
      <c r="AU239" s="150"/>
      <c r="AV239" s="151"/>
      <c r="AW239" s="151"/>
      <c r="AX239" s="152"/>
      <c r="AY239" s="153"/>
      <c r="AZ239" s="140"/>
      <c r="BA239" s="150"/>
      <c r="BB239" s="151"/>
      <c r="BC239" s="151"/>
      <c r="BD239" s="151"/>
      <c r="BE239" s="151"/>
      <c r="BF239" s="151"/>
      <c r="BG239" s="151"/>
      <c r="BH239" s="151"/>
      <c r="BI239" s="152"/>
      <c r="BJ239" s="154"/>
      <c r="BK239" s="151"/>
      <c r="BL239" s="151"/>
      <c r="BM239" s="151"/>
      <c r="BN239" s="151"/>
      <c r="BO239" s="155"/>
      <c r="BP239" s="140"/>
      <c r="BQ239" s="156"/>
      <c r="BR239" s="157"/>
      <c r="BS239" s="158"/>
      <c r="BT239" s="153"/>
      <c r="BU239" s="140"/>
      <c r="BV239" s="140"/>
      <c r="BW239" s="140"/>
      <c r="BX239" s="140"/>
      <c r="BY239" s="140"/>
      <c r="BZ239" s="140"/>
      <c r="CA239" s="140"/>
      <c r="CB239" s="140"/>
      <c r="CC239" s="140"/>
      <c r="CD239" s="150"/>
      <c r="CE239" s="155"/>
      <c r="CF239" s="150"/>
      <c r="CG239" s="152"/>
      <c r="CH239" s="252"/>
      <c r="CI239" s="160"/>
      <c r="CJ239" s="159"/>
      <c r="CK239" s="160"/>
      <c r="CL239" s="159"/>
      <c r="CM239" s="160"/>
      <c r="CN239" s="159"/>
      <c r="CO239" s="160"/>
      <c r="CP239" s="159"/>
      <c r="CQ239" s="162"/>
      <c r="CR239" s="160"/>
      <c r="CS239" s="253">
        <f>SUM(IF(AU239&lt;0,ABS(AU239),0),IF(AZ239&lt;0,ABS(AZ239),0),ABS(CI239),ABS(CK239),ABS(CM239),ABS(CO239),ABS(CQ239),ABS(CR239))</f>
        <v>0</v>
      </c>
      <c r="CT239" s="254">
        <f>SUM(AU239,AV239,AW239,AX239/400,AY239,AZ239,BG239,BH239*0.5,BI239*0.25,BJ239,BK239,BL239,BM239,BN239,BO239,BP239,BR239/20,BS239/100,BT239/60,BU239,BV239,BW239,BX239/4,SUM(BY239:CC249)/3,CE239,CG239/3,CI239,CK239,CM239,CO239,CQ239,CR239)</f>
        <v>0</v>
      </c>
      <c r="CU239" s="255" t="str">
        <f t="shared" si="2"/>
        <v/>
      </c>
    </row>
    <row r="240" ht="60.0" hidden="1" customHeight="1">
      <c r="A240" s="65"/>
      <c r="C240" s="167"/>
      <c r="D240" s="205"/>
      <c r="E240" s="262"/>
      <c r="F240" s="170"/>
      <c r="G240" s="170"/>
      <c r="H240" s="170"/>
      <c r="I240" s="170"/>
      <c r="J240" s="170"/>
      <c r="K240" s="171"/>
      <c r="L240" s="171"/>
      <c r="M240" s="171"/>
      <c r="N240" s="209"/>
      <c r="O240" s="172">
        <f t="shared" si="44"/>
        <v>0</v>
      </c>
      <c r="P240" s="166"/>
      <c r="Q240" s="173"/>
      <c r="R240" s="65"/>
      <c r="S240" s="173"/>
      <c r="T240" s="173"/>
      <c r="U240" s="166"/>
      <c r="V240" s="166"/>
      <c r="W240" s="65"/>
      <c r="X240" s="66"/>
      <c r="Y240" s="173"/>
      <c r="Z240" s="166"/>
      <c r="AA240" s="174"/>
      <c r="AB240" s="175"/>
      <c r="AC240" s="175"/>
      <c r="AD240" s="175"/>
      <c r="AE240" s="175"/>
      <c r="AF240" s="175"/>
      <c r="AG240" s="175"/>
      <c r="AH240" s="175"/>
      <c r="AI240" s="176"/>
      <c r="AJ240" s="177"/>
      <c r="AK240" s="178"/>
      <c r="AL240" s="178"/>
      <c r="AM240" s="178"/>
      <c r="AN240" s="178"/>
      <c r="AO240" s="179"/>
      <c r="AP240" s="64"/>
      <c r="AQ240" s="65"/>
      <c r="AR240" s="65"/>
      <c r="AS240" s="65"/>
      <c r="AT240" s="173"/>
      <c r="AU240" s="177"/>
      <c r="AV240" s="178"/>
      <c r="AW240" s="178"/>
      <c r="AX240" s="179"/>
      <c r="AZ240" s="166"/>
      <c r="BA240" s="177"/>
      <c r="BB240" s="178"/>
      <c r="BC240" s="178"/>
      <c r="BD240" s="178"/>
      <c r="BE240" s="178"/>
      <c r="BF240" s="178"/>
      <c r="BG240" s="178"/>
      <c r="BH240" s="178"/>
      <c r="BI240" s="179"/>
      <c r="BJ240" s="180"/>
      <c r="BK240" s="178"/>
      <c r="BL240" s="178"/>
      <c r="BM240" s="178"/>
      <c r="BN240" s="178"/>
      <c r="BO240" s="181"/>
      <c r="BP240" s="166"/>
      <c r="BQ240" s="177"/>
      <c r="BR240" s="178"/>
      <c r="BS240" s="179"/>
      <c r="BU240" s="166"/>
      <c r="BV240" s="166"/>
      <c r="BW240" s="166"/>
      <c r="BX240" s="166"/>
      <c r="BY240" s="166"/>
      <c r="BZ240" s="166"/>
      <c r="CA240" s="166"/>
      <c r="CB240" s="166"/>
      <c r="CC240" s="166"/>
      <c r="CD240" s="177"/>
      <c r="CE240" s="181"/>
      <c r="CF240" s="177"/>
      <c r="CG240" s="179"/>
      <c r="CH240" s="257"/>
      <c r="CI240" s="182"/>
      <c r="CJ240" s="177"/>
      <c r="CK240" s="182"/>
      <c r="CL240" s="177"/>
      <c r="CM240" s="182"/>
      <c r="CN240" s="177"/>
      <c r="CO240" s="182"/>
      <c r="CP240" s="177"/>
      <c r="CQ240" s="178"/>
      <c r="CR240" s="182"/>
      <c r="CS240" s="173"/>
      <c r="CT240" s="65"/>
      <c r="CU240" s="255" t="str">
        <f t="shared" si="2"/>
        <v/>
      </c>
    </row>
    <row r="241" ht="60.0" hidden="1" customHeight="1">
      <c r="A241" s="65"/>
      <c r="C241" s="167"/>
      <c r="D241" s="205"/>
      <c r="E241" s="262"/>
      <c r="F241" s="170"/>
      <c r="G241" s="170"/>
      <c r="H241" s="170"/>
      <c r="I241" s="170"/>
      <c r="J241" s="170"/>
      <c r="K241" s="171"/>
      <c r="L241" s="171"/>
      <c r="M241" s="171"/>
      <c r="N241" s="209"/>
      <c r="O241" s="172">
        <f t="shared" si="44"/>
        <v>0</v>
      </c>
      <c r="P241" s="166"/>
      <c r="Q241" s="173"/>
      <c r="R241" s="65"/>
      <c r="S241" s="173"/>
      <c r="T241" s="173"/>
      <c r="U241" s="166"/>
      <c r="V241" s="166"/>
      <c r="W241" s="65"/>
      <c r="X241" s="66"/>
      <c r="Y241" s="173"/>
      <c r="Z241" s="166"/>
      <c r="AA241" s="174"/>
      <c r="AB241" s="175"/>
      <c r="AC241" s="175"/>
      <c r="AD241" s="175"/>
      <c r="AE241" s="175"/>
      <c r="AF241" s="175"/>
      <c r="AG241" s="175"/>
      <c r="AH241" s="175"/>
      <c r="AI241" s="176"/>
      <c r="AJ241" s="177"/>
      <c r="AK241" s="178"/>
      <c r="AL241" s="178"/>
      <c r="AM241" s="178"/>
      <c r="AN241" s="178"/>
      <c r="AO241" s="179"/>
      <c r="AP241" s="64"/>
      <c r="AQ241" s="65"/>
      <c r="AR241" s="65"/>
      <c r="AS241" s="65"/>
      <c r="AT241" s="173"/>
      <c r="AU241" s="177"/>
      <c r="AV241" s="178"/>
      <c r="AW241" s="178"/>
      <c r="AX241" s="179"/>
      <c r="AZ241" s="166"/>
      <c r="BA241" s="177"/>
      <c r="BB241" s="178"/>
      <c r="BC241" s="178"/>
      <c r="BD241" s="178"/>
      <c r="BE241" s="178"/>
      <c r="BF241" s="178"/>
      <c r="BG241" s="178"/>
      <c r="BH241" s="178"/>
      <c r="BI241" s="179"/>
      <c r="BJ241" s="180"/>
      <c r="BK241" s="178"/>
      <c r="BL241" s="178"/>
      <c r="BM241" s="178"/>
      <c r="BN241" s="178"/>
      <c r="BO241" s="181"/>
      <c r="BP241" s="166"/>
      <c r="BQ241" s="177"/>
      <c r="BR241" s="178"/>
      <c r="BS241" s="179"/>
      <c r="BU241" s="166"/>
      <c r="BV241" s="166"/>
      <c r="BW241" s="166"/>
      <c r="BX241" s="166"/>
      <c r="BY241" s="166"/>
      <c r="BZ241" s="166"/>
      <c r="CA241" s="166"/>
      <c r="CB241" s="166"/>
      <c r="CC241" s="166"/>
      <c r="CD241" s="177"/>
      <c r="CE241" s="181"/>
      <c r="CF241" s="177"/>
      <c r="CG241" s="179"/>
      <c r="CH241" s="257"/>
      <c r="CI241" s="182"/>
      <c r="CJ241" s="177"/>
      <c r="CK241" s="182"/>
      <c r="CL241" s="177"/>
      <c r="CM241" s="182"/>
      <c r="CN241" s="177"/>
      <c r="CO241" s="182"/>
      <c r="CP241" s="177"/>
      <c r="CQ241" s="178"/>
      <c r="CR241" s="182"/>
      <c r="CS241" s="173"/>
      <c r="CT241" s="65"/>
      <c r="CU241" s="255" t="str">
        <f t="shared" si="2"/>
        <v/>
      </c>
    </row>
    <row r="242" ht="60.0" hidden="1" customHeight="1">
      <c r="A242" s="65"/>
      <c r="C242" s="167"/>
      <c r="D242" s="205"/>
      <c r="E242" s="262"/>
      <c r="F242" s="170"/>
      <c r="G242" s="170"/>
      <c r="H242" s="170"/>
      <c r="I242" s="170"/>
      <c r="J242" s="170"/>
      <c r="K242" s="171"/>
      <c r="L242" s="171"/>
      <c r="M242" s="171"/>
      <c r="N242" s="209"/>
      <c r="O242" s="172">
        <f t="shared" si="44"/>
        <v>0</v>
      </c>
      <c r="P242" s="166"/>
      <c r="Q242" s="173"/>
      <c r="R242" s="65"/>
      <c r="S242" s="173"/>
      <c r="T242" s="173"/>
      <c r="U242" s="166"/>
      <c r="V242" s="166"/>
      <c r="W242" s="65"/>
      <c r="X242" s="66"/>
      <c r="Y242" s="173"/>
      <c r="Z242" s="166"/>
      <c r="AA242" s="174"/>
      <c r="AB242" s="175"/>
      <c r="AC242" s="175"/>
      <c r="AD242" s="175"/>
      <c r="AE242" s="175"/>
      <c r="AF242" s="175"/>
      <c r="AG242" s="175"/>
      <c r="AH242" s="175"/>
      <c r="AI242" s="176"/>
      <c r="AJ242" s="177"/>
      <c r="AK242" s="178"/>
      <c r="AL242" s="178"/>
      <c r="AM242" s="178"/>
      <c r="AN242" s="178"/>
      <c r="AO242" s="179"/>
      <c r="AP242" s="64"/>
      <c r="AQ242" s="65"/>
      <c r="AR242" s="65"/>
      <c r="AS242" s="65"/>
      <c r="AT242" s="173"/>
      <c r="AU242" s="177"/>
      <c r="AV242" s="178"/>
      <c r="AW242" s="178"/>
      <c r="AX242" s="179"/>
      <c r="AZ242" s="166"/>
      <c r="BA242" s="177"/>
      <c r="BB242" s="178"/>
      <c r="BC242" s="178"/>
      <c r="BD242" s="178"/>
      <c r="BE242" s="178"/>
      <c r="BF242" s="178"/>
      <c r="BG242" s="178"/>
      <c r="BH242" s="178"/>
      <c r="BI242" s="179"/>
      <c r="BJ242" s="180"/>
      <c r="BK242" s="178"/>
      <c r="BL242" s="178"/>
      <c r="BM242" s="178"/>
      <c r="BN242" s="178"/>
      <c r="BO242" s="181"/>
      <c r="BP242" s="166"/>
      <c r="BQ242" s="177"/>
      <c r="BR242" s="178"/>
      <c r="BS242" s="179"/>
      <c r="BU242" s="166"/>
      <c r="BV242" s="166"/>
      <c r="BW242" s="166"/>
      <c r="BX242" s="166"/>
      <c r="BY242" s="166"/>
      <c r="BZ242" s="166"/>
      <c r="CA242" s="166"/>
      <c r="CB242" s="166"/>
      <c r="CC242" s="166"/>
      <c r="CD242" s="177"/>
      <c r="CE242" s="181"/>
      <c r="CF242" s="177"/>
      <c r="CG242" s="179"/>
      <c r="CH242" s="257"/>
      <c r="CI242" s="182"/>
      <c r="CJ242" s="177"/>
      <c r="CK242" s="182"/>
      <c r="CL242" s="177"/>
      <c r="CM242" s="182"/>
      <c r="CN242" s="177"/>
      <c r="CO242" s="182"/>
      <c r="CP242" s="177"/>
      <c r="CQ242" s="178"/>
      <c r="CR242" s="182"/>
      <c r="CS242" s="173"/>
      <c r="CT242" s="65"/>
      <c r="CU242" s="255" t="str">
        <f t="shared" si="2"/>
        <v/>
      </c>
    </row>
    <row r="243" ht="60.0" hidden="1" customHeight="1">
      <c r="A243" s="65"/>
      <c r="C243" s="167"/>
      <c r="D243" s="205"/>
      <c r="E243" s="262"/>
      <c r="F243" s="170"/>
      <c r="G243" s="170"/>
      <c r="H243" s="170"/>
      <c r="I243" s="170"/>
      <c r="J243" s="170"/>
      <c r="K243" s="171"/>
      <c r="L243" s="171"/>
      <c r="M243" s="171"/>
      <c r="N243" s="209"/>
      <c r="O243" s="172">
        <f t="shared" si="44"/>
        <v>0</v>
      </c>
      <c r="P243" s="166"/>
      <c r="Q243" s="173"/>
      <c r="R243" s="65"/>
      <c r="S243" s="173"/>
      <c r="T243" s="173"/>
      <c r="U243" s="166"/>
      <c r="V243" s="166"/>
      <c r="W243" s="65"/>
      <c r="X243" s="66"/>
      <c r="Y243" s="173"/>
      <c r="Z243" s="166"/>
      <c r="AA243" s="174"/>
      <c r="AB243" s="175"/>
      <c r="AC243" s="175"/>
      <c r="AD243" s="175"/>
      <c r="AE243" s="175"/>
      <c r="AF243" s="175"/>
      <c r="AG243" s="175"/>
      <c r="AH243" s="175"/>
      <c r="AI243" s="176"/>
      <c r="AJ243" s="177"/>
      <c r="AK243" s="178"/>
      <c r="AL243" s="178"/>
      <c r="AM243" s="178"/>
      <c r="AN243" s="178"/>
      <c r="AO243" s="179"/>
      <c r="AP243" s="64"/>
      <c r="AQ243" s="65"/>
      <c r="AR243" s="65"/>
      <c r="AS243" s="65"/>
      <c r="AT243" s="173"/>
      <c r="AU243" s="177"/>
      <c r="AV243" s="178"/>
      <c r="AW243" s="178"/>
      <c r="AX243" s="179"/>
      <c r="AZ243" s="166"/>
      <c r="BA243" s="177"/>
      <c r="BB243" s="178"/>
      <c r="BC243" s="178"/>
      <c r="BD243" s="178"/>
      <c r="BE243" s="178"/>
      <c r="BF243" s="178"/>
      <c r="BG243" s="178"/>
      <c r="BH243" s="178"/>
      <c r="BI243" s="179"/>
      <c r="BJ243" s="180"/>
      <c r="BK243" s="178"/>
      <c r="BL243" s="178"/>
      <c r="BM243" s="178"/>
      <c r="BN243" s="178"/>
      <c r="BO243" s="181"/>
      <c r="BP243" s="166"/>
      <c r="BQ243" s="177"/>
      <c r="BR243" s="178"/>
      <c r="BS243" s="179"/>
      <c r="BU243" s="166"/>
      <c r="BV243" s="166"/>
      <c r="BW243" s="166"/>
      <c r="BX243" s="166"/>
      <c r="BY243" s="166"/>
      <c r="BZ243" s="166"/>
      <c r="CA243" s="166"/>
      <c r="CB243" s="166"/>
      <c r="CC243" s="166"/>
      <c r="CD243" s="177"/>
      <c r="CE243" s="181"/>
      <c r="CF243" s="177"/>
      <c r="CG243" s="179"/>
      <c r="CH243" s="257"/>
      <c r="CI243" s="182"/>
      <c r="CJ243" s="177"/>
      <c r="CK243" s="182"/>
      <c r="CL243" s="177"/>
      <c r="CM243" s="182"/>
      <c r="CN243" s="177"/>
      <c r="CO243" s="182"/>
      <c r="CP243" s="177"/>
      <c r="CQ243" s="178"/>
      <c r="CR243" s="182"/>
      <c r="CS243" s="173"/>
      <c r="CT243" s="65"/>
      <c r="CU243" s="255" t="str">
        <f t="shared" si="2"/>
        <v/>
      </c>
    </row>
    <row r="244" ht="60.0" hidden="1" customHeight="1">
      <c r="A244" s="65"/>
      <c r="C244" s="167"/>
      <c r="D244" s="205"/>
      <c r="E244" s="262"/>
      <c r="F244" s="170"/>
      <c r="G244" s="170"/>
      <c r="H244" s="170"/>
      <c r="I244" s="170"/>
      <c r="J244" s="170"/>
      <c r="K244" s="171"/>
      <c r="L244" s="171"/>
      <c r="M244" s="171"/>
      <c r="N244" s="209"/>
      <c r="O244" s="172">
        <f t="shared" si="44"/>
        <v>0</v>
      </c>
      <c r="P244" s="166"/>
      <c r="Q244" s="173"/>
      <c r="R244" s="65"/>
      <c r="S244" s="173"/>
      <c r="T244" s="173"/>
      <c r="U244" s="166"/>
      <c r="V244" s="166"/>
      <c r="W244" s="65"/>
      <c r="X244" s="66"/>
      <c r="Y244" s="173"/>
      <c r="Z244" s="166"/>
      <c r="AA244" s="174"/>
      <c r="AB244" s="175"/>
      <c r="AC244" s="175"/>
      <c r="AD244" s="175"/>
      <c r="AE244" s="175"/>
      <c r="AF244" s="175"/>
      <c r="AG244" s="175"/>
      <c r="AH244" s="175"/>
      <c r="AI244" s="176"/>
      <c r="AJ244" s="177"/>
      <c r="AK244" s="178"/>
      <c r="AL244" s="178"/>
      <c r="AM244" s="178"/>
      <c r="AN244" s="178"/>
      <c r="AO244" s="179"/>
      <c r="AP244" s="64"/>
      <c r="AQ244" s="65"/>
      <c r="AR244" s="65"/>
      <c r="AS244" s="65"/>
      <c r="AT244" s="173"/>
      <c r="AU244" s="177"/>
      <c r="AV244" s="178"/>
      <c r="AW244" s="178"/>
      <c r="AX244" s="179"/>
      <c r="AZ244" s="166"/>
      <c r="BA244" s="177"/>
      <c r="BB244" s="178"/>
      <c r="BC244" s="178"/>
      <c r="BD244" s="178"/>
      <c r="BE244" s="178"/>
      <c r="BF244" s="178"/>
      <c r="BG244" s="178"/>
      <c r="BH244" s="178"/>
      <c r="BI244" s="179"/>
      <c r="BJ244" s="180"/>
      <c r="BK244" s="178"/>
      <c r="BL244" s="178"/>
      <c r="BM244" s="178"/>
      <c r="BN244" s="178"/>
      <c r="BO244" s="181"/>
      <c r="BP244" s="166"/>
      <c r="BQ244" s="177"/>
      <c r="BR244" s="178"/>
      <c r="BS244" s="179"/>
      <c r="BU244" s="166"/>
      <c r="BV244" s="166"/>
      <c r="BW244" s="166"/>
      <c r="BX244" s="166"/>
      <c r="BY244" s="166"/>
      <c r="BZ244" s="166"/>
      <c r="CA244" s="166"/>
      <c r="CB244" s="166"/>
      <c r="CC244" s="166"/>
      <c r="CD244" s="177"/>
      <c r="CE244" s="181"/>
      <c r="CF244" s="177"/>
      <c r="CG244" s="179"/>
      <c r="CH244" s="257"/>
      <c r="CI244" s="182"/>
      <c r="CJ244" s="177"/>
      <c r="CK244" s="182"/>
      <c r="CL244" s="177"/>
      <c r="CM244" s="182"/>
      <c r="CN244" s="177"/>
      <c r="CO244" s="182"/>
      <c r="CP244" s="177"/>
      <c r="CQ244" s="178"/>
      <c r="CR244" s="182"/>
      <c r="CS244" s="173"/>
      <c r="CT244" s="65"/>
      <c r="CU244" s="255" t="str">
        <f t="shared" si="2"/>
        <v/>
      </c>
    </row>
    <row r="245" ht="60.0" hidden="1" customHeight="1">
      <c r="A245" s="65"/>
      <c r="C245" s="167"/>
      <c r="D245" s="205"/>
      <c r="E245" s="262"/>
      <c r="F245" s="170"/>
      <c r="G245" s="170"/>
      <c r="H245" s="170"/>
      <c r="I245" s="170"/>
      <c r="J245" s="170"/>
      <c r="K245" s="171"/>
      <c r="L245" s="171"/>
      <c r="M245" s="171"/>
      <c r="N245" s="209"/>
      <c r="O245" s="172">
        <f t="shared" ref="O245:O248" si="45">IF(AND(M245&gt;=20,M245&lt;&gt;"m",RIGHT(K245,3)="Lec"),1,IF(AND(M245&gt;=20,M245&lt;&gt;"m",OR(RIGHT(K245,3)="Lab",RIGHT(K245,3)="Tut")),0.5,IF(AND(M245&gt;=20,M245&lt;&gt;"m",RIGHT(K245,2)="TL"),0.75,0)))</f>
        <v>0</v>
      </c>
      <c r="P245" s="166"/>
      <c r="Q245" s="173"/>
      <c r="R245" s="65"/>
      <c r="S245" s="173"/>
      <c r="T245" s="173"/>
      <c r="U245" s="166"/>
      <c r="V245" s="166"/>
      <c r="W245" s="65"/>
      <c r="X245" s="66"/>
      <c r="Y245" s="173"/>
      <c r="Z245" s="166"/>
      <c r="AA245" s="174"/>
      <c r="AB245" s="175"/>
      <c r="AC245" s="175"/>
      <c r="AD245" s="175"/>
      <c r="AE245" s="175"/>
      <c r="AF245" s="175"/>
      <c r="AG245" s="175"/>
      <c r="AH245" s="175"/>
      <c r="AI245" s="176"/>
      <c r="AJ245" s="177"/>
      <c r="AK245" s="178"/>
      <c r="AL245" s="178"/>
      <c r="AM245" s="178"/>
      <c r="AN245" s="178"/>
      <c r="AO245" s="179"/>
      <c r="AP245" s="64"/>
      <c r="AQ245" s="65"/>
      <c r="AR245" s="65"/>
      <c r="AS245" s="65"/>
      <c r="AT245" s="173"/>
      <c r="AU245" s="177"/>
      <c r="AV245" s="178"/>
      <c r="AW245" s="178"/>
      <c r="AX245" s="179"/>
      <c r="AZ245" s="166"/>
      <c r="BA245" s="177"/>
      <c r="BB245" s="178"/>
      <c r="BC245" s="178"/>
      <c r="BD245" s="178"/>
      <c r="BE245" s="178"/>
      <c r="BF245" s="178"/>
      <c r="BG245" s="178"/>
      <c r="BH245" s="178"/>
      <c r="BI245" s="179"/>
      <c r="BJ245" s="180"/>
      <c r="BK245" s="178"/>
      <c r="BL245" s="178"/>
      <c r="BM245" s="178"/>
      <c r="BN245" s="178"/>
      <c r="BO245" s="181"/>
      <c r="BP245" s="166"/>
      <c r="BQ245" s="177"/>
      <c r="BR245" s="178"/>
      <c r="BS245" s="179"/>
      <c r="BU245" s="166"/>
      <c r="BV245" s="166"/>
      <c r="BW245" s="166"/>
      <c r="BX245" s="166"/>
      <c r="BY245" s="166"/>
      <c r="BZ245" s="166"/>
      <c r="CA245" s="166"/>
      <c r="CB245" s="166"/>
      <c r="CC245" s="166"/>
      <c r="CD245" s="177"/>
      <c r="CE245" s="181"/>
      <c r="CF245" s="177"/>
      <c r="CG245" s="179"/>
      <c r="CH245" s="257"/>
      <c r="CI245" s="182"/>
      <c r="CJ245" s="177"/>
      <c r="CK245" s="182"/>
      <c r="CL245" s="177"/>
      <c r="CM245" s="182"/>
      <c r="CN245" s="177"/>
      <c r="CO245" s="182"/>
      <c r="CP245" s="177"/>
      <c r="CQ245" s="178"/>
      <c r="CR245" s="182"/>
      <c r="CS245" s="173"/>
      <c r="CT245" s="65"/>
      <c r="CU245" s="255" t="str">
        <f t="shared" si="2"/>
        <v/>
      </c>
    </row>
    <row r="246" ht="60.0" hidden="1" customHeight="1">
      <c r="A246" s="65"/>
      <c r="C246" s="167"/>
      <c r="D246" s="205"/>
      <c r="E246" s="262"/>
      <c r="F246" s="170"/>
      <c r="G246" s="170"/>
      <c r="H246" s="170"/>
      <c r="I246" s="170"/>
      <c r="J246" s="170"/>
      <c r="K246" s="171"/>
      <c r="L246" s="171"/>
      <c r="M246" s="171"/>
      <c r="N246" s="209"/>
      <c r="O246" s="172">
        <f t="shared" si="45"/>
        <v>0</v>
      </c>
      <c r="P246" s="166"/>
      <c r="Q246" s="173"/>
      <c r="R246" s="65"/>
      <c r="S246" s="173"/>
      <c r="T246" s="173"/>
      <c r="U246" s="166"/>
      <c r="V246" s="166"/>
      <c r="W246" s="65"/>
      <c r="X246" s="66"/>
      <c r="Y246" s="173"/>
      <c r="Z246" s="166"/>
      <c r="AA246" s="174"/>
      <c r="AB246" s="175"/>
      <c r="AC246" s="175"/>
      <c r="AD246" s="175"/>
      <c r="AE246" s="175"/>
      <c r="AF246" s="175"/>
      <c r="AG246" s="175"/>
      <c r="AH246" s="175"/>
      <c r="AI246" s="176"/>
      <c r="AJ246" s="177"/>
      <c r="AK246" s="178"/>
      <c r="AL246" s="178"/>
      <c r="AM246" s="178"/>
      <c r="AN246" s="178"/>
      <c r="AO246" s="179"/>
      <c r="AP246" s="64"/>
      <c r="AQ246" s="65"/>
      <c r="AR246" s="65"/>
      <c r="AS246" s="65"/>
      <c r="AT246" s="173"/>
      <c r="AU246" s="177"/>
      <c r="AV246" s="178"/>
      <c r="AW246" s="178"/>
      <c r="AX246" s="179"/>
      <c r="AZ246" s="166"/>
      <c r="BA246" s="177"/>
      <c r="BB246" s="178"/>
      <c r="BC246" s="178"/>
      <c r="BD246" s="178"/>
      <c r="BE246" s="178"/>
      <c r="BF246" s="178"/>
      <c r="BG246" s="178"/>
      <c r="BH246" s="178"/>
      <c r="BI246" s="179"/>
      <c r="BJ246" s="180"/>
      <c r="BK246" s="178"/>
      <c r="BL246" s="178"/>
      <c r="BM246" s="178"/>
      <c r="BN246" s="178"/>
      <c r="BO246" s="181"/>
      <c r="BP246" s="166"/>
      <c r="BQ246" s="177"/>
      <c r="BR246" s="178"/>
      <c r="BS246" s="179"/>
      <c r="BU246" s="166"/>
      <c r="BV246" s="166"/>
      <c r="BW246" s="166"/>
      <c r="BX246" s="166"/>
      <c r="BY246" s="166"/>
      <c r="BZ246" s="166"/>
      <c r="CA246" s="166"/>
      <c r="CB246" s="166"/>
      <c r="CC246" s="166"/>
      <c r="CD246" s="177"/>
      <c r="CE246" s="181"/>
      <c r="CF246" s="177"/>
      <c r="CG246" s="179"/>
      <c r="CH246" s="257"/>
      <c r="CI246" s="182"/>
      <c r="CJ246" s="177"/>
      <c r="CK246" s="182"/>
      <c r="CL246" s="177"/>
      <c r="CM246" s="182"/>
      <c r="CN246" s="177"/>
      <c r="CO246" s="182"/>
      <c r="CP246" s="177"/>
      <c r="CQ246" s="178"/>
      <c r="CR246" s="182"/>
      <c r="CS246" s="173"/>
      <c r="CT246" s="65"/>
      <c r="CU246" s="255" t="str">
        <f t="shared" si="2"/>
        <v/>
      </c>
    </row>
    <row r="247" ht="60.0" hidden="1" customHeight="1">
      <c r="A247" s="65"/>
      <c r="C247" s="167"/>
      <c r="D247" s="205"/>
      <c r="E247" s="262"/>
      <c r="F247" s="170"/>
      <c r="G247" s="170"/>
      <c r="H247" s="170"/>
      <c r="I247" s="170"/>
      <c r="J247" s="170"/>
      <c r="K247" s="171"/>
      <c r="L247" s="171"/>
      <c r="M247" s="171"/>
      <c r="N247" s="209"/>
      <c r="O247" s="172">
        <f t="shared" si="45"/>
        <v>0</v>
      </c>
      <c r="P247" s="166"/>
      <c r="Q247" s="173"/>
      <c r="R247" s="65"/>
      <c r="S247" s="173"/>
      <c r="T247" s="173"/>
      <c r="U247" s="166"/>
      <c r="V247" s="166"/>
      <c r="W247" s="65"/>
      <c r="X247" s="66"/>
      <c r="Y247" s="173"/>
      <c r="Z247" s="166"/>
      <c r="AA247" s="174"/>
      <c r="AB247" s="175"/>
      <c r="AC247" s="175"/>
      <c r="AD247" s="175"/>
      <c r="AE247" s="175"/>
      <c r="AF247" s="175"/>
      <c r="AG247" s="175"/>
      <c r="AH247" s="175"/>
      <c r="AI247" s="176"/>
      <c r="AJ247" s="177"/>
      <c r="AK247" s="178"/>
      <c r="AL247" s="178"/>
      <c r="AM247" s="178"/>
      <c r="AN247" s="178"/>
      <c r="AO247" s="179"/>
      <c r="AP247" s="64"/>
      <c r="AQ247" s="65"/>
      <c r="AR247" s="65"/>
      <c r="AS247" s="65"/>
      <c r="AT247" s="173"/>
      <c r="AU247" s="177"/>
      <c r="AV247" s="178"/>
      <c r="AW247" s="178"/>
      <c r="AX247" s="179"/>
      <c r="AZ247" s="166"/>
      <c r="BA247" s="177"/>
      <c r="BB247" s="178"/>
      <c r="BC247" s="178"/>
      <c r="BD247" s="178"/>
      <c r="BE247" s="178"/>
      <c r="BF247" s="178"/>
      <c r="BG247" s="178"/>
      <c r="BH247" s="178"/>
      <c r="BI247" s="179"/>
      <c r="BJ247" s="180"/>
      <c r="BK247" s="178"/>
      <c r="BL247" s="178"/>
      <c r="BM247" s="178"/>
      <c r="BN247" s="178"/>
      <c r="BO247" s="181"/>
      <c r="BP247" s="166"/>
      <c r="BQ247" s="177"/>
      <c r="BR247" s="178"/>
      <c r="BS247" s="179"/>
      <c r="BU247" s="166"/>
      <c r="BV247" s="166"/>
      <c r="BW247" s="166"/>
      <c r="BX247" s="166"/>
      <c r="BY247" s="166"/>
      <c r="BZ247" s="166"/>
      <c r="CA247" s="166"/>
      <c r="CB247" s="166"/>
      <c r="CC247" s="166"/>
      <c r="CD247" s="177"/>
      <c r="CE247" s="181"/>
      <c r="CF247" s="177"/>
      <c r="CG247" s="179"/>
      <c r="CH247" s="257"/>
      <c r="CI247" s="182"/>
      <c r="CJ247" s="177"/>
      <c r="CK247" s="182"/>
      <c r="CL247" s="177"/>
      <c r="CM247" s="182"/>
      <c r="CN247" s="177"/>
      <c r="CO247" s="182"/>
      <c r="CP247" s="177"/>
      <c r="CQ247" s="178"/>
      <c r="CR247" s="182"/>
      <c r="CS247" s="173"/>
      <c r="CT247" s="65"/>
      <c r="CU247" s="255" t="str">
        <f t="shared" si="2"/>
        <v/>
      </c>
    </row>
    <row r="248" ht="60.0" hidden="1" customHeight="1">
      <c r="A248" s="65"/>
      <c r="C248" s="167"/>
      <c r="D248" s="205"/>
      <c r="E248" s="262"/>
      <c r="F248" s="170"/>
      <c r="G248" s="170"/>
      <c r="H248" s="170"/>
      <c r="I248" s="170"/>
      <c r="J248" s="170"/>
      <c r="K248" s="171"/>
      <c r="L248" s="171"/>
      <c r="M248" s="171"/>
      <c r="N248" s="209"/>
      <c r="O248" s="172">
        <f t="shared" si="45"/>
        <v>0</v>
      </c>
      <c r="P248" s="166"/>
      <c r="Q248" s="173"/>
      <c r="R248" s="65"/>
      <c r="S248" s="173"/>
      <c r="T248" s="173"/>
      <c r="U248" s="166"/>
      <c r="V248" s="166"/>
      <c r="W248" s="65"/>
      <c r="X248" s="66"/>
      <c r="Y248" s="173"/>
      <c r="Z248" s="166"/>
      <c r="AA248" s="174"/>
      <c r="AB248" s="175"/>
      <c r="AC248" s="175"/>
      <c r="AD248" s="175"/>
      <c r="AE248" s="175"/>
      <c r="AF248" s="175"/>
      <c r="AG248" s="175"/>
      <c r="AH248" s="175"/>
      <c r="AI248" s="176"/>
      <c r="AJ248" s="177"/>
      <c r="AK248" s="178"/>
      <c r="AL248" s="178"/>
      <c r="AM248" s="178"/>
      <c r="AN248" s="178"/>
      <c r="AO248" s="179"/>
      <c r="AP248" s="64"/>
      <c r="AQ248" s="65"/>
      <c r="AR248" s="65"/>
      <c r="AS248" s="65"/>
      <c r="AT248" s="173"/>
      <c r="AU248" s="177"/>
      <c r="AV248" s="178"/>
      <c r="AW248" s="178"/>
      <c r="AX248" s="179"/>
      <c r="AZ248" s="166"/>
      <c r="BA248" s="177"/>
      <c r="BB248" s="178"/>
      <c r="BC248" s="178"/>
      <c r="BD248" s="178"/>
      <c r="BE248" s="178"/>
      <c r="BF248" s="178"/>
      <c r="BG248" s="178"/>
      <c r="BH248" s="178"/>
      <c r="BI248" s="179"/>
      <c r="BJ248" s="180"/>
      <c r="BK248" s="178"/>
      <c r="BL248" s="178"/>
      <c r="BM248" s="178"/>
      <c r="BN248" s="178"/>
      <c r="BO248" s="181"/>
      <c r="BP248" s="166"/>
      <c r="BQ248" s="177"/>
      <c r="BR248" s="178"/>
      <c r="BS248" s="179"/>
      <c r="BU248" s="166"/>
      <c r="BV248" s="166"/>
      <c r="BW248" s="166"/>
      <c r="BX248" s="166"/>
      <c r="BY248" s="166"/>
      <c r="BZ248" s="166"/>
      <c r="CA248" s="166"/>
      <c r="CB248" s="166"/>
      <c r="CC248" s="166"/>
      <c r="CD248" s="177"/>
      <c r="CE248" s="181"/>
      <c r="CF248" s="177"/>
      <c r="CG248" s="179"/>
      <c r="CH248" s="257"/>
      <c r="CI248" s="182"/>
      <c r="CJ248" s="177"/>
      <c r="CK248" s="182"/>
      <c r="CL248" s="177"/>
      <c r="CM248" s="182"/>
      <c r="CN248" s="177"/>
      <c r="CO248" s="182"/>
      <c r="CP248" s="177"/>
      <c r="CQ248" s="178"/>
      <c r="CR248" s="182"/>
      <c r="CS248" s="173"/>
      <c r="CT248" s="65"/>
      <c r="CU248" s="255" t="str">
        <f t="shared" si="2"/>
        <v/>
      </c>
    </row>
    <row r="249" ht="60.0" hidden="1" customHeight="1">
      <c r="A249" s="89"/>
      <c r="B249" s="6"/>
      <c r="C249" s="183"/>
      <c r="D249" s="210"/>
      <c r="E249" s="263"/>
      <c r="F249" s="186"/>
      <c r="G249" s="186"/>
      <c r="H249" s="186"/>
      <c r="I249" s="186"/>
      <c r="J249" s="186"/>
      <c r="K249" s="187"/>
      <c r="L249" s="187"/>
      <c r="M249" s="187"/>
      <c r="N249" s="214"/>
      <c r="O249" s="188">
        <f t="shared" ref="O249:O255" si="46">IF(AND(M249&lt;&gt;0,M249&lt;&gt;"m",M249&lt;&gt;"",RIGHT(K249,3)="Lec"),1,IF(AND(M249&lt;&gt;0,M249&lt;&gt;"m",M249&lt;&gt;"",OR(RIGHT(K249,3)="Lab",RIGHT(K249,3)="Tut")),0.5,IF(AND(M249&lt;&gt;0,M249&lt;&gt;"m",M249&lt;&gt;"",RIGHT(K249,2)="TL"),0.75,0)))</f>
        <v>0</v>
      </c>
      <c r="P249" s="63"/>
      <c r="Q249" s="69"/>
      <c r="R249" s="89"/>
      <c r="S249" s="69"/>
      <c r="T249" s="69"/>
      <c r="U249" s="63"/>
      <c r="V249" s="63"/>
      <c r="W249" s="89"/>
      <c r="X249" s="68"/>
      <c r="Y249" s="69"/>
      <c r="Z249" s="63"/>
      <c r="AA249" s="189"/>
      <c r="AB249" s="190"/>
      <c r="AC249" s="190"/>
      <c r="AD249" s="190"/>
      <c r="AE249" s="190"/>
      <c r="AF249" s="190"/>
      <c r="AG249" s="190"/>
      <c r="AH249" s="190"/>
      <c r="AI249" s="191"/>
      <c r="AJ249" s="192"/>
      <c r="AK249" s="193"/>
      <c r="AL249" s="193"/>
      <c r="AM249" s="193"/>
      <c r="AN249" s="193"/>
      <c r="AO249" s="194"/>
      <c r="AP249" s="103"/>
      <c r="AQ249" s="89"/>
      <c r="AR249" s="89"/>
      <c r="AS249" s="89"/>
      <c r="AT249" s="69"/>
      <c r="AU249" s="192"/>
      <c r="AV249" s="193"/>
      <c r="AW249" s="193"/>
      <c r="AX249" s="194"/>
      <c r="AY249" s="6"/>
      <c r="AZ249" s="63"/>
      <c r="BA249" s="192"/>
      <c r="BB249" s="193"/>
      <c r="BC249" s="193"/>
      <c r="BD249" s="193"/>
      <c r="BE249" s="193"/>
      <c r="BF249" s="193"/>
      <c r="BG249" s="193"/>
      <c r="BH249" s="193"/>
      <c r="BI249" s="194"/>
      <c r="BJ249" s="195"/>
      <c r="BK249" s="193"/>
      <c r="BL249" s="193"/>
      <c r="BM249" s="193"/>
      <c r="BN249" s="193"/>
      <c r="BO249" s="196"/>
      <c r="BP249" s="63"/>
      <c r="BQ249" s="192"/>
      <c r="BR249" s="193"/>
      <c r="BS249" s="194"/>
      <c r="BT249" s="6"/>
      <c r="BU249" s="63"/>
      <c r="BV249" s="63"/>
      <c r="BW249" s="63"/>
      <c r="BX249" s="63"/>
      <c r="BY249" s="63"/>
      <c r="BZ249" s="63"/>
      <c r="CA249" s="63"/>
      <c r="CB249" s="63"/>
      <c r="CC249" s="63"/>
      <c r="CD249" s="192"/>
      <c r="CE249" s="196"/>
      <c r="CF249" s="192"/>
      <c r="CG249" s="194"/>
      <c r="CH249" s="259"/>
      <c r="CI249" s="197"/>
      <c r="CJ249" s="192"/>
      <c r="CK249" s="197"/>
      <c r="CL249" s="192"/>
      <c r="CM249" s="197"/>
      <c r="CN249" s="192"/>
      <c r="CO249" s="197"/>
      <c r="CP249" s="192"/>
      <c r="CQ249" s="193"/>
      <c r="CR249" s="197"/>
      <c r="CS249" s="69"/>
      <c r="CT249" s="89"/>
      <c r="CU249" s="255" t="str">
        <f t="shared" si="2"/>
        <v/>
      </c>
    </row>
    <row r="250" ht="56.25" hidden="1" customHeight="1">
      <c r="A250" s="125">
        <v>23.0</v>
      </c>
      <c r="B250" s="199"/>
      <c r="C250" s="127"/>
      <c r="D250" s="128"/>
      <c r="E250" s="260"/>
      <c r="F250" s="261"/>
      <c r="G250" s="261"/>
      <c r="H250" s="261"/>
      <c r="I250" s="261"/>
      <c r="J250" s="170"/>
      <c r="K250" s="219"/>
      <c r="L250" s="219"/>
      <c r="M250" s="219"/>
      <c r="N250" s="220"/>
      <c r="O250" s="132">
        <f t="shared" si="46"/>
        <v>0</v>
      </c>
      <c r="P250" s="133">
        <f>COUNTIF(K250:K260,"TL")*0.75+COUNTIF(K250:K260,"Lec")*1+COUNTIF(K250:K260,"Lab")*0.5</f>
        <v>0</v>
      </c>
      <c r="Q250" s="134">
        <f>SUM((IF(LEFT(K250,1)="E",O250,0)),(IF(LEFT(K251,1)="E",O251,0)),(IF(LEFT(K252,1)="E",O252,0)),(IF(LEFT(K253,1)="E",O253,0)),(IF(LEFT(K254,1)="E",O254,0)),(IF(LEFT(K255,1)="E",O255,0)),(IF(LEFT(K256,1)="E",O256,0)),(IF(LEFT(K257,1)="E",O257,0)),(IF(LEFT(K258,1)="E",O258,0)),(IF(LEFT(K259,1)="E",O259,0)),(IF(LEFT(K260,1)="E",O260,0)))</f>
        <v>0</v>
      </c>
      <c r="R250" s="135">
        <f>SUM(IF(M256&lt;20,IF(K256="Plec",-1,IF(K256="PTL",-0.75,IF(K256="Plab",-0.5,0))),0),IF(M257&lt;20,IF(K257="Plec",-1,IF(K257="PTL",-0.75,IF(K257="Plab",-0.5,0))),0),IF(M258&lt;20,IF(K258="Plec",-1,IF(K258="PTL",-0.75,IF(K258="Plab",-0.5,0))),0),IF(M259&lt;20,IF(K259="Plec",-1,IF(K259="PTL",-0.75,IF(K259="Plab",-0.5,0))),0))</f>
        <v>0</v>
      </c>
      <c r="S250" s="134">
        <f>SUM(P250:R260)</f>
        <v>0</v>
      </c>
      <c r="T250" s="136">
        <f>SUM(IF(M250="M",IF(OR(K250="lec",K250="plec",K250="slec"),1,IF(OR(K250="lab",K250="plab",K250="slab",K250="tut",K250="ptut",K250="stut"),0.5,IF(OR(K250="TL",K250="pTL",K250="STL"),0.75,0))),0),IF(M251="M",IF(OR(K251="lec",K251="plec",K251="slec"),1,IF(OR(K251="lab",K251="plab",K251="slab",K251="tut",K251="ptut",K251="stut"),0.5,IF(OR(K251="TL",K251="pTL",K251="STL"),0.75,0))),0),IF(M252="M",IF(OR(K252="lec",K252="plec",K252="slec"),1,IF(OR(K252="lab",K252="plab",K252="slab",K252="tut",K252="ptut",K252="stut"),0.5,IF(OR(K252="TL",K252="pTL",K252="STL"),0.75,0))),0),IF(M253="M",IF(OR(K253="lec",K253="plec",K253="slec"),1,IF(OR(K253="lab",K253="plab",K253="slab",K253="tut",K253="ptut",K253="stut"),0.5,IF(OR(K253="TL",K253="pTL",K253="STL"),0.75,0))),0),IF(M254="M",IF(OR(K254="lec",K254="plec",K254="slec"),1,IF(OR(K254="lab",K254="plab",K254="slab",K254="tut",K254="ptut",K254="stut"),0.5,IF(OR(K254="TL",K254="pTL",K254="STL"),0.75,0))),0),IF(M255="M",IF(OR(K255="lec",K255="plec",K255="slec"),1,IF(OR(K255="lab",K255="plab",K255="slab",K255="tut",K255="ptut",K255="stut"),0.5,IF(OR(K255="TL",K255="pTL",K255="STL"),0.75,0))),0),IF(M256="M",IF(OR(K256="lec",K256="plec",K256="slec"),1,IF(OR(K256="lab",K256="plab",K256="slab",K256="tut",K256="ptut",K256="stut"),0.5,IF(OR(K256="TL",K256="pTL",K256="STL"),0.75,0))),0),IF(M257="M",IF(OR(K257="lec",K257="plec",K257="slec"),1,IF(OR(K257="lab",K257="plab",K257="slab",K257="tut",K257="ptut",K257="stut"),0.5,IF(OR(K257="TL",K257="pTL",K257="STL"),0.75,0))),0),IF(M258="M",IF(OR(K258="lec",K258="plec",K258="slec"),1,IF(OR(K258="lab",K258="plab",K258="slab",K258="tut",K258="ptut",K258="stut"),0.5,IF(OR(K258="TL",K258="pTL",K258="STL"),0.75,0))),0),IF(M259="M",IF(OR(K259="lec",K259="plec",K259="slec"),1,IF(OR(K259="lab",K259="plab",K259="slab",K259="tut",K259="ptut",K259="stut"),0.5,IF(OR(K259="TL",K259="pTL",K259="STL"),0.75,0))),0),IF(M260="M",IF(OR(K260="lec",K260="plec",K260="slec"),1,IF(OR(K260="lab",K260="plab",K260="slab",K260="tut",K260="ptut",K260="stut"),0.5,IF(OR(K260="TL",K260="pTL",K260="STL"),0.75,0))),0))</f>
        <v>0</v>
      </c>
      <c r="U250" s="137"/>
      <c r="V250" s="133"/>
      <c r="W250" s="138"/>
      <c r="X250" s="139">
        <f>S250-(T250+U250+V250+W250)</f>
        <v>0</v>
      </c>
      <c r="Y250" s="134" t="str">
        <f>CONCATENATE(SUM(O250:O260),"(",SUM(O250:O260)-X250,")")</f>
        <v>0(0)</v>
      </c>
      <c r="Z250" s="140"/>
      <c r="AA250" s="141"/>
      <c r="AB250" s="142"/>
      <c r="AC250" s="142"/>
      <c r="AD250" s="142"/>
      <c r="AE250" s="142"/>
      <c r="AF250" s="142"/>
      <c r="AG250" s="142"/>
      <c r="AH250" s="142"/>
      <c r="AI250" s="143"/>
      <c r="AJ250" s="144"/>
      <c r="AK250" s="145"/>
      <c r="AL250" s="145"/>
      <c r="AM250" s="145"/>
      <c r="AN250" s="145"/>
      <c r="AO250" s="146"/>
      <c r="AP250" s="147">
        <f>SUM(SUM(O250:O260),SUM(AI250:AI260)/2,AM250)</f>
        <v>0</v>
      </c>
      <c r="AQ250" s="148"/>
      <c r="AR250" s="148">
        <f>AP250*AQ250</f>
        <v>0</v>
      </c>
      <c r="AS250" s="148">
        <f>CT250</f>
        <v>0</v>
      </c>
      <c r="AT250" s="149">
        <f>AR250*0.75+AS250*0.25</f>
        <v>0</v>
      </c>
      <c r="AU250" s="150"/>
      <c r="AV250" s="151"/>
      <c r="AW250" s="151"/>
      <c r="AX250" s="152"/>
      <c r="AY250" s="153"/>
      <c r="AZ250" s="140"/>
      <c r="BA250" s="150"/>
      <c r="BB250" s="151"/>
      <c r="BC250" s="151"/>
      <c r="BD250" s="151"/>
      <c r="BE250" s="151"/>
      <c r="BF250" s="151"/>
      <c r="BG250" s="151"/>
      <c r="BH250" s="151"/>
      <c r="BI250" s="152"/>
      <c r="BJ250" s="154"/>
      <c r="BK250" s="151"/>
      <c r="BL250" s="151"/>
      <c r="BM250" s="151"/>
      <c r="BN250" s="151"/>
      <c r="BO250" s="155"/>
      <c r="BP250" s="140"/>
      <c r="BQ250" s="156"/>
      <c r="BR250" s="157"/>
      <c r="BS250" s="158"/>
      <c r="BT250" s="153"/>
      <c r="BU250" s="140"/>
      <c r="BV250" s="140"/>
      <c r="BW250" s="140"/>
      <c r="BX250" s="140"/>
      <c r="BY250" s="140"/>
      <c r="BZ250" s="140"/>
      <c r="CA250" s="140"/>
      <c r="CB250" s="140"/>
      <c r="CC250" s="140"/>
      <c r="CD250" s="150"/>
      <c r="CE250" s="155"/>
      <c r="CF250" s="150"/>
      <c r="CG250" s="152"/>
      <c r="CH250" s="252"/>
      <c r="CI250" s="160"/>
      <c r="CJ250" s="159"/>
      <c r="CK250" s="160"/>
      <c r="CL250" s="159"/>
      <c r="CM250" s="160"/>
      <c r="CN250" s="159"/>
      <c r="CO250" s="160"/>
      <c r="CP250" s="159"/>
      <c r="CQ250" s="162"/>
      <c r="CR250" s="160"/>
      <c r="CS250" s="253">
        <f>SUM(IF(AU250&lt;0,ABS(AU250),0),IF(AZ250&lt;0,ABS(AZ250),0),ABS(CI250),ABS(CK250),ABS(CM250),ABS(CO250),ABS(CQ250),ABS(CR250))</f>
        <v>0</v>
      </c>
      <c r="CT250" s="254">
        <f>SUM(AU250,AV250,AW250,AX250/400,AY250,AZ250,BG250,BH250*0.5,BI250*0.25,BJ250,BK250,BL250,BM250,BN250,BO250,BP250,BR250/20,BS250/100,BT250/60,BU250,BV250,BW250,BX250/4,SUM(BY250:CC260)/3,CE250,CG250/3,CI250,CK250,CM250,CO250,CQ250,CR250)</f>
        <v>0</v>
      </c>
      <c r="CU250" s="255" t="str">
        <f t="shared" si="2"/>
        <v/>
      </c>
    </row>
    <row r="251" ht="60.0" hidden="1" customHeight="1">
      <c r="A251" s="65"/>
      <c r="C251" s="167"/>
      <c r="D251" s="205"/>
      <c r="E251" s="262"/>
      <c r="F251" s="170"/>
      <c r="G251" s="170"/>
      <c r="H251" s="170"/>
      <c r="I251" s="170"/>
      <c r="J251" s="170"/>
      <c r="K251" s="171"/>
      <c r="L251" s="171"/>
      <c r="M251" s="171"/>
      <c r="N251" s="209"/>
      <c r="O251" s="172">
        <f t="shared" si="46"/>
        <v>0</v>
      </c>
      <c r="P251" s="166"/>
      <c r="Q251" s="173"/>
      <c r="R251" s="65"/>
      <c r="S251" s="173"/>
      <c r="T251" s="173"/>
      <c r="U251" s="166"/>
      <c r="V251" s="166"/>
      <c r="W251" s="65"/>
      <c r="X251" s="66"/>
      <c r="Y251" s="173"/>
      <c r="Z251" s="166"/>
      <c r="AA251" s="174"/>
      <c r="AB251" s="175"/>
      <c r="AC251" s="175"/>
      <c r="AD251" s="175"/>
      <c r="AE251" s="175"/>
      <c r="AF251" s="175"/>
      <c r="AG251" s="175"/>
      <c r="AH251" s="175"/>
      <c r="AI251" s="176"/>
      <c r="AJ251" s="177"/>
      <c r="AK251" s="178"/>
      <c r="AL251" s="178"/>
      <c r="AM251" s="178"/>
      <c r="AN251" s="178"/>
      <c r="AO251" s="179"/>
      <c r="AP251" s="64"/>
      <c r="AQ251" s="65"/>
      <c r="AR251" s="65"/>
      <c r="AS251" s="65"/>
      <c r="AT251" s="173"/>
      <c r="AU251" s="177"/>
      <c r="AV251" s="178"/>
      <c r="AW251" s="178"/>
      <c r="AX251" s="179"/>
      <c r="AZ251" s="166"/>
      <c r="BA251" s="177"/>
      <c r="BB251" s="178"/>
      <c r="BC251" s="178"/>
      <c r="BD251" s="178"/>
      <c r="BE251" s="178"/>
      <c r="BF251" s="178"/>
      <c r="BG251" s="178"/>
      <c r="BH251" s="178"/>
      <c r="BI251" s="179"/>
      <c r="BJ251" s="180"/>
      <c r="BK251" s="178"/>
      <c r="BL251" s="178"/>
      <c r="BM251" s="178"/>
      <c r="BN251" s="178"/>
      <c r="BO251" s="181"/>
      <c r="BP251" s="166"/>
      <c r="BQ251" s="177"/>
      <c r="BR251" s="178"/>
      <c r="BS251" s="179"/>
      <c r="BU251" s="166"/>
      <c r="BV251" s="166"/>
      <c r="BW251" s="166"/>
      <c r="BX251" s="166"/>
      <c r="BY251" s="166"/>
      <c r="BZ251" s="166"/>
      <c r="CA251" s="166"/>
      <c r="CB251" s="166"/>
      <c r="CC251" s="166"/>
      <c r="CD251" s="177"/>
      <c r="CE251" s="181"/>
      <c r="CF251" s="177"/>
      <c r="CG251" s="179"/>
      <c r="CH251" s="257"/>
      <c r="CI251" s="182"/>
      <c r="CJ251" s="177"/>
      <c r="CK251" s="182"/>
      <c r="CL251" s="177"/>
      <c r="CM251" s="182"/>
      <c r="CN251" s="177"/>
      <c r="CO251" s="182"/>
      <c r="CP251" s="177"/>
      <c r="CQ251" s="178"/>
      <c r="CR251" s="182"/>
      <c r="CS251" s="173"/>
      <c r="CT251" s="65"/>
      <c r="CU251" s="255" t="str">
        <f t="shared" si="2"/>
        <v/>
      </c>
    </row>
    <row r="252" ht="60.0" hidden="1" customHeight="1">
      <c r="A252" s="65"/>
      <c r="C252" s="167"/>
      <c r="D252" s="205"/>
      <c r="E252" s="262"/>
      <c r="F252" s="170"/>
      <c r="G252" s="170"/>
      <c r="H252" s="170"/>
      <c r="I252" s="170"/>
      <c r="J252" s="170"/>
      <c r="K252" s="171"/>
      <c r="L252" s="171"/>
      <c r="M252" s="171"/>
      <c r="N252" s="209"/>
      <c r="O252" s="172">
        <f t="shared" si="46"/>
        <v>0</v>
      </c>
      <c r="P252" s="166"/>
      <c r="Q252" s="173"/>
      <c r="R252" s="65"/>
      <c r="S252" s="173"/>
      <c r="T252" s="173"/>
      <c r="U252" s="166"/>
      <c r="V252" s="166"/>
      <c r="W252" s="65"/>
      <c r="X252" s="66"/>
      <c r="Y252" s="173"/>
      <c r="Z252" s="166"/>
      <c r="AA252" s="174"/>
      <c r="AB252" s="175"/>
      <c r="AC252" s="175"/>
      <c r="AD252" s="175"/>
      <c r="AE252" s="175"/>
      <c r="AF252" s="175"/>
      <c r="AG252" s="175"/>
      <c r="AH252" s="175"/>
      <c r="AI252" s="176"/>
      <c r="AJ252" s="177"/>
      <c r="AK252" s="178"/>
      <c r="AL252" s="178"/>
      <c r="AM252" s="178"/>
      <c r="AN252" s="178"/>
      <c r="AO252" s="179"/>
      <c r="AP252" s="64"/>
      <c r="AQ252" s="65"/>
      <c r="AR252" s="65"/>
      <c r="AS252" s="65"/>
      <c r="AT252" s="173"/>
      <c r="AU252" s="177"/>
      <c r="AV252" s="178"/>
      <c r="AW252" s="178"/>
      <c r="AX252" s="179"/>
      <c r="AZ252" s="166"/>
      <c r="BA252" s="177"/>
      <c r="BB252" s="178"/>
      <c r="BC252" s="178"/>
      <c r="BD252" s="178"/>
      <c r="BE252" s="178"/>
      <c r="BF252" s="178"/>
      <c r="BG252" s="178"/>
      <c r="BH252" s="178"/>
      <c r="BI252" s="179"/>
      <c r="BJ252" s="180"/>
      <c r="BK252" s="178"/>
      <c r="BL252" s="178"/>
      <c r="BM252" s="178"/>
      <c r="BN252" s="178"/>
      <c r="BO252" s="181"/>
      <c r="BP252" s="166"/>
      <c r="BQ252" s="177"/>
      <c r="BR252" s="178"/>
      <c r="BS252" s="179"/>
      <c r="BU252" s="166"/>
      <c r="BV252" s="166"/>
      <c r="BW252" s="166"/>
      <c r="BX252" s="166"/>
      <c r="BY252" s="166"/>
      <c r="BZ252" s="166"/>
      <c r="CA252" s="166"/>
      <c r="CB252" s="166"/>
      <c r="CC252" s="166"/>
      <c r="CD252" s="177"/>
      <c r="CE252" s="181"/>
      <c r="CF252" s="177"/>
      <c r="CG252" s="179"/>
      <c r="CH252" s="257"/>
      <c r="CI252" s="182"/>
      <c r="CJ252" s="177"/>
      <c r="CK252" s="182"/>
      <c r="CL252" s="177"/>
      <c r="CM252" s="182"/>
      <c r="CN252" s="177"/>
      <c r="CO252" s="182"/>
      <c r="CP252" s="177"/>
      <c r="CQ252" s="178"/>
      <c r="CR252" s="182"/>
      <c r="CS252" s="173"/>
      <c r="CT252" s="65"/>
      <c r="CU252" s="255" t="str">
        <f t="shared" si="2"/>
        <v/>
      </c>
    </row>
    <row r="253" ht="60.0" hidden="1" customHeight="1">
      <c r="A253" s="65"/>
      <c r="C253" s="167"/>
      <c r="D253" s="205"/>
      <c r="E253" s="262"/>
      <c r="F253" s="170"/>
      <c r="G253" s="170"/>
      <c r="H253" s="170"/>
      <c r="I253" s="170"/>
      <c r="J253" s="170"/>
      <c r="K253" s="171"/>
      <c r="L253" s="171"/>
      <c r="M253" s="171"/>
      <c r="N253" s="209"/>
      <c r="O253" s="172">
        <f t="shared" si="46"/>
        <v>0</v>
      </c>
      <c r="P253" s="166"/>
      <c r="Q253" s="173"/>
      <c r="R253" s="65"/>
      <c r="S253" s="173"/>
      <c r="T253" s="173"/>
      <c r="U253" s="166"/>
      <c r="V253" s="166"/>
      <c r="W253" s="65"/>
      <c r="X253" s="66"/>
      <c r="Y253" s="173"/>
      <c r="Z253" s="166"/>
      <c r="AA253" s="174"/>
      <c r="AB253" s="175"/>
      <c r="AC253" s="175"/>
      <c r="AD253" s="175"/>
      <c r="AE253" s="175"/>
      <c r="AF253" s="175"/>
      <c r="AG253" s="175"/>
      <c r="AH253" s="175"/>
      <c r="AI253" s="176"/>
      <c r="AJ253" s="177"/>
      <c r="AK253" s="178"/>
      <c r="AL253" s="178"/>
      <c r="AM253" s="178"/>
      <c r="AN253" s="178"/>
      <c r="AO253" s="179"/>
      <c r="AP253" s="64"/>
      <c r="AQ253" s="65"/>
      <c r="AR253" s="65"/>
      <c r="AS253" s="65"/>
      <c r="AT253" s="173"/>
      <c r="AU253" s="177"/>
      <c r="AV253" s="178"/>
      <c r="AW253" s="178"/>
      <c r="AX253" s="179"/>
      <c r="AZ253" s="166"/>
      <c r="BA253" s="177"/>
      <c r="BB253" s="178"/>
      <c r="BC253" s="178"/>
      <c r="BD253" s="178"/>
      <c r="BE253" s="178"/>
      <c r="BF253" s="178"/>
      <c r="BG253" s="178"/>
      <c r="BH253" s="178"/>
      <c r="BI253" s="179"/>
      <c r="BJ253" s="180"/>
      <c r="BK253" s="178"/>
      <c r="BL253" s="178"/>
      <c r="BM253" s="178"/>
      <c r="BN253" s="178"/>
      <c r="BO253" s="181"/>
      <c r="BP253" s="166"/>
      <c r="BQ253" s="177"/>
      <c r="BR253" s="178"/>
      <c r="BS253" s="179"/>
      <c r="BU253" s="166"/>
      <c r="BV253" s="166"/>
      <c r="BW253" s="166"/>
      <c r="BX253" s="166"/>
      <c r="BY253" s="166"/>
      <c r="BZ253" s="166"/>
      <c r="CA253" s="166"/>
      <c r="CB253" s="166"/>
      <c r="CC253" s="166"/>
      <c r="CD253" s="177"/>
      <c r="CE253" s="181"/>
      <c r="CF253" s="177"/>
      <c r="CG253" s="179"/>
      <c r="CH253" s="257"/>
      <c r="CI253" s="182"/>
      <c r="CJ253" s="177"/>
      <c r="CK253" s="182"/>
      <c r="CL253" s="177"/>
      <c r="CM253" s="182"/>
      <c r="CN253" s="177"/>
      <c r="CO253" s="182"/>
      <c r="CP253" s="177"/>
      <c r="CQ253" s="178"/>
      <c r="CR253" s="182"/>
      <c r="CS253" s="173"/>
      <c r="CT253" s="65"/>
      <c r="CU253" s="255" t="str">
        <f t="shared" si="2"/>
        <v/>
      </c>
    </row>
    <row r="254" ht="60.0" hidden="1" customHeight="1">
      <c r="A254" s="65"/>
      <c r="C254" s="167"/>
      <c r="D254" s="205"/>
      <c r="E254" s="262"/>
      <c r="F254" s="170"/>
      <c r="G254" s="170"/>
      <c r="H254" s="170"/>
      <c r="I254" s="170"/>
      <c r="J254" s="170"/>
      <c r="K254" s="171"/>
      <c r="L254" s="171"/>
      <c r="M254" s="171"/>
      <c r="N254" s="209"/>
      <c r="O254" s="172">
        <f t="shared" si="46"/>
        <v>0</v>
      </c>
      <c r="P254" s="166"/>
      <c r="Q254" s="173"/>
      <c r="R254" s="65"/>
      <c r="S254" s="173"/>
      <c r="T254" s="173"/>
      <c r="U254" s="166"/>
      <c r="V254" s="166"/>
      <c r="W254" s="65"/>
      <c r="X254" s="66"/>
      <c r="Y254" s="173"/>
      <c r="Z254" s="166"/>
      <c r="AA254" s="174"/>
      <c r="AB254" s="175"/>
      <c r="AC254" s="175"/>
      <c r="AD254" s="175"/>
      <c r="AE254" s="175"/>
      <c r="AF254" s="175"/>
      <c r="AG254" s="175"/>
      <c r="AH254" s="175"/>
      <c r="AI254" s="176"/>
      <c r="AJ254" s="177"/>
      <c r="AK254" s="178"/>
      <c r="AL254" s="178"/>
      <c r="AM254" s="178"/>
      <c r="AN254" s="178"/>
      <c r="AO254" s="179"/>
      <c r="AP254" s="64"/>
      <c r="AQ254" s="65"/>
      <c r="AR254" s="65"/>
      <c r="AS254" s="65"/>
      <c r="AT254" s="173"/>
      <c r="AU254" s="177"/>
      <c r="AV254" s="178"/>
      <c r="AW254" s="178"/>
      <c r="AX254" s="179"/>
      <c r="AZ254" s="166"/>
      <c r="BA254" s="177"/>
      <c r="BB254" s="178"/>
      <c r="BC254" s="178"/>
      <c r="BD254" s="178"/>
      <c r="BE254" s="178"/>
      <c r="BF254" s="178"/>
      <c r="BG254" s="178"/>
      <c r="BH254" s="178"/>
      <c r="BI254" s="179"/>
      <c r="BJ254" s="180"/>
      <c r="BK254" s="178"/>
      <c r="BL254" s="178"/>
      <c r="BM254" s="178"/>
      <c r="BN254" s="178"/>
      <c r="BO254" s="181"/>
      <c r="BP254" s="166"/>
      <c r="BQ254" s="177"/>
      <c r="BR254" s="178"/>
      <c r="BS254" s="179"/>
      <c r="BU254" s="166"/>
      <c r="BV254" s="166"/>
      <c r="BW254" s="166"/>
      <c r="BX254" s="166"/>
      <c r="BY254" s="166"/>
      <c r="BZ254" s="166"/>
      <c r="CA254" s="166"/>
      <c r="CB254" s="166"/>
      <c r="CC254" s="166"/>
      <c r="CD254" s="177"/>
      <c r="CE254" s="181"/>
      <c r="CF254" s="177"/>
      <c r="CG254" s="179"/>
      <c r="CH254" s="257"/>
      <c r="CI254" s="182"/>
      <c r="CJ254" s="177"/>
      <c r="CK254" s="182"/>
      <c r="CL254" s="177"/>
      <c r="CM254" s="182"/>
      <c r="CN254" s="177"/>
      <c r="CO254" s="182"/>
      <c r="CP254" s="177"/>
      <c r="CQ254" s="178"/>
      <c r="CR254" s="182"/>
      <c r="CS254" s="173"/>
      <c r="CT254" s="65"/>
      <c r="CU254" s="255" t="str">
        <f t="shared" si="2"/>
        <v/>
      </c>
    </row>
    <row r="255" ht="60.0" hidden="1" customHeight="1">
      <c r="A255" s="65"/>
      <c r="C255" s="167"/>
      <c r="D255" s="205"/>
      <c r="E255" s="262"/>
      <c r="F255" s="170"/>
      <c r="G255" s="170"/>
      <c r="H255" s="170"/>
      <c r="I255" s="170"/>
      <c r="J255" s="170"/>
      <c r="K255" s="171"/>
      <c r="L255" s="171"/>
      <c r="M255" s="171"/>
      <c r="N255" s="209"/>
      <c r="O255" s="172">
        <f t="shared" si="46"/>
        <v>0</v>
      </c>
      <c r="P255" s="166"/>
      <c r="Q255" s="173"/>
      <c r="R255" s="65"/>
      <c r="S255" s="173"/>
      <c r="T255" s="173"/>
      <c r="U255" s="166"/>
      <c r="V255" s="166"/>
      <c r="W255" s="65"/>
      <c r="X255" s="66"/>
      <c r="Y255" s="173"/>
      <c r="Z255" s="166"/>
      <c r="AA255" s="174"/>
      <c r="AB255" s="175"/>
      <c r="AC255" s="175"/>
      <c r="AD255" s="175"/>
      <c r="AE255" s="175"/>
      <c r="AF255" s="175"/>
      <c r="AG255" s="175"/>
      <c r="AH255" s="175"/>
      <c r="AI255" s="176"/>
      <c r="AJ255" s="177"/>
      <c r="AK255" s="178"/>
      <c r="AL255" s="178"/>
      <c r="AM255" s="178"/>
      <c r="AN255" s="178"/>
      <c r="AO255" s="179"/>
      <c r="AP255" s="64"/>
      <c r="AQ255" s="65"/>
      <c r="AR255" s="65"/>
      <c r="AS255" s="65"/>
      <c r="AT255" s="173"/>
      <c r="AU255" s="177"/>
      <c r="AV255" s="178"/>
      <c r="AW255" s="178"/>
      <c r="AX255" s="179"/>
      <c r="AZ255" s="166"/>
      <c r="BA255" s="177"/>
      <c r="BB255" s="178"/>
      <c r="BC255" s="178"/>
      <c r="BD255" s="178"/>
      <c r="BE255" s="178"/>
      <c r="BF255" s="178"/>
      <c r="BG255" s="178"/>
      <c r="BH255" s="178"/>
      <c r="BI255" s="179"/>
      <c r="BJ255" s="180"/>
      <c r="BK255" s="178"/>
      <c r="BL255" s="178"/>
      <c r="BM255" s="178"/>
      <c r="BN255" s="178"/>
      <c r="BO255" s="181"/>
      <c r="BP255" s="166"/>
      <c r="BQ255" s="177"/>
      <c r="BR255" s="178"/>
      <c r="BS255" s="179"/>
      <c r="BU255" s="166"/>
      <c r="BV255" s="166"/>
      <c r="BW255" s="166"/>
      <c r="BX255" s="166"/>
      <c r="BY255" s="166"/>
      <c r="BZ255" s="166"/>
      <c r="CA255" s="166"/>
      <c r="CB255" s="166"/>
      <c r="CC255" s="166"/>
      <c r="CD255" s="177"/>
      <c r="CE255" s="181"/>
      <c r="CF255" s="177"/>
      <c r="CG255" s="179"/>
      <c r="CH255" s="257"/>
      <c r="CI255" s="182"/>
      <c r="CJ255" s="177"/>
      <c r="CK255" s="182"/>
      <c r="CL255" s="177"/>
      <c r="CM255" s="182"/>
      <c r="CN255" s="177"/>
      <c r="CO255" s="182"/>
      <c r="CP255" s="177"/>
      <c r="CQ255" s="178"/>
      <c r="CR255" s="182"/>
      <c r="CS255" s="173"/>
      <c r="CT255" s="65"/>
      <c r="CU255" s="255" t="str">
        <f t="shared" si="2"/>
        <v/>
      </c>
    </row>
    <row r="256" ht="60.0" hidden="1" customHeight="1">
      <c r="A256" s="65"/>
      <c r="C256" s="167"/>
      <c r="D256" s="205"/>
      <c r="E256" s="262"/>
      <c r="F256" s="170"/>
      <c r="G256" s="170"/>
      <c r="H256" s="170"/>
      <c r="I256" s="170"/>
      <c r="J256" s="170"/>
      <c r="K256" s="171"/>
      <c r="L256" s="171"/>
      <c r="M256" s="171"/>
      <c r="N256" s="209"/>
      <c r="O256" s="172">
        <f t="shared" ref="O256:O259" si="47">IF(AND(M256&gt;=20,M256&lt;&gt;"m",RIGHT(K256,3)="Lec"),1,IF(AND(M256&gt;=20,M256&lt;&gt;"m",OR(RIGHT(K256,3)="Lab",RIGHT(K256,3)="Tut")),0.5,IF(AND(M256&gt;=20,M256&lt;&gt;"m",RIGHT(K256,2)="TL"),0.75,0)))</f>
        <v>0</v>
      </c>
      <c r="P256" s="166"/>
      <c r="Q256" s="173"/>
      <c r="R256" s="65"/>
      <c r="S256" s="173"/>
      <c r="T256" s="173"/>
      <c r="U256" s="166"/>
      <c r="V256" s="166"/>
      <c r="W256" s="65"/>
      <c r="X256" s="66"/>
      <c r="Y256" s="173"/>
      <c r="Z256" s="166"/>
      <c r="AA256" s="174"/>
      <c r="AB256" s="175"/>
      <c r="AC256" s="175"/>
      <c r="AD256" s="175"/>
      <c r="AE256" s="175"/>
      <c r="AF256" s="175"/>
      <c r="AG256" s="175"/>
      <c r="AH256" s="175"/>
      <c r="AI256" s="176"/>
      <c r="AJ256" s="177"/>
      <c r="AK256" s="178"/>
      <c r="AL256" s="178"/>
      <c r="AM256" s="178"/>
      <c r="AN256" s="178"/>
      <c r="AO256" s="179"/>
      <c r="AP256" s="64"/>
      <c r="AQ256" s="65"/>
      <c r="AR256" s="65"/>
      <c r="AS256" s="65"/>
      <c r="AT256" s="173"/>
      <c r="AU256" s="177"/>
      <c r="AV256" s="178"/>
      <c r="AW256" s="178"/>
      <c r="AX256" s="179"/>
      <c r="AZ256" s="166"/>
      <c r="BA256" s="177"/>
      <c r="BB256" s="178"/>
      <c r="BC256" s="178"/>
      <c r="BD256" s="178"/>
      <c r="BE256" s="178"/>
      <c r="BF256" s="178"/>
      <c r="BG256" s="178"/>
      <c r="BH256" s="178"/>
      <c r="BI256" s="179"/>
      <c r="BJ256" s="180"/>
      <c r="BK256" s="178"/>
      <c r="BL256" s="178"/>
      <c r="BM256" s="178"/>
      <c r="BN256" s="178"/>
      <c r="BO256" s="181"/>
      <c r="BP256" s="166"/>
      <c r="BQ256" s="177"/>
      <c r="BR256" s="178"/>
      <c r="BS256" s="179"/>
      <c r="BU256" s="166"/>
      <c r="BV256" s="166"/>
      <c r="BW256" s="166"/>
      <c r="BX256" s="166"/>
      <c r="BY256" s="166"/>
      <c r="BZ256" s="166"/>
      <c r="CA256" s="166"/>
      <c r="CB256" s="166"/>
      <c r="CC256" s="166"/>
      <c r="CD256" s="177"/>
      <c r="CE256" s="181"/>
      <c r="CF256" s="177"/>
      <c r="CG256" s="179"/>
      <c r="CH256" s="257"/>
      <c r="CI256" s="182"/>
      <c r="CJ256" s="177"/>
      <c r="CK256" s="182"/>
      <c r="CL256" s="177"/>
      <c r="CM256" s="182"/>
      <c r="CN256" s="177"/>
      <c r="CO256" s="182"/>
      <c r="CP256" s="177"/>
      <c r="CQ256" s="178"/>
      <c r="CR256" s="182"/>
      <c r="CS256" s="173"/>
      <c r="CT256" s="65"/>
      <c r="CU256" s="255" t="str">
        <f t="shared" si="2"/>
        <v/>
      </c>
    </row>
    <row r="257" ht="60.0" hidden="1" customHeight="1">
      <c r="A257" s="65"/>
      <c r="C257" s="167"/>
      <c r="D257" s="205"/>
      <c r="E257" s="262"/>
      <c r="F257" s="170"/>
      <c r="G257" s="170"/>
      <c r="H257" s="170"/>
      <c r="I257" s="170"/>
      <c r="J257" s="170"/>
      <c r="K257" s="171"/>
      <c r="L257" s="171"/>
      <c r="M257" s="171"/>
      <c r="N257" s="209"/>
      <c r="O257" s="172">
        <f t="shared" si="47"/>
        <v>0</v>
      </c>
      <c r="P257" s="166"/>
      <c r="Q257" s="173"/>
      <c r="R257" s="65"/>
      <c r="S257" s="173"/>
      <c r="T257" s="173"/>
      <c r="U257" s="166"/>
      <c r="V257" s="166"/>
      <c r="W257" s="65"/>
      <c r="X257" s="66"/>
      <c r="Y257" s="173"/>
      <c r="Z257" s="166"/>
      <c r="AA257" s="174"/>
      <c r="AB257" s="175"/>
      <c r="AC257" s="175"/>
      <c r="AD257" s="175"/>
      <c r="AE257" s="175"/>
      <c r="AF257" s="175"/>
      <c r="AG257" s="175"/>
      <c r="AH257" s="175"/>
      <c r="AI257" s="176"/>
      <c r="AJ257" s="177"/>
      <c r="AK257" s="178"/>
      <c r="AL257" s="178"/>
      <c r="AM257" s="178"/>
      <c r="AN257" s="178"/>
      <c r="AO257" s="179"/>
      <c r="AP257" s="64"/>
      <c r="AQ257" s="65"/>
      <c r="AR257" s="65"/>
      <c r="AS257" s="65"/>
      <c r="AT257" s="173"/>
      <c r="AU257" s="177"/>
      <c r="AV257" s="178"/>
      <c r="AW257" s="178"/>
      <c r="AX257" s="179"/>
      <c r="AZ257" s="166"/>
      <c r="BA257" s="177"/>
      <c r="BB257" s="178"/>
      <c r="BC257" s="178"/>
      <c r="BD257" s="178"/>
      <c r="BE257" s="178"/>
      <c r="BF257" s="178"/>
      <c r="BG257" s="178"/>
      <c r="BH257" s="178"/>
      <c r="BI257" s="179"/>
      <c r="BJ257" s="180"/>
      <c r="BK257" s="178"/>
      <c r="BL257" s="178"/>
      <c r="BM257" s="178"/>
      <c r="BN257" s="178"/>
      <c r="BO257" s="181"/>
      <c r="BP257" s="166"/>
      <c r="BQ257" s="177"/>
      <c r="BR257" s="178"/>
      <c r="BS257" s="179"/>
      <c r="BU257" s="166"/>
      <c r="BV257" s="166"/>
      <c r="BW257" s="166"/>
      <c r="BX257" s="166"/>
      <c r="BY257" s="166"/>
      <c r="BZ257" s="166"/>
      <c r="CA257" s="166"/>
      <c r="CB257" s="166"/>
      <c r="CC257" s="166"/>
      <c r="CD257" s="177"/>
      <c r="CE257" s="181"/>
      <c r="CF257" s="177"/>
      <c r="CG257" s="179"/>
      <c r="CH257" s="257"/>
      <c r="CI257" s="182"/>
      <c r="CJ257" s="177"/>
      <c r="CK257" s="182"/>
      <c r="CL257" s="177"/>
      <c r="CM257" s="182"/>
      <c r="CN257" s="177"/>
      <c r="CO257" s="182"/>
      <c r="CP257" s="177"/>
      <c r="CQ257" s="178"/>
      <c r="CR257" s="182"/>
      <c r="CS257" s="173"/>
      <c r="CT257" s="65"/>
      <c r="CU257" s="255" t="str">
        <f t="shared" si="2"/>
        <v/>
      </c>
    </row>
    <row r="258" ht="60.0" hidden="1" customHeight="1">
      <c r="A258" s="65"/>
      <c r="C258" s="167"/>
      <c r="D258" s="205"/>
      <c r="E258" s="262"/>
      <c r="F258" s="170"/>
      <c r="G258" s="170"/>
      <c r="H258" s="170"/>
      <c r="I258" s="170"/>
      <c r="J258" s="170"/>
      <c r="K258" s="171"/>
      <c r="L258" s="171"/>
      <c r="M258" s="171"/>
      <c r="N258" s="209"/>
      <c r="O258" s="172">
        <f t="shared" si="47"/>
        <v>0</v>
      </c>
      <c r="P258" s="166"/>
      <c r="Q258" s="173"/>
      <c r="R258" s="65"/>
      <c r="S258" s="173"/>
      <c r="T258" s="173"/>
      <c r="U258" s="166"/>
      <c r="V258" s="166"/>
      <c r="W258" s="65"/>
      <c r="X258" s="66"/>
      <c r="Y258" s="173"/>
      <c r="Z258" s="166"/>
      <c r="AA258" s="174"/>
      <c r="AB258" s="175"/>
      <c r="AC258" s="175"/>
      <c r="AD258" s="175"/>
      <c r="AE258" s="175"/>
      <c r="AF258" s="175"/>
      <c r="AG258" s="175"/>
      <c r="AH258" s="175"/>
      <c r="AI258" s="176"/>
      <c r="AJ258" s="177"/>
      <c r="AK258" s="178"/>
      <c r="AL258" s="178"/>
      <c r="AM258" s="178"/>
      <c r="AN258" s="178"/>
      <c r="AO258" s="179"/>
      <c r="AP258" s="64"/>
      <c r="AQ258" s="65"/>
      <c r="AR258" s="65"/>
      <c r="AS258" s="65"/>
      <c r="AT258" s="173"/>
      <c r="AU258" s="177"/>
      <c r="AV258" s="178"/>
      <c r="AW258" s="178"/>
      <c r="AX258" s="179"/>
      <c r="AZ258" s="166"/>
      <c r="BA258" s="177"/>
      <c r="BB258" s="178"/>
      <c r="BC258" s="178"/>
      <c r="BD258" s="178"/>
      <c r="BE258" s="178"/>
      <c r="BF258" s="178"/>
      <c r="BG258" s="178"/>
      <c r="BH258" s="178"/>
      <c r="BI258" s="179"/>
      <c r="BJ258" s="180"/>
      <c r="BK258" s="178"/>
      <c r="BL258" s="178"/>
      <c r="BM258" s="178"/>
      <c r="BN258" s="178"/>
      <c r="BO258" s="181"/>
      <c r="BP258" s="166"/>
      <c r="BQ258" s="177"/>
      <c r="BR258" s="178"/>
      <c r="BS258" s="179"/>
      <c r="BU258" s="166"/>
      <c r="BV258" s="166"/>
      <c r="BW258" s="166"/>
      <c r="BX258" s="166"/>
      <c r="BY258" s="166"/>
      <c r="BZ258" s="166"/>
      <c r="CA258" s="166"/>
      <c r="CB258" s="166"/>
      <c r="CC258" s="166"/>
      <c r="CD258" s="177"/>
      <c r="CE258" s="181"/>
      <c r="CF258" s="177"/>
      <c r="CG258" s="179"/>
      <c r="CH258" s="257"/>
      <c r="CI258" s="182"/>
      <c r="CJ258" s="177"/>
      <c r="CK258" s="182"/>
      <c r="CL258" s="177"/>
      <c r="CM258" s="182"/>
      <c r="CN258" s="177"/>
      <c r="CO258" s="182"/>
      <c r="CP258" s="177"/>
      <c r="CQ258" s="178"/>
      <c r="CR258" s="182"/>
      <c r="CS258" s="173"/>
      <c r="CT258" s="65"/>
      <c r="CU258" s="255" t="str">
        <f t="shared" si="2"/>
        <v/>
      </c>
    </row>
    <row r="259" ht="60.0" hidden="1" customHeight="1">
      <c r="A259" s="65"/>
      <c r="C259" s="167"/>
      <c r="D259" s="205"/>
      <c r="E259" s="262"/>
      <c r="F259" s="170"/>
      <c r="G259" s="170"/>
      <c r="H259" s="170"/>
      <c r="I259" s="170"/>
      <c r="J259" s="170"/>
      <c r="K259" s="171"/>
      <c r="L259" s="171"/>
      <c r="M259" s="171"/>
      <c r="N259" s="209"/>
      <c r="O259" s="172">
        <f t="shared" si="47"/>
        <v>0</v>
      </c>
      <c r="P259" s="166"/>
      <c r="Q259" s="173"/>
      <c r="R259" s="65"/>
      <c r="S259" s="173"/>
      <c r="T259" s="173"/>
      <c r="U259" s="166"/>
      <c r="V259" s="166"/>
      <c r="W259" s="65"/>
      <c r="X259" s="66"/>
      <c r="Y259" s="173"/>
      <c r="Z259" s="166"/>
      <c r="AA259" s="174"/>
      <c r="AB259" s="175"/>
      <c r="AC259" s="175"/>
      <c r="AD259" s="175"/>
      <c r="AE259" s="175"/>
      <c r="AF259" s="175"/>
      <c r="AG259" s="175"/>
      <c r="AH259" s="175"/>
      <c r="AI259" s="176"/>
      <c r="AJ259" s="177"/>
      <c r="AK259" s="178"/>
      <c r="AL259" s="178"/>
      <c r="AM259" s="178"/>
      <c r="AN259" s="178"/>
      <c r="AO259" s="179"/>
      <c r="AP259" s="64"/>
      <c r="AQ259" s="65"/>
      <c r="AR259" s="65"/>
      <c r="AS259" s="65"/>
      <c r="AT259" s="173"/>
      <c r="AU259" s="177"/>
      <c r="AV259" s="178"/>
      <c r="AW259" s="178"/>
      <c r="AX259" s="179"/>
      <c r="AZ259" s="166"/>
      <c r="BA259" s="177"/>
      <c r="BB259" s="178"/>
      <c r="BC259" s="178"/>
      <c r="BD259" s="178"/>
      <c r="BE259" s="178"/>
      <c r="BF259" s="178"/>
      <c r="BG259" s="178"/>
      <c r="BH259" s="178"/>
      <c r="BI259" s="179"/>
      <c r="BJ259" s="180"/>
      <c r="BK259" s="178"/>
      <c r="BL259" s="178"/>
      <c r="BM259" s="178"/>
      <c r="BN259" s="178"/>
      <c r="BO259" s="181"/>
      <c r="BP259" s="166"/>
      <c r="BQ259" s="177"/>
      <c r="BR259" s="178"/>
      <c r="BS259" s="179"/>
      <c r="BU259" s="166"/>
      <c r="BV259" s="166"/>
      <c r="BW259" s="166"/>
      <c r="BX259" s="166"/>
      <c r="BY259" s="166"/>
      <c r="BZ259" s="166"/>
      <c r="CA259" s="166"/>
      <c r="CB259" s="166"/>
      <c r="CC259" s="166"/>
      <c r="CD259" s="177"/>
      <c r="CE259" s="181"/>
      <c r="CF259" s="177"/>
      <c r="CG259" s="179"/>
      <c r="CH259" s="257"/>
      <c r="CI259" s="182"/>
      <c r="CJ259" s="177"/>
      <c r="CK259" s="182"/>
      <c r="CL259" s="177"/>
      <c r="CM259" s="182"/>
      <c r="CN259" s="177"/>
      <c r="CO259" s="182"/>
      <c r="CP259" s="177"/>
      <c r="CQ259" s="178"/>
      <c r="CR259" s="182"/>
      <c r="CS259" s="173"/>
      <c r="CT259" s="65"/>
      <c r="CU259" s="255" t="str">
        <f t="shared" si="2"/>
        <v/>
      </c>
    </row>
    <row r="260" ht="60.0" hidden="1" customHeight="1">
      <c r="A260" s="89"/>
      <c r="B260" s="6"/>
      <c r="C260" s="183"/>
      <c r="D260" s="210"/>
      <c r="E260" s="263"/>
      <c r="F260" s="186"/>
      <c r="G260" s="186"/>
      <c r="H260" s="186"/>
      <c r="I260" s="186"/>
      <c r="J260" s="186"/>
      <c r="K260" s="187"/>
      <c r="L260" s="187"/>
      <c r="M260" s="187"/>
      <c r="N260" s="214"/>
      <c r="O260" s="188">
        <f t="shared" ref="O260:O266" si="48">IF(AND(M260&lt;&gt;0,M260&lt;&gt;"m",M260&lt;&gt;"",RIGHT(K260,3)="Lec"),1,IF(AND(M260&lt;&gt;0,M260&lt;&gt;"m",M260&lt;&gt;"",OR(RIGHT(K260,3)="Lab",RIGHT(K260,3)="Tut")),0.5,IF(AND(M260&lt;&gt;0,M260&lt;&gt;"m",M260&lt;&gt;"",RIGHT(K260,2)="TL"),0.75,0)))</f>
        <v>0</v>
      </c>
      <c r="P260" s="63"/>
      <c r="Q260" s="69"/>
      <c r="R260" s="89"/>
      <c r="S260" s="69"/>
      <c r="T260" s="69"/>
      <c r="U260" s="63"/>
      <c r="V260" s="63"/>
      <c r="W260" s="89"/>
      <c r="X260" s="68"/>
      <c r="Y260" s="69"/>
      <c r="Z260" s="63"/>
      <c r="AA260" s="189"/>
      <c r="AB260" s="190"/>
      <c r="AC260" s="190"/>
      <c r="AD260" s="190"/>
      <c r="AE260" s="190"/>
      <c r="AF260" s="190"/>
      <c r="AG260" s="190"/>
      <c r="AH260" s="190"/>
      <c r="AI260" s="191"/>
      <c r="AJ260" s="192"/>
      <c r="AK260" s="193"/>
      <c r="AL260" s="193"/>
      <c r="AM260" s="193"/>
      <c r="AN260" s="193"/>
      <c r="AO260" s="194"/>
      <c r="AP260" s="103"/>
      <c r="AQ260" s="89"/>
      <c r="AR260" s="89"/>
      <c r="AS260" s="89"/>
      <c r="AT260" s="69"/>
      <c r="AU260" s="192"/>
      <c r="AV260" s="193"/>
      <c r="AW260" s="193"/>
      <c r="AX260" s="194"/>
      <c r="AY260" s="6"/>
      <c r="AZ260" s="63"/>
      <c r="BA260" s="192"/>
      <c r="BB260" s="193"/>
      <c r="BC260" s="193"/>
      <c r="BD260" s="193"/>
      <c r="BE260" s="193"/>
      <c r="BF260" s="193"/>
      <c r="BG260" s="193"/>
      <c r="BH260" s="193"/>
      <c r="BI260" s="194"/>
      <c r="BJ260" s="195"/>
      <c r="BK260" s="193"/>
      <c r="BL260" s="193"/>
      <c r="BM260" s="193"/>
      <c r="BN260" s="193"/>
      <c r="BO260" s="196"/>
      <c r="BP260" s="63"/>
      <c r="BQ260" s="192"/>
      <c r="BR260" s="193"/>
      <c r="BS260" s="194"/>
      <c r="BT260" s="6"/>
      <c r="BU260" s="63"/>
      <c r="BV260" s="63"/>
      <c r="BW260" s="63"/>
      <c r="BX260" s="63"/>
      <c r="BY260" s="63"/>
      <c r="BZ260" s="63"/>
      <c r="CA260" s="63"/>
      <c r="CB260" s="63"/>
      <c r="CC260" s="63"/>
      <c r="CD260" s="192"/>
      <c r="CE260" s="196"/>
      <c r="CF260" s="192"/>
      <c r="CG260" s="194"/>
      <c r="CH260" s="259"/>
      <c r="CI260" s="197"/>
      <c r="CJ260" s="192"/>
      <c r="CK260" s="197"/>
      <c r="CL260" s="192"/>
      <c r="CM260" s="197"/>
      <c r="CN260" s="192"/>
      <c r="CO260" s="197"/>
      <c r="CP260" s="192"/>
      <c r="CQ260" s="193"/>
      <c r="CR260" s="197"/>
      <c r="CS260" s="69"/>
      <c r="CT260" s="89"/>
      <c r="CU260" s="255" t="str">
        <f t="shared" si="2"/>
        <v/>
      </c>
    </row>
    <row r="261" ht="56.25" hidden="1" customHeight="1">
      <c r="A261" s="125">
        <v>24.0</v>
      </c>
      <c r="B261" s="199"/>
      <c r="C261" s="127"/>
      <c r="D261" s="128"/>
      <c r="E261" s="260"/>
      <c r="F261" s="261"/>
      <c r="G261" s="261"/>
      <c r="H261" s="261"/>
      <c r="I261" s="261"/>
      <c r="J261" s="170"/>
      <c r="K261" s="219"/>
      <c r="L261" s="219"/>
      <c r="M261" s="219"/>
      <c r="N261" s="220"/>
      <c r="O261" s="132">
        <f t="shared" si="48"/>
        <v>0</v>
      </c>
      <c r="P261" s="133">
        <f>COUNTIF(K261:K271,"TL")*0.75+COUNTIF(K261:K271,"Lec")*1+COUNTIF(K261:K271,"Lab")*0.5</f>
        <v>0</v>
      </c>
      <c r="Q261" s="134">
        <f>SUM((IF(LEFT(K261,1)="E",O261,0)),(IF(LEFT(K262,1)="E",O262,0)),(IF(LEFT(K263,1)="E",O263,0)),(IF(LEFT(K264,1)="E",O264,0)),(IF(LEFT(K265,1)="E",O265,0)),(IF(LEFT(K266,1)="E",O266,0)),(IF(LEFT(K267,1)="E",O267,0)),(IF(LEFT(K268,1)="E",O268,0)),(IF(LEFT(K269,1)="E",O269,0)),(IF(LEFT(K270,1)="E",O270,0)),(IF(LEFT(K271,1)="E",O271,0)))</f>
        <v>0</v>
      </c>
      <c r="R261" s="135">
        <f>SUM(IF(M267&lt;20,IF(K267="Plec",-1,IF(K267="PTL",-0.75,IF(K267="Plab",-0.5,0))),0),IF(M268&lt;20,IF(K268="Plec",-1,IF(K268="PTL",-0.75,IF(K268="Plab",-0.5,0))),0),IF(M269&lt;20,IF(K269="Plec",-1,IF(K269="PTL",-0.75,IF(K269="Plab",-0.5,0))),0),IF(M270&lt;20,IF(K270="Plec",-1,IF(K270="PTL",-0.75,IF(K270="Plab",-0.5,0))),0))</f>
        <v>0</v>
      </c>
      <c r="S261" s="134">
        <f>SUM(P261:R271)</f>
        <v>0</v>
      </c>
      <c r="T261" s="136">
        <f>SUM(IF(M261="M",IF(OR(K261="lec",K261="plec",K261="slec"),1,IF(OR(K261="lab",K261="plab",K261="slab",K261="tut",K261="ptut",K261="stut"),0.5,IF(OR(K261="TL",K261="pTL",K261="STL"),0.75,0))),0),IF(M262="M",IF(OR(K262="lec",K262="plec",K262="slec"),1,IF(OR(K262="lab",K262="plab",K262="slab",K262="tut",K262="ptut",K262="stut"),0.5,IF(OR(K262="TL",K262="pTL",K262="STL"),0.75,0))),0),IF(M263="M",IF(OR(K263="lec",K263="plec",K263="slec"),1,IF(OR(K263="lab",K263="plab",K263="slab",K263="tut",K263="ptut",K263="stut"),0.5,IF(OR(K263="TL",K263="pTL",K263="STL"),0.75,0))),0),IF(M264="M",IF(OR(K264="lec",K264="plec",K264="slec"),1,IF(OR(K264="lab",K264="plab",K264="slab",K264="tut",K264="ptut",K264="stut"),0.5,IF(OR(K264="TL",K264="pTL",K264="STL"),0.75,0))),0),IF(M265="M",IF(OR(K265="lec",K265="plec",K265="slec"),1,IF(OR(K265="lab",K265="plab",K265="slab",K265="tut",K265="ptut",K265="stut"),0.5,IF(OR(K265="TL",K265="pTL",K265="STL"),0.75,0))),0),IF(M266="M",IF(OR(K266="lec",K266="plec",K266="slec"),1,IF(OR(K266="lab",K266="plab",K266="slab",K266="tut",K266="ptut",K266="stut"),0.5,IF(OR(K266="TL",K266="pTL",K266="STL"),0.75,0))),0),IF(M267="M",IF(OR(K267="lec",K267="plec",K267="slec"),1,IF(OR(K267="lab",K267="plab",K267="slab",K267="tut",K267="ptut",K267="stut"),0.5,IF(OR(K267="TL",K267="pTL",K267="STL"),0.75,0))),0),IF(M268="M",IF(OR(K268="lec",K268="plec",K268="slec"),1,IF(OR(K268="lab",K268="plab",K268="slab",K268="tut",K268="ptut",K268="stut"),0.5,IF(OR(K268="TL",K268="pTL",K268="STL"),0.75,0))),0),IF(M269="M",IF(OR(K269="lec",K269="plec",K269="slec"),1,IF(OR(K269="lab",K269="plab",K269="slab",K269="tut",K269="ptut",K269="stut"),0.5,IF(OR(K269="TL",K269="pTL",K269="STL"),0.75,0))),0),IF(M270="M",IF(OR(K270="lec",K270="plec",K270="slec"),1,IF(OR(K270="lab",K270="plab",K270="slab",K270="tut",K270="ptut",K270="stut"),0.5,IF(OR(K270="TL",K270="pTL",K270="STL"),0.75,0))),0),IF(M271="M",IF(OR(K271="lec",K271="plec",K271="slec"),1,IF(OR(K271="lab",K271="plab",K271="slab",K271="tut",K271="ptut",K271="stut"),0.5,IF(OR(K271="TL",K271="pTL",K271="STL"),0.75,0))),0))</f>
        <v>0</v>
      </c>
      <c r="U261" s="137"/>
      <c r="V261" s="133"/>
      <c r="W261" s="138"/>
      <c r="X261" s="139">
        <f>S261-(T261+U261+V261+W261)</f>
        <v>0</v>
      </c>
      <c r="Y261" s="134" t="str">
        <f>CONCATENATE(SUM(O261:O271),"(",SUM(O261:O271)-X261,")")</f>
        <v>0(0)</v>
      </c>
      <c r="Z261" s="140"/>
      <c r="AA261" s="141"/>
      <c r="AB261" s="142"/>
      <c r="AC261" s="142"/>
      <c r="AD261" s="142"/>
      <c r="AE261" s="142"/>
      <c r="AF261" s="142"/>
      <c r="AG261" s="142"/>
      <c r="AH261" s="142"/>
      <c r="AI261" s="143"/>
      <c r="AJ261" s="144"/>
      <c r="AK261" s="145"/>
      <c r="AL261" s="145"/>
      <c r="AM261" s="145"/>
      <c r="AN261" s="145"/>
      <c r="AO261" s="146"/>
      <c r="AP261" s="147">
        <f>SUM(SUM(O261:O271),SUM(AI261:AI271)/2,AM261)</f>
        <v>0</v>
      </c>
      <c r="AQ261" s="148"/>
      <c r="AR261" s="148">
        <f>AP261*AQ261</f>
        <v>0</v>
      </c>
      <c r="AS261" s="148">
        <f>CT261</f>
        <v>0</v>
      </c>
      <c r="AT261" s="149">
        <f>AR261*0.75+AS261*0.25</f>
        <v>0</v>
      </c>
      <c r="AU261" s="150"/>
      <c r="AV261" s="151"/>
      <c r="AW261" s="151"/>
      <c r="AX261" s="152"/>
      <c r="AY261" s="153"/>
      <c r="AZ261" s="140"/>
      <c r="BA261" s="150"/>
      <c r="BB261" s="151"/>
      <c r="BC261" s="151"/>
      <c r="BD261" s="151"/>
      <c r="BE261" s="151"/>
      <c r="BF261" s="151"/>
      <c r="BG261" s="151"/>
      <c r="BH261" s="151"/>
      <c r="BI261" s="152"/>
      <c r="BJ261" s="154"/>
      <c r="BK261" s="151"/>
      <c r="BL261" s="151"/>
      <c r="BM261" s="151"/>
      <c r="BN261" s="151"/>
      <c r="BO261" s="155"/>
      <c r="BP261" s="140"/>
      <c r="BQ261" s="156"/>
      <c r="BR261" s="157"/>
      <c r="BS261" s="158"/>
      <c r="BT261" s="153"/>
      <c r="BU261" s="140"/>
      <c r="BV261" s="140"/>
      <c r="BW261" s="140"/>
      <c r="BX261" s="140"/>
      <c r="BY261" s="140"/>
      <c r="BZ261" s="140"/>
      <c r="CA261" s="140"/>
      <c r="CB261" s="140"/>
      <c r="CC261" s="140"/>
      <c r="CD261" s="150"/>
      <c r="CE261" s="155"/>
      <c r="CF261" s="150"/>
      <c r="CG261" s="152"/>
      <c r="CH261" s="252"/>
      <c r="CI261" s="160"/>
      <c r="CJ261" s="159"/>
      <c r="CK261" s="160"/>
      <c r="CL261" s="159"/>
      <c r="CM261" s="160"/>
      <c r="CN261" s="159"/>
      <c r="CO261" s="160"/>
      <c r="CP261" s="159"/>
      <c r="CQ261" s="162"/>
      <c r="CR261" s="160"/>
      <c r="CS261" s="253">
        <f>SUM(IF(AU261&lt;0,ABS(AU261),0),IF(AZ261&lt;0,ABS(AZ261),0),ABS(CI261),ABS(CK261),ABS(CM261),ABS(CO261),ABS(CQ261),ABS(CR261))</f>
        <v>0</v>
      </c>
      <c r="CT261" s="254">
        <f>SUM(AU261,AV261,AW261,AX261/400,AY261,AZ261,BG261,BH261*0.5,BI261*0.25,BJ261,BK261,BL261,BM261,BN261,BO261,BP261,BR261/20,BS261/100,BT261/60,BU261,BV261,BW261,BX261/4,SUM(BY261:CC271)/3,CE261,CG261/3,CI261,CK261,CM261,CO261,CQ261,CR261)</f>
        <v>0</v>
      </c>
      <c r="CU261" s="255" t="str">
        <f t="shared" si="2"/>
        <v/>
      </c>
    </row>
    <row r="262" ht="60.0" hidden="1" customHeight="1">
      <c r="A262" s="65"/>
      <c r="C262" s="167"/>
      <c r="D262" s="205"/>
      <c r="E262" s="262"/>
      <c r="F262" s="170"/>
      <c r="G262" s="170"/>
      <c r="H262" s="170"/>
      <c r="I262" s="170"/>
      <c r="J262" s="170"/>
      <c r="K262" s="171"/>
      <c r="L262" s="171"/>
      <c r="M262" s="171"/>
      <c r="N262" s="209"/>
      <c r="O262" s="172">
        <f t="shared" si="48"/>
        <v>0</v>
      </c>
      <c r="P262" s="166"/>
      <c r="Q262" s="173"/>
      <c r="R262" s="65"/>
      <c r="S262" s="173"/>
      <c r="T262" s="173"/>
      <c r="U262" s="166"/>
      <c r="V262" s="166"/>
      <c r="W262" s="65"/>
      <c r="X262" s="66"/>
      <c r="Y262" s="173"/>
      <c r="Z262" s="166"/>
      <c r="AA262" s="174"/>
      <c r="AB262" s="175"/>
      <c r="AC262" s="175"/>
      <c r="AD262" s="175"/>
      <c r="AE262" s="175"/>
      <c r="AF262" s="175"/>
      <c r="AG262" s="175"/>
      <c r="AH262" s="175"/>
      <c r="AI262" s="176"/>
      <c r="AJ262" s="177"/>
      <c r="AK262" s="178"/>
      <c r="AL262" s="178"/>
      <c r="AM262" s="178"/>
      <c r="AN262" s="178"/>
      <c r="AO262" s="179"/>
      <c r="AP262" s="64"/>
      <c r="AQ262" s="65"/>
      <c r="AR262" s="65"/>
      <c r="AS262" s="65"/>
      <c r="AT262" s="173"/>
      <c r="AU262" s="177"/>
      <c r="AV262" s="178"/>
      <c r="AW262" s="178"/>
      <c r="AX262" s="179"/>
      <c r="AZ262" s="166"/>
      <c r="BA262" s="177"/>
      <c r="BB262" s="178"/>
      <c r="BC262" s="178"/>
      <c r="BD262" s="178"/>
      <c r="BE262" s="178"/>
      <c r="BF262" s="178"/>
      <c r="BG262" s="178"/>
      <c r="BH262" s="178"/>
      <c r="BI262" s="179"/>
      <c r="BJ262" s="180"/>
      <c r="BK262" s="178"/>
      <c r="BL262" s="178"/>
      <c r="BM262" s="178"/>
      <c r="BN262" s="178"/>
      <c r="BO262" s="181"/>
      <c r="BP262" s="166"/>
      <c r="BQ262" s="177"/>
      <c r="BR262" s="178"/>
      <c r="BS262" s="179"/>
      <c r="BU262" s="166"/>
      <c r="BV262" s="166"/>
      <c r="BW262" s="166"/>
      <c r="BX262" s="166"/>
      <c r="BY262" s="166"/>
      <c r="BZ262" s="166"/>
      <c r="CA262" s="166"/>
      <c r="CB262" s="166"/>
      <c r="CC262" s="166"/>
      <c r="CD262" s="177"/>
      <c r="CE262" s="181"/>
      <c r="CF262" s="177"/>
      <c r="CG262" s="179"/>
      <c r="CH262" s="257"/>
      <c r="CI262" s="182"/>
      <c r="CJ262" s="177"/>
      <c r="CK262" s="182"/>
      <c r="CL262" s="177"/>
      <c r="CM262" s="182"/>
      <c r="CN262" s="177"/>
      <c r="CO262" s="182"/>
      <c r="CP262" s="177"/>
      <c r="CQ262" s="178"/>
      <c r="CR262" s="182"/>
      <c r="CS262" s="173"/>
      <c r="CT262" s="65"/>
      <c r="CU262" s="255" t="str">
        <f t="shared" si="2"/>
        <v/>
      </c>
    </row>
    <row r="263" ht="60.0" hidden="1" customHeight="1">
      <c r="A263" s="65"/>
      <c r="C263" s="167"/>
      <c r="D263" s="205"/>
      <c r="E263" s="262"/>
      <c r="F263" s="170"/>
      <c r="G263" s="170"/>
      <c r="H263" s="170"/>
      <c r="I263" s="170"/>
      <c r="J263" s="170"/>
      <c r="K263" s="171"/>
      <c r="L263" s="171"/>
      <c r="M263" s="171"/>
      <c r="N263" s="209"/>
      <c r="O263" s="172">
        <f t="shared" si="48"/>
        <v>0</v>
      </c>
      <c r="P263" s="166"/>
      <c r="Q263" s="173"/>
      <c r="R263" s="65"/>
      <c r="S263" s="173"/>
      <c r="T263" s="173"/>
      <c r="U263" s="166"/>
      <c r="V263" s="166"/>
      <c r="W263" s="65"/>
      <c r="X263" s="66"/>
      <c r="Y263" s="173"/>
      <c r="Z263" s="166"/>
      <c r="AA263" s="174"/>
      <c r="AB263" s="175"/>
      <c r="AC263" s="175"/>
      <c r="AD263" s="175"/>
      <c r="AE263" s="175"/>
      <c r="AF263" s="175"/>
      <c r="AG263" s="175"/>
      <c r="AH263" s="175"/>
      <c r="AI263" s="176"/>
      <c r="AJ263" s="177"/>
      <c r="AK263" s="178"/>
      <c r="AL263" s="178"/>
      <c r="AM263" s="178"/>
      <c r="AN263" s="178"/>
      <c r="AO263" s="179"/>
      <c r="AP263" s="64"/>
      <c r="AQ263" s="65"/>
      <c r="AR263" s="65"/>
      <c r="AS263" s="65"/>
      <c r="AT263" s="173"/>
      <c r="AU263" s="177"/>
      <c r="AV263" s="178"/>
      <c r="AW263" s="178"/>
      <c r="AX263" s="179"/>
      <c r="AZ263" s="166"/>
      <c r="BA263" s="177"/>
      <c r="BB263" s="178"/>
      <c r="BC263" s="178"/>
      <c r="BD263" s="178"/>
      <c r="BE263" s="178"/>
      <c r="BF263" s="178"/>
      <c r="BG263" s="178"/>
      <c r="BH263" s="178"/>
      <c r="BI263" s="179"/>
      <c r="BJ263" s="180"/>
      <c r="BK263" s="178"/>
      <c r="BL263" s="178"/>
      <c r="BM263" s="178"/>
      <c r="BN263" s="178"/>
      <c r="BO263" s="181"/>
      <c r="BP263" s="166"/>
      <c r="BQ263" s="177"/>
      <c r="BR263" s="178"/>
      <c r="BS263" s="179"/>
      <c r="BU263" s="166"/>
      <c r="BV263" s="166"/>
      <c r="BW263" s="166"/>
      <c r="BX263" s="166"/>
      <c r="BY263" s="166"/>
      <c r="BZ263" s="166"/>
      <c r="CA263" s="166"/>
      <c r="CB263" s="166"/>
      <c r="CC263" s="166"/>
      <c r="CD263" s="177"/>
      <c r="CE263" s="181"/>
      <c r="CF263" s="177"/>
      <c r="CG263" s="179"/>
      <c r="CH263" s="257"/>
      <c r="CI263" s="182"/>
      <c r="CJ263" s="177"/>
      <c r="CK263" s="182"/>
      <c r="CL263" s="177"/>
      <c r="CM263" s="182"/>
      <c r="CN263" s="177"/>
      <c r="CO263" s="182"/>
      <c r="CP263" s="177"/>
      <c r="CQ263" s="178"/>
      <c r="CR263" s="182"/>
      <c r="CS263" s="173"/>
      <c r="CT263" s="65"/>
      <c r="CU263" s="255" t="str">
        <f t="shared" si="2"/>
        <v/>
      </c>
    </row>
    <row r="264" ht="60.0" hidden="1" customHeight="1">
      <c r="A264" s="65"/>
      <c r="C264" s="167"/>
      <c r="D264" s="205"/>
      <c r="E264" s="262"/>
      <c r="F264" s="170"/>
      <c r="G264" s="170"/>
      <c r="H264" s="170"/>
      <c r="I264" s="170"/>
      <c r="J264" s="170"/>
      <c r="K264" s="171"/>
      <c r="L264" s="171"/>
      <c r="M264" s="171"/>
      <c r="N264" s="209"/>
      <c r="O264" s="172">
        <f t="shared" si="48"/>
        <v>0</v>
      </c>
      <c r="P264" s="166"/>
      <c r="Q264" s="173"/>
      <c r="R264" s="65"/>
      <c r="S264" s="173"/>
      <c r="T264" s="173"/>
      <c r="U264" s="166"/>
      <c r="V264" s="166"/>
      <c r="W264" s="65"/>
      <c r="X264" s="66"/>
      <c r="Y264" s="173"/>
      <c r="Z264" s="166"/>
      <c r="AA264" s="174"/>
      <c r="AB264" s="175"/>
      <c r="AC264" s="175"/>
      <c r="AD264" s="175"/>
      <c r="AE264" s="175"/>
      <c r="AF264" s="175"/>
      <c r="AG264" s="175"/>
      <c r="AH264" s="175"/>
      <c r="AI264" s="176"/>
      <c r="AJ264" s="177"/>
      <c r="AK264" s="178"/>
      <c r="AL264" s="178"/>
      <c r="AM264" s="178"/>
      <c r="AN264" s="178"/>
      <c r="AO264" s="179"/>
      <c r="AP264" s="64"/>
      <c r="AQ264" s="65"/>
      <c r="AR264" s="65"/>
      <c r="AS264" s="65"/>
      <c r="AT264" s="173"/>
      <c r="AU264" s="177"/>
      <c r="AV264" s="178"/>
      <c r="AW264" s="178"/>
      <c r="AX264" s="179"/>
      <c r="AZ264" s="166"/>
      <c r="BA264" s="177"/>
      <c r="BB264" s="178"/>
      <c r="BC264" s="178"/>
      <c r="BD264" s="178"/>
      <c r="BE264" s="178"/>
      <c r="BF264" s="178"/>
      <c r="BG264" s="178"/>
      <c r="BH264" s="178"/>
      <c r="BI264" s="179"/>
      <c r="BJ264" s="180"/>
      <c r="BK264" s="178"/>
      <c r="BL264" s="178"/>
      <c r="BM264" s="178"/>
      <c r="BN264" s="178"/>
      <c r="BO264" s="181"/>
      <c r="BP264" s="166"/>
      <c r="BQ264" s="177"/>
      <c r="BR264" s="178"/>
      <c r="BS264" s="179"/>
      <c r="BU264" s="166"/>
      <c r="BV264" s="166"/>
      <c r="BW264" s="166"/>
      <c r="BX264" s="166"/>
      <c r="BY264" s="166"/>
      <c r="BZ264" s="166"/>
      <c r="CA264" s="166"/>
      <c r="CB264" s="166"/>
      <c r="CC264" s="166"/>
      <c r="CD264" s="177"/>
      <c r="CE264" s="181"/>
      <c r="CF264" s="177"/>
      <c r="CG264" s="179"/>
      <c r="CH264" s="257"/>
      <c r="CI264" s="182"/>
      <c r="CJ264" s="177"/>
      <c r="CK264" s="182"/>
      <c r="CL264" s="177"/>
      <c r="CM264" s="182"/>
      <c r="CN264" s="177"/>
      <c r="CO264" s="182"/>
      <c r="CP264" s="177"/>
      <c r="CQ264" s="178"/>
      <c r="CR264" s="182"/>
      <c r="CS264" s="173"/>
      <c r="CT264" s="65"/>
      <c r="CU264" s="255" t="str">
        <f t="shared" si="2"/>
        <v/>
      </c>
    </row>
    <row r="265" ht="60.0" hidden="1" customHeight="1">
      <c r="A265" s="65"/>
      <c r="C265" s="167"/>
      <c r="D265" s="205"/>
      <c r="E265" s="262"/>
      <c r="F265" s="170"/>
      <c r="G265" s="170"/>
      <c r="H265" s="170"/>
      <c r="I265" s="170"/>
      <c r="J265" s="170"/>
      <c r="K265" s="171"/>
      <c r="L265" s="171"/>
      <c r="M265" s="171"/>
      <c r="N265" s="209"/>
      <c r="O265" s="172">
        <f t="shared" si="48"/>
        <v>0</v>
      </c>
      <c r="P265" s="166"/>
      <c r="Q265" s="173"/>
      <c r="R265" s="65"/>
      <c r="S265" s="173"/>
      <c r="T265" s="173"/>
      <c r="U265" s="166"/>
      <c r="V265" s="166"/>
      <c r="W265" s="65"/>
      <c r="X265" s="66"/>
      <c r="Y265" s="173"/>
      <c r="Z265" s="166"/>
      <c r="AA265" s="174"/>
      <c r="AB265" s="175"/>
      <c r="AC265" s="175"/>
      <c r="AD265" s="175"/>
      <c r="AE265" s="175"/>
      <c r="AF265" s="175"/>
      <c r="AG265" s="175"/>
      <c r="AH265" s="175"/>
      <c r="AI265" s="176"/>
      <c r="AJ265" s="177"/>
      <c r="AK265" s="178"/>
      <c r="AL265" s="178"/>
      <c r="AM265" s="178"/>
      <c r="AN265" s="178"/>
      <c r="AO265" s="179"/>
      <c r="AP265" s="64"/>
      <c r="AQ265" s="65"/>
      <c r="AR265" s="65"/>
      <c r="AS265" s="65"/>
      <c r="AT265" s="173"/>
      <c r="AU265" s="177"/>
      <c r="AV265" s="178"/>
      <c r="AW265" s="178"/>
      <c r="AX265" s="179"/>
      <c r="AZ265" s="166"/>
      <c r="BA265" s="177"/>
      <c r="BB265" s="178"/>
      <c r="BC265" s="178"/>
      <c r="BD265" s="178"/>
      <c r="BE265" s="178"/>
      <c r="BF265" s="178"/>
      <c r="BG265" s="178"/>
      <c r="BH265" s="178"/>
      <c r="BI265" s="179"/>
      <c r="BJ265" s="180"/>
      <c r="BK265" s="178"/>
      <c r="BL265" s="178"/>
      <c r="BM265" s="178"/>
      <c r="BN265" s="178"/>
      <c r="BO265" s="181"/>
      <c r="BP265" s="166"/>
      <c r="BQ265" s="177"/>
      <c r="BR265" s="178"/>
      <c r="BS265" s="179"/>
      <c r="BU265" s="166"/>
      <c r="BV265" s="166"/>
      <c r="BW265" s="166"/>
      <c r="BX265" s="166"/>
      <c r="BY265" s="166"/>
      <c r="BZ265" s="166"/>
      <c r="CA265" s="166"/>
      <c r="CB265" s="166"/>
      <c r="CC265" s="166"/>
      <c r="CD265" s="177"/>
      <c r="CE265" s="181"/>
      <c r="CF265" s="177"/>
      <c r="CG265" s="179"/>
      <c r="CH265" s="257"/>
      <c r="CI265" s="182"/>
      <c r="CJ265" s="177"/>
      <c r="CK265" s="182"/>
      <c r="CL265" s="177"/>
      <c r="CM265" s="182"/>
      <c r="CN265" s="177"/>
      <c r="CO265" s="182"/>
      <c r="CP265" s="177"/>
      <c r="CQ265" s="178"/>
      <c r="CR265" s="182"/>
      <c r="CS265" s="173"/>
      <c r="CT265" s="65"/>
      <c r="CU265" s="255" t="str">
        <f t="shared" si="2"/>
        <v/>
      </c>
    </row>
    <row r="266" ht="60.0" hidden="1" customHeight="1">
      <c r="A266" s="65"/>
      <c r="C266" s="167"/>
      <c r="D266" s="205"/>
      <c r="E266" s="262"/>
      <c r="F266" s="170"/>
      <c r="G266" s="170"/>
      <c r="H266" s="170"/>
      <c r="I266" s="170"/>
      <c r="J266" s="170"/>
      <c r="K266" s="171"/>
      <c r="L266" s="171"/>
      <c r="M266" s="171"/>
      <c r="N266" s="209"/>
      <c r="O266" s="172">
        <f t="shared" si="48"/>
        <v>0</v>
      </c>
      <c r="P266" s="166"/>
      <c r="Q266" s="173"/>
      <c r="R266" s="65"/>
      <c r="S266" s="173"/>
      <c r="T266" s="173"/>
      <c r="U266" s="166"/>
      <c r="V266" s="166"/>
      <c r="W266" s="65"/>
      <c r="X266" s="66"/>
      <c r="Y266" s="173"/>
      <c r="Z266" s="166"/>
      <c r="AA266" s="174"/>
      <c r="AB266" s="175"/>
      <c r="AC266" s="175"/>
      <c r="AD266" s="175"/>
      <c r="AE266" s="175"/>
      <c r="AF266" s="175"/>
      <c r="AG266" s="175"/>
      <c r="AH266" s="175"/>
      <c r="AI266" s="176"/>
      <c r="AJ266" s="177"/>
      <c r="AK266" s="178"/>
      <c r="AL266" s="178"/>
      <c r="AM266" s="178"/>
      <c r="AN266" s="178"/>
      <c r="AO266" s="179"/>
      <c r="AP266" s="64"/>
      <c r="AQ266" s="65"/>
      <c r="AR266" s="65"/>
      <c r="AS266" s="65"/>
      <c r="AT266" s="173"/>
      <c r="AU266" s="177"/>
      <c r="AV266" s="178"/>
      <c r="AW266" s="178"/>
      <c r="AX266" s="179"/>
      <c r="AZ266" s="166"/>
      <c r="BA266" s="177"/>
      <c r="BB266" s="178"/>
      <c r="BC266" s="178"/>
      <c r="BD266" s="178"/>
      <c r="BE266" s="178"/>
      <c r="BF266" s="178"/>
      <c r="BG266" s="178"/>
      <c r="BH266" s="178"/>
      <c r="BI266" s="179"/>
      <c r="BJ266" s="180"/>
      <c r="BK266" s="178"/>
      <c r="BL266" s="178"/>
      <c r="BM266" s="178"/>
      <c r="BN266" s="178"/>
      <c r="BO266" s="181"/>
      <c r="BP266" s="166"/>
      <c r="BQ266" s="177"/>
      <c r="BR266" s="178"/>
      <c r="BS266" s="179"/>
      <c r="BU266" s="166"/>
      <c r="BV266" s="166"/>
      <c r="BW266" s="166"/>
      <c r="BX266" s="166"/>
      <c r="BY266" s="166"/>
      <c r="BZ266" s="166"/>
      <c r="CA266" s="166"/>
      <c r="CB266" s="166"/>
      <c r="CC266" s="166"/>
      <c r="CD266" s="177"/>
      <c r="CE266" s="181"/>
      <c r="CF266" s="177"/>
      <c r="CG266" s="179"/>
      <c r="CH266" s="257"/>
      <c r="CI266" s="182"/>
      <c r="CJ266" s="177"/>
      <c r="CK266" s="182"/>
      <c r="CL266" s="177"/>
      <c r="CM266" s="182"/>
      <c r="CN266" s="177"/>
      <c r="CO266" s="182"/>
      <c r="CP266" s="177"/>
      <c r="CQ266" s="178"/>
      <c r="CR266" s="182"/>
      <c r="CS266" s="173"/>
      <c r="CT266" s="65"/>
      <c r="CU266" s="255" t="str">
        <f t="shared" si="2"/>
        <v/>
      </c>
    </row>
    <row r="267" ht="60.0" hidden="1" customHeight="1">
      <c r="A267" s="65"/>
      <c r="C267" s="167"/>
      <c r="D267" s="205"/>
      <c r="E267" s="262"/>
      <c r="F267" s="170"/>
      <c r="G267" s="170"/>
      <c r="H267" s="170"/>
      <c r="I267" s="170"/>
      <c r="J267" s="170"/>
      <c r="K267" s="171"/>
      <c r="L267" s="171"/>
      <c r="M267" s="171"/>
      <c r="N267" s="209"/>
      <c r="O267" s="172">
        <f t="shared" ref="O267:O270" si="49">IF(AND(M267&gt;=20,M267&lt;&gt;"m",RIGHT(K267,3)="Lec"),1,IF(AND(M267&gt;=20,M267&lt;&gt;"m",OR(RIGHT(K267,3)="Lab",RIGHT(K267,3)="Tut")),0.5,IF(AND(M267&gt;=20,M267&lt;&gt;"m",RIGHT(K267,2)="TL"),0.75,0)))</f>
        <v>0</v>
      </c>
      <c r="P267" s="166"/>
      <c r="Q267" s="173"/>
      <c r="R267" s="65"/>
      <c r="S267" s="173"/>
      <c r="T267" s="173"/>
      <c r="U267" s="166"/>
      <c r="V267" s="166"/>
      <c r="W267" s="65"/>
      <c r="X267" s="66"/>
      <c r="Y267" s="173"/>
      <c r="Z267" s="166"/>
      <c r="AA267" s="174"/>
      <c r="AB267" s="175"/>
      <c r="AC267" s="175"/>
      <c r="AD267" s="175"/>
      <c r="AE267" s="175"/>
      <c r="AF267" s="175"/>
      <c r="AG267" s="175"/>
      <c r="AH267" s="175"/>
      <c r="AI267" s="176"/>
      <c r="AJ267" s="177"/>
      <c r="AK267" s="178"/>
      <c r="AL267" s="178"/>
      <c r="AM267" s="178"/>
      <c r="AN267" s="178"/>
      <c r="AO267" s="179"/>
      <c r="AP267" s="64"/>
      <c r="AQ267" s="65"/>
      <c r="AR267" s="65"/>
      <c r="AS267" s="65"/>
      <c r="AT267" s="173"/>
      <c r="AU267" s="177"/>
      <c r="AV267" s="178"/>
      <c r="AW267" s="178"/>
      <c r="AX267" s="179"/>
      <c r="AZ267" s="166"/>
      <c r="BA267" s="177"/>
      <c r="BB267" s="178"/>
      <c r="BC267" s="178"/>
      <c r="BD267" s="178"/>
      <c r="BE267" s="178"/>
      <c r="BF267" s="178"/>
      <c r="BG267" s="178"/>
      <c r="BH267" s="178"/>
      <c r="BI267" s="179"/>
      <c r="BJ267" s="180"/>
      <c r="BK267" s="178"/>
      <c r="BL267" s="178"/>
      <c r="BM267" s="178"/>
      <c r="BN267" s="178"/>
      <c r="BO267" s="181"/>
      <c r="BP267" s="166"/>
      <c r="BQ267" s="177"/>
      <c r="BR267" s="178"/>
      <c r="BS267" s="179"/>
      <c r="BU267" s="166"/>
      <c r="BV267" s="166"/>
      <c r="BW267" s="166"/>
      <c r="BX267" s="166"/>
      <c r="BY267" s="166"/>
      <c r="BZ267" s="166"/>
      <c r="CA267" s="166"/>
      <c r="CB267" s="166"/>
      <c r="CC267" s="166"/>
      <c r="CD267" s="177"/>
      <c r="CE267" s="181"/>
      <c r="CF267" s="177"/>
      <c r="CG267" s="179"/>
      <c r="CH267" s="257"/>
      <c r="CI267" s="182"/>
      <c r="CJ267" s="177"/>
      <c r="CK267" s="182"/>
      <c r="CL267" s="177"/>
      <c r="CM267" s="182"/>
      <c r="CN267" s="177"/>
      <c r="CO267" s="182"/>
      <c r="CP267" s="177"/>
      <c r="CQ267" s="178"/>
      <c r="CR267" s="182"/>
      <c r="CS267" s="173"/>
      <c r="CT267" s="65"/>
      <c r="CU267" s="255" t="str">
        <f t="shared" si="2"/>
        <v/>
      </c>
    </row>
    <row r="268" ht="60.0" hidden="1" customHeight="1">
      <c r="A268" s="65"/>
      <c r="C268" s="167"/>
      <c r="D268" s="205"/>
      <c r="E268" s="262"/>
      <c r="F268" s="170"/>
      <c r="G268" s="170"/>
      <c r="H268" s="170"/>
      <c r="I268" s="170"/>
      <c r="J268" s="170"/>
      <c r="K268" s="171"/>
      <c r="L268" s="171"/>
      <c r="M268" s="171"/>
      <c r="N268" s="209"/>
      <c r="O268" s="172">
        <f t="shared" si="49"/>
        <v>0</v>
      </c>
      <c r="P268" s="166"/>
      <c r="Q268" s="173"/>
      <c r="R268" s="65"/>
      <c r="S268" s="173"/>
      <c r="T268" s="173"/>
      <c r="U268" s="166"/>
      <c r="V268" s="166"/>
      <c r="W268" s="65"/>
      <c r="X268" s="66"/>
      <c r="Y268" s="173"/>
      <c r="Z268" s="166"/>
      <c r="AA268" s="174"/>
      <c r="AB268" s="175"/>
      <c r="AC268" s="175"/>
      <c r="AD268" s="175"/>
      <c r="AE268" s="175"/>
      <c r="AF268" s="175"/>
      <c r="AG268" s="175"/>
      <c r="AH268" s="175"/>
      <c r="AI268" s="176"/>
      <c r="AJ268" s="177"/>
      <c r="AK268" s="178"/>
      <c r="AL268" s="178"/>
      <c r="AM268" s="178"/>
      <c r="AN268" s="178"/>
      <c r="AO268" s="179"/>
      <c r="AP268" s="64"/>
      <c r="AQ268" s="65"/>
      <c r="AR268" s="65"/>
      <c r="AS268" s="65"/>
      <c r="AT268" s="173"/>
      <c r="AU268" s="177"/>
      <c r="AV268" s="178"/>
      <c r="AW268" s="178"/>
      <c r="AX268" s="179"/>
      <c r="AZ268" s="166"/>
      <c r="BA268" s="177"/>
      <c r="BB268" s="178"/>
      <c r="BC268" s="178"/>
      <c r="BD268" s="178"/>
      <c r="BE268" s="178"/>
      <c r="BF268" s="178"/>
      <c r="BG268" s="178"/>
      <c r="BH268" s="178"/>
      <c r="BI268" s="179"/>
      <c r="BJ268" s="180"/>
      <c r="BK268" s="178"/>
      <c r="BL268" s="178"/>
      <c r="BM268" s="178"/>
      <c r="BN268" s="178"/>
      <c r="BO268" s="181"/>
      <c r="BP268" s="166"/>
      <c r="BQ268" s="177"/>
      <c r="BR268" s="178"/>
      <c r="BS268" s="179"/>
      <c r="BU268" s="166"/>
      <c r="BV268" s="166"/>
      <c r="BW268" s="166"/>
      <c r="BX268" s="166"/>
      <c r="BY268" s="166"/>
      <c r="BZ268" s="166"/>
      <c r="CA268" s="166"/>
      <c r="CB268" s="166"/>
      <c r="CC268" s="166"/>
      <c r="CD268" s="177"/>
      <c r="CE268" s="181"/>
      <c r="CF268" s="177"/>
      <c r="CG268" s="179"/>
      <c r="CH268" s="257"/>
      <c r="CI268" s="182"/>
      <c r="CJ268" s="177"/>
      <c r="CK268" s="182"/>
      <c r="CL268" s="177"/>
      <c r="CM268" s="182"/>
      <c r="CN268" s="177"/>
      <c r="CO268" s="182"/>
      <c r="CP268" s="177"/>
      <c r="CQ268" s="178"/>
      <c r="CR268" s="182"/>
      <c r="CS268" s="173"/>
      <c r="CT268" s="65"/>
      <c r="CU268" s="255" t="str">
        <f t="shared" si="2"/>
        <v/>
      </c>
    </row>
    <row r="269" ht="60.0" hidden="1" customHeight="1">
      <c r="A269" s="65"/>
      <c r="C269" s="167"/>
      <c r="D269" s="205"/>
      <c r="E269" s="262"/>
      <c r="F269" s="170"/>
      <c r="G269" s="170"/>
      <c r="H269" s="170"/>
      <c r="I269" s="170"/>
      <c r="J269" s="170"/>
      <c r="K269" s="171"/>
      <c r="L269" s="171"/>
      <c r="M269" s="171"/>
      <c r="N269" s="209"/>
      <c r="O269" s="172">
        <f t="shared" si="49"/>
        <v>0</v>
      </c>
      <c r="P269" s="166"/>
      <c r="Q269" s="173"/>
      <c r="R269" s="65"/>
      <c r="S269" s="173"/>
      <c r="T269" s="173"/>
      <c r="U269" s="166"/>
      <c r="V269" s="166"/>
      <c r="W269" s="65"/>
      <c r="X269" s="66"/>
      <c r="Y269" s="173"/>
      <c r="Z269" s="166"/>
      <c r="AA269" s="174"/>
      <c r="AB269" s="175"/>
      <c r="AC269" s="175"/>
      <c r="AD269" s="175"/>
      <c r="AE269" s="175"/>
      <c r="AF269" s="175"/>
      <c r="AG269" s="175"/>
      <c r="AH269" s="175"/>
      <c r="AI269" s="176"/>
      <c r="AJ269" s="177"/>
      <c r="AK269" s="178"/>
      <c r="AL269" s="178"/>
      <c r="AM269" s="178"/>
      <c r="AN269" s="178"/>
      <c r="AO269" s="179"/>
      <c r="AP269" s="64"/>
      <c r="AQ269" s="65"/>
      <c r="AR269" s="65"/>
      <c r="AS269" s="65"/>
      <c r="AT269" s="173"/>
      <c r="AU269" s="177"/>
      <c r="AV269" s="178"/>
      <c r="AW269" s="178"/>
      <c r="AX269" s="179"/>
      <c r="AZ269" s="166"/>
      <c r="BA269" s="177"/>
      <c r="BB269" s="178"/>
      <c r="BC269" s="178"/>
      <c r="BD269" s="178"/>
      <c r="BE269" s="178"/>
      <c r="BF269" s="178"/>
      <c r="BG269" s="178"/>
      <c r="BH269" s="178"/>
      <c r="BI269" s="179"/>
      <c r="BJ269" s="180"/>
      <c r="BK269" s="178"/>
      <c r="BL269" s="178"/>
      <c r="BM269" s="178"/>
      <c r="BN269" s="178"/>
      <c r="BO269" s="181"/>
      <c r="BP269" s="166"/>
      <c r="BQ269" s="177"/>
      <c r="BR269" s="178"/>
      <c r="BS269" s="179"/>
      <c r="BU269" s="166"/>
      <c r="BV269" s="166"/>
      <c r="BW269" s="166"/>
      <c r="BX269" s="166"/>
      <c r="BY269" s="166"/>
      <c r="BZ269" s="166"/>
      <c r="CA269" s="166"/>
      <c r="CB269" s="166"/>
      <c r="CC269" s="166"/>
      <c r="CD269" s="177"/>
      <c r="CE269" s="181"/>
      <c r="CF269" s="177"/>
      <c r="CG269" s="179"/>
      <c r="CH269" s="257"/>
      <c r="CI269" s="182"/>
      <c r="CJ269" s="177"/>
      <c r="CK269" s="182"/>
      <c r="CL269" s="177"/>
      <c r="CM269" s="182"/>
      <c r="CN269" s="177"/>
      <c r="CO269" s="182"/>
      <c r="CP269" s="177"/>
      <c r="CQ269" s="178"/>
      <c r="CR269" s="182"/>
      <c r="CS269" s="173"/>
      <c r="CT269" s="65"/>
      <c r="CU269" s="255" t="str">
        <f t="shared" si="2"/>
        <v/>
      </c>
    </row>
    <row r="270" ht="60.0" hidden="1" customHeight="1">
      <c r="A270" s="65"/>
      <c r="C270" s="167"/>
      <c r="D270" s="205"/>
      <c r="E270" s="262"/>
      <c r="F270" s="170"/>
      <c r="G270" s="170"/>
      <c r="H270" s="170"/>
      <c r="I270" s="170"/>
      <c r="J270" s="170"/>
      <c r="K270" s="171"/>
      <c r="L270" s="171"/>
      <c r="M270" s="171"/>
      <c r="N270" s="209"/>
      <c r="O270" s="172">
        <f t="shared" si="49"/>
        <v>0</v>
      </c>
      <c r="P270" s="166"/>
      <c r="Q270" s="173"/>
      <c r="R270" s="65"/>
      <c r="S270" s="173"/>
      <c r="T270" s="173"/>
      <c r="U270" s="166"/>
      <c r="V270" s="166"/>
      <c r="W270" s="65"/>
      <c r="X270" s="66"/>
      <c r="Y270" s="173"/>
      <c r="Z270" s="166"/>
      <c r="AA270" s="174"/>
      <c r="AB270" s="175"/>
      <c r="AC270" s="175"/>
      <c r="AD270" s="175"/>
      <c r="AE270" s="175"/>
      <c r="AF270" s="175"/>
      <c r="AG270" s="175"/>
      <c r="AH270" s="175"/>
      <c r="AI270" s="176"/>
      <c r="AJ270" s="177"/>
      <c r="AK270" s="178"/>
      <c r="AL270" s="178"/>
      <c r="AM270" s="178"/>
      <c r="AN270" s="178"/>
      <c r="AO270" s="179"/>
      <c r="AP270" s="64"/>
      <c r="AQ270" s="65"/>
      <c r="AR270" s="65"/>
      <c r="AS270" s="65"/>
      <c r="AT270" s="173"/>
      <c r="AU270" s="177"/>
      <c r="AV270" s="178"/>
      <c r="AW270" s="178"/>
      <c r="AX270" s="179"/>
      <c r="AZ270" s="166"/>
      <c r="BA270" s="177"/>
      <c r="BB270" s="178"/>
      <c r="BC270" s="178"/>
      <c r="BD270" s="178"/>
      <c r="BE270" s="178"/>
      <c r="BF270" s="178"/>
      <c r="BG270" s="178"/>
      <c r="BH270" s="178"/>
      <c r="BI270" s="179"/>
      <c r="BJ270" s="180"/>
      <c r="BK270" s="178"/>
      <c r="BL270" s="178"/>
      <c r="BM270" s="178"/>
      <c r="BN270" s="178"/>
      <c r="BO270" s="181"/>
      <c r="BP270" s="166"/>
      <c r="BQ270" s="177"/>
      <c r="BR270" s="178"/>
      <c r="BS270" s="179"/>
      <c r="BU270" s="166"/>
      <c r="BV270" s="166"/>
      <c r="BW270" s="166"/>
      <c r="BX270" s="166"/>
      <c r="BY270" s="166"/>
      <c r="BZ270" s="166"/>
      <c r="CA270" s="166"/>
      <c r="CB270" s="166"/>
      <c r="CC270" s="166"/>
      <c r="CD270" s="177"/>
      <c r="CE270" s="181"/>
      <c r="CF270" s="177"/>
      <c r="CG270" s="179"/>
      <c r="CH270" s="257"/>
      <c r="CI270" s="182"/>
      <c r="CJ270" s="177"/>
      <c r="CK270" s="182"/>
      <c r="CL270" s="177"/>
      <c r="CM270" s="182"/>
      <c r="CN270" s="177"/>
      <c r="CO270" s="182"/>
      <c r="CP270" s="177"/>
      <c r="CQ270" s="178"/>
      <c r="CR270" s="182"/>
      <c r="CS270" s="173"/>
      <c r="CT270" s="65"/>
      <c r="CU270" s="255" t="str">
        <f t="shared" si="2"/>
        <v/>
      </c>
    </row>
    <row r="271" ht="60.0" hidden="1" customHeight="1">
      <c r="A271" s="89"/>
      <c r="B271" s="6"/>
      <c r="C271" s="183"/>
      <c r="D271" s="210"/>
      <c r="E271" s="263"/>
      <c r="F271" s="186"/>
      <c r="G271" s="186"/>
      <c r="H271" s="186"/>
      <c r="I271" s="186"/>
      <c r="J271" s="186"/>
      <c r="K271" s="187"/>
      <c r="L271" s="187"/>
      <c r="M271" s="187"/>
      <c r="N271" s="214"/>
      <c r="O271" s="188">
        <f t="shared" ref="O271:O277" si="50">IF(AND(M271&lt;&gt;0,M271&lt;&gt;"m",M271&lt;&gt;"",RIGHT(K271,3)="Lec"),1,IF(AND(M271&lt;&gt;0,M271&lt;&gt;"m",M271&lt;&gt;"",OR(RIGHT(K271,3)="Lab",RIGHT(K271,3)="Tut")),0.5,IF(AND(M271&lt;&gt;0,M271&lt;&gt;"m",M271&lt;&gt;"",RIGHT(K271,2)="TL"),0.75,0)))</f>
        <v>0</v>
      </c>
      <c r="P271" s="63"/>
      <c r="Q271" s="69"/>
      <c r="R271" s="89"/>
      <c r="S271" s="69"/>
      <c r="T271" s="69"/>
      <c r="U271" s="63"/>
      <c r="V271" s="63"/>
      <c r="W271" s="89"/>
      <c r="X271" s="68"/>
      <c r="Y271" s="69"/>
      <c r="Z271" s="63"/>
      <c r="AA271" s="189"/>
      <c r="AB271" s="190"/>
      <c r="AC271" s="190"/>
      <c r="AD271" s="190"/>
      <c r="AE271" s="190"/>
      <c r="AF271" s="190"/>
      <c r="AG271" s="190"/>
      <c r="AH271" s="190"/>
      <c r="AI271" s="191"/>
      <c r="AJ271" s="192"/>
      <c r="AK271" s="193"/>
      <c r="AL271" s="193"/>
      <c r="AM271" s="193"/>
      <c r="AN271" s="193"/>
      <c r="AO271" s="194"/>
      <c r="AP271" s="103"/>
      <c r="AQ271" s="89"/>
      <c r="AR271" s="89"/>
      <c r="AS271" s="89"/>
      <c r="AT271" s="69"/>
      <c r="AU271" s="192"/>
      <c r="AV271" s="193"/>
      <c r="AW271" s="193"/>
      <c r="AX271" s="194"/>
      <c r="AY271" s="6"/>
      <c r="AZ271" s="63"/>
      <c r="BA271" s="192"/>
      <c r="BB271" s="193"/>
      <c r="BC271" s="193"/>
      <c r="BD271" s="193"/>
      <c r="BE271" s="193"/>
      <c r="BF271" s="193"/>
      <c r="BG271" s="193"/>
      <c r="BH271" s="193"/>
      <c r="BI271" s="194"/>
      <c r="BJ271" s="195"/>
      <c r="BK271" s="193"/>
      <c r="BL271" s="193"/>
      <c r="BM271" s="193"/>
      <c r="BN271" s="193"/>
      <c r="BO271" s="196"/>
      <c r="BP271" s="63"/>
      <c r="BQ271" s="192"/>
      <c r="BR271" s="193"/>
      <c r="BS271" s="194"/>
      <c r="BT271" s="6"/>
      <c r="BU271" s="63"/>
      <c r="BV271" s="63"/>
      <c r="BW271" s="63"/>
      <c r="BX271" s="63"/>
      <c r="BY271" s="63"/>
      <c r="BZ271" s="63"/>
      <c r="CA271" s="63"/>
      <c r="CB271" s="63"/>
      <c r="CC271" s="63"/>
      <c r="CD271" s="192"/>
      <c r="CE271" s="196"/>
      <c r="CF271" s="192"/>
      <c r="CG271" s="194"/>
      <c r="CH271" s="259"/>
      <c r="CI271" s="197"/>
      <c r="CJ271" s="192"/>
      <c r="CK271" s="197"/>
      <c r="CL271" s="192"/>
      <c r="CM271" s="197"/>
      <c r="CN271" s="192"/>
      <c r="CO271" s="197"/>
      <c r="CP271" s="192"/>
      <c r="CQ271" s="193"/>
      <c r="CR271" s="197"/>
      <c r="CS271" s="69"/>
      <c r="CT271" s="89"/>
      <c r="CU271" s="255" t="str">
        <f t="shared" si="2"/>
        <v/>
      </c>
    </row>
    <row r="272" ht="56.25" hidden="1" customHeight="1">
      <c r="A272" s="125">
        <v>25.0</v>
      </c>
      <c r="B272" s="199"/>
      <c r="C272" s="127"/>
      <c r="D272" s="128"/>
      <c r="E272" s="260"/>
      <c r="F272" s="261"/>
      <c r="G272" s="261"/>
      <c r="H272" s="261"/>
      <c r="I272" s="261"/>
      <c r="J272" s="170"/>
      <c r="K272" s="219"/>
      <c r="L272" s="219"/>
      <c r="M272" s="219"/>
      <c r="N272" s="220"/>
      <c r="O272" s="132">
        <f t="shared" si="50"/>
        <v>0</v>
      </c>
      <c r="P272" s="133">
        <f>COUNTIF(K272:K282,"TL")*0.75+COUNTIF(K272:K282,"Lec")*1+COUNTIF(K272:K282,"Lab")*0.5</f>
        <v>0</v>
      </c>
      <c r="Q272" s="134">
        <f>SUM((IF(LEFT(K272,1)="E",O272,0)),(IF(LEFT(K273,1)="E",O273,0)),(IF(LEFT(K274,1)="E",O274,0)),(IF(LEFT(K275,1)="E",O275,0)),(IF(LEFT(K276,1)="E",O276,0)),(IF(LEFT(K277,1)="E",O277,0)),(IF(LEFT(K278,1)="E",O278,0)),(IF(LEFT(K279,1)="E",O279,0)),(IF(LEFT(K280,1)="E",O280,0)),(IF(LEFT(K281,1)="E",O281,0)),(IF(LEFT(K282,1)="E",O282,0)))</f>
        <v>0</v>
      </c>
      <c r="R272" s="135">
        <f>SUM(IF(M278&lt;20,IF(K278="Plec",-1,IF(K278="PTL",-0.75,IF(K278="Plab",-0.5,0))),0),IF(M279&lt;20,IF(K279="Plec",-1,IF(K279="PTL",-0.75,IF(K279="Plab",-0.5,0))),0),IF(M280&lt;20,IF(K280="Plec",-1,IF(K280="PTL",-0.75,IF(K280="Plab",-0.5,0))),0),IF(M281&lt;20,IF(K281="Plec",-1,IF(K281="PTL",-0.75,IF(K281="Plab",-0.5,0))),0))</f>
        <v>0</v>
      </c>
      <c r="S272" s="134">
        <f>SUM(P272:R282)</f>
        <v>0</v>
      </c>
      <c r="T272" s="136">
        <f>SUM(IF(M272="M",IF(OR(K272="lec",K272="plec",K272="slec"),1,IF(OR(K272="lab",K272="plab",K272="slab",K272="tut",K272="ptut",K272="stut"),0.5,IF(OR(K272="TL",K272="pTL",K272="STL"),0.75,0))),0),IF(M273="M",IF(OR(K273="lec",K273="plec",K273="slec"),1,IF(OR(K273="lab",K273="plab",K273="slab",K273="tut",K273="ptut",K273="stut"),0.5,IF(OR(K273="TL",K273="pTL",K273="STL"),0.75,0))),0),IF(M274="M",IF(OR(K274="lec",K274="plec",K274="slec"),1,IF(OR(K274="lab",K274="plab",K274="slab",K274="tut",K274="ptut",K274="stut"),0.5,IF(OR(K274="TL",K274="pTL",K274="STL"),0.75,0))),0),IF(M275="M",IF(OR(K275="lec",K275="plec",K275="slec"),1,IF(OR(K275="lab",K275="plab",K275="slab",K275="tut",K275="ptut",K275="stut"),0.5,IF(OR(K275="TL",K275="pTL",K275="STL"),0.75,0))),0),IF(M276="M",IF(OR(K276="lec",K276="plec",K276="slec"),1,IF(OR(K276="lab",K276="plab",K276="slab",K276="tut",K276="ptut",K276="stut"),0.5,IF(OR(K276="TL",K276="pTL",K276="STL"),0.75,0))),0),IF(M277="M",IF(OR(K277="lec",K277="plec",K277="slec"),1,IF(OR(K277="lab",K277="plab",K277="slab",K277="tut",K277="ptut",K277="stut"),0.5,IF(OR(K277="TL",K277="pTL",K277="STL"),0.75,0))),0),IF(M278="M",IF(OR(K278="lec",K278="plec",K278="slec"),1,IF(OR(K278="lab",K278="plab",K278="slab",K278="tut",K278="ptut",K278="stut"),0.5,IF(OR(K278="TL",K278="pTL",K278="STL"),0.75,0))),0),IF(M279="M",IF(OR(K279="lec",K279="plec",K279="slec"),1,IF(OR(K279="lab",K279="plab",K279="slab",K279="tut",K279="ptut",K279="stut"),0.5,IF(OR(K279="TL",K279="pTL",K279="STL"),0.75,0))),0),IF(M280="M",IF(OR(K280="lec",K280="plec",K280="slec"),1,IF(OR(K280="lab",K280="plab",K280="slab",K280="tut",K280="ptut",K280="stut"),0.5,IF(OR(K280="TL",K280="pTL",K280="STL"),0.75,0))),0),IF(M281="M",IF(OR(K281="lec",K281="plec",K281="slec"),1,IF(OR(K281="lab",K281="plab",K281="slab",K281="tut",K281="ptut",K281="stut"),0.5,IF(OR(K281="TL",K281="pTL",K281="STL"),0.75,0))),0),IF(M282="M",IF(OR(K282="lec",K282="plec",K282="slec"),1,IF(OR(K282="lab",K282="plab",K282="slab",K282="tut",K282="ptut",K282="stut"),0.5,IF(OR(K282="TL",K282="pTL",K282="STL"),0.75,0))),0))</f>
        <v>0</v>
      </c>
      <c r="U272" s="137"/>
      <c r="V272" s="133"/>
      <c r="W272" s="138"/>
      <c r="X272" s="139">
        <f>S272-(T272+U272+V272+W272)</f>
        <v>0</v>
      </c>
      <c r="Y272" s="134" t="str">
        <f>CONCATENATE(SUM(O272:O282),"(",SUM(O272:O282)-X272,")")</f>
        <v>0(0)</v>
      </c>
      <c r="Z272" s="140"/>
      <c r="AA272" s="141"/>
      <c r="AB272" s="142"/>
      <c r="AC272" s="142"/>
      <c r="AD272" s="142"/>
      <c r="AE272" s="142"/>
      <c r="AF272" s="142"/>
      <c r="AG272" s="142"/>
      <c r="AH272" s="142"/>
      <c r="AI272" s="143"/>
      <c r="AJ272" s="144"/>
      <c r="AK272" s="145"/>
      <c r="AL272" s="145"/>
      <c r="AM272" s="145"/>
      <c r="AN272" s="145"/>
      <c r="AO272" s="146"/>
      <c r="AP272" s="147">
        <f>SUM(SUM(O272:O282),SUM(AI272:AI282)/2,AM272)</f>
        <v>0</v>
      </c>
      <c r="AQ272" s="148"/>
      <c r="AR272" s="148">
        <f>AP272*AQ272</f>
        <v>0</v>
      </c>
      <c r="AS272" s="148">
        <f>CT272</f>
        <v>0</v>
      </c>
      <c r="AT272" s="149">
        <f>AR272*0.75+AS272*0.25</f>
        <v>0</v>
      </c>
      <c r="AU272" s="150"/>
      <c r="AV272" s="151"/>
      <c r="AW272" s="151"/>
      <c r="AX272" s="152"/>
      <c r="AY272" s="153"/>
      <c r="AZ272" s="140"/>
      <c r="BA272" s="150"/>
      <c r="BB272" s="151"/>
      <c r="BC272" s="151"/>
      <c r="BD272" s="151"/>
      <c r="BE272" s="151"/>
      <c r="BF272" s="151"/>
      <c r="BG272" s="151"/>
      <c r="BH272" s="151"/>
      <c r="BI272" s="152"/>
      <c r="BJ272" s="154"/>
      <c r="BK272" s="151"/>
      <c r="BL272" s="151"/>
      <c r="BM272" s="151"/>
      <c r="BN272" s="151"/>
      <c r="BO272" s="155"/>
      <c r="BP272" s="140"/>
      <c r="BQ272" s="156"/>
      <c r="BR272" s="157"/>
      <c r="BS272" s="158"/>
      <c r="BT272" s="153"/>
      <c r="BU272" s="140"/>
      <c r="BV272" s="140"/>
      <c r="BW272" s="140"/>
      <c r="BX272" s="140"/>
      <c r="BY272" s="140"/>
      <c r="BZ272" s="140"/>
      <c r="CA272" s="140"/>
      <c r="CB272" s="140"/>
      <c r="CC272" s="140"/>
      <c r="CD272" s="150"/>
      <c r="CE272" s="155"/>
      <c r="CF272" s="150"/>
      <c r="CG272" s="152"/>
      <c r="CH272" s="252"/>
      <c r="CI272" s="160"/>
      <c r="CJ272" s="159"/>
      <c r="CK272" s="160"/>
      <c r="CL272" s="159"/>
      <c r="CM272" s="160"/>
      <c r="CN272" s="159"/>
      <c r="CO272" s="160"/>
      <c r="CP272" s="159"/>
      <c r="CQ272" s="162"/>
      <c r="CR272" s="160"/>
      <c r="CS272" s="253">
        <f>SUM(IF(AU272&lt;0,ABS(AU272),0),IF(AZ272&lt;0,ABS(AZ272),0),ABS(CI272),ABS(CK272),ABS(CM272),ABS(CO272),ABS(CQ272),ABS(CR272))</f>
        <v>0</v>
      </c>
      <c r="CT272" s="254">
        <f>SUM(AU272,AV272,AW272,AX272/400,AY272,AZ272,BG272,BH272*0.5,BI272*0.25,BJ272,BK272,BL272,BM272,BN272,BO272,BP272,BR272/20,BS272/100,BT272/60,BU272,BV272,BW272,BX272/5,SUM(BY272:CC282)/3,CE272,CG272/3,CI272,CK272,CM272,CO272,CQ272,CR272)</f>
        <v>0</v>
      </c>
      <c r="CU272" s="255" t="str">
        <f t="shared" si="2"/>
        <v/>
      </c>
    </row>
    <row r="273" ht="60.0" hidden="1" customHeight="1">
      <c r="A273" s="65"/>
      <c r="C273" s="167"/>
      <c r="D273" s="205"/>
      <c r="E273" s="262"/>
      <c r="F273" s="170"/>
      <c r="G273" s="170"/>
      <c r="H273" s="170"/>
      <c r="I273" s="170"/>
      <c r="J273" s="170"/>
      <c r="K273" s="171"/>
      <c r="L273" s="171"/>
      <c r="M273" s="171"/>
      <c r="N273" s="209"/>
      <c r="O273" s="172">
        <f t="shared" si="50"/>
        <v>0</v>
      </c>
      <c r="P273" s="166"/>
      <c r="Q273" s="173"/>
      <c r="R273" s="65"/>
      <c r="S273" s="173"/>
      <c r="T273" s="173"/>
      <c r="U273" s="166"/>
      <c r="V273" s="166"/>
      <c r="W273" s="65"/>
      <c r="X273" s="66"/>
      <c r="Y273" s="173"/>
      <c r="Z273" s="166"/>
      <c r="AA273" s="174"/>
      <c r="AB273" s="175"/>
      <c r="AC273" s="175"/>
      <c r="AD273" s="175"/>
      <c r="AE273" s="175"/>
      <c r="AF273" s="175"/>
      <c r="AG273" s="175"/>
      <c r="AH273" s="175"/>
      <c r="AI273" s="176"/>
      <c r="AJ273" s="177"/>
      <c r="AK273" s="178"/>
      <c r="AL273" s="178"/>
      <c r="AM273" s="178"/>
      <c r="AN273" s="178"/>
      <c r="AO273" s="179"/>
      <c r="AP273" s="64"/>
      <c r="AQ273" s="65"/>
      <c r="AR273" s="65"/>
      <c r="AS273" s="65"/>
      <c r="AT273" s="173"/>
      <c r="AU273" s="177"/>
      <c r="AV273" s="178"/>
      <c r="AW273" s="178"/>
      <c r="AX273" s="179"/>
      <c r="AZ273" s="166"/>
      <c r="BA273" s="177"/>
      <c r="BB273" s="178"/>
      <c r="BC273" s="178"/>
      <c r="BD273" s="178"/>
      <c r="BE273" s="178"/>
      <c r="BF273" s="178"/>
      <c r="BG273" s="178"/>
      <c r="BH273" s="178"/>
      <c r="BI273" s="179"/>
      <c r="BJ273" s="180"/>
      <c r="BK273" s="178"/>
      <c r="BL273" s="178"/>
      <c r="BM273" s="178"/>
      <c r="BN273" s="178"/>
      <c r="BO273" s="181"/>
      <c r="BP273" s="166"/>
      <c r="BQ273" s="177"/>
      <c r="BR273" s="178"/>
      <c r="BS273" s="179"/>
      <c r="BU273" s="166"/>
      <c r="BV273" s="166"/>
      <c r="BW273" s="166"/>
      <c r="BX273" s="166"/>
      <c r="BY273" s="166"/>
      <c r="BZ273" s="166"/>
      <c r="CA273" s="166"/>
      <c r="CB273" s="166"/>
      <c r="CC273" s="166"/>
      <c r="CD273" s="177"/>
      <c r="CE273" s="181"/>
      <c r="CF273" s="177"/>
      <c r="CG273" s="179"/>
      <c r="CH273" s="257"/>
      <c r="CI273" s="182"/>
      <c r="CJ273" s="177"/>
      <c r="CK273" s="182"/>
      <c r="CL273" s="177"/>
      <c r="CM273" s="182"/>
      <c r="CN273" s="177"/>
      <c r="CO273" s="182"/>
      <c r="CP273" s="177"/>
      <c r="CQ273" s="178"/>
      <c r="CR273" s="182"/>
      <c r="CS273" s="173"/>
      <c r="CT273" s="65"/>
      <c r="CU273" s="255" t="str">
        <f t="shared" si="2"/>
        <v/>
      </c>
    </row>
    <row r="274" ht="60.0" hidden="1" customHeight="1">
      <c r="A274" s="65"/>
      <c r="C274" s="167"/>
      <c r="D274" s="205"/>
      <c r="E274" s="262"/>
      <c r="F274" s="170"/>
      <c r="G274" s="170"/>
      <c r="H274" s="170"/>
      <c r="I274" s="170"/>
      <c r="J274" s="170"/>
      <c r="K274" s="171"/>
      <c r="L274" s="171"/>
      <c r="M274" s="171"/>
      <c r="N274" s="209"/>
      <c r="O274" s="172">
        <f t="shared" si="50"/>
        <v>0</v>
      </c>
      <c r="P274" s="166"/>
      <c r="Q274" s="173"/>
      <c r="R274" s="65"/>
      <c r="S274" s="173"/>
      <c r="T274" s="173"/>
      <c r="U274" s="166"/>
      <c r="V274" s="166"/>
      <c r="W274" s="65"/>
      <c r="X274" s="66"/>
      <c r="Y274" s="173"/>
      <c r="Z274" s="166"/>
      <c r="AA274" s="174"/>
      <c r="AB274" s="175"/>
      <c r="AC274" s="175"/>
      <c r="AD274" s="175"/>
      <c r="AE274" s="175"/>
      <c r="AF274" s="175"/>
      <c r="AG274" s="175"/>
      <c r="AH274" s="175"/>
      <c r="AI274" s="176"/>
      <c r="AJ274" s="177"/>
      <c r="AK274" s="178"/>
      <c r="AL274" s="178"/>
      <c r="AM274" s="178"/>
      <c r="AN274" s="178"/>
      <c r="AO274" s="179"/>
      <c r="AP274" s="64"/>
      <c r="AQ274" s="65"/>
      <c r="AR274" s="65"/>
      <c r="AS274" s="65"/>
      <c r="AT274" s="173"/>
      <c r="AU274" s="177"/>
      <c r="AV274" s="178"/>
      <c r="AW274" s="178"/>
      <c r="AX274" s="179"/>
      <c r="AZ274" s="166"/>
      <c r="BA274" s="177"/>
      <c r="BB274" s="178"/>
      <c r="BC274" s="178"/>
      <c r="BD274" s="178"/>
      <c r="BE274" s="178"/>
      <c r="BF274" s="178"/>
      <c r="BG274" s="178"/>
      <c r="BH274" s="178"/>
      <c r="BI274" s="179"/>
      <c r="BJ274" s="180"/>
      <c r="BK274" s="178"/>
      <c r="BL274" s="178"/>
      <c r="BM274" s="178"/>
      <c r="BN274" s="178"/>
      <c r="BO274" s="181"/>
      <c r="BP274" s="166"/>
      <c r="BQ274" s="177"/>
      <c r="BR274" s="178"/>
      <c r="BS274" s="179"/>
      <c r="BU274" s="166"/>
      <c r="BV274" s="166"/>
      <c r="BW274" s="166"/>
      <c r="BX274" s="166"/>
      <c r="BY274" s="166"/>
      <c r="BZ274" s="166"/>
      <c r="CA274" s="166"/>
      <c r="CB274" s="166"/>
      <c r="CC274" s="166"/>
      <c r="CD274" s="177"/>
      <c r="CE274" s="181"/>
      <c r="CF274" s="177"/>
      <c r="CG274" s="179"/>
      <c r="CH274" s="257"/>
      <c r="CI274" s="182"/>
      <c r="CJ274" s="177"/>
      <c r="CK274" s="182"/>
      <c r="CL274" s="177"/>
      <c r="CM274" s="182"/>
      <c r="CN274" s="177"/>
      <c r="CO274" s="182"/>
      <c r="CP274" s="177"/>
      <c r="CQ274" s="178"/>
      <c r="CR274" s="182"/>
      <c r="CS274" s="173"/>
      <c r="CT274" s="65"/>
      <c r="CU274" s="255" t="str">
        <f t="shared" si="2"/>
        <v/>
      </c>
    </row>
    <row r="275" ht="60.0" hidden="1" customHeight="1">
      <c r="A275" s="65"/>
      <c r="C275" s="167"/>
      <c r="D275" s="205"/>
      <c r="E275" s="262"/>
      <c r="F275" s="170"/>
      <c r="G275" s="170"/>
      <c r="H275" s="170"/>
      <c r="I275" s="170"/>
      <c r="J275" s="170"/>
      <c r="K275" s="171"/>
      <c r="L275" s="171"/>
      <c r="M275" s="171"/>
      <c r="N275" s="209"/>
      <c r="O275" s="172">
        <f t="shared" si="50"/>
        <v>0</v>
      </c>
      <c r="P275" s="166"/>
      <c r="Q275" s="173"/>
      <c r="R275" s="65"/>
      <c r="S275" s="173"/>
      <c r="T275" s="173"/>
      <c r="U275" s="166"/>
      <c r="V275" s="166"/>
      <c r="W275" s="65"/>
      <c r="X275" s="66"/>
      <c r="Y275" s="173"/>
      <c r="Z275" s="166"/>
      <c r="AA275" s="174"/>
      <c r="AB275" s="175"/>
      <c r="AC275" s="175"/>
      <c r="AD275" s="175"/>
      <c r="AE275" s="175"/>
      <c r="AF275" s="175"/>
      <c r="AG275" s="175"/>
      <c r="AH275" s="175"/>
      <c r="AI275" s="176"/>
      <c r="AJ275" s="177"/>
      <c r="AK275" s="178"/>
      <c r="AL275" s="178"/>
      <c r="AM275" s="178"/>
      <c r="AN275" s="178"/>
      <c r="AO275" s="179"/>
      <c r="AP275" s="64"/>
      <c r="AQ275" s="65"/>
      <c r="AR275" s="65"/>
      <c r="AS275" s="65"/>
      <c r="AT275" s="173"/>
      <c r="AU275" s="177"/>
      <c r="AV275" s="178"/>
      <c r="AW275" s="178"/>
      <c r="AX275" s="179"/>
      <c r="AZ275" s="166"/>
      <c r="BA275" s="177"/>
      <c r="BB275" s="178"/>
      <c r="BC275" s="178"/>
      <c r="BD275" s="178"/>
      <c r="BE275" s="178"/>
      <c r="BF275" s="178"/>
      <c r="BG275" s="178"/>
      <c r="BH275" s="178"/>
      <c r="BI275" s="179"/>
      <c r="BJ275" s="180"/>
      <c r="BK275" s="178"/>
      <c r="BL275" s="178"/>
      <c r="BM275" s="178"/>
      <c r="BN275" s="178"/>
      <c r="BO275" s="181"/>
      <c r="BP275" s="166"/>
      <c r="BQ275" s="177"/>
      <c r="BR275" s="178"/>
      <c r="BS275" s="179"/>
      <c r="BU275" s="166"/>
      <c r="BV275" s="166"/>
      <c r="BW275" s="166"/>
      <c r="BX275" s="166"/>
      <c r="BY275" s="166"/>
      <c r="BZ275" s="166"/>
      <c r="CA275" s="166"/>
      <c r="CB275" s="166"/>
      <c r="CC275" s="166"/>
      <c r="CD275" s="177"/>
      <c r="CE275" s="181"/>
      <c r="CF275" s="177"/>
      <c r="CG275" s="179"/>
      <c r="CH275" s="257"/>
      <c r="CI275" s="182"/>
      <c r="CJ275" s="177"/>
      <c r="CK275" s="182"/>
      <c r="CL275" s="177"/>
      <c r="CM275" s="182"/>
      <c r="CN275" s="177"/>
      <c r="CO275" s="182"/>
      <c r="CP275" s="177"/>
      <c r="CQ275" s="178"/>
      <c r="CR275" s="182"/>
      <c r="CS275" s="173"/>
      <c r="CT275" s="65"/>
      <c r="CU275" s="255" t="str">
        <f t="shared" si="2"/>
        <v/>
      </c>
    </row>
    <row r="276" ht="60.0" hidden="1" customHeight="1">
      <c r="A276" s="65"/>
      <c r="C276" s="167"/>
      <c r="D276" s="205"/>
      <c r="E276" s="262"/>
      <c r="F276" s="170"/>
      <c r="G276" s="170"/>
      <c r="H276" s="170"/>
      <c r="I276" s="170"/>
      <c r="J276" s="170"/>
      <c r="K276" s="171"/>
      <c r="L276" s="171"/>
      <c r="M276" s="171"/>
      <c r="N276" s="209"/>
      <c r="O276" s="172">
        <f t="shared" si="50"/>
        <v>0</v>
      </c>
      <c r="P276" s="166"/>
      <c r="Q276" s="173"/>
      <c r="R276" s="65"/>
      <c r="S276" s="173"/>
      <c r="T276" s="173"/>
      <c r="U276" s="166"/>
      <c r="V276" s="166"/>
      <c r="W276" s="65"/>
      <c r="X276" s="66"/>
      <c r="Y276" s="173"/>
      <c r="Z276" s="166"/>
      <c r="AA276" s="174"/>
      <c r="AB276" s="175"/>
      <c r="AC276" s="175"/>
      <c r="AD276" s="175"/>
      <c r="AE276" s="175"/>
      <c r="AF276" s="175"/>
      <c r="AG276" s="175"/>
      <c r="AH276" s="175"/>
      <c r="AI276" s="176"/>
      <c r="AJ276" s="177"/>
      <c r="AK276" s="178"/>
      <c r="AL276" s="178"/>
      <c r="AM276" s="178"/>
      <c r="AN276" s="178"/>
      <c r="AO276" s="179"/>
      <c r="AP276" s="64"/>
      <c r="AQ276" s="65"/>
      <c r="AR276" s="65"/>
      <c r="AS276" s="65"/>
      <c r="AT276" s="173"/>
      <c r="AU276" s="177"/>
      <c r="AV276" s="178"/>
      <c r="AW276" s="178"/>
      <c r="AX276" s="179"/>
      <c r="AZ276" s="166"/>
      <c r="BA276" s="177"/>
      <c r="BB276" s="178"/>
      <c r="BC276" s="178"/>
      <c r="BD276" s="178"/>
      <c r="BE276" s="178"/>
      <c r="BF276" s="178"/>
      <c r="BG276" s="178"/>
      <c r="BH276" s="178"/>
      <c r="BI276" s="179"/>
      <c r="BJ276" s="180"/>
      <c r="BK276" s="178"/>
      <c r="BL276" s="178"/>
      <c r="BM276" s="178"/>
      <c r="BN276" s="178"/>
      <c r="BO276" s="181"/>
      <c r="BP276" s="166"/>
      <c r="BQ276" s="177"/>
      <c r="BR276" s="178"/>
      <c r="BS276" s="179"/>
      <c r="BU276" s="166"/>
      <c r="BV276" s="166"/>
      <c r="BW276" s="166"/>
      <c r="BX276" s="166"/>
      <c r="BY276" s="166"/>
      <c r="BZ276" s="166"/>
      <c r="CA276" s="166"/>
      <c r="CB276" s="166"/>
      <c r="CC276" s="166"/>
      <c r="CD276" s="177"/>
      <c r="CE276" s="181"/>
      <c r="CF276" s="177"/>
      <c r="CG276" s="179"/>
      <c r="CH276" s="257"/>
      <c r="CI276" s="182"/>
      <c r="CJ276" s="177"/>
      <c r="CK276" s="182"/>
      <c r="CL276" s="177"/>
      <c r="CM276" s="182"/>
      <c r="CN276" s="177"/>
      <c r="CO276" s="182"/>
      <c r="CP276" s="177"/>
      <c r="CQ276" s="178"/>
      <c r="CR276" s="182"/>
      <c r="CS276" s="173"/>
      <c r="CT276" s="65"/>
      <c r="CU276" s="255" t="str">
        <f t="shared" si="2"/>
        <v/>
      </c>
    </row>
    <row r="277" ht="60.0" hidden="1" customHeight="1">
      <c r="A277" s="65"/>
      <c r="C277" s="167"/>
      <c r="D277" s="205"/>
      <c r="E277" s="262"/>
      <c r="F277" s="170"/>
      <c r="G277" s="170"/>
      <c r="H277" s="170"/>
      <c r="I277" s="170"/>
      <c r="J277" s="170"/>
      <c r="K277" s="171"/>
      <c r="L277" s="171"/>
      <c r="M277" s="171"/>
      <c r="N277" s="209"/>
      <c r="O277" s="172">
        <f t="shared" si="50"/>
        <v>0</v>
      </c>
      <c r="P277" s="166"/>
      <c r="Q277" s="173"/>
      <c r="R277" s="65"/>
      <c r="S277" s="173"/>
      <c r="T277" s="173"/>
      <c r="U277" s="166"/>
      <c r="V277" s="166"/>
      <c r="W277" s="65"/>
      <c r="X277" s="66"/>
      <c r="Y277" s="173"/>
      <c r="Z277" s="166"/>
      <c r="AA277" s="174"/>
      <c r="AB277" s="175"/>
      <c r="AC277" s="175"/>
      <c r="AD277" s="175"/>
      <c r="AE277" s="175"/>
      <c r="AF277" s="175"/>
      <c r="AG277" s="175"/>
      <c r="AH277" s="175"/>
      <c r="AI277" s="176"/>
      <c r="AJ277" s="177"/>
      <c r="AK277" s="178"/>
      <c r="AL277" s="178"/>
      <c r="AM277" s="178"/>
      <c r="AN277" s="178"/>
      <c r="AO277" s="179"/>
      <c r="AP277" s="64"/>
      <c r="AQ277" s="65"/>
      <c r="AR277" s="65"/>
      <c r="AS277" s="65"/>
      <c r="AT277" s="173"/>
      <c r="AU277" s="177"/>
      <c r="AV277" s="178"/>
      <c r="AW277" s="178"/>
      <c r="AX277" s="179"/>
      <c r="AZ277" s="166"/>
      <c r="BA277" s="177"/>
      <c r="BB277" s="178"/>
      <c r="BC277" s="178"/>
      <c r="BD277" s="178"/>
      <c r="BE277" s="178"/>
      <c r="BF277" s="178"/>
      <c r="BG277" s="178"/>
      <c r="BH277" s="178"/>
      <c r="BI277" s="179"/>
      <c r="BJ277" s="180"/>
      <c r="BK277" s="178"/>
      <c r="BL277" s="178"/>
      <c r="BM277" s="178"/>
      <c r="BN277" s="178"/>
      <c r="BO277" s="181"/>
      <c r="BP277" s="166"/>
      <c r="BQ277" s="177"/>
      <c r="BR277" s="178"/>
      <c r="BS277" s="179"/>
      <c r="BU277" s="166"/>
      <c r="BV277" s="166"/>
      <c r="BW277" s="166"/>
      <c r="BX277" s="166"/>
      <c r="BY277" s="166"/>
      <c r="BZ277" s="166"/>
      <c r="CA277" s="166"/>
      <c r="CB277" s="166"/>
      <c r="CC277" s="166"/>
      <c r="CD277" s="177"/>
      <c r="CE277" s="181"/>
      <c r="CF277" s="177"/>
      <c r="CG277" s="179"/>
      <c r="CH277" s="257"/>
      <c r="CI277" s="182"/>
      <c r="CJ277" s="177"/>
      <c r="CK277" s="182"/>
      <c r="CL277" s="177"/>
      <c r="CM277" s="182"/>
      <c r="CN277" s="177"/>
      <c r="CO277" s="182"/>
      <c r="CP277" s="177"/>
      <c r="CQ277" s="178"/>
      <c r="CR277" s="182"/>
      <c r="CS277" s="173"/>
      <c r="CT277" s="65"/>
      <c r="CU277" s="255" t="str">
        <f t="shared" si="2"/>
        <v/>
      </c>
    </row>
    <row r="278" ht="60.0" hidden="1" customHeight="1">
      <c r="A278" s="65"/>
      <c r="C278" s="167"/>
      <c r="D278" s="205"/>
      <c r="E278" s="262"/>
      <c r="F278" s="170"/>
      <c r="G278" s="170"/>
      <c r="H278" s="170"/>
      <c r="I278" s="170"/>
      <c r="J278" s="170"/>
      <c r="K278" s="171"/>
      <c r="L278" s="171"/>
      <c r="M278" s="171"/>
      <c r="N278" s="209"/>
      <c r="O278" s="172">
        <f t="shared" ref="O278:O281" si="51">IF(AND(M278&gt;=20,M278&lt;&gt;"m",RIGHT(K278,3)="Lec"),1,IF(AND(M278&gt;=20,M278&lt;&gt;"m",OR(RIGHT(K278,3)="Lab",RIGHT(K278,3)="Tut")),0.5,IF(AND(M278&gt;=20,M278&lt;&gt;"m",RIGHT(K278,2)="TL"),0.75,0)))</f>
        <v>0</v>
      </c>
      <c r="P278" s="166"/>
      <c r="Q278" s="173"/>
      <c r="R278" s="65"/>
      <c r="S278" s="173"/>
      <c r="T278" s="173"/>
      <c r="U278" s="166"/>
      <c r="V278" s="166"/>
      <c r="W278" s="65"/>
      <c r="X278" s="66"/>
      <c r="Y278" s="173"/>
      <c r="Z278" s="166"/>
      <c r="AA278" s="174"/>
      <c r="AB278" s="175"/>
      <c r="AC278" s="175"/>
      <c r="AD278" s="175"/>
      <c r="AE278" s="175"/>
      <c r="AF278" s="175"/>
      <c r="AG278" s="175"/>
      <c r="AH278" s="175"/>
      <c r="AI278" s="176"/>
      <c r="AJ278" s="177"/>
      <c r="AK278" s="178"/>
      <c r="AL278" s="178"/>
      <c r="AM278" s="178"/>
      <c r="AN278" s="178"/>
      <c r="AO278" s="179"/>
      <c r="AP278" s="64"/>
      <c r="AQ278" s="65"/>
      <c r="AR278" s="65"/>
      <c r="AS278" s="65"/>
      <c r="AT278" s="173"/>
      <c r="AU278" s="177"/>
      <c r="AV278" s="178"/>
      <c r="AW278" s="178"/>
      <c r="AX278" s="179"/>
      <c r="AZ278" s="166"/>
      <c r="BA278" s="177"/>
      <c r="BB278" s="178"/>
      <c r="BC278" s="178"/>
      <c r="BD278" s="178"/>
      <c r="BE278" s="178"/>
      <c r="BF278" s="178"/>
      <c r="BG278" s="178"/>
      <c r="BH278" s="178"/>
      <c r="BI278" s="179"/>
      <c r="BJ278" s="180"/>
      <c r="BK278" s="178"/>
      <c r="BL278" s="178"/>
      <c r="BM278" s="178"/>
      <c r="BN278" s="178"/>
      <c r="BO278" s="181"/>
      <c r="BP278" s="166"/>
      <c r="BQ278" s="177"/>
      <c r="BR278" s="178"/>
      <c r="BS278" s="179"/>
      <c r="BU278" s="166"/>
      <c r="BV278" s="166"/>
      <c r="BW278" s="166"/>
      <c r="BX278" s="166"/>
      <c r="BY278" s="166"/>
      <c r="BZ278" s="166"/>
      <c r="CA278" s="166"/>
      <c r="CB278" s="166"/>
      <c r="CC278" s="166"/>
      <c r="CD278" s="177"/>
      <c r="CE278" s="181"/>
      <c r="CF278" s="177"/>
      <c r="CG278" s="179"/>
      <c r="CH278" s="257"/>
      <c r="CI278" s="182"/>
      <c r="CJ278" s="177"/>
      <c r="CK278" s="182"/>
      <c r="CL278" s="177"/>
      <c r="CM278" s="182"/>
      <c r="CN278" s="177"/>
      <c r="CO278" s="182"/>
      <c r="CP278" s="177"/>
      <c r="CQ278" s="178"/>
      <c r="CR278" s="182"/>
      <c r="CS278" s="173"/>
      <c r="CT278" s="65"/>
      <c r="CU278" s="255" t="str">
        <f t="shared" si="2"/>
        <v/>
      </c>
    </row>
    <row r="279" ht="60.0" hidden="1" customHeight="1">
      <c r="A279" s="65"/>
      <c r="C279" s="167"/>
      <c r="D279" s="205"/>
      <c r="E279" s="262"/>
      <c r="F279" s="170"/>
      <c r="G279" s="170"/>
      <c r="H279" s="170"/>
      <c r="I279" s="170"/>
      <c r="J279" s="170"/>
      <c r="K279" s="171"/>
      <c r="L279" s="171"/>
      <c r="M279" s="171"/>
      <c r="N279" s="209"/>
      <c r="O279" s="172">
        <f t="shared" si="51"/>
        <v>0</v>
      </c>
      <c r="P279" s="166"/>
      <c r="Q279" s="173"/>
      <c r="R279" s="65"/>
      <c r="S279" s="173"/>
      <c r="T279" s="173"/>
      <c r="U279" s="166"/>
      <c r="V279" s="166"/>
      <c r="W279" s="65"/>
      <c r="X279" s="66"/>
      <c r="Y279" s="173"/>
      <c r="Z279" s="166"/>
      <c r="AA279" s="174"/>
      <c r="AB279" s="175"/>
      <c r="AC279" s="175"/>
      <c r="AD279" s="175"/>
      <c r="AE279" s="175"/>
      <c r="AF279" s="175"/>
      <c r="AG279" s="175"/>
      <c r="AH279" s="175"/>
      <c r="AI279" s="176"/>
      <c r="AJ279" s="177"/>
      <c r="AK279" s="178"/>
      <c r="AL279" s="178"/>
      <c r="AM279" s="178"/>
      <c r="AN279" s="178"/>
      <c r="AO279" s="179"/>
      <c r="AP279" s="64"/>
      <c r="AQ279" s="65"/>
      <c r="AR279" s="65"/>
      <c r="AS279" s="65"/>
      <c r="AT279" s="173"/>
      <c r="AU279" s="177"/>
      <c r="AV279" s="178"/>
      <c r="AW279" s="178"/>
      <c r="AX279" s="179"/>
      <c r="AZ279" s="166"/>
      <c r="BA279" s="177"/>
      <c r="BB279" s="178"/>
      <c r="BC279" s="178"/>
      <c r="BD279" s="178"/>
      <c r="BE279" s="178"/>
      <c r="BF279" s="178"/>
      <c r="BG279" s="178"/>
      <c r="BH279" s="178"/>
      <c r="BI279" s="179"/>
      <c r="BJ279" s="180"/>
      <c r="BK279" s="178"/>
      <c r="BL279" s="178"/>
      <c r="BM279" s="178"/>
      <c r="BN279" s="178"/>
      <c r="BO279" s="181"/>
      <c r="BP279" s="166"/>
      <c r="BQ279" s="177"/>
      <c r="BR279" s="178"/>
      <c r="BS279" s="179"/>
      <c r="BU279" s="166"/>
      <c r="BV279" s="166"/>
      <c r="BW279" s="166"/>
      <c r="BX279" s="166"/>
      <c r="BY279" s="166"/>
      <c r="BZ279" s="166"/>
      <c r="CA279" s="166"/>
      <c r="CB279" s="166"/>
      <c r="CC279" s="166"/>
      <c r="CD279" s="177"/>
      <c r="CE279" s="181"/>
      <c r="CF279" s="177"/>
      <c r="CG279" s="179"/>
      <c r="CH279" s="257"/>
      <c r="CI279" s="182"/>
      <c r="CJ279" s="177"/>
      <c r="CK279" s="182"/>
      <c r="CL279" s="177"/>
      <c r="CM279" s="182"/>
      <c r="CN279" s="177"/>
      <c r="CO279" s="182"/>
      <c r="CP279" s="177"/>
      <c r="CQ279" s="178"/>
      <c r="CR279" s="182"/>
      <c r="CS279" s="173"/>
      <c r="CT279" s="65"/>
      <c r="CU279" s="255" t="str">
        <f t="shared" si="2"/>
        <v/>
      </c>
    </row>
    <row r="280" ht="60.0" hidden="1" customHeight="1">
      <c r="A280" s="65"/>
      <c r="C280" s="167"/>
      <c r="D280" s="205"/>
      <c r="E280" s="262"/>
      <c r="F280" s="170"/>
      <c r="G280" s="170"/>
      <c r="H280" s="170"/>
      <c r="I280" s="170"/>
      <c r="J280" s="170"/>
      <c r="K280" s="171"/>
      <c r="L280" s="171"/>
      <c r="M280" s="171"/>
      <c r="N280" s="209"/>
      <c r="O280" s="172">
        <f t="shared" si="51"/>
        <v>0</v>
      </c>
      <c r="P280" s="166"/>
      <c r="Q280" s="173"/>
      <c r="R280" s="65"/>
      <c r="S280" s="173"/>
      <c r="T280" s="173"/>
      <c r="U280" s="166"/>
      <c r="V280" s="166"/>
      <c r="W280" s="65"/>
      <c r="X280" s="66"/>
      <c r="Y280" s="173"/>
      <c r="Z280" s="166"/>
      <c r="AA280" s="174"/>
      <c r="AB280" s="175"/>
      <c r="AC280" s="175"/>
      <c r="AD280" s="175"/>
      <c r="AE280" s="175"/>
      <c r="AF280" s="175"/>
      <c r="AG280" s="175"/>
      <c r="AH280" s="175"/>
      <c r="AI280" s="176"/>
      <c r="AJ280" s="177"/>
      <c r="AK280" s="178"/>
      <c r="AL280" s="178"/>
      <c r="AM280" s="178"/>
      <c r="AN280" s="178"/>
      <c r="AO280" s="179"/>
      <c r="AP280" s="64"/>
      <c r="AQ280" s="65"/>
      <c r="AR280" s="65"/>
      <c r="AS280" s="65"/>
      <c r="AT280" s="173"/>
      <c r="AU280" s="177"/>
      <c r="AV280" s="178"/>
      <c r="AW280" s="178"/>
      <c r="AX280" s="179"/>
      <c r="AZ280" s="166"/>
      <c r="BA280" s="177"/>
      <c r="BB280" s="178"/>
      <c r="BC280" s="178"/>
      <c r="BD280" s="178"/>
      <c r="BE280" s="178"/>
      <c r="BF280" s="178"/>
      <c r="BG280" s="178"/>
      <c r="BH280" s="178"/>
      <c r="BI280" s="179"/>
      <c r="BJ280" s="180"/>
      <c r="BK280" s="178"/>
      <c r="BL280" s="178"/>
      <c r="BM280" s="178"/>
      <c r="BN280" s="178"/>
      <c r="BO280" s="181"/>
      <c r="BP280" s="166"/>
      <c r="BQ280" s="177"/>
      <c r="BR280" s="178"/>
      <c r="BS280" s="179"/>
      <c r="BU280" s="166"/>
      <c r="BV280" s="166"/>
      <c r="BW280" s="166"/>
      <c r="BX280" s="166"/>
      <c r="BY280" s="166"/>
      <c r="BZ280" s="166"/>
      <c r="CA280" s="166"/>
      <c r="CB280" s="166"/>
      <c r="CC280" s="166"/>
      <c r="CD280" s="177"/>
      <c r="CE280" s="181"/>
      <c r="CF280" s="177"/>
      <c r="CG280" s="179"/>
      <c r="CH280" s="257"/>
      <c r="CI280" s="182"/>
      <c r="CJ280" s="177"/>
      <c r="CK280" s="182"/>
      <c r="CL280" s="177"/>
      <c r="CM280" s="182"/>
      <c r="CN280" s="177"/>
      <c r="CO280" s="182"/>
      <c r="CP280" s="177"/>
      <c r="CQ280" s="178"/>
      <c r="CR280" s="182"/>
      <c r="CS280" s="173"/>
      <c r="CT280" s="65"/>
      <c r="CU280" s="255" t="str">
        <f t="shared" si="2"/>
        <v/>
      </c>
    </row>
    <row r="281" ht="60.0" hidden="1" customHeight="1">
      <c r="A281" s="65"/>
      <c r="C281" s="167"/>
      <c r="D281" s="205"/>
      <c r="E281" s="262"/>
      <c r="F281" s="170"/>
      <c r="G281" s="170"/>
      <c r="H281" s="170"/>
      <c r="I281" s="170"/>
      <c r="J281" s="170"/>
      <c r="K281" s="171"/>
      <c r="L281" s="171"/>
      <c r="M281" s="171"/>
      <c r="N281" s="209"/>
      <c r="O281" s="172">
        <f t="shared" si="51"/>
        <v>0</v>
      </c>
      <c r="P281" s="166"/>
      <c r="Q281" s="173"/>
      <c r="R281" s="65"/>
      <c r="S281" s="173"/>
      <c r="T281" s="173"/>
      <c r="U281" s="166"/>
      <c r="V281" s="166"/>
      <c r="W281" s="65"/>
      <c r="X281" s="66"/>
      <c r="Y281" s="173"/>
      <c r="Z281" s="166"/>
      <c r="AA281" s="174"/>
      <c r="AB281" s="175"/>
      <c r="AC281" s="175"/>
      <c r="AD281" s="175"/>
      <c r="AE281" s="175"/>
      <c r="AF281" s="175"/>
      <c r="AG281" s="175"/>
      <c r="AH281" s="175"/>
      <c r="AI281" s="176"/>
      <c r="AJ281" s="177"/>
      <c r="AK281" s="178"/>
      <c r="AL281" s="178"/>
      <c r="AM281" s="178"/>
      <c r="AN281" s="178"/>
      <c r="AO281" s="179"/>
      <c r="AP281" s="64"/>
      <c r="AQ281" s="65"/>
      <c r="AR281" s="65"/>
      <c r="AS281" s="65"/>
      <c r="AT281" s="173"/>
      <c r="AU281" s="177"/>
      <c r="AV281" s="178"/>
      <c r="AW281" s="178"/>
      <c r="AX281" s="179"/>
      <c r="AZ281" s="166"/>
      <c r="BA281" s="177"/>
      <c r="BB281" s="178"/>
      <c r="BC281" s="178"/>
      <c r="BD281" s="178"/>
      <c r="BE281" s="178"/>
      <c r="BF281" s="178"/>
      <c r="BG281" s="178"/>
      <c r="BH281" s="178"/>
      <c r="BI281" s="179"/>
      <c r="BJ281" s="180"/>
      <c r="BK281" s="178"/>
      <c r="BL281" s="178"/>
      <c r="BM281" s="178"/>
      <c r="BN281" s="178"/>
      <c r="BO281" s="181"/>
      <c r="BP281" s="166"/>
      <c r="BQ281" s="177"/>
      <c r="BR281" s="178"/>
      <c r="BS281" s="179"/>
      <c r="BU281" s="166"/>
      <c r="BV281" s="166"/>
      <c r="BW281" s="166"/>
      <c r="BX281" s="166"/>
      <c r="BY281" s="166"/>
      <c r="BZ281" s="166"/>
      <c r="CA281" s="166"/>
      <c r="CB281" s="166"/>
      <c r="CC281" s="166"/>
      <c r="CD281" s="177"/>
      <c r="CE281" s="181"/>
      <c r="CF281" s="177"/>
      <c r="CG281" s="179"/>
      <c r="CH281" s="257"/>
      <c r="CI281" s="182"/>
      <c r="CJ281" s="177"/>
      <c r="CK281" s="182"/>
      <c r="CL281" s="177"/>
      <c r="CM281" s="182"/>
      <c r="CN281" s="177"/>
      <c r="CO281" s="182"/>
      <c r="CP281" s="177"/>
      <c r="CQ281" s="178"/>
      <c r="CR281" s="182"/>
      <c r="CS281" s="173"/>
      <c r="CT281" s="65"/>
      <c r="CU281" s="255" t="str">
        <f t="shared" si="2"/>
        <v/>
      </c>
    </row>
    <row r="282" ht="60.0" hidden="1" customHeight="1">
      <c r="A282" s="89"/>
      <c r="B282" s="6"/>
      <c r="C282" s="183"/>
      <c r="D282" s="210"/>
      <c r="E282" s="263"/>
      <c r="F282" s="186"/>
      <c r="G282" s="186"/>
      <c r="H282" s="186"/>
      <c r="I282" s="186"/>
      <c r="J282" s="186"/>
      <c r="K282" s="187"/>
      <c r="L282" s="187"/>
      <c r="M282" s="187"/>
      <c r="N282" s="214"/>
      <c r="O282" s="188">
        <f t="shared" ref="O282:O288" si="52">IF(AND(M282&lt;&gt;0,M282&lt;&gt;"m",M282&lt;&gt;"",RIGHT(K282,3)="Lec"),1,IF(AND(M282&lt;&gt;0,M282&lt;&gt;"m",M282&lt;&gt;"",OR(RIGHT(K282,3)="Lab",RIGHT(K282,3)="Tut")),0.5,IF(AND(M282&lt;&gt;0,M282&lt;&gt;"m",M282&lt;&gt;"",RIGHT(K282,2)="TL"),0.75,0)))</f>
        <v>0</v>
      </c>
      <c r="P282" s="63"/>
      <c r="Q282" s="69"/>
      <c r="R282" s="89"/>
      <c r="S282" s="69"/>
      <c r="T282" s="69"/>
      <c r="U282" s="63"/>
      <c r="V282" s="63"/>
      <c r="W282" s="89"/>
      <c r="X282" s="68"/>
      <c r="Y282" s="69"/>
      <c r="Z282" s="63"/>
      <c r="AA282" s="189"/>
      <c r="AB282" s="190"/>
      <c r="AC282" s="190"/>
      <c r="AD282" s="190"/>
      <c r="AE282" s="190"/>
      <c r="AF282" s="190"/>
      <c r="AG282" s="190"/>
      <c r="AH282" s="190"/>
      <c r="AI282" s="191"/>
      <c r="AJ282" s="192"/>
      <c r="AK282" s="193"/>
      <c r="AL282" s="193"/>
      <c r="AM282" s="193"/>
      <c r="AN282" s="193"/>
      <c r="AO282" s="194"/>
      <c r="AP282" s="103"/>
      <c r="AQ282" s="89"/>
      <c r="AR282" s="89"/>
      <c r="AS282" s="89"/>
      <c r="AT282" s="69"/>
      <c r="AU282" s="192"/>
      <c r="AV282" s="193"/>
      <c r="AW282" s="193"/>
      <c r="AX282" s="194"/>
      <c r="AY282" s="6"/>
      <c r="AZ282" s="63"/>
      <c r="BA282" s="192"/>
      <c r="BB282" s="193"/>
      <c r="BC282" s="193"/>
      <c r="BD282" s="193"/>
      <c r="BE282" s="193"/>
      <c r="BF282" s="193"/>
      <c r="BG282" s="193"/>
      <c r="BH282" s="193"/>
      <c r="BI282" s="194"/>
      <c r="BJ282" s="195"/>
      <c r="BK282" s="193"/>
      <c r="BL282" s="193"/>
      <c r="BM282" s="193"/>
      <c r="BN282" s="193"/>
      <c r="BO282" s="196"/>
      <c r="BP282" s="63"/>
      <c r="BQ282" s="192"/>
      <c r="BR282" s="193"/>
      <c r="BS282" s="194"/>
      <c r="BT282" s="6"/>
      <c r="BU282" s="63"/>
      <c r="BV282" s="63"/>
      <c r="BW282" s="63"/>
      <c r="BX282" s="63"/>
      <c r="BY282" s="63"/>
      <c r="BZ282" s="63"/>
      <c r="CA282" s="63"/>
      <c r="CB282" s="63"/>
      <c r="CC282" s="63"/>
      <c r="CD282" s="192"/>
      <c r="CE282" s="196"/>
      <c r="CF282" s="192"/>
      <c r="CG282" s="194"/>
      <c r="CH282" s="259"/>
      <c r="CI282" s="197"/>
      <c r="CJ282" s="192"/>
      <c r="CK282" s="197"/>
      <c r="CL282" s="192"/>
      <c r="CM282" s="197"/>
      <c r="CN282" s="192"/>
      <c r="CO282" s="197"/>
      <c r="CP282" s="192"/>
      <c r="CQ282" s="193"/>
      <c r="CR282" s="197"/>
      <c r="CS282" s="69"/>
      <c r="CT282" s="89"/>
      <c r="CU282" s="255" t="str">
        <f t="shared" si="2"/>
        <v/>
      </c>
    </row>
    <row r="283" ht="56.25" hidden="1" customHeight="1">
      <c r="A283" s="125">
        <v>26.0</v>
      </c>
      <c r="B283" s="199"/>
      <c r="C283" s="127"/>
      <c r="D283" s="128"/>
      <c r="E283" s="260"/>
      <c r="F283" s="261"/>
      <c r="G283" s="261"/>
      <c r="H283" s="261"/>
      <c r="I283" s="261"/>
      <c r="J283" s="170"/>
      <c r="K283" s="219"/>
      <c r="L283" s="219"/>
      <c r="M283" s="219"/>
      <c r="N283" s="220"/>
      <c r="O283" s="132">
        <f t="shared" si="52"/>
        <v>0</v>
      </c>
      <c r="P283" s="133">
        <f>COUNTIF(K283:K293,"TL")*0.75+COUNTIF(K283:K293,"Lec")*1+COUNTIF(K283:K293,"Lab")*0.5</f>
        <v>0</v>
      </c>
      <c r="Q283" s="134">
        <f>SUM((IF(LEFT(K283,1)="E",O283,0)),(IF(LEFT(K284,1)="E",O284,0)),(IF(LEFT(K285,1)="E",O285,0)),(IF(LEFT(K286,1)="E",O286,0)),(IF(LEFT(K287,1)="E",O287,0)),(IF(LEFT(K288,1)="E",O288,0)),(IF(LEFT(K289,1)="E",O289,0)),(IF(LEFT(K290,1)="E",O290,0)),(IF(LEFT(K291,1)="E",O291,0)),(IF(LEFT(K292,1)="E",O292,0)),(IF(LEFT(K293,1)="E",O293,0)))</f>
        <v>0</v>
      </c>
      <c r="R283" s="135">
        <f>SUM(IF(M289&lt;20,IF(K289="Plec",-1,IF(K289="PTL",-0.75,IF(K289="Plab",-0.5,0))),0),IF(M290&lt;20,IF(K290="Plec",-1,IF(K290="PTL",-0.75,IF(K290="Plab",-0.5,0))),0),IF(M291&lt;20,IF(K291="Plec",-1,IF(K291="PTL",-0.75,IF(K291="Plab",-0.5,0))),0),IF(M292&lt;20,IF(K292="Plec",-1,IF(K292="PTL",-0.75,IF(K292="Plab",-0.5,0))),0))</f>
        <v>0</v>
      </c>
      <c r="S283" s="134">
        <f>SUM(P283:R293)</f>
        <v>0</v>
      </c>
      <c r="T283" s="136">
        <f>SUM(IF(M283="M",IF(OR(K283="lec",K283="plec",K283="slec"),1,IF(OR(K283="lab",K283="plab",K283="slab",K283="tut",K283="ptut",K283="stut"),0.5,IF(OR(K283="TL",K283="pTL",K283="STL"),0.75,0))),0),IF(M284="M",IF(OR(K284="lec",K284="plec",K284="slec"),1,IF(OR(K284="lab",K284="plab",K284="slab",K284="tut",K284="ptut",K284="stut"),0.5,IF(OR(K284="TL",K284="pTL",K284="STL"),0.75,0))),0),IF(M285="M",IF(OR(K285="lec",K285="plec",K285="slec"),1,IF(OR(K285="lab",K285="plab",K285="slab",K285="tut",K285="ptut",K285="stut"),0.5,IF(OR(K285="TL",K285="pTL",K285="STL"),0.75,0))),0),IF(M286="M",IF(OR(K286="lec",K286="plec",K286="slec"),1,IF(OR(K286="lab",K286="plab",K286="slab",K286="tut",K286="ptut",K286="stut"),0.5,IF(OR(K286="TL",K286="pTL",K286="STL"),0.75,0))),0),IF(M287="M",IF(OR(K287="lec",K287="plec",K287="slec"),1,IF(OR(K287="lab",K287="plab",K287="slab",K287="tut",K287="ptut",K287="stut"),0.5,IF(OR(K287="TL",K287="pTL",K287="STL"),0.75,0))),0),IF(M288="M",IF(OR(K288="lec",K288="plec",K288="slec"),1,IF(OR(K288="lab",K288="plab",K288="slab",K288="tut",K288="ptut",K288="stut"),0.5,IF(OR(K288="TL",K288="pTL",K288="STL"),0.75,0))),0),IF(M289="M",IF(OR(K289="lec",K289="plec",K289="slec"),1,IF(OR(K289="lab",K289="plab",K289="slab",K289="tut",K289="ptut",K289="stut"),0.5,IF(OR(K289="TL",K289="pTL",K289="STL"),0.75,0))),0),IF(M290="M",IF(OR(K290="lec",K290="plec",K290="slec"),1,IF(OR(K290="lab",K290="plab",K290="slab",K290="tut",K290="ptut",K290="stut"),0.5,IF(OR(K290="TL",K290="pTL",K290="STL"),0.75,0))),0),IF(M291="M",IF(OR(K291="lec",K291="plec",K291="slec"),1,IF(OR(K291="lab",K291="plab",K291="slab",K291="tut",K291="ptut",K291="stut"),0.5,IF(OR(K291="TL",K291="pTL",K291="STL"),0.75,0))),0),IF(M292="M",IF(OR(K292="lec",K292="plec",K292="slec"),1,IF(OR(K292="lab",K292="plab",K292="slab",K292="tut",K292="ptut",K292="stut"),0.5,IF(OR(K292="TL",K292="pTL",K292="STL"),0.75,0))),0),IF(M293="M",IF(OR(K293="lec",K293="plec",K293="slec"),1,IF(OR(K293="lab",K293="plab",K293="slab",K293="tut",K293="ptut",K293="stut"),0.5,IF(OR(K293="TL",K293="pTL",K293="STL"),0.75,0))),0))</f>
        <v>0</v>
      </c>
      <c r="U283" s="137"/>
      <c r="V283" s="133"/>
      <c r="W283" s="138"/>
      <c r="X283" s="139">
        <f>S283-(T283+U283+V283+W283)</f>
        <v>0</v>
      </c>
      <c r="Y283" s="134" t="str">
        <f>CONCATENATE(SUM(O283:O293),"(",SUM(O283:O293)-X283,")")</f>
        <v>0(0)</v>
      </c>
      <c r="Z283" s="140"/>
      <c r="AA283" s="141"/>
      <c r="AB283" s="142"/>
      <c r="AC283" s="142"/>
      <c r="AD283" s="142"/>
      <c r="AE283" s="142"/>
      <c r="AF283" s="142"/>
      <c r="AG283" s="142"/>
      <c r="AH283" s="142"/>
      <c r="AI283" s="143"/>
      <c r="AJ283" s="144"/>
      <c r="AK283" s="145"/>
      <c r="AL283" s="145"/>
      <c r="AM283" s="145"/>
      <c r="AN283" s="145"/>
      <c r="AO283" s="146"/>
      <c r="AP283" s="147">
        <f>SUM(SUM(O283:O293),SUM(AI283:AI293)/2,AM283)</f>
        <v>0</v>
      </c>
      <c r="AQ283" s="148"/>
      <c r="AR283" s="148">
        <f>AP283*AQ283</f>
        <v>0</v>
      </c>
      <c r="AS283" s="148">
        <f>CT283</f>
        <v>0</v>
      </c>
      <c r="AT283" s="149">
        <f>AR283*0.75+AS283*0.25</f>
        <v>0</v>
      </c>
      <c r="AU283" s="150"/>
      <c r="AV283" s="151"/>
      <c r="AW283" s="151"/>
      <c r="AX283" s="152"/>
      <c r="AY283" s="153"/>
      <c r="AZ283" s="140"/>
      <c r="BA283" s="150"/>
      <c r="BB283" s="151"/>
      <c r="BC283" s="151"/>
      <c r="BD283" s="151"/>
      <c r="BE283" s="151"/>
      <c r="BF283" s="151"/>
      <c r="BG283" s="151"/>
      <c r="BH283" s="151"/>
      <c r="BI283" s="152"/>
      <c r="BJ283" s="154"/>
      <c r="BK283" s="151"/>
      <c r="BL283" s="151"/>
      <c r="BM283" s="151"/>
      <c r="BN283" s="151"/>
      <c r="BO283" s="155"/>
      <c r="BP283" s="140"/>
      <c r="BQ283" s="156"/>
      <c r="BR283" s="157"/>
      <c r="BS283" s="158"/>
      <c r="BT283" s="153"/>
      <c r="BU283" s="140"/>
      <c r="BV283" s="140"/>
      <c r="BW283" s="140"/>
      <c r="BX283" s="140"/>
      <c r="BY283" s="140"/>
      <c r="BZ283" s="140"/>
      <c r="CA283" s="140"/>
      <c r="CB283" s="140"/>
      <c r="CC283" s="140"/>
      <c r="CD283" s="150"/>
      <c r="CE283" s="155"/>
      <c r="CF283" s="150"/>
      <c r="CG283" s="152"/>
      <c r="CH283" s="252"/>
      <c r="CI283" s="160"/>
      <c r="CJ283" s="159"/>
      <c r="CK283" s="160"/>
      <c r="CL283" s="159"/>
      <c r="CM283" s="160"/>
      <c r="CN283" s="159"/>
      <c r="CO283" s="160"/>
      <c r="CP283" s="159"/>
      <c r="CQ283" s="162"/>
      <c r="CR283" s="160"/>
      <c r="CS283" s="253">
        <f>SUM(IF(AU283&lt;0,ABS(AU283),0),IF(AZ283&lt;0,ABS(AZ283),0),ABS(CI283),ABS(CK283),ABS(CM283),ABS(CO283),ABS(CQ283),ABS(CR283))</f>
        <v>0</v>
      </c>
      <c r="CT283" s="254">
        <f>SUM(AU283,AV283,AW283,AX283/400,AY283,AZ283,BG283,BH283*0.5,BI283*0.25,BJ283,BK283,BL283,BM283,BN283,BO283,BP283,BR283/20,BS283/100,BT283/60,BU283,BV283,BW283,BX283/5,SUM(BY283:CC293)/3,CE283,CG283/3,CI283,CK283,CM283,CO283,CQ283,CR283)</f>
        <v>0</v>
      </c>
      <c r="CU283" s="255" t="str">
        <f t="shared" si="2"/>
        <v/>
      </c>
    </row>
    <row r="284" ht="60.0" hidden="1" customHeight="1">
      <c r="A284" s="65"/>
      <c r="C284" s="167"/>
      <c r="D284" s="205"/>
      <c r="E284" s="262"/>
      <c r="F284" s="170"/>
      <c r="G284" s="170"/>
      <c r="H284" s="170"/>
      <c r="I284" s="170"/>
      <c r="J284" s="170"/>
      <c r="K284" s="171"/>
      <c r="L284" s="171"/>
      <c r="M284" s="171"/>
      <c r="N284" s="209"/>
      <c r="O284" s="172">
        <f t="shared" si="52"/>
        <v>0</v>
      </c>
      <c r="P284" s="166"/>
      <c r="Q284" s="173"/>
      <c r="R284" s="65"/>
      <c r="S284" s="173"/>
      <c r="T284" s="173"/>
      <c r="U284" s="166"/>
      <c r="V284" s="166"/>
      <c r="W284" s="65"/>
      <c r="X284" s="66"/>
      <c r="Y284" s="173"/>
      <c r="Z284" s="166"/>
      <c r="AA284" s="174"/>
      <c r="AB284" s="175"/>
      <c r="AC284" s="175"/>
      <c r="AD284" s="175"/>
      <c r="AE284" s="175"/>
      <c r="AF284" s="175"/>
      <c r="AG284" s="175"/>
      <c r="AH284" s="175"/>
      <c r="AI284" s="176"/>
      <c r="AJ284" s="177"/>
      <c r="AK284" s="178"/>
      <c r="AL284" s="178"/>
      <c r="AM284" s="178"/>
      <c r="AN284" s="178"/>
      <c r="AO284" s="179"/>
      <c r="AP284" s="64"/>
      <c r="AQ284" s="65"/>
      <c r="AR284" s="65"/>
      <c r="AS284" s="65"/>
      <c r="AT284" s="173"/>
      <c r="AU284" s="177"/>
      <c r="AV284" s="178"/>
      <c r="AW284" s="178"/>
      <c r="AX284" s="179"/>
      <c r="AZ284" s="166"/>
      <c r="BA284" s="177"/>
      <c r="BB284" s="178"/>
      <c r="BC284" s="178"/>
      <c r="BD284" s="178"/>
      <c r="BE284" s="178"/>
      <c r="BF284" s="178"/>
      <c r="BG284" s="178"/>
      <c r="BH284" s="178"/>
      <c r="BI284" s="179"/>
      <c r="BJ284" s="180"/>
      <c r="BK284" s="178"/>
      <c r="BL284" s="178"/>
      <c r="BM284" s="178"/>
      <c r="BN284" s="178"/>
      <c r="BO284" s="181"/>
      <c r="BP284" s="166"/>
      <c r="BQ284" s="177"/>
      <c r="BR284" s="178"/>
      <c r="BS284" s="179"/>
      <c r="BU284" s="166"/>
      <c r="BV284" s="166"/>
      <c r="BW284" s="166"/>
      <c r="BX284" s="166"/>
      <c r="BY284" s="166"/>
      <c r="BZ284" s="166"/>
      <c r="CA284" s="166"/>
      <c r="CB284" s="166"/>
      <c r="CC284" s="166"/>
      <c r="CD284" s="177"/>
      <c r="CE284" s="181"/>
      <c r="CF284" s="177"/>
      <c r="CG284" s="179"/>
      <c r="CH284" s="257"/>
      <c r="CI284" s="182"/>
      <c r="CJ284" s="177"/>
      <c r="CK284" s="182"/>
      <c r="CL284" s="177"/>
      <c r="CM284" s="182"/>
      <c r="CN284" s="177"/>
      <c r="CO284" s="182"/>
      <c r="CP284" s="177"/>
      <c r="CQ284" s="178"/>
      <c r="CR284" s="182"/>
      <c r="CS284" s="173"/>
      <c r="CT284" s="65"/>
      <c r="CU284" s="255" t="str">
        <f t="shared" si="2"/>
        <v/>
      </c>
    </row>
    <row r="285" ht="60.0" hidden="1" customHeight="1">
      <c r="A285" s="65"/>
      <c r="C285" s="167"/>
      <c r="D285" s="205"/>
      <c r="E285" s="262"/>
      <c r="F285" s="170"/>
      <c r="G285" s="170"/>
      <c r="H285" s="170"/>
      <c r="I285" s="170"/>
      <c r="J285" s="170"/>
      <c r="K285" s="171"/>
      <c r="L285" s="171"/>
      <c r="M285" s="171"/>
      <c r="N285" s="209"/>
      <c r="O285" s="172">
        <f t="shared" si="52"/>
        <v>0</v>
      </c>
      <c r="P285" s="166"/>
      <c r="Q285" s="173"/>
      <c r="R285" s="65"/>
      <c r="S285" s="173"/>
      <c r="T285" s="173"/>
      <c r="U285" s="166"/>
      <c r="V285" s="166"/>
      <c r="W285" s="65"/>
      <c r="X285" s="66"/>
      <c r="Y285" s="173"/>
      <c r="Z285" s="166"/>
      <c r="AA285" s="174"/>
      <c r="AB285" s="175"/>
      <c r="AC285" s="175"/>
      <c r="AD285" s="175"/>
      <c r="AE285" s="175"/>
      <c r="AF285" s="175"/>
      <c r="AG285" s="175"/>
      <c r="AH285" s="175"/>
      <c r="AI285" s="176"/>
      <c r="AJ285" s="177"/>
      <c r="AK285" s="178"/>
      <c r="AL285" s="178"/>
      <c r="AM285" s="178"/>
      <c r="AN285" s="178"/>
      <c r="AO285" s="179"/>
      <c r="AP285" s="64"/>
      <c r="AQ285" s="65"/>
      <c r="AR285" s="65"/>
      <c r="AS285" s="65"/>
      <c r="AT285" s="173"/>
      <c r="AU285" s="177"/>
      <c r="AV285" s="178"/>
      <c r="AW285" s="178"/>
      <c r="AX285" s="179"/>
      <c r="AZ285" s="166"/>
      <c r="BA285" s="177"/>
      <c r="BB285" s="178"/>
      <c r="BC285" s="178"/>
      <c r="BD285" s="178"/>
      <c r="BE285" s="178"/>
      <c r="BF285" s="178"/>
      <c r="BG285" s="178"/>
      <c r="BH285" s="178"/>
      <c r="BI285" s="179"/>
      <c r="BJ285" s="180"/>
      <c r="BK285" s="178"/>
      <c r="BL285" s="178"/>
      <c r="BM285" s="178"/>
      <c r="BN285" s="178"/>
      <c r="BO285" s="181"/>
      <c r="BP285" s="166"/>
      <c r="BQ285" s="177"/>
      <c r="BR285" s="178"/>
      <c r="BS285" s="179"/>
      <c r="BU285" s="166"/>
      <c r="BV285" s="166"/>
      <c r="BW285" s="166"/>
      <c r="BX285" s="166"/>
      <c r="BY285" s="166"/>
      <c r="BZ285" s="166"/>
      <c r="CA285" s="166"/>
      <c r="CB285" s="166"/>
      <c r="CC285" s="166"/>
      <c r="CD285" s="177"/>
      <c r="CE285" s="181"/>
      <c r="CF285" s="177"/>
      <c r="CG285" s="179"/>
      <c r="CH285" s="257"/>
      <c r="CI285" s="182"/>
      <c r="CJ285" s="177"/>
      <c r="CK285" s="182"/>
      <c r="CL285" s="177"/>
      <c r="CM285" s="182"/>
      <c r="CN285" s="177"/>
      <c r="CO285" s="182"/>
      <c r="CP285" s="177"/>
      <c r="CQ285" s="178"/>
      <c r="CR285" s="182"/>
      <c r="CS285" s="173"/>
      <c r="CT285" s="65"/>
      <c r="CU285" s="255" t="str">
        <f t="shared" si="2"/>
        <v/>
      </c>
    </row>
    <row r="286" ht="60.0" hidden="1" customHeight="1">
      <c r="A286" s="65"/>
      <c r="C286" s="167"/>
      <c r="D286" s="205"/>
      <c r="E286" s="262"/>
      <c r="F286" s="170"/>
      <c r="G286" s="170"/>
      <c r="H286" s="170"/>
      <c r="I286" s="170"/>
      <c r="J286" s="170"/>
      <c r="K286" s="171"/>
      <c r="L286" s="171"/>
      <c r="M286" s="171"/>
      <c r="N286" s="209"/>
      <c r="O286" s="172">
        <f t="shared" si="52"/>
        <v>0</v>
      </c>
      <c r="P286" s="166"/>
      <c r="Q286" s="173"/>
      <c r="R286" s="65"/>
      <c r="S286" s="173"/>
      <c r="T286" s="173"/>
      <c r="U286" s="166"/>
      <c r="V286" s="166"/>
      <c r="W286" s="65"/>
      <c r="X286" s="66"/>
      <c r="Y286" s="173"/>
      <c r="Z286" s="166"/>
      <c r="AA286" s="174"/>
      <c r="AB286" s="175"/>
      <c r="AC286" s="175"/>
      <c r="AD286" s="175"/>
      <c r="AE286" s="175"/>
      <c r="AF286" s="175"/>
      <c r="AG286" s="175"/>
      <c r="AH286" s="175"/>
      <c r="AI286" s="176"/>
      <c r="AJ286" s="177"/>
      <c r="AK286" s="178"/>
      <c r="AL286" s="178"/>
      <c r="AM286" s="178"/>
      <c r="AN286" s="178"/>
      <c r="AO286" s="179"/>
      <c r="AP286" s="64"/>
      <c r="AQ286" s="65"/>
      <c r="AR286" s="65"/>
      <c r="AS286" s="65"/>
      <c r="AT286" s="173"/>
      <c r="AU286" s="177"/>
      <c r="AV286" s="178"/>
      <c r="AW286" s="178"/>
      <c r="AX286" s="179"/>
      <c r="AZ286" s="166"/>
      <c r="BA286" s="177"/>
      <c r="BB286" s="178"/>
      <c r="BC286" s="178"/>
      <c r="BD286" s="178"/>
      <c r="BE286" s="178"/>
      <c r="BF286" s="178"/>
      <c r="BG286" s="178"/>
      <c r="BH286" s="178"/>
      <c r="BI286" s="179"/>
      <c r="BJ286" s="180"/>
      <c r="BK286" s="178"/>
      <c r="BL286" s="178"/>
      <c r="BM286" s="178"/>
      <c r="BN286" s="178"/>
      <c r="BO286" s="181"/>
      <c r="BP286" s="166"/>
      <c r="BQ286" s="177"/>
      <c r="BR286" s="178"/>
      <c r="BS286" s="179"/>
      <c r="BU286" s="166"/>
      <c r="BV286" s="166"/>
      <c r="BW286" s="166"/>
      <c r="BX286" s="166"/>
      <c r="BY286" s="166"/>
      <c r="BZ286" s="166"/>
      <c r="CA286" s="166"/>
      <c r="CB286" s="166"/>
      <c r="CC286" s="166"/>
      <c r="CD286" s="177"/>
      <c r="CE286" s="181"/>
      <c r="CF286" s="177"/>
      <c r="CG286" s="179"/>
      <c r="CH286" s="257"/>
      <c r="CI286" s="182"/>
      <c r="CJ286" s="177"/>
      <c r="CK286" s="182"/>
      <c r="CL286" s="177"/>
      <c r="CM286" s="182"/>
      <c r="CN286" s="177"/>
      <c r="CO286" s="182"/>
      <c r="CP286" s="177"/>
      <c r="CQ286" s="178"/>
      <c r="CR286" s="182"/>
      <c r="CS286" s="173"/>
      <c r="CT286" s="65"/>
      <c r="CU286" s="255" t="str">
        <f t="shared" si="2"/>
        <v/>
      </c>
    </row>
    <row r="287" ht="60.0" hidden="1" customHeight="1">
      <c r="A287" s="65"/>
      <c r="C287" s="167"/>
      <c r="D287" s="205"/>
      <c r="E287" s="262"/>
      <c r="F287" s="170"/>
      <c r="G287" s="170"/>
      <c r="H287" s="170"/>
      <c r="I287" s="170"/>
      <c r="J287" s="170"/>
      <c r="K287" s="171"/>
      <c r="L287" s="171"/>
      <c r="M287" s="171"/>
      <c r="N287" s="209"/>
      <c r="O287" s="172">
        <f t="shared" si="52"/>
        <v>0</v>
      </c>
      <c r="P287" s="166"/>
      <c r="Q287" s="173"/>
      <c r="R287" s="65"/>
      <c r="S287" s="173"/>
      <c r="T287" s="173"/>
      <c r="U287" s="166"/>
      <c r="V287" s="166"/>
      <c r="W287" s="65"/>
      <c r="X287" s="66"/>
      <c r="Y287" s="173"/>
      <c r="Z287" s="166"/>
      <c r="AA287" s="174"/>
      <c r="AB287" s="175"/>
      <c r="AC287" s="175"/>
      <c r="AD287" s="175"/>
      <c r="AE287" s="175"/>
      <c r="AF287" s="175"/>
      <c r="AG287" s="175"/>
      <c r="AH287" s="175"/>
      <c r="AI287" s="176"/>
      <c r="AJ287" s="177"/>
      <c r="AK287" s="178"/>
      <c r="AL287" s="178"/>
      <c r="AM287" s="178"/>
      <c r="AN287" s="178"/>
      <c r="AO287" s="179"/>
      <c r="AP287" s="64"/>
      <c r="AQ287" s="65"/>
      <c r="AR287" s="65"/>
      <c r="AS287" s="65"/>
      <c r="AT287" s="173"/>
      <c r="AU287" s="177"/>
      <c r="AV287" s="178"/>
      <c r="AW287" s="178"/>
      <c r="AX287" s="179"/>
      <c r="AZ287" s="166"/>
      <c r="BA287" s="177"/>
      <c r="BB287" s="178"/>
      <c r="BC287" s="178"/>
      <c r="BD287" s="178"/>
      <c r="BE287" s="178"/>
      <c r="BF287" s="178"/>
      <c r="BG287" s="178"/>
      <c r="BH287" s="178"/>
      <c r="BI287" s="179"/>
      <c r="BJ287" s="180"/>
      <c r="BK287" s="178"/>
      <c r="BL287" s="178"/>
      <c r="BM287" s="178"/>
      <c r="BN287" s="178"/>
      <c r="BO287" s="181"/>
      <c r="BP287" s="166"/>
      <c r="BQ287" s="177"/>
      <c r="BR287" s="178"/>
      <c r="BS287" s="179"/>
      <c r="BU287" s="166"/>
      <c r="BV287" s="166"/>
      <c r="BW287" s="166"/>
      <c r="BX287" s="166"/>
      <c r="BY287" s="166"/>
      <c r="BZ287" s="166"/>
      <c r="CA287" s="166"/>
      <c r="CB287" s="166"/>
      <c r="CC287" s="166"/>
      <c r="CD287" s="177"/>
      <c r="CE287" s="181"/>
      <c r="CF287" s="177"/>
      <c r="CG287" s="179"/>
      <c r="CH287" s="257"/>
      <c r="CI287" s="182"/>
      <c r="CJ287" s="177"/>
      <c r="CK287" s="182"/>
      <c r="CL287" s="177"/>
      <c r="CM287" s="182"/>
      <c r="CN287" s="177"/>
      <c r="CO287" s="182"/>
      <c r="CP287" s="177"/>
      <c r="CQ287" s="178"/>
      <c r="CR287" s="182"/>
      <c r="CS287" s="173"/>
      <c r="CT287" s="65"/>
      <c r="CU287" s="255" t="str">
        <f t="shared" si="2"/>
        <v/>
      </c>
    </row>
    <row r="288" ht="60.0" hidden="1" customHeight="1">
      <c r="A288" s="65"/>
      <c r="C288" s="167"/>
      <c r="D288" s="205"/>
      <c r="E288" s="262"/>
      <c r="F288" s="170"/>
      <c r="G288" s="170"/>
      <c r="H288" s="170"/>
      <c r="I288" s="170"/>
      <c r="J288" s="170"/>
      <c r="K288" s="171"/>
      <c r="L288" s="171"/>
      <c r="M288" s="171"/>
      <c r="N288" s="209"/>
      <c r="O288" s="172">
        <f t="shared" si="52"/>
        <v>0</v>
      </c>
      <c r="P288" s="166"/>
      <c r="Q288" s="173"/>
      <c r="R288" s="65"/>
      <c r="S288" s="173"/>
      <c r="T288" s="173"/>
      <c r="U288" s="166"/>
      <c r="V288" s="166"/>
      <c r="W288" s="65"/>
      <c r="X288" s="66"/>
      <c r="Y288" s="173"/>
      <c r="Z288" s="166"/>
      <c r="AA288" s="174"/>
      <c r="AB288" s="175"/>
      <c r="AC288" s="175"/>
      <c r="AD288" s="175"/>
      <c r="AE288" s="175"/>
      <c r="AF288" s="175"/>
      <c r="AG288" s="175"/>
      <c r="AH288" s="175"/>
      <c r="AI288" s="176"/>
      <c r="AJ288" s="177"/>
      <c r="AK288" s="178"/>
      <c r="AL288" s="178"/>
      <c r="AM288" s="178"/>
      <c r="AN288" s="178"/>
      <c r="AO288" s="179"/>
      <c r="AP288" s="64"/>
      <c r="AQ288" s="65"/>
      <c r="AR288" s="65"/>
      <c r="AS288" s="65"/>
      <c r="AT288" s="173"/>
      <c r="AU288" s="177"/>
      <c r="AV288" s="178"/>
      <c r="AW288" s="178"/>
      <c r="AX288" s="179"/>
      <c r="AZ288" s="166"/>
      <c r="BA288" s="177"/>
      <c r="BB288" s="178"/>
      <c r="BC288" s="178"/>
      <c r="BD288" s="178"/>
      <c r="BE288" s="178"/>
      <c r="BF288" s="178"/>
      <c r="BG288" s="178"/>
      <c r="BH288" s="178"/>
      <c r="BI288" s="179"/>
      <c r="BJ288" s="180"/>
      <c r="BK288" s="178"/>
      <c r="BL288" s="178"/>
      <c r="BM288" s="178"/>
      <c r="BN288" s="178"/>
      <c r="BO288" s="181"/>
      <c r="BP288" s="166"/>
      <c r="BQ288" s="177"/>
      <c r="BR288" s="178"/>
      <c r="BS288" s="179"/>
      <c r="BU288" s="166"/>
      <c r="BV288" s="166"/>
      <c r="BW288" s="166"/>
      <c r="BX288" s="166"/>
      <c r="BY288" s="166"/>
      <c r="BZ288" s="166"/>
      <c r="CA288" s="166"/>
      <c r="CB288" s="166"/>
      <c r="CC288" s="166"/>
      <c r="CD288" s="177"/>
      <c r="CE288" s="181"/>
      <c r="CF288" s="177"/>
      <c r="CG288" s="179"/>
      <c r="CH288" s="257"/>
      <c r="CI288" s="182"/>
      <c r="CJ288" s="177"/>
      <c r="CK288" s="182"/>
      <c r="CL288" s="177"/>
      <c r="CM288" s="182"/>
      <c r="CN288" s="177"/>
      <c r="CO288" s="182"/>
      <c r="CP288" s="177"/>
      <c r="CQ288" s="178"/>
      <c r="CR288" s="182"/>
      <c r="CS288" s="173"/>
      <c r="CT288" s="65"/>
      <c r="CU288" s="255" t="str">
        <f t="shared" si="2"/>
        <v/>
      </c>
    </row>
    <row r="289" ht="60.0" hidden="1" customHeight="1">
      <c r="A289" s="65"/>
      <c r="C289" s="167"/>
      <c r="D289" s="205"/>
      <c r="E289" s="262"/>
      <c r="F289" s="170"/>
      <c r="G289" s="170"/>
      <c r="H289" s="170"/>
      <c r="I289" s="170"/>
      <c r="J289" s="170"/>
      <c r="K289" s="171"/>
      <c r="L289" s="171"/>
      <c r="M289" s="171"/>
      <c r="N289" s="209"/>
      <c r="O289" s="172">
        <f t="shared" ref="O289:O292" si="53">IF(AND(M289&gt;=20,M289&lt;&gt;"m",RIGHT(K289,3)="Lec"),1,IF(AND(M289&gt;=20,M289&lt;&gt;"m",OR(RIGHT(K289,3)="Lab",RIGHT(K289,3)="Tut")),0.5,IF(AND(M289&gt;=20,M289&lt;&gt;"m",RIGHT(K289,2)="TL"),0.75,0)))</f>
        <v>0</v>
      </c>
      <c r="P289" s="166"/>
      <c r="Q289" s="173"/>
      <c r="R289" s="65"/>
      <c r="S289" s="173"/>
      <c r="T289" s="173"/>
      <c r="U289" s="166"/>
      <c r="V289" s="166"/>
      <c r="W289" s="65"/>
      <c r="X289" s="66"/>
      <c r="Y289" s="173"/>
      <c r="Z289" s="166"/>
      <c r="AA289" s="174"/>
      <c r="AB289" s="175"/>
      <c r="AC289" s="175"/>
      <c r="AD289" s="175"/>
      <c r="AE289" s="175"/>
      <c r="AF289" s="175"/>
      <c r="AG289" s="175"/>
      <c r="AH289" s="175"/>
      <c r="AI289" s="176"/>
      <c r="AJ289" s="177"/>
      <c r="AK289" s="178"/>
      <c r="AL289" s="178"/>
      <c r="AM289" s="178"/>
      <c r="AN289" s="178"/>
      <c r="AO289" s="179"/>
      <c r="AP289" s="64"/>
      <c r="AQ289" s="65"/>
      <c r="AR289" s="65"/>
      <c r="AS289" s="65"/>
      <c r="AT289" s="173"/>
      <c r="AU289" s="177"/>
      <c r="AV289" s="178"/>
      <c r="AW289" s="178"/>
      <c r="AX289" s="179"/>
      <c r="AZ289" s="166"/>
      <c r="BA289" s="177"/>
      <c r="BB289" s="178"/>
      <c r="BC289" s="178"/>
      <c r="BD289" s="178"/>
      <c r="BE289" s="178"/>
      <c r="BF289" s="178"/>
      <c r="BG289" s="178"/>
      <c r="BH289" s="178"/>
      <c r="BI289" s="179"/>
      <c r="BJ289" s="180"/>
      <c r="BK289" s="178"/>
      <c r="BL289" s="178"/>
      <c r="BM289" s="178"/>
      <c r="BN289" s="178"/>
      <c r="BO289" s="181"/>
      <c r="BP289" s="166"/>
      <c r="BQ289" s="177"/>
      <c r="BR289" s="178"/>
      <c r="BS289" s="179"/>
      <c r="BU289" s="166"/>
      <c r="BV289" s="166"/>
      <c r="BW289" s="166"/>
      <c r="BX289" s="166"/>
      <c r="BY289" s="166"/>
      <c r="BZ289" s="166"/>
      <c r="CA289" s="166"/>
      <c r="CB289" s="166"/>
      <c r="CC289" s="166"/>
      <c r="CD289" s="177"/>
      <c r="CE289" s="181"/>
      <c r="CF289" s="177"/>
      <c r="CG289" s="179"/>
      <c r="CH289" s="257"/>
      <c r="CI289" s="182"/>
      <c r="CJ289" s="177"/>
      <c r="CK289" s="182"/>
      <c r="CL289" s="177"/>
      <c r="CM289" s="182"/>
      <c r="CN289" s="177"/>
      <c r="CO289" s="182"/>
      <c r="CP289" s="177"/>
      <c r="CQ289" s="178"/>
      <c r="CR289" s="182"/>
      <c r="CS289" s="173"/>
      <c r="CT289" s="65"/>
      <c r="CU289" s="255" t="str">
        <f t="shared" si="2"/>
        <v/>
      </c>
    </row>
    <row r="290" ht="60.0" hidden="1" customHeight="1">
      <c r="A290" s="65"/>
      <c r="C290" s="167"/>
      <c r="D290" s="205"/>
      <c r="E290" s="262"/>
      <c r="F290" s="170"/>
      <c r="G290" s="170"/>
      <c r="H290" s="170"/>
      <c r="I290" s="170"/>
      <c r="J290" s="170"/>
      <c r="K290" s="171"/>
      <c r="L290" s="171"/>
      <c r="M290" s="171"/>
      <c r="N290" s="209"/>
      <c r="O290" s="172">
        <f t="shared" si="53"/>
        <v>0</v>
      </c>
      <c r="P290" s="166"/>
      <c r="Q290" s="173"/>
      <c r="R290" s="65"/>
      <c r="S290" s="173"/>
      <c r="T290" s="173"/>
      <c r="U290" s="166"/>
      <c r="V290" s="166"/>
      <c r="W290" s="65"/>
      <c r="X290" s="66"/>
      <c r="Y290" s="173"/>
      <c r="Z290" s="166"/>
      <c r="AA290" s="174"/>
      <c r="AB290" s="175"/>
      <c r="AC290" s="175"/>
      <c r="AD290" s="175"/>
      <c r="AE290" s="175"/>
      <c r="AF290" s="175"/>
      <c r="AG290" s="175"/>
      <c r="AH290" s="175"/>
      <c r="AI290" s="176"/>
      <c r="AJ290" s="177"/>
      <c r="AK290" s="178"/>
      <c r="AL290" s="178"/>
      <c r="AM290" s="178"/>
      <c r="AN290" s="178"/>
      <c r="AO290" s="179"/>
      <c r="AP290" s="64"/>
      <c r="AQ290" s="65"/>
      <c r="AR290" s="65"/>
      <c r="AS290" s="65"/>
      <c r="AT290" s="173"/>
      <c r="AU290" s="177"/>
      <c r="AV290" s="178"/>
      <c r="AW290" s="178"/>
      <c r="AX290" s="179"/>
      <c r="AZ290" s="166"/>
      <c r="BA290" s="177"/>
      <c r="BB290" s="178"/>
      <c r="BC290" s="178"/>
      <c r="BD290" s="178"/>
      <c r="BE290" s="178"/>
      <c r="BF290" s="178"/>
      <c r="BG290" s="178"/>
      <c r="BH290" s="178"/>
      <c r="BI290" s="179"/>
      <c r="BJ290" s="180"/>
      <c r="BK290" s="178"/>
      <c r="BL290" s="178"/>
      <c r="BM290" s="178"/>
      <c r="BN290" s="178"/>
      <c r="BO290" s="181"/>
      <c r="BP290" s="166"/>
      <c r="BQ290" s="177"/>
      <c r="BR290" s="178"/>
      <c r="BS290" s="179"/>
      <c r="BU290" s="166"/>
      <c r="BV290" s="166"/>
      <c r="BW290" s="166"/>
      <c r="BX290" s="166"/>
      <c r="BY290" s="166"/>
      <c r="BZ290" s="166"/>
      <c r="CA290" s="166"/>
      <c r="CB290" s="166"/>
      <c r="CC290" s="166"/>
      <c r="CD290" s="177"/>
      <c r="CE290" s="181"/>
      <c r="CF290" s="177"/>
      <c r="CG290" s="179"/>
      <c r="CH290" s="257"/>
      <c r="CI290" s="182"/>
      <c r="CJ290" s="177"/>
      <c r="CK290" s="182"/>
      <c r="CL290" s="177"/>
      <c r="CM290" s="182"/>
      <c r="CN290" s="177"/>
      <c r="CO290" s="182"/>
      <c r="CP290" s="177"/>
      <c r="CQ290" s="178"/>
      <c r="CR290" s="182"/>
      <c r="CS290" s="173"/>
      <c r="CT290" s="65"/>
      <c r="CU290" s="255" t="str">
        <f t="shared" si="2"/>
        <v/>
      </c>
    </row>
    <row r="291" ht="60.0" hidden="1" customHeight="1">
      <c r="A291" s="65"/>
      <c r="C291" s="167"/>
      <c r="D291" s="205"/>
      <c r="E291" s="262"/>
      <c r="F291" s="170"/>
      <c r="G291" s="170"/>
      <c r="H291" s="170"/>
      <c r="I291" s="170"/>
      <c r="J291" s="170"/>
      <c r="K291" s="171"/>
      <c r="L291" s="171"/>
      <c r="M291" s="171"/>
      <c r="N291" s="209"/>
      <c r="O291" s="172">
        <f t="shared" si="53"/>
        <v>0</v>
      </c>
      <c r="P291" s="166"/>
      <c r="Q291" s="173"/>
      <c r="R291" s="65"/>
      <c r="S291" s="173"/>
      <c r="T291" s="173"/>
      <c r="U291" s="166"/>
      <c r="V291" s="166"/>
      <c r="W291" s="65"/>
      <c r="X291" s="66"/>
      <c r="Y291" s="173"/>
      <c r="Z291" s="166"/>
      <c r="AA291" s="174"/>
      <c r="AB291" s="175"/>
      <c r="AC291" s="175"/>
      <c r="AD291" s="175"/>
      <c r="AE291" s="175"/>
      <c r="AF291" s="175"/>
      <c r="AG291" s="175"/>
      <c r="AH291" s="175"/>
      <c r="AI291" s="176"/>
      <c r="AJ291" s="177"/>
      <c r="AK291" s="178"/>
      <c r="AL291" s="178"/>
      <c r="AM291" s="178"/>
      <c r="AN291" s="178"/>
      <c r="AO291" s="179"/>
      <c r="AP291" s="64"/>
      <c r="AQ291" s="65"/>
      <c r="AR291" s="65"/>
      <c r="AS291" s="65"/>
      <c r="AT291" s="173"/>
      <c r="AU291" s="177"/>
      <c r="AV291" s="178"/>
      <c r="AW291" s="178"/>
      <c r="AX291" s="179"/>
      <c r="AZ291" s="166"/>
      <c r="BA291" s="177"/>
      <c r="BB291" s="178"/>
      <c r="BC291" s="178"/>
      <c r="BD291" s="178"/>
      <c r="BE291" s="178"/>
      <c r="BF291" s="178"/>
      <c r="BG291" s="178"/>
      <c r="BH291" s="178"/>
      <c r="BI291" s="179"/>
      <c r="BJ291" s="180"/>
      <c r="BK291" s="178"/>
      <c r="BL291" s="178"/>
      <c r="BM291" s="178"/>
      <c r="BN291" s="178"/>
      <c r="BO291" s="181"/>
      <c r="BP291" s="166"/>
      <c r="BQ291" s="177"/>
      <c r="BR291" s="178"/>
      <c r="BS291" s="179"/>
      <c r="BU291" s="166"/>
      <c r="BV291" s="166"/>
      <c r="BW291" s="166"/>
      <c r="BX291" s="166"/>
      <c r="BY291" s="166"/>
      <c r="BZ291" s="166"/>
      <c r="CA291" s="166"/>
      <c r="CB291" s="166"/>
      <c r="CC291" s="166"/>
      <c r="CD291" s="177"/>
      <c r="CE291" s="181"/>
      <c r="CF291" s="177"/>
      <c r="CG291" s="179"/>
      <c r="CH291" s="257"/>
      <c r="CI291" s="182"/>
      <c r="CJ291" s="177"/>
      <c r="CK291" s="182"/>
      <c r="CL291" s="177"/>
      <c r="CM291" s="182"/>
      <c r="CN291" s="177"/>
      <c r="CO291" s="182"/>
      <c r="CP291" s="177"/>
      <c r="CQ291" s="178"/>
      <c r="CR291" s="182"/>
      <c r="CS291" s="173"/>
      <c r="CT291" s="65"/>
      <c r="CU291" s="255" t="str">
        <f t="shared" si="2"/>
        <v/>
      </c>
    </row>
    <row r="292" ht="60.0" hidden="1" customHeight="1">
      <c r="A292" s="65"/>
      <c r="C292" s="167"/>
      <c r="D292" s="205"/>
      <c r="E292" s="262"/>
      <c r="F292" s="170"/>
      <c r="G292" s="170"/>
      <c r="H292" s="170"/>
      <c r="I292" s="170"/>
      <c r="J292" s="170"/>
      <c r="K292" s="171"/>
      <c r="L292" s="171"/>
      <c r="M292" s="171"/>
      <c r="N292" s="209"/>
      <c r="O292" s="172">
        <f t="shared" si="53"/>
        <v>0</v>
      </c>
      <c r="P292" s="166"/>
      <c r="Q292" s="173"/>
      <c r="R292" s="65"/>
      <c r="S292" s="173"/>
      <c r="T292" s="173"/>
      <c r="U292" s="166"/>
      <c r="V292" s="166"/>
      <c r="W292" s="65"/>
      <c r="X292" s="66"/>
      <c r="Y292" s="173"/>
      <c r="Z292" s="166"/>
      <c r="AA292" s="174"/>
      <c r="AB292" s="175"/>
      <c r="AC292" s="175"/>
      <c r="AD292" s="175"/>
      <c r="AE292" s="175"/>
      <c r="AF292" s="175"/>
      <c r="AG292" s="175"/>
      <c r="AH292" s="175"/>
      <c r="AI292" s="176"/>
      <c r="AJ292" s="177"/>
      <c r="AK292" s="178"/>
      <c r="AL292" s="178"/>
      <c r="AM292" s="178"/>
      <c r="AN292" s="178"/>
      <c r="AO292" s="179"/>
      <c r="AP292" s="64"/>
      <c r="AQ292" s="65"/>
      <c r="AR292" s="65"/>
      <c r="AS292" s="65"/>
      <c r="AT292" s="173"/>
      <c r="AU292" s="177"/>
      <c r="AV292" s="178"/>
      <c r="AW292" s="178"/>
      <c r="AX292" s="179"/>
      <c r="AZ292" s="166"/>
      <c r="BA292" s="177"/>
      <c r="BB292" s="178"/>
      <c r="BC292" s="178"/>
      <c r="BD292" s="178"/>
      <c r="BE292" s="178"/>
      <c r="BF292" s="178"/>
      <c r="BG292" s="178"/>
      <c r="BH292" s="178"/>
      <c r="BI292" s="179"/>
      <c r="BJ292" s="180"/>
      <c r="BK292" s="178"/>
      <c r="BL292" s="178"/>
      <c r="BM292" s="178"/>
      <c r="BN292" s="178"/>
      <c r="BO292" s="181"/>
      <c r="BP292" s="166"/>
      <c r="BQ292" s="177"/>
      <c r="BR292" s="178"/>
      <c r="BS292" s="179"/>
      <c r="BU292" s="166"/>
      <c r="BV292" s="166"/>
      <c r="BW292" s="166"/>
      <c r="BX292" s="166"/>
      <c r="BY292" s="166"/>
      <c r="BZ292" s="166"/>
      <c r="CA292" s="166"/>
      <c r="CB292" s="166"/>
      <c r="CC292" s="166"/>
      <c r="CD292" s="177"/>
      <c r="CE292" s="181"/>
      <c r="CF292" s="177"/>
      <c r="CG292" s="179"/>
      <c r="CH292" s="257"/>
      <c r="CI292" s="182"/>
      <c r="CJ292" s="177"/>
      <c r="CK292" s="182"/>
      <c r="CL292" s="177"/>
      <c r="CM292" s="182"/>
      <c r="CN292" s="177"/>
      <c r="CO292" s="182"/>
      <c r="CP292" s="177"/>
      <c r="CQ292" s="178"/>
      <c r="CR292" s="182"/>
      <c r="CS292" s="173"/>
      <c r="CT292" s="65"/>
      <c r="CU292" s="255" t="str">
        <f t="shared" si="2"/>
        <v/>
      </c>
    </row>
    <row r="293" ht="60.0" hidden="1" customHeight="1">
      <c r="A293" s="89"/>
      <c r="B293" s="6"/>
      <c r="C293" s="183"/>
      <c r="D293" s="210"/>
      <c r="E293" s="263"/>
      <c r="F293" s="186"/>
      <c r="G293" s="186"/>
      <c r="H293" s="186"/>
      <c r="I293" s="186"/>
      <c r="J293" s="186"/>
      <c r="K293" s="187"/>
      <c r="L293" s="187"/>
      <c r="M293" s="187"/>
      <c r="N293" s="214"/>
      <c r="O293" s="188">
        <f t="shared" ref="O293:O315" si="54">IF(AND(M293&lt;&gt;0,M293&lt;&gt;"m",M293&lt;&gt;"",RIGHT(K293,3)="Lec"),1,IF(AND(M293&lt;&gt;0,M293&lt;&gt;"m",M293&lt;&gt;"",OR(RIGHT(K293,3)="Lab",RIGHT(K293,3)="Tut")),0.5,IF(AND(M293&lt;&gt;0,M293&lt;&gt;"m",M293&lt;&gt;"",RIGHT(K293,2)="TL"),0.75,0)))</f>
        <v>0</v>
      </c>
      <c r="P293" s="63"/>
      <c r="Q293" s="69"/>
      <c r="R293" s="89"/>
      <c r="S293" s="69"/>
      <c r="T293" s="69"/>
      <c r="U293" s="63"/>
      <c r="V293" s="63"/>
      <c r="W293" s="89"/>
      <c r="X293" s="68"/>
      <c r="Y293" s="69"/>
      <c r="Z293" s="63"/>
      <c r="AA293" s="189"/>
      <c r="AB293" s="190"/>
      <c r="AC293" s="190"/>
      <c r="AD293" s="190"/>
      <c r="AE293" s="190"/>
      <c r="AF293" s="190"/>
      <c r="AG293" s="190"/>
      <c r="AH293" s="190"/>
      <c r="AI293" s="191"/>
      <c r="AJ293" s="192"/>
      <c r="AK293" s="193"/>
      <c r="AL293" s="193"/>
      <c r="AM293" s="193"/>
      <c r="AN293" s="193"/>
      <c r="AO293" s="194"/>
      <c r="AP293" s="103"/>
      <c r="AQ293" s="89"/>
      <c r="AR293" s="89"/>
      <c r="AS293" s="89"/>
      <c r="AT293" s="69"/>
      <c r="AU293" s="192"/>
      <c r="AV293" s="193"/>
      <c r="AW293" s="193"/>
      <c r="AX293" s="194"/>
      <c r="AY293" s="6"/>
      <c r="AZ293" s="63"/>
      <c r="BA293" s="192"/>
      <c r="BB293" s="193"/>
      <c r="BC293" s="193"/>
      <c r="BD293" s="193"/>
      <c r="BE293" s="193"/>
      <c r="BF293" s="193"/>
      <c r="BG293" s="193"/>
      <c r="BH293" s="193"/>
      <c r="BI293" s="194"/>
      <c r="BJ293" s="195"/>
      <c r="BK293" s="193"/>
      <c r="BL293" s="193"/>
      <c r="BM293" s="193"/>
      <c r="BN293" s="193"/>
      <c r="BO293" s="196"/>
      <c r="BP293" s="63"/>
      <c r="BQ293" s="192"/>
      <c r="BR293" s="193"/>
      <c r="BS293" s="194"/>
      <c r="BT293" s="6"/>
      <c r="BU293" s="63"/>
      <c r="BV293" s="63"/>
      <c r="BW293" s="63"/>
      <c r="BX293" s="63"/>
      <c r="BY293" s="63"/>
      <c r="BZ293" s="63"/>
      <c r="CA293" s="63"/>
      <c r="CB293" s="63"/>
      <c r="CC293" s="63"/>
      <c r="CD293" s="192"/>
      <c r="CE293" s="196"/>
      <c r="CF293" s="192"/>
      <c r="CG293" s="194"/>
      <c r="CH293" s="259"/>
      <c r="CI293" s="197"/>
      <c r="CJ293" s="192"/>
      <c r="CK293" s="197"/>
      <c r="CL293" s="192"/>
      <c r="CM293" s="197"/>
      <c r="CN293" s="192"/>
      <c r="CO293" s="197"/>
      <c r="CP293" s="192"/>
      <c r="CQ293" s="193"/>
      <c r="CR293" s="197"/>
      <c r="CS293" s="69"/>
      <c r="CT293" s="89"/>
      <c r="CU293" s="255" t="str">
        <f t="shared" si="2"/>
        <v/>
      </c>
    </row>
    <row r="294" ht="56.25" hidden="1" customHeight="1">
      <c r="A294" s="125">
        <v>27.0</v>
      </c>
      <c r="B294" s="199"/>
      <c r="C294" s="127"/>
      <c r="D294" s="128"/>
      <c r="E294" s="260"/>
      <c r="F294" s="261"/>
      <c r="G294" s="261"/>
      <c r="H294" s="261"/>
      <c r="I294" s="261"/>
      <c r="J294" s="170"/>
      <c r="K294" s="219"/>
      <c r="L294" s="219"/>
      <c r="M294" s="219"/>
      <c r="N294" s="220"/>
      <c r="O294" s="132">
        <f t="shared" si="54"/>
        <v>0</v>
      </c>
      <c r="P294" s="133">
        <f>COUNTIF(K294:K304,"TL")*0.75+COUNTIF(K294:K304,"Lec")*1+COUNTIF(K294:K304,"Lab")*0.5</f>
        <v>0</v>
      </c>
      <c r="Q294" s="134">
        <f>SUM((IF(LEFT(K294,1)="E",O294,0)),(IF(LEFT(K295,1)="E",O295,0)),(IF(LEFT(K296,1)="E",O296,0)),(IF(LEFT(K297,1)="E",O297,0)),(IF(LEFT(K298,1)="E",O298,0)),(IF(LEFT(K299,1)="E",O299,0)),(IF(LEFT(K300,1)="E",O300,0)),(IF(LEFT(K301,1)="E",O301,0)),(IF(LEFT(K302,1)="E",O302,0)),(IF(LEFT(K303,1)="E",O303,0)),(IF(LEFT(K304,1)="E",O304,0)))</f>
        <v>0</v>
      </c>
      <c r="R294" s="135">
        <f>SUM(IF(M300&lt;20,IF(K300="Plec",-1,IF(K300="PTL",-0.75,IF(K300="Plab",-0.5,0))),0),IF(M301&lt;20,IF(K301="Plec",-1,IF(K301="PTL",-0.75,IF(K301="Plab",-0.5,0))),0),IF(M302&lt;20,IF(K302="Plec",-1,IF(K302="PTL",-0.75,IF(K302="Plab",-0.5,0))),0),IF(M303&lt;20,IF(K303="Plec",-1,IF(K303="PTL",-0.75,IF(K303="Plab",-0.5,0))),0))</f>
        <v>0</v>
      </c>
      <c r="S294" s="134">
        <f>SUM(P294:R304)</f>
        <v>0</v>
      </c>
      <c r="T294" s="136">
        <f>SUM(IF(M294="M",IF(OR(K294="lec",K294="plec",K294="slec"),1,IF(OR(K294="lab",K294="plab",K294="slab",K294="tut",K294="ptut",K294="stut"),0.5,IF(OR(K294="TL",K294="pTL",K294="STL"),0.75,0))),0),IF(M295="M",IF(OR(K295="lec",K295="plec",K295="slec"),1,IF(OR(K295="lab",K295="plab",K295="slab",K295="tut",K295="ptut",K295="stut"),0.5,IF(OR(K295="TL",K295="pTL",K295="STL"),0.75,0))),0),IF(M296="M",IF(OR(K296="lec",K296="plec",K296="slec"),1,IF(OR(K296="lab",K296="plab",K296="slab",K296="tut",K296="ptut",K296="stut"),0.5,IF(OR(K296="TL",K296="pTL",K296="STL"),0.75,0))),0),IF(M297="M",IF(OR(K297="lec",K297="plec",K297="slec"),1,IF(OR(K297="lab",K297="plab",K297="slab",K297="tut",K297="ptut",K297="stut"),0.5,IF(OR(K297="TL",K297="pTL",K297="STL"),0.75,0))),0),IF(M298="M",IF(OR(K298="lec",K298="plec",K298="slec"),1,IF(OR(K298="lab",K298="plab",K298="slab",K298="tut",K298="ptut",K298="stut"),0.5,IF(OR(K298="TL",K298="pTL",K298="STL"),0.75,0))),0),IF(M299="M",IF(OR(K299="lec",K299="plec",K299="slec"),1,IF(OR(K299="lab",K299="plab",K299="slab",K299="tut",K299="ptut",K299="stut"),0.5,IF(OR(K299="TL",K299="pTL",K299="STL"),0.75,0))),0),IF(M300="M",IF(OR(K300="lec",K300="plec",K300="slec"),1,IF(OR(K300="lab",K300="plab",K300="slab",K300="tut",K300="ptut",K300="stut"),0.5,IF(OR(K300="TL",K300="pTL",K300="STL"),0.75,0))),0),IF(M301="M",IF(OR(K301="lec",K301="plec",K301="slec"),1,IF(OR(K301="lab",K301="plab",K301="slab",K301="tut",K301="ptut",K301="stut"),0.5,IF(OR(K301="TL",K301="pTL",K301="STL"),0.75,0))),0),IF(M302="M",IF(OR(K302="lec",K302="plec",K302="slec"),1,IF(OR(K302="lab",K302="plab",K302="slab",K302="tut",K302="ptut",K302="stut"),0.5,IF(OR(K302="TL",K302="pTL",K302="STL"),0.75,0))),0),IF(M303="M",IF(OR(K303="lec",K303="plec",K303="slec"),1,IF(OR(K303="lab",K303="plab",K303="slab",K303="tut",K303="ptut",K303="stut"),0.5,IF(OR(K303="TL",K303="pTL",K303="STL"),0.75,0))),0),IF(M304="M",IF(OR(K304="lec",K304="plec",K304="slec"),1,IF(OR(K304="lab",K304="plab",K304="slab",K304="tut",K304="ptut",K304="stut"),0.5,IF(OR(K304="TL",K304="pTL",K304="STL"),0.75,0))),0))</f>
        <v>0</v>
      </c>
      <c r="U294" s="137"/>
      <c r="V294" s="133"/>
      <c r="W294" s="138"/>
      <c r="X294" s="139">
        <f>S294-(T294+U294+V294+W294)</f>
        <v>0</v>
      </c>
      <c r="Y294" s="134" t="str">
        <f>CONCATENATE(SUM(O294:O304),"(",SUM(O294:O304)-X294,")")</f>
        <v>0(0)</v>
      </c>
      <c r="Z294" s="140"/>
      <c r="AA294" s="141"/>
      <c r="AB294" s="142"/>
      <c r="AC294" s="142"/>
      <c r="AD294" s="142"/>
      <c r="AE294" s="142"/>
      <c r="AF294" s="142"/>
      <c r="AG294" s="142"/>
      <c r="AH294" s="142"/>
      <c r="AI294" s="143"/>
      <c r="AJ294" s="144"/>
      <c r="AK294" s="145"/>
      <c r="AL294" s="145"/>
      <c r="AM294" s="145"/>
      <c r="AN294" s="145"/>
      <c r="AO294" s="146"/>
      <c r="AP294" s="147">
        <f>SUM(SUM(O294:O304),SUM(AI294:AI304)/2,AM294)</f>
        <v>0</v>
      </c>
      <c r="AQ294" s="148"/>
      <c r="AR294" s="148">
        <f>AP294*AQ294</f>
        <v>0</v>
      </c>
      <c r="AS294" s="148">
        <f>CT294</f>
        <v>0</v>
      </c>
      <c r="AT294" s="149">
        <f>AR294*0.75+AS294*0.25</f>
        <v>0</v>
      </c>
      <c r="AU294" s="150"/>
      <c r="AV294" s="151"/>
      <c r="AW294" s="151"/>
      <c r="AX294" s="152"/>
      <c r="AY294" s="153"/>
      <c r="AZ294" s="140"/>
      <c r="BA294" s="150"/>
      <c r="BB294" s="151"/>
      <c r="BC294" s="151"/>
      <c r="BD294" s="151"/>
      <c r="BE294" s="151"/>
      <c r="BF294" s="151"/>
      <c r="BG294" s="151"/>
      <c r="BH294" s="151"/>
      <c r="BI294" s="152"/>
      <c r="BJ294" s="154"/>
      <c r="BK294" s="151"/>
      <c r="BL294" s="151"/>
      <c r="BM294" s="151"/>
      <c r="BN294" s="151"/>
      <c r="BO294" s="155"/>
      <c r="BP294" s="140"/>
      <c r="BQ294" s="156"/>
      <c r="BR294" s="157"/>
      <c r="BS294" s="158"/>
      <c r="BT294" s="153"/>
      <c r="BU294" s="140"/>
      <c r="BV294" s="140"/>
      <c r="BW294" s="140"/>
      <c r="BX294" s="140"/>
      <c r="BY294" s="140"/>
      <c r="BZ294" s="140"/>
      <c r="CA294" s="140"/>
      <c r="CB294" s="140"/>
      <c r="CC294" s="140"/>
      <c r="CD294" s="150"/>
      <c r="CE294" s="155"/>
      <c r="CF294" s="150"/>
      <c r="CG294" s="152"/>
      <c r="CH294" s="252"/>
      <c r="CI294" s="160"/>
      <c r="CJ294" s="159"/>
      <c r="CK294" s="160"/>
      <c r="CL294" s="159"/>
      <c r="CM294" s="160"/>
      <c r="CN294" s="159"/>
      <c r="CO294" s="160"/>
      <c r="CP294" s="159"/>
      <c r="CQ294" s="162"/>
      <c r="CR294" s="160"/>
      <c r="CS294" s="253">
        <f>SUM(IF(AU294&lt;0,ABS(AU294),0),IF(AZ294&lt;0,ABS(AZ294),0),ABS(CI294),ABS(CK294),ABS(CM294),ABS(CO294),ABS(CQ294),ABS(CR294))</f>
        <v>0</v>
      </c>
      <c r="CT294" s="254">
        <f>SUM(AU294,AV294,AW294,AX294/400,AY294,AZ294,BG294,BH294*0.5,BI294*0.25,BJ294,BK294,BL294,BM294,BN294,BO294,BP294,BR294/20,BS294/100,BT294/60,BU294,BV294,BW294,BX294/5,SUM(BY294:CC304)/3,CE294,CG294/3,CI294,CK294,CM294,CO294,CQ294,CR294)</f>
        <v>0</v>
      </c>
      <c r="CU294" s="255" t="str">
        <f t="shared" si="2"/>
        <v/>
      </c>
    </row>
    <row r="295" ht="60.0" hidden="1" customHeight="1">
      <c r="A295" s="65"/>
      <c r="C295" s="167"/>
      <c r="D295" s="205"/>
      <c r="E295" s="262"/>
      <c r="F295" s="170"/>
      <c r="G295" s="170"/>
      <c r="H295" s="170"/>
      <c r="I295" s="170"/>
      <c r="J295" s="170"/>
      <c r="K295" s="171"/>
      <c r="L295" s="171"/>
      <c r="M295" s="171"/>
      <c r="N295" s="209"/>
      <c r="O295" s="172">
        <f t="shared" si="54"/>
        <v>0</v>
      </c>
      <c r="P295" s="166"/>
      <c r="Q295" s="173"/>
      <c r="R295" s="65"/>
      <c r="S295" s="173"/>
      <c r="T295" s="173"/>
      <c r="U295" s="166"/>
      <c r="V295" s="166"/>
      <c r="W295" s="65"/>
      <c r="X295" s="66"/>
      <c r="Y295" s="173"/>
      <c r="Z295" s="166"/>
      <c r="AA295" s="174"/>
      <c r="AB295" s="175"/>
      <c r="AC295" s="175"/>
      <c r="AD295" s="175"/>
      <c r="AE295" s="175"/>
      <c r="AF295" s="175"/>
      <c r="AG295" s="175"/>
      <c r="AH295" s="175"/>
      <c r="AI295" s="176"/>
      <c r="AJ295" s="177"/>
      <c r="AK295" s="178"/>
      <c r="AL295" s="178"/>
      <c r="AM295" s="178"/>
      <c r="AN295" s="178"/>
      <c r="AO295" s="179"/>
      <c r="AP295" s="64"/>
      <c r="AQ295" s="65"/>
      <c r="AR295" s="65"/>
      <c r="AS295" s="65"/>
      <c r="AT295" s="173"/>
      <c r="AU295" s="177"/>
      <c r="AV295" s="178"/>
      <c r="AW295" s="178"/>
      <c r="AX295" s="179"/>
      <c r="AZ295" s="166"/>
      <c r="BA295" s="177"/>
      <c r="BB295" s="178"/>
      <c r="BC295" s="178"/>
      <c r="BD295" s="178"/>
      <c r="BE295" s="178"/>
      <c r="BF295" s="178"/>
      <c r="BG295" s="178"/>
      <c r="BH295" s="178"/>
      <c r="BI295" s="179"/>
      <c r="BJ295" s="180"/>
      <c r="BK295" s="178"/>
      <c r="BL295" s="178"/>
      <c r="BM295" s="178"/>
      <c r="BN295" s="178"/>
      <c r="BO295" s="181"/>
      <c r="BP295" s="166"/>
      <c r="BQ295" s="177"/>
      <c r="BR295" s="178"/>
      <c r="BS295" s="179"/>
      <c r="BU295" s="166"/>
      <c r="BV295" s="166"/>
      <c r="BW295" s="166"/>
      <c r="BX295" s="166"/>
      <c r="BY295" s="166"/>
      <c r="BZ295" s="166"/>
      <c r="CA295" s="166"/>
      <c r="CB295" s="166"/>
      <c r="CC295" s="166"/>
      <c r="CD295" s="177"/>
      <c r="CE295" s="181"/>
      <c r="CF295" s="177"/>
      <c r="CG295" s="179"/>
      <c r="CH295" s="257"/>
      <c r="CI295" s="182"/>
      <c r="CJ295" s="177"/>
      <c r="CK295" s="182"/>
      <c r="CL295" s="177"/>
      <c r="CM295" s="182"/>
      <c r="CN295" s="177"/>
      <c r="CO295" s="182"/>
      <c r="CP295" s="177"/>
      <c r="CQ295" s="178"/>
      <c r="CR295" s="182"/>
      <c r="CS295" s="173"/>
      <c r="CT295" s="65"/>
      <c r="CU295" s="255" t="str">
        <f t="shared" si="2"/>
        <v/>
      </c>
    </row>
    <row r="296" ht="60.0" hidden="1" customHeight="1">
      <c r="A296" s="65"/>
      <c r="C296" s="167"/>
      <c r="D296" s="205"/>
      <c r="E296" s="262"/>
      <c r="F296" s="170"/>
      <c r="G296" s="170"/>
      <c r="H296" s="170"/>
      <c r="I296" s="170"/>
      <c r="J296" s="170"/>
      <c r="K296" s="171"/>
      <c r="L296" s="171"/>
      <c r="M296" s="171"/>
      <c r="N296" s="209"/>
      <c r="O296" s="172">
        <f t="shared" si="54"/>
        <v>0</v>
      </c>
      <c r="P296" s="166"/>
      <c r="Q296" s="173"/>
      <c r="R296" s="65"/>
      <c r="S296" s="173"/>
      <c r="T296" s="173"/>
      <c r="U296" s="166"/>
      <c r="V296" s="166"/>
      <c r="W296" s="65"/>
      <c r="X296" s="66"/>
      <c r="Y296" s="173"/>
      <c r="Z296" s="166"/>
      <c r="AA296" s="174"/>
      <c r="AB296" s="175"/>
      <c r="AC296" s="175"/>
      <c r="AD296" s="175"/>
      <c r="AE296" s="175"/>
      <c r="AF296" s="175"/>
      <c r="AG296" s="175"/>
      <c r="AH296" s="175"/>
      <c r="AI296" s="176"/>
      <c r="AJ296" s="177"/>
      <c r="AK296" s="178"/>
      <c r="AL296" s="178"/>
      <c r="AM296" s="178"/>
      <c r="AN296" s="178"/>
      <c r="AO296" s="179"/>
      <c r="AP296" s="64"/>
      <c r="AQ296" s="65"/>
      <c r="AR296" s="65"/>
      <c r="AS296" s="65"/>
      <c r="AT296" s="173"/>
      <c r="AU296" s="177"/>
      <c r="AV296" s="178"/>
      <c r="AW296" s="178"/>
      <c r="AX296" s="179"/>
      <c r="AZ296" s="166"/>
      <c r="BA296" s="177"/>
      <c r="BB296" s="178"/>
      <c r="BC296" s="178"/>
      <c r="BD296" s="178"/>
      <c r="BE296" s="178"/>
      <c r="BF296" s="178"/>
      <c r="BG296" s="178"/>
      <c r="BH296" s="178"/>
      <c r="BI296" s="179"/>
      <c r="BJ296" s="180"/>
      <c r="BK296" s="178"/>
      <c r="BL296" s="178"/>
      <c r="BM296" s="178"/>
      <c r="BN296" s="178"/>
      <c r="BO296" s="181"/>
      <c r="BP296" s="166"/>
      <c r="BQ296" s="177"/>
      <c r="BR296" s="178"/>
      <c r="BS296" s="179"/>
      <c r="BU296" s="166"/>
      <c r="BV296" s="166"/>
      <c r="BW296" s="166"/>
      <c r="BX296" s="166"/>
      <c r="BY296" s="166"/>
      <c r="BZ296" s="166"/>
      <c r="CA296" s="166"/>
      <c r="CB296" s="166"/>
      <c r="CC296" s="166"/>
      <c r="CD296" s="177"/>
      <c r="CE296" s="181"/>
      <c r="CF296" s="177"/>
      <c r="CG296" s="179"/>
      <c r="CH296" s="257"/>
      <c r="CI296" s="182"/>
      <c r="CJ296" s="177"/>
      <c r="CK296" s="182"/>
      <c r="CL296" s="177"/>
      <c r="CM296" s="182"/>
      <c r="CN296" s="177"/>
      <c r="CO296" s="182"/>
      <c r="CP296" s="177"/>
      <c r="CQ296" s="178"/>
      <c r="CR296" s="182"/>
      <c r="CS296" s="173"/>
      <c r="CT296" s="65"/>
      <c r="CU296" s="255" t="str">
        <f t="shared" si="2"/>
        <v/>
      </c>
    </row>
    <row r="297" ht="60.0" hidden="1" customHeight="1">
      <c r="A297" s="65"/>
      <c r="C297" s="167"/>
      <c r="D297" s="205"/>
      <c r="E297" s="262"/>
      <c r="F297" s="170"/>
      <c r="G297" s="170"/>
      <c r="H297" s="170"/>
      <c r="I297" s="170"/>
      <c r="J297" s="170"/>
      <c r="K297" s="171"/>
      <c r="L297" s="171"/>
      <c r="M297" s="171"/>
      <c r="N297" s="209"/>
      <c r="O297" s="172">
        <f t="shared" si="54"/>
        <v>0</v>
      </c>
      <c r="P297" s="166"/>
      <c r="Q297" s="173"/>
      <c r="R297" s="65"/>
      <c r="S297" s="173"/>
      <c r="T297" s="173"/>
      <c r="U297" s="166"/>
      <c r="V297" s="166"/>
      <c r="W297" s="65"/>
      <c r="X297" s="66"/>
      <c r="Y297" s="173"/>
      <c r="Z297" s="166"/>
      <c r="AA297" s="174"/>
      <c r="AB297" s="175"/>
      <c r="AC297" s="175"/>
      <c r="AD297" s="175"/>
      <c r="AE297" s="175"/>
      <c r="AF297" s="175"/>
      <c r="AG297" s="175"/>
      <c r="AH297" s="175"/>
      <c r="AI297" s="176"/>
      <c r="AJ297" s="177"/>
      <c r="AK297" s="178"/>
      <c r="AL297" s="178"/>
      <c r="AM297" s="178"/>
      <c r="AN297" s="178"/>
      <c r="AO297" s="179"/>
      <c r="AP297" s="64"/>
      <c r="AQ297" s="65"/>
      <c r="AR297" s="65"/>
      <c r="AS297" s="65"/>
      <c r="AT297" s="173"/>
      <c r="AU297" s="177"/>
      <c r="AV297" s="178"/>
      <c r="AW297" s="178"/>
      <c r="AX297" s="179"/>
      <c r="AZ297" s="166"/>
      <c r="BA297" s="177"/>
      <c r="BB297" s="178"/>
      <c r="BC297" s="178"/>
      <c r="BD297" s="178"/>
      <c r="BE297" s="178"/>
      <c r="BF297" s="178"/>
      <c r="BG297" s="178"/>
      <c r="BH297" s="178"/>
      <c r="BI297" s="179"/>
      <c r="BJ297" s="180"/>
      <c r="BK297" s="178"/>
      <c r="BL297" s="178"/>
      <c r="BM297" s="178"/>
      <c r="BN297" s="178"/>
      <c r="BO297" s="181"/>
      <c r="BP297" s="166"/>
      <c r="BQ297" s="177"/>
      <c r="BR297" s="178"/>
      <c r="BS297" s="179"/>
      <c r="BU297" s="166"/>
      <c r="BV297" s="166"/>
      <c r="BW297" s="166"/>
      <c r="BX297" s="166"/>
      <c r="BY297" s="166"/>
      <c r="BZ297" s="166"/>
      <c r="CA297" s="166"/>
      <c r="CB297" s="166"/>
      <c r="CC297" s="166"/>
      <c r="CD297" s="177"/>
      <c r="CE297" s="181"/>
      <c r="CF297" s="177"/>
      <c r="CG297" s="179"/>
      <c r="CH297" s="257"/>
      <c r="CI297" s="182"/>
      <c r="CJ297" s="177"/>
      <c r="CK297" s="182"/>
      <c r="CL297" s="177"/>
      <c r="CM297" s="182"/>
      <c r="CN297" s="177"/>
      <c r="CO297" s="182"/>
      <c r="CP297" s="177"/>
      <c r="CQ297" s="178"/>
      <c r="CR297" s="182"/>
      <c r="CS297" s="173"/>
      <c r="CT297" s="65"/>
      <c r="CU297" s="255" t="str">
        <f t="shared" si="2"/>
        <v/>
      </c>
    </row>
    <row r="298" ht="60.0" hidden="1" customHeight="1">
      <c r="A298" s="65"/>
      <c r="C298" s="167"/>
      <c r="D298" s="205"/>
      <c r="E298" s="262"/>
      <c r="F298" s="170"/>
      <c r="G298" s="170"/>
      <c r="H298" s="170"/>
      <c r="I298" s="170"/>
      <c r="J298" s="170"/>
      <c r="K298" s="171"/>
      <c r="L298" s="171"/>
      <c r="M298" s="171"/>
      <c r="N298" s="209"/>
      <c r="O298" s="172">
        <f t="shared" si="54"/>
        <v>0</v>
      </c>
      <c r="P298" s="166"/>
      <c r="Q298" s="173"/>
      <c r="R298" s="65"/>
      <c r="S298" s="173"/>
      <c r="T298" s="173"/>
      <c r="U298" s="166"/>
      <c r="V298" s="166"/>
      <c r="W298" s="65"/>
      <c r="X298" s="66"/>
      <c r="Y298" s="173"/>
      <c r="Z298" s="166"/>
      <c r="AA298" s="174"/>
      <c r="AB298" s="175"/>
      <c r="AC298" s="175"/>
      <c r="AD298" s="175"/>
      <c r="AE298" s="175"/>
      <c r="AF298" s="175"/>
      <c r="AG298" s="175"/>
      <c r="AH298" s="175"/>
      <c r="AI298" s="176"/>
      <c r="AJ298" s="177"/>
      <c r="AK298" s="178"/>
      <c r="AL298" s="178"/>
      <c r="AM298" s="178"/>
      <c r="AN298" s="178"/>
      <c r="AO298" s="179"/>
      <c r="AP298" s="64"/>
      <c r="AQ298" s="65"/>
      <c r="AR298" s="65"/>
      <c r="AS298" s="65"/>
      <c r="AT298" s="173"/>
      <c r="AU298" s="177"/>
      <c r="AV298" s="178"/>
      <c r="AW298" s="178"/>
      <c r="AX298" s="179"/>
      <c r="AZ298" s="166"/>
      <c r="BA298" s="177"/>
      <c r="BB298" s="178"/>
      <c r="BC298" s="178"/>
      <c r="BD298" s="178"/>
      <c r="BE298" s="178"/>
      <c r="BF298" s="178"/>
      <c r="BG298" s="178"/>
      <c r="BH298" s="178"/>
      <c r="BI298" s="179"/>
      <c r="BJ298" s="180"/>
      <c r="BK298" s="178"/>
      <c r="BL298" s="178"/>
      <c r="BM298" s="178"/>
      <c r="BN298" s="178"/>
      <c r="BO298" s="181"/>
      <c r="BP298" s="166"/>
      <c r="BQ298" s="177"/>
      <c r="BR298" s="178"/>
      <c r="BS298" s="179"/>
      <c r="BU298" s="166"/>
      <c r="BV298" s="166"/>
      <c r="BW298" s="166"/>
      <c r="BX298" s="166"/>
      <c r="BY298" s="166"/>
      <c r="BZ298" s="166"/>
      <c r="CA298" s="166"/>
      <c r="CB298" s="166"/>
      <c r="CC298" s="166"/>
      <c r="CD298" s="177"/>
      <c r="CE298" s="181"/>
      <c r="CF298" s="177"/>
      <c r="CG298" s="179"/>
      <c r="CH298" s="257"/>
      <c r="CI298" s="182"/>
      <c r="CJ298" s="177"/>
      <c r="CK298" s="182"/>
      <c r="CL298" s="177"/>
      <c r="CM298" s="182"/>
      <c r="CN298" s="177"/>
      <c r="CO298" s="182"/>
      <c r="CP298" s="177"/>
      <c r="CQ298" s="178"/>
      <c r="CR298" s="182"/>
      <c r="CS298" s="173"/>
      <c r="CT298" s="65"/>
      <c r="CU298" s="255" t="str">
        <f t="shared" si="2"/>
        <v/>
      </c>
    </row>
    <row r="299" ht="60.0" hidden="1" customHeight="1">
      <c r="A299" s="65"/>
      <c r="C299" s="167"/>
      <c r="D299" s="205"/>
      <c r="E299" s="262"/>
      <c r="F299" s="170"/>
      <c r="G299" s="170"/>
      <c r="H299" s="170"/>
      <c r="I299" s="170"/>
      <c r="J299" s="170"/>
      <c r="K299" s="171"/>
      <c r="L299" s="171"/>
      <c r="M299" s="171"/>
      <c r="N299" s="209"/>
      <c r="O299" s="172">
        <f t="shared" si="54"/>
        <v>0</v>
      </c>
      <c r="P299" s="166"/>
      <c r="Q299" s="173"/>
      <c r="R299" s="65"/>
      <c r="S299" s="173"/>
      <c r="T299" s="173"/>
      <c r="U299" s="166"/>
      <c r="V299" s="166"/>
      <c r="W299" s="65"/>
      <c r="X299" s="66"/>
      <c r="Y299" s="173"/>
      <c r="Z299" s="166"/>
      <c r="AA299" s="174"/>
      <c r="AB299" s="175"/>
      <c r="AC299" s="175"/>
      <c r="AD299" s="175"/>
      <c r="AE299" s="175"/>
      <c r="AF299" s="175"/>
      <c r="AG299" s="175"/>
      <c r="AH299" s="175"/>
      <c r="AI299" s="176"/>
      <c r="AJ299" s="177"/>
      <c r="AK299" s="178"/>
      <c r="AL299" s="178"/>
      <c r="AM299" s="178"/>
      <c r="AN299" s="178"/>
      <c r="AO299" s="179"/>
      <c r="AP299" s="64"/>
      <c r="AQ299" s="65"/>
      <c r="AR299" s="65"/>
      <c r="AS299" s="65"/>
      <c r="AT299" s="173"/>
      <c r="AU299" s="177"/>
      <c r="AV299" s="178"/>
      <c r="AW299" s="178"/>
      <c r="AX299" s="179"/>
      <c r="AZ299" s="166"/>
      <c r="BA299" s="177"/>
      <c r="BB299" s="178"/>
      <c r="BC299" s="178"/>
      <c r="BD299" s="178"/>
      <c r="BE299" s="178"/>
      <c r="BF299" s="178"/>
      <c r="BG299" s="178"/>
      <c r="BH299" s="178"/>
      <c r="BI299" s="179"/>
      <c r="BJ299" s="180"/>
      <c r="BK299" s="178"/>
      <c r="BL299" s="178"/>
      <c r="BM299" s="178"/>
      <c r="BN299" s="178"/>
      <c r="BO299" s="181"/>
      <c r="BP299" s="166"/>
      <c r="BQ299" s="177"/>
      <c r="BR299" s="178"/>
      <c r="BS299" s="179"/>
      <c r="BU299" s="166"/>
      <c r="BV299" s="166"/>
      <c r="BW299" s="166"/>
      <c r="BX299" s="166"/>
      <c r="BY299" s="166"/>
      <c r="BZ299" s="166"/>
      <c r="CA299" s="166"/>
      <c r="CB299" s="166"/>
      <c r="CC299" s="166"/>
      <c r="CD299" s="177"/>
      <c r="CE299" s="181"/>
      <c r="CF299" s="177"/>
      <c r="CG299" s="179"/>
      <c r="CH299" s="257"/>
      <c r="CI299" s="182"/>
      <c r="CJ299" s="177"/>
      <c r="CK299" s="182"/>
      <c r="CL299" s="177"/>
      <c r="CM299" s="182"/>
      <c r="CN299" s="177"/>
      <c r="CO299" s="182"/>
      <c r="CP299" s="177"/>
      <c r="CQ299" s="178"/>
      <c r="CR299" s="182"/>
      <c r="CS299" s="173"/>
      <c r="CT299" s="65"/>
      <c r="CU299" s="255" t="str">
        <f t="shared" si="2"/>
        <v/>
      </c>
    </row>
    <row r="300" ht="60.0" hidden="1" customHeight="1">
      <c r="A300" s="65"/>
      <c r="C300" s="167"/>
      <c r="D300" s="205"/>
      <c r="E300" s="262"/>
      <c r="F300" s="170"/>
      <c r="G300" s="170"/>
      <c r="H300" s="170"/>
      <c r="I300" s="170"/>
      <c r="J300" s="170"/>
      <c r="K300" s="171"/>
      <c r="L300" s="171"/>
      <c r="M300" s="171"/>
      <c r="N300" s="209"/>
      <c r="O300" s="172">
        <f t="shared" si="54"/>
        <v>0</v>
      </c>
      <c r="P300" s="166"/>
      <c r="Q300" s="173"/>
      <c r="R300" s="65"/>
      <c r="S300" s="173"/>
      <c r="T300" s="173"/>
      <c r="U300" s="166"/>
      <c r="V300" s="166"/>
      <c r="W300" s="65"/>
      <c r="X300" s="66"/>
      <c r="Y300" s="173"/>
      <c r="Z300" s="166"/>
      <c r="AA300" s="174"/>
      <c r="AB300" s="175"/>
      <c r="AC300" s="175"/>
      <c r="AD300" s="175"/>
      <c r="AE300" s="175"/>
      <c r="AF300" s="175"/>
      <c r="AG300" s="175"/>
      <c r="AH300" s="175"/>
      <c r="AI300" s="176"/>
      <c r="AJ300" s="177"/>
      <c r="AK300" s="178"/>
      <c r="AL300" s="178"/>
      <c r="AM300" s="178"/>
      <c r="AN300" s="178"/>
      <c r="AO300" s="179"/>
      <c r="AP300" s="64"/>
      <c r="AQ300" s="65"/>
      <c r="AR300" s="65"/>
      <c r="AS300" s="65"/>
      <c r="AT300" s="173"/>
      <c r="AU300" s="177"/>
      <c r="AV300" s="178"/>
      <c r="AW300" s="178"/>
      <c r="AX300" s="179"/>
      <c r="AZ300" s="166"/>
      <c r="BA300" s="177"/>
      <c r="BB300" s="178"/>
      <c r="BC300" s="178"/>
      <c r="BD300" s="178"/>
      <c r="BE300" s="178"/>
      <c r="BF300" s="178"/>
      <c r="BG300" s="178"/>
      <c r="BH300" s="178"/>
      <c r="BI300" s="179"/>
      <c r="BJ300" s="180"/>
      <c r="BK300" s="178"/>
      <c r="BL300" s="178"/>
      <c r="BM300" s="178"/>
      <c r="BN300" s="178"/>
      <c r="BO300" s="181"/>
      <c r="BP300" s="166"/>
      <c r="BQ300" s="177"/>
      <c r="BR300" s="178"/>
      <c r="BS300" s="179"/>
      <c r="BU300" s="166"/>
      <c r="BV300" s="166"/>
      <c r="BW300" s="166"/>
      <c r="BX300" s="166"/>
      <c r="BY300" s="166"/>
      <c r="BZ300" s="166"/>
      <c r="CA300" s="166"/>
      <c r="CB300" s="166"/>
      <c r="CC300" s="166"/>
      <c r="CD300" s="177"/>
      <c r="CE300" s="181"/>
      <c r="CF300" s="177"/>
      <c r="CG300" s="179"/>
      <c r="CH300" s="257"/>
      <c r="CI300" s="182"/>
      <c r="CJ300" s="177"/>
      <c r="CK300" s="182"/>
      <c r="CL300" s="177"/>
      <c r="CM300" s="182"/>
      <c r="CN300" s="177"/>
      <c r="CO300" s="182"/>
      <c r="CP300" s="177"/>
      <c r="CQ300" s="178"/>
      <c r="CR300" s="182"/>
      <c r="CS300" s="173"/>
      <c r="CT300" s="65"/>
      <c r="CU300" s="255" t="str">
        <f t="shared" si="2"/>
        <v/>
      </c>
    </row>
    <row r="301" ht="60.0" hidden="1" customHeight="1">
      <c r="A301" s="65"/>
      <c r="C301" s="167"/>
      <c r="D301" s="205"/>
      <c r="E301" s="262"/>
      <c r="F301" s="170"/>
      <c r="G301" s="170"/>
      <c r="H301" s="170"/>
      <c r="I301" s="170"/>
      <c r="J301" s="170"/>
      <c r="K301" s="171"/>
      <c r="L301" s="171"/>
      <c r="M301" s="171"/>
      <c r="N301" s="209"/>
      <c r="O301" s="172">
        <f t="shared" si="54"/>
        <v>0</v>
      </c>
      <c r="P301" s="166"/>
      <c r="Q301" s="173"/>
      <c r="R301" s="65"/>
      <c r="S301" s="173"/>
      <c r="T301" s="173"/>
      <c r="U301" s="166"/>
      <c r="V301" s="166"/>
      <c r="W301" s="65"/>
      <c r="X301" s="66"/>
      <c r="Y301" s="173"/>
      <c r="Z301" s="166"/>
      <c r="AA301" s="174"/>
      <c r="AB301" s="175"/>
      <c r="AC301" s="175"/>
      <c r="AD301" s="175"/>
      <c r="AE301" s="175"/>
      <c r="AF301" s="175"/>
      <c r="AG301" s="175"/>
      <c r="AH301" s="175"/>
      <c r="AI301" s="176"/>
      <c r="AJ301" s="177"/>
      <c r="AK301" s="178"/>
      <c r="AL301" s="178"/>
      <c r="AM301" s="178"/>
      <c r="AN301" s="178"/>
      <c r="AO301" s="179"/>
      <c r="AP301" s="64"/>
      <c r="AQ301" s="65"/>
      <c r="AR301" s="65"/>
      <c r="AS301" s="65"/>
      <c r="AT301" s="173"/>
      <c r="AU301" s="177"/>
      <c r="AV301" s="178"/>
      <c r="AW301" s="178"/>
      <c r="AX301" s="179"/>
      <c r="AZ301" s="166"/>
      <c r="BA301" s="177"/>
      <c r="BB301" s="178"/>
      <c r="BC301" s="178"/>
      <c r="BD301" s="178"/>
      <c r="BE301" s="178"/>
      <c r="BF301" s="178"/>
      <c r="BG301" s="178"/>
      <c r="BH301" s="178"/>
      <c r="BI301" s="179"/>
      <c r="BJ301" s="180"/>
      <c r="BK301" s="178"/>
      <c r="BL301" s="178"/>
      <c r="BM301" s="178"/>
      <c r="BN301" s="178"/>
      <c r="BO301" s="181"/>
      <c r="BP301" s="166"/>
      <c r="BQ301" s="177"/>
      <c r="BR301" s="178"/>
      <c r="BS301" s="179"/>
      <c r="BU301" s="166"/>
      <c r="BV301" s="166"/>
      <c r="BW301" s="166"/>
      <c r="BX301" s="166"/>
      <c r="BY301" s="166"/>
      <c r="BZ301" s="166"/>
      <c r="CA301" s="166"/>
      <c r="CB301" s="166"/>
      <c r="CC301" s="166"/>
      <c r="CD301" s="177"/>
      <c r="CE301" s="181"/>
      <c r="CF301" s="177"/>
      <c r="CG301" s="179"/>
      <c r="CH301" s="257"/>
      <c r="CI301" s="182"/>
      <c r="CJ301" s="177"/>
      <c r="CK301" s="182"/>
      <c r="CL301" s="177"/>
      <c r="CM301" s="182"/>
      <c r="CN301" s="177"/>
      <c r="CO301" s="182"/>
      <c r="CP301" s="177"/>
      <c r="CQ301" s="178"/>
      <c r="CR301" s="182"/>
      <c r="CS301" s="173"/>
      <c r="CT301" s="65"/>
      <c r="CU301" s="255" t="str">
        <f t="shared" si="2"/>
        <v/>
      </c>
    </row>
    <row r="302" ht="60.0" hidden="1" customHeight="1">
      <c r="A302" s="65"/>
      <c r="C302" s="167"/>
      <c r="D302" s="205"/>
      <c r="E302" s="262"/>
      <c r="F302" s="170"/>
      <c r="G302" s="170"/>
      <c r="H302" s="170"/>
      <c r="I302" s="170"/>
      <c r="J302" s="170"/>
      <c r="K302" s="171"/>
      <c r="L302" s="171"/>
      <c r="M302" s="171"/>
      <c r="N302" s="209"/>
      <c r="O302" s="172">
        <f t="shared" si="54"/>
        <v>0</v>
      </c>
      <c r="P302" s="166"/>
      <c r="Q302" s="173"/>
      <c r="R302" s="65"/>
      <c r="S302" s="173"/>
      <c r="T302" s="173"/>
      <c r="U302" s="166"/>
      <c r="V302" s="166"/>
      <c r="W302" s="65"/>
      <c r="X302" s="66"/>
      <c r="Y302" s="173"/>
      <c r="Z302" s="166"/>
      <c r="AA302" s="174"/>
      <c r="AB302" s="175"/>
      <c r="AC302" s="175"/>
      <c r="AD302" s="175"/>
      <c r="AE302" s="175"/>
      <c r="AF302" s="175"/>
      <c r="AG302" s="175"/>
      <c r="AH302" s="175"/>
      <c r="AI302" s="176"/>
      <c r="AJ302" s="177"/>
      <c r="AK302" s="178"/>
      <c r="AL302" s="178"/>
      <c r="AM302" s="178"/>
      <c r="AN302" s="178"/>
      <c r="AO302" s="179"/>
      <c r="AP302" s="64"/>
      <c r="AQ302" s="65"/>
      <c r="AR302" s="65"/>
      <c r="AS302" s="65"/>
      <c r="AT302" s="173"/>
      <c r="AU302" s="177"/>
      <c r="AV302" s="178"/>
      <c r="AW302" s="178"/>
      <c r="AX302" s="179"/>
      <c r="AZ302" s="166"/>
      <c r="BA302" s="177"/>
      <c r="BB302" s="178"/>
      <c r="BC302" s="178"/>
      <c r="BD302" s="178"/>
      <c r="BE302" s="178"/>
      <c r="BF302" s="178"/>
      <c r="BG302" s="178"/>
      <c r="BH302" s="178"/>
      <c r="BI302" s="179"/>
      <c r="BJ302" s="180"/>
      <c r="BK302" s="178"/>
      <c r="BL302" s="178"/>
      <c r="BM302" s="178"/>
      <c r="BN302" s="178"/>
      <c r="BO302" s="181"/>
      <c r="BP302" s="166"/>
      <c r="BQ302" s="177"/>
      <c r="BR302" s="178"/>
      <c r="BS302" s="179"/>
      <c r="BU302" s="166"/>
      <c r="BV302" s="166"/>
      <c r="BW302" s="166"/>
      <c r="BX302" s="166"/>
      <c r="BY302" s="166"/>
      <c r="BZ302" s="166"/>
      <c r="CA302" s="166"/>
      <c r="CB302" s="166"/>
      <c r="CC302" s="166"/>
      <c r="CD302" s="177"/>
      <c r="CE302" s="181"/>
      <c r="CF302" s="177"/>
      <c r="CG302" s="179"/>
      <c r="CH302" s="257"/>
      <c r="CI302" s="182"/>
      <c r="CJ302" s="177"/>
      <c r="CK302" s="182"/>
      <c r="CL302" s="177"/>
      <c r="CM302" s="182"/>
      <c r="CN302" s="177"/>
      <c r="CO302" s="182"/>
      <c r="CP302" s="177"/>
      <c r="CQ302" s="178"/>
      <c r="CR302" s="182"/>
      <c r="CS302" s="173"/>
      <c r="CT302" s="65"/>
      <c r="CU302" s="255" t="str">
        <f t="shared" si="2"/>
        <v/>
      </c>
    </row>
    <row r="303" ht="60.0" hidden="1" customHeight="1">
      <c r="A303" s="65"/>
      <c r="C303" s="167"/>
      <c r="D303" s="205"/>
      <c r="E303" s="262"/>
      <c r="F303" s="170"/>
      <c r="G303" s="170"/>
      <c r="H303" s="170"/>
      <c r="I303" s="170"/>
      <c r="J303" s="170"/>
      <c r="K303" s="171"/>
      <c r="L303" s="171"/>
      <c r="M303" s="171"/>
      <c r="N303" s="209"/>
      <c r="O303" s="172">
        <f t="shared" si="54"/>
        <v>0</v>
      </c>
      <c r="P303" s="166"/>
      <c r="Q303" s="173"/>
      <c r="R303" s="65"/>
      <c r="S303" s="173"/>
      <c r="T303" s="173"/>
      <c r="U303" s="166"/>
      <c r="V303" s="166"/>
      <c r="W303" s="65"/>
      <c r="X303" s="66"/>
      <c r="Y303" s="173"/>
      <c r="Z303" s="166"/>
      <c r="AA303" s="174"/>
      <c r="AB303" s="175"/>
      <c r="AC303" s="175"/>
      <c r="AD303" s="175"/>
      <c r="AE303" s="175"/>
      <c r="AF303" s="175"/>
      <c r="AG303" s="175"/>
      <c r="AH303" s="175"/>
      <c r="AI303" s="176"/>
      <c r="AJ303" s="177"/>
      <c r="AK303" s="178"/>
      <c r="AL303" s="178"/>
      <c r="AM303" s="178"/>
      <c r="AN303" s="178"/>
      <c r="AO303" s="179"/>
      <c r="AP303" s="64"/>
      <c r="AQ303" s="65"/>
      <c r="AR303" s="65"/>
      <c r="AS303" s="65"/>
      <c r="AT303" s="173"/>
      <c r="AU303" s="177"/>
      <c r="AV303" s="178"/>
      <c r="AW303" s="178"/>
      <c r="AX303" s="179"/>
      <c r="AZ303" s="166"/>
      <c r="BA303" s="177"/>
      <c r="BB303" s="178"/>
      <c r="BC303" s="178"/>
      <c r="BD303" s="178"/>
      <c r="BE303" s="178"/>
      <c r="BF303" s="178"/>
      <c r="BG303" s="178"/>
      <c r="BH303" s="178"/>
      <c r="BI303" s="179"/>
      <c r="BJ303" s="180"/>
      <c r="BK303" s="178"/>
      <c r="BL303" s="178"/>
      <c r="BM303" s="178"/>
      <c r="BN303" s="178"/>
      <c r="BO303" s="181"/>
      <c r="BP303" s="166"/>
      <c r="BQ303" s="177"/>
      <c r="BR303" s="178"/>
      <c r="BS303" s="179"/>
      <c r="BU303" s="166"/>
      <c r="BV303" s="166"/>
      <c r="BW303" s="166"/>
      <c r="BX303" s="166"/>
      <c r="BY303" s="166"/>
      <c r="BZ303" s="166"/>
      <c r="CA303" s="166"/>
      <c r="CB303" s="166"/>
      <c r="CC303" s="166"/>
      <c r="CD303" s="177"/>
      <c r="CE303" s="181"/>
      <c r="CF303" s="177"/>
      <c r="CG303" s="179"/>
      <c r="CH303" s="257"/>
      <c r="CI303" s="182"/>
      <c r="CJ303" s="177"/>
      <c r="CK303" s="182"/>
      <c r="CL303" s="177"/>
      <c r="CM303" s="182"/>
      <c r="CN303" s="177"/>
      <c r="CO303" s="182"/>
      <c r="CP303" s="177"/>
      <c r="CQ303" s="178"/>
      <c r="CR303" s="182"/>
      <c r="CS303" s="173"/>
      <c r="CT303" s="65"/>
      <c r="CU303" s="255" t="str">
        <f t="shared" si="2"/>
        <v/>
      </c>
    </row>
    <row r="304" ht="60.0" hidden="1" customHeight="1">
      <c r="A304" s="89"/>
      <c r="B304" s="6"/>
      <c r="C304" s="183"/>
      <c r="D304" s="210"/>
      <c r="E304" s="263"/>
      <c r="F304" s="186"/>
      <c r="G304" s="186"/>
      <c r="H304" s="186"/>
      <c r="I304" s="186"/>
      <c r="J304" s="186"/>
      <c r="K304" s="187"/>
      <c r="L304" s="187"/>
      <c r="M304" s="187"/>
      <c r="N304" s="214"/>
      <c r="O304" s="188">
        <f t="shared" si="54"/>
        <v>0</v>
      </c>
      <c r="P304" s="63"/>
      <c r="Q304" s="69"/>
      <c r="R304" s="89"/>
      <c r="S304" s="69"/>
      <c r="T304" s="69"/>
      <c r="U304" s="63"/>
      <c r="V304" s="63"/>
      <c r="W304" s="89"/>
      <c r="X304" s="68"/>
      <c r="Y304" s="69"/>
      <c r="Z304" s="63"/>
      <c r="AA304" s="189"/>
      <c r="AB304" s="190"/>
      <c r="AC304" s="190"/>
      <c r="AD304" s="190"/>
      <c r="AE304" s="190"/>
      <c r="AF304" s="190"/>
      <c r="AG304" s="190"/>
      <c r="AH304" s="190"/>
      <c r="AI304" s="191"/>
      <c r="AJ304" s="192"/>
      <c r="AK304" s="193"/>
      <c r="AL304" s="193"/>
      <c r="AM304" s="193"/>
      <c r="AN304" s="193"/>
      <c r="AO304" s="194"/>
      <c r="AP304" s="103"/>
      <c r="AQ304" s="89"/>
      <c r="AR304" s="89"/>
      <c r="AS304" s="89"/>
      <c r="AT304" s="69"/>
      <c r="AU304" s="192"/>
      <c r="AV304" s="193"/>
      <c r="AW304" s="193"/>
      <c r="AX304" s="194"/>
      <c r="AY304" s="6"/>
      <c r="AZ304" s="63"/>
      <c r="BA304" s="192"/>
      <c r="BB304" s="193"/>
      <c r="BC304" s="193"/>
      <c r="BD304" s="193"/>
      <c r="BE304" s="193"/>
      <c r="BF304" s="193"/>
      <c r="BG304" s="193"/>
      <c r="BH304" s="193"/>
      <c r="BI304" s="194"/>
      <c r="BJ304" s="195"/>
      <c r="BK304" s="193"/>
      <c r="BL304" s="193"/>
      <c r="BM304" s="193"/>
      <c r="BN304" s="193"/>
      <c r="BO304" s="196"/>
      <c r="BP304" s="63"/>
      <c r="BQ304" s="192"/>
      <c r="BR304" s="193"/>
      <c r="BS304" s="194"/>
      <c r="BT304" s="6"/>
      <c r="BU304" s="63"/>
      <c r="BV304" s="63"/>
      <c r="BW304" s="63"/>
      <c r="BX304" s="63"/>
      <c r="BY304" s="63"/>
      <c r="BZ304" s="63"/>
      <c r="CA304" s="63"/>
      <c r="CB304" s="63"/>
      <c r="CC304" s="63"/>
      <c r="CD304" s="192"/>
      <c r="CE304" s="196"/>
      <c r="CF304" s="192"/>
      <c r="CG304" s="194"/>
      <c r="CH304" s="259"/>
      <c r="CI304" s="197"/>
      <c r="CJ304" s="192"/>
      <c r="CK304" s="197"/>
      <c r="CL304" s="192"/>
      <c r="CM304" s="197"/>
      <c r="CN304" s="192"/>
      <c r="CO304" s="197"/>
      <c r="CP304" s="192"/>
      <c r="CQ304" s="193"/>
      <c r="CR304" s="197"/>
      <c r="CS304" s="69"/>
      <c r="CT304" s="89"/>
      <c r="CU304" s="255" t="str">
        <f t="shared" si="2"/>
        <v/>
      </c>
    </row>
    <row r="305" ht="56.25" hidden="1" customHeight="1">
      <c r="A305" s="125">
        <v>28.0</v>
      </c>
      <c r="B305" s="199"/>
      <c r="C305" s="127"/>
      <c r="D305" s="128"/>
      <c r="E305" s="260"/>
      <c r="F305" s="261"/>
      <c r="G305" s="261"/>
      <c r="H305" s="261"/>
      <c r="I305" s="261"/>
      <c r="J305" s="170"/>
      <c r="K305" s="219"/>
      <c r="L305" s="219"/>
      <c r="M305" s="219"/>
      <c r="N305" s="220"/>
      <c r="O305" s="132">
        <f t="shared" si="54"/>
        <v>0</v>
      </c>
      <c r="P305" s="133">
        <f>COUNTIF(K305:K315,"TL")*0.75+COUNTIF(K305:K315,"Lec")*1+COUNTIF(K305:K315,"Lab")*0.5</f>
        <v>0</v>
      </c>
      <c r="Q305" s="134">
        <f>SUM((IF(LEFT(K305,1)="E",O305,0)),(IF(LEFT(K306,1)="E",O306,0)),(IF(LEFT(K307,1)="E",O307,0)),(IF(LEFT(K308,1)="E",O308,0)),(IF(LEFT(K309,1)="E",O309,0)),(IF(LEFT(K310,1)="E",O310,0)),(IF(LEFT(K311,1)="E",O311,0)),(IF(LEFT(K312,1)="E",O312,0)),(IF(LEFT(K313,1)="E",O313,0)),(IF(LEFT(K314,1)="E",O314,0)),(IF(LEFT(K315,1)="E",O315,0)))</f>
        <v>0</v>
      </c>
      <c r="R305" s="135">
        <f>SUM(IF(M311&lt;20,IF(K311="Plec",-1,IF(K311="PTL",-0.75,IF(K311="Plab",-0.5,0))),0),IF(M312&lt;20,IF(K312="Plec",-1,IF(K312="PTL",-0.75,IF(K312="Plab",-0.5,0))),0),IF(M313&lt;20,IF(K313="Plec",-1,IF(K313="PTL",-0.75,IF(K313="Plab",-0.5,0))),0),IF(M314&lt;20,IF(K314="Plec",-1,IF(K314="PTL",-0.75,IF(K314="Plab",-0.5,0))),0))</f>
        <v>0</v>
      </c>
      <c r="S305" s="134">
        <f>SUM(P305:R315)</f>
        <v>0</v>
      </c>
      <c r="T305" s="136">
        <f>SUM(IF(M305="M",IF(OR(K305="lec",K305="plec",K305="slec"),1,IF(OR(K305="lab",K305="plab",K305="slab",K305="tut",K305="ptut",K305="stut"),0.5,IF(OR(K305="TL",K305="pTL",K305="STL"),0.75,0))),0),IF(M306="M",IF(OR(K306="lec",K306="plec",K306="slec"),1,IF(OR(K306="lab",K306="plab",K306="slab",K306="tut",K306="ptut",K306="stut"),0.5,IF(OR(K306="TL",K306="pTL",K306="STL"),0.75,0))),0),IF(M307="M",IF(OR(K307="lec",K307="plec",K307="slec"),1,IF(OR(K307="lab",K307="plab",K307="slab",K307="tut",K307="ptut",K307="stut"),0.5,IF(OR(K307="TL",K307="pTL",K307="STL"),0.75,0))),0),IF(M308="M",IF(OR(K308="lec",K308="plec",K308="slec"),1,IF(OR(K308="lab",K308="plab",K308="slab",K308="tut",K308="ptut",K308="stut"),0.5,IF(OR(K308="TL",K308="pTL",K308="STL"),0.75,0))),0),IF(M309="M",IF(OR(K309="lec",K309="plec",K309="slec"),1,IF(OR(K309="lab",K309="plab",K309="slab",K309="tut",K309="ptut",K309="stut"),0.5,IF(OR(K309="TL",K309="pTL",K309="STL"),0.75,0))),0),IF(M310="M",IF(OR(K310="lec",K310="plec",K310="slec"),1,IF(OR(K310="lab",K310="plab",K310="slab",K310="tut",K310="ptut",K310="stut"),0.5,IF(OR(K310="TL",K310="pTL",K310="STL"),0.75,0))),0),IF(M311="M",IF(OR(K311="lec",K311="plec",K311="slec"),1,IF(OR(K311="lab",K311="plab",K311="slab",K311="tut",K311="ptut",K311="stut"),0.5,IF(OR(K311="TL",K311="pTL",K311="STL"),0.75,0))),0),IF(M312="M",IF(OR(K312="lec",K312="plec",K312="slec"),1,IF(OR(K312="lab",K312="plab",K312="slab",K312="tut",K312="ptut",K312="stut"),0.5,IF(OR(K312="TL",K312="pTL",K312="STL"),0.75,0))),0),IF(M313="M",IF(OR(K313="lec",K313="plec",K313="slec"),1,IF(OR(K313="lab",K313="plab",K313="slab",K313="tut",K313="ptut",K313="stut"),0.5,IF(OR(K313="TL",K313="pTL",K313="STL"),0.75,0))),0),IF(M314="M",IF(OR(K314="lec",K314="plec",K314="slec"),1,IF(OR(K314="lab",K314="plab",K314="slab",K314="tut",K314="ptut",K314="stut"),0.5,IF(OR(K314="TL",K314="pTL",K314="STL"),0.75,0))),0),IF(M315="M",IF(OR(K315="lec",K315="plec",K315="slec"),1,IF(OR(K315="lab",K315="plab",K315="slab",K315="tut",K315="ptut",K315="stut"),0.5,IF(OR(K315="TL",K315="pTL",K315="STL"),0.75,0))),0))</f>
        <v>0</v>
      </c>
      <c r="U305" s="137"/>
      <c r="V305" s="133"/>
      <c r="W305" s="138"/>
      <c r="X305" s="139">
        <f>S305-(T305+U305+V305+W305)</f>
        <v>0</v>
      </c>
      <c r="Y305" s="134" t="str">
        <f>CONCATENATE(SUM(O305:O315),"(",SUM(O305:O315)-X305,")")</f>
        <v>0(0)</v>
      </c>
      <c r="Z305" s="140"/>
      <c r="AA305" s="141"/>
      <c r="AB305" s="142"/>
      <c r="AC305" s="142"/>
      <c r="AD305" s="142"/>
      <c r="AE305" s="142"/>
      <c r="AF305" s="142"/>
      <c r="AG305" s="142"/>
      <c r="AH305" s="142"/>
      <c r="AI305" s="143"/>
      <c r="AJ305" s="144"/>
      <c r="AK305" s="145"/>
      <c r="AL305" s="145"/>
      <c r="AM305" s="145"/>
      <c r="AN305" s="145"/>
      <c r="AO305" s="146"/>
      <c r="AP305" s="147">
        <f>SUM(SUM(O305:O315),SUM(AI305:AI315)/2,AM305)</f>
        <v>0</v>
      </c>
      <c r="AQ305" s="148"/>
      <c r="AR305" s="148">
        <f>AP305*AQ305</f>
        <v>0</v>
      </c>
      <c r="AS305" s="148">
        <f>CT305</f>
        <v>0</v>
      </c>
      <c r="AT305" s="149">
        <f>AR305*0.75+AS305*0.25</f>
        <v>0</v>
      </c>
      <c r="AU305" s="150"/>
      <c r="AV305" s="151"/>
      <c r="AW305" s="151"/>
      <c r="AX305" s="152"/>
      <c r="AY305" s="153"/>
      <c r="AZ305" s="140"/>
      <c r="BA305" s="150"/>
      <c r="BB305" s="151"/>
      <c r="BC305" s="151"/>
      <c r="BD305" s="151"/>
      <c r="BE305" s="151"/>
      <c r="BF305" s="151"/>
      <c r="BG305" s="151"/>
      <c r="BH305" s="151"/>
      <c r="BI305" s="152"/>
      <c r="BJ305" s="154"/>
      <c r="BK305" s="151"/>
      <c r="BL305" s="151"/>
      <c r="BM305" s="151"/>
      <c r="BN305" s="151"/>
      <c r="BO305" s="155"/>
      <c r="BP305" s="140"/>
      <c r="BQ305" s="156"/>
      <c r="BR305" s="157"/>
      <c r="BS305" s="158"/>
      <c r="BT305" s="153"/>
      <c r="BU305" s="140"/>
      <c r="BV305" s="140"/>
      <c r="BW305" s="140"/>
      <c r="BX305" s="140"/>
      <c r="BY305" s="140"/>
      <c r="BZ305" s="140"/>
      <c r="CA305" s="140"/>
      <c r="CB305" s="140"/>
      <c r="CC305" s="140"/>
      <c r="CD305" s="150"/>
      <c r="CE305" s="155"/>
      <c r="CF305" s="150"/>
      <c r="CG305" s="152"/>
      <c r="CH305" s="252"/>
      <c r="CI305" s="160"/>
      <c r="CJ305" s="159"/>
      <c r="CK305" s="160"/>
      <c r="CL305" s="159"/>
      <c r="CM305" s="160"/>
      <c r="CN305" s="159"/>
      <c r="CO305" s="160"/>
      <c r="CP305" s="159"/>
      <c r="CQ305" s="162"/>
      <c r="CR305" s="160"/>
      <c r="CS305" s="253">
        <f>SUM(IF(AU305&lt;0,ABS(AU305),0),IF(AZ305&lt;0,ABS(AZ305),0),ABS(CI305),ABS(CK305),ABS(CM305),ABS(CO305),ABS(CQ305),ABS(CR305))</f>
        <v>0</v>
      </c>
      <c r="CT305" s="254">
        <f>SUM(AU305,AV305,AW305,AX305/400,AY305,AZ305,BG305,BH305*0.5,BI305*0.25,BJ305,BK305,BL305,BM305,BN305,BO305,BP305,BR305/20,BS305/100,BT305/60,BU305,BV305,BW305,BX305/5,SUM(BY305:CC315)/3,CE305,CG305/3,CI305,CK305,CM305,CO305,CQ305,CR305)</f>
        <v>0</v>
      </c>
      <c r="CU305" s="255" t="str">
        <f t="shared" si="2"/>
        <v/>
      </c>
    </row>
    <row r="306" ht="60.0" hidden="1" customHeight="1">
      <c r="A306" s="65"/>
      <c r="C306" s="167"/>
      <c r="D306" s="205"/>
      <c r="E306" s="262"/>
      <c r="F306" s="170"/>
      <c r="G306" s="170"/>
      <c r="H306" s="170"/>
      <c r="I306" s="170"/>
      <c r="J306" s="170"/>
      <c r="K306" s="171"/>
      <c r="L306" s="171"/>
      <c r="M306" s="171"/>
      <c r="N306" s="209"/>
      <c r="O306" s="172">
        <f t="shared" si="54"/>
        <v>0</v>
      </c>
      <c r="P306" s="166"/>
      <c r="Q306" s="173"/>
      <c r="R306" s="65"/>
      <c r="S306" s="173"/>
      <c r="T306" s="173"/>
      <c r="U306" s="166"/>
      <c r="V306" s="166"/>
      <c r="W306" s="65"/>
      <c r="X306" s="66"/>
      <c r="Y306" s="173"/>
      <c r="Z306" s="166"/>
      <c r="AA306" s="174"/>
      <c r="AB306" s="175"/>
      <c r="AC306" s="175"/>
      <c r="AD306" s="175"/>
      <c r="AE306" s="175"/>
      <c r="AF306" s="175"/>
      <c r="AG306" s="175"/>
      <c r="AH306" s="175"/>
      <c r="AI306" s="176"/>
      <c r="AJ306" s="177"/>
      <c r="AK306" s="178"/>
      <c r="AL306" s="178"/>
      <c r="AM306" s="178"/>
      <c r="AN306" s="178"/>
      <c r="AO306" s="179"/>
      <c r="AP306" s="64"/>
      <c r="AQ306" s="65"/>
      <c r="AR306" s="65"/>
      <c r="AS306" s="65"/>
      <c r="AT306" s="173"/>
      <c r="AU306" s="177"/>
      <c r="AV306" s="178"/>
      <c r="AW306" s="178"/>
      <c r="AX306" s="179"/>
      <c r="AZ306" s="166"/>
      <c r="BA306" s="177"/>
      <c r="BB306" s="178"/>
      <c r="BC306" s="178"/>
      <c r="BD306" s="178"/>
      <c r="BE306" s="178"/>
      <c r="BF306" s="178"/>
      <c r="BG306" s="178"/>
      <c r="BH306" s="178"/>
      <c r="BI306" s="179"/>
      <c r="BJ306" s="180"/>
      <c r="BK306" s="178"/>
      <c r="BL306" s="178"/>
      <c r="BM306" s="178"/>
      <c r="BN306" s="178"/>
      <c r="BO306" s="181"/>
      <c r="BP306" s="166"/>
      <c r="BQ306" s="177"/>
      <c r="BR306" s="178"/>
      <c r="BS306" s="179"/>
      <c r="BU306" s="166"/>
      <c r="BV306" s="166"/>
      <c r="BW306" s="166"/>
      <c r="BX306" s="166"/>
      <c r="BY306" s="166"/>
      <c r="BZ306" s="166"/>
      <c r="CA306" s="166"/>
      <c r="CB306" s="166"/>
      <c r="CC306" s="166"/>
      <c r="CD306" s="177"/>
      <c r="CE306" s="181"/>
      <c r="CF306" s="177"/>
      <c r="CG306" s="179"/>
      <c r="CH306" s="257"/>
      <c r="CI306" s="182"/>
      <c r="CJ306" s="177"/>
      <c r="CK306" s="182"/>
      <c r="CL306" s="177"/>
      <c r="CM306" s="182"/>
      <c r="CN306" s="177"/>
      <c r="CO306" s="182"/>
      <c r="CP306" s="177"/>
      <c r="CQ306" s="178"/>
      <c r="CR306" s="182"/>
      <c r="CS306" s="173"/>
      <c r="CT306" s="65"/>
      <c r="CU306" s="255" t="str">
        <f t="shared" si="2"/>
        <v/>
      </c>
    </row>
    <row r="307" ht="60.0" hidden="1" customHeight="1">
      <c r="A307" s="65"/>
      <c r="C307" s="167"/>
      <c r="D307" s="205"/>
      <c r="E307" s="262"/>
      <c r="F307" s="170"/>
      <c r="G307" s="170"/>
      <c r="H307" s="170"/>
      <c r="I307" s="170"/>
      <c r="J307" s="170"/>
      <c r="K307" s="171"/>
      <c r="L307" s="171"/>
      <c r="M307" s="171"/>
      <c r="N307" s="209"/>
      <c r="O307" s="172">
        <f t="shared" si="54"/>
        <v>0</v>
      </c>
      <c r="P307" s="166"/>
      <c r="Q307" s="173"/>
      <c r="R307" s="65"/>
      <c r="S307" s="173"/>
      <c r="T307" s="173"/>
      <c r="U307" s="166"/>
      <c r="V307" s="166"/>
      <c r="W307" s="65"/>
      <c r="X307" s="66"/>
      <c r="Y307" s="173"/>
      <c r="Z307" s="166"/>
      <c r="AA307" s="174"/>
      <c r="AB307" s="175"/>
      <c r="AC307" s="175"/>
      <c r="AD307" s="175"/>
      <c r="AE307" s="175"/>
      <c r="AF307" s="175"/>
      <c r="AG307" s="175"/>
      <c r="AH307" s="175"/>
      <c r="AI307" s="176"/>
      <c r="AJ307" s="177"/>
      <c r="AK307" s="178"/>
      <c r="AL307" s="178"/>
      <c r="AM307" s="178"/>
      <c r="AN307" s="178"/>
      <c r="AO307" s="179"/>
      <c r="AP307" s="64"/>
      <c r="AQ307" s="65"/>
      <c r="AR307" s="65"/>
      <c r="AS307" s="65"/>
      <c r="AT307" s="173"/>
      <c r="AU307" s="177"/>
      <c r="AV307" s="178"/>
      <c r="AW307" s="178"/>
      <c r="AX307" s="179"/>
      <c r="AZ307" s="166"/>
      <c r="BA307" s="177"/>
      <c r="BB307" s="178"/>
      <c r="BC307" s="178"/>
      <c r="BD307" s="178"/>
      <c r="BE307" s="178"/>
      <c r="BF307" s="178"/>
      <c r="BG307" s="178"/>
      <c r="BH307" s="178"/>
      <c r="BI307" s="179"/>
      <c r="BJ307" s="180"/>
      <c r="BK307" s="178"/>
      <c r="BL307" s="178"/>
      <c r="BM307" s="178"/>
      <c r="BN307" s="178"/>
      <c r="BO307" s="181"/>
      <c r="BP307" s="166"/>
      <c r="BQ307" s="177"/>
      <c r="BR307" s="178"/>
      <c r="BS307" s="179"/>
      <c r="BU307" s="166"/>
      <c r="BV307" s="166"/>
      <c r="BW307" s="166"/>
      <c r="BX307" s="166"/>
      <c r="BY307" s="166"/>
      <c r="BZ307" s="166"/>
      <c r="CA307" s="166"/>
      <c r="CB307" s="166"/>
      <c r="CC307" s="166"/>
      <c r="CD307" s="177"/>
      <c r="CE307" s="181"/>
      <c r="CF307" s="177"/>
      <c r="CG307" s="179"/>
      <c r="CH307" s="257"/>
      <c r="CI307" s="182"/>
      <c r="CJ307" s="177"/>
      <c r="CK307" s="182"/>
      <c r="CL307" s="177"/>
      <c r="CM307" s="182"/>
      <c r="CN307" s="177"/>
      <c r="CO307" s="182"/>
      <c r="CP307" s="177"/>
      <c r="CQ307" s="178"/>
      <c r="CR307" s="182"/>
      <c r="CS307" s="173"/>
      <c r="CT307" s="65"/>
      <c r="CU307" s="255" t="str">
        <f t="shared" si="2"/>
        <v/>
      </c>
    </row>
    <row r="308" ht="60.0" hidden="1" customHeight="1">
      <c r="A308" s="65"/>
      <c r="C308" s="167"/>
      <c r="D308" s="205"/>
      <c r="E308" s="262"/>
      <c r="F308" s="170"/>
      <c r="G308" s="170"/>
      <c r="H308" s="170"/>
      <c r="I308" s="170"/>
      <c r="J308" s="170"/>
      <c r="K308" s="171"/>
      <c r="L308" s="171"/>
      <c r="M308" s="171"/>
      <c r="N308" s="209"/>
      <c r="O308" s="172">
        <f t="shared" si="54"/>
        <v>0</v>
      </c>
      <c r="P308" s="166"/>
      <c r="Q308" s="173"/>
      <c r="R308" s="65"/>
      <c r="S308" s="173"/>
      <c r="T308" s="173"/>
      <c r="U308" s="166"/>
      <c r="V308" s="166"/>
      <c r="W308" s="65"/>
      <c r="X308" s="66"/>
      <c r="Y308" s="173"/>
      <c r="Z308" s="166"/>
      <c r="AA308" s="174"/>
      <c r="AB308" s="175"/>
      <c r="AC308" s="175"/>
      <c r="AD308" s="175"/>
      <c r="AE308" s="175"/>
      <c r="AF308" s="175"/>
      <c r="AG308" s="175"/>
      <c r="AH308" s="175"/>
      <c r="AI308" s="176"/>
      <c r="AJ308" s="177"/>
      <c r="AK308" s="178"/>
      <c r="AL308" s="178"/>
      <c r="AM308" s="178"/>
      <c r="AN308" s="178"/>
      <c r="AO308" s="179"/>
      <c r="AP308" s="64"/>
      <c r="AQ308" s="65"/>
      <c r="AR308" s="65"/>
      <c r="AS308" s="65"/>
      <c r="AT308" s="173"/>
      <c r="AU308" s="177"/>
      <c r="AV308" s="178"/>
      <c r="AW308" s="178"/>
      <c r="AX308" s="179"/>
      <c r="AZ308" s="166"/>
      <c r="BA308" s="177"/>
      <c r="BB308" s="178"/>
      <c r="BC308" s="178"/>
      <c r="BD308" s="178"/>
      <c r="BE308" s="178"/>
      <c r="BF308" s="178"/>
      <c r="BG308" s="178"/>
      <c r="BH308" s="178"/>
      <c r="BI308" s="179"/>
      <c r="BJ308" s="180"/>
      <c r="BK308" s="178"/>
      <c r="BL308" s="178"/>
      <c r="BM308" s="178"/>
      <c r="BN308" s="178"/>
      <c r="BO308" s="181"/>
      <c r="BP308" s="166"/>
      <c r="BQ308" s="177"/>
      <c r="BR308" s="178"/>
      <c r="BS308" s="179"/>
      <c r="BU308" s="166"/>
      <c r="BV308" s="166"/>
      <c r="BW308" s="166"/>
      <c r="BX308" s="166"/>
      <c r="BY308" s="166"/>
      <c r="BZ308" s="166"/>
      <c r="CA308" s="166"/>
      <c r="CB308" s="166"/>
      <c r="CC308" s="166"/>
      <c r="CD308" s="177"/>
      <c r="CE308" s="181"/>
      <c r="CF308" s="177"/>
      <c r="CG308" s="179"/>
      <c r="CH308" s="257"/>
      <c r="CI308" s="182"/>
      <c r="CJ308" s="177"/>
      <c r="CK308" s="182"/>
      <c r="CL308" s="177"/>
      <c r="CM308" s="182"/>
      <c r="CN308" s="177"/>
      <c r="CO308" s="182"/>
      <c r="CP308" s="177"/>
      <c r="CQ308" s="178"/>
      <c r="CR308" s="182"/>
      <c r="CS308" s="173"/>
      <c r="CT308" s="65"/>
      <c r="CU308" s="255" t="str">
        <f t="shared" si="2"/>
        <v/>
      </c>
    </row>
    <row r="309" ht="60.0" hidden="1" customHeight="1">
      <c r="A309" s="65"/>
      <c r="C309" s="167"/>
      <c r="D309" s="205"/>
      <c r="E309" s="262"/>
      <c r="F309" s="170"/>
      <c r="G309" s="170"/>
      <c r="H309" s="170"/>
      <c r="I309" s="170"/>
      <c r="J309" s="170"/>
      <c r="K309" s="171"/>
      <c r="L309" s="171"/>
      <c r="M309" s="171"/>
      <c r="N309" s="209"/>
      <c r="O309" s="172">
        <f t="shared" si="54"/>
        <v>0</v>
      </c>
      <c r="P309" s="166"/>
      <c r="Q309" s="173"/>
      <c r="R309" s="65"/>
      <c r="S309" s="173"/>
      <c r="T309" s="173"/>
      <c r="U309" s="166"/>
      <c r="V309" s="166"/>
      <c r="W309" s="65"/>
      <c r="X309" s="66"/>
      <c r="Y309" s="173"/>
      <c r="Z309" s="166"/>
      <c r="AA309" s="174"/>
      <c r="AB309" s="175"/>
      <c r="AC309" s="175"/>
      <c r="AD309" s="175"/>
      <c r="AE309" s="175"/>
      <c r="AF309" s="175"/>
      <c r="AG309" s="175"/>
      <c r="AH309" s="175"/>
      <c r="AI309" s="176"/>
      <c r="AJ309" s="177"/>
      <c r="AK309" s="178"/>
      <c r="AL309" s="178"/>
      <c r="AM309" s="178"/>
      <c r="AN309" s="178"/>
      <c r="AO309" s="179"/>
      <c r="AP309" s="64"/>
      <c r="AQ309" s="65"/>
      <c r="AR309" s="65"/>
      <c r="AS309" s="65"/>
      <c r="AT309" s="173"/>
      <c r="AU309" s="177"/>
      <c r="AV309" s="178"/>
      <c r="AW309" s="178"/>
      <c r="AX309" s="179"/>
      <c r="AZ309" s="166"/>
      <c r="BA309" s="177"/>
      <c r="BB309" s="178"/>
      <c r="BC309" s="178"/>
      <c r="BD309" s="178"/>
      <c r="BE309" s="178"/>
      <c r="BF309" s="178"/>
      <c r="BG309" s="178"/>
      <c r="BH309" s="178"/>
      <c r="BI309" s="179"/>
      <c r="BJ309" s="180"/>
      <c r="BK309" s="178"/>
      <c r="BL309" s="178"/>
      <c r="BM309" s="178"/>
      <c r="BN309" s="178"/>
      <c r="BO309" s="181"/>
      <c r="BP309" s="166"/>
      <c r="BQ309" s="177"/>
      <c r="BR309" s="178"/>
      <c r="BS309" s="179"/>
      <c r="BU309" s="166"/>
      <c r="BV309" s="166"/>
      <c r="BW309" s="166"/>
      <c r="BX309" s="166"/>
      <c r="BY309" s="166"/>
      <c r="BZ309" s="166"/>
      <c r="CA309" s="166"/>
      <c r="CB309" s="166"/>
      <c r="CC309" s="166"/>
      <c r="CD309" s="177"/>
      <c r="CE309" s="181"/>
      <c r="CF309" s="177"/>
      <c r="CG309" s="179"/>
      <c r="CH309" s="257"/>
      <c r="CI309" s="182"/>
      <c r="CJ309" s="177"/>
      <c r="CK309" s="182"/>
      <c r="CL309" s="177"/>
      <c r="CM309" s="182"/>
      <c r="CN309" s="177"/>
      <c r="CO309" s="182"/>
      <c r="CP309" s="177"/>
      <c r="CQ309" s="178"/>
      <c r="CR309" s="182"/>
      <c r="CS309" s="173"/>
      <c r="CT309" s="65"/>
      <c r="CU309" s="255" t="str">
        <f t="shared" si="2"/>
        <v/>
      </c>
    </row>
    <row r="310" ht="60.0" hidden="1" customHeight="1">
      <c r="A310" s="65"/>
      <c r="C310" s="167"/>
      <c r="D310" s="205"/>
      <c r="E310" s="262"/>
      <c r="F310" s="170"/>
      <c r="G310" s="170"/>
      <c r="H310" s="170"/>
      <c r="I310" s="170"/>
      <c r="J310" s="170"/>
      <c r="K310" s="171"/>
      <c r="L310" s="171"/>
      <c r="M310" s="171"/>
      <c r="N310" s="209"/>
      <c r="O310" s="172">
        <f t="shared" si="54"/>
        <v>0</v>
      </c>
      <c r="P310" s="166"/>
      <c r="Q310" s="173"/>
      <c r="R310" s="65"/>
      <c r="S310" s="173"/>
      <c r="T310" s="173"/>
      <c r="U310" s="166"/>
      <c r="V310" s="166"/>
      <c r="W310" s="65"/>
      <c r="X310" s="66"/>
      <c r="Y310" s="173"/>
      <c r="Z310" s="166"/>
      <c r="AA310" s="174"/>
      <c r="AB310" s="175"/>
      <c r="AC310" s="175"/>
      <c r="AD310" s="175"/>
      <c r="AE310" s="175"/>
      <c r="AF310" s="175"/>
      <c r="AG310" s="175"/>
      <c r="AH310" s="175"/>
      <c r="AI310" s="176"/>
      <c r="AJ310" s="177"/>
      <c r="AK310" s="178"/>
      <c r="AL310" s="178"/>
      <c r="AM310" s="178"/>
      <c r="AN310" s="178"/>
      <c r="AO310" s="179"/>
      <c r="AP310" s="64"/>
      <c r="AQ310" s="65"/>
      <c r="AR310" s="65"/>
      <c r="AS310" s="65"/>
      <c r="AT310" s="173"/>
      <c r="AU310" s="177"/>
      <c r="AV310" s="178"/>
      <c r="AW310" s="178"/>
      <c r="AX310" s="179"/>
      <c r="AZ310" s="166"/>
      <c r="BA310" s="177"/>
      <c r="BB310" s="178"/>
      <c r="BC310" s="178"/>
      <c r="BD310" s="178"/>
      <c r="BE310" s="178"/>
      <c r="BF310" s="178"/>
      <c r="BG310" s="178"/>
      <c r="BH310" s="178"/>
      <c r="BI310" s="179"/>
      <c r="BJ310" s="180"/>
      <c r="BK310" s="178"/>
      <c r="BL310" s="178"/>
      <c r="BM310" s="178"/>
      <c r="BN310" s="178"/>
      <c r="BO310" s="181"/>
      <c r="BP310" s="166"/>
      <c r="BQ310" s="177"/>
      <c r="BR310" s="178"/>
      <c r="BS310" s="179"/>
      <c r="BU310" s="166"/>
      <c r="BV310" s="166"/>
      <c r="BW310" s="166"/>
      <c r="BX310" s="166"/>
      <c r="BY310" s="166"/>
      <c r="BZ310" s="166"/>
      <c r="CA310" s="166"/>
      <c r="CB310" s="166"/>
      <c r="CC310" s="166"/>
      <c r="CD310" s="177"/>
      <c r="CE310" s="181"/>
      <c r="CF310" s="177"/>
      <c r="CG310" s="179"/>
      <c r="CH310" s="257"/>
      <c r="CI310" s="182"/>
      <c r="CJ310" s="177"/>
      <c r="CK310" s="182"/>
      <c r="CL310" s="177"/>
      <c r="CM310" s="182"/>
      <c r="CN310" s="177"/>
      <c r="CO310" s="182"/>
      <c r="CP310" s="177"/>
      <c r="CQ310" s="178"/>
      <c r="CR310" s="182"/>
      <c r="CS310" s="173"/>
      <c r="CT310" s="65"/>
      <c r="CU310" s="255" t="str">
        <f t="shared" si="2"/>
        <v/>
      </c>
    </row>
    <row r="311" ht="60.0" hidden="1" customHeight="1">
      <c r="A311" s="65"/>
      <c r="C311" s="167"/>
      <c r="D311" s="205"/>
      <c r="E311" s="262"/>
      <c r="F311" s="170"/>
      <c r="G311" s="170"/>
      <c r="H311" s="170"/>
      <c r="I311" s="170"/>
      <c r="J311" s="170"/>
      <c r="K311" s="171"/>
      <c r="L311" s="171"/>
      <c r="M311" s="171"/>
      <c r="N311" s="209"/>
      <c r="O311" s="172">
        <f t="shared" si="54"/>
        <v>0</v>
      </c>
      <c r="P311" s="166"/>
      <c r="Q311" s="173"/>
      <c r="R311" s="65"/>
      <c r="S311" s="173"/>
      <c r="T311" s="173"/>
      <c r="U311" s="166"/>
      <c r="V311" s="166"/>
      <c r="W311" s="65"/>
      <c r="X311" s="66"/>
      <c r="Y311" s="173"/>
      <c r="Z311" s="166"/>
      <c r="AA311" s="174"/>
      <c r="AB311" s="175"/>
      <c r="AC311" s="175"/>
      <c r="AD311" s="175"/>
      <c r="AE311" s="175"/>
      <c r="AF311" s="175"/>
      <c r="AG311" s="175"/>
      <c r="AH311" s="175"/>
      <c r="AI311" s="176"/>
      <c r="AJ311" s="177"/>
      <c r="AK311" s="178"/>
      <c r="AL311" s="178"/>
      <c r="AM311" s="178"/>
      <c r="AN311" s="178"/>
      <c r="AO311" s="179"/>
      <c r="AP311" s="64"/>
      <c r="AQ311" s="65"/>
      <c r="AR311" s="65"/>
      <c r="AS311" s="65"/>
      <c r="AT311" s="173"/>
      <c r="AU311" s="177"/>
      <c r="AV311" s="178"/>
      <c r="AW311" s="178"/>
      <c r="AX311" s="179"/>
      <c r="AZ311" s="166"/>
      <c r="BA311" s="177"/>
      <c r="BB311" s="178"/>
      <c r="BC311" s="178"/>
      <c r="BD311" s="178"/>
      <c r="BE311" s="178"/>
      <c r="BF311" s="178"/>
      <c r="BG311" s="178"/>
      <c r="BH311" s="178"/>
      <c r="BI311" s="179"/>
      <c r="BJ311" s="180"/>
      <c r="BK311" s="178"/>
      <c r="BL311" s="178"/>
      <c r="BM311" s="178"/>
      <c r="BN311" s="178"/>
      <c r="BO311" s="181"/>
      <c r="BP311" s="166"/>
      <c r="BQ311" s="177"/>
      <c r="BR311" s="178"/>
      <c r="BS311" s="179"/>
      <c r="BU311" s="166"/>
      <c r="BV311" s="166"/>
      <c r="BW311" s="166"/>
      <c r="BX311" s="166"/>
      <c r="BY311" s="166"/>
      <c r="BZ311" s="166"/>
      <c r="CA311" s="166"/>
      <c r="CB311" s="166"/>
      <c r="CC311" s="166"/>
      <c r="CD311" s="177"/>
      <c r="CE311" s="181"/>
      <c r="CF311" s="177"/>
      <c r="CG311" s="179"/>
      <c r="CH311" s="257"/>
      <c r="CI311" s="182"/>
      <c r="CJ311" s="177"/>
      <c r="CK311" s="182"/>
      <c r="CL311" s="177"/>
      <c r="CM311" s="182"/>
      <c r="CN311" s="177"/>
      <c r="CO311" s="182"/>
      <c r="CP311" s="177"/>
      <c r="CQ311" s="178"/>
      <c r="CR311" s="182"/>
      <c r="CS311" s="173"/>
      <c r="CT311" s="65"/>
      <c r="CU311" s="255" t="str">
        <f t="shared" si="2"/>
        <v/>
      </c>
    </row>
    <row r="312" ht="60.0" hidden="1" customHeight="1">
      <c r="A312" s="65"/>
      <c r="C312" s="167"/>
      <c r="D312" s="205"/>
      <c r="E312" s="262"/>
      <c r="F312" s="170"/>
      <c r="G312" s="170"/>
      <c r="H312" s="170"/>
      <c r="I312" s="170"/>
      <c r="J312" s="170"/>
      <c r="K312" s="171"/>
      <c r="L312" s="171"/>
      <c r="M312" s="171"/>
      <c r="N312" s="209"/>
      <c r="O312" s="172">
        <f t="shared" si="54"/>
        <v>0</v>
      </c>
      <c r="P312" s="166"/>
      <c r="Q312" s="173"/>
      <c r="R312" s="65"/>
      <c r="S312" s="173"/>
      <c r="T312" s="173"/>
      <c r="U312" s="166"/>
      <c r="V312" s="166"/>
      <c r="W312" s="65"/>
      <c r="X312" s="66"/>
      <c r="Y312" s="173"/>
      <c r="Z312" s="166"/>
      <c r="AA312" s="174"/>
      <c r="AB312" s="175"/>
      <c r="AC312" s="175"/>
      <c r="AD312" s="175"/>
      <c r="AE312" s="175"/>
      <c r="AF312" s="175"/>
      <c r="AG312" s="175"/>
      <c r="AH312" s="175"/>
      <c r="AI312" s="176"/>
      <c r="AJ312" s="177"/>
      <c r="AK312" s="178"/>
      <c r="AL312" s="178"/>
      <c r="AM312" s="178"/>
      <c r="AN312" s="178"/>
      <c r="AO312" s="179"/>
      <c r="AP312" s="64"/>
      <c r="AQ312" s="65"/>
      <c r="AR312" s="65"/>
      <c r="AS312" s="65"/>
      <c r="AT312" s="173"/>
      <c r="AU312" s="177"/>
      <c r="AV312" s="178"/>
      <c r="AW312" s="178"/>
      <c r="AX312" s="179"/>
      <c r="AZ312" s="166"/>
      <c r="BA312" s="177"/>
      <c r="BB312" s="178"/>
      <c r="BC312" s="178"/>
      <c r="BD312" s="178"/>
      <c r="BE312" s="178"/>
      <c r="BF312" s="178"/>
      <c r="BG312" s="178"/>
      <c r="BH312" s="178"/>
      <c r="BI312" s="179"/>
      <c r="BJ312" s="180"/>
      <c r="BK312" s="178"/>
      <c r="BL312" s="178"/>
      <c r="BM312" s="178"/>
      <c r="BN312" s="178"/>
      <c r="BO312" s="181"/>
      <c r="BP312" s="166"/>
      <c r="BQ312" s="177"/>
      <c r="BR312" s="178"/>
      <c r="BS312" s="179"/>
      <c r="BU312" s="166"/>
      <c r="BV312" s="166"/>
      <c r="BW312" s="166"/>
      <c r="BX312" s="166"/>
      <c r="BY312" s="166"/>
      <c r="BZ312" s="166"/>
      <c r="CA312" s="166"/>
      <c r="CB312" s="166"/>
      <c r="CC312" s="166"/>
      <c r="CD312" s="177"/>
      <c r="CE312" s="181"/>
      <c r="CF312" s="177"/>
      <c r="CG312" s="179"/>
      <c r="CH312" s="257"/>
      <c r="CI312" s="182"/>
      <c r="CJ312" s="177"/>
      <c r="CK312" s="182"/>
      <c r="CL312" s="177"/>
      <c r="CM312" s="182"/>
      <c r="CN312" s="177"/>
      <c r="CO312" s="182"/>
      <c r="CP312" s="177"/>
      <c r="CQ312" s="178"/>
      <c r="CR312" s="182"/>
      <c r="CS312" s="173"/>
      <c r="CT312" s="65"/>
      <c r="CU312" s="255" t="str">
        <f t="shared" si="2"/>
        <v/>
      </c>
    </row>
    <row r="313" ht="60.0" hidden="1" customHeight="1">
      <c r="A313" s="65"/>
      <c r="C313" s="167"/>
      <c r="D313" s="205"/>
      <c r="E313" s="262"/>
      <c r="F313" s="170"/>
      <c r="G313" s="170"/>
      <c r="H313" s="170"/>
      <c r="I313" s="170"/>
      <c r="J313" s="170"/>
      <c r="K313" s="171"/>
      <c r="L313" s="171"/>
      <c r="M313" s="171"/>
      <c r="N313" s="209"/>
      <c r="O313" s="172">
        <f t="shared" si="54"/>
        <v>0</v>
      </c>
      <c r="P313" s="166"/>
      <c r="Q313" s="173"/>
      <c r="R313" s="65"/>
      <c r="S313" s="173"/>
      <c r="T313" s="173"/>
      <c r="U313" s="166"/>
      <c r="V313" s="166"/>
      <c r="W313" s="65"/>
      <c r="X313" s="66"/>
      <c r="Y313" s="173"/>
      <c r="Z313" s="166"/>
      <c r="AA313" s="174"/>
      <c r="AB313" s="175"/>
      <c r="AC313" s="175"/>
      <c r="AD313" s="175"/>
      <c r="AE313" s="175"/>
      <c r="AF313" s="175"/>
      <c r="AG313" s="175"/>
      <c r="AH313" s="175"/>
      <c r="AI313" s="176"/>
      <c r="AJ313" s="177"/>
      <c r="AK313" s="178"/>
      <c r="AL313" s="178"/>
      <c r="AM313" s="178"/>
      <c r="AN313" s="178"/>
      <c r="AO313" s="179"/>
      <c r="AP313" s="64"/>
      <c r="AQ313" s="65"/>
      <c r="AR313" s="65"/>
      <c r="AS313" s="65"/>
      <c r="AT313" s="173"/>
      <c r="AU313" s="177"/>
      <c r="AV313" s="178"/>
      <c r="AW313" s="178"/>
      <c r="AX313" s="179"/>
      <c r="AZ313" s="166"/>
      <c r="BA313" s="177"/>
      <c r="BB313" s="178"/>
      <c r="BC313" s="178"/>
      <c r="BD313" s="178"/>
      <c r="BE313" s="178"/>
      <c r="BF313" s="178"/>
      <c r="BG313" s="178"/>
      <c r="BH313" s="178"/>
      <c r="BI313" s="179"/>
      <c r="BJ313" s="180"/>
      <c r="BK313" s="178"/>
      <c r="BL313" s="178"/>
      <c r="BM313" s="178"/>
      <c r="BN313" s="178"/>
      <c r="BO313" s="181"/>
      <c r="BP313" s="166"/>
      <c r="BQ313" s="177"/>
      <c r="BR313" s="178"/>
      <c r="BS313" s="179"/>
      <c r="BU313" s="166"/>
      <c r="BV313" s="166"/>
      <c r="BW313" s="166"/>
      <c r="BX313" s="166"/>
      <c r="BY313" s="166"/>
      <c r="BZ313" s="166"/>
      <c r="CA313" s="166"/>
      <c r="CB313" s="166"/>
      <c r="CC313" s="166"/>
      <c r="CD313" s="177"/>
      <c r="CE313" s="181"/>
      <c r="CF313" s="177"/>
      <c r="CG313" s="179"/>
      <c r="CH313" s="257"/>
      <c r="CI313" s="182"/>
      <c r="CJ313" s="177"/>
      <c r="CK313" s="182"/>
      <c r="CL313" s="177"/>
      <c r="CM313" s="182"/>
      <c r="CN313" s="177"/>
      <c r="CO313" s="182"/>
      <c r="CP313" s="177"/>
      <c r="CQ313" s="178"/>
      <c r="CR313" s="182"/>
      <c r="CS313" s="173"/>
      <c r="CT313" s="65"/>
      <c r="CU313" s="255" t="str">
        <f t="shared" si="2"/>
        <v/>
      </c>
    </row>
    <row r="314" ht="60.0" hidden="1" customHeight="1">
      <c r="A314" s="65"/>
      <c r="C314" s="167"/>
      <c r="D314" s="205"/>
      <c r="E314" s="262"/>
      <c r="F314" s="170"/>
      <c r="G314" s="170"/>
      <c r="H314" s="170"/>
      <c r="I314" s="170"/>
      <c r="J314" s="170"/>
      <c r="K314" s="171"/>
      <c r="L314" s="171"/>
      <c r="M314" s="171"/>
      <c r="N314" s="209"/>
      <c r="O314" s="172">
        <f t="shared" si="54"/>
        <v>0</v>
      </c>
      <c r="P314" s="166"/>
      <c r="Q314" s="173"/>
      <c r="R314" s="65"/>
      <c r="S314" s="173"/>
      <c r="T314" s="173"/>
      <c r="U314" s="166"/>
      <c r="V314" s="166"/>
      <c r="W314" s="65"/>
      <c r="X314" s="66"/>
      <c r="Y314" s="173"/>
      <c r="Z314" s="166"/>
      <c r="AA314" s="174"/>
      <c r="AB314" s="175"/>
      <c r="AC314" s="175"/>
      <c r="AD314" s="175"/>
      <c r="AE314" s="175"/>
      <c r="AF314" s="175"/>
      <c r="AG314" s="175"/>
      <c r="AH314" s="175"/>
      <c r="AI314" s="176"/>
      <c r="AJ314" s="177"/>
      <c r="AK314" s="178"/>
      <c r="AL314" s="178"/>
      <c r="AM314" s="178"/>
      <c r="AN314" s="178"/>
      <c r="AO314" s="179"/>
      <c r="AP314" s="64"/>
      <c r="AQ314" s="65"/>
      <c r="AR314" s="65"/>
      <c r="AS314" s="65"/>
      <c r="AT314" s="173"/>
      <c r="AU314" s="177"/>
      <c r="AV314" s="178"/>
      <c r="AW314" s="178"/>
      <c r="AX314" s="179"/>
      <c r="AZ314" s="166"/>
      <c r="BA314" s="177"/>
      <c r="BB314" s="178"/>
      <c r="BC314" s="178"/>
      <c r="BD314" s="178"/>
      <c r="BE314" s="178"/>
      <c r="BF314" s="178"/>
      <c r="BG314" s="178"/>
      <c r="BH314" s="178"/>
      <c r="BI314" s="179"/>
      <c r="BJ314" s="180"/>
      <c r="BK314" s="178"/>
      <c r="BL314" s="178"/>
      <c r="BM314" s="178"/>
      <c r="BN314" s="178"/>
      <c r="BO314" s="181"/>
      <c r="BP314" s="166"/>
      <c r="BQ314" s="177"/>
      <c r="BR314" s="178"/>
      <c r="BS314" s="179"/>
      <c r="BU314" s="166"/>
      <c r="BV314" s="166"/>
      <c r="BW314" s="166"/>
      <c r="BX314" s="166"/>
      <c r="BY314" s="166"/>
      <c r="BZ314" s="166"/>
      <c r="CA314" s="166"/>
      <c r="CB314" s="166"/>
      <c r="CC314" s="166"/>
      <c r="CD314" s="177"/>
      <c r="CE314" s="181"/>
      <c r="CF314" s="177"/>
      <c r="CG314" s="179"/>
      <c r="CH314" s="257"/>
      <c r="CI314" s="182"/>
      <c r="CJ314" s="177"/>
      <c r="CK314" s="182"/>
      <c r="CL314" s="177"/>
      <c r="CM314" s="182"/>
      <c r="CN314" s="177"/>
      <c r="CO314" s="182"/>
      <c r="CP314" s="177"/>
      <c r="CQ314" s="178"/>
      <c r="CR314" s="182"/>
      <c r="CS314" s="173"/>
      <c r="CT314" s="65"/>
      <c r="CU314" s="255" t="str">
        <f t="shared" si="2"/>
        <v/>
      </c>
    </row>
    <row r="315" ht="60.0" hidden="1" customHeight="1">
      <c r="A315" s="89"/>
      <c r="B315" s="6"/>
      <c r="C315" s="183"/>
      <c r="D315" s="210"/>
      <c r="E315" s="264"/>
      <c r="F315" s="227"/>
      <c r="G315" s="227"/>
      <c r="H315" s="227"/>
      <c r="I315" s="227"/>
      <c r="J315" s="227"/>
      <c r="K315" s="228"/>
      <c r="L315" s="228"/>
      <c r="M315" s="228"/>
      <c r="N315" s="229"/>
      <c r="O315" s="188">
        <f t="shared" si="54"/>
        <v>0</v>
      </c>
      <c r="P315" s="63"/>
      <c r="Q315" s="69"/>
      <c r="R315" s="89"/>
      <c r="S315" s="69"/>
      <c r="T315" s="69"/>
      <c r="U315" s="63"/>
      <c r="V315" s="63"/>
      <c r="W315" s="89"/>
      <c r="X315" s="68"/>
      <c r="Y315" s="69"/>
      <c r="Z315" s="63"/>
      <c r="AA315" s="189"/>
      <c r="AB315" s="190"/>
      <c r="AC315" s="190"/>
      <c r="AD315" s="190"/>
      <c r="AE315" s="190"/>
      <c r="AF315" s="190"/>
      <c r="AG315" s="190"/>
      <c r="AH315" s="190"/>
      <c r="AI315" s="191"/>
      <c r="AJ315" s="192"/>
      <c r="AK315" s="193"/>
      <c r="AL315" s="193"/>
      <c r="AM315" s="193"/>
      <c r="AN315" s="193"/>
      <c r="AO315" s="194"/>
      <c r="AP315" s="103"/>
      <c r="AQ315" s="89"/>
      <c r="AR315" s="89"/>
      <c r="AS315" s="89"/>
      <c r="AT315" s="69"/>
      <c r="AU315" s="192"/>
      <c r="AV315" s="193"/>
      <c r="AW315" s="193"/>
      <c r="AX315" s="194"/>
      <c r="AY315" s="6"/>
      <c r="AZ315" s="63"/>
      <c r="BA315" s="192"/>
      <c r="BB315" s="193"/>
      <c r="BC315" s="193"/>
      <c r="BD315" s="193"/>
      <c r="BE315" s="193"/>
      <c r="BF315" s="193"/>
      <c r="BG315" s="193"/>
      <c r="BH315" s="193"/>
      <c r="BI315" s="194"/>
      <c r="BJ315" s="195"/>
      <c r="BK315" s="193"/>
      <c r="BL315" s="193"/>
      <c r="BM315" s="193"/>
      <c r="BN315" s="193"/>
      <c r="BO315" s="196"/>
      <c r="BP315" s="63"/>
      <c r="BQ315" s="192"/>
      <c r="BR315" s="193"/>
      <c r="BS315" s="194"/>
      <c r="BT315" s="6"/>
      <c r="BU315" s="63"/>
      <c r="BV315" s="63"/>
      <c r="BW315" s="63"/>
      <c r="BX315" s="63"/>
      <c r="BY315" s="63"/>
      <c r="BZ315" s="63"/>
      <c r="CA315" s="63"/>
      <c r="CB315" s="63"/>
      <c r="CC315" s="63"/>
      <c r="CD315" s="192"/>
      <c r="CE315" s="196"/>
      <c r="CF315" s="192"/>
      <c r="CG315" s="194"/>
      <c r="CH315" s="259"/>
      <c r="CI315" s="197"/>
      <c r="CJ315" s="192"/>
      <c r="CK315" s="197"/>
      <c r="CL315" s="192"/>
      <c r="CM315" s="197"/>
      <c r="CN315" s="192"/>
      <c r="CO315" s="197"/>
      <c r="CP315" s="192"/>
      <c r="CQ315" s="193"/>
      <c r="CR315" s="197"/>
      <c r="CS315" s="69"/>
      <c r="CT315" s="89"/>
      <c r="CU315" s="255" t="str">
        <f t="shared" si="2"/>
        <v/>
      </c>
    </row>
    <row r="316" ht="57.0" customHeight="1">
      <c r="A316" s="233"/>
      <c r="B316" s="235"/>
      <c r="C316" s="265"/>
      <c r="D316" s="265"/>
      <c r="E316" s="230"/>
      <c r="F316" s="231"/>
      <c r="G316" s="231"/>
      <c r="H316" s="231"/>
      <c r="I316" s="231"/>
      <c r="J316" s="231"/>
      <c r="K316" s="231"/>
      <c r="L316" s="231"/>
      <c r="M316" s="231"/>
      <c r="N316" s="237"/>
      <c r="O316" s="238">
        <f t="shared" ref="O316:X316" si="55">SUM(O8:O315)</f>
        <v>0</v>
      </c>
      <c r="P316" s="239">
        <f t="shared" si="55"/>
        <v>0</v>
      </c>
      <c r="Q316" s="239">
        <f t="shared" si="55"/>
        <v>0</v>
      </c>
      <c r="R316" s="239">
        <f t="shared" si="55"/>
        <v>0</v>
      </c>
      <c r="S316" s="239">
        <f t="shared" si="55"/>
        <v>0</v>
      </c>
      <c r="T316" s="239">
        <f t="shared" si="55"/>
        <v>0</v>
      </c>
      <c r="U316" s="239">
        <f t="shared" si="55"/>
        <v>0</v>
      </c>
      <c r="V316" s="239">
        <f t="shared" si="55"/>
        <v>0</v>
      </c>
      <c r="W316" s="239">
        <f t="shared" si="55"/>
        <v>0</v>
      </c>
      <c r="X316" s="239">
        <f t="shared" si="55"/>
        <v>0</v>
      </c>
      <c r="Y316" s="240">
        <f>SUM(SUM(O8:O18)-X8,SUM(O19:O29)-X19,SUM(O30:O40)-X30,SUM(O41:O51)-X41,SUM(O52:O62)-X52,SUM(O63:O73)-X63,SUM(O74:O84)-X74,SUM(O85:O95)-X85,SUM(O96:O106)-X96,SUM(O107:O117)-X107,SUM(O118:O128)-X118,SUM(O129:O139)-X129,SUM(O140:O150)-X140,SUM(O151:O161)-X151,SUM(O162:O172)-X162,SUM(O173:O183)-X173,SUM(O184:O194)-X184,SUM(O195:O205)-X195,SUM(O206:O216)-X206,SUM(O217:O227)-X217,SUM(O228:O238)-X228,SUM(O239:O249)-X239,SUM(O250:O260)-X250,SUM(O261:O271)-X261,SUM(O272:O282)-X272,SUM(O283:O293)-X283,SUM(O294:O304)-X294,SUM(O305:CU315)-X305)</f>
        <v>0</v>
      </c>
      <c r="Z316" s="239">
        <f t="shared" ref="Z316:CT316" si="56">SUM(Z8:Z315)</f>
        <v>0</v>
      </c>
      <c r="AA316" s="239">
        <f t="shared" si="56"/>
        <v>0</v>
      </c>
      <c r="AB316" s="239">
        <f t="shared" si="56"/>
        <v>0</v>
      </c>
      <c r="AC316" s="239">
        <f t="shared" si="56"/>
        <v>0</v>
      </c>
      <c r="AD316" s="239">
        <f t="shared" si="56"/>
        <v>3</v>
      </c>
      <c r="AE316" s="239">
        <f t="shared" si="56"/>
        <v>0</v>
      </c>
      <c r="AF316" s="239">
        <f t="shared" si="56"/>
        <v>9499817172</v>
      </c>
      <c r="AG316" s="239">
        <f t="shared" si="56"/>
        <v>1</v>
      </c>
      <c r="AH316" s="239">
        <f t="shared" si="56"/>
        <v>0</v>
      </c>
      <c r="AI316" s="239">
        <f t="shared" si="56"/>
        <v>0.5</v>
      </c>
      <c r="AJ316" s="239">
        <f t="shared" si="56"/>
        <v>0</v>
      </c>
      <c r="AK316" s="239">
        <f t="shared" si="56"/>
        <v>0</v>
      </c>
      <c r="AL316" s="239">
        <f t="shared" si="56"/>
        <v>0</v>
      </c>
      <c r="AM316" s="239">
        <f t="shared" si="56"/>
        <v>0</v>
      </c>
      <c r="AN316" s="239">
        <f t="shared" si="56"/>
        <v>0</v>
      </c>
      <c r="AO316" s="239">
        <f t="shared" si="56"/>
        <v>0</v>
      </c>
      <c r="AP316" s="239">
        <f t="shared" si="56"/>
        <v>0.25</v>
      </c>
      <c r="AQ316" s="239">
        <f t="shared" si="56"/>
        <v>0</v>
      </c>
      <c r="AR316" s="239">
        <f t="shared" si="56"/>
        <v>0</v>
      </c>
      <c r="AS316" s="239">
        <f t="shared" si="56"/>
        <v>8.038888889</v>
      </c>
      <c r="AT316" s="239">
        <f t="shared" si="56"/>
        <v>2.009722222</v>
      </c>
      <c r="AU316" s="239">
        <f t="shared" si="56"/>
        <v>0</v>
      </c>
      <c r="AV316" s="239">
        <f t="shared" si="56"/>
        <v>0</v>
      </c>
      <c r="AW316" s="239">
        <f t="shared" si="56"/>
        <v>0</v>
      </c>
      <c r="AX316" s="239">
        <f t="shared" si="56"/>
        <v>0</v>
      </c>
      <c r="AY316" s="239">
        <f t="shared" si="56"/>
        <v>0</v>
      </c>
      <c r="AZ316" s="239">
        <f t="shared" si="56"/>
        <v>0</v>
      </c>
      <c r="BA316" s="239">
        <f t="shared" si="56"/>
        <v>0</v>
      </c>
      <c r="BB316" s="239">
        <f t="shared" si="56"/>
        <v>0</v>
      </c>
      <c r="BC316" s="239">
        <f t="shared" si="56"/>
        <v>0</v>
      </c>
      <c r="BD316" s="239">
        <f t="shared" si="56"/>
        <v>0</v>
      </c>
      <c r="BE316" s="239">
        <f t="shared" si="56"/>
        <v>0</v>
      </c>
      <c r="BF316" s="239">
        <f t="shared" si="56"/>
        <v>0</v>
      </c>
      <c r="BG316" s="239">
        <f t="shared" si="56"/>
        <v>0</v>
      </c>
      <c r="BH316" s="239">
        <f t="shared" si="56"/>
        <v>0</v>
      </c>
      <c r="BI316" s="239">
        <f t="shared" si="56"/>
        <v>0</v>
      </c>
      <c r="BJ316" s="239">
        <f t="shared" si="56"/>
        <v>0</v>
      </c>
      <c r="BK316" s="239">
        <f t="shared" si="56"/>
        <v>0</v>
      </c>
      <c r="BL316" s="239">
        <f t="shared" si="56"/>
        <v>0</v>
      </c>
      <c r="BM316" s="239">
        <f t="shared" si="56"/>
        <v>5.3</v>
      </c>
      <c r="BN316" s="239">
        <f t="shared" si="56"/>
        <v>0</v>
      </c>
      <c r="BO316" s="239">
        <f t="shared" si="56"/>
        <v>0</v>
      </c>
      <c r="BP316" s="239">
        <f t="shared" si="56"/>
        <v>0</v>
      </c>
      <c r="BQ316" s="239">
        <f t="shared" si="56"/>
        <v>0</v>
      </c>
      <c r="BR316" s="239">
        <f t="shared" si="56"/>
        <v>47</v>
      </c>
      <c r="BS316" s="239">
        <f t="shared" si="56"/>
        <v>0</v>
      </c>
      <c r="BT316" s="239">
        <f t="shared" si="56"/>
        <v>0</v>
      </c>
      <c r="BU316" s="239">
        <f t="shared" si="56"/>
        <v>0</v>
      </c>
      <c r="BV316" s="239">
        <f t="shared" si="56"/>
        <v>0</v>
      </c>
      <c r="BW316" s="239">
        <f t="shared" si="56"/>
        <v>0</v>
      </c>
      <c r="BX316" s="239">
        <f t="shared" si="56"/>
        <v>0</v>
      </c>
      <c r="BY316" s="239">
        <f t="shared" si="56"/>
        <v>0</v>
      </c>
      <c r="BZ316" s="239">
        <f t="shared" si="56"/>
        <v>0</v>
      </c>
      <c r="CA316" s="239">
        <f t="shared" si="56"/>
        <v>0</v>
      </c>
      <c r="CB316" s="239">
        <f t="shared" si="56"/>
        <v>0</v>
      </c>
      <c r="CC316" s="239">
        <f t="shared" si="56"/>
        <v>0</v>
      </c>
      <c r="CD316" s="239">
        <f t="shared" si="56"/>
        <v>0</v>
      </c>
      <c r="CE316" s="239">
        <f t="shared" si="56"/>
        <v>0</v>
      </c>
      <c r="CF316" s="239">
        <f t="shared" si="56"/>
        <v>0</v>
      </c>
      <c r="CG316" s="239">
        <f t="shared" si="56"/>
        <v>1.166666667</v>
      </c>
      <c r="CH316" s="239">
        <f t="shared" si="56"/>
        <v>1.5</v>
      </c>
      <c r="CI316" s="239">
        <f t="shared" si="56"/>
        <v>0</v>
      </c>
      <c r="CJ316" s="239">
        <f t="shared" si="56"/>
        <v>0</v>
      </c>
      <c r="CK316" s="239">
        <f t="shared" si="56"/>
        <v>0</v>
      </c>
      <c r="CL316" s="239">
        <f t="shared" si="56"/>
        <v>0</v>
      </c>
      <c r="CM316" s="239">
        <f t="shared" si="56"/>
        <v>0</v>
      </c>
      <c r="CN316" s="239">
        <f t="shared" si="56"/>
        <v>0</v>
      </c>
      <c r="CO316" s="239">
        <f t="shared" si="56"/>
        <v>0</v>
      </c>
      <c r="CP316" s="239">
        <f t="shared" si="56"/>
        <v>0</v>
      </c>
      <c r="CQ316" s="239">
        <f t="shared" si="56"/>
        <v>0</v>
      </c>
      <c r="CR316" s="239">
        <f t="shared" si="56"/>
        <v>0</v>
      </c>
      <c r="CS316" s="239">
        <f t="shared" si="56"/>
        <v>0</v>
      </c>
      <c r="CT316" s="239">
        <f t="shared" si="56"/>
        <v>8.038888889</v>
      </c>
      <c r="CU316" s="236"/>
    </row>
  </sheetData>
  <mergeCells count="2183">
    <mergeCell ref="CN151:CN161"/>
    <mergeCell ref="CO151:CO161"/>
    <mergeCell ref="CP151:CP161"/>
    <mergeCell ref="CQ151:CQ161"/>
    <mergeCell ref="CR151:CR161"/>
    <mergeCell ref="CS151:CS161"/>
    <mergeCell ref="CT151:CT161"/>
    <mergeCell ref="CG151:CG161"/>
    <mergeCell ref="CH151:CH161"/>
    <mergeCell ref="CI151:CI161"/>
    <mergeCell ref="CJ151:CJ161"/>
    <mergeCell ref="CK151:CK161"/>
    <mergeCell ref="CL151:CL161"/>
    <mergeCell ref="CM151:CM161"/>
    <mergeCell ref="AQ151:AQ161"/>
    <mergeCell ref="AR151:AR161"/>
    <mergeCell ref="AS151:AS161"/>
    <mergeCell ref="AT151:AT161"/>
    <mergeCell ref="AU151:AU161"/>
    <mergeCell ref="AV151:AV161"/>
    <mergeCell ref="AW151:AW161"/>
    <mergeCell ref="AX151:AX161"/>
    <mergeCell ref="AY151:AY161"/>
    <mergeCell ref="AZ151:AZ161"/>
    <mergeCell ref="BA151:BA161"/>
    <mergeCell ref="BB151:BB161"/>
    <mergeCell ref="BC151:BC161"/>
    <mergeCell ref="BD151:BD161"/>
    <mergeCell ref="BE151:BE161"/>
    <mergeCell ref="BF151:BF161"/>
    <mergeCell ref="BG151:BG161"/>
    <mergeCell ref="BH151:BH161"/>
    <mergeCell ref="BI151:BI161"/>
    <mergeCell ref="BJ151:BJ161"/>
    <mergeCell ref="BK151:BK161"/>
    <mergeCell ref="BL151:BL161"/>
    <mergeCell ref="BM151:BM161"/>
    <mergeCell ref="BN151:BN161"/>
    <mergeCell ref="BO151:BO161"/>
    <mergeCell ref="BP151:BP161"/>
    <mergeCell ref="BQ151:BQ161"/>
    <mergeCell ref="BR151:BR161"/>
    <mergeCell ref="BS151:BS161"/>
    <mergeCell ref="BT151:BT161"/>
    <mergeCell ref="BU151:BU161"/>
    <mergeCell ref="BV151:BV161"/>
    <mergeCell ref="BW151:BW161"/>
    <mergeCell ref="BX151:BX161"/>
    <mergeCell ref="BY151:BY161"/>
    <mergeCell ref="BZ151:BZ161"/>
    <mergeCell ref="CA151:CA161"/>
    <mergeCell ref="CB151:CB161"/>
    <mergeCell ref="CC151:CC161"/>
    <mergeCell ref="CD151:CD161"/>
    <mergeCell ref="CE151:CE161"/>
    <mergeCell ref="CF151:CF161"/>
    <mergeCell ref="AJ151:AJ161"/>
    <mergeCell ref="AK151:AK161"/>
    <mergeCell ref="AL151:AL161"/>
    <mergeCell ref="AM151:AM161"/>
    <mergeCell ref="AN151:AN161"/>
    <mergeCell ref="AO151:AO161"/>
    <mergeCell ref="AP151:AP161"/>
    <mergeCell ref="CN96:CN106"/>
    <mergeCell ref="CO96:CO106"/>
    <mergeCell ref="CG96:CG106"/>
    <mergeCell ref="CH96:CH106"/>
    <mergeCell ref="CI96:CI106"/>
    <mergeCell ref="CJ96:CJ106"/>
    <mergeCell ref="CK96:CK106"/>
    <mergeCell ref="CL96:CL106"/>
    <mergeCell ref="CM96:CM106"/>
    <mergeCell ref="AQ96:AQ106"/>
    <mergeCell ref="AR96:AR106"/>
    <mergeCell ref="AS96:AS106"/>
    <mergeCell ref="AT96:AT106"/>
    <mergeCell ref="AU96:AU106"/>
    <mergeCell ref="AV96:AV106"/>
    <mergeCell ref="AW96:AW106"/>
    <mergeCell ref="AX96:AX106"/>
    <mergeCell ref="AY96:AY106"/>
    <mergeCell ref="AZ96:AZ106"/>
    <mergeCell ref="BA96:BA106"/>
    <mergeCell ref="BB96:BB106"/>
    <mergeCell ref="BC96:BC106"/>
    <mergeCell ref="BD96:BD106"/>
    <mergeCell ref="BE96:BE106"/>
    <mergeCell ref="BF96:BF106"/>
    <mergeCell ref="BG96:BG106"/>
    <mergeCell ref="BH96:BH106"/>
    <mergeCell ref="BI96:BI106"/>
    <mergeCell ref="BJ96:BJ106"/>
    <mergeCell ref="BK96:BK106"/>
    <mergeCell ref="BL96:BL106"/>
    <mergeCell ref="BM96:BM106"/>
    <mergeCell ref="BN96:BN106"/>
    <mergeCell ref="BO96:BO106"/>
    <mergeCell ref="BP96:BP106"/>
    <mergeCell ref="BQ96:BQ106"/>
    <mergeCell ref="BR96:BR106"/>
    <mergeCell ref="BS96:BS106"/>
    <mergeCell ref="BT96:BT106"/>
    <mergeCell ref="BU96:BU106"/>
    <mergeCell ref="BV96:BV106"/>
    <mergeCell ref="BW96:BW106"/>
    <mergeCell ref="BX96:BX106"/>
    <mergeCell ref="BY96:BY106"/>
    <mergeCell ref="BZ96:BZ106"/>
    <mergeCell ref="CA96:CA106"/>
    <mergeCell ref="CB96:CB106"/>
    <mergeCell ref="CC96:CC106"/>
    <mergeCell ref="CD96:CD106"/>
    <mergeCell ref="CE96:CE106"/>
    <mergeCell ref="CF96:CF106"/>
    <mergeCell ref="AJ96:AJ106"/>
    <mergeCell ref="AK96:AK106"/>
    <mergeCell ref="AL96:AL106"/>
    <mergeCell ref="AM96:AM106"/>
    <mergeCell ref="AN96:AN106"/>
    <mergeCell ref="AO96:AO106"/>
    <mergeCell ref="AP96:AP106"/>
    <mergeCell ref="CN107:CN117"/>
    <mergeCell ref="CO107:CO117"/>
    <mergeCell ref="CP107:CP117"/>
    <mergeCell ref="CQ107:CQ117"/>
    <mergeCell ref="CR107:CR117"/>
    <mergeCell ref="CS107:CS117"/>
    <mergeCell ref="CT107:CT117"/>
    <mergeCell ref="CG107:CG117"/>
    <mergeCell ref="CH107:CH117"/>
    <mergeCell ref="CI107:CI117"/>
    <mergeCell ref="CJ107:CJ117"/>
    <mergeCell ref="CK107:CK117"/>
    <mergeCell ref="CL107:CL117"/>
    <mergeCell ref="CM107:CM117"/>
    <mergeCell ref="AQ107:AQ117"/>
    <mergeCell ref="AR107:AR117"/>
    <mergeCell ref="AS107:AS117"/>
    <mergeCell ref="AT107:AT117"/>
    <mergeCell ref="AU107:AU117"/>
    <mergeCell ref="AV107:AV117"/>
    <mergeCell ref="AW107:AW117"/>
    <mergeCell ref="AX107:AX117"/>
    <mergeCell ref="AY107:AY117"/>
    <mergeCell ref="AZ107:AZ117"/>
    <mergeCell ref="BA107:BA117"/>
    <mergeCell ref="BB107:BB117"/>
    <mergeCell ref="BC107:BC117"/>
    <mergeCell ref="BD107:BD117"/>
    <mergeCell ref="BE107:BE117"/>
    <mergeCell ref="BF107:BF117"/>
    <mergeCell ref="BG107:BG117"/>
    <mergeCell ref="BH107:BH117"/>
    <mergeCell ref="BI107:BI117"/>
    <mergeCell ref="BJ107:BJ117"/>
    <mergeCell ref="BK107:BK117"/>
    <mergeCell ref="BL107:BL117"/>
    <mergeCell ref="BM107:BM117"/>
    <mergeCell ref="BN107:BN117"/>
    <mergeCell ref="BO107:BO117"/>
    <mergeCell ref="BP107:BP117"/>
    <mergeCell ref="BQ107:BQ117"/>
    <mergeCell ref="BR107:BR117"/>
    <mergeCell ref="BS107:BS117"/>
    <mergeCell ref="BT107:BT117"/>
    <mergeCell ref="BU107:BU117"/>
    <mergeCell ref="BV107:BV117"/>
    <mergeCell ref="BW107:BW117"/>
    <mergeCell ref="BX107:BX117"/>
    <mergeCell ref="BY107:BY117"/>
    <mergeCell ref="BZ107:BZ117"/>
    <mergeCell ref="CA107:CA117"/>
    <mergeCell ref="CB107:CB117"/>
    <mergeCell ref="CC107:CC117"/>
    <mergeCell ref="CD107:CD117"/>
    <mergeCell ref="CE107:CE117"/>
    <mergeCell ref="CF107:CF117"/>
    <mergeCell ref="AJ107:AJ117"/>
    <mergeCell ref="AK107:AK117"/>
    <mergeCell ref="AL107:AL117"/>
    <mergeCell ref="AM107:AM117"/>
    <mergeCell ref="AN107:AN117"/>
    <mergeCell ref="AO107:AO117"/>
    <mergeCell ref="AP107:AP117"/>
    <mergeCell ref="CN118:CN128"/>
    <mergeCell ref="CO118:CO128"/>
    <mergeCell ref="CP118:CP128"/>
    <mergeCell ref="CQ118:CQ128"/>
    <mergeCell ref="CR118:CR128"/>
    <mergeCell ref="CS118:CS128"/>
    <mergeCell ref="CT118:CT128"/>
    <mergeCell ref="CG118:CG128"/>
    <mergeCell ref="CH118:CH128"/>
    <mergeCell ref="CI118:CI128"/>
    <mergeCell ref="CJ118:CJ128"/>
    <mergeCell ref="CK118:CK128"/>
    <mergeCell ref="CL118:CL128"/>
    <mergeCell ref="CM118:CM128"/>
    <mergeCell ref="AQ118:AQ128"/>
    <mergeCell ref="AR118:AR128"/>
    <mergeCell ref="AS118:AS128"/>
    <mergeCell ref="AT118:AT128"/>
    <mergeCell ref="AU118:AU128"/>
    <mergeCell ref="AV118:AV128"/>
    <mergeCell ref="AW118:AW128"/>
    <mergeCell ref="AX118:AX128"/>
    <mergeCell ref="AY118:AY128"/>
    <mergeCell ref="AZ118:AZ128"/>
    <mergeCell ref="BA118:BA128"/>
    <mergeCell ref="BB118:BB128"/>
    <mergeCell ref="BC118:BC128"/>
    <mergeCell ref="BD118:BD128"/>
    <mergeCell ref="BE118:BE128"/>
    <mergeCell ref="BF118:BF128"/>
    <mergeCell ref="BG118:BG128"/>
    <mergeCell ref="BH118:BH128"/>
    <mergeCell ref="BI118:BI128"/>
    <mergeCell ref="BJ118:BJ128"/>
    <mergeCell ref="BK118:BK128"/>
    <mergeCell ref="BL118:BL128"/>
    <mergeCell ref="BM118:BM128"/>
    <mergeCell ref="BN118:BN128"/>
    <mergeCell ref="BO118:BO128"/>
    <mergeCell ref="BP118:BP128"/>
    <mergeCell ref="BQ118:BQ128"/>
    <mergeCell ref="BR118:BR128"/>
    <mergeCell ref="BS118:BS128"/>
    <mergeCell ref="BT118:BT128"/>
    <mergeCell ref="BU118:BU128"/>
    <mergeCell ref="BV118:BV128"/>
    <mergeCell ref="BW118:BW128"/>
    <mergeCell ref="BX118:BX128"/>
    <mergeCell ref="BY118:BY128"/>
    <mergeCell ref="BZ118:BZ128"/>
    <mergeCell ref="CA118:CA128"/>
    <mergeCell ref="CB118:CB128"/>
    <mergeCell ref="CC118:CC128"/>
    <mergeCell ref="CD118:CD128"/>
    <mergeCell ref="CE118:CE128"/>
    <mergeCell ref="CF118:CF128"/>
    <mergeCell ref="AJ118:AJ128"/>
    <mergeCell ref="AK118:AK128"/>
    <mergeCell ref="AL118:AL128"/>
    <mergeCell ref="AM118:AM128"/>
    <mergeCell ref="AN118:AN128"/>
    <mergeCell ref="AO118:AO128"/>
    <mergeCell ref="AP118:AP128"/>
    <mergeCell ref="CN162:CN172"/>
    <mergeCell ref="CO162:CO172"/>
    <mergeCell ref="CP162:CP172"/>
    <mergeCell ref="CQ162:CQ172"/>
    <mergeCell ref="CR162:CR172"/>
    <mergeCell ref="CS162:CS172"/>
    <mergeCell ref="CT162:CT172"/>
    <mergeCell ref="CG162:CG172"/>
    <mergeCell ref="CH162:CH172"/>
    <mergeCell ref="CI162:CI172"/>
    <mergeCell ref="CJ162:CJ172"/>
    <mergeCell ref="CK162:CK172"/>
    <mergeCell ref="CL162:CL172"/>
    <mergeCell ref="CM162:CM172"/>
    <mergeCell ref="AJ162:AJ172"/>
    <mergeCell ref="AK162:AK172"/>
    <mergeCell ref="AL162:AL172"/>
    <mergeCell ref="AM162:AM172"/>
    <mergeCell ref="AN162:AN172"/>
    <mergeCell ref="AO162:AO172"/>
    <mergeCell ref="AP162:AP172"/>
    <mergeCell ref="AQ162:AQ172"/>
    <mergeCell ref="AR162:AR172"/>
    <mergeCell ref="AS162:AS172"/>
    <mergeCell ref="AT162:AT172"/>
    <mergeCell ref="AU162:AU172"/>
    <mergeCell ref="AV162:AV172"/>
    <mergeCell ref="AW162:AW172"/>
    <mergeCell ref="AX162:AX172"/>
    <mergeCell ref="AY162:AY172"/>
    <mergeCell ref="AZ162:AZ172"/>
    <mergeCell ref="BA162:BA172"/>
    <mergeCell ref="BB162:BB172"/>
    <mergeCell ref="BC162:BC172"/>
    <mergeCell ref="BD162:BD172"/>
    <mergeCell ref="BE162:BE172"/>
    <mergeCell ref="BF162:BF172"/>
    <mergeCell ref="BG162:BG172"/>
    <mergeCell ref="BH162:BH172"/>
    <mergeCell ref="BI162:BI172"/>
    <mergeCell ref="BJ162:BJ172"/>
    <mergeCell ref="BK162:BK172"/>
    <mergeCell ref="BL162:BL172"/>
    <mergeCell ref="BM162:BM172"/>
    <mergeCell ref="BN162:BN172"/>
    <mergeCell ref="BO162:BO172"/>
    <mergeCell ref="BP162:BP172"/>
    <mergeCell ref="BQ162:BQ172"/>
    <mergeCell ref="BR162:BR172"/>
    <mergeCell ref="BS162:BS172"/>
    <mergeCell ref="BT162:BT172"/>
    <mergeCell ref="BU162:BU172"/>
    <mergeCell ref="BV162:BV172"/>
    <mergeCell ref="BW162:BW172"/>
    <mergeCell ref="BX162:BX172"/>
    <mergeCell ref="BY162:BY172"/>
    <mergeCell ref="BZ162:BZ172"/>
    <mergeCell ref="CA162:CA172"/>
    <mergeCell ref="CB162:CB172"/>
    <mergeCell ref="CC162:CC172"/>
    <mergeCell ref="CD162:CD172"/>
    <mergeCell ref="CE162:CE172"/>
    <mergeCell ref="CF162:CF172"/>
    <mergeCell ref="CN206:CN216"/>
    <mergeCell ref="CO206:CO216"/>
    <mergeCell ref="CP206:CP216"/>
    <mergeCell ref="CQ206:CQ216"/>
    <mergeCell ref="CR206:CR216"/>
    <mergeCell ref="CS206:CS216"/>
    <mergeCell ref="CT206:CT216"/>
    <mergeCell ref="CG206:CG216"/>
    <mergeCell ref="CH206:CH216"/>
    <mergeCell ref="CI206:CI216"/>
    <mergeCell ref="CJ206:CJ216"/>
    <mergeCell ref="CK206:CK216"/>
    <mergeCell ref="CL206:CL216"/>
    <mergeCell ref="CM206:CM216"/>
    <mergeCell ref="AQ206:AQ216"/>
    <mergeCell ref="AR206:AR216"/>
    <mergeCell ref="AS206:AS216"/>
    <mergeCell ref="AT206:AT216"/>
    <mergeCell ref="AU206:AU216"/>
    <mergeCell ref="AV206:AV216"/>
    <mergeCell ref="AW206:AW216"/>
    <mergeCell ref="AX206:AX216"/>
    <mergeCell ref="AY206:AY216"/>
    <mergeCell ref="AZ206:AZ216"/>
    <mergeCell ref="BA206:BA216"/>
    <mergeCell ref="BB206:BB216"/>
    <mergeCell ref="BC206:BC216"/>
    <mergeCell ref="BD206:BD216"/>
    <mergeCell ref="BE206:BE216"/>
    <mergeCell ref="BF206:BF216"/>
    <mergeCell ref="BG206:BG216"/>
    <mergeCell ref="BH206:BH216"/>
    <mergeCell ref="BI206:BI216"/>
    <mergeCell ref="BJ206:BJ216"/>
    <mergeCell ref="BK206:BK216"/>
    <mergeCell ref="BL206:BL216"/>
    <mergeCell ref="BM206:BM216"/>
    <mergeCell ref="BN206:BN216"/>
    <mergeCell ref="BO206:BO216"/>
    <mergeCell ref="BP206:BP216"/>
    <mergeCell ref="BQ206:BQ216"/>
    <mergeCell ref="BR206:BR216"/>
    <mergeCell ref="BS206:BS216"/>
    <mergeCell ref="BT206:BT216"/>
    <mergeCell ref="BU206:BU216"/>
    <mergeCell ref="BV206:BV216"/>
    <mergeCell ref="BW206:BW216"/>
    <mergeCell ref="BX206:BX216"/>
    <mergeCell ref="BY206:BY216"/>
    <mergeCell ref="BZ206:BZ216"/>
    <mergeCell ref="CA206:CA216"/>
    <mergeCell ref="CB206:CB216"/>
    <mergeCell ref="CC206:CC216"/>
    <mergeCell ref="CD206:CD216"/>
    <mergeCell ref="CE206:CE216"/>
    <mergeCell ref="CF206:CF216"/>
    <mergeCell ref="AJ206:AJ216"/>
    <mergeCell ref="AK206:AK216"/>
    <mergeCell ref="AL206:AL216"/>
    <mergeCell ref="AM206:AM216"/>
    <mergeCell ref="AN206:AN216"/>
    <mergeCell ref="AO206:AO216"/>
    <mergeCell ref="AP206:AP216"/>
    <mergeCell ref="CC173:CC183"/>
    <mergeCell ref="CD173:CD183"/>
    <mergeCell ref="CE173:CE183"/>
    <mergeCell ref="CF173:CF183"/>
    <mergeCell ref="CG173:CG183"/>
    <mergeCell ref="CH173:CH183"/>
    <mergeCell ref="CI173:CI183"/>
    <mergeCell ref="CQ173:CQ183"/>
    <mergeCell ref="CR173:CR183"/>
    <mergeCell ref="CS173:CS183"/>
    <mergeCell ref="CT173:CT183"/>
    <mergeCell ref="CJ173:CJ183"/>
    <mergeCell ref="CK173:CK183"/>
    <mergeCell ref="CL173:CL183"/>
    <mergeCell ref="CM173:CM183"/>
    <mergeCell ref="CN173:CN183"/>
    <mergeCell ref="CO173:CO183"/>
    <mergeCell ref="CP173:CP183"/>
    <mergeCell ref="W173:W183"/>
    <mergeCell ref="X173:X183"/>
    <mergeCell ref="Y173:Y183"/>
    <mergeCell ref="Z173:Z183"/>
    <mergeCell ref="AJ173:AJ183"/>
    <mergeCell ref="AK173:AK183"/>
    <mergeCell ref="AL173:AL183"/>
    <mergeCell ref="AT173:AT183"/>
    <mergeCell ref="AU173:AU183"/>
    <mergeCell ref="AV173:AV183"/>
    <mergeCell ref="AW173:AW183"/>
    <mergeCell ref="AX173:AX183"/>
    <mergeCell ref="AY173:AY183"/>
    <mergeCell ref="AZ173:AZ183"/>
    <mergeCell ref="BA173:BA183"/>
    <mergeCell ref="BB173:BB183"/>
    <mergeCell ref="BC173:BC183"/>
    <mergeCell ref="BD173:BD183"/>
    <mergeCell ref="BE173:BE183"/>
    <mergeCell ref="BF173:BF183"/>
    <mergeCell ref="BG173:BG183"/>
    <mergeCell ref="BH173:BH183"/>
    <mergeCell ref="BI173:BI183"/>
    <mergeCell ref="BJ173:BJ183"/>
    <mergeCell ref="BK173:BK183"/>
    <mergeCell ref="BL173:BL183"/>
    <mergeCell ref="BM173:BM183"/>
    <mergeCell ref="BN173:BN183"/>
    <mergeCell ref="BO173:BO183"/>
    <mergeCell ref="BP173:BP183"/>
    <mergeCell ref="BQ173:BQ183"/>
    <mergeCell ref="BR173:BR183"/>
    <mergeCell ref="BS173:BS183"/>
    <mergeCell ref="BT173:BT183"/>
    <mergeCell ref="BU173:BU183"/>
    <mergeCell ref="BV173:BV183"/>
    <mergeCell ref="BW173:BW183"/>
    <mergeCell ref="BX173:BX183"/>
    <mergeCell ref="BY173:BY183"/>
    <mergeCell ref="BZ173:BZ183"/>
    <mergeCell ref="CA173:CA183"/>
    <mergeCell ref="CB173:CB183"/>
    <mergeCell ref="AM173:AM183"/>
    <mergeCell ref="AN173:AN183"/>
    <mergeCell ref="AO173:AO183"/>
    <mergeCell ref="AP173:AP183"/>
    <mergeCell ref="AQ173:AQ183"/>
    <mergeCell ref="AR173:AR183"/>
    <mergeCell ref="AS173:AS183"/>
    <mergeCell ref="CN184:CN194"/>
    <mergeCell ref="CO184:CO194"/>
    <mergeCell ref="CP184:CP194"/>
    <mergeCell ref="CQ184:CQ194"/>
    <mergeCell ref="CR184:CR194"/>
    <mergeCell ref="CS184:CS194"/>
    <mergeCell ref="CT184:CT194"/>
    <mergeCell ref="CG184:CG194"/>
    <mergeCell ref="CH184:CH194"/>
    <mergeCell ref="CI184:CI194"/>
    <mergeCell ref="CJ184:CJ194"/>
    <mergeCell ref="CK184:CK194"/>
    <mergeCell ref="CL184:CL194"/>
    <mergeCell ref="CM184:CM194"/>
    <mergeCell ref="AQ184:AQ194"/>
    <mergeCell ref="AR184:AR194"/>
    <mergeCell ref="AS184:AS194"/>
    <mergeCell ref="AT184:AT194"/>
    <mergeCell ref="AU184:AU194"/>
    <mergeCell ref="AV184:AV194"/>
    <mergeCell ref="AW184:AW194"/>
    <mergeCell ref="AX184:AX194"/>
    <mergeCell ref="AY184:AY194"/>
    <mergeCell ref="AZ184:AZ194"/>
    <mergeCell ref="BA184:BA194"/>
    <mergeCell ref="BB184:BB194"/>
    <mergeCell ref="BC184:BC194"/>
    <mergeCell ref="BD184:BD194"/>
    <mergeCell ref="BE184:BE194"/>
    <mergeCell ref="BF184:BF194"/>
    <mergeCell ref="BG184:BG194"/>
    <mergeCell ref="BH184:BH194"/>
    <mergeCell ref="BI184:BI194"/>
    <mergeCell ref="BJ184:BJ194"/>
    <mergeCell ref="BK184:BK194"/>
    <mergeCell ref="BL184:BL194"/>
    <mergeCell ref="BM184:BM194"/>
    <mergeCell ref="BN184:BN194"/>
    <mergeCell ref="BO184:BO194"/>
    <mergeCell ref="BP184:BP194"/>
    <mergeCell ref="BQ184:BQ194"/>
    <mergeCell ref="BR184:BR194"/>
    <mergeCell ref="BS184:BS194"/>
    <mergeCell ref="BT184:BT194"/>
    <mergeCell ref="BU184:BU194"/>
    <mergeCell ref="BV184:BV194"/>
    <mergeCell ref="BW184:BW194"/>
    <mergeCell ref="BX184:BX194"/>
    <mergeCell ref="BY184:BY194"/>
    <mergeCell ref="BZ184:BZ194"/>
    <mergeCell ref="CA184:CA194"/>
    <mergeCell ref="CB184:CB194"/>
    <mergeCell ref="CC184:CC194"/>
    <mergeCell ref="CD184:CD194"/>
    <mergeCell ref="CE184:CE194"/>
    <mergeCell ref="CF184:CF194"/>
    <mergeCell ref="AJ184:AJ194"/>
    <mergeCell ref="AK184:AK194"/>
    <mergeCell ref="AL184:AL194"/>
    <mergeCell ref="AM184:AM194"/>
    <mergeCell ref="AN184:AN194"/>
    <mergeCell ref="AO184:AO194"/>
    <mergeCell ref="AP184:AP194"/>
    <mergeCell ref="CN195:CN205"/>
    <mergeCell ref="CO195:CO205"/>
    <mergeCell ref="CP195:CP205"/>
    <mergeCell ref="CQ195:CQ205"/>
    <mergeCell ref="CR195:CR205"/>
    <mergeCell ref="CS195:CS205"/>
    <mergeCell ref="CT195:CT205"/>
    <mergeCell ref="CG195:CG205"/>
    <mergeCell ref="CH195:CH205"/>
    <mergeCell ref="CI195:CI205"/>
    <mergeCell ref="CJ195:CJ205"/>
    <mergeCell ref="CK195:CK205"/>
    <mergeCell ref="CL195:CL205"/>
    <mergeCell ref="CM195:CM205"/>
    <mergeCell ref="AQ195:AQ205"/>
    <mergeCell ref="AR195:AR205"/>
    <mergeCell ref="AS195:AS205"/>
    <mergeCell ref="AT195:AT205"/>
    <mergeCell ref="AU195:AU205"/>
    <mergeCell ref="AV195:AV205"/>
    <mergeCell ref="AW195:AW205"/>
    <mergeCell ref="AX195:AX205"/>
    <mergeCell ref="AY195:AY205"/>
    <mergeCell ref="AZ195:AZ205"/>
    <mergeCell ref="BA195:BA205"/>
    <mergeCell ref="BB195:BB205"/>
    <mergeCell ref="BC195:BC205"/>
    <mergeCell ref="BD195:BD205"/>
    <mergeCell ref="BE195:BE205"/>
    <mergeCell ref="BF195:BF205"/>
    <mergeCell ref="BG195:BG205"/>
    <mergeCell ref="BH195:BH205"/>
    <mergeCell ref="BI195:BI205"/>
    <mergeCell ref="BJ195:BJ205"/>
    <mergeCell ref="BK195:BK205"/>
    <mergeCell ref="BL195:BL205"/>
    <mergeCell ref="BM195:BM205"/>
    <mergeCell ref="BN195:BN205"/>
    <mergeCell ref="BO195:BO205"/>
    <mergeCell ref="BP195:BP205"/>
    <mergeCell ref="BQ195:BQ205"/>
    <mergeCell ref="BR195:BR205"/>
    <mergeCell ref="BS195:BS205"/>
    <mergeCell ref="BT195:BT205"/>
    <mergeCell ref="BU195:BU205"/>
    <mergeCell ref="BV195:BV205"/>
    <mergeCell ref="BW195:BW205"/>
    <mergeCell ref="BX195:BX205"/>
    <mergeCell ref="BY195:BY205"/>
    <mergeCell ref="BZ195:BZ205"/>
    <mergeCell ref="CA195:CA205"/>
    <mergeCell ref="CB195:CB205"/>
    <mergeCell ref="CC195:CC205"/>
    <mergeCell ref="CD195:CD205"/>
    <mergeCell ref="CE195:CE205"/>
    <mergeCell ref="CF195:CF205"/>
    <mergeCell ref="AJ195:AJ205"/>
    <mergeCell ref="AK195:AK205"/>
    <mergeCell ref="AL195:AL205"/>
    <mergeCell ref="AM195:AM205"/>
    <mergeCell ref="AN195:AN205"/>
    <mergeCell ref="AO195:AO205"/>
    <mergeCell ref="AP195:AP205"/>
    <mergeCell ref="CN217:CN227"/>
    <mergeCell ref="CO217:CO227"/>
    <mergeCell ref="CP217:CP227"/>
    <mergeCell ref="CQ217:CQ227"/>
    <mergeCell ref="CR217:CR227"/>
    <mergeCell ref="CS217:CS227"/>
    <mergeCell ref="CT217:CT227"/>
    <mergeCell ref="CG217:CG227"/>
    <mergeCell ref="CH217:CH227"/>
    <mergeCell ref="CI217:CI227"/>
    <mergeCell ref="CJ217:CJ227"/>
    <mergeCell ref="CK217:CK227"/>
    <mergeCell ref="CL217:CL227"/>
    <mergeCell ref="CM217:CM227"/>
    <mergeCell ref="AJ217:AJ227"/>
    <mergeCell ref="AK217:AK227"/>
    <mergeCell ref="AL217:AL227"/>
    <mergeCell ref="AM217:AM227"/>
    <mergeCell ref="AN217:AN227"/>
    <mergeCell ref="AO217:AO227"/>
    <mergeCell ref="AP217:AP227"/>
    <mergeCell ref="AQ217:AQ227"/>
    <mergeCell ref="AR217:AR227"/>
    <mergeCell ref="AS217:AS227"/>
    <mergeCell ref="AT217:AT227"/>
    <mergeCell ref="AU217:AU227"/>
    <mergeCell ref="AV217:AV227"/>
    <mergeCell ref="AW217:AW227"/>
    <mergeCell ref="AX217:AX227"/>
    <mergeCell ref="AY217:AY227"/>
    <mergeCell ref="AZ217:AZ227"/>
    <mergeCell ref="BA217:BA227"/>
    <mergeCell ref="BB217:BB227"/>
    <mergeCell ref="BC217:BC227"/>
    <mergeCell ref="BD217:BD227"/>
    <mergeCell ref="BE217:BE227"/>
    <mergeCell ref="BF217:BF227"/>
    <mergeCell ref="BG217:BG227"/>
    <mergeCell ref="BH217:BH227"/>
    <mergeCell ref="BI217:BI227"/>
    <mergeCell ref="BJ217:BJ227"/>
    <mergeCell ref="BK217:BK227"/>
    <mergeCell ref="BL217:BL227"/>
    <mergeCell ref="BM217:BM227"/>
    <mergeCell ref="BN217:BN227"/>
    <mergeCell ref="BO217:BO227"/>
    <mergeCell ref="BP217:BP227"/>
    <mergeCell ref="BQ217:BQ227"/>
    <mergeCell ref="BR217:BR227"/>
    <mergeCell ref="BS217:BS227"/>
    <mergeCell ref="BT217:BT227"/>
    <mergeCell ref="BU217:BU227"/>
    <mergeCell ref="BV217:BV227"/>
    <mergeCell ref="BW217:BW227"/>
    <mergeCell ref="BX217:BX227"/>
    <mergeCell ref="BY217:BY227"/>
    <mergeCell ref="BZ217:BZ227"/>
    <mergeCell ref="CA217:CA227"/>
    <mergeCell ref="CB217:CB227"/>
    <mergeCell ref="CC217:CC227"/>
    <mergeCell ref="CD217:CD227"/>
    <mergeCell ref="CE217:CE227"/>
    <mergeCell ref="CF217:CF227"/>
    <mergeCell ref="CN261:CN271"/>
    <mergeCell ref="CO261:CO271"/>
    <mergeCell ref="CP261:CP271"/>
    <mergeCell ref="CQ261:CQ271"/>
    <mergeCell ref="CR261:CR271"/>
    <mergeCell ref="CS261:CS271"/>
    <mergeCell ref="CT261:CT271"/>
    <mergeCell ref="CG261:CG271"/>
    <mergeCell ref="CH261:CH271"/>
    <mergeCell ref="CI261:CI271"/>
    <mergeCell ref="CJ261:CJ271"/>
    <mergeCell ref="CK261:CK271"/>
    <mergeCell ref="CL261:CL271"/>
    <mergeCell ref="CM261:CM271"/>
    <mergeCell ref="AJ261:AJ271"/>
    <mergeCell ref="AK261:AK271"/>
    <mergeCell ref="AL261:AL271"/>
    <mergeCell ref="AM261:AM271"/>
    <mergeCell ref="AN261:AN271"/>
    <mergeCell ref="AO261:AO271"/>
    <mergeCell ref="AP261:AP271"/>
    <mergeCell ref="AQ261:AQ271"/>
    <mergeCell ref="AR261:AR271"/>
    <mergeCell ref="AS261:AS271"/>
    <mergeCell ref="AT261:AT271"/>
    <mergeCell ref="AU261:AU271"/>
    <mergeCell ref="AV261:AV271"/>
    <mergeCell ref="AW261:AW271"/>
    <mergeCell ref="AX261:AX271"/>
    <mergeCell ref="AY261:AY271"/>
    <mergeCell ref="AZ261:AZ271"/>
    <mergeCell ref="BA261:BA271"/>
    <mergeCell ref="BB261:BB271"/>
    <mergeCell ref="BC261:BC271"/>
    <mergeCell ref="BD261:BD271"/>
    <mergeCell ref="BE261:BE271"/>
    <mergeCell ref="BF261:BF271"/>
    <mergeCell ref="BG261:BG271"/>
    <mergeCell ref="BH261:BH271"/>
    <mergeCell ref="BI261:BI271"/>
    <mergeCell ref="BJ261:BJ271"/>
    <mergeCell ref="BK261:BK271"/>
    <mergeCell ref="BL261:BL271"/>
    <mergeCell ref="BM261:BM271"/>
    <mergeCell ref="BN261:BN271"/>
    <mergeCell ref="BO261:BO271"/>
    <mergeCell ref="BP261:BP271"/>
    <mergeCell ref="BQ261:BQ271"/>
    <mergeCell ref="BR261:BR271"/>
    <mergeCell ref="BS261:BS271"/>
    <mergeCell ref="BT261:BT271"/>
    <mergeCell ref="BU261:BU271"/>
    <mergeCell ref="BV261:BV271"/>
    <mergeCell ref="BW261:BW271"/>
    <mergeCell ref="BX261:BX271"/>
    <mergeCell ref="BY261:BY271"/>
    <mergeCell ref="BZ261:BZ271"/>
    <mergeCell ref="CA261:CA271"/>
    <mergeCell ref="CB261:CB271"/>
    <mergeCell ref="CC261:CC271"/>
    <mergeCell ref="CD261:CD271"/>
    <mergeCell ref="CE261:CE271"/>
    <mergeCell ref="CF261:CF271"/>
    <mergeCell ref="W184:W194"/>
    <mergeCell ref="X184:X194"/>
    <mergeCell ref="Y184:Y194"/>
    <mergeCell ref="Z184:Z194"/>
    <mergeCell ref="P184:P194"/>
    <mergeCell ref="Q184:Q194"/>
    <mergeCell ref="R184:R194"/>
    <mergeCell ref="S184:S194"/>
    <mergeCell ref="T184:T194"/>
    <mergeCell ref="U184:U194"/>
    <mergeCell ref="V184:V194"/>
    <mergeCell ref="W195:W205"/>
    <mergeCell ref="X195:X205"/>
    <mergeCell ref="Y195:Y205"/>
    <mergeCell ref="Z195:Z205"/>
    <mergeCell ref="P195:P205"/>
    <mergeCell ref="Q195:Q205"/>
    <mergeCell ref="R195:R205"/>
    <mergeCell ref="S195:S205"/>
    <mergeCell ref="T195:T205"/>
    <mergeCell ref="U195:U205"/>
    <mergeCell ref="V195:V205"/>
    <mergeCell ref="W206:W216"/>
    <mergeCell ref="X206:X216"/>
    <mergeCell ref="Y206:Y216"/>
    <mergeCell ref="Z206:Z216"/>
    <mergeCell ref="P206:P216"/>
    <mergeCell ref="Q206:Q216"/>
    <mergeCell ref="R206:R216"/>
    <mergeCell ref="S206:S216"/>
    <mergeCell ref="T206:T216"/>
    <mergeCell ref="U206:U216"/>
    <mergeCell ref="V206:V216"/>
    <mergeCell ref="W228:W238"/>
    <mergeCell ref="X228:X238"/>
    <mergeCell ref="Y228:Y238"/>
    <mergeCell ref="Z228:Z238"/>
    <mergeCell ref="P228:P238"/>
    <mergeCell ref="Q228:Q238"/>
    <mergeCell ref="R228:R238"/>
    <mergeCell ref="S228:S238"/>
    <mergeCell ref="T228:T238"/>
    <mergeCell ref="U228:U238"/>
    <mergeCell ref="V228:V238"/>
    <mergeCell ref="BV228:BV238"/>
    <mergeCell ref="BW228:BW238"/>
    <mergeCell ref="BX228:BX238"/>
    <mergeCell ref="BY228:BY238"/>
    <mergeCell ref="BZ228:BZ238"/>
    <mergeCell ref="CA228:CA238"/>
    <mergeCell ref="CB228:CB238"/>
    <mergeCell ref="CC228:CC238"/>
    <mergeCell ref="CD228:CD238"/>
    <mergeCell ref="CE228:CE238"/>
    <mergeCell ref="CF228:CF238"/>
    <mergeCell ref="CG228:CG238"/>
    <mergeCell ref="CH228:CH238"/>
    <mergeCell ref="CI228:CI238"/>
    <mergeCell ref="CQ228:CQ238"/>
    <mergeCell ref="CR228:CR238"/>
    <mergeCell ref="CS228:CS238"/>
    <mergeCell ref="CT228:CT238"/>
    <mergeCell ref="CJ228:CJ238"/>
    <mergeCell ref="CK228:CK238"/>
    <mergeCell ref="CL228:CL238"/>
    <mergeCell ref="CM228:CM238"/>
    <mergeCell ref="CN228:CN238"/>
    <mergeCell ref="CO228:CO238"/>
    <mergeCell ref="CP228:CP238"/>
    <mergeCell ref="P217:P227"/>
    <mergeCell ref="Q217:Q227"/>
    <mergeCell ref="R217:R227"/>
    <mergeCell ref="S217:S227"/>
    <mergeCell ref="T217:T227"/>
    <mergeCell ref="U217:U227"/>
    <mergeCell ref="V217:V227"/>
    <mergeCell ref="W217:W227"/>
    <mergeCell ref="X217:X227"/>
    <mergeCell ref="Y217:Y227"/>
    <mergeCell ref="Z217:Z227"/>
    <mergeCell ref="AJ228:AJ238"/>
    <mergeCell ref="AK228:AK238"/>
    <mergeCell ref="AL228:AL238"/>
    <mergeCell ref="AT228:AT238"/>
    <mergeCell ref="AU228:AU238"/>
    <mergeCell ref="AV228:AV238"/>
    <mergeCell ref="AW228:AW238"/>
    <mergeCell ref="AX228:AX238"/>
    <mergeCell ref="AY228:AY238"/>
    <mergeCell ref="AZ228:AZ238"/>
    <mergeCell ref="BA228:BA238"/>
    <mergeCell ref="BB228:BB238"/>
    <mergeCell ref="BC228:BC238"/>
    <mergeCell ref="BD228:BD238"/>
    <mergeCell ref="BE228:BE238"/>
    <mergeCell ref="BF228:BF238"/>
    <mergeCell ref="BG228:BG238"/>
    <mergeCell ref="BH228:BH238"/>
    <mergeCell ref="BI228:BI238"/>
    <mergeCell ref="BJ228:BJ238"/>
    <mergeCell ref="BK228:BK238"/>
    <mergeCell ref="BL228:BL238"/>
    <mergeCell ref="BM228:BM238"/>
    <mergeCell ref="BN228:BN238"/>
    <mergeCell ref="BO228:BO238"/>
    <mergeCell ref="BP228:BP238"/>
    <mergeCell ref="BQ228:BQ238"/>
    <mergeCell ref="BR228:BR238"/>
    <mergeCell ref="BS228:BS238"/>
    <mergeCell ref="BT228:BT238"/>
    <mergeCell ref="BU228:BU238"/>
    <mergeCell ref="AM228:AM238"/>
    <mergeCell ref="AN228:AN238"/>
    <mergeCell ref="AO228:AO238"/>
    <mergeCell ref="AP228:AP238"/>
    <mergeCell ref="AQ228:AQ238"/>
    <mergeCell ref="AR228:AR238"/>
    <mergeCell ref="AS228:AS238"/>
    <mergeCell ref="CN239:CN249"/>
    <mergeCell ref="CO239:CO249"/>
    <mergeCell ref="CP239:CP249"/>
    <mergeCell ref="CQ239:CQ249"/>
    <mergeCell ref="CR239:CR249"/>
    <mergeCell ref="CS239:CS249"/>
    <mergeCell ref="CT239:CT249"/>
    <mergeCell ref="CG239:CG249"/>
    <mergeCell ref="CH239:CH249"/>
    <mergeCell ref="CI239:CI249"/>
    <mergeCell ref="CJ239:CJ249"/>
    <mergeCell ref="CK239:CK249"/>
    <mergeCell ref="CL239:CL249"/>
    <mergeCell ref="CM239:CM249"/>
    <mergeCell ref="AQ239:AQ249"/>
    <mergeCell ref="AR239:AR249"/>
    <mergeCell ref="AS239:AS249"/>
    <mergeCell ref="AT239:AT249"/>
    <mergeCell ref="AU239:AU249"/>
    <mergeCell ref="AV239:AV249"/>
    <mergeCell ref="AW239:AW249"/>
    <mergeCell ref="AX239:AX249"/>
    <mergeCell ref="AY239:AY249"/>
    <mergeCell ref="AZ239:AZ249"/>
    <mergeCell ref="BA239:BA249"/>
    <mergeCell ref="BB239:BB249"/>
    <mergeCell ref="BC239:BC249"/>
    <mergeCell ref="BD239:BD249"/>
    <mergeCell ref="BE239:BE249"/>
    <mergeCell ref="BF239:BF249"/>
    <mergeCell ref="BG239:BG249"/>
    <mergeCell ref="BH239:BH249"/>
    <mergeCell ref="BI239:BI249"/>
    <mergeCell ref="BJ239:BJ249"/>
    <mergeCell ref="BK239:BK249"/>
    <mergeCell ref="BL239:BL249"/>
    <mergeCell ref="BM239:BM249"/>
    <mergeCell ref="BN239:BN249"/>
    <mergeCell ref="BO239:BO249"/>
    <mergeCell ref="BP239:BP249"/>
    <mergeCell ref="BQ239:BQ249"/>
    <mergeCell ref="BR239:BR249"/>
    <mergeCell ref="BS239:BS249"/>
    <mergeCell ref="BT239:BT249"/>
    <mergeCell ref="BU239:BU249"/>
    <mergeCell ref="BV239:BV249"/>
    <mergeCell ref="BW239:BW249"/>
    <mergeCell ref="BX239:BX249"/>
    <mergeCell ref="BY239:BY249"/>
    <mergeCell ref="BZ239:BZ249"/>
    <mergeCell ref="CA239:CA249"/>
    <mergeCell ref="CB239:CB249"/>
    <mergeCell ref="CC239:CC249"/>
    <mergeCell ref="CD239:CD249"/>
    <mergeCell ref="CE239:CE249"/>
    <mergeCell ref="CF239:CF249"/>
    <mergeCell ref="AJ239:AJ249"/>
    <mergeCell ref="AK239:AK249"/>
    <mergeCell ref="AL239:AL249"/>
    <mergeCell ref="AM239:AM249"/>
    <mergeCell ref="AN239:AN249"/>
    <mergeCell ref="AO239:AO249"/>
    <mergeCell ref="AP239:AP249"/>
    <mergeCell ref="CN250:CN260"/>
    <mergeCell ref="CO250:CO260"/>
    <mergeCell ref="CP250:CP260"/>
    <mergeCell ref="CQ250:CQ260"/>
    <mergeCell ref="CR250:CR260"/>
    <mergeCell ref="CS250:CS260"/>
    <mergeCell ref="CT250:CT260"/>
    <mergeCell ref="CG250:CG260"/>
    <mergeCell ref="CH250:CH260"/>
    <mergeCell ref="CI250:CI260"/>
    <mergeCell ref="CJ250:CJ260"/>
    <mergeCell ref="CK250:CK260"/>
    <mergeCell ref="CL250:CL260"/>
    <mergeCell ref="CM250:CM260"/>
    <mergeCell ref="AQ250:AQ260"/>
    <mergeCell ref="AR250:AR260"/>
    <mergeCell ref="AS250:AS260"/>
    <mergeCell ref="AT250:AT260"/>
    <mergeCell ref="AU250:AU260"/>
    <mergeCell ref="AV250:AV260"/>
    <mergeCell ref="AW250:AW260"/>
    <mergeCell ref="AX250:AX260"/>
    <mergeCell ref="AY250:AY260"/>
    <mergeCell ref="AZ250:AZ260"/>
    <mergeCell ref="BA250:BA260"/>
    <mergeCell ref="BB250:BB260"/>
    <mergeCell ref="BC250:BC260"/>
    <mergeCell ref="BD250:BD260"/>
    <mergeCell ref="BE250:BE260"/>
    <mergeCell ref="BF250:BF260"/>
    <mergeCell ref="BG250:BG260"/>
    <mergeCell ref="BH250:BH260"/>
    <mergeCell ref="BI250:BI260"/>
    <mergeCell ref="BJ250:BJ260"/>
    <mergeCell ref="BK250:BK260"/>
    <mergeCell ref="BL250:BL260"/>
    <mergeCell ref="BM250:BM260"/>
    <mergeCell ref="BN250:BN260"/>
    <mergeCell ref="BO250:BO260"/>
    <mergeCell ref="BP250:BP260"/>
    <mergeCell ref="BQ250:BQ260"/>
    <mergeCell ref="BR250:BR260"/>
    <mergeCell ref="BS250:BS260"/>
    <mergeCell ref="BT250:BT260"/>
    <mergeCell ref="BU250:BU260"/>
    <mergeCell ref="BV250:BV260"/>
    <mergeCell ref="BW250:BW260"/>
    <mergeCell ref="BX250:BX260"/>
    <mergeCell ref="BY250:BY260"/>
    <mergeCell ref="BZ250:BZ260"/>
    <mergeCell ref="CA250:CA260"/>
    <mergeCell ref="CB250:CB260"/>
    <mergeCell ref="CC250:CC260"/>
    <mergeCell ref="CD250:CD260"/>
    <mergeCell ref="CE250:CE260"/>
    <mergeCell ref="CF250:CF260"/>
    <mergeCell ref="AJ250:AJ260"/>
    <mergeCell ref="AK250:AK260"/>
    <mergeCell ref="AL250:AL260"/>
    <mergeCell ref="AM250:AM260"/>
    <mergeCell ref="AN250:AN260"/>
    <mergeCell ref="AO250:AO260"/>
    <mergeCell ref="AP250:AP260"/>
    <mergeCell ref="CN305:CN315"/>
    <mergeCell ref="CO305:CO315"/>
    <mergeCell ref="CP305:CP315"/>
    <mergeCell ref="CQ305:CQ315"/>
    <mergeCell ref="CR305:CR315"/>
    <mergeCell ref="CS305:CS315"/>
    <mergeCell ref="CT305:CT315"/>
    <mergeCell ref="CG305:CG315"/>
    <mergeCell ref="CH305:CH315"/>
    <mergeCell ref="CI305:CI315"/>
    <mergeCell ref="CJ305:CJ315"/>
    <mergeCell ref="CK305:CK315"/>
    <mergeCell ref="CL305:CL315"/>
    <mergeCell ref="CM305:CM315"/>
    <mergeCell ref="AJ305:AJ315"/>
    <mergeCell ref="AK305:AK315"/>
    <mergeCell ref="AL305:AL315"/>
    <mergeCell ref="AM305:AM315"/>
    <mergeCell ref="AN305:AN315"/>
    <mergeCell ref="AO305:AO315"/>
    <mergeCell ref="AP305:AP315"/>
    <mergeCell ref="AQ305:AQ315"/>
    <mergeCell ref="AR305:AR315"/>
    <mergeCell ref="AS305:AS315"/>
    <mergeCell ref="AT305:AT315"/>
    <mergeCell ref="AU305:AU315"/>
    <mergeCell ref="AV305:AV315"/>
    <mergeCell ref="AW305:AW315"/>
    <mergeCell ref="AX305:AX315"/>
    <mergeCell ref="AY305:AY315"/>
    <mergeCell ref="AZ305:AZ315"/>
    <mergeCell ref="BA305:BA315"/>
    <mergeCell ref="BB305:BB315"/>
    <mergeCell ref="BC305:BC315"/>
    <mergeCell ref="BD305:BD315"/>
    <mergeCell ref="BE305:BE315"/>
    <mergeCell ref="BF305:BF315"/>
    <mergeCell ref="BG305:BG315"/>
    <mergeCell ref="BH305:BH315"/>
    <mergeCell ref="BI305:BI315"/>
    <mergeCell ref="BJ305:BJ315"/>
    <mergeCell ref="BK305:BK315"/>
    <mergeCell ref="BL305:BL315"/>
    <mergeCell ref="BM305:BM315"/>
    <mergeCell ref="BN305:BN315"/>
    <mergeCell ref="BO305:BO315"/>
    <mergeCell ref="BP305:BP315"/>
    <mergeCell ref="BQ305:BQ315"/>
    <mergeCell ref="BR305:BR315"/>
    <mergeCell ref="BS305:BS315"/>
    <mergeCell ref="BT305:BT315"/>
    <mergeCell ref="BU305:BU315"/>
    <mergeCell ref="BV305:BV315"/>
    <mergeCell ref="BW305:BW315"/>
    <mergeCell ref="BX305:BX315"/>
    <mergeCell ref="BY305:BY315"/>
    <mergeCell ref="BZ305:BZ315"/>
    <mergeCell ref="CA305:CA315"/>
    <mergeCell ref="CB305:CB315"/>
    <mergeCell ref="CC305:CC315"/>
    <mergeCell ref="CD305:CD315"/>
    <mergeCell ref="CE305:CE315"/>
    <mergeCell ref="CF305:CF315"/>
    <mergeCell ref="W239:W249"/>
    <mergeCell ref="X239:X249"/>
    <mergeCell ref="Y239:Y249"/>
    <mergeCell ref="Z239:Z249"/>
    <mergeCell ref="P239:P249"/>
    <mergeCell ref="Q239:Q249"/>
    <mergeCell ref="R239:R249"/>
    <mergeCell ref="S239:S249"/>
    <mergeCell ref="T239:T249"/>
    <mergeCell ref="U239:U249"/>
    <mergeCell ref="V239:V249"/>
    <mergeCell ref="W250:W260"/>
    <mergeCell ref="X250:X260"/>
    <mergeCell ref="Y250:Y260"/>
    <mergeCell ref="Z250:Z260"/>
    <mergeCell ref="P250:P260"/>
    <mergeCell ref="Q250:Q260"/>
    <mergeCell ref="R250:R260"/>
    <mergeCell ref="S250:S260"/>
    <mergeCell ref="T250:T260"/>
    <mergeCell ref="U250:U260"/>
    <mergeCell ref="V250:V260"/>
    <mergeCell ref="W261:W271"/>
    <mergeCell ref="X261:X271"/>
    <mergeCell ref="Y261:Y271"/>
    <mergeCell ref="Z261:Z271"/>
    <mergeCell ref="P261:P271"/>
    <mergeCell ref="Q261:Q271"/>
    <mergeCell ref="R261:R271"/>
    <mergeCell ref="S261:S271"/>
    <mergeCell ref="T261:T271"/>
    <mergeCell ref="U261:U271"/>
    <mergeCell ref="V261:V271"/>
    <mergeCell ref="P272:P282"/>
    <mergeCell ref="Q272:Q282"/>
    <mergeCell ref="R272:R282"/>
    <mergeCell ref="S272:S282"/>
    <mergeCell ref="T272:T282"/>
    <mergeCell ref="U272:U282"/>
    <mergeCell ref="V272:V282"/>
    <mergeCell ref="CC272:CC282"/>
    <mergeCell ref="CD272:CD282"/>
    <mergeCell ref="CE272:CE282"/>
    <mergeCell ref="CF272:CF282"/>
    <mergeCell ref="CG272:CG282"/>
    <mergeCell ref="CH272:CH282"/>
    <mergeCell ref="CI272:CI282"/>
    <mergeCell ref="CQ272:CQ282"/>
    <mergeCell ref="CR272:CR282"/>
    <mergeCell ref="CS272:CS282"/>
    <mergeCell ref="CT272:CT282"/>
    <mergeCell ref="CJ272:CJ282"/>
    <mergeCell ref="CK272:CK282"/>
    <mergeCell ref="CL272:CL282"/>
    <mergeCell ref="CM272:CM282"/>
    <mergeCell ref="CN272:CN282"/>
    <mergeCell ref="CO272:CO282"/>
    <mergeCell ref="CP272:CP282"/>
    <mergeCell ref="W272:W282"/>
    <mergeCell ref="X272:X282"/>
    <mergeCell ref="Y272:Y282"/>
    <mergeCell ref="Z272:Z282"/>
    <mergeCell ref="AJ272:AJ282"/>
    <mergeCell ref="AK272:AK282"/>
    <mergeCell ref="AL272:AL282"/>
    <mergeCell ref="AT272:AT282"/>
    <mergeCell ref="AU272:AU282"/>
    <mergeCell ref="AV272:AV282"/>
    <mergeCell ref="AW272:AW282"/>
    <mergeCell ref="AX272:AX282"/>
    <mergeCell ref="AY272:AY282"/>
    <mergeCell ref="AZ272:AZ282"/>
    <mergeCell ref="BA272:BA282"/>
    <mergeCell ref="BB272:BB282"/>
    <mergeCell ref="BC272:BC282"/>
    <mergeCell ref="BD272:BD282"/>
    <mergeCell ref="BE272:BE282"/>
    <mergeCell ref="BF272:BF282"/>
    <mergeCell ref="BG272:BG282"/>
    <mergeCell ref="BH272:BH282"/>
    <mergeCell ref="BI272:BI282"/>
    <mergeCell ref="BJ272:BJ282"/>
    <mergeCell ref="BK272:BK282"/>
    <mergeCell ref="BL272:BL282"/>
    <mergeCell ref="BM272:BM282"/>
    <mergeCell ref="BN272:BN282"/>
    <mergeCell ref="BO272:BO282"/>
    <mergeCell ref="BP272:BP282"/>
    <mergeCell ref="BQ272:BQ282"/>
    <mergeCell ref="BR272:BR282"/>
    <mergeCell ref="BS272:BS282"/>
    <mergeCell ref="BT272:BT282"/>
    <mergeCell ref="BU272:BU282"/>
    <mergeCell ref="BV272:BV282"/>
    <mergeCell ref="BW272:BW282"/>
    <mergeCell ref="BX272:BX282"/>
    <mergeCell ref="BY272:BY282"/>
    <mergeCell ref="BZ272:BZ282"/>
    <mergeCell ref="CA272:CA282"/>
    <mergeCell ref="CB272:CB282"/>
    <mergeCell ref="AM272:AM282"/>
    <mergeCell ref="AN272:AN282"/>
    <mergeCell ref="AO272:AO282"/>
    <mergeCell ref="AP272:AP282"/>
    <mergeCell ref="AQ272:AQ282"/>
    <mergeCell ref="AR272:AR282"/>
    <mergeCell ref="AS272:AS282"/>
    <mergeCell ref="CN283:CN293"/>
    <mergeCell ref="CO283:CO293"/>
    <mergeCell ref="CP283:CP293"/>
    <mergeCell ref="CQ283:CQ293"/>
    <mergeCell ref="CR283:CR293"/>
    <mergeCell ref="CS283:CS293"/>
    <mergeCell ref="CT283:CT293"/>
    <mergeCell ref="CG283:CG293"/>
    <mergeCell ref="CH283:CH293"/>
    <mergeCell ref="CI283:CI293"/>
    <mergeCell ref="CJ283:CJ293"/>
    <mergeCell ref="CK283:CK293"/>
    <mergeCell ref="CL283:CL293"/>
    <mergeCell ref="CM283:CM293"/>
    <mergeCell ref="AQ283:AQ293"/>
    <mergeCell ref="AR283:AR293"/>
    <mergeCell ref="AS283:AS293"/>
    <mergeCell ref="AT283:AT293"/>
    <mergeCell ref="AU283:AU293"/>
    <mergeCell ref="AV283:AV293"/>
    <mergeCell ref="AW283:AW293"/>
    <mergeCell ref="AX283:AX293"/>
    <mergeCell ref="AY283:AY293"/>
    <mergeCell ref="AZ283:AZ293"/>
    <mergeCell ref="BA283:BA293"/>
    <mergeCell ref="BB283:BB293"/>
    <mergeCell ref="BC283:BC293"/>
    <mergeCell ref="BD283:BD293"/>
    <mergeCell ref="BE283:BE293"/>
    <mergeCell ref="BF283:BF293"/>
    <mergeCell ref="BG283:BG293"/>
    <mergeCell ref="BH283:BH293"/>
    <mergeCell ref="BI283:BI293"/>
    <mergeCell ref="BJ283:BJ293"/>
    <mergeCell ref="BK283:BK293"/>
    <mergeCell ref="BL283:BL293"/>
    <mergeCell ref="BM283:BM293"/>
    <mergeCell ref="BN283:BN293"/>
    <mergeCell ref="BO283:BO293"/>
    <mergeCell ref="BP283:BP293"/>
    <mergeCell ref="BQ283:BQ293"/>
    <mergeCell ref="BR283:BR293"/>
    <mergeCell ref="BS283:BS293"/>
    <mergeCell ref="BT283:BT293"/>
    <mergeCell ref="BU283:BU293"/>
    <mergeCell ref="BV283:BV293"/>
    <mergeCell ref="BW283:BW293"/>
    <mergeCell ref="BX283:BX293"/>
    <mergeCell ref="BY283:BY293"/>
    <mergeCell ref="BZ283:BZ293"/>
    <mergeCell ref="CA283:CA293"/>
    <mergeCell ref="CB283:CB293"/>
    <mergeCell ref="CC283:CC293"/>
    <mergeCell ref="CD283:CD293"/>
    <mergeCell ref="CE283:CE293"/>
    <mergeCell ref="CF283:CF293"/>
    <mergeCell ref="AJ283:AJ293"/>
    <mergeCell ref="AK283:AK293"/>
    <mergeCell ref="AL283:AL293"/>
    <mergeCell ref="AM283:AM293"/>
    <mergeCell ref="AN283:AN293"/>
    <mergeCell ref="AO283:AO293"/>
    <mergeCell ref="AP283:AP293"/>
    <mergeCell ref="CN294:CN304"/>
    <mergeCell ref="CO294:CO304"/>
    <mergeCell ref="CP294:CP304"/>
    <mergeCell ref="CQ294:CQ304"/>
    <mergeCell ref="CR294:CR304"/>
    <mergeCell ref="CS294:CS304"/>
    <mergeCell ref="CT294:CT304"/>
    <mergeCell ref="CG294:CG304"/>
    <mergeCell ref="CH294:CH304"/>
    <mergeCell ref="CI294:CI304"/>
    <mergeCell ref="CJ294:CJ304"/>
    <mergeCell ref="CK294:CK304"/>
    <mergeCell ref="CL294:CL304"/>
    <mergeCell ref="CM294:CM304"/>
    <mergeCell ref="AQ294:AQ304"/>
    <mergeCell ref="AR294:AR304"/>
    <mergeCell ref="AS294:AS304"/>
    <mergeCell ref="AT294:AT304"/>
    <mergeCell ref="AU294:AU304"/>
    <mergeCell ref="AV294:AV304"/>
    <mergeCell ref="AW294:AW304"/>
    <mergeCell ref="AX294:AX304"/>
    <mergeCell ref="AY294:AY304"/>
    <mergeCell ref="AZ294:AZ304"/>
    <mergeCell ref="BA294:BA304"/>
    <mergeCell ref="BB294:BB304"/>
    <mergeCell ref="BC294:BC304"/>
    <mergeCell ref="BD294:BD304"/>
    <mergeCell ref="BE294:BE304"/>
    <mergeCell ref="BF294:BF304"/>
    <mergeCell ref="BG294:BG304"/>
    <mergeCell ref="BH294:BH304"/>
    <mergeCell ref="BI294:BI304"/>
    <mergeCell ref="BJ294:BJ304"/>
    <mergeCell ref="BK294:BK304"/>
    <mergeCell ref="BL294:BL304"/>
    <mergeCell ref="BM294:BM304"/>
    <mergeCell ref="BN294:BN304"/>
    <mergeCell ref="BO294:BO304"/>
    <mergeCell ref="BP294:BP304"/>
    <mergeCell ref="BQ294:BQ304"/>
    <mergeCell ref="BR294:BR304"/>
    <mergeCell ref="BS294:BS304"/>
    <mergeCell ref="BT294:BT304"/>
    <mergeCell ref="BU294:BU304"/>
    <mergeCell ref="BV294:BV304"/>
    <mergeCell ref="BW294:BW304"/>
    <mergeCell ref="BX294:BX304"/>
    <mergeCell ref="BY294:BY304"/>
    <mergeCell ref="BZ294:BZ304"/>
    <mergeCell ref="CA294:CA304"/>
    <mergeCell ref="CB294:CB304"/>
    <mergeCell ref="CC294:CC304"/>
    <mergeCell ref="CD294:CD304"/>
    <mergeCell ref="CE294:CE304"/>
    <mergeCell ref="CF294:CF304"/>
    <mergeCell ref="AJ294:AJ304"/>
    <mergeCell ref="AK294:AK304"/>
    <mergeCell ref="AL294:AL304"/>
    <mergeCell ref="AM294:AM304"/>
    <mergeCell ref="AN294:AN304"/>
    <mergeCell ref="AO294:AO304"/>
    <mergeCell ref="AP294:AP304"/>
    <mergeCell ref="AR5:AR7"/>
    <mergeCell ref="AS5:AS7"/>
    <mergeCell ref="AT5:AT7"/>
    <mergeCell ref="AU5:AX5"/>
    <mergeCell ref="AY5:AY6"/>
    <mergeCell ref="AZ5:AZ6"/>
    <mergeCell ref="BA5:BO5"/>
    <mergeCell ref="BP5:BU5"/>
    <mergeCell ref="BV5:BW5"/>
    <mergeCell ref="BX5:CG5"/>
    <mergeCell ref="BV6:BV7"/>
    <mergeCell ref="BW6:BW7"/>
    <mergeCell ref="BX6:CE6"/>
    <mergeCell ref="CF6:CG6"/>
    <mergeCell ref="A6:A7"/>
    <mergeCell ref="B6:B7"/>
    <mergeCell ref="C6:C7"/>
    <mergeCell ref="D6:D7"/>
    <mergeCell ref="A1:AT1"/>
    <mergeCell ref="AU1:CT1"/>
    <mergeCell ref="A2:AT2"/>
    <mergeCell ref="AU2:CT2"/>
    <mergeCell ref="A3:AT3"/>
    <mergeCell ref="AU3:CT3"/>
    <mergeCell ref="A4:AR4"/>
    <mergeCell ref="CH6:CI6"/>
    <mergeCell ref="CJ6:CK6"/>
    <mergeCell ref="CL6:CM6"/>
    <mergeCell ref="CN6:CO6"/>
    <mergeCell ref="CP6:CP7"/>
    <mergeCell ref="CQ6:CQ7"/>
    <mergeCell ref="CR6:CR7"/>
    <mergeCell ref="CS6:CS7"/>
    <mergeCell ref="CT6:CT7"/>
    <mergeCell ref="AU4:CG4"/>
    <mergeCell ref="CH4:CS5"/>
    <mergeCell ref="A5:Z5"/>
    <mergeCell ref="AJ5:AO6"/>
    <mergeCell ref="AP5:AP7"/>
    <mergeCell ref="AQ5:AQ7"/>
    <mergeCell ref="N6:N7"/>
    <mergeCell ref="AW8:AW18"/>
    <mergeCell ref="AX8:AX18"/>
    <mergeCell ref="AP8:AP18"/>
    <mergeCell ref="AQ8:AQ18"/>
    <mergeCell ref="AR8:AR18"/>
    <mergeCell ref="AS8:AS18"/>
    <mergeCell ref="AT8:AT18"/>
    <mergeCell ref="AU8:AU18"/>
    <mergeCell ref="AV8:AV18"/>
    <mergeCell ref="BK8:BK18"/>
    <mergeCell ref="BL8:BL18"/>
    <mergeCell ref="BD8:BD18"/>
    <mergeCell ref="BE8:BE18"/>
    <mergeCell ref="BF8:BF18"/>
    <mergeCell ref="BG8:BG18"/>
    <mergeCell ref="BH8:BH18"/>
    <mergeCell ref="BI8:BI18"/>
    <mergeCell ref="BJ8:BJ18"/>
    <mergeCell ref="BP6:BP7"/>
    <mergeCell ref="BQ6:BS6"/>
    <mergeCell ref="BM8:BM18"/>
    <mergeCell ref="BN8:BN18"/>
    <mergeCell ref="BO8:BO18"/>
    <mergeCell ref="BP8:BP18"/>
    <mergeCell ref="BQ8:BQ18"/>
    <mergeCell ref="BR8:BR18"/>
    <mergeCell ref="BS8:BS18"/>
    <mergeCell ref="BT8:BT18"/>
    <mergeCell ref="BU8:BU18"/>
    <mergeCell ref="BV8:BV18"/>
    <mergeCell ref="BW8:BW18"/>
    <mergeCell ref="BX8:BX18"/>
    <mergeCell ref="CM8:CM18"/>
    <mergeCell ref="CN8:CN18"/>
    <mergeCell ref="CO8:CO18"/>
    <mergeCell ref="CP8:CP18"/>
    <mergeCell ref="CQ8:CQ18"/>
    <mergeCell ref="CR8:CR18"/>
    <mergeCell ref="CS8:CS18"/>
    <mergeCell ref="CT8:CT18"/>
    <mergeCell ref="CF8:CF18"/>
    <mergeCell ref="CG8:CG18"/>
    <mergeCell ref="CH8:CH18"/>
    <mergeCell ref="CI8:CI18"/>
    <mergeCell ref="CJ8:CJ18"/>
    <mergeCell ref="CK8:CK18"/>
    <mergeCell ref="CL8:CL18"/>
    <mergeCell ref="CM19:CM29"/>
    <mergeCell ref="CN19:CN29"/>
    <mergeCell ref="CO19:CO29"/>
    <mergeCell ref="CP19:CP29"/>
    <mergeCell ref="CQ19:CQ29"/>
    <mergeCell ref="CR19:CR29"/>
    <mergeCell ref="CS19:CS29"/>
    <mergeCell ref="CT19:CT29"/>
    <mergeCell ref="CF19:CF29"/>
    <mergeCell ref="CG19:CG29"/>
    <mergeCell ref="CH19:CH29"/>
    <mergeCell ref="CI19:CI29"/>
    <mergeCell ref="CJ19:CJ29"/>
    <mergeCell ref="CK19:CK29"/>
    <mergeCell ref="CL19:CL29"/>
    <mergeCell ref="BH19:BH29"/>
    <mergeCell ref="BI19:BI29"/>
    <mergeCell ref="BA19:BA29"/>
    <mergeCell ref="BB19:BB29"/>
    <mergeCell ref="BC19:BC29"/>
    <mergeCell ref="BD19:BD29"/>
    <mergeCell ref="BE19:BE29"/>
    <mergeCell ref="BF19:BF29"/>
    <mergeCell ref="BG19:BG29"/>
    <mergeCell ref="CQ52:CQ62"/>
    <mergeCell ref="CR52:CR62"/>
    <mergeCell ref="CJ52:CJ62"/>
    <mergeCell ref="CK52:CK62"/>
    <mergeCell ref="CL52:CL62"/>
    <mergeCell ref="CM52:CM62"/>
    <mergeCell ref="CN52:CN62"/>
    <mergeCell ref="CO52:CO62"/>
    <mergeCell ref="CP52:CP62"/>
    <mergeCell ref="AM52:AM62"/>
    <mergeCell ref="AN52:AN62"/>
    <mergeCell ref="AO52:AO62"/>
    <mergeCell ref="AP52:AP62"/>
    <mergeCell ref="AQ52:AQ62"/>
    <mergeCell ref="AR52:AR62"/>
    <mergeCell ref="AS52:AS62"/>
    <mergeCell ref="AT52:AT62"/>
    <mergeCell ref="AU52:AU62"/>
    <mergeCell ref="AV52:AV62"/>
    <mergeCell ref="AW52:AW62"/>
    <mergeCell ref="AX52:AX62"/>
    <mergeCell ref="AY52:AY62"/>
    <mergeCell ref="AZ52:AZ62"/>
    <mergeCell ref="BA52:BA62"/>
    <mergeCell ref="BB52:BB62"/>
    <mergeCell ref="BC52:BC62"/>
    <mergeCell ref="BD52:BD62"/>
    <mergeCell ref="BE52:BE62"/>
    <mergeCell ref="BF52:BF62"/>
    <mergeCell ref="BG52:BG62"/>
    <mergeCell ref="BH52:BH62"/>
    <mergeCell ref="BI52:BI62"/>
    <mergeCell ref="BJ52:BJ62"/>
    <mergeCell ref="BK52:BK62"/>
    <mergeCell ref="BL52:BL62"/>
    <mergeCell ref="BM52:BM62"/>
    <mergeCell ref="BN52:BN62"/>
    <mergeCell ref="BO52:BO62"/>
    <mergeCell ref="BP52:BP62"/>
    <mergeCell ref="BQ52:BQ62"/>
    <mergeCell ref="BR52:BR62"/>
    <mergeCell ref="BS52:BS62"/>
    <mergeCell ref="BT52:BT62"/>
    <mergeCell ref="BU52:BU62"/>
    <mergeCell ref="BV52:BV62"/>
    <mergeCell ref="BW52:BW62"/>
    <mergeCell ref="BX52:BX62"/>
    <mergeCell ref="BY52:BY62"/>
    <mergeCell ref="BZ52:BZ62"/>
    <mergeCell ref="CA52:CA62"/>
    <mergeCell ref="CB52:CB62"/>
    <mergeCell ref="CC52:CC62"/>
    <mergeCell ref="CD52:CD62"/>
    <mergeCell ref="CE52:CE62"/>
    <mergeCell ref="CF52:CF62"/>
    <mergeCell ref="CG52:CG62"/>
    <mergeCell ref="CH52:CH62"/>
    <mergeCell ref="CI52:CI62"/>
    <mergeCell ref="AU6:AU7"/>
    <mergeCell ref="AV6:AV7"/>
    <mergeCell ref="BA6:BI6"/>
    <mergeCell ref="BL6:BN6"/>
    <mergeCell ref="BT6:BT7"/>
    <mergeCell ref="BU6:BU7"/>
    <mergeCell ref="E6:L6"/>
    <mergeCell ref="M6:M7"/>
    <mergeCell ref="A8:A18"/>
    <mergeCell ref="B8:B18"/>
    <mergeCell ref="P8:P18"/>
    <mergeCell ref="Q8:Q18"/>
    <mergeCell ref="R8:R18"/>
    <mergeCell ref="AA5:AI6"/>
    <mergeCell ref="Z6:Z7"/>
    <mergeCell ref="AK8:AK18"/>
    <mergeCell ref="AL8:AL18"/>
    <mergeCell ref="AM8:AM18"/>
    <mergeCell ref="AN8:AN18"/>
    <mergeCell ref="AO8:AO18"/>
    <mergeCell ref="AW6:AW7"/>
    <mergeCell ref="AX6:AX7"/>
    <mergeCell ref="AY8:AY18"/>
    <mergeCell ref="AZ8:AZ18"/>
    <mergeCell ref="BA8:BA18"/>
    <mergeCell ref="BB8:BB18"/>
    <mergeCell ref="BC8:BC18"/>
    <mergeCell ref="BY8:BY18"/>
    <mergeCell ref="BZ8:BZ18"/>
    <mergeCell ref="CA8:CA18"/>
    <mergeCell ref="CB8:CB18"/>
    <mergeCell ref="CC8:CC18"/>
    <mergeCell ref="CD8:CD18"/>
    <mergeCell ref="CE8:CE18"/>
    <mergeCell ref="BJ19:BJ29"/>
    <mergeCell ref="BK19:BK29"/>
    <mergeCell ref="BL19:BL29"/>
    <mergeCell ref="BM19:BM29"/>
    <mergeCell ref="BN19:BN29"/>
    <mergeCell ref="BO19:BO29"/>
    <mergeCell ref="BP19:BP29"/>
    <mergeCell ref="BX19:BX29"/>
    <mergeCell ref="BY19:BY29"/>
    <mergeCell ref="BZ19:BZ29"/>
    <mergeCell ref="CA19:CA29"/>
    <mergeCell ref="CB19:CB29"/>
    <mergeCell ref="CC19:CC29"/>
    <mergeCell ref="CD19:CD29"/>
    <mergeCell ref="CE19:CE29"/>
    <mergeCell ref="BQ19:BQ29"/>
    <mergeCell ref="BR19:BR29"/>
    <mergeCell ref="BS19:BS29"/>
    <mergeCell ref="BT19:BT29"/>
    <mergeCell ref="BU19:BU29"/>
    <mergeCell ref="BV19:BV29"/>
    <mergeCell ref="BW19:BW29"/>
    <mergeCell ref="AQ30:AQ40"/>
    <mergeCell ref="AR30:AR40"/>
    <mergeCell ref="AS30:AS40"/>
    <mergeCell ref="AT30:AT40"/>
    <mergeCell ref="AU30:AU40"/>
    <mergeCell ref="AV30:AV40"/>
    <mergeCell ref="AW30:AW40"/>
    <mergeCell ref="AX30:AX40"/>
    <mergeCell ref="AY30:AY40"/>
    <mergeCell ref="BA30:BA40"/>
    <mergeCell ref="BB30:BB40"/>
    <mergeCell ref="BC30:BC40"/>
    <mergeCell ref="BD30:BD40"/>
    <mergeCell ref="BE30:BE40"/>
    <mergeCell ref="BF30:BF40"/>
    <mergeCell ref="BG30:BG40"/>
    <mergeCell ref="BH30:BH40"/>
    <mergeCell ref="BI30:BI40"/>
    <mergeCell ref="BJ30:BJ40"/>
    <mergeCell ref="BK30:BK40"/>
    <mergeCell ref="BL30:BL40"/>
    <mergeCell ref="BM30:BM40"/>
    <mergeCell ref="BN30:BN40"/>
    <mergeCell ref="BO30:BO40"/>
    <mergeCell ref="BP30:BP40"/>
    <mergeCell ref="BQ30:BQ40"/>
    <mergeCell ref="BR30:BR40"/>
    <mergeCell ref="BS30:BS40"/>
    <mergeCell ref="BT30:BT40"/>
    <mergeCell ref="BU30:BU40"/>
    <mergeCell ref="BV30:BV40"/>
    <mergeCell ref="BW30:BW40"/>
    <mergeCell ref="BX30:BX40"/>
    <mergeCell ref="BY30:BY40"/>
    <mergeCell ref="BZ30:BZ40"/>
    <mergeCell ref="CA30:CA40"/>
    <mergeCell ref="CB30:CB40"/>
    <mergeCell ref="CC30:CC40"/>
    <mergeCell ref="CD30:CD40"/>
    <mergeCell ref="CE30:CE40"/>
    <mergeCell ref="CF30:CF40"/>
    <mergeCell ref="CG30:CG40"/>
    <mergeCell ref="CO30:CO40"/>
    <mergeCell ref="CP30:CP40"/>
    <mergeCell ref="CQ30:CQ40"/>
    <mergeCell ref="CR30:CR40"/>
    <mergeCell ref="CS30:CS40"/>
    <mergeCell ref="CT30:CT40"/>
    <mergeCell ref="CH30:CH40"/>
    <mergeCell ref="CI30:CI40"/>
    <mergeCell ref="CJ30:CJ40"/>
    <mergeCell ref="CK30:CK40"/>
    <mergeCell ref="CL30:CL40"/>
    <mergeCell ref="CM30:CM40"/>
    <mergeCell ref="CN30:CN40"/>
    <mergeCell ref="Z8:Z18"/>
    <mergeCell ref="AJ8:AJ18"/>
    <mergeCell ref="A19:A29"/>
    <mergeCell ref="B19:B29"/>
    <mergeCell ref="A30:A40"/>
    <mergeCell ref="B30:B40"/>
    <mergeCell ref="S8:S18"/>
    <mergeCell ref="T8:T18"/>
    <mergeCell ref="U8:U18"/>
    <mergeCell ref="V8:V18"/>
    <mergeCell ref="W8:W18"/>
    <mergeCell ref="X8:X18"/>
    <mergeCell ref="Y8:Y18"/>
    <mergeCell ref="W19:W29"/>
    <mergeCell ref="X19:X29"/>
    <mergeCell ref="Y19:Y29"/>
    <mergeCell ref="Z19:Z29"/>
    <mergeCell ref="AJ19:AJ29"/>
    <mergeCell ref="AK19:AK29"/>
    <mergeCell ref="AL19:AL29"/>
    <mergeCell ref="AT19:AT29"/>
    <mergeCell ref="AU19:AU29"/>
    <mergeCell ref="AV19:AV29"/>
    <mergeCell ref="AW19:AW29"/>
    <mergeCell ref="AX19:AX29"/>
    <mergeCell ref="AY19:AY29"/>
    <mergeCell ref="AZ19:AZ29"/>
    <mergeCell ref="AZ30:AZ40"/>
    <mergeCell ref="P19:P29"/>
    <mergeCell ref="Q19:Q29"/>
    <mergeCell ref="R19:R29"/>
    <mergeCell ref="S19:S29"/>
    <mergeCell ref="T19:T29"/>
    <mergeCell ref="U19:U29"/>
    <mergeCell ref="V19:V29"/>
    <mergeCell ref="AM19:AM29"/>
    <mergeCell ref="AN19:AN29"/>
    <mergeCell ref="AO19:AO29"/>
    <mergeCell ref="AP19:AP29"/>
    <mergeCell ref="AQ19:AQ29"/>
    <mergeCell ref="AR19:AR29"/>
    <mergeCell ref="AS19:AS29"/>
    <mergeCell ref="BX41:BX51"/>
    <mergeCell ref="BY41:BY51"/>
    <mergeCell ref="BZ41:BZ51"/>
    <mergeCell ref="CA41:CA51"/>
    <mergeCell ref="CB41:CB51"/>
    <mergeCell ref="CC41:CC51"/>
    <mergeCell ref="CD41:CD51"/>
    <mergeCell ref="CE41:CE51"/>
    <mergeCell ref="CF41:CF51"/>
    <mergeCell ref="CG41:CG51"/>
    <mergeCell ref="CH41:CH51"/>
    <mergeCell ref="CI41:CI51"/>
    <mergeCell ref="CJ41:CJ51"/>
    <mergeCell ref="CK41:CK51"/>
    <mergeCell ref="CS41:CS51"/>
    <mergeCell ref="CT41:CT51"/>
    <mergeCell ref="CS52:CS62"/>
    <mergeCell ref="CT52:CT62"/>
    <mergeCell ref="CL41:CL51"/>
    <mergeCell ref="CM41:CM51"/>
    <mergeCell ref="CN41:CN51"/>
    <mergeCell ref="CO41:CO51"/>
    <mergeCell ref="CP41:CP51"/>
    <mergeCell ref="CQ41:CQ51"/>
    <mergeCell ref="CR41:CR51"/>
    <mergeCell ref="Y30:Y40"/>
    <mergeCell ref="Z30:Z40"/>
    <mergeCell ref="AJ30:AJ40"/>
    <mergeCell ref="AK30:AK40"/>
    <mergeCell ref="AL30:AL40"/>
    <mergeCell ref="AM30:AM40"/>
    <mergeCell ref="AN30:AN40"/>
    <mergeCell ref="AO30:AO40"/>
    <mergeCell ref="AP30:AP40"/>
    <mergeCell ref="AJ41:AJ51"/>
    <mergeCell ref="AK41:AK51"/>
    <mergeCell ref="AL41:AL51"/>
    <mergeCell ref="AM41:AM51"/>
    <mergeCell ref="AN41:AN51"/>
    <mergeCell ref="AO41:AO51"/>
    <mergeCell ref="AP41:AP51"/>
    <mergeCell ref="AQ41:AQ51"/>
    <mergeCell ref="AR41:AR51"/>
    <mergeCell ref="AS41:AS51"/>
    <mergeCell ref="AT41:AT51"/>
    <mergeCell ref="AU41:AU51"/>
    <mergeCell ref="AV41:AV51"/>
    <mergeCell ref="AW41:AW51"/>
    <mergeCell ref="AX41:AX51"/>
    <mergeCell ref="AY41:AY51"/>
    <mergeCell ref="AZ41:AZ51"/>
    <mergeCell ref="BA41:BA51"/>
    <mergeCell ref="BB41:BB51"/>
    <mergeCell ref="BC41:BC51"/>
    <mergeCell ref="BD41:BD51"/>
    <mergeCell ref="BE41:BE51"/>
    <mergeCell ref="BF41:BF51"/>
    <mergeCell ref="BG41:BG51"/>
    <mergeCell ref="BH41:BH51"/>
    <mergeCell ref="BI41:BI51"/>
    <mergeCell ref="BJ41:BJ51"/>
    <mergeCell ref="BK41:BK51"/>
    <mergeCell ref="BL41:BL51"/>
    <mergeCell ref="BM41:BM51"/>
    <mergeCell ref="BN41:BN51"/>
    <mergeCell ref="BO41:BO51"/>
    <mergeCell ref="BP41:BP51"/>
    <mergeCell ref="BQ41:BQ51"/>
    <mergeCell ref="BR41:BR51"/>
    <mergeCell ref="BS41:BS51"/>
    <mergeCell ref="BT41:BT51"/>
    <mergeCell ref="BU41:BU51"/>
    <mergeCell ref="BV41:BV51"/>
    <mergeCell ref="BW41:BW51"/>
    <mergeCell ref="CN63:CN73"/>
    <mergeCell ref="CO63:CO73"/>
    <mergeCell ref="CP63:CP73"/>
    <mergeCell ref="CQ63:CQ73"/>
    <mergeCell ref="CR63:CR73"/>
    <mergeCell ref="CS63:CS73"/>
    <mergeCell ref="CT63:CT73"/>
    <mergeCell ref="CG63:CG73"/>
    <mergeCell ref="CH63:CH73"/>
    <mergeCell ref="CI63:CI73"/>
    <mergeCell ref="CJ63:CJ73"/>
    <mergeCell ref="CK63:CK73"/>
    <mergeCell ref="CL63:CL73"/>
    <mergeCell ref="CM63:CM73"/>
    <mergeCell ref="AJ63:AJ73"/>
    <mergeCell ref="AK63:AK73"/>
    <mergeCell ref="AL63:AL73"/>
    <mergeCell ref="AM63:AM73"/>
    <mergeCell ref="AN63:AN73"/>
    <mergeCell ref="AO63:AO73"/>
    <mergeCell ref="AP63:AP73"/>
    <mergeCell ref="AQ63:AQ73"/>
    <mergeCell ref="AR63:AR73"/>
    <mergeCell ref="AS63:AS73"/>
    <mergeCell ref="AT63:AT73"/>
    <mergeCell ref="AU63:AU73"/>
    <mergeCell ref="AV63:AV73"/>
    <mergeCell ref="AW63:AW73"/>
    <mergeCell ref="AX63:AX73"/>
    <mergeCell ref="AY63:AY73"/>
    <mergeCell ref="AZ63:AZ73"/>
    <mergeCell ref="BA63:BA73"/>
    <mergeCell ref="BB63:BB73"/>
    <mergeCell ref="BC63:BC73"/>
    <mergeCell ref="BD63:BD73"/>
    <mergeCell ref="BE63:BE73"/>
    <mergeCell ref="BF63:BF73"/>
    <mergeCell ref="BG63:BG73"/>
    <mergeCell ref="BH63:BH73"/>
    <mergeCell ref="BI63:BI73"/>
    <mergeCell ref="BJ63:BJ73"/>
    <mergeCell ref="BK63:BK73"/>
    <mergeCell ref="BL63:BL73"/>
    <mergeCell ref="BM63:BM73"/>
    <mergeCell ref="BN63:BN73"/>
    <mergeCell ref="BO63:BO73"/>
    <mergeCell ref="BP63:BP73"/>
    <mergeCell ref="BQ63:BQ73"/>
    <mergeCell ref="BR63:BR73"/>
    <mergeCell ref="BS63:BS73"/>
    <mergeCell ref="BT63:BT73"/>
    <mergeCell ref="BU63:BU73"/>
    <mergeCell ref="BV63:BV73"/>
    <mergeCell ref="BW63:BW73"/>
    <mergeCell ref="BX63:BX73"/>
    <mergeCell ref="BY63:BY73"/>
    <mergeCell ref="BZ63:BZ73"/>
    <mergeCell ref="CA63:CA73"/>
    <mergeCell ref="CB63:CB73"/>
    <mergeCell ref="CC63:CC73"/>
    <mergeCell ref="CD63:CD73"/>
    <mergeCell ref="CE63:CE73"/>
    <mergeCell ref="CF63:CF73"/>
    <mergeCell ref="W63:W73"/>
    <mergeCell ref="X63:X73"/>
    <mergeCell ref="P63:P73"/>
    <mergeCell ref="Q63:Q73"/>
    <mergeCell ref="R63:R73"/>
    <mergeCell ref="S63:S73"/>
    <mergeCell ref="T63:T73"/>
    <mergeCell ref="U63:U73"/>
    <mergeCell ref="V63:V73"/>
    <mergeCell ref="CN74:CN84"/>
    <mergeCell ref="CO74:CO84"/>
    <mergeCell ref="CP74:CP84"/>
    <mergeCell ref="CQ74:CQ84"/>
    <mergeCell ref="CR74:CR84"/>
    <mergeCell ref="CS74:CS84"/>
    <mergeCell ref="CT74:CT84"/>
    <mergeCell ref="CG74:CG84"/>
    <mergeCell ref="CH74:CH84"/>
    <mergeCell ref="CI74:CI84"/>
    <mergeCell ref="CJ74:CJ84"/>
    <mergeCell ref="CK74:CK84"/>
    <mergeCell ref="CL74:CL84"/>
    <mergeCell ref="CM74:CM84"/>
    <mergeCell ref="AJ74:AJ84"/>
    <mergeCell ref="AK74:AK84"/>
    <mergeCell ref="AL74:AL84"/>
    <mergeCell ref="AM74:AM84"/>
    <mergeCell ref="AN74:AN84"/>
    <mergeCell ref="AO74:AO84"/>
    <mergeCell ref="AP74:AP84"/>
    <mergeCell ref="AQ74:AQ84"/>
    <mergeCell ref="AR74:AR84"/>
    <mergeCell ref="AS74:AS84"/>
    <mergeCell ref="AT74:AT84"/>
    <mergeCell ref="AU74:AU84"/>
    <mergeCell ref="AV74:AV84"/>
    <mergeCell ref="AW74:AW84"/>
    <mergeCell ref="AX74:AX84"/>
    <mergeCell ref="AY74:AY84"/>
    <mergeCell ref="AZ74:AZ84"/>
    <mergeCell ref="BA74:BA84"/>
    <mergeCell ref="BB74:BB84"/>
    <mergeCell ref="BC74:BC84"/>
    <mergeCell ref="BD74:BD84"/>
    <mergeCell ref="BE74:BE84"/>
    <mergeCell ref="BF74:BF84"/>
    <mergeCell ref="BG74:BG84"/>
    <mergeCell ref="BH74:BH84"/>
    <mergeCell ref="BI74:BI84"/>
    <mergeCell ref="BJ74:BJ84"/>
    <mergeCell ref="BK74:BK84"/>
    <mergeCell ref="BL74:BL84"/>
    <mergeCell ref="BM74:BM84"/>
    <mergeCell ref="BN74:BN84"/>
    <mergeCell ref="BO74:BO84"/>
    <mergeCell ref="BP74:BP84"/>
    <mergeCell ref="BQ74:BQ84"/>
    <mergeCell ref="BR74:BR84"/>
    <mergeCell ref="BS74:BS84"/>
    <mergeCell ref="BT74:BT84"/>
    <mergeCell ref="BU74:BU84"/>
    <mergeCell ref="BV74:BV84"/>
    <mergeCell ref="BW74:BW84"/>
    <mergeCell ref="BX74:BX84"/>
    <mergeCell ref="BY74:BY84"/>
    <mergeCell ref="BZ74:BZ84"/>
    <mergeCell ref="CA74:CA84"/>
    <mergeCell ref="CB74:CB84"/>
    <mergeCell ref="CC74:CC84"/>
    <mergeCell ref="CD74:CD84"/>
    <mergeCell ref="CE74:CE84"/>
    <mergeCell ref="CF74:CF84"/>
    <mergeCell ref="W52:W62"/>
    <mergeCell ref="X52:X62"/>
    <mergeCell ref="Y52:Y62"/>
    <mergeCell ref="Z52:Z62"/>
    <mergeCell ref="AJ52:AJ62"/>
    <mergeCell ref="AK52:AK62"/>
    <mergeCell ref="AL52:AL62"/>
    <mergeCell ref="P52:P62"/>
    <mergeCell ref="Q52:Q62"/>
    <mergeCell ref="R52:R62"/>
    <mergeCell ref="S52:S62"/>
    <mergeCell ref="T52:T62"/>
    <mergeCell ref="U52:U62"/>
    <mergeCell ref="V52:V62"/>
    <mergeCell ref="BX85:BX95"/>
    <mergeCell ref="BY85:BY95"/>
    <mergeCell ref="BZ85:BZ95"/>
    <mergeCell ref="CA85:CA95"/>
    <mergeCell ref="CB85:CB95"/>
    <mergeCell ref="CC85:CC95"/>
    <mergeCell ref="CD85:CD95"/>
    <mergeCell ref="CE85:CE95"/>
    <mergeCell ref="CF85:CF95"/>
    <mergeCell ref="CG85:CG95"/>
    <mergeCell ref="CH85:CH95"/>
    <mergeCell ref="CI85:CI95"/>
    <mergeCell ref="CJ85:CJ95"/>
    <mergeCell ref="CK85:CK95"/>
    <mergeCell ref="CS85:CS95"/>
    <mergeCell ref="CT85:CT95"/>
    <mergeCell ref="CP96:CP106"/>
    <mergeCell ref="CQ96:CQ106"/>
    <mergeCell ref="CR96:CR106"/>
    <mergeCell ref="CS96:CS106"/>
    <mergeCell ref="CT96:CT106"/>
    <mergeCell ref="CL85:CL95"/>
    <mergeCell ref="CM85:CM95"/>
    <mergeCell ref="CN85:CN95"/>
    <mergeCell ref="CO85:CO95"/>
    <mergeCell ref="CP85:CP95"/>
    <mergeCell ref="CQ85:CQ95"/>
    <mergeCell ref="CR85:CR95"/>
    <mergeCell ref="A74:A84"/>
    <mergeCell ref="A85:A95"/>
    <mergeCell ref="A96:A106"/>
    <mergeCell ref="A41:A51"/>
    <mergeCell ref="B41:B51"/>
    <mergeCell ref="A52:A62"/>
    <mergeCell ref="B52:B62"/>
    <mergeCell ref="A63:A73"/>
    <mergeCell ref="B63:B73"/>
    <mergeCell ref="B74:B84"/>
    <mergeCell ref="P74:P84"/>
    <mergeCell ref="Q74:Q84"/>
    <mergeCell ref="R74:R84"/>
    <mergeCell ref="S74:S84"/>
    <mergeCell ref="T74:T84"/>
    <mergeCell ref="U74:U84"/>
    <mergeCell ref="V74:V84"/>
    <mergeCell ref="W74:W84"/>
    <mergeCell ref="X74:X84"/>
    <mergeCell ref="AJ85:AJ95"/>
    <mergeCell ref="AK85:AK95"/>
    <mergeCell ref="AL85:AL95"/>
    <mergeCell ref="AM85:AM95"/>
    <mergeCell ref="AN85:AN95"/>
    <mergeCell ref="AV85:AV95"/>
    <mergeCell ref="AW85:AW95"/>
    <mergeCell ref="AX85:AX95"/>
    <mergeCell ref="AY85:AY95"/>
    <mergeCell ref="AZ85:AZ95"/>
    <mergeCell ref="BA85:BA95"/>
    <mergeCell ref="BB85:BB95"/>
    <mergeCell ref="BC85:BC95"/>
    <mergeCell ref="BD85:BD95"/>
    <mergeCell ref="BE85:BE95"/>
    <mergeCell ref="BF85:BF95"/>
    <mergeCell ref="BG85:BG95"/>
    <mergeCell ref="BH85:BH95"/>
    <mergeCell ref="BI85:BI95"/>
    <mergeCell ref="BJ85:BJ95"/>
    <mergeCell ref="BK85:BK95"/>
    <mergeCell ref="BL85:BL95"/>
    <mergeCell ref="BM85:BM95"/>
    <mergeCell ref="BN85:BN95"/>
    <mergeCell ref="BO85:BO95"/>
    <mergeCell ref="BP85:BP95"/>
    <mergeCell ref="BQ85:BQ95"/>
    <mergeCell ref="BR85:BR95"/>
    <mergeCell ref="BS85:BS95"/>
    <mergeCell ref="BT85:BT95"/>
    <mergeCell ref="BU85:BU95"/>
    <mergeCell ref="BV85:BV95"/>
    <mergeCell ref="BW85:BW95"/>
    <mergeCell ref="AO85:AO95"/>
    <mergeCell ref="AP85:AP95"/>
    <mergeCell ref="AQ85:AQ95"/>
    <mergeCell ref="AR85:AR95"/>
    <mergeCell ref="AS85:AS95"/>
    <mergeCell ref="AT85:AT95"/>
    <mergeCell ref="AU85:AU95"/>
    <mergeCell ref="CN129:CN139"/>
    <mergeCell ref="CO129:CO139"/>
    <mergeCell ref="CP129:CP139"/>
    <mergeCell ref="CQ129:CQ139"/>
    <mergeCell ref="CR129:CR139"/>
    <mergeCell ref="CS129:CS139"/>
    <mergeCell ref="CT129:CT139"/>
    <mergeCell ref="CG129:CG139"/>
    <mergeCell ref="CH129:CH139"/>
    <mergeCell ref="CI129:CI139"/>
    <mergeCell ref="CJ129:CJ139"/>
    <mergeCell ref="CK129:CK139"/>
    <mergeCell ref="CL129:CL139"/>
    <mergeCell ref="CM129:CM139"/>
    <mergeCell ref="AQ129:AQ139"/>
    <mergeCell ref="AR129:AR139"/>
    <mergeCell ref="AS129:AS139"/>
    <mergeCell ref="AT129:AT139"/>
    <mergeCell ref="AU129:AU139"/>
    <mergeCell ref="AV129:AV139"/>
    <mergeCell ref="AW129:AW139"/>
    <mergeCell ref="AX129:AX139"/>
    <mergeCell ref="AY129:AY139"/>
    <mergeCell ref="AZ129:AZ139"/>
    <mergeCell ref="BA129:BA139"/>
    <mergeCell ref="BB129:BB139"/>
    <mergeCell ref="BC129:BC139"/>
    <mergeCell ref="BD129:BD139"/>
    <mergeCell ref="BE129:BE139"/>
    <mergeCell ref="BF129:BF139"/>
    <mergeCell ref="BG129:BG139"/>
    <mergeCell ref="BH129:BH139"/>
    <mergeCell ref="BI129:BI139"/>
    <mergeCell ref="BJ129:BJ139"/>
    <mergeCell ref="BK129:BK139"/>
    <mergeCell ref="BL129:BL139"/>
    <mergeCell ref="BM129:BM139"/>
    <mergeCell ref="BN129:BN139"/>
    <mergeCell ref="BO129:BO139"/>
    <mergeCell ref="BP129:BP139"/>
    <mergeCell ref="BQ129:BQ139"/>
    <mergeCell ref="BR129:BR139"/>
    <mergeCell ref="BS129:BS139"/>
    <mergeCell ref="BT129:BT139"/>
    <mergeCell ref="BU129:BU139"/>
    <mergeCell ref="BV129:BV139"/>
    <mergeCell ref="BW129:BW139"/>
    <mergeCell ref="BX129:BX139"/>
    <mergeCell ref="BY129:BY139"/>
    <mergeCell ref="BZ129:BZ139"/>
    <mergeCell ref="CA129:CA139"/>
    <mergeCell ref="CB129:CB139"/>
    <mergeCell ref="CC129:CC139"/>
    <mergeCell ref="CD129:CD139"/>
    <mergeCell ref="CE129:CE139"/>
    <mergeCell ref="CF129:CF139"/>
    <mergeCell ref="AJ129:AJ139"/>
    <mergeCell ref="AK129:AK139"/>
    <mergeCell ref="AL129:AL139"/>
    <mergeCell ref="AM129:AM139"/>
    <mergeCell ref="AN129:AN139"/>
    <mergeCell ref="AO129:AO139"/>
    <mergeCell ref="AP129:AP139"/>
    <mergeCell ref="CN140:CN150"/>
    <mergeCell ref="CO140:CO150"/>
    <mergeCell ref="CP140:CP150"/>
    <mergeCell ref="CQ140:CQ150"/>
    <mergeCell ref="CR140:CR150"/>
    <mergeCell ref="CS140:CS150"/>
    <mergeCell ref="CT140:CT150"/>
    <mergeCell ref="CG140:CG150"/>
    <mergeCell ref="CH140:CH150"/>
    <mergeCell ref="CI140:CI150"/>
    <mergeCell ref="CJ140:CJ150"/>
    <mergeCell ref="CK140:CK150"/>
    <mergeCell ref="CL140:CL150"/>
    <mergeCell ref="CM140:CM150"/>
    <mergeCell ref="AQ140:AQ150"/>
    <mergeCell ref="AR140:AR150"/>
    <mergeCell ref="AS140:AS150"/>
    <mergeCell ref="AT140:AT150"/>
    <mergeCell ref="AU140:AU150"/>
    <mergeCell ref="AV140:AV150"/>
    <mergeCell ref="AW140:AW150"/>
    <mergeCell ref="AX140:AX150"/>
    <mergeCell ref="AY140:AY150"/>
    <mergeCell ref="AZ140:AZ150"/>
    <mergeCell ref="BA140:BA150"/>
    <mergeCell ref="BB140:BB150"/>
    <mergeCell ref="BC140:BC150"/>
    <mergeCell ref="BD140:BD150"/>
    <mergeCell ref="BE140:BE150"/>
    <mergeCell ref="BF140:BF150"/>
    <mergeCell ref="BG140:BG150"/>
    <mergeCell ref="BH140:BH150"/>
    <mergeCell ref="BI140:BI150"/>
    <mergeCell ref="BJ140:BJ150"/>
    <mergeCell ref="BK140:BK150"/>
    <mergeCell ref="BL140:BL150"/>
    <mergeCell ref="BM140:BM150"/>
    <mergeCell ref="BN140:BN150"/>
    <mergeCell ref="BO140:BO150"/>
    <mergeCell ref="BP140:BP150"/>
    <mergeCell ref="BQ140:BQ150"/>
    <mergeCell ref="BR140:BR150"/>
    <mergeCell ref="BS140:BS150"/>
    <mergeCell ref="BT140:BT150"/>
    <mergeCell ref="BU140:BU150"/>
    <mergeCell ref="BV140:BV150"/>
    <mergeCell ref="BW140:BW150"/>
    <mergeCell ref="BX140:BX150"/>
    <mergeCell ref="BY140:BY150"/>
    <mergeCell ref="BZ140:BZ150"/>
    <mergeCell ref="CA140:CA150"/>
    <mergeCell ref="CB140:CB150"/>
    <mergeCell ref="CC140:CC150"/>
    <mergeCell ref="CD140:CD150"/>
    <mergeCell ref="CE140:CE150"/>
    <mergeCell ref="CF140:CF150"/>
    <mergeCell ref="AJ140:AJ150"/>
    <mergeCell ref="AK140:AK150"/>
    <mergeCell ref="AL140:AL150"/>
    <mergeCell ref="AM140:AM150"/>
    <mergeCell ref="AN140:AN150"/>
    <mergeCell ref="AO140:AO150"/>
    <mergeCell ref="AP140:AP150"/>
    <mergeCell ref="W96:W106"/>
    <mergeCell ref="X96:X106"/>
    <mergeCell ref="P96:P106"/>
    <mergeCell ref="Q96:Q106"/>
    <mergeCell ref="R96:R106"/>
    <mergeCell ref="S96:S106"/>
    <mergeCell ref="T96:T106"/>
    <mergeCell ref="U96:U106"/>
    <mergeCell ref="V96:V106"/>
    <mergeCell ref="W107:W117"/>
    <mergeCell ref="X107:X117"/>
    <mergeCell ref="P107:P117"/>
    <mergeCell ref="Q107:Q117"/>
    <mergeCell ref="R107:R117"/>
    <mergeCell ref="S107:S117"/>
    <mergeCell ref="T107:T117"/>
    <mergeCell ref="U107:U117"/>
    <mergeCell ref="V107:V117"/>
    <mergeCell ref="W118:W128"/>
    <mergeCell ref="X118:X128"/>
    <mergeCell ref="P118:P128"/>
    <mergeCell ref="Q118:Q128"/>
    <mergeCell ref="R118:R128"/>
    <mergeCell ref="S118:S128"/>
    <mergeCell ref="T118:T128"/>
    <mergeCell ref="U118:U128"/>
    <mergeCell ref="V118:V128"/>
    <mergeCell ref="W85:W95"/>
    <mergeCell ref="X85:X95"/>
    <mergeCell ref="Y85:Y95"/>
    <mergeCell ref="Z85:Z95"/>
    <mergeCell ref="Y96:Y106"/>
    <mergeCell ref="Z96:Z106"/>
    <mergeCell ref="Z107:Z117"/>
    <mergeCell ref="P85:P95"/>
    <mergeCell ref="Q85:Q95"/>
    <mergeCell ref="R85:R95"/>
    <mergeCell ref="S85:S95"/>
    <mergeCell ref="T85:T95"/>
    <mergeCell ref="U85:U95"/>
    <mergeCell ref="V85:V95"/>
    <mergeCell ref="B85:B95"/>
    <mergeCell ref="B96:B106"/>
    <mergeCell ref="A107:A117"/>
    <mergeCell ref="B107:B117"/>
    <mergeCell ref="A118:A128"/>
    <mergeCell ref="B118:B128"/>
    <mergeCell ref="B129:B139"/>
    <mergeCell ref="A129:A139"/>
    <mergeCell ref="A140:A150"/>
    <mergeCell ref="A151:A161"/>
    <mergeCell ref="A162:A172"/>
    <mergeCell ref="A173:A183"/>
    <mergeCell ref="A184:A194"/>
    <mergeCell ref="A195:A205"/>
    <mergeCell ref="B140:B150"/>
    <mergeCell ref="B151:B161"/>
    <mergeCell ref="B162:B172"/>
    <mergeCell ref="B173:B183"/>
    <mergeCell ref="B184:B194"/>
    <mergeCell ref="B195:B205"/>
    <mergeCell ref="B206:B216"/>
    <mergeCell ref="A283:A293"/>
    <mergeCell ref="A294:A304"/>
    <mergeCell ref="A305:A315"/>
    <mergeCell ref="A206:A216"/>
    <mergeCell ref="A217:A227"/>
    <mergeCell ref="A228:A238"/>
    <mergeCell ref="A239:A249"/>
    <mergeCell ref="A250:A260"/>
    <mergeCell ref="A261:A271"/>
    <mergeCell ref="A272:A282"/>
    <mergeCell ref="B294:B304"/>
    <mergeCell ref="B305:B315"/>
    <mergeCell ref="B217:B227"/>
    <mergeCell ref="B228:B238"/>
    <mergeCell ref="B239:B249"/>
    <mergeCell ref="B250:B260"/>
    <mergeCell ref="B261:B271"/>
    <mergeCell ref="B272:B282"/>
    <mergeCell ref="B283:B293"/>
    <mergeCell ref="W30:W40"/>
    <mergeCell ref="X30:X40"/>
    <mergeCell ref="P30:P40"/>
    <mergeCell ref="Q30:Q40"/>
    <mergeCell ref="R30:R40"/>
    <mergeCell ref="S30:S40"/>
    <mergeCell ref="T30:T40"/>
    <mergeCell ref="U30:U40"/>
    <mergeCell ref="V30:V40"/>
    <mergeCell ref="W41:W51"/>
    <mergeCell ref="X41:X51"/>
    <mergeCell ref="Y41:Y51"/>
    <mergeCell ref="Z41:Z51"/>
    <mergeCell ref="Y63:Y73"/>
    <mergeCell ref="Z63:Z73"/>
    <mergeCell ref="Y74:Y84"/>
    <mergeCell ref="Z74:Z84"/>
    <mergeCell ref="P41:P51"/>
    <mergeCell ref="Q41:Q51"/>
    <mergeCell ref="R41:R51"/>
    <mergeCell ref="S41:S51"/>
    <mergeCell ref="T41:T51"/>
    <mergeCell ref="U41:U51"/>
    <mergeCell ref="V41:V51"/>
    <mergeCell ref="Y107:Y117"/>
    <mergeCell ref="Y118:Y128"/>
    <mergeCell ref="Z118:Z128"/>
    <mergeCell ref="W129:W139"/>
    <mergeCell ref="X129:X139"/>
    <mergeCell ref="Y129:Y139"/>
    <mergeCell ref="Z129:Z139"/>
    <mergeCell ref="P129:P139"/>
    <mergeCell ref="Q129:Q139"/>
    <mergeCell ref="R129:R139"/>
    <mergeCell ref="S129:S139"/>
    <mergeCell ref="T129:T139"/>
    <mergeCell ref="U129:U139"/>
    <mergeCell ref="V129:V139"/>
    <mergeCell ref="W283:W293"/>
    <mergeCell ref="X283:X293"/>
    <mergeCell ref="Y283:Y293"/>
    <mergeCell ref="Z283:Z293"/>
    <mergeCell ref="P283:P293"/>
    <mergeCell ref="Q283:Q293"/>
    <mergeCell ref="R283:R293"/>
    <mergeCell ref="S283:S293"/>
    <mergeCell ref="T283:T293"/>
    <mergeCell ref="U283:U293"/>
    <mergeCell ref="V283:V293"/>
    <mergeCell ref="W294:W304"/>
    <mergeCell ref="X294:X304"/>
    <mergeCell ref="Y294:Y304"/>
    <mergeCell ref="Z294:Z304"/>
    <mergeCell ref="P294:P304"/>
    <mergeCell ref="Q294:Q304"/>
    <mergeCell ref="R294:R304"/>
    <mergeCell ref="S294:S304"/>
    <mergeCell ref="T294:T304"/>
    <mergeCell ref="U294:U304"/>
    <mergeCell ref="V294:V304"/>
    <mergeCell ref="W305:W315"/>
    <mergeCell ref="X305:X315"/>
    <mergeCell ref="Y305:Y315"/>
    <mergeCell ref="Z305:Z315"/>
    <mergeCell ref="P305:P315"/>
    <mergeCell ref="Q305:Q315"/>
    <mergeCell ref="R305:R315"/>
    <mergeCell ref="S305:S315"/>
    <mergeCell ref="T305:T315"/>
    <mergeCell ref="U305:U315"/>
    <mergeCell ref="V305:V315"/>
    <mergeCell ref="W140:W150"/>
    <mergeCell ref="X140:X150"/>
    <mergeCell ref="Y140:Y150"/>
    <mergeCell ref="Z140:Z150"/>
    <mergeCell ref="P140:P150"/>
    <mergeCell ref="Q140:Q150"/>
    <mergeCell ref="R140:R150"/>
    <mergeCell ref="S140:S150"/>
    <mergeCell ref="T140:T150"/>
    <mergeCell ref="U140:U150"/>
    <mergeCell ref="V140:V150"/>
    <mergeCell ref="W151:W161"/>
    <mergeCell ref="X151:X161"/>
    <mergeCell ref="Y151:Y161"/>
    <mergeCell ref="Z151:Z161"/>
    <mergeCell ref="P151:P161"/>
    <mergeCell ref="Q151:Q161"/>
    <mergeCell ref="R151:R161"/>
    <mergeCell ref="S151:S161"/>
    <mergeCell ref="T151:T161"/>
    <mergeCell ref="U151:U161"/>
    <mergeCell ref="V151:V161"/>
    <mergeCell ref="W162:W172"/>
    <mergeCell ref="X162:X172"/>
    <mergeCell ref="Y162:Y172"/>
    <mergeCell ref="Z162:Z172"/>
    <mergeCell ref="P162:P172"/>
    <mergeCell ref="Q162:Q172"/>
    <mergeCell ref="R162:R172"/>
    <mergeCell ref="S162:S172"/>
    <mergeCell ref="T162:T172"/>
    <mergeCell ref="U162:U172"/>
    <mergeCell ref="V162:V172"/>
    <mergeCell ref="P173:P183"/>
    <mergeCell ref="Q173:Q183"/>
    <mergeCell ref="R173:R183"/>
    <mergeCell ref="S173:S183"/>
    <mergeCell ref="T173:T183"/>
    <mergeCell ref="U173:U183"/>
    <mergeCell ref="V173:V183"/>
  </mergeCells>
  <conditionalFormatting sqref="E228:N315">
    <cfRule type="expression" dxfId="0" priority="1">
      <formula>AND($F228&lt;&gt;"",OR($M228=0,$M228=""))</formula>
    </cfRule>
  </conditionalFormatting>
  <conditionalFormatting sqref="E228:N315">
    <cfRule type="expression" dxfId="1" priority="2">
      <formula>LEFT($K228,1)="E"</formula>
    </cfRule>
  </conditionalFormatting>
  <conditionalFormatting sqref="E228:N315">
    <cfRule type="expression" dxfId="2" priority="3">
      <formula>LEFT($K228,1)="P"</formula>
    </cfRule>
  </conditionalFormatting>
  <conditionalFormatting sqref="E228:N315">
    <cfRule type="expression" dxfId="3" priority="4">
      <formula>LEFT($K228,1)="S"</formula>
    </cfRule>
  </conditionalFormatting>
  <conditionalFormatting sqref="E162:N227">
    <cfRule type="expression" dxfId="0" priority="5">
      <formula>AND($F162&lt;&gt;"",OR($M162=0,$M162=""))</formula>
    </cfRule>
  </conditionalFormatting>
  <conditionalFormatting sqref="E162:N227">
    <cfRule type="expression" dxfId="1" priority="6">
      <formula>LEFT($K162,1)="E"</formula>
    </cfRule>
  </conditionalFormatting>
  <conditionalFormatting sqref="E162:N227">
    <cfRule type="expression" dxfId="2" priority="7">
      <formula>LEFT($K162,1)="P"</formula>
    </cfRule>
  </conditionalFormatting>
  <conditionalFormatting sqref="E162:N227">
    <cfRule type="expression" dxfId="3" priority="8">
      <formula>LEFT($K162,1)="S"</formula>
    </cfRule>
  </conditionalFormatting>
  <conditionalFormatting sqref="E8:N8 E19:N19 E30:N30 E41:N41 E52:N52 E63:N63 E74:N74 E85:N85 E96:N96 E107:N107 E118:N118 E129:N129 E140:N140 E151:N151">
    <cfRule type="expression" dxfId="0" priority="9">
      <formula>AND($F8&lt;&gt;"",OR($M8=0,$M8=""))</formula>
    </cfRule>
  </conditionalFormatting>
  <conditionalFormatting sqref="E8:N8 E19:N19 E30:N30 E41:N41 E52:N52 E63:N63 E74:N74 E85:N85 E96:N96 E107:N107 E118:N118 E129:N129 E140:N140 E151:N151">
    <cfRule type="expression" dxfId="1" priority="10">
      <formula>LEFT($K8,1)="E"</formula>
    </cfRule>
  </conditionalFormatting>
  <conditionalFormatting sqref="E8:N8 E19:N19 E30:N30 E41:N41 E52:N52 E63:N63 E74:N74 E85:N85 E96:N96 E107:N107 E118:N118 E129:N129 E140:N140 E151:N151">
    <cfRule type="expression" dxfId="2" priority="11">
      <formula>LEFT($K8,1)="P"</formula>
    </cfRule>
  </conditionalFormatting>
  <conditionalFormatting sqref="E8:N8 E19:N19 E30:N30 E41:N41 E52:N52 E63:N63 E74:N74 E85:N85 E96:N96 E107:N107 E118:N118 E129:N129 E140:N140 E151:N151">
    <cfRule type="expression" dxfId="3" priority="12">
      <formula>LEFT($K8,1)="S"</formula>
    </cfRule>
  </conditionalFormatting>
  <conditionalFormatting sqref="E9:N9 E20:N20 E31:N31 E42:N42 E53:N53 E64:N64 E75:N75 E86:N86 E97:N97 E108:N108 E119:N119 E130:N130 E141:N141 E152:N152">
    <cfRule type="expression" dxfId="0" priority="13">
      <formula>AND($F9&lt;&gt;"",OR($M9=0,$M9=""))</formula>
    </cfRule>
  </conditionalFormatting>
  <conditionalFormatting sqref="E9:N9 E20:N20 E31:N31 E42:N42 E53:N53 E64:N64 E75:N75 E86:N86 E97:N97 E108:N108 E119:N119 E130:N130 E141:N141 E152:N152">
    <cfRule type="expression" dxfId="1" priority="14">
      <formula>LEFT($K9,1)="E"</formula>
    </cfRule>
  </conditionalFormatting>
  <conditionalFormatting sqref="E9:N9 E20:N20 E31:N31 E42:N42 E53:N53 E64:N64 E75:N75 E86:N86 E97:N97 E108:N108 E119:N119 E130:N130 E141:N141 E152:N152">
    <cfRule type="expression" dxfId="2" priority="15">
      <formula>LEFT($K9,1)="P"</formula>
    </cfRule>
  </conditionalFormatting>
  <conditionalFormatting sqref="E9:N9 E20:N20 E31:N31 E42:N42 E53:N53 E64:N64 E75:N75 E86:N86 E97:N97 E108:N108 E119:N119 E130:N130 E141:N141 E152:N152">
    <cfRule type="expression" dxfId="3" priority="16">
      <formula>LEFT($K9,1)="S"</formula>
    </cfRule>
  </conditionalFormatting>
  <conditionalFormatting sqref="E10:N18 E21:N29 E32:N40 E43:N51 E54:N62 E65:N73 E76:N84 E87:N95 E98:N106 E109:N117 E120:N128 E131:N139 E142:N150 E153:N161">
    <cfRule type="expression" dxfId="0" priority="17">
      <formula>AND($F10&lt;&gt;"",OR($M10=0,$M10=""))</formula>
    </cfRule>
  </conditionalFormatting>
  <conditionalFormatting sqref="E10:N18 E21:N29 E32:N40 E43:N51 E54:N62 E65:N73 E76:N84 E87:N95 E98:N106 E109:N117 E120:N128 E131:N139 E142:N150 E153:N161">
    <cfRule type="expression" dxfId="1" priority="18">
      <formula>LEFT($K10,1)="E"</formula>
    </cfRule>
  </conditionalFormatting>
  <conditionalFormatting sqref="E10:N18 E21:N29 E32:N40 E43:N51 E54:N62 E65:N73 E76:N84 E87:N95 E98:N106 E109:N117 E120:N128 E131:N139 E142:N150 E153:N161">
    <cfRule type="expression" dxfId="2" priority="19">
      <formula>LEFT($K10,1)="P"</formula>
    </cfRule>
  </conditionalFormatting>
  <conditionalFormatting sqref="E10:N18 E21:N29 E32:N40 E43:N51 E54:N62 E65:N73 E76:N84 E87:N95 E98:N106 E109:N117 E120:N128 E131:N139 E142:N150 E153:N161">
    <cfRule type="expression" dxfId="3" priority="20">
      <formula>LEFT($K10,1)="S"</formula>
    </cfRule>
  </conditionalFormatting>
  <conditionalFormatting sqref="E10 E21 E32 E43 E54 E65 E76 E87 E98 E109 E120 E131 E142 E153">
    <cfRule type="expression" dxfId="0" priority="21">
      <formula>AND($F10&lt;&gt;"",OR($M10=0,$M10=""))</formula>
    </cfRule>
  </conditionalFormatting>
  <conditionalFormatting sqref="E10 E21 E32 E43 E54 E65 E76 E87 E98 E109 E120 E131 E142 E153">
    <cfRule type="expression" dxfId="1" priority="22">
      <formula>LEFT($K10,1)="E"</formula>
    </cfRule>
  </conditionalFormatting>
  <conditionalFormatting sqref="E10 E21 E32 E43 E54 E65 E76 E87 E98 E109 E120 E131 E142 E153">
    <cfRule type="expression" dxfId="2" priority="23">
      <formula>LEFT($K10,1)="P"</formula>
    </cfRule>
  </conditionalFormatting>
  <conditionalFormatting sqref="E10 E21 E32 E43 E54 E65 E76 E87 E98 E109 E120 E131 E142 E153">
    <cfRule type="expression" dxfId="3" priority="24">
      <formula>LEFT($K10,1)="S"</formula>
    </cfRule>
  </conditionalFormatting>
  <conditionalFormatting sqref="E11 E22 E33 E44 E55 E66 E77 E88 E99 E110 E121 E132 E143 E154">
    <cfRule type="expression" dxfId="0" priority="25">
      <formula>AND($F11&lt;&gt;"",OR($M11=0,$M11=""))</formula>
    </cfRule>
  </conditionalFormatting>
  <conditionalFormatting sqref="E11 E22 E33 E44 E55 E66 E77 E88 E99 E110 E121 E132 E143 E154">
    <cfRule type="expression" dxfId="1" priority="26">
      <formula>LEFT($K11,1)="E"</formula>
    </cfRule>
  </conditionalFormatting>
  <conditionalFormatting sqref="E11 E22 E33 E44 E55 E66 E77 E88 E99 E110 E121 E132 E143 E154">
    <cfRule type="expression" dxfId="2" priority="27">
      <formula>LEFT($K11,1)="P"</formula>
    </cfRule>
  </conditionalFormatting>
  <conditionalFormatting sqref="E11 E22 E33 E44 E55 E66 E77 E88 E99 E110 E121 E132 E143 E154">
    <cfRule type="expression" dxfId="3" priority="28">
      <formula>LEFT($K11,1)="S"</formula>
    </cfRule>
  </conditionalFormatting>
  <conditionalFormatting sqref="E8:N8 E19:N19 E30:N30 E41:N41 E52:N52 E63:N63 E74:N74 E85:N85 E96:N96 E107:N107 E118:N118 E129:N129 E140:N140 E151:N151">
    <cfRule type="expression" dxfId="0" priority="29">
      <formula>AND($F8&lt;&gt;"",OR($M8=0,$M8=""))</formula>
    </cfRule>
  </conditionalFormatting>
  <conditionalFormatting sqref="E8:N8 E19:N19 E30:N30 E41:N41 E52:N52 E63:N63 E74:N74 E85:N85 E96:N96 E107:N107 E118:N118 E129:N129 E140:N140 E151:N151">
    <cfRule type="expression" dxfId="1" priority="30">
      <formula>LEFT($K8,1)="E"</formula>
    </cfRule>
  </conditionalFormatting>
  <conditionalFormatting sqref="E8:N8 E19:N19 E30:N30 E41:N41 E52:N52 E63:N63 E74:N74 E85:N85 E96:N96 E107:N107 E118:N118 E129:N129 E140:N140 E151:N151">
    <cfRule type="expression" dxfId="2" priority="31">
      <formula>LEFT($K8,1)="P"</formula>
    </cfRule>
  </conditionalFormatting>
  <conditionalFormatting sqref="E8:N8 E19:N19 E30:N30 E41:N41 E52:N52 E63:N63 E74:N74 E85:N85 E96:N96 E107:N107 E118:N118 E129:N129 E140:N140 E151:N151">
    <cfRule type="expression" dxfId="3" priority="32">
      <formula>LEFT($K8,1)="S"</formula>
    </cfRule>
  </conditionalFormatting>
  <conditionalFormatting sqref="E9:N9 E20:N20 E31:N31 E42:N42 E53:N53 E64:N64 E75:N75 E86:N86 E97:N97 E108:N108 E119:N119 E130:N130 E141:N141 E152:N152">
    <cfRule type="expression" dxfId="0" priority="33">
      <formula>AND($F9&lt;&gt;"",OR($M9=0,$M9=""))</formula>
    </cfRule>
  </conditionalFormatting>
  <conditionalFormatting sqref="E9:N9 E20:N20 E31:N31 E42:N42 E53:N53 E64:N64 E75:N75 E86:N86 E97:N97 E108:N108 E119:N119 E130:N130 E141:N141 E152:N152">
    <cfRule type="expression" dxfId="1" priority="34">
      <formula>LEFT($K9,1)="E"</formula>
    </cfRule>
  </conditionalFormatting>
  <conditionalFormatting sqref="E9:N9 E20:N20 E31:N31 E42:N42 E53:N53 E64:N64 E75:N75 E86:N86 E97:N97 E108:N108 E119:N119 E130:N130 E141:N141 E152:N152">
    <cfRule type="expression" dxfId="2" priority="35">
      <formula>LEFT($K9,1)="P"</formula>
    </cfRule>
  </conditionalFormatting>
  <conditionalFormatting sqref="E9:N9 E20:N20 E31:N31 E42:N42 E53:N53 E64:N64 E75:N75 E86:N86 E97:N97 E108:N108 E119:N119 E130:N130 E141:N141 E152:N152">
    <cfRule type="expression" dxfId="3" priority="36">
      <formula>LEFT($K9,1)="S"</formula>
    </cfRule>
  </conditionalFormatting>
  <conditionalFormatting sqref="E10:N18 E21:N29 E32:N40 E43:N51 E54:N62 E65:N73 E76:N84 E87:N95 E98:N106 E109:N117 E120:N128 E131:N139 E142:N150 E153:N161">
    <cfRule type="expression" dxfId="0" priority="37">
      <formula>AND($F10&lt;&gt;"",OR($M10=0,$M10=""))</formula>
    </cfRule>
  </conditionalFormatting>
  <conditionalFormatting sqref="E10:N18 E21:N29 E32:N40 E43:N51 E54:N62 E65:N73 E76:N84 E87:N95 E98:N106 E109:N117 E120:N128 E131:N139 E142:N150 E153:N161">
    <cfRule type="expression" dxfId="1" priority="38">
      <formula>LEFT($K10,1)="E"</formula>
    </cfRule>
  </conditionalFormatting>
  <conditionalFormatting sqref="E10:N18 E21:N29 E32:N40 E43:N51 E54:N62 E65:N73 E76:N84 E87:N95 E98:N106 E109:N117 E120:N128 E131:N139 E142:N150 E153:N161">
    <cfRule type="expression" dxfId="2" priority="39">
      <formula>LEFT($K10,1)="P"</formula>
    </cfRule>
  </conditionalFormatting>
  <conditionalFormatting sqref="E10:N18 E21:N29 E32:N40 E43:N51 E54:N62 E65:N73 E76:N84 E87:N95 E98:N106 E109:N117 E120:N128 E131:N139 E142:N150 E153:N161">
    <cfRule type="expression" dxfId="3" priority="40">
      <formula>LEFT($K10,1)="S"</formula>
    </cfRule>
  </conditionalFormatting>
  <conditionalFormatting sqref="E10 E21 E32 E43 E54 E65 E76 E87 E98 E109 E120 E131 E142 E153">
    <cfRule type="expression" dxfId="0" priority="41">
      <formula>AND($F10&lt;&gt;"",OR($M10=0,$M10=""))</formula>
    </cfRule>
  </conditionalFormatting>
  <conditionalFormatting sqref="E10 E21 E32 E43 E54 E65 E76 E87 E98 E109 E120 E131 E142 E153">
    <cfRule type="expression" dxfId="1" priority="42">
      <formula>LEFT($K10,1)="E"</formula>
    </cfRule>
  </conditionalFormatting>
  <conditionalFormatting sqref="E10 E21 E32 E43 E54 E65 E76 E87 E98 E109 E120 E131 E142 E153">
    <cfRule type="expression" dxfId="2" priority="43">
      <formula>LEFT($K10,1)="P"</formula>
    </cfRule>
  </conditionalFormatting>
  <conditionalFormatting sqref="E10 E21 E32 E43 E54 E65 E76 E87 E98 E109 E120 E131 E142 E153">
    <cfRule type="expression" dxfId="3" priority="44">
      <formula>LEFT($K10,1)="S"</formula>
    </cfRule>
  </conditionalFormatting>
  <conditionalFormatting sqref="E11 E22 E33 E44 E55 E66 E77 E88 E99 E110 E121 E132 E143 E154">
    <cfRule type="expression" dxfId="0" priority="45">
      <formula>AND($F11&lt;&gt;"",OR($M11=0,$M11=""))</formula>
    </cfRule>
  </conditionalFormatting>
  <conditionalFormatting sqref="E11 E22 E33 E44 E55 E66 E77 E88 E99 E110 E121 E132 E143 E154">
    <cfRule type="expression" dxfId="1" priority="46">
      <formula>LEFT($K11,1)="E"</formula>
    </cfRule>
  </conditionalFormatting>
  <conditionalFormatting sqref="E11 E22 E33 E44 E55 E66 E77 E88 E99 E110 E121 E132 E143 E154">
    <cfRule type="expression" dxfId="2" priority="47">
      <formula>LEFT($K11,1)="P"</formula>
    </cfRule>
  </conditionalFormatting>
  <conditionalFormatting sqref="E11 E22 E33 E44 E55 E66 E77 E88 E99 E110 E121 E132 E143 E154">
    <cfRule type="expression" dxfId="3" priority="48">
      <formula>LEFT($K11,1)="S"</formula>
    </cfRule>
  </conditionalFormatting>
  <printOptions/>
  <pageMargins bottom="0.75" footer="0.0" header="0.0" left="0.7" right="0.7" top="0.75"/>
  <pageSetup paperSize="8" orientation="landscape"/>
  <rowBreaks count="1" manualBreakCount="1">
    <brk id="216" man="1"/>
  </rowBreaks>
  <colBreaks count="1" manualBreakCount="1">
    <brk id="44"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18.0"/>
    <col customWidth="1" min="2" max="2" width="48.43"/>
    <col customWidth="1" min="3" max="4" width="35.0"/>
    <col customWidth="1" min="5" max="6" width="31.86"/>
    <col customWidth="1" min="7" max="9" width="26.43"/>
    <col customWidth="1" min="10" max="10" width="32.0"/>
    <col customWidth="1" min="11" max="26" width="26.43"/>
    <col customWidth="1" min="27" max="35" width="25.86"/>
    <col customWidth="1" min="36" max="46" width="35.0"/>
    <col customWidth="1" min="47" max="67" width="28.43"/>
    <col customWidth="1" min="68" max="68" width="35.43"/>
    <col customWidth="1" min="69" max="83" width="28.43"/>
    <col customWidth="1" min="84" max="84" width="38.43"/>
    <col customWidth="1" min="85" max="97" width="28.43"/>
    <col customWidth="1" min="98" max="98" width="33.0"/>
    <col customWidth="1" min="99" max="99" width="28.14"/>
  </cols>
  <sheetData>
    <row r="1" ht="79.5" customHeight="1">
      <c r="A1" s="1" t="str">
        <f>CONCATENATE("DAILY REPORT   DATE :  ",MID(CELL("filename",A1),FIND("]",CELL("filename",A1),1)+1,255))</f>
        <v>#VALUE!</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3"/>
      <c r="AU1" s="1" t="str">
        <f>A1</f>
        <v>#VALUE!</v>
      </c>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3"/>
      <c r="CU1" s="242"/>
    </row>
    <row r="2" ht="3.0" customHeight="1">
      <c r="A2" s="266"/>
      <c r="AT2" s="76"/>
      <c r="AU2" s="1"/>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3"/>
      <c r="CU2" s="242"/>
    </row>
    <row r="3">
      <c r="A3" s="8" t="s">
        <v>232</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11"/>
      <c r="AU3" s="1" t="str">
        <f>A3</f>
        <v>COLLEGE NAME : L.J. INSTITUTE OF ENGINEERING AND TECHNOLOGY                                 DEPARTMENT NAME :  SY4(CST CS&amp;IT)                        YEAR : 2024-25                              SEMESTER : III</v>
      </c>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3"/>
      <c r="CU3" s="242"/>
    </row>
    <row r="4" ht="61.5" customHeight="1">
      <c r="A4" s="12" t="s">
        <v>1</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4"/>
      <c r="AS4" s="15"/>
      <c r="AT4" s="16"/>
      <c r="AU4" s="17" t="s">
        <v>2</v>
      </c>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8"/>
      <c r="CH4" s="19" t="s">
        <v>3</v>
      </c>
      <c r="CI4" s="2"/>
      <c r="CJ4" s="2"/>
      <c r="CK4" s="2"/>
      <c r="CL4" s="2"/>
      <c r="CM4" s="2"/>
      <c r="CN4" s="2"/>
      <c r="CO4" s="2"/>
      <c r="CP4" s="2"/>
      <c r="CQ4" s="2"/>
      <c r="CR4" s="2"/>
      <c r="CS4" s="20"/>
      <c r="CT4" s="21"/>
      <c r="CU4" s="243"/>
    </row>
    <row r="5" ht="61.5" customHeight="1">
      <c r="A5" s="244" t="s">
        <v>4</v>
      </c>
      <c r="B5" s="24"/>
      <c r="C5" s="24"/>
      <c r="D5" s="24"/>
      <c r="E5" s="24"/>
      <c r="F5" s="24"/>
      <c r="G5" s="24"/>
      <c r="H5" s="24"/>
      <c r="I5" s="24"/>
      <c r="J5" s="24"/>
      <c r="K5" s="24"/>
      <c r="L5" s="24"/>
      <c r="M5" s="24"/>
      <c r="N5" s="24"/>
      <c r="O5" s="24"/>
      <c r="P5" s="24"/>
      <c r="Q5" s="24"/>
      <c r="R5" s="24"/>
      <c r="S5" s="24"/>
      <c r="T5" s="24"/>
      <c r="U5" s="24"/>
      <c r="V5" s="24"/>
      <c r="W5" s="24"/>
      <c r="X5" s="24"/>
      <c r="Y5" s="24"/>
      <c r="Z5" s="25"/>
      <c r="AA5" s="26" t="s">
        <v>5</v>
      </c>
      <c r="AB5" s="2"/>
      <c r="AC5" s="2"/>
      <c r="AD5" s="2"/>
      <c r="AE5" s="2"/>
      <c r="AF5" s="2"/>
      <c r="AG5" s="2"/>
      <c r="AH5" s="2"/>
      <c r="AI5" s="3"/>
      <c r="AJ5" s="27" t="s">
        <v>6</v>
      </c>
      <c r="AK5" s="28"/>
      <c r="AL5" s="28"/>
      <c r="AM5" s="28"/>
      <c r="AN5" s="28"/>
      <c r="AO5" s="29"/>
      <c r="AP5" s="30" t="s">
        <v>7</v>
      </c>
      <c r="AQ5" s="31" t="s">
        <v>8</v>
      </c>
      <c r="AR5" s="31" t="s">
        <v>9</v>
      </c>
      <c r="AS5" s="31" t="s">
        <v>233</v>
      </c>
      <c r="AT5" s="32" t="s">
        <v>11</v>
      </c>
      <c r="AU5" s="33" t="s">
        <v>12</v>
      </c>
      <c r="AV5" s="34"/>
      <c r="AW5" s="34"/>
      <c r="AX5" s="35"/>
      <c r="AY5" s="36" t="s">
        <v>13</v>
      </c>
      <c r="AZ5" s="37" t="s">
        <v>14</v>
      </c>
      <c r="BA5" s="38" t="s">
        <v>15</v>
      </c>
      <c r="BB5" s="24"/>
      <c r="BC5" s="24"/>
      <c r="BD5" s="24"/>
      <c r="BE5" s="24"/>
      <c r="BF5" s="24"/>
      <c r="BG5" s="24"/>
      <c r="BH5" s="24"/>
      <c r="BI5" s="24"/>
      <c r="BJ5" s="24"/>
      <c r="BK5" s="24"/>
      <c r="BL5" s="24"/>
      <c r="BM5" s="24"/>
      <c r="BN5" s="24"/>
      <c r="BO5" s="39"/>
      <c r="BP5" s="40" t="s">
        <v>16</v>
      </c>
      <c r="BQ5" s="24"/>
      <c r="BR5" s="24"/>
      <c r="BS5" s="24"/>
      <c r="BT5" s="24"/>
      <c r="BU5" s="41"/>
      <c r="BV5" s="42" t="s">
        <v>17</v>
      </c>
      <c r="BW5" s="14"/>
      <c r="BX5" s="43" t="s">
        <v>18</v>
      </c>
      <c r="BY5" s="34"/>
      <c r="BZ5" s="34"/>
      <c r="CA5" s="34"/>
      <c r="CB5" s="34"/>
      <c r="CC5" s="34"/>
      <c r="CD5" s="34"/>
      <c r="CE5" s="34"/>
      <c r="CF5" s="34"/>
      <c r="CG5" s="44"/>
      <c r="CH5" s="45"/>
      <c r="CI5" s="46"/>
      <c r="CJ5" s="46"/>
      <c r="CK5" s="46"/>
      <c r="CL5" s="46"/>
      <c r="CM5" s="46"/>
      <c r="CN5" s="46"/>
      <c r="CO5" s="46"/>
      <c r="CP5" s="46"/>
      <c r="CQ5" s="46"/>
      <c r="CR5" s="46"/>
      <c r="CS5" s="47"/>
      <c r="CT5" s="48"/>
      <c r="CU5" s="245"/>
    </row>
    <row r="6" ht="174.0" customHeight="1">
      <c r="A6" s="50" t="s">
        <v>19</v>
      </c>
      <c r="B6" s="50" t="s">
        <v>20</v>
      </c>
      <c r="C6" s="50" t="s">
        <v>21</v>
      </c>
      <c r="D6" s="51" t="s">
        <v>22</v>
      </c>
      <c r="E6" s="246" t="s">
        <v>23</v>
      </c>
      <c r="F6" s="9"/>
      <c r="G6" s="9"/>
      <c r="H6" s="9"/>
      <c r="I6" s="9"/>
      <c r="J6" s="9"/>
      <c r="K6" s="9"/>
      <c r="L6" s="11"/>
      <c r="M6" s="53" t="s">
        <v>24</v>
      </c>
      <c r="N6" s="247" t="s">
        <v>25</v>
      </c>
      <c r="O6" s="57" t="s">
        <v>26</v>
      </c>
      <c r="P6" s="56" t="s">
        <v>27</v>
      </c>
      <c r="Q6" s="57" t="s">
        <v>28</v>
      </c>
      <c r="R6" s="57" t="s">
        <v>29</v>
      </c>
      <c r="S6" s="57" t="s">
        <v>30</v>
      </c>
      <c r="T6" s="58" t="s">
        <v>31</v>
      </c>
      <c r="U6" s="59" t="s">
        <v>32</v>
      </c>
      <c r="V6" s="60" t="s">
        <v>33</v>
      </c>
      <c r="W6" s="61" t="s">
        <v>34</v>
      </c>
      <c r="X6" s="62" t="s">
        <v>35</v>
      </c>
      <c r="Y6" s="58" t="s">
        <v>36</v>
      </c>
      <c r="Z6" s="59" t="s">
        <v>37</v>
      </c>
      <c r="AA6" s="63"/>
      <c r="AB6" s="6"/>
      <c r="AC6" s="6"/>
      <c r="AD6" s="6"/>
      <c r="AE6" s="6"/>
      <c r="AF6" s="6"/>
      <c r="AG6" s="6"/>
      <c r="AH6" s="6"/>
      <c r="AI6" s="7"/>
      <c r="AJ6" s="63"/>
      <c r="AK6" s="6"/>
      <c r="AL6" s="6"/>
      <c r="AM6" s="6"/>
      <c r="AN6" s="6"/>
      <c r="AO6" s="7"/>
      <c r="AP6" s="64"/>
      <c r="AQ6" s="65"/>
      <c r="AR6" s="65"/>
      <c r="AS6" s="65"/>
      <c r="AT6" s="66"/>
      <c r="AU6" s="67" t="s">
        <v>38</v>
      </c>
      <c r="AV6" s="67" t="s">
        <v>39</v>
      </c>
      <c r="AW6" s="51" t="s">
        <v>40</v>
      </c>
      <c r="AX6" s="67" t="s">
        <v>41</v>
      </c>
      <c r="AY6" s="68"/>
      <c r="AZ6" s="69"/>
      <c r="BA6" s="70" t="s">
        <v>42</v>
      </c>
      <c r="BB6" s="46"/>
      <c r="BC6" s="46"/>
      <c r="BD6" s="46"/>
      <c r="BE6" s="46"/>
      <c r="BF6" s="46"/>
      <c r="BG6" s="46"/>
      <c r="BH6" s="46"/>
      <c r="BI6" s="71"/>
      <c r="BJ6" s="72" t="s">
        <v>43</v>
      </c>
      <c r="BK6" s="73" t="s">
        <v>44</v>
      </c>
      <c r="BL6" s="74" t="s">
        <v>45</v>
      </c>
      <c r="BM6" s="24"/>
      <c r="BN6" s="39"/>
      <c r="BO6" s="73" t="s">
        <v>46</v>
      </c>
      <c r="BP6" s="59" t="s">
        <v>47</v>
      </c>
      <c r="BQ6" s="75" t="s">
        <v>48</v>
      </c>
      <c r="BS6" s="76"/>
      <c r="BT6" s="75" t="s">
        <v>49</v>
      </c>
      <c r="BU6" s="75" t="s">
        <v>234</v>
      </c>
      <c r="BV6" s="51" t="s">
        <v>51</v>
      </c>
      <c r="BW6" s="51" t="s">
        <v>52</v>
      </c>
      <c r="BX6" s="77" t="s">
        <v>53</v>
      </c>
      <c r="BY6" s="9"/>
      <c r="BZ6" s="9"/>
      <c r="CA6" s="9"/>
      <c r="CB6" s="9"/>
      <c r="CC6" s="9"/>
      <c r="CD6" s="9"/>
      <c r="CE6" s="11"/>
      <c r="CF6" s="78" t="s">
        <v>54</v>
      </c>
      <c r="CG6" s="3"/>
      <c r="CH6" s="79" t="s">
        <v>55</v>
      </c>
      <c r="CI6" s="80"/>
      <c r="CJ6" s="81" t="s">
        <v>56</v>
      </c>
      <c r="CK6" s="82"/>
      <c r="CL6" s="81" t="s">
        <v>57</v>
      </c>
      <c r="CM6" s="82"/>
      <c r="CN6" s="81" t="s">
        <v>58</v>
      </c>
      <c r="CO6" s="82"/>
      <c r="CP6" s="83" t="s">
        <v>59</v>
      </c>
      <c r="CQ6" s="84" t="s">
        <v>235</v>
      </c>
      <c r="CR6" s="85" t="s">
        <v>236</v>
      </c>
      <c r="CS6" s="86" t="s">
        <v>62</v>
      </c>
      <c r="CT6" s="87" t="s">
        <v>63</v>
      </c>
      <c r="CU6" s="248"/>
    </row>
    <row r="7" ht="174.0" customHeight="1">
      <c r="A7" s="89"/>
      <c r="B7" s="89"/>
      <c r="C7" s="89"/>
      <c r="D7" s="89"/>
      <c r="E7" s="90" t="s">
        <v>64</v>
      </c>
      <c r="F7" s="91" t="s">
        <v>65</v>
      </c>
      <c r="G7" s="91" t="s">
        <v>237</v>
      </c>
      <c r="H7" s="91" t="s">
        <v>67</v>
      </c>
      <c r="I7" s="91" t="s">
        <v>68</v>
      </c>
      <c r="J7" s="92" t="s">
        <v>69</v>
      </c>
      <c r="K7" s="92" t="s">
        <v>70</v>
      </c>
      <c r="L7" s="249" t="s">
        <v>71</v>
      </c>
      <c r="M7" s="89"/>
      <c r="N7" s="7"/>
      <c r="O7" s="95" t="s">
        <v>72</v>
      </c>
      <c r="P7" s="78" t="s">
        <v>73</v>
      </c>
      <c r="Q7" s="95" t="s">
        <v>74</v>
      </c>
      <c r="R7" s="95" t="s">
        <v>75</v>
      </c>
      <c r="S7" s="95" t="s">
        <v>76</v>
      </c>
      <c r="T7" s="95" t="s">
        <v>77</v>
      </c>
      <c r="U7" s="78" t="s">
        <v>78</v>
      </c>
      <c r="V7" s="78" t="s">
        <v>79</v>
      </c>
      <c r="W7" s="67" t="s">
        <v>80</v>
      </c>
      <c r="X7" s="94" t="s">
        <v>81</v>
      </c>
      <c r="Y7" s="95" t="s">
        <v>82</v>
      </c>
      <c r="Z7" s="63"/>
      <c r="AA7" s="96" t="s">
        <v>83</v>
      </c>
      <c r="AB7" s="97" t="s">
        <v>84</v>
      </c>
      <c r="AC7" s="98" t="s">
        <v>85</v>
      </c>
      <c r="AD7" s="98" t="s">
        <v>86</v>
      </c>
      <c r="AE7" s="98" t="s">
        <v>87</v>
      </c>
      <c r="AF7" s="98" t="s">
        <v>88</v>
      </c>
      <c r="AG7" s="98" t="s">
        <v>89</v>
      </c>
      <c r="AH7" s="98" t="s">
        <v>238</v>
      </c>
      <c r="AI7" s="99" t="s">
        <v>239</v>
      </c>
      <c r="AJ7" s="100" t="s">
        <v>92</v>
      </c>
      <c r="AK7" s="101" t="s">
        <v>93</v>
      </c>
      <c r="AL7" s="101" t="s">
        <v>94</v>
      </c>
      <c r="AM7" s="101" t="s">
        <v>95</v>
      </c>
      <c r="AN7" s="101" t="s">
        <v>96</v>
      </c>
      <c r="AO7" s="102" t="s">
        <v>97</v>
      </c>
      <c r="AP7" s="103"/>
      <c r="AQ7" s="89"/>
      <c r="AR7" s="89"/>
      <c r="AS7" s="89"/>
      <c r="AT7" s="68"/>
      <c r="AU7" s="89"/>
      <c r="AV7" s="89"/>
      <c r="AW7" s="89"/>
      <c r="AX7" s="89"/>
      <c r="AY7" s="104" t="s">
        <v>98</v>
      </c>
      <c r="AZ7" s="105" t="s">
        <v>99</v>
      </c>
      <c r="BA7" s="106" t="s">
        <v>100</v>
      </c>
      <c r="BB7" s="107" t="s">
        <v>101</v>
      </c>
      <c r="BC7" s="107" t="s">
        <v>102</v>
      </c>
      <c r="BD7" s="107" t="s">
        <v>103</v>
      </c>
      <c r="BE7" s="107" t="s">
        <v>104</v>
      </c>
      <c r="BF7" s="107" t="s">
        <v>105</v>
      </c>
      <c r="BG7" s="107" t="s">
        <v>106</v>
      </c>
      <c r="BH7" s="107" t="s">
        <v>107</v>
      </c>
      <c r="BI7" s="108" t="s">
        <v>108</v>
      </c>
      <c r="BJ7" s="109" t="s">
        <v>109</v>
      </c>
      <c r="BK7" s="110" t="s">
        <v>110</v>
      </c>
      <c r="BL7" s="111" t="s">
        <v>240</v>
      </c>
      <c r="BM7" s="111" t="s">
        <v>241</v>
      </c>
      <c r="BN7" s="112" t="s">
        <v>242</v>
      </c>
      <c r="BO7" s="113" t="s">
        <v>114</v>
      </c>
      <c r="BP7" s="63"/>
      <c r="BQ7" s="90" t="s">
        <v>115</v>
      </c>
      <c r="BR7" s="114" t="s">
        <v>116</v>
      </c>
      <c r="BS7" s="115" t="s">
        <v>117</v>
      </c>
      <c r="BT7" s="63"/>
      <c r="BU7" s="63"/>
      <c r="BV7" s="89"/>
      <c r="BW7" s="89"/>
      <c r="BX7" s="116" t="s">
        <v>118</v>
      </c>
      <c r="BY7" s="101" t="s">
        <v>119</v>
      </c>
      <c r="BZ7" s="101" t="s">
        <v>120</v>
      </c>
      <c r="CA7" s="101" t="s">
        <v>121</v>
      </c>
      <c r="CB7" s="101" t="s">
        <v>122</v>
      </c>
      <c r="CC7" s="117" t="s">
        <v>123</v>
      </c>
      <c r="CD7" s="111" t="s">
        <v>124</v>
      </c>
      <c r="CE7" s="113" t="s">
        <v>125</v>
      </c>
      <c r="CF7" s="118" t="s">
        <v>126</v>
      </c>
      <c r="CG7" s="119" t="s">
        <v>127</v>
      </c>
      <c r="CH7" s="120" t="s">
        <v>128</v>
      </c>
      <c r="CI7" s="121" t="s">
        <v>243</v>
      </c>
      <c r="CJ7" s="122" t="s">
        <v>130</v>
      </c>
      <c r="CK7" s="123" t="s">
        <v>244</v>
      </c>
      <c r="CL7" s="122" t="s">
        <v>132</v>
      </c>
      <c r="CM7" s="123" t="s">
        <v>245</v>
      </c>
      <c r="CN7" s="122" t="s">
        <v>134</v>
      </c>
      <c r="CO7" s="123" t="s">
        <v>246</v>
      </c>
      <c r="CP7" s="89"/>
      <c r="CQ7" s="69"/>
      <c r="CR7" s="69"/>
      <c r="CS7" s="69"/>
      <c r="CT7" s="89"/>
      <c r="CU7" s="248"/>
    </row>
    <row r="8" ht="56.25" customHeight="1">
      <c r="A8" s="125">
        <v>1.0</v>
      </c>
      <c r="B8" s="199" t="s">
        <v>136</v>
      </c>
      <c r="C8" s="127">
        <v>1.0</v>
      </c>
      <c r="D8" s="168" t="s">
        <v>137</v>
      </c>
      <c r="E8" s="129"/>
      <c r="F8" s="130"/>
      <c r="G8" s="130"/>
      <c r="H8" s="130"/>
      <c r="I8" s="201"/>
      <c r="J8" s="130"/>
      <c r="K8" s="131"/>
      <c r="L8" s="131"/>
      <c r="M8" s="131"/>
      <c r="N8" s="131"/>
      <c r="O8" s="267">
        <f t="shared" ref="O8:O13" si="1">IF(AND(M8&lt;&gt;0,M8&lt;&gt;"m",M8&lt;&gt;"",RIGHT(K8,3)="Lec"),1,IF(AND(M8&lt;&gt;0,M8&lt;&gt;"m",M8&lt;&gt;"",OR(RIGHT(K8,3)="Lab",RIGHT(K8,3)="Tut")),0.5,IF(AND(M8&lt;&gt;0,M8&lt;&gt;"m",M8&lt;&gt;"",RIGHT(K8,2)="TL"),0.75,0)))</f>
        <v>0</v>
      </c>
      <c r="P8" s="251">
        <f>COUNTIF(K8:K18,"TL")*0.75+COUNTIF(K8:K18,"Lec")*1+COUNTIF(K8:K18,"Lab")*0.5</f>
        <v>0</v>
      </c>
      <c r="Q8" s="134">
        <f>SUM((IF(LEFT(K8,1)="E",O8,0)),(IF(LEFT(K9,1)="E",O9,0)),(IF(LEFT(K10,1)="E",O10,0)),(IF(LEFT(K11,1)="E",O11,0)),(IF(LEFT(K12,1)="E",O12,0)),(IF(LEFT(K13,1)="E",O13,0)),(IF(LEFT(K14,1)="E",O14,0)),(IF(LEFT(K15,1)="E",O15,0)),(IF(LEFT(K16,1)="E",O16,0)),(IF(LEFT(K17,1)="E",O17,0)),(IF(LEFT(K18,1)="E",O18,0)))</f>
        <v>0</v>
      </c>
      <c r="R8" s="135">
        <f>SUM(IF(M14&lt;20,IF(K14="Plec",-1,IF(K14="PTL",-0.75,IF(K14="Plab",-0.5,0))),0),IF(M15&lt;20,IF(K15="Plec",-1,IF(K15="PTL",-0.75,IF(K15="Plab",-0.5,0))),0),IF(M16&lt;20,IF(K16="Plec",-1,IF(K16="PTL",-0.75,IF(K16="Plab",-0.5,0))),0),IF(M17&lt;20,IF(K17="Plec",-1,IF(K17="PTL",-0.75,IF(K17="Plab",-0.5,0))),0))</f>
        <v>0</v>
      </c>
      <c r="S8" s="134">
        <f>SUM(P8:R18)</f>
        <v>0</v>
      </c>
      <c r="T8" s="136">
        <f>SUM(IF(M8="M",IF(OR(K8="lec",K8="plec",K8="slec"),1,IF(OR(K8="lab",K8="plab",K8="slab",K8="tut",K8="ptut",K8="stut"),0.5,IF(OR(K8="TL",K8="pTL",K8="STL"),0.75,0))),0),IF(M9="M",IF(OR(K9="lec",K9="plec",K9="slec"),1,IF(OR(K9="lab",K9="plab",K9="slab",K9="tut",K9="ptut",K9="stut"),0.5,IF(OR(K9="TL",K9="pTL",K9="STL"),0.75,0))),0),IF(M10="M",IF(OR(K10="lec",K10="plec",K10="slec"),1,IF(OR(K10="lab",K10="plab",K10="slab",K10="tut",K10="ptut",K10="stut"),0.5,IF(OR(K10="TL",K10="pTL",K10="STL"),0.75,0))),0),IF(M11="M",IF(OR(K11="lec",K11="plec",K11="slec"),1,IF(OR(K11="lab",K11="plab",K11="slab",K11="tut",K11="ptut",K11="stut"),0.5,IF(OR(K11="TL",K11="pTL",K11="STL"),0.75,0))),0),IF(M12="M",IF(OR(K12="lec",K12="plec",K12="slec"),1,IF(OR(K12="lab",K12="plab",K12="slab",K12="tut",K12="ptut",K12="stut"),0.5,IF(OR(K12="TL",K12="pTL",K12="STL"),0.75,0))),0),IF(M13="M",IF(OR(K13="lec",K13="plec",K13="slec"),1,IF(OR(K13="lab",K13="plab",K13="slab",K13="tut",K13="ptut",K13="stut"),0.5,IF(OR(K13="TL",K13="pTL",K13="STL"),0.75,0))),0),IF(M14="M",IF(OR(K14="lec",K14="plec",K14="slec"),1,IF(OR(K14="lab",K14="plab",K14="slab",K14="tut",K14="ptut",K14="stut"),0.5,IF(OR(K14="TL",K14="pTL",K14="STL"),0.75,0))),0),IF(M15="M",IF(OR(K15="lec",K15="plec",K15="slec"),1,IF(OR(K15="lab",K15="plab",K15="slab",K15="tut",K15="ptut",K15="stut"),0.5,IF(OR(K15="TL",K15="pTL",K15="STL"),0.75,0))),0),IF(M16="M",IF(OR(K16="lec",K16="plec",K16="slec"),1,IF(OR(K16="lab",K16="plab",K16="slab",K16="tut",K16="ptut",K16="stut"),0.5,IF(OR(K16="TL",K16="pTL",K16="STL"),0.75,0))),0),IF(M17="M",IF(OR(K17="lec",K17="plec",K17="slec"),1,IF(OR(K17="lab",K17="plab",K17="slab",K17="tut",K17="ptut",K17="stut"),0.5,IF(OR(K17="TL",K17="pTL",K17="STL"),0.75,0))),0),IF(M18="M",IF(OR(K18="lec",K18="plec",K18="slec"),1,IF(OR(K18="lab",K18="plab",K18="slab",K18="tut",K18="ptut",K18="stut"),0.5,IF(OR(K18="TL",K18="pTL",K18="STL"),0.75,0))),0))</f>
        <v>0</v>
      </c>
      <c r="U8" s="137"/>
      <c r="V8" s="133"/>
      <c r="W8" s="138"/>
      <c r="X8" s="139">
        <f>S8-(T8+U8+V8+W8)</f>
        <v>0</v>
      </c>
      <c r="Y8" s="134" t="str">
        <f>CONCATENATE(SUM(O8:O18),"(",SUM(O8:O18)-X8,")")</f>
        <v>0(0)</v>
      </c>
      <c r="Z8" s="140"/>
      <c r="AA8" s="141"/>
      <c r="AB8" s="142"/>
      <c r="AC8" s="142"/>
      <c r="AD8" s="142"/>
      <c r="AE8" s="142"/>
      <c r="AF8" s="142"/>
      <c r="AG8" s="142"/>
      <c r="AH8" s="142"/>
      <c r="AI8" s="143"/>
      <c r="AJ8" s="144"/>
      <c r="AK8" s="145"/>
      <c r="AL8" s="145"/>
      <c r="AM8" s="145"/>
      <c r="AN8" s="145"/>
      <c r="AO8" s="146"/>
      <c r="AP8" s="147">
        <f>SUM(SUM(O8:O18),SUM(AI8:AI18)/2,AM8)</f>
        <v>0</v>
      </c>
      <c r="AQ8" s="148"/>
      <c r="AR8" s="148">
        <f>AP8*AQ8</f>
        <v>0</v>
      </c>
      <c r="AS8" s="148">
        <f>CT8</f>
        <v>0</v>
      </c>
      <c r="AT8" s="149">
        <f>AR8*0.75+AS8*0.25</f>
        <v>0</v>
      </c>
      <c r="AU8" s="150"/>
      <c r="AV8" s="151"/>
      <c r="AW8" s="151"/>
      <c r="AX8" s="152"/>
      <c r="AY8" s="153"/>
      <c r="AZ8" s="140"/>
      <c r="BA8" s="150"/>
      <c r="BB8" s="151"/>
      <c r="BC8" s="151"/>
      <c r="BD8" s="151"/>
      <c r="BE8" s="151"/>
      <c r="BF8" s="151"/>
      <c r="BG8" s="151"/>
      <c r="BH8" s="151"/>
      <c r="BI8" s="152"/>
      <c r="BJ8" s="154"/>
      <c r="BK8" s="151"/>
      <c r="BL8" s="151"/>
      <c r="BM8" s="151"/>
      <c r="BN8" s="151"/>
      <c r="BO8" s="155"/>
      <c r="BP8" s="140"/>
      <c r="BQ8" s="156"/>
      <c r="BR8" s="157"/>
      <c r="BS8" s="158"/>
      <c r="BT8" s="153"/>
      <c r="BU8" s="140"/>
      <c r="BV8" s="140"/>
      <c r="BW8" s="140"/>
      <c r="BX8" s="140"/>
      <c r="BY8" s="140"/>
      <c r="BZ8" s="140"/>
      <c r="CA8" s="140"/>
      <c r="CB8" s="140"/>
      <c r="CC8" s="140"/>
      <c r="CD8" s="150"/>
      <c r="CE8" s="155"/>
      <c r="CF8" s="150"/>
      <c r="CG8" s="152"/>
      <c r="CH8" s="252"/>
      <c r="CI8" s="160"/>
      <c r="CJ8" s="159"/>
      <c r="CK8" s="160"/>
      <c r="CL8" s="159"/>
      <c r="CM8" s="160"/>
      <c r="CN8" s="159"/>
      <c r="CO8" s="160"/>
      <c r="CP8" s="159"/>
      <c r="CQ8" s="162"/>
      <c r="CR8" s="160"/>
      <c r="CS8" s="253">
        <f>SUM(CS19:CS305)</f>
        <v>0</v>
      </c>
      <c r="CT8" s="254">
        <f>SUM(AU8,AV8,AW8,AX8/400,AY8,AZ8,BG8,BH8*0.5,BI8*0.25,BJ8,BK8,BL8,BM8,BN8,BO8,BP8,BR8/20,BS8/100,BT8/60,BU8,BV8,BW8,BX8/4,SUM(BY8:CC18)/3,CE8,CG8/3,CI8,CK8,CM8,CO8,CQ8,CR8)</f>
        <v>0</v>
      </c>
      <c r="CU8" s="255" t="str">
        <f t="shared" ref="CU8:CU161" si="2">D8</f>
        <v>STS</v>
      </c>
    </row>
    <row r="9" ht="60.0" customHeight="1">
      <c r="A9" s="65"/>
      <c r="C9" s="167">
        <v>2.0</v>
      </c>
      <c r="D9" s="168" t="s">
        <v>137</v>
      </c>
      <c r="E9" s="169"/>
      <c r="F9" s="170"/>
      <c r="G9" s="170"/>
      <c r="H9" s="170"/>
      <c r="I9" s="207"/>
      <c r="J9" s="170"/>
      <c r="K9" s="171"/>
      <c r="L9" s="171"/>
      <c r="M9" s="171"/>
      <c r="N9" s="171"/>
      <c r="O9" s="268">
        <f t="shared" si="1"/>
        <v>0</v>
      </c>
      <c r="Q9" s="173"/>
      <c r="R9" s="65"/>
      <c r="S9" s="173"/>
      <c r="T9" s="173"/>
      <c r="U9" s="166"/>
      <c r="V9" s="166"/>
      <c r="W9" s="65"/>
      <c r="X9" s="66"/>
      <c r="Y9" s="173"/>
      <c r="Z9" s="166"/>
      <c r="AA9" s="174"/>
      <c r="AB9" s="175"/>
      <c r="AC9" s="175"/>
      <c r="AD9" s="175"/>
      <c r="AE9" s="175"/>
      <c r="AF9" s="175"/>
      <c r="AG9" s="175"/>
      <c r="AH9" s="175"/>
      <c r="AI9" s="176"/>
      <c r="AJ9" s="177"/>
      <c r="AK9" s="178"/>
      <c r="AL9" s="178"/>
      <c r="AM9" s="178"/>
      <c r="AN9" s="178"/>
      <c r="AO9" s="179"/>
      <c r="AP9" s="64"/>
      <c r="AQ9" s="65"/>
      <c r="AR9" s="65"/>
      <c r="AS9" s="65"/>
      <c r="AT9" s="173"/>
      <c r="AU9" s="177"/>
      <c r="AV9" s="178"/>
      <c r="AW9" s="178"/>
      <c r="AX9" s="179"/>
      <c r="AZ9" s="166"/>
      <c r="BA9" s="177"/>
      <c r="BB9" s="178"/>
      <c r="BC9" s="178"/>
      <c r="BD9" s="178"/>
      <c r="BE9" s="178"/>
      <c r="BF9" s="178"/>
      <c r="BG9" s="178"/>
      <c r="BH9" s="178"/>
      <c r="BI9" s="179"/>
      <c r="BJ9" s="180"/>
      <c r="BK9" s="178"/>
      <c r="BL9" s="178"/>
      <c r="BM9" s="178"/>
      <c r="BN9" s="178"/>
      <c r="BO9" s="181"/>
      <c r="BP9" s="166"/>
      <c r="BQ9" s="177"/>
      <c r="BR9" s="178"/>
      <c r="BS9" s="179"/>
      <c r="BU9" s="166"/>
      <c r="BV9" s="166"/>
      <c r="BW9" s="166"/>
      <c r="BX9" s="166"/>
      <c r="BY9" s="166"/>
      <c r="BZ9" s="166"/>
      <c r="CA9" s="166"/>
      <c r="CB9" s="166"/>
      <c r="CC9" s="166"/>
      <c r="CD9" s="177"/>
      <c r="CE9" s="181"/>
      <c r="CF9" s="177"/>
      <c r="CG9" s="179"/>
      <c r="CH9" s="257"/>
      <c r="CI9" s="182"/>
      <c r="CJ9" s="177"/>
      <c r="CK9" s="182"/>
      <c r="CL9" s="177"/>
      <c r="CM9" s="182"/>
      <c r="CN9" s="177"/>
      <c r="CO9" s="182"/>
      <c r="CP9" s="177"/>
      <c r="CQ9" s="178"/>
      <c r="CR9" s="182"/>
      <c r="CS9" s="173"/>
      <c r="CT9" s="65"/>
      <c r="CU9" s="255" t="str">
        <f t="shared" si="2"/>
        <v>STS</v>
      </c>
    </row>
    <row r="10" ht="60.0" customHeight="1">
      <c r="A10" s="65"/>
      <c r="C10" s="167">
        <v>3.0</v>
      </c>
      <c r="D10" s="168" t="s">
        <v>137</v>
      </c>
      <c r="E10" s="169"/>
      <c r="F10" s="170"/>
      <c r="G10" s="170"/>
      <c r="H10" s="170"/>
      <c r="I10" s="207"/>
      <c r="J10" s="170"/>
      <c r="K10" s="171"/>
      <c r="L10" s="171"/>
      <c r="M10" s="171"/>
      <c r="N10" s="171"/>
      <c r="O10" s="268">
        <f t="shared" si="1"/>
        <v>0</v>
      </c>
      <c r="Q10" s="173"/>
      <c r="R10" s="65"/>
      <c r="S10" s="173"/>
      <c r="T10" s="173"/>
      <c r="U10" s="166"/>
      <c r="V10" s="166"/>
      <c r="W10" s="65"/>
      <c r="X10" s="66"/>
      <c r="Y10" s="173"/>
      <c r="Z10" s="166"/>
      <c r="AA10" s="174"/>
      <c r="AB10" s="175"/>
      <c r="AC10" s="175"/>
      <c r="AD10" s="175"/>
      <c r="AE10" s="175"/>
      <c r="AF10" s="175"/>
      <c r="AG10" s="175"/>
      <c r="AH10" s="175"/>
      <c r="AI10" s="176"/>
      <c r="AJ10" s="177"/>
      <c r="AK10" s="178"/>
      <c r="AL10" s="178"/>
      <c r="AM10" s="178"/>
      <c r="AN10" s="178"/>
      <c r="AO10" s="179"/>
      <c r="AP10" s="64"/>
      <c r="AQ10" s="65"/>
      <c r="AR10" s="65"/>
      <c r="AS10" s="65"/>
      <c r="AT10" s="173"/>
      <c r="AU10" s="177"/>
      <c r="AV10" s="178"/>
      <c r="AW10" s="178"/>
      <c r="AX10" s="179"/>
      <c r="AZ10" s="166"/>
      <c r="BA10" s="177"/>
      <c r="BB10" s="178"/>
      <c r="BC10" s="178"/>
      <c r="BD10" s="178"/>
      <c r="BE10" s="178"/>
      <c r="BF10" s="178"/>
      <c r="BG10" s="178"/>
      <c r="BH10" s="178"/>
      <c r="BI10" s="179"/>
      <c r="BJ10" s="180"/>
      <c r="BK10" s="178"/>
      <c r="BL10" s="178"/>
      <c r="BM10" s="178"/>
      <c r="BN10" s="178"/>
      <c r="BO10" s="181"/>
      <c r="BP10" s="166"/>
      <c r="BQ10" s="177"/>
      <c r="BR10" s="178"/>
      <c r="BS10" s="179"/>
      <c r="BU10" s="166"/>
      <c r="BV10" s="166"/>
      <c r="BW10" s="166"/>
      <c r="BX10" s="166"/>
      <c r="BY10" s="166"/>
      <c r="BZ10" s="166"/>
      <c r="CA10" s="166"/>
      <c r="CB10" s="166"/>
      <c r="CC10" s="166"/>
      <c r="CD10" s="177"/>
      <c r="CE10" s="181"/>
      <c r="CF10" s="177"/>
      <c r="CG10" s="179"/>
      <c r="CH10" s="257"/>
      <c r="CI10" s="182"/>
      <c r="CJ10" s="177"/>
      <c r="CK10" s="182"/>
      <c r="CL10" s="177"/>
      <c r="CM10" s="182"/>
      <c r="CN10" s="177"/>
      <c r="CO10" s="182"/>
      <c r="CP10" s="177"/>
      <c r="CQ10" s="178"/>
      <c r="CR10" s="182"/>
      <c r="CS10" s="173"/>
      <c r="CT10" s="65"/>
      <c r="CU10" s="255" t="str">
        <f t="shared" si="2"/>
        <v>STS</v>
      </c>
    </row>
    <row r="11" ht="60.0" customHeight="1">
      <c r="A11" s="65"/>
      <c r="C11" s="167">
        <v>4.0</v>
      </c>
      <c r="D11" s="168" t="s">
        <v>137</v>
      </c>
      <c r="E11" s="169"/>
      <c r="F11" s="170"/>
      <c r="G11" s="170"/>
      <c r="H11" s="170"/>
      <c r="I11" s="207"/>
      <c r="J11" s="170"/>
      <c r="K11" s="171"/>
      <c r="L11" s="171"/>
      <c r="M11" s="171"/>
      <c r="N11" s="171"/>
      <c r="O11" s="268">
        <f t="shared" si="1"/>
        <v>0</v>
      </c>
      <c r="Q11" s="173"/>
      <c r="R11" s="65"/>
      <c r="S11" s="173"/>
      <c r="T11" s="173"/>
      <c r="U11" s="166"/>
      <c r="V11" s="166"/>
      <c r="W11" s="65"/>
      <c r="X11" s="66"/>
      <c r="Y11" s="173"/>
      <c r="Z11" s="166"/>
      <c r="AA11" s="174"/>
      <c r="AB11" s="175"/>
      <c r="AC11" s="175"/>
      <c r="AD11" s="175"/>
      <c r="AE11" s="175"/>
      <c r="AF11" s="175"/>
      <c r="AG11" s="175"/>
      <c r="AH11" s="175"/>
      <c r="AI11" s="176"/>
      <c r="AJ11" s="177"/>
      <c r="AK11" s="178"/>
      <c r="AL11" s="178"/>
      <c r="AM11" s="178"/>
      <c r="AN11" s="178"/>
      <c r="AO11" s="179"/>
      <c r="AP11" s="64"/>
      <c r="AQ11" s="65"/>
      <c r="AR11" s="65"/>
      <c r="AS11" s="65"/>
      <c r="AT11" s="173"/>
      <c r="AU11" s="177"/>
      <c r="AV11" s="178"/>
      <c r="AW11" s="178"/>
      <c r="AX11" s="179"/>
      <c r="AZ11" s="166"/>
      <c r="BA11" s="177"/>
      <c r="BB11" s="178"/>
      <c r="BC11" s="178"/>
      <c r="BD11" s="178"/>
      <c r="BE11" s="178"/>
      <c r="BF11" s="178"/>
      <c r="BG11" s="178"/>
      <c r="BH11" s="178"/>
      <c r="BI11" s="179"/>
      <c r="BJ11" s="180"/>
      <c r="BK11" s="178"/>
      <c r="BL11" s="178"/>
      <c r="BM11" s="178"/>
      <c r="BN11" s="178"/>
      <c r="BO11" s="181"/>
      <c r="BP11" s="166"/>
      <c r="BQ11" s="177"/>
      <c r="BR11" s="178"/>
      <c r="BS11" s="179"/>
      <c r="BU11" s="166"/>
      <c r="BV11" s="166"/>
      <c r="BW11" s="166"/>
      <c r="BX11" s="166"/>
      <c r="BY11" s="166"/>
      <c r="BZ11" s="166"/>
      <c r="CA11" s="166"/>
      <c r="CB11" s="166"/>
      <c r="CC11" s="166"/>
      <c r="CD11" s="177"/>
      <c r="CE11" s="181"/>
      <c r="CF11" s="177"/>
      <c r="CG11" s="179"/>
      <c r="CH11" s="257"/>
      <c r="CI11" s="182"/>
      <c r="CJ11" s="177"/>
      <c r="CK11" s="182"/>
      <c r="CL11" s="177"/>
      <c r="CM11" s="182"/>
      <c r="CN11" s="177"/>
      <c r="CO11" s="182"/>
      <c r="CP11" s="177"/>
      <c r="CQ11" s="178"/>
      <c r="CR11" s="182"/>
      <c r="CS11" s="173"/>
      <c r="CT11" s="65"/>
      <c r="CU11" s="255" t="str">
        <f t="shared" si="2"/>
        <v>STS</v>
      </c>
    </row>
    <row r="12" ht="60.0" customHeight="1">
      <c r="A12" s="65"/>
      <c r="C12" s="167">
        <v>5.0</v>
      </c>
      <c r="D12" s="168" t="s">
        <v>137</v>
      </c>
      <c r="E12" s="169"/>
      <c r="F12" s="170"/>
      <c r="G12" s="170"/>
      <c r="H12" s="170"/>
      <c r="I12" s="207"/>
      <c r="J12" s="170"/>
      <c r="K12" s="171"/>
      <c r="L12" s="171"/>
      <c r="M12" s="171"/>
      <c r="N12" s="171"/>
      <c r="O12" s="268">
        <f t="shared" si="1"/>
        <v>0</v>
      </c>
      <c r="Q12" s="173"/>
      <c r="R12" s="65"/>
      <c r="S12" s="173"/>
      <c r="T12" s="173"/>
      <c r="U12" s="166"/>
      <c r="V12" s="166"/>
      <c r="W12" s="65"/>
      <c r="X12" s="66"/>
      <c r="Y12" s="173"/>
      <c r="Z12" s="166"/>
      <c r="AA12" s="174"/>
      <c r="AB12" s="175"/>
      <c r="AC12" s="175"/>
      <c r="AD12" s="175"/>
      <c r="AE12" s="175"/>
      <c r="AF12" s="175"/>
      <c r="AG12" s="175"/>
      <c r="AH12" s="175"/>
      <c r="AI12" s="176"/>
      <c r="AJ12" s="177"/>
      <c r="AK12" s="178"/>
      <c r="AL12" s="178"/>
      <c r="AM12" s="178"/>
      <c r="AN12" s="178"/>
      <c r="AO12" s="179"/>
      <c r="AP12" s="64"/>
      <c r="AQ12" s="65"/>
      <c r="AR12" s="65"/>
      <c r="AS12" s="65"/>
      <c r="AT12" s="173"/>
      <c r="AU12" s="177"/>
      <c r="AV12" s="178"/>
      <c r="AW12" s="178"/>
      <c r="AX12" s="179"/>
      <c r="AZ12" s="166"/>
      <c r="BA12" s="177"/>
      <c r="BB12" s="178"/>
      <c r="BC12" s="178"/>
      <c r="BD12" s="178"/>
      <c r="BE12" s="178"/>
      <c r="BF12" s="178"/>
      <c r="BG12" s="178"/>
      <c r="BH12" s="178"/>
      <c r="BI12" s="179"/>
      <c r="BJ12" s="180"/>
      <c r="BK12" s="178"/>
      <c r="BL12" s="178"/>
      <c r="BM12" s="178"/>
      <c r="BN12" s="178"/>
      <c r="BO12" s="181"/>
      <c r="BP12" s="166"/>
      <c r="BQ12" s="177"/>
      <c r="BR12" s="178"/>
      <c r="BS12" s="179"/>
      <c r="BU12" s="166"/>
      <c r="BV12" s="166"/>
      <c r="BW12" s="166"/>
      <c r="BX12" s="166"/>
      <c r="BY12" s="166"/>
      <c r="BZ12" s="166"/>
      <c r="CA12" s="166"/>
      <c r="CB12" s="166"/>
      <c r="CC12" s="166"/>
      <c r="CD12" s="177"/>
      <c r="CE12" s="181"/>
      <c r="CF12" s="177"/>
      <c r="CG12" s="179"/>
      <c r="CH12" s="257"/>
      <c r="CI12" s="182"/>
      <c r="CJ12" s="177"/>
      <c r="CK12" s="182"/>
      <c r="CL12" s="177"/>
      <c r="CM12" s="182"/>
      <c r="CN12" s="177"/>
      <c r="CO12" s="182"/>
      <c r="CP12" s="177"/>
      <c r="CQ12" s="178"/>
      <c r="CR12" s="182"/>
      <c r="CS12" s="173"/>
      <c r="CT12" s="65"/>
      <c r="CU12" s="255" t="str">
        <f t="shared" si="2"/>
        <v>STS</v>
      </c>
    </row>
    <row r="13" ht="60.0" customHeight="1">
      <c r="A13" s="65"/>
      <c r="C13" s="167">
        <v>6.0</v>
      </c>
      <c r="D13" s="168" t="s">
        <v>137</v>
      </c>
      <c r="E13" s="169"/>
      <c r="F13" s="170"/>
      <c r="G13" s="170"/>
      <c r="H13" s="170"/>
      <c r="I13" s="207"/>
      <c r="J13" s="170"/>
      <c r="K13" s="171"/>
      <c r="L13" s="171"/>
      <c r="M13" s="171"/>
      <c r="N13" s="171"/>
      <c r="O13" s="268">
        <f t="shared" si="1"/>
        <v>0</v>
      </c>
      <c r="Q13" s="173"/>
      <c r="R13" s="65"/>
      <c r="S13" s="173"/>
      <c r="T13" s="173"/>
      <c r="U13" s="166"/>
      <c r="V13" s="166"/>
      <c r="W13" s="65"/>
      <c r="X13" s="66"/>
      <c r="Y13" s="173"/>
      <c r="Z13" s="166"/>
      <c r="AA13" s="174"/>
      <c r="AB13" s="175"/>
      <c r="AC13" s="175"/>
      <c r="AD13" s="175"/>
      <c r="AE13" s="175"/>
      <c r="AF13" s="175"/>
      <c r="AG13" s="175"/>
      <c r="AH13" s="175"/>
      <c r="AI13" s="176"/>
      <c r="AJ13" s="177"/>
      <c r="AK13" s="178"/>
      <c r="AL13" s="178"/>
      <c r="AM13" s="178"/>
      <c r="AN13" s="178"/>
      <c r="AO13" s="179"/>
      <c r="AP13" s="64"/>
      <c r="AQ13" s="65"/>
      <c r="AR13" s="65"/>
      <c r="AS13" s="65"/>
      <c r="AT13" s="173"/>
      <c r="AU13" s="177"/>
      <c r="AV13" s="178"/>
      <c r="AW13" s="178"/>
      <c r="AX13" s="179"/>
      <c r="AZ13" s="166"/>
      <c r="BA13" s="177"/>
      <c r="BB13" s="178"/>
      <c r="BC13" s="178"/>
      <c r="BD13" s="178"/>
      <c r="BE13" s="178"/>
      <c r="BF13" s="178"/>
      <c r="BG13" s="178"/>
      <c r="BH13" s="178"/>
      <c r="BI13" s="179"/>
      <c r="BJ13" s="180"/>
      <c r="BK13" s="178"/>
      <c r="BL13" s="178"/>
      <c r="BM13" s="178"/>
      <c r="BN13" s="178"/>
      <c r="BO13" s="181"/>
      <c r="BP13" s="166"/>
      <c r="BQ13" s="177"/>
      <c r="BR13" s="178"/>
      <c r="BS13" s="179"/>
      <c r="BU13" s="166"/>
      <c r="BV13" s="166"/>
      <c r="BW13" s="166"/>
      <c r="BX13" s="166"/>
      <c r="BY13" s="166"/>
      <c r="BZ13" s="166"/>
      <c r="CA13" s="166"/>
      <c r="CB13" s="166"/>
      <c r="CC13" s="166"/>
      <c r="CD13" s="177"/>
      <c r="CE13" s="181"/>
      <c r="CF13" s="177"/>
      <c r="CG13" s="179"/>
      <c r="CH13" s="257"/>
      <c r="CI13" s="182"/>
      <c r="CJ13" s="177"/>
      <c r="CK13" s="182"/>
      <c r="CL13" s="177"/>
      <c r="CM13" s="182"/>
      <c r="CN13" s="177"/>
      <c r="CO13" s="182"/>
      <c r="CP13" s="177"/>
      <c r="CQ13" s="178"/>
      <c r="CR13" s="182"/>
      <c r="CS13" s="173"/>
      <c r="CT13" s="65"/>
      <c r="CU13" s="255" t="str">
        <f t="shared" si="2"/>
        <v>STS</v>
      </c>
    </row>
    <row r="14" ht="60.0" customHeight="1">
      <c r="A14" s="65"/>
      <c r="C14" s="167">
        <v>7.0</v>
      </c>
      <c r="D14" s="168" t="s">
        <v>137</v>
      </c>
      <c r="E14" s="169"/>
      <c r="F14" s="170"/>
      <c r="G14" s="170"/>
      <c r="H14" s="170"/>
      <c r="I14" s="207"/>
      <c r="J14" s="170"/>
      <c r="K14" s="171"/>
      <c r="L14" s="171"/>
      <c r="M14" s="171"/>
      <c r="N14" s="171"/>
      <c r="O14" s="268">
        <f t="shared" ref="O14:O17" si="3">IF(AND(M14&gt;=20,M14&lt;&gt;"m",RIGHT(K14,3)="Lec"),1,IF(AND(M14&gt;=20,M14&lt;&gt;"m",OR(RIGHT(K14,3)="Lab",RIGHT(K14,3)="Tut")),0.5,IF(AND(M14&gt;=20,M14&lt;&gt;"m",RIGHT(K14,2)="TL"),0.75,0)))</f>
        <v>0</v>
      </c>
      <c r="Q14" s="173"/>
      <c r="R14" s="65"/>
      <c r="S14" s="173"/>
      <c r="T14" s="173"/>
      <c r="U14" s="166"/>
      <c r="V14" s="166"/>
      <c r="W14" s="65"/>
      <c r="X14" s="66"/>
      <c r="Y14" s="173"/>
      <c r="Z14" s="166"/>
      <c r="AA14" s="174"/>
      <c r="AB14" s="175"/>
      <c r="AC14" s="175"/>
      <c r="AD14" s="175"/>
      <c r="AE14" s="175"/>
      <c r="AF14" s="175"/>
      <c r="AG14" s="175"/>
      <c r="AH14" s="175"/>
      <c r="AI14" s="176"/>
      <c r="AJ14" s="177"/>
      <c r="AK14" s="178"/>
      <c r="AL14" s="178"/>
      <c r="AM14" s="178"/>
      <c r="AN14" s="178"/>
      <c r="AO14" s="179"/>
      <c r="AP14" s="64"/>
      <c r="AQ14" s="65"/>
      <c r="AR14" s="65"/>
      <c r="AS14" s="65"/>
      <c r="AT14" s="173"/>
      <c r="AU14" s="177"/>
      <c r="AV14" s="178"/>
      <c r="AW14" s="178"/>
      <c r="AX14" s="179"/>
      <c r="AZ14" s="166"/>
      <c r="BA14" s="177"/>
      <c r="BB14" s="178"/>
      <c r="BC14" s="178"/>
      <c r="BD14" s="178"/>
      <c r="BE14" s="178"/>
      <c r="BF14" s="178"/>
      <c r="BG14" s="178"/>
      <c r="BH14" s="178"/>
      <c r="BI14" s="179"/>
      <c r="BJ14" s="180"/>
      <c r="BK14" s="178"/>
      <c r="BL14" s="178"/>
      <c r="BM14" s="178"/>
      <c r="BN14" s="178"/>
      <c r="BO14" s="181"/>
      <c r="BP14" s="166"/>
      <c r="BQ14" s="177"/>
      <c r="BR14" s="178"/>
      <c r="BS14" s="179"/>
      <c r="BU14" s="166"/>
      <c r="BV14" s="166"/>
      <c r="BW14" s="166"/>
      <c r="BX14" s="166"/>
      <c r="BY14" s="166"/>
      <c r="BZ14" s="166"/>
      <c r="CA14" s="166"/>
      <c r="CB14" s="166"/>
      <c r="CC14" s="166"/>
      <c r="CD14" s="177"/>
      <c r="CE14" s="181"/>
      <c r="CF14" s="177"/>
      <c r="CG14" s="179"/>
      <c r="CH14" s="257"/>
      <c r="CI14" s="182"/>
      <c r="CJ14" s="177"/>
      <c r="CK14" s="182"/>
      <c r="CL14" s="177"/>
      <c r="CM14" s="182"/>
      <c r="CN14" s="177"/>
      <c r="CO14" s="182"/>
      <c r="CP14" s="177"/>
      <c r="CQ14" s="178"/>
      <c r="CR14" s="182"/>
      <c r="CS14" s="173"/>
      <c r="CT14" s="65"/>
      <c r="CU14" s="255" t="str">
        <f t="shared" si="2"/>
        <v>STS</v>
      </c>
    </row>
    <row r="15" ht="60.0" customHeight="1">
      <c r="A15" s="65"/>
      <c r="C15" s="167">
        <v>8.0</v>
      </c>
      <c r="D15" s="168" t="s">
        <v>137</v>
      </c>
      <c r="E15" s="169"/>
      <c r="F15" s="170"/>
      <c r="G15" s="170"/>
      <c r="H15" s="170"/>
      <c r="I15" s="207"/>
      <c r="J15" s="170"/>
      <c r="K15" s="171"/>
      <c r="L15" s="171"/>
      <c r="M15" s="171"/>
      <c r="N15" s="171"/>
      <c r="O15" s="268">
        <f t="shared" si="3"/>
        <v>0</v>
      </c>
      <c r="Q15" s="173"/>
      <c r="R15" s="65"/>
      <c r="S15" s="173"/>
      <c r="T15" s="173"/>
      <c r="U15" s="166"/>
      <c r="V15" s="166"/>
      <c r="W15" s="65"/>
      <c r="X15" s="66"/>
      <c r="Y15" s="173"/>
      <c r="Z15" s="166"/>
      <c r="AA15" s="174"/>
      <c r="AB15" s="175"/>
      <c r="AC15" s="175"/>
      <c r="AD15" s="175"/>
      <c r="AE15" s="175"/>
      <c r="AF15" s="175"/>
      <c r="AG15" s="175"/>
      <c r="AH15" s="175"/>
      <c r="AI15" s="176"/>
      <c r="AJ15" s="177"/>
      <c r="AK15" s="178"/>
      <c r="AL15" s="178"/>
      <c r="AM15" s="178"/>
      <c r="AN15" s="178"/>
      <c r="AO15" s="179"/>
      <c r="AP15" s="64"/>
      <c r="AQ15" s="65"/>
      <c r="AR15" s="65"/>
      <c r="AS15" s="65"/>
      <c r="AT15" s="173"/>
      <c r="AU15" s="177"/>
      <c r="AV15" s="178"/>
      <c r="AW15" s="178"/>
      <c r="AX15" s="179"/>
      <c r="AZ15" s="166"/>
      <c r="BA15" s="177"/>
      <c r="BB15" s="178"/>
      <c r="BC15" s="178"/>
      <c r="BD15" s="178"/>
      <c r="BE15" s="178"/>
      <c r="BF15" s="178"/>
      <c r="BG15" s="178"/>
      <c r="BH15" s="178"/>
      <c r="BI15" s="179"/>
      <c r="BJ15" s="180"/>
      <c r="BK15" s="178"/>
      <c r="BL15" s="178"/>
      <c r="BM15" s="178"/>
      <c r="BN15" s="178"/>
      <c r="BO15" s="181"/>
      <c r="BP15" s="166"/>
      <c r="BQ15" s="177"/>
      <c r="BR15" s="178"/>
      <c r="BS15" s="179"/>
      <c r="BU15" s="166"/>
      <c r="BV15" s="166"/>
      <c r="BW15" s="166"/>
      <c r="BX15" s="166"/>
      <c r="BY15" s="166"/>
      <c r="BZ15" s="166"/>
      <c r="CA15" s="166"/>
      <c r="CB15" s="166"/>
      <c r="CC15" s="166"/>
      <c r="CD15" s="177"/>
      <c r="CE15" s="181"/>
      <c r="CF15" s="177"/>
      <c r="CG15" s="179"/>
      <c r="CH15" s="257"/>
      <c r="CI15" s="182"/>
      <c r="CJ15" s="177"/>
      <c r="CK15" s="182"/>
      <c r="CL15" s="177"/>
      <c r="CM15" s="182"/>
      <c r="CN15" s="177"/>
      <c r="CO15" s="182"/>
      <c r="CP15" s="177"/>
      <c r="CQ15" s="178"/>
      <c r="CR15" s="182"/>
      <c r="CS15" s="173"/>
      <c r="CT15" s="65"/>
      <c r="CU15" s="255" t="str">
        <f t="shared" si="2"/>
        <v>STS</v>
      </c>
    </row>
    <row r="16" ht="60.0" customHeight="1">
      <c r="A16" s="65"/>
      <c r="C16" s="167">
        <v>9.0</v>
      </c>
      <c r="D16" s="168" t="s">
        <v>137</v>
      </c>
      <c r="E16" s="169"/>
      <c r="F16" s="170"/>
      <c r="G16" s="170"/>
      <c r="H16" s="170"/>
      <c r="I16" s="207"/>
      <c r="J16" s="170"/>
      <c r="K16" s="171"/>
      <c r="L16" s="171"/>
      <c r="M16" s="171"/>
      <c r="N16" s="171"/>
      <c r="O16" s="268">
        <f t="shared" si="3"/>
        <v>0</v>
      </c>
      <c r="Q16" s="173"/>
      <c r="R16" s="65"/>
      <c r="S16" s="173"/>
      <c r="T16" s="173"/>
      <c r="U16" s="166"/>
      <c r="V16" s="166"/>
      <c r="W16" s="65"/>
      <c r="X16" s="66"/>
      <c r="Y16" s="173"/>
      <c r="Z16" s="166"/>
      <c r="AA16" s="174"/>
      <c r="AB16" s="175"/>
      <c r="AC16" s="175"/>
      <c r="AD16" s="175"/>
      <c r="AE16" s="175"/>
      <c r="AF16" s="175"/>
      <c r="AG16" s="175"/>
      <c r="AH16" s="175"/>
      <c r="AI16" s="176"/>
      <c r="AJ16" s="177"/>
      <c r="AK16" s="178"/>
      <c r="AL16" s="178"/>
      <c r="AM16" s="178"/>
      <c r="AN16" s="178"/>
      <c r="AO16" s="179"/>
      <c r="AP16" s="64"/>
      <c r="AQ16" s="65"/>
      <c r="AR16" s="65"/>
      <c r="AS16" s="65"/>
      <c r="AT16" s="173"/>
      <c r="AU16" s="177"/>
      <c r="AV16" s="178"/>
      <c r="AW16" s="178"/>
      <c r="AX16" s="179"/>
      <c r="AZ16" s="166"/>
      <c r="BA16" s="177"/>
      <c r="BB16" s="178"/>
      <c r="BC16" s="178"/>
      <c r="BD16" s="178"/>
      <c r="BE16" s="178"/>
      <c r="BF16" s="178"/>
      <c r="BG16" s="178"/>
      <c r="BH16" s="178"/>
      <c r="BI16" s="179"/>
      <c r="BJ16" s="180"/>
      <c r="BK16" s="178"/>
      <c r="BL16" s="178"/>
      <c r="BM16" s="178"/>
      <c r="BN16" s="178"/>
      <c r="BO16" s="181"/>
      <c r="BP16" s="166"/>
      <c r="BQ16" s="177"/>
      <c r="BR16" s="178"/>
      <c r="BS16" s="179"/>
      <c r="BU16" s="166"/>
      <c r="BV16" s="166"/>
      <c r="BW16" s="166"/>
      <c r="BX16" s="166"/>
      <c r="BY16" s="166"/>
      <c r="BZ16" s="166"/>
      <c r="CA16" s="166"/>
      <c r="CB16" s="166"/>
      <c r="CC16" s="166"/>
      <c r="CD16" s="177"/>
      <c r="CE16" s="181"/>
      <c r="CF16" s="177"/>
      <c r="CG16" s="179"/>
      <c r="CH16" s="257"/>
      <c r="CI16" s="182"/>
      <c r="CJ16" s="177"/>
      <c r="CK16" s="182"/>
      <c r="CL16" s="177"/>
      <c r="CM16" s="182"/>
      <c r="CN16" s="177"/>
      <c r="CO16" s="182"/>
      <c r="CP16" s="177"/>
      <c r="CQ16" s="178"/>
      <c r="CR16" s="182"/>
      <c r="CS16" s="173"/>
      <c r="CT16" s="65"/>
      <c r="CU16" s="255" t="str">
        <f t="shared" si="2"/>
        <v>STS</v>
      </c>
    </row>
    <row r="17" ht="60.0" customHeight="1">
      <c r="A17" s="65"/>
      <c r="C17" s="167">
        <v>10.0</v>
      </c>
      <c r="D17" s="168" t="s">
        <v>137</v>
      </c>
      <c r="E17" s="169"/>
      <c r="F17" s="170"/>
      <c r="G17" s="170"/>
      <c r="H17" s="170"/>
      <c r="I17" s="207"/>
      <c r="J17" s="170"/>
      <c r="K17" s="171"/>
      <c r="L17" s="171"/>
      <c r="M17" s="171"/>
      <c r="N17" s="171"/>
      <c r="O17" s="268">
        <f t="shared" si="3"/>
        <v>0</v>
      </c>
      <c r="Q17" s="173"/>
      <c r="R17" s="65"/>
      <c r="S17" s="173"/>
      <c r="T17" s="173"/>
      <c r="U17" s="166"/>
      <c r="V17" s="166"/>
      <c r="W17" s="65"/>
      <c r="X17" s="66"/>
      <c r="Y17" s="173"/>
      <c r="Z17" s="166"/>
      <c r="AA17" s="174"/>
      <c r="AB17" s="175"/>
      <c r="AC17" s="175"/>
      <c r="AD17" s="175"/>
      <c r="AE17" s="175"/>
      <c r="AF17" s="175"/>
      <c r="AG17" s="175"/>
      <c r="AH17" s="175"/>
      <c r="AI17" s="176"/>
      <c r="AJ17" s="177"/>
      <c r="AK17" s="178"/>
      <c r="AL17" s="178"/>
      <c r="AM17" s="178"/>
      <c r="AN17" s="178"/>
      <c r="AO17" s="179"/>
      <c r="AP17" s="64"/>
      <c r="AQ17" s="65"/>
      <c r="AR17" s="65"/>
      <c r="AS17" s="65"/>
      <c r="AT17" s="173"/>
      <c r="AU17" s="177"/>
      <c r="AV17" s="178"/>
      <c r="AW17" s="178"/>
      <c r="AX17" s="179"/>
      <c r="AZ17" s="166"/>
      <c r="BA17" s="177"/>
      <c r="BB17" s="178"/>
      <c r="BC17" s="178"/>
      <c r="BD17" s="178"/>
      <c r="BE17" s="178"/>
      <c r="BF17" s="178"/>
      <c r="BG17" s="178"/>
      <c r="BH17" s="178"/>
      <c r="BI17" s="179"/>
      <c r="BJ17" s="180"/>
      <c r="BK17" s="178"/>
      <c r="BL17" s="178"/>
      <c r="BM17" s="178"/>
      <c r="BN17" s="178"/>
      <c r="BO17" s="181"/>
      <c r="BP17" s="166"/>
      <c r="BQ17" s="177"/>
      <c r="BR17" s="178"/>
      <c r="BS17" s="179"/>
      <c r="BU17" s="166"/>
      <c r="BV17" s="166"/>
      <c r="BW17" s="166"/>
      <c r="BX17" s="166"/>
      <c r="BY17" s="166"/>
      <c r="BZ17" s="166"/>
      <c r="CA17" s="166"/>
      <c r="CB17" s="166"/>
      <c r="CC17" s="166"/>
      <c r="CD17" s="177"/>
      <c r="CE17" s="181"/>
      <c r="CF17" s="177"/>
      <c r="CG17" s="179"/>
      <c r="CH17" s="257"/>
      <c r="CI17" s="182"/>
      <c r="CJ17" s="177"/>
      <c r="CK17" s="182"/>
      <c r="CL17" s="177"/>
      <c r="CM17" s="182"/>
      <c r="CN17" s="177"/>
      <c r="CO17" s="182"/>
      <c r="CP17" s="177"/>
      <c r="CQ17" s="178"/>
      <c r="CR17" s="182"/>
      <c r="CS17" s="173"/>
      <c r="CT17" s="65"/>
      <c r="CU17" s="255" t="str">
        <f t="shared" si="2"/>
        <v>STS</v>
      </c>
    </row>
    <row r="18" ht="60.0" customHeight="1">
      <c r="A18" s="89"/>
      <c r="C18" s="183">
        <v>11.0</v>
      </c>
      <c r="D18" s="210" t="s">
        <v>137</v>
      </c>
      <c r="E18" s="185"/>
      <c r="F18" s="186"/>
      <c r="G18" s="186"/>
      <c r="H18" s="186"/>
      <c r="I18" s="212"/>
      <c r="J18" s="186"/>
      <c r="K18" s="187"/>
      <c r="L18" s="187"/>
      <c r="M18" s="187"/>
      <c r="N18" s="187"/>
      <c r="O18" s="269">
        <f t="shared" ref="O18:O24" si="4">IF(AND(M18&lt;&gt;0,M18&lt;&gt;"m",M18&lt;&gt;"",RIGHT(K18,3)="Lec"),1,IF(AND(M18&lt;&gt;0,M18&lt;&gt;"m",M18&lt;&gt;"",OR(RIGHT(K18,3)="Lab",RIGHT(K18,3)="Tut")),0.5,IF(AND(M18&lt;&gt;0,M18&lt;&gt;"m",M18&lt;&gt;"",RIGHT(K18,2)="TL"),0.75,0)))</f>
        <v>0</v>
      </c>
      <c r="P18" s="6"/>
      <c r="Q18" s="69"/>
      <c r="R18" s="89"/>
      <c r="S18" s="69"/>
      <c r="T18" s="69"/>
      <c r="U18" s="63"/>
      <c r="V18" s="63"/>
      <c r="W18" s="89"/>
      <c r="X18" s="68"/>
      <c r="Y18" s="69"/>
      <c r="Z18" s="63"/>
      <c r="AA18" s="189"/>
      <c r="AB18" s="190"/>
      <c r="AC18" s="190"/>
      <c r="AD18" s="190"/>
      <c r="AE18" s="190"/>
      <c r="AF18" s="190"/>
      <c r="AG18" s="190"/>
      <c r="AH18" s="190"/>
      <c r="AI18" s="191"/>
      <c r="AJ18" s="192"/>
      <c r="AK18" s="193"/>
      <c r="AL18" s="193"/>
      <c r="AM18" s="193"/>
      <c r="AN18" s="193"/>
      <c r="AO18" s="194"/>
      <c r="AP18" s="103"/>
      <c r="AQ18" s="89"/>
      <c r="AR18" s="89"/>
      <c r="AS18" s="89"/>
      <c r="AT18" s="69"/>
      <c r="AU18" s="192"/>
      <c r="AV18" s="193"/>
      <c r="AW18" s="193"/>
      <c r="AX18" s="194"/>
      <c r="AY18" s="6"/>
      <c r="AZ18" s="63"/>
      <c r="BA18" s="192"/>
      <c r="BB18" s="193"/>
      <c r="BC18" s="193"/>
      <c r="BD18" s="193"/>
      <c r="BE18" s="193"/>
      <c r="BF18" s="193"/>
      <c r="BG18" s="193"/>
      <c r="BH18" s="193"/>
      <c r="BI18" s="194"/>
      <c r="BJ18" s="195"/>
      <c r="BK18" s="193"/>
      <c r="BL18" s="193"/>
      <c r="BM18" s="193"/>
      <c r="BN18" s="193"/>
      <c r="BO18" s="196"/>
      <c r="BP18" s="63"/>
      <c r="BQ18" s="192"/>
      <c r="BR18" s="193"/>
      <c r="BS18" s="194"/>
      <c r="BT18" s="6"/>
      <c r="BU18" s="63"/>
      <c r="BV18" s="63"/>
      <c r="BW18" s="63"/>
      <c r="BX18" s="63"/>
      <c r="BY18" s="63"/>
      <c r="BZ18" s="63"/>
      <c r="CA18" s="63"/>
      <c r="CB18" s="63"/>
      <c r="CC18" s="63"/>
      <c r="CD18" s="192"/>
      <c r="CE18" s="196"/>
      <c r="CF18" s="192"/>
      <c r="CG18" s="194"/>
      <c r="CH18" s="259"/>
      <c r="CI18" s="197"/>
      <c r="CJ18" s="192"/>
      <c r="CK18" s="197"/>
      <c r="CL18" s="192"/>
      <c r="CM18" s="197"/>
      <c r="CN18" s="192"/>
      <c r="CO18" s="197"/>
      <c r="CP18" s="192"/>
      <c r="CQ18" s="193"/>
      <c r="CR18" s="197"/>
      <c r="CS18" s="69"/>
      <c r="CT18" s="89"/>
      <c r="CU18" s="255" t="str">
        <f t="shared" si="2"/>
        <v>STS</v>
      </c>
    </row>
    <row r="19" ht="56.25" customHeight="1">
      <c r="A19" s="125">
        <v>2.0</v>
      </c>
      <c r="B19" s="199" t="s">
        <v>146</v>
      </c>
      <c r="C19" s="127">
        <v>1.0</v>
      </c>
      <c r="D19" s="168" t="s">
        <v>147</v>
      </c>
      <c r="E19" s="129"/>
      <c r="F19" s="130"/>
      <c r="G19" s="130"/>
      <c r="H19" s="130"/>
      <c r="I19" s="201"/>
      <c r="J19" s="130"/>
      <c r="K19" s="131"/>
      <c r="L19" s="131"/>
      <c r="M19" s="131"/>
      <c r="N19" s="131"/>
      <c r="O19" s="267">
        <f t="shared" si="4"/>
        <v>0</v>
      </c>
      <c r="P19" s="251">
        <f>COUNTIF(K19:K29,"TL")*0.75+COUNTIF(K19:K29,"Lec")*1+COUNTIF(K19:K29,"Lab")*0.5</f>
        <v>0</v>
      </c>
      <c r="Q19" s="134">
        <f>SUM((IF(LEFT(K19,1)="E",O19,0)),(IF(LEFT(K20,1)="E",O20,0)),(IF(LEFT(K21,1)="E",O21,0)),(IF(LEFT(K22,1)="E",O22,0)),(IF(LEFT(K23,1)="E",O23,0)),(IF(LEFT(K24,1)="E",O24,0)),(IF(LEFT(K25,1)="E",O25,0)),(IF(LEFT(K26,1)="E",O26,0)),(IF(LEFT(K27,1)="E",O27,0)),(IF(LEFT(K28,1)="E",O28,0)),(IF(LEFT(K29,1)="E",O29,0)))</f>
        <v>0</v>
      </c>
      <c r="R19" s="135">
        <f>SUM(IF(M25&lt;20,IF(K25="Plec",-1,IF(K25="PTL",-0.75,IF(K25="Plab",-0.5,0))),0),IF(M26&lt;20,IF(K26="Plec",-1,IF(K26="PTL",-0.75,IF(K26="Plab",-0.5,0))),0),IF(M27&lt;20,IF(K27="Plec",-1,IF(K27="PTL",-0.75,IF(K27="Plab",-0.5,0))),0),IF(M28&lt;20,IF(K28="Plec",-1,IF(K28="PTL",-0.75,IF(K28="Plab",-0.5,0))),0))</f>
        <v>0</v>
      </c>
      <c r="S19" s="134">
        <f>SUM(P19:R29)</f>
        <v>0</v>
      </c>
      <c r="T19" s="136">
        <f>SUM(IF(M19="M",IF(OR(K19="lec",K19="plec",K19="slec"),1,IF(OR(K19="lab",K19="plab",K19="slab",K19="tut",K19="ptut",K19="stut"),0.5,IF(OR(K19="TL",K19="pTL",K19="STL"),0.75,0))),0),IF(M20="M",IF(OR(K20="lec",K20="plec",K20="slec"),1,IF(OR(K20="lab",K20="plab",K20="slab",K20="tut",K20="ptut",K20="stut"),0.5,IF(OR(K20="TL",K20="pTL",K20="STL"),0.75,0))),0),IF(M21="M",IF(OR(K21="lec",K21="plec",K21="slec"),1,IF(OR(K21="lab",K21="plab",K21="slab",K21="tut",K21="ptut",K21="stut"),0.5,IF(OR(K21="TL",K21="pTL",K21="STL"),0.75,0))),0),IF(M22="M",IF(OR(K22="lec",K22="plec",K22="slec"),1,IF(OR(K22="lab",K22="plab",K22="slab",K22="tut",K22="ptut",K22="stut"),0.5,IF(OR(K22="TL",K22="pTL",K22="STL"),0.75,0))),0),IF(M23="M",IF(OR(K23="lec",K23="plec",K23="slec"),1,IF(OR(K23="lab",K23="plab",K23="slab",K23="tut",K23="ptut",K23="stut"),0.5,IF(OR(K23="TL",K23="pTL",K23="STL"),0.75,0))),0),IF(M24="M",IF(OR(K24="lec",K24="plec",K24="slec"),1,IF(OR(K24="lab",K24="plab",K24="slab",K24="tut",K24="ptut",K24="stut"),0.5,IF(OR(K24="TL",K24="pTL",K24="STL"),0.75,0))),0),IF(M25="M",IF(OR(K25="lec",K25="plec",K25="slec"),1,IF(OR(K25="lab",K25="plab",K25="slab",K25="tut",K25="ptut",K25="stut"),0.5,IF(OR(K25="TL",K25="pTL",K25="STL"),0.75,0))),0),IF(M26="M",IF(OR(K26="lec",K26="plec",K26="slec"),1,IF(OR(K26="lab",K26="plab",K26="slab",K26="tut",K26="ptut",K26="stut"),0.5,IF(OR(K26="TL",K26="pTL",K26="STL"),0.75,0))),0),IF(M27="M",IF(OR(K27="lec",K27="plec",K27="slec"),1,IF(OR(K27="lab",K27="plab",K27="slab",K27="tut",K27="ptut",K27="stut"),0.5,IF(OR(K27="TL",K27="pTL",K27="STL"),0.75,0))),0),IF(M28="M",IF(OR(K28="lec",K28="plec",K28="slec"),1,IF(OR(K28="lab",K28="plab",K28="slab",K28="tut",K28="ptut",K28="stut"),0.5,IF(OR(K28="TL",K28="pTL",K28="STL"),0.75,0))),0),IF(M29="M",IF(OR(K29="lec",K29="plec",K29="slec"),1,IF(OR(K29="lab",K29="plab",K29="slab",K29="tut",K29="ptut",K29="stut"),0.5,IF(OR(K29="TL",K29="pTL",K29="STL"),0.75,0))),0))</f>
        <v>0</v>
      </c>
      <c r="U19" s="137"/>
      <c r="V19" s="133"/>
      <c r="W19" s="138"/>
      <c r="X19" s="139">
        <f>S19-(T19+U19+V19+W19)</f>
        <v>0</v>
      </c>
      <c r="Y19" s="134" t="str">
        <f>CONCATENATE(SUM(O19:O29),"(",SUM(O19:O29)-X19,")")</f>
        <v>0(0)</v>
      </c>
      <c r="Z19" s="140"/>
      <c r="AA19" s="141"/>
      <c r="AB19" s="142"/>
      <c r="AC19" s="142"/>
      <c r="AD19" s="142"/>
      <c r="AE19" s="142"/>
      <c r="AF19" s="142"/>
      <c r="AG19" s="142"/>
      <c r="AH19" s="142"/>
      <c r="AI19" s="143"/>
      <c r="AJ19" s="144"/>
      <c r="AK19" s="145"/>
      <c r="AL19" s="145"/>
      <c r="AM19" s="145"/>
      <c r="AN19" s="145"/>
      <c r="AO19" s="146"/>
      <c r="AP19" s="147">
        <f>SUM(SUM(O19:O29),SUM(AI19:AI29)/2,AM19)</f>
        <v>0</v>
      </c>
      <c r="AQ19" s="148"/>
      <c r="AR19" s="148">
        <f>AP19*AQ19</f>
        <v>0</v>
      </c>
      <c r="AS19" s="148">
        <f>CT19</f>
        <v>1</v>
      </c>
      <c r="AT19" s="149">
        <f>AR19*0.75+AS19*0.25</f>
        <v>0.25</v>
      </c>
      <c r="AU19" s="150"/>
      <c r="AV19" s="151"/>
      <c r="AW19" s="151"/>
      <c r="AX19" s="152"/>
      <c r="AY19" s="153"/>
      <c r="AZ19" s="140"/>
      <c r="BA19" s="150">
        <v>1.0</v>
      </c>
      <c r="BB19" s="151" t="s">
        <v>148</v>
      </c>
      <c r="BC19" s="151">
        <v>4.0</v>
      </c>
      <c r="BD19" s="151" t="s">
        <v>181</v>
      </c>
      <c r="BE19" s="151" t="s">
        <v>150</v>
      </c>
      <c r="BF19" s="151"/>
      <c r="BG19" s="151">
        <v>1.0</v>
      </c>
      <c r="BH19" s="151"/>
      <c r="BI19" s="152"/>
      <c r="BJ19" s="154"/>
      <c r="BK19" s="151"/>
      <c r="BL19" s="151"/>
      <c r="BM19" s="151"/>
      <c r="BN19" s="151"/>
      <c r="BO19" s="155"/>
      <c r="BP19" s="140"/>
      <c r="BQ19" s="156"/>
      <c r="BR19" s="157"/>
      <c r="BS19" s="158"/>
      <c r="BT19" s="153"/>
      <c r="BU19" s="140"/>
      <c r="BV19" s="140"/>
      <c r="BW19" s="140"/>
      <c r="BX19" s="140"/>
      <c r="BY19" s="140"/>
      <c r="BZ19" s="140"/>
      <c r="CA19" s="140"/>
      <c r="CB19" s="140"/>
      <c r="CC19" s="140"/>
      <c r="CD19" s="150"/>
      <c r="CE19" s="155"/>
      <c r="CF19" s="150"/>
      <c r="CG19" s="152"/>
      <c r="CH19" s="252"/>
      <c r="CI19" s="160"/>
      <c r="CJ19" s="159"/>
      <c r="CK19" s="160"/>
      <c r="CL19" s="159"/>
      <c r="CM19" s="160"/>
      <c r="CN19" s="159"/>
      <c r="CO19" s="160"/>
      <c r="CP19" s="159"/>
      <c r="CQ19" s="162"/>
      <c r="CR19" s="160"/>
      <c r="CS19" s="253">
        <f>SUM(IF(AU19&lt;0,ABS(AU19),0),IF(AZ19&lt;0,ABS(AZ19),0),ABS(CI19),ABS(CK19),ABS(CM19),ABS(CO19),ABS(CQ19),ABS(CR19))</f>
        <v>0</v>
      </c>
      <c r="CT19" s="254">
        <f>SUM(AU19,AV19,AW19,AX19/400,AY19,AZ19,BG19,BH19*0.5,BI19*0.25,BJ19,BK19,BL19,BM19,BN19,BO19,BP19,BR19/20,BS19/100,BT19/60,BU19,BV19,BW19,BX19/4,SUM(BY19:CC29)/3,CE19,CG19/3,CI19,CK19,CM19,CO19,CQ19,CR19)</f>
        <v>1</v>
      </c>
      <c r="CU19" s="255" t="str">
        <f t="shared" si="2"/>
        <v>DVB</v>
      </c>
    </row>
    <row r="20" ht="60.0" customHeight="1">
      <c r="A20" s="65"/>
      <c r="C20" s="167">
        <v>2.0</v>
      </c>
      <c r="D20" s="168" t="s">
        <v>147</v>
      </c>
      <c r="E20" s="169"/>
      <c r="F20" s="170"/>
      <c r="G20" s="170"/>
      <c r="H20" s="170"/>
      <c r="I20" s="207"/>
      <c r="J20" s="170"/>
      <c r="K20" s="171"/>
      <c r="L20" s="171"/>
      <c r="M20" s="171"/>
      <c r="N20" s="171"/>
      <c r="O20" s="268">
        <f t="shared" si="4"/>
        <v>0</v>
      </c>
      <c r="Q20" s="173"/>
      <c r="R20" s="65"/>
      <c r="S20" s="173"/>
      <c r="T20" s="173"/>
      <c r="U20" s="166"/>
      <c r="V20" s="166"/>
      <c r="W20" s="65"/>
      <c r="X20" s="66"/>
      <c r="Y20" s="173"/>
      <c r="Z20" s="166"/>
      <c r="AA20" s="174"/>
      <c r="AB20" s="175"/>
      <c r="AC20" s="175"/>
      <c r="AD20" s="175"/>
      <c r="AE20" s="175"/>
      <c r="AF20" s="175"/>
      <c r="AG20" s="175"/>
      <c r="AH20" s="175"/>
      <c r="AI20" s="176"/>
      <c r="AJ20" s="177"/>
      <c r="AK20" s="178"/>
      <c r="AL20" s="178"/>
      <c r="AM20" s="178"/>
      <c r="AN20" s="178"/>
      <c r="AO20" s="179"/>
      <c r="AP20" s="64"/>
      <c r="AQ20" s="65"/>
      <c r="AR20" s="65"/>
      <c r="AS20" s="65"/>
      <c r="AT20" s="173"/>
      <c r="AU20" s="177"/>
      <c r="AV20" s="178"/>
      <c r="AW20" s="178"/>
      <c r="AX20" s="179"/>
      <c r="AZ20" s="166"/>
      <c r="BA20" s="177"/>
      <c r="BB20" s="178"/>
      <c r="BC20" s="178"/>
      <c r="BD20" s="178"/>
      <c r="BE20" s="178"/>
      <c r="BF20" s="178"/>
      <c r="BG20" s="178"/>
      <c r="BH20" s="178"/>
      <c r="BI20" s="179"/>
      <c r="BJ20" s="180"/>
      <c r="BK20" s="178"/>
      <c r="BL20" s="178"/>
      <c r="BM20" s="178"/>
      <c r="BN20" s="178"/>
      <c r="BO20" s="181"/>
      <c r="BP20" s="166"/>
      <c r="BQ20" s="177"/>
      <c r="BR20" s="178"/>
      <c r="BS20" s="179"/>
      <c r="BU20" s="166"/>
      <c r="BV20" s="166"/>
      <c r="BW20" s="166"/>
      <c r="BX20" s="166"/>
      <c r="BY20" s="166"/>
      <c r="BZ20" s="166"/>
      <c r="CA20" s="166"/>
      <c r="CB20" s="166"/>
      <c r="CC20" s="166"/>
      <c r="CD20" s="177"/>
      <c r="CE20" s="181"/>
      <c r="CF20" s="177"/>
      <c r="CG20" s="179"/>
      <c r="CH20" s="257"/>
      <c r="CI20" s="182"/>
      <c r="CJ20" s="177"/>
      <c r="CK20" s="182"/>
      <c r="CL20" s="177"/>
      <c r="CM20" s="182"/>
      <c r="CN20" s="177"/>
      <c r="CO20" s="182"/>
      <c r="CP20" s="177"/>
      <c r="CQ20" s="178"/>
      <c r="CR20" s="182"/>
      <c r="CS20" s="173"/>
      <c r="CT20" s="65"/>
      <c r="CU20" s="255" t="str">
        <f t="shared" si="2"/>
        <v>DVB</v>
      </c>
    </row>
    <row r="21" ht="60.0" customHeight="1">
      <c r="A21" s="65"/>
      <c r="C21" s="167">
        <v>3.0</v>
      </c>
      <c r="D21" s="168" t="s">
        <v>147</v>
      </c>
      <c r="E21" s="169"/>
      <c r="F21" s="170"/>
      <c r="G21" s="170"/>
      <c r="H21" s="170"/>
      <c r="I21" s="207"/>
      <c r="J21" s="170"/>
      <c r="K21" s="171"/>
      <c r="L21" s="171"/>
      <c r="M21" s="171"/>
      <c r="N21" s="171"/>
      <c r="O21" s="268">
        <f t="shared" si="4"/>
        <v>0</v>
      </c>
      <c r="Q21" s="173"/>
      <c r="R21" s="65"/>
      <c r="S21" s="173"/>
      <c r="T21" s="173"/>
      <c r="U21" s="166"/>
      <c r="V21" s="166"/>
      <c r="W21" s="65"/>
      <c r="X21" s="66"/>
      <c r="Y21" s="173"/>
      <c r="Z21" s="166"/>
      <c r="AA21" s="174"/>
      <c r="AB21" s="175"/>
      <c r="AC21" s="175"/>
      <c r="AD21" s="175"/>
      <c r="AE21" s="175"/>
      <c r="AF21" s="175"/>
      <c r="AG21" s="175"/>
      <c r="AH21" s="175"/>
      <c r="AI21" s="176"/>
      <c r="AJ21" s="177"/>
      <c r="AK21" s="178"/>
      <c r="AL21" s="178"/>
      <c r="AM21" s="178"/>
      <c r="AN21" s="178"/>
      <c r="AO21" s="179"/>
      <c r="AP21" s="64"/>
      <c r="AQ21" s="65"/>
      <c r="AR21" s="65"/>
      <c r="AS21" s="65"/>
      <c r="AT21" s="173"/>
      <c r="AU21" s="177"/>
      <c r="AV21" s="178"/>
      <c r="AW21" s="178"/>
      <c r="AX21" s="179"/>
      <c r="AZ21" s="166"/>
      <c r="BA21" s="177"/>
      <c r="BB21" s="178"/>
      <c r="BC21" s="178"/>
      <c r="BD21" s="178"/>
      <c r="BE21" s="178"/>
      <c r="BF21" s="178"/>
      <c r="BG21" s="178"/>
      <c r="BH21" s="178"/>
      <c r="BI21" s="179"/>
      <c r="BJ21" s="180"/>
      <c r="BK21" s="178"/>
      <c r="BL21" s="178"/>
      <c r="BM21" s="178"/>
      <c r="BN21" s="178"/>
      <c r="BO21" s="181"/>
      <c r="BP21" s="166"/>
      <c r="BQ21" s="177"/>
      <c r="BR21" s="178"/>
      <c r="BS21" s="179"/>
      <c r="BU21" s="166"/>
      <c r="BV21" s="166"/>
      <c r="BW21" s="166"/>
      <c r="BX21" s="166"/>
      <c r="BY21" s="166"/>
      <c r="BZ21" s="166"/>
      <c r="CA21" s="166"/>
      <c r="CB21" s="166"/>
      <c r="CC21" s="166"/>
      <c r="CD21" s="177"/>
      <c r="CE21" s="181"/>
      <c r="CF21" s="177"/>
      <c r="CG21" s="179"/>
      <c r="CH21" s="257"/>
      <c r="CI21" s="182"/>
      <c r="CJ21" s="177"/>
      <c r="CK21" s="182"/>
      <c r="CL21" s="177"/>
      <c r="CM21" s="182"/>
      <c r="CN21" s="177"/>
      <c r="CO21" s="182"/>
      <c r="CP21" s="177"/>
      <c r="CQ21" s="178"/>
      <c r="CR21" s="182"/>
      <c r="CS21" s="173"/>
      <c r="CT21" s="65"/>
      <c r="CU21" s="255" t="str">
        <f t="shared" si="2"/>
        <v>DVB</v>
      </c>
    </row>
    <row r="22" ht="60.0" customHeight="1">
      <c r="A22" s="65"/>
      <c r="C22" s="167">
        <v>4.0</v>
      </c>
      <c r="D22" s="168" t="s">
        <v>147</v>
      </c>
      <c r="E22" s="169"/>
      <c r="F22" s="170"/>
      <c r="G22" s="170"/>
      <c r="H22" s="170"/>
      <c r="I22" s="207"/>
      <c r="J22" s="170"/>
      <c r="K22" s="171"/>
      <c r="L22" s="171"/>
      <c r="M22" s="171"/>
      <c r="N22" s="171"/>
      <c r="O22" s="268">
        <f t="shared" si="4"/>
        <v>0</v>
      </c>
      <c r="Q22" s="173"/>
      <c r="R22" s="65"/>
      <c r="S22" s="173"/>
      <c r="T22" s="173"/>
      <c r="U22" s="166"/>
      <c r="V22" s="166"/>
      <c r="W22" s="65"/>
      <c r="X22" s="66"/>
      <c r="Y22" s="173"/>
      <c r="Z22" s="166"/>
      <c r="AA22" s="174"/>
      <c r="AB22" s="175"/>
      <c r="AC22" s="175"/>
      <c r="AD22" s="175"/>
      <c r="AE22" s="175"/>
      <c r="AF22" s="175"/>
      <c r="AG22" s="175"/>
      <c r="AH22" s="175"/>
      <c r="AI22" s="176"/>
      <c r="AJ22" s="177"/>
      <c r="AK22" s="178"/>
      <c r="AL22" s="178"/>
      <c r="AM22" s="178"/>
      <c r="AN22" s="178"/>
      <c r="AO22" s="179"/>
      <c r="AP22" s="64"/>
      <c r="AQ22" s="65"/>
      <c r="AR22" s="65"/>
      <c r="AS22" s="65"/>
      <c r="AT22" s="173"/>
      <c r="AU22" s="177"/>
      <c r="AV22" s="178"/>
      <c r="AW22" s="178"/>
      <c r="AX22" s="179"/>
      <c r="AZ22" s="166"/>
      <c r="BA22" s="177"/>
      <c r="BB22" s="178"/>
      <c r="BC22" s="178"/>
      <c r="BD22" s="178"/>
      <c r="BE22" s="178"/>
      <c r="BF22" s="178"/>
      <c r="BG22" s="178"/>
      <c r="BH22" s="178"/>
      <c r="BI22" s="179"/>
      <c r="BJ22" s="180"/>
      <c r="BK22" s="178"/>
      <c r="BL22" s="178"/>
      <c r="BM22" s="178"/>
      <c r="BN22" s="178"/>
      <c r="BO22" s="181"/>
      <c r="BP22" s="166"/>
      <c r="BQ22" s="177"/>
      <c r="BR22" s="178"/>
      <c r="BS22" s="179"/>
      <c r="BU22" s="166"/>
      <c r="BV22" s="166"/>
      <c r="BW22" s="166"/>
      <c r="BX22" s="166"/>
      <c r="BY22" s="166"/>
      <c r="BZ22" s="166"/>
      <c r="CA22" s="166"/>
      <c r="CB22" s="166"/>
      <c r="CC22" s="166"/>
      <c r="CD22" s="177"/>
      <c r="CE22" s="181"/>
      <c r="CF22" s="177"/>
      <c r="CG22" s="179"/>
      <c r="CH22" s="257"/>
      <c r="CI22" s="182"/>
      <c r="CJ22" s="177"/>
      <c r="CK22" s="182"/>
      <c r="CL22" s="177"/>
      <c r="CM22" s="182"/>
      <c r="CN22" s="177"/>
      <c r="CO22" s="182"/>
      <c r="CP22" s="177"/>
      <c r="CQ22" s="178"/>
      <c r="CR22" s="182"/>
      <c r="CS22" s="173"/>
      <c r="CT22" s="65"/>
      <c r="CU22" s="255" t="str">
        <f t="shared" si="2"/>
        <v>DVB</v>
      </c>
    </row>
    <row r="23" ht="60.0" customHeight="1">
      <c r="A23" s="65"/>
      <c r="C23" s="167">
        <v>5.0</v>
      </c>
      <c r="D23" s="168" t="s">
        <v>147</v>
      </c>
      <c r="E23" s="169"/>
      <c r="F23" s="170"/>
      <c r="G23" s="170"/>
      <c r="H23" s="170"/>
      <c r="I23" s="207"/>
      <c r="J23" s="170"/>
      <c r="K23" s="171"/>
      <c r="L23" s="171"/>
      <c r="M23" s="171"/>
      <c r="N23" s="171"/>
      <c r="O23" s="268">
        <f t="shared" si="4"/>
        <v>0</v>
      </c>
      <c r="Q23" s="173"/>
      <c r="R23" s="65"/>
      <c r="S23" s="173"/>
      <c r="T23" s="173"/>
      <c r="U23" s="166"/>
      <c r="V23" s="166"/>
      <c r="W23" s="65"/>
      <c r="X23" s="66"/>
      <c r="Y23" s="173"/>
      <c r="Z23" s="166"/>
      <c r="AA23" s="174"/>
      <c r="AB23" s="175"/>
      <c r="AC23" s="175"/>
      <c r="AD23" s="175"/>
      <c r="AE23" s="175"/>
      <c r="AF23" s="175"/>
      <c r="AG23" s="175"/>
      <c r="AH23" s="175"/>
      <c r="AI23" s="176"/>
      <c r="AJ23" s="177"/>
      <c r="AK23" s="178"/>
      <c r="AL23" s="178"/>
      <c r="AM23" s="178"/>
      <c r="AN23" s="178"/>
      <c r="AO23" s="179"/>
      <c r="AP23" s="64"/>
      <c r="AQ23" s="65"/>
      <c r="AR23" s="65"/>
      <c r="AS23" s="65"/>
      <c r="AT23" s="173"/>
      <c r="AU23" s="177"/>
      <c r="AV23" s="178"/>
      <c r="AW23" s="178"/>
      <c r="AX23" s="179"/>
      <c r="AZ23" s="166"/>
      <c r="BA23" s="177"/>
      <c r="BB23" s="178"/>
      <c r="BC23" s="178"/>
      <c r="BD23" s="178"/>
      <c r="BE23" s="178"/>
      <c r="BF23" s="178"/>
      <c r="BG23" s="178"/>
      <c r="BH23" s="178"/>
      <c r="BI23" s="179"/>
      <c r="BJ23" s="180"/>
      <c r="BK23" s="178"/>
      <c r="BL23" s="178"/>
      <c r="BM23" s="178"/>
      <c r="BN23" s="178"/>
      <c r="BO23" s="181"/>
      <c r="BP23" s="166"/>
      <c r="BQ23" s="177"/>
      <c r="BR23" s="178"/>
      <c r="BS23" s="179"/>
      <c r="BU23" s="166"/>
      <c r="BV23" s="166"/>
      <c r="BW23" s="166"/>
      <c r="BX23" s="166"/>
      <c r="BY23" s="166"/>
      <c r="BZ23" s="166"/>
      <c r="CA23" s="166"/>
      <c r="CB23" s="166"/>
      <c r="CC23" s="166"/>
      <c r="CD23" s="177"/>
      <c r="CE23" s="181"/>
      <c r="CF23" s="177"/>
      <c r="CG23" s="179"/>
      <c r="CH23" s="257"/>
      <c r="CI23" s="182"/>
      <c r="CJ23" s="177"/>
      <c r="CK23" s="182"/>
      <c r="CL23" s="177"/>
      <c r="CM23" s="182"/>
      <c r="CN23" s="177"/>
      <c r="CO23" s="182"/>
      <c r="CP23" s="177"/>
      <c r="CQ23" s="178"/>
      <c r="CR23" s="182"/>
      <c r="CS23" s="173"/>
      <c r="CT23" s="65"/>
      <c r="CU23" s="255" t="str">
        <f t="shared" si="2"/>
        <v>DVB</v>
      </c>
    </row>
    <row r="24" ht="60.0" customHeight="1">
      <c r="A24" s="65"/>
      <c r="C24" s="167">
        <v>6.0</v>
      </c>
      <c r="D24" s="168" t="s">
        <v>147</v>
      </c>
      <c r="E24" s="169"/>
      <c r="F24" s="170"/>
      <c r="G24" s="170"/>
      <c r="H24" s="170"/>
      <c r="I24" s="207"/>
      <c r="J24" s="170"/>
      <c r="K24" s="171"/>
      <c r="L24" s="171"/>
      <c r="M24" s="171"/>
      <c r="N24" s="171"/>
      <c r="O24" s="268">
        <f t="shared" si="4"/>
        <v>0</v>
      </c>
      <c r="Q24" s="173"/>
      <c r="R24" s="65"/>
      <c r="S24" s="173"/>
      <c r="T24" s="173"/>
      <c r="U24" s="166"/>
      <c r="V24" s="166"/>
      <c r="W24" s="65"/>
      <c r="X24" s="66"/>
      <c r="Y24" s="173"/>
      <c r="Z24" s="166"/>
      <c r="AA24" s="174"/>
      <c r="AB24" s="175"/>
      <c r="AC24" s="175"/>
      <c r="AD24" s="175"/>
      <c r="AE24" s="175"/>
      <c r="AF24" s="175"/>
      <c r="AG24" s="175"/>
      <c r="AH24" s="175"/>
      <c r="AI24" s="176"/>
      <c r="AJ24" s="177"/>
      <c r="AK24" s="178"/>
      <c r="AL24" s="178"/>
      <c r="AM24" s="178"/>
      <c r="AN24" s="178"/>
      <c r="AO24" s="179"/>
      <c r="AP24" s="64"/>
      <c r="AQ24" s="65"/>
      <c r="AR24" s="65"/>
      <c r="AS24" s="65"/>
      <c r="AT24" s="173"/>
      <c r="AU24" s="177"/>
      <c r="AV24" s="178"/>
      <c r="AW24" s="178"/>
      <c r="AX24" s="179"/>
      <c r="AZ24" s="166"/>
      <c r="BA24" s="177"/>
      <c r="BB24" s="178"/>
      <c r="BC24" s="178"/>
      <c r="BD24" s="178"/>
      <c r="BE24" s="178"/>
      <c r="BF24" s="178"/>
      <c r="BG24" s="178"/>
      <c r="BH24" s="178"/>
      <c r="BI24" s="179"/>
      <c r="BJ24" s="180"/>
      <c r="BK24" s="178"/>
      <c r="BL24" s="178"/>
      <c r="BM24" s="178"/>
      <c r="BN24" s="178"/>
      <c r="BO24" s="181"/>
      <c r="BP24" s="166"/>
      <c r="BQ24" s="177"/>
      <c r="BR24" s="178"/>
      <c r="BS24" s="179"/>
      <c r="BU24" s="166"/>
      <c r="BV24" s="166"/>
      <c r="BW24" s="166"/>
      <c r="BX24" s="166"/>
      <c r="BY24" s="166"/>
      <c r="BZ24" s="166"/>
      <c r="CA24" s="166"/>
      <c r="CB24" s="166"/>
      <c r="CC24" s="166"/>
      <c r="CD24" s="177"/>
      <c r="CE24" s="181"/>
      <c r="CF24" s="177"/>
      <c r="CG24" s="179"/>
      <c r="CH24" s="257"/>
      <c r="CI24" s="182"/>
      <c r="CJ24" s="177"/>
      <c r="CK24" s="182"/>
      <c r="CL24" s="177"/>
      <c r="CM24" s="182"/>
      <c r="CN24" s="177"/>
      <c r="CO24" s="182"/>
      <c r="CP24" s="177"/>
      <c r="CQ24" s="178"/>
      <c r="CR24" s="182"/>
      <c r="CS24" s="173"/>
      <c r="CT24" s="65"/>
      <c r="CU24" s="255" t="str">
        <f t="shared" si="2"/>
        <v>DVB</v>
      </c>
    </row>
    <row r="25" ht="60.0" customHeight="1">
      <c r="A25" s="65"/>
      <c r="C25" s="167">
        <v>7.0</v>
      </c>
      <c r="D25" s="168" t="s">
        <v>147</v>
      </c>
      <c r="E25" s="169"/>
      <c r="F25" s="170"/>
      <c r="G25" s="170"/>
      <c r="H25" s="170"/>
      <c r="I25" s="207"/>
      <c r="J25" s="170"/>
      <c r="K25" s="171"/>
      <c r="L25" s="171"/>
      <c r="M25" s="171"/>
      <c r="N25" s="171"/>
      <c r="O25" s="268">
        <f t="shared" ref="O25:O28" si="5">IF(AND(M25&gt;=20,M25&lt;&gt;"m",RIGHT(K25,3)="Lec"),1,IF(AND(M25&gt;=20,M25&lt;&gt;"m",OR(RIGHT(K25,3)="Lab",RIGHT(K25,3)="Tut")),0.5,IF(AND(M25&gt;=20,M25&lt;&gt;"m",RIGHT(K25,2)="TL"),0.75,0)))</f>
        <v>0</v>
      </c>
      <c r="Q25" s="173"/>
      <c r="R25" s="65"/>
      <c r="S25" s="173"/>
      <c r="T25" s="173"/>
      <c r="U25" s="166"/>
      <c r="V25" s="166"/>
      <c r="W25" s="65"/>
      <c r="X25" s="66"/>
      <c r="Y25" s="173"/>
      <c r="Z25" s="166"/>
      <c r="AA25" s="174"/>
      <c r="AB25" s="175"/>
      <c r="AC25" s="175"/>
      <c r="AD25" s="175"/>
      <c r="AE25" s="175"/>
      <c r="AF25" s="175"/>
      <c r="AG25" s="175"/>
      <c r="AH25" s="175"/>
      <c r="AI25" s="176"/>
      <c r="AJ25" s="177"/>
      <c r="AK25" s="178"/>
      <c r="AL25" s="178"/>
      <c r="AM25" s="178"/>
      <c r="AN25" s="178"/>
      <c r="AO25" s="179"/>
      <c r="AP25" s="64"/>
      <c r="AQ25" s="65"/>
      <c r="AR25" s="65"/>
      <c r="AS25" s="65"/>
      <c r="AT25" s="173"/>
      <c r="AU25" s="177"/>
      <c r="AV25" s="178"/>
      <c r="AW25" s="178"/>
      <c r="AX25" s="179"/>
      <c r="AZ25" s="166"/>
      <c r="BA25" s="177"/>
      <c r="BB25" s="178"/>
      <c r="BC25" s="178"/>
      <c r="BD25" s="178"/>
      <c r="BE25" s="178"/>
      <c r="BF25" s="178"/>
      <c r="BG25" s="178"/>
      <c r="BH25" s="178"/>
      <c r="BI25" s="179"/>
      <c r="BJ25" s="180"/>
      <c r="BK25" s="178"/>
      <c r="BL25" s="178"/>
      <c r="BM25" s="178"/>
      <c r="BN25" s="178"/>
      <c r="BO25" s="181"/>
      <c r="BP25" s="166"/>
      <c r="BQ25" s="177"/>
      <c r="BR25" s="178"/>
      <c r="BS25" s="179"/>
      <c r="BU25" s="166"/>
      <c r="BV25" s="166"/>
      <c r="BW25" s="166"/>
      <c r="BX25" s="166"/>
      <c r="BY25" s="166"/>
      <c r="BZ25" s="166"/>
      <c r="CA25" s="166"/>
      <c r="CB25" s="166"/>
      <c r="CC25" s="166"/>
      <c r="CD25" s="177"/>
      <c r="CE25" s="181"/>
      <c r="CF25" s="177"/>
      <c r="CG25" s="179"/>
      <c r="CH25" s="257"/>
      <c r="CI25" s="182"/>
      <c r="CJ25" s="177"/>
      <c r="CK25" s="182"/>
      <c r="CL25" s="177"/>
      <c r="CM25" s="182"/>
      <c r="CN25" s="177"/>
      <c r="CO25" s="182"/>
      <c r="CP25" s="177"/>
      <c r="CQ25" s="178"/>
      <c r="CR25" s="182"/>
      <c r="CS25" s="173"/>
      <c r="CT25" s="65"/>
      <c r="CU25" s="255" t="str">
        <f t="shared" si="2"/>
        <v>DVB</v>
      </c>
    </row>
    <row r="26" ht="60.0" customHeight="1">
      <c r="A26" s="65"/>
      <c r="C26" s="167">
        <v>8.0</v>
      </c>
      <c r="D26" s="168" t="s">
        <v>147</v>
      </c>
      <c r="E26" s="169"/>
      <c r="F26" s="170"/>
      <c r="G26" s="170"/>
      <c r="H26" s="170"/>
      <c r="I26" s="207"/>
      <c r="J26" s="170"/>
      <c r="K26" s="171"/>
      <c r="L26" s="171"/>
      <c r="M26" s="171"/>
      <c r="N26" s="171"/>
      <c r="O26" s="268">
        <f t="shared" si="5"/>
        <v>0</v>
      </c>
      <c r="Q26" s="173"/>
      <c r="R26" s="65"/>
      <c r="S26" s="173"/>
      <c r="T26" s="173"/>
      <c r="U26" s="166"/>
      <c r="V26" s="166"/>
      <c r="W26" s="65"/>
      <c r="X26" s="66"/>
      <c r="Y26" s="173"/>
      <c r="Z26" s="166"/>
      <c r="AA26" s="174"/>
      <c r="AB26" s="175"/>
      <c r="AC26" s="175"/>
      <c r="AD26" s="175"/>
      <c r="AE26" s="175"/>
      <c r="AF26" s="175"/>
      <c r="AG26" s="175"/>
      <c r="AH26" s="175"/>
      <c r="AI26" s="176"/>
      <c r="AJ26" s="177"/>
      <c r="AK26" s="178"/>
      <c r="AL26" s="178"/>
      <c r="AM26" s="178"/>
      <c r="AN26" s="178"/>
      <c r="AO26" s="179"/>
      <c r="AP26" s="64"/>
      <c r="AQ26" s="65"/>
      <c r="AR26" s="65"/>
      <c r="AS26" s="65"/>
      <c r="AT26" s="173"/>
      <c r="AU26" s="177"/>
      <c r="AV26" s="178"/>
      <c r="AW26" s="178"/>
      <c r="AX26" s="179"/>
      <c r="AZ26" s="166"/>
      <c r="BA26" s="177"/>
      <c r="BB26" s="178"/>
      <c r="BC26" s="178"/>
      <c r="BD26" s="178"/>
      <c r="BE26" s="178"/>
      <c r="BF26" s="178"/>
      <c r="BG26" s="178"/>
      <c r="BH26" s="178"/>
      <c r="BI26" s="179"/>
      <c r="BJ26" s="180"/>
      <c r="BK26" s="178"/>
      <c r="BL26" s="178"/>
      <c r="BM26" s="178"/>
      <c r="BN26" s="178"/>
      <c r="BO26" s="181"/>
      <c r="BP26" s="166"/>
      <c r="BQ26" s="177"/>
      <c r="BR26" s="178"/>
      <c r="BS26" s="179"/>
      <c r="BU26" s="166"/>
      <c r="BV26" s="166"/>
      <c r="BW26" s="166"/>
      <c r="BX26" s="166"/>
      <c r="BY26" s="166"/>
      <c r="BZ26" s="166"/>
      <c r="CA26" s="166"/>
      <c r="CB26" s="166"/>
      <c r="CC26" s="166"/>
      <c r="CD26" s="177"/>
      <c r="CE26" s="181"/>
      <c r="CF26" s="177"/>
      <c r="CG26" s="179"/>
      <c r="CH26" s="257"/>
      <c r="CI26" s="182"/>
      <c r="CJ26" s="177"/>
      <c r="CK26" s="182"/>
      <c r="CL26" s="177"/>
      <c r="CM26" s="182"/>
      <c r="CN26" s="177"/>
      <c r="CO26" s="182"/>
      <c r="CP26" s="177"/>
      <c r="CQ26" s="178"/>
      <c r="CR26" s="182"/>
      <c r="CS26" s="173"/>
      <c r="CT26" s="65"/>
      <c r="CU26" s="255" t="str">
        <f t="shared" si="2"/>
        <v>DVB</v>
      </c>
    </row>
    <row r="27" ht="60.0" customHeight="1">
      <c r="A27" s="65"/>
      <c r="C27" s="167">
        <v>9.0</v>
      </c>
      <c r="D27" s="168" t="s">
        <v>147</v>
      </c>
      <c r="E27" s="169"/>
      <c r="F27" s="170"/>
      <c r="G27" s="170"/>
      <c r="H27" s="170"/>
      <c r="I27" s="207"/>
      <c r="J27" s="170"/>
      <c r="K27" s="171"/>
      <c r="L27" s="171"/>
      <c r="M27" s="171"/>
      <c r="N27" s="171"/>
      <c r="O27" s="268">
        <f t="shared" si="5"/>
        <v>0</v>
      </c>
      <c r="Q27" s="173"/>
      <c r="R27" s="65"/>
      <c r="S27" s="173"/>
      <c r="T27" s="173"/>
      <c r="U27" s="166"/>
      <c r="V27" s="166"/>
      <c r="W27" s="65"/>
      <c r="X27" s="66"/>
      <c r="Y27" s="173"/>
      <c r="Z27" s="166"/>
      <c r="AA27" s="174"/>
      <c r="AB27" s="175"/>
      <c r="AC27" s="175"/>
      <c r="AD27" s="175"/>
      <c r="AE27" s="175"/>
      <c r="AF27" s="175"/>
      <c r="AG27" s="175"/>
      <c r="AH27" s="175"/>
      <c r="AI27" s="176"/>
      <c r="AJ27" s="177"/>
      <c r="AK27" s="178"/>
      <c r="AL27" s="178"/>
      <c r="AM27" s="178"/>
      <c r="AN27" s="178"/>
      <c r="AO27" s="179"/>
      <c r="AP27" s="64"/>
      <c r="AQ27" s="65"/>
      <c r="AR27" s="65"/>
      <c r="AS27" s="65"/>
      <c r="AT27" s="173"/>
      <c r="AU27" s="177"/>
      <c r="AV27" s="178"/>
      <c r="AW27" s="178"/>
      <c r="AX27" s="179"/>
      <c r="AZ27" s="166"/>
      <c r="BA27" s="177"/>
      <c r="BB27" s="178"/>
      <c r="BC27" s="178"/>
      <c r="BD27" s="178"/>
      <c r="BE27" s="178"/>
      <c r="BF27" s="178"/>
      <c r="BG27" s="178"/>
      <c r="BH27" s="178"/>
      <c r="BI27" s="179"/>
      <c r="BJ27" s="180"/>
      <c r="BK27" s="178"/>
      <c r="BL27" s="178"/>
      <c r="BM27" s="178"/>
      <c r="BN27" s="178"/>
      <c r="BO27" s="181"/>
      <c r="BP27" s="166"/>
      <c r="BQ27" s="177"/>
      <c r="BR27" s="178"/>
      <c r="BS27" s="179"/>
      <c r="BU27" s="166"/>
      <c r="BV27" s="166"/>
      <c r="BW27" s="166"/>
      <c r="BX27" s="166"/>
      <c r="BY27" s="166"/>
      <c r="BZ27" s="166"/>
      <c r="CA27" s="166"/>
      <c r="CB27" s="166"/>
      <c r="CC27" s="166"/>
      <c r="CD27" s="177"/>
      <c r="CE27" s="181"/>
      <c r="CF27" s="177"/>
      <c r="CG27" s="179"/>
      <c r="CH27" s="257"/>
      <c r="CI27" s="182"/>
      <c r="CJ27" s="177"/>
      <c r="CK27" s="182"/>
      <c r="CL27" s="177"/>
      <c r="CM27" s="182"/>
      <c r="CN27" s="177"/>
      <c r="CO27" s="182"/>
      <c r="CP27" s="177"/>
      <c r="CQ27" s="178"/>
      <c r="CR27" s="182"/>
      <c r="CS27" s="173"/>
      <c r="CT27" s="65"/>
      <c r="CU27" s="255" t="str">
        <f t="shared" si="2"/>
        <v>DVB</v>
      </c>
    </row>
    <row r="28" ht="60.0" customHeight="1">
      <c r="A28" s="65"/>
      <c r="C28" s="167">
        <v>10.0</v>
      </c>
      <c r="D28" s="168" t="s">
        <v>147</v>
      </c>
      <c r="E28" s="169"/>
      <c r="F28" s="170"/>
      <c r="G28" s="170"/>
      <c r="H28" s="170"/>
      <c r="I28" s="207"/>
      <c r="J28" s="170"/>
      <c r="K28" s="171"/>
      <c r="L28" s="171"/>
      <c r="M28" s="171"/>
      <c r="N28" s="171"/>
      <c r="O28" s="268">
        <f t="shared" si="5"/>
        <v>0</v>
      </c>
      <c r="Q28" s="173"/>
      <c r="R28" s="65"/>
      <c r="S28" s="173"/>
      <c r="T28" s="173"/>
      <c r="U28" s="166"/>
      <c r="V28" s="166"/>
      <c r="W28" s="65"/>
      <c r="X28" s="66"/>
      <c r="Y28" s="173"/>
      <c r="Z28" s="166"/>
      <c r="AA28" s="174"/>
      <c r="AB28" s="175"/>
      <c r="AC28" s="175"/>
      <c r="AD28" s="175"/>
      <c r="AE28" s="175"/>
      <c r="AF28" s="175"/>
      <c r="AG28" s="175"/>
      <c r="AH28" s="175"/>
      <c r="AI28" s="176"/>
      <c r="AJ28" s="177"/>
      <c r="AK28" s="178"/>
      <c r="AL28" s="178"/>
      <c r="AM28" s="178"/>
      <c r="AN28" s="178"/>
      <c r="AO28" s="179"/>
      <c r="AP28" s="64"/>
      <c r="AQ28" s="65"/>
      <c r="AR28" s="65"/>
      <c r="AS28" s="65"/>
      <c r="AT28" s="173"/>
      <c r="AU28" s="177"/>
      <c r="AV28" s="178"/>
      <c r="AW28" s="178"/>
      <c r="AX28" s="179"/>
      <c r="AZ28" s="166"/>
      <c r="BA28" s="177"/>
      <c r="BB28" s="178"/>
      <c r="BC28" s="178"/>
      <c r="BD28" s="178"/>
      <c r="BE28" s="178"/>
      <c r="BF28" s="178"/>
      <c r="BG28" s="178"/>
      <c r="BH28" s="178"/>
      <c r="BI28" s="179"/>
      <c r="BJ28" s="180"/>
      <c r="BK28" s="178"/>
      <c r="BL28" s="178"/>
      <c r="BM28" s="178"/>
      <c r="BN28" s="178"/>
      <c r="BO28" s="181"/>
      <c r="BP28" s="166"/>
      <c r="BQ28" s="177"/>
      <c r="BR28" s="178"/>
      <c r="BS28" s="179"/>
      <c r="BU28" s="166"/>
      <c r="BV28" s="166"/>
      <c r="BW28" s="166"/>
      <c r="BX28" s="166"/>
      <c r="BY28" s="166"/>
      <c r="BZ28" s="166"/>
      <c r="CA28" s="166"/>
      <c r="CB28" s="166"/>
      <c r="CC28" s="166"/>
      <c r="CD28" s="177"/>
      <c r="CE28" s="181"/>
      <c r="CF28" s="177"/>
      <c r="CG28" s="179"/>
      <c r="CH28" s="257"/>
      <c r="CI28" s="182"/>
      <c r="CJ28" s="177"/>
      <c r="CK28" s="182"/>
      <c r="CL28" s="177"/>
      <c r="CM28" s="182"/>
      <c r="CN28" s="177"/>
      <c r="CO28" s="182"/>
      <c r="CP28" s="177"/>
      <c r="CQ28" s="178"/>
      <c r="CR28" s="182"/>
      <c r="CS28" s="173"/>
      <c r="CT28" s="65"/>
      <c r="CU28" s="255" t="str">
        <f t="shared" si="2"/>
        <v>DVB</v>
      </c>
    </row>
    <row r="29" ht="60.0" customHeight="1">
      <c r="A29" s="89"/>
      <c r="C29" s="183">
        <v>11.0</v>
      </c>
      <c r="D29" s="210" t="s">
        <v>147</v>
      </c>
      <c r="E29" s="185"/>
      <c r="F29" s="186"/>
      <c r="G29" s="186"/>
      <c r="H29" s="186"/>
      <c r="I29" s="212"/>
      <c r="J29" s="186"/>
      <c r="K29" s="187"/>
      <c r="L29" s="187"/>
      <c r="M29" s="187"/>
      <c r="N29" s="187"/>
      <c r="O29" s="269">
        <f t="shared" ref="O29:O35" si="6">IF(AND(M29&lt;&gt;0,M29&lt;&gt;"m",M29&lt;&gt;"",RIGHT(K29,3)="Lec"),1,IF(AND(M29&lt;&gt;0,M29&lt;&gt;"m",M29&lt;&gt;"",OR(RIGHT(K29,3)="Lab",RIGHT(K29,3)="Tut")),0.5,IF(AND(M29&lt;&gt;0,M29&lt;&gt;"m",M29&lt;&gt;"",RIGHT(K29,2)="TL"),0.75,0)))</f>
        <v>0</v>
      </c>
      <c r="P29" s="6"/>
      <c r="Q29" s="69"/>
      <c r="R29" s="89"/>
      <c r="S29" s="69"/>
      <c r="T29" s="69"/>
      <c r="U29" s="63"/>
      <c r="V29" s="63"/>
      <c r="W29" s="89"/>
      <c r="X29" s="68"/>
      <c r="Y29" s="69"/>
      <c r="Z29" s="63"/>
      <c r="AA29" s="189"/>
      <c r="AB29" s="190"/>
      <c r="AC29" s="190"/>
      <c r="AD29" s="190"/>
      <c r="AE29" s="190"/>
      <c r="AF29" s="190"/>
      <c r="AG29" s="190"/>
      <c r="AH29" s="190"/>
      <c r="AI29" s="191"/>
      <c r="AJ29" s="192"/>
      <c r="AK29" s="193"/>
      <c r="AL29" s="193"/>
      <c r="AM29" s="193"/>
      <c r="AN29" s="193"/>
      <c r="AO29" s="194"/>
      <c r="AP29" s="103"/>
      <c r="AQ29" s="89"/>
      <c r="AR29" s="89"/>
      <c r="AS29" s="89"/>
      <c r="AT29" s="69"/>
      <c r="AU29" s="192"/>
      <c r="AV29" s="193"/>
      <c r="AW29" s="193"/>
      <c r="AX29" s="194"/>
      <c r="AY29" s="6"/>
      <c r="AZ29" s="63"/>
      <c r="BA29" s="192"/>
      <c r="BB29" s="193"/>
      <c r="BC29" s="193"/>
      <c r="BD29" s="193"/>
      <c r="BE29" s="193"/>
      <c r="BF29" s="193"/>
      <c r="BG29" s="193"/>
      <c r="BH29" s="193"/>
      <c r="BI29" s="194"/>
      <c r="BJ29" s="195"/>
      <c r="BK29" s="193"/>
      <c r="BL29" s="193"/>
      <c r="BM29" s="193"/>
      <c r="BN29" s="193"/>
      <c r="BO29" s="196"/>
      <c r="BP29" s="63"/>
      <c r="BQ29" s="192"/>
      <c r="BR29" s="193"/>
      <c r="BS29" s="194"/>
      <c r="BT29" s="6"/>
      <c r="BU29" s="63"/>
      <c r="BV29" s="63"/>
      <c r="BW29" s="63"/>
      <c r="BX29" s="63"/>
      <c r="BY29" s="63"/>
      <c r="BZ29" s="63"/>
      <c r="CA29" s="63"/>
      <c r="CB29" s="63"/>
      <c r="CC29" s="63"/>
      <c r="CD29" s="192"/>
      <c r="CE29" s="196"/>
      <c r="CF29" s="192"/>
      <c r="CG29" s="194"/>
      <c r="CH29" s="259"/>
      <c r="CI29" s="197"/>
      <c r="CJ29" s="192"/>
      <c r="CK29" s="197"/>
      <c r="CL29" s="192"/>
      <c r="CM29" s="197"/>
      <c r="CN29" s="192"/>
      <c r="CO29" s="197"/>
      <c r="CP29" s="192"/>
      <c r="CQ29" s="193"/>
      <c r="CR29" s="197"/>
      <c r="CS29" s="69"/>
      <c r="CT29" s="89"/>
      <c r="CU29" s="255" t="str">
        <f t="shared" si="2"/>
        <v>DVB</v>
      </c>
    </row>
    <row r="30" ht="56.25" customHeight="1">
      <c r="A30" s="125">
        <v>3.0</v>
      </c>
      <c r="B30" s="199" t="s">
        <v>153</v>
      </c>
      <c r="C30" s="127">
        <v>1.0</v>
      </c>
      <c r="D30" s="168" t="s">
        <v>154</v>
      </c>
      <c r="E30" s="129"/>
      <c r="F30" s="130"/>
      <c r="G30" s="130"/>
      <c r="H30" s="130"/>
      <c r="I30" s="201"/>
      <c r="J30" s="130"/>
      <c r="K30" s="131"/>
      <c r="L30" s="131"/>
      <c r="M30" s="131"/>
      <c r="N30" s="131"/>
      <c r="O30" s="267">
        <f t="shared" si="6"/>
        <v>0</v>
      </c>
      <c r="P30" s="251">
        <f>COUNTIF(K30:K40,"TL")*0.75+COUNTIF(K30:K40,"Lec")*1+COUNTIF(K30:K40,"Lab")*0.5</f>
        <v>0</v>
      </c>
      <c r="Q30" s="134">
        <f>SUM((IF(LEFT(K30,1)="E",O30,0)),(IF(LEFT(K31,1)="E",O31,0)),(IF(LEFT(K32,1)="E",O32,0)),(IF(LEFT(K33,1)="E",O33,0)),(IF(LEFT(K34,1)="E",O34,0)),(IF(LEFT(K35,1)="E",O35,0)),(IF(LEFT(K36,1)="E",O36,0)),(IF(LEFT(K37,1)="E",O37,0)),(IF(LEFT(K38,1)="E",O38,0)),(IF(LEFT(K39,1)="E",O39,0)),(IF(LEFT(K40,1)="E",O40,0)))</f>
        <v>0</v>
      </c>
      <c r="R30" s="135">
        <f>SUM(IF(M36&lt;20,IF(K36="Plec",-1,IF(K36="PTL",-0.75,IF(K36="Plab",-0.5,0))),0),IF(M37&lt;20,IF(K37="Plec",-1,IF(K37="PTL",-0.75,IF(K37="Plab",-0.5,0))),0),IF(M38&lt;20,IF(K38="Plec",-1,IF(K38="PTL",-0.75,IF(K38="Plab",-0.5,0))),0),IF(M39&lt;20,IF(K39="Plec",-1,IF(K39="PTL",-0.75,IF(K39="Plab",-0.5,0))),0))</f>
        <v>0</v>
      </c>
      <c r="S30" s="134">
        <f>SUM(P30:R40)</f>
        <v>0</v>
      </c>
      <c r="T30" s="136">
        <f>SUM(IF(M30="M",IF(OR(K30="lec",K30="plec",K30="slec"),1,IF(OR(K30="lab",K30="plab",K30="slab",K30="tut",K30="ptut",K30="stut"),0.5,IF(OR(K30="TL",K30="pTL",K30="STL"),0.75,0))),0),IF(M31="M",IF(OR(K31="lec",K31="plec",K31="slec"),1,IF(OR(K31="lab",K31="plab",K31="slab",K31="tut",K31="ptut",K31="stut"),0.5,IF(OR(K31="TL",K31="pTL",K31="STL"),0.75,0))),0),IF(M32="M",IF(OR(K32="lec",K32="plec",K32="slec"),1,IF(OR(K32="lab",K32="plab",K32="slab",K32="tut",K32="ptut",K32="stut"),0.5,IF(OR(K32="TL",K32="pTL",K32="STL"),0.75,0))),0),IF(M33="M",IF(OR(K33="lec",K33="plec",K33="slec"),1,IF(OR(K33="lab",K33="plab",K33="slab",K33="tut",K33="ptut",K33="stut"),0.5,IF(OR(K33="TL",K33="pTL",K33="STL"),0.75,0))),0),IF(M34="M",IF(OR(K34="lec",K34="plec",K34="slec"),1,IF(OR(K34="lab",K34="plab",K34="slab",K34="tut",K34="ptut",K34="stut"),0.5,IF(OR(K34="TL",K34="pTL",K34="STL"),0.75,0))),0),IF(M35="M",IF(OR(K35="lec",K35="plec",K35="slec"),1,IF(OR(K35="lab",K35="plab",K35="slab",K35="tut",K35="ptut",K35="stut"),0.5,IF(OR(K35="TL",K35="pTL",K35="STL"),0.75,0))),0),IF(M36="M",IF(OR(K36="lec",K36="plec",K36="slec"),1,IF(OR(K36="lab",K36="plab",K36="slab",K36="tut",K36="ptut",K36="stut"),0.5,IF(OR(K36="TL",K36="pTL",K36="STL"),0.75,0))),0),IF(M37="M",IF(OR(K37="lec",K37="plec",K37="slec"),1,IF(OR(K37="lab",K37="plab",K37="slab",K37="tut",K37="ptut",K37="stut"),0.5,IF(OR(K37="TL",K37="pTL",K37="STL"),0.75,0))),0),IF(M38="M",IF(OR(K38="lec",K38="plec",K38="slec"),1,IF(OR(K38="lab",K38="plab",K38="slab",K38="tut",K38="ptut",K38="stut"),0.5,IF(OR(K38="TL",K38="pTL",K38="STL"),0.75,0))),0),IF(M39="M",IF(OR(K39="lec",K39="plec",K39="slec"),1,IF(OR(K39="lab",K39="plab",K39="slab",K39="tut",K39="ptut",K39="stut"),0.5,IF(OR(K39="TL",K39="pTL",K39="STL"),0.75,0))),0),IF(M40="M",IF(OR(K40="lec",K40="plec",K40="slec"),1,IF(OR(K40="lab",K40="plab",K40="slab",K40="tut",K40="ptut",K40="stut"),0.5,IF(OR(K40="TL",K40="pTL",K40="STL"),0.75,0))),0))</f>
        <v>0</v>
      </c>
      <c r="U30" s="137"/>
      <c r="V30" s="133"/>
      <c r="W30" s="138"/>
      <c r="X30" s="139">
        <f>S30-(T30+U30+V30+W30)</f>
        <v>0</v>
      </c>
      <c r="Y30" s="134" t="str">
        <f>CONCATENATE(SUM(O30:O40),"(",SUM(O30:O40)-X30,")")</f>
        <v>0(0)</v>
      </c>
      <c r="Z30" s="140"/>
      <c r="AA30" s="141"/>
      <c r="AB30" s="142"/>
      <c r="AC30" s="142"/>
      <c r="AD30" s="142"/>
      <c r="AE30" s="142"/>
      <c r="AF30" s="142"/>
      <c r="AG30" s="142"/>
      <c r="AH30" s="142"/>
      <c r="AI30" s="143"/>
      <c r="AJ30" s="144"/>
      <c r="AK30" s="145"/>
      <c r="AL30" s="145"/>
      <c r="AM30" s="145"/>
      <c r="AN30" s="145"/>
      <c r="AO30" s="146"/>
      <c r="AP30" s="147">
        <f>SUM(SUM(O30:O40),SUM(AI30:AI40)/2,AM30)</f>
        <v>0</v>
      </c>
      <c r="AQ30" s="148"/>
      <c r="AR30" s="148">
        <f>AP30*AQ30</f>
        <v>0</v>
      </c>
      <c r="AS30" s="148">
        <f>CT30</f>
        <v>1</v>
      </c>
      <c r="AT30" s="149">
        <f>AR30*0.75+AS30*0.25</f>
        <v>0.25</v>
      </c>
      <c r="AU30" s="150"/>
      <c r="AV30" s="151"/>
      <c r="AW30" s="151"/>
      <c r="AX30" s="152"/>
      <c r="AY30" s="153"/>
      <c r="AZ30" s="140"/>
      <c r="BA30" s="150">
        <v>1.0</v>
      </c>
      <c r="BB30" s="151" t="s">
        <v>148</v>
      </c>
      <c r="BC30" s="151">
        <v>2.0</v>
      </c>
      <c r="BD30" s="151" t="s">
        <v>166</v>
      </c>
      <c r="BE30" s="151" t="s">
        <v>150</v>
      </c>
      <c r="BF30" s="151"/>
      <c r="BG30" s="151">
        <v>1.0</v>
      </c>
      <c r="BH30" s="151"/>
      <c r="BI30" s="152"/>
      <c r="BJ30" s="154"/>
      <c r="BK30" s="151"/>
      <c r="BL30" s="151"/>
      <c r="BM30" s="151"/>
      <c r="BN30" s="151"/>
      <c r="BO30" s="155"/>
      <c r="BP30" s="140"/>
      <c r="BQ30" s="156"/>
      <c r="BR30" s="157"/>
      <c r="BS30" s="158"/>
      <c r="BT30" s="153"/>
      <c r="BU30" s="140"/>
      <c r="BV30" s="140"/>
      <c r="BW30" s="140"/>
      <c r="BX30" s="140"/>
      <c r="BY30" s="140"/>
      <c r="BZ30" s="140"/>
      <c r="CA30" s="140"/>
      <c r="CB30" s="140"/>
      <c r="CC30" s="140"/>
      <c r="CD30" s="150"/>
      <c r="CE30" s="155"/>
      <c r="CF30" s="150"/>
      <c r="CG30" s="152"/>
      <c r="CH30" s="252"/>
      <c r="CI30" s="160"/>
      <c r="CJ30" s="159"/>
      <c r="CK30" s="160"/>
      <c r="CL30" s="159"/>
      <c r="CM30" s="160"/>
      <c r="CN30" s="159"/>
      <c r="CO30" s="160"/>
      <c r="CP30" s="159"/>
      <c r="CQ30" s="162"/>
      <c r="CR30" s="160"/>
      <c r="CS30" s="253">
        <f>SUM(IF(AU30&lt;0,ABS(AU30),0),IF(AZ30&lt;0,ABS(AZ30),0),ABS(CI30),ABS(CK30),ABS(CM30),ABS(CO30),ABS(CQ30),ABS(CR30))</f>
        <v>0</v>
      </c>
      <c r="CT30" s="254">
        <f>SUM(AU30,AV30,AW30,AX30/400,AY30,AZ30,BG30,BH30*0.5,BI30*0.25,BJ30,BK30,BL30,BM30,BN30,BO30,BP30,BR30/20,BS30/100,BT30/60,BU30,BV30,BW30,BX30/4,SUM(BY30:CC40)/3,CE30,CG30/3,CI30,CK30,CM30,CO30,CQ30,CR30)</f>
        <v>1</v>
      </c>
      <c r="CU30" s="255" t="str">
        <f t="shared" si="2"/>
        <v>MPH</v>
      </c>
    </row>
    <row r="31" ht="60.0" customHeight="1">
      <c r="A31" s="65"/>
      <c r="C31" s="167">
        <v>2.0</v>
      </c>
      <c r="D31" s="168" t="s">
        <v>154</v>
      </c>
      <c r="E31" s="169"/>
      <c r="F31" s="170"/>
      <c r="G31" s="170"/>
      <c r="H31" s="170"/>
      <c r="I31" s="207"/>
      <c r="J31" s="170"/>
      <c r="K31" s="171"/>
      <c r="L31" s="171"/>
      <c r="M31" s="171"/>
      <c r="N31" s="171"/>
      <c r="O31" s="268">
        <f t="shared" si="6"/>
        <v>0</v>
      </c>
      <c r="Q31" s="173"/>
      <c r="R31" s="65"/>
      <c r="S31" s="173"/>
      <c r="T31" s="173"/>
      <c r="U31" s="166"/>
      <c r="V31" s="166"/>
      <c r="W31" s="65"/>
      <c r="X31" s="66"/>
      <c r="Y31" s="173"/>
      <c r="Z31" s="166"/>
      <c r="AA31" s="174"/>
      <c r="AB31" s="175"/>
      <c r="AC31" s="175"/>
      <c r="AD31" s="175"/>
      <c r="AE31" s="175"/>
      <c r="AF31" s="175"/>
      <c r="AG31" s="175"/>
      <c r="AH31" s="175"/>
      <c r="AI31" s="176"/>
      <c r="AJ31" s="177"/>
      <c r="AK31" s="178"/>
      <c r="AL31" s="178"/>
      <c r="AM31" s="178"/>
      <c r="AN31" s="178"/>
      <c r="AO31" s="179"/>
      <c r="AP31" s="64"/>
      <c r="AQ31" s="65"/>
      <c r="AR31" s="65"/>
      <c r="AS31" s="65"/>
      <c r="AT31" s="173"/>
      <c r="AU31" s="177"/>
      <c r="AV31" s="178"/>
      <c r="AW31" s="178"/>
      <c r="AX31" s="179"/>
      <c r="AZ31" s="166"/>
      <c r="BA31" s="177"/>
      <c r="BB31" s="178"/>
      <c r="BC31" s="178"/>
      <c r="BD31" s="178"/>
      <c r="BE31" s="178"/>
      <c r="BF31" s="178"/>
      <c r="BG31" s="178"/>
      <c r="BH31" s="178"/>
      <c r="BI31" s="179"/>
      <c r="BJ31" s="180"/>
      <c r="BK31" s="178"/>
      <c r="BL31" s="178"/>
      <c r="BM31" s="178"/>
      <c r="BN31" s="178"/>
      <c r="BO31" s="181"/>
      <c r="BP31" s="166"/>
      <c r="BQ31" s="177"/>
      <c r="BR31" s="178"/>
      <c r="BS31" s="179"/>
      <c r="BU31" s="166"/>
      <c r="BV31" s="166"/>
      <c r="BW31" s="166"/>
      <c r="BX31" s="166"/>
      <c r="BY31" s="166"/>
      <c r="BZ31" s="166"/>
      <c r="CA31" s="166"/>
      <c r="CB31" s="166"/>
      <c r="CC31" s="166"/>
      <c r="CD31" s="177"/>
      <c r="CE31" s="181"/>
      <c r="CF31" s="177"/>
      <c r="CG31" s="179"/>
      <c r="CH31" s="257"/>
      <c r="CI31" s="182"/>
      <c r="CJ31" s="177"/>
      <c r="CK31" s="182"/>
      <c r="CL31" s="177"/>
      <c r="CM31" s="182"/>
      <c r="CN31" s="177"/>
      <c r="CO31" s="182"/>
      <c r="CP31" s="177"/>
      <c r="CQ31" s="178"/>
      <c r="CR31" s="182"/>
      <c r="CS31" s="173"/>
      <c r="CT31" s="65"/>
      <c r="CU31" s="255" t="str">
        <f t="shared" si="2"/>
        <v>MPH</v>
      </c>
    </row>
    <row r="32" ht="60.0" customHeight="1">
      <c r="A32" s="65"/>
      <c r="C32" s="167">
        <v>3.0</v>
      </c>
      <c r="D32" s="168" t="s">
        <v>154</v>
      </c>
      <c r="E32" s="169"/>
      <c r="F32" s="170"/>
      <c r="G32" s="170"/>
      <c r="H32" s="170"/>
      <c r="I32" s="207"/>
      <c r="J32" s="170"/>
      <c r="K32" s="171"/>
      <c r="L32" s="171"/>
      <c r="M32" s="171"/>
      <c r="N32" s="171"/>
      <c r="O32" s="268">
        <f t="shared" si="6"/>
        <v>0</v>
      </c>
      <c r="Q32" s="173"/>
      <c r="R32" s="65"/>
      <c r="S32" s="173"/>
      <c r="T32" s="173"/>
      <c r="U32" s="166"/>
      <c r="V32" s="166"/>
      <c r="W32" s="65"/>
      <c r="X32" s="66"/>
      <c r="Y32" s="173"/>
      <c r="Z32" s="166"/>
      <c r="AA32" s="174"/>
      <c r="AB32" s="175"/>
      <c r="AC32" s="175"/>
      <c r="AD32" s="175"/>
      <c r="AE32" s="175"/>
      <c r="AF32" s="175"/>
      <c r="AG32" s="175"/>
      <c r="AH32" s="175"/>
      <c r="AI32" s="176"/>
      <c r="AJ32" s="177"/>
      <c r="AK32" s="178"/>
      <c r="AL32" s="178"/>
      <c r="AM32" s="178"/>
      <c r="AN32" s="178"/>
      <c r="AO32" s="179"/>
      <c r="AP32" s="64"/>
      <c r="AQ32" s="65"/>
      <c r="AR32" s="65"/>
      <c r="AS32" s="65"/>
      <c r="AT32" s="173"/>
      <c r="AU32" s="177"/>
      <c r="AV32" s="178"/>
      <c r="AW32" s="178"/>
      <c r="AX32" s="179"/>
      <c r="AZ32" s="166"/>
      <c r="BA32" s="177"/>
      <c r="BB32" s="178"/>
      <c r="BC32" s="178"/>
      <c r="BD32" s="178"/>
      <c r="BE32" s="178"/>
      <c r="BF32" s="178"/>
      <c r="BG32" s="178"/>
      <c r="BH32" s="178"/>
      <c r="BI32" s="179"/>
      <c r="BJ32" s="180"/>
      <c r="BK32" s="178"/>
      <c r="BL32" s="178"/>
      <c r="BM32" s="178"/>
      <c r="BN32" s="178"/>
      <c r="BO32" s="181"/>
      <c r="BP32" s="166"/>
      <c r="BQ32" s="177"/>
      <c r="BR32" s="178"/>
      <c r="BS32" s="179"/>
      <c r="BU32" s="166"/>
      <c r="BV32" s="166"/>
      <c r="BW32" s="166"/>
      <c r="BX32" s="166"/>
      <c r="BY32" s="166"/>
      <c r="BZ32" s="166"/>
      <c r="CA32" s="166"/>
      <c r="CB32" s="166"/>
      <c r="CC32" s="166"/>
      <c r="CD32" s="177"/>
      <c r="CE32" s="181"/>
      <c r="CF32" s="177"/>
      <c r="CG32" s="179"/>
      <c r="CH32" s="257"/>
      <c r="CI32" s="182"/>
      <c r="CJ32" s="177"/>
      <c r="CK32" s="182"/>
      <c r="CL32" s="177"/>
      <c r="CM32" s="182"/>
      <c r="CN32" s="177"/>
      <c r="CO32" s="182"/>
      <c r="CP32" s="177"/>
      <c r="CQ32" s="178"/>
      <c r="CR32" s="182"/>
      <c r="CS32" s="173"/>
      <c r="CT32" s="65"/>
      <c r="CU32" s="255" t="str">
        <f t="shared" si="2"/>
        <v>MPH</v>
      </c>
    </row>
    <row r="33" ht="60.0" customHeight="1">
      <c r="A33" s="65"/>
      <c r="C33" s="167">
        <v>4.0</v>
      </c>
      <c r="D33" s="168" t="s">
        <v>154</v>
      </c>
      <c r="E33" s="169"/>
      <c r="F33" s="170"/>
      <c r="G33" s="170"/>
      <c r="H33" s="170"/>
      <c r="I33" s="207"/>
      <c r="J33" s="170"/>
      <c r="K33" s="171"/>
      <c r="L33" s="171"/>
      <c r="M33" s="171"/>
      <c r="N33" s="171"/>
      <c r="O33" s="268">
        <f t="shared" si="6"/>
        <v>0</v>
      </c>
      <c r="Q33" s="173"/>
      <c r="R33" s="65"/>
      <c r="S33" s="173"/>
      <c r="T33" s="173"/>
      <c r="U33" s="166"/>
      <c r="V33" s="166"/>
      <c r="W33" s="65"/>
      <c r="X33" s="66"/>
      <c r="Y33" s="173"/>
      <c r="Z33" s="166"/>
      <c r="AA33" s="174"/>
      <c r="AB33" s="175"/>
      <c r="AC33" s="175"/>
      <c r="AD33" s="175"/>
      <c r="AE33" s="175"/>
      <c r="AF33" s="175"/>
      <c r="AG33" s="175"/>
      <c r="AH33" s="175"/>
      <c r="AI33" s="176"/>
      <c r="AJ33" s="177"/>
      <c r="AK33" s="178"/>
      <c r="AL33" s="178"/>
      <c r="AM33" s="178"/>
      <c r="AN33" s="178"/>
      <c r="AO33" s="179"/>
      <c r="AP33" s="64"/>
      <c r="AQ33" s="65"/>
      <c r="AR33" s="65"/>
      <c r="AS33" s="65"/>
      <c r="AT33" s="173"/>
      <c r="AU33" s="177"/>
      <c r="AV33" s="178"/>
      <c r="AW33" s="178"/>
      <c r="AX33" s="179"/>
      <c r="AZ33" s="166"/>
      <c r="BA33" s="177"/>
      <c r="BB33" s="178"/>
      <c r="BC33" s="178"/>
      <c r="BD33" s="178"/>
      <c r="BE33" s="178"/>
      <c r="BF33" s="178"/>
      <c r="BG33" s="178"/>
      <c r="BH33" s="178"/>
      <c r="BI33" s="179"/>
      <c r="BJ33" s="180"/>
      <c r="BK33" s="178"/>
      <c r="BL33" s="178"/>
      <c r="BM33" s="178"/>
      <c r="BN33" s="178"/>
      <c r="BO33" s="181"/>
      <c r="BP33" s="166"/>
      <c r="BQ33" s="177"/>
      <c r="BR33" s="178"/>
      <c r="BS33" s="179"/>
      <c r="BU33" s="166"/>
      <c r="BV33" s="166"/>
      <c r="BW33" s="166"/>
      <c r="BX33" s="166"/>
      <c r="BY33" s="166"/>
      <c r="BZ33" s="166"/>
      <c r="CA33" s="166"/>
      <c r="CB33" s="166"/>
      <c r="CC33" s="166"/>
      <c r="CD33" s="177"/>
      <c r="CE33" s="181"/>
      <c r="CF33" s="177"/>
      <c r="CG33" s="179"/>
      <c r="CH33" s="257"/>
      <c r="CI33" s="182"/>
      <c r="CJ33" s="177"/>
      <c r="CK33" s="182"/>
      <c r="CL33" s="177"/>
      <c r="CM33" s="182"/>
      <c r="CN33" s="177"/>
      <c r="CO33" s="182"/>
      <c r="CP33" s="177"/>
      <c r="CQ33" s="178"/>
      <c r="CR33" s="182"/>
      <c r="CS33" s="173"/>
      <c r="CT33" s="65"/>
      <c r="CU33" s="255" t="str">
        <f t="shared" si="2"/>
        <v>MPH</v>
      </c>
    </row>
    <row r="34" ht="60.0" customHeight="1">
      <c r="A34" s="65"/>
      <c r="C34" s="167">
        <v>5.0</v>
      </c>
      <c r="D34" s="168" t="s">
        <v>154</v>
      </c>
      <c r="E34" s="169"/>
      <c r="F34" s="170"/>
      <c r="G34" s="170"/>
      <c r="H34" s="170"/>
      <c r="I34" s="207"/>
      <c r="J34" s="170"/>
      <c r="K34" s="171"/>
      <c r="L34" s="171"/>
      <c r="M34" s="171"/>
      <c r="N34" s="171"/>
      <c r="O34" s="268">
        <f t="shared" si="6"/>
        <v>0</v>
      </c>
      <c r="Q34" s="173"/>
      <c r="R34" s="65"/>
      <c r="S34" s="173"/>
      <c r="T34" s="173"/>
      <c r="U34" s="166"/>
      <c r="V34" s="166"/>
      <c r="W34" s="65"/>
      <c r="X34" s="66"/>
      <c r="Y34" s="173"/>
      <c r="Z34" s="166"/>
      <c r="AA34" s="174"/>
      <c r="AB34" s="175"/>
      <c r="AC34" s="175"/>
      <c r="AD34" s="175"/>
      <c r="AE34" s="175"/>
      <c r="AF34" s="175"/>
      <c r="AG34" s="175"/>
      <c r="AH34" s="175"/>
      <c r="AI34" s="176"/>
      <c r="AJ34" s="177"/>
      <c r="AK34" s="178"/>
      <c r="AL34" s="178"/>
      <c r="AM34" s="178"/>
      <c r="AN34" s="178"/>
      <c r="AO34" s="179"/>
      <c r="AP34" s="64"/>
      <c r="AQ34" s="65"/>
      <c r="AR34" s="65"/>
      <c r="AS34" s="65"/>
      <c r="AT34" s="173"/>
      <c r="AU34" s="177"/>
      <c r="AV34" s="178"/>
      <c r="AW34" s="178"/>
      <c r="AX34" s="179"/>
      <c r="AZ34" s="166"/>
      <c r="BA34" s="177"/>
      <c r="BB34" s="178"/>
      <c r="BC34" s="178"/>
      <c r="BD34" s="178"/>
      <c r="BE34" s="178"/>
      <c r="BF34" s="178"/>
      <c r="BG34" s="178"/>
      <c r="BH34" s="178"/>
      <c r="BI34" s="179"/>
      <c r="BJ34" s="180"/>
      <c r="BK34" s="178"/>
      <c r="BL34" s="178"/>
      <c r="BM34" s="178"/>
      <c r="BN34" s="178"/>
      <c r="BO34" s="181"/>
      <c r="BP34" s="166"/>
      <c r="BQ34" s="177"/>
      <c r="BR34" s="178"/>
      <c r="BS34" s="179"/>
      <c r="BU34" s="166"/>
      <c r="BV34" s="166"/>
      <c r="BW34" s="166"/>
      <c r="BX34" s="166"/>
      <c r="BY34" s="166"/>
      <c r="BZ34" s="166"/>
      <c r="CA34" s="166"/>
      <c r="CB34" s="166"/>
      <c r="CC34" s="166"/>
      <c r="CD34" s="177"/>
      <c r="CE34" s="181"/>
      <c r="CF34" s="177"/>
      <c r="CG34" s="179"/>
      <c r="CH34" s="257"/>
      <c r="CI34" s="182"/>
      <c r="CJ34" s="177"/>
      <c r="CK34" s="182"/>
      <c r="CL34" s="177"/>
      <c r="CM34" s="182"/>
      <c r="CN34" s="177"/>
      <c r="CO34" s="182"/>
      <c r="CP34" s="177"/>
      <c r="CQ34" s="178"/>
      <c r="CR34" s="182"/>
      <c r="CS34" s="173"/>
      <c r="CT34" s="65"/>
      <c r="CU34" s="255" t="str">
        <f t="shared" si="2"/>
        <v>MPH</v>
      </c>
    </row>
    <row r="35" ht="60.0" customHeight="1">
      <c r="A35" s="65"/>
      <c r="C35" s="167">
        <v>6.0</v>
      </c>
      <c r="D35" s="168" t="s">
        <v>154</v>
      </c>
      <c r="E35" s="169"/>
      <c r="F35" s="170"/>
      <c r="G35" s="170"/>
      <c r="H35" s="170"/>
      <c r="I35" s="207"/>
      <c r="J35" s="170"/>
      <c r="K35" s="171"/>
      <c r="L35" s="171"/>
      <c r="M35" s="171"/>
      <c r="N35" s="171"/>
      <c r="O35" s="268">
        <f t="shared" si="6"/>
        <v>0</v>
      </c>
      <c r="Q35" s="173"/>
      <c r="R35" s="65"/>
      <c r="S35" s="173"/>
      <c r="T35" s="173"/>
      <c r="U35" s="166"/>
      <c r="V35" s="166"/>
      <c r="W35" s="65"/>
      <c r="X35" s="66"/>
      <c r="Y35" s="173"/>
      <c r="Z35" s="166"/>
      <c r="AA35" s="174"/>
      <c r="AB35" s="175"/>
      <c r="AC35" s="175"/>
      <c r="AD35" s="175"/>
      <c r="AE35" s="175"/>
      <c r="AF35" s="175"/>
      <c r="AG35" s="175"/>
      <c r="AH35" s="175"/>
      <c r="AI35" s="176"/>
      <c r="AJ35" s="177"/>
      <c r="AK35" s="178"/>
      <c r="AL35" s="178"/>
      <c r="AM35" s="178"/>
      <c r="AN35" s="178"/>
      <c r="AO35" s="179"/>
      <c r="AP35" s="64"/>
      <c r="AQ35" s="65"/>
      <c r="AR35" s="65"/>
      <c r="AS35" s="65"/>
      <c r="AT35" s="173"/>
      <c r="AU35" s="177"/>
      <c r="AV35" s="178"/>
      <c r="AW35" s="178"/>
      <c r="AX35" s="179"/>
      <c r="AZ35" s="166"/>
      <c r="BA35" s="177"/>
      <c r="BB35" s="178"/>
      <c r="BC35" s="178"/>
      <c r="BD35" s="178"/>
      <c r="BE35" s="178"/>
      <c r="BF35" s="178"/>
      <c r="BG35" s="178"/>
      <c r="BH35" s="178"/>
      <c r="BI35" s="179"/>
      <c r="BJ35" s="180"/>
      <c r="BK35" s="178"/>
      <c r="BL35" s="178"/>
      <c r="BM35" s="178"/>
      <c r="BN35" s="178"/>
      <c r="BO35" s="181"/>
      <c r="BP35" s="166"/>
      <c r="BQ35" s="177"/>
      <c r="BR35" s="178"/>
      <c r="BS35" s="179"/>
      <c r="BU35" s="166"/>
      <c r="BV35" s="166"/>
      <c r="BW35" s="166"/>
      <c r="BX35" s="166"/>
      <c r="BY35" s="166"/>
      <c r="BZ35" s="166"/>
      <c r="CA35" s="166"/>
      <c r="CB35" s="166"/>
      <c r="CC35" s="166"/>
      <c r="CD35" s="177"/>
      <c r="CE35" s="181"/>
      <c r="CF35" s="177"/>
      <c r="CG35" s="179"/>
      <c r="CH35" s="257"/>
      <c r="CI35" s="182"/>
      <c r="CJ35" s="177"/>
      <c r="CK35" s="182"/>
      <c r="CL35" s="177"/>
      <c r="CM35" s="182"/>
      <c r="CN35" s="177"/>
      <c r="CO35" s="182"/>
      <c r="CP35" s="177"/>
      <c r="CQ35" s="178"/>
      <c r="CR35" s="182"/>
      <c r="CS35" s="173"/>
      <c r="CT35" s="65"/>
      <c r="CU35" s="255" t="str">
        <f t="shared" si="2"/>
        <v>MPH</v>
      </c>
    </row>
    <row r="36" ht="60.0" customHeight="1">
      <c r="A36" s="65"/>
      <c r="C36" s="167">
        <v>7.0</v>
      </c>
      <c r="D36" s="168" t="s">
        <v>154</v>
      </c>
      <c r="E36" s="169"/>
      <c r="F36" s="170"/>
      <c r="G36" s="170"/>
      <c r="H36" s="170"/>
      <c r="I36" s="207"/>
      <c r="J36" s="170"/>
      <c r="K36" s="171"/>
      <c r="L36" s="171"/>
      <c r="M36" s="171"/>
      <c r="N36" s="171"/>
      <c r="O36" s="268">
        <f t="shared" ref="O36:O39" si="7">IF(AND(M36&gt;=20,M36&lt;&gt;"m",RIGHT(K36,3)="Lec"),1,IF(AND(M36&gt;=20,M36&lt;&gt;"m",OR(RIGHT(K36,3)="Lab",RIGHT(K36,3)="Tut")),0.5,IF(AND(M36&gt;=20,M36&lt;&gt;"m",RIGHT(K36,2)="TL"),0.75,0)))</f>
        <v>0</v>
      </c>
      <c r="Q36" s="173"/>
      <c r="R36" s="65"/>
      <c r="S36" s="173"/>
      <c r="T36" s="173"/>
      <c r="U36" s="166"/>
      <c r="V36" s="166"/>
      <c r="W36" s="65"/>
      <c r="X36" s="66"/>
      <c r="Y36" s="173"/>
      <c r="Z36" s="166"/>
      <c r="AA36" s="174"/>
      <c r="AB36" s="175"/>
      <c r="AC36" s="175"/>
      <c r="AD36" s="175"/>
      <c r="AE36" s="175"/>
      <c r="AF36" s="175"/>
      <c r="AG36" s="175"/>
      <c r="AH36" s="175"/>
      <c r="AI36" s="176"/>
      <c r="AJ36" s="177"/>
      <c r="AK36" s="178"/>
      <c r="AL36" s="178"/>
      <c r="AM36" s="178"/>
      <c r="AN36" s="178"/>
      <c r="AO36" s="179"/>
      <c r="AP36" s="64"/>
      <c r="AQ36" s="65"/>
      <c r="AR36" s="65"/>
      <c r="AS36" s="65"/>
      <c r="AT36" s="173"/>
      <c r="AU36" s="177"/>
      <c r="AV36" s="178"/>
      <c r="AW36" s="178"/>
      <c r="AX36" s="179"/>
      <c r="AZ36" s="166"/>
      <c r="BA36" s="177"/>
      <c r="BB36" s="178"/>
      <c r="BC36" s="178"/>
      <c r="BD36" s="178"/>
      <c r="BE36" s="178"/>
      <c r="BF36" s="178"/>
      <c r="BG36" s="178"/>
      <c r="BH36" s="178"/>
      <c r="BI36" s="179"/>
      <c r="BJ36" s="180"/>
      <c r="BK36" s="178"/>
      <c r="BL36" s="178"/>
      <c r="BM36" s="178"/>
      <c r="BN36" s="178"/>
      <c r="BO36" s="181"/>
      <c r="BP36" s="166"/>
      <c r="BQ36" s="177"/>
      <c r="BR36" s="178"/>
      <c r="BS36" s="179"/>
      <c r="BU36" s="166"/>
      <c r="BV36" s="166"/>
      <c r="BW36" s="166"/>
      <c r="BX36" s="166"/>
      <c r="BY36" s="166"/>
      <c r="BZ36" s="166"/>
      <c r="CA36" s="166"/>
      <c r="CB36" s="166"/>
      <c r="CC36" s="166"/>
      <c r="CD36" s="177"/>
      <c r="CE36" s="181"/>
      <c r="CF36" s="177"/>
      <c r="CG36" s="179"/>
      <c r="CH36" s="257"/>
      <c r="CI36" s="182"/>
      <c r="CJ36" s="177"/>
      <c r="CK36" s="182"/>
      <c r="CL36" s="177"/>
      <c r="CM36" s="182"/>
      <c r="CN36" s="177"/>
      <c r="CO36" s="182"/>
      <c r="CP36" s="177"/>
      <c r="CQ36" s="178"/>
      <c r="CR36" s="182"/>
      <c r="CS36" s="173"/>
      <c r="CT36" s="65"/>
      <c r="CU36" s="255" t="str">
        <f t="shared" si="2"/>
        <v>MPH</v>
      </c>
    </row>
    <row r="37" ht="60.0" customHeight="1">
      <c r="A37" s="65"/>
      <c r="C37" s="167">
        <v>8.0</v>
      </c>
      <c r="D37" s="168" t="s">
        <v>154</v>
      </c>
      <c r="E37" s="169"/>
      <c r="F37" s="170"/>
      <c r="G37" s="170"/>
      <c r="H37" s="170"/>
      <c r="I37" s="207"/>
      <c r="J37" s="170"/>
      <c r="K37" s="171"/>
      <c r="L37" s="171"/>
      <c r="M37" s="171"/>
      <c r="N37" s="171"/>
      <c r="O37" s="268">
        <f t="shared" si="7"/>
        <v>0</v>
      </c>
      <c r="Q37" s="173"/>
      <c r="R37" s="65"/>
      <c r="S37" s="173"/>
      <c r="T37" s="173"/>
      <c r="U37" s="166"/>
      <c r="V37" s="166"/>
      <c r="W37" s="65"/>
      <c r="X37" s="66"/>
      <c r="Y37" s="173"/>
      <c r="Z37" s="166"/>
      <c r="AA37" s="174"/>
      <c r="AB37" s="175"/>
      <c r="AC37" s="175"/>
      <c r="AD37" s="175"/>
      <c r="AE37" s="175"/>
      <c r="AF37" s="175"/>
      <c r="AG37" s="175"/>
      <c r="AH37" s="175"/>
      <c r="AI37" s="176"/>
      <c r="AJ37" s="177"/>
      <c r="AK37" s="178"/>
      <c r="AL37" s="178"/>
      <c r="AM37" s="178"/>
      <c r="AN37" s="178"/>
      <c r="AO37" s="179"/>
      <c r="AP37" s="64"/>
      <c r="AQ37" s="65"/>
      <c r="AR37" s="65"/>
      <c r="AS37" s="65"/>
      <c r="AT37" s="173"/>
      <c r="AU37" s="177"/>
      <c r="AV37" s="178"/>
      <c r="AW37" s="178"/>
      <c r="AX37" s="179"/>
      <c r="AZ37" s="166"/>
      <c r="BA37" s="177"/>
      <c r="BB37" s="178"/>
      <c r="BC37" s="178"/>
      <c r="BD37" s="178"/>
      <c r="BE37" s="178"/>
      <c r="BF37" s="178"/>
      <c r="BG37" s="178"/>
      <c r="BH37" s="178"/>
      <c r="BI37" s="179"/>
      <c r="BJ37" s="180"/>
      <c r="BK37" s="178"/>
      <c r="BL37" s="178"/>
      <c r="BM37" s="178"/>
      <c r="BN37" s="178"/>
      <c r="BO37" s="181"/>
      <c r="BP37" s="166"/>
      <c r="BQ37" s="177"/>
      <c r="BR37" s="178"/>
      <c r="BS37" s="179"/>
      <c r="BU37" s="166"/>
      <c r="BV37" s="166"/>
      <c r="BW37" s="166"/>
      <c r="BX37" s="166"/>
      <c r="BY37" s="166"/>
      <c r="BZ37" s="166"/>
      <c r="CA37" s="166"/>
      <c r="CB37" s="166"/>
      <c r="CC37" s="166"/>
      <c r="CD37" s="177"/>
      <c r="CE37" s="181"/>
      <c r="CF37" s="177"/>
      <c r="CG37" s="179"/>
      <c r="CH37" s="257"/>
      <c r="CI37" s="182"/>
      <c r="CJ37" s="177"/>
      <c r="CK37" s="182"/>
      <c r="CL37" s="177"/>
      <c r="CM37" s="182"/>
      <c r="CN37" s="177"/>
      <c r="CO37" s="182"/>
      <c r="CP37" s="177"/>
      <c r="CQ37" s="178"/>
      <c r="CR37" s="182"/>
      <c r="CS37" s="173"/>
      <c r="CT37" s="65"/>
      <c r="CU37" s="255" t="str">
        <f t="shared" si="2"/>
        <v>MPH</v>
      </c>
    </row>
    <row r="38" ht="60.0" customHeight="1">
      <c r="A38" s="65"/>
      <c r="C38" s="167">
        <v>9.0</v>
      </c>
      <c r="D38" s="168" t="s">
        <v>154</v>
      </c>
      <c r="E38" s="169"/>
      <c r="F38" s="170"/>
      <c r="G38" s="170"/>
      <c r="H38" s="170"/>
      <c r="I38" s="207"/>
      <c r="J38" s="170"/>
      <c r="K38" s="171"/>
      <c r="L38" s="171"/>
      <c r="M38" s="171"/>
      <c r="N38" s="171"/>
      <c r="O38" s="268">
        <f t="shared" si="7"/>
        <v>0</v>
      </c>
      <c r="Q38" s="173"/>
      <c r="R38" s="65"/>
      <c r="S38" s="173"/>
      <c r="T38" s="173"/>
      <c r="U38" s="166"/>
      <c r="V38" s="166"/>
      <c r="W38" s="65"/>
      <c r="X38" s="66"/>
      <c r="Y38" s="173"/>
      <c r="Z38" s="166"/>
      <c r="AA38" s="174"/>
      <c r="AB38" s="175"/>
      <c r="AC38" s="175"/>
      <c r="AD38" s="175"/>
      <c r="AE38" s="175"/>
      <c r="AF38" s="175"/>
      <c r="AG38" s="175"/>
      <c r="AH38" s="175"/>
      <c r="AI38" s="176"/>
      <c r="AJ38" s="177"/>
      <c r="AK38" s="178"/>
      <c r="AL38" s="178"/>
      <c r="AM38" s="178"/>
      <c r="AN38" s="178"/>
      <c r="AO38" s="179"/>
      <c r="AP38" s="64"/>
      <c r="AQ38" s="65"/>
      <c r="AR38" s="65"/>
      <c r="AS38" s="65"/>
      <c r="AT38" s="173"/>
      <c r="AU38" s="177"/>
      <c r="AV38" s="178"/>
      <c r="AW38" s="178"/>
      <c r="AX38" s="179"/>
      <c r="AZ38" s="166"/>
      <c r="BA38" s="177"/>
      <c r="BB38" s="178"/>
      <c r="BC38" s="178"/>
      <c r="BD38" s="178"/>
      <c r="BE38" s="178"/>
      <c r="BF38" s="178"/>
      <c r="BG38" s="178"/>
      <c r="BH38" s="178"/>
      <c r="BI38" s="179"/>
      <c r="BJ38" s="180"/>
      <c r="BK38" s="178"/>
      <c r="BL38" s="178"/>
      <c r="BM38" s="178"/>
      <c r="BN38" s="178"/>
      <c r="BO38" s="181"/>
      <c r="BP38" s="166"/>
      <c r="BQ38" s="177"/>
      <c r="BR38" s="178"/>
      <c r="BS38" s="179"/>
      <c r="BU38" s="166"/>
      <c r="BV38" s="166"/>
      <c r="BW38" s="166"/>
      <c r="BX38" s="166"/>
      <c r="BY38" s="166"/>
      <c r="BZ38" s="166"/>
      <c r="CA38" s="166"/>
      <c r="CB38" s="166"/>
      <c r="CC38" s="166"/>
      <c r="CD38" s="177"/>
      <c r="CE38" s="181"/>
      <c r="CF38" s="177"/>
      <c r="CG38" s="179"/>
      <c r="CH38" s="257"/>
      <c r="CI38" s="182"/>
      <c r="CJ38" s="177"/>
      <c r="CK38" s="182"/>
      <c r="CL38" s="177"/>
      <c r="CM38" s="182"/>
      <c r="CN38" s="177"/>
      <c r="CO38" s="182"/>
      <c r="CP38" s="177"/>
      <c r="CQ38" s="178"/>
      <c r="CR38" s="182"/>
      <c r="CS38" s="173"/>
      <c r="CT38" s="65"/>
      <c r="CU38" s="255" t="str">
        <f t="shared" si="2"/>
        <v>MPH</v>
      </c>
    </row>
    <row r="39" ht="60.0" customHeight="1">
      <c r="A39" s="65"/>
      <c r="C39" s="167">
        <v>10.0</v>
      </c>
      <c r="D39" s="168" t="s">
        <v>154</v>
      </c>
      <c r="E39" s="169"/>
      <c r="F39" s="170"/>
      <c r="G39" s="170"/>
      <c r="H39" s="170"/>
      <c r="I39" s="207"/>
      <c r="J39" s="170"/>
      <c r="K39" s="171"/>
      <c r="L39" s="171"/>
      <c r="M39" s="171"/>
      <c r="N39" s="171"/>
      <c r="O39" s="268">
        <f t="shared" si="7"/>
        <v>0</v>
      </c>
      <c r="Q39" s="173"/>
      <c r="R39" s="65"/>
      <c r="S39" s="173"/>
      <c r="T39" s="173"/>
      <c r="U39" s="166"/>
      <c r="V39" s="166"/>
      <c r="W39" s="65"/>
      <c r="X39" s="66"/>
      <c r="Y39" s="173"/>
      <c r="Z39" s="166"/>
      <c r="AA39" s="174"/>
      <c r="AB39" s="175"/>
      <c r="AC39" s="175"/>
      <c r="AD39" s="175"/>
      <c r="AE39" s="175"/>
      <c r="AF39" s="175"/>
      <c r="AG39" s="175"/>
      <c r="AH39" s="175"/>
      <c r="AI39" s="176"/>
      <c r="AJ39" s="177"/>
      <c r="AK39" s="178"/>
      <c r="AL39" s="178"/>
      <c r="AM39" s="178"/>
      <c r="AN39" s="178"/>
      <c r="AO39" s="179"/>
      <c r="AP39" s="64"/>
      <c r="AQ39" s="65"/>
      <c r="AR39" s="65"/>
      <c r="AS39" s="65"/>
      <c r="AT39" s="173"/>
      <c r="AU39" s="177"/>
      <c r="AV39" s="178"/>
      <c r="AW39" s="178"/>
      <c r="AX39" s="179"/>
      <c r="AZ39" s="166"/>
      <c r="BA39" s="177"/>
      <c r="BB39" s="178"/>
      <c r="BC39" s="178"/>
      <c r="BD39" s="178"/>
      <c r="BE39" s="178"/>
      <c r="BF39" s="178"/>
      <c r="BG39" s="178"/>
      <c r="BH39" s="178"/>
      <c r="BI39" s="179"/>
      <c r="BJ39" s="180"/>
      <c r="BK39" s="178"/>
      <c r="BL39" s="178"/>
      <c r="BM39" s="178"/>
      <c r="BN39" s="178"/>
      <c r="BO39" s="181"/>
      <c r="BP39" s="166"/>
      <c r="BQ39" s="177"/>
      <c r="BR39" s="178"/>
      <c r="BS39" s="179"/>
      <c r="BU39" s="166"/>
      <c r="BV39" s="166"/>
      <c r="BW39" s="166"/>
      <c r="BX39" s="166"/>
      <c r="BY39" s="166"/>
      <c r="BZ39" s="166"/>
      <c r="CA39" s="166"/>
      <c r="CB39" s="166"/>
      <c r="CC39" s="166"/>
      <c r="CD39" s="177"/>
      <c r="CE39" s="181"/>
      <c r="CF39" s="177"/>
      <c r="CG39" s="179"/>
      <c r="CH39" s="257"/>
      <c r="CI39" s="182"/>
      <c r="CJ39" s="177"/>
      <c r="CK39" s="182"/>
      <c r="CL39" s="177"/>
      <c r="CM39" s="182"/>
      <c r="CN39" s="177"/>
      <c r="CO39" s="182"/>
      <c r="CP39" s="177"/>
      <c r="CQ39" s="178"/>
      <c r="CR39" s="182"/>
      <c r="CS39" s="173"/>
      <c r="CT39" s="65"/>
      <c r="CU39" s="255" t="str">
        <f t="shared" si="2"/>
        <v>MPH</v>
      </c>
    </row>
    <row r="40" ht="60.0" customHeight="1">
      <c r="A40" s="89"/>
      <c r="C40" s="183">
        <v>11.0</v>
      </c>
      <c r="D40" s="210" t="s">
        <v>154</v>
      </c>
      <c r="E40" s="185"/>
      <c r="F40" s="186"/>
      <c r="G40" s="186"/>
      <c r="H40" s="186"/>
      <c r="I40" s="212"/>
      <c r="J40" s="186"/>
      <c r="K40" s="187"/>
      <c r="L40" s="187"/>
      <c r="M40" s="187"/>
      <c r="N40" s="187"/>
      <c r="O40" s="269">
        <f t="shared" ref="O40:O46" si="8">IF(AND(M40&lt;&gt;0,M40&lt;&gt;"m",M40&lt;&gt;"",RIGHT(K40,3)="Lec"),1,IF(AND(M40&lt;&gt;0,M40&lt;&gt;"m",M40&lt;&gt;"",OR(RIGHT(K40,3)="Lab",RIGHT(K40,3)="Tut")),0.5,IF(AND(M40&lt;&gt;0,M40&lt;&gt;"m",M40&lt;&gt;"",RIGHT(K40,2)="TL"),0.75,0)))</f>
        <v>0</v>
      </c>
      <c r="P40" s="6"/>
      <c r="Q40" s="69"/>
      <c r="R40" s="89"/>
      <c r="S40" s="69"/>
      <c r="T40" s="69"/>
      <c r="U40" s="63"/>
      <c r="V40" s="63"/>
      <c r="W40" s="89"/>
      <c r="X40" s="68"/>
      <c r="Y40" s="69"/>
      <c r="Z40" s="63"/>
      <c r="AA40" s="189"/>
      <c r="AB40" s="190"/>
      <c r="AC40" s="190"/>
      <c r="AD40" s="190"/>
      <c r="AE40" s="190"/>
      <c r="AF40" s="190"/>
      <c r="AG40" s="190"/>
      <c r="AH40" s="190"/>
      <c r="AI40" s="191"/>
      <c r="AJ40" s="192"/>
      <c r="AK40" s="193"/>
      <c r="AL40" s="193"/>
      <c r="AM40" s="193"/>
      <c r="AN40" s="193"/>
      <c r="AO40" s="194"/>
      <c r="AP40" s="103"/>
      <c r="AQ40" s="89"/>
      <c r="AR40" s="89"/>
      <c r="AS40" s="89"/>
      <c r="AT40" s="69"/>
      <c r="AU40" s="192"/>
      <c r="AV40" s="193"/>
      <c r="AW40" s="193"/>
      <c r="AX40" s="194"/>
      <c r="AY40" s="6"/>
      <c r="AZ40" s="63"/>
      <c r="BA40" s="192"/>
      <c r="BB40" s="193"/>
      <c r="BC40" s="193"/>
      <c r="BD40" s="193"/>
      <c r="BE40" s="193"/>
      <c r="BF40" s="193"/>
      <c r="BG40" s="193"/>
      <c r="BH40" s="193"/>
      <c r="BI40" s="194"/>
      <c r="BJ40" s="195"/>
      <c r="BK40" s="193"/>
      <c r="BL40" s="193"/>
      <c r="BM40" s="193"/>
      <c r="BN40" s="193"/>
      <c r="BO40" s="196"/>
      <c r="BP40" s="63"/>
      <c r="BQ40" s="192"/>
      <c r="BR40" s="193"/>
      <c r="BS40" s="194"/>
      <c r="BT40" s="6"/>
      <c r="BU40" s="63"/>
      <c r="BV40" s="63"/>
      <c r="BW40" s="63"/>
      <c r="BX40" s="63"/>
      <c r="BY40" s="63"/>
      <c r="BZ40" s="63"/>
      <c r="CA40" s="63"/>
      <c r="CB40" s="63"/>
      <c r="CC40" s="63"/>
      <c r="CD40" s="192"/>
      <c r="CE40" s="196"/>
      <c r="CF40" s="192"/>
      <c r="CG40" s="194"/>
      <c r="CH40" s="259"/>
      <c r="CI40" s="197"/>
      <c r="CJ40" s="192"/>
      <c r="CK40" s="197"/>
      <c r="CL40" s="192"/>
      <c r="CM40" s="197"/>
      <c r="CN40" s="192"/>
      <c r="CO40" s="197"/>
      <c r="CP40" s="192"/>
      <c r="CQ40" s="193"/>
      <c r="CR40" s="197"/>
      <c r="CS40" s="69"/>
      <c r="CT40" s="89"/>
      <c r="CU40" s="255" t="str">
        <f t="shared" si="2"/>
        <v>MPH</v>
      </c>
    </row>
    <row r="41" ht="56.25" customHeight="1">
      <c r="A41" s="125">
        <v>4.0</v>
      </c>
      <c r="B41" s="199" t="s">
        <v>157</v>
      </c>
      <c r="C41" s="127">
        <v>1.0</v>
      </c>
      <c r="D41" s="168" t="s">
        <v>158</v>
      </c>
      <c r="E41" s="129"/>
      <c r="F41" s="130"/>
      <c r="G41" s="130"/>
      <c r="H41" s="130"/>
      <c r="I41" s="201"/>
      <c r="J41" s="130"/>
      <c r="K41" s="131"/>
      <c r="L41" s="131"/>
      <c r="M41" s="131"/>
      <c r="N41" s="131"/>
      <c r="O41" s="267">
        <f t="shared" si="8"/>
        <v>0</v>
      </c>
      <c r="P41" s="251">
        <f>COUNTIF(K41:K51,"TL")*0.75+COUNTIF(K41:K51,"Lec")*1+COUNTIF(K41:K51,"Lab")*0.5</f>
        <v>0</v>
      </c>
      <c r="Q41" s="134">
        <f>SUM((IF(LEFT(K41,1)="E",O41,0)),(IF(LEFT(K42,1)="E",O42,0)),(IF(LEFT(K43,1)="E",O43,0)),(IF(LEFT(K44,1)="E",O44,0)),(IF(LEFT(K45,1)="E",O45,0)),(IF(LEFT(K46,1)="E",O46,0)),(IF(LEFT(K47,1)="E",O47,0)),(IF(LEFT(K48,1)="E",O48,0)),(IF(LEFT(K49,1)="E",O49,0)),(IF(LEFT(K50,1)="E",O50,0)),(IF(LEFT(K51,1)="E",O51,0)))</f>
        <v>0</v>
      </c>
      <c r="R41" s="135">
        <f>SUM(IF(M47&lt;20,IF(K47="Plec",-1,IF(K47="PTL",-0.75,IF(K47="Plab",-0.5,0))),0),IF(M48&lt;20,IF(K48="Plec",-1,IF(K48="PTL",-0.75,IF(K48="Plab",-0.5,0))),0),IF(M49&lt;20,IF(K49="Plec",-1,IF(K49="PTL",-0.75,IF(K49="Plab",-0.5,0))),0),IF(M50&lt;20,IF(K50="Plec",-1,IF(K50="PTL",-0.75,IF(K50="Plab",-0.5,0))),0))</f>
        <v>0</v>
      </c>
      <c r="S41" s="134">
        <f>SUM(P41:R51)</f>
        <v>0</v>
      </c>
      <c r="T41" s="136">
        <f>SUM(IF(M41="M",IF(OR(K41="lec",K41="plec",K41="slec"),1,IF(OR(K41="lab",K41="plab",K41="slab",K41="tut",K41="ptut",K41="stut"),0.5,IF(OR(K41="TL",K41="pTL",K41="STL"),0.75,0))),0),IF(M42="M",IF(OR(K42="lec",K42="plec",K42="slec"),1,IF(OR(K42="lab",K42="plab",K42="slab",K42="tut",K42="ptut",K42="stut"),0.5,IF(OR(K42="TL",K42="pTL",K42="STL"),0.75,0))),0),IF(M43="M",IF(OR(K43="lec",K43="plec",K43="slec"),1,IF(OR(K43="lab",K43="plab",K43="slab",K43="tut",K43="ptut",K43="stut"),0.5,IF(OR(K43="TL",K43="pTL",K43="STL"),0.75,0))),0),IF(M44="M",IF(OR(K44="lec",K44="plec",K44="slec"),1,IF(OR(K44="lab",K44="plab",K44="slab",K44="tut",K44="ptut",K44="stut"),0.5,IF(OR(K44="TL",K44="pTL",K44="STL"),0.75,0))),0),IF(M45="M",IF(OR(K45="lec",K45="plec",K45="slec"),1,IF(OR(K45="lab",K45="plab",K45="slab",K45="tut",K45="ptut",K45="stut"),0.5,IF(OR(K45="TL",K45="pTL",K45="STL"),0.75,0))),0),IF(M46="M",IF(OR(K46="lec",K46="plec",K46="slec"),1,IF(OR(K46="lab",K46="plab",K46="slab",K46="tut",K46="ptut",K46="stut"),0.5,IF(OR(K46="TL",K46="pTL",K46="STL"),0.75,0))),0),IF(M47="M",IF(OR(K47="lec",K47="plec",K47="slec"),1,IF(OR(K47="lab",K47="plab",K47="slab",K47="tut",K47="ptut",K47="stut"),0.5,IF(OR(K47="TL",K47="pTL",K47="STL"),0.75,0))),0),IF(M48="M",IF(OR(K48="lec",K48="plec",K48="slec"),1,IF(OR(K48="lab",K48="plab",K48="slab",K48="tut",K48="ptut",K48="stut"),0.5,IF(OR(K48="TL",K48="pTL",K48="STL"),0.75,0))),0),IF(M49="M",IF(OR(K49="lec",K49="plec",K49="slec"),1,IF(OR(K49="lab",K49="plab",K49="slab",K49="tut",K49="ptut",K49="stut"),0.5,IF(OR(K49="TL",K49="pTL",K49="STL"),0.75,0))),0),IF(M50="M",IF(OR(K50="lec",K50="plec",K50="slec"),1,IF(OR(K50="lab",K50="plab",K50="slab",K50="tut",K50="ptut",K50="stut"),0.5,IF(OR(K50="TL",K50="pTL",K50="STL"),0.75,0))),0),IF(M51="M",IF(OR(K51="lec",K51="plec",K51="slec"),1,IF(OR(K51="lab",K51="plab",K51="slab",K51="tut",K51="ptut",K51="stut"),0.5,IF(OR(K51="TL",K51="pTL",K51="STL"),0.75,0))),0))</f>
        <v>0</v>
      </c>
      <c r="U41" s="137"/>
      <c r="V41" s="133"/>
      <c r="W41" s="138"/>
      <c r="X41" s="139">
        <f>S41-(T41+U41+V41+W41)</f>
        <v>0</v>
      </c>
      <c r="Y41" s="134" t="str">
        <f>CONCATENATE(SUM(O41:O51),"(",SUM(O41:O51)-X41,")")</f>
        <v>0(0)</v>
      </c>
      <c r="Z41" s="140"/>
      <c r="AA41" s="141"/>
      <c r="AB41" s="142"/>
      <c r="AC41" s="142"/>
      <c r="AD41" s="142"/>
      <c r="AE41" s="142"/>
      <c r="AF41" s="142"/>
      <c r="AG41" s="142"/>
      <c r="AH41" s="142"/>
      <c r="AI41" s="143"/>
      <c r="AJ41" s="144"/>
      <c r="AK41" s="145"/>
      <c r="AL41" s="145"/>
      <c r="AM41" s="145"/>
      <c r="AN41" s="145"/>
      <c r="AO41" s="146"/>
      <c r="AP41" s="147">
        <f>SUM(SUM(O41:O51),SUM(AI41:AI51)/2,AM41)</f>
        <v>0</v>
      </c>
      <c r="AQ41" s="148"/>
      <c r="AR41" s="148">
        <f>AP41*AQ41</f>
        <v>0</v>
      </c>
      <c r="AS41" s="148">
        <f>CT41</f>
        <v>1.5</v>
      </c>
      <c r="AT41" s="149">
        <f>AR41*0.75+AS41*0.25</f>
        <v>0.375</v>
      </c>
      <c r="AU41" s="150"/>
      <c r="AV41" s="151"/>
      <c r="AW41" s="151"/>
      <c r="AX41" s="152"/>
      <c r="AY41" s="153"/>
      <c r="AZ41" s="140"/>
      <c r="BA41" s="150"/>
      <c r="BB41" s="151"/>
      <c r="BC41" s="151"/>
      <c r="BD41" s="151"/>
      <c r="BE41" s="151"/>
      <c r="BF41" s="151"/>
      <c r="BG41" s="151"/>
      <c r="BH41" s="151"/>
      <c r="BI41" s="152">
        <v>6.0</v>
      </c>
      <c r="BJ41" s="154"/>
      <c r="BK41" s="151"/>
      <c r="BL41" s="151"/>
      <c r="BM41" s="151"/>
      <c r="BN41" s="151"/>
      <c r="BO41" s="155"/>
      <c r="BP41" s="140"/>
      <c r="BQ41" s="156"/>
      <c r="BR41" s="157"/>
      <c r="BS41" s="158"/>
      <c r="BT41" s="153"/>
      <c r="BU41" s="140"/>
      <c r="BV41" s="140"/>
      <c r="BW41" s="140"/>
      <c r="BX41" s="140"/>
      <c r="BY41" s="140"/>
      <c r="BZ41" s="140"/>
      <c r="CA41" s="140"/>
      <c r="CB41" s="140"/>
      <c r="CC41" s="140"/>
      <c r="CD41" s="150"/>
      <c r="CE41" s="155"/>
      <c r="CF41" s="150"/>
      <c r="CG41" s="152"/>
      <c r="CH41" s="252"/>
      <c r="CI41" s="160"/>
      <c r="CJ41" s="159"/>
      <c r="CK41" s="160"/>
      <c r="CL41" s="159"/>
      <c r="CM41" s="160"/>
      <c r="CN41" s="159"/>
      <c r="CO41" s="160"/>
      <c r="CP41" s="159"/>
      <c r="CQ41" s="162"/>
      <c r="CR41" s="160"/>
      <c r="CS41" s="253">
        <f>SUM(IF(AU41&lt;0,ABS(AU41),0),IF(AZ41&lt;0,ABS(AZ41),0),ABS(CI41),ABS(CK41),ABS(CM41),ABS(CO41),ABS(CQ41),ABS(CR41))</f>
        <v>0</v>
      </c>
      <c r="CT41" s="254">
        <f>SUM(AU41,AV41,AW41,AX41/400,AY41,AZ41,BG41,BH41*0.5,BI41*0.25,BJ41,BK41,BL41,BM41,BN41,BO41,BP41,BR41/20,BS41/100,BT41/60,BU41,BV41,BW41,BX41/4,SUM(BY41:CC51)/3,CE41,CG41/3,CI41,CK41,CM41,CO41,CQ41,CR41)</f>
        <v>1.5</v>
      </c>
      <c r="CU41" s="255" t="str">
        <f t="shared" si="2"/>
        <v>MVK</v>
      </c>
    </row>
    <row r="42" ht="60.0" customHeight="1">
      <c r="A42" s="65"/>
      <c r="C42" s="167">
        <v>2.0</v>
      </c>
      <c r="D42" s="168" t="s">
        <v>158</v>
      </c>
      <c r="E42" s="169"/>
      <c r="F42" s="170"/>
      <c r="G42" s="170"/>
      <c r="H42" s="170"/>
      <c r="I42" s="207"/>
      <c r="J42" s="170"/>
      <c r="K42" s="171"/>
      <c r="L42" s="171"/>
      <c r="M42" s="171"/>
      <c r="N42" s="171"/>
      <c r="O42" s="268">
        <f t="shared" si="8"/>
        <v>0</v>
      </c>
      <c r="Q42" s="173"/>
      <c r="R42" s="65"/>
      <c r="S42" s="173"/>
      <c r="T42" s="173"/>
      <c r="U42" s="166"/>
      <c r="V42" s="166"/>
      <c r="W42" s="65"/>
      <c r="X42" s="66"/>
      <c r="Y42" s="173"/>
      <c r="Z42" s="166"/>
      <c r="AA42" s="174"/>
      <c r="AB42" s="175"/>
      <c r="AC42" s="175"/>
      <c r="AD42" s="175"/>
      <c r="AE42" s="175"/>
      <c r="AF42" s="175"/>
      <c r="AG42" s="175"/>
      <c r="AH42" s="175"/>
      <c r="AI42" s="176"/>
      <c r="AJ42" s="177"/>
      <c r="AK42" s="178"/>
      <c r="AL42" s="178"/>
      <c r="AM42" s="178"/>
      <c r="AN42" s="178"/>
      <c r="AO42" s="179"/>
      <c r="AP42" s="64"/>
      <c r="AQ42" s="65"/>
      <c r="AR42" s="65"/>
      <c r="AS42" s="65"/>
      <c r="AT42" s="173"/>
      <c r="AU42" s="177"/>
      <c r="AV42" s="178"/>
      <c r="AW42" s="178"/>
      <c r="AX42" s="179"/>
      <c r="AZ42" s="166"/>
      <c r="BA42" s="177"/>
      <c r="BB42" s="178"/>
      <c r="BC42" s="178"/>
      <c r="BD42" s="178"/>
      <c r="BE42" s="178"/>
      <c r="BF42" s="178"/>
      <c r="BG42" s="178"/>
      <c r="BH42" s="178"/>
      <c r="BI42" s="179"/>
      <c r="BJ42" s="180"/>
      <c r="BK42" s="178"/>
      <c r="BL42" s="178"/>
      <c r="BM42" s="178"/>
      <c r="BN42" s="178"/>
      <c r="BO42" s="181"/>
      <c r="BP42" s="166"/>
      <c r="BQ42" s="177"/>
      <c r="BR42" s="178"/>
      <c r="BS42" s="179"/>
      <c r="BU42" s="166"/>
      <c r="BV42" s="166"/>
      <c r="BW42" s="166"/>
      <c r="BX42" s="166"/>
      <c r="BY42" s="166"/>
      <c r="BZ42" s="166"/>
      <c r="CA42" s="166"/>
      <c r="CB42" s="166"/>
      <c r="CC42" s="166"/>
      <c r="CD42" s="177"/>
      <c r="CE42" s="181"/>
      <c r="CF42" s="177"/>
      <c r="CG42" s="179"/>
      <c r="CH42" s="257"/>
      <c r="CI42" s="182"/>
      <c r="CJ42" s="177"/>
      <c r="CK42" s="182"/>
      <c r="CL42" s="177"/>
      <c r="CM42" s="182"/>
      <c r="CN42" s="177"/>
      <c r="CO42" s="182"/>
      <c r="CP42" s="177"/>
      <c r="CQ42" s="178"/>
      <c r="CR42" s="182"/>
      <c r="CS42" s="173"/>
      <c r="CT42" s="65"/>
      <c r="CU42" s="255" t="str">
        <f t="shared" si="2"/>
        <v>MVK</v>
      </c>
    </row>
    <row r="43" ht="60.0" customHeight="1">
      <c r="A43" s="65"/>
      <c r="C43" s="167">
        <v>3.0</v>
      </c>
      <c r="D43" s="168" t="s">
        <v>158</v>
      </c>
      <c r="E43" s="169"/>
      <c r="F43" s="170"/>
      <c r="G43" s="170"/>
      <c r="H43" s="170"/>
      <c r="I43" s="207"/>
      <c r="J43" s="170"/>
      <c r="K43" s="171"/>
      <c r="L43" s="171"/>
      <c r="M43" s="171"/>
      <c r="N43" s="171"/>
      <c r="O43" s="268">
        <f t="shared" si="8"/>
        <v>0</v>
      </c>
      <c r="Q43" s="173"/>
      <c r="R43" s="65"/>
      <c r="S43" s="173"/>
      <c r="T43" s="173"/>
      <c r="U43" s="166"/>
      <c r="V43" s="166"/>
      <c r="W43" s="65"/>
      <c r="X43" s="66"/>
      <c r="Y43" s="173"/>
      <c r="Z43" s="166"/>
      <c r="AA43" s="174"/>
      <c r="AB43" s="175"/>
      <c r="AC43" s="175"/>
      <c r="AD43" s="175"/>
      <c r="AE43" s="175"/>
      <c r="AF43" s="175"/>
      <c r="AG43" s="175"/>
      <c r="AH43" s="175"/>
      <c r="AI43" s="176"/>
      <c r="AJ43" s="177"/>
      <c r="AK43" s="178"/>
      <c r="AL43" s="178"/>
      <c r="AM43" s="178"/>
      <c r="AN43" s="178"/>
      <c r="AO43" s="179"/>
      <c r="AP43" s="64"/>
      <c r="AQ43" s="65"/>
      <c r="AR43" s="65"/>
      <c r="AS43" s="65"/>
      <c r="AT43" s="173"/>
      <c r="AU43" s="177"/>
      <c r="AV43" s="178"/>
      <c r="AW43" s="178"/>
      <c r="AX43" s="179"/>
      <c r="AZ43" s="166"/>
      <c r="BA43" s="177"/>
      <c r="BB43" s="178"/>
      <c r="BC43" s="178"/>
      <c r="BD43" s="178"/>
      <c r="BE43" s="178"/>
      <c r="BF43" s="178"/>
      <c r="BG43" s="178"/>
      <c r="BH43" s="178"/>
      <c r="BI43" s="179"/>
      <c r="BJ43" s="180"/>
      <c r="BK43" s="178"/>
      <c r="BL43" s="178"/>
      <c r="BM43" s="178"/>
      <c r="BN43" s="178"/>
      <c r="BO43" s="181"/>
      <c r="BP43" s="166"/>
      <c r="BQ43" s="177"/>
      <c r="BR43" s="178"/>
      <c r="BS43" s="179"/>
      <c r="BU43" s="166"/>
      <c r="BV43" s="166"/>
      <c r="BW43" s="166"/>
      <c r="BX43" s="166"/>
      <c r="BY43" s="166"/>
      <c r="BZ43" s="166"/>
      <c r="CA43" s="166"/>
      <c r="CB43" s="166"/>
      <c r="CC43" s="166"/>
      <c r="CD43" s="177"/>
      <c r="CE43" s="181"/>
      <c r="CF43" s="177"/>
      <c r="CG43" s="179"/>
      <c r="CH43" s="257"/>
      <c r="CI43" s="182"/>
      <c r="CJ43" s="177"/>
      <c r="CK43" s="182"/>
      <c r="CL43" s="177"/>
      <c r="CM43" s="182"/>
      <c r="CN43" s="177"/>
      <c r="CO43" s="182"/>
      <c r="CP43" s="177"/>
      <c r="CQ43" s="178"/>
      <c r="CR43" s="182"/>
      <c r="CS43" s="173"/>
      <c r="CT43" s="65"/>
      <c r="CU43" s="255" t="str">
        <f t="shared" si="2"/>
        <v>MVK</v>
      </c>
    </row>
    <row r="44" ht="60.0" customHeight="1">
      <c r="A44" s="65"/>
      <c r="C44" s="167">
        <v>4.0</v>
      </c>
      <c r="D44" s="168" t="s">
        <v>158</v>
      </c>
      <c r="E44" s="169"/>
      <c r="F44" s="170"/>
      <c r="G44" s="170"/>
      <c r="H44" s="170"/>
      <c r="I44" s="207"/>
      <c r="J44" s="170"/>
      <c r="K44" s="171"/>
      <c r="L44" s="171"/>
      <c r="M44" s="171"/>
      <c r="N44" s="171"/>
      <c r="O44" s="268">
        <f t="shared" si="8"/>
        <v>0</v>
      </c>
      <c r="Q44" s="173"/>
      <c r="R44" s="65"/>
      <c r="S44" s="173"/>
      <c r="T44" s="173"/>
      <c r="U44" s="166"/>
      <c r="V44" s="166"/>
      <c r="W44" s="65"/>
      <c r="X44" s="66"/>
      <c r="Y44" s="173"/>
      <c r="Z44" s="166"/>
      <c r="AA44" s="174"/>
      <c r="AB44" s="175"/>
      <c r="AC44" s="175"/>
      <c r="AD44" s="175"/>
      <c r="AE44" s="175"/>
      <c r="AF44" s="175"/>
      <c r="AG44" s="175"/>
      <c r="AH44" s="175"/>
      <c r="AI44" s="176"/>
      <c r="AJ44" s="177"/>
      <c r="AK44" s="178"/>
      <c r="AL44" s="178"/>
      <c r="AM44" s="178"/>
      <c r="AN44" s="178"/>
      <c r="AO44" s="179"/>
      <c r="AP44" s="64"/>
      <c r="AQ44" s="65"/>
      <c r="AR44" s="65"/>
      <c r="AS44" s="65"/>
      <c r="AT44" s="173"/>
      <c r="AU44" s="177"/>
      <c r="AV44" s="178"/>
      <c r="AW44" s="178"/>
      <c r="AX44" s="179"/>
      <c r="AZ44" s="166"/>
      <c r="BA44" s="177"/>
      <c r="BB44" s="178"/>
      <c r="BC44" s="178"/>
      <c r="BD44" s="178"/>
      <c r="BE44" s="178"/>
      <c r="BF44" s="178"/>
      <c r="BG44" s="178"/>
      <c r="BH44" s="178"/>
      <c r="BI44" s="179"/>
      <c r="BJ44" s="180"/>
      <c r="BK44" s="178"/>
      <c r="BL44" s="178"/>
      <c r="BM44" s="178"/>
      <c r="BN44" s="178"/>
      <c r="BO44" s="181"/>
      <c r="BP44" s="166"/>
      <c r="BQ44" s="177"/>
      <c r="BR44" s="178"/>
      <c r="BS44" s="179"/>
      <c r="BU44" s="166"/>
      <c r="BV44" s="166"/>
      <c r="BW44" s="166"/>
      <c r="BX44" s="166"/>
      <c r="BY44" s="166"/>
      <c r="BZ44" s="166"/>
      <c r="CA44" s="166"/>
      <c r="CB44" s="166"/>
      <c r="CC44" s="166"/>
      <c r="CD44" s="177"/>
      <c r="CE44" s="181"/>
      <c r="CF44" s="177"/>
      <c r="CG44" s="179"/>
      <c r="CH44" s="257"/>
      <c r="CI44" s="182"/>
      <c r="CJ44" s="177"/>
      <c r="CK44" s="182"/>
      <c r="CL44" s="177"/>
      <c r="CM44" s="182"/>
      <c r="CN44" s="177"/>
      <c r="CO44" s="182"/>
      <c r="CP44" s="177"/>
      <c r="CQ44" s="178"/>
      <c r="CR44" s="182"/>
      <c r="CS44" s="173"/>
      <c r="CT44" s="65"/>
      <c r="CU44" s="255" t="str">
        <f t="shared" si="2"/>
        <v>MVK</v>
      </c>
    </row>
    <row r="45" ht="60.0" customHeight="1">
      <c r="A45" s="65"/>
      <c r="C45" s="167">
        <v>5.0</v>
      </c>
      <c r="D45" s="168" t="s">
        <v>158</v>
      </c>
      <c r="E45" s="169"/>
      <c r="F45" s="170"/>
      <c r="G45" s="170"/>
      <c r="H45" s="170"/>
      <c r="I45" s="207"/>
      <c r="J45" s="170"/>
      <c r="K45" s="171"/>
      <c r="L45" s="171"/>
      <c r="M45" s="171"/>
      <c r="N45" s="171"/>
      <c r="O45" s="268">
        <f t="shared" si="8"/>
        <v>0</v>
      </c>
      <c r="Q45" s="173"/>
      <c r="R45" s="65"/>
      <c r="S45" s="173"/>
      <c r="T45" s="173"/>
      <c r="U45" s="166"/>
      <c r="V45" s="166"/>
      <c r="W45" s="65"/>
      <c r="X45" s="66"/>
      <c r="Y45" s="173"/>
      <c r="Z45" s="166"/>
      <c r="AA45" s="174"/>
      <c r="AB45" s="175"/>
      <c r="AC45" s="175"/>
      <c r="AD45" s="175"/>
      <c r="AE45" s="175"/>
      <c r="AF45" s="175"/>
      <c r="AG45" s="175"/>
      <c r="AH45" s="175"/>
      <c r="AI45" s="176"/>
      <c r="AJ45" s="177"/>
      <c r="AK45" s="178"/>
      <c r="AL45" s="178"/>
      <c r="AM45" s="178"/>
      <c r="AN45" s="178"/>
      <c r="AO45" s="179"/>
      <c r="AP45" s="64"/>
      <c r="AQ45" s="65"/>
      <c r="AR45" s="65"/>
      <c r="AS45" s="65"/>
      <c r="AT45" s="173"/>
      <c r="AU45" s="177"/>
      <c r="AV45" s="178"/>
      <c r="AW45" s="178"/>
      <c r="AX45" s="179"/>
      <c r="AZ45" s="166"/>
      <c r="BA45" s="177"/>
      <c r="BB45" s="178"/>
      <c r="BC45" s="178"/>
      <c r="BD45" s="178"/>
      <c r="BE45" s="178"/>
      <c r="BF45" s="178"/>
      <c r="BG45" s="178"/>
      <c r="BH45" s="178"/>
      <c r="BI45" s="179"/>
      <c r="BJ45" s="180"/>
      <c r="BK45" s="178"/>
      <c r="BL45" s="178"/>
      <c r="BM45" s="178"/>
      <c r="BN45" s="178"/>
      <c r="BO45" s="181"/>
      <c r="BP45" s="166"/>
      <c r="BQ45" s="177"/>
      <c r="BR45" s="178"/>
      <c r="BS45" s="179"/>
      <c r="BU45" s="166"/>
      <c r="BV45" s="166"/>
      <c r="BW45" s="166"/>
      <c r="BX45" s="166"/>
      <c r="BY45" s="166"/>
      <c r="BZ45" s="166"/>
      <c r="CA45" s="166"/>
      <c r="CB45" s="166"/>
      <c r="CC45" s="166"/>
      <c r="CD45" s="177"/>
      <c r="CE45" s="181"/>
      <c r="CF45" s="177"/>
      <c r="CG45" s="179"/>
      <c r="CH45" s="257"/>
      <c r="CI45" s="182"/>
      <c r="CJ45" s="177"/>
      <c r="CK45" s="182"/>
      <c r="CL45" s="177"/>
      <c r="CM45" s="182"/>
      <c r="CN45" s="177"/>
      <c r="CO45" s="182"/>
      <c r="CP45" s="177"/>
      <c r="CQ45" s="178"/>
      <c r="CR45" s="182"/>
      <c r="CS45" s="173"/>
      <c r="CT45" s="65"/>
      <c r="CU45" s="255" t="str">
        <f t="shared" si="2"/>
        <v>MVK</v>
      </c>
    </row>
    <row r="46" ht="60.0" customHeight="1">
      <c r="A46" s="65"/>
      <c r="C46" s="167">
        <v>6.0</v>
      </c>
      <c r="D46" s="168" t="s">
        <v>158</v>
      </c>
      <c r="E46" s="169"/>
      <c r="F46" s="170"/>
      <c r="G46" s="170"/>
      <c r="H46" s="170"/>
      <c r="I46" s="207"/>
      <c r="J46" s="170"/>
      <c r="K46" s="171"/>
      <c r="L46" s="171"/>
      <c r="M46" s="171"/>
      <c r="N46" s="171"/>
      <c r="O46" s="268">
        <f t="shared" si="8"/>
        <v>0</v>
      </c>
      <c r="Q46" s="173"/>
      <c r="R46" s="65"/>
      <c r="S46" s="173"/>
      <c r="T46" s="173"/>
      <c r="U46" s="166"/>
      <c r="V46" s="166"/>
      <c r="W46" s="65"/>
      <c r="X46" s="66"/>
      <c r="Y46" s="173"/>
      <c r="Z46" s="166"/>
      <c r="AA46" s="174"/>
      <c r="AB46" s="175"/>
      <c r="AC46" s="175"/>
      <c r="AD46" s="175"/>
      <c r="AE46" s="175"/>
      <c r="AF46" s="175"/>
      <c r="AG46" s="175"/>
      <c r="AH46" s="175"/>
      <c r="AI46" s="176"/>
      <c r="AJ46" s="177"/>
      <c r="AK46" s="178"/>
      <c r="AL46" s="178"/>
      <c r="AM46" s="178"/>
      <c r="AN46" s="178"/>
      <c r="AO46" s="179"/>
      <c r="AP46" s="64"/>
      <c r="AQ46" s="65"/>
      <c r="AR46" s="65"/>
      <c r="AS46" s="65"/>
      <c r="AT46" s="173"/>
      <c r="AU46" s="177"/>
      <c r="AV46" s="178"/>
      <c r="AW46" s="178"/>
      <c r="AX46" s="179"/>
      <c r="AZ46" s="166"/>
      <c r="BA46" s="177"/>
      <c r="BB46" s="178"/>
      <c r="BC46" s="178"/>
      <c r="BD46" s="178"/>
      <c r="BE46" s="178"/>
      <c r="BF46" s="178"/>
      <c r="BG46" s="178"/>
      <c r="BH46" s="178"/>
      <c r="BI46" s="179"/>
      <c r="BJ46" s="180"/>
      <c r="BK46" s="178"/>
      <c r="BL46" s="178"/>
      <c r="BM46" s="178"/>
      <c r="BN46" s="178"/>
      <c r="BO46" s="181"/>
      <c r="BP46" s="166"/>
      <c r="BQ46" s="177"/>
      <c r="BR46" s="178"/>
      <c r="BS46" s="179"/>
      <c r="BU46" s="166"/>
      <c r="BV46" s="166"/>
      <c r="BW46" s="166"/>
      <c r="BX46" s="166"/>
      <c r="BY46" s="166"/>
      <c r="BZ46" s="166"/>
      <c r="CA46" s="166"/>
      <c r="CB46" s="166"/>
      <c r="CC46" s="166"/>
      <c r="CD46" s="177"/>
      <c r="CE46" s="181"/>
      <c r="CF46" s="177"/>
      <c r="CG46" s="179"/>
      <c r="CH46" s="257"/>
      <c r="CI46" s="182"/>
      <c r="CJ46" s="177"/>
      <c r="CK46" s="182"/>
      <c r="CL46" s="177"/>
      <c r="CM46" s="182"/>
      <c r="CN46" s="177"/>
      <c r="CO46" s="182"/>
      <c r="CP46" s="177"/>
      <c r="CQ46" s="178"/>
      <c r="CR46" s="182"/>
      <c r="CS46" s="173"/>
      <c r="CT46" s="65"/>
      <c r="CU46" s="255" t="str">
        <f t="shared" si="2"/>
        <v>MVK</v>
      </c>
    </row>
    <row r="47" ht="60.0" customHeight="1">
      <c r="A47" s="65"/>
      <c r="C47" s="167">
        <v>7.0</v>
      </c>
      <c r="D47" s="168" t="s">
        <v>158</v>
      </c>
      <c r="E47" s="169"/>
      <c r="F47" s="170"/>
      <c r="G47" s="170"/>
      <c r="H47" s="170"/>
      <c r="I47" s="207"/>
      <c r="J47" s="170"/>
      <c r="K47" s="171"/>
      <c r="L47" s="171"/>
      <c r="M47" s="171"/>
      <c r="N47" s="171"/>
      <c r="O47" s="268">
        <f t="shared" ref="O47:O50" si="9">IF(AND(M47&gt;=20,M47&lt;&gt;"m",RIGHT(K47,3)="Lec"),1,IF(AND(M47&gt;=20,M47&lt;&gt;"m",OR(RIGHT(K47,3)="Lab",RIGHT(K47,3)="Tut")),0.5,IF(AND(M47&gt;=20,M47&lt;&gt;"m",RIGHT(K47,2)="TL"),0.75,0)))</f>
        <v>0</v>
      </c>
      <c r="Q47" s="173"/>
      <c r="R47" s="65"/>
      <c r="S47" s="173"/>
      <c r="T47" s="173"/>
      <c r="U47" s="166"/>
      <c r="V47" s="166"/>
      <c r="W47" s="65"/>
      <c r="X47" s="66"/>
      <c r="Y47" s="173"/>
      <c r="Z47" s="166"/>
      <c r="AA47" s="174"/>
      <c r="AB47" s="175"/>
      <c r="AC47" s="175"/>
      <c r="AD47" s="175"/>
      <c r="AE47" s="175"/>
      <c r="AF47" s="175"/>
      <c r="AG47" s="175"/>
      <c r="AH47" s="175"/>
      <c r="AI47" s="176"/>
      <c r="AJ47" s="177"/>
      <c r="AK47" s="178"/>
      <c r="AL47" s="178"/>
      <c r="AM47" s="178"/>
      <c r="AN47" s="178"/>
      <c r="AO47" s="179"/>
      <c r="AP47" s="64"/>
      <c r="AQ47" s="65"/>
      <c r="AR47" s="65"/>
      <c r="AS47" s="65"/>
      <c r="AT47" s="173"/>
      <c r="AU47" s="177"/>
      <c r="AV47" s="178"/>
      <c r="AW47" s="178"/>
      <c r="AX47" s="179"/>
      <c r="AZ47" s="166"/>
      <c r="BA47" s="177"/>
      <c r="BB47" s="178"/>
      <c r="BC47" s="178"/>
      <c r="BD47" s="178"/>
      <c r="BE47" s="178"/>
      <c r="BF47" s="178"/>
      <c r="BG47" s="178"/>
      <c r="BH47" s="178"/>
      <c r="BI47" s="179"/>
      <c r="BJ47" s="180"/>
      <c r="BK47" s="178"/>
      <c r="BL47" s="178"/>
      <c r="BM47" s="178"/>
      <c r="BN47" s="178"/>
      <c r="BO47" s="181"/>
      <c r="BP47" s="166"/>
      <c r="BQ47" s="177"/>
      <c r="BR47" s="178"/>
      <c r="BS47" s="179"/>
      <c r="BU47" s="166"/>
      <c r="BV47" s="166"/>
      <c r="BW47" s="166"/>
      <c r="BX47" s="166"/>
      <c r="BY47" s="166"/>
      <c r="BZ47" s="166"/>
      <c r="CA47" s="166"/>
      <c r="CB47" s="166"/>
      <c r="CC47" s="166"/>
      <c r="CD47" s="177"/>
      <c r="CE47" s="181"/>
      <c r="CF47" s="177"/>
      <c r="CG47" s="179"/>
      <c r="CH47" s="257"/>
      <c r="CI47" s="182"/>
      <c r="CJ47" s="177"/>
      <c r="CK47" s="182"/>
      <c r="CL47" s="177"/>
      <c r="CM47" s="182"/>
      <c r="CN47" s="177"/>
      <c r="CO47" s="182"/>
      <c r="CP47" s="177"/>
      <c r="CQ47" s="178"/>
      <c r="CR47" s="182"/>
      <c r="CS47" s="173"/>
      <c r="CT47" s="65"/>
      <c r="CU47" s="255" t="str">
        <f t="shared" si="2"/>
        <v>MVK</v>
      </c>
    </row>
    <row r="48" ht="60.0" customHeight="1">
      <c r="A48" s="65"/>
      <c r="C48" s="167">
        <v>8.0</v>
      </c>
      <c r="D48" s="168" t="s">
        <v>158</v>
      </c>
      <c r="E48" s="169"/>
      <c r="F48" s="170"/>
      <c r="G48" s="170"/>
      <c r="H48" s="170"/>
      <c r="I48" s="207"/>
      <c r="J48" s="170"/>
      <c r="K48" s="171"/>
      <c r="L48" s="171"/>
      <c r="M48" s="171"/>
      <c r="N48" s="171"/>
      <c r="O48" s="268">
        <f t="shared" si="9"/>
        <v>0</v>
      </c>
      <c r="Q48" s="173"/>
      <c r="R48" s="65"/>
      <c r="S48" s="173"/>
      <c r="T48" s="173"/>
      <c r="U48" s="166"/>
      <c r="V48" s="166"/>
      <c r="W48" s="65"/>
      <c r="X48" s="66"/>
      <c r="Y48" s="173"/>
      <c r="Z48" s="166"/>
      <c r="AA48" s="174"/>
      <c r="AB48" s="175"/>
      <c r="AC48" s="175"/>
      <c r="AD48" s="175"/>
      <c r="AE48" s="175"/>
      <c r="AF48" s="175"/>
      <c r="AG48" s="175"/>
      <c r="AH48" s="175"/>
      <c r="AI48" s="176"/>
      <c r="AJ48" s="177"/>
      <c r="AK48" s="178"/>
      <c r="AL48" s="178"/>
      <c r="AM48" s="178"/>
      <c r="AN48" s="178"/>
      <c r="AO48" s="179"/>
      <c r="AP48" s="64"/>
      <c r="AQ48" s="65"/>
      <c r="AR48" s="65"/>
      <c r="AS48" s="65"/>
      <c r="AT48" s="173"/>
      <c r="AU48" s="177"/>
      <c r="AV48" s="178"/>
      <c r="AW48" s="178"/>
      <c r="AX48" s="179"/>
      <c r="AZ48" s="166"/>
      <c r="BA48" s="177"/>
      <c r="BB48" s="178"/>
      <c r="BC48" s="178"/>
      <c r="BD48" s="178"/>
      <c r="BE48" s="178"/>
      <c r="BF48" s="178"/>
      <c r="BG48" s="178"/>
      <c r="BH48" s="178"/>
      <c r="BI48" s="179"/>
      <c r="BJ48" s="180"/>
      <c r="BK48" s="178"/>
      <c r="BL48" s="178"/>
      <c r="BM48" s="178"/>
      <c r="BN48" s="178"/>
      <c r="BO48" s="181"/>
      <c r="BP48" s="166"/>
      <c r="BQ48" s="177"/>
      <c r="BR48" s="178"/>
      <c r="BS48" s="179"/>
      <c r="BU48" s="166"/>
      <c r="BV48" s="166"/>
      <c r="BW48" s="166"/>
      <c r="BX48" s="166"/>
      <c r="BY48" s="166"/>
      <c r="BZ48" s="166"/>
      <c r="CA48" s="166"/>
      <c r="CB48" s="166"/>
      <c r="CC48" s="166"/>
      <c r="CD48" s="177"/>
      <c r="CE48" s="181"/>
      <c r="CF48" s="177"/>
      <c r="CG48" s="179"/>
      <c r="CH48" s="257"/>
      <c r="CI48" s="182"/>
      <c r="CJ48" s="177"/>
      <c r="CK48" s="182"/>
      <c r="CL48" s="177"/>
      <c r="CM48" s="182"/>
      <c r="CN48" s="177"/>
      <c r="CO48" s="182"/>
      <c r="CP48" s="177"/>
      <c r="CQ48" s="178"/>
      <c r="CR48" s="182"/>
      <c r="CS48" s="173"/>
      <c r="CT48" s="65"/>
      <c r="CU48" s="255" t="str">
        <f t="shared" si="2"/>
        <v>MVK</v>
      </c>
    </row>
    <row r="49" ht="60.0" customHeight="1">
      <c r="A49" s="65"/>
      <c r="C49" s="167">
        <v>9.0</v>
      </c>
      <c r="D49" s="168" t="s">
        <v>158</v>
      </c>
      <c r="E49" s="169"/>
      <c r="F49" s="170"/>
      <c r="G49" s="170"/>
      <c r="H49" s="170"/>
      <c r="I49" s="207"/>
      <c r="J49" s="170"/>
      <c r="K49" s="171"/>
      <c r="L49" s="171"/>
      <c r="M49" s="171"/>
      <c r="N49" s="171"/>
      <c r="O49" s="268">
        <f t="shared" si="9"/>
        <v>0</v>
      </c>
      <c r="Q49" s="173"/>
      <c r="R49" s="65"/>
      <c r="S49" s="173"/>
      <c r="T49" s="173"/>
      <c r="U49" s="166"/>
      <c r="V49" s="166"/>
      <c r="W49" s="65"/>
      <c r="X49" s="66"/>
      <c r="Y49" s="173"/>
      <c r="Z49" s="166"/>
      <c r="AA49" s="174"/>
      <c r="AB49" s="175"/>
      <c r="AC49" s="175"/>
      <c r="AD49" s="175"/>
      <c r="AE49" s="175"/>
      <c r="AF49" s="175"/>
      <c r="AG49" s="175"/>
      <c r="AH49" s="175"/>
      <c r="AI49" s="176"/>
      <c r="AJ49" s="177"/>
      <c r="AK49" s="178"/>
      <c r="AL49" s="178"/>
      <c r="AM49" s="178"/>
      <c r="AN49" s="178"/>
      <c r="AO49" s="179"/>
      <c r="AP49" s="64"/>
      <c r="AQ49" s="65"/>
      <c r="AR49" s="65"/>
      <c r="AS49" s="65"/>
      <c r="AT49" s="173"/>
      <c r="AU49" s="177"/>
      <c r="AV49" s="178"/>
      <c r="AW49" s="178"/>
      <c r="AX49" s="179"/>
      <c r="AZ49" s="166"/>
      <c r="BA49" s="177"/>
      <c r="BB49" s="178"/>
      <c r="BC49" s="178"/>
      <c r="BD49" s="178"/>
      <c r="BE49" s="178"/>
      <c r="BF49" s="178"/>
      <c r="BG49" s="178"/>
      <c r="BH49" s="178"/>
      <c r="BI49" s="179"/>
      <c r="BJ49" s="180"/>
      <c r="BK49" s="178"/>
      <c r="BL49" s="178"/>
      <c r="BM49" s="178"/>
      <c r="BN49" s="178"/>
      <c r="BO49" s="181"/>
      <c r="BP49" s="166"/>
      <c r="BQ49" s="177"/>
      <c r="BR49" s="178"/>
      <c r="BS49" s="179"/>
      <c r="BU49" s="166"/>
      <c r="BV49" s="166"/>
      <c r="BW49" s="166"/>
      <c r="BX49" s="166"/>
      <c r="BY49" s="166"/>
      <c r="BZ49" s="166"/>
      <c r="CA49" s="166"/>
      <c r="CB49" s="166"/>
      <c r="CC49" s="166"/>
      <c r="CD49" s="177"/>
      <c r="CE49" s="181"/>
      <c r="CF49" s="177"/>
      <c r="CG49" s="179"/>
      <c r="CH49" s="257"/>
      <c r="CI49" s="182"/>
      <c r="CJ49" s="177"/>
      <c r="CK49" s="182"/>
      <c r="CL49" s="177"/>
      <c r="CM49" s="182"/>
      <c r="CN49" s="177"/>
      <c r="CO49" s="182"/>
      <c r="CP49" s="177"/>
      <c r="CQ49" s="178"/>
      <c r="CR49" s="182"/>
      <c r="CS49" s="173"/>
      <c r="CT49" s="65"/>
      <c r="CU49" s="255" t="str">
        <f t="shared" si="2"/>
        <v>MVK</v>
      </c>
    </row>
    <row r="50" ht="60.0" customHeight="1">
      <c r="A50" s="65"/>
      <c r="C50" s="167">
        <v>10.0</v>
      </c>
      <c r="D50" s="168" t="s">
        <v>158</v>
      </c>
      <c r="E50" s="169"/>
      <c r="F50" s="170"/>
      <c r="G50" s="170"/>
      <c r="H50" s="170"/>
      <c r="I50" s="207"/>
      <c r="J50" s="170"/>
      <c r="K50" s="171"/>
      <c r="L50" s="171"/>
      <c r="M50" s="171"/>
      <c r="N50" s="171"/>
      <c r="O50" s="268">
        <f t="shared" si="9"/>
        <v>0</v>
      </c>
      <c r="Q50" s="173"/>
      <c r="R50" s="65"/>
      <c r="S50" s="173"/>
      <c r="T50" s="173"/>
      <c r="U50" s="166"/>
      <c r="V50" s="166"/>
      <c r="W50" s="65"/>
      <c r="X50" s="66"/>
      <c r="Y50" s="173"/>
      <c r="Z50" s="166"/>
      <c r="AA50" s="174"/>
      <c r="AB50" s="175"/>
      <c r="AC50" s="175"/>
      <c r="AD50" s="175"/>
      <c r="AE50" s="175"/>
      <c r="AF50" s="175"/>
      <c r="AG50" s="175"/>
      <c r="AH50" s="175"/>
      <c r="AI50" s="176"/>
      <c r="AJ50" s="177"/>
      <c r="AK50" s="178"/>
      <c r="AL50" s="178"/>
      <c r="AM50" s="178"/>
      <c r="AN50" s="178"/>
      <c r="AO50" s="179"/>
      <c r="AP50" s="64"/>
      <c r="AQ50" s="65"/>
      <c r="AR50" s="65"/>
      <c r="AS50" s="65"/>
      <c r="AT50" s="173"/>
      <c r="AU50" s="177"/>
      <c r="AV50" s="178"/>
      <c r="AW50" s="178"/>
      <c r="AX50" s="179"/>
      <c r="AZ50" s="166"/>
      <c r="BA50" s="177"/>
      <c r="BB50" s="178"/>
      <c r="BC50" s="178"/>
      <c r="BD50" s="178"/>
      <c r="BE50" s="178"/>
      <c r="BF50" s="178"/>
      <c r="BG50" s="178"/>
      <c r="BH50" s="178"/>
      <c r="BI50" s="179"/>
      <c r="BJ50" s="180"/>
      <c r="BK50" s="178"/>
      <c r="BL50" s="178"/>
      <c r="BM50" s="178"/>
      <c r="BN50" s="178"/>
      <c r="BO50" s="181"/>
      <c r="BP50" s="166"/>
      <c r="BQ50" s="177"/>
      <c r="BR50" s="178"/>
      <c r="BS50" s="179"/>
      <c r="BU50" s="166"/>
      <c r="BV50" s="166"/>
      <c r="BW50" s="166"/>
      <c r="BX50" s="166"/>
      <c r="BY50" s="166"/>
      <c r="BZ50" s="166"/>
      <c r="CA50" s="166"/>
      <c r="CB50" s="166"/>
      <c r="CC50" s="166"/>
      <c r="CD50" s="177"/>
      <c r="CE50" s="181"/>
      <c r="CF50" s="177"/>
      <c r="CG50" s="179"/>
      <c r="CH50" s="257"/>
      <c r="CI50" s="182"/>
      <c r="CJ50" s="177"/>
      <c r="CK50" s="182"/>
      <c r="CL50" s="177"/>
      <c r="CM50" s="182"/>
      <c r="CN50" s="177"/>
      <c r="CO50" s="182"/>
      <c r="CP50" s="177"/>
      <c r="CQ50" s="178"/>
      <c r="CR50" s="182"/>
      <c r="CS50" s="173"/>
      <c r="CT50" s="65"/>
      <c r="CU50" s="255" t="str">
        <f t="shared" si="2"/>
        <v>MVK</v>
      </c>
    </row>
    <row r="51" ht="60.0" customHeight="1">
      <c r="A51" s="89"/>
      <c r="C51" s="183">
        <v>11.0</v>
      </c>
      <c r="D51" s="210" t="s">
        <v>158</v>
      </c>
      <c r="E51" s="185"/>
      <c r="F51" s="186"/>
      <c r="G51" s="186"/>
      <c r="H51" s="186"/>
      <c r="I51" s="212"/>
      <c r="J51" s="186"/>
      <c r="K51" s="187"/>
      <c r="L51" s="187"/>
      <c r="M51" s="187"/>
      <c r="N51" s="187"/>
      <c r="O51" s="269">
        <f t="shared" ref="O51:O57" si="10">IF(AND(M51&lt;&gt;0,M51&lt;&gt;"m",M51&lt;&gt;"",RIGHT(K51,3)="Lec"),1,IF(AND(M51&lt;&gt;0,M51&lt;&gt;"m",M51&lt;&gt;"",OR(RIGHT(K51,3)="Lab",RIGHT(K51,3)="Tut")),0.5,IF(AND(M51&lt;&gt;0,M51&lt;&gt;"m",M51&lt;&gt;"",RIGHT(K51,2)="TL"),0.75,0)))</f>
        <v>0</v>
      </c>
      <c r="P51" s="6"/>
      <c r="Q51" s="69"/>
      <c r="R51" s="89"/>
      <c r="S51" s="69"/>
      <c r="T51" s="69"/>
      <c r="U51" s="63"/>
      <c r="V51" s="63"/>
      <c r="W51" s="89"/>
      <c r="X51" s="68"/>
      <c r="Y51" s="69"/>
      <c r="Z51" s="63"/>
      <c r="AA51" s="189"/>
      <c r="AB51" s="190"/>
      <c r="AC51" s="190"/>
      <c r="AD51" s="190"/>
      <c r="AE51" s="190"/>
      <c r="AF51" s="190"/>
      <c r="AG51" s="190"/>
      <c r="AH51" s="190"/>
      <c r="AI51" s="191"/>
      <c r="AJ51" s="192"/>
      <c r="AK51" s="193"/>
      <c r="AL51" s="193"/>
      <c r="AM51" s="193"/>
      <c r="AN51" s="193"/>
      <c r="AO51" s="194"/>
      <c r="AP51" s="103"/>
      <c r="AQ51" s="89"/>
      <c r="AR51" s="89"/>
      <c r="AS51" s="89"/>
      <c r="AT51" s="69"/>
      <c r="AU51" s="192"/>
      <c r="AV51" s="193"/>
      <c r="AW51" s="193"/>
      <c r="AX51" s="194"/>
      <c r="AY51" s="6"/>
      <c r="AZ51" s="63"/>
      <c r="BA51" s="192"/>
      <c r="BB51" s="193"/>
      <c r="BC51" s="193"/>
      <c r="BD51" s="193"/>
      <c r="BE51" s="193"/>
      <c r="BF51" s="193"/>
      <c r="BG51" s="193"/>
      <c r="BH51" s="193"/>
      <c r="BI51" s="194"/>
      <c r="BJ51" s="195"/>
      <c r="BK51" s="193"/>
      <c r="BL51" s="193"/>
      <c r="BM51" s="193"/>
      <c r="BN51" s="193"/>
      <c r="BO51" s="196"/>
      <c r="BP51" s="63"/>
      <c r="BQ51" s="192"/>
      <c r="BR51" s="193"/>
      <c r="BS51" s="194"/>
      <c r="BT51" s="6"/>
      <c r="BU51" s="63"/>
      <c r="BV51" s="63"/>
      <c r="BW51" s="63"/>
      <c r="BX51" s="63"/>
      <c r="BY51" s="63"/>
      <c r="BZ51" s="63"/>
      <c r="CA51" s="63"/>
      <c r="CB51" s="63"/>
      <c r="CC51" s="63"/>
      <c r="CD51" s="192"/>
      <c r="CE51" s="196"/>
      <c r="CF51" s="192"/>
      <c r="CG51" s="194"/>
      <c r="CH51" s="259"/>
      <c r="CI51" s="197"/>
      <c r="CJ51" s="192"/>
      <c r="CK51" s="197"/>
      <c r="CL51" s="192"/>
      <c r="CM51" s="197"/>
      <c r="CN51" s="192"/>
      <c r="CO51" s="197"/>
      <c r="CP51" s="192"/>
      <c r="CQ51" s="193"/>
      <c r="CR51" s="197"/>
      <c r="CS51" s="69"/>
      <c r="CT51" s="89"/>
      <c r="CU51" s="255" t="str">
        <f t="shared" si="2"/>
        <v>MVK</v>
      </c>
    </row>
    <row r="52" ht="56.25" customHeight="1">
      <c r="A52" s="125">
        <v>5.0</v>
      </c>
      <c r="B52" s="199" t="s">
        <v>161</v>
      </c>
      <c r="C52" s="127">
        <v>1.0</v>
      </c>
      <c r="D52" s="168" t="s">
        <v>162</v>
      </c>
      <c r="E52" s="129"/>
      <c r="F52" s="130"/>
      <c r="G52" s="130"/>
      <c r="H52" s="130"/>
      <c r="I52" s="201"/>
      <c r="J52" s="130"/>
      <c r="K52" s="131"/>
      <c r="L52" s="131"/>
      <c r="M52" s="131"/>
      <c r="N52" s="131"/>
      <c r="O52" s="267">
        <f t="shared" si="10"/>
        <v>0</v>
      </c>
      <c r="P52" s="251">
        <f>COUNTIF(K52:K62,"TL")*0.75+COUNTIF(K52:K62,"Lec")*1+COUNTIF(K52:K62,"Lab")*0.5</f>
        <v>0</v>
      </c>
      <c r="Q52" s="134">
        <f>SUM((IF(LEFT(K52,1)="E",O52,0)),(IF(LEFT(K53,1)="E",O53,0)),(IF(LEFT(K54,1)="E",O54,0)),(IF(LEFT(K55,1)="E",O55,0)),(IF(LEFT(K56,1)="E",O56,0)),(IF(LEFT(K57,1)="E",O57,0)),(IF(LEFT(K58,1)="E",O58,0)),(IF(LEFT(K59,1)="E",O59,0)),(IF(LEFT(K60,1)="E",O60,0)),(IF(LEFT(K61,1)="E",O61,0)),(IF(LEFT(K62,1)="E",O62,0)))</f>
        <v>0</v>
      </c>
      <c r="R52" s="135">
        <f>SUM(IF(M58&lt;20,IF(K58="Plec",-1,IF(K58="PTL",-0.75,IF(K58="Plab",-0.5,0))),0),IF(M59&lt;20,IF(K59="Plec",-1,IF(K59="PTL",-0.75,IF(K59="Plab",-0.5,0))),0),IF(M60&lt;20,IF(K60="Plec",-1,IF(K60="PTL",-0.75,IF(K60="Plab",-0.5,0))),0),IF(M61&lt;20,IF(K61="Plec",-1,IF(K61="PTL",-0.75,IF(K61="Plab",-0.5,0))),0))</f>
        <v>0</v>
      </c>
      <c r="S52" s="134">
        <f>SUM(P52:R62)</f>
        <v>0</v>
      </c>
      <c r="T52" s="136">
        <f>SUM(IF(M52="M",IF(OR(K52="lec",K52="plec",K52="slec"),1,IF(OR(K52="lab",K52="plab",K52="slab",K52="tut",K52="ptut",K52="stut"),0.5,IF(OR(K52="TL",K52="pTL",K52="STL"),0.75,0))),0),IF(M53="M",IF(OR(K53="lec",K53="plec",K53="slec"),1,IF(OR(K53="lab",K53="plab",K53="slab",K53="tut",K53="ptut",K53="stut"),0.5,IF(OR(K53="TL",K53="pTL",K53="STL"),0.75,0))),0),IF(M54="M",IF(OR(K54="lec",K54="plec",K54="slec"),1,IF(OR(K54="lab",K54="plab",K54="slab",K54="tut",K54="ptut",K54="stut"),0.5,IF(OR(K54="TL",K54="pTL",K54="STL"),0.75,0))),0),IF(M55="M",IF(OR(K55="lec",K55="plec",K55="slec"),1,IF(OR(K55="lab",K55="plab",K55="slab",K55="tut",K55="ptut",K55="stut"),0.5,IF(OR(K55="TL",K55="pTL",K55="STL"),0.75,0))),0),IF(M56="M",IF(OR(K56="lec",K56="plec",K56="slec"),1,IF(OR(K56="lab",K56="plab",K56="slab",K56="tut",K56="ptut",K56="stut"),0.5,IF(OR(K56="TL",K56="pTL",K56="STL"),0.75,0))),0),IF(M57="M",IF(OR(K57="lec",K57="plec",K57="slec"),1,IF(OR(K57="lab",K57="plab",K57="slab",K57="tut",K57="ptut",K57="stut"),0.5,IF(OR(K57="TL",K57="pTL",K57="STL"),0.75,0))),0),IF(M58="M",IF(OR(K58="lec",K58="plec",K58="slec"),1,IF(OR(K58="lab",K58="plab",K58="slab",K58="tut",K58="ptut",K58="stut"),0.5,IF(OR(K58="TL",K58="pTL",K58="STL"),0.75,0))),0),IF(M59="M",IF(OR(K59="lec",K59="plec",K59="slec"),1,IF(OR(K59="lab",K59="plab",K59="slab",K59="tut",K59="ptut",K59="stut"),0.5,IF(OR(K59="TL",K59="pTL",K59="STL"),0.75,0))),0),IF(M60="M",IF(OR(K60="lec",K60="plec",K60="slec"),1,IF(OR(K60="lab",K60="plab",K60="slab",K60="tut",K60="ptut",K60="stut"),0.5,IF(OR(K60="TL",K60="pTL",K60="STL"),0.75,0))),0),IF(M61="M",IF(OR(K61="lec",K61="plec",K61="slec"),1,IF(OR(K61="lab",K61="plab",K61="slab",K61="tut",K61="ptut",K61="stut"),0.5,IF(OR(K61="TL",K61="pTL",K61="STL"),0.75,0))),0),IF(M62="M",IF(OR(K62="lec",K62="plec",K62="slec"),1,IF(OR(K62="lab",K62="plab",K62="slab",K62="tut",K62="ptut",K62="stut"),0.5,IF(OR(K62="TL",K62="pTL",K62="STL"),0.75,0))),0))</f>
        <v>0</v>
      </c>
      <c r="U52" s="137"/>
      <c r="V52" s="133"/>
      <c r="W52" s="138"/>
      <c r="X52" s="139">
        <f>S52-(T52+U52+V52+W52)</f>
        <v>0</v>
      </c>
      <c r="Y52" s="134" t="str">
        <f>CONCATENATE(SUM(O52:O62),"(",SUM(O52:O62)-X52,")")</f>
        <v>0(0)</v>
      </c>
      <c r="Z52" s="140"/>
      <c r="AA52" s="141"/>
      <c r="AB52" s="142"/>
      <c r="AC52" s="142"/>
      <c r="AD52" s="142"/>
      <c r="AE52" s="142"/>
      <c r="AF52" s="142"/>
      <c r="AG52" s="142"/>
      <c r="AH52" s="142"/>
      <c r="AI52" s="143"/>
      <c r="AJ52" s="144"/>
      <c r="AK52" s="145"/>
      <c r="AL52" s="145"/>
      <c r="AM52" s="145"/>
      <c r="AN52" s="145"/>
      <c r="AO52" s="146"/>
      <c r="AP52" s="147">
        <f>SUM(SUM(O52:O62),SUM(AI52:AI62)/2,AM52)</f>
        <v>0</v>
      </c>
      <c r="AQ52" s="148"/>
      <c r="AR52" s="148">
        <f>AP52*AQ52</f>
        <v>0</v>
      </c>
      <c r="AS52" s="148">
        <f>CT52</f>
        <v>9.7</v>
      </c>
      <c r="AT52" s="149">
        <f>AR52*0.75+AS52*0.25</f>
        <v>2.425</v>
      </c>
      <c r="AU52" s="150"/>
      <c r="AV52" s="151"/>
      <c r="AW52" s="151"/>
      <c r="AX52" s="152"/>
      <c r="AY52" s="153"/>
      <c r="AZ52" s="140"/>
      <c r="BA52" s="150">
        <v>1.0</v>
      </c>
      <c r="BB52" s="151" t="s">
        <v>247</v>
      </c>
      <c r="BC52" s="151">
        <v>1.0</v>
      </c>
      <c r="BD52" s="151">
        <v>302.0</v>
      </c>
      <c r="BE52" s="151" t="s">
        <v>150</v>
      </c>
      <c r="BF52" s="151"/>
      <c r="BG52" s="151">
        <v>2.0</v>
      </c>
      <c r="BH52" s="151"/>
      <c r="BI52" s="152">
        <v>6.0</v>
      </c>
      <c r="BJ52" s="154"/>
      <c r="BK52" s="151"/>
      <c r="BL52" s="151"/>
      <c r="BM52" s="151">
        <v>6.2</v>
      </c>
      <c r="BN52" s="151"/>
      <c r="BO52" s="155"/>
      <c r="BP52" s="140"/>
      <c r="BQ52" s="156"/>
      <c r="BR52" s="157"/>
      <c r="BS52" s="158"/>
      <c r="BT52" s="153"/>
      <c r="BU52" s="140"/>
      <c r="BV52" s="140"/>
      <c r="BW52" s="140"/>
      <c r="BX52" s="140"/>
      <c r="BY52" s="140"/>
      <c r="BZ52" s="140"/>
      <c r="CA52" s="140"/>
      <c r="CB52" s="140"/>
      <c r="CC52" s="140"/>
      <c r="CD52" s="150"/>
      <c r="CE52" s="155"/>
      <c r="CF52" s="150" t="s">
        <v>248</v>
      </c>
      <c r="CG52" s="152"/>
      <c r="CH52" s="252"/>
      <c r="CI52" s="160"/>
      <c r="CJ52" s="159"/>
      <c r="CK52" s="160"/>
      <c r="CL52" s="159"/>
      <c r="CM52" s="160"/>
      <c r="CN52" s="159"/>
      <c r="CO52" s="160"/>
      <c r="CP52" s="159"/>
      <c r="CQ52" s="162"/>
      <c r="CR52" s="160"/>
      <c r="CS52" s="253">
        <f>SUM(IF(AU52&lt;0,ABS(AU52),0),IF(AZ52&lt;0,ABS(AZ52),0),ABS(CI52),ABS(CK52),ABS(CM52),ABS(CO52),ABS(CQ52),ABS(CR52))</f>
        <v>0</v>
      </c>
      <c r="CT52" s="254">
        <f>SUM(AU52,AV52,AW52,AX52/400,AY52,AZ52,BG52,BH52*0.5,BI52*0.25,BJ52,BK52,BL52,BM52,BN52,BO52,BP52,BR52/20,BS52/100,BT52/60,BU52,BV52,BW52,BX52/4,SUM(BY52:CC62)/3,CE52,CG52/3,CI52,CK52,CM52,CO52,CQ52,CR52)</f>
        <v>9.7</v>
      </c>
      <c r="CU52" s="255" t="str">
        <f t="shared" si="2"/>
        <v>PCS</v>
      </c>
    </row>
    <row r="53" ht="60.0" customHeight="1">
      <c r="A53" s="65"/>
      <c r="C53" s="167">
        <v>2.0</v>
      </c>
      <c r="D53" s="168" t="s">
        <v>162</v>
      </c>
      <c r="E53" s="169"/>
      <c r="F53" s="170"/>
      <c r="G53" s="170"/>
      <c r="H53" s="170"/>
      <c r="I53" s="207"/>
      <c r="J53" s="170"/>
      <c r="K53" s="171"/>
      <c r="L53" s="171"/>
      <c r="M53" s="171"/>
      <c r="N53" s="171"/>
      <c r="O53" s="268">
        <f t="shared" si="10"/>
        <v>0</v>
      </c>
      <c r="Q53" s="173"/>
      <c r="R53" s="65"/>
      <c r="S53" s="173"/>
      <c r="T53" s="173"/>
      <c r="U53" s="166"/>
      <c r="V53" s="166"/>
      <c r="W53" s="65"/>
      <c r="X53" s="66"/>
      <c r="Y53" s="173"/>
      <c r="Z53" s="166"/>
      <c r="AA53" s="174"/>
      <c r="AB53" s="175"/>
      <c r="AC53" s="175"/>
      <c r="AD53" s="175"/>
      <c r="AE53" s="175"/>
      <c r="AF53" s="175"/>
      <c r="AG53" s="175"/>
      <c r="AH53" s="175"/>
      <c r="AI53" s="176"/>
      <c r="AJ53" s="177"/>
      <c r="AK53" s="178"/>
      <c r="AL53" s="178"/>
      <c r="AM53" s="178"/>
      <c r="AN53" s="178"/>
      <c r="AO53" s="179"/>
      <c r="AP53" s="64"/>
      <c r="AQ53" s="65"/>
      <c r="AR53" s="65"/>
      <c r="AS53" s="65"/>
      <c r="AT53" s="173"/>
      <c r="AU53" s="177"/>
      <c r="AV53" s="178"/>
      <c r="AW53" s="178"/>
      <c r="AX53" s="179"/>
      <c r="AZ53" s="166"/>
      <c r="BA53" s="177"/>
      <c r="BB53" s="178"/>
      <c r="BC53" s="178"/>
      <c r="BD53" s="178"/>
      <c r="BE53" s="178"/>
      <c r="BF53" s="178"/>
      <c r="BG53" s="178"/>
      <c r="BH53" s="178"/>
      <c r="BI53" s="179"/>
      <c r="BJ53" s="180"/>
      <c r="BK53" s="178"/>
      <c r="BL53" s="178"/>
      <c r="BM53" s="178"/>
      <c r="BN53" s="178"/>
      <c r="BO53" s="181"/>
      <c r="BP53" s="166"/>
      <c r="BQ53" s="177"/>
      <c r="BR53" s="178"/>
      <c r="BS53" s="179"/>
      <c r="BU53" s="166"/>
      <c r="BV53" s="166"/>
      <c r="BW53" s="166"/>
      <c r="BX53" s="166"/>
      <c r="BY53" s="166"/>
      <c r="BZ53" s="166"/>
      <c r="CA53" s="166"/>
      <c r="CB53" s="166"/>
      <c r="CC53" s="166"/>
      <c r="CD53" s="177"/>
      <c r="CE53" s="181"/>
      <c r="CF53" s="177"/>
      <c r="CG53" s="179"/>
      <c r="CH53" s="257"/>
      <c r="CI53" s="182"/>
      <c r="CJ53" s="177"/>
      <c r="CK53" s="182"/>
      <c r="CL53" s="177"/>
      <c r="CM53" s="182"/>
      <c r="CN53" s="177"/>
      <c r="CO53" s="182"/>
      <c r="CP53" s="177"/>
      <c r="CQ53" s="178"/>
      <c r="CR53" s="182"/>
      <c r="CS53" s="173"/>
      <c r="CT53" s="65"/>
      <c r="CU53" s="255" t="str">
        <f t="shared" si="2"/>
        <v>PCS</v>
      </c>
    </row>
    <row r="54" ht="60.0" customHeight="1">
      <c r="A54" s="65"/>
      <c r="C54" s="167">
        <v>3.0</v>
      </c>
      <c r="D54" s="168" t="s">
        <v>162</v>
      </c>
      <c r="E54" s="169"/>
      <c r="F54" s="170"/>
      <c r="G54" s="170"/>
      <c r="H54" s="170"/>
      <c r="I54" s="207"/>
      <c r="J54" s="170"/>
      <c r="K54" s="171"/>
      <c r="L54" s="171"/>
      <c r="M54" s="171"/>
      <c r="N54" s="171"/>
      <c r="O54" s="268">
        <f t="shared" si="10"/>
        <v>0</v>
      </c>
      <c r="Q54" s="173"/>
      <c r="R54" s="65"/>
      <c r="S54" s="173"/>
      <c r="T54" s="173"/>
      <c r="U54" s="166"/>
      <c r="V54" s="166"/>
      <c r="W54" s="65"/>
      <c r="X54" s="66"/>
      <c r="Y54" s="173"/>
      <c r="Z54" s="166"/>
      <c r="AA54" s="174"/>
      <c r="AB54" s="175"/>
      <c r="AC54" s="175"/>
      <c r="AD54" s="175"/>
      <c r="AE54" s="175"/>
      <c r="AF54" s="175"/>
      <c r="AG54" s="175"/>
      <c r="AH54" s="175"/>
      <c r="AI54" s="176"/>
      <c r="AJ54" s="177"/>
      <c r="AK54" s="178"/>
      <c r="AL54" s="178"/>
      <c r="AM54" s="178"/>
      <c r="AN54" s="178"/>
      <c r="AO54" s="179"/>
      <c r="AP54" s="64"/>
      <c r="AQ54" s="65"/>
      <c r="AR54" s="65"/>
      <c r="AS54" s="65"/>
      <c r="AT54" s="173"/>
      <c r="AU54" s="177"/>
      <c r="AV54" s="178"/>
      <c r="AW54" s="178"/>
      <c r="AX54" s="179"/>
      <c r="AZ54" s="166"/>
      <c r="BA54" s="177"/>
      <c r="BB54" s="178"/>
      <c r="BC54" s="178"/>
      <c r="BD54" s="178"/>
      <c r="BE54" s="178"/>
      <c r="BF54" s="178"/>
      <c r="BG54" s="178"/>
      <c r="BH54" s="178"/>
      <c r="BI54" s="179"/>
      <c r="BJ54" s="180"/>
      <c r="BK54" s="178"/>
      <c r="BL54" s="178"/>
      <c r="BM54" s="178"/>
      <c r="BN54" s="178"/>
      <c r="BO54" s="181"/>
      <c r="BP54" s="166"/>
      <c r="BQ54" s="177"/>
      <c r="BR54" s="178"/>
      <c r="BS54" s="179"/>
      <c r="BU54" s="166"/>
      <c r="BV54" s="166"/>
      <c r="BW54" s="166"/>
      <c r="BX54" s="166"/>
      <c r="BY54" s="166"/>
      <c r="BZ54" s="166"/>
      <c r="CA54" s="166"/>
      <c r="CB54" s="166"/>
      <c r="CC54" s="166"/>
      <c r="CD54" s="177"/>
      <c r="CE54" s="181"/>
      <c r="CF54" s="177"/>
      <c r="CG54" s="179"/>
      <c r="CH54" s="257"/>
      <c r="CI54" s="182"/>
      <c r="CJ54" s="177"/>
      <c r="CK54" s="182"/>
      <c r="CL54" s="177"/>
      <c r="CM54" s="182"/>
      <c r="CN54" s="177"/>
      <c r="CO54" s="182"/>
      <c r="CP54" s="177"/>
      <c r="CQ54" s="178"/>
      <c r="CR54" s="182"/>
      <c r="CS54" s="173"/>
      <c r="CT54" s="65"/>
      <c r="CU54" s="255" t="str">
        <f t="shared" si="2"/>
        <v>PCS</v>
      </c>
    </row>
    <row r="55" ht="60.0" customHeight="1">
      <c r="A55" s="65"/>
      <c r="C55" s="167">
        <v>4.0</v>
      </c>
      <c r="D55" s="168" t="s">
        <v>162</v>
      </c>
      <c r="E55" s="169"/>
      <c r="F55" s="170"/>
      <c r="G55" s="170"/>
      <c r="H55" s="170"/>
      <c r="I55" s="207"/>
      <c r="J55" s="170"/>
      <c r="K55" s="171"/>
      <c r="L55" s="171"/>
      <c r="M55" s="171"/>
      <c r="N55" s="171"/>
      <c r="O55" s="268">
        <f t="shared" si="10"/>
        <v>0</v>
      </c>
      <c r="Q55" s="173"/>
      <c r="R55" s="65"/>
      <c r="S55" s="173"/>
      <c r="T55" s="173"/>
      <c r="U55" s="166"/>
      <c r="V55" s="166"/>
      <c r="W55" s="65"/>
      <c r="X55" s="66"/>
      <c r="Y55" s="173"/>
      <c r="Z55" s="166"/>
      <c r="AA55" s="174"/>
      <c r="AB55" s="175"/>
      <c r="AC55" s="175"/>
      <c r="AD55" s="175"/>
      <c r="AE55" s="175"/>
      <c r="AF55" s="175"/>
      <c r="AG55" s="175"/>
      <c r="AH55" s="175"/>
      <c r="AI55" s="176"/>
      <c r="AJ55" s="177"/>
      <c r="AK55" s="178"/>
      <c r="AL55" s="178"/>
      <c r="AM55" s="178"/>
      <c r="AN55" s="178"/>
      <c r="AO55" s="179"/>
      <c r="AP55" s="64"/>
      <c r="AQ55" s="65"/>
      <c r="AR55" s="65"/>
      <c r="AS55" s="65"/>
      <c r="AT55" s="173"/>
      <c r="AU55" s="177"/>
      <c r="AV55" s="178"/>
      <c r="AW55" s="178"/>
      <c r="AX55" s="179"/>
      <c r="AZ55" s="166"/>
      <c r="BA55" s="177"/>
      <c r="BB55" s="178"/>
      <c r="BC55" s="178"/>
      <c r="BD55" s="178"/>
      <c r="BE55" s="178"/>
      <c r="BF55" s="178"/>
      <c r="BG55" s="178"/>
      <c r="BH55" s="178"/>
      <c r="BI55" s="179"/>
      <c r="BJ55" s="180"/>
      <c r="BK55" s="178"/>
      <c r="BL55" s="178"/>
      <c r="BM55" s="178"/>
      <c r="BN55" s="178"/>
      <c r="BO55" s="181"/>
      <c r="BP55" s="166"/>
      <c r="BQ55" s="177"/>
      <c r="BR55" s="178"/>
      <c r="BS55" s="179"/>
      <c r="BU55" s="166"/>
      <c r="BV55" s="166"/>
      <c r="BW55" s="166"/>
      <c r="BX55" s="166"/>
      <c r="BY55" s="166"/>
      <c r="BZ55" s="166"/>
      <c r="CA55" s="166"/>
      <c r="CB55" s="166"/>
      <c r="CC55" s="166"/>
      <c r="CD55" s="177"/>
      <c r="CE55" s="181"/>
      <c r="CF55" s="177"/>
      <c r="CG55" s="179"/>
      <c r="CH55" s="257"/>
      <c r="CI55" s="182"/>
      <c r="CJ55" s="177"/>
      <c r="CK55" s="182"/>
      <c r="CL55" s="177"/>
      <c r="CM55" s="182"/>
      <c r="CN55" s="177"/>
      <c r="CO55" s="182"/>
      <c r="CP55" s="177"/>
      <c r="CQ55" s="178"/>
      <c r="CR55" s="182"/>
      <c r="CS55" s="173"/>
      <c r="CT55" s="65"/>
      <c r="CU55" s="255" t="str">
        <f t="shared" si="2"/>
        <v>PCS</v>
      </c>
    </row>
    <row r="56" ht="60.0" customHeight="1">
      <c r="A56" s="65"/>
      <c r="C56" s="167">
        <v>5.0</v>
      </c>
      <c r="D56" s="168" t="s">
        <v>162</v>
      </c>
      <c r="E56" s="169"/>
      <c r="F56" s="170"/>
      <c r="G56" s="170"/>
      <c r="H56" s="170"/>
      <c r="I56" s="207"/>
      <c r="J56" s="170"/>
      <c r="K56" s="171"/>
      <c r="L56" s="171"/>
      <c r="M56" s="171"/>
      <c r="N56" s="171"/>
      <c r="O56" s="268">
        <f t="shared" si="10"/>
        <v>0</v>
      </c>
      <c r="Q56" s="173"/>
      <c r="R56" s="65"/>
      <c r="S56" s="173"/>
      <c r="T56" s="173"/>
      <c r="U56" s="166"/>
      <c r="V56" s="166"/>
      <c r="W56" s="65"/>
      <c r="X56" s="66"/>
      <c r="Y56" s="173"/>
      <c r="Z56" s="166"/>
      <c r="AA56" s="174"/>
      <c r="AB56" s="175"/>
      <c r="AC56" s="175"/>
      <c r="AD56" s="175"/>
      <c r="AE56" s="175"/>
      <c r="AF56" s="175"/>
      <c r="AG56" s="175"/>
      <c r="AH56" s="175"/>
      <c r="AI56" s="176"/>
      <c r="AJ56" s="177"/>
      <c r="AK56" s="178"/>
      <c r="AL56" s="178"/>
      <c r="AM56" s="178"/>
      <c r="AN56" s="178"/>
      <c r="AO56" s="179"/>
      <c r="AP56" s="64"/>
      <c r="AQ56" s="65"/>
      <c r="AR56" s="65"/>
      <c r="AS56" s="65"/>
      <c r="AT56" s="173"/>
      <c r="AU56" s="177"/>
      <c r="AV56" s="178"/>
      <c r="AW56" s="178"/>
      <c r="AX56" s="179"/>
      <c r="AZ56" s="166"/>
      <c r="BA56" s="177"/>
      <c r="BB56" s="178"/>
      <c r="BC56" s="178"/>
      <c r="BD56" s="178"/>
      <c r="BE56" s="178"/>
      <c r="BF56" s="178"/>
      <c r="BG56" s="178"/>
      <c r="BH56" s="178"/>
      <c r="BI56" s="179"/>
      <c r="BJ56" s="180"/>
      <c r="BK56" s="178"/>
      <c r="BL56" s="178"/>
      <c r="BM56" s="178"/>
      <c r="BN56" s="178"/>
      <c r="BO56" s="181"/>
      <c r="BP56" s="166"/>
      <c r="BQ56" s="177"/>
      <c r="BR56" s="178"/>
      <c r="BS56" s="179"/>
      <c r="BU56" s="166"/>
      <c r="BV56" s="166"/>
      <c r="BW56" s="166"/>
      <c r="BX56" s="166"/>
      <c r="BY56" s="166"/>
      <c r="BZ56" s="166"/>
      <c r="CA56" s="166"/>
      <c r="CB56" s="166"/>
      <c r="CC56" s="166"/>
      <c r="CD56" s="177"/>
      <c r="CE56" s="181"/>
      <c r="CF56" s="177"/>
      <c r="CG56" s="179"/>
      <c r="CH56" s="257"/>
      <c r="CI56" s="182"/>
      <c r="CJ56" s="177"/>
      <c r="CK56" s="182"/>
      <c r="CL56" s="177"/>
      <c r="CM56" s="182"/>
      <c r="CN56" s="177"/>
      <c r="CO56" s="182"/>
      <c r="CP56" s="177"/>
      <c r="CQ56" s="178"/>
      <c r="CR56" s="182"/>
      <c r="CS56" s="173"/>
      <c r="CT56" s="65"/>
      <c r="CU56" s="255" t="str">
        <f t="shared" si="2"/>
        <v>PCS</v>
      </c>
    </row>
    <row r="57" ht="60.0" customHeight="1">
      <c r="A57" s="65"/>
      <c r="C57" s="167">
        <v>6.0</v>
      </c>
      <c r="D57" s="168" t="s">
        <v>162</v>
      </c>
      <c r="E57" s="169"/>
      <c r="F57" s="170"/>
      <c r="G57" s="170"/>
      <c r="H57" s="170"/>
      <c r="I57" s="207"/>
      <c r="J57" s="170"/>
      <c r="K57" s="171"/>
      <c r="L57" s="171"/>
      <c r="M57" s="171"/>
      <c r="N57" s="171"/>
      <c r="O57" s="268">
        <f t="shared" si="10"/>
        <v>0</v>
      </c>
      <c r="Q57" s="173"/>
      <c r="R57" s="65"/>
      <c r="S57" s="173"/>
      <c r="T57" s="173"/>
      <c r="U57" s="166"/>
      <c r="V57" s="166"/>
      <c r="W57" s="65"/>
      <c r="X57" s="66"/>
      <c r="Y57" s="173"/>
      <c r="Z57" s="166"/>
      <c r="AA57" s="174"/>
      <c r="AB57" s="175"/>
      <c r="AC57" s="175"/>
      <c r="AD57" s="175"/>
      <c r="AE57" s="175"/>
      <c r="AF57" s="175"/>
      <c r="AG57" s="175"/>
      <c r="AH57" s="175"/>
      <c r="AI57" s="176"/>
      <c r="AJ57" s="177"/>
      <c r="AK57" s="178"/>
      <c r="AL57" s="178"/>
      <c r="AM57" s="178"/>
      <c r="AN57" s="178"/>
      <c r="AO57" s="179"/>
      <c r="AP57" s="64"/>
      <c r="AQ57" s="65"/>
      <c r="AR57" s="65"/>
      <c r="AS57" s="65"/>
      <c r="AT57" s="173"/>
      <c r="AU57" s="177"/>
      <c r="AV57" s="178"/>
      <c r="AW57" s="178"/>
      <c r="AX57" s="179"/>
      <c r="AZ57" s="166"/>
      <c r="BA57" s="177"/>
      <c r="BB57" s="178"/>
      <c r="BC57" s="178"/>
      <c r="BD57" s="178"/>
      <c r="BE57" s="178"/>
      <c r="BF57" s="178"/>
      <c r="BG57" s="178"/>
      <c r="BH57" s="178"/>
      <c r="BI57" s="179"/>
      <c r="BJ57" s="180"/>
      <c r="BK57" s="178"/>
      <c r="BL57" s="178"/>
      <c r="BM57" s="178"/>
      <c r="BN57" s="178"/>
      <c r="BO57" s="181"/>
      <c r="BP57" s="166"/>
      <c r="BQ57" s="177"/>
      <c r="BR57" s="178"/>
      <c r="BS57" s="179"/>
      <c r="BU57" s="166"/>
      <c r="BV57" s="166"/>
      <c r="BW57" s="166"/>
      <c r="BX57" s="166"/>
      <c r="BY57" s="166"/>
      <c r="BZ57" s="166"/>
      <c r="CA57" s="166"/>
      <c r="CB57" s="166"/>
      <c r="CC57" s="166"/>
      <c r="CD57" s="177"/>
      <c r="CE57" s="181"/>
      <c r="CF57" s="177"/>
      <c r="CG57" s="179"/>
      <c r="CH57" s="257"/>
      <c r="CI57" s="182"/>
      <c r="CJ57" s="177"/>
      <c r="CK57" s="182"/>
      <c r="CL57" s="177"/>
      <c r="CM57" s="182"/>
      <c r="CN57" s="177"/>
      <c r="CO57" s="182"/>
      <c r="CP57" s="177"/>
      <c r="CQ57" s="178"/>
      <c r="CR57" s="182"/>
      <c r="CS57" s="173"/>
      <c r="CT57" s="65"/>
      <c r="CU57" s="255" t="str">
        <f t="shared" si="2"/>
        <v>PCS</v>
      </c>
    </row>
    <row r="58" ht="60.0" customHeight="1">
      <c r="A58" s="65"/>
      <c r="C58" s="167">
        <v>7.0</v>
      </c>
      <c r="D58" s="168" t="s">
        <v>162</v>
      </c>
      <c r="E58" s="169"/>
      <c r="F58" s="170"/>
      <c r="G58" s="170"/>
      <c r="H58" s="170"/>
      <c r="I58" s="207"/>
      <c r="J58" s="170"/>
      <c r="K58" s="171"/>
      <c r="L58" s="171"/>
      <c r="M58" s="171"/>
      <c r="N58" s="171"/>
      <c r="O58" s="268">
        <f t="shared" ref="O58:O61" si="11">IF(AND(M58&gt;=20,M58&lt;&gt;"m",RIGHT(K58,3)="Lec"),1,IF(AND(M58&gt;=20,M58&lt;&gt;"m",OR(RIGHT(K58,3)="Lab",RIGHT(K58,3)="Tut")),0.5,IF(AND(M58&gt;=20,M58&lt;&gt;"m",RIGHT(K58,2)="TL"),0.75,0)))</f>
        <v>0</v>
      </c>
      <c r="Q58" s="173"/>
      <c r="R58" s="65"/>
      <c r="S58" s="173"/>
      <c r="T58" s="173"/>
      <c r="U58" s="166"/>
      <c r="V58" s="166"/>
      <c r="W58" s="65"/>
      <c r="X58" s="66"/>
      <c r="Y58" s="173"/>
      <c r="Z58" s="166"/>
      <c r="AA58" s="174"/>
      <c r="AB58" s="175"/>
      <c r="AC58" s="175"/>
      <c r="AD58" s="175"/>
      <c r="AE58" s="175"/>
      <c r="AF58" s="175"/>
      <c r="AG58" s="175"/>
      <c r="AH58" s="175"/>
      <c r="AI58" s="176"/>
      <c r="AJ58" s="177"/>
      <c r="AK58" s="178"/>
      <c r="AL58" s="178"/>
      <c r="AM58" s="178"/>
      <c r="AN58" s="178"/>
      <c r="AO58" s="179"/>
      <c r="AP58" s="64"/>
      <c r="AQ58" s="65"/>
      <c r="AR58" s="65"/>
      <c r="AS58" s="65"/>
      <c r="AT58" s="173"/>
      <c r="AU58" s="177"/>
      <c r="AV58" s="178"/>
      <c r="AW58" s="178"/>
      <c r="AX58" s="179"/>
      <c r="AZ58" s="166"/>
      <c r="BA58" s="177"/>
      <c r="BB58" s="178"/>
      <c r="BC58" s="178"/>
      <c r="BD58" s="178"/>
      <c r="BE58" s="178"/>
      <c r="BF58" s="178"/>
      <c r="BG58" s="178"/>
      <c r="BH58" s="178"/>
      <c r="BI58" s="179"/>
      <c r="BJ58" s="180"/>
      <c r="BK58" s="178"/>
      <c r="BL58" s="178"/>
      <c r="BM58" s="178"/>
      <c r="BN58" s="178"/>
      <c r="BO58" s="181"/>
      <c r="BP58" s="166"/>
      <c r="BQ58" s="177"/>
      <c r="BR58" s="178"/>
      <c r="BS58" s="179"/>
      <c r="BU58" s="166"/>
      <c r="BV58" s="166"/>
      <c r="BW58" s="166"/>
      <c r="BX58" s="166"/>
      <c r="BY58" s="166"/>
      <c r="BZ58" s="166"/>
      <c r="CA58" s="166"/>
      <c r="CB58" s="166"/>
      <c r="CC58" s="166"/>
      <c r="CD58" s="177"/>
      <c r="CE58" s="181"/>
      <c r="CF58" s="177"/>
      <c r="CG58" s="179"/>
      <c r="CH58" s="257"/>
      <c r="CI58" s="182"/>
      <c r="CJ58" s="177"/>
      <c r="CK58" s="182"/>
      <c r="CL58" s="177"/>
      <c r="CM58" s="182"/>
      <c r="CN58" s="177"/>
      <c r="CO58" s="182"/>
      <c r="CP58" s="177"/>
      <c r="CQ58" s="178"/>
      <c r="CR58" s="182"/>
      <c r="CS58" s="173"/>
      <c r="CT58" s="65"/>
      <c r="CU58" s="255" t="str">
        <f t="shared" si="2"/>
        <v>PCS</v>
      </c>
    </row>
    <row r="59" ht="60.0" customHeight="1">
      <c r="A59" s="65"/>
      <c r="C59" s="167">
        <v>8.0</v>
      </c>
      <c r="D59" s="168" t="s">
        <v>162</v>
      </c>
      <c r="E59" s="169"/>
      <c r="F59" s="170"/>
      <c r="G59" s="170"/>
      <c r="H59" s="170"/>
      <c r="I59" s="207"/>
      <c r="J59" s="170"/>
      <c r="K59" s="171"/>
      <c r="L59" s="171"/>
      <c r="M59" s="171"/>
      <c r="N59" s="171"/>
      <c r="O59" s="268">
        <f t="shared" si="11"/>
        <v>0</v>
      </c>
      <c r="Q59" s="173"/>
      <c r="R59" s="65"/>
      <c r="S59" s="173"/>
      <c r="T59" s="173"/>
      <c r="U59" s="166"/>
      <c r="V59" s="166"/>
      <c r="W59" s="65"/>
      <c r="X59" s="66"/>
      <c r="Y59" s="173"/>
      <c r="Z59" s="166"/>
      <c r="AA59" s="174"/>
      <c r="AB59" s="175"/>
      <c r="AC59" s="175"/>
      <c r="AD59" s="175"/>
      <c r="AE59" s="175"/>
      <c r="AF59" s="175"/>
      <c r="AG59" s="175"/>
      <c r="AH59" s="175"/>
      <c r="AI59" s="176"/>
      <c r="AJ59" s="177"/>
      <c r="AK59" s="178"/>
      <c r="AL59" s="178"/>
      <c r="AM59" s="178"/>
      <c r="AN59" s="178"/>
      <c r="AO59" s="179"/>
      <c r="AP59" s="64"/>
      <c r="AQ59" s="65"/>
      <c r="AR59" s="65"/>
      <c r="AS59" s="65"/>
      <c r="AT59" s="173"/>
      <c r="AU59" s="177"/>
      <c r="AV59" s="178"/>
      <c r="AW59" s="178"/>
      <c r="AX59" s="179"/>
      <c r="AZ59" s="166"/>
      <c r="BA59" s="177"/>
      <c r="BB59" s="178"/>
      <c r="BC59" s="178"/>
      <c r="BD59" s="178"/>
      <c r="BE59" s="178"/>
      <c r="BF59" s="178"/>
      <c r="BG59" s="178"/>
      <c r="BH59" s="178"/>
      <c r="BI59" s="179"/>
      <c r="BJ59" s="180"/>
      <c r="BK59" s="178"/>
      <c r="BL59" s="178"/>
      <c r="BM59" s="178"/>
      <c r="BN59" s="178"/>
      <c r="BO59" s="181"/>
      <c r="BP59" s="166"/>
      <c r="BQ59" s="177"/>
      <c r="BR59" s="178"/>
      <c r="BS59" s="179"/>
      <c r="BU59" s="166"/>
      <c r="BV59" s="166"/>
      <c r="BW59" s="166"/>
      <c r="BX59" s="166"/>
      <c r="BY59" s="166"/>
      <c r="BZ59" s="166"/>
      <c r="CA59" s="166"/>
      <c r="CB59" s="166"/>
      <c r="CC59" s="166"/>
      <c r="CD59" s="177"/>
      <c r="CE59" s="181"/>
      <c r="CF59" s="177"/>
      <c r="CG59" s="179"/>
      <c r="CH59" s="257"/>
      <c r="CI59" s="182"/>
      <c r="CJ59" s="177"/>
      <c r="CK59" s="182"/>
      <c r="CL59" s="177"/>
      <c r="CM59" s="182"/>
      <c r="CN59" s="177"/>
      <c r="CO59" s="182"/>
      <c r="CP59" s="177"/>
      <c r="CQ59" s="178"/>
      <c r="CR59" s="182"/>
      <c r="CS59" s="173"/>
      <c r="CT59" s="65"/>
      <c r="CU59" s="255" t="str">
        <f t="shared" si="2"/>
        <v>PCS</v>
      </c>
    </row>
    <row r="60" ht="60.0" customHeight="1">
      <c r="A60" s="65"/>
      <c r="C60" s="167">
        <v>9.0</v>
      </c>
      <c r="D60" s="168" t="s">
        <v>162</v>
      </c>
      <c r="E60" s="169"/>
      <c r="F60" s="170"/>
      <c r="G60" s="170"/>
      <c r="H60" s="170"/>
      <c r="I60" s="207"/>
      <c r="J60" s="170"/>
      <c r="K60" s="171"/>
      <c r="L60" s="171"/>
      <c r="M60" s="171"/>
      <c r="N60" s="171"/>
      <c r="O60" s="268">
        <f t="shared" si="11"/>
        <v>0</v>
      </c>
      <c r="Q60" s="173"/>
      <c r="R60" s="65"/>
      <c r="S60" s="173"/>
      <c r="T60" s="173"/>
      <c r="U60" s="166"/>
      <c r="V60" s="166"/>
      <c r="W60" s="65"/>
      <c r="X60" s="66"/>
      <c r="Y60" s="173"/>
      <c r="Z60" s="166"/>
      <c r="AA60" s="174"/>
      <c r="AB60" s="175"/>
      <c r="AC60" s="175"/>
      <c r="AD60" s="175"/>
      <c r="AE60" s="175"/>
      <c r="AF60" s="175"/>
      <c r="AG60" s="175"/>
      <c r="AH60" s="175"/>
      <c r="AI60" s="176"/>
      <c r="AJ60" s="177"/>
      <c r="AK60" s="178"/>
      <c r="AL60" s="178"/>
      <c r="AM60" s="178"/>
      <c r="AN60" s="178"/>
      <c r="AO60" s="179"/>
      <c r="AP60" s="64"/>
      <c r="AQ60" s="65"/>
      <c r="AR60" s="65"/>
      <c r="AS60" s="65"/>
      <c r="AT60" s="173"/>
      <c r="AU60" s="177"/>
      <c r="AV60" s="178"/>
      <c r="AW60" s="178"/>
      <c r="AX60" s="179"/>
      <c r="AZ60" s="166"/>
      <c r="BA60" s="177"/>
      <c r="BB60" s="178"/>
      <c r="BC60" s="178"/>
      <c r="BD60" s="178"/>
      <c r="BE60" s="178"/>
      <c r="BF60" s="178"/>
      <c r="BG60" s="178"/>
      <c r="BH60" s="178"/>
      <c r="BI60" s="179"/>
      <c r="BJ60" s="180"/>
      <c r="BK60" s="178"/>
      <c r="BL60" s="178"/>
      <c r="BM60" s="178"/>
      <c r="BN60" s="178"/>
      <c r="BO60" s="181"/>
      <c r="BP60" s="166"/>
      <c r="BQ60" s="177"/>
      <c r="BR60" s="178"/>
      <c r="BS60" s="179"/>
      <c r="BU60" s="166"/>
      <c r="BV60" s="166"/>
      <c r="BW60" s="166"/>
      <c r="BX60" s="166"/>
      <c r="BY60" s="166"/>
      <c r="BZ60" s="166"/>
      <c r="CA60" s="166"/>
      <c r="CB60" s="166"/>
      <c r="CC60" s="166"/>
      <c r="CD60" s="177"/>
      <c r="CE60" s="181"/>
      <c r="CF60" s="177"/>
      <c r="CG60" s="179"/>
      <c r="CH60" s="257"/>
      <c r="CI60" s="182"/>
      <c r="CJ60" s="177"/>
      <c r="CK60" s="182"/>
      <c r="CL60" s="177"/>
      <c r="CM60" s="182"/>
      <c r="CN60" s="177"/>
      <c r="CO60" s="182"/>
      <c r="CP60" s="177"/>
      <c r="CQ60" s="178"/>
      <c r="CR60" s="182"/>
      <c r="CS60" s="173"/>
      <c r="CT60" s="65"/>
      <c r="CU60" s="255" t="str">
        <f t="shared" si="2"/>
        <v>PCS</v>
      </c>
    </row>
    <row r="61" ht="60.0" customHeight="1">
      <c r="A61" s="65"/>
      <c r="C61" s="167">
        <v>10.0</v>
      </c>
      <c r="D61" s="168" t="s">
        <v>162</v>
      </c>
      <c r="E61" s="169"/>
      <c r="F61" s="170"/>
      <c r="G61" s="170"/>
      <c r="H61" s="170"/>
      <c r="I61" s="207"/>
      <c r="J61" s="170"/>
      <c r="K61" s="171"/>
      <c r="L61" s="171"/>
      <c r="M61" s="171"/>
      <c r="N61" s="171"/>
      <c r="O61" s="268">
        <f t="shared" si="11"/>
        <v>0</v>
      </c>
      <c r="Q61" s="173"/>
      <c r="R61" s="65"/>
      <c r="S61" s="173"/>
      <c r="T61" s="173"/>
      <c r="U61" s="166"/>
      <c r="V61" s="166"/>
      <c r="W61" s="65"/>
      <c r="X61" s="66"/>
      <c r="Y61" s="173"/>
      <c r="Z61" s="166"/>
      <c r="AA61" s="174"/>
      <c r="AB61" s="175"/>
      <c r="AC61" s="175"/>
      <c r="AD61" s="175"/>
      <c r="AE61" s="175"/>
      <c r="AF61" s="175"/>
      <c r="AG61" s="175"/>
      <c r="AH61" s="175"/>
      <c r="AI61" s="176"/>
      <c r="AJ61" s="177"/>
      <c r="AK61" s="178"/>
      <c r="AL61" s="178"/>
      <c r="AM61" s="178"/>
      <c r="AN61" s="178"/>
      <c r="AO61" s="179"/>
      <c r="AP61" s="64"/>
      <c r="AQ61" s="65"/>
      <c r="AR61" s="65"/>
      <c r="AS61" s="65"/>
      <c r="AT61" s="173"/>
      <c r="AU61" s="177"/>
      <c r="AV61" s="178"/>
      <c r="AW61" s="178"/>
      <c r="AX61" s="179"/>
      <c r="AZ61" s="166"/>
      <c r="BA61" s="177"/>
      <c r="BB61" s="178"/>
      <c r="BC61" s="178"/>
      <c r="BD61" s="178"/>
      <c r="BE61" s="178"/>
      <c r="BF61" s="178"/>
      <c r="BG61" s="178"/>
      <c r="BH61" s="178"/>
      <c r="BI61" s="179"/>
      <c r="BJ61" s="180"/>
      <c r="BK61" s="178"/>
      <c r="BL61" s="178"/>
      <c r="BM61" s="178"/>
      <c r="BN61" s="178"/>
      <c r="BO61" s="181"/>
      <c r="BP61" s="166"/>
      <c r="BQ61" s="177"/>
      <c r="BR61" s="178"/>
      <c r="BS61" s="179"/>
      <c r="BU61" s="166"/>
      <c r="BV61" s="166"/>
      <c r="BW61" s="166"/>
      <c r="BX61" s="166"/>
      <c r="BY61" s="166"/>
      <c r="BZ61" s="166"/>
      <c r="CA61" s="166"/>
      <c r="CB61" s="166"/>
      <c r="CC61" s="166"/>
      <c r="CD61" s="177"/>
      <c r="CE61" s="181"/>
      <c r="CF61" s="177"/>
      <c r="CG61" s="179"/>
      <c r="CH61" s="257"/>
      <c r="CI61" s="182"/>
      <c r="CJ61" s="177"/>
      <c r="CK61" s="182"/>
      <c r="CL61" s="177"/>
      <c r="CM61" s="182"/>
      <c r="CN61" s="177"/>
      <c r="CO61" s="182"/>
      <c r="CP61" s="177"/>
      <c r="CQ61" s="178"/>
      <c r="CR61" s="182"/>
      <c r="CS61" s="173"/>
      <c r="CT61" s="65"/>
      <c r="CU61" s="255" t="str">
        <f t="shared" si="2"/>
        <v>PCS</v>
      </c>
    </row>
    <row r="62" ht="60.0" customHeight="1">
      <c r="A62" s="89"/>
      <c r="C62" s="183">
        <v>11.0</v>
      </c>
      <c r="D62" s="210" t="s">
        <v>162</v>
      </c>
      <c r="E62" s="185"/>
      <c r="F62" s="186"/>
      <c r="G62" s="186"/>
      <c r="H62" s="186"/>
      <c r="I62" s="212"/>
      <c r="J62" s="186"/>
      <c r="K62" s="187"/>
      <c r="L62" s="187"/>
      <c r="M62" s="187"/>
      <c r="N62" s="187"/>
      <c r="O62" s="269">
        <f t="shared" ref="O62:O68" si="12">IF(AND(M62&lt;&gt;0,M62&lt;&gt;"m",M62&lt;&gt;"",RIGHT(K62,3)="Lec"),1,IF(AND(M62&lt;&gt;0,M62&lt;&gt;"m",M62&lt;&gt;"",OR(RIGHT(K62,3)="Lab",RIGHT(K62,3)="Tut")),0.5,IF(AND(M62&lt;&gt;0,M62&lt;&gt;"m",M62&lt;&gt;"",RIGHT(K62,2)="TL"),0.75,0)))</f>
        <v>0</v>
      </c>
      <c r="P62" s="6"/>
      <c r="Q62" s="69"/>
      <c r="R62" s="89"/>
      <c r="S62" s="69"/>
      <c r="T62" s="69"/>
      <c r="U62" s="63"/>
      <c r="V62" s="63"/>
      <c r="W62" s="89"/>
      <c r="X62" s="68"/>
      <c r="Y62" s="69"/>
      <c r="Z62" s="63"/>
      <c r="AA62" s="189"/>
      <c r="AB62" s="190"/>
      <c r="AC62" s="190"/>
      <c r="AD62" s="190"/>
      <c r="AE62" s="190"/>
      <c r="AF62" s="190"/>
      <c r="AG62" s="190"/>
      <c r="AH62" s="190"/>
      <c r="AI62" s="191"/>
      <c r="AJ62" s="192"/>
      <c r="AK62" s="193"/>
      <c r="AL62" s="193"/>
      <c r="AM62" s="193"/>
      <c r="AN62" s="193"/>
      <c r="AO62" s="194"/>
      <c r="AP62" s="103"/>
      <c r="AQ62" s="89"/>
      <c r="AR62" s="89"/>
      <c r="AS62" s="89"/>
      <c r="AT62" s="69"/>
      <c r="AU62" s="192"/>
      <c r="AV62" s="193"/>
      <c r="AW62" s="193"/>
      <c r="AX62" s="194"/>
      <c r="AY62" s="6"/>
      <c r="AZ62" s="63"/>
      <c r="BA62" s="192"/>
      <c r="BB62" s="193"/>
      <c r="BC62" s="193"/>
      <c r="BD62" s="193"/>
      <c r="BE62" s="193"/>
      <c r="BF62" s="193"/>
      <c r="BG62" s="193"/>
      <c r="BH62" s="193"/>
      <c r="BI62" s="194"/>
      <c r="BJ62" s="195"/>
      <c r="BK62" s="193"/>
      <c r="BL62" s="193"/>
      <c r="BM62" s="193"/>
      <c r="BN62" s="193"/>
      <c r="BO62" s="196"/>
      <c r="BP62" s="63"/>
      <c r="BQ62" s="192"/>
      <c r="BR62" s="193"/>
      <c r="BS62" s="194"/>
      <c r="BT62" s="6"/>
      <c r="BU62" s="63"/>
      <c r="BV62" s="63"/>
      <c r="BW62" s="63"/>
      <c r="BX62" s="63"/>
      <c r="BY62" s="63"/>
      <c r="BZ62" s="63"/>
      <c r="CA62" s="63"/>
      <c r="CB62" s="63"/>
      <c r="CC62" s="63"/>
      <c r="CD62" s="192"/>
      <c r="CE62" s="196"/>
      <c r="CF62" s="192"/>
      <c r="CG62" s="194"/>
      <c r="CH62" s="259"/>
      <c r="CI62" s="197"/>
      <c r="CJ62" s="192"/>
      <c r="CK62" s="197"/>
      <c r="CL62" s="192"/>
      <c r="CM62" s="197"/>
      <c r="CN62" s="192"/>
      <c r="CO62" s="197"/>
      <c r="CP62" s="192"/>
      <c r="CQ62" s="193"/>
      <c r="CR62" s="197"/>
      <c r="CS62" s="69"/>
      <c r="CT62" s="89"/>
      <c r="CU62" s="255" t="str">
        <f t="shared" si="2"/>
        <v>PCS</v>
      </c>
    </row>
    <row r="63" ht="56.25" customHeight="1">
      <c r="A63" s="125">
        <v>6.0</v>
      </c>
      <c r="B63" s="199" t="s">
        <v>164</v>
      </c>
      <c r="C63" s="127">
        <v>1.0</v>
      </c>
      <c r="D63" s="168" t="s">
        <v>165</v>
      </c>
      <c r="E63" s="129"/>
      <c r="F63" s="130"/>
      <c r="G63" s="130"/>
      <c r="H63" s="130"/>
      <c r="I63" s="201"/>
      <c r="J63" s="130"/>
      <c r="K63" s="131"/>
      <c r="L63" s="131"/>
      <c r="M63" s="131"/>
      <c r="N63" s="131"/>
      <c r="O63" s="267">
        <f t="shared" si="12"/>
        <v>0</v>
      </c>
      <c r="P63" s="251">
        <f>COUNTIF(K63:K73,"TL")*0.75+COUNTIF(K63:K73,"Lec")*1+COUNTIF(K63:K73,"Lab")*0.5</f>
        <v>0</v>
      </c>
      <c r="Q63" s="134">
        <f>SUM((IF(LEFT(K63,1)="E",O63,0)),(IF(LEFT(K64,1)="E",O64,0)),(IF(LEFT(K65,1)="E",O65,0)),(IF(LEFT(K66,1)="E",O66,0)),(IF(LEFT(K67,1)="E",O67,0)),(IF(LEFT(K68,1)="E",O68,0)),(IF(LEFT(K69,1)="E",O69,0)),(IF(LEFT(K70,1)="E",O70,0)),(IF(LEFT(K71,1)="E",O71,0)),(IF(LEFT(K72,1)="E",O72,0)),(IF(LEFT(K73,1)="E",O73,0)))</f>
        <v>0</v>
      </c>
      <c r="R63" s="135">
        <f>SUM(IF(M69&lt;20,IF(K69="Plec",-1,IF(K69="PTL",-0.75,IF(K69="Plab",-0.5,0))),0),IF(M70&lt;20,IF(K70="Plec",-1,IF(K70="PTL",-0.75,IF(K70="Plab",-0.5,0))),0),IF(M71&lt;20,IF(K71="Plec",-1,IF(K71="PTL",-0.75,IF(K71="Plab",-0.5,0))),0),IF(M72&lt;20,IF(K72="Plec",-1,IF(K72="PTL",-0.75,IF(K72="Plab",-0.5,0))),0))</f>
        <v>0</v>
      </c>
      <c r="S63" s="134">
        <f>SUM(P63:R73)</f>
        <v>0</v>
      </c>
      <c r="T63" s="136">
        <f>SUM(IF(M63="M",IF(OR(K63="lec",K63="plec",K63="slec"),1,IF(OR(K63="lab",K63="plab",K63="slab",K63="tut",K63="ptut",K63="stut"),0.5,IF(OR(K63="TL",K63="pTL",K63="STL"),0.75,0))),0),IF(M64="M",IF(OR(K64="lec",K64="plec",K64="slec"),1,IF(OR(K64="lab",K64="plab",K64="slab",K64="tut",K64="ptut",K64="stut"),0.5,IF(OR(K64="TL",K64="pTL",K64="STL"),0.75,0))),0),IF(M65="M",IF(OR(K65="lec",K65="plec",K65="slec"),1,IF(OR(K65="lab",K65="plab",K65="slab",K65="tut",K65="ptut",K65="stut"),0.5,IF(OR(K65="TL",K65="pTL",K65="STL"),0.75,0))),0),IF(M66="M",IF(OR(K66="lec",K66="plec",K66="slec"),1,IF(OR(K66="lab",K66="plab",K66="slab",K66="tut",K66="ptut",K66="stut"),0.5,IF(OR(K66="TL",K66="pTL",K66="STL"),0.75,0))),0),IF(M67="M",IF(OR(K67="lec",K67="plec",K67="slec"),1,IF(OR(K67="lab",K67="plab",K67="slab",K67="tut",K67="ptut",K67="stut"),0.5,IF(OR(K67="TL",K67="pTL",K67="STL"),0.75,0))),0),IF(M68="M",IF(OR(K68="lec",K68="plec",K68="slec"),1,IF(OR(K68="lab",K68="plab",K68="slab",K68="tut",K68="ptut",K68="stut"),0.5,IF(OR(K68="TL",K68="pTL",K68="STL"),0.75,0))),0),IF(M69="M",IF(OR(K69="lec",K69="plec",K69="slec"),1,IF(OR(K69="lab",K69="plab",K69="slab",K69="tut",K69="ptut",K69="stut"),0.5,IF(OR(K69="TL",K69="pTL",K69="STL"),0.75,0))),0),IF(M70="M",IF(OR(K70="lec",K70="plec",K70="slec"),1,IF(OR(K70="lab",K70="plab",K70="slab",K70="tut",K70="ptut",K70="stut"),0.5,IF(OR(K70="TL",K70="pTL",K70="STL"),0.75,0))),0),IF(M71="M",IF(OR(K71="lec",K71="plec",K71="slec"),1,IF(OR(K71="lab",K71="plab",K71="slab",K71="tut",K71="ptut",K71="stut"),0.5,IF(OR(K71="TL",K71="pTL",K71="STL"),0.75,0))),0),IF(M72="M",IF(OR(K72="lec",K72="plec",K72="slec"),1,IF(OR(K72="lab",K72="plab",K72="slab",K72="tut",K72="ptut",K72="stut"),0.5,IF(OR(K72="TL",K72="pTL",K72="STL"),0.75,0))),0),IF(M73="M",IF(OR(K73="lec",K73="plec",K73="slec"),1,IF(OR(K73="lab",K73="plab",K73="slab",K73="tut",K73="ptut",K73="stut"),0.5,IF(OR(K73="TL",K73="pTL",K73="STL"),0.75,0))),0))</f>
        <v>0</v>
      </c>
      <c r="U63" s="137"/>
      <c r="V63" s="133"/>
      <c r="W63" s="138"/>
      <c r="X63" s="139">
        <f>S63-(T63+U63+V63+W63)</f>
        <v>0</v>
      </c>
      <c r="Y63" s="134" t="str">
        <f>CONCATENATE(SUM(O63:O73),"(",SUM(O63:O73)-X63,")")</f>
        <v>0(0)</v>
      </c>
      <c r="Z63" s="140"/>
      <c r="AA63" s="141"/>
      <c r="AB63" s="142"/>
      <c r="AC63" s="142"/>
      <c r="AD63" s="142"/>
      <c r="AE63" s="142"/>
      <c r="AF63" s="142"/>
      <c r="AG63" s="142"/>
      <c r="AH63" s="142"/>
      <c r="AI63" s="143"/>
      <c r="AJ63" s="144"/>
      <c r="AK63" s="145"/>
      <c r="AL63" s="145"/>
      <c r="AM63" s="145"/>
      <c r="AN63" s="145"/>
      <c r="AO63" s="146"/>
      <c r="AP63" s="147">
        <f>SUM(SUM(O63:O73),SUM(AI63:AI73)/2,AM63)</f>
        <v>0</v>
      </c>
      <c r="AQ63" s="148"/>
      <c r="AR63" s="148">
        <f>AP63*AQ63</f>
        <v>0</v>
      </c>
      <c r="AS63" s="148">
        <f>CT63</f>
        <v>1</v>
      </c>
      <c r="AT63" s="149">
        <f>AR63*0.75+AS63*0.25</f>
        <v>0.25</v>
      </c>
      <c r="AU63" s="150"/>
      <c r="AV63" s="151"/>
      <c r="AW63" s="151"/>
      <c r="AX63" s="152"/>
      <c r="AY63" s="153"/>
      <c r="AZ63" s="140"/>
      <c r="BA63" s="150">
        <v>1.0</v>
      </c>
      <c r="BB63" s="151" t="s">
        <v>148</v>
      </c>
      <c r="BC63" s="151">
        <v>3.0</v>
      </c>
      <c r="BD63" s="151" t="s">
        <v>166</v>
      </c>
      <c r="BE63" s="151" t="s">
        <v>150</v>
      </c>
      <c r="BF63" s="151"/>
      <c r="BG63" s="151">
        <v>1.0</v>
      </c>
      <c r="BH63" s="151"/>
      <c r="BI63" s="152"/>
      <c r="BJ63" s="154"/>
      <c r="BK63" s="151"/>
      <c r="BL63" s="151"/>
      <c r="BM63" s="151"/>
      <c r="BN63" s="151"/>
      <c r="BO63" s="155"/>
      <c r="BP63" s="140"/>
      <c r="BQ63" s="156"/>
      <c r="BR63" s="157"/>
      <c r="BS63" s="158"/>
      <c r="BT63" s="153"/>
      <c r="BU63" s="140"/>
      <c r="BV63" s="140"/>
      <c r="BW63" s="140"/>
      <c r="BX63" s="140"/>
      <c r="BY63" s="140"/>
      <c r="BZ63" s="140"/>
      <c r="CA63" s="140"/>
      <c r="CB63" s="140"/>
      <c r="CC63" s="140"/>
      <c r="CD63" s="150"/>
      <c r="CE63" s="155"/>
      <c r="CF63" s="150"/>
      <c r="CG63" s="152"/>
      <c r="CH63" s="252"/>
      <c r="CI63" s="160"/>
      <c r="CJ63" s="159"/>
      <c r="CK63" s="160"/>
      <c r="CL63" s="159"/>
      <c r="CM63" s="160"/>
      <c r="CN63" s="159"/>
      <c r="CO63" s="160"/>
      <c r="CP63" s="159"/>
      <c r="CQ63" s="162"/>
      <c r="CR63" s="160"/>
      <c r="CS63" s="253">
        <f>SUM(IF(AU63&lt;0,ABS(AU63),0),IF(AZ63&lt;0,ABS(AZ63),0),ABS(CI63),ABS(CK63),ABS(CM63),ABS(CO63),ABS(CQ63),ABS(CR63))</f>
        <v>0</v>
      </c>
      <c r="CT63" s="254">
        <f>SUM(AU63,AV63,AW63,AX63/400,AY63,AZ63,BG63,BH63*0.5,BI63*0.25,BJ63,BK63,BL63,BM63,BN63,BO63,BP63,BR63/20,BS63/100,BT63/60,BU63,BV63,BW63,BX63/4,SUM(BY63:CC73)/3,CE63,CG63/3,CI63,CK63,CM63,CO63,CQ63,CR63)</f>
        <v>1</v>
      </c>
      <c r="CU63" s="255" t="str">
        <f t="shared" si="2"/>
        <v>PKP</v>
      </c>
    </row>
    <row r="64" ht="60.0" customHeight="1">
      <c r="A64" s="65"/>
      <c r="C64" s="167">
        <v>2.0</v>
      </c>
      <c r="D64" s="168" t="s">
        <v>165</v>
      </c>
      <c r="E64" s="169"/>
      <c r="F64" s="170"/>
      <c r="G64" s="170"/>
      <c r="H64" s="170"/>
      <c r="I64" s="207"/>
      <c r="J64" s="170"/>
      <c r="K64" s="171"/>
      <c r="L64" s="171"/>
      <c r="M64" s="171"/>
      <c r="N64" s="171"/>
      <c r="O64" s="268">
        <f t="shared" si="12"/>
        <v>0</v>
      </c>
      <c r="Q64" s="173"/>
      <c r="R64" s="65"/>
      <c r="S64" s="173"/>
      <c r="T64" s="173"/>
      <c r="U64" s="166"/>
      <c r="V64" s="166"/>
      <c r="W64" s="65"/>
      <c r="X64" s="66"/>
      <c r="Y64" s="173"/>
      <c r="Z64" s="166"/>
      <c r="AA64" s="174"/>
      <c r="AB64" s="175"/>
      <c r="AC64" s="175"/>
      <c r="AD64" s="175"/>
      <c r="AE64" s="175"/>
      <c r="AF64" s="175"/>
      <c r="AG64" s="175"/>
      <c r="AH64" s="175"/>
      <c r="AI64" s="176"/>
      <c r="AJ64" s="177"/>
      <c r="AK64" s="178"/>
      <c r="AL64" s="178"/>
      <c r="AM64" s="178"/>
      <c r="AN64" s="178"/>
      <c r="AO64" s="179"/>
      <c r="AP64" s="64"/>
      <c r="AQ64" s="65"/>
      <c r="AR64" s="65"/>
      <c r="AS64" s="65"/>
      <c r="AT64" s="173"/>
      <c r="AU64" s="177"/>
      <c r="AV64" s="178"/>
      <c r="AW64" s="178"/>
      <c r="AX64" s="179"/>
      <c r="AZ64" s="166"/>
      <c r="BA64" s="177"/>
      <c r="BB64" s="178"/>
      <c r="BC64" s="178"/>
      <c r="BD64" s="178"/>
      <c r="BE64" s="178"/>
      <c r="BF64" s="178"/>
      <c r="BG64" s="178"/>
      <c r="BH64" s="178"/>
      <c r="BI64" s="179"/>
      <c r="BJ64" s="180"/>
      <c r="BK64" s="178"/>
      <c r="BL64" s="178"/>
      <c r="BM64" s="178"/>
      <c r="BN64" s="178"/>
      <c r="BO64" s="181"/>
      <c r="BP64" s="166"/>
      <c r="BQ64" s="177"/>
      <c r="BR64" s="178"/>
      <c r="BS64" s="179"/>
      <c r="BU64" s="166"/>
      <c r="BV64" s="166"/>
      <c r="BW64" s="166"/>
      <c r="BX64" s="166"/>
      <c r="BY64" s="166"/>
      <c r="BZ64" s="166"/>
      <c r="CA64" s="166"/>
      <c r="CB64" s="166"/>
      <c r="CC64" s="166"/>
      <c r="CD64" s="177"/>
      <c r="CE64" s="181"/>
      <c r="CF64" s="177"/>
      <c r="CG64" s="179"/>
      <c r="CH64" s="257"/>
      <c r="CI64" s="182"/>
      <c r="CJ64" s="177"/>
      <c r="CK64" s="182"/>
      <c r="CL64" s="177"/>
      <c r="CM64" s="182"/>
      <c r="CN64" s="177"/>
      <c r="CO64" s="182"/>
      <c r="CP64" s="177"/>
      <c r="CQ64" s="178"/>
      <c r="CR64" s="182"/>
      <c r="CS64" s="173"/>
      <c r="CT64" s="65"/>
      <c r="CU64" s="255" t="str">
        <f t="shared" si="2"/>
        <v>PKP</v>
      </c>
    </row>
    <row r="65" ht="60.0" customHeight="1">
      <c r="A65" s="65"/>
      <c r="C65" s="167">
        <v>3.0</v>
      </c>
      <c r="D65" s="168" t="s">
        <v>165</v>
      </c>
      <c r="E65" s="169"/>
      <c r="F65" s="170"/>
      <c r="G65" s="170"/>
      <c r="H65" s="170"/>
      <c r="I65" s="207"/>
      <c r="J65" s="170"/>
      <c r="K65" s="171"/>
      <c r="L65" s="171"/>
      <c r="M65" s="171"/>
      <c r="N65" s="171"/>
      <c r="O65" s="268">
        <f t="shared" si="12"/>
        <v>0</v>
      </c>
      <c r="Q65" s="173"/>
      <c r="R65" s="65"/>
      <c r="S65" s="173"/>
      <c r="T65" s="173"/>
      <c r="U65" s="166"/>
      <c r="V65" s="166"/>
      <c r="W65" s="65"/>
      <c r="X65" s="66"/>
      <c r="Y65" s="173"/>
      <c r="Z65" s="166"/>
      <c r="AA65" s="174"/>
      <c r="AB65" s="175"/>
      <c r="AC65" s="175"/>
      <c r="AD65" s="175"/>
      <c r="AE65" s="175"/>
      <c r="AF65" s="175"/>
      <c r="AG65" s="175"/>
      <c r="AH65" s="175"/>
      <c r="AI65" s="176"/>
      <c r="AJ65" s="177"/>
      <c r="AK65" s="178"/>
      <c r="AL65" s="178"/>
      <c r="AM65" s="178"/>
      <c r="AN65" s="178"/>
      <c r="AO65" s="179"/>
      <c r="AP65" s="64"/>
      <c r="AQ65" s="65"/>
      <c r="AR65" s="65"/>
      <c r="AS65" s="65"/>
      <c r="AT65" s="173"/>
      <c r="AU65" s="177"/>
      <c r="AV65" s="178"/>
      <c r="AW65" s="178"/>
      <c r="AX65" s="179"/>
      <c r="AZ65" s="166"/>
      <c r="BA65" s="177"/>
      <c r="BB65" s="178"/>
      <c r="BC65" s="178"/>
      <c r="BD65" s="178"/>
      <c r="BE65" s="178"/>
      <c r="BF65" s="178"/>
      <c r="BG65" s="178"/>
      <c r="BH65" s="178"/>
      <c r="BI65" s="179"/>
      <c r="BJ65" s="180"/>
      <c r="BK65" s="178"/>
      <c r="BL65" s="178"/>
      <c r="BM65" s="178"/>
      <c r="BN65" s="178"/>
      <c r="BO65" s="181"/>
      <c r="BP65" s="166"/>
      <c r="BQ65" s="177"/>
      <c r="BR65" s="178"/>
      <c r="BS65" s="179"/>
      <c r="BU65" s="166"/>
      <c r="BV65" s="166"/>
      <c r="BW65" s="166"/>
      <c r="BX65" s="166"/>
      <c r="BY65" s="166"/>
      <c r="BZ65" s="166"/>
      <c r="CA65" s="166"/>
      <c r="CB65" s="166"/>
      <c r="CC65" s="166"/>
      <c r="CD65" s="177"/>
      <c r="CE65" s="181"/>
      <c r="CF65" s="177"/>
      <c r="CG65" s="179"/>
      <c r="CH65" s="257"/>
      <c r="CI65" s="182"/>
      <c r="CJ65" s="177"/>
      <c r="CK65" s="182"/>
      <c r="CL65" s="177"/>
      <c r="CM65" s="182"/>
      <c r="CN65" s="177"/>
      <c r="CO65" s="182"/>
      <c r="CP65" s="177"/>
      <c r="CQ65" s="178"/>
      <c r="CR65" s="182"/>
      <c r="CS65" s="173"/>
      <c r="CT65" s="65"/>
      <c r="CU65" s="255" t="str">
        <f t="shared" si="2"/>
        <v>PKP</v>
      </c>
    </row>
    <row r="66" ht="60.0" customHeight="1">
      <c r="A66" s="65"/>
      <c r="C66" s="167">
        <v>4.0</v>
      </c>
      <c r="D66" s="168" t="s">
        <v>165</v>
      </c>
      <c r="E66" s="169"/>
      <c r="F66" s="170"/>
      <c r="G66" s="170"/>
      <c r="H66" s="170"/>
      <c r="I66" s="207"/>
      <c r="J66" s="170"/>
      <c r="K66" s="171"/>
      <c r="L66" s="171"/>
      <c r="M66" s="171"/>
      <c r="N66" s="171"/>
      <c r="O66" s="268">
        <f t="shared" si="12"/>
        <v>0</v>
      </c>
      <c r="Q66" s="173"/>
      <c r="R66" s="65"/>
      <c r="S66" s="173"/>
      <c r="T66" s="173"/>
      <c r="U66" s="166"/>
      <c r="V66" s="166"/>
      <c r="W66" s="65"/>
      <c r="X66" s="66"/>
      <c r="Y66" s="173"/>
      <c r="Z66" s="166"/>
      <c r="AA66" s="174"/>
      <c r="AB66" s="175"/>
      <c r="AC66" s="175"/>
      <c r="AD66" s="175"/>
      <c r="AE66" s="175"/>
      <c r="AF66" s="175"/>
      <c r="AG66" s="175"/>
      <c r="AH66" s="175"/>
      <c r="AI66" s="176"/>
      <c r="AJ66" s="177"/>
      <c r="AK66" s="178"/>
      <c r="AL66" s="178"/>
      <c r="AM66" s="178"/>
      <c r="AN66" s="178"/>
      <c r="AO66" s="179"/>
      <c r="AP66" s="64"/>
      <c r="AQ66" s="65"/>
      <c r="AR66" s="65"/>
      <c r="AS66" s="65"/>
      <c r="AT66" s="173"/>
      <c r="AU66" s="177"/>
      <c r="AV66" s="178"/>
      <c r="AW66" s="178"/>
      <c r="AX66" s="179"/>
      <c r="AZ66" s="166"/>
      <c r="BA66" s="177"/>
      <c r="BB66" s="178"/>
      <c r="BC66" s="178"/>
      <c r="BD66" s="178"/>
      <c r="BE66" s="178"/>
      <c r="BF66" s="178"/>
      <c r="BG66" s="178"/>
      <c r="BH66" s="178"/>
      <c r="BI66" s="179"/>
      <c r="BJ66" s="180"/>
      <c r="BK66" s="178"/>
      <c r="BL66" s="178"/>
      <c r="BM66" s="178"/>
      <c r="BN66" s="178"/>
      <c r="BO66" s="181"/>
      <c r="BP66" s="166"/>
      <c r="BQ66" s="177"/>
      <c r="BR66" s="178"/>
      <c r="BS66" s="179"/>
      <c r="BU66" s="166"/>
      <c r="BV66" s="166"/>
      <c r="BW66" s="166"/>
      <c r="BX66" s="166"/>
      <c r="BY66" s="166"/>
      <c r="BZ66" s="166"/>
      <c r="CA66" s="166"/>
      <c r="CB66" s="166"/>
      <c r="CC66" s="166"/>
      <c r="CD66" s="177"/>
      <c r="CE66" s="181"/>
      <c r="CF66" s="177"/>
      <c r="CG66" s="179"/>
      <c r="CH66" s="257"/>
      <c r="CI66" s="182"/>
      <c r="CJ66" s="177"/>
      <c r="CK66" s="182"/>
      <c r="CL66" s="177"/>
      <c r="CM66" s="182"/>
      <c r="CN66" s="177"/>
      <c r="CO66" s="182"/>
      <c r="CP66" s="177"/>
      <c r="CQ66" s="178"/>
      <c r="CR66" s="182"/>
      <c r="CS66" s="173"/>
      <c r="CT66" s="65"/>
      <c r="CU66" s="255" t="str">
        <f t="shared" si="2"/>
        <v>PKP</v>
      </c>
    </row>
    <row r="67" ht="60.0" customHeight="1">
      <c r="A67" s="65"/>
      <c r="C67" s="167">
        <v>5.0</v>
      </c>
      <c r="D67" s="168" t="s">
        <v>165</v>
      </c>
      <c r="E67" s="169"/>
      <c r="F67" s="170"/>
      <c r="G67" s="170"/>
      <c r="H67" s="170"/>
      <c r="I67" s="207"/>
      <c r="J67" s="170"/>
      <c r="K67" s="171"/>
      <c r="L67" s="171"/>
      <c r="M67" s="171"/>
      <c r="N67" s="171"/>
      <c r="O67" s="268">
        <f t="shared" si="12"/>
        <v>0</v>
      </c>
      <c r="Q67" s="173"/>
      <c r="R67" s="65"/>
      <c r="S67" s="173"/>
      <c r="T67" s="173"/>
      <c r="U67" s="166"/>
      <c r="V67" s="166"/>
      <c r="W67" s="65"/>
      <c r="X67" s="66"/>
      <c r="Y67" s="173"/>
      <c r="Z67" s="166"/>
      <c r="AA67" s="174"/>
      <c r="AB67" s="175"/>
      <c r="AC67" s="175"/>
      <c r="AD67" s="175"/>
      <c r="AE67" s="175"/>
      <c r="AF67" s="175"/>
      <c r="AG67" s="175"/>
      <c r="AH67" s="175"/>
      <c r="AI67" s="176"/>
      <c r="AJ67" s="177"/>
      <c r="AK67" s="178"/>
      <c r="AL67" s="178"/>
      <c r="AM67" s="178"/>
      <c r="AN67" s="178"/>
      <c r="AO67" s="179"/>
      <c r="AP67" s="64"/>
      <c r="AQ67" s="65"/>
      <c r="AR67" s="65"/>
      <c r="AS67" s="65"/>
      <c r="AT67" s="173"/>
      <c r="AU67" s="177"/>
      <c r="AV67" s="178"/>
      <c r="AW67" s="178"/>
      <c r="AX67" s="179"/>
      <c r="AZ67" s="166"/>
      <c r="BA67" s="177"/>
      <c r="BB67" s="178"/>
      <c r="BC67" s="178"/>
      <c r="BD67" s="178"/>
      <c r="BE67" s="178"/>
      <c r="BF67" s="178"/>
      <c r="BG67" s="178"/>
      <c r="BH67" s="178"/>
      <c r="BI67" s="179"/>
      <c r="BJ67" s="180"/>
      <c r="BK67" s="178"/>
      <c r="BL67" s="178"/>
      <c r="BM67" s="178"/>
      <c r="BN67" s="178"/>
      <c r="BO67" s="181"/>
      <c r="BP67" s="166"/>
      <c r="BQ67" s="177"/>
      <c r="BR67" s="178"/>
      <c r="BS67" s="179"/>
      <c r="BU67" s="166"/>
      <c r="BV67" s="166"/>
      <c r="BW67" s="166"/>
      <c r="BX67" s="166"/>
      <c r="BY67" s="166"/>
      <c r="BZ67" s="166"/>
      <c r="CA67" s="166"/>
      <c r="CB67" s="166"/>
      <c r="CC67" s="166"/>
      <c r="CD67" s="177"/>
      <c r="CE67" s="181"/>
      <c r="CF67" s="177"/>
      <c r="CG67" s="179"/>
      <c r="CH67" s="257"/>
      <c r="CI67" s="182"/>
      <c r="CJ67" s="177"/>
      <c r="CK67" s="182"/>
      <c r="CL67" s="177"/>
      <c r="CM67" s="182"/>
      <c r="CN67" s="177"/>
      <c r="CO67" s="182"/>
      <c r="CP67" s="177"/>
      <c r="CQ67" s="178"/>
      <c r="CR67" s="182"/>
      <c r="CS67" s="173"/>
      <c r="CT67" s="65"/>
      <c r="CU67" s="255" t="str">
        <f t="shared" si="2"/>
        <v>PKP</v>
      </c>
    </row>
    <row r="68" ht="60.0" customHeight="1">
      <c r="A68" s="65"/>
      <c r="C68" s="167">
        <v>6.0</v>
      </c>
      <c r="D68" s="168" t="s">
        <v>165</v>
      </c>
      <c r="E68" s="169"/>
      <c r="F68" s="170"/>
      <c r="G68" s="170"/>
      <c r="H68" s="170"/>
      <c r="I68" s="207"/>
      <c r="J68" s="170"/>
      <c r="K68" s="171"/>
      <c r="L68" s="171"/>
      <c r="M68" s="171"/>
      <c r="N68" s="171"/>
      <c r="O68" s="268">
        <f t="shared" si="12"/>
        <v>0</v>
      </c>
      <c r="Q68" s="173"/>
      <c r="R68" s="65"/>
      <c r="S68" s="173"/>
      <c r="T68" s="173"/>
      <c r="U68" s="166"/>
      <c r="V68" s="166"/>
      <c r="W68" s="65"/>
      <c r="X68" s="66"/>
      <c r="Y68" s="173"/>
      <c r="Z68" s="166"/>
      <c r="AA68" s="174"/>
      <c r="AB68" s="175"/>
      <c r="AC68" s="175"/>
      <c r="AD68" s="175"/>
      <c r="AE68" s="175"/>
      <c r="AF68" s="175"/>
      <c r="AG68" s="175"/>
      <c r="AH68" s="175"/>
      <c r="AI68" s="176"/>
      <c r="AJ68" s="177"/>
      <c r="AK68" s="178"/>
      <c r="AL68" s="178"/>
      <c r="AM68" s="178"/>
      <c r="AN68" s="178"/>
      <c r="AO68" s="179"/>
      <c r="AP68" s="64"/>
      <c r="AQ68" s="65"/>
      <c r="AR68" s="65"/>
      <c r="AS68" s="65"/>
      <c r="AT68" s="173"/>
      <c r="AU68" s="177"/>
      <c r="AV68" s="178"/>
      <c r="AW68" s="178"/>
      <c r="AX68" s="179"/>
      <c r="AZ68" s="166"/>
      <c r="BA68" s="177"/>
      <c r="BB68" s="178"/>
      <c r="BC68" s="178"/>
      <c r="BD68" s="178"/>
      <c r="BE68" s="178"/>
      <c r="BF68" s="178"/>
      <c r="BG68" s="178"/>
      <c r="BH68" s="178"/>
      <c r="BI68" s="179"/>
      <c r="BJ68" s="180"/>
      <c r="BK68" s="178"/>
      <c r="BL68" s="178"/>
      <c r="BM68" s="178"/>
      <c r="BN68" s="178"/>
      <c r="BO68" s="181"/>
      <c r="BP68" s="166"/>
      <c r="BQ68" s="177"/>
      <c r="BR68" s="178"/>
      <c r="BS68" s="179"/>
      <c r="BU68" s="166"/>
      <c r="BV68" s="166"/>
      <c r="BW68" s="166"/>
      <c r="BX68" s="166"/>
      <c r="BY68" s="166"/>
      <c r="BZ68" s="166"/>
      <c r="CA68" s="166"/>
      <c r="CB68" s="166"/>
      <c r="CC68" s="166"/>
      <c r="CD68" s="177"/>
      <c r="CE68" s="181"/>
      <c r="CF68" s="177"/>
      <c r="CG68" s="179"/>
      <c r="CH68" s="257"/>
      <c r="CI68" s="182"/>
      <c r="CJ68" s="177"/>
      <c r="CK68" s="182"/>
      <c r="CL68" s="177"/>
      <c r="CM68" s="182"/>
      <c r="CN68" s="177"/>
      <c r="CO68" s="182"/>
      <c r="CP68" s="177"/>
      <c r="CQ68" s="178"/>
      <c r="CR68" s="182"/>
      <c r="CS68" s="173"/>
      <c r="CT68" s="65"/>
      <c r="CU68" s="255" t="str">
        <f t="shared" si="2"/>
        <v>PKP</v>
      </c>
    </row>
    <row r="69" ht="60.0" customHeight="1">
      <c r="A69" s="65"/>
      <c r="C69" s="167">
        <v>7.0</v>
      </c>
      <c r="D69" s="168" t="s">
        <v>165</v>
      </c>
      <c r="E69" s="169"/>
      <c r="F69" s="170"/>
      <c r="G69" s="170"/>
      <c r="H69" s="170"/>
      <c r="I69" s="207"/>
      <c r="J69" s="170"/>
      <c r="K69" s="171"/>
      <c r="L69" s="171"/>
      <c r="M69" s="171"/>
      <c r="N69" s="171"/>
      <c r="O69" s="268">
        <f t="shared" ref="O69:O72" si="13">IF(AND(M69&gt;=20,M69&lt;&gt;"m",RIGHT(K69,3)="Lec"),1,IF(AND(M69&gt;=20,M69&lt;&gt;"m",OR(RIGHT(K69,3)="Lab",RIGHT(K69,3)="Tut")),0.5,IF(AND(M69&gt;=20,M69&lt;&gt;"m",RIGHT(K69,2)="TL"),0.75,0)))</f>
        <v>0</v>
      </c>
      <c r="Q69" s="173"/>
      <c r="R69" s="65"/>
      <c r="S69" s="173"/>
      <c r="T69" s="173"/>
      <c r="U69" s="166"/>
      <c r="V69" s="166"/>
      <c r="W69" s="65"/>
      <c r="X69" s="66"/>
      <c r="Y69" s="173"/>
      <c r="Z69" s="166"/>
      <c r="AA69" s="174"/>
      <c r="AB69" s="175"/>
      <c r="AC69" s="175"/>
      <c r="AD69" s="175"/>
      <c r="AE69" s="175"/>
      <c r="AF69" s="175"/>
      <c r="AG69" s="175"/>
      <c r="AH69" s="175"/>
      <c r="AI69" s="176"/>
      <c r="AJ69" s="177"/>
      <c r="AK69" s="178"/>
      <c r="AL69" s="178"/>
      <c r="AM69" s="178"/>
      <c r="AN69" s="178"/>
      <c r="AO69" s="179"/>
      <c r="AP69" s="64"/>
      <c r="AQ69" s="65"/>
      <c r="AR69" s="65"/>
      <c r="AS69" s="65"/>
      <c r="AT69" s="173"/>
      <c r="AU69" s="177"/>
      <c r="AV69" s="178"/>
      <c r="AW69" s="178"/>
      <c r="AX69" s="179"/>
      <c r="AZ69" s="166"/>
      <c r="BA69" s="177"/>
      <c r="BB69" s="178"/>
      <c r="BC69" s="178"/>
      <c r="BD69" s="178"/>
      <c r="BE69" s="178"/>
      <c r="BF69" s="178"/>
      <c r="BG69" s="178"/>
      <c r="BH69" s="178"/>
      <c r="BI69" s="179"/>
      <c r="BJ69" s="180"/>
      <c r="BK69" s="178"/>
      <c r="BL69" s="178"/>
      <c r="BM69" s="178"/>
      <c r="BN69" s="178"/>
      <c r="BO69" s="181"/>
      <c r="BP69" s="166"/>
      <c r="BQ69" s="177"/>
      <c r="BR69" s="178"/>
      <c r="BS69" s="179"/>
      <c r="BU69" s="166"/>
      <c r="BV69" s="166"/>
      <c r="BW69" s="166"/>
      <c r="BX69" s="166"/>
      <c r="BY69" s="166"/>
      <c r="BZ69" s="166"/>
      <c r="CA69" s="166"/>
      <c r="CB69" s="166"/>
      <c r="CC69" s="166"/>
      <c r="CD69" s="177"/>
      <c r="CE69" s="181"/>
      <c r="CF69" s="177"/>
      <c r="CG69" s="179"/>
      <c r="CH69" s="257"/>
      <c r="CI69" s="182"/>
      <c r="CJ69" s="177"/>
      <c r="CK69" s="182"/>
      <c r="CL69" s="177"/>
      <c r="CM69" s="182"/>
      <c r="CN69" s="177"/>
      <c r="CO69" s="182"/>
      <c r="CP69" s="177"/>
      <c r="CQ69" s="178"/>
      <c r="CR69" s="182"/>
      <c r="CS69" s="173"/>
      <c r="CT69" s="65"/>
      <c r="CU69" s="255" t="str">
        <f t="shared" si="2"/>
        <v>PKP</v>
      </c>
    </row>
    <row r="70" ht="60.0" customHeight="1">
      <c r="A70" s="65"/>
      <c r="C70" s="167">
        <v>8.0</v>
      </c>
      <c r="D70" s="168" t="s">
        <v>165</v>
      </c>
      <c r="E70" s="169"/>
      <c r="F70" s="170"/>
      <c r="G70" s="170"/>
      <c r="H70" s="170"/>
      <c r="I70" s="207"/>
      <c r="J70" s="170"/>
      <c r="K70" s="171"/>
      <c r="L70" s="171"/>
      <c r="M70" s="171"/>
      <c r="N70" s="171"/>
      <c r="O70" s="268">
        <f t="shared" si="13"/>
        <v>0</v>
      </c>
      <c r="Q70" s="173"/>
      <c r="R70" s="65"/>
      <c r="S70" s="173"/>
      <c r="T70" s="173"/>
      <c r="U70" s="166"/>
      <c r="V70" s="166"/>
      <c r="W70" s="65"/>
      <c r="X70" s="66"/>
      <c r="Y70" s="173"/>
      <c r="Z70" s="166"/>
      <c r="AA70" s="174"/>
      <c r="AB70" s="175"/>
      <c r="AC70" s="175"/>
      <c r="AD70" s="175"/>
      <c r="AE70" s="175"/>
      <c r="AF70" s="175"/>
      <c r="AG70" s="175"/>
      <c r="AH70" s="175"/>
      <c r="AI70" s="176"/>
      <c r="AJ70" s="177"/>
      <c r="AK70" s="178"/>
      <c r="AL70" s="178"/>
      <c r="AM70" s="178"/>
      <c r="AN70" s="178"/>
      <c r="AO70" s="179"/>
      <c r="AP70" s="64"/>
      <c r="AQ70" s="65"/>
      <c r="AR70" s="65"/>
      <c r="AS70" s="65"/>
      <c r="AT70" s="173"/>
      <c r="AU70" s="177"/>
      <c r="AV70" s="178"/>
      <c r="AW70" s="178"/>
      <c r="AX70" s="179"/>
      <c r="AZ70" s="166"/>
      <c r="BA70" s="177"/>
      <c r="BB70" s="178"/>
      <c r="BC70" s="178"/>
      <c r="BD70" s="178"/>
      <c r="BE70" s="178"/>
      <c r="BF70" s="178"/>
      <c r="BG70" s="178"/>
      <c r="BH70" s="178"/>
      <c r="BI70" s="179"/>
      <c r="BJ70" s="180"/>
      <c r="BK70" s="178"/>
      <c r="BL70" s="178"/>
      <c r="BM70" s="178"/>
      <c r="BN70" s="178"/>
      <c r="BO70" s="181"/>
      <c r="BP70" s="166"/>
      <c r="BQ70" s="177"/>
      <c r="BR70" s="178"/>
      <c r="BS70" s="179"/>
      <c r="BU70" s="166"/>
      <c r="BV70" s="166"/>
      <c r="BW70" s="166"/>
      <c r="BX70" s="166"/>
      <c r="BY70" s="166"/>
      <c r="BZ70" s="166"/>
      <c r="CA70" s="166"/>
      <c r="CB70" s="166"/>
      <c r="CC70" s="166"/>
      <c r="CD70" s="177"/>
      <c r="CE70" s="181"/>
      <c r="CF70" s="177"/>
      <c r="CG70" s="179"/>
      <c r="CH70" s="257"/>
      <c r="CI70" s="182"/>
      <c r="CJ70" s="177"/>
      <c r="CK70" s="182"/>
      <c r="CL70" s="177"/>
      <c r="CM70" s="182"/>
      <c r="CN70" s="177"/>
      <c r="CO70" s="182"/>
      <c r="CP70" s="177"/>
      <c r="CQ70" s="178"/>
      <c r="CR70" s="182"/>
      <c r="CS70" s="173"/>
      <c r="CT70" s="65"/>
      <c r="CU70" s="255" t="str">
        <f t="shared" si="2"/>
        <v>PKP</v>
      </c>
    </row>
    <row r="71" ht="60.0" customHeight="1">
      <c r="A71" s="65"/>
      <c r="C71" s="167">
        <v>9.0</v>
      </c>
      <c r="D71" s="168" t="s">
        <v>165</v>
      </c>
      <c r="E71" s="169"/>
      <c r="F71" s="170"/>
      <c r="G71" s="170"/>
      <c r="H71" s="170"/>
      <c r="I71" s="207"/>
      <c r="J71" s="170"/>
      <c r="K71" s="171"/>
      <c r="L71" s="171"/>
      <c r="M71" s="171"/>
      <c r="N71" s="171"/>
      <c r="O71" s="268">
        <f t="shared" si="13"/>
        <v>0</v>
      </c>
      <c r="Q71" s="173"/>
      <c r="R71" s="65"/>
      <c r="S71" s="173"/>
      <c r="T71" s="173"/>
      <c r="U71" s="166"/>
      <c r="V71" s="166"/>
      <c r="W71" s="65"/>
      <c r="X71" s="66"/>
      <c r="Y71" s="173"/>
      <c r="Z71" s="166"/>
      <c r="AA71" s="174"/>
      <c r="AB71" s="175"/>
      <c r="AC71" s="175"/>
      <c r="AD71" s="175"/>
      <c r="AE71" s="175"/>
      <c r="AF71" s="175"/>
      <c r="AG71" s="175"/>
      <c r="AH71" s="175"/>
      <c r="AI71" s="176"/>
      <c r="AJ71" s="177"/>
      <c r="AK71" s="178"/>
      <c r="AL71" s="178"/>
      <c r="AM71" s="178"/>
      <c r="AN71" s="178"/>
      <c r="AO71" s="179"/>
      <c r="AP71" s="64"/>
      <c r="AQ71" s="65"/>
      <c r="AR71" s="65"/>
      <c r="AS71" s="65"/>
      <c r="AT71" s="173"/>
      <c r="AU71" s="177"/>
      <c r="AV71" s="178"/>
      <c r="AW71" s="178"/>
      <c r="AX71" s="179"/>
      <c r="AZ71" s="166"/>
      <c r="BA71" s="177"/>
      <c r="BB71" s="178"/>
      <c r="BC71" s="178"/>
      <c r="BD71" s="178"/>
      <c r="BE71" s="178"/>
      <c r="BF71" s="178"/>
      <c r="BG71" s="178"/>
      <c r="BH71" s="178"/>
      <c r="BI71" s="179"/>
      <c r="BJ71" s="180"/>
      <c r="BK71" s="178"/>
      <c r="BL71" s="178"/>
      <c r="BM71" s="178"/>
      <c r="BN71" s="178"/>
      <c r="BO71" s="181"/>
      <c r="BP71" s="166"/>
      <c r="BQ71" s="177"/>
      <c r="BR71" s="178"/>
      <c r="BS71" s="179"/>
      <c r="BU71" s="166"/>
      <c r="BV71" s="166"/>
      <c r="BW71" s="166"/>
      <c r="BX71" s="166"/>
      <c r="BY71" s="166"/>
      <c r="BZ71" s="166"/>
      <c r="CA71" s="166"/>
      <c r="CB71" s="166"/>
      <c r="CC71" s="166"/>
      <c r="CD71" s="177"/>
      <c r="CE71" s="181"/>
      <c r="CF71" s="177"/>
      <c r="CG71" s="179"/>
      <c r="CH71" s="257"/>
      <c r="CI71" s="182"/>
      <c r="CJ71" s="177"/>
      <c r="CK71" s="182"/>
      <c r="CL71" s="177"/>
      <c r="CM71" s="182"/>
      <c r="CN71" s="177"/>
      <c r="CO71" s="182"/>
      <c r="CP71" s="177"/>
      <c r="CQ71" s="178"/>
      <c r="CR71" s="182"/>
      <c r="CS71" s="173"/>
      <c r="CT71" s="65"/>
      <c r="CU71" s="255" t="str">
        <f t="shared" si="2"/>
        <v>PKP</v>
      </c>
    </row>
    <row r="72" ht="60.0" customHeight="1">
      <c r="A72" s="65"/>
      <c r="C72" s="167">
        <v>10.0</v>
      </c>
      <c r="D72" s="168" t="s">
        <v>165</v>
      </c>
      <c r="E72" s="169"/>
      <c r="F72" s="170"/>
      <c r="G72" s="170"/>
      <c r="H72" s="170"/>
      <c r="I72" s="207"/>
      <c r="J72" s="170"/>
      <c r="K72" s="171"/>
      <c r="L72" s="171"/>
      <c r="M72" s="171"/>
      <c r="N72" s="171"/>
      <c r="O72" s="268">
        <f t="shared" si="13"/>
        <v>0</v>
      </c>
      <c r="Q72" s="173"/>
      <c r="R72" s="65"/>
      <c r="S72" s="173"/>
      <c r="T72" s="173"/>
      <c r="U72" s="166"/>
      <c r="V72" s="166"/>
      <c r="W72" s="65"/>
      <c r="X72" s="66"/>
      <c r="Y72" s="173"/>
      <c r="Z72" s="166"/>
      <c r="AA72" s="174"/>
      <c r="AB72" s="175"/>
      <c r="AC72" s="175"/>
      <c r="AD72" s="175"/>
      <c r="AE72" s="175"/>
      <c r="AF72" s="175"/>
      <c r="AG72" s="175"/>
      <c r="AH72" s="175"/>
      <c r="AI72" s="176"/>
      <c r="AJ72" s="177"/>
      <c r="AK72" s="178"/>
      <c r="AL72" s="178"/>
      <c r="AM72" s="178"/>
      <c r="AN72" s="178"/>
      <c r="AO72" s="179"/>
      <c r="AP72" s="64"/>
      <c r="AQ72" s="65"/>
      <c r="AR72" s="65"/>
      <c r="AS72" s="65"/>
      <c r="AT72" s="173"/>
      <c r="AU72" s="177"/>
      <c r="AV72" s="178"/>
      <c r="AW72" s="178"/>
      <c r="AX72" s="179"/>
      <c r="AZ72" s="166"/>
      <c r="BA72" s="177"/>
      <c r="BB72" s="178"/>
      <c r="BC72" s="178"/>
      <c r="BD72" s="178"/>
      <c r="BE72" s="178"/>
      <c r="BF72" s="178"/>
      <c r="BG72" s="178"/>
      <c r="BH72" s="178"/>
      <c r="BI72" s="179"/>
      <c r="BJ72" s="180"/>
      <c r="BK72" s="178"/>
      <c r="BL72" s="178"/>
      <c r="BM72" s="178"/>
      <c r="BN72" s="178"/>
      <c r="BO72" s="181"/>
      <c r="BP72" s="166"/>
      <c r="BQ72" s="177"/>
      <c r="BR72" s="178"/>
      <c r="BS72" s="179"/>
      <c r="BU72" s="166"/>
      <c r="BV72" s="166"/>
      <c r="BW72" s="166"/>
      <c r="BX72" s="166"/>
      <c r="BY72" s="166"/>
      <c r="BZ72" s="166"/>
      <c r="CA72" s="166"/>
      <c r="CB72" s="166"/>
      <c r="CC72" s="166"/>
      <c r="CD72" s="177"/>
      <c r="CE72" s="181"/>
      <c r="CF72" s="177"/>
      <c r="CG72" s="179"/>
      <c r="CH72" s="257"/>
      <c r="CI72" s="182"/>
      <c r="CJ72" s="177"/>
      <c r="CK72" s="182"/>
      <c r="CL72" s="177"/>
      <c r="CM72" s="182"/>
      <c r="CN72" s="177"/>
      <c r="CO72" s="182"/>
      <c r="CP72" s="177"/>
      <c r="CQ72" s="178"/>
      <c r="CR72" s="182"/>
      <c r="CS72" s="173"/>
      <c r="CT72" s="65"/>
      <c r="CU72" s="255" t="str">
        <f t="shared" si="2"/>
        <v>PKP</v>
      </c>
    </row>
    <row r="73" ht="60.0" customHeight="1">
      <c r="A73" s="89"/>
      <c r="C73" s="183">
        <v>11.0</v>
      </c>
      <c r="D73" s="210" t="s">
        <v>165</v>
      </c>
      <c r="E73" s="185"/>
      <c r="F73" s="186"/>
      <c r="G73" s="186"/>
      <c r="H73" s="186"/>
      <c r="I73" s="212"/>
      <c r="J73" s="186"/>
      <c r="K73" s="187"/>
      <c r="L73" s="187"/>
      <c r="M73" s="187"/>
      <c r="N73" s="187"/>
      <c r="O73" s="269">
        <f t="shared" ref="O73:O79" si="14">IF(AND(M73&lt;&gt;0,M73&lt;&gt;"m",M73&lt;&gt;"",RIGHT(K73,3)="Lec"),1,IF(AND(M73&lt;&gt;0,M73&lt;&gt;"m",M73&lt;&gt;"",OR(RIGHT(K73,3)="Lab",RIGHT(K73,3)="Tut")),0.5,IF(AND(M73&lt;&gt;0,M73&lt;&gt;"m",M73&lt;&gt;"",RIGHT(K73,2)="TL"),0.75,0)))</f>
        <v>0</v>
      </c>
      <c r="P73" s="6"/>
      <c r="Q73" s="69"/>
      <c r="R73" s="89"/>
      <c r="S73" s="69"/>
      <c r="T73" s="69"/>
      <c r="U73" s="63"/>
      <c r="V73" s="63"/>
      <c r="W73" s="89"/>
      <c r="X73" s="68"/>
      <c r="Y73" s="69"/>
      <c r="Z73" s="63"/>
      <c r="AA73" s="189"/>
      <c r="AB73" s="190"/>
      <c r="AC73" s="190"/>
      <c r="AD73" s="190"/>
      <c r="AE73" s="190"/>
      <c r="AF73" s="190"/>
      <c r="AG73" s="190"/>
      <c r="AH73" s="190"/>
      <c r="AI73" s="191"/>
      <c r="AJ73" s="192"/>
      <c r="AK73" s="193"/>
      <c r="AL73" s="193"/>
      <c r="AM73" s="193"/>
      <c r="AN73" s="193"/>
      <c r="AO73" s="194"/>
      <c r="AP73" s="103"/>
      <c r="AQ73" s="89"/>
      <c r="AR73" s="89"/>
      <c r="AS73" s="89"/>
      <c r="AT73" s="69"/>
      <c r="AU73" s="192"/>
      <c r="AV73" s="193"/>
      <c r="AW73" s="193"/>
      <c r="AX73" s="194"/>
      <c r="AY73" s="6"/>
      <c r="AZ73" s="63"/>
      <c r="BA73" s="192"/>
      <c r="BB73" s="193"/>
      <c r="BC73" s="193"/>
      <c r="BD73" s="193"/>
      <c r="BE73" s="193"/>
      <c r="BF73" s="193"/>
      <c r="BG73" s="193"/>
      <c r="BH73" s="193"/>
      <c r="BI73" s="194"/>
      <c r="BJ73" s="195"/>
      <c r="BK73" s="193"/>
      <c r="BL73" s="193"/>
      <c r="BM73" s="193"/>
      <c r="BN73" s="193"/>
      <c r="BO73" s="196"/>
      <c r="BP73" s="63"/>
      <c r="BQ73" s="192"/>
      <c r="BR73" s="193"/>
      <c r="BS73" s="194"/>
      <c r="BT73" s="6"/>
      <c r="BU73" s="63"/>
      <c r="BV73" s="63"/>
      <c r="BW73" s="63"/>
      <c r="BX73" s="63"/>
      <c r="BY73" s="63"/>
      <c r="BZ73" s="63"/>
      <c r="CA73" s="63"/>
      <c r="CB73" s="63"/>
      <c r="CC73" s="63"/>
      <c r="CD73" s="192"/>
      <c r="CE73" s="196"/>
      <c r="CF73" s="192"/>
      <c r="CG73" s="194"/>
      <c r="CH73" s="259"/>
      <c r="CI73" s="197"/>
      <c r="CJ73" s="192"/>
      <c r="CK73" s="197"/>
      <c r="CL73" s="192"/>
      <c r="CM73" s="197"/>
      <c r="CN73" s="192"/>
      <c r="CO73" s="197"/>
      <c r="CP73" s="192"/>
      <c r="CQ73" s="193"/>
      <c r="CR73" s="197"/>
      <c r="CS73" s="69"/>
      <c r="CT73" s="89"/>
      <c r="CU73" s="255" t="str">
        <f t="shared" si="2"/>
        <v>PKP</v>
      </c>
    </row>
    <row r="74" ht="56.25" customHeight="1">
      <c r="A74" s="125">
        <v>7.0</v>
      </c>
      <c r="B74" s="199" t="s">
        <v>169</v>
      </c>
      <c r="C74" s="127">
        <v>1.0</v>
      </c>
      <c r="D74" s="168" t="s">
        <v>170</v>
      </c>
      <c r="E74" s="129"/>
      <c r="F74" s="130"/>
      <c r="G74" s="130"/>
      <c r="H74" s="130"/>
      <c r="I74" s="201"/>
      <c r="J74" s="130"/>
      <c r="K74" s="131"/>
      <c r="L74" s="131"/>
      <c r="M74" s="131"/>
      <c r="N74" s="131"/>
      <c r="O74" s="267">
        <f t="shared" si="14"/>
        <v>0</v>
      </c>
      <c r="P74" s="251">
        <f>COUNTIF(K74:K84,"TL")*0.75+COUNTIF(K74:K84,"Lec")*1+COUNTIF(K74:K84,"Lab")*0.5</f>
        <v>0</v>
      </c>
      <c r="Q74" s="134">
        <f>SUM((IF(LEFT(K74,1)="E",O74,0)),(IF(LEFT(K75,1)="E",O75,0)),(IF(LEFT(K76,1)="E",O76,0)),(IF(LEFT(K77,1)="E",O77,0)),(IF(LEFT(K78,1)="E",O78,0)),(IF(LEFT(K79,1)="E",O79,0)),(IF(LEFT(K80,1)="E",O80,0)),(IF(LEFT(K81,1)="E",O81,0)),(IF(LEFT(K82,1)="E",O82,0)),(IF(LEFT(K83,1)="E",O83,0)),(IF(LEFT(K84,1)="E",O84,0)))</f>
        <v>0</v>
      </c>
      <c r="R74" s="135">
        <f>SUM(IF(M80&lt;20,IF(K80="Plec",-1,IF(K80="PTL",-0.75,IF(K80="Plab",-0.5,0))),0),IF(M81&lt;20,IF(K81="Plec",-1,IF(K81="PTL",-0.75,IF(K81="Plab",-0.5,0))),0),IF(M82&lt;20,IF(K82="Plec",-1,IF(K82="PTL",-0.75,IF(K82="Plab",-0.5,0))),0),IF(M83&lt;20,IF(K83="Plec",-1,IF(K83="PTL",-0.75,IF(K83="Plab",-0.5,0))),0))</f>
        <v>0</v>
      </c>
      <c r="S74" s="134">
        <f>SUM(P74:R84)</f>
        <v>0</v>
      </c>
      <c r="T74" s="136">
        <f>SUM(IF(M74="M",IF(OR(K74="lec",K74="plec",K74="slec"),1,IF(OR(K74="lab",K74="plab",K74="slab",K74="tut",K74="ptut",K74="stut"),0.5,IF(OR(K74="TL",K74="pTL",K74="STL"),0.75,0))),0),IF(M75="M",IF(OR(K75="lec",K75="plec",K75="slec"),1,IF(OR(K75="lab",K75="plab",K75="slab",K75="tut",K75="ptut",K75="stut"),0.5,IF(OR(K75="TL",K75="pTL",K75="STL"),0.75,0))),0),IF(M76="M",IF(OR(K76="lec",K76="plec",K76="slec"),1,IF(OR(K76="lab",K76="plab",K76="slab",K76="tut",K76="ptut",K76="stut"),0.5,IF(OR(K76="TL",K76="pTL",K76="STL"),0.75,0))),0),IF(M77="M",IF(OR(K77="lec",K77="plec",K77="slec"),1,IF(OR(K77="lab",K77="plab",K77="slab",K77="tut",K77="ptut",K77="stut"),0.5,IF(OR(K77="TL",K77="pTL",K77="STL"),0.75,0))),0),IF(M78="M",IF(OR(K78="lec",K78="plec",K78="slec"),1,IF(OR(K78="lab",K78="plab",K78="slab",K78="tut",K78="ptut",K78="stut"),0.5,IF(OR(K78="TL",K78="pTL",K78="STL"),0.75,0))),0),IF(M79="M",IF(OR(K79="lec",K79="plec",K79="slec"),1,IF(OR(K79="lab",K79="plab",K79="slab",K79="tut",K79="ptut",K79="stut"),0.5,IF(OR(K79="TL",K79="pTL",K79="STL"),0.75,0))),0),IF(M80="M",IF(OR(K80="lec",K80="plec",K80="slec"),1,IF(OR(K80="lab",K80="plab",K80="slab",K80="tut",K80="ptut",K80="stut"),0.5,IF(OR(K80="TL",K80="pTL",K80="STL"),0.75,0))),0),IF(M81="M",IF(OR(K81="lec",K81="plec",K81="slec"),1,IF(OR(K81="lab",K81="plab",K81="slab",K81="tut",K81="ptut",K81="stut"),0.5,IF(OR(K81="TL",K81="pTL",K81="STL"),0.75,0))),0),IF(M82="M",IF(OR(K82="lec",K82="plec",K82="slec"),1,IF(OR(K82="lab",K82="plab",K82="slab",K82="tut",K82="ptut",K82="stut"),0.5,IF(OR(K82="TL",K82="pTL",K82="STL"),0.75,0))),0),IF(M83="M",IF(OR(K83="lec",K83="plec",K83="slec"),1,IF(OR(K83="lab",K83="plab",K83="slab",K83="tut",K83="ptut",K83="stut"),0.5,IF(OR(K83="TL",K83="pTL",K83="STL"),0.75,0))),0),IF(M84="M",IF(OR(K84="lec",K84="plec",K84="slec"),1,IF(OR(K84="lab",K84="plab",K84="slab",K84="tut",K84="ptut",K84="stut"),0.5,IF(OR(K84="TL",K84="pTL",K84="STL"),0.75,0))),0))</f>
        <v>0</v>
      </c>
      <c r="U74" s="137"/>
      <c r="V74" s="133"/>
      <c r="W74" s="138"/>
      <c r="X74" s="139">
        <f>S74-(T74+U74+V74+W74)</f>
        <v>0</v>
      </c>
      <c r="Y74" s="134" t="str">
        <f>CONCATENATE(SUM(O74:O84),"(",SUM(O74:O84)-X74,")")</f>
        <v>0(0)</v>
      </c>
      <c r="Z74" s="140"/>
      <c r="AA74" s="141"/>
      <c r="AB74" s="142"/>
      <c r="AC74" s="142"/>
      <c r="AD74" s="142"/>
      <c r="AE74" s="142"/>
      <c r="AF74" s="142"/>
      <c r="AG74" s="142"/>
      <c r="AH74" s="142"/>
      <c r="AI74" s="143"/>
      <c r="AJ74" s="144"/>
      <c r="AK74" s="145"/>
      <c r="AL74" s="145"/>
      <c r="AM74" s="145"/>
      <c r="AN74" s="145"/>
      <c r="AO74" s="146"/>
      <c r="AP74" s="147">
        <f>SUM(SUM(O74:O84),SUM(AI74:AI84)/2,AM74)</f>
        <v>0</v>
      </c>
      <c r="AQ74" s="148"/>
      <c r="AR74" s="148">
        <f>AP74*AQ74</f>
        <v>0</v>
      </c>
      <c r="AS74" s="148">
        <f>CT74</f>
        <v>1</v>
      </c>
      <c r="AT74" s="149">
        <f>AR74*0.75+AS74*0.25</f>
        <v>0.25</v>
      </c>
      <c r="AU74" s="150"/>
      <c r="AV74" s="151"/>
      <c r="AW74" s="151"/>
      <c r="AX74" s="152"/>
      <c r="AY74" s="153"/>
      <c r="AZ74" s="140"/>
      <c r="BA74" s="150">
        <v>1.0</v>
      </c>
      <c r="BB74" s="151" t="s">
        <v>148</v>
      </c>
      <c r="BC74" s="151">
        <v>12.0</v>
      </c>
      <c r="BD74" s="151">
        <v>205.0</v>
      </c>
      <c r="BE74" s="151" t="s">
        <v>150</v>
      </c>
      <c r="BF74" s="151"/>
      <c r="BG74" s="151">
        <v>1.0</v>
      </c>
      <c r="BH74" s="151"/>
      <c r="BI74" s="152"/>
      <c r="BJ74" s="154"/>
      <c r="BK74" s="151"/>
      <c r="BL74" s="151"/>
      <c r="BM74" s="151"/>
      <c r="BN74" s="151"/>
      <c r="BO74" s="155"/>
      <c r="BP74" s="140"/>
      <c r="BQ74" s="156"/>
      <c r="BR74" s="157"/>
      <c r="BS74" s="158"/>
      <c r="BT74" s="153"/>
      <c r="BU74" s="140"/>
      <c r="BV74" s="140"/>
      <c r="BW74" s="140"/>
      <c r="BX74" s="140"/>
      <c r="BY74" s="140"/>
      <c r="BZ74" s="140"/>
      <c r="CA74" s="140"/>
      <c r="CB74" s="140"/>
      <c r="CC74" s="140"/>
      <c r="CD74" s="150"/>
      <c r="CE74" s="155"/>
      <c r="CF74" s="150"/>
      <c r="CG74" s="152"/>
      <c r="CH74" s="252"/>
      <c r="CI74" s="160"/>
      <c r="CJ74" s="159"/>
      <c r="CK74" s="160"/>
      <c r="CL74" s="159"/>
      <c r="CM74" s="160"/>
      <c r="CN74" s="159"/>
      <c r="CO74" s="160"/>
      <c r="CP74" s="159"/>
      <c r="CQ74" s="162"/>
      <c r="CR74" s="160"/>
      <c r="CS74" s="253">
        <f>SUM(IF(AU74&lt;0,ABS(AU74),0),IF(AZ74&lt;0,ABS(AZ74),0),ABS(CI74),ABS(CK74),ABS(CM74),ABS(CO74),ABS(CQ74),ABS(CR74))</f>
        <v>0</v>
      </c>
      <c r="CT74" s="254">
        <f>SUM(AU74,AV74,AW74,AX74/400,AY74,AZ74,BG74,BH74*0.5,BI74*0.25,BJ74,BK74,BL74,BM74,BN74,BO74,BP74,BR74/20,BS74/100,BT74/60,BU74,BV74,BW74,BX74/4,SUM(BY74:CC84)/3,CE74,CG74/3,CI74,CK74,CM74,CO74,CQ74,CR74)</f>
        <v>1</v>
      </c>
      <c r="CU74" s="255" t="str">
        <f t="shared" si="2"/>
        <v>SDP</v>
      </c>
    </row>
    <row r="75" ht="60.0" customHeight="1">
      <c r="A75" s="65"/>
      <c r="C75" s="167">
        <v>2.0</v>
      </c>
      <c r="D75" s="168" t="s">
        <v>170</v>
      </c>
      <c r="E75" s="169"/>
      <c r="F75" s="170"/>
      <c r="G75" s="170"/>
      <c r="H75" s="170"/>
      <c r="I75" s="207"/>
      <c r="J75" s="170"/>
      <c r="K75" s="171"/>
      <c r="L75" s="171"/>
      <c r="M75" s="171"/>
      <c r="N75" s="171"/>
      <c r="O75" s="268">
        <f t="shared" si="14"/>
        <v>0</v>
      </c>
      <c r="Q75" s="173"/>
      <c r="R75" s="65"/>
      <c r="S75" s="173"/>
      <c r="T75" s="173"/>
      <c r="U75" s="166"/>
      <c r="V75" s="166"/>
      <c r="W75" s="65"/>
      <c r="X75" s="66"/>
      <c r="Y75" s="173"/>
      <c r="Z75" s="166"/>
      <c r="AA75" s="174"/>
      <c r="AB75" s="175"/>
      <c r="AC75" s="175"/>
      <c r="AD75" s="175"/>
      <c r="AE75" s="175"/>
      <c r="AF75" s="175"/>
      <c r="AG75" s="175"/>
      <c r="AH75" s="175"/>
      <c r="AI75" s="176"/>
      <c r="AJ75" s="177"/>
      <c r="AK75" s="178"/>
      <c r="AL75" s="178"/>
      <c r="AM75" s="178"/>
      <c r="AN75" s="178"/>
      <c r="AO75" s="179"/>
      <c r="AP75" s="64"/>
      <c r="AQ75" s="65"/>
      <c r="AR75" s="65"/>
      <c r="AS75" s="65"/>
      <c r="AT75" s="173"/>
      <c r="AU75" s="177"/>
      <c r="AV75" s="178"/>
      <c r="AW75" s="178"/>
      <c r="AX75" s="179"/>
      <c r="AZ75" s="166"/>
      <c r="BA75" s="177"/>
      <c r="BB75" s="178"/>
      <c r="BC75" s="178"/>
      <c r="BD75" s="178"/>
      <c r="BE75" s="178"/>
      <c r="BF75" s="178"/>
      <c r="BG75" s="178"/>
      <c r="BH75" s="178"/>
      <c r="BI75" s="179"/>
      <c r="BJ75" s="180"/>
      <c r="BK75" s="178"/>
      <c r="BL75" s="178"/>
      <c r="BM75" s="178"/>
      <c r="BN75" s="178"/>
      <c r="BO75" s="181"/>
      <c r="BP75" s="166"/>
      <c r="BQ75" s="177"/>
      <c r="BR75" s="178"/>
      <c r="BS75" s="179"/>
      <c r="BU75" s="166"/>
      <c r="BV75" s="166"/>
      <c r="BW75" s="166"/>
      <c r="BX75" s="166"/>
      <c r="BY75" s="166"/>
      <c r="BZ75" s="166"/>
      <c r="CA75" s="166"/>
      <c r="CB75" s="166"/>
      <c r="CC75" s="166"/>
      <c r="CD75" s="177"/>
      <c r="CE75" s="181"/>
      <c r="CF75" s="177"/>
      <c r="CG75" s="179"/>
      <c r="CH75" s="257"/>
      <c r="CI75" s="182"/>
      <c r="CJ75" s="177"/>
      <c r="CK75" s="182"/>
      <c r="CL75" s="177"/>
      <c r="CM75" s="182"/>
      <c r="CN75" s="177"/>
      <c r="CO75" s="182"/>
      <c r="CP75" s="177"/>
      <c r="CQ75" s="178"/>
      <c r="CR75" s="182"/>
      <c r="CS75" s="173"/>
      <c r="CT75" s="65"/>
      <c r="CU75" s="255" t="str">
        <f t="shared" si="2"/>
        <v>SDP</v>
      </c>
    </row>
    <row r="76" ht="60.0" customHeight="1">
      <c r="A76" s="65"/>
      <c r="C76" s="167">
        <v>3.0</v>
      </c>
      <c r="D76" s="168" t="s">
        <v>170</v>
      </c>
      <c r="E76" s="169"/>
      <c r="F76" s="170"/>
      <c r="G76" s="170"/>
      <c r="H76" s="170"/>
      <c r="I76" s="207"/>
      <c r="J76" s="170"/>
      <c r="K76" s="171"/>
      <c r="L76" s="171"/>
      <c r="M76" s="171"/>
      <c r="N76" s="171"/>
      <c r="O76" s="268">
        <f t="shared" si="14"/>
        <v>0</v>
      </c>
      <c r="Q76" s="173"/>
      <c r="R76" s="65"/>
      <c r="S76" s="173"/>
      <c r="T76" s="173"/>
      <c r="U76" s="166"/>
      <c r="V76" s="166"/>
      <c r="W76" s="65"/>
      <c r="X76" s="66"/>
      <c r="Y76" s="173"/>
      <c r="Z76" s="166"/>
      <c r="AA76" s="174"/>
      <c r="AB76" s="175"/>
      <c r="AC76" s="175"/>
      <c r="AD76" s="175"/>
      <c r="AE76" s="175"/>
      <c r="AF76" s="175"/>
      <c r="AG76" s="175"/>
      <c r="AH76" s="175"/>
      <c r="AI76" s="176"/>
      <c r="AJ76" s="177"/>
      <c r="AK76" s="178"/>
      <c r="AL76" s="178"/>
      <c r="AM76" s="178"/>
      <c r="AN76" s="178"/>
      <c r="AO76" s="179"/>
      <c r="AP76" s="64"/>
      <c r="AQ76" s="65"/>
      <c r="AR76" s="65"/>
      <c r="AS76" s="65"/>
      <c r="AT76" s="173"/>
      <c r="AU76" s="177"/>
      <c r="AV76" s="178"/>
      <c r="AW76" s="178"/>
      <c r="AX76" s="179"/>
      <c r="AZ76" s="166"/>
      <c r="BA76" s="177"/>
      <c r="BB76" s="178"/>
      <c r="BC76" s="178"/>
      <c r="BD76" s="178"/>
      <c r="BE76" s="178"/>
      <c r="BF76" s="178"/>
      <c r="BG76" s="178"/>
      <c r="BH76" s="178"/>
      <c r="BI76" s="179"/>
      <c r="BJ76" s="180"/>
      <c r="BK76" s="178"/>
      <c r="BL76" s="178"/>
      <c r="BM76" s="178"/>
      <c r="BN76" s="178"/>
      <c r="BO76" s="181"/>
      <c r="BP76" s="166"/>
      <c r="BQ76" s="177"/>
      <c r="BR76" s="178"/>
      <c r="BS76" s="179"/>
      <c r="BU76" s="166"/>
      <c r="BV76" s="166"/>
      <c r="BW76" s="166"/>
      <c r="BX76" s="166"/>
      <c r="BY76" s="166"/>
      <c r="BZ76" s="166"/>
      <c r="CA76" s="166"/>
      <c r="CB76" s="166"/>
      <c r="CC76" s="166"/>
      <c r="CD76" s="177"/>
      <c r="CE76" s="181"/>
      <c r="CF76" s="177"/>
      <c r="CG76" s="179"/>
      <c r="CH76" s="257"/>
      <c r="CI76" s="182"/>
      <c r="CJ76" s="177"/>
      <c r="CK76" s="182"/>
      <c r="CL76" s="177"/>
      <c r="CM76" s="182"/>
      <c r="CN76" s="177"/>
      <c r="CO76" s="182"/>
      <c r="CP76" s="177"/>
      <c r="CQ76" s="178"/>
      <c r="CR76" s="182"/>
      <c r="CS76" s="173"/>
      <c r="CT76" s="65"/>
      <c r="CU76" s="255" t="str">
        <f t="shared" si="2"/>
        <v>SDP</v>
      </c>
    </row>
    <row r="77" ht="60.0" customHeight="1">
      <c r="A77" s="65"/>
      <c r="C77" s="167">
        <v>4.0</v>
      </c>
      <c r="D77" s="168" t="s">
        <v>170</v>
      </c>
      <c r="E77" s="169"/>
      <c r="F77" s="170"/>
      <c r="G77" s="170"/>
      <c r="H77" s="170"/>
      <c r="I77" s="207"/>
      <c r="J77" s="170"/>
      <c r="K77" s="171"/>
      <c r="L77" s="171"/>
      <c r="M77" s="171"/>
      <c r="N77" s="171"/>
      <c r="O77" s="268">
        <f t="shared" si="14"/>
        <v>0</v>
      </c>
      <c r="Q77" s="173"/>
      <c r="R77" s="65"/>
      <c r="S77" s="173"/>
      <c r="T77" s="173"/>
      <c r="U77" s="166"/>
      <c r="V77" s="166"/>
      <c r="W77" s="65"/>
      <c r="X77" s="66"/>
      <c r="Y77" s="173"/>
      <c r="Z77" s="166"/>
      <c r="AA77" s="174"/>
      <c r="AB77" s="175"/>
      <c r="AC77" s="175"/>
      <c r="AD77" s="175"/>
      <c r="AE77" s="175"/>
      <c r="AF77" s="175"/>
      <c r="AG77" s="175"/>
      <c r="AH77" s="175"/>
      <c r="AI77" s="176"/>
      <c r="AJ77" s="177"/>
      <c r="AK77" s="178"/>
      <c r="AL77" s="178"/>
      <c r="AM77" s="178"/>
      <c r="AN77" s="178"/>
      <c r="AO77" s="179"/>
      <c r="AP77" s="64"/>
      <c r="AQ77" s="65"/>
      <c r="AR77" s="65"/>
      <c r="AS77" s="65"/>
      <c r="AT77" s="173"/>
      <c r="AU77" s="177"/>
      <c r="AV77" s="178"/>
      <c r="AW77" s="178"/>
      <c r="AX77" s="179"/>
      <c r="AZ77" s="166"/>
      <c r="BA77" s="177"/>
      <c r="BB77" s="178"/>
      <c r="BC77" s="178"/>
      <c r="BD77" s="178"/>
      <c r="BE77" s="178"/>
      <c r="BF77" s="178"/>
      <c r="BG77" s="178"/>
      <c r="BH77" s="178"/>
      <c r="BI77" s="179"/>
      <c r="BJ77" s="180"/>
      <c r="BK77" s="178"/>
      <c r="BL77" s="178"/>
      <c r="BM77" s="178"/>
      <c r="BN77" s="178"/>
      <c r="BO77" s="181"/>
      <c r="BP77" s="166"/>
      <c r="BQ77" s="177"/>
      <c r="BR77" s="178"/>
      <c r="BS77" s="179"/>
      <c r="BU77" s="166"/>
      <c r="BV77" s="166"/>
      <c r="BW77" s="166"/>
      <c r="BX77" s="166"/>
      <c r="BY77" s="166"/>
      <c r="BZ77" s="166"/>
      <c r="CA77" s="166"/>
      <c r="CB77" s="166"/>
      <c r="CC77" s="166"/>
      <c r="CD77" s="177"/>
      <c r="CE77" s="181"/>
      <c r="CF77" s="177"/>
      <c r="CG77" s="179"/>
      <c r="CH77" s="257"/>
      <c r="CI77" s="182"/>
      <c r="CJ77" s="177"/>
      <c r="CK77" s="182"/>
      <c r="CL77" s="177"/>
      <c r="CM77" s="182"/>
      <c r="CN77" s="177"/>
      <c r="CO77" s="182"/>
      <c r="CP77" s="177"/>
      <c r="CQ77" s="178"/>
      <c r="CR77" s="182"/>
      <c r="CS77" s="173"/>
      <c r="CT77" s="65"/>
      <c r="CU77" s="255" t="str">
        <f t="shared" si="2"/>
        <v>SDP</v>
      </c>
    </row>
    <row r="78" ht="60.0" customHeight="1">
      <c r="A78" s="65"/>
      <c r="C78" s="167">
        <v>5.0</v>
      </c>
      <c r="D78" s="168" t="s">
        <v>170</v>
      </c>
      <c r="E78" s="169"/>
      <c r="F78" s="170"/>
      <c r="G78" s="170"/>
      <c r="H78" s="170"/>
      <c r="I78" s="207"/>
      <c r="J78" s="170"/>
      <c r="K78" s="171"/>
      <c r="L78" s="171"/>
      <c r="M78" s="171"/>
      <c r="N78" s="171"/>
      <c r="O78" s="268">
        <f t="shared" si="14"/>
        <v>0</v>
      </c>
      <c r="Q78" s="173"/>
      <c r="R78" s="65"/>
      <c r="S78" s="173"/>
      <c r="T78" s="173"/>
      <c r="U78" s="166"/>
      <c r="V78" s="166"/>
      <c r="W78" s="65"/>
      <c r="X78" s="66"/>
      <c r="Y78" s="173"/>
      <c r="Z78" s="166"/>
      <c r="AA78" s="174"/>
      <c r="AB78" s="175"/>
      <c r="AC78" s="175"/>
      <c r="AD78" s="175"/>
      <c r="AE78" s="175"/>
      <c r="AF78" s="175"/>
      <c r="AG78" s="175"/>
      <c r="AH78" s="175"/>
      <c r="AI78" s="176"/>
      <c r="AJ78" s="177"/>
      <c r="AK78" s="178"/>
      <c r="AL78" s="178"/>
      <c r="AM78" s="178"/>
      <c r="AN78" s="178"/>
      <c r="AO78" s="179"/>
      <c r="AP78" s="64"/>
      <c r="AQ78" s="65"/>
      <c r="AR78" s="65"/>
      <c r="AS78" s="65"/>
      <c r="AT78" s="173"/>
      <c r="AU78" s="177"/>
      <c r="AV78" s="178"/>
      <c r="AW78" s="178"/>
      <c r="AX78" s="179"/>
      <c r="AZ78" s="166"/>
      <c r="BA78" s="177"/>
      <c r="BB78" s="178"/>
      <c r="BC78" s="178"/>
      <c r="BD78" s="178"/>
      <c r="BE78" s="178"/>
      <c r="BF78" s="178"/>
      <c r="BG78" s="178"/>
      <c r="BH78" s="178"/>
      <c r="BI78" s="179"/>
      <c r="BJ78" s="180"/>
      <c r="BK78" s="178"/>
      <c r="BL78" s="178"/>
      <c r="BM78" s="178"/>
      <c r="BN78" s="178"/>
      <c r="BO78" s="181"/>
      <c r="BP78" s="166"/>
      <c r="BQ78" s="177"/>
      <c r="BR78" s="178"/>
      <c r="BS78" s="179"/>
      <c r="BU78" s="166"/>
      <c r="BV78" s="166"/>
      <c r="BW78" s="166"/>
      <c r="BX78" s="166"/>
      <c r="BY78" s="166"/>
      <c r="BZ78" s="166"/>
      <c r="CA78" s="166"/>
      <c r="CB78" s="166"/>
      <c r="CC78" s="166"/>
      <c r="CD78" s="177"/>
      <c r="CE78" s="181"/>
      <c r="CF78" s="177"/>
      <c r="CG78" s="179"/>
      <c r="CH78" s="257"/>
      <c r="CI78" s="182"/>
      <c r="CJ78" s="177"/>
      <c r="CK78" s="182"/>
      <c r="CL78" s="177"/>
      <c r="CM78" s="182"/>
      <c r="CN78" s="177"/>
      <c r="CO78" s="182"/>
      <c r="CP78" s="177"/>
      <c r="CQ78" s="178"/>
      <c r="CR78" s="182"/>
      <c r="CS78" s="173"/>
      <c r="CT78" s="65"/>
      <c r="CU78" s="255" t="str">
        <f t="shared" si="2"/>
        <v>SDP</v>
      </c>
    </row>
    <row r="79" ht="60.0" customHeight="1">
      <c r="A79" s="65"/>
      <c r="C79" s="167">
        <v>6.0</v>
      </c>
      <c r="D79" s="168" t="s">
        <v>170</v>
      </c>
      <c r="E79" s="169"/>
      <c r="F79" s="170"/>
      <c r="G79" s="170"/>
      <c r="H79" s="170"/>
      <c r="I79" s="207"/>
      <c r="J79" s="170"/>
      <c r="K79" s="171"/>
      <c r="L79" s="171"/>
      <c r="M79" s="171"/>
      <c r="N79" s="171"/>
      <c r="O79" s="268">
        <f t="shared" si="14"/>
        <v>0</v>
      </c>
      <c r="Q79" s="173"/>
      <c r="R79" s="65"/>
      <c r="S79" s="173"/>
      <c r="T79" s="173"/>
      <c r="U79" s="166"/>
      <c r="V79" s="166"/>
      <c r="W79" s="65"/>
      <c r="X79" s="66"/>
      <c r="Y79" s="173"/>
      <c r="Z79" s="166"/>
      <c r="AA79" s="174"/>
      <c r="AB79" s="175"/>
      <c r="AC79" s="175"/>
      <c r="AD79" s="175"/>
      <c r="AE79" s="175"/>
      <c r="AF79" s="175"/>
      <c r="AG79" s="175"/>
      <c r="AH79" s="175"/>
      <c r="AI79" s="176"/>
      <c r="AJ79" s="177"/>
      <c r="AK79" s="178"/>
      <c r="AL79" s="178"/>
      <c r="AM79" s="178"/>
      <c r="AN79" s="178"/>
      <c r="AO79" s="179"/>
      <c r="AP79" s="64"/>
      <c r="AQ79" s="65"/>
      <c r="AR79" s="65"/>
      <c r="AS79" s="65"/>
      <c r="AT79" s="173"/>
      <c r="AU79" s="177"/>
      <c r="AV79" s="178"/>
      <c r="AW79" s="178"/>
      <c r="AX79" s="179"/>
      <c r="AZ79" s="166"/>
      <c r="BA79" s="177"/>
      <c r="BB79" s="178"/>
      <c r="BC79" s="178"/>
      <c r="BD79" s="178"/>
      <c r="BE79" s="178"/>
      <c r="BF79" s="178"/>
      <c r="BG79" s="178"/>
      <c r="BH79" s="178"/>
      <c r="BI79" s="179"/>
      <c r="BJ79" s="180"/>
      <c r="BK79" s="178"/>
      <c r="BL79" s="178"/>
      <c r="BM79" s="178"/>
      <c r="BN79" s="178"/>
      <c r="BO79" s="181"/>
      <c r="BP79" s="166"/>
      <c r="BQ79" s="177"/>
      <c r="BR79" s="178"/>
      <c r="BS79" s="179"/>
      <c r="BU79" s="166"/>
      <c r="BV79" s="166"/>
      <c r="BW79" s="166"/>
      <c r="BX79" s="166"/>
      <c r="BY79" s="166"/>
      <c r="BZ79" s="166"/>
      <c r="CA79" s="166"/>
      <c r="CB79" s="166"/>
      <c r="CC79" s="166"/>
      <c r="CD79" s="177"/>
      <c r="CE79" s="181"/>
      <c r="CF79" s="177"/>
      <c r="CG79" s="179"/>
      <c r="CH79" s="257"/>
      <c r="CI79" s="182"/>
      <c r="CJ79" s="177"/>
      <c r="CK79" s="182"/>
      <c r="CL79" s="177"/>
      <c r="CM79" s="182"/>
      <c r="CN79" s="177"/>
      <c r="CO79" s="182"/>
      <c r="CP79" s="177"/>
      <c r="CQ79" s="178"/>
      <c r="CR79" s="182"/>
      <c r="CS79" s="173"/>
      <c r="CT79" s="65"/>
      <c r="CU79" s="255" t="str">
        <f t="shared" si="2"/>
        <v>SDP</v>
      </c>
    </row>
    <row r="80" ht="60.0" customHeight="1">
      <c r="A80" s="65"/>
      <c r="C80" s="167">
        <v>7.0</v>
      </c>
      <c r="D80" s="168" t="s">
        <v>170</v>
      </c>
      <c r="E80" s="169"/>
      <c r="F80" s="170"/>
      <c r="G80" s="170"/>
      <c r="H80" s="170"/>
      <c r="I80" s="207"/>
      <c r="J80" s="170"/>
      <c r="K80" s="171"/>
      <c r="L80" s="171"/>
      <c r="M80" s="171"/>
      <c r="N80" s="171"/>
      <c r="O80" s="268">
        <f t="shared" ref="O80:O83" si="15">IF(AND(M80&gt;=20,M80&lt;&gt;"m",RIGHT(K80,3)="Lec"),1,IF(AND(M80&gt;=20,M80&lt;&gt;"m",OR(RIGHT(K80,3)="Lab",RIGHT(K80,3)="Tut")),0.5,IF(AND(M80&gt;=20,M80&lt;&gt;"m",RIGHT(K80,2)="TL"),0.75,0)))</f>
        <v>0</v>
      </c>
      <c r="Q80" s="173"/>
      <c r="R80" s="65"/>
      <c r="S80" s="173"/>
      <c r="T80" s="173"/>
      <c r="U80" s="166"/>
      <c r="V80" s="166"/>
      <c r="W80" s="65"/>
      <c r="X80" s="66"/>
      <c r="Y80" s="173"/>
      <c r="Z80" s="166"/>
      <c r="AA80" s="174"/>
      <c r="AB80" s="175"/>
      <c r="AC80" s="175"/>
      <c r="AD80" s="175"/>
      <c r="AE80" s="175"/>
      <c r="AF80" s="175"/>
      <c r="AG80" s="175"/>
      <c r="AH80" s="175"/>
      <c r="AI80" s="176"/>
      <c r="AJ80" s="177"/>
      <c r="AK80" s="178"/>
      <c r="AL80" s="178"/>
      <c r="AM80" s="178"/>
      <c r="AN80" s="178"/>
      <c r="AO80" s="179"/>
      <c r="AP80" s="64"/>
      <c r="AQ80" s="65"/>
      <c r="AR80" s="65"/>
      <c r="AS80" s="65"/>
      <c r="AT80" s="173"/>
      <c r="AU80" s="177"/>
      <c r="AV80" s="178"/>
      <c r="AW80" s="178"/>
      <c r="AX80" s="179"/>
      <c r="AZ80" s="166"/>
      <c r="BA80" s="177"/>
      <c r="BB80" s="178"/>
      <c r="BC80" s="178"/>
      <c r="BD80" s="178"/>
      <c r="BE80" s="178"/>
      <c r="BF80" s="178"/>
      <c r="BG80" s="178"/>
      <c r="BH80" s="178"/>
      <c r="BI80" s="179"/>
      <c r="BJ80" s="180"/>
      <c r="BK80" s="178"/>
      <c r="BL80" s="178"/>
      <c r="BM80" s="178"/>
      <c r="BN80" s="178"/>
      <c r="BO80" s="181"/>
      <c r="BP80" s="166"/>
      <c r="BQ80" s="177"/>
      <c r="BR80" s="178"/>
      <c r="BS80" s="179"/>
      <c r="BU80" s="166"/>
      <c r="BV80" s="166"/>
      <c r="BW80" s="166"/>
      <c r="BX80" s="166"/>
      <c r="BY80" s="166"/>
      <c r="BZ80" s="166"/>
      <c r="CA80" s="166"/>
      <c r="CB80" s="166"/>
      <c r="CC80" s="166"/>
      <c r="CD80" s="177"/>
      <c r="CE80" s="181"/>
      <c r="CF80" s="177"/>
      <c r="CG80" s="179"/>
      <c r="CH80" s="257"/>
      <c r="CI80" s="182"/>
      <c r="CJ80" s="177"/>
      <c r="CK80" s="182"/>
      <c r="CL80" s="177"/>
      <c r="CM80" s="182"/>
      <c r="CN80" s="177"/>
      <c r="CO80" s="182"/>
      <c r="CP80" s="177"/>
      <c r="CQ80" s="178"/>
      <c r="CR80" s="182"/>
      <c r="CS80" s="173"/>
      <c r="CT80" s="65"/>
      <c r="CU80" s="255" t="str">
        <f t="shared" si="2"/>
        <v>SDP</v>
      </c>
    </row>
    <row r="81" ht="60.0" customHeight="1">
      <c r="A81" s="65"/>
      <c r="C81" s="167">
        <v>8.0</v>
      </c>
      <c r="D81" s="168" t="s">
        <v>170</v>
      </c>
      <c r="E81" s="169"/>
      <c r="F81" s="170"/>
      <c r="G81" s="170"/>
      <c r="H81" s="170"/>
      <c r="I81" s="207"/>
      <c r="J81" s="170"/>
      <c r="K81" s="171"/>
      <c r="L81" s="171"/>
      <c r="M81" s="171"/>
      <c r="N81" s="171"/>
      <c r="O81" s="268">
        <f t="shared" si="15"/>
        <v>0</v>
      </c>
      <c r="Q81" s="173"/>
      <c r="R81" s="65"/>
      <c r="S81" s="173"/>
      <c r="T81" s="173"/>
      <c r="U81" s="166"/>
      <c r="V81" s="166"/>
      <c r="W81" s="65"/>
      <c r="X81" s="66"/>
      <c r="Y81" s="173"/>
      <c r="Z81" s="166"/>
      <c r="AA81" s="174"/>
      <c r="AB81" s="175"/>
      <c r="AC81" s="175"/>
      <c r="AD81" s="175"/>
      <c r="AE81" s="175"/>
      <c r="AF81" s="175"/>
      <c r="AG81" s="175"/>
      <c r="AH81" s="175"/>
      <c r="AI81" s="176"/>
      <c r="AJ81" s="177"/>
      <c r="AK81" s="178"/>
      <c r="AL81" s="178"/>
      <c r="AM81" s="178"/>
      <c r="AN81" s="178"/>
      <c r="AO81" s="179"/>
      <c r="AP81" s="64"/>
      <c r="AQ81" s="65"/>
      <c r="AR81" s="65"/>
      <c r="AS81" s="65"/>
      <c r="AT81" s="173"/>
      <c r="AU81" s="177"/>
      <c r="AV81" s="178"/>
      <c r="AW81" s="178"/>
      <c r="AX81" s="179"/>
      <c r="AZ81" s="166"/>
      <c r="BA81" s="177"/>
      <c r="BB81" s="178"/>
      <c r="BC81" s="178"/>
      <c r="BD81" s="178"/>
      <c r="BE81" s="178"/>
      <c r="BF81" s="178"/>
      <c r="BG81" s="178"/>
      <c r="BH81" s="178"/>
      <c r="BI81" s="179"/>
      <c r="BJ81" s="180"/>
      <c r="BK81" s="178"/>
      <c r="BL81" s="178"/>
      <c r="BM81" s="178"/>
      <c r="BN81" s="178"/>
      <c r="BO81" s="181"/>
      <c r="BP81" s="166"/>
      <c r="BQ81" s="177"/>
      <c r="BR81" s="178"/>
      <c r="BS81" s="179"/>
      <c r="BU81" s="166"/>
      <c r="BV81" s="166"/>
      <c r="BW81" s="166"/>
      <c r="BX81" s="166"/>
      <c r="BY81" s="166"/>
      <c r="BZ81" s="166"/>
      <c r="CA81" s="166"/>
      <c r="CB81" s="166"/>
      <c r="CC81" s="166"/>
      <c r="CD81" s="177"/>
      <c r="CE81" s="181"/>
      <c r="CF81" s="177"/>
      <c r="CG81" s="179"/>
      <c r="CH81" s="257"/>
      <c r="CI81" s="182"/>
      <c r="CJ81" s="177"/>
      <c r="CK81" s="182"/>
      <c r="CL81" s="177"/>
      <c r="CM81" s="182"/>
      <c r="CN81" s="177"/>
      <c r="CO81" s="182"/>
      <c r="CP81" s="177"/>
      <c r="CQ81" s="178"/>
      <c r="CR81" s="182"/>
      <c r="CS81" s="173"/>
      <c r="CT81" s="65"/>
      <c r="CU81" s="255" t="str">
        <f t="shared" si="2"/>
        <v>SDP</v>
      </c>
    </row>
    <row r="82" ht="60.0" customHeight="1">
      <c r="A82" s="65"/>
      <c r="C82" s="167">
        <v>9.0</v>
      </c>
      <c r="D82" s="168" t="s">
        <v>170</v>
      </c>
      <c r="E82" s="169"/>
      <c r="F82" s="170"/>
      <c r="G82" s="170"/>
      <c r="H82" s="170"/>
      <c r="I82" s="207"/>
      <c r="J82" s="170"/>
      <c r="K82" s="171"/>
      <c r="L82" s="171"/>
      <c r="M82" s="171"/>
      <c r="N82" s="171"/>
      <c r="O82" s="268">
        <f t="shared" si="15"/>
        <v>0</v>
      </c>
      <c r="Q82" s="173"/>
      <c r="R82" s="65"/>
      <c r="S82" s="173"/>
      <c r="T82" s="173"/>
      <c r="U82" s="166"/>
      <c r="V82" s="166"/>
      <c r="W82" s="65"/>
      <c r="X82" s="66"/>
      <c r="Y82" s="173"/>
      <c r="Z82" s="166"/>
      <c r="AA82" s="174"/>
      <c r="AB82" s="175"/>
      <c r="AC82" s="175"/>
      <c r="AD82" s="175"/>
      <c r="AE82" s="175"/>
      <c r="AF82" s="175"/>
      <c r="AG82" s="175"/>
      <c r="AH82" s="175"/>
      <c r="AI82" s="176"/>
      <c r="AJ82" s="177"/>
      <c r="AK82" s="178"/>
      <c r="AL82" s="178"/>
      <c r="AM82" s="178"/>
      <c r="AN82" s="178"/>
      <c r="AO82" s="179"/>
      <c r="AP82" s="64"/>
      <c r="AQ82" s="65"/>
      <c r="AR82" s="65"/>
      <c r="AS82" s="65"/>
      <c r="AT82" s="173"/>
      <c r="AU82" s="177"/>
      <c r="AV82" s="178"/>
      <c r="AW82" s="178"/>
      <c r="AX82" s="179"/>
      <c r="AZ82" s="166"/>
      <c r="BA82" s="177"/>
      <c r="BB82" s="178"/>
      <c r="BC82" s="178"/>
      <c r="BD82" s="178"/>
      <c r="BE82" s="178"/>
      <c r="BF82" s="178"/>
      <c r="BG82" s="178"/>
      <c r="BH82" s="178"/>
      <c r="BI82" s="179"/>
      <c r="BJ82" s="180"/>
      <c r="BK82" s="178"/>
      <c r="BL82" s="178"/>
      <c r="BM82" s="178"/>
      <c r="BN82" s="178"/>
      <c r="BO82" s="181"/>
      <c r="BP82" s="166"/>
      <c r="BQ82" s="177"/>
      <c r="BR82" s="178"/>
      <c r="BS82" s="179"/>
      <c r="BU82" s="166"/>
      <c r="BV82" s="166"/>
      <c r="BW82" s="166"/>
      <c r="BX82" s="166"/>
      <c r="BY82" s="166"/>
      <c r="BZ82" s="166"/>
      <c r="CA82" s="166"/>
      <c r="CB82" s="166"/>
      <c r="CC82" s="166"/>
      <c r="CD82" s="177"/>
      <c r="CE82" s="181"/>
      <c r="CF82" s="177"/>
      <c r="CG82" s="179"/>
      <c r="CH82" s="257"/>
      <c r="CI82" s="182"/>
      <c r="CJ82" s="177"/>
      <c r="CK82" s="182"/>
      <c r="CL82" s="177"/>
      <c r="CM82" s="182"/>
      <c r="CN82" s="177"/>
      <c r="CO82" s="182"/>
      <c r="CP82" s="177"/>
      <c r="CQ82" s="178"/>
      <c r="CR82" s="182"/>
      <c r="CS82" s="173"/>
      <c r="CT82" s="65"/>
      <c r="CU82" s="255" t="str">
        <f t="shared" si="2"/>
        <v>SDP</v>
      </c>
    </row>
    <row r="83" ht="60.0" customHeight="1">
      <c r="A83" s="65"/>
      <c r="C83" s="167">
        <v>10.0</v>
      </c>
      <c r="D83" s="168" t="s">
        <v>170</v>
      </c>
      <c r="E83" s="169"/>
      <c r="F83" s="170"/>
      <c r="G83" s="170"/>
      <c r="H83" s="170"/>
      <c r="I83" s="207"/>
      <c r="J83" s="170"/>
      <c r="K83" s="171"/>
      <c r="L83" s="171"/>
      <c r="M83" s="171"/>
      <c r="N83" s="171"/>
      <c r="O83" s="268">
        <f t="shared" si="15"/>
        <v>0</v>
      </c>
      <c r="Q83" s="173"/>
      <c r="R83" s="65"/>
      <c r="S83" s="173"/>
      <c r="T83" s="173"/>
      <c r="U83" s="166"/>
      <c r="V83" s="166"/>
      <c r="W83" s="65"/>
      <c r="X83" s="66"/>
      <c r="Y83" s="173"/>
      <c r="Z83" s="166"/>
      <c r="AA83" s="174"/>
      <c r="AB83" s="175"/>
      <c r="AC83" s="175"/>
      <c r="AD83" s="175"/>
      <c r="AE83" s="175"/>
      <c r="AF83" s="175"/>
      <c r="AG83" s="175"/>
      <c r="AH83" s="175"/>
      <c r="AI83" s="176"/>
      <c r="AJ83" s="177"/>
      <c r="AK83" s="178"/>
      <c r="AL83" s="178"/>
      <c r="AM83" s="178"/>
      <c r="AN83" s="178"/>
      <c r="AO83" s="179"/>
      <c r="AP83" s="64"/>
      <c r="AQ83" s="65"/>
      <c r="AR83" s="65"/>
      <c r="AS83" s="65"/>
      <c r="AT83" s="173"/>
      <c r="AU83" s="177"/>
      <c r="AV83" s="178"/>
      <c r="AW83" s="178"/>
      <c r="AX83" s="179"/>
      <c r="AZ83" s="166"/>
      <c r="BA83" s="177"/>
      <c r="BB83" s="178"/>
      <c r="BC83" s="178"/>
      <c r="BD83" s="178"/>
      <c r="BE83" s="178"/>
      <c r="BF83" s="178"/>
      <c r="BG83" s="178"/>
      <c r="BH83" s="178"/>
      <c r="BI83" s="179"/>
      <c r="BJ83" s="180"/>
      <c r="BK83" s="178"/>
      <c r="BL83" s="178"/>
      <c r="BM83" s="178"/>
      <c r="BN83" s="178"/>
      <c r="BO83" s="181"/>
      <c r="BP83" s="166"/>
      <c r="BQ83" s="177"/>
      <c r="BR83" s="178"/>
      <c r="BS83" s="179"/>
      <c r="BU83" s="166"/>
      <c r="BV83" s="166"/>
      <c r="BW83" s="166"/>
      <c r="BX83" s="166"/>
      <c r="BY83" s="166"/>
      <c r="BZ83" s="166"/>
      <c r="CA83" s="166"/>
      <c r="CB83" s="166"/>
      <c r="CC83" s="166"/>
      <c r="CD83" s="177"/>
      <c r="CE83" s="181"/>
      <c r="CF83" s="177"/>
      <c r="CG83" s="179"/>
      <c r="CH83" s="257"/>
      <c r="CI83" s="182"/>
      <c r="CJ83" s="177"/>
      <c r="CK83" s="182"/>
      <c r="CL83" s="177"/>
      <c r="CM83" s="182"/>
      <c r="CN83" s="177"/>
      <c r="CO83" s="182"/>
      <c r="CP83" s="177"/>
      <c r="CQ83" s="178"/>
      <c r="CR83" s="182"/>
      <c r="CS83" s="173"/>
      <c r="CT83" s="65"/>
      <c r="CU83" s="255" t="str">
        <f t="shared" si="2"/>
        <v>SDP</v>
      </c>
    </row>
    <row r="84" ht="60.0" customHeight="1">
      <c r="A84" s="89"/>
      <c r="C84" s="183">
        <v>11.0</v>
      </c>
      <c r="D84" s="210" t="s">
        <v>170</v>
      </c>
      <c r="E84" s="185"/>
      <c r="F84" s="186"/>
      <c r="G84" s="186"/>
      <c r="H84" s="186"/>
      <c r="I84" s="212"/>
      <c r="J84" s="186"/>
      <c r="K84" s="187"/>
      <c r="L84" s="187"/>
      <c r="M84" s="187"/>
      <c r="N84" s="187"/>
      <c r="O84" s="269">
        <f t="shared" ref="O84:O90" si="16">IF(AND(M84&lt;&gt;0,M84&lt;&gt;"m",M84&lt;&gt;"",RIGHT(K84,3)="Lec"),1,IF(AND(M84&lt;&gt;0,M84&lt;&gt;"m",M84&lt;&gt;"",OR(RIGHT(K84,3)="Lab",RIGHT(K84,3)="Tut")),0.5,IF(AND(M84&lt;&gt;0,M84&lt;&gt;"m",M84&lt;&gt;"",RIGHT(K84,2)="TL"),0.75,0)))</f>
        <v>0</v>
      </c>
      <c r="P84" s="6"/>
      <c r="Q84" s="69"/>
      <c r="R84" s="89"/>
      <c r="S84" s="69"/>
      <c r="T84" s="69"/>
      <c r="U84" s="63"/>
      <c r="V84" s="63"/>
      <c r="W84" s="89"/>
      <c r="X84" s="68"/>
      <c r="Y84" s="69"/>
      <c r="Z84" s="63"/>
      <c r="AA84" s="189"/>
      <c r="AB84" s="190"/>
      <c r="AC84" s="190"/>
      <c r="AD84" s="190"/>
      <c r="AE84" s="190"/>
      <c r="AF84" s="190"/>
      <c r="AG84" s="190"/>
      <c r="AH84" s="190"/>
      <c r="AI84" s="191"/>
      <c r="AJ84" s="192"/>
      <c r="AK84" s="193"/>
      <c r="AL84" s="193"/>
      <c r="AM84" s="193"/>
      <c r="AN84" s="193"/>
      <c r="AO84" s="194"/>
      <c r="AP84" s="103"/>
      <c r="AQ84" s="89"/>
      <c r="AR84" s="89"/>
      <c r="AS84" s="89"/>
      <c r="AT84" s="69"/>
      <c r="AU84" s="192"/>
      <c r="AV84" s="193"/>
      <c r="AW84" s="193"/>
      <c r="AX84" s="194"/>
      <c r="AY84" s="6"/>
      <c r="AZ84" s="63"/>
      <c r="BA84" s="192"/>
      <c r="BB84" s="193"/>
      <c r="BC84" s="193"/>
      <c r="BD84" s="193"/>
      <c r="BE84" s="193"/>
      <c r="BF84" s="193"/>
      <c r="BG84" s="193"/>
      <c r="BH84" s="193"/>
      <c r="BI84" s="194"/>
      <c r="BJ84" s="195"/>
      <c r="BK84" s="193"/>
      <c r="BL84" s="193"/>
      <c r="BM84" s="193"/>
      <c r="BN84" s="193"/>
      <c r="BO84" s="196"/>
      <c r="BP84" s="63"/>
      <c r="BQ84" s="192"/>
      <c r="BR84" s="193"/>
      <c r="BS84" s="194"/>
      <c r="BT84" s="6"/>
      <c r="BU84" s="63"/>
      <c r="BV84" s="63"/>
      <c r="BW84" s="63"/>
      <c r="BX84" s="63"/>
      <c r="BY84" s="63"/>
      <c r="BZ84" s="63"/>
      <c r="CA84" s="63"/>
      <c r="CB84" s="63"/>
      <c r="CC84" s="63"/>
      <c r="CD84" s="192"/>
      <c r="CE84" s="196"/>
      <c r="CF84" s="192"/>
      <c r="CG84" s="194"/>
      <c r="CH84" s="259"/>
      <c r="CI84" s="197"/>
      <c r="CJ84" s="192"/>
      <c r="CK84" s="197"/>
      <c r="CL84" s="192"/>
      <c r="CM84" s="197"/>
      <c r="CN84" s="192"/>
      <c r="CO84" s="197"/>
      <c r="CP84" s="192"/>
      <c r="CQ84" s="193"/>
      <c r="CR84" s="197"/>
      <c r="CS84" s="69"/>
      <c r="CT84" s="89"/>
      <c r="CU84" s="255" t="str">
        <f t="shared" si="2"/>
        <v>SDP</v>
      </c>
    </row>
    <row r="85" ht="56.25" customHeight="1">
      <c r="A85" s="125">
        <v>8.0</v>
      </c>
      <c r="B85" s="199" t="s">
        <v>174</v>
      </c>
      <c r="C85" s="127">
        <v>1.0</v>
      </c>
      <c r="D85" s="168" t="s">
        <v>175</v>
      </c>
      <c r="E85" s="129"/>
      <c r="F85" s="130"/>
      <c r="G85" s="130"/>
      <c r="H85" s="130"/>
      <c r="I85" s="201"/>
      <c r="J85" s="130"/>
      <c r="K85" s="131"/>
      <c r="L85" s="131"/>
      <c r="M85" s="131"/>
      <c r="N85" s="131"/>
      <c r="O85" s="267">
        <f t="shared" si="16"/>
        <v>0</v>
      </c>
      <c r="P85" s="251">
        <f>COUNTIF(K85:K95,"TL")*0.75+COUNTIF(K85:K95,"Lec")*1+COUNTIF(K85:K95,"Lab")*0.5</f>
        <v>0</v>
      </c>
      <c r="Q85" s="134">
        <f>SUM((IF(LEFT(K85,1)="E",O85,0)),(IF(LEFT(K86,1)="E",O86,0)),(IF(LEFT(K87,1)="E",O87,0)),(IF(LEFT(K88,1)="E",O88,0)),(IF(LEFT(K89,1)="E",O89,0)),(IF(LEFT(K90,1)="E",O90,0)),(IF(LEFT(K91,1)="E",O91,0)),(IF(LEFT(K92,1)="E",O92,0)),(IF(LEFT(K93,1)="E",O93,0)),(IF(LEFT(K94,1)="E",O94,0)),(IF(LEFT(K95,1)="E",O95,0)))</f>
        <v>0</v>
      </c>
      <c r="R85" s="135">
        <f>SUM(IF(M91&lt;20,IF(K91="Plec",-1,IF(K91="PTL",-0.75,IF(K91="Plab",-0.5,0))),0),IF(M92&lt;20,IF(K92="Plec",-1,IF(K92="PTL",-0.75,IF(K92="Plab",-0.5,0))),0),IF(M93&lt;20,IF(K93="Plec",-1,IF(K93="PTL",-0.75,IF(K93="Plab",-0.5,0))),0),IF(M94&lt;20,IF(K94="Plec",-1,IF(K94="PTL",-0.75,IF(K94="Plab",-0.5,0))),0))</f>
        <v>0</v>
      </c>
      <c r="S85" s="134">
        <f>SUM(P85:R95)</f>
        <v>0</v>
      </c>
      <c r="T85" s="136">
        <f>SUM(IF(M85="M",IF(OR(K85="lec",K85="plec",K85="slec"),1,IF(OR(K85="lab",K85="plab",K85="slab",K85="tut",K85="ptut",K85="stut"),0.5,IF(OR(K85="TL",K85="pTL",K85="STL"),0.75,0))),0),IF(M86="M",IF(OR(K86="lec",K86="plec",K86="slec"),1,IF(OR(K86="lab",K86="plab",K86="slab",K86="tut",K86="ptut",K86="stut"),0.5,IF(OR(K86="TL",K86="pTL",K86="STL"),0.75,0))),0),IF(M87="M",IF(OR(K87="lec",K87="plec",K87="slec"),1,IF(OR(K87="lab",K87="plab",K87="slab",K87="tut",K87="ptut",K87="stut"),0.5,IF(OR(K87="TL",K87="pTL",K87="STL"),0.75,0))),0),IF(M88="M",IF(OR(K88="lec",K88="plec",K88="slec"),1,IF(OR(K88="lab",K88="plab",K88="slab",K88="tut",K88="ptut",K88="stut"),0.5,IF(OR(K88="TL",K88="pTL",K88="STL"),0.75,0))),0),IF(M89="M",IF(OR(K89="lec",K89="plec",K89="slec"),1,IF(OR(K89="lab",K89="plab",K89="slab",K89="tut",K89="ptut",K89="stut"),0.5,IF(OR(K89="TL",K89="pTL",K89="STL"),0.75,0))),0),IF(M90="M",IF(OR(K90="lec",K90="plec",K90="slec"),1,IF(OR(K90="lab",K90="plab",K90="slab",K90="tut",K90="ptut",K90="stut"),0.5,IF(OR(K90="TL",K90="pTL",K90="STL"),0.75,0))),0),IF(M91="M",IF(OR(K91="lec",K91="plec",K91="slec"),1,IF(OR(K91="lab",K91="plab",K91="slab",K91="tut",K91="ptut",K91="stut"),0.5,IF(OR(K91="TL",K91="pTL",K91="STL"),0.75,0))),0),IF(M92="M",IF(OR(K92="lec",K92="plec",K92="slec"),1,IF(OR(K92="lab",K92="plab",K92="slab",K92="tut",K92="ptut",K92="stut"),0.5,IF(OR(K92="TL",K92="pTL",K92="STL"),0.75,0))),0),IF(M93="M",IF(OR(K93="lec",K93="plec",K93="slec"),1,IF(OR(K93="lab",K93="plab",K93="slab",K93="tut",K93="ptut",K93="stut"),0.5,IF(OR(K93="TL",K93="pTL",K93="STL"),0.75,0))),0),IF(M94="M",IF(OR(K94="lec",K94="plec",K94="slec"),1,IF(OR(K94="lab",K94="plab",K94="slab",K94="tut",K94="ptut",K94="stut"),0.5,IF(OR(K94="TL",K94="pTL",K94="STL"),0.75,0))),0),IF(M95="M",IF(OR(K95="lec",K95="plec",K95="slec"),1,IF(OR(K95="lab",K95="plab",K95="slab",K95="tut",K95="ptut",K95="stut"),0.5,IF(OR(K95="TL",K95="pTL",K95="STL"),0.75,0))),0))</f>
        <v>0</v>
      </c>
      <c r="U85" s="137"/>
      <c r="V85" s="133"/>
      <c r="W85" s="138"/>
      <c r="X85" s="139">
        <f>S85-(T85+U85+V85+W85)</f>
        <v>0</v>
      </c>
      <c r="Y85" s="134" t="str">
        <f>CONCATENATE(SUM(O85:O95),"(",SUM(O85:O95)-X85,")")</f>
        <v>0(0)</v>
      </c>
      <c r="Z85" s="140"/>
      <c r="AA85" s="141"/>
      <c r="AB85" s="142"/>
      <c r="AC85" s="142"/>
      <c r="AD85" s="142"/>
      <c r="AE85" s="142"/>
      <c r="AF85" s="142"/>
      <c r="AG85" s="142"/>
      <c r="AH85" s="142"/>
      <c r="AI85" s="143"/>
      <c r="AJ85" s="144"/>
      <c r="AK85" s="145"/>
      <c r="AL85" s="145"/>
      <c r="AM85" s="145"/>
      <c r="AN85" s="145"/>
      <c r="AO85" s="146"/>
      <c r="AP85" s="147">
        <f>SUM(SUM(O85:O95),SUM(AI85:AI95)/2,AM85)</f>
        <v>0</v>
      </c>
      <c r="AQ85" s="148"/>
      <c r="AR85" s="148">
        <f>AP85*AQ85</f>
        <v>0</v>
      </c>
      <c r="AS85" s="148">
        <f>CT85</f>
        <v>1</v>
      </c>
      <c r="AT85" s="149">
        <f>AR85*0.75+AS85*0.25</f>
        <v>0.25</v>
      </c>
      <c r="AU85" s="150"/>
      <c r="AV85" s="151"/>
      <c r="AW85" s="151"/>
      <c r="AX85" s="152"/>
      <c r="AY85" s="153"/>
      <c r="AZ85" s="140"/>
      <c r="BA85" s="150">
        <v>1.0</v>
      </c>
      <c r="BB85" s="151" t="s">
        <v>176</v>
      </c>
      <c r="BC85" s="151">
        <v>5.0</v>
      </c>
      <c r="BD85" s="151" t="s">
        <v>171</v>
      </c>
      <c r="BE85" s="151" t="s">
        <v>178</v>
      </c>
      <c r="BF85" s="151"/>
      <c r="BG85" s="151">
        <v>1.0</v>
      </c>
      <c r="BH85" s="151"/>
      <c r="BI85" s="152"/>
      <c r="BJ85" s="154"/>
      <c r="BK85" s="151"/>
      <c r="BL85" s="151"/>
      <c r="BM85" s="151"/>
      <c r="BN85" s="151"/>
      <c r="BO85" s="155"/>
      <c r="BP85" s="140"/>
      <c r="BQ85" s="156"/>
      <c r="BR85" s="157"/>
      <c r="BS85" s="158"/>
      <c r="BT85" s="153"/>
      <c r="BU85" s="140"/>
      <c r="BV85" s="140"/>
      <c r="BW85" s="140"/>
      <c r="BX85" s="140"/>
      <c r="BY85" s="140"/>
      <c r="BZ85" s="140"/>
      <c r="CA85" s="140"/>
      <c r="CB85" s="140"/>
      <c r="CC85" s="140"/>
      <c r="CD85" s="150"/>
      <c r="CE85" s="155"/>
      <c r="CF85" s="150"/>
      <c r="CG85" s="152"/>
      <c r="CH85" s="252"/>
      <c r="CI85" s="160"/>
      <c r="CJ85" s="159"/>
      <c r="CK85" s="160"/>
      <c r="CL85" s="159"/>
      <c r="CM85" s="160"/>
      <c r="CN85" s="159"/>
      <c r="CO85" s="160"/>
      <c r="CP85" s="159"/>
      <c r="CQ85" s="162"/>
      <c r="CR85" s="160"/>
      <c r="CS85" s="253">
        <f>SUM(IF(AU85&lt;0,ABS(AU85),0),IF(AZ85&lt;0,ABS(AZ85),0),ABS(CI85),ABS(CK85),ABS(CM85),ABS(CO85),ABS(CQ85),ABS(CR85))</f>
        <v>0</v>
      </c>
      <c r="CT85" s="254">
        <f>SUM(AU85,AV85,AW85,AX85/400,AY85,AZ85,BG85,BH85*0.5,BI85*0.25,BJ85,BK85,BL85,BM85,BN85,BO85,BP85,BR85/20,BS85/100,BT85/60,BU85,BV85,BW85,BX85/4,SUM(BY85:CC95)/3,CE85,CG85/3,CI85,CK85,CM85,CO85,CQ85,CR85)</f>
        <v>1</v>
      </c>
      <c r="CU85" s="255" t="str">
        <f t="shared" si="2"/>
        <v>SHP</v>
      </c>
    </row>
    <row r="86" ht="60.0" customHeight="1">
      <c r="A86" s="65"/>
      <c r="C86" s="167">
        <v>2.0</v>
      </c>
      <c r="D86" s="168" t="s">
        <v>175</v>
      </c>
      <c r="E86" s="169"/>
      <c r="F86" s="170"/>
      <c r="G86" s="170"/>
      <c r="H86" s="170"/>
      <c r="I86" s="207"/>
      <c r="J86" s="170"/>
      <c r="K86" s="171"/>
      <c r="L86" s="171"/>
      <c r="M86" s="171"/>
      <c r="N86" s="171"/>
      <c r="O86" s="268">
        <f t="shared" si="16"/>
        <v>0</v>
      </c>
      <c r="Q86" s="173"/>
      <c r="R86" s="65"/>
      <c r="S86" s="173"/>
      <c r="T86" s="173"/>
      <c r="U86" s="166"/>
      <c r="V86" s="166"/>
      <c r="W86" s="65"/>
      <c r="X86" s="66"/>
      <c r="Y86" s="173"/>
      <c r="Z86" s="166"/>
      <c r="AA86" s="174"/>
      <c r="AB86" s="175"/>
      <c r="AC86" s="175"/>
      <c r="AD86" s="175"/>
      <c r="AE86" s="175"/>
      <c r="AF86" s="175"/>
      <c r="AG86" s="175"/>
      <c r="AH86" s="175"/>
      <c r="AI86" s="176"/>
      <c r="AJ86" s="177"/>
      <c r="AK86" s="178"/>
      <c r="AL86" s="178"/>
      <c r="AM86" s="178"/>
      <c r="AN86" s="178"/>
      <c r="AO86" s="179"/>
      <c r="AP86" s="64"/>
      <c r="AQ86" s="65"/>
      <c r="AR86" s="65"/>
      <c r="AS86" s="65"/>
      <c r="AT86" s="173"/>
      <c r="AU86" s="177"/>
      <c r="AV86" s="178"/>
      <c r="AW86" s="178"/>
      <c r="AX86" s="179"/>
      <c r="AZ86" s="166"/>
      <c r="BA86" s="177"/>
      <c r="BB86" s="178"/>
      <c r="BC86" s="178"/>
      <c r="BD86" s="178"/>
      <c r="BE86" s="178"/>
      <c r="BF86" s="178"/>
      <c r="BG86" s="178"/>
      <c r="BH86" s="178"/>
      <c r="BI86" s="179"/>
      <c r="BJ86" s="180"/>
      <c r="BK86" s="178"/>
      <c r="BL86" s="178"/>
      <c r="BM86" s="178"/>
      <c r="BN86" s="178"/>
      <c r="BO86" s="181"/>
      <c r="BP86" s="166"/>
      <c r="BQ86" s="177"/>
      <c r="BR86" s="178"/>
      <c r="BS86" s="179"/>
      <c r="BU86" s="166"/>
      <c r="BV86" s="166"/>
      <c r="BW86" s="166"/>
      <c r="BX86" s="166"/>
      <c r="BY86" s="166"/>
      <c r="BZ86" s="166"/>
      <c r="CA86" s="166"/>
      <c r="CB86" s="166"/>
      <c r="CC86" s="166"/>
      <c r="CD86" s="177"/>
      <c r="CE86" s="181"/>
      <c r="CF86" s="177"/>
      <c r="CG86" s="179"/>
      <c r="CH86" s="257"/>
      <c r="CI86" s="182"/>
      <c r="CJ86" s="177"/>
      <c r="CK86" s="182"/>
      <c r="CL86" s="177"/>
      <c r="CM86" s="182"/>
      <c r="CN86" s="177"/>
      <c r="CO86" s="182"/>
      <c r="CP86" s="177"/>
      <c r="CQ86" s="178"/>
      <c r="CR86" s="182"/>
      <c r="CS86" s="173"/>
      <c r="CT86" s="65"/>
      <c r="CU86" s="255" t="str">
        <f t="shared" si="2"/>
        <v>SHP</v>
      </c>
    </row>
    <row r="87" ht="60.0" customHeight="1">
      <c r="A87" s="65"/>
      <c r="C87" s="167">
        <v>3.0</v>
      </c>
      <c r="D87" s="168" t="s">
        <v>175</v>
      </c>
      <c r="E87" s="169"/>
      <c r="F87" s="170"/>
      <c r="G87" s="170"/>
      <c r="H87" s="170"/>
      <c r="I87" s="207"/>
      <c r="J87" s="170"/>
      <c r="K87" s="171"/>
      <c r="L87" s="171"/>
      <c r="M87" s="171"/>
      <c r="N87" s="171"/>
      <c r="O87" s="268">
        <f t="shared" si="16"/>
        <v>0</v>
      </c>
      <c r="Q87" s="173"/>
      <c r="R87" s="65"/>
      <c r="S87" s="173"/>
      <c r="T87" s="173"/>
      <c r="U87" s="166"/>
      <c r="V87" s="166"/>
      <c r="W87" s="65"/>
      <c r="X87" s="66"/>
      <c r="Y87" s="173"/>
      <c r="Z87" s="166"/>
      <c r="AA87" s="174"/>
      <c r="AB87" s="175"/>
      <c r="AC87" s="175"/>
      <c r="AD87" s="175"/>
      <c r="AE87" s="175"/>
      <c r="AF87" s="175"/>
      <c r="AG87" s="175"/>
      <c r="AH87" s="175"/>
      <c r="AI87" s="176"/>
      <c r="AJ87" s="177"/>
      <c r="AK87" s="178"/>
      <c r="AL87" s="178"/>
      <c r="AM87" s="178"/>
      <c r="AN87" s="178"/>
      <c r="AO87" s="179"/>
      <c r="AP87" s="64"/>
      <c r="AQ87" s="65"/>
      <c r="AR87" s="65"/>
      <c r="AS87" s="65"/>
      <c r="AT87" s="173"/>
      <c r="AU87" s="177"/>
      <c r="AV87" s="178"/>
      <c r="AW87" s="178"/>
      <c r="AX87" s="179"/>
      <c r="AZ87" s="166"/>
      <c r="BA87" s="177"/>
      <c r="BB87" s="178"/>
      <c r="BC87" s="178"/>
      <c r="BD87" s="178"/>
      <c r="BE87" s="178"/>
      <c r="BF87" s="178"/>
      <c r="BG87" s="178"/>
      <c r="BH87" s="178"/>
      <c r="BI87" s="179"/>
      <c r="BJ87" s="180"/>
      <c r="BK87" s="178"/>
      <c r="BL87" s="178"/>
      <c r="BM87" s="178"/>
      <c r="BN87" s="178"/>
      <c r="BO87" s="181"/>
      <c r="BP87" s="166"/>
      <c r="BQ87" s="177"/>
      <c r="BR87" s="178"/>
      <c r="BS87" s="179"/>
      <c r="BU87" s="166"/>
      <c r="BV87" s="166"/>
      <c r="BW87" s="166"/>
      <c r="BX87" s="166"/>
      <c r="BY87" s="166"/>
      <c r="BZ87" s="166"/>
      <c r="CA87" s="166"/>
      <c r="CB87" s="166"/>
      <c r="CC87" s="166"/>
      <c r="CD87" s="177"/>
      <c r="CE87" s="181"/>
      <c r="CF87" s="177"/>
      <c r="CG87" s="179"/>
      <c r="CH87" s="257"/>
      <c r="CI87" s="182"/>
      <c r="CJ87" s="177"/>
      <c r="CK87" s="182"/>
      <c r="CL87" s="177"/>
      <c r="CM87" s="182"/>
      <c r="CN87" s="177"/>
      <c r="CO87" s="182"/>
      <c r="CP87" s="177"/>
      <c r="CQ87" s="178"/>
      <c r="CR87" s="182"/>
      <c r="CS87" s="173"/>
      <c r="CT87" s="65"/>
      <c r="CU87" s="255" t="str">
        <f t="shared" si="2"/>
        <v>SHP</v>
      </c>
    </row>
    <row r="88" ht="60.0" customHeight="1">
      <c r="A88" s="65"/>
      <c r="C88" s="167">
        <v>4.0</v>
      </c>
      <c r="D88" s="168" t="s">
        <v>175</v>
      </c>
      <c r="E88" s="169"/>
      <c r="F88" s="170"/>
      <c r="G88" s="170"/>
      <c r="H88" s="170"/>
      <c r="I88" s="207"/>
      <c r="J88" s="170"/>
      <c r="K88" s="171"/>
      <c r="L88" s="171"/>
      <c r="M88" s="171"/>
      <c r="N88" s="171"/>
      <c r="O88" s="268">
        <f t="shared" si="16"/>
        <v>0</v>
      </c>
      <c r="Q88" s="173"/>
      <c r="R88" s="65"/>
      <c r="S88" s="173"/>
      <c r="T88" s="173"/>
      <c r="U88" s="166"/>
      <c r="V88" s="166"/>
      <c r="W88" s="65"/>
      <c r="X88" s="66"/>
      <c r="Y88" s="173"/>
      <c r="Z88" s="166"/>
      <c r="AA88" s="174"/>
      <c r="AB88" s="175"/>
      <c r="AC88" s="175"/>
      <c r="AD88" s="175"/>
      <c r="AE88" s="175"/>
      <c r="AF88" s="175"/>
      <c r="AG88" s="175"/>
      <c r="AH88" s="175"/>
      <c r="AI88" s="176"/>
      <c r="AJ88" s="177"/>
      <c r="AK88" s="178"/>
      <c r="AL88" s="178"/>
      <c r="AM88" s="178"/>
      <c r="AN88" s="178"/>
      <c r="AO88" s="179"/>
      <c r="AP88" s="64"/>
      <c r="AQ88" s="65"/>
      <c r="AR88" s="65"/>
      <c r="AS88" s="65"/>
      <c r="AT88" s="173"/>
      <c r="AU88" s="177"/>
      <c r="AV88" s="178"/>
      <c r="AW88" s="178"/>
      <c r="AX88" s="179"/>
      <c r="AZ88" s="166"/>
      <c r="BA88" s="177"/>
      <c r="BB88" s="178"/>
      <c r="BC88" s="178"/>
      <c r="BD88" s="178"/>
      <c r="BE88" s="178"/>
      <c r="BF88" s="178"/>
      <c r="BG88" s="178"/>
      <c r="BH88" s="178"/>
      <c r="BI88" s="179"/>
      <c r="BJ88" s="180"/>
      <c r="BK88" s="178"/>
      <c r="BL88" s="178"/>
      <c r="BM88" s="178"/>
      <c r="BN88" s="178"/>
      <c r="BO88" s="181"/>
      <c r="BP88" s="166"/>
      <c r="BQ88" s="177"/>
      <c r="BR88" s="178"/>
      <c r="BS88" s="179"/>
      <c r="BU88" s="166"/>
      <c r="BV88" s="166"/>
      <c r="BW88" s="166"/>
      <c r="BX88" s="166"/>
      <c r="BY88" s="166"/>
      <c r="BZ88" s="166"/>
      <c r="CA88" s="166"/>
      <c r="CB88" s="166"/>
      <c r="CC88" s="166"/>
      <c r="CD88" s="177"/>
      <c r="CE88" s="181"/>
      <c r="CF88" s="177"/>
      <c r="CG88" s="179"/>
      <c r="CH88" s="257"/>
      <c r="CI88" s="182"/>
      <c r="CJ88" s="177"/>
      <c r="CK88" s="182"/>
      <c r="CL88" s="177"/>
      <c r="CM88" s="182"/>
      <c r="CN88" s="177"/>
      <c r="CO88" s="182"/>
      <c r="CP88" s="177"/>
      <c r="CQ88" s="178"/>
      <c r="CR88" s="182"/>
      <c r="CS88" s="173"/>
      <c r="CT88" s="65"/>
      <c r="CU88" s="255" t="str">
        <f t="shared" si="2"/>
        <v>SHP</v>
      </c>
    </row>
    <row r="89" ht="60.0" customHeight="1">
      <c r="A89" s="65"/>
      <c r="C89" s="167">
        <v>5.0</v>
      </c>
      <c r="D89" s="168" t="s">
        <v>175</v>
      </c>
      <c r="E89" s="169"/>
      <c r="F89" s="170"/>
      <c r="G89" s="170"/>
      <c r="H89" s="170"/>
      <c r="I89" s="207"/>
      <c r="J89" s="170"/>
      <c r="K89" s="171"/>
      <c r="L89" s="171"/>
      <c r="M89" s="171"/>
      <c r="N89" s="171"/>
      <c r="O89" s="268">
        <f t="shared" si="16"/>
        <v>0</v>
      </c>
      <c r="Q89" s="173"/>
      <c r="R89" s="65"/>
      <c r="S89" s="173"/>
      <c r="T89" s="173"/>
      <c r="U89" s="166"/>
      <c r="V89" s="166"/>
      <c r="W89" s="65"/>
      <c r="X89" s="66"/>
      <c r="Y89" s="173"/>
      <c r="Z89" s="166"/>
      <c r="AA89" s="174"/>
      <c r="AB89" s="175"/>
      <c r="AC89" s="175"/>
      <c r="AD89" s="175"/>
      <c r="AE89" s="175"/>
      <c r="AF89" s="175"/>
      <c r="AG89" s="175"/>
      <c r="AH89" s="175"/>
      <c r="AI89" s="176"/>
      <c r="AJ89" s="177"/>
      <c r="AK89" s="178"/>
      <c r="AL89" s="178"/>
      <c r="AM89" s="178"/>
      <c r="AN89" s="178"/>
      <c r="AO89" s="179"/>
      <c r="AP89" s="64"/>
      <c r="AQ89" s="65"/>
      <c r="AR89" s="65"/>
      <c r="AS89" s="65"/>
      <c r="AT89" s="173"/>
      <c r="AU89" s="177"/>
      <c r="AV89" s="178"/>
      <c r="AW89" s="178"/>
      <c r="AX89" s="179"/>
      <c r="AZ89" s="166"/>
      <c r="BA89" s="177"/>
      <c r="BB89" s="178"/>
      <c r="BC89" s="178"/>
      <c r="BD89" s="178"/>
      <c r="BE89" s="178"/>
      <c r="BF89" s="178"/>
      <c r="BG89" s="178"/>
      <c r="BH89" s="178"/>
      <c r="BI89" s="179"/>
      <c r="BJ89" s="180"/>
      <c r="BK89" s="178"/>
      <c r="BL89" s="178"/>
      <c r="BM89" s="178"/>
      <c r="BN89" s="178"/>
      <c r="BO89" s="181"/>
      <c r="BP89" s="166"/>
      <c r="BQ89" s="177"/>
      <c r="BR89" s="178"/>
      <c r="BS89" s="179"/>
      <c r="BU89" s="166"/>
      <c r="BV89" s="166"/>
      <c r="BW89" s="166"/>
      <c r="BX89" s="166"/>
      <c r="BY89" s="166"/>
      <c r="BZ89" s="166"/>
      <c r="CA89" s="166"/>
      <c r="CB89" s="166"/>
      <c r="CC89" s="166"/>
      <c r="CD89" s="177"/>
      <c r="CE89" s="181"/>
      <c r="CF89" s="177"/>
      <c r="CG89" s="179"/>
      <c r="CH89" s="257"/>
      <c r="CI89" s="182"/>
      <c r="CJ89" s="177"/>
      <c r="CK89" s="182"/>
      <c r="CL89" s="177"/>
      <c r="CM89" s="182"/>
      <c r="CN89" s="177"/>
      <c r="CO89" s="182"/>
      <c r="CP89" s="177"/>
      <c r="CQ89" s="178"/>
      <c r="CR89" s="182"/>
      <c r="CS89" s="173"/>
      <c r="CT89" s="65"/>
      <c r="CU89" s="255" t="str">
        <f t="shared" si="2"/>
        <v>SHP</v>
      </c>
    </row>
    <row r="90" ht="60.0" customHeight="1">
      <c r="A90" s="65"/>
      <c r="C90" s="167">
        <v>6.0</v>
      </c>
      <c r="D90" s="168" t="s">
        <v>175</v>
      </c>
      <c r="E90" s="169"/>
      <c r="F90" s="170"/>
      <c r="G90" s="170"/>
      <c r="H90" s="170"/>
      <c r="I90" s="207"/>
      <c r="J90" s="170"/>
      <c r="K90" s="171"/>
      <c r="L90" s="171"/>
      <c r="M90" s="171"/>
      <c r="N90" s="171"/>
      <c r="O90" s="268">
        <f t="shared" si="16"/>
        <v>0</v>
      </c>
      <c r="Q90" s="173"/>
      <c r="R90" s="65"/>
      <c r="S90" s="173"/>
      <c r="T90" s="173"/>
      <c r="U90" s="166"/>
      <c r="V90" s="166"/>
      <c r="W90" s="65"/>
      <c r="X90" s="66"/>
      <c r="Y90" s="173"/>
      <c r="Z90" s="166"/>
      <c r="AA90" s="174"/>
      <c r="AB90" s="175"/>
      <c r="AC90" s="175"/>
      <c r="AD90" s="175"/>
      <c r="AE90" s="175"/>
      <c r="AF90" s="175"/>
      <c r="AG90" s="175"/>
      <c r="AH90" s="175"/>
      <c r="AI90" s="176"/>
      <c r="AJ90" s="177"/>
      <c r="AK90" s="178"/>
      <c r="AL90" s="178"/>
      <c r="AM90" s="178"/>
      <c r="AN90" s="178"/>
      <c r="AO90" s="179"/>
      <c r="AP90" s="64"/>
      <c r="AQ90" s="65"/>
      <c r="AR90" s="65"/>
      <c r="AS90" s="65"/>
      <c r="AT90" s="173"/>
      <c r="AU90" s="177"/>
      <c r="AV90" s="178"/>
      <c r="AW90" s="178"/>
      <c r="AX90" s="179"/>
      <c r="AZ90" s="166"/>
      <c r="BA90" s="177"/>
      <c r="BB90" s="178"/>
      <c r="BC90" s="178"/>
      <c r="BD90" s="178"/>
      <c r="BE90" s="178"/>
      <c r="BF90" s="178"/>
      <c r="BG90" s="178"/>
      <c r="BH90" s="178"/>
      <c r="BI90" s="179"/>
      <c r="BJ90" s="180"/>
      <c r="BK90" s="178"/>
      <c r="BL90" s="178"/>
      <c r="BM90" s="178"/>
      <c r="BN90" s="178"/>
      <c r="BO90" s="181"/>
      <c r="BP90" s="166"/>
      <c r="BQ90" s="177"/>
      <c r="BR90" s="178"/>
      <c r="BS90" s="179"/>
      <c r="BU90" s="166"/>
      <c r="BV90" s="166"/>
      <c r="BW90" s="166"/>
      <c r="BX90" s="166"/>
      <c r="BY90" s="166"/>
      <c r="BZ90" s="166"/>
      <c r="CA90" s="166"/>
      <c r="CB90" s="166"/>
      <c r="CC90" s="166"/>
      <c r="CD90" s="177"/>
      <c r="CE90" s="181"/>
      <c r="CF90" s="177"/>
      <c r="CG90" s="179"/>
      <c r="CH90" s="257"/>
      <c r="CI90" s="182"/>
      <c r="CJ90" s="177"/>
      <c r="CK90" s="182"/>
      <c r="CL90" s="177"/>
      <c r="CM90" s="182"/>
      <c r="CN90" s="177"/>
      <c r="CO90" s="182"/>
      <c r="CP90" s="177"/>
      <c r="CQ90" s="178"/>
      <c r="CR90" s="182"/>
      <c r="CS90" s="173"/>
      <c r="CT90" s="65"/>
      <c r="CU90" s="255" t="str">
        <f t="shared" si="2"/>
        <v>SHP</v>
      </c>
    </row>
    <row r="91" ht="60.0" customHeight="1">
      <c r="A91" s="65"/>
      <c r="C91" s="167">
        <v>7.0</v>
      </c>
      <c r="D91" s="168" t="s">
        <v>175</v>
      </c>
      <c r="E91" s="169"/>
      <c r="F91" s="170"/>
      <c r="G91" s="170"/>
      <c r="H91" s="170"/>
      <c r="I91" s="207"/>
      <c r="J91" s="170"/>
      <c r="K91" s="171"/>
      <c r="L91" s="171"/>
      <c r="M91" s="171"/>
      <c r="N91" s="171"/>
      <c r="O91" s="268">
        <f t="shared" ref="O91:O94" si="17">IF(AND(M91&gt;=20,M91&lt;&gt;"m",RIGHT(K91,3)="Lec"),1,IF(AND(M91&gt;=20,M91&lt;&gt;"m",OR(RIGHT(K91,3)="Lab",RIGHT(K91,3)="Tut")),0.5,IF(AND(M91&gt;=20,M91&lt;&gt;"m",RIGHT(K91,2)="TL"),0.75,0)))</f>
        <v>0</v>
      </c>
      <c r="Q91" s="173"/>
      <c r="R91" s="65"/>
      <c r="S91" s="173"/>
      <c r="T91" s="173"/>
      <c r="U91" s="166"/>
      <c r="V91" s="166"/>
      <c r="W91" s="65"/>
      <c r="X91" s="66"/>
      <c r="Y91" s="173"/>
      <c r="Z91" s="166"/>
      <c r="AA91" s="174"/>
      <c r="AB91" s="175"/>
      <c r="AC91" s="175"/>
      <c r="AD91" s="175"/>
      <c r="AE91" s="175"/>
      <c r="AF91" s="175"/>
      <c r="AG91" s="175"/>
      <c r="AH91" s="175"/>
      <c r="AI91" s="176"/>
      <c r="AJ91" s="177"/>
      <c r="AK91" s="178"/>
      <c r="AL91" s="178"/>
      <c r="AM91" s="178"/>
      <c r="AN91" s="178"/>
      <c r="AO91" s="179"/>
      <c r="AP91" s="64"/>
      <c r="AQ91" s="65"/>
      <c r="AR91" s="65"/>
      <c r="AS91" s="65"/>
      <c r="AT91" s="173"/>
      <c r="AU91" s="177"/>
      <c r="AV91" s="178"/>
      <c r="AW91" s="178"/>
      <c r="AX91" s="179"/>
      <c r="AZ91" s="166"/>
      <c r="BA91" s="177"/>
      <c r="BB91" s="178"/>
      <c r="BC91" s="178"/>
      <c r="BD91" s="178"/>
      <c r="BE91" s="178"/>
      <c r="BF91" s="178"/>
      <c r="BG91" s="178"/>
      <c r="BH91" s="178"/>
      <c r="BI91" s="179"/>
      <c r="BJ91" s="180"/>
      <c r="BK91" s="178"/>
      <c r="BL91" s="178"/>
      <c r="BM91" s="178"/>
      <c r="BN91" s="178"/>
      <c r="BO91" s="181"/>
      <c r="BP91" s="166"/>
      <c r="BQ91" s="177"/>
      <c r="BR91" s="178"/>
      <c r="BS91" s="179"/>
      <c r="BU91" s="166"/>
      <c r="BV91" s="166"/>
      <c r="BW91" s="166"/>
      <c r="BX91" s="166"/>
      <c r="BY91" s="166"/>
      <c r="BZ91" s="166"/>
      <c r="CA91" s="166"/>
      <c r="CB91" s="166"/>
      <c r="CC91" s="166"/>
      <c r="CD91" s="177"/>
      <c r="CE91" s="181"/>
      <c r="CF91" s="177"/>
      <c r="CG91" s="179"/>
      <c r="CH91" s="257"/>
      <c r="CI91" s="182"/>
      <c r="CJ91" s="177"/>
      <c r="CK91" s="182"/>
      <c r="CL91" s="177"/>
      <c r="CM91" s="182"/>
      <c r="CN91" s="177"/>
      <c r="CO91" s="182"/>
      <c r="CP91" s="177"/>
      <c r="CQ91" s="178"/>
      <c r="CR91" s="182"/>
      <c r="CS91" s="173"/>
      <c r="CT91" s="65"/>
      <c r="CU91" s="255" t="str">
        <f t="shared" si="2"/>
        <v>SHP</v>
      </c>
    </row>
    <row r="92" ht="60.0" customHeight="1">
      <c r="A92" s="65"/>
      <c r="C92" s="167">
        <v>8.0</v>
      </c>
      <c r="D92" s="168" t="s">
        <v>175</v>
      </c>
      <c r="E92" s="169"/>
      <c r="F92" s="170"/>
      <c r="G92" s="170"/>
      <c r="H92" s="170"/>
      <c r="I92" s="207"/>
      <c r="J92" s="170"/>
      <c r="K92" s="171"/>
      <c r="L92" s="171"/>
      <c r="M92" s="171"/>
      <c r="N92" s="171"/>
      <c r="O92" s="268">
        <f t="shared" si="17"/>
        <v>0</v>
      </c>
      <c r="Q92" s="173"/>
      <c r="R92" s="65"/>
      <c r="S92" s="173"/>
      <c r="T92" s="173"/>
      <c r="U92" s="166"/>
      <c r="V92" s="166"/>
      <c r="W92" s="65"/>
      <c r="X92" s="66"/>
      <c r="Y92" s="173"/>
      <c r="Z92" s="166"/>
      <c r="AA92" s="174"/>
      <c r="AB92" s="175"/>
      <c r="AC92" s="175"/>
      <c r="AD92" s="175"/>
      <c r="AE92" s="175"/>
      <c r="AF92" s="175"/>
      <c r="AG92" s="175"/>
      <c r="AH92" s="175"/>
      <c r="AI92" s="176"/>
      <c r="AJ92" s="177"/>
      <c r="AK92" s="178"/>
      <c r="AL92" s="178"/>
      <c r="AM92" s="178"/>
      <c r="AN92" s="178"/>
      <c r="AO92" s="179"/>
      <c r="AP92" s="64"/>
      <c r="AQ92" s="65"/>
      <c r="AR92" s="65"/>
      <c r="AS92" s="65"/>
      <c r="AT92" s="173"/>
      <c r="AU92" s="177"/>
      <c r="AV92" s="178"/>
      <c r="AW92" s="178"/>
      <c r="AX92" s="179"/>
      <c r="AZ92" s="166"/>
      <c r="BA92" s="177"/>
      <c r="BB92" s="178"/>
      <c r="BC92" s="178"/>
      <c r="BD92" s="178"/>
      <c r="BE92" s="178"/>
      <c r="BF92" s="178"/>
      <c r="BG92" s="178"/>
      <c r="BH92" s="178"/>
      <c r="BI92" s="179"/>
      <c r="BJ92" s="180"/>
      <c r="BK92" s="178"/>
      <c r="BL92" s="178"/>
      <c r="BM92" s="178"/>
      <c r="BN92" s="178"/>
      <c r="BO92" s="181"/>
      <c r="BP92" s="166"/>
      <c r="BQ92" s="177"/>
      <c r="BR92" s="178"/>
      <c r="BS92" s="179"/>
      <c r="BU92" s="166"/>
      <c r="BV92" s="166"/>
      <c r="BW92" s="166"/>
      <c r="BX92" s="166"/>
      <c r="BY92" s="166"/>
      <c r="BZ92" s="166"/>
      <c r="CA92" s="166"/>
      <c r="CB92" s="166"/>
      <c r="CC92" s="166"/>
      <c r="CD92" s="177"/>
      <c r="CE92" s="181"/>
      <c r="CF92" s="177"/>
      <c r="CG92" s="179"/>
      <c r="CH92" s="257"/>
      <c r="CI92" s="182"/>
      <c r="CJ92" s="177"/>
      <c r="CK92" s="182"/>
      <c r="CL92" s="177"/>
      <c r="CM92" s="182"/>
      <c r="CN92" s="177"/>
      <c r="CO92" s="182"/>
      <c r="CP92" s="177"/>
      <c r="CQ92" s="178"/>
      <c r="CR92" s="182"/>
      <c r="CS92" s="173"/>
      <c r="CT92" s="65"/>
      <c r="CU92" s="255" t="str">
        <f t="shared" si="2"/>
        <v>SHP</v>
      </c>
    </row>
    <row r="93" ht="60.0" customHeight="1">
      <c r="A93" s="65"/>
      <c r="C93" s="167">
        <v>9.0</v>
      </c>
      <c r="D93" s="168" t="s">
        <v>175</v>
      </c>
      <c r="E93" s="169"/>
      <c r="F93" s="170"/>
      <c r="G93" s="170"/>
      <c r="H93" s="170"/>
      <c r="I93" s="207"/>
      <c r="J93" s="170"/>
      <c r="K93" s="171"/>
      <c r="L93" s="171"/>
      <c r="M93" s="171"/>
      <c r="N93" s="171"/>
      <c r="O93" s="268">
        <f t="shared" si="17"/>
        <v>0</v>
      </c>
      <c r="Q93" s="173"/>
      <c r="R93" s="65"/>
      <c r="S93" s="173"/>
      <c r="T93" s="173"/>
      <c r="U93" s="166"/>
      <c r="V93" s="166"/>
      <c r="W93" s="65"/>
      <c r="X93" s="66"/>
      <c r="Y93" s="173"/>
      <c r="Z93" s="166"/>
      <c r="AA93" s="174"/>
      <c r="AB93" s="175"/>
      <c r="AC93" s="175"/>
      <c r="AD93" s="175"/>
      <c r="AE93" s="175"/>
      <c r="AF93" s="175"/>
      <c r="AG93" s="175"/>
      <c r="AH93" s="175"/>
      <c r="AI93" s="176"/>
      <c r="AJ93" s="177"/>
      <c r="AK93" s="178"/>
      <c r="AL93" s="178"/>
      <c r="AM93" s="178"/>
      <c r="AN93" s="178"/>
      <c r="AO93" s="179"/>
      <c r="AP93" s="64"/>
      <c r="AQ93" s="65"/>
      <c r="AR93" s="65"/>
      <c r="AS93" s="65"/>
      <c r="AT93" s="173"/>
      <c r="AU93" s="177"/>
      <c r="AV93" s="178"/>
      <c r="AW93" s="178"/>
      <c r="AX93" s="179"/>
      <c r="AZ93" s="166"/>
      <c r="BA93" s="177"/>
      <c r="BB93" s="178"/>
      <c r="BC93" s="178"/>
      <c r="BD93" s="178"/>
      <c r="BE93" s="178"/>
      <c r="BF93" s="178"/>
      <c r="BG93" s="178"/>
      <c r="BH93" s="178"/>
      <c r="BI93" s="179"/>
      <c r="BJ93" s="180"/>
      <c r="BK93" s="178"/>
      <c r="BL93" s="178"/>
      <c r="BM93" s="178"/>
      <c r="BN93" s="178"/>
      <c r="BO93" s="181"/>
      <c r="BP93" s="166"/>
      <c r="BQ93" s="177"/>
      <c r="BR93" s="178"/>
      <c r="BS93" s="179"/>
      <c r="BU93" s="166"/>
      <c r="BV93" s="166"/>
      <c r="BW93" s="166"/>
      <c r="BX93" s="166"/>
      <c r="BY93" s="166"/>
      <c r="BZ93" s="166"/>
      <c r="CA93" s="166"/>
      <c r="CB93" s="166"/>
      <c r="CC93" s="166"/>
      <c r="CD93" s="177"/>
      <c r="CE93" s="181"/>
      <c r="CF93" s="177"/>
      <c r="CG93" s="179"/>
      <c r="CH93" s="257"/>
      <c r="CI93" s="182"/>
      <c r="CJ93" s="177"/>
      <c r="CK93" s="182"/>
      <c r="CL93" s="177"/>
      <c r="CM93" s="182"/>
      <c r="CN93" s="177"/>
      <c r="CO93" s="182"/>
      <c r="CP93" s="177"/>
      <c r="CQ93" s="178"/>
      <c r="CR93" s="182"/>
      <c r="CS93" s="173"/>
      <c r="CT93" s="65"/>
      <c r="CU93" s="255" t="str">
        <f t="shared" si="2"/>
        <v>SHP</v>
      </c>
    </row>
    <row r="94" ht="60.0" customHeight="1">
      <c r="A94" s="65"/>
      <c r="C94" s="167">
        <v>10.0</v>
      </c>
      <c r="D94" s="168" t="s">
        <v>175</v>
      </c>
      <c r="E94" s="169"/>
      <c r="F94" s="170"/>
      <c r="G94" s="170"/>
      <c r="H94" s="170"/>
      <c r="I94" s="207"/>
      <c r="J94" s="170"/>
      <c r="K94" s="171"/>
      <c r="L94" s="171"/>
      <c r="M94" s="171"/>
      <c r="N94" s="171"/>
      <c r="O94" s="268">
        <f t="shared" si="17"/>
        <v>0</v>
      </c>
      <c r="Q94" s="173"/>
      <c r="R94" s="65"/>
      <c r="S94" s="173"/>
      <c r="T94" s="173"/>
      <c r="U94" s="166"/>
      <c r="V94" s="166"/>
      <c r="W94" s="65"/>
      <c r="X94" s="66"/>
      <c r="Y94" s="173"/>
      <c r="Z94" s="166"/>
      <c r="AA94" s="174"/>
      <c r="AB94" s="175"/>
      <c r="AC94" s="175"/>
      <c r="AD94" s="175"/>
      <c r="AE94" s="175"/>
      <c r="AF94" s="175"/>
      <c r="AG94" s="175"/>
      <c r="AH94" s="175"/>
      <c r="AI94" s="176"/>
      <c r="AJ94" s="177"/>
      <c r="AK94" s="178"/>
      <c r="AL94" s="178"/>
      <c r="AM94" s="178"/>
      <c r="AN94" s="178"/>
      <c r="AO94" s="179"/>
      <c r="AP94" s="64"/>
      <c r="AQ94" s="65"/>
      <c r="AR94" s="65"/>
      <c r="AS94" s="65"/>
      <c r="AT94" s="173"/>
      <c r="AU94" s="177"/>
      <c r="AV94" s="178"/>
      <c r="AW94" s="178"/>
      <c r="AX94" s="179"/>
      <c r="AZ94" s="166"/>
      <c r="BA94" s="177"/>
      <c r="BB94" s="178"/>
      <c r="BC94" s="178"/>
      <c r="BD94" s="178"/>
      <c r="BE94" s="178"/>
      <c r="BF94" s="178"/>
      <c r="BG94" s="178"/>
      <c r="BH94" s="178"/>
      <c r="BI94" s="179"/>
      <c r="BJ94" s="180"/>
      <c r="BK94" s="178"/>
      <c r="BL94" s="178"/>
      <c r="BM94" s="178"/>
      <c r="BN94" s="178"/>
      <c r="BO94" s="181"/>
      <c r="BP94" s="166"/>
      <c r="BQ94" s="177"/>
      <c r="BR94" s="178"/>
      <c r="BS94" s="179"/>
      <c r="BU94" s="166"/>
      <c r="BV94" s="166"/>
      <c r="BW94" s="166"/>
      <c r="BX94" s="166"/>
      <c r="BY94" s="166"/>
      <c r="BZ94" s="166"/>
      <c r="CA94" s="166"/>
      <c r="CB94" s="166"/>
      <c r="CC94" s="166"/>
      <c r="CD94" s="177"/>
      <c r="CE94" s="181"/>
      <c r="CF94" s="177"/>
      <c r="CG94" s="179"/>
      <c r="CH94" s="257"/>
      <c r="CI94" s="182"/>
      <c r="CJ94" s="177"/>
      <c r="CK94" s="182"/>
      <c r="CL94" s="177"/>
      <c r="CM94" s="182"/>
      <c r="CN94" s="177"/>
      <c r="CO94" s="182"/>
      <c r="CP94" s="177"/>
      <c r="CQ94" s="178"/>
      <c r="CR94" s="182"/>
      <c r="CS94" s="173"/>
      <c r="CT94" s="65"/>
      <c r="CU94" s="255" t="str">
        <f t="shared" si="2"/>
        <v>SHP</v>
      </c>
    </row>
    <row r="95" ht="60.0" customHeight="1">
      <c r="A95" s="89"/>
      <c r="C95" s="183">
        <v>11.0</v>
      </c>
      <c r="D95" s="210" t="s">
        <v>175</v>
      </c>
      <c r="E95" s="185"/>
      <c r="F95" s="186"/>
      <c r="G95" s="186"/>
      <c r="H95" s="186"/>
      <c r="I95" s="212"/>
      <c r="J95" s="186"/>
      <c r="K95" s="187"/>
      <c r="L95" s="187"/>
      <c r="M95" s="187"/>
      <c r="N95" s="187"/>
      <c r="O95" s="269">
        <f t="shared" ref="O95:O101" si="18">IF(AND(M95&lt;&gt;0,M95&lt;&gt;"m",M95&lt;&gt;"",RIGHT(K95,3)="Lec"),1,IF(AND(M95&lt;&gt;0,M95&lt;&gt;"m",M95&lt;&gt;"",OR(RIGHT(K95,3)="Lab",RIGHT(K95,3)="Tut")),0.5,IF(AND(M95&lt;&gt;0,M95&lt;&gt;"m",M95&lt;&gt;"",RIGHT(K95,2)="TL"),0.75,0)))</f>
        <v>0</v>
      </c>
      <c r="P95" s="6"/>
      <c r="Q95" s="69"/>
      <c r="R95" s="89"/>
      <c r="S95" s="69"/>
      <c r="T95" s="69"/>
      <c r="U95" s="63"/>
      <c r="V95" s="63"/>
      <c r="W95" s="89"/>
      <c r="X95" s="68"/>
      <c r="Y95" s="69"/>
      <c r="Z95" s="63"/>
      <c r="AA95" s="189"/>
      <c r="AB95" s="190"/>
      <c r="AC95" s="190"/>
      <c r="AD95" s="190"/>
      <c r="AE95" s="190"/>
      <c r="AF95" s="190"/>
      <c r="AG95" s="190"/>
      <c r="AH95" s="190"/>
      <c r="AI95" s="191"/>
      <c r="AJ95" s="192"/>
      <c r="AK95" s="193"/>
      <c r="AL95" s="193"/>
      <c r="AM95" s="193"/>
      <c r="AN95" s="193"/>
      <c r="AO95" s="194"/>
      <c r="AP95" s="103"/>
      <c r="AQ95" s="89"/>
      <c r="AR95" s="89"/>
      <c r="AS95" s="89"/>
      <c r="AT95" s="69"/>
      <c r="AU95" s="192"/>
      <c r="AV95" s="193"/>
      <c r="AW95" s="193"/>
      <c r="AX95" s="194"/>
      <c r="AY95" s="6"/>
      <c r="AZ95" s="63"/>
      <c r="BA95" s="192"/>
      <c r="BB95" s="193"/>
      <c r="BC95" s="193"/>
      <c r="BD95" s="193"/>
      <c r="BE95" s="193"/>
      <c r="BF95" s="193"/>
      <c r="BG95" s="193"/>
      <c r="BH95" s="193"/>
      <c r="BI95" s="194"/>
      <c r="BJ95" s="195"/>
      <c r="BK95" s="193"/>
      <c r="BL95" s="193"/>
      <c r="BM95" s="193"/>
      <c r="BN95" s="193"/>
      <c r="BO95" s="196"/>
      <c r="BP95" s="63"/>
      <c r="BQ95" s="192"/>
      <c r="BR95" s="193"/>
      <c r="BS95" s="194"/>
      <c r="BT95" s="6"/>
      <c r="BU95" s="63"/>
      <c r="BV95" s="63"/>
      <c r="BW95" s="63"/>
      <c r="BX95" s="63"/>
      <c r="BY95" s="63"/>
      <c r="BZ95" s="63"/>
      <c r="CA95" s="63"/>
      <c r="CB95" s="63"/>
      <c r="CC95" s="63"/>
      <c r="CD95" s="192"/>
      <c r="CE95" s="196"/>
      <c r="CF95" s="192"/>
      <c r="CG95" s="194"/>
      <c r="CH95" s="259"/>
      <c r="CI95" s="197"/>
      <c r="CJ95" s="192"/>
      <c r="CK95" s="197"/>
      <c r="CL95" s="192"/>
      <c r="CM95" s="197"/>
      <c r="CN95" s="192"/>
      <c r="CO95" s="197"/>
      <c r="CP95" s="192"/>
      <c r="CQ95" s="193"/>
      <c r="CR95" s="197"/>
      <c r="CS95" s="69"/>
      <c r="CT95" s="89"/>
      <c r="CU95" s="255" t="str">
        <f t="shared" si="2"/>
        <v>SHP</v>
      </c>
    </row>
    <row r="96" ht="56.25" customHeight="1">
      <c r="A96" s="125">
        <v>9.0</v>
      </c>
      <c r="B96" s="199" t="s">
        <v>179</v>
      </c>
      <c r="C96" s="127">
        <v>1.0</v>
      </c>
      <c r="D96" s="168" t="s">
        <v>180</v>
      </c>
      <c r="E96" s="129"/>
      <c r="F96" s="130"/>
      <c r="G96" s="130"/>
      <c r="H96" s="130"/>
      <c r="I96" s="201"/>
      <c r="J96" s="130"/>
      <c r="K96" s="131"/>
      <c r="L96" s="131"/>
      <c r="M96" s="131"/>
      <c r="N96" s="131"/>
      <c r="O96" s="267">
        <f t="shared" si="18"/>
        <v>0</v>
      </c>
      <c r="P96" s="251">
        <f>COUNTIF(K96:K106,"TL")*0.75+COUNTIF(K96:K106,"Lec")*1+COUNTIF(K96:K106,"Lab")*0.5</f>
        <v>0</v>
      </c>
      <c r="Q96" s="134">
        <f>SUM((IF(LEFT(K96,1)="E",O96,0)),(IF(LEFT(K97,1)="E",O97,0)),(IF(LEFT(K98,1)="E",O98,0)),(IF(LEFT(K99,1)="E",O99,0)),(IF(LEFT(K100,1)="E",O100,0)),(IF(LEFT(K101,1)="E",O101,0)),(IF(LEFT(K102,1)="E",O102,0)),(IF(LEFT(K103,1)="E",O103,0)),(IF(LEFT(K104,1)="E",O104,0)),(IF(LEFT(K105,1)="E",O105,0)),(IF(LEFT(K106,1)="E",O106,0)))</f>
        <v>0</v>
      </c>
      <c r="R96" s="135">
        <f>SUM(IF(M102&lt;20,IF(K102="Plec",-1,IF(K102="PTL",-0.75,IF(K102="Plab",-0.5,0))),0),IF(M103&lt;20,IF(K103="Plec",-1,IF(K103="PTL",-0.75,IF(K103="Plab",-0.5,0))),0),IF(M104&lt;20,IF(K104="Plec",-1,IF(K104="PTL",-0.75,IF(K104="Plab",-0.5,0))),0),IF(M105&lt;20,IF(K105="Plec",-1,IF(K105="PTL",-0.75,IF(K105="Plab",-0.5,0))),0))</f>
        <v>0</v>
      </c>
      <c r="S96" s="134">
        <f>SUM(P96:R106)</f>
        <v>0</v>
      </c>
      <c r="T96" s="136">
        <f>SUM(IF(M96="M",IF(OR(K96="lec",K96="plec",K96="slec"),1,IF(OR(K96="lab",K96="plab",K96="slab",K96="tut",K96="ptut",K96="stut"),0.5,IF(OR(K96="TL",K96="pTL",K96="STL"),0.75,0))),0),IF(M97="M",IF(OR(K97="lec",K97="plec",K97="slec"),1,IF(OR(K97="lab",K97="plab",K97="slab",K97="tut",K97="ptut",K97="stut"),0.5,IF(OR(K97="TL",K97="pTL",K97="STL"),0.75,0))),0),IF(M98="M",IF(OR(K98="lec",K98="plec",K98="slec"),1,IF(OR(K98="lab",K98="plab",K98="slab",K98="tut",K98="ptut",K98="stut"),0.5,IF(OR(K98="TL",K98="pTL",K98="STL"),0.75,0))),0),IF(M99="M",IF(OR(K99="lec",K99="plec",K99="slec"),1,IF(OR(K99="lab",K99="plab",K99="slab",K99="tut",K99="ptut",K99="stut"),0.5,IF(OR(K99="TL",K99="pTL",K99="STL"),0.75,0))),0),IF(M100="M",IF(OR(K100="lec",K100="plec",K100="slec"),1,IF(OR(K100="lab",K100="plab",K100="slab",K100="tut",K100="ptut",K100="stut"),0.5,IF(OR(K100="TL",K100="pTL",K100="STL"),0.75,0))),0),IF(M101="M",IF(OR(K101="lec",K101="plec",K101="slec"),1,IF(OR(K101="lab",K101="plab",K101="slab",K101="tut",K101="ptut",K101="stut"),0.5,IF(OR(K101="TL",K101="pTL",K101="STL"),0.75,0))),0),IF(M102="M",IF(OR(K102="lec",K102="plec",K102="slec"),1,IF(OR(K102="lab",K102="plab",K102="slab",K102="tut",K102="ptut",K102="stut"),0.5,IF(OR(K102="TL",K102="pTL",K102="STL"),0.75,0))),0),IF(M103="M",IF(OR(K103="lec",K103="plec",K103="slec"),1,IF(OR(K103="lab",K103="plab",K103="slab",K103="tut",K103="ptut",K103="stut"),0.5,IF(OR(K103="TL",K103="pTL",K103="STL"),0.75,0))),0),IF(M104="M",IF(OR(K104="lec",K104="plec",K104="slec"),1,IF(OR(K104="lab",K104="plab",K104="slab",K104="tut",K104="ptut",K104="stut"),0.5,IF(OR(K104="TL",K104="pTL",K104="STL"),0.75,0))),0),IF(M105="M",IF(OR(K105="lec",K105="plec",K105="slec"),1,IF(OR(K105="lab",K105="plab",K105="slab",K105="tut",K105="ptut",K105="stut"),0.5,IF(OR(K105="TL",K105="pTL",K105="STL"),0.75,0))),0),IF(M106="M",IF(OR(K106="lec",K106="plec",K106="slec"),1,IF(OR(K106="lab",K106="plab",K106="slab",K106="tut",K106="ptut",K106="stut"),0.5,IF(OR(K106="TL",K106="pTL",K106="STL"),0.75,0))),0))</f>
        <v>0</v>
      </c>
      <c r="U96" s="137"/>
      <c r="V96" s="133"/>
      <c r="W96" s="138"/>
      <c r="X96" s="139">
        <f>S96-(T96+U96+V96+W96)</f>
        <v>0</v>
      </c>
      <c r="Y96" s="134" t="str">
        <f>CONCATENATE(SUM(O96:O106),"(",SUM(O96:O106)-X96,")")</f>
        <v>0(0)</v>
      </c>
      <c r="Z96" s="140"/>
      <c r="AA96" s="141"/>
      <c r="AB96" s="142"/>
      <c r="AC96" s="142"/>
      <c r="AD96" s="142"/>
      <c r="AE96" s="142"/>
      <c r="AF96" s="142"/>
      <c r="AG96" s="142"/>
      <c r="AH96" s="142"/>
      <c r="AI96" s="143"/>
      <c r="AJ96" s="144"/>
      <c r="AK96" s="145"/>
      <c r="AL96" s="145"/>
      <c r="AM96" s="145"/>
      <c r="AN96" s="145"/>
      <c r="AO96" s="146"/>
      <c r="AP96" s="147">
        <f>SUM(SUM(O96:O106),SUM(AI96:AI106)/2,AM96)</f>
        <v>0</v>
      </c>
      <c r="AQ96" s="148"/>
      <c r="AR96" s="148">
        <f>AP96*AQ96</f>
        <v>0</v>
      </c>
      <c r="AS96" s="148">
        <f>CT96</f>
        <v>1</v>
      </c>
      <c r="AT96" s="149">
        <f>AR96*0.75+AS96*0.25</f>
        <v>0.25</v>
      </c>
      <c r="AU96" s="150"/>
      <c r="AV96" s="151"/>
      <c r="AW96" s="151"/>
      <c r="AX96" s="152"/>
      <c r="AY96" s="153"/>
      <c r="AZ96" s="140"/>
      <c r="BA96" s="150">
        <v>1.0</v>
      </c>
      <c r="BB96" s="151" t="s">
        <v>148</v>
      </c>
      <c r="BC96" s="151">
        <v>9.0</v>
      </c>
      <c r="BD96" s="151" t="s">
        <v>249</v>
      </c>
      <c r="BE96" s="151" t="s">
        <v>150</v>
      </c>
      <c r="BF96" s="151"/>
      <c r="BG96" s="151">
        <v>1.0</v>
      </c>
      <c r="BH96" s="151"/>
      <c r="BI96" s="152"/>
      <c r="BJ96" s="154"/>
      <c r="BK96" s="151"/>
      <c r="BL96" s="151"/>
      <c r="BM96" s="151"/>
      <c r="BN96" s="151"/>
      <c r="BO96" s="155"/>
      <c r="BP96" s="140"/>
      <c r="BQ96" s="156"/>
      <c r="BR96" s="157"/>
      <c r="BS96" s="158"/>
      <c r="BT96" s="153"/>
      <c r="BU96" s="140"/>
      <c r="BV96" s="140"/>
      <c r="BW96" s="140"/>
      <c r="BX96" s="140"/>
      <c r="BY96" s="140"/>
      <c r="BZ96" s="140"/>
      <c r="CA96" s="140"/>
      <c r="CB96" s="140"/>
      <c r="CC96" s="140"/>
      <c r="CD96" s="150"/>
      <c r="CE96" s="155"/>
      <c r="CF96" s="150"/>
      <c r="CG96" s="152"/>
      <c r="CH96" s="252">
        <v>1.0</v>
      </c>
      <c r="CI96" s="160">
        <v>0.0</v>
      </c>
      <c r="CJ96" s="159"/>
      <c r="CK96" s="160"/>
      <c r="CL96" s="159"/>
      <c r="CM96" s="160"/>
      <c r="CN96" s="159"/>
      <c r="CO96" s="160"/>
      <c r="CP96" s="159"/>
      <c r="CQ96" s="162"/>
      <c r="CR96" s="160"/>
      <c r="CS96" s="253">
        <f>SUM(IF(AU96&lt;0,ABS(AU96),0),IF(AZ96&lt;0,ABS(AZ96),0),ABS(CI96),ABS(CK96),ABS(CM96),ABS(CO96),ABS(CQ96),ABS(CR96))</f>
        <v>0</v>
      </c>
      <c r="CT96" s="254">
        <f>SUM(AU96,AV96,AW96,AX96/400,AY96,AZ96,BG96,BH96*0.5,BI96*0.25,BJ96,BK96,BL96,BM96,BN96,BO96,BP96,BR96/20,BS96/100,BT96/60,BU96,BV96,BW96,BX96/4,SUM(BY96:CC106)/3,CE96,CG96/3,CI96,CK96,CM96,CO96,CQ96,CR96)</f>
        <v>1</v>
      </c>
      <c r="CU96" s="255" t="str">
        <f t="shared" si="2"/>
        <v>ZMP</v>
      </c>
    </row>
    <row r="97" ht="60.0" customHeight="1">
      <c r="A97" s="65"/>
      <c r="C97" s="167">
        <v>2.0</v>
      </c>
      <c r="D97" s="168" t="s">
        <v>180</v>
      </c>
      <c r="E97" s="169"/>
      <c r="F97" s="170"/>
      <c r="G97" s="170"/>
      <c r="H97" s="170"/>
      <c r="I97" s="207"/>
      <c r="J97" s="170"/>
      <c r="K97" s="171"/>
      <c r="L97" s="171"/>
      <c r="M97" s="171"/>
      <c r="N97" s="171"/>
      <c r="O97" s="268">
        <f t="shared" si="18"/>
        <v>0</v>
      </c>
      <c r="Q97" s="173"/>
      <c r="R97" s="65"/>
      <c r="S97" s="173"/>
      <c r="T97" s="173"/>
      <c r="U97" s="166"/>
      <c r="V97" s="166"/>
      <c r="W97" s="65"/>
      <c r="X97" s="66"/>
      <c r="Y97" s="173"/>
      <c r="Z97" s="166"/>
      <c r="AA97" s="174"/>
      <c r="AB97" s="175"/>
      <c r="AC97" s="175"/>
      <c r="AD97" s="175"/>
      <c r="AE97" s="175"/>
      <c r="AF97" s="175"/>
      <c r="AG97" s="175"/>
      <c r="AH97" s="175"/>
      <c r="AI97" s="176"/>
      <c r="AJ97" s="177"/>
      <c r="AK97" s="178"/>
      <c r="AL97" s="178"/>
      <c r="AM97" s="178"/>
      <c r="AN97" s="178"/>
      <c r="AO97" s="179"/>
      <c r="AP97" s="64"/>
      <c r="AQ97" s="65"/>
      <c r="AR97" s="65"/>
      <c r="AS97" s="65"/>
      <c r="AT97" s="173"/>
      <c r="AU97" s="177"/>
      <c r="AV97" s="178"/>
      <c r="AW97" s="178"/>
      <c r="AX97" s="179"/>
      <c r="AZ97" s="166"/>
      <c r="BA97" s="177"/>
      <c r="BB97" s="178"/>
      <c r="BC97" s="178"/>
      <c r="BD97" s="178"/>
      <c r="BE97" s="178"/>
      <c r="BF97" s="178"/>
      <c r="BG97" s="178"/>
      <c r="BH97" s="178"/>
      <c r="BI97" s="179"/>
      <c r="BJ97" s="180"/>
      <c r="BK97" s="178"/>
      <c r="BL97" s="178"/>
      <c r="BM97" s="178"/>
      <c r="BN97" s="178"/>
      <c r="BO97" s="181"/>
      <c r="BP97" s="166"/>
      <c r="BQ97" s="177"/>
      <c r="BR97" s="178"/>
      <c r="BS97" s="179"/>
      <c r="BU97" s="166"/>
      <c r="BV97" s="166"/>
      <c r="BW97" s="166"/>
      <c r="BX97" s="166"/>
      <c r="BY97" s="166"/>
      <c r="BZ97" s="166"/>
      <c r="CA97" s="166"/>
      <c r="CB97" s="166"/>
      <c r="CC97" s="166"/>
      <c r="CD97" s="177"/>
      <c r="CE97" s="181"/>
      <c r="CF97" s="177"/>
      <c r="CG97" s="179"/>
      <c r="CH97" s="257"/>
      <c r="CI97" s="182"/>
      <c r="CJ97" s="177"/>
      <c r="CK97" s="182"/>
      <c r="CL97" s="177"/>
      <c r="CM97" s="182"/>
      <c r="CN97" s="177"/>
      <c r="CO97" s="182"/>
      <c r="CP97" s="177"/>
      <c r="CQ97" s="178"/>
      <c r="CR97" s="182"/>
      <c r="CS97" s="173"/>
      <c r="CT97" s="65"/>
      <c r="CU97" s="255" t="str">
        <f t="shared" si="2"/>
        <v>ZMP</v>
      </c>
    </row>
    <row r="98" ht="60.0" customHeight="1">
      <c r="A98" s="65"/>
      <c r="C98" s="167">
        <v>3.0</v>
      </c>
      <c r="D98" s="168" t="s">
        <v>180</v>
      </c>
      <c r="E98" s="169"/>
      <c r="F98" s="170"/>
      <c r="G98" s="170"/>
      <c r="H98" s="170"/>
      <c r="I98" s="207"/>
      <c r="J98" s="170"/>
      <c r="K98" s="171"/>
      <c r="L98" s="171"/>
      <c r="M98" s="171"/>
      <c r="N98" s="171"/>
      <c r="O98" s="268">
        <f t="shared" si="18"/>
        <v>0</v>
      </c>
      <c r="Q98" s="173"/>
      <c r="R98" s="65"/>
      <c r="S98" s="173"/>
      <c r="T98" s="173"/>
      <c r="U98" s="166"/>
      <c r="V98" s="166"/>
      <c r="W98" s="65"/>
      <c r="X98" s="66"/>
      <c r="Y98" s="173"/>
      <c r="Z98" s="166"/>
      <c r="AA98" s="174"/>
      <c r="AB98" s="175"/>
      <c r="AC98" s="175"/>
      <c r="AD98" s="175"/>
      <c r="AE98" s="175"/>
      <c r="AF98" s="175"/>
      <c r="AG98" s="175"/>
      <c r="AH98" s="175"/>
      <c r="AI98" s="176"/>
      <c r="AJ98" s="177"/>
      <c r="AK98" s="178"/>
      <c r="AL98" s="178"/>
      <c r="AM98" s="178"/>
      <c r="AN98" s="178"/>
      <c r="AO98" s="179"/>
      <c r="AP98" s="64"/>
      <c r="AQ98" s="65"/>
      <c r="AR98" s="65"/>
      <c r="AS98" s="65"/>
      <c r="AT98" s="173"/>
      <c r="AU98" s="177"/>
      <c r="AV98" s="178"/>
      <c r="AW98" s="178"/>
      <c r="AX98" s="179"/>
      <c r="AZ98" s="166"/>
      <c r="BA98" s="177"/>
      <c r="BB98" s="178"/>
      <c r="BC98" s="178"/>
      <c r="BD98" s="178"/>
      <c r="BE98" s="178"/>
      <c r="BF98" s="178"/>
      <c r="BG98" s="178"/>
      <c r="BH98" s="178"/>
      <c r="BI98" s="179"/>
      <c r="BJ98" s="180"/>
      <c r="BK98" s="178"/>
      <c r="BL98" s="178"/>
      <c r="BM98" s="178"/>
      <c r="BN98" s="178"/>
      <c r="BO98" s="181"/>
      <c r="BP98" s="166"/>
      <c r="BQ98" s="177"/>
      <c r="BR98" s="178"/>
      <c r="BS98" s="179"/>
      <c r="BU98" s="166"/>
      <c r="BV98" s="166"/>
      <c r="BW98" s="166"/>
      <c r="BX98" s="166"/>
      <c r="BY98" s="166"/>
      <c r="BZ98" s="166"/>
      <c r="CA98" s="166"/>
      <c r="CB98" s="166"/>
      <c r="CC98" s="166"/>
      <c r="CD98" s="177"/>
      <c r="CE98" s="181"/>
      <c r="CF98" s="177"/>
      <c r="CG98" s="179"/>
      <c r="CH98" s="257"/>
      <c r="CI98" s="182"/>
      <c r="CJ98" s="177"/>
      <c r="CK98" s="182"/>
      <c r="CL98" s="177"/>
      <c r="CM98" s="182"/>
      <c r="CN98" s="177"/>
      <c r="CO98" s="182"/>
      <c r="CP98" s="177"/>
      <c r="CQ98" s="178"/>
      <c r="CR98" s="182"/>
      <c r="CS98" s="173"/>
      <c r="CT98" s="65"/>
      <c r="CU98" s="255" t="str">
        <f t="shared" si="2"/>
        <v>ZMP</v>
      </c>
    </row>
    <row r="99" ht="60.0" customHeight="1">
      <c r="A99" s="65"/>
      <c r="C99" s="167">
        <v>4.0</v>
      </c>
      <c r="D99" s="168" t="s">
        <v>180</v>
      </c>
      <c r="E99" s="169"/>
      <c r="F99" s="170"/>
      <c r="G99" s="170"/>
      <c r="H99" s="170"/>
      <c r="I99" s="207"/>
      <c r="J99" s="170"/>
      <c r="K99" s="171"/>
      <c r="L99" s="171"/>
      <c r="M99" s="171"/>
      <c r="N99" s="171"/>
      <c r="O99" s="268">
        <f t="shared" si="18"/>
        <v>0</v>
      </c>
      <c r="Q99" s="173"/>
      <c r="R99" s="65"/>
      <c r="S99" s="173"/>
      <c r="T99" s="173"/>
      <c r="U99" s="166"/>
      <c r="V99" s="166"/>
      <c r="W99" s="65"/>
      <c r="X99" s="66"/>
      <c r="Y99" s="173"/>
      <c r="Z99" s="166"/>
      <c r="AA99" s="174"/>
      <c r="AB99" s="175"/>
      <c r="AC99" s="175"/>
      <c r="AD99" s="175"/>
      <c r="AE99" s="175"/>
      <c r="AF99" s="175"/>
      <c r="AG99" s="175"/>
      <c r="AH99" s="175"/>
      <c r="AI99" s="176"/>
      <c r="AJ99" s="177"/>
      <c r="AK99" s="178"/>
      <c r="AL99" s="178"/>
      <c r="AM99" s="178"/>
      <c r="AN99" s="178"/>
      <c r="AO99" s="179"/>
      <c r="AP99" s="64"/>
      <c r="AQ99" s="65"/>
      <c r="AR99" s="65"/>
      <c r="AS99" s="65"/>
      <c r="AT99" s="173"/>
      <c r="AU99" s="177"/>
      <c r="AV99" s="178"/>
      <c r="AW99" s="178"/>
      <c r="AX99" s="179"/>
      <c r="AZ99" s="166"/>
      <c r="BA99" s="177"/>
      <c r="BB99" s="178"/>
      <c r="BC99" s="178"/>
      <c r="BD99" s="178"/>
      <c r="BE99" s="178"/>
      <c r="BF99" s="178"/>
      <c r="BG99" s="178"/>
      <c r="BH99" s="178"/>
      <c r="BI99" s="179"/>
      <c r="BJ99" s="180"/>
      <c r="BK99" s="178"/>
      <c r="BL99" s="178"/>
      <c r="BM99" s="178"/>
      <c r="BN99" s="178"/>
      <c r="BO99" s="181"/>
      <c r="BP99" s="166"/>
      <c r="BQ99" s="177"/>
      <c r="BR99" s="178"/>
      <c r="BS99" s="179"/>
      <c r="BU99" s="166"/>
      <c r="BV99" s="166"/>
      <c r="BW99" s="166"/>
      <c r="BX99" s="166"/>
      <c r="BY99" s="166"/>
      <c r="BZ99" s="166"/>
      <c r="CA99" s="166"/>
      <c r="CB99" s="166"/>
      <c r="CC99" s="166"/>
      <c r="CD99" s="177"/>
      <c r="CE99" s="181"/>
      <c r="CF99" s="177"/>
      <c r="CG99" s="179"/>
      <c r="CH99" s="257"/>
      <c r="CI99" s="182"/>
      <c r="CJ99" s="177"/>
      <c r="CK99" s="182"/>
      <c r="CL99" s="177"/>
      <c r="CM99" s="182"/>
      <c r="CN99" s="177"/>
      <c r="CO99" s="182"/>
      <c r="CP99" s="177"/>
      <c r="CQ99" s="178"/>
      <c r="CR99" s="182"/>
      <c r="CS99" s="173"/>
      <c r="CT99" s="65"/>
      <c r="CU99" s="255" t="str">
        <f t="shared" si="2"/>
        <v>ZMP</v>
      </c>
    </row>
    <row r="100" ht="60.0" customHeight="1">
      <c r="A100" s="65"/>
      <c r="C100" s="167">
        <v>5.0</v>
      </c>
      <c r="D100" s="168" t="s">
        <v>180</v>
      </c>
      <c r="E100" s="169"/>
      <c r="F100" s="170"/>
      <c r="G100" s="170"/>
      <c r="H100" s="170"/>
      <c r="I100" s="207"/>
      <c r="J100" s="170"/>
      <c r="K100" s="171"/>
      <c r="L100" s="171"/>
      <c r="M100" s="171"/>
      <c r="N100" s="171"/>
      <c r="O100" s="268">
        <f t="shared" si="18"/>
        <v>0</v>
      </c>
      <c r="Q100" s="173"/>
      <c r="R100" s="65"/>
      <c r="S100" s="173"/>
      <c r="T100" s="173"/>
      <c r="U100" s="166"/>
      <c r="V100" s="166"/>
      <c r="W100" s="65"/>
      <c r="X100" s="66"/>
      <c r="Y100" s="173"/>
      <c r="Z100" s="166"/>
      <c r="AA100" s="174"/>
      <c r="AB100" s="175"/>
      <c r="AC100" s="175"/>
      <c r="AD100" s="175"/>
      <c r="AE100" s="175"/>
      <c r="AF100" s="175"/>
      <c r="AG100" s="175"/>
      <c r="AH100" s="175"/>
      <c r="AI100" s="176"/>
      <c r="AJ100" s="177"/>
      <c r="AK100" s="178"/>
      <c r="AL100" s="178"/>
      <c r="AM100" s="178"/>
      <c r="AN100" s="178"/>
      <c r="AO100" s="179"/>
      <c r="AP100" s="64"/>
      <c r="AQ100" s="65"/>
      <c r="AR100" s="65"/>
      <c r="AS100" s="65"/>
      <c r="AT100" s="173"/>
      <c r="AU100" s="177"/>
      <c r="AV100" s="178"/>
      <c r="AW100" s="178"/>
      <c r="AX100" s="179"/>
      <c r="AZ100" s="166"/>
      <c r="BA100" s="177"/>
      <c r="BB100" s="178"/>
      <c r="BC100" s="178"/>
      <c r="BD100" s="178"/>
      <c r="BE100" s="178"/>
      <c r="BF100" s="178"/>
      <c r="BG100" s="178"/>
      <c r="BH100" s="178"/>
      <c r="BI100" s="179"/>
      <c r="BJ100" s="180"/>
      <c r="BK100" s="178"/>
      <c r="BL100" s="178"/>
      <c r="BM100" s="178"/>
      <c r="BN100" s="178"/>
      <c r="BO100" s="181"/>
      <c r="BP100" s="166"/>
      <c r="BQ100" s="177"/>
      <c r="BR100" s="178"/>
      <c r="BS100" s="179"/>
      <c r="BU100" s="166"/>
      <c r="BV100" s="166"/>
      <c r="BW100" s="166"/>
      <c r="BX100" s="166"/>
      <c r="BY100" s="166"/>
      <c r="BZ100" s="166"/>
      <c r="CA100" s="166"/>
      <c r="CB100" s="166"/>
      <c r="CC100" s="166"/>
      <c r="CD100" s="177"/>
      <c r="CE100" s="181"/>
      <c r="CF100" s="177"/>
      <c r="CG100" s="179"/>
      <c r="CH100" s="257"/>
      <c r="CI100" s="182"/>
      <c r="CJ100" s="177"/>
      <c r="CK100" s="182"/>
      <c r="CL100" s="177"/>
      <c r="CM100" s="182"/>
      <c r="CN100" s="177"/>
      <c r="CO100" s="182"/>
      <c r="CP100" s="177"/>
      <c r="CQ100" s="178"/>
      <c r="CR100" s="182"/>
      <c r="CS100" s="173"/>
      <c r="CT100" s="65"/>
      <c r="CU100" s="255" t="str">
        <f t="shared" si="2"/>
        <v>ZMP</v>
      </c>
    </row>
    <row r="101" ht="60.0" customHeight="1">
      <c r="A101" s="65"/>
      <c r="C101" s="167">
        <v>6.0</v>
      </c>
      <c r="D101" s="168" t="s">
        <v>180</v>
      </c>
      <c r="E101" s="169"/>
      <c r="F101" s="170"/>
      <c r="G101" s="170"/>
      <c r="H101" s="170"/>
      <c r="I101" s="207"/>
      <c r="J101" s="170"/>
      <c r="K101" s="171"/>
      <c r="L101" s="171"/>
      <c r="M101" s="171"/>
      <c r="N101" s="171"/>
      <c r="O101" s="268">
        <f t="shared" si="18"/>
        <v>0</v>
      </c>
      <c r="Q101" s="173"/>
      <c r="R101" s="65"/>
      <c r="S101" s="173"/>
      <c r="T101" s="173"/>
      <c r="U101" s="166"/>
      <c r="V101" s="166"/>
      <c r="W101" s="65"/>
      <c r="X101" s="66"/>
      <c r="Y101" s="173"/>
      <c r="Z101" s="166"/>
      <c r="AA101" s="174"/>
      <c r="AB101" s="175"/>
      <c r="AC101" s="175"/>
      <c r="AD101" s="175"/>
      <c r="AE101" s="175"/>
      <c r="AF101" s="175"/>
      <c r="AG101" s="175"/>
      <c r="AH101" s="175"/>
      <c r="AI101" s="176"/>
      <c r="AJ101" s="177"/>
      <c r="AK101" s="178"/>
      <c r="AL101" s="178"/>
      <c r="AM101" s="178"/>
      <c r="AN101" s="178"/>
      <c r="AO101" s="179"/>
      <c r="AP101" s="64"/>
      <c r="AQ101" s="65"/>
      <c r="AR101" s="65"/>
      <c r="AS101" s="65"/>
      <c r="AT101" s="173"/>
      <c r="AU101" s="177"/>
      <c r="AV101" s="178"/>
      <c r="AW101" s="178"/>
      <c r="AX101" s="179"/>
      <c r="AZ101" s="166"/>
      <c r="BA101" s="177"/>
      <c r="BB101" s="178"/>
      <c r="BC101" s="178"/>
      <c r="BD101" s="178"/>
      <c r="BE101" s="178"/>
      <c r="BF101" s="178"/>
      <c r="BG101" s="178"/>
      <c r="BH101" s="178"/>
      <c r="BI101" s="179"/>
      <c r="BJ101" s="180"/>
      <c r="BK101" s="178"/>
      <c r="BL101" s="178"/>
      <c r="BM101" s="178"/>
      <c r="BN101" s="178"/>
      <c r="BO101" s="181"/>
      <c r="BP101" s="166"/>
      <c r="BQ101" s="177"/>
      <c r="BR101" s="178"/>
      <c r="BS101" s="179"/>
      <c r="BU101" s="166"/>
      <c r="BV101" s="166"/>
      <c r="BW101" s="166"/>
      <c r="BX101" s="166"/>
      <c r="BY101" s="166"/>
      <c r="BZ101" s="166"/>
      <c r="CA101" s="166"/>
      <c r="CB101" s="166"/>
      <c r="CC101" s="166"/>
      <c r="CD101" s="177"/>
      <c r="CE101" s="181"/>
      <c r="CF101" s="177"/>
      <c r="CG101" s="179"/>
      <c r="CH101" s="257"/>
      <c r="CI101" s="182"/>
      <c r="CJ101" s="177"/>
      <c r="CK101" s="182"/>
      <c r="CL101" s="177"/>
      <c r="CM101" s="182"/>
      <c r="CN101" s="177"/>
      <c r="CO101" s="182"/>
      <c r="CP101" s="177"/>
      <c r="CQ101" s="178"/>
      <c r="CR101" s="182"/>
      <c r="CS101" s="173"/>
      <c r="CT101" s="65"/>
      <c r="CU101" s="255" t="str">
        <f t="shared" si="2"/>
        <v>ZMP</v>
      </c>
    </row>
    <row r="102" ht="60.0" customHeight="1">
      <c r="A102" s="65"/>
      <c r="C102" s="167">
        <v>7.0</v>
      </c>
      <c r="D102" s="168" t="s">
        <v>180</v>
      </c>
      <c r="E102" s="169"/>
      <c r="F102" s="170"/>
      <c r="G102" s="170"/>
      <c r="H102" s="170"/>
      <c r="I102" s="207"/>
      <c r="J102" s="170"/>
      <c r="K102" s="171"/>
      <c r="L102" s="171"/>
      <c r="M102" s="171"/>
      <c r="N102" s="171"/>
      <c r="O102" s="268">
        <f t="shared" ref="O102:O105" si="19">IF(AND(M102&gt;=20,M102&lt;&gt;"m",RIGHT(K102,3)="Lec"),1,IF(AND(M102&gt;=20,M102&lt;&gt;"m",OR(RIGHT(K102,3)="Lab",RIGHT(K102,3)="Tut")),0.5,IF(AND(M102&gt;=20,M102&lt;&gt;"m",RIGHT(K102,2)="TL"),0.75,0)))</f>
        <v>0</v>
      </c>
      <c r="Q102" s="173"/>
      <c r="R102" s="65"/>
      <c r="S102" s="173"/>
      <c r="T102" s="173"/>
      <c r="U102" s="166"/>
      <c r="V102" s="166"/>
      <c r="W102" s="65"/>
      <c r="X102" s="66"/>
      <c r="Y102" s="173"/>
      <c r="Z102" s="166"/>
      <c r="AA102" s="174"/>
      <c r="AB102" s="175"/>
      <c r="AC102" s="175"/>
      <c r="AD102" s="175"/>
      <c r="AE102" s="175"/>
      <c r="AF102" s="175"/>
      <c r="AG102" s="175"/>
      <c r="AH102" s="175"/>
      <c r="AI102" s="176"/>
      <c r="AJ102" s="177"/>
      <c r="AK102" s="178"/>
      <c r="AL102" s="178"/>
      <c r="AM102" s="178"/>
      <c r="AN102" s="178"/>
      <c r="AO102" s="179"/>
      <c r="AP102" s="64"/>
      <c r="AQ102" s="65"/>
      <c r="AR102" s="65"/>
      <c r="AS102" s="65"/>
      <c r="AT102" s="173"/>
      <c r="AU102" s="177"/>
      <c r="AV102" s="178"/>
      <c r="AW102" s="178"/>
      <c r="AX102" s="179"/>
      <c r="AZ102" s="166"/>
      <c r="BA102" s="177"/>
      <c r="BB102" s="178"/>
      <c r="BC102" s="178"/>
      <c r="BD102" s="178"/>
      <c r="BE102" s="178"/>
      <c r="BF102" s="178"/>
      <c r="BG102" s="178"/>
      <c r="BH102" s="178"/>
      <c r="BI102" s="179"/>
      <c r="BJ102" s="180"/>
      <c r="BK102" s="178"/>
      <c r="BL102" s="178"/>
      <c r="BM102" s="178"/>
      <c r="BN102" s="178"/>
      <c r="BO102" s="181"/>
      <c r="BP102" s="166"/>
      <c r="BQ102" s="177"/>
      <c r="BR102" s="178"/>
      <c r="BS102" s="179"/>
      <c r="BU102" s="166"/>
      <c r="BV102" s="166"/>
      <c r="BW102" s="166"/>
      <c r="BX102" s="166"/>
      <c r="BY102" s="166"/>
      <c r="BZ102" s="166"/>
      <c r="CA102" s="166"/>
      <c r="CB102" s="166"/>
      <c r="CC102" s="166"/>
      <c r="CD102" s="177"/>
      <c r="CE102" s="181"/>
      <c r="CF102" s="177"/>
      <c r="CG102" s="179"/>
      <c r="CH102" s="257"/>
      <c r="CI102" s="182"/>
      <c r="CJ102" s="177"/>
      <c r="CK102" s="182"/>
      <c r="CL102" s="177"/>
      <c r="CM102" s="182"/>
      <c r="CN102" s="177"/>
      <c r="CO102" s="182"/>
      <c r="CP102" s="177"/>
      <c r="CQ102" s="178"/>
      <c r="CR102" s="182"/>
      <c r="CS102" s="173"/>
      <c r="CT102" s="65"/>
      <c r="CU102" s="255" t="str">
        <f t="shared" si="2"/>
        <v>ZMP</v>
      </c>
    </row>
    <row r="103" ht="60.0" customHeight="1">
      <c r="A103" s="65"/>
      <c r="C103" s="167">
        <v>8.0</v>
      </c>
      <c r="D103" s="168" t="s">
        <v>180</v>
      </c>
      <c r="E103" s="169"/>
      <c r="F103" s="170"/>
      <c r="G103" s="170"/>
      <c r="H103" s="170"/>
      <c r="I103" s="207"/>
      <c r="J103" s="170"/>
      <c r="K103" s="171"/>
      <c r="L103" s="171"/>
      <c r="M103" s="171"/>
      <c r="N103" s="171"/>
      <c r="O103" s="268">
        <f t="shared" si="19"/>
        <v>0</v>
      </c>
      <c r="Q103" s="173"/>
      <c r="R103" s="65"/>
      <c r="S103" s="173"/>
      <c r="T103" s="173"/>
      <c r="U103" s="166"/>
      <c r="V103" s="166"/>
      <c r="W103" s="65"/>
      <c r="X103" s="66"/>
      <c r="Y103" s="173"/>
      <c r="Z103" s="166"/>
      <c r="AA103" s="174"/>
      <c r="AB103" s="175"/>
      <c r="AC103" s="175"/>
      <c r="AD103" s="175"/>
      <c r="AE103" s="175"/>
      <c r="AF103" s="175"/>
      <c r="AG103" s="175"/>
      <c r="AH103" s="175"/>
      <c r="AI103" s="176"/>
      <c r="AJ103" s="177"/>
      <c r="AK103" s="178"/>
      <c r="AL103" s="178"/>
      <c r="AM103" s="178"/>
      <c r="AN103" s="178"/>
      <c r="AO103" s="179"/>
      <c r="AP103" s="64"/>
      <c r="AQ103" s="65"/>
      <c r="AR103" s="65"/>
      <c r="AS103" s="65"/>
      <c r="AT103" s="173"/>
      <c r="AU103" s="177"/>
      <c r="AV103" s="178"/>
      <c r="AW103" s="178"/>
      <c r="AX103" s="179"/>
      <c r="AZ103" s="166"/>
      <c r="BA103" s="177"/>
      <c r="BB103" s="178"/>
      <c r="BC103" s="178"/>
      <c r="BD103" s="178"/>
      <c r="BE103" s="178"/>
      <c r="BF103" s="178"/>
      <c r="BG103" s="178"/>
      <c r="BH103" s="178"/>
      <c r="BI103" s="179"/>
      <c r="BJ103" s="180"/>
      <c r="BK103" s="178"/>
      <c r="BL103" s="178"/>
      <c r="BM103" s="178"/>
      <c r="BN103" s="178"/>
      <c r="BO103" s="181"/>
      <c r="BP103" s="166"/>
      <c r="BQ103" s="177"/>
      <c r="BR103" s="178"/>
      <c r="BS103" s="179"/>
      <c r="BU103" s="166"/>
      <c r="BV103" s="166"/>
      <c r="BW103" s="166"/>
      <c r="BX103" s="166"/>
      <c r="BY103" s="166"/>
      <c r="BZ103" s="166"/>
      <c r="CA103" s="166"/>
      <c r="CB103" s="166"/>
      <c r="CC103" s="166"/>
      <c r="CD103" s="177"/>
      <c r="CE103" s="181"/>
      <c r="CF103" s="177"/>
      <c r="CG103" s="179"/>
      <c r="CH103" s="257"/>
      <c r="CI103" s="182"/>
      <c r="CJ103" s="177"/>
      <c r="CK103" s="182"/>
      <c r="CL103" s="177"/>
      <c r="CM103" s="182"/>
      <c r="CN103" s="177"/>
      <c r="CO103" s="182"/>
      <c r="CP103" s="177"/>
      <c r="CQ103" s="178"/>
      <c r="CR103" s="182"/>
      <c r="CS103" s="173"/>
      <c r="CT103" s="65"/>
      <c r="CU103" s="255" t="str">
        <f t="shared" si="2"/>
        <v>ZMP</v>
      </c>
    </row>
    <row r="104" ht="60.0" customHeight="1">
      <c r="A104" s="65"/>
      <c r="C104" s="167">
        <v>9.0</v>
      </c>
      <c r="D104" s="168" t="s">
        <v>180</v>
      </c>
      <c r="E104" s="169"/>
      <c r="F104" s="170"/>
      <c r="G104" s="170"/>
      <c r="H104" s="170"/>
      <c r="I104" s="207"/>
      <c r="J104" s="170"/>
      <c r="K104" s="171"/>
      <c r="L104" s="171"/>
      <c r="M104" s="171"/>
      <c r="N104" s="171"/>
      <c r="O104" s="268">
        <f t="shared" si="19"/>
        <v>0</v>
      </c>
      <c r="Q104" s="173"/>
      <c r="R104" s="65"/>
      <c r="S104" s="173"/>
      <c r="T104" s="173"/>
      <c r="U104" s="166"/>
      <c r="V104" s="166"/>
      <c r="W104" s="65"/>
      <c r="X104" s="66"/>
      <c r="Y104" s="173"/>
      <c r="Z104" s="166"/>
      <c r="AA104" s="174"/>
      <c r="AB104" s="175"/>
      <c r="AC104" s="175"/>
      <c r="AD104" s="175"/>
      <c r="AE104" s="175"/>
      <c r="AF104" s="175"/>
      <c r="AG104" s="175"/>
      <c r="AH104" s="175"/>
      <c r="AI104" s="176"/>
      <c r="AJ104" s="177"/>
      <c r="AK104" s="178"/>
      <c r="AL104" s="178"/>
      <c r="AM104" s="178"/>
      <c r="AN104" s="178"/>
      <c r="AO104" s="179"/>
      <c r="AP104" s="64"/>
      <c r="AQ104" s="65"/>
      <c r="AR104" s="65"/>
      <c r="AS104" s="65"/>
      <c r="AT104" s="173"/>
      <c r="AU104" s="177"/>
      <c r="AV104" s="178"/>
      <c r="AW104" s="178"/>
      <c r="AX104" s="179"/>
      <c r="AZ104" s="166"/>
      <c r="BA104" s="177"/>
      <c r="BB104" s="178"/>
      <c r="BC104" s="178"/>
      <c r="BD104" s="178"/>
      <c r="BE104" s="178"/>
      <c r="BF104" s="178"/>
      <c r="BG104" s="178"/>
      <c r="BH104" s="178"/>
      <c r="BI104" s="179"/>
      <c r="BJ104" s="180"/>
      <c r="BK104" s="178"/>
      <c r="BL104" s="178"/>
      <c r="BM104" s="178"/>
      <c r="BN104" s="178"/>
      <c r="BO104" s="181"/>
      <c r="BP104" s="166"/>
      <c r="BQ104" s="177"/>
      <c r="BR104" s="178"/>
      <c r="BS104" s="179"/>
      <c r="BU104" s="166"/>
      <c r="BV104" s="166"/>
      <c r="BW104" s="166"/>
      <c r="BX104" s="166"/>
      <c r="BY104" s="166"/>
      <c r="BZ104" s="166"/>
      <c r="CA104" s="166"/>
      <c r="CB104" s="166"/>
      <c r="CC104" s="166"/>
      <c r="CD104" s="177"/>
      <c r="CE104" s="181"/>
      <c r="CF104" s="177"/>
      <c r="CG104" s="179"/>
      <c r="CH104" s="257"/>
      <c r="CI104" s="182"/>
      <c r="CJ104" s="177"/>
      <c r="CK104" s="182"/>
      <c r="CL104" s="177"/>
      <c r="CM104" s="182"/>
      <c r="CN104" s="177"/>
      <c r="CO104" s="182"/>
      <c r="CP104" s="177"/>
      <c r="CQ104" s="178"/>
      <c r="CR104" s="182"/>
      <c r="CS104" s="173"/>
      <c r="CT104" s="65"/>
      <c r="CU104" s="255" t="str">
        <f t="shared" si="2"/>
        <v>ZMP</v>
      </c>
    </row>
    <row r="105" ht="60.0" customHeight="1">
      <c r="A105" s="65"/>
      <c r="C105" s="167">
        <v>10.0</v>
      </c>
      <c r="D105" s="168" t="s">
        <v>180</v>
      </c>
      <c r="E105" s="169"/>
      <c r="F105" s="170"/>
      <c r="G105" s="170"/>
      <c r="H105" s="170"/>
      <c r="I105" s="207"/>
      <c r="J105" s="170"/>
      <c r="K105" s="171"/>
      <c r="L105" s="171"/>
      <c r="M105" s="171"/>
      <c r="N105" s="171"/>
      <c r="O105" s="268">
        <f t="shared" si="19"/>
        <v>0</v>
      </c>
      <c r="Q105" s="173"/>
      <c r="R105" s="65"/>
      <c r="S105" s="173"/>
      <c r="T105" s="173"/>
      <c r="U105" s="166"/>
      <c r="V105" s="166"/>
      <c r="W105" s="65"/>
      <c r="X105" s="66"/>
      <c r="Y105" s="173"/>
      <c r="Z105" s="166"/>
      <c r="AA105" s="174"/>
      <c r="AB105" s="175"/>
      <c r="AC105" s="175"/>
      <c r="AD105" s="175"/>
      <c r="AE105" s="175"/>
      <c r="AF105" s="175"/>
      <c r="AG105" s="175"/>
      <c r="AH105" s="175"/>
      <c r="AI105" s="176"/>
      <c r="AJ105" s="177"/>
      <c r="AK105" s="178"/>
      <c r="AL105" s="178"/>
      <c r="AM105" s="178"/>
      <c r="AN105" s="178"/>
      <c r="AO105" s="179"/>
      <c r="AP105" s="64"/>
      <c r="AQ105" s="65"/>
      <c r="AR105" s="65"/>
      <c r="AS105" s="65"/>
      <c r="AT105" s="173"/>
      <c r="AU105" s="177"/>
      <c r="AV105" s="178"/>
      <c r="AW105" s="178"/>
      <c r="AX105" s="179"/>
      <c r="AZ105" s="166"/>
      <c r="BA105" s="177"/>
      <c r="BB105" s="178"/>
      <c r="BC105" s="178"/>
      <c r="BD105" s="178"/>
      <c r="BE105" s="178"/>
      <c r="BF105" s="178"/>
      <c r="BG105" s="178"/>
      <c r="BH105" s="178"/>
      <c r="BI105" s="179"/>
      <c r="BJ105" s="180"/>
      <c r="BK105" s="178"/>
      <c r="BL105" s="178"/>
      <c r="BM105" s="178"/>
      <c r="BN105" s="178"/>
      <c r="BO105" s="181"/>
      <c r="BP105" s="166"/>
      <c r="BQ105" s="177"/>
      <c r="BR105" s="178"/>
      <c r="BS105" s="179"/>
      <c r="BU105" s="166"/>
      <c r="BV105" s="166"/>
      <c r="BW105" s="166"/>
      <c r="BX105" s="166"/>
      <c r="BY105" s="166"/>
      <c r="BZ105" s="166"/>
      <c r="CA105" s="166"/>
      <c r="CB105" s="166"/>
      <c r="CC105" s="166"/>
      <c r="CD105" s="177"/>
      <c r="CE105" s="181"/>
      <c r="CF105" s="177"/>
      <c r="CG105" s="179"/>
      <c r="CH105" s="257"/>
      <c r="CI105" s="182"/>
      <c r="CJ105" s="177"/>
      <c r="CK105" s="182"/>
      <c r="CL105" s="177"/>
      <c r="CM105" s="182"/>
      <c r="CN105" s="177"/>
      <c r="CO105" s="182"/>
      <c r="CP105" s="177"/>
      <c r="CQ105" s="178"/>
      <c r="CR105" s="182"/>
      <c r="CS105" s="173"/>
      <c r="CT105" s="65"/>
      <c r="CU105" s="255" t="str">
        <f t="shared" si="2"/>
        <v>ZMP</v>
      </c>
    </row>
    <row r="106" ht="60.0" customHeight="1">
      <c r="A106" s="89"/>
      <c r="C106" s="183">
        <v>11.0</v>
      </c>
      <c r="D106" s="210" t="s">
        <v>180</v>
      </c>
      <c r="E106" s="185"/>
      <c r="F106" s="186"/>
      <c r="G106" s="186"/>
      <c r="H106" s="186"/>
      <c r="I106" s="212"/>
      <c r="J106" s="186"/>
      <c r="K106" s="187"/>
      <c r="L106" s="187"/>
      <c r="M106" s="187"/>
      <c r="N106" s="187"/>
      <c r="O106" s="269">
        <f t="shared" ref="O106:O112" si="20">IF(AND(M106&lt;&gt;0,M106&lt;&gt;"m",M106&lt;&gt;"",RIGHT(K106,3)="Lec"),1,IF(AND(M106&lt;&gt;0,M106&lt;&gt;"m",M106&lt;&gt;"",OR(RIGHT(K106,3)="Lab",RIGHT(K106,3)="Tut")),0.5,IF(AND(M106&lt;&gt;0,M106&lt;&gt;"m",M106&lt;&gt;"",RIGHT(K106,2)="TL"),0.75,0)))</f>
        <v>0</v>
      </c>
      <c r="P106" s="6"/>
      <c r="Q106" s="69"/>
      <c r="R106" s="89"/>
      <c r="S106" s="69"/>
      <c r="T106" s="69"/>
      <c r="U106" s="63"/>
      <c r="V106" s="63"/>
      <c r="W106" s="89"/>
      <c r="X106" s="68"/>
      <c r="Y106" s="69"/>
      <c r="Z106" s="63"/>
      <c r="AA106" s="189"/>
      <c r="AB106" s="190"/>
      <c r="AC106" s="190"/>
      <c r="AD106" s="190"/>
      <c r="AE106" s="190"/>
      <c r="AF106" s="190"/>
      <c r="AG106" s="190"/>
      <c r="AH106" s="190"/>
      <c r="AI106" s="191"/>
      <c r="AJ106" s="192"/>
      <c r="AK106" s="193"/>
      <c r="AL106" s="193"/>
      <c r="AM106" s="193"/>
      <c r="AN106" s="193"/>
      <c r="AO106" s="194"/>
      <c r="AP106" s="103"/>
      <c r="AQ106" s="89"/>
      <c r="AR106" s="89"/>
      <c r="AS106" s="89"/>
      <c r="AT106" s="69"/>
      <c r="AU106" s="192"/>
      <c r="AV106" s="193"/>
      <c r="AW106" s="193"/>
      <c r="AX106" s="194"/>
      <c r="AY106" s="6"/>
      <c r="AZ106" s="63"/>
      <c r="BA106" s="192"/>
      <c r="BB106" s="193"/>
      <c r="BC106" s="193"/>
      <c r="BD106" s="193"/>
      <c r="BE106" s="193"/>
      <c r="BF106" s="193"/>
      <c r="BG106" s="193"/>
      <c r="BH106" s="193"/>
      <c r="BI106" s="194"/>
      <c r="BJ106" s="195"/>
      <c r="BK106" s="193"/>
      <c r="BL106" s="193"/>
      <c r="BM106" s="193"/>
      <c r="BN106" s="193"/>
      <c r="BO106" s="196"/>
      <c r="BP106" s="63"/>
      <c r="BQ106" s="192"/>
      <c r="BR106" s="193"/>
      <c r="BS106" s="194"/>
      <c r="BT106" s="6"/>
      <c r="BU106" s="63"/>
      <c r="BV106" s="63"/>
      <c r="BW106" s="63"/>
      <c r="BX106" s="63"/>
      <c r="BY106" s="63"/>
      <c r="BZ106" s="63"/>
      <c r="CA106" s="63"/>
      <c r="CB106" s="63"/>
      <c r="CC106" s="63"/>
      <c r="CD106" s="192"/>
      <c r="CE106" s="196"/>
      <c r="CF106" s="192"/>
      <c r="CG106" s="194"/>
      <c r="CH106" s="259"/>
      <c r="CI106" s="197"/>
      <c r="CJ106" s="192"/>
      <c r="CK106" s="197"/>
      <c r="CL106" s="192"/>
      <c r="CM106" s="197"/>
      <c r="CN106" s="192"/>
      <c r="CO106" s="197"/>
      <c r="CP106" s="192"/>
      <c r="CQ106" s="193"/>
      <c r="CR106" s="197"/>
      <c r="CS106" s="69"/>
      <c r="CT106" s="89"/>
      <c r="CU106" s="255" t="str">
        <f t="shared" si="2"/>
        <v>ZMP</v>
      </c>
    </row>
    <row r="107" ht="56.25" customHeight="1">
      <c r="A107" s="125">
        <v>10.0</v>
      </c>
      <c r="B107" s="199" t="s">
        <v>184</v>
      </c>
      <c r="C107" s="127">
        <v>1.0</v>
      </c>
      <c r="D107" s="168" t="s">
        <v>185</v>
      </c>
      <c r="E107" s="129"/>
      <c r="F107" s="130"/>
      <c r="G107" s="130"/>
      <c r="H107" s="130"/>
      <c r="I107" s="201"/>
      <c r="J107" s="130"/>
      <c r="K107" s="131"/>
      <c r="L107" s="131"/>
      <c r="M107" s="131"/>
      <c r="N107" s="131"/>
      <c r="O107" s="267">
        <f t="shared" si="20"/>
        <v>0</v>
      </c>
      <c r="P107" s="251">
        <f>COUNTIF(K107:K117,"TL")*0.75+COUNTIF(K107:K117,"Lec")*1+COUNTIF(K107:K117,"Lab")*0.5</f>
        <v>0</v>
      </c>
      <c r="Q107" s="134">
        <f>SUM((IF(LEFT(K107,1)="E",O107,0)),(IF(LEFT(K108,1)="E",O108,0)),(IF(LEFT(K109,1)="E",O109,0)),(IF(LEFT(K110,1)="E",O110,0)),(IF(LEFT(K111,1)="E",O111,0)),(IF(LEFT(K112,1)="E",O112,0)),(IF(LEFT(K113,1)="E",O113,0)),(IF(LEFT(K114,1)="E",O114,0)),(IF(LEFT(K115,1)="E",O115,0)),(IF(LEFT(K116,1)="E",O116,0)),(IF(LEFT(K117,1)="E",O117,0)))</f>
        <v>0</v>
      </c>
      <c r="R107" s="135">
        <f>SUM(IF(M113&lt;20,IF(K113="Plec",-1,IF(K113="PTL",-0.75,IF(K113="Plab",-0.5,0))),0),IF(M114&lt;20,IF(K114="Plec",-1,IF(K114="PTL",-0.75,IF(K114="Plab",-0.5,0))),0),IF(M115&lt;20,IF(K115="Plec",-1,IF(K115="PTL",-0.75,IF(K115="Plab",-0.5,0))),0),IF(M116&lt;20,IF(K116="Plec",-1,IF(K116="PTL",-0.75,IF(K116="Plab",-0.5,0))),0))</f>
        <v>0</v>
      </c>
      <c r="S107" s="134">
        <f>SUM(P107:R117)</f>
        <v>0</v>
      </c>
      <c r="T107" s="136">
        <f>SUM(IF(M107="M",IF(OR(K107="lec",K107="plec",K107="slec"),1,IF(OR(K107="lab",K107="plab",K107="slab",K107="tut",K107="ptut",K107="stut"),0.5,IF(OR(K107="TL",K107="pTL",K107="STL"),0.75,0))),0),IF(M108="M",IF(OR(K108="lec",K108="plec",K108="slec"),1,IF(OR(K108="lab",K108="plab",K108="slab",K108="tut",K108="ptut",K108="stut"),0.5,IF(OR(K108="TL",K108="pTL",K108="STL"),0.75,0))),0),IF(M109="M",IF(OR(K109="lec",K109="plec",K109="slec"),1,IF(OR(K109="lab",K109="plab",K109="slab",K109="tut",K109="ptut",K109="stut"),0.5,IF(OR(K109="TL",K109="pTL",K109="STL"),0.75,0))),0),IF(M110="M",IF(OR(K110="lec",K110="plec",K110="slec"),1,IF(OR(K110="lab",K110="plab",K110="slab",K110="tut",K110="ptut",K110="stut"),0.5,IF(OR(K110="TL",K110="pTL",K110="STL"),0.75,0))),0),IF(M111="M",IF(OR(K111="lec",K111="plec",K111="slec"),1,IF(OR(K111="lab",K111="plab",K111="slab",K111="tut",K111="ptut",K111="stut"),0.5,IF(OR(K111="TL",K111="pTL",K111="STL"),0.75,0))),0),IF(M112="M",IF(OR(K112="lec",K112="plec",K112="slec"),1,IF(OR(K112="lab",K112="plab",K112="slab",K112="tut",K112="ptut",K112="stut"),0.5,IF(OR(K112="TL",K112="pTL",K112="STL"),0.75,0))),0),IF(M113="M",IF(OR(K113="lec",K113="plec",K113="slec"),1,IF(OR(K113="lab",K113="plab",K113="slab",K113="tut",K113="ptut",K113="stut"),0.5,IF(OR(K113="TL",K113="pTL",K113="STL"),0.75,0))),0),IF(M114="M",IF(OR(K114="lec",K114="plec",K114="slec"),1,IF(OR(K114="lab",K114="plab",K114="slab",K114="tut",K114="ptut",K114="stut"),0.5,IF(OR(K114="TL",K114="pTL",K114="STL"),0.75,0))),0),IF(M115="M",IF(OR(K115="lec",K115="plec",K115="slec"),1,IF(OR(K115="lab",K115="plab",K115="slab",K115="tut",K115="ptut",K115="stut"),0.5,IF(OR(K115="TL",K115="pTL",K115="STL"),0.75,0))),0),IF(M116="M",IF(OR(K116="lec",K116="plec",K116="slec"),1,IF(OR(K116="lab",K116="plab",K116="slab",K116="tut",K116="ptut",K116="stut"),0.5,IF(OR(K116="TL",K116="pTL",K116="STL"),0.75,0))),0),IF(M117="M",IF(OR(K117="lec",K117="plec",K117="slec"),1,IF(OR(K117="lab",K117="plab",K117="slab",K117="tut",K117="ptut",K117="stut"),0.5,IF(OR(K117="TL",K117="pTL",K117="STL"),0.75,0))),0))</f>
        <v>0</v>
      </c>
      <c r="U107" s="137"/>
      <c r="V107" s="133"/>
      <c r="W107" s="138"/>
      <c r="X107" s="139">
        <f>S107-(T107+U107+V107+W107)</f>
        <v>0</v>
      </c>
      <c r="Y107" s="134" t="str">
        <f>CONCATENATE(SUM(O107:O117),"(",SUM(O107:O117)-X107,")")</f>
        <v>0(0)</v>
      </c>
      <c r="Z107" s="140"/>
      <c r="AA107" s="141"/>
      <c r="AB107" s="142"/>
      <c r="AC107" s="142"/>
      <c r="AD107" s="142"/>
      <c r="AE107" s="142"/>
      <c r="AF107" s="142"/>
      <c r="AG107" s="142"/>
      <c r="AH107" s="142"/>
      <c r="AI107" s="143"/>
      <c r="AJ107" s="144"/>
      <c r="AK107" s="145"/>
      <c r="AL107" s="145"/>
      <c r="AM107" s="145"/>
      <c r="AN107" s="145"/>
      <c r="AO107" s="146"/>
      <c r="AP107" s="147">
        <f>SUM(SUM(O107:O117),SUM(AI107:AI117)/2,AM107)</f>
        <v>0</v>
      </c>
      <c r="AQ107" s="148"/>
      <c r="AR107" s="148">
        <f>AP107*AQ107</f>
        <v>0</v>
      </c>
      <c r="AS107" s="148">
        <f>CT107</f>
        <v>1</v>
      </c>
      <c r="AT107" s="149">
        <f>AR107*0.75+AS107*0.25</f>
        <v>0.25</v>
      </c>
      <c r="AU107" s="150"/>
      <c r="AV107" s="151"/>
      <c r="AW107" s="151"/>
      <c r="AX107" s="152"/>
      <c r="AY107" s="153"/>
      <c r="AZ107" s="140"/>
      <c r="BA107" s="150">
        <v>1.0</v>
      </c>
      <c r="BB107" s="151" t="s">
        <v>148</v>
      </c>
      <c r="BC107" s="151">
        <v>6.0</v>
      </c>
      <c r="BD107" s="151">
        <v>524.0</v>
      </c>
      <c r="BE107" s="151" t="s">
        <v>150</v>
      </c>
      <c r="BF107" s="151"/>
      <c r="BG107" s="151">
        <v>1.0</v>
      </c>
      <c r="BH107" s="151"/>
      <c r="BI107" s="152"/>
      <c r="BJ107" s="154"/>
      <c r="BK107" s="151"/>
      <c r="BL107" s="151"/>
      <c r="BM107" s="151"/>
      <c r="BN107" s="151"/>
      <c r="BO107" s="155"/>
      <c r="BP107" s="140"/>
      <c r="BQ107" s="156"/>
      <c r="BR107" s="157"/>
      <c r="BS107" s="158"/>
      <c r="BT107" s="153"/>
      <c r="BU107" s="140"/>
      <c r="BV107" s="140"/>
      <c r="BW107" s="140"/>
      <c r="BX107" s="140"/>
      <c r="BY107" s="140"/>
      <c r="BZ107" s="140"/>
      <c r="CA107" s="140"/>
      <c r="CB107" s="140"/>
      <c r="CC107" s="140"/>
      <c r="CD107" s="150"/>
      <c r="CE107" s="155"/>
      <c r="CF107" s="150"/>
      <c r="CG107" s="152"/>
      <c r="CH107" s="252"/>
      <c r="CI107" s="160"/>
      <c r="CJ107" s="159"/>
      <c r="CK107" s="160"/>
      <c r="CL107" s="159"/>
      <c r="CM107" s="160"/>
      <c r="CN107" s="159"/>
      <c r="CO107" s="160"/>
      <c r="CP107" s="159"/>
      <c r="CQ107" s="162"/>
      <c r="CR107" s="160"/>
      <c r="CS107" s="253">
        <f>SUM(IF(AU107&lt;0,ABS(AU107),0),IF(AZ107&lt;0,ABS(AZ107),0),ABS(CI107),ABS(CK107),ABS(CM107),ABS(CO107),ABS(CQ107),ABS(CR107))</f>
        <v>0</v>
      </c>
      <c r="CT107" s="254">
        <f>SUM(AU107,AV107,AW107,AX107/400,AY107,AZ107,BG107,BH107*0.5,BI107*0.25,BJ107,BK107,BL107,BM107,BN107,BO107,BP107,BR107/20,BS107/100,BT107/60,BU107,BV107,BW107,BX107/4,SUM(BY107:CC117)/3,CE107,CG107/3,CI107,CK107,CM107,CO107,CQ107,CR107)</f>
        <v>1</v>
      </c>
      <c r="CU107" s="255" t="str">
        <f t="shared" si="2"/>
        <v>ZPB</v>
      </c>
    </row>
    <row r="108" ht="60.0" customHeight="1">
      <c r="A108" s="65"/>
      <c r="C108" s="167">
        <v>2.0</v>
      </c>
      <c r="D108" s="168" t="s">
        <v>185</v>
      </c>
      <c r="E108" s="169"/>
      <c r="F108" s="170"/>
      <c r="G108" s="170"/>
      <c r="H108" s="170"/>
      <c r="I108" s="207"/>
      <c r="J108" s="170"/>
      <c r="K108" s="171"/>
      <c r="L108" s="171"/>
      <c r="M108" s="171"/>
      <c r="N108" s="171"/>
      <c r="O108" s="268">
        <f t="shared" si="20"/>
        <v>0</v>
      </c>
      <c r="Q108" s="173"/>
      <c r="R108" s="65"/>
      <c r="S108" s="173"/>
      <c r="T108" s="173"/>
      <c r="U108" s="166"/>
      <c r="V108" s="166"/>
      <c r="W108" s="65"/>
      <c r="X108" s="66"/>
      <c r="Y108" s="173"/>
      <c r="Z108" s="166"/>
      <c r="AA108" s="174"/>
      <c r="AB108" s="175"/>
      <c r="AC108" s="175"/>
      <c r="AD108" s="175"/>
      <c r="AE108" s="175"/>
      <c r="AF108" s="175"/>
      <c r="AG108" s="175"/>
      <c r="AH108" s="175"/>
      <c r="AI108" s="176"/>
      <c r="AJ108" s="177"/>
      <c r="AK108" s="178"/>
      <c r="AL108" s="178"/>
      <c r="AM108" s="178"/>
      <c r="AN108" s="178"/>
      <c r="AO108" s="179"/>
      <c r="AP108" s="64"/>
      <c r="AQ108" s="65"/>
      <c r="AR108" s="65"/>
      <c r="AS108" s="65"/>
      <c r="AT108" s="173"/>
      <c r="AU108" s="177"/>
      <c r="AV108" s="178"/>
      <c r="AW108" s="178"/>
      <c r="AX108" s="179"/>
      <c r="AZ108" s="166"/>
      <c r="BA108" s="177"/>
      <c r="BB108" s="178"/>
      <c r="BC108" s="178"/>
      <c r="BD108" s="178"/>
      <c r="BE108" s="178"/>
      <c r="BF108" s="178"/>
      <c r="BG108" s="178"/>
      <c r="BH108" s="178"/>
      <c r="BI108" s="179"/>
      <c r="BJ108" s="180"/>
      <c r="BK108" s="178"/>
      <c r="BL108" s="178"/>
      <c r="BM108" s="178"/>
      <c r="BN108" s="178"/>
      <c r="BO108" s="181"/>
      <c r="BP108" s="166"/>
      <c r="BQ108" s="177"/>
      <c r="BR108" s="178"/>
      <c r="BS108" s="179"/>
      <c r="BU108" s="166"/>
      <c r="BV108" s="166"/>
      <c r="BW108" s="166"/>
      <c r="BX108" s="166"/>
      <c r="BY108" s="166"/>
      <c r="BZ108" s="166"/>
      <c r="CA108" s="166"/>
      <c r="CB108" s="166"/>
      <c r="CC108" s="166"/>
      <c r="CD108" s="177"/>
      <c r="CE108" s="181"/>
      <c r="CF108" s="177"/>
      <c r="CG108" s="179"/>
      <c r="CH108" s="257"/>
      <c r="CI108" s="182"/>
      <c r="CJ108" s="177"/>
      <c r="CK108" s="182"/>
      <c r="CL108" s="177"/>
      <c r="CM108" s="182"/>
      <c r="CN108" s="177"/>
      <c r="CO108" s="182"/>
      <c r="CP108" s="177"/>
      <c r="CQ108" s="178"/>
      <c r="CR108" s="182"/>
      <c r="CS108" s="173"/>
      <c r="CT108" s="65"/>
      <c r="CU108" s="255" t="str">
        <f t="shared" si="2"/>
        <v>ZPB</v>
      </c>
    </row>
    <row r="109" ht="60.0" customHeight="1">
      <c r="A109" s="65"/>
      <c r="C109" s="167">
        <v>3.0</v>
      </c>
      <c r="D109" s="168" t="s">
        <v>185</v>
      </c>
      <c r="E109" s="169"/>
      <c r="F109" s="170"/>
      <c r="G109" s="170"/>
      <c r="H109" s="170"/>
      <c r="I109" s="207"/>
      <c r="J109" s="170"/>
      <c r="K109" s="171"/>
      <c r="L109" s="171"/>
      <c r="M109" s="171"/>
      <c r="N109" s="171"/>
      <c r="O109" s="268">
        <f t="shared" si="20"/>
        <v>0</v>
      </c>
      <c r="Q109" s="173"/>
      <c r="R109" s="65"/>
      <c r="S109" s="173"/>
      <c r="T109" s="173"/>
      <c r="U109" s="166"/>
      <c r="V109" s="166"/>
      <c r="W109" s="65"/>
      <c r="X109" s="66"/>
      <c r="Y109" s="173"/>
      <c r="Z109" s="166"/>
      <c r="AA109" s="174"/>
      <c r="AB109" s="175"/>
      <c r="AC109" s="175"/>
      <c r="AD109" s="175"/>
      <c r="AE109" s="175"/>
      <c r="AF109" s="175"/>
      <c r="AG109" s="175"/>
      <c r="AH109" s="175"/>
      <c r="AI109" s="176"/>
      <c r="AJ109" s="177"/>
      <c r="AK109" s="178"/>
      <c r="AL109" s="178"/>
      <c r="AM109" s="178"/>
      <c r="AN109" s="178"/>
      <c r="AO109" s="179"/>
      <c r="AP109" s="64"/>
      <c r="AQ109" s="65"/>
      <c r="AR109" s="65"/>
      <c r="AS109" s="65"/>
      <c r="AT109" s="173"/>
      <c r="AU109" s="177"/>
      <c r="AV109" s="178"/>
      <c r="AW109" s="178"/>
      <c r="AX109" s="179"/>
      <c r="AZ109" s="166"/>
      <c r="BA109" s="177"/>
      <c r="BB109" s="178"/>
      <c r="BC109" s="178"/>
      <c r="BD109" s="178"/>
      <c r="BE109" s="178"/>
      <c r="BF109" s="178"/>
      <c r="BG109" s="178"/>
      <c r="BH109" s="178"/>
      <c r="BI109" s="179"/>
      <c r="BJ109" s="180"/>
      <c r="BK109" s="178"/>
      <c r="BL109" s="178"/>
      <c r="BM109" s="178"/>
      <c r="BN109" s="178"/>
      <c r="BO109" s="181"/>
      <c r="BP109" s="166"/>
      <c r="BQ109" s="177"/>
      <c r="BR109" s="178"/>
      <c r="BS109" s="179"/>
      <c r="BU109" s="166"/>
      <c r="BV109" s="166"/>
      <c r="BW109" s="166"/>
      <c r="BX109" s="166"/>
      <c r="BY109" s="166"/>
      <c r="BZ109" s="166"/>
      <c r="CA109" s="166"/>
      <c r="CB109" s="166"/>
      <c r="CC109" s="166"/>
      <c r="CD109" s="177"/>
      <c r="CE109" s="181"/>
      <c r="CF109" s="177"/>
      <c r="CG109" s="179"/>
      <c r="CH109" s="257"/>
      <c r="CI109" s="182"/>
      <c r="CJ109" s="177"/>
      <c r="CK109" s="182"/>
      <c r="CL109" s="177"/>
      <c r="CM109" s="182"/>
      <c r="CN109" s="177"/>
      <c r="CO109" s="182"/>
      <c r="CP109" s="177"/>
      <c r="CQ109" s="178"/>
      <c r="CR109" s="182"/>
      <c r="CS109" s="173"/>
      <c r="CT109" s="65"/>
      <c r="CU109" s="255" t="str">
        <f t="shared" si="2"/>
        <v>ZPB</v>
      </c>
    </row>
    <row r="110" ht="60.0" customHeight="1">
      <c r="A110" s="65"/>
      <c r="C110" s="167">
        <v>4.0</v>
      </c>
      <c r="D110" s="168" t="s">
        <v>185</v>
      </c>
      <c r="E110" s="169"/>
      <c r="F110" s="170"/>
      <c r="G110" s="170"/>
      <c r="H110" s="170"/>
      <c r="I110" s="207"/>
      <c r="J110" s="170"/>
      <c r="K110" s="171"/>
      <c r="L110" s="171"/>
      <c r="M110" s="171"/>
      <c r="N110" s="171"/>
      <c r="O110" s="268">
        <f t="shared" si="20"/>
        <v>0</v>
      </c>
      <c r="Q110" s="173"/>
      <c r="R110" s="65"/>
      <c r="S110" s="173"/>
      <c r="T110" s="173"/>
      <c r="U110" s="166"/>
      <c r="V110" s="166"/>
      <c r="W110" s="65"/>
      <c r="X110" s="66"/>
      <c r="Y110" s="173"/>
      <c r="Z110" s="166"/>
      <c r="AA110" s="174"/>
      <c r="AB110" s="175"/>
      <c r="AC110" s="175"/>
      <c r="AD110" s="175"/>
      <c r="AE110" s="175"/>
      <c r="AF110" s="175"/>
      <c r="AG110" s="175"/>
      <c r="AH110" s="175"/>
      <c r="AI110" s="176"/>
      <c r="AJ110" s="177"/>
      <c r="AK110" s="178"/>
      <c r="AL110" s="178"/>
      <c r="AM110" s="178"/>
      <c r="AN110" s="178"/>
      <c r="AO110" s="179"/>
      <c r="AP110" s="64"/>
      <c r="AQ110" s="65"/>
      <c r="AR110" s="65"/>
      <c r="AS110" s="65"/>
      <c r="AT110" s="173"/>
      <c r="AU110" s="177"/>
      <c r="AV110" s="178"/>
      <c r="AW110" s="178"/>
      <c r="AX110" s="179"/>
      <c r="AZ110" s="166"/>
      <c r="BA110" s="177"/>
      <c r="BB110" s="178"/>
      <c r="BC110" s="178"/>
      <c r="BD110" s="178"/>
      <c r="BE110" s="178"/>
      <c r="BF110" s="178"/>
      <c r="BG110" s="178"/>
      <c r="BH110" s="178"/>
      <c r="BI110" s="179"/>
      <c r="BJ110" s="180"/>
      <c r="BK110" s="178"/>
      <c r="BL110" s="178"/>
      <c r="BM110" s="178"/>
      <c r="BN110" s="178"/>
      <c r="BO110" s="181"/>
      <c r="BP110" s="166"/>
      <c r="BQ110" s="177"/>
      <c r="BR110" s="178"/>
      <c r="BS110" s="179"/>
      <c r="BU110" s="166"/>
      <c r="BV110" s="166"/>
      <c r="BW110" s="166"/>
      <c r="BX110" s="166"/>
      <c r="BY110" s="166"/>
      <c r="BZ110" s="166"/>
      <c r="CA110" s="166"/>
      <c r="CB110" s="166"/>
      <c r="CC110" s="166"/>
      <c r="CD110" s="177"/>
      <c r="CE110" s="181"/>
      <c r="CF110" s="177"/>
      <c r="CG110" s="179"/>
      <c r="CH110" s="257"/>
      <c r="CI110" s="182"/>
      <c r="CJ110" s="177"/>
      <c r="CK110" s="182"/>
      <c r="CL110" s="177"/>
      <c r="CM110" s="182"/>
      <c r="CN110" s="177"/>
      <c r="CO110" s="182"/>
      <c r="CP110" s="177"/>
      <c r="CQ110" s="178"/>
      <c r="CR110" s="182"/>
      <c r="CS110" s="173"/>
      <c r="CT110" s="65"/>
      <c r="CU110" s="255" t="str">
        <f t="shared" si="2"/>
        <v>ZPB</v>
      </c>
    </row>
    <row r="111" ht="60.0" customHeight="1">
      <c r="A111" s="65"/>
      <c r="C111" s="167">
        <v>5.0</v>
      </c>
      <c r="D111" s="168" t="s">
        <v>185</v>
      </c>
      <c r="E111" s="169"/>
      <c r="F111" s="170"/>
      <c r="G111" s="170"/>
      <c r="H111" s="170"/>
      <c r="I111" s="207"/>
      <c r="J111" s="170"/>
      <c r="K111" s="171"/>
      <c r="L111" s="171"/>
      <c r="M111" s="171"/>
      <c r="N111" s="171"/>
      <c r="O111" s="268">
        <f t="shared" si="20"/>
        <v>0</v>
      </c>
      <c r="Q111" s="173"/>
      <c r="R111" s="65"/>
      <c r="S111" s="173"/>
      <c r="T111" s="173"/>
      <c r="U111" s="166"/>
      <c r="V111" s="166"/>
      <c r="W111" s="65"/>
      <c r="X111" s="66"/>
      <c r="Y111" s="173"/>
      <c r="Z111" s="166"/>
      <c r="AA111" s="174"/>
      <c r="AB111" s="175"/>
      <c r="AC111" s="175"/>
      <c r="AD111" s="175"/>
      <c r="AE111" s="175"/>
      <c r="AF111" s="175"/>
      <c r="AG111" s="175"/>
      <c r="AH111" s="175"/>
      <c r="AI111" s="176"/>
      <c r="AJ111" s="177"/>
      <c r="AK111" s="178"/>
      <c r="AL111" s="178"/>
      <c r="AM111" s="178"/>
      <c r="AN111" s="178"/>
      <c r="AO111" s="179"/>
      <c r="AP111" s="64"/>
      <c r="AQ111" s="65"/>
      <c r="AR111" s="65"/>
      <c r="AS111" s="65"/>
      <c r="AT111" s="173"/>
      <c r="AU111" s="177"/>
      <c r="AV111" s="178"/>
      <c r="AW111" s="178"/>
      <c r="AX111" s="179"/>
      <c r="AZ111" s="166"/>
      <c r="BA111" s="177"/>
      <c r="BB111" s="178"/>
      <c r="BC111" s="178"/>
      <c r="BD111" s="178"/>
      <c r="BE111" s="178"/>
      <c r="BF111" s="178"/>
      <c r="BG111" s="178"/>
      <c r="BH111" s="178"/>
      <c r="BI111" s="179"/>
      <c r="BJ111" s="180"/>
      <c r="BK111" s="178"/>
      <c r="BL111" s="178"/>
      <c r="BM111" s="178"/>
      <c r="BN111" s="178"/>
      <c r="BO111" s="181"/>
      <c r="BP111" s="166"/>
      <c r="BQ111" s="177"/>
      <c r="BR111" s="178"/>
      <c r="BS111" s="179"/>
      <c r="BU111" s="166"/>
      <c r="BV111" s="166"/>
      <c r="BW111" s="166"/>
      <c r="BX111" s="166"/>
      <c r="BY111" s="166"/>
      <c r="BZ111" s="166"/>
      <c r="CA111" s="166"/>
      <c r="CB111" s="166"/>
      <c r="CC111" s="166"/>
      <c r="CD111" s="177"/>
      <c r="CE111" s="181"/>
      <c r="CF111" s="177"/>
      <c r="CG111" s="179"/>
      <c r="CH111" s="257"/>
      <c r="CI111" s="182"/>
      <c r="CJ111" s="177"/>
      <c r="CK111" s="182"/>
      <c r="CL111" s="177"/>
      <c r="CM111" s="182"/>
      <c r="CN111" s="177"/>
      <c r="CO111" s="182"/>
      <c r="CP111" s="177"/>
      <c r="CQ111" s="178"/>
      <c r="CR111" s="182"/>
      <c r="CS111" s="173"/>
      <c r="CT111" s="65"/>
      <c r="CU111" s="255" t="str">
        <f t="shared" si="2"/>
        <v>ZPB</v>
      </c>
    </row>
    <row r="112" ht="60.0" customHeight="1">
      <c r="A112" s="65"/>
      <c r="C112" s="167">
        <v>6.0</v>
      </c>
      <c r="D112" s="168" t="s">
        <v>185</v>
      </c>
      <c r="E112" s="169"/>
      <c r="F112" s="170"/>
      <c r="G112" s="170"/>
      <c r="H112" s="170"/>
      <c r="I112" s="207"/>
      <c r="J112" s="170"/>
      <c r="K112" s="171"/>
      <c r="L112" s="171"/>
      <c r="M112" s="171"/>
      <c r="N112" s="171"/>
      <c r="O112" s="268">
        <f t="shared" si="20"/>
        <v>0</v>
      </c>
      <c r="Q112" s="173"/>
      <c r="R112" s="65"/>
      <c r="S112" s="173"/>
      <c r="T112" s="173"/>
      <c r="U112" s="166"/>
      <c r="V112" s="166"/>
      <c r="W112" s="65"/>
      <c r="X112" s="66"/>
      <c r="Y112" s="173"/>
      <c r="Z112" s="166"/>
      <c r="AA112" s="174"/>
      <c r="AB112" s="175"/>
      <c r="AC112" s="175"/>
      <c r="AD112" s="175"/>
      <c r="AE112" s="175"/>
      <c r="AF112" s="175"/>
      <c r="AG112" s="175"/>
      <c r="AH112" s="175"/>
      <c r="AI112" s="176"/>
      <c r="AJ112" s="177"/>
      <c r="AK112" s="178"/>
      <c r="AL112" s="178"/>
      <c r="AM112" s="178"/>
      <c r="AN112" s="178"/>
      <c r="AO112" s="179"/>
      <c r="AP112" s="64"/>
      <c r="AQ112" s="65"/>
      <c r="AR112" s="65"/>
      <c r="AS112" s="65"/>
      <c r="AT112" s="173"/>
      <c r="AU112" s="177"/>
      <c r="AV112" s="178"/>
      <c r="AW112" s="178"/>
      <c r="AX112" s="179"/>
      <c r="AZ112" s="166"/>
      <c r="BA112" s="177"/>
      <c r="BB112" s="178"/>
      <c r="BC112" s="178"/>
      <c r="BD112" s="178"/>
      <c r="BE112" s="178"/>
      <c r="BF112" s="178"/>
      <c r="BG112" s="178"/>
      <c r="BH112" s="178"/>
      <c r="BI112" s="179"/>
      <c r="BJ112" s="180"/>
      <c r="BK112" s="178"/>
      <c r="BL112" s="178"/>
      <c r="BM112" s="178"/>
      <c r="BN112" s="178"/>
      <c r="BO112" s="181"/>
      <c r="BP112" s="166"/>
      <c r="BQ112" s="177"/>
      <c r="BR112" s="178"/>
      <c r="BS112" s="179"/>
      <c r="BU112" s="166"/>
      <c r="BV112" s="166"/>
      <c r="BW112" s="166"/>
      <c r="BX112" s="166"/>
      <c r="BY112" s="166"/>
      <c r="BZ112" s="166"/>
      <c r="CA112" s="166"/>
      <c r="CB112" s="166"/>
      <c r="CC112" s="166"/>
      <c r="CD112" s="177"/>
      <c r="CE112" s="181"/>
      <c r="CF112" s="177"/>
      <c r="CG112" s="179"/>
      <c r="CH112" s="257"/>
      <c r="CI112" s="182"/>
      <c r="CJ112" s="177"/>
      <c r="CK112" s="182"/>
      <c r="CL112" s="177"/>
      <c r="CM112" s="182"/>
      <c r="CN112" s="177"/>
      <c r="CO112" s="182"/>
      <c r="CP112" s="177"/>
      <c r="CQ112" s="178"/>
      <c r="CR112" s="182"/>
      <c r="CS112" s="173"/>
      <c r="CT112" s="65"/>
      <c r="CU112" s="255" t="str">
        <f t="shared" si="2"/>
        <v>ZPB</v>
      </c>
    </row>
    <row r="113" ht="60.0" customHeight="1">
      <c r="A113" s="65"/>
      <c r="C113" s="167">
        <v>7.0</v>
      </c>
      <c r="D113" s="168" t="s">
        <v>185</v>
      </c>
      <c r="E113" s="169"/>
      <c r="F113" s="170"/>
      <c r="G113" s="170"/>
      <c r="H113" s="170"/>
      <c r="I113" s="207"/>
      <c r="J113" s="170"/>
      <c r="K113" s="171"/>
      <c r="L113" s="171"/>
      <c r="M113" s="171"/>
      <c r="N113" s="171"/>
      <c r="O113" s="268">
        <f t="shared" ref="O113:O116" si="21">IF(AND(M113&gt;=20,M113&lt;&gt;"m",RIGHT(K113,3)="Lec"),1,IF(AND(M113&gt;=20,M113&lt;&gt;"m",OR(RIGHT(K113,3)="Lab",RIGHT(K113,3)="Tut")),0.5,IF(AND(M113&gt;=20,M113&lt;&gt;"m",RIGHT(K113,2)="TL"),0.75,0)))</f>
        <v>0</v>
      </c>
      <c r="Q113" s="173"/>
      <c r="R113" s="65"/>
      <c r="S113" s="173"/>
      <c r="T113" s="173"/>
      <c r="U113" s="166"/>
      <c r="V113" s="166"/>
      <c r="W113" s="65"/>
      <c r="X113" s="66"/>
      <c r="Y113" s="173"/>
      <c r="Z113" s="166"/>
      <c r="AA113" s="174"/>
      <c r="AB113" s="175"/>
      <c r="AC113" s="175"/>
      <c r="AD113" s="175"/>
      <c r="AE113" s="175"/>
      <c r="AF113" s="175"/>
      <c r="AG113" s="175"/>
      <c r="AH113" s="175"/>
      <c r="AI113" s="176"/>
      <c r="AJ113" s="177"/>
      <c r="AK113" s="178"/>
      <c r="AL113" s="178"/>
      <c r="AM113" s="178"/>
      <c r="AN113" s="178"/>
      <c r="AO113" s="179"/>
      <c r="AP113" s="64"/>
      <c r="AQ113" s="65"/>
      <c r="AR113" s="65"/>
      <c r="AS113" s="65"/>
      <c r="AT113" s="173"/>
      <c r="AU113" s="177"/>
      <c r="AV113" s="178"/>
      <c r="AW113" s="178"/>
      <c r="AX113" s="179"/>
      <c r="AZ113" s="166"/>
      <c r="BA113" s="177"/>
      <c r="BB113" s="178"/>
      <c r="BC113" s="178"/>
      <c r="BD113" s="178"/>
      <c r="BE113" s="178"/>
      <c r="BF113" s="178"/>
      <c r="BG113" s="178"/>
      <c r="BH113" s="178"/>
      <c r="BI113" s="179"/>
      <c r="BJ113" s="180"/>
      <c r="BK113" s="178"/>
      <c r="BL113" s="178"/>
      <c r="BM113" s="178"/>
      <c r="BN113" s="178"/>
      <c r="BO113" s="181"/>
      <c r="BP113" s="166"/>
      <c r="BQ113" s="177"/>
      <c r="BR113" s="178"/>
      <c r="BS113" s="179"/>
      <c r="BU113" s="166"/>
      <c r="BV113" s="166"/>
      <c r="BW113" s="166"/>
      <c r="BX113" s="166"/>
      <c r="BY113" s="166"/>
      <c r="BZ113" s="166"/>
      <c r="CA113" s="166"/>
      <c r="CB113" s="166"/>
      <c r="CC113" s="166"/>
      <c r="CD113" s="177"/>
      <c r="CE113" s="181"/>
      <c r="CF113" s="177"/>
      <c r="CG113" s="179"/>
      <c r="CH113" s="257"/>
      <c r="CI113" s="182"/>
      <c r="CJ113" s="177"/>
      <c r="CK113" s="182"/>
      <c r="CL113" s="177"/>
      <c r="CM113" s="182"/>
      <c r="CN113" s="177"/>
      <c r="CO113" s="182"/>
      <c r="CP113" s="177"/>
      <c r="CQ113" s="178"/>
      <c r="CR113" s="182"/>
      <c r="CS113" s="173"/>
      <c r="CT113" s="65"/>
      <c r="CU113" s="255" t="str">
        <f t="shared" si="2"/>
        <v>ZPB</v>
      </c>
    </row>
    <row r="114" ht="60.0" customHeight="1">
      <c r="A114" s="65"/>
      <c r="C114" s="167">
        <v>8.0</v>
      </c>
      <c r="D114" s="168" t="s">
        <v>185</v>
      </c>
      <c r="E114" s="169"/>
      <c r="F114" s="170"/>
      <c r="G114" s="170"/>
      <c r="H114" s="170"/>
      <c r="I114" s="207"/>
      <c r="J114" s="170"/>
      <c r="K114" s="171"/>
      <c r="L114" s="171"/>
      <c r="M114" s="171"/>
      <c r="N114" s="171"/>
      <c r="O114" s="268">
        <f t="shared" si="21"/>
        <v>0</v>
      </c>
      <c r="Q114" s="173"/>
      <c r="R114" s="65"/>
      <c r="S114" s="173"/>
      <c r="T114" s="173"/>
      <c r="U114" s="166"/>
      <c r="V114" s="166"/>
      <c r="W114" s="65"/>
      <c r="X114" s="66"/>
      <c r="Y114" s="173"/>
      <c r="Z114" s="166"/>
      <c r="AA114" s="174"/>
      <c r="AB114" s="175"/>
      <c r="AC114" s="175"/>
      <c r="AD114" s="175"/>
      <c r="AE114" s="175"/>
      <c r="AF114" s="175"/>
      <c r="AG114" s="175"/>
      <c r="AH114" s="175"/>
      <c r="AI114" s="176"/>
      <c r="AJ114" s="177"/>
      <c r="AK114" s="178"/>
      <c r="AL114" s="178"/>
      <c r="AM114" s="178"/>
      <c r="AN114" s="178"/>
      <c r="AO114" s="179"/>
      <c r="AP114" s="64"/>
      <c r="AQ114" s="65"/>
      <c r="AR114" s="65"/>
      <c r="AS114" s="65"/>
      <c r="AT114" s="173"/>
      <c r="AU114" s="177"/>
      <c r="AV114" s="178"/>
      <c r="AW114" s="178"/>
      <c r="AX114" s="179"/>
      <c r="AZ114" s="166"/>
      <c r="BA114" s="177"/>
      <c r="BB114" s="178"/>
      <c r="BC114" s="178"/>
      <c r="BD114" s="178"/>
      <c r="BE114" s="178"/>
      <c r="BF114" s="178"/>
      <c r="BG114" s="178"/>
      <c r="BH114" s="178"/>
      <c r="BI114" s="179"/>
      <c r="BJ114" s="180"/>
      <c r="BK114" s="178"/>
      <c r="BL114" s="178"/>
      <c r="BM114" s="178"/>
      <c r="BN114" s="178"/>
      <c r="BO114" s="181"/>
      <c r="BP114" s="166"/>
      <c r="BQ114" s="177"/>
      <c r="BR114" s="178"/>
      <c r="BS114" s="179"/>
      <c r="BU114" s="166"/>
      <c r="BV114" s="166"/>
      <c r="BW114" s="166"/>
      <c r="BX114" s="166"/>
      <c r="BY114" s="166"/>
      <c r="BZ114" s="166"/>
      <c r="CA114" s="166"/>
      <c r="CB114" s="166"/>
      <c r="CC114" s="166"/>
      <c r="CD114" s="177"/>
      <c r="CE114" s="181"/>
      <c r="CF114" s="177"/>
      <c r="CG114" s="179"/>
      <c r="CH114" s="257"/>
      <c r="CI114" s="182"/>
      <c r="CJ114" s="177"/>
      <c r="CK114" s="182"/>
      <c r="CL114" s="177"/>
      <c r="CM114" s="182"/>
      <c r="CN114" s="177"/>
      <c r="CO114" s="182"/>
      <c r="CP114" s="177"/>
      <c r="CQ114" s="178"/>
      <c r="CR114" s="182"/>
      <c r="CS114" s="173"/>
      <c r="CT114" s="65"/>
      <c r="CU114" s="255" t="str">
        <f t="shared" si="2"/>
        <v>ZPB</v>
      </c>
    </row>
    <row r="115" ht="60.0" customHeight="1">
      <c r="A115" s="65"/>
      <c r="C115" s="167">
        <v>9.0</v>
      </c>
      <c r="D115" s="168" t="s">
        <v>185</v>
      </c>
      <c r="E115" s="169"/>
      <c r="F115" s="170"/>
      <c r="G115" s="170"/>
      <c r="H115" s="170"/>
      <c r="I115" s="207"/>
      <c r="J115" s="170"/>
      <c r="K115" s="171"/>
      <c r="L115" s="171"/>
      <c r="M115" s="171"/>
      <c r="N115" s="171"/>
      <c r="O115" s="268">
        <f t="shared" si="21"/>
        <v>0</v>
      </c>
      <c r="Q115" s="173"/>
      <c r="R115" s="65"/>
      <c r="S115" s="173"/>
      <c r="T115" s="173"/>
      <c r="U115" s="166"/>
      <c r="V115" s="166"/>
      <c r="W115" s="65"/>
      <c r="X115" s="66"/>
      <c r="Y115" s="173"/>
      <c r="Z115" s="166"/>
      <c r="AA115" s="174"/>
      <c r="AB115" s="175"/>
      <c r="AC115" s="175"/>
      <c r="AD115" s="175"/>
      <c r="AE115" s="175"/>
      <c r="AF115" s="175"/>
      <c r="AG115" s="175"/>
      <c r="AH115" s="175"/>
      <c r="AI115" s="176"/>
      <c r="AJ115" s="177"/>
      <c r="AK115" s="178"/>
      <c r="AL115" s="178"/>
      <c r="AM115" s="178"/>
      <c r="AN115" s="178"/>
      <c r="AO115" s="179"/>
      <c r="AP115" s="64"/>
      <c r="AQ115" s="65"/>
      <c r="AR115" s="65"/>
      <c r="AS115" s="65"/>
      <c r="AT115" s="173"/>
      <c r="AU115" s="177"/>
      <c r="AV115" s="178"/>
      <c r="AW115" s="178"/>
      <c r="AX115" s="179"/>
      <c r="AZ115" s="166"/>
      <c r="BA115" s="177"/>
      <c r="BB115" s="178"/>
      <c r="BC115" s="178"/>
      <c r="BD115" s="178"/>
      <c r="BE115" s="178"/>
      <c r="BF115" s="178"/>
      <c r="BG115" s="178"/>
      <c r="BH115" s="178"/>
      <c r="BI115" s="179"/>
      <c r="BJ115" s="180"/>
      <c r="BK115" s="178"/>
      <c r="BL115" s="178"/>
      <c r="BM115" s="178"/>
      <c r="BN115" s="178"/>
      <c r="BO115" s="181"/>
      <c r="BP115" s="166"/>
      <c r="BQ115" s="177"/>
      <c r="BR115" s="178"/>
      <c r="BS115" s="179"/>
      <c r="BU115" s="166"/>
      <c r="BV115" s="166"/>
      <c r="BW115" s="166"/>
      <c r="BX115" s="166"/>
      <c r="BY115" s="166"/>
      <c r="BZ115" s="166"/>
      <c r="CA115" s="166"/>
      <c r="CB115" s="166"/>
      <c r="CC115" s="166"/>
      <c r="CD115" s="177"/>
      <c r="CE115" s="181"/>
      <c r="CF115" s="177"/>
      <c r="CG115" s="179"/>
      <c r="CH115" s="257"/>
      <c r="CI115" s="182"/>
      <c r="CJ115" s="177"/>
      <c r="CK115" s="182"/>
      <c r="CL115" s="177"/>
      <c r="CM115" s="182"/>
      <c r="CN115" s="177"/>
      <c r="CO115" s="182"/>
      <c r="CP115" s="177"/>
      <c r="CQ115" s="178"/>
      <c r="CR115" s="182"/>
      <c r="CS115" s="173"/>
      <c r="CT115" s="65"/>
      <c r="CU115" s="255" t="str">
        <f t="shared" si="2"/>
        <v>ZPB</v>
      </c>
    </row>
    <row r="116" ht="60.0" customHeight="1">
      <c r="A116" s="65"/>
      <c r="C116" s="167">
        <v>10.0</v>
      </c>
      <c r="D116" s="168" t="s">
        <v>185</v>
      </c>
      <c r="E116" s="169"/>
      <c r="F116" s="170"/>
      <c r="G116" s="170"/>
      <c r="H116" s="170"/>
      <c r="I116" s="207"/>
      <c r="J116" s="170"/>
      <c r="K116" s="171"/>
      <c r="L116" s="171"/>
      <c r="M116" s="171"/>
      <c r="N116" s="171"/>
      <c r="O116" s="268">
        <f t="shared" si="21"/>
        <v>0</v>
      </c>
      <c r="Q116" s="173"/>
      <c r="R116" s="65"/>
      <c r="S116" s="173"/>
      <c r="T116" s="173"/>
      <c r="U116" s="166"/>
      <c r="V116" s="166"/>
      <c r="W116" s="65"/>
      <c r="X116" s="66"/>
      <c r="Y116" s="173"/>
      <c r="Z116" s="166"/>
      <c r="AA116" s="174"/>
      <c r="AB116" s="175"/>
      <c r="AC116" s="175"/>
      <c r="AD116" s="175"/>
      <c r="AE116" s="175"/>
      <c r="AF116" s="175"/>
      <c r="AG116" s="175"/>
      <c r="AH116" s="175"/>
      <c r="AI116" s="176"/>
      <c r="AJ116" s="177"/>
      <c r="AK116" s="178"/>
      <c r="AL116" s="178"/>
      <c r="AM116" s="178"/>
      <c r="AN116" s="178"/>
      <c r="AO116" s="179"/>
      <c r="AP116" s="64"/>
      <c r="AQ116" s="65"/>
      <c r="AR116" s="65"/>
      <c r="AS116" s="65"/>
      <c r="AT116" s="173"/>
      <c r="AU116" s="177"/>
      <c r="AV116" s="178"/>
      <c r="AW116" s="178"/>
      <c r="AX116" s="179"/>
      <c r="AZ116" s="166"/>
      <c r="BA116" s="177"/>
      <c r="BB116" s="178"/>
      <c r="BC116" s="178"/>
      <c r="BD116" s="178"/>
      <c r="BE116" s="178"/>
      <c r="BF116" s="178"/>
      <c r="BG116" s="178"/>
      <c r="BH116" s="178"/>
      <c r="BI116" s="179"/>
      <c r="BJ116" s="180"/>
      <c r="BK116" s="178"/>
      <c r="BL116" s="178"/>
      <c r="BM116" s="178"/>
      <c r="BN116" s="178"/>
      <c r="BO116" s="181"/>
      <c r="BP116" s="166"/>
      <c r="BQ116" s="177"/>
      <c r="BR116" s="178"/>
      <c r="BS116" s="179"/>
      <c r="BU116" s="166"/>
      <c r="BV116" s="166"/>
      <c r="BW116" s="166"/>
      <c r="BX116" s="166"/>
      <c r="BY116" s="166"/>
      <c r="BZ116" s="166"/>
      <c r="CA116" s="166"/>
      <c r="CB116" s="166"/>
      <c r="CC116" s="166"/>
      <c r="CD116" s="177"/>
      <c r="CE116" s="181"/>
      <c r="CF116" s="177"/>
      <c r="CG116" s="179"/>
      <c r="CH116" s="257"/>
      <c r="CI116" s="182"/>
      <c r="CJ116" s="177"/>
      <c r="CK116" s="182"/>
      <c r="CL116" s="177"/>
      <c r="CM116" s="182"/>
      <c r="CN116" s="177"/>
      <c r="CO116" s="182"/>
      <c r="CP116" s="177"/>
      <c r="CQ116" s="178"/>
      <c r="CR116" s="182"/>
      <c r="CS116" s="173"/>
      <c r="CT116" s="65"/>
      <c r="CU116" s="255" t="str">
        <f t="shared" si="2"/>
        <v>ZPB</v>
      </c>
    </row>
    <row r="117" ht="60.0" customHeight="1">
      <c r="A117" s="89"/>
      <c r="C117" s="183">
        <v>11.0</v>
      </c>
      <c r="D117" s="210" t="s">
        <v>185</v>
      </c>
      <c r="E117" s="185"/>
      <c r="F117" s="186"/>
      <c r="G117" s="186"/>
      <c r="H117" s="186"/>
      <c r="I117" s="212"/>
      <c r="J117" s="186"/>
      <c r="K117" s="187"/>
      <c r="L117" s="187"/>
      <c r="M117" s="187"/>
      <c r="N117" s="187"/>
      <c r="O117" s="269">
        <f t="shared" ref="O117:O123" si="22">IF(AND(M117&lt;&gt;0,M117&lt;&gt;"m",M117&lt;&gt;"",RIGHT(K117,3)="Lec"),1,IF(AND(M117&lt;&gt;0,M117&lt;&gt;"m",M117&lt;&gt;"",OR(RIGHT(K117,3)="Lab",RIGHT(K117,3)="Tut")),0.5,IF(AND(M117&lt;&gt;0,M117&lt;&gt;"m",M117&lt;&gt;"",RIGHT(K117,2)="TL"),0.75,0)))</f>
        <v>0</v>
      </c>
      <c r="P117" s="6"/>
      <c r="Q117" s="69"/>
      <c r="R117" s="89"/>
      <c r="S117" s="69"/>
      <c r="T117" s="69"/>
      <c r="U117" s="63"/>
      <c r="V117" s="63"/>
      <c r="W117" s="89"/>
      <c r="X117" s="68"/>
      <c r="Y117" s="69"/>
      <c r="Z117" s="63"/>
      <c r="AA117" s="189"/>
      <c r="AB117" s="190"/>
      <c r="AC117" s="190"/>
      <c r="AD117" s="190"/>
      <c r="AE117" s="190"/>
      <c r="AF117" s="190"/>
      <c r="AG117" s="190"/>
      <c r="AH117" s="190"/>
      <c r="AI117" s="191"/>
      <c r="AJ117" s="192"/>
      <c r="AK117" s="193"/>
      <c r="AL117" s="193"/>
      <c r="AM117" s="193"/>
      <c r="AN117" s="193"/>
      <c r="AO117" s="194"/>
      <c r="AP117" s="103"/>
      <c r="AQ117" s="89"/>
      <c r="AR117" s="89"/>
      <c r="AS117" s="89"/>
      <c r="AT117" s="69"/>
      <c r="AU117" s="192"/>
      <c r="AV117" s="193"/>
      <c r="AW117" s="193"/>
      <c r="AX117" s="194"/>
      <c r="AY117" s="6"/>
      <c r="AZ117" s="63"/>
      <c r="BA117" s="192"/>
      <c r="BB117" s="193"/>
      <c r="BC117" s="193"/>
      <c r="BD117" s="193"/>
      <c r="BE117" s="193"/>
      <c r="BF117" s="193"/>
      <c r="BG117" s="193"/>
      <c r="BH117" s="193"/>
      <c r="BI117" s="194"/>
      <c r="BJ117" s="195"/>
      <c r="BK117" s="193"/>
      <c r="BL117" s="193"/>
      <c r="BM117" s="193"/>
      <c r="BN117" s="193"/>
      <c r="BO117" s="196"/>
      <c r="BP117" s="63"/>
      <c r="BQ117" s="192"/>
      <c r="BR117" s="193"/>
      <c r="BS117" s="194"/>
      <c r="BT117" s="6"/>
      <c r="BU117" s="63"/>
      <c r="BV117" s="63"/>
      <c r="BW117" s="63"/>
      <c r="BX117" s="63"/>
      <c r="BY117" s="63"/>
      <c r="BZ117" s="63"/>
      <c r="CA117" s="63"/>
      <c r="CB117" s="63"/>
      <c r="CC117" s="63"/>
      <c r="CD117" s="192"/>
      <c r="CE117" s="196"/>
      <c r="CF117" s="192"/>
      <c r="CG117" s="194"/>
      <c r="CH117" s="259"/>
      <c r="CI117" s="197"/>
      <c r="CJ117" s="192"/>
      <c r="CK117" s="197"/>
      <c r="CL117" s="192"/>
      <c r="CM117" s="197"/>
      <c r="CN117" s="192"/>
      <c r="CO117" s="197"/>
      <c r="CP117" s="192"/>
      <c r="CQ117" s="193"/>
      <c r="CR117" s="197"/>
      <c r="CS117" s="69"/>
      <c r="CT117" s="89"/>
      <c r="CU117" s="255" t="str">
        <f t="shared" si="2"/>
        <v>ZPB</v>
      </c>
    </row>
    <row r="118" ht="56.25" customHeight="1">
      <c r="A118" s="125">
        <v>11.0</v>
      </c>
      <c r="B118" s="199" t="s">
        <v>194</v>
      </c>
      <c r="C118" s="127">
        <v>1.0</v>
      </c>
      <c r="D118" s="168" t="s">
        <v>195</v>
      </c>
      <c r="E118" s="129"/>
      <c r="F118" s="130"/>
      <c r="G118" s="130"/>
      <c r="H118" s="130"/>
      <c r="I118" s="201"/>
      <c r="J118" s="130"/>
      <c r="K118" s="131"/>
      <c r="L118" s="131"/>
      <c r="M118" s="131"/>
      <c r="N118" s="131"/>
      <c r="O118" s="267">
        <f t="shared" si="22"/>
        <v>0</v>
      </c>
      <c r="P118" s="251">
        <f>COUNTIF(K118:K128,"TL")*0.75+COUNTIF(K118:K128,"Lec")*1+COUNTIF(K118:K128,"Lab")*0.5</f>
        <v>0</v>
      </c>
      <c r="Q118" s="134">
        <f>SUM((IF(LEFT(K118,1)="E",O118,0)),(IF(LEFT(K119,1)="E",O119,0)),(IF(LEFT(K120,1)="E",O120,0)),(IF(LEFT(K121,1)="E",O121,0)),(IF(LEFT(K122,1)="E",O122,0)),(IF(LEFT(K123,1)="E",O123,0)),(IF(LEFT(K124,1)="E",O124,0)),(IF(LEFT(K125,1)="E",O125,0)),(IF(LEFT(K126,1)="E",O126,0)),(IF(LEFT(K127,1)="E",O127,0)),(IF(LEFT(K128,1)="E",O128,0)))</f>
        <v>0</v>
      </c>
      <c r="R118" s="135">
        <f>SUM(IF(M124&lt;20,IF(K124="Plec",-1,IF(K124="PTL",-0.75,IF(K124="Plab",-0.5,0))),0),IF(M125&lt;20,IF(K125="Plec",-1,IF(K125="PTL",-0.75,IF(K125="Plab",-0.5,0))),0),IF(M126&lt;20,IF(K126="Plec",-1,IF(K126="PTL",-0.75,IF(K126="Plab",-0.5,0))),0),IF(M127&lt;20,IF(K127="Plec",-1,IF(K127="PTL",-0.75,IF(K127="Plab",-0.5,0))),0))</f>
        <v>0</v>
      </c>
      <c r="S118" s="134">
        <f>SUM(P118:R128)</f>
        <v>0</v>
      </c>
      <c r="T118" s="136">
        <f>SUM(IF(M118="M",IF(OR(K118="lec",K118="plec",K118="slec"),1,IF(OR(K118="lab",K118="plab",K118="slab",K118="tut",K118="ptut",K118="stut"),0.5,IF(OR(K118="TL",K118="pTL",K118="STL"),0.75,0))),0),IF(M119="M",IF(OR(K119="lec",K119="plec",K119="slec"),1,IF(OR(K119="lab",K119="plab",K119="slab",K119="tut",K119="ptut",K119="stut"),0.5,IF(OR(K119="TL",K119="pTL",K119="STL"),0.75,0))),0),IF(M120="M",IF(OR(K120="lec",K120="plec",K120="slec"),1,IF(OR(K120="lab",K120="plab",K120="slab",K120="tut",K120="ptut",K120="stut"),0.5,IF(OR(K120="TL",K120="pTL",K120="STL"),0.75,0))),0),IF(M121="M",IF(OR(K121="lec",K121="plec",K121="slec"),1,IF(OR(K121="lab",K121="plab",K121="slab",K121="tut",K121="ptut",K121="stut"),0.5,IF(OR(K121="TL",K121="pTL",K121="STL"),0.75,0))),0),IF(M122="M",IF(OR(K122="lec",K122="plec",K122="slec"),1,IF(OR(K122="lab",K122="plab",K122="slab",K122="tut",K122="ptut",K122="stut"),0.5,IF(OR(K122="TL",K122="pTL",K122="STL"),0.75,0))),0),IF(M123="M",IF(OR(K123="lec",K123="plec",K123="slec"),1,IF(OR(K123="lab",K123="plab",K123="slab",K123="tut",K123="ptut",K123="stut"),0.5,IF(OR(K123="TL",K123="pTL",K123="STL"),0.75,0))),0),IF(M124="M",IF(OR(K124="lec",K124="plec",K124="slec"),1,IF(OR(K124="lab",K124="plab",K124="slab",K124="tut",K124="ptut",K124="stut"),0.5,IF(OR(K124="TL",K124="pTL",K124="STL"),0.75,0))),0),IF(M125="M",IF(OR(K125="lec",K125="plec",K125="slec"),1,IF(OR(K125="lab",K125="plab",K125="slab",K125="tut",K125="ptut",K125="stut"),0.5,IF(OR(K125="TL",K125="pTL",K125="STL"),0.75,0))),0),IF(M126="M",IF(OR(K126="lec",K126="plec",K126="slec"),1,IF(OR(K126="lab",K126="plab",K126="slab",K126="tut",K126="ptut",K126="stut"),0.5,IF(OR(K126="TL",K126="pTL",K126="STL"),0.75,0))),0),IF(M127="M",IF(OR(K127="lec",K127="plec",K127="slec"),1,IF(OR(K127="lab",K127="plab",K127="slab",K127="tut",K127="ptut",K127="stut"),0.5,IF(OR(K127="TL",K127="pTL",K127="STL"),0.75,0))),0),IF(M128="M",IF(OR(K128="lec",K128="plec",K128="slec"),1,IF(OR(K128="lab",K128="plab",K128="slab",K128="tut",K128="ptut",K128="stut"),0.5,IF(OR(K128="TL",K128="pTL",K128="STL"),0.75,0))),0))</f>
        <v>0</v>
      </c>
      <c r="U118" s="137"/>
      <c r="V118" s="133"/>
      <c r="W118" s="138"/>
      <c r="X118" s="139">
        <f>S118-(T118+U118+V118+W118)</f>
        <v>0</v>
      </c>
      <c r="Y118" s="134" t="str">
        <f>CONCATENATE(SUM(O118:O128),"(",SUM(O118:O128)-X118,")")</f>
        <v>0(0)</v>
      </c>
      <c r="Z118" s="140"/>
      <c r="AA118" s="141"/>
      <c r="AB118" s="142"/>
      <c r="AC118" s="142"/>
      <c r="AD118" s="142"/>
      <c r="AE118" s="142"/>
      <c r="AF118" s="142"/>
      <c r="AG118" s="142"/>
      <c r="AH118" s="142"/>
      <c r="AI118" s="143"/>
      <c r="AJ118" s="144"/>
      <c r="AK118" s="145"/>
      <c r="AL118" s="145"/>
      <c r="AM118" s="145"/>
      <c r="AN118" s="145"/>
      <c r="AO118" s="146"/>
      <c r="AP118" s="147">
        <f>SUM(SUM(O118:O128),SUM(AI118:AI128)/2,AM118)</f>
        <v>0</v>
      </c>
      <c r="AQ118" s="148"/>
      <c r="AR118" s="148">
        <f>AP118*AQ118</f>
        <v>0</v>
      </c>
      <c r="AS118" s="148">
        <f>CT118</f>
        <v>0</v>
      </c>
      <c r="AT118" s="149">
        <f>AR118*0.75+AS118*0.25</f>
        <v>0</v>
      </c>
      <c r="AU118" s="150"/>
      <c r="AV118" s="151"/>
      <c r="AW118" s="151"/>
      <c r="AX118" s="152"/>
      <c r="AY118" s="153"/>
      <c r="AZ118" s="140"/>
      <c r="BA118" s="150"/>
      <c r="BB118" s="151"/>
      <c r="BC118" s="151"/>
      <c r="BD118" s="151"/>
      <c r="BE118" s="151"/>
      <c r="BF118" s="151"/>
      <c r="BG118" s="151"/>
      <c r="BH118" s="151"/>
      <c r="BI118" s="152"/>
      <c r="BJ118" s="154"/>
      <c r="BK118" s="151"/>
      <c r="BL118" s="151"/>
      <c r="BM118" s="151"/>
      <c r="BN118" s="151"/>
      <c r="BO118" s="155"/>
      <c r="BP118" s="140"/>
      <c r="BQ118" s="156"/>
      <c r="BR118" s="157"/>
      <c r="BS118" s="158"/>
      <c r="BT118" s="153"/>
      <c r="BU118" s="140"/>
      <c r="BV118" s="140"/>
      <c r="BW118" s="140"/>
      <c r="BX118" s="140"/>
      <c r="BY118" s="140"/>
      <c r="BZ118" s="140"/>
      <c r="CA118" s="140"/>
      <c r="CB118" s="140"/>
      <c r="CC118" s="140"/>
      <c r="CD118" s="150"/>
      <c r="CE118" s="155"/>
      <c r="CF118" s="150"/>
      <c r="CG118" s="152"/>
      <c r="CH118" s="252"/>
      <c r="CI118" s="160"/>
      <c r="CJ118" s="159"/>
      <c r="CK118" s="160"/>
      <c r="CL118" s="159"/>
      <c r="CM118" s="160"/>
      <c r="CN118" s="159"/>
      <c r="CO118" s="160"/>
      <c r="CP118" s="159"/>
      <c r="CQ118" s="162"/>
      <c r="CR118" s="160"/>
      <c r="CS118" s="253">
        <f>SUM(IF(AU118&lt;0,ABS(AU118),0),IF(AZ118&lt;0,ABS(AZ118),0),ABS(CI118),ABS(CK118),ABS(CM118),ABS(CO118),ABS(CQ118),ABS(CR118))</f>
        <v>0</v>
      </c>
      <c r="CT118" s="254">
        <f>SUM(AU118,AV118,AW118,AX118/400,AY118,AZ118,BG118,BH118*0.5,BI118*0.25,BJ118,BK118,BL118,BM118,BN118,BO118,BP118,BR118/20,BS118/100,BT118/60,BU118,BV118,BW118,BX118/4,SUM(BY118:CC128)/3,CE118,CG118/3,CI118,CK118,CM118,CO118,CQ118,CR118)</f>
        <v>0</v>
      </c>
      <c r="CU118" s="255" t="str">
        <f t="shared" si="2"/>
        <v>DPS</v>
      </c>
    </row>
    <row r="119" ht="60.0" customHeight="1">
      <c r="A119" s="65"/>
      <c r="C119" s="167">
        <v>2.0</v>
      </c>
      <c r="D119" s="168" t="s">
        <v>195</v>
      </c>
      <c r="E119" s="169"/>
      <c r="F119" s="170"/>
      <c r="G119" s="170"/>
      <c r="H119" s="170"/>
      <c r="I119" s="207"/>
      <c r="J119" s="170"/>
      <c r="K119" s="171"/>
      <c r="L119" s="171"/>
      <c r="M119" s="171"/>
      <c r="N119" s="171"/>
      <c r="O119" s="268">
        <f t="shared" si="22"/>
        <v>0</v>
      </c>
      <c r="Q119" s="173"/>
      <c r="R119" s="65"/>
      <c r="S119" s="173"/>
      <c r="T119" s="173"/>
      <c r="U119" s="166"/>
      <c r="V119" s="166"/>
      <c r="W119" s="65"/>
      <c r="X119" s="66"/>
      <c r="Y119" s="173"/>
      <c r="Z119" s="166"/>
      <c r="AA119" s="174"/>
      <c r="AB119" s="175"/>
      <c r="AC119" s="175"/>
      <c r="AD119" s="175"/>
      <c r="AE119" s="175"/>
      <c r="AF119" s="175"/>
      <c r="AG119" s="175"/>
      <c r="AH119" s="175"/>
      <c r="AI119" s="176"/>
      <c r="AJ119" s="177"/>
      <c r="AK119" s="178"/>
      <c r="AL119" s="178"/>
      <c r="AM119" s="178"/>
      <c r="AN119" s="178"/>
      <c r="AO119" s="179"/>
      <c r="AP119" s="64"/>
      <c r="AQ119" s="65"/>
      <c r="AR119" s="65"/>
      <c r="AS119" s="65"/>
      <c r="AT119" s="173"/>
      <c r="AU119" s="177"/>
      <c r="AV119" s="178"/>
      <c r="AW119" s="178"/>
      <c r="AX119" s="179"/>
      <c r="AZ119" s="166"/>
      <c r="BA119" s="177"/>
      <c r="BB119" s="178"/>
      <c r="BC119" s="178"/>
      <c r="BD119" s="178"/>
      <c r="BE119" s="178"/>
      <c r="BF119" s="178"/>
      <c r="BG119" s="178"/>
      <c r="BH119" s="178"/>
      <c r="BI119" s="179"/>
      <c r="BJ119" s="180"/>
      <c r="BK119" s="178"/>
      <c r="BL119" s="178"/>
      <c r="BM119" s="178"/>
      <c r="BN119" s="178"/>
      <c r="BO119" s="181"/>
      <c r="BP119" s="166"/>
      <c r="BQ119" s="177"/>
      <c r="BR119" s="178"/>
      <c r="BS119" s="179"/>
      <c r="BU119" s="166"/>
      <c r="BV119" s="166"/>
      <c r="BW119" s="166"/>
      <c r="BX119" s="166"/>
      <c r="BY119" s="166"/>
      <c r="BZ119" s="166"/>
      <c r="CA119" s="166"/>
      <c r="CB119" s="166"/>
      <c r="CC119" s="166"/>
      <c r="CD119" s="177"/>
      <c r="CE119" s="181"/>
      <c r="CF119" s="177"/>
      <c r="CG119" s="179"/>
      <c r="CH119" s="257"/>
      <c r="CI119" s="182"/>
      <c r="CJ119" s="177"/>
      <c r="CK119" s="182"/>
      <c r="CL119" s="177"/>
      <c r="CM119" s="182"/>
      <c r="CN119" s="177"/>
      <c r="CO119" s="182"/>
      <c r="CP119" s="177"/>
      <c r="CQ119" s="178"/>
      <c r="CR119" s="182"/>
      <c r="CS119" s="173"/>
      <c r="CT119" s="65"/>
      <c r="CU119" s="255" t="str">
        <f t="shared" si="2"/>
        <v>DPS</v>
      </c>
    </row>
    <row r="120" ht="60.0" customHeight="1">
      <c r="A120" s="65"/>
      <c r="C120" s="167">
        <v>3.0</v>
      </c>
      <c r="D120" s="168" t="s">
        <v>195</v>
      </c>
      <c r="E120" s="169"/>
      <c r="F120" s="170"/>
      <c r="G120" s="170"/>
      <c r="H120" s="170"/>
      <c r="I120" s="207"/>
      <c r="J120" s="170"/>
      <c r="K120" s="171"/>
      <c r="L120" s="171"/>
      <c r="M120" s="171"/>
      <c r="N120" s="171"/>
      <c r="O120" s="268">
        <f t="shared" si="22"/>
        <v>0</v>
      </c>
      <c r="Q120" s="173"/>
      <c r="R120" s="65"/>
      <c r="S120" s="173"/>
      <c r="T120" s="173"/>
      <c r="U120" s="166"/>
      <c r="V120" s="166"/>
      <c r="W120" s="65"/>
      <c r="X120" s="66"/>
      <c r="Y120" s="173"/>
      <c r="Z120" s="166"/>
      <c r="AA120" s="174"/>
      <c r="AB120" s="175"/>
      <c r="AC120" s="175"/>
      <c r="AD120" s="175"/>
      <c r="AE120" s="175"/>
      <c r="AF120" s="175"/>
      <c r="AG120" s="175"/>
      <c r="AH120" s="175"/>
      <c r="AI120" s="176"/>
      <c r="AJ120" s="177"/>
      <c r="AK120" s="178"/>
      <c r="AL120" s="178"/>
      <c r="AM120" s="178"/>
      <c r="AN120" s="178"/>
      <c r="AO120" s="179"/>
      <c r="AP120" s="64"/>
      <c r="AQ120" s="65"/>
      <c r="AR120" s="65"/>
      <c r="AS120" s="65"/>
      <c r="AT120" s="173"/>
      <c r="AU120" s="177"/>
      <c r="AV120" s="178"/>
      <c r="AW120" s="178"/>
      <c r="AX120" s="179"/>
      <c r="AZ120" s="166"/>
      <c r="BA120" s="177"/>
      <c r="BB120" s="178"/>
      <c r="BC120" s="178"/>
      <c r="BD120" s="178"/>
      <c r="BE120" s="178"/>
      <c r="BF120" s="178"/>
      <c r="BG120" s="178"/>
      <c r="BH120" s="178"/>
      <c r="BI120" s="179"/>
      <c r="BJ120" s="180"/>
      <c r="BK120" s="178"/>
      <c r="BL120" s="178"/>
      <c r="BM120" s="178"/>
      <c r="BN120" s="178"/>
      <c r="BO120" s="181"/>
      <c r="BP120" s="166"/>
      <c r="BQ120" s="177"/>
      <c r="BR120" s="178"/>
      <c r="BS120" s="179"/>
      <c r="BU120" s="166"/>
      <c r="BV120" s="166"/>
      <c r="BW120" s="166"/>
      <c r="BX120" s="166"/>
      <c r="BY120" s="166"/>
      <c r="BZ120" s="166"/>
      <c r="CA120" s="166"/>
      <c r="CB120" s="166"/>
      <c r="CC120" s="166"/>
      <c r="CD120" s="177"/>
      <c r="CE120" s="181"/>
      <c r="CF120" s="177"/>
      <c r="CG120" s="179"/>
      <c r="CH120" s="257"/>
      <c r="CI120" s="182"/>
      <c r="CJ120" s="177"/>
      <c r="CK120" s="182"/>
      <c r="CL120" s="177"/>
      <c r="CM120" s="182"/>
      <c r="CN120" s="177"/>
      <c r="CO120" s="182"/>
      <c r="CP120" s="177"/>
      <c r="CQ120" s="178"/>
      <c r="CR120" s="182"/>
      <c r="CS120" s="173"/>
      <c r="CT120" s="65"/>
      <c r="CU120" s="255" t="str">
        <f t="shared" si="2"/>
        <v>DPS</v>
      </c>
    </row>
    <row r="121" ht="60.0" customHeight="1">
      <c r="A121" s="65"/>
      <c r="C121" s="167">
        <v>4.0</v>
      </c>
      <c r="D121" s="168" t="s">
        <v>195</v>
      </c>
      <c r="E121" s="169"/>
      <c r="F121" s="170"/>
      <c r="G121" s="170"/>
      <c r="H121" s="170"/>
      <c r="I121" s="207"/>
      <c r="J121" s="170"/>
      <c r="K121" s="171"/>
      <c r="L121" s="171"/>
      <c r="M121" s="171"/>
      <c r="N121" s="171"/>
      <c r="O121" s="268">
        <f t="shared" si="22"/>
        <v>0</v>
      </c>
      <c r="Q121" s="173"/>
      <c r="R121" s="65"/>
      <c r="S121" s="173"/>
      <c r="T121" s="173"/>
      <c r="U121" s="166"/>
      <c r="V121" s="166"/>
      <c r="W121" s="65"/>
      <c r="X121" s="66"/>
      <c r="Y121" s="173"/>
      <c r="Z121" s="166"/>
      <c r="AA121" s="174"/>
      <c r="AB121" s="175"/>
      <c r="AC121" s="175"/>
      <c r="AD121" s="175"/>
      <c r="AE121" s="175"/>
      <c r="AF121" s="175"/>
      <c r="AG121" s="175"/>
      <c r="AH121" s="175"/>
      <c r="AI121" s="176"/>
      <c r="AJ121" s="177"/>
      <c r="AK121" s="178"/>
      <c r="AL121" s="178"/>
      <c r="AM121" s="178"/>
      <c r="AN121" s="178"/>
      <c r="AO121" s="179"/>
      <c r="AP121" s="64"/>
      <c r="AQ121" s="65"/>
      <c r="AR121" s="65"/>
      <c r="AS121" s="65"/>
      <c r="AT121" s="173"/>
      <c r="AU121" s="177"/>
      <c r="AV121" s="178"/>
      <c r="AW121" s="178"/>
      <c r="AX121" s="179"/>
      <c r="AZ121" s="166"/>
      <c r="BA121" s="177"/>
      <c r="BB121" s="178"/>
      <c r="BC121" s="178"/>
      <c r="BD121" s="178"/>
      <c r="BE121" s="178"/>
      <c r="BF121" s="178"/>
      <c r="BG121" s="178"/>
      <c r="BH121" s="178"/>
      <c r="BI121" s="179"/>
      <c r="BJ121" s="180"/>
      <c r="BK121" s="178"/>
      <c r="BL121" s="178"/>
      <c r="BM121" s="178"/>
      <c r="BN121" s="178"/>
      <c r="BO121" s="181"/>
      <c r="BP121" s="166"/>
      <c r="BQ121" s="177"/>
      <c r="BR121" s="178"/>
      <c r="BS121" s="179"/>
      <c r="BU121" s="166"/>
      <c r="BV121" s="166"/>
      <c r="BW121" s="166"/>
      <c r="BX121" s="166"/>
      <c r="BY121" s="166"/>
      <c r="BZ121" s="166"/>
      <c r="CA121" s="166"/>
      <c r="CB121" s="166"/>
      <c r="CC121" s="166"/>
      <c r="CD121" s="177"/>
      <c r="CE121" s="181"/>
      <c r="CF121" s="177"/>
      <c r="CG121" s="179"/>
      <c r="CH121" s="257"/>
      <c r="CI121" s="182"/>
      <c r="CJ121" s="177"/>
      <c r="CK121" s="182"/>
      <c r="CL121" s="177"/>
      <c r="CM121" s="182"/>
      <c r="CN121" s="177"/>
      <c r="CO121" s="182"/>
      <c r="CP121" s="177"/>
      <c r="CQ121" s="178"/>
      <c r="CR121" s="182"/>
      <c r="CS121" s="173"/>
      <c r="CT121" s="65"/>
      <c r="CU121" s="255" t="str">
        <f t="shared" si="2"/>
        <v>DPS</v>
      </c>
    </row>
    <row r="122" ht="60.0" customHeight="1">
      <c r="A122" s="65"/>
      <c r="C122" s="167">
        <v>5.0</v>
      </c>
      <c r="D122" s="168" t="s">
        <v>195</v>
      </c>
      <c r="E122" s="169"/>
      <c r="F122" s="170"/>
      <c r="G122" s="170"/>
      <c r="H122" s="170"/>
      <c r="I122" s="207"/>
      <c r="J122" s="170"/>
      <c r="K122" s="171"/>
      <c r="L122" s="171"/>
      <c r="M122" s="171"/>
      <c r="N122" s="171"/>
      <c r="O122" s="268">
        <f t="shared" si="22"/>
        <v>0</v>
      </c>
      <c r="Q122" s="173"/>
      <c r="R122" s="65"/>
      <c r="S122" s="173"/>
      <c r="T122" s="173"/>
      <c r="U122" s="166"/>
      <c r="V122" s="166"/>
      <c r="W122" s="65"/>
      <c r="X122" s="66"/>
      <c r="Y122" s="173"/>
      <c r="Z122" s="166"/>
      <c r="AA122" s="174"/>
      <c r="AB122" s="175"/>
      <c r="AC122" s="175"/>
      <c r="AD122" s="175"/>
      <c r="AE122" s="175"/>
      <c r="AF122" s="175"/>
      <c r="AG122" s="175"/>
      <c r="AH122" s="175"/>
      <c r="AI122" s="176"/>
      <c r="AJ122" s="177"/>
      <c r="AK122" s="178"/>
      <c r="AL122" s="178"/>
      <c r="AM122" s="178"/>
      <c r="AN122" s="178"/>
      <c r="AO122" s="179"/>
      <c r="AP122" s="64"/>
      <c r="AQ122" s="65"/>
      <c r="AR122" s="65"/>
      <c r="AS122" s="65"/>
      <c r="AT122" s="173"/>
      <c r="AU122" s="177"/>
      <c r="AV122" s="178"/>
      <c r="AW122" s="178"/>
      <c r="AX122" s="179"/>
      <c r="AZ122" s="166"/>
      <c r="BA122" s="177"/>
      <c r="BB122" s="178"/>
      <c r="BC122" s="178"/>
      <c r="BD122" s="178"/>
      <c r="BE122" s="178"/>
      <c r="BF122" s="178"/>
      <c r="BG122" s="178"/>
      <c r="BH122" s="178"/>
      <c r="BI122" s="179"/>
      <c r="BJ122" s="180"/>
      <c r="BK122" s="178"/>
      <c r="BL122" s="178"/>
      <c r="BM122" s="178"/>
      <c r="BN122" s="178"/>
      <c r="BO122" s="181"/>
      <c r="BP122" s="166"/>
      <c r="BQ122" s="177"/>
      <c r="BR122" s="178"/>
      <c r="BS122" s="179"/>
      <c r="BU122" s="166"/>
      <c r="BV122" s="166"/>
      <c r="BW122" s="166"/>
      <c r="BX122" s="166"/>
      <c r="BY122" s="166"/>
      <c r="BZ122" s="166"/>
      <c r="CA122" s="166"/>
      <c r="CB122" s="166"/>
      <c r="CC122" s="166"/>
      <c r="CD122" s="177"/>
      <c r="CE122" s="181"/>
      <c r="CF122" s="177"/>
      <c r="CG122" s="179"/>
      <c r="CH122" s="257"/>
      <c r="CI122" s="182"/>
      <c r="CJ122" s="177"/>
      <c r="CK122" s="182"/>
      <c r="CL122" s="177"/>
      <c r="CM122" s="182"/>
      <c r="CN122" s="177"/>
      <c r="CO122" s="182"/>
      <c r="CP122" s="177"/>
      <c r="CQ122" s="178"/>
      <c r="CR122" s="182"/>
      <c r="CS122" s="173"/>
      <c r="CT122" s="65"/>
      <c r="CU122" s="255" t="str">
        <f t="shared" si="2"/>
        <v>DPS</v>
      </c>
    </row>
    <row r="123" ht="60.0" customHeight="1">
      <c r="A123" s="65"/>
      <c r="C123" s="167">
        <v>6.0</v>
      </c>
      <c r="D123" s="168" t="s">
        <v>195</v>
      </c>
      <c r="E123" s="169"/>
      <c r="F123" s="170"/>
      <c r="G123" s="170"/>
      <c r="H123" s="170"/>
      <c r="I123" s="207"/>
      <c r="J123" s="170"/>
      <c r="K123" s="171"/>
      <c r="L123" s="171"/>
      <c r="M123" s="171"/>
      <c r="N123" s="171"/>
      <c r="O123" s="268">
        <f t="shared" si="22"/>
        <v>0</v>
      </c>
      <c r="Q123" s="173"/>
      <c r="R123" s="65"/>
      <c r="S123" s="173"/>
      <c r="T123" s="173"/>
      <c r="U123" s="166"/>
      <c r="V123" s="166"/>
      <c r="W123" s="65"/>
      <c r="X123" s="66"/>
      <c r="Y123" s="173"/>
      <c r="Z123" s="166"/>
      <c r="AA123" s="174"/>
      <c r="AB123" s="175"/>
      <c r="AC123" s="175"/>
      <c r="AD123" s="175"/>
      <c r="AE123" s="175"/>
      <c r="AF123" s="175"/>
      <c r="AG123" s="175"/>
      <c r="AH123" s="175"/>
      <c r="AI123" s="176"/>
      <c r="AJ123" s="177"/>
      <c r="AK123" s="178"/>
      <c r="AL123" s="178"/>
      <c r="AM123" s="178"/>
      <c r="AN123" s="178"/>
      <c r="AO123" s="179"/>
      <c r="AP123" s="64"/>
      <c r="AQ123" s="65"/>
      <c r="AR123" s="65"/>
      <c r="AS123" s="65"/>
      <c r="AT123" s="173"/>
      <c r="AU123" s="177"/>
      <c r="AV123" s="178"/>
      <c r="AW123" s="178"/>
      <c r="AX123" s="179"/>
      <c r="AZ123" s="166"/>
      <c r="BA123" s="177"/>
      <c r="BB123" s="178"/>
      <c r="BC123" s="178"/>
      <c r="BD123" s="178"/>
      <c r="BE123" s="178"/>
      <c r="BF123" s="178"/>
      <c r="BG123" s="178"/>
      <c r="BH123" s="178"/>
      <c r="BI123" s="179"/>
      <c r="BJ123" s="180"/>
      <c r="BK123" s="178"/>
      <c r="BL123" s="178"/>
      <c r="BM123" s="178"/>
      <c r="BN123" s="178"/>
      <c r="BO123" s="181"/>
      <c r="BP123" s="166"/>
      <c r="BQ123" s="177"/>
      <c r="BR123" s="178"/>
      <c r="BS123" s="179"/>
      <c r="BU123" s="166"/>
      <c r="BV123" s="166"/>
      <c r="BW123" s="166"/>
      <c r="BX123" s="166"/>
      <c r="BY123" s="166"/>
      <c r="BZ123" s="166"/>
      <c r="CA123" s="166"/>
      <c r="CB123" s="166"/>
      <c r="CC123" s="166"/>
      <c r="CD123" s="177"/>
      <c r="CE123" s="181"/>
      <c r="CF123" s="177"/>
      <c r="CG123" s="179"/>
      <c r="CH123" s="257"/>
      <c r="CI123" s="182"/>
      <c r="CJ123" s="177"/>
      <c r="CK123" s="182"/>
      <c r="CL123" s="177"/>
      <c r="CM123" s="182"/>
      <c r="CN123" s="177"/>
      <c r="CO123" s="182"/>
      <c r="CP123" s="177"/>
      <c r="CQ123" s="178"/>
      <c r="CR123" s="182"/>
      <c r="CS123" s="173"/>
      <c r="CT123" s="65"/>
      <c r="CU123" s="255" t="str">
        <f t="shared" si="2"/>
        <v>DPS</v>
      </c>
    </row>
    <row r="124" ht="60.0" customHeight="1">
      <c r="A124" s="65"/>
      <c r="C124" s="167">
        <v>7.0</v>
      </c>
      <c r="D124" s="168" t="s">
        <v>195</v>
      </c>
      <c r="E124" s="169"/>
      <c r="F124" s="170"/>
      <c r="G124" s="170"/>
      <c r="H124" s="170"/>
      <c r="I124" s="207"/>
      <c r="J124" s="170"/>
      <c r="K124" s="171"/>
      <c r="L124" s="171"/>
      <c r="M124" s="171"/>
      <c r="N124" s="171"/>
      <c r="O124" s="268">
        <f t="shared" ref="O124:O127" si="23">IF(AND(M124&gt;=20,M124&lt;&gt;"m",RIGHT(K124,3)="Lec"),1,IF(AND(M124&gt;=20,M124&lt;&gt;"m",OR(RIGHT(K124,3)="Lab",RIGHT(K124,3)="Tut")),0.5,IF(AND(M124&gt;=20,M124&lt;&gt;"m",RIGHT(K124,2)="TL"),0.75,0)))</f>
        <v>0</v>
      </c>
      <c r="Q124" s="173"/>
      <c r="R124" s="65"/>
      <c r="S124" s="173"/>
      <c r="T124" s="173"/>
      <c r="U124" s="166"/>
      <c r="V124" s="166"/>
      <c r="W124" s="65"/>
      <c r="X124" s="66"/>
      <c r="Y124" s="173"/>
      <c r="Z124" s="166"/>
      <c r="AA124" s="174"/>
      <c r="AB124" s="175"/>
      <c r="AC124" s="175"/>
      <c r="AD124" s="175"/>
      <c r="AE124" s="175"/>
      <c r="AF124" s="175"/>
      <c r="AG124" s="175"/>
      <c r="AH124" s="175"/>
      <c r="AI124" s="176"/>
      <c r="AJ124" s="177"/>
      <c r="AK124" s="178"/>
      <c r="AL124" s="178"/>
      <c r="AM124" s="178"/>
      <c r="AN124" s="178"/>
      <c r="AO124" s="179"/>
      <c r="AP124" s="64"/>
      <c r="AQ124" s="65"/>
      <c r="AR124" s="65"/>
      <c r="AS124" s="65"/>
      <c r="AT124" s="173"/>
      <c r="AU124" s="177"/>
      <c r="AV124" s="178"/>
      <c r="AW124" s="178"/>
      <c r="AX124" s="179"/>
      <c r="AZ124" s="166"/>
      <c r="BA124" s="177"/>
      <c r="BB124" s="178"/>
      <c r="BC124" s="178"/>
      <c r="BD124" s="178"/>
      <c r="BE124" s="178"/>
      <c r="BF124" s="178"/>
      <c r="BG124" s="178"/>
      <c r="BH124" s="178"/>
      <c r="BI124" s="179"/>
      <c r="BJ124" s="180"/>
      <c r="BK124" s="178"/>
      <c r="BL124" s="178"/>
      <c r="BM124" s="178"/>
      <c r="BN124" s="178"/>
      <c r="BO124" s="181"/>
      <c r="BP124" s="166"/>
      <c r="BQ124" s="177"/>
      <c r="BR124" s="178"/>
      <c r="BS124" s="179"/>
      <c r="BU124" s="166"/>
      <c r="BV124" s="166"/>
      <c r="BW124" s="166"/>
      <c r="BX124" s="166"/>
      <c r="BY124" s="166"/>
      <c r="BZ124" s="166"/>
      <c r="CA124" s="166"/>
      <c r="CB124" s="166"/>
      <c r="CC124" s="166"/>
      <c r="CD124" s="177"/>
      <c r="CE124" s="181"/>
      <c r="CF124" s="177"/>
      <c r="CG124" s="179"/>
      <c r="CH124" s="257"/>
      <c r="CI124" s="182"/>
      <c r="CJ124" s="177"/>
      <c r="CK124" s="182"/>
      <c r="CL124" s="177"/>
      <c r="CM124" s="182"/>
      <c r="CN124" s="177"/>
      <c r="CO124" s="182"/>
      <c r="CP124" s="177"/>
      <c r="CQ124" s="178"/>
      <c r="CR124" s="182"/>
      <c r="CS124" s="173"/>
      <c r="CT124" s="65"/>
      <c r="CU124" s="255" t="str">
        <f t="shared" si="2"/>
        <v>DPS</v>
      </c>
    </row>
    <row r="125" ht="60.0" customHeight="1">
      <c r="A125" s="65"/>
      <c r="C125" s="167">
        <v>8.0</v>
      </c>
      <c r="D125" s="168" t="s">
        <v>195</v>
      </c>
      <c r="E125" s="169"/>
      <c r="F125" s="170"/>
      <c r="G125" s="170"/>
      <c r="H125" s="170"/>
      <c r="I125" s="207"/>
      <c r="J125" s="170"/>
      <c r="K125" s="171"/>
      <c r="L125" s="171"/>
      <c r="M125" s="171"/>
      <c r="N125" s="171"/>
      <c r="O125" s="268">
        <f t="shared" si="23"/>
        <v>0</v>
      </c>
      <c r="Q125" s="173"/>
      <c r="R125" s="65"/>
      <c r="S125" s="173"/>
      <c r="T125" s="173"/>
      <c r="U125" s="166"/>
      <c r="V125" s="166"/>
      <c r="W125" s="65"/>
      <c r="X125" s="66"/>
      <c r="Y125" s="173"/>
      <c r="Z125" s="166"/>
      <c r="AA125" s="174"/>
      <c r="AB125" s="175"/>
      <c r="AC125" s="175"/>
      <c r="AD125" s="175"/>
      <c r="AE125" s="175"/>
      <c r="AF125" s="175"/>
      <c r="AG125" s="175"/>
      <c r="AH125" s="175"/>
      <c r="AI125" s="176"/>
      <c r="AJ125" s="177"/>
      <c r="AK125" s="178"/>
      <c r="AL125" s="178"/>
      <c r="AM125" s="178"/>
      <c r="AN125" s="178"/>
      <c r="AO125" s="179"/>
      <c r="AP125" s="64"/>
      <c r="AQ125" s="65"/>
      <c r="AR125" s="65"/>
      <c r="AS125" s="65"/>
      <c r="AT125" s="173"/>
      <c r="AU125" s="177"/>
      <c r="AV125" s="178"/>
      <c r="AW125" s="178"/>
      <c r="AX125" s="179"/>
      <c r="AZ125" s="166"/>
      <c r="BA125" s="177"/>
      <c r="BB125" s="178"/>
      <c r="BC125" s="178"/>
      <c r="BD125" s="178"/>
      <c r="BE125" s="178"/>
      <c r="BF125" s="178"/>
      <c r="BG125" s="178"/>
      <c r="BH125" s="178"/>
      <c r="BI125" s="179"/>
      <c r="BJ125" s="180"/>
      <c r="BK125" s="178"/>
      <c r="BL125" s="178"/>
      <c r="BM125" s="178"/>
      <c r="BN125" s="178"/>
      <c r="BO125" s="181"/>
      <c r="BP125" s="166"/>
      <c r="BQ125" s="177"/>
      <c r="BR125" s="178"/>
      <c r="BS125" s="179"/>
      <c r="BU125" s="166"/>
      <c r="BV125" s="166"/>
      <c r="BW125" s="166"/>
      <c r="BX125" s="166"/>
      <c r="BY125" s="166"/>
      <c r="BZ125" s="166"/>
      <c r="CA125" s="166"/>
      <c r="CB125" s="166"/>
      <c r="CC125" s="166"/>
      <c r="CD125" s="177"/>
      <c r="CE125" s="181"/>
      <c r="CF125" s="177"/>
      <c r="CG125" s="179"/>
      <c r="CH125" s="257"/>
      <c r="CI125" s="182"/>
      <c r="CJ125" s="177"/>
      <c r="CK125" s="182"/>
      <c r="CL125" s="177"/>
      <c r="CM125" s="182"/>
      <c r="CN125" s="177"/>
      <c r="CO125" s="182"/>
      <c r="CP125" s="177"/>
      <c r="CQ125" s="178"/>
      <c r="CR125" s="182"/>
      <c r="CS125" s="173"/>
      <c r="CT125" s="65"/>
      <c r="CU125" s="255" t="str">
        <f t="shared" si="2"/>
        <v>DPS</v>
      </c>
    </row>
    <row r="126" ht="60.0" customHeight="1">
      <c r="A126" s="65"/>
      <c r="C126" s="167">
        <v>9.0</v>
      </c>
      <c r="D126" s="168" t="s">
        <v>195</v>
      </c>
      <c r="E126" s="169"/>
      <c r="F126" s="170"/>
      <c r="G126" s="170"/>
      <c r="H126" s="170"/>
      <c r="I126" s="207"/>
      <c r="J126" s="170"/>
      <c r="K126" s="171"/>
      <c r="L126" s="171"/>
      <c r="M126" s="171"/>
      <c r="N126" s="171"/>
      <c r="O126" s="268">
        <f t="shared" si="23"/>
        <v>0</v>
      </c>
      <c r="Q126" s="173"/>
      <c r="R126" s="65"/>
      <c r="S126" s="173"/>
      <c r="T126" s="173"/>
      <c r="U126" s="166"/>
      <c r="V126" s="166"/>
      <c r="W126" s="65"/>
      <c r="X126" s="66"/>
      <c r="Y126" s="173"/>
      <c r="Z126" s="166"/>
      <c r="AA126" s="174"/>
      <c r="AB126" s="175"/>
      <c r="AC126" s="175"/>
      <c r="AD126" s="175"/>
      <c r="AE126" s="175"/>
      <c r="AF126" s="175"/>
      <c r="AG126" s="175"/>
      <c r="AH126" s="175"/>
      <c r="AI126" s="176"/>
      <c r="AJ126" s="177"/>
      <c r="AK126" s="178"/>
      <c r="AL126" s="178"/>
      <c r="AM126" s="178"/>
      <c r="AN126" s="178"/>
      <c r="AO126" s="179"/>
      <c r="AP126" s="64"/>
      <c r="AQ126" s="65"/>
      <c r="AR126" s="65"/>
      <c r="AS126" s="65"/>
      <c r="AT126" s="173"/>
      <c r="AU126" s="177"/>
      <c r="AV126" s="178"/>
      <c r="AW126" s="178"/>
      <c r="AX126" s="179"/>
      <c r="AZ126" s="166"/>
      <c r="BA126" s="177"/>
      <c r="BB126" s="178"/>
      <c r="BC126" s="178"/>
      <c r="BD126" s="178"/>
      <c r="BE126" s="178"/>
      <c r="BF126" s="178"/>
      <c r="BG126" s="178"/>
      <c r="BH126" s="178"/>
      <c r="BI126" s="179"/>
      <c r="BJ126" s="180"/>
      <c r="BK126" s="178"/>
      <c r="BL126" s="178"/>
      <c r="BM126" s="178"/>
      <c r="BN126" s="178"/>
      <c r="BO126" s="181"/>
      <c r="BP126" s="166"/>
      <c r="BQ126" s="177"/>
      <c r="BR126" s="178"/>
      <c r="BS126" s="179"/>
      <c r="BU126" s="166"/>
      <c r="BV126" s="166"/>
      <c r="BW126" s="166"/>
      <c r="BX126" s="166"/>
      <c r="BY126" s="166"/>
      <c r="BZ126" s="166"/>
      <c r="CA126" s="166"/>
      <c r="CB126" s="166"/>
      <c r="CC126" s="166"/>
      <c r="CD126" s="177"/>
      <c r="CE126" s="181"/>
      <c r="CF126" s="177"/>
      <c r="CG126" s="179"/>
      <c r="CH126" s="257"/>
      <c r="CI126" s="182"/>
      <c r="CJ126" s="177"/>
      <c r="CK126" s="182"/>
      <c r="CL126" s="177"/>
      <c r="CM126" s="182"/>
      <c r="CN126" s="177"/>
      <c r="CO126" s="182"/>
      <c r="CP126" s="177"/>
      <c r="CQ126" s="178"/>
      <c r="CR126" s="182"/>
      <c r="CS126" s="173"/>
      <c r="CT126" s="65"/>
      <c r="CU126" s="255" t="str">
        <f t="shared" si="2"/>
        <v>DPS</v>
      </c>
    </row>
    <row r="127" ht="60.0" customHeight="1">
      <c r="A127" s="65"/>
      <c r="C127" s="167">
        <v>10.0</v>
      </c>
      <c r="D127" s="168" t="s">
        <v>195</v>
      </c>
      <c r="E127" s="169"/>
      <c r="F127" s="170"/>
      <c r="G127" s="170"/>
      <c r="H127" s="170"/>
      <c r="I127" s="207"/>
      <c r="J127" s="170"/>
      <c r="K127" s="171"/>
      <c r="L127" s="171"/>
      <c r="M127" s="171"/>
      <c r="N127" s="171"/>
      <c r="O127" s="268">
        <f t="shared" si="23"/>
        <v>0</v>
      </c>
      <c r="Q127" s="173"/>
      <c r="R127" s="65"/>
      <c r="S127" s="173"/>
      <c r="T127" s="173"/>
      <c r="U127" s="166"/>
      <c r="V127" s="166"/>
      <c r="W127" s="65"/>
      <c r="X127" s="66"/>
      <c r="Y127" s="173"/>
      <c r="Z127" s="166"/>
      <c r="AA127" s="174"/>
      <c r="AB127" s="175"/>
      <c r="AC127" s="175"/>
      <c r="AD127" s="175"/>
      <c r="AE127" s="175"/>
      <c r="AF127" s="175"/>
      <c r="AG127" s="175"/>
      <c r="AH127" s="175"/>
      <c r="AI127" s="176"/>
      <c r="AJ127" s="177"/>
      <c r="AK127" s="178"/>
      <c r="AL127" s="178"/>
      <c r="AM127" s="178"/>
      <c r="AN127" s="178"/>
      <c r="AO127" s="179"/>
      <c r="AP127" s="64"/>
      <c r="AQ127" s="65"/>
      <c r="AR127" s="65"/>
      <c r="AS127" s="65"/>
      <c r="AT127" s="173"/>
      <c r="AU127" s="177"/>
      <c r="AV127" s="178"/>
      <c r="AW127" s="178"/>
      <c r="AX127" s="179"/>
      <c r="AZ127" s="166"/>
      <c r="BA127" s="177"/>
      <c r="BB127" s="178"/>
      <c r="BC127" s="178"/>
      <c r="BD127" s="178"/>
      <c r="BE127" s="178"/>
      <c r="BF127" s="178"/>
      <c r="BG127" s="178"/>
      <c r="BH127" s="178"/>
      <c r="BI127" s="179"/>
      <c r="BJ127" s="180"/>
      <c r="BK127" s="178"/>
      <c r="BL127" s="178"/>
      <c r="BM127" s="178"/>
      <c r="BN127" s="178"/>
      <c r="BO127" s="181"/>
      <c r="BP127" s="166"/>
      <c r="BQ127" s="177"/>
      <c r="BR127" s="178"/>
      <c r="BS127" s="179"/>
      <c r="BU127" s="166"/>
      <c r="BV127" s="166"/>
      <c r="BW127" s="166"/>
      <c r="BX127" s="166"/>
      <c r="BY127" s="166"/>
      <c r="BZ127" s="166"/>
      <c r="CA127" s="166"/>
      <c r="CB127" s="166"/>
      <c r="CC127" s="166"/>
      <c r="CD127" s="177"/>
      <c r="CE127" s="181"/>
      <c r="CF127" s="177"/>
      <c r="CG127" s="179"/>
      <c r="CH127" s="257"/>
      <c r="CI127" s="182"/>
      <c r="CJ127" s="177"/>
      <c r="CK127" s="182"/>
      <c r="CL127" s="177"/>
      <c r="CM127" s="182"/>
      <c r="CN127" s="177"/>
      <c r="CO127" s="182"/>
      <c r="CP127" s="177"/>
      <c r="CQ127" s="178"/>
      <c r="CR127" s="182"/>
      <c r="CS127" s="173"/>
      <c r="CT127" s="65"/>
      <c r="CU127" s="255" t="str">
        <f t="shared" si="2"/>
        <v>DPS</v>
      </c>
    </row>
    <row r="128" ht="60.0" customHeight="1">
      <c r="A128" s="89"/>
      <c r="C128" s="183">
        <v>11.0</v>
      </c>
      <c r="D128" s="210" t="s">
        <v>195</v>
      </c>
      <c r="E128" s="185"/>
      <c r="F128" s="186"/>
      <c r="G128" s="186"/>
      <c r="H128" s="186"/>
      <c r="I128" s="212"/>
      <c r="J128" s="186"/>
      <c r="K128" s="187"/>
      <c r="L128" s="187"/>
      <c r="M128" s="187"/>
      <c r="N128" s="187"/>
      <c r="O128" s="269">
        <f t="shared" ref="O128:O134" si="24">IF(AND(M128&lt;&gt;0,M128&lt;&gt;"m",M128&lt;&gt;"",RIGHT(K128,3)="Lec"),1,IF(AND(M128&lt;&gt;0,M128&lt;&gt;"m",M128&lt;&gt;"",OR(RIGHT(K128,3)="Lab",RIGHT(K128,3)="Tut")),0.5,IF(AND(M128&lt;&gt;0,M128&lt;&gt;"m",M128&lt;&gt;"",RIGHT(K128,2)="TL"),0.75,0)))</f>
        <v>0</v>
      </c>
      <c r="P128" s="6"/>
      <c r="Q128" s="69"/>
      <c r="R128" s="89"/>
      <c r="S128" s="69"/>
      <c r="T128" s="69"/>
      <c r="U128" s="63"/>
      <c r="V128" s="63"/>
      <c r="W128" s="89"/>
      <c r="X128" s="68"/>
      <c r="Y128" s="69"/>
      <c r="Z128" s="63"/>
      <c r="AA128" s="189"/>
      <c r="AB128" s="190"/>
      <c r="AC128" s="190"/>
      <c r="AD128" s="190"/>
      <c r="AE128" s="190"/>
      <c r="AF128" s="190"/>
      <c r="AG128" s="190"/>
      <c r="AH128" s="190"/>
      <c r="AI128" s="191"/>
      <c r="AJ128" s="192"/>
      <c r="AK128" s="193"/>
      <c r="AL128" s="193"/>
      <c r="AM128" s="193"/>
      <c r="AN128" s="193"/>
      <c r="AO128" s="194"/>
      <c r="AP128" s="103"/>
      <c r="AQ128" s="89"/>
      <c r="AR128" s="89"/>
      <c r="AS128" s="89"/>
      <c r="AT128" s="69"/>
      <c r="AU128" s="192"/>
      <c r="AV128" s="193"/>
      <c r="AW128" s="193"/>
      <c r="AX128" s="194"/>
      <c r="AY128" s="6"/>
      <c r="AZ128" s="63"/>
      <c r="BA128" s="192"/>
      <c r="BB128" s="193"/>
      <c r="BC128" s="193"/>
      <c r="BD128" s="193"/>
      <c r="BE128" s="193"/>
      <c r="BF128" s="193"/>
      <c r="BG128" s="193"/>
      <c r="BH128" s="193"/>
      <c r="BI128" s="194"/>
      <c r="BJ128" s="195"/>
      <c r="BK128" s="193"/>
      <c r="BL128" s="193"/>
      <c r="BM128" s="193"/>
      <c r="BN128" s="193"/>
      <c r="BO128" s="196"/>
      <c r="BP128" s="63"/>
      <c r="BQ128" s="192"/>
      <c r="BR128" s="193"/>
      <c r="BS128" s="194"/>
      <c r="BT128" s="6"/>
      <c r="BU128" s="63"/>
      <c r="BV128" s="63"/>
      <c r="BW128" s="63"/>
      <c r="BX128" s="63"/>
      <c r="BY128" s="63"/>
      <c r="BZ128" s="63"/>
      <c r="CA128" s="63"/>
      <c r="CB128" s="63"/>
      <c r="CC128" s="63"/>
      <c r="CD128" s="192"/>
      <c r="CE128" s="196"/>
      <c r="CF128" s="192"/>
      <c r="CG128" s="194"/>
      <c r="CH128" s="259"/>
      <c r="CI128" s="197"/>
      <c r="CJ128" s="192"/>
      <c r="CK128" s="197"/>
      <c r="CL128" s="192"/>
      <c r="CM128" s="197"/>
      <c r="CN128" s="192"/>
      <c r="CO128" s="197"/>
      <c r="CP128" s="192"/>
      <c r="CQ128" s="193"/>
      <c r="CR128" s="197"/>
      <c r="CS128" s="69"/>
      <c r="CT128" s="89"/>
      <c r="CU128" s="255" t="str">
        <f t="shared" si="2"/>
        <v>DPS</v>
      </c>
    </row>
    <row r="129" ht="56.25" customHeight="1">
      <c r="A129" s="125">
        <v>12.0</v>
      </c>
      <c r="B129" s="199" t="s">
        <v>196</v>
      </c>
      <c r="C129" s="127">
        <v>1.0</v>
      </c>
      <c r="D129" s="168" t="s">
        <v>197</v>
      </c>
      <c r="E129" s="129"/>
      <c r="F129" s="130"/>
      <c r="G129" s="130"/>
      <c r="H129" s="130"/>
      <c r="I129" s="201"/>
      <c r="J129" s="130"/>
      <c r="K129" s="131"/>
      <c r="L129" s="131"/>
      <c r="M129" s="131"/>
      <c r="N129" s="131"/>
      <c r="O129" s="267">
        <f t="shared" si="24"/>
        <v>0</v>
      </c>
      <c r="P129" s="251">
        <f>COUNTIF(K129:K139,"TL")*0.75+COUNTIF(K129:K139,"Lec")*1+COUNTIF(K129:K139,"Lab")*0.5</f>
        <v>0</v>
      </c>
      <c r="Q129" s="134">
        <f>SUM((IF(LEFT(K129,1)="E",O129,0)),(IF(LEFT(K130,1)="E",O130,0)),(IF(LEFT(K131,1)="E",O131,0)),(IF(LEFT(K132,1)="E",O132,0)),(IF(LEFT(K133,1)="E",O133,0)),(IF(LEFT(K134,1)="E",O134,0)),(IF(LEFT(K135,1)="E",O135,0)),(IF(LEFT(K136,1)="E",O136,0)),(IF(LEFT(K137,1)="E",O137,0)),(IF(LEFT(K138,1)="E",O138,0)),(IF(LEFT(K139,1)="E",O139,0)))</f>
        <v>0</v>
      </c>
      <c r="R129" s="135">
        <f>SUM(IF(M135&lt;20,IF(K135="Plec",-1,IF(K135="PTL",-0.75,IF(K135="Plab",-0.5,0))),0),IF(M136&lt;20,IF(K136="Plec",-1,IF(K136="PTL",-0.75,IF(K136="Plab",-0.5,0))),0),IF(M137&lt;20,IF(K137="Plec",-1,IF(K137="PTL",-0.75,IF(K137="Plab",-0.5,0))),0),IF(M138&lt;20,IF(K138="Plec",-1,IF(K138="PTL",-0.75,IF(K138="Plab",-0.5,0))),0))</f>
        <v>0</v>
      </c>
      <c r="S129" s="134">
        <f>SUM(P129:R139)</f>
        <v>0</v>
      </c>
      <c r="T129" s="136">
        <f>SUM(IF(M129="M",IF(OR(K129="lec",K129="plec",K129="slec"),1,IF(OR(K129="lab",K129="plab",K129="slab",K129="tut",K129="ptut",K129="stut"),0.5,IF(OR(K129="TL",K129="pTL",K129="STL"),0.75,0))),0),IF(M130="M",IF(OR(K130="lec",K130="plec",K130="slec"),1,IF(OR(K130="lab",K130="plab",K130="slab",K130="tut",K130="ptut",K130="stut"),0.5,IF(OR(K130="TL",K130="pTL",K130="STL"),0.75,0))),0),IF(M131="M",IF(OR(K131="lec",K131="plec",K131="slec"),1,IF(OR(K131="lab",K131="plab",K131="slab",K131="tut",K131="ptut",K131="stut"),0.5,IF(OR(K131="TL",K131="pTL",K131="STL"),0.75,0))),0),IF(M132="M",IF(OR(K132="lec",K132="plec",K132="slec"),1,IF(OR(K132="lab",K132="plab",K132="slab",K132="tut",K132="ptut",K132="stut"),0.5,IF(OR(K132="TL",K132="pTL",K132="STL"),0.75,0))),0),IF(M133="M",IF(OR(K133="lec",K133="plec",K133="slec"),1,IF(OR(K133="lab",K133="plab",K133="slab",K133="tut",K133="ptut",K133="stut"),0.5,IF(OR(K133="TL",K133="pTL",K133="STL"),0.75,0))),0),IF(M134="M",IF(OR(K134="lec",K134="plec",K134="slec"),1,IF(OR(K134="lab",K134="plab",K134="slab",K134="tut",K134="ptut",K134="stut"),0.5,IF(OR(K134="TL",K134="pTL",K134="STL"),0.75,0))),0),IF(M135="M",IF(OR(K135="lec",K135="plec",K135="slec"),1,IF(OR(K135="lab",K135="plab",K135="slab",K135="tut",K135="ptut",K135="stut"),0.5,IF(OR(K135="TL",K135="pTL",K135="STL"),0.75,0))),0),IF(M136="M",IF(OR(K136="lec",K136="plec",K136="slec"),1,IF(OR(K136="lab",K136="plab",K136="slab",K136="tut",K136="ptut",K136="stut"),0.5,IF(OR(K136="TL",K136="pTL",K136="STL"),0.75,0))),0),IF(M137="M",IF(OR(K137="lec",K137="plec",K137="slec"),1,IF(OR(K137="lab",K137="plab",K137="slab",K137="tut",K137="ptut",K137="stut"),0.5,IF(OR(K137="TL",K137="pTL",K137="STL"),0.75,0))),0),IF(M138="M",IF(OR(K138="lec",K138="plec",K138="slec"),1,IF(OR(K138="lab",K138="plab",K138="slab",K138="tut",K138="ptut",K138="stut"),0.5,IF(OR(K138="TL",K138="pTL",K138="STL"),0.75,0))),0),IF(M139="M",IF(OR(K139="lec",K139="plec",K139="slec"),1,IF(OR(K139="lab",K139="plab",K139="slab",K139="tut",K139="ptut",K139="stut"),0.5,IF(OR(K139="TL",K139="pTL",K139="STL"),0.75,0))),0))</f>
        <v>0</v>
      </c>
      <c r="U129" s="137"/>
      <c r="V129" s="133"/>
      <c r="W129" s="138"/>
      <c r="X129" s="139">
        <f>S129-(T129+U129+V129+W129)</f>
        <v>0</v>
      </c>
      <c r="Y129" s="134" t="str">
        <f>CONCATENATE(SUM(O129:O139),"(",SUM(O129:O139)-X129,")")</f>
        <v>0(0)</v>
      </c>
      <c r="Z129" s="140"/>
      <c r="AA129" s="141"/>
      <c r="AB129" s="142"/>
      <c r="AC129" s="142"/>
      <c r="AD129" s="142"/>
      <c r="AE129" s="142"/>
      <c r="AF129" s="142"/>
      <c r="AG129" s="142"/>
      <c r="AH129" s="142"/>
      <c r="AI129" s="143"/>
      <c r="AJ129" s="144"/>
      <c r="AK129" s="145"/>
      <c r="AL129" s="145"/>
      <c r="AM129" s="145"/>
      <c r="AN129" s="145"/>
      <c r="AO129" s="146"/>
      <c r="AP129" s="147">
        <f>SUM(SUM(O129:O139),SUM(AI129:AI139)/2,AM129)</f>
        <v>0</v>
      </c>
      <c r="AQ129" s="148"/>
      <c r="AR129" s="148">
        <f>AP129*AQ129</f>
        <v>0</v>
      </c>
      <c r="AS129" s="148">
        <f>CT129</f>
        <v>0</v>
      </c>
      <c r="AT129" s="149">
        <f>AR129*0.75+AS129*0.25</f>
        <v>0</v>
      </c>
      <c r="AU129" s="150"/>
      <c r="AV129" s="151"/>
      <c r="AW129" s="151"/>
      <c r="AX129" s="152"/>
      <c r="AY129" s="153"/>
      <c r="AZ129" s="140"/>
      <c r="BA129" s="150"/>
      <c r="BB129" s="151"/>
      <c r="BC129" s="151"/>
      <c r="BD129" s="151"/>
      <c r="BE129" s="151"/>
      <c r="BF129" s="151"/>
      <c r="BG129" s="151"/>
      <c r="BH129" s="151"/>
      <c r="BI129" s="152"/>
      <c r="BJ129" s="154"/>
      <c r="BK129" s="151"/>
      <c r="BL129" s="151"/>
      <c r="BM129" s="151"/>
      <c r="BN129" s="151"/>
      <c r="BO129" s="155"/>
      <c r="BP129" s="140"/>
      <c r="BQ129" s="156"/>
      <c r="BR129" s="157"/>
      <c r="BS129" s="158"/>
      <c r="BT129" s="153"/>
      <c r="BU129" s="140"/>
      <c r="BV129" s="140"/>
      <c r="BW129" s="140"/>
      <c r="BX129" s="140"/>
      <c r="BY129" s="140"/>
      <c r="BZ129" s="140"/>
      <c r="CA129" s="140"/>
      <c r="CB129" s="140"/>
      <c r="CC129" s="140"/>
      <c r="CD129" s="150"/>
      <c r="CE129" s="155"/>
      <c r="CF129" s="150"/>
      <c r="CG129" s="152"/>
      <c r="CH129" s="252"/>
      <c r="CI129" s="160"/>
      <c r="CJ129" s="159"/>
      <c r="CK129" s="160"/>
      <c r="CL129" s="159"/>
      <c r="CM129" s="160"/>
      <c r="CN129" s="159"/>
      <c r="CO129" s="160"/>
      <c r="CP129" s="159"/>
      <c r="CQ129" s="162"/>
      <c r="CR129" s="160"/>
      <c r="CS129" s="253">
        <f>SUM(IF(AU129&lt;0,ABS(AU129),0),IF(AZ129&lt;0,ABS(AZ129),0),ABS(CI129),ABS(CK129),ABS(CM129),ABS(CO129),ABS(CQ129),ABS(CR129))</f>
        <v>0</v>
      </c>
      <c r="CT129" s="254">
        <f>SUM(AU129,AV129,AW129,AX129/400,AY129,AZ129,BG129,BH129*0.5,BI129*0.25,BJ129,BK129,BL129,BM129,BN129,BO129,BP129,BR129/20,BS129/100,BT129/60,BU129,BV129,BW129,BX129/4,SUM(BY129:CC139)/3,CE129,CG129/3,CI129,CK129,CM129,CO129,CQ129,CR129)</f>
        <v>0</v>
      </c>
      <c r="CU129" s="255" t="str">
        <f t="shared" si="2"/>
        <v>MSS</v>
      </c>
    </row>
    <row r="130" ht="60.0" customHeight="1">
      <c r="A130" s="65"/>
      <c r="C130" s="167">
        <v>2.0</v>
      </c>
      <c r="D130" s="168" t="s">
        <v>197</v>
      </c>
      <c r="E130" s="169"/>
      <c r="F130" s="170"/>
      <c r="G130" s="170"/>
      <c r="H130" s="170"/>
      <c r="I130" s="207"/>
      <c r="J130" s="170"/>
      <c r="K130" s="171"/>
      <c r="L130" s="171"/>
      <c r="M130" s="171"/>
      <c r="N130" s="171"/>
      <c r="O130" s="268">
        <f t="shared" si="24"/>
        <v>0</v>
      </c>
      <c r="Q130" s="173"/>
      <c r="R130" s="65"/>
      <c r="S130" s="173"/>
      <c r="T130" s="173"/>
      <c r="U130" s="166"/>
      <c r="V130" s="166"/>
      <c r="W130" s="65"/>
      <c r="X130" s="66"/>
      <c r="Y130" s="173"/>
      <c r="Z130" s="166"/>
      <c r="AA130" s="174"/>
      <c r="AB130" s="175"/>
      <c r="AC130" s="175"/>
      <c r="AD130" s="175"/>
      <c r="AE130" s="175"/>
      <c r="AF130" s="175"/>
      <c r="AG130" s="175"/>
      <c r="AH130" s="175"/>
      <c r="AI130" s="176"/>
      <c r="AJ130" s="177"/>
      <c r="AK130" s="178"/>
      <c r="AL130" s="178"/>
      <c r="AM130" s="178"/>
      <c r="AN130" s="178"/>
      <c r="AO130" s="179"/>
      <c r="AP130" s="64"/>
      <c r="AQ130" s="65"/>
      <c r="AR130" s="65"/>
      <c r="AS130" s="65"/>
      <c r="AT130" s="173"/>
      <c r="AU130" s="177"/>
      <c r="AV130" s="178"/>
      <c r="AW130" s="178"/>
      <c r="AX130" s="179"/>
      <c r="AZ130" s="166"/>
      <c r="BA130" s="177"/>
      <c r="BB130" s="178"/>
      <c r="BC130" s="178"/>
      <c r="BD130" s="178"/>
      <c r="BE130" s="178"/>
      <c r="BF130" s="178"/>
      <c r="BG130" s="178"/>
      <c r="BH130" s="178"/>
      <c r="BI130" s="179"/>
      <c r="BJ130" s="180"/>
      <c r="BK130" s="178"/>
      <c r="BL130" s="178"/>
      <c r="BM130" s="178"/>
      <c r="BN130" s="178"/>
      <c r="BO130" s="181"/>
      <c r="BP130" s="166"/>
      <c r="BQ130" s="177"/>
      <c r="BR130" s="178"/>
      <c r="BS130" s="179"/>
      <c r="BU130" s="166"/>
      <c r="BV130" s="166"/>
      <c r="BW130" s="166"/>
      <c r="BX130" s="166"/>
      <c r="BY130" s="166"/>
      <c r="BZ130" s="166"/>
      <c r="CA130" s="166"/>
      <c r="CB130" s="166"/>
      <c r="CC130" s="166"/>
      <c r="CD130" s="177"/>
      <c r="CE130" s="181"/>
      <c r="CF130" s="177"/>
      <c r="CG130" s="179"/>
      <c r="CH130" s="257"/>
      <c r="CI130" s="182"/>
      <c r="CJ130" s="177"/>
      <c r="CK130" s="182"/>
      <c r="CL130" s="177"/>
      <c r="CM130" s="182"/>
      <c r="CN130" s="177"/>
      <c r="CO130" s="182"/>
      <c r="CP130" s="177"/>
      <c r="CQ130" s="178"/>
      <c r="CR130" s="182"/>
      <c r="CS130" s="173"/>
      <c r="CT130" s="65"/>
      <c r="CU130" s="255" t="str">
        <f t="shared" si="2"/>
        <v>MSS</v>
      </c>
    </row>
    <row r="131" ht="60.0" customHeight="1">
      <c r="A131" s="65"/>
      <c r="C131" s="167">
        <v>3.0</v>
      </c>
      <c r="D131" s="168" t="s">
        <v>197</v>
      </c>
      <c r="E131" s="169"/>
      <c r="F131" s="170"/>
      <c r="G131" s="170"/>
      <c r="H131" s="170"/>
      <c r="I131" s="207"/>
      <c r="J131" s="170"/>
      <c r="K131" s="171"/>
      <c r="L131" s="171"/>
      <c r="M131" s="171"/>
      <c r="N131" s="171"/>
      <c r="O131" s="268">
        <f t="shared" si="24"/>
        <v>0</v>
      </c>
      <c r="Q131" s="173"/>
      <c r="R131" s="65"/>
      <c r="S131" s="173"/>
      <c r="T131" s="173"/>
      <c r="U131" s="166"/>
      <c r="V131" s="166"/>
      <c r="W131" s="65"/>
      <c r="X131" s="66"/>
      <c r="Y131" s="173"/>
      <c r="Z131" s="166"/>
      <c r="AA131" s="174"/>
      <c r="AB131" s="175"/>
      <c r="AC131" s="175"/>
      <c r="AD131" s="175"/>
      <c r="AE131" s="175"/>
      <c r="AF131" s="175"/>
      <c r="AG131" s="175"/>
      <c r="AH131" s="175"/>
      <c r="AI131" s="176"/>
      <c r="AJ131" s="177"/>
      <c r="AK131" s="178"/>
      <c r="AL131" s="178"/>
      <c r="AM131" s="178"/>
      <c r="AN131" s="178"/>
      <c r="AO131" s="179"/>
      <c r="AP131" s="64"/>
      <c r="AQ131" s="65"/>
      <c r="AR131" s="65"/>
      <c r="AS131" s="65"/>
      <c r="AT131" s="173"/>
      <c r="AU131" s="177"/>
      <c r="AV131" s="178"/>
      <c r="AW131" s="178"/>
      <c r="AX131" s="179"/>
      <c r="AZ131" s="166"/>
      <c r="BA131" s="177"/>
      <c r="BB131" s="178"/>
      <c r="BC131" s="178"/>
      <c r="BD131" s="178"/>
      <c r="BE131" s="178"/>
      <c r="BF131" s="178"/>
      <c r="BG131" s="178"/>
      <c r="BH131" s="178"/>
      <c r="BI131" s="179"/>
      <c r="BJ131" s="180"/>
      <c r="BK131" s="178"/>
      <c r="BL131" s="178"/>
      <c r="BM131" s="178"/>
      <c r="BN131" s="178"/>
      <c r="BO131" s="181"/>
      <c r="BP131" s="166"/>
      <c r="BQ131" s="177"/>
      <c r="BR131" s="178"/>
      <c r="BS131" s="179"/>
      <c r="BU131" s="166"/>
      <c r="BV131" s="166"/>
      <c r="BW131" s="166"/>
      <c r="BX131" s="166"/>
      <c r="BY131" s="166"/>
      <c r="BZ131" s="166"/>
      <c r="CA131" s="166"/>
      <c r="CB131" s="166"/>
      <c r="CC131" s="166"/>
      <c r="CD131" s="177"/>
      <c r="CE131" s="181"/>
      <c r="CF131" s="177"/>
      <c r="CG131" s="179"/>
      <c r="CH131" s="257"/>
      <c r="CI131" s="182"/>
      <c r="CJ131" s="177"/>
      <c r="CK131" s="182"/>
      <c r="CL131" s="177"/>
      <c r="CM131" s="182"/>
      <c r="CN131" s="177"/>
      <c r="CO131" s="182"/>
      <c r="CP131" s="177"/>
      <c r="CQ131" s="178"/>
      <c r="CR131" s="182"/>
      <c r="CS131" s="173"/>
      <c r="CT131" s="65"/>
      <c r="CU131" s="255" t="str">
        <f t="shared" si="2"/>
        <v>MSS</v>
      </c>
    </row>
    <row r="132" ht="60.0" customHeight="1">
      <c r="A132" s="65"/>
      <c r="C132" s="167">
        <v>4.0</v>
      </c>
      <c r="D132" s="168" t="s">
        <v>197</v>
      </c>
      <c r="E132" s="169"/>
      <c r="F132" s="170"/>
      <c r="G132" s="170"/>
      <c r="H132" s="170"/>
      <c r="I132" s="207"/>
      <c r="J132" s="170"/>
      <c r="K132" s="171"/>
      <c r="L132" s="171"/>
      <c r="M132" s="171"/>
      <c r="N132" s="171"/>
      <c r="O132" s="268">
        <f t="shared" si="24"/>
        <v>0</v>
      </c>
      <c r="Q132" s="173"/>
      <c r="R132" s="65"/>
      <c r="S132" s="173"/>
      <c r="T132" s="173"/>
      <c r="U132" s="166"/>
      <c r="V132" s="166"/>
      <c r="W132" s="65"/>
      <c r="X132" s="66"/>
      <c r="Y132" s="173"/>
      <c r="Z132" s="166"/>
      <c r="AA132" s="174"/>
      <c r="AB132" s="175"/>
      <c r="AC132" s="175"/>
      <c r="AD132" s="175"/>
      <c r="AE132" s="175"/>
      <c r="AF132" s="175"/>
      <c r="AG132" s="175"/>
      <c r="AH132" s="175"/>
      <c r="AI132" s="176"/>
      <c r="AJ132" s="177"/>
      <c r="AK132" s="178"/>
      <c r="AL132" s="178"/>
      <c r="AM132" s="178"/>
      <c r="AN132" s="178"/>
      <c r="AO132" s="179"/>
      <c r="AP132" s="64"/>
      <c r="AQ132" s="65"/>
      <c r="AR132" s="65"/>
      <c r="AS132" s="65"/>
      <c r="AT132" s="173"/>
      <c r="AU132" s="177"/>
      <c r="AV132" s="178"/>
      <c r="AW132" s="178"/>
      <c r="AX132" s="179"/>
      <c r="AZ132" s="166"/>
      <c r="BA132" s="177"/>
      <c r="BB132" s="178"/>
      <c r="BC132" s="178"/>
      <c r="BD132" s="178"/>
      <c r="BE132" s="178"/>
      <c r="BF132" s="178"/>
      <c r="BG132" s="178"/>
      <c r="BH132" s="178"/>
      <c r="BI132" s="179"/>
      <c r="BJ132" s="180"/>
      <c r="BK132" s="178"/>
      <c r="BL132" s="178"/>
      <c r="BM132" s="178"/>
      <c r="BN132" s="178"/>
      <c r="BO132" s="181"/>
      <c r="BP132" s="166"/>
      <c r="BQ132" s="177"/>
      <c r="BR132" s="178"/>
      <c r="BS132" s="179"/>
      <c r="BU132" s="166"/>
      <c r="BV132" s="166"/>
      <c r="BW132" s="166"/>
      <c r="BX132" s="166"/>
      <c r="BY132" s="166"/>
      <c r="BZ132" s="166"/>
      <c r="CA132" s="166"/>
      <c r="CB132" s="166"/>
      <c r="CC132" s="166"/>
      <c r="CD132" s="177"/>
      <c r="CE132" s="181"/>
      <c r="CF132" s="177"/>
      <c r="CG132" s="179"/>
      <c r="CH132" s="257"/>
      <c r="CI132" s="182"/>
      <c r="CJ132" s="177"/>
      <c r="CK132" s="182"/>
      <c r="CL132" s="177"/>
      <c r="CM132" s="182"/>
      <c r="CN132" s="177"/>
      <c r="CO132" s="182"/>
      <c r="CP132" s="177"/>
      <c r="CQ132" s="178"/>
      <c r="CR132" s="182"/>
      <c r="CS132" s="173"/>
      <c r="CT132" s="65"/>
      <c r="CU132" s="255" t="str">
        <f t="shared" si="2"/>
        <v>MSS</v>
      </c>
    </row>
    <row r="133" ht="60.0" customHeight="1">
      <c r="A133" s="65"/>
      <c r="C133" s="167">
        <v>5.0</v>
      </c>
      <c r="D133" s="168" t="s">
        <v>197</v>
      </c>
      <c r="E133" s="169"/>
      <c r="F133" s="170"/>
      <c r="G133" s="170"/>
      <c r="H133" s="170"/>
      <c r="I133" s="207"/>
      <c r="J133" s="170"/>
      <c r="K133" s="171"/>
      <c r="L133" s="171"/>
      <c r="M133" s="171"/>
      <c r="N133" s="171"/>
      <c r="O133" s="268">
        <f t="shared" si="24"/>
        <v>0</v>
      </c>
      <c r="Q133" s="173"/>
      <c r="R133" s="65"/>
      <c r="S133" s="173"/>
      <c r="T133" s="173"/>
      <c r="U133" s="166"/>
      <c r="V133" s="166"/>
      <c r="W133" s="65"/>
      <c r="X133" s="66"/>
      <c r="Y133" s="173"/>
      <c r="Z133" s="166"/>
      <c r="AA133" s="174"/>
      <c r="AB133" s="175"/>
      <c r="AC133" s="175"/>
      <c r="AD133" s="175"/>
      <c r="AE133" s="175"/>
      <c r="AF133" s="175"/>
      <c r="AG133" s="175"/>
      <c r="AH133" s="175"/>
      <c r="AI133" s="176"/>
      <c r="AJ133" s="177"/>
      <c r="AK133" s="178"/>
      <c r="AL133" s="178"/>
      <c r="AM133" s="178"/>
      <c r="AN133" s="178"/>
      <c r="AO133" s="179"/>
      <c r="AP133" s="64"/>
      <c r="AQ133" s="65"/>
      <c r="AR133" s="65"/>
      <c r="AS133" s="65"/>
      <c r="AT133" s="173"/>
      <c r="AU133" s="177"/>
      <c r="AV133" s="178"/>
      <c r="AW133" s="178"/>
      <c r="AX133" s="179"/>
      <c r="AZ133" s="166"/>
      <c r="BA133" s="177"/>
      <c r="BB133" s="178"/>
      <c r="BC133" s="178"/>
      <c r="BD133" s="178"/>
      <c r="BE133" s="178"/>
      <c r="BF133" s="178"/>
      <c r="BG133" s="178"/>
      <c r="BH133" s="178"/>
      <c r="BI133" s="179"/>
      <c r="BJ133" s="180"/>
      <c r="BK133" s="178"/>
      <c r="BL133" s="178"/>
      <c r="BM133" s="178"/>
      <c r="BN133" s="178"/>
      <c r="BO133" s="181"/>
      <c r="BP133" s="166"/>
      <c r="BQ133" s="177"/>
      <c r="BR133" s="178"/>
      <c r="BS133" s="179"/>
      <c r="BU133" s="166"/>
      <c r="BV133" s="166"/>
      <c r="BW133" s="166"/>
      <c r="BX133" s="166"/>
      <c r="BY133" s="166"/>
      <c r="BZ133" s="166"/>
      <c r="CA133" s="166"/>
      <c r="CB133" s="166"/>
      <c r="CC133" s="166"/>
      <c r="CD133" s="177"/>
      <c r="CE133" s="181"/>
      <c r="CF133" s="177"/>
      <c r="CG133" s="179"/>
      <c r="CH133" s="257"/>
      <c r="CI133" s="182"/>
      <c r="CJ133" s="177"/>
      <c r="CK133" s="182"/>
      <c r="CL133" s="177"/>
      <c r="CM133" s="182"/>
      <c r="CN133" s="177"/>
      <c r="CO133" s="182"/>
      <c r="CP133" s="177"/>
      <c r="CQ133" s="178"/>
      <c r="CR133" s="182"/>
      <c r="CS133" s="173"/>
      <c r="CT133" s="65"/>
      <c r="CU133" s="255" t="str">
        <f t="shared" si="2"/>
        <v>MSS</v>
      </c>
    </row>
    <row r="134" ht="60.0" customHeight="1">
      <c r="A134" s="65"/>
      <c r="C134" s="167">
        <v>6.0</v>
      </c>
      <c r="D134" s="168" t="s">
        <v>197</v>
      </c>
      <c r="E134" s="169"/>
      <c r="F134" s="170"/>
      <c r="G134" s="170"/>
      <c r="H134" s="170"/>
      <c r="I134" s="207"/>
      <c r="J134" s="170"/>
      <c r="K134" s="171"/>
      <c r="L134" s="171"/>
      <c r="M134" s="171"/>
      <c r="N134" s="171"/>
      <c r="O134" s="268">
        <f t="shared" si="24"/>
        <v>0</v>
      </c>
      <c r="Q134" s="173"/>
      <c r="R134" s="65"/>
      <c r="S134" s="173"/>
      <c r="T134" s="173"/>
      <c r="U134" s="166"/>
      <c r="V134" s="166"/>
      <c r="W134" s="65"/>
      <c r="X134" s="66"/>
      <c r="Y134" s="173"/>
      <c r="Z134" s="166"/>
      <c r="AA134" s="174"/>
      <c r="AB134" s="175"/>
      <c r="AC134" s="175"/>
      <c r="AD134" s="175"/>
      <c r="AE134" s="175"/>
      <c r="AF134" s="175"/>
      <c r="AG134" s="175"/>
      <c r="AH134" s="175"/>
      <c r="AI134" s="176"/>
      <c r="AJ134" s="177"/>
      <c r="AK134" s="178"/>
      <c r="AL134" s="178"/>
      <c r="AM134" s="178"/>
      <c r="AN134" s="178"/>
      <c r="AO134" s="179"/>
      <c r="AP134" s="64"/>
      <c r="AQ134" s="65"/>
      <c r="AR134" s="65"/>
      <c r="AS134" s="65"/>
      <c r="AT134" s="173"/>
      <c r="AU134" s="177"/>
      <c r="AV134" s="178"/>
      <c r="AW134" s="178"/>
      <c r="AX134" s="179"/>
      <c r="AZ134" s="166"/>
      <c r="BA134" s="177"/>
      <c r="BB134" s="178"/>
      <c r="BC134" s="178"/>
      <c r="BD134" s="178"/>
      <c r="BE134" s="178"/>
      <c r="BF134" s="178"/>
      <c r="BG134" s="178"/>
      <c r="BH134" s="178"/>
      <c r="BI134" s="179"/>
      <c r="BJ134" s="180"/>
      <c r="BK134" s="178"/>
      <c r="BL134" s="178"/>
      <c r="BM134" s="178"/>
      <c r="BN134" s="178"/>
      <c r="BO134" s="181"/>
      <c r="BP134" s="166"/>
      <c r="BQ134" s="177"/>
      <c r="BR134" s="178"/>
      <c r="BS134" s="179"/>
      <c r="BU134" s="166"/>
      <c r="BV134" s="166"/>
      <c r="BW134" s="166"/>
      <c r="BX134" s="166"/>
      <c r="BY134" s="166"/>
      <c r="BZ134" s="166"/>
      <c r="CA134" s="166"/>
      <c r="CB134" s="166"/>
      <c r="CC134" s="166"/>
      <c r="CD134" s="177"/>
      <c r="CE134" s="181"/>
      <c r="CF134" s="177"/>
      <c r="CG134" s="179"/>
      <c r="CH134" s="257"/>
      <c r="CI134" s="182"/>
      <c r="CJ134" s="177"/>
      <c r="CK134" s="182"/>
      <c r="CL134" s="177"/>
      <c r="CM134" s="182"/>
      <c r="CN134" s="177"/>
      <c r="CO134" s="182"/>
      <c r="CP134" s="177"/>
      <c r="CQ134" s="178"/>
      <c r="CR134" s="182"/>
      <c r="CS134" s="173"/>
      <c r="CT134" s="65"/>
      <c r="CU134" s="255" t="str">
        <f t="shared" si="2"/>
        <v>MSS</v>
      </c>
    </row>
    <row r="135" ht="60.0" customHeight="1">
      <c r="A135" s="65"/>
      <c r="C135" s="167">
        <v>7.0</v>
      </c>
      <c r="D135" s="168" t="s">
        <v>197</v>
      </c>
      <c r="E135" s="169"/>
      <c r="F135" s="170"/>
      <c r="G135" s="170"/>
      <c r="H135" s="170"/>
      <c r="I135" s="207"/>
      <c r="J135" s="170"/>
      <c r="K135" s="171"/>
      <c r="L135" s="171"/>
      <c r="M135" s="171"/>
      <c r="N135" s="171"/>
      <c r="O135" s="268">
        <f t="shared" ref="O135:O138" si="25">IF(AND(M135&gt;=20,M135&lt;&gt;"m",RIGHT(K135,3)="Lec"),1,IF(AND(M135&gt;=20,M135&lt;&gt;"m",OR(RIGHT(K135,3)="Lab",RIGHT(K135,3)="Tut")),0.5,IF(AND(M135&gt;=20,M135&lt;&gt;"m",RIGHT(K135,2)="TL"),0.75,0)))</f>
        <v>0</v>
      </c>
      <c r="Q135" s="173"/>
      <c r="R135" s="65"/>
      <c r="S135" s="173"/>
      <c r="T135" s="173"/>
      <c r="U135" s="166"/>
      <c r="V135" s="166"/>
      <c r="W135" s="65"/>
      <c r="X135" s="66"/>
      <c r="Y135" s="173"/>
      <c r="Z135" s="166"/>
      <c r="AA135" s="174"/>
      <c r="AB135" s="175"/>
      <c r="AC135" s="175"/>
      <c r="AD135" s="175"/>
      <c r="AE135" s="175"/>
      <c r="AF135" s="175"/>
      <c r="AG135" s="175"/>
      <c r="AH135" s="175"/>
      <c r="AI135" s="176"/>
      <c r="AJ135" s="177"/>
      <c r="AK135" s="178"/>
      <c r="AL135" s="178"/>
      <c r="AM135" s="178"/>
      <c r="AN135" s="178"/>
      <c r="AO135" s="179"/>
      <c r="AP135" s="64"/>
      <c r="AQ135" s="65"/>
      <c r="AR135" s="65"/>
      <c r="AS135" s="65"/>
      <c r="AT135" s="173"/>
      <c r="AU135" s="177"/>
      <c r="AV135" s="178"/>
      <c r="AW135" s="178"/>
      <c r="AX135" s="179"/>
      <c r="AZ135" s="166"/>
      <c r="BA135" s="177"/>
      <c r="BB135" s="178"/>
      <c r="BC135" s="178"/>
      <c r="BD135" s="178"/>
      <c r="BE135" s="178"/>
      <c r="BF135" s="178"/>
      <c r="BG135" s="178"/>
      <c r="BH135" s="178"/>
      <c r="BI135" s="179"/>
      <c r="BJ135" s="180"/>
      <c r="BK135" s="178"/>
      <c r="BL135" s="178"/>
      <c r="BM135" s="178"/>
      <c r="BN135" s="178"/>
      <c r="BO135" s="181"/>
      <c r="BP135" s="166"/>
      <c r="BQ135" s="177"/>
      <c r="BR135" s="178"/>
      <c r="BS135" s="179"/>
      <c r="BU135" s="166"/>
      <c r="BV135" s="166"/>
      <c r="BW135" s="166"/>
      <c r="BX135" s="166"/>
      <c r="BY135" s="166"/>
      <c r="BZ135" s="166"/>
      <c r="CA135" s="166"/>
      <c r="CB135" s="166"/>
      <c r="CC135" s="166"/>
      <c r="CD135" s="177"/>
      <c r="CE135" s="181"/>
      <c r="CF135" s="177"/>
      <c r="CG135" s="179"/>
      <c r="CH135" s="257"/>
      <c r="CI135" s="182"/>
      <c r="CJ135" s="177"/>
      <c r="CK135" s="182"/>
      <c r="CL135" s="177"/>
      <c r="CM135" s="182"/>
      <c r="CN135" s="177"/>
      <c r="CO135" s="182"/>
      <c r="CP135" s="177"/>
      <c r="CQ135" s="178"/>
      <c r="CR135" s="182"/>
      <c r="CS135" s="173"/>
      <c r="CT135" s="65"/>
      <c r="CU135" s="255" t="str">
        <f t="shared" si="2"/>
        <v>MSS</v>
      </c>
    </row>
    <row r="136" ht="60.0" customHeight="1">
      <c r="A136" s="65"/>
      <c r="C136" s="167">
        <v>8.0</v>
      </c>
      <c r="D136" s="168" t="s">
        <v>197</v>
      </c>
      <c r="E136" s="169"/>
      <c r="F136" s="170"/>
      <c r="G136" s="170"/>
      <c r="H136" s="170"/>
      <c r="I136" s="207"/>
      <c r="J136" s="170"/>
      <c r="K136" s="171"/>
      <c r="L136" s="171"/>
      <c r="M136" s="171"/>
      <c r="N136" s="171"/>
      <c r="O136" s="268">
        <f t="shared" si="25"/>
        <v>0</v>
      </c>
      <c r="Q136" s="173"/>
      <c r="R136" s="65"/>
      <c r="S136" s="173"/>
      <c r="T136" s="173"/>
      <c r="U136" s="166"/>
      <c r="V136" s="166"/>
      <c r="W136" s="65"/>
      <c r="X136" s="66"/>
      <c r="Y136" s="173"/>
      <c r="Z136" s="166"/>
      <c r="AA136" s="174"/>
      <c r="AB136" s="175"/>
      <c r="AC136" s="175"/>
      <c r="AD136" s="175"/>
      <c r="AE136" s="175"/>
      <c r="AF136" s="175"/>
      <c r="AG136" s="175"/>
      <c r="AH136" s="175"/>
      <c r="AI136" s="176"/>
      <c r="AJ136" s="177"/>
      <c r="AK136" s="178"/>
      <c r="AL136" s="178"/>
      <c r="AM136" s="178"/>
      <c r="AN136" s="178"/>
      <c r="AO136" s="179"/>
      <c r="AP136" s="64"/>
      <c r="AQ136" s="65"/>
      <c r="AR136" s="65"/>
      <c r="AS136" s="65"/>
      <c r="AT136" s="173"/>
      <c r="AU136" s="177"/>
      <c r="AV136" s="178"/>
      <c r="AW136" s="178"/>
      <c r="AX136" s="179"/>
      <c r="AZ136" s="166"/>
      <c r="BA136" s="177"/>
      <c r="BB136" s="178"/>
      <c r="BC136" s="178"/>
      <c r="BD136" s="178"/>
      <c r="BE136" s="178"/>
      <c r="BF136" s="178"/>
      <c r="BG136" s="178"/>
      <c r="BH136" s="178"/>
      <c r="BI136" s="179"/>
      <c r="BJ136" s="180"/>
      <c r="BK136" s="178"/>
      <c r="BL136" s="178"/>
      <c r="BM136" s="178"/>
      <c r="BN136" s="178"/>
      <c r="BO136" s="181"/>
      <c r="BP136" s="166"/>
      <c r="BQ136" s="177"/>
      <c r="BR136" s="178"/>
      <c r="BS136" s="179"/>
      <c r="BU136" s="166"/>
      <c r="BV136" s="166"/>
      <c r="BW136" s="166"/>
      <c r="BX136" s="166"/>
      <c r="BY136" s="166"/>
      <c r="BZ136" s="166"/>
      <c r="CA136" s="166"/>
      <c r="CB136" s="166"/>
      <c r="CC136" s="166"/>
      <c r="CD136" s="177"/>
      <c r="CE136" s="181"/>
      <c r="CF136" s="177"/>
      <c r="CG136" s="179"/>
      <c r="CH136" s="257"/>
      <c r="CI136" s="182"/>
      <c r="CJ136" s="177"/>
      <c r="CK136" s="182"/>
      <c r="CL136" s="177"/>
      <c r="CM136" s="182"/>
      <c r="CN136" s="177"/>
      <c r="CO136" s="182"/>
      <c r="CP136" s="177"/>
      <c r="CQ136" s="178"/>
      <c r="CR136" s="182"/>
      <c r="CS136" s="173"/>
      <c r="CT136" s="65"/>
      <c r="CU136" s="255" t="str">
        <f t="shared" si="2"/>
        <v>MSS</v>
      </c>
    </row>
    <row r="137" ht="60.0" customHeight="1">
      <c r="A137" s="65"/>
      <c r="C137" s="167">
        <v>9.0</v>
      </c>
      <c r="D137" s="168" t="s">
        <v>197</v>
      </c>
      <c r="E137" s="169"/>
      <c r="F137" s="170"/>
      <c r="G137" s="170"/>
      <c r="H137" s="170"/>
      <c r="I137" s="207"/>
      <c r="J137" s="170"/>
      <c r="K137" s="171"/>
      <c r="L137" s="171"/>
      <c r="M137" s="171"/>
      <c r="N137" s="171"/>
      <c r="O137" s="268">
        <f t="shared" si="25"/>
        <v>0</v>
      </c>
      <c r="Q137" s="173"/>
      <c r="R137" s="65"/>
      <c r="S137" s="173"/>
      <c r="T137" s="173"/>
      <c r="U137" s="166"/>
      <c r="V137" s="166"/>
      <c r="W137" s="65"/>
      <c r="X137" s="66"/>
      <c r="Y137" s="173"/>
      <c r="Z137" s="166"/>
      <c r="AA137" s="174"/>
      <c r="AB137" s="175"/>
      <c r="AC137" s="175"/>
      <c r="AD137" s="175"/>
      <c r="AE137" s="175"/>
      <c r="AF137" s="175"/>
      <c r="AG137" s="175"/>
      <c r="AH137" s="175"/>
      <c r="AI137" s="176"/>
      <c r="AJ137" s="177"/>
      <c r="AK137" s="178"/>
      <c r="AL137" s="178"/>
      <c r="AM137" s="178"/>
      <c r="AN137" s="178"/>
      <c r="AO137" s="179"/>
      <c r="AP137" s="64"/>
      <c r="AQ137" s="65"/>
      <c r="AR137" s="65"/>
      <c r="AS137" s="65"/>
      <c r="AT137" s="173"/>
      <c r="AU137" s="177"/>
      <c r="AV137" s="178"/>
      <c r="AW137" s="178"/>
      <c r="AX137" s="179"/>
      <c r="AZ137" s="166"/>
      <c r="BA137" s="177"/>
      <c r="BB137" s="178"/>
      <c r="BC137" s="178"/>
      <c r="BD137" s="178"/>
      <c r="BE137" s="178"/>
      <c r="BF137" s="178"/>
      <c r="BG137" s="178"/>
      <c r="BH137" s="178"/>
      <c r="BI137" s="179"/>
      <c r="BJ137" s="180"/>
      <c r="BK137" s="178"/>
      <c r="BL137" s="178"/>
      <c r="BM137" s="178"/>
      <c r="BN137" s="178"/>
      <c r="BO137" s="181"/>
      <c r="BP137" s="166"/>
      <c r="BQ137" s="177"/>
      <c r="BR137" s="178"/>
      <c r="BS137" s="179"/>
      <c r="BU137" s="166"/>
      <c r="BV137" s="166"/>
      <c r="BW137" s="166"/>
      <c r="BX137" s="166"/>
      <c r="BY137" s="166"/>
      <c r="BZ137" s="166"/>
      <c r="CA137" s="166"/>
      <c r="CB137" s="166"/>
      <c r="CC137" s="166"/>
      <c r="CD137" s="177"/>
      <c r="CE137" s="181"/>
      <c r="CF137" s="177"/>
      <c r="CG137" s="179"/>
      <c r="CH137" s="257"/>
      <c r="CI137" s="182"/>
      <c r="CJ137" s="177"/>
      <c r="CK137" s="182"/>
      <c r="CL137" s="177"/>
      <c r="CM137" s="182"/>
      <c r="CN137" s="177"/>
      <c r="CO137" s="182"/>
      <c r="CP137" s="177"/>
      <c r="CQ137" s="178"/>
      <c r="CR137" s="182"/>
      <c r="CS137" s="173"/>
      <c r="CT137" s="65"/>
      <c r="CU137" s="255" t="str">
        <f t="shared" si="2"/>
        <v>MSS</v>
      </c>
    </row>
    <row r="138" ht="60.0" customHeight="1">
      <c r="A138" s="65"/>
      <c r="C138" s="167">
        <v>10.0</v>
      </c>
      <c r="D138" s="168" t="s">
        <v>197</v>
      </c>
      <c r="E138" s="169"/>
      <c r="F138" s="170"/>
      <c r="G138" s="170"/>
      <c r="H138" s="170"/>
      <c r="I138" s="207"/>
      <c r="J138" s="170"/>
      <c r="K138" s="171"/>
      <c r="L138" s="171"/>
      <c r="M138" s="171"/>
      <c r="N138" s="171"/>
      <c r="O138" s="268">
        <f t="shared" si="25"/>
        <v>0</v>
      </c>
      <c r="Q138" s="173"/>
      <c r="R138" s="65"/>
      <c r="S138" s="173"/>
      <c r="T138" s="173"/>
      <c r="U138" s="166"/>
      <c r="V138" s="166"/>
      <c r="W138" s="65"/>
      <c r="X138" s="66"/>
      <c r="Y138" s="173"/>
      <c r="Z138" s="166"/>
      <c r="AA138" s="174"/>
      <c r="AB138" s="175"/>
      <c r="AC138" s="175"/>
      <c r="AD138" s="175"/>
      <c r="AE138" s="175"/>
      <c r="AF138" s="175"/>
      <c r="AG138" s="175"/>
      <c r="AH138" s="175"/>
      <c r="AI138" s="176"/>
      <c r="AJ138" s="177"/>
      <c r="AK138" s="178"/>
      <c r="AL138" s="178"/>
      <c r="AM138" s="178"/>
      <c r="AN138" s="178"/>
      <c r="AO138" s="179"/>
      <c r="AP138" s="64"/>
      <c r="AQ138" s="65"/>
      <c r="AR138" s="65"/>
      <c r="AS138" s="65"/>
      <c r="AT138" s="173"/>
      <c r="AU138" s="177"/>
      <c r="AV138" s="178"/>
      <c r="AW138" s="178"/>
      <c r="AX138" s="179"/>
      <c r="AZ138" s="166"/>
      <c r="BA138" s="177"/>
      <c r="BB138" s="178"/>
      <c r="BC138" s="178"/>
      <c r="BD138" s="178"/>
      <c r="BE138" s="178"/>
      <c r="BF138" s="178"/>
      <c r="BG138" s="178"/>
      <c r="BH138" s="178"/>
      <c r="BI138" s="179"/>
      <c r="BJ138" s="180"/>
      <c r="BK138" s="178"/>
      <c r="BL138" s="178"/>
      <c r="BM138" s="178"/>
      <c r="BN138" s="178"/>
      <c r="BO138" s="181"/>
      <c r="BP138" s="166"/>
      <c r="BQ138" s="177"/>
      <c r="BR138" s="178"/>
      <c r="BS138" s="179"/>
      <c r="BU138" s="166"/>
      <c r="BV138" s="166"/>
      <c r="BW138" s="166"/>
      <c r="BX138" s="166"/>
      <c r="BY138" s="166"/>
      <c r="BZ138" s="166"/>
      <c r="CA138" s="166"/>
      <c r="CB138" s="166"/>
      <c r="CC138" s="166"/>
      <c r="CD138" s="177"/>
      <c r="CE138" s="181"/>
      <c r="CF138" s="177"/>
      <c r="CG138" s="179"/>
      <c r="CH138" s="257"/>
      <c r="CI138" s="182"/>
      <c r="CJ138" s="177"/>
      <c r="CK138" s="182"/>
      <c r="CL138" s="177"/>
      <c r="CM138" s="182"/>
      <c r="CN138" s="177"/>
      <c r="CO138" s="182"/>
      <c r="CP138" s="177"/>
      <c r="CQ138" s="178"/>
      <c r="CR138" s="182"/>
      <c r="CS138" s="173"/>
      <c r="CT138" s="65"/>
      <c r="CU138" s="255" t="str">
        <f t="shared" si="2"/>
        <v>MSS</v>
      </c>
    </row>
    <row r="139" ht="60.0" customHeight="1">
      <c r="A139" s="89"/>
      <c r="C139" s="183">
        <v>11.0</v>
      </c>
      <c r="D139" s="210" t="s">
        <v>197</v>
      </c>
      <c r="E139" s="185"/>
      <c r="F139" s="186"/>
      <c r="G139" s="186"/>
      <c r="H139" s="186"/>
      <c r="I139" s="212"/>
      <c r="J139" s="186"/>
      <c r="K139" s="187"/>
      <c r="L139" s="187"/>
      <c r="M139" s="187"/>
      <c r="N139" s="187"/>
      <c r="O139" s="269">
        <f t="shared" ref="O139:O145" si="26">IF(AND(M139&lt;&gt;0,M139&lt;&gt;"m",M139&lt;&gt;"",RIGHT(K139,3)="Lec"),1,IF(AND(M139&lt;&gt;0,M139&lt;&gt;"m",M139&lt;&gt;"",OR(RIGHT(K139,3)="Lab",RIGHT(K139,3)="Tut")),0.5,IF(AND(M139&lt;&gt;0,M139&lt;&gt;"m",M139&lt;&gt;"",RIGHT(K139,2)="TL"),0.75,0)))</f>
        <v>0</v>
      </c>
      <c r="P139" s="6"/>
      <c r="Q139" s="69"/>
      <c r="R139" s="89"/>
      <c r="S139" s="69"/>
      <c r="T139" s="69"/>
      <c r="U139" s="63"/>
      <c r="V139" s="63"/>
      <c r="W139" s="89"/>
      <c r="X139" s="68"/>
      <c r="Y139" s="69"/>
      <c r="Z139" s="63"/>
      <c r="AA139" s="189"/>
      <c r="AB139" s="190"/>
      <c r="AC139" s="190"/>
      <c r="AD139" s="190"/>
      <c r="AE139" s="190"/>
      <c r="AF139" s="190"/>
      <c r="AG139" s="190"/>
      <c r="AH139" s="190"/>
      <c r="AI139" s="191"/>
      <c r="AJ139" s="192"/>
      <c r="AK139" s="193"/>
      <c r="AL139" s="193"/>
      <c r="AM139" s="193"/>
      <c r="AN139" s="193"/>
      <c r="AO139" s="194"/>
      <c r="AP139" s="103"/>
      <c r="AQ139" s="89"/>
      <c r="AR139" s="89"/>
      <c r="AS139" s="89"/>
      <c r="AT139" s="69"/>
      <c r="AU139" s="192"/>
      <c r="AV139" s="193"/>
      <c r="AW139" s="193"/>
      <c r="AX139" s="194"/>
      <c r="AY139" s="6"/>
      <c r="AZ139" s="63"/>
      <c r="BA139" s="192"/>
      <c r="BB139" s="193"/>
      <c r="BC139" s="193"/>
      <c r="BD139" s="193"/>
      <c r="BE139" s="193"/>
      <c r="BF139" s="193"/>
      <c r="BG139" s="193"/>
      <c r="BH139" s="193"/>
      <c r="BI139" s="194"/>
      <c r="BJ139" s="195"/>
      <c r="BK139" s="193"/>
      <c r="BL139" s="193"/>
      <c r="BM139" s="193"/>
      <c r="BN139" s="193"/>
      <c r="BO139" s="196"/>
      <c r="BP139" s="63"/>
      <c r="BQ139" s="192"/>
      <c r="BR139" s="193"/>
      <c r="BS139" s="194"/>
      <c r="BT139" s="6"/>
      <c r="BU139" s="63"/>
      <c r="BV139" s="63"/>
      <c r="BW139" s="63"/>
      <c r="BX139" s="63"/>
      <c r="BY139" s="63"/>
      <c r="BZ139" s="63"/>
      <c r="CA139" s="63"/>
      <c r="CB139" s="63"/>
      <c r="CC139" s="63"/>
      <c r="CD139" s="192"/>
      <c r="CE139" s="196"/>
      <c r="CF139" s="192"/>
      <c r="CG139" s="194"/>
      <c r="CH139" s="259"/>
      <c r="CI139" s="197"/>
      <c r="CJ139" s="192"/>
      <c r="CK139" s="197"/>
      <c r="CL139" s="192"/>
      <c r="CM139" s="197"/>
      <c r="CN139" s="192"/>
      <c r="CO139" s="197"/>
      <c r="CP139" s="192"/>
      <c r="CQ139" s="193"/>
      <c r="CR139" s="197"/>
      <c r="CS139" s="69"/>
      <c r="CT139" s="89"/>
      <c r="CU139" s="255" t="str">
        <f t="shared" si="2"/>
        <v>MSS</v>
      </c>
    </row>
    <row r="140" ht="56.25" customHeight="1">
      <c r="A140" s="125">
        <v>13.0</v>
      </c>
      <c r="B140" s="199" t="s">
        <v>199</v>
      </c>
      <c r="C140" s="127">
        <v>1.0</v>
      </c>
      <c r="D140" s="168" t="s">
        <v>200</v>
      </c>
      <c r="E140" s="129"/>
      <c r="F140" s="130"/>
      <c r="G140" s="130"/>
      <c r="H140" s="130"/>
      <c r="I140" s="201"/>
      <c r="J140" s="130"/>
      <c r="K140" s="131"/>
      <c r="L140" s="131"/>
      <c r="M140" s="131"/>
      <c r="N140" s="131"/>
      <c r="O140" s="267">
        <f t="shared" si="26"/>
        <v>0</v>
      </c>
      <c r="P140" s="251">
        <f>COUNTIF(K140:K150,"TL")*0.75+COUNTIF(K140:K150,"Lec")*1+COUNTIF(K140:K150,"Lab")*0.5</f>
        <v>0</v>
      </c>
      <c r="Q140" s="134">
        <f>SUM((IF(LEFT(K140,1)="E",O140,0)),(IF(LEFT(K141,1)="E",O141,0)),(IF(LEFT(K142,1)="E",O142,0)),(IF(LEFT(K143,1)="E",O143,0)),(IF(LEFT(K144,1)="E",O144,0)),(IF(LEFT(K145,1)="E",O145,0)),(IF(LEFT(K146,1)="E",O146,0)),(IF(LEFT(K147,1)="E",O147,0)),(IF(LEFT(K148,1)="E",O148,0)),(IF(LEFT(K149,1)="E",O149,0)),(IF(LEFT(K150,1)="E",O150,0)))</f>
        <v>0</v>
      </c>
      <c r="R140" s="135">
        <f>SUM(IF(M146&lt;20,IF(K146="Plec",-1,IF(K146="PTL",-0.75,IF(K146="Plab",-0.5,0))),0),IF(M147&lt;20,IF(K147="Plec",-1,IF(K147="PTL",-0.75,IF(K147="Plab",-0.5,0))),0),IF(M148&lt;20,IF(K148="Plec",-1,IF(K148="PTL",-0.75,IF(K148="Plab",-0.5,0))),0),IF(M149&lt;20,IF(K149="Plec",-1,IF(K149="PTL",-0.75,IF(K149="Plab",-0.5,0))),0))</f>
        <v>0</v>
      </c>
      <c r="S140" s="134">
        <f>SUM(P140:R150)</f>
        <v>0</v>
      </c>
      <c r="T140" s="136">
        <f>SUM(IF(M140="M",IF(OR(K140="lec",K140="plec",K140="slec"),1,IF(OR(K140="lab",K140="plab",K140="slab",K140="tut",K140="ptut",K140="stut"),0.5,IF(OR(K140="TL",K140="pTL",K140="STL"),0.75,0))),0),IF(M141="M",IF(OR(K141="lec",K141="plec",K141="slec"),1,IF(OR(K141="lab",K141="plab",K141="slab",K141="tut",K141="ptut",K141="stut"),0.5,IF(OR(K141="TL",K141="pTL",K141="STL"),0.75,0))),0),IF(M142="M",IF(OR(K142="lec",K142="plec",K142="slec"),1,IF(OR(K142="lab",K142="plab",K142="slab",K142="tut",K142="ptut",K142="stut"),0.5,IF(OR(K142="TL",K142="pTL",K142="STL"),0.75,0))),0),IF(M143="M",IF(OR(K143="lec",K143="plec",K143="slec"),1,IF(OR(K143="lab",K143="plab",K143="slab",K143="tut",K143="ptut",K143="stut"),0.5,IF(OR(K143="TL",K143="pTL",K143="STL"),0.75,0))),0),IF(M144="M",IF(OR(K144="lec",K144="plec",K144="slec"),1,IF(OR(K144="lab",K144="plab",K144="slab",K144="tut",K144="ptut",K144="stut"),0.5,IF(OR(K144="TL",K144="pTL",K144="STL"),0.75,0))),0),IF(M145="M",IF(OR(K145="lec",K145="plec",K145="slec"),1,IF(OR(K145="lab",K145="plab",K145="slab",K145="tut",K145="ptut",K145="stut"),0.5,IF(OR(K145="TL",K145="pTL",K145="STL"),0.75,0))),0),IF(M146="M",IF(OR(K146="lec",K146="plec",K146="slec"),1,IF(OR(K146="lab",K146="plab",K146="slab",K146="tut",K146="ptut",K146="stut"),0.5,IF(OR(K146="TL",K146="pTL",K146="STL"),0.75,0))),0),IF(M147="M",IF(OR(K147="lec",K147="plec",K147="slec"),1,IF(OR(K147="lab",K147="plab",K147="slab",K147="tut",K147="ptut",K147="stut"),0.5,IF(OR(K147="TL",K147="pTL",K147="STL"),0.75,0))),0),IF(M148="M",IF(OR(K148="lec",K148="plec",K148="slec"),1,IF(OR(K148="lab",K148="plab",K148="slab",K148="tut",K148="ptut",K148="stut"),0.5,IF(OR(K148="TL",K148="pTL",K148="STL"),0.75,0))),0),IF(M149="M",IF(OR(K149="lec",K149="plec",K149="slec"),1,IF(OR(K149="lab",K149="plab",K149="slab",K149="tut",K149="ptut",K149="stut"),0.5,IF(OR(K149="TL",K149="pTL",K149="STL"),0.75,0))),0),IF(M150="M",IF(OR(K150="lec",K150="plec",K150="slec"),1,IF(OR(K150="lab",K150="plab",K150="slab",K150="tut",K150="ptut",K150="stut"),0.5,IF(OR(K150="TL",K150="pTL",K150="STL"),0.75,0))),0))</f>
        <v>0</v>
      </c>
      <c r="U140" s="137"/>
      <c r="V140" s="133"/>
      <c r="W140" s="138"/>
      <c r="X140" s="139">
        <f>S140-(T140+U140+V140+W140)</f>
        <v>0</v>
      </c>
      <c r="Y140" s="134" t="str">
        <f>CONCATENATE(SUM(O140:O150),"(",SUM(O140:O150)-X140,")")</f>
        <v>0(0)</v>
      </c>
      <c r="Z140" s="140"/>
      <c r="AA140" s="141"/>
      <c r="AB140" s="142"/>
      <c r="AC140" s="142"/>
      <c r="AD140" s="142"/>
      <c r="AE140" s="142"/>
      <c r="AF140" s="142"/>
      <c r="AG140" s="142"/>
      <c r="AH140" s="142"/>
      <c r="AI140" s="143"/>
      <c r="AJ140" s="144"/>
      <c r="AK140" s="145"/>
      <c r="AL140" s="145"/>
      <c r="AM140" s="145"/>
      <c r="AN140" s="145"/>
      <c r="AO140" s="146"/>
      <c r="AP140" s="147">
        <f>SUM(SUM(O140:O150),SUM(AI140:AI150)/2,AM140)</f>
        <v>0</v>
      </c>
      <c r="AQ140" s="148"/>
      <c r="AR140" s="148">
        <f>AP140*AQ140</f>
        <v>0</v>
      </c>
      <c r="AS140" s="148">
        <f>CT140</f>
        <v>0</v>
      </c>
      <c r="AT140" s="149">
        <f>AR140*0.75+AS140*0.25</f>
        <v>0</v>
      </c>
      <c r="AU140" s="150"/>
      <c r="AV140" s="151"/>
      <c r="AW140" s="151"/>
      <c r="AX140" s="152"/>
      <c r="AY140" s="153"/>
      <c r="AZ140" s="140"/>
      <c r="BA140" s="150"/>
      <c r="BB140" s="151"/>
      <c r="BC140" s="151"/>
      <c r="BD140" s="151"/>
      <c r="BE140" s="151"/>
      <c r="BF140" s="151"/>
      <c r="BG140" s="151"/>
      <c r="BH140" s="151"/>
      <c r="BI140" s="152"/>
      <c r="BJ140" s="154"/>
      <c r="BK140" s="151"/>
      <c r="BL140" s="151"/>
      <c r="BM140" s="151"/>
      <c r="BN140" s="151"/>
      <c r="BO140" s="155"/>
      <c r="BP140" s="140"/>
      <c r="BQ140" s="156"/>
      <c r="BR140" s="157"/>
      <c r="BS140" s="158"/>
      <c r="BT140" s="153"/>
      <c r="BU140" s="140"/>
      <c r="BV140" s="140"/>
      <c r="BW140" s="140"/>
      <c r="BX140" s="140"/>
      <c r="BY140" s="140"/>
      <c r="BZ140" s="140"/>
      <c r="CA140" s="140"/>
      <c r="CB140" s="140"/>
      <c r="CC140" s="140"/>
      <c r="CD140" s="150"/>
      <c r="CE140" s="155"/>
      <c r="CF140" s="150"/>
      <c r="CG140" s="152"/>
      <c r="CH140" s="252"/>
      <c r="CI140" s="160"/>
      <c r="CJ140" s="159"/>
      <c r="CK140" s="160"/>
      <c r="CL140" s="159"/>
      <c r="CM140" s="160"/>
      <c r="CN140" s="159"/>
      <c r="CO140" s="160"/>
      <c r="CP140" s="159"/>
      <c r="CQ140" s="162"/>
      <c r="CR140" s="160"/>
      <c r="CS140" s="253">
        <f>SUM(IF(AU140&lt;0,ABS(AU140),0),IF(AZ140&lt;0,ABS(AZ140),0),ABS(CI140),ABS(CK140),ABS(CM140),ABS(CO140),ABS(CQ140),ABS(CR140))</f>
        <v>0</v>
      </c>
      <c r="CT140" s="254">
        <f>SUM(AU140,AV140,AW140,AX140/400,AY140,AZ140,BG140,BH140*0.5,BI140*0.25,BJ140,BK140,BL140,BM140,BN140,BO140,BP140,BR140/20,BS140/100,BT140/60,BU140,BV140,BW140,BX140/4,SUM(BY140:CC150)/3,CE140,CG140/3,CI140,CK140,CM140,CO140,CQ140,CR140)</f>
        <v>0</v>
      </c>
      <c r="CU140" s="255" t="str">
        <f t="shared" si="2"/>
        <v>MSP</v>
      </c>
    </row>
    <row r="141" ht="60.0" customHeight="1">
      <c r="A141" s="65"/>
      <c r="C141" s="167">
        <v>2.0</v>
      </c>
      <c r="D141" s="168" t="s">
        <v>200</v>
      </c>
      <c r="E141" s="169"/>
      <c r="F141" s="170"/>
      <c r="G141" s="170"/>
      <c r="H141" s="170"/>
      <c r="I141" s="207"/>
      <c r="J141" s="170"/>
      <c r="K141" s="171"/>
      <c r="L141" s="171"/>
      <c r="M141" s="171"/>
      <c r="N141" s="171"/>
      <c r="O141" s="268">
        <f t="shared" si="26"/>
        <v>0</v>
      </c>
      <c r="Q141" s="173"/>
      <c r="R141" s="65"/>
      <c r="S141" s="173"/>
      <c r="T141" s="173"/>
      <c r="U141" s="166"/>
      <c r="V141" s="166"/>
      <c r="W141" s="65"/>
      <c r="X141" s="66"/>
      <c r="Y141" s="173"/>
      <c r="Z141" s="166"/>
      <c r="AA141" s="174"/>
      <c r="AB141" s="175"/>
      <c r="AC141" s="175"/>
      <c r="AD141" s="175"/>
      <c r="AE141" s="175"/>
      <c r="AF141" s="175"/>
      <c r="AG141" s="175"/>
      <c r="AH141" s="175"/>
      <c r="AI141" s="176"/>
      <c r="AJ141" s="177"/>
      <c r="AK141" s="178"/>
      <c r="AL141" s="178"/>
      <c r="AM141" s="178"/>
      <c r="AN141" s="178"/>
      <c r="AO141" s="179"/>
      <c r="AP141" s="64"/>
      <c r="AQ141" s="65"/>
      <c r="AR141" s="65"/>
      <c r="AS141" s="65"/>
      <c r="AT141" s="173"/>
      <c r="AU141" s="177"/>
      <c r="AV141" s="178"/>
      <c r="AW141" s="178"/>
      <c r="AX141" s="179"/>
      <c r="AZ141" s="166"/>
      <c r="BA141" s="177"/>
      <c r="BB141" s="178"/>
      <c r="BC141" s="178"/>
      <c r="BD141" s="178"/>
      <c r="BE141" s="178"/>
      <c r="BF141" s="178"/>
      <c r="BG141" s="178"/>
      <c r="BH141" s="178"/>
      <c r="BI141" s="179"/>
      <c r="BJ141" s="180"/>
      <c r="BK141" s="178"/>
      <c r="BL141" s="178"/>
      <c r="BM141" s="178"/>
      <c r="BN141" s="178"/>
      <c r="BO141" s="181"/>
      <c r="BP141" s="166"/>
      <c r="BQ141" s="177"/>
      <c r="BR141" s="178"/>
      <c r="BS141" s="179"/>
      <c r="BU141" s="166"/>
      <c r="BV141" s="166"/>
      <c r="BW141" s="166"/>
      <c r="BX141" s="166"/>
      <c r="BY141" s="166"/>
      <c r="BZ141" s="166"/>
      <c r="CA141" s="166"/>
      <c r="CB141" s="166"/>
      <c r="CC141" s="166"/>
      <c r="CD141" s="177"/>
      <c r="CE141" s="181"/>
      <c r="CF141" s="177"/>
      <c r="CG141" s="179"/>
      <c r="CH141" s="257"/>
      <c r="CI141" s="182"/>
      <c r="CJ141" s="177"/>
      <c r="CK141" s="182"/>
      <c r="CL141" s="177"/>
      <c r="CM141" s="182"/>
      <c r="CN141" s="177"/>
      <c r="CO141" s="182"/>
      <c r="CP141" s="177"/>
      <c r="CQ141" s="178"/>
      <c r="CR141" s="182"/>
      <c r="CS141" s="173"/>
      <c r="CT141" s="65"/>
      <c r="CU141" s="255" t="str">
        <f t="shared" si="2"/>
        <v>MSP</v>
      </c>
    </row>
    <row r="142" ht="60.0" customHeight="1">
      <c r="A142" s="65"/>
      <c r="C142" s="167">
        <v>3.0</v>
      </c>
      <c r="D142" s="168" t="s">
        <v>200</v>
      </c>
      <c r="E142" s="169"/>
      <c r="F142" s="170"/>
      <c r="G142" s="170"/>
      <c r="H142" s="170"/>
      <c r="I142" s="207"/>
      <c r="J142" s="170"/>
      <c r="K142" s="171"/>
      <c r="L142" s="171"/>
      <c r="M142" s="171"/>
      <c r="N142" s="171"/>
      <c r="O142" s="268">
        <f t="shared" si="26"/>
        <v>0</v>
      </c>
      <c r="Q142" s="173"/>
      <c r="R142" s="65"/>
      <c r="S142" s="173"/>
      <c r="T142" s="173"/>
      <c r="U142" s="166"/>
      <c r="V142" s="166"/>
      <c r="W142" s="65"/>
      <c r="X142" s="66"/>
      <c r="Y142" s="173"/>
      <c r="Z142" s="166"/>
      <c r="AA142" s="174"/>
      <c r="AB142" s="175"/>
      <c r="AC142" s="175"/>
      <c r="AD142" s="175"/>
      <c r="AE142" s="175"/>
      <c r="AF142" s="175"/>
      <c r="AG142" s="175"/>
      <c r="AH142" s="175"/>
      <c r="AI142" s="176"/>
      <c r="AJ142" s="177"/>
      <c r="AK142" s="178"/>
      <c r="AL142" s="178"/>
      <c r="AM142" s="178"/>
      <c r="AN142" s="178"/>
      <c r="AO142" s="179"/>
      <c r="AP142" s="64"/>
      <c r="AQ142" s="65"/>
      <c r="AR142" s="65"/>
      <c r="AS142" s="65"/>
      <c r="AT142" s="173"/>
      <c r="AU142" s="177"/>
      <c r="AV142" s="178"/>
      <c r="AW142" s="178"/>
      <c r="AX142" s="179"/>
      <c r="AZ142" s="166"/>
      <c r="BA142" s="177"/>
      <c r="BB142" s="178"/>
      <c r="BC142" s="178"/>
      <c r="BD142" s="178"/>
      <c r="BE142" s="178"/>
      <c r="BF142" s="178"/>
      <c r="BG142" s="178"/>
      <c r="BH142" s="178"/>
      <c r="BI142" s="179"/>
      <c r="BJ142" s="180"/>
      <c r="BK142" s="178"/>
      <c r="BL142" s="178"/>
      <c r="BM142" s="178"/>
      <c r="BN142" s="178"/>
      <c r="BO142" s="181"/>
      <c r="BP142" s="166"/>
      <c r="BQ142" s="177"/>
      <c r="BR142" s="178"/>
      <c r="BS142" s="179"/>
      <c r="BU142" s="166"/>
      <c r="BV142" s="166"/>
      <c r="BW142" s="166"/>
      <c r="BX142" s="166"/>
      <c r="BY142" s="166"/>
      <c r="BZ142" s="166"/>
      <c r="CA142" s="166"/>
      <c r="CB142" s="166"/>
      <c r="CC142" s="166"/>
      <c r="CD142" s="177"/>
      <c r="CE142" s="181"/>
      <c r="CF142" s="177"/>
      <c r="CG142" s="179"/>
      <c r="CH142" s="257"/>
      <c r="CI142" s="182"/>
      <c r="CJ142" s="177"/>
      <c r="CK142" s="182"/>
      <c r="CL142" s="177"/>
      <c r="CM142" s="182"/>
      <c r="CN142" s="177"/>
      <c r="CO142" s="182"/>
      <c r="CP142" s="177"/>
      <c r="CQ142" s="178"/>
      <c r="CR142" s="182"/>
      <c r="CS142" s="173"/>
      <c r="CT142" s="65"/>
      <c r="CU142" s="255" t="str">
        <f t="shared" si="2"/>
        <v>MSP</v>
      </c>
    </row>
    <row r="143" ht="60.0" customHeight="1">
      <c r="A143" s="65"/>
      <c r="C143" s="167">
        <v>4.0</v>
      </c>
      <c r="D143" s="168" t="s">
        <v>200</v>
      </c>
      <c r="E143" s="169"/>
      <c r="F143" s="170"/>
      <c r="G143" s="170"/>
      <c r="H143" s="170"/>
      <c r="I143" s="207"/>
      <c r="J143" s="170"/>
      <c r="K143" s="171"/>
      <c r="L143" s="171"/>
      <c r="M143" s="171"/>
      <c r="N143" s="171"/>
      <c r="O143" s="268">
        <f t="shared" si="26"/>
        <v>0</v>
      </c>
      <c r="Q143" s="173"/>
      <c r="R143" s="65"/>
      <c r="S143" s="173"/>
      <c r="T143" s="173"/>
      <c r="U143" s="166"/>
      <c r="V143" s="166"/>
      <c r="W143" s="65"/>
      <c r="X143" s="66"/>
      <c r="Y143" s="173"/>
      <c r="Z143" s="166"/>
      <c r="AA143" s="174"/>
      <c r="AB143" s="175"/>
      <c r="AC143" s="175"/>
      <c r="AD143" s="175"/>
      <c r="AE143" s="175"/>
      <c r="AF143" s="175"/>
      <c r="AG143" s="175"/>
      <c r="AH143" s="175"/>
      <c r="AI143" s="176"/>
      <c r="AJ143" s="177"/>
      <c r="AK143" s="178"/>
      <c r="AL143" s="178"/>
      <c r="AM143" s="178"/>
      <c r="AN143" s="178"/>
      <c r="AO143" s="179"/>
      <c r="AP143" s="64"/>
      <c r="AQ143" s="65"/>
      <c r="AR143" s="65"/>
      <c r="AS143" s="65"/>
      <c r="AT143" s="173"/>
      <c r="AU143" s="177"/>
      <c r="AV143" s="178"/>
      <c r="AW143" s="178"/>
      <c r="AX143" s="179"/>
      <c r="AZ143" s="166"/>
      <c r="BA143" s="177"/>
      <c r="BB143" s="178"/>
      <c r="BC143" s="178"/>
      <c r="BD143" s="178"/>
      <c r="BE143" s="178"/>
      <c r="BF143" s="178"/>
      <c r="BG143" s="178"/>
      <c r="BH143" s="178"/>
      <c r="BI143" s="179"/>
      <c r="BJ143" s="180"/>
      <c r="BK143" s="178"/>
      <c r="BL143" s="178"/>
      <c r="BM143" s="178"/>
      <c r="BN143" s="178"/>
      <c r="BO143" s="181"/>
      <c r="BP143" s="166"/>
      <c r="BQ143" s="177"/>
      <c r="BR143" s="178"/>
      <c r="BS143" s="179"/>
      <c r="BU143" s="166"/>
      <c r="BV143" s="166"/>
      <c r="BW143" s="166"/>
      <c r="BX143" s="166"/>
      <c r="BY143" s="166"/>
      <c r="BZ143" s="166"/>
      <c r="CA143" s="166"/>
      <c r="CB143" s="166"/>
      <c r="CC143" s="166"/>
      <c r="CD143" s="177"/>
      <c r="CE143" s="181"/>
      <c r="CF143" s="177"/>
      <c r="CG143" s="179"/>
      <c r="CH143" s="257"/>
      <c r="CI143" s="182"/>
      <c r="CJ143" s="177"/>
      <c r="CK143" s="182"/>
      <c r="CL143" s="177"/>
      <c r="CM143" s="182"/>
      <c r="CN143" s="177"/>
      <c r="CO143" s="182"/>
      <c r="CP143" s="177"/>
      <c r="CQ143" s="178"/>
      <c r="CR143" s="182"/>
      <c r="CS143" s="173"/>
      <c r="CT143" s="65"/>
      <c r="CU143" s="255" t="str">
        <f t="shared" si="2"/>
        <v>MSP</v>
      </c>
    </row>
    <row r="144" ht="60.0" customHeight="1">
      <c r="A144" s="65"/>
      <c r="C144" s="167">
        <v>5.0</v>
      </c>
      <c r="D144" s="168" t="s">
        <v>200</v>
      </c>
      <c r="E144" s="169"/>
      <c r="F144" s="170"/>
      <c r="G144" s="170"/>
      <c r="H144" s="170"/>
      <c r="I144" s="207"/>
      <c r="J144" s="170"/>
      <c r="K144" s="171"/>
      <c r="L144" s="171"/>
      <c r="M144" s="171"/>
      <c r="N144" s="171"/>
      <c r="O144" s="268">
        <f t="shared" si="26"/>
        <v>0</v>
      </c>
      <c r="Q144" s="173"/>
      <c r="R144" s="65"/>
      <c r="S144" s="173"/>
      <c r="T144" s="173"/>
      <c r="U144" s="166"/>
      <c r="V144" s="166"/>
      <c r="W144" s="65"/>
      <c r="X144" s="66"/>
      <c r="Y144" s="173"/>
      <c r="Z144" s="166"/>
      <c r="AA144" s="174"/>
      <c r="AB144" s="175"/>
      <c r="AC144" s="175"/>
      <c r="AD144" s="175"/>
      <c r="AE144" s="175"/>
      <c r="AF144" s="175"/>
      <c r="AG144" s="175"/>
      <c r="AH144" s="175"/>
      <c r="AI144" s="176"/>
      <c r="AJ144" s="177"/>
      <c r="AK144" s="178"/>
      <c r="AL144" s="178"/>
      <c r="AM144" s="178"/>
      <c r="AN144" s="178"/>
      <c r="AO144" s="179"/>
      <c r="AP144" s="64"/>
      <c r="AQ144" s="65"/>
      <c r="AR144" s="65"/>
      <c r="AS144" s="65"/>
      <c r="AT144" s="173"/>
      <c r="AU144" s="177"/>
      <c r="AV144" s="178"/>
      <c r="AW144" s="178"/>
      <c r="AX144" s="179"/>
      <c r="AZ144" s="166"/>
      <c r="BA144" s="177"/>
      <c r="BB144" s="178"/>
      <c r="BC144" s="178"/>
      <c r="BD144" s="178"/>
      <c r="BE144" s="178"/>
      <c r="BF144" s="178"/>
      <c r="BG144" s="178"/>
      <c r="BH144" s="178"/>
      <c r="BI144" s="179"/>
      <c r="BJ144" s="180"/>
      <c r="BK144" s="178"/>
      <c r="BL144" s="178"/>
      <c r="BM144" s="178"/>
      <c r="BN144" s="178"/>
      <c r="BO144" s="181"/>
      <c r="BP144" s="166"/>
      <c r="BQ144" s="177"/>
      <c r="BR144" s="178"/>
      <c r="BS144" s="179"/>
      <c r="BU144" s="166"/>
      <c r="BV144" s="166"/>
      <c r="BW144" s="166"/>
      <c r="BX144" s="166"/>
      <c r="BY144" s="166"/>
      <c r="BZ144" s="166"/>
      <c r="CA144" s="166"/>
      <c r="CB144" s="166"/>
      <c r="CC144" s="166"/>
      <c r="CD144" s="177"/>
      <c r="CE144" s="181"/>
      <c r="CF144" s="177"/>
      <c r="CG144" s="179"/>
      <c r="CH144" s="257"/>
      <c r="CI144" s="182"/>
      <c r="CJ144" s="177"/>
      <c r="CK144" s="182"/>
      <c r="CL144" s="177"/>
      <c r="CM144" s="182"/>
      <c r="CN144" s="177"/>
      <c r="CO144" s="182"/>
      <c r="CP144" s="177"/>
      <c r="CQ144" s="178"/>
      <c r="CR144" s="182"/>
      <c r="CS144" s="173"/>
      <c r="CT144" s="65"/>
      <c r="CU144" s="255" t="str">
        <f t="shared" si="2"/>
        <v>MSP</v>
      </c>
    </row>
    <row r="145" ht="60.0" customHeight="1">
      <c r="A145" s="65"/>
      <c r="C145" s="167">
        <v>6.0</v>
      </c>
      <c r="D145" s="168" t="s">
        <v>200</v>
      </c>
      <c r="E145" s="169"/>
      <c r="F145" s="170"/>
      <c r="G145" s="170"/>
      <c r="H145" s="170"/>
      <c r="I145" s="207"/>
      <c r="J145" s="170"/>
      <c r="K145" s="171"/>
      <c r="L145" s="171"/>
      <c r="M145" s="171"/>
      <c r="N145" s="171"/>
      <c r="O145" s="268">
        <f t="shared" si="26"/>
        <v>0</v>
      </c>
      <c r="Q145" s="173"/>
      <c r="R145" s="65"/>
      <c r="S145" s="173"/>
      <c r="T145" s="173"/>
      <c r="U145" s="166"/>
      <c r="V145" s="166"/>
      <c r="W145" s="65"/>
      <c r="X145" s="66"/>
      <c r="Y145" s="173"/>
      <c r="Z145" s="166"/>
      <c r="AA145" s="174"/>
      <c r="AB145" s="175"/>
      <c r="AC145" s="175"/>
      <c r="AD145" s="175"/>
      <c r="AE145" s="175"/>
      <c r="AF145" s="175"/>
      <c r="AG145" s="175"/>
      <c r="AH145" s="175"/>
      <c r="AI145" s="176"/>
      <c r="AJ145" s="177"/>
      <c r="AK145" s="178"/>
      <c r="AL145" s="178"/>
      <c r="AM145" s="178"/>
      <c r="AN145" s="178"/>
      <c r="AO145" s="179"/>
      <c r="AP145" s="64"/>
      <c r="AQ145" s="65"/>
      <c r="AR145" s="65"/>
      <c r="AS145" s="65"/>
      <c r="AT145" s="173"/>
      <c r="AU145" s="177"/>
      <c r="AV145" s="178"/>
      <c r="AW145" s="178"/>
      <c r="AX145" s="179"/>
      <c r="AZ145" s="166"/>
      <c r="BA145" s="177"/>
      <c r="BB145" s="178"/>
      <c r="BC145" s="178"/>
      <c r="BD145" s="178"/>
      <c r="BE145" s="178"/>
      <c r="BF145" s="178"/>
      <c r="BG145" s="178"/>
      <c r="BH145" s="178"/>
      <c r="BI145" s="179"/>
      <c r="BJ145" s="180"/>
      <c r="BK145" s="178"/>
      <c r="BL145" s="178"/>
      <c r="BM145" s="178"/>
      <c r="BN145" s="178"/>
      <c r="BO145" s="181"/>
      <c r="BP145" s="166"/>
      <c r="BQ145" s="177"/>
      <c r="BR145" s="178"/>
      <c r="BS145" s="179"/>
      <c r="BU145" s="166"/>
      <c r="BV145" s="166"/>
      <c r="BW145" s="166"/>
      <c r="BX145" s="166"/>
      <c r="BY145" s="166"/>
      <c r="BZ145" s="166"/>
      <c r="CA145" s="166"/>
      <c r="CB145" s="166"/>
      <c r="CC145" s="166"/>
      <c r="CD145" s="177"/>
      <c r="CE145" s="181"/>
      <c r="CF145" s="177"/>
      <c r="CG145" s="179"/>
      <c r="CH145" s="257"/>
      <c r="CI145" s="182"/>
      <c r="CJ145" s="177"/>
      <c r="CK145" s="182"/>
      <c r="CL145" s="177"/>
      <c r="CM145" s="182"/>
      <c r="CN145" s="177"/>
      <c r="CO145" s="182"/>
      <c r="CP145" s="177"/>
      <c r="CQ145" s="178"/>
      <c r="CR145" s="182"/>
      <c r="CS145" s="173"/>
      <c r="CT145" s="65"/>
      <c r="CU145" s="255" t="str">
        <f t="shared" si="2"/>
        <v>MSP</v>
      </c>
    </row>
    <row r="146" ht="60.0" customHeight="1">
      <c r="A146" s="65"/>
      <c r="C146" s="167">
        <v>7.0</v>
      </c>
      <c r="D146" s="168" t="s">
        <v>200</v>
      </c>
      <c r="E146" s="169"/>
      <c r="F146" s="170"/>
      <c r="G146" s="170"/>
      <c r="H146" s="170"/>
      <c r="I146" s="207"/>
      <c r="J146" s="170"/>
      <c r="K146" s="171"/>
      <c r="L146" s="171"/>
      <c r="M146" s="171"/>
      <c r="N146" s="171"/>
      <c r="O146" s="268">
        <f t="shared" ref="O146:O149" si="27">IF(AND(M146&gt;=20,M146&lt;&gt;"m",RIGHT(K146,3)="Lec"),1,IF(AND(M146&gt;=20,M146&lt;&gt;"m",OR(RIGHT(K146,3)="Lab",RIGHT(K146,3)="Tut")),0.5,IF(AND(M146&gt;=20,M146&lt;&gt;"m",RIGHT(K146,2)="TL"),0.75,0)))</f>
        <v>0</v>
      </c>
      <c r="Q146" s="173"/>
      <c r="R146" s="65"/>
      <c r="S146" s="173"/>
      <c r="T146" s="173"/>
      <c r="U146" s="166"/>
      <c r="V146" s="166"/>
      <c r="W146" s="65"/>
      <c r="X146" s="66"/>
      <c r="Y146" s="173"/>
      <c r="Z146" s="166"/>
      <c r="AA146" s="174"/>
      <c r="AB146" s="175"/>
      <c r="AC146" s="175"/>
      <c r="AD146" s="175"/>
      <c r="AE146" s="175"/>
      <c r="AF146" s="175"/>
      <c r="AG146" s="175"/>
      <c r="AH146" s="175"/>
      <c r="AI146" s="176"/>
      <c r="AJ146" s="177"/>
      <c r="AK146" s="178"/>
      <c r="AL146" s="178"/>
      <c r="AM146" s="178"/>
      <c r="AN146" s="178"/>
      <c r="AO146" s="179"/>
      <c r="AP146" s="64"/>
      <c r="AQ146" s="65"/>
      <c r="AR146" s="65"/>
      <c r="AS146" s="65"/>
      <c r="AT146" s="173"/>
      <c r="AU146" s="177"/>
      <c r="AV146" s="178"/>
      <c r="AW146" s="178"/>
      <c r="AX146" s="179"/>
      <c r="AZ146" s="166"/>
      <c r="BA146" s="177"/>
      <c r="BB146" s="178"/>
      <c r="BC146" s="178"/>
      <c r="BD146" s="178"/>
      <c r="BE146" s="178"/>
      <c r="BF146" s="178"/>
      <c r="BG146" s="178"/>
      <c r="BH146" s="178"/>
      <c r="BI146" s="179"/>
      <c r="BJ146" s="180"/>
      <c r="BK146" s="178"/>
      <c r="BL146" s="178"/>
      <c r="BM146" s="178"/>
      <c r="BN146" s="178"/>
      <c r="BO146" s="181"/>
      <c r="BP146" s="166"/>
      <c r="BQ146" s="177"/>
      <c r="BR146" s="178"/>
      <c r="BS146" s="179"/>
      <c r="BU146" s="166"/>
      <c r="BV146" s="166"/>
      <c r="BW146" s="166"/>
      <c r="BX146" s="166"/>
      <c r="BY146" s="166"/>
      <c r="BZ146" s="166"/>
      <c r="CA146" s="166"/>
      <c r="CB146" s="166"/>
      <c r="CC146" s="166"/>
      <c r="CD146" s="177"/>
      <c r="CE146" s="181"/>
      <c r="CF146" s="177"/>
      <c r="CG146" s="179"/>
      <c r="CH146" s="257"/>
      <c r="CI146" s="182"/>
      <c r="CJ146" s="177"/>
      <c r="CK146" s="182"/>
      <c r="CL146" s="177"/>
      <c r="CM146" s="182"/>
      <c r="CN146" s="177"/>
      <c r="CO146" s="182"/>
      <c r="CP146" s="177"/>
      <c r="CQ146" s="178"/>
      <c r="CR146" s="182"/>
      <c r="CS146" s="173"/>
      <c r="CT146" s="65"/>
      <c r="CU146" s="255" t="str">
        <f t="shared" si="2"/>
        <v>MSP</v>
      </c>
    </row>
    <row r="147" ht="60.0" customHeight="1">
      <c r="A147" s="65"/>
      <c r="C147" s="167">
        <v>8.0</v>
      </c>
      <c r="D147" s="168" t="s">
        <v>200</v>
      </c>
      <c r="E147" s="169"/>
      <c r="F147" s="170"/>
      <c r="G147" s="170"/>
      <c r="H147" s="170"/>
      <c r="I147" s="207"/>
      <c r="J147" s="170"/>
      <c r="K147" s="171"/>
      <c r="L147" s="171"/>
      <c r="M147" s="171"/>
      <c r="N147" s="171"/>
      <c r="O147" s="268">
        <f t="shared" si="27"/>
        <v>0</v>
      </c>
      <c r="Q147" s="173"/>
      <c r="R147" s="65"/>
      <c r="S147" s="173"/>
      <c r="T147" s="173"/>
      <c r="U147" s="166"/>
      <c r="V147" s="166"/>
      <c r="W147" s="65"/>
      <c r="X147" s="66"/>
      <c r="Y147" s="173"/>
      <c r="Z147" s="166"/>
      <c r="AA147" s="174"/>
      <c r="AB147" s="175"/>
      <c r="AC147" s="175"/>
      <c r="AD147" s="175"/>
      <c r="AE147" s="175"/>
      <c r="AF147" s="175"/>
      <c r="AG147" s="175"/>
      <c r="AH147" s="175"/>
      <c r="AI147" s="176"/>
      <c r="AJ147" s="177"/>
      <c r="AK147" s="178"/>
      <c r="AL147" s="178"/>
      <c r="AM147" s="178"/>
      <c r="AN147" s="178"/>
      <c r="AO147" s="179"/>
      <c r="AP147" s="64"/>
      <c r="AQ147" s="65"/>
      <c r="AR147" s="65"/>
      <c r="AS147" s="65"/>
      <c r="AT147" s="173"/>
      <c r="AU147" s="177"/>
      <c r="AV147" s="178"/>
      <c r="AW147" s="178"/>
      <c r="AX147" s="179"/>
      <c r="AZ147" s="166"/>
      <c r="BA147" s="177"/>
      <c r="BB147" s="178"/>
      <c r="BC147" s="178"/>
      <c r="BD147" s="178"/>
      <c r="BE147" s="178"/>
      <c r="BF147" s="178"/>
      <c r="BG147" s="178"/>
      <c r="BH147" s="178"/>
      <c r="BI147" s="179"/>
      <c r="BJ147" s="180"/>
      <c r="BK147" s="178"/>
      <c r="BL147" s="178"/>
      <c r="BM147" s="178"/>
      <c r="BN147" s="178"/>
      <c r="BO147" s="181"/>
      <c r="BP147" s="166"/>
      <c r="BQ147" s="177"/>
      <c r="BR147" s="178"/>
      <c r="BS147" s="179"/>
      <c r="BU147" s="166"/>
      <c r="BV147" s="166"/>
      <c r="BW147" s="166"/>
      <c r="BX147" s="166"/>
      <c r="BY147" s="166"/>
      <c r="BZ147" s="166"/>
      <c r="CA147" s="166"/>
      <c r="CB147" s="166"/>
      <c r="CC147" s="166"/>
      <c r="CD147" s="177"/>
      <c r="CE147" s="181"/>
      <c r="CF147" s="177"/>
      <c r="CG147" s="179"/>
      <c r="CH147" s="257"/>
      <c r="CI147" s="182"/>
      <c r="CJ147" s="177"/>
      <c r="CK147" s="182"/>
      <c r="CL147" s="177"/>
      <c r="CM147" s="182"/>
      <c r="CN147" s="177"/>
      <c r="CO147" s="182"/>
      <c r="CP147" s="177"/>
      <c r="CQ147" s="178"/>
      <c r="CR147" s="182"/>
      <c r="CS147" s="173"/>
      <c r="CT147" s="65"/>
      <c r="CU147" s="255" t="str">
        <f t="shared" si="2"/>
        <v>MSP</v>
      </c>
    </row>
    <row r="148" ht="60.0" customHeight="1">
      <c r="A148" s="65"/>
      <c r="C148" s="167">
        <v>9.0</v>
      </c>
      <c r="D148" s="168" t="s">
        <v>200</v>
      </c>
      <c r="E148" s="169"/>
      <c r="F148" s="170"/>
      <c r="G148" s="170"/>
      <c r="H148" s="170"/>
      <c r="I148" s="207"/>
      <c r="J148" s="170"/>
      <c r="K148" s="171"/>
      <c r="L148" s="171"/>
      <c r="M148" s="171"/>
      <c r="N148" s="171"/>
      <c r="O148" s="268">
        <f t="shared" si="27"/>
        <v>0</v>
      </c>
      <c r="Q148" s="173"/>
      <c r="R148" s="65"/>
      <c r="S148" s="173"/>
      <c r="T148" s="173"/>
      <c r="U148" s="166"/>
      <c r="V148" s="166"/>
      <c r="W148" s="65"/>
      <c r="X148" s="66"/>
      <c r="Y148" s="173"/>
      <c r="Z148" s="166"/>
      <c r="AA148" s="174"/>
      <c r="AB148" s="175"/>
      <c r="AC148" s="175"/>
      <c r="AD148" s="175"/>
      <c r="AE148" s="175"/>
      <c r="AF148" s="175"/>
      <c r="AG148" s="175"/>
      <c r="AH148" s="175"/>
      <c r="AI148" s="176"/>
      <c r="AJ148" s="177"/>
      <c r="AK148" s="178"/>
      <c r="AL148" s="178"/>
      <c r="AM148" s="178"/>
      <c r="AN148" s="178"/>
      <c r="AO148" s="179"/>
      <c r="AP148" s="64"/>
      <c r="AQ148" s="65"/>
      <c r="AR148" s="65"/>
      <c r="AS148" s="65"/>
      <c r="AT148" s="173"/>
      <c r="AU148" s="177"/>
      <c r="AV148" s="178"/>
      <c r="AW148" s="178"/>
      <c r="AX148" s="179"/>
      <c r="AZ148" s="166"/>
      <c r="BA148" s="177"/>
      <c r="BB148" s="178"/>
      <c r="BC148" s="178"/>
      <c r="BD148" s="178"/>
      <c r="BE148" s="178"/>
      <c r="BF148" s="178"/>
      <c r="BG148" s="178"/>
      <c r="BH148" s="178"/>
      <c r="BI148" s="179"/>
      <c r="BJ148" s="180"/>
      <c r="BK148" s="178"/>
      <c r="BL148" s="178"/>
      <c r="BM148" s="178"/>
      <c r="BN148" s="178"/>
      <c r="BO148" s="181"/>
      <c r="BP148" s="166"/>
      <c r="BQ148" s="177"/>
      <c r="BR148" s="178"/>
      <c r="BS148" s="179"/>
      <c r="BU148" s="166"/>
      <c r="BV148" s="166"/>
      <c r="BW148" s="166"/>
      <c r="BX148" s="166"/>
      <c r="BY148" s="166"/>
      <c r="BZ148" s="166"/>
      <c r="CA148" s="166"/>
      <c r="CB148" s="166"/>
      <c r="CC148" s="166"/>
      <c r="CD148" s="177"/>
      <c r="CE148" s="181"/>
      <c r="CF148" s="177"/>
      <c r="CG148" s="179"/>
      <c r="CH148" s="257"/>
      <c r="CI148" s="182"/>
      <c r="CJ148" s="177"/>
      <c r="CK148" s="182"/>
      <c r="CL148" s="177"/>
      <c r="CM148" s="182"/>
      <c r="CN148" s="177"/>
      <c r="CO148" s="182"/>
      <c r="CP148" s="177"/>
      <c r="CQ148" s="178"/>
      <c r="CR148" s="182"/>
      <c r="CS148" s="173"/>
      <c r="CT148" s="65"/>
      <c r="CU148" s="255" t="str">
        <f t="shared" si="2"/>
        <v>MSP</v>
      </c>
    </row>
    <row r="149" ht="60.0" customHeight="1">
      <c r="A149" s="65"/>
      <c r="C149" s="167">
        <v>10.0</v>
      </c>
      <c r="D149" s="168" t="s">
        <v>200</v>
      </c>
      <c r="E149" s="169"/>
      <c r="F149" s="170"/>
      <c r="G149" s="170"/>
      <c r="H149" s="170"/>
      <c r="I149" s="207"/>
      <c r="J149" s="170"/>
      <c r="K149" s="171"/>
      <c r="L149" s="171"/>
      <c r="M149" s="171"/>
      <c r="N149" s="171"/>
      <c r="O149" s="268">
        <f t="shared" si="27"/>
        <v>0</v>
      </c>
      <c r="Q149" s="173"/>
      <c r="R149" s="65"/>
      <c r="S149" s="173"/>
      <c r="T149" s="173"/>
      <c r="U149" s="166"/>
      <c r="V149" s="166"/>
      <c r="W149" s="65"/>
      <c r="X149" s="66"/>
      <c r="Y149" s="173"/>
      <c r="Z149" s="166"/>
      <c r="AA149" s="174"/>
      <c r="AB149" s="175"/>
      <c r="AC149" s="175"/>
      <c r="AD149" s="175"/>
      <c r="AE149" s="175"/>
      <c r="AF149" s="175"/>
      <c r="AG149" s="175"/>
      <c r="AH149" s="175"/>
      <c r="AI149" s="176"/>
      <c r="AJ149" s="177"/>
      <c r="AK149" s="178"/>
      <c r="AL149" s="178"/>
      <c r="AM149" s="178"/>
      <c r="AN149" s="178"/>
      <c r="AO149" s="179"/>
      <c r="AP149" s="64"/>
      <c r="AQ149" s="65"/>
      <c r="AR149" s="65"/>
      <c r="AS149" s="65"/>
      <c r="AT149" s="173"/>
      <c r="AU149" s="177"/>
      <c r="AV149" s="178"/>
      <c r="AW149" s="178"/>
      <c r="AX149" s="179"/>
      <c r="AZ149" s="166"/>
      <c r="BA149" s="177"/>
      <c r="BB149" s="178"/>
      <c r="BC149" s="178"/>
      <c r="BD149" s="178"/>
      <c r="BE149" s="178"/>
      <c r="BF149" s="178"/>
      <c r="BG149" s="178"/>
      <c r="BH149" s="178"/>
      <c r="BI149" s="179"/>
      <c r="BJ149" s="180"/>
      <c r="BK149" s="178"/>
      <c r="BL149" s="178"/>
      <c r="BM149" s="178"/>
      <c r="BN149" s="178"/>
      <c r="BO149" s="181"/>
      <c r="BP149" s="166"/>
      <c r="BQ149" s="177"/>
      <c r="BR149" s="178"/>
      <c r="BS149" s="179"/>
      <c r="BU149" s="166"/>
      <c r="BV149" s="166"/>
      <c r="BW149" s="166"/>
      <c r="BX149" s="166"/>
      <c r="BY149" s="166"/>
      <c r="BZ149" s="166"/>
      <c r="CA149" s="166"/>
      <c r="CB149" s="166"/>
      <c r="CC149" s="166"/>
      <c r="CD149" s="177"/>
      <c r="CE149" s="181"/>
      <c r="CF149" s="177"/>
      <c r="CG149" s="179"/>
      <c r="CH149" s="257"/>
      <c r="CI149" s="182"/>
      <c r="CJ149" s="177"/>
      <c r="CK149" s="182"/>
      <c r="CL149" s="177"/>
      <c r="CM149" s="182"/>
      <c r="CN149" s="177"/>
      <c r="CO149" s="182"/>
      <c r="CP149" s="177"/>
      <c r="CQ149" s="178"/>
      <c r="CR149" s="182"/>
      <c r="CS149" s="173"/>
      <c r="CT149" s="65"/>
      <c r="CU149" s="255" t="str">
        <f t="shared" si="2"/>
        <v>MSP</v>
      </c>
    </row>
    <row r="150" ht="60.0" customHeight="1">
      <c r="A150" s="89"/>
      <c r="C150" s="183">
        <v>11.0</v>
      </c>
      <c r="D150" s="210" t="s">
        <v>200</v>
      </c>
      <c r="E150" s="185"/>
      <c r="F150" s="186"/>
      <c r="G150" s="186"/>
      <c r="H150" s="186"/>
      <c r="I150" s="212"/>
      <c r="J150" s="186"/>
      <c r="K150" s="187"/>
      <c r="L150" s="187"/>
      <c r="M150" s="187"/>
      <c r="N150" s="187"/>
      <c r="O150" s="269">
        <f t="shared" ref="O150:O156" si="28">IF(AND(M150&lt;&gt;0,M150&lt;&gt;"m",M150&lt;&gt;"",RIGHT(K150,3)="Lec"),1,IF(AND(M150&lt;&gt;0,M150&lt;&gt;"m",M150&lt;&gt;"",OR(RIGHT(K150,3)="Lab",RIGHT(K150,3)="Tut")),0.5,IF(AND(M150&lt;&gt;0,M150&lt;&gt;"m",M150&lt;&gt;"",RIGHT(K150,2)="TL"),0.75,0)))</f>
        <v>0</v>
      </c>
      <c r="P150" s="6"/>
      <c r="Q150" s="69"/>
      <c r="R150" s="89"/>
      <c r="S150" s="69"/>
      <c r="T150" s="69"/>
      <c r="U150" s="63"/>
      <c r="V150" s="63"/>
      <c r="W150" s="89"/>
      <c r="X150" s="68"/>
      <c r="Y150" s="69"/>
      <c r="Z150" s="63"/>
      <c r="AA150" s="189"/>
      <c r="AB150" s="190"/>
      <c r="AC150" s="190"/>
      <c r="AD150" s="190"/>
      <c r="AE150" s="190"/>
      <c r="AF150" s="190"/>
      <c r="AG150" s="190"/>
      <c r="AH150" s="190"/>
      <c r="AI150" s="191"/>
      <c r="AJ150" s="192"/>
      <c r="AK150" s="193"/>
      <c r="AL150" s="193"/>
      <c r="AM150" s="193"/>
      <c r="AN150" s="193"/>
      <c r="AO150" s="194"/>
      <c r="AP150" s="103"/>
      <c r="AQ150" s="89"/>
      <c r="AR150" s="89"/>
      <c r="AS150" s="89"/>
      <c r="AT150" s="69"/>
      <c r="AU150" s="192"/>
      <c r="AV150" s="193"/>
      <c r="AW150" s="193"/>
      <c r="AX150" s="194"/>
      <c r="AY150" s="6"/>
      <c r="AZ150" s="63"/>
      <c r="BA150" s="192"/>
      <c r="BB150" s="193"/>
      <c r="BC150" s="193"/>
      <c r="BD150" s="193"/>
      <c r="BE150" s="193"/>
      <c r="BF150" s="193"/>
      <c r="BG150" s="193"/>
      <c r="BH150" s="193"/>
      <c r="BI150" s="194"/>
      <c r="BJ150" s="195"/>
      <c r="BK150" s="193"/>
      <c r="BL150" s="193"/>
      <c r="BM150" s="193"/>
      <c r="BN150" s="193"/>
      <c r="BO150" s="196"/>
      <c r="BP150" s="63"/>
      <c r="BQ150" s="192"/>
      <c r="BR150" s="193"/>
      <c r="BS150" s="194"/>
      <c r="BT150" s="6"/>
      <c r="BU150" s="63"/>
      <c r="BV150" s="63"/>
      <c r="BW150" s="63"/>
      <c r="BX150" s="63"/>
      <c r="BY150" s="63"/>
      <c r="BZ150" s="63"/>
      <c r="CA150" s="63"/>
      <c r="CB150" s="63"/>
      <c r="CC150" s="63"/>
      <c r="CD150" s="192"/>
      <c r="CE150" s="196"/>
      <c r="CF150" s="192"/>
      <c r="CG150" s="194"/>
      <c r="CH150" s="259"/>
      <c r="CI150" s="197"/>
      <c r="CJ150" s="192"/>
      <c r="CK150" s="197"/>
      <c r="CL150" s="192"/>
      <c r="CM150" s="197"/>
      <c r="CN150" s="192"/>
      <c r="CO150" s="197"/>
      <c r="CP150" s="192"/>
      <c r="CQ150" s="193"/>
      <c r="CR150" s="197"/>
      <c r="CS150" s="69"/>
      <c r="CT150" s="89"/>
      <c r="CU150" s="255" t="str">
        <f t="shared" si="2"/>
        <v>MSP</v>
      </c>
    </row>
    <row r="151" ht="56.25" customHeight="1">
      <c r="A151" s="125">
        <v>14.0</v>
      </c>
      <c r="B151" s="199" t="s">
        <v>204</v>
      </c>
      <c r="C151" s="127">
        <v>1.0</v>
      </c>
      <c r="D151" s="168" t="s">
        <v>205</v>
      </c>
      <c r="E151" s="129"/>
      <c r="F151" s="130"/>
      <c r="G151" s="130"/>
      <c r="H151" s="130"/>
      <c r="I151" s="201"/>
      <c r="J151" s="130"/>
      <c r="K151" s="131"/>
      <c r="L151" s="131"/>
      <c r="M151" s="131"/>
      <c r="N151" s="131"/>
      <c r="O151" s="267">
        <f t="shared" si="28"/>
        <v>0</v>
      </c>
      <c r="P151" s="251">
        <f>COUNTIF(K151:K161,"TL")*0.75+COUNTIF(K151:K161,"Lec")*1+COUNTIF(K151:K161,"Lab")*0.5</f>
        <v>0</v>
      </c>
      <c r="Q151" s="134">
        <f>SUM((IF(LEFT(K151,1)="E",O151,0)),(IF(LEFT(K152,1)="E",O152,0)),(IF(LEFT(K153,1)="E",O153,0)),(IF(LEFT(K154,1)="E",O154,0)),(IF(LEFT(K155,1)="E",O155,0)),(IF(LEFT(K156,1)="E",O156,0)),(IF(LEFT(K157,1)="E",O157,0)),(IF(LEFT(K158,1)="E",O158,0)),(IF(LEFT(K159,1)="E",O159,0)),(IF(LEFT(K160,1)="E",O160,0)),(IF(LEFT(K161,1)="E",O161,0)))</f>
        <v>0</v>
      </c>
      <c r="R151" s="135">
        <f>SUM(IF(M157&lt;20,IF(K157="Plec",-1,IF(K157="PTL",-0.75,IF(K157="Plab",-0.5,0))),0),IF(M158&lt;20,IF(K158="Plec",-1,IF(K158="PTL",-0.75,IF(K158="Plab",-0.5,0))),0),IF(M159&lt;20,IF(K159="Plec",-1,IF(K159="PTL",-0.75,IF(K159="Plab",-0.5,0))),0),IF(M160&lt;20,IF(K160="Plec",-1,IF(K160="PTL",-0.75,IF(K160="Plab",-0.5,0))),0))</f>
        <v>0</v>
      </c>
      <c r="S151" s="134">
        <f>SUM(P151:R161)</f>
        <v>0</v>
      </c>
      <c r="T151" s="136">
        <f>SUM(IF(M151="M",IF(OR(K151="lec",K151="plec",K151="slec"),1,IF(OR(K151="lab",K151="plab",K151="slab",K151="tut",K151="ptut",K151="stut"),0.5,IF(OR(K151="TL",K151="pTL",K151="STL"),0.75,0))),0),IF(M152="M",IF(OR(K152="lec",K152="plec",K152="slec"),1,IF(OR(K152="lab",K152="plab",K152="slab",K152="tut",K152="ptut",K152="stut"),0.5,IF(OR(K152="TL",K152="pTL",K152="STL"),0.75,0))),0),IF(M153="M",IF(OR(K153="lec",K153="plec",K153="slec"),1,IF(OR(K153="lab",K153="plab",K153="slab",K153="tut",K153="ptut",K153="stut"),0.5,IF(OR(K153="TL",K153="pTL",K153="STL"),0.75,0))),0),IF(M154="M",IF(OR(K154="lec",K154="plec",K154="slec"),1,IF(OR(K154="lab",K154="plab",K154="slab",K154="tut",K154="ptut",K154="stut"),0.5,IF(OR(K154="TL",K154="pTL",K154="STL"),0.75,0))),0),IF(M155="M",IF(OR(K155="lec",K155="plec",K155="slec"),1,IF(OR(K155="lab",K155="plab",K155="slab",K155="tut",K155="ptut",K155="stut"),0.5,IF(OR(K155="TL",K155="pTL",K155="STL"),0.75,0))),0),IF(M156="M",IF(OR(K156="lec",K156="plec",K156="slec"),1,IF(OR(K156="lab",K156="plab",K156="slab",K156="tut",K156="ptut",K156="stut"),0.5,IF(OR(K156="TL",K156="pTL",K156="STL"),0.75,0))),0),IF(M157="M",IF(OR(K157="lec",K157="plec",K157="slec"),1,IF(OR(K157="lab",K157="plab",K157="slab",K157="tut",K157="ptut",K157="stut"),0.5,IF(OR(K157="TL",K157="pTL",K157="STL"),0.75,0))),0),IF(M158="M",IF(OR(K158="lec",K158="plec",K158="slec"),1,IF(OR(K158="lab",K158="plab",K158="slab",K158="tut",K158="ptut",K158="stut"),0.5,IF(OR(K158="TL",K158="pTL",K158="STL"),0.75,0))),0),IF(M159="M",IF(OR(K159="lec",K159="plec",K159="slec"),1,IF(OR(K159="lab",K159="plab",K159="slab",K159="tut",K159="ptut",K159="stut"),0.5,IF(OR(K159="TL",K159="pTL",K159="STL"),0.75,0))),0),IF(M160="M",IF(OR(K160="lec",K160="plec",K160="slec"),1,IF(OR(K160="lab",K160="plab",K160="slab",K160="tut",K160="ptut",K160="stut"),0.5,IF(OR(K160="TL",K160="pTL",K160="STL"),0.75,0))),0),IF(M161="M",IF(OR(K161="lec",K161="plec",K161="slec"),1,IF(OR(K161="lab",K161="plab",K161="slab",K161="tut",K161="ptut",K161="stut"),0.5,IF(OR(K161="TL",K161="pTL",K161="STL"),0.75,0))),0))</f>
        <v>0</v>
      </c>
      <c r="U151" s="137"/>
      <c r="V151" s="133"/>
      <c r="W151" s="138"/>
      <c r="X151" s="139">
        <f>S151-(T151+U151+V151+W151)</f>
        <v>0</v>
      </c>
      <c r="Y151" s="134" t="str">
        <f>CONCATENATE(SUM(O151:O161),"(",SUM(O151:O161)-X151,")")</f>
        <v>0(0)</v>
      </c>
      <c r="Z151" s="140"/>
      <c r="AA151" s="141"/>
      <c r="AB151" s="142"/>
      <c r="AC151" s="142"/>
      <c r="AD151" s="142"/>
      <c r="AE151" s="142"/>
      <c r="AF151" s="142"/>
      <c r="AG151" s="142"/>
      <c r="AH151" s="142"/>
      <c r="AI151" s="143"/>
      <c r="AJ151" s="144"/>
      <c r="AK151" s="145"/>
      <c r="AL151" s="145"/>
      <c r="AM151" s="145"/>
      <c r="AN151" s="145"/>
      <c r="AO151" s="146"/>
      <c r="AP151" s="147">
        <f>SUM(SUM(O151:O161),SUM(AI151:AI161)/2,AM151)</f>
        <v>0</v>
      </c>
      <c r="AQ151" s="148"/>
      <c r="AR151" s="148">
        <f>AP151*AQ151</f>
        <v>0</v>
      </c>
      <c r="AS151" s="148">
        <f>CT151</f>
        <v>0</v>
      </c>
      <c r="AT151" s="149">
        <f>AR151*0.75+AS151*0.25</f>
        <v>0</v>
      </c>
      <c r="AU151" s="150"/>
      <c r="AV151" s="151"/>
      <c r="AW151" s="151"/>
      <c r="AX151" s="152"/>
      <c r="AY151" s="153"/>
      <c r="AZ151" s="140"/>
      <c r="BA151" s="150"/>
      <c r="BB151" s="151"/>
      <c r="BC151" s="151"/>
      <c r="BD151" s="151"/>
      <c r="BE151" s="151"/>
      <c r="BF151" s="151"/>
      <c r="BG151" s="151"/>
      <c r="BH151" s="151"/>
      <c r="BI151" s="152"/>
      <c r="BJ151" s="154"/>
      <c r="BK151" s="151"/>
      <c r="BL151" s="151"/>
      <c r="BM151" s="151"/>
      <c r="BN151" s="151"/>
      <c r="BO151" s="155"/>
      <c r="BP151" s="140"/>
      <c r="BQ151" s="156"/>
      <c r="BR151" s="157"/>
      <c r="BS151" s="158"/>
      <c r="BT151" s="153"/>
      <c r="BU151" s="140"/>
      <c r="BV151" s="140"/>
      <c r="BW151" s="140"/>
      <c r="BX151" s="140"/>
      <c r="BY151" s="140"/>
      <c r="BZ151" s="140"/>
      <c r="CA151" s="140"/>
      <c r="CB151" s="140"/>
      <c r="CC151" s="140"/>
      <c r="CD151" s="150"/>
      <c r="CE151" s="155"/>
      <c r="CF151" s="150"/>
      <c r="CG151" s="152"/>
      <c r="CH151" s="252"/>
      <c r="CI151" s="160"/>
      <c r="CJ151" s="159"/>
      <c r="CK151" s="160"/>
      <c r="CL151" s="159"/>
      <c r="CM151" s="160"/>
      <c r="CN151" s="159"/>
      <c r="CO151" s="160"/>
      <c r="CP151" s="159"/>
      <c r="CQ151" s="162"/>
      <c r="CR151" s="160"/>
      <c r="CS151" s="253">
        <f>SUM(IF(AU151&lt;0,ABS(AU151),0),IF(AZ151&lt;0,ABS(AZ151),0),ABS(CI151),ABS(CK151),ABS(CM151),ABS(CO151),ABS(CQ151),ABS(CR151))</f>
        <v>0</v>
      </c>
      <c r="CT151" s="254">
        <f>SUM(AU151,AV151,AW151,AX151/400,AY151,AZ151,BG151,BH151*0.5,BI151*0.25,BJ151,BK151,BL151,BM151,BN151,BO151,BP151,BR151/20,BS151/100,BT151/60,BU151,BV151,BW151,BX151/4,SUM(BY151:CC161)/3,CE151,CG151/3,CI151,CK151,CM151,CO151,CQ151,CR151)</f>
        <v>0</v>
      </c>
      <c r="CU151" s="255" t="str">
        <f t="shared" si="2"/>
        <v>AJK</v>
      </c>
    </row>
    <row r="152" ht="60.0" customHeight="1">
      <c r="A152" s="65"/>
      <c r="C152" s="167">
        <v>2.0</v>
      </c>
      <c r="D152" s="168" t="s">
        <v>205</v>
      </c>
      <c r="E152" s="169"/>
      <c r="F152" s="170"/>
      <c r="G152" s="170"/>
      <c r="H152" s="170"/>
      <c r="I152" s="207"/>
      <c r="J152" s="170"/>
      <c r="K152" s="171"/>
      <c r="L152" s="171"/>
      <c r="M152" s="171"/>
      <c r="N152" s="171"/>
      <c r="O152" s="268">
        <f t="shared" si="28"/>
        <v>0</v>
      </c>
      <c r="Q152" s="173"/>
      <c r="R152" s="65"/>
      <c r="S152" s="173"/>
      <c r="T152" s="173"/>
      <c r="U152" s="166"/>
      <c r="V152" s="166"/>
      <c r="W152" s="65"/>
      <c r="X152" s="66"/>
      <c r="Y152" s="173"/>
      <c r="Z152" s="166"/>
      <c r="AA152" s="174"/>
      <c r="AB152" s="175"/>
      <c r="AC152" s="175"/>
      <c r="AD152" s="175"/>
      <c r="AE152" s="175"/>
      <c r="AF152" s="175"/>
      <c r="AG152" s="175"/>
      <c r="AH152" s="175"/>
      <c r="AI152" s="176"/>
      <c r="AJ152" s="177"/>
      <c r="AK152" s="178"/>
      <c r="AL152" s="178"/>
      <c r="AM152" s="178"/>
      <c r="AN152" s="178"/>
      <c r="AO152" s="179"/>
      <c r="AP152" s="64"/>
      <c r="AQ152" s="65"/>
      <c r="AR152" s="65"/>
      <c r="AS152" s="65"/>
      <c r="AT152" s="173"/>
      <c r="AU152" s="177"/>
      <c r="AV152" s="178"/>
      <c r="AW152" s="178"/>
      <c r="AX152" s="179"/>
      <c r="AZ152" s="166"/>
      <c r="BA152" s="177"/>
      <c r="BB152" s="178"/>
      <c r="BC152" s="178"/>
      <c r="BD152" s="178"/>
      <c r="BE152" s="178"/>
      <c r="BF152" s="178"/>
      <c r="BG152" s="178"/>
      <c r="BH152" s="178"/>
      <c r="BI152" s="179"/>
      <c r="BJ152" s="180"/>
      <c r="BK152" s="178"/>
      <c r="BL152" s="178"/>
      <c r="BM152" s="178"/>
      <c r="BN152" s="178"/>
      <c r="BO152" s="181"/>
      <c r="BP152" s="166"/>
      <c r="BQ152" s="177"/>
      <c r="BR152" s="178"/>
      <c r="BS152" s="179"/>
      <c r="BU152" s="166"/>
      <c r="BV152" s="166"/>
      <c r="BW152" s="166"/>
      <c r="BX152" s="166"/>
      <c r="BY152" s="166"/>
      <c r="BZ152" s="166"/>
      <c r="CA152" s="166"/>
      <c r="CB152" s="166"/>
      <c r="CC152" s="166"/>
      <c r="CD152" s="177"/>
      <c r="CE152" s="181"/>
      <c r="CF152" s="177"/>
      <c r="CG152" s="179"/>
      <c r="CH152" s="257"/>
      <c r="CI152" s="182"/>
      <c r="CJ152" s="177"/>
      <c r="CK152" s="182"/>
      <c r="CL152" s="177"/>
      <c r="CM152" s="182"/>
      <c r="CN152" s="177"/>
      <c r="CO152" s="182"/>
      <c r="CP152" s="177"/>
      <c r="CQ152" s="178"/>
      <c r="CR152" s="182"/>
      <c r="CS152" s="173"/>
      <c r="CT152" s="65"/>
      <c r="CU152" s="255" t="str">
        <f t="shared" si="2"/>
        <v>AJK</v>
      </c>
    </row>
    <row r="153" ht="60.0" customHeight="1">
      <c r="A153" s="65"/>
      <c r="C153" s="167">
        <v>3.0</v>
      </c>
      <c r="D153" s="168" t="s">
        <v>205</v>
      </c>
      <c r="E153" s="169"/>
      <c r="F153" s="170"/>
      <c r="G153" s="170"/>
      <c r="H153" s="170"/>
      <c r="I153" s="207"/>
      <c r="J153" s="170"/>
      <c r="K153" s="171"/>
      <c r="L153" s="171"/>
      <c r="M153" s="171"/>
      <c r="N153" s="171"/>
      <c r="O153" s="268">
        <f t="shared" si="28"/>
        <v>0</v>
      </c>
      <c r="Q153" s="173"/>
      <c r="R153" s="65"/>
      <c r="S153" s="173"/>
      <c r="T153" s="173"/>
      <c r="U153" s="166"/>
      <c r="V153" s="166"/>
      <c r="W153" s="65"/>
      <c r="X153" s="66"/>
      <c r="Y153" s="173"/>
      <c r="Z153" s="166"/>
      <c r="AA153" s="174"/>
      <c r="AB153" s="175"/>
      <c r="AC153" s="175"/>
      <c r="AD153" s="175"/>
      <c r="AE153" s="175"/>
      <c r="AF153" s="175"/>
      <c r="AG153" s="175"/>
      <c r="AH153" s="175"/>
      <c r="AI153" s="176"/>
      <c r="AJ153" s="177"/>
      <c r="AK153" s="178"/>
      <c r="AL153" s="178"/>
      <c r="AM153" s="178"/>
      <c r="AN153" s="178"/>
      <c r="AO153" s="179"/>
      <c r="AP153" s="64"/>
      <c r="AQ153" s="65"/>
      <c r="AR153" s="65"/>
      <c r="AS153" s="65"/>
      <c r="AT153" s="173"/>
      <c r="AU153" s="177"/>
      <c r="AV153" s="178"/>
      <c r="AW153" s="178"/>
      <c r="AX153" s="179"/>
      <c r="AZ153" s="166"/>
      <c r="BA153" s="177"/>
      <c r="BB153" s="178"/>
      <c r="BC153" s="178"/>
      <c r="BD153" s="178"/>
      <c r="BE153" s="178"/>
      <c r="BF153" s="178"/>
      <c r="BG153" s="178"/>
      <c r="BH153" s="178"/>
      <c r="BI153" s="179"/>
      <c r="BJ153" s="180"/>
      <c r="BK153" s="178"/>
      <c r="BL153" s="178"/>
      <c r="BM153" s="178"/>
      <c r="BN153" s="178"/>
      <c r="BO153" s="181"/>
      <c r="BP153" s="166"/>
      <c r="BQ153" s="177"/>
      <c r="BR153" s="178"/>
      <c r="BS153" s="179"/>
      <c r="BU153" s="166"/>
      <c r="BV153" s="166"/>
      <c r="BW153" s="166"/>
      <c r="BX153" s="166"/>
      <c r="BY153" s="166"/>
      <c r="BZ153" s="166"/>
      <c r="CA153" s="166"/>
      <c r="CB153" s="166"/>
      <c r="CC153" s="166"/>
      <c r="CD153" s="177"/>
      <c r="CE153" s="181"/>
      <c r="CF153" s="177"/>
      <c r="CG153" s="179"/>
      <c r="CH153" s="257"/>
      <c r="CI153" s="182"/>
      <c r="CJ153" s="177"/>
      <c r="CK153" s="182"/>
      <c r="CL153" s="177"/>
      <c r="CM153" s="182"/>
      <c r="CN153" s="177"/>
      <c r="CO153" s="182"/>
      <c r="CP153" s="177"/>
      <c r="CQ153" s="178"/>
      <c r="CR153" s="182"/>
      <c r="CS153" s="173"/>
      <c r="CT153" s="65"/>
      <c r="CU153" s="255" t="str">
        <f t="shared" si="2"/>
        <v>AJK</v>
      </c>
    </row>
    <row r="154" ht="60.0" customHeight="1">
      <c r="A154" s="65"/>
      <c r="C154" s="167">
        <v>4.0</v>
      </c>
      <c r="D154" s="168" t="s">
        <v>205</v>
      </c>
      <c r="E154" s="169"/>
      <c r="F154" s="170"/>
      <c r="G154" s="170"/>
      <c r="H154" s="170"/>
      <c r="I154" s="207"/>
      <c r="J154" s="170"/>
      <c r="K154" s="171"/>
      <c r="L154" s="171"/>
      <c r="M154" s="171"/>
      <c r="N154" s="171"/>
      <c r="O154" s="268">
        <f t="shared" si="28"/>
        <v>0</v>
      </c>
      <c r="Q154" s="173"/>
      <c r="R154" s="65"/>
      <c r="S154" s="173"/>
      <c r="T154" s="173"/>
      <c r="U154" s="166"/>
      <c r="V154" s="166"/>
      <c r="W154" s="65"/>
      <c r="X154" s="66"/>
      <c r="Y154" s="173"/>
      <c r="Z154" s="166"/>
      <c r="AA154" s="174"/>
      <c r="AB154" s="175"/>
      <c r="AC154" s="175"/>
      <c r="AD154" s="175"/>
      <c r="AE154" s="175"/>
      <c r="AF154" s="175"/>
      <c r="AG154" s="175"/>
      <c r="AH154" s="175"/>
      <c r="AI154" s="176"/>
      <c r="AJ154" s="177"/>
      <c r="AK154" s="178"/>
      <c r="AL154" s="178"/>
      <c r="AM154" s="178"/>
      <c r="AN154" s="178"/>
      <c r="AO154" s="179"/>
      <c r="AP154" s="64"/>
      <c r="AQ154" s="65"/>
      <c r="AR154" s="65"/>
      <c r="AS154" s="65"/>
      <c r="AT154" s="173"/>
      <c r="AU154" s="177"/>
      <c r="AV154" s="178"/>
      <c r="AW154" s="178"/>
      <c r="AX154" s="179"/>
      <c r="AZ154" s="166"/>
      <c r="BA154" s="177"/>
      <c r="BB154" s="178"/>
      <c r="BC154" s="178"/>
      <c r="BD154" s="178"/>
      <c r="BE154" s="178"/>
      <c r="BF154" s="178"/>
      <c r="BG154" s="178"/>
      <c r="BH154" s="178"/>
      <c r="BI154" s="179"/>
      <c r="BJ154" s="180"/>
      <c r="BK154" s="178"/>
      <c r="BL154" s="178"/>
      <c r="BM154" s="178"/>
      <c r="BN154" s="178"/>
      <c r="BO154" s="181"/>
      <c r="BP154" s="166"/>
      <c r="BQ154" s="177"/>
      <c r="BR154" s="178"/>
      <c r="BS154" s="179"/>
      <c r="BU154" s="166"/>
      <c r="BV154" s="166"/>
      <c r="BW154" s="166"/>
      <c r="BX154" s="166"/>
      <c r="BY154" s="166"/>
      <c r="BZ154" s="166"/>
      <c r="CA154" s="166"/>
      <c r="CB154" s="166"/>
      <c r="CC154" s="166"/>
      <c r="CD154" s="177"/>
      <c r="CE154" s="181"/>
      <c r="CF154" s="177"/>
      <c r="CG154" s="179"/>
      <c r="CH154" s="257"/>
      <c r="CI154" s="182"/>
      <c r="CJ154" s="177"/>
      <c r="CK154" s="182"/>
      <c r="CL154" s="177"/>
      <c r="CM154" s="182"/>
      <c r="CN154" s="177"/>
      <c r="CO154" s="182"/>
      <c r="CP154" s="177"/>
      <c r="CQ154" s="178"/>
      <c r="CR154" s="182"/>
      <c r="CS154" s="173"/>
      <c r="CT154" s="65"/>
      <c r="CU154" s="255" t="str">
        <f t="shared" si="2"/>
        <v>AJK</v>
      </c>
    </row>
    <row r="155" ht="60.0" customHeight="1">
      <c r="A155" s="65"/>
      <c r="C155" s="167">
        <v>5.0</v>
      </c>
      <c r="D155" s="168" t="s">
        <v>205</v>
      </c>
      <c r="E155" s="169"/>
      <c r="F155" s="170"/>
      <c r="G155" s="170"/>
      <c r="H155" s="170"/>
      <c r="I155" s="207"/>
      <c r="J155" s="170"/>
      <c r="K155" s="171"/>
      <c r="L155" s="171"/>
      <c r="M155" s="171"/>
      <c r="N155" s="171"/>
      <c r="O155" s="268">
        <f t="shared" si="28"/>
        <v>0</v>
      </c>
      <c r="Q155" s="173"/>
      <c r="R155" s="65"/>
      <c r="S155" s="173"/>
      <c r="T155" s="173"/>
      <c r="U155" s="166"/>
      <c r="V155" s="166"/>
      <c r="W155" s="65"/>
      <c r="X155" s="66"/>
      <c r="Y155" s="173"/>
      <c r="Z155" s="166"/>
      <c r="AA155" s="174"/>
      <c r="AB155" s="175"/>
      <c r="AC155" s="175"/>
      <c r="AD155" s="175"/>
      <c r="AE155" s="175"/>
      <c r="AF155" s="175"/>
      <c r="AG155" s="175"/>
      <c r="AH155" s="175"/>
      <c r="AI155" s="176"/>
      <c r="AJ155" s="177"/>
      <c r="AK155" s="178"/>
      <c r="AL155" s="178"/>
      <c r="AM155" s="178"/>
      <c r="AN155" s="178"/>
      <c r="AO155" s="179"/>
      <c r="AP155" s="64"/>
      <c r="AQ155" s="65"/>
      <c r="AR155" s="65"/>
      <c r="AS155" s="65"/>
      <c r="AT155" s="173"/>
      <c r="AU155" s="177"/>
      <c r="AV155" s="178"/>
      <c r="AW155" s="178"/>
      <c r="AX155" s="179"/>
      <c r="AZ155" s="166"/>
      <c r="BA155" s="177"/>
      <c r="BB155" s="178"/>
      <c r="BC155" s="178"/>
      <c r="BD155" s="178"/>
      <c r="BE155" s="178"/>
      <c r="BF155" s="178"/>
      <c r="BG155" s="178"/>
      <c r="BH155" s="178"/>
      <c r="BI155" s="179"/>
      <c r="BJ155" s="180"/>
      <c r="BK155" s="178"/>
      <c r="BL155" s="178"/>
      <c r="BM155" s="178"/>
      <c r="BN155" s="178"/>
      <c r="BO155" s="181"/>
      <c r="BP155" s="166"/>
      <c r="BQ155" s="177"/>
      <c r="BR155" s="178"/>
      <c r="BS155" s="179"/>
      <c r="BU155" s="166"/>
      <c r="BV155" s="166"/>
      <c r="BW155" s="166"/>
      <c r="BX155" s="166"/>
      <c r="BY155" s="166"/>
      <c r="BZ155" s="166"/>
      <c r="CA155" s="166"/>
      <c r="CB155" s="166"/>
      <c r="CC155" s="166"/>
      <c r="CD155" s="177"/>
      <c r="CE155" s="181"/>
      <c r="CF155" s="177"/>
      <c r="CG155" s="179"/>
      <c r="CH155" s="257"/>
      <c r="CI155" s="182"/>
      <c r="CJ155" s="177"/>
      <c r="CK155" s="182"/>
      <c r="CL155" s="177"/>
      <c r="CM155" s="182"/>
      <c r="CN155" s="177"/>
      <c r="CO155" s="182"/>
      <c r="CP155" s="177"/>
      <c r="CQ155" s="178"/>
      <c r="CR155" s="182"/>
      <c r="CS155" s="173"/>
      <c r="CT155" s="65"/>
      <c r="CU155" s="255" t="str">
        <f t="shared" si="2"/>
        <v>AJK</v>
      </c>
    </row>
    <row r="156" ht="60.0" customHeight="1">
      <c r="A156" s="65"/>
      <c r="C156" s="167">
        <v>6.0</v>
      </c>
      <c r="D156" s="168" t="s">
        <v>205</v>
      </c>
      <c r="E156" s="169"/>
      <c r="F156" s="170"/>
      <c r="G156" s="170"/>
      <c r="H156" s="170"/>
      <c r="I156" s="207"/>
      <c r="J156" s="170"/>
      <c r="K156" s="171"/>
      <c r="L156" s="171"/>
      <c r="M156" s="171"/>
      <c r="N156" s="171"/>
      <c r="O156" s="268">
        <f t="shared" si="28"/>
        <v>0</v>
      </c>
      <c r="Q156" s="173"/>
      <c r="R156" s="65"/>
      <c r="S156" s="173"/>
      <c r="T156" s="173"/>
      <c r="U156" s="166"/>
      <c r="V156" s="166"/>
      <c r="W156" s="65"/>
      <c r="X156" s="66"/>
      <c r="Y156" s="173"/>
      <c r="Z156" s="166"/>
      <c r="AA156" s="174"/>
      <c r="AB156" s="175"/>
      <c r="AC156" s="175"/>
      <c r="AD156" s="175"/>
      <c r="AE156" s="175"/>
      <c r="AF156" s="175"/>
      <c r="AG156" s="175"/>
      <c r="AH156" s="175"/>
      <c r="AI156" s="176"/>
      <c r="AJ156" s="177"/>
      <c r="AK156" s="178"/>
      <c r="AL156" s="178"/>
      <c r="AM156" s="178"/>
      <c r="AN156" s="178"/>
      <c r="AO156" s="179"/>
      <c r="AP156" s="64"/>
      <c r="AQ156" s="65"/>
      <c r="AR156" s="65"/>
      <c r="AS156" s="65"/>
      <c r="AT156" s="173"/>
      <c r="AU156" s="177"/>
      <c r="AV156" s="178"/>
      <c r="AW156" s="178"/>
      <c r="AX156" s="179"/>
      <c r="AZ156" s="166"/>
      <c r="BA156" s="177"/>
      <c r="BB156" s="178"/>
      <c r="BC156" s="178"/>
      <c r="BD156" s="178"/>
      <c r="BE156" s="178"/>
      <c r="BF156" s="178"/>
      <c r="BG156" s="178"/>
      <c r="BH156" s="178"/>
      <c r="BI156" s="179"/>
      <c r="BJ156" s="180"/>
      <c r="BK156" s="178"/>
      <c r="BL156" s="178"/>
      <c r="BM156" s="178"/>
      <c r="BN156" s="178"/>
      <c r="BO156" s="181"/>
      <c r="BP156" s="166"/>
      <c r="BQ156" s="177"/>
      <c r="BR156" s="178"/>
      <c r="BS156" s="179"/>
      <c r="BU156" s="166"/>
      <c r="BV156" s="166"/>
      <c r="BW156" s="166"/>
      <c r="BX156" s="166"/>
      <c r="BY156" s="166"/>
      <c r="BZ156" s="166"/>
      <c r="CA156" s="166"/>
      <c r="CB156" s="166"/>
      <c r="CC156" s="166"/>
      <c r="CD156" s="177"/>
      <c r="CE156" s="181"/>
      <c r="CF156" s="177"/>
      <c r="CG156" s="179"/>
      <c r="CH156" s="257"/>
      <c r="CI156" s="182"/>
      <c r="CJ156" s="177"/>
      <c r="CK156" s="182"/>
      <c r="CL156" s="177"/>
      <c r="CM156" s="182"/>
      <c r="CN156" s="177"/>
      <c r="CO156" s="182"/>
      <c r="CP156" s="177"/>
      <c r="CQ156" s="178"/>
      <c r="CR156" s="182"/>
      <c r="CS156" s="173"/>
      <c r="CT156" s="65"/>
      <c r="CU156" s="255" t="str">
        <f t="shared" si="2"/>
        <v>AJK</v>
      </c>
    </row>
    <row r="157" ht="60.0" customHeight="1">
      <c r="A157" s="65"/>
      <c r="C157" s="167">
        <v>7.0</v>
      </c>
      <c r="D157" s="168" t="s">
        <v>205</v>
      </c>
      <c r="E157" s="169"/>
      <c r="F157" s="170"/>
      <c r="G157" s="170"/>
      <c r="H157" s="170"/>
      <c r="I157" s="207"/>
      <c r="J157" s="170"/>
      <c r="K157" s="171"/>
      <c r="L157" s="171"/>
      <c r="M157" s="171"/>
      <c r="N157" s="171"/>
      <c r="O157" s="268">
        <f t="shared" ref="O157:O160" si="29">IF(AND(M157&gt;=20,M157&lt;&gt;"m",RIGHT(K157,3)="Lec"),1,IF(AND(M157&gt;=20,M157&lt;&gt;"m",OR(RIGHT(K157,3)="Lab",RIGHT(K157,3)="Tut")),0.5,IF(AND(M157&gt;=20,M157&lt;&gt;"m",RIGHT(K157,2)="TL"),0.75,0)))</f>
        <v>0</v>
      </c>
      <c r="Q157" s="173"/>
      <c r="R157" s="65"/>
      <c r="S157" s="173"/>
      <c r="T157" s="173"/>
      <c r="U157" s="166"/>
      <c r="V157" s="166"/>
      <c r="W157" s="65"/>
      <c r="X157" s="66"/>
      <c r="Y157" s="173"/>
      <c r="Z157" s="166"/>
      <c r="AA157" s="174"/>
      <c r="AB157" s="175"/>
      <c r="AC157" s="175"/>
      <c r="AD157" s="175"/>
      <c r="AE157" s="175"/>
      <c r="AF157" s="175"/>
      <c r="AG157" s="175"/>
      <c r="AH157" s="175"/>
      <c r="AI157" s="176"/>
      <c r="AJ157" s="177"/>
      <c r="AK157" s="178"/>
      <c r="AL157" s="178"/>
      <c r="AM157" s="178"/>
      <c r="AN157" s="178"/>
      <c r="AO157" s="179"/>
      <c r="AP157" s="64"/>
      <c r="AQ157" s="65"/>
      <c r="AR157" s="65"/>
      <c r="AS157" s="65"/>
      <c r="AT157" s="173"/>
      <c r="AU157" s="177"/>
      <c r="AV157" s="178"/>
      <c r="AW157" s="178"/>
      <c r="AX157" s="179"/>
      <c r="AZ157" s="166"/>
      <c r="BA157" s="177"/>
      <c r="BB157" s="178"/>
      <c r="BC157" s="178"/>
      <c r="BD157" s="178"/>
      <c r="BE157" s="178"/>
      <c r="BF157" s="178"/>
      <c r="BG157" s="178"/>
      <c r="BH157" s="178"/>
      <c r="BI157" s="179"/>
      <c r="BJ157" s="180"/>
      <c r="BK157" s="178"/>
      <c r="BL157" s="178"/>
      <c r="BM157" s="178"/>
      <c r="BN157" s="178"/>
      <c r="BO157" s="181"/>
      <c r="BP157" s="166"/>
      <c r="BQ157" s="177"/>
      <c r="BR157" s="178"/>
      <c r="BS157" s="179"/>
      <c r="BU157" s="166"/>
      <c r="BV157" s="166"/>
      <c r="BW157" s="166"/>
      <c r="BX157" s="166"/>
      <c r="BY157" s="166"/>
      <c r="BZ157" s="166"/>
      <c r="CA157" s="166"/>
      <c r="CB157" s="166"/>
      <c r="CC157" s="166"/>
      <c r="CD157" s="177"/>
      <c r="CE157" s="181"/>
      <c r="CF157" s="177"/>
      <c r="CG157" s="179"/>
      <c r="CH157" s="257"/>
      <c r="CI157" s="182"/>
      <c r="CJ157" s="177"/>
      <c r="CK157" s="182"/>
      <c r="CL157" s="177"/>
      <c r="CM157" s="182"/>
      <c r="CN157" s="177"/>
      <c r="CO157" s="182"/>
      <c r="CP157" s="177"/>
      <c r="CQ157" s="178"/>
      <c r="CR157" s="182"/>
      <c r="CS157" s="173"/>
      <c r="CT157" s="65"/>
      <c r="CU157" s="255" t="str">
        <f t="shared" si="2"/>
        <v>AJK</v>
      </c>
    </row>
    <row r="158" ht="60.0" customHeight="1">
      <c r="A158" s="65"/>
      <c r="C158" s="167">
        <v>8.0</v>
      </c>
      <c r="D158" s="168" t="s">
        <v>205</v>
      </c>
      <c r="E158" s="169"/>
      <c r="F158" s="170"/>
      <c r="G158" s="170"/>
      <c r="H158" s="170"/>
      <c r="I158" s="207"/>
      <c r="J158" s="170"/>
      <c r="K158" s="171"/>
      <c r="L158" s="171"/>
      <c r="M158" s="171"/>
      <c r="N158" s="171"/>
      <c r="O158" s="268">
        <f t="shared" si="29"/>
        <v>0</v>
      </c>
      <c r="Q158" s="173"/>
      <c r="R158" s="65"/>
      <c r="S158" s="173"/>
      <c r="T158" s="173"/>
      <c r="U158" s="166"/>
      <c r="V158" s="166"/>
      <c r="W158" s="65"/>
      <c r="X158" s="66"/>
      <c r="Y158" s="173"/>
      <c r="Z158" s="166"/>
      <c r="AA158" s="174"/>
      <c r="AB158" s="175"/>
      <c r="AC158" s="175"/>
      <c r="AD158" s="175"/>
      <c r="AE158" s="175"/>
      <c r="AF158" s="175"/>
      <c r="AG158" s="175"/>
      <c r="AH158" s="175"/>
      <c r="AI158" s="176"/>
      <c r="AJ158" s="177"/>
      <c r="AK158" s="178"/>
      <c r="AL158" s="178"/>
      <c r="AM158" s="178"/>
      <c r="AN158" s="178"/>
      <c r="AO158" s="179"/>
      <c r="AP158" s="64"/>
      <c r="AQ158" s="65"/>
      <c r="AR158" s="65"/>
      <c r="AS158" s="65"/>
      <c r="AT158" s="173"/>
      <c r="AU158" s="177"/>
      <c r="AV158" s="178"/>
      <c r="AW158" s="178"/>
      <c r="AX158" s="179"/>
      <c r="AZ158" s="166"/>
      <c r="BA158" s="177"/>
      <c r="BB158" s="178"/>
      <c r="BC158" s="178"/>
      <c r="BD158" s="178"/>
      <c r="BE158" s="178"/>
      <c r="BF158" s="178"/>
      <c r="BG158" s="178"/>
      <c r="BH158" s="178"/>
      <c r="BI158" s="179"/>
      <c r="BJ158" s="180"/>
      <c r="BK158" s="178"/>
      <c r="BL158" s="178"/>
      <c r="BM158" s="178"/>
      <c r="BN158" s="178"/>
      <c r="BO158" s="181"/>
      <c r="BP158" s="166"/>
      <c r="BQ158" s="177"/>
      <c r="BR158" s="178"/>
      <c r="BS158" s="179"/>
      <c r="BU158" s="166"/>
      <c r="BV158" s="166"/>
      <c r="BW158" s="166"/>
      <c r="BX158" s="166"/>
      <c r="BY158" s="166"/>
      <c r="BZ158" s="166"/>
      <c r="CA158" s="166"/>
      <c r="CB158" s="166"/>
      <c r="CC158" s="166"/>
      <c r="CD158" s="177"/>
      <c r="CE158" s="181"/>
      <c r="CF158" s="177"/>
      <c r="CG158" s="179"/>
      <c r="CH158" s="257"/>
      <c r="CI158" s="182"/>
      <c r="CJ158" s="177"/>
      <c r="CK158" s="182"/>
      <c r="CL158" s="177"/>
      <c r="CM158" s="182"/>
      <c r="CN158" s="177"/>
      <c r="CO158" s="182"/>
      <c r="CP158" s="177"/>
      <c r="CQ158" s="178"/>
      <c r="CR158" s="182"/>
      <c r="CS158" s="173"/>
      <c r="CT158" s="65"/>
      <c r="CU158" s="255" t="str">
        <f t="shared" si="2"/>
        <v>AJK</v>
      </c>
    </row>
    <row r="159" ht="60.0" customHeight="1">
      <c r="A159" s="65"/>
      <c r="C159" s="167">
        <v>9.0</v>
      </c>
      <c r="D159" s="168" t="s">
        <v>205</v>
      </c>
      <c r="E159" s="169"/>
      <c r="F159" s="170"/>
      <c r="G159" s="170"/>
      <c r="H159" s="170"/>
      <c r="I159" s="207"/>
      <c r="J159" s="170"/>
      <c r="K159" s="171"/>
      <c r="L159" s="171"/>
      <c r="M159" s="171"/>
      <c r="N159" s="171"/>
      <c r="O159" s="268">
        <f t="shared" si="29"/>
        <v>0</v>
      </c>
      <c r="Q159" s="173"/>
      <c r="R159" s="65"/>
      <c r="S159" s="173"/>
      <c r="T159" s="173"/>
      <c r="U159" s="166"/>
      <c r="V159" s="166"/>
      <c r="W159" s="65"/>
      <c r="X159" s="66"/>
      <c r="Y159" s="173"/>
      <c r="Z159" s="166"/>
      <c r="AA159" s="174"/>
      <c r="AB159" s="175"/>
      <c r="AC159" s="175"/>
      <c r="AD159" s="175"/>
      <c r="AE159" s="175"/>
      <c r="AF159" s="175"/>
      <c r="AG159" s="175"/>
      <c r="AH159" s="175"/>
      <c r="AI159" s="176"/>
      <c r="AJ159" s="177"/>
      <c r="AK159" s="178"/>
      <c r="AL159" s="178"/>
      <c r="AM159" s="178"/>
      <c r="AN159" s="178"/>
      <c r="AO159" s="179"/>
      <c r="AP159" s="64"/>
      <c r="AQ159" s="65"/>
      <c r="AR159" s="65"/>
      <c r="AS159" s="65"/>
      <c r="AT159" s="173"/>
      <c r="AU159" s="177"/>
      <c r="AV159" s="178"/>
      <c r="AW159" s="178"/>
      <c r="AX159" s="179"/>
      <c r="AZ159" s="166"/>
      <c r="BA159" s="177"/>
      <c r="BB159" s="178"/>
      <c r="BC159" s="178"/>
      <c r="BD159" s="178"/>
      <c r="BE159" s="178"/>
      <c r="BF159" s="178"/>
      <c r="BG159" s="178"/>
      <c r="BH159" s="178"/>
      <c r="BI159" s="179"/>
      <c r="BJ159" s="180"/>
      <c r="BK159" s="178"/>
      <c r="BL159" s="178"/>
      <c r="BM159" s="178"/>
      <c r="BN159" s="178"/>
      <c r="BO159" s="181"/>
      <c r="BP159" s="166"/>
      <c r="BQ159" s="177"/>
      <c r="BR159" s="178"/>
      <c r="BS159" s="179"/>
      <c r="BU159" s="166"/>
      <c r="BV159" s="166"/>
      <c r="BW159" s="166"/>
      <c r="BX159" s="166"/>
      <c r="BY159" s="166"/>
      <c r="BZ159" s="166"/>
      <c r="CA159" s="166"/>
      <c r="CB159" s="166"/>
      <c r="CC159" s="166"/>
      <c r="CD159" s="177"/>
      <c r="CE159" s="181"/>
      <c r="CF159" s="177"/>
      <c r="CG159" s="179"/>
      <c r="CH159" s="257"/>
      <c r="CI159" s="182"/>
      <c r="CJ159" s="177"/>
      <c r="CK159" s="182"/>
      <c r="CL159" s="177"/>
      <c r="CM159" s="182"/>
      <c r="CN159" s="177"/>
      <c r="CO159" s="182"/>
      <c r="CP159" s="177"/>
      <c r="CQ159" s="178"/>
      <c r="CR159" s="182"/>
      <c r="CS159" s="173"/>
      <c r="CT159" s="65"/>
      <c r="CU159" s="255" t="str">
        <f t="shared" si="2"/>
        <v>AJK</v>
      </c>
    </row>
    <row r="160" ht="60.0" customHeight="1">
      <c r="A160" s="65"/>
      <c r="C160" s="167">
        <v>10.0</v>
      </c>
      <c r="D160" s="168" t="s">
        <v>205</v>
      </c>
      <c r="E160" s="169"/>
      <c r="F160" s="170"/>
      <c r="G160" s="170"/>
      <c r="H160" s="170"/>
      <c r="I160" s="207"/>
      <c r="J160" s="170"/>
      <c r="K160" s="171"/>
      <c r="L160" s="171"/>
      <c r="M160" s="171"/>
      <c r="N160" s="171"/>
      <c r="O160" s="268">
        <f t="shared" si="29"/>
        <v>0</v>
      </c>
      <c r="Q160" s="173"/>
      <c r="R160" s="65"/>
      <c r="S160" s="173"/>
      <c r="T160" s="173"/>
      <c r="U160" s="166"/>
      <c r="V160" s="166"/>
      <c r="W160" s="65"/>
      <c r="X160" s="66"/>
      <c r="Y160" s="173"/>
      <c r="Z160" s="166"/>
      <c r="AA160" s="174"/>
      <c r="AB160" s="175"/>
      <c r="AC160" s="175"/>
      <c r="AD160" s="175"/>
      <c r="AE160" s="175"/>
      <c r="AF160" s="175"/>
      <c r="AG160" s="175"/>
      <c r="AH160" s="175"/>
      <c r="AI160" s="176"/>
      <c r="AJ160" s="177"/>
      <c r="AK160" s="178"/>
      <c r="AL160" s="178"/>
      <c r="AM160" s="178"/>
      <c r="AN160" s="178"/>
      <c r="AO160" s="179"/>
      <c r="AP160" s="64"/>
      <c r="AQ160" s="65"/>
      <c r="AR160" s="65"/>
      <c r="AS160" s="65"/>
      <c r="AT160" s="173"/>
      <c r="AU160" s="177"/>
      <c r="AV160" s="178"/>
      <c r="AW160" s="178"/>
      <c r="AX160" s="179"/>
      <c r="AZ160" s="166"/>
      <c r="BA160" s="177"/>
      <c r="BB160" s="178"/>
      <c r="BC160" s="178"/>
      <c r="BD160" s="178"/>
      <c r="BE160" s="178"/>
      <c r="BF160" s="178"/>
      <c r="BG160" s="178"/>
      <c r="BH160" s="178"/>
      <c r="BI160" s="179"/>
      <c r="BJ160" s="180"/>
      <c r="BK160" s="178"/>
      <c r="BL160" s="178"/>
      <c r="BM160" s="178"/>
      <c r="BN160" s="178"/>
      <c r="BO160" s="181"/>
      <c r="BP160" s="166"/>
      <c r="BQ160" s="177"/>
      <c r="BR160" s="178"/>
      <c r="BS160" s="179"/>
      <c r="BU160" s="166"/>
      <c r="BV160" s="166"/>
      <c r="BW160" s="166"/>
      <c r="BX160" s="166"/>
      <c r="BY160" s="166"/>
      <c r="BZ160" s="166"/>
      <c r="CA160" s="166"/>
      <c r="CB160" s="166"/>
      <c r="CC160" s="166"/>
      <c r="CD160" s="177"/>
      <c r="CE160" s="181"/>
      <c r="CF160" s="177"/>
      <c r="CG160" s="179"/>
      <c r="CH160" s="257"/>
      <c r="CI160" s="182"/>
      <c r="CJ160" s="177"/>
      <c r="CK160" s="182"/>
      <c r="CL160" s="177"/>
      <c r="CM160" s="182"/>
      <c r="CN160" s="177"/>
      <c r="CO160" s="182"/>
      <c r="CP160" s="177"/>
      <c r="CQ160" s="178"/>
      <c r="CR160" s="182"/>
      <c r="CS160" s="173"/>
      <c r="CT160" s="65"/>
      <c r="CU160" s="255" t="str">
        <f t="shared" si="2"/>
        <v>AJK</v>
      </c>
    </row>
    <row r="161" ht="60.0" customHeight="1">
      <c r="A161" s="89"/>
      <c r="C161" s="183">
        <v>11.0</v>
      </c>
      <c r="D161" s="210" t="s">
        <v>205</v>
      </c>
      <c r="E161" s="185"/>
      <c r="F161" s="186"/>
      <c r="G161" s="186"/>
      <c r="H161" s="186"/>
      <c r="I161" s="212"/>
      <c r="J161" s="186"/>
      <c r="K161" s="187"/>
      <c r="L161" s="187"/>
      <c r="M161" s="187"/>
      <c r="N161" s="187"/>
      <c r="O161" s="269">
        <f t="shared" ref="O161:O167" si="30">IF(AND(M161&lt;&gt;0,M161&lt;&gt;"m",M161&lt;&gt;"",RIGHT(K161,3)="Lec"),1,IF(AND(M161&lt;&gt;0,M161&lt;&gt;"m",M161&lt;&gt;"",OR(RIGHT(K161,3)="Lab",RIGHT(K161,3)="Tut")),0.5,IF(AND(M161&lt;&gt;0,M161&lt;&gt;"m",M161&lt;&gt;"",RIGHT(K161,2)="TL"),0.75,0)))</f>
        <v>0</v>
      </c>
      <c r="P161" s="6"/>
      <c r="Q161" s="69"/>
      <c r="R161" s="89"/>
      <c r="S161" s="69"/>
      <c r="T161" s="69"/>
      <c r="U161" s="63"/>
      <c r="V161" s="63"/>
      <c r="W161" s="89"/>
      <c r="X161" s="68"/>
      <c r="Y161" s="69"/>
      <c r="Z161" s="63"/>
      <c r="AA161" s="189"/>
      <c r="AB161" s="190"/>
      <c r="AC161" s="190"/>
      <c r="AD161" s="190"/>
      <c r="AE161" s="190"/>
      <c r="AF161" s="190"/>
      <c r="AG161" s="190"/>
      <c r="AH161" s="190"/>
      <c r="AI161" s="191"/>
      <c r="AJ161" s="192"/>
      <c r="AK161" s="193"/>
      <c r="AL161" s="193"/>
      <c r="AM161" s="193"/>
      <c r="AN161" s="193"/>
      <c r="AO161" s="194"/>
      <c r="AP161" s="103"/>
      <c r="AQ161" s="89"/>
      <c r="AR161" s="89"/>
      <c r="AS161" s="89"/>
      <c r="AT161" s="69"/>
      <c r="AU161" s="192"/>
      <c r="AV161" s="193"/>
      <c r="AW161" s="193"/>
      <c r="AX161" s="194"/>
      <c r="AY161" s="6"/>
      <c r="AZ161" s="63"/>
      <c r="BA161" s="192"/>
      <c r="BB161" s="193"/>
      <c r="BC161" s="193"/>
      <c r="BD161" s="193"/>
      <c r="BE161" s="193"/>
      <c r="BF161" s="193"/>
      <c r="BG161" s="193"/>
      <c r="BH161" s="193"/>
      <c r="BI161" s="194"/>
      <c r="BJ161" s="195"/>
      <c r="BK161" s="193"/>
      <c r="BL161" s="193"/>
      <c r="BM161" s="193"/>
      <c r="BN161" s="193"/>
      <c r="BO161" s="196"/>
      <c r="BP161" s="63"/>
      <c r="BQ161" s="192"/>
      <c r="BR161" s="193"/>
      <c r="BS161" s="194"/>
      <c r="BT161" s="6"/>
      <c r="BU161" s="63"/>
      <c r="BV161" s="63"/>
      <c r="BW161" s="63"/>
      <c r="BX161" s="63"/>
      <c r="BY161" s="63"/>
      <c r="BZ161" s="63"/>
      <c r="CA161" s="63"/>
      <c r="CB161" s="63"/>
      <c r="CC161" s="63"/>
      <c r="CD161" s="192"/>
      <c r="CE161" s="196"/>
      <c r="CF161" s="192"/>
      <c r="CG161" s="194"/>
      <c r="CH161" s="259"/>
      <c r="CI161" s="197"/>
      <c r="CJ161" s="192"/>
      <c r="CK161" s="197"/>
      <c r="CL161" s="192"/>
      <c r="CM161" s="197"/>
      <c r="CN161" s="192"/>
      <c r="CO161" s="197"/>
      <c r="CP161" s="192"/>
      <c r="CQ161" s="193"/>
      <c r="CR161" s="197"/>
      <c r="CS161" s="69"/>
      <c r="CT161" s="89"/>
      <c r="CU161" s="255" t="str">
        <f t="shared" si="2"/>
        <v>AJK</v>
      </c>
    </row>
    <row r="162" ht="56.25" hidden="1" customHeight="1">
      <c r="A162" s="125"/>
      <c r="B162" s="199"/>
      <c r="C162" s="127"/>
      <c r="D162" s="128"/>
      <c r="E162" s="260"/>
      <c r="F162" s="261"/>
      <c r="G162" s="261"/>
      <c r="H162" s="261"/>
      <c r="I162" s="261"/>
      <c r="J162" s="170"/>
      <c r="K162" s="219"/>
      <c r="L162" s="219"/>
      <c r="M162" s="219"/>
      <c r="N162" s="220"/>
      <c r="O162" s="270">
        <f t="shared" si="30"/>
        <v>0</v>
      </c>
      <c r="P162" s="133">
        <f>COUNTIF(K162:K172,"TL")*0.75+COUNTIF(K162:K172,"Lec")*1+COUNTIF(K162:K172,"Lab")*0.5</f>
        <v>0</v>
      </c>
      <c r="Q162" s="134">
        <f>SUM((IF(LEFT(K162,1)="E",O162,0)),(IF(LEFT(K163,1)="E",O163,0)),(IF(LEFT(K164,1)="E",O164,0)),(IF(LEFT(K165,1)="E",O165,0)),(IF(LEFT(K166,1)="E",O166,0)),(IF(LEFT(K167,1)="E",O167,0)),(IF(LEFT(K168,1)="E",O168,0)),(IF(LEFT(K169,1)="E",O169,0)),(IF(LEFT(K170,1)="E",O170,0)),(IF(LEFT(K171,1)="E",O171,0)),(IF(LEFT(K172,1)="E",O172,0)))</f>
        <v>0</v>
      </c>
      <c r="R162" s="135">
        <f>SUM(IF(M168&lt;20,IF(K168="Plec",-1,IF(K168="PTL",-0.75,IF(K168="Plab",-0.5,0))),0),IF(M169&lt;20,IF(K169="Plec",-1,IF(K169="PTL",-0.75,IF(K169="Plab",-0.5,0))),0),IF(M170&lt;20,IF(K170="Plec",-1,IF(K170="PTL",-0.75,IF(K170="Plab",-0.5,0))),0),IF(M171&lt;20,IF(K171="Plec",-1,IF(K171="PTL",-0.75,IF(K171="Plab",-0.5,0))),0))</f>
        <v>0</v>
      </c>
      <c r="S162" s="134">
        <f>SUM(P162:R172)</f>
        <v>0</v>
      </c>
      <c r="T162" s="136">
        <f>SUM(IF(M162="M",IF(OR(K162="lec",K162="plec",K162="slec"),1,IF(OR(K162="lab",K162="plab",K162="slab",K162="tut",K162="ptut",K162="stut"),0.5,IF(OR(K162="TL",K162="pTL",K162="STL"),0.75,0))),0),IF(M163="M",IF(OR(K163="lec",K163="plec",K163="slec"),1,IF(OR(K163="lab",K163="plab",K163="slab",K163="tut",K163="ptut",K163="stut"),0.5,IF(OR(K163="TL",K163="pTL",K163="STL"),0.75,0))),0),IF(M164="M",IF(OR(K164="lec",K164="plec",K164="slec"),1,IF(OR(K164="lab",K164="plab",K164="slab",K164="tut",K164="ptut",K164="stut"),0.5,IF(OR(K164="TL",K164="pTL",K164="STL"),0.75,0))),0),IF(M165="M",IF(OR(K165="lec",K165="plec",K165="slec"),1,IF(OR(K165="lab",K165="plab",K165="slab",K165="tut",K165="ptut",K165="stut"),0.5,IF(OR(K165="TL",K165="pTL",K165="STL"),0.75,0))),0),IF(M166="M",IF(OR(K166="lec",K166="plec",K166="slec"),1,IF(OR(K166="lab",K166="plab",K166="slab",K166="tut",K166="ptut",K166="stut"),0.5,IF(OR(K166="TL",K166="pTL",K166="STL"),0.75,0))),0),IF(M167="M",IF(OR(K167="lec",K167="plec",K167="slec"),1,IF(OR(K167="lab",K167="plab",K167="slab",K167="tut",K167="ptut",K167="stut"),0.5,IF(OR(K167="TL",K167="pTL",K167="STL"),0.75,0))),0),IF(M168="M",IF(OR(K168="lec",K168="plec",K168="slec"),1,IF(OR(K168="lab",K168="plab",K168="slab",K168="tut",K168="ptut",K168="stut"),0.5,IF(OR(K168="TL",K168="pTL",K168="STL"),0.75,0))),0),IF(M169="M",IF(OR(K169="lec",K169="plec",K169="slec"),1,IF(OR(K169="lab",K169="plab",K169="slab",K169="tut",K169="ptut",K169="stut"),0.5,IF(OR(K169="TL",K169="pTL",K169="STL"),0.75,0))),0),IF(M170="M",IF(OR(K170="lec",K170="plec",K170="slec"),1,IF(OR(K170="lab",K170="plab",K170="slab",K170="tut",K170="ptut",K170="stut"),0.5,IF(OR(K170="TL",K170="pTL",K170="STL"),0.75,0))),0),IF(M171="M",IF(OR(K171="lec",K171="plec",K171="slec"),1,IF(OR(K171="lab",K171="plab",K171="slab",K171="tut",K171="ptut",K171="stut"),0.5,IF(OR(K171="TL",K171="pTL",K171="STL"),0.75,0))),0),IF(M172="M",IF(OR(K172="lec",K172="plec",K172="slec"),1,IF(OR(K172="lab",K172="plab",K172="slab",K172="tut",K172="ptut",K172="stut"),0.5,IF(OR(K172="TL",K172="pTL",K172="STL"),0.75,0))),0))</f>
        <v>0</v>
      </c>
      <c r="U162" s="137"/>
      <c r="V162" s="133"/>
      <c r="W162" s="138"/>
      <c r="X162" s="139">
        <f>S162-(T162+U162+V162+W162)</f>
        <v>0</v>
      </c>
      <c r="Y162" s="134" t="str">
        <f>CONCATENATE(SUM(O162:O172),"(",SUM(O162:O172)-X162,")")</f>
        <v>0(0)</v>
      </c>
      <c r="Z162" s="140"/>
      <c r="AA162" s="141"/>
      <c r="AB162" s="142"/>
      <c r="AC162" s="142"/>
      <c r="AD162" s="142"/>
      <c r="AE162" s="142"/>
      <c r="AF162" s="142"/>
      <c r="AG162" s="142"/>
      <c r="AH162" s="142"/>
      <c r="AI162" s="143"/>
      <c r="AJ162" s="144"/>
      <c r="AK162" s="145"/>
      <c r="AL162" s="145"/>
      <c r="AM162" s="145"/>
      <c r="AN162" s="145"/>
      <c r="AO162" s="146"/>
      <c r="AP162" s="147">
        <f>SUM(SUM(O162:O172),SUM(AI162:AI172)/2,AM162)</f>
        <v>0</v>
      </c>
      <c r="AQ162" s="148"/>
      <c r="AR162" s="148">
        <f>AP162*AQ162</f>
        <v>0</v>
      </c>
      <c r="AS162" s="148">
        <f>CT162</f>
        <v>0</v>
      </c>
      <c r="AT162" s="149">
        <f>AR162*0.75+AS162*0.25</f>
        <v>0</v>
      </c>
      <c r="AU162" s="150"/>
      <c r="AV162" s="151"/>
      <c r="AW162" s="151"/>
      <c r="AX162" s="152"/>
      <c r="AY162" s="153"/>
      <c r="AZ162" s="140"/>
      <c r="BA162" s="150"/>
      <c r="BB162" s="151"/>
      <c r="BC162" s="151"/>
      <c r="BD162" s="151"/>
      <c r="BE162" s="151"/>
      <c r="BF162" s="151"/>
      <c r="BG162" s="151"/>
      <c r="BH162" s="151"/>
      <c r="BI162" s="152"/>
      <c r="BJ162" s="154"/>
      <c r="BK162" s="151"/>
      <c r="BL162" s="151"/>
      <c r="BM162" s="151"/>
      <c r="BN162" s="151"/>
      <c r="BO162" s="155"/>
      <c r="BP162" s="140"/>
      <c r="BQ162" s="156"/>
      <c r="BR162" s="157"/>
      <c r="BS162" s="158"/>
      <c r="BT162" s="153"/>
      <c r="BU162" s="140"/>
      <c r="BV162" s="140"/>
      <c r="BW162" s="140"/>
      <c r="BX162" s="140"/>
      <c r="BY162" s="140"/>
      <c r="BZ162" s="140"/>
      <c r="CA162" s="140"/>
      <c r="CB162" s="140"/>
      <c r="CC162" s="140"/>
      <c r="CD162" s="150"/>
      <c r="CE162" s="155"/>
      <c r="CF162" s="150"/>
      <c r="CG162" s="152"/>
      <c r="CH162" s="252"/>
      <c r="CI162" s="160"/>
      <c r="CJ162" s="159"/>
      <c r="CK162" s="160"/>
      <c r="CL162" s="159"/>
      <c r="CM162" s="160"/>
      <c r="CN162" s="159"/>
      <c r="CO162" s="160"/>
      <c r="CP162" s="159"/>
      <c r="CQ162" s="162"/>
      <c r="CR162" s="160"/>
      <c r="CS162" s="253">
        <f>SUM(IF(AU162&lt;0,ABS(AU162),0),IF(AZ162&lt;0,ABS(AZ162),0),ABS(CI162),ABS(CK162),ABS(CM162),ABS(CO162),ABS(CQ162),ABS(CR162))</f>
        <v>0</v>
      </c>
      <c r="CT162" s="254">
        <f>SUM(AU162,AV162,AW162,AX162/400,AY162,AZ162,BG162,BH162*0.5,BI162*0.25,BJ162,BK162,BL162,BM162,BN162,BO162,BP162,BR162/20,BS162/100,BT162/60,BU162,BV162,BW162,BX162/4,SUM(BY162:CC172)/3,CE162,CG162/3,CI162,CK162,CM162,CO162,CQ162,CR162)</f>
        <v>0</v>
      </c>
      <c r="CU162" s="255"/>
    </row>
    <row r="163" ht="60.0" hidden="1" customHeight="1">
      <c r="A163" s="65"/>
      <c r="C163" s="167"/>
      <c r="D163" s="205"/>
      <c r="E163" s="262"/>
      <c r="F163" s="170"/>
      <c r="G163" s="170"/>
      <c r="H163" s="170"/>
      <c r="I163" s="170"/>
      <c r="J163" s="170"/>
      <c r="K163" s="171"/>
      <c r="L163" s="171"/>
      <c r="M163" s="171"/>
      <c r="N163" s="209"/>
      <c r="O163" s="172">
        <f t="shared" si="30"/>
        <v>0</v>
      </c>
      <c r="P163" s="166"/>
      <c r="Q163" s="173"/>
      <c r="R163" s="65"/>
      <c r="S163" s="173"/>
      <c r="T163" s="173"/>
      <c r="U163" s="166"/>
      <c r="V163" s="166"/>
      <c r="W163" s="65"/>
      <c r="X163" s="66"/>
      <c r="Y163" s="173"/>
      <c r="Z163" s="166"/>
      <c r="AA163" s="174"/>
      <c r="AB163" s="175"/>
      <c r="AC163" s="175"/>
      <c r="AD163" s="175"/>
      <c r="AE163" s="175"/>
      <c r="AF163" s="175"/>
      <c r="AG163" s="175"/>
      <c r="AH163" s="175"/>
      <c r="AI163" s="176"/>
      <c r="AJ163" s="177"/>
      <c r="AK163" s="178"/>
      <c r="AL163" s="178"/>
      <c r="AM163" s="178"/>
      <c r="AN163" s="178"/>
      <c r="AO163" s="179"/>
      <c r="AP163" s="64"/>
      <c r="AQ163" s="65"/>
      <c r="AR163" s="65"/>
      <c r="AS163" s="65"/>
      <c r="AT163" s="173"/>
      <c r="AU163" s="177"/>
      <c r="AV163" s="178"/>
      <c r="AW163" s="178"/>
      <c r="AX163" s="179"/>
      <c r="AZ163" s="166"/>
      <c r="BA163" s="177"/>
      <c r="BB163" s="178"/>
      <c r="BC163" s="178"/>
      <c r="BD163" s="178"/>
      <c r="BE163" s="178"/>
      <c r="BF163" s="178"/>
      <c r="BG163" s="178"/>
      <c r="BH163" s="178"/>
      <c r="BI163" s="179"/>
      <c r="BJ163" s="180"/>
      <c r="BK163" s="178"/>
      <c r="BL163" s="178"/>
      <c r="BM163" s="178"/>
      <c r="BN163" s="178"/>
      <c r="BO163" s="181"/>
      <c r="BP163" s="166"/>
      <c r="BQ163" s="177"/>
      <c r="BR163" s="178"/>
      <c r="BS163" s="179"/>
      <c r="BU163" s="166"/>
      <c r="BV163" s="166"/>
      <c r="BW163" s="166"/>
      <c r="BX163" s="166"/>
      <c r="BY163" s="166"/>
      <c r="BZ163" s="166"/>
      <c r="CA163" s="166"/>
      <c r="CB163" s="166"/>
      <c r="CC163" s="166"/>
      <c r="CD163" s="177"/>
      <c r="CE163" s="181"/>
      <c r="CF163" s="177"/>
      <c r="CG163" s="179"/>
      <c r="CH163" s="257"/>
      <c r="CI163" s="182"/>
      <c r="CJ163" s="177"/>
      <c r="CK163" s="182"/>
      <c r="CL163" s="177"/>
      <c r="CM163" s="182"/>
      <c r="CN163" s="177"/>
      <c r="CO163" s="182"/>
      <c r="CP163" s="177"/>
      <c r="CQ163" s="178"/>
      <c r="CR163" s="182"/>
      <c r="CS163" s="173"/>
      <c r="CT163" s="65"/>
      <c r="CU163" s="271"/>
    </row>
    <row r="164" ht="60.0" hidden="1" customHeight="1">
      <c r="A164" s="65"/>
      <c r="C164" s="167"/>
      <c r="D164" s="205"/>
      <c r="E164" s="262"/>
      <c r="F164" s="170"/>
      <c r="G164" s="170"/>
      <c r="H164" s="170"/>
      <c r="I164" s="170"/>
      <c r="J164" s="170"/>
      <c r="K164" s="171"/>
      <c r="L164" s="171"/>
      <c r="M164" s="171"/>
      <c r="N164" s="209"/>
      <c r="O164" s="172">
        <f t="shared" si="30"/>
        <v>0</v>
      </c>
      <c r="P164" s="166"/>
      <c r="Q164" s="173"/>
      <c r="R164" s="65"/>
      <c r="S164" s="173"/>
      <c r="T164" s="173"/>
      <c r="U164" s="166"/>
      <c r="V164" s="166"/>
      <c r="W164" s="65"/>
      <c r="X164" s="66"/>
      <c r="Y164" s="173"/>
      <c r="Z164" s="166"/>
      <c r="AA164" s="174"/>
      <c r="AB164" s="175"/>
      <c r="AC164" s="175"/>
      <c r="AD164" s="175"/>
      <c r="AE164" s="175"/>
      <c r="AF164" s="175"/>
      <c r="AG164" s="175"/>
      <c r="AH164" s="175"/>
      <c r="AI164" s="176"/>
      <c r="AJ164" s="177"/>
      <c r="AK164" s="178"/>
      <c r="AL164" s="178"/>
      <c r="AM164" s="178"/>
      <c r="AN164" s="178"/>
      <c r="AO164" s="179"/>
      <c r="AP164" s="64"/>
      <c r="AQ164" s="65"/>
      <c r="AR164" s="65"/>
      <c r="AS164" s="65"/>
      <c r="AT164" s="173"/>
      <c r="AU164" s="177"/>
      <c r="AV164" s="178"/>
      <c r="AW164" s="178"/>
      <c r="AX164" s="179"/>
      <c r="AZ164" s="166"/>
      <c r="BA164" s="177"/>
      <c r="BB164" s="178"/>
      <c r="BC164" s="178"/>
      <c r="BD164" s="178"/>
      <c r="BE164" s="178"/>
      <c r="BF164" s="178"/>
      <c r="BG164" s="178"/>
      <c r="BH164" s="178"/>
      <c r="BI164" s="179"/>
      <c r="BJ164" s="180"/>
      <c r="BK164" s="178"/>
      <c r="BL164" s="178"/>
      <c r="BM164" s="178"/>
      <c r="BN164" s="178"/>
      <c r="BO164" s="181"/>
      <c r="BP164" s="166"/>
      <c r="BQ164" s="177"/>
      <c r="BR164" s="178"/>
      <c r="BS164" s="179"/>
      <c r="BU164" s="166"/>
      <c r="BV164" s="166"/>
      <c r="BW164" s="166"/>
      <c r="BX164" s="166"/>
      <c r="BY164" s="166"/>
      <c r="BZ164" s="166"/>
      <c r="CA164" s="166"/>
      <c r="CB164" s="166"/>
      <c r="CC164" s="166"/>
      <c r="CD164" s="177"/>
      <c r="CE164" s="181"/>
      <c r="CF164" s="177"/>
      <c r="CG164" s="179"/>
      <c r="CH164" s="257"/>
      <c r="CI164" s="182"/>
      <c r="CJ164" s="177"/>
      <c r="CK164" s="182"/>
      <c r="CL164" s="177"/>
      <c r="CM164" s="182"/>
      <c r="CN164" s="177"/>
      <c r="CO164" s="182"/>
      <c r="CP164" s="177"/>
      <c r="CQ164" s="178"/>
      <c r="CR164" s="182"/>
      <c r="CS164" s="173"/>
      <c r="CT164" s="65"/>
      <c r="CU164" s="271"/>
    </row>
    <row r="165" ht="60.0" hidden="1" customHeight="1">
      <c r="A165" s="65"/>
      <c r="C165" s="167"/>
      <c r="D165" s="205"/>
      <c r="E165" s="262"/>
      <c r="F165" s="170"/>
      <c r="G165" s="170"/>
      <c r="H165" s="170"/>
      <c r="I165" s="170"/>
      <c r="J165" s="170"/>
      <c r="K165" s="171"/>
      <c r="L165" s="171"/>
      <c r="M165" s="171"/>
      <c r="N165" s="209"/>
      <c r="O165" s="172">
        <f t="shared" si="30"/>
        <v>0</v>
      </c>
      <c r="P165" s="166"/>
      <c r="Q165" s="173"/>
      <c r="R165" s="65"/>
      <c r="S165" s="173"/>
      <c r="T165" s="173"/>
      <c r="U165" s="166"/>
      <c r="V165" s="166"/>
      <c r="W165" s="65"/>
      <c r="X165" s="66"/>
      <c r="Y165" s="173"/>
      <c r="Z165" s="166"/>
      <c r="AA165" s="174"/>
      <c r="AB165" s="175"/>
      <c r="AC165" s="175"/>
      <c r="AD165" s="175"/>
      <c r="AE165" s="175"/>
      <c r="AF165" s="175"/>
      <c r="AG165" s="175"/>
      <c r="AH165" s="175"/>
      <c r="AI165" s="176"/>
      <c r="AJ165" s="177"/>
      <c r="AK165" s="178"/>
      <c r="AL165" s="178"/>
      <c r="AM165" s="178"/>
      <c r="AN165" s="178"/>
      <c r="AO165" s="179"/>
      <c r="AP165" s="64"/>
      <c r="AQ165" s="65"/>
      <c r="AR165" s="65"/>
      <c r="AS165" s="65"/>
      <c r="AT165" s="173"/>
      <c r="AU165" s="177"/>
      <c r="AV165" s="178"/>
      <c r="AW165" s="178"/>
      <c r="AX165" s="179"/>
      <c r="AZ165" s="166"/>
      <c r="BA165" s="177"/>
      <c r="BB165" s="178"/>
      <c r="BC165" s="178"/>
      <c r="BD165" s="178"/>
      <c r="BE165" s="178"/>
      <c r="BF165" s="178"/>
      <c r="BG165" s="178"/>
      <c r="BH165" s="178"/>
      <c r="BI165" s="179"/>
      <c r="BJ165" s="180"/>
      <c r="BK165" s="178"/>
      <c r="BL165" s="178"/>
      <c r="BM165" s="178"/>
      <c r="BN165" s="178"/>
      <c r="BO165" s="181"/>
      <c r="BP165" s="166"/>
      <c r="BQ165" s="177"/>
      <c r="BR165" s="178"/>
      <c r="BS165" s="179"/>
      <c r="BU165" s="166"/>
      <c r="BV165" s="166"/>
      <c r="BW165" s="166"/>
      <c r="BX165" s="166"/>
      <c r="BY165" s="166"/>
      <c r="BZ165" s="166"/>
      <c r="CA165" s="166"/>
      <c r="CB165" s="166"/>
      <c r="CC165" s="166"/>
      <c r="CD165" s="177"/>
      <c r="CE165" s="181"/>
      <c r="CF165" s="177"/>
      <c r="CG165" s="179"/>
      <c r="CH165" s="257"/>
      <c r="CI165" s="182"/>
      <c r="CJ165" s="177"/>
      <c r="CK165" s="182"/>
      <c r="CL165" s="177"/>
      <c r="CM165" s="182"/>
      <c r="CN165" s="177"/>
      <c r="CO165" s="182"/>
      <c r="CP165" s="177"/>
      <c r="CQ165" s="178"/>
      <c r="CR165" s="182"/>
      <c r="CS165" s="173"/>
      <c r="CT165" s="65"/>
      <c r="CU165" s="271"/>
    </row>
    <row r="166" ht="60.0" hidden="1" customHeight="1">
      <c r="A166" s="65"/>
      <c r="C166" s="167"/>
      <c r="D166" s="205"/>
      <c r="E166" s="262"/>
      <c r="F166" s="170"/>
      <c r="G166" s="170"/>
      <c r="H166" s="170"/>
      <c r="I166" s="170"/>
      <c r="J166" s="170"/>
      <c r="K166" s="171"/>
      <c r="L166" s="171"/>
      <c r="M166" s="171"/>
      <c r="N166" s="209"/>
      <c r="O166" s="172">
        <f t="shared" si="30"/>
        <v>0</v>
      </c>
      <c r="P166" s="166"/>
      <c r="Q166" s="173"/>
      <c r="R166" s="65"/>
      <c r="S166" s="173"/>
      <c r="T166" s="173"/>
      <c r="U166" s="166"/>
      <c r="V166" s="166"/>
      <c r="W166" s="65"/>
      <c r="X166" s="66"/>
      <c r="Y166" s="173"/>
      <c r="Z166" s="166"/>
      <c r="AA166" s="174"/>
      <c r="AB166" s="175"/>
      <c r="AC166" s="175"/>
      <c r="AD166" s="175"/>
      <c r="AE166" s="175"/>
      <c r="AF166" s="175"/>
      <c r="AG166" s="175"/>
      <c r="AH166" s="175"/>
      <c r="AI166" s="176"/>
      <c r="AJ166" s="177"/>
      <c r="AK166" s="178"/>
      <c r="AL166" s="178"/>
      <c r="AM166" s="178"/>
      <c r="AN166" s="178"/>
      <c r="AO166" s="179"/>
      <c r="AP166" s="64"/>
      <c r="AQ166" s="65"/>
      <c r="AR166" s="65"/>
      <c r="AS166" s="65"/>
      <c r="AT166" s="173"/>
      <c r="AU166" s="177"/>
      <c r="AV166" s="178"/>
      <c r="AW166" s="178"/>
      <c r="AX166" s="179"/>
      <c r="AZ166" s="166"/>
      <c r="BA166" s="177"/>
      <c r="BB166" s="178"/>
      <c r="BC166" s="178"/>
      <c r="BD166" s="178"/>
      <c r="BE166" s="178"/>
      <c r="BF166" s="178"/>
      <c r="BG166" s="178"/>
      <c r="BH166" s="178"/>
      <c r="BI166" s="179"/>
      <c r="BJ166" s="180"/>
      <c r="BK166" s="178"/>
      <c r="BL166" s="178"/>
      <c r="BM166" s="178"/>
      <c r="BN166" s="178"/>
      <c r="BO166" s="181"/>
      <c r="BP166" s="166"/>
      <c r="BQ166" s="177"/>
      <c r="BR166" s="178"/>
      <c r="BS166" s="179"/>
      <c r="BU166" s="166"/>
      <c r="BV166" s="166"/>
      <c r="BW166" s="166"/>
      <c r="BX166" s="166"/>
      <c r="BY166" s="166"/>
      <c r="BZ166" s="166"/>
      <c r="CA166" s="166"/>
      <c r="CB166" s="166"/>
      <c r="CC166" s="166"/>
      <c r="CD166" s="177"/>
      <c r="CE166" s="181"/>
      <c r="CF166" s="177"/>
      <c r="CG166" s="179"/>
      <c r="CH166" s="257"/>
      <c r="CI166" s="182"/>
      <c r="CJ166" s="177"/>
      <c r="CK166" s="182"/>
      <c r="CL166" s="177"/>
      <c r="CM166" s="182"/>
      <c r="CN166" s="177"/>
      <c r="CO166" s="182"/>
      <c r="CP166" s="177"/>
      <c r="CQ166" s="178"/>
      <c r="CR166" s="182"/>
      <c r="CS166" s="173"/>
      <c r="CT166" s="65"/>
      <c r="CU166" s="271"/>
    </row>
    <row r="167" ht="60.0" hidden="1" customHeight="1">
      <c r="A167" s="65"/>
      <c r="C167" s="167"/>
      <c r="D167" s="205"/>
      <c r="E167" s="262"/>
      <c r="F167" s="170"/>
      <c r="G167" s="170"/>
      <c r="H167" s="170"/>
      <c r="I167" s="170"/>
      <c r="J167" s="170"/>
      <c r="K167" s="171"/>
      <c r="L167" s="171"/>
      <c r="M167" s="171"/>
      <c r="N167" s="209"/>
      <c r="O167" s="172">
        <f t="shared" si="30"/>
        <v>0</v>
      </c>
      <c r="P167" s="166"/>
      <c r="Q167" s="173"/>
      <c r="R167" s="65"/>
      <c r="S167" s="173"/>
      <c r="T167" s="173"/>
      <c r="U167" s="166"/>
      <c r="V167" s="166"/>
      <c r="W167" s="65"/>
      <c r="X167" s="66"/>
      <c r="Y167" s="173"/>
      <c r="Z167" s="166"/>
      <c r="AA167" s="174"/>
      <c r="AB167" s="175"/>
      <c r="AC167" s="175"/>
      <c r="AD167" s="175"/>
      <c r="AE167" s="175"/>
      <c r="AF167" s="175"/>
      <c r="AG167" s="175"/>
      <c r="AH167" s="175"/>
      <c r="AI167" s="176"/>
      <c r="AJ167" s="177"/>
      <c r="AK167" s="178"/>
      <c r="AL167" s="178"/>
      <c r="AM167" s="178"/>
      <c r="AN167" s="178"/>
      <c r="AO167" s="179"/>
      <c r="AP167" s="64"/>
      <c r="AQ167" s="65"/>
      <c r="AR167" s="65"/>
      <c r="AS167" s="65"/>
      <c r="AT167" s="173"/>
      <c r="AU167" s="177"/>
      <c r="AV167" s="178"/>
      <c r="AW167" s="178"/>
      <c r="AX167" s="179"/>
      <c r="AZ167" s="166"/>
      <c r="BA167" s="177"/>
      <c r="BB167" s="178"/>
      <c r="BC167" s="178"/>
      <c r="BD167" s="178"/>
      <c r="BE167" s="178"/>
      <c r="BF167" s="178"/>
      <c r="BG167" s="178"/>
      <c r="BH167" s="178"/>
      <c r="BI167" s="179"/>
      <c r="BJ167" s="180"/>
      <c r="BK167" s="178"/>
      <c r="BL167" s="178"/>
      <c r="BM167" s="178"/>
      <c r="BN167" s="178"/>
      <c r="BO167" s="181"/>
      <c r="BP167" s="166"/>
      <c r="BQ167" s="177"/>
      <c r="BR167" s="178"/>
      <c r="BS167" s="179"/>
      <c r="BU167" s="166"/>
      <c r="BV167" s="166"/>
      <c r="BW167" s="166"/>
      <c r="BX167" s="166"/>
      <c r="BY167" s="166"/>
      <c r="BZ167" s="166"/>
      <c r="CA167" s="166"/>
      <c r="CB167" s="166"/>
      <c r="CC167" s="166"/>
      <c r="CD167" s="177"/>
      <c r="CE167" s="181"/>
      <c r="CF167" s="177"/>
      <c r="CG167" s="179"/>
      <c r="CH167" s="257"/>
      <c r="CI167" s="182"/>
      <c r="CJ167" s="177"/>
      <c r="CK167" s="182"/>
      <c r="CL167" s="177"/>
      <c r="CM167" s="182"/>
      <c r="CN167" s="177"/>
      <c r="CO167" s="182"/>
      <c r="CP167" s="177"/>
      <c r="CQ167" s="178"/>
      <c r="CR167" s="182"/>
      <c r="CS167" s="173"/>
      <c r="CT167" s="65"/>
      <c r="CU167" s="271"/>
    </row>
    <row r="168" ht="60.0" hidden="1" customHeight="1">
      <c r="A168" s="65"/>
      <c r="C168" s="167"/>
      <c r="D168" s="205"/>
      <c r="E168" s="262"/>
      <c r="F168" s="170"/>
      <c r="G168" s="170"/>
      <c r="H168" s="170"/>
      <c r="I168" s="170"/>
      <c r="J168" s="170"/>
      <c r="K168" s="171"/>
      <c r="L168" s="171"/>
      <c r="M168" s="171"/>
      <c r="N168" s="209"/>
      <c r="O168" s="172">
        <f t="shared" ref="O168:O171" si="31">IF(AND(M168&gt;=20,M168&lt;&gt;"m",RIGHT(K168,3)="Lec"),1,IF(AND(M168&gt;=20,M168&lt;&gt;"m",OR(RIGHT(K168,3)="Lab",RIGHT(K168,3)="Tut")),0.5,IF(AND(M168&gt;=20,M168&lt;&gt;"m",RIGHT(K168,2)="TL"),0.75,0)))</f>
        <v>0</v>
      </c>
      <c r="P168" s="166"/>
      <c r="Q168" s="173"/>
      <c r="R168" s="65"/>
      <c r="S168" s="173"/>
      <c r="T168" s="173"/>
      <c r="U168" s="166"/>
      <c r="V168" s="166"/>
      <c r="W168" s="65"/>
      <c r="X168" s="66"/>
      <c r="Y168" s="173"/>
      <c r="Z168" s="166"/>
      <c r="AA168" s="174"/>
      <c r="AB168" s="175"/>
      <c r="AC168" s="175"/>
      <c r="AD168" s="175"/>
      <c r="AE168" s="175"/>
      <c r="AF168" s="175"/>
      <c r="AG168" s="175"/>
      <c r="AH168" s="175"/>
      <c r="AI168" s="176"/>
      <c r="AJ168" s="177"/>
      <c r="AK168" s="178"/>
      <c r="AL168" s="178"/>
      <c r="AM168" s="178"/>
      <c r="AN168" s="178"/>
      <c r="AO168" s="179"/>
      <c r="AP168" s="64"/>
      <c r="AQ168" s="65"/>
      <c r="AR168" s="65"/>
      <c r="AS168" s="65"/>
      <c r="AT168" s="173"/>
      <c r="AU168" s="177"/>
      <c r="AV168" s="178"/>
      <c r="AW168" s="178"/>
      <c r="AX168" s="179"/>
      <c r="AZ168" s="166"/>
      <c r="BA168" s="177"/>
      <c r="BB168" s="178"/>
      <c r="BC168" s="178"/>
      <c r="BD168" s="178"/>
      <c r="BE168" s="178"/>
      <c r="BF168" s="178"/>
      <c r="BG168" s="178"/>
      <c r="BH168" s="178"/>
      <c r="BI168" s="179"/>
      <c r="BJ168" s="180"/>
      <c r="BK168" s="178"/>
      <c r="BL168" s="178"/>
      <c r="BM168" s="178"/>
      <c r="BN168" s="178"/>
      <c r="BO168" s="181"/>
      <c r="BP168" s="166"/>
      <c r="BQ168" s="177"/>
      <c r="BR168" s="178"/>
      <c r="BS168" s="179"/>
      <c r="BU168" s="166"/>
      <c r="BV168" s="166"/>
      <c r="BW168" s="166"/>
      <c r="BX168" s="166"/>
      <c r="BY168" s="166"/>
      <c r="BZ168" s="166"/>
      <c r="CA168" s="166"/>
      <c r="CB168" s="166"/>
      <c r="CC168" s="166"/>
      <c r="CD168" s="177"/>
      <c r="CE168" s="181"/>
      <c r="CF168" s="177"/>
      <c r="CG168" s="179"/>
      <c r="CH168" s="257"/>
      <c r="CI168" s="182"/>
      <c r="CJ168" s="177"/>
      <c r="CK168" s="182"/>
      <c r="CL168" s="177"/>
      <c r="CM168" s="182"/>
      <c r="CN168" s="177"/>
      <c r="CO168" s="182"/>
      <c r="CP168" s="177"/>
      <c r="CQ168" s="178"/>
      <c r="CR168" s="182"/>
      <c r="CS168" s="173"/>
      <c r="CT168" s="65"/>
      <c r="CU168" s="271"/>
    </row>
    <row r="169" ht="60.0" hidden="1" customHeight="1">
      <c r="A169" s="65"/>
      <c r="C169" s="167"/>
      <c r="D169" s="205"/>
      <c r="E169" s="262"/>
      <c r="F169" s="170"/>
      <c r="G169" s="170"/>
      <c r="H169" s="170"/>
      <c r="I169" s="170"/>
      <c r="J169" s="170"/>
      <c r="K169" s="171"/>
      <c r="L169" s="171"/>
      <c r="M169" s="171"/>
      <c r="N169" s="209"/>
      <c r="O169" s="172">
        <f t="shared" si="31"/>
        <v>0</v>
      </c>
      <c r="P169" s="166"/>
      <c r="Q169" s="173"/>
      <c r="R169" s="65"/>
      <c r="S169" s="173"/>
      <c r="T169" s="173"/>
      <c r="U169" s="166"/>
      <c r="V169" s="166"/>
      <c r="W169" s="65"/>
      <c r="X169" s="66"/>
      <c r="Y169" s="173"/>
      <c r="Z169" s="166"/>
      <c r="AA169" s="174"/>
      <c r="AB169" s="175"/>
      <c r="AC169" s="175"/>
      <c r="AD169" s="175"/>
      <c r="AE169" s="175"/>
      <c r="AF169" s="175"/>
      <c r="AG169" s="175"/>
      <c r="AH169" s="175"/>
      <c r="AI169" s="176"/>
      <c r="AJ169" s="177"/>
      <c r="AK169" s="178"/>
      <c r="AL169" s="178"/>
      <c r="AM169" s="178"/>
      <c r="AN169" s="178"/>
      <c r="AO169" s="179"/>
      <c r="AP169" s="64"/>
      <c r="AQ169" s="65"/>
      <c r="AR169" s="65"/>
      <c r="AS169" s="65"/>
      <c r="AT169" s="173"/>
      <c r="AU169" s="177"/>
      <c r="AV169" s="178"/>
      <c r="AW169" s="178"/>
      <c r="AX169" s="179"/>
      <c r="AZ169" s="166"/>
      <c r="BA169" s="177"/>
      <c r="BB169" s="178"/>
      <c r="BC169" s="178"/>
      <c r="BD169" s="178"/>
      <c r="BE169" s="178"/>
      <c r="BF169" s="178"/>
      <c r="BG169" s="178"/>
      <c r="BH169" s="178"/>
      <c r="BI169" s="179"/>
      <c r="BJ169" s="180"/>
      <c r="BK169" s="178"/>
      <c r="BL169" s="178"/>
      <c r="BM169" s="178"/>
      <c r="BN169" s="178"/>
      <c r="BO169" s="181"/>
      <c r="BP169" s="166"/>
      <c r="BQ169" s="177"/>
      <c r="BR169" s="178"/>
      <c r="BS169" s="179"/>
      <c r="BU169" s="166"/>
      <c r="BV169" s="166"/>
      <c r="BW169" s="166"/>
      <c r="BX169" s="166"/>
      <c r="BY169" s="166"/>
      <c r="BZ169" s="166"/>
      <c r="CA169" s="166"/>
      <c r="CB169" s="166"/>
      <c r="CC169" s="166"/>
      <c r="CD169" s="177"/>
      <c r="CE169" s="181"/>
      <c r="CF169" s="177"/>
      <c r="CG169" s="179"/>
      <c r="CH169" s="257"/>
      <c r="CI169" s="182"/>
      <c r="CJ169" s="177"/>
      <c r="CK169" s="182"/>
      <c r="CL169" s="177"/>
      <c r="CM169" s="182"/>
      <c r="CN169" s="177"/>
      <c r="CO169" s="182"/>
      <c r="CP169" s="177"/>
      <c r="CQ169" s="178"/>
      <c r="CR169" s="182"/>
      <c r="CS169" s="173"/>
      <c r="CT169" s="65"/>
      <c r="CU169" s="271"/>
    </row>
    <row r="170" ht="60.0" hidden="1" customHeight="1">
      <c r="A170" s="65"/>
      <c r="C170" s="167"/>
      <c r="D170" s="205"/>
      <c r="E170" s="262"/>
      <c r="F170" s="170"/>
      <c r="G170" s="170"/>
      <c r="H170" s="170"/>
      <c r="I170" s="170"/>
      <c r="J170" s="170"/>
      <c r="K170" s="171"/>
      <c r="L170" s="171"/>
      <c r="M170" s="171"/>
      <c r="N170" s="209"/>
      <c r="O170" s="172">
        <f t="shared" si="31"/>
        <v>0</v>
      </c>
      <c r="P170" s="166"/>
      <c r="Q170" s="173"/>
      <c r="R170" s="65"/>
      <c r="S170" s="173"/>
      <c r="T170" s="173"/>
      <c r="U170" s="166"/>
      <c r="V170" s="166"/>
      <c r="W170" s="65"/>
      <c r="X170" s="66"/>
      <c r="Y170" s="173"/>
      <c r="Z170" s="166"/>
      <c r="AA170" s="174"/>
      <c r="AB170" s="175"/>
      <c r="AC170" s="175"/>
      <c r="AD170" s="175"/>
      <c r="AE170" s="175"/>
      <c r="AF170" s="175"/>
      <c r="AG170" s="175"/>
      <c r="AH170" s="175"/>
      <c r="AI170" s="176"/>
      <c r="AJ170" s="177"/>
      <c r="AK170" s="178"/>
      <c r="AL170" s="178"/>
      <c r="AM170" s="178"/>
      <c r="AN170" s="178"/>
      <c r="AO170" s="179"/>
      <c r="AP170" s="64"/>
      <c r="AQ170" s="65"/>
      <c r="AR170" s="65"/>
      <c r="AS170" s="65"/>
      <c r="AT170" s="173"/>
      <c r="AU170" s="177"/>
      <c r="AV170" s="178"/>
      <c r="AW170" s="178"/>
      <c r="AX170" s="179"/>
      <c r="AZ170" s="166"/>
      <c r="BA170" s="177"/>
      <c r="BB170" s="178"/>
      <c r="BC170" s="178"/>
      <c r="BD170" s="178"/>
      <c r="BE170" s="178"/>
      <c r="BF170" s="178"/>
      <c r="BG170" s="178"/>
      <c r="BH170" s="178"/>
      <c r="BI170" s="179"/>
      <c r="BJ170" s="180"/>
      <c r="BK170" s="178"/>
      <c r="BL170" s="178"/>
      <c r="BM170" s="178"/>
      <c r="BN170" s="178"/>
      <c r="BO170" s="181"/>
      <c r="BP170" s="166"/>
      <c r="BQ170" s="177"/>
      <c r="BR170" s="178"/>
      <c r="BS170" s="179"/>
      <c r="BU170" s="166"/>
      <c r="BV170" s="166"/>
      <c r="BW170" s="166"/>
      <c r="BX170" s="166"/>
      <c r="BY170" s="166"/>
      <c r="BZ170" s="166"/>
      <c r="CA170" s="166"/>
      <c r="CB170" s="166"/>
      <c r="CC170" s="166"/>
      <c r="CD170" s="177"/>
      <c r="CE170" s="181"/>
      <c r="CF170" s="177"/>
      <c r="CG170" s="179"/>
      <c r="CH170" s="257"/>
      <c r="CI170" s="182"/>
      <c r="CJ170" s="177"/>
      <c r="CK170" s="182"/>
      <c r="CL170" s="177"/>
      <c r="CM170" s="182"/>
      <c r="CN170" s="177"/>
      <c r="CO170" s="182"/>
      <c r="CP170" s="177"/>
      <c r="CQ170" s="178"/>
      <c r="CR170" s="182"/>
      <c r="CS170" s="173"/>
      <c r="CT170" s="65"/>
      <c r="CU170" s="271"/>
    </row>
    <row r="171" ht="60.0" hidden="1" customHeight="1">
      <c r="A171" s="65"/>
      <c r="C171" s="167"/>
      <c r="D171" s="205"/>
      <c r="E171" s="262"/>
      <c r="F171" s="170"/>
      <c r="G171" s="170"/>
      <c r="H171" s="170"/>
      <c r="I171" s="170"/>
      <c r="J171" s="170"/>
      <c r="K171" s="171"/>
      <c r="L171" s="171"/>
      <c r="M171" s="171"/>
      <c r="N171" s="209"/>
      <c r="O171" s="172">
        <f t="shared" si="31"/>
        <v>0</v>
      </c>
      <c r="P171" s="166"/>
      <c r="Q171" s="173"/>
      <c r="R171" s="65"/>
      <c r="S171" s="173"/>
      <c r="T171" s="173"/>
      <c r="U171" s="166"/>
      <c r="V171" s="166"/>
      <c r="W171" s="65"/>
      <c r="X171" s="66"/>
      <c r="Y171" s="173"/>
      <c r="Z171" s="166"/>
      <c r="AA171" s="174"/>
      <c r="AB171" s="175"/>
      <c r="AC171" s="175"/>
      <c r="AD171" s="175"/>
      <c r="AE171" s="175"/>
      <c r="AF171" s="175"/>
      <c r="AG171" s="175"/>
      <c r="AH171" s="175"/>
      <c r="AI171" s="176"/>
      <c r="AJ171" s="177"/>
      <c r="AK171" s="178"/>
      <c r="AL171" s="178"/>
      <c r="AM171" s="178"/>
      <c r="AN171" s="178"/>
      <c r="AO171" s="179"/>
      <c r="AP171" s="64"/>
      <c r="AQ171" s="65"/>
      <c r="AR171" s="65"/>
      <c r="AS171" s="65"/>
      <c r="AT171" s="173"/>
      <c r="AU171" s="177"/>
      <c r="AV171" s="178"/>
      <c r="AW171" s="178"/>
      <c r="AX171" s="179"/>
      <c r="AZ171" s="166"/>
      <c r="BA171" s="177"/>
      <c r="BB171" s="178"/>
      <c r="BC171" s="178"/>
      <c r="BD171" s="178"/>
      <c r="BE171" s="178"/>
      <c r="BF171" s="178"/>
      <c r="BG171" s="178"/>
      <c r="BH171" s="178"/>
      <c r="BI171" s="179"/>
      <c r="BJ171" s="180"/>
      <c r="BK171" s="178"/>
      <c r="BL171" s="178"/>
      <c r="BM171" s="178"/>
      <c r="BN171" s="178"/>
      <c r="BO171" s="181"/>
      <c r="BP171" s="166"/>
      <c r="BQ171" s="177"/>
      <c r="BR171" s="178"/>
      <c r="BS171" s="179"/>
      <c r="BU171" s="166"/>
      <c r="BV171" s="166"/>
      <c r="BW171" s="166"/>
      <c r="BX171" s="166"/>
      <c r="BY171" s="166"/>
      <c r="BZ171" s="166"/>
      <c r="CA171" s="166"/>
      <c r="CB171" s="166"/>
      <c r="CC171" s="166"/>
      <c r="CD171" s="177"/>
      <c r="CE171" s="181"/>
      <c r="CF171" s="177"/>
      <c r="CG171" s="179"/>
      <c r="CH171" s="257"/>
      <c r="CI171" s="182"/>
      <c r="CJ171" s="177"/>
      <c r="CK171" s="182"/>
      <c r="CL171" s="177"/>
      <c r="CM171" s="182"/>
      <c r="CN171" s="177"/>
      <c r="CO171" s="182"/>
      <c r="CP171" s="177"/>
      <c r="CQ171" s="178"/>
      <c r="CR171" s="182"/>
      <c r="CS171" s="173"/>
      <c r="CT171" s="65"/>
      <c r="CU171" s="271"/>
    </row>
    <row r="172" ht="60.0" hidden="1" customHeight="1">
      <c r="A172" s="89"/>
      <c r="B172" s="6"/>
      <c r="C172" s="183"/>
      <c r="D172" s="210"/>
      <c r="E172" s="263"/>
      <c r="F172" s="186"/>
      <c r="G172" s="186"/>
      <c r="H172" s="186"/>
      <c r="I172" s="186"/>
      <c r="J172" s="186"/>
      <c r="K172" s="187"/>
      <c r="L172" s="187"/>
      <c r="M172" s="187"/>
      <c r="N172" s="214"/>
      <c r="O172" s="188">
        <f t="shared" ref="O172:O178" si="32">IF(AND(M172&lt;&gt;0,M172&lt;&gt;"m",M172&lt;&gt;"",RIGHT(K172,3)="Lec"),1,IF(AND(M172&lt;&gt;0,M172&lt;&gt;"m",M172&lt;&gt;"",OR(RIGHT(K172,3)="Lab",RIGHT(K172,3)="Tut")),0.5,IF(AND(M172&lt;&gt;0,M172&lt;&gt;"m",M172&lt;&gt;"",RIGHT(K172,2)="TL"),0.75,0)))</f>
        <v>0</v>
      </c>
      <c r="P172" s="63"/>
      <c r="Q172" s="69"/>
      <c r="R172" s="89"/>
      <c r="S172" s="69"/>
      <c r="T172" s="69"/>
      <c r="U172" s="63"/>
      <c r="V172" s="63"/>
      <c r="W172" s="89"/>
      <c r="X172" s="68"/>
      <c r="Y172" s="69"/>
      <c r="Z172" s="63"/>
      <c r="AA172" s="189"/>
      <c r="AB172" s="190"/>
      <c r="AC172" s="190"/>
      <c r="AD172" s="190"/>
      <c r="AE172" s="190"/>
      <c r="AF172" s="190"/>
      <c r="AG172" s="190"/>
      <c r="AH172" s="190"/>
      <c r="AI172" s="191"/>
      <c r="AJ172" s="192"/>
      <c r="AK172" s="193"/>
      <c r="AL172" s="193"/>
      <c r="AM172" s="193"/>
      <c r="AN172" s="193"/>
      <c r="AO172" s="194"/>
      <c r="AP172" s="103"/>
      <c r="AQ172" s="89"/>
      <c r="AR172" s="89"/>
      <c r="AS172" s="89"/>
      <c r="AT172" s="69"/>
      <c r="AU172" s="192"/>
      <c r="AV172" s="193"/>
      <c r="AW172" s="193"/>
      <c r="AX172" s="194"/>
      <c r="AY172" s="6"/>
      <c r="AZ172" s="63"/>
      <c r="BA172" s="192"/>
      <c r="BB172" s="193"/>
      <c r="BC172" s="193"/>
      <c r="BD172" s="193"/>
      <c r="BE172" s="193"/>
      <c r="BF172" s="193"/>
      <c r="BG172" s="193"/>
      <c r="BH172" s="193"/>
      <c r="BI172" s="194"/>
      <c r="BJ172" s="195"/>
      <c r="BK172" s="193"/>
      <c r="BL172" s="193"/>
      <c r="BM172" s="193"/>
      <c r="BN172" s="193"/>
      <c r="BO172" s="196"/>
      <c r="BP172" s="63"/>
      <c r="BQ172" s="192"/>
      <c r="BR172" s="193"/>
      <c r="BS172" s="194"/>
      <c r="BT172" s="6"/>
      <c r="BU172" s="63"/>
      <c r="BV172" s="63"/>
      <c r="BW172" s="63"/>
      <c r="BX172" s="63"/>
      <c r="BY172" s="63"/>
      <c r="BZ172" s="63"/>
      <c r="CA172" s="63"/>
      <c r="CB172" s="63"/>
      <c r="CC172" s="63"/>
      <c r="CD172" s="192"/>
      <c r="CE172" s="196"/>
      <c r="CF172" s="192"/>
      <c r="CG172" s="194"/>
      <c r="CH172" s="259"/>
      <c r="CI172" s="197"/>
      <c r="CJ172" s="192"/>
      <c r="CK172" s="197"/>
      <c r="CL172" s="192"/>
      <c r="CM172" s="197"/>
      <c r="CN172" s="192"/>
      <c r="CO172" s="197"/>
      <c r="CP172" s="192"/>
      <c r="CQ172" s="193"/>
      <c r="CR172" s="197"/>
      <c r="CS172" s="69"/>
      <c r="CT172" s="89"/>
      <c r="CU172" s="272"/>
    </row>
    <row r="173" ht="56.25" hidden="1" customHeight="1">
      <c r="A173" s="125">
        <v>16.0</v>
      </c>
      <c r="B173" s="199"/>
      <c r="C173" s="127"/>
      <c r="D173" s="128"/>
      <c r="E173" s="260"/>
      <c r="F173" s="261"/>
      <c r="G173" s="261"/>
      <c r="H173" s="261"/>
      <c r="I173" s="261"/>
      <c r="J173" s="170"/>
      <c r="K173" s="219"/>
      <c r="L173" s="219"/>
      <c r="M173" s="219"/>
      <c r="N173" s="220"/>
      <c r="O173" s="132">
        <f t="shared" si="32"/>
        <v>0</v>
      </c>
      <c r="P173" s="133">
        <f>COUNTIF(K173:K183,"TL")*0.75+COUNTIF(K173:K183,"Lec")*1+COUNTIF(K173:K183,"Lab")*0.5</f>
        <v>0</v>
      </c>
      <c r="Q173" s="134">
        <f>SUM((IF(LEFT(K173,1)="E",O173,0)),(IF(LEFT(K174,1)="E",O174,0)),(IF(LEFT(K175,1)="E",O175,0)),(IF(LEFT(K176,1)="E",O176,0)),(IF(LEFT(K177,1)="E",O177,0)),(IF(LEFT(K178,1)="E",O178,0)),(IF(LEFT(K179,1)="E",O179,0)),(IF(LEFT(K180,1)="E",O180,0)),(IF(LEFT(K181,1)="E",O181,0)),(IF(LEFT(K182,1)="E",O182,0)),(IF(LEFT(K183,1)="E",O183,0)))</f>
        <v>0</v>
      </c>
      <c r="R173" s="135">
        <f>SUM(IF(M179&lt;20,IF(K179="Plec",-1,IF(K179="PTL",-0.75,IF(K179="Plab",-0.5,0))),0),IF(M180&lt;20,IF(K180="Plec",-1,IF(K180="PTL",-0.75,IF(K180="Plab",-0.5,0))),0),IF(M181&lt;20,IF(K181="Plec",-1,IF(K181="PTL",-0.75,IF(K181="Plab",-0.5,0))),0),IF(M182&lt;20,IF(K182="Plec",-1,IF(K182="PTL",-0.75,IF(K182="Plab",-0.5,0))),0))</f>
        <v>0</v>
      </c>
      <c r="S173" s="134">
        <f>SUM(P173:R183)</f>
        <v>0</v>
      </c>
      <c r="T173" s="136">
        <f>SUM(IF(M173="M",IF(OR(K173="lec",K173="plec",K173="slec"),1,IF(OR(K173="lab",K173="plab",K173="slab",K173="tut",K173="ptut",K173="stut"),0.5,IF(OR(K173="TL",K173="pTL",K173="STL"),0.75,0))),0),IF(M174="M",IF(OR(K174="lec",K174="plec",K174="slec"),1,IF(OR(K174="lab",K174="plab",K174="slab",K174="tut",K174="ptut",K174="stut"),0.5,IF(OR(K174="TL",K174="pTL",K174="STL"),0.75,0))),0),IF(M175="M",IF(OR(K175="lec",K175="plec",K175="slec"),1,IF(OR(K175="lab",K175="plab",K175="slab",K175="tut",K175="ptut",K175="stut"),0.5,IF(OR(K175="TL",K175="pTL",K175="STL"),0.75,0))),0),IF(M176="M",IF(OR(K176="lec",K176="plec",K176="slec"),1,IF(OR(K176="lab",K176="plab",K176="slab",K176="tut",K176="ptut",K176="stut"),0.5,IF(OR(K176="TL",K176="pTL",K176="STL"),0.75,0))),0),IF(M177="M",IF(OR(K177="lec",K177="plec",K177="slec"),1,IF(OR(K177="lab",K177="plab",K177="slab",K177="tut",K177="ptut",K177="stut"),0.5,IF(OR(K177="TL",K177="pTL",K177="STL"),0.75,0))),0),IF(M178="M",IF(OR(K178="lec",K178="plec",K178="slec"),1,IF(OR(K178="lab",K178="plab",K178="slab",K178="tut",K178="ptut",K178="stut"),0.5,IF(OR(K178="TL",K178="pTL",K178="STL"),0.75,0))),0),IF(M179="M",IF(OR(K179="lec",K179="plec",K179="slec"),1,IF(OR(K179="lab",K179="plab",K179="slab",K179="tut",K179="ptut",K179="stut"),0.5,IF(OR(K179="TL",K179="pTL",K179="STL"),0.75,0))),0),IF(M180="M",IF(OR(K180="lec",K180="plec",K180="slec"),1,IF(OR(K180="lab",K180="plab",K180="slab",K180="tut",K180="ptut",K180="stut"),0.5,IF(OR(K180="TL",K180="pTL",K180="STL"),0.75,0))),0),IF(M181="M",IF(OR(K181="lec",K181="plec",K181="slec"),1,IF(OR(K181="lab",K181="plab",K181="slab",K181="tut",K181="ptut",K181="stut"),0.5,IF(OR(K181="TL",K181="pTL",K181="STL"),0.75,0))),0),IF(M182="M",IF(OR(K182="lec",K182="plec",K182="slec"),1,IF(OR(K182="lab",K182="plab",K182="slab",K182="tut",K182="ptut",K182="stut"),0.5,IF(OR(K182="TL",K182="pTL",K182="STL"),0.75,0))),0),IF(M183="M",IF(OR(K183="lec",K183="plec",K183="slec"),1,IF(OR(K183="lab",K183="plab",K183="slab",K183="tut",K183="ptut",K183="stut"),0.5,IF(OR(K183="TL",K183="pTL",K183="STL"),0.75,0))),0))</f>
        <v>0</v>
      </c>
      <c r="U173" s="137"/>
      <c r="V173" s="133"/>
      <c r="W173" s="138"/>
      <c r="X173" s="139">
        <f>S173-(T173+U173+V173+W173)</f>
        <v>0</v>
      </c>
      <c r="Y173" s="134" t="str">
        <f>CONCATENATE(SUM(O173:O183),"(",SUM(O173:O183)-X173,")")</f>
        <v>0(0)</v>
      </c>
      <c r="Z173" s="140"/>
      <c r="AA173" s="141"/>
      <c r="AB173" s="142"/>
      <c r="AC173" s="142"/>
      <c r="AD173" s="142"/>
      <c r="AE173" s="142"/>
      <c r="AF173" s="142"/>
      <c r="AG173" s="142"/>
      <c r="AH173" s="142"/>
      <c r="AI173" s="143"/>
      <c r="AJ173" s="144"/>
      <c r="AK173" s="145"/>
      <c r="AL173" s="145"/>
      <c r="AM173" s="145"/>
      <c r="AN173" s="145"/>
      <c r="AO173" s="146"/>
      <c r="AP173" s="147">
        <f>SUM(SUM(O173:O183),SUM(AI173:AI183)/2,AM173)</f>
        <v>0</v>
      </c>
      <c r="AQ173" s="148"/>
      <c r="AR173" s="148">
        <f>AP173*AQ173</f>
        <v>0</v>
      </c>
      <c r="AS173" s="148">
        <f>CT173</f>
        <v>0</v>
      </c>
      <c r="AT173" s="149">
        <f>AR173*0.75+AS173*0.25</f>
        <v>0</v>
      </c>
      <c r="AU173" s="150"/>
      <c r="AV173" s="151"/>
      <c r="AW173" s="151"/>
      <c r="AX173" s="152"/>
      <c r="AY173" s="153"/>
      <c r="AZ173" s="140"/>
      <c r="BA173" s="150"/>
      <c r="BB173" s="151"/>
      <c r="BC173" s="151"/>
      <c r="BD173" s="151"/>
      <c r="BE173" s="151"/>
      <c r="BF173" s="151"/>
      <c r="BG173" s="151"/>
      <c r="BH173" s="151"/>
      <c r="BI173" s="152"/>
      <c r="BJ173" s="154"/>
      <c r="BK173" s="151"/>
      <c r="BL173" s="151"/>
      <c r="BM173" s="151"/>
      <c r="BN173" s="151"/>
      <c r="BO173" s="155"/>
      <c r="BP173" s="140"/>
      <c r="BQ173" s="156"/>
      <c r="BR173" s="157"/>
      <c r="BS173" s="158"/>
      <c r="BT173" s="153"/>
      <c r="BU173" s="140"/>
      <c r="BV173" s="140"/>
      <c r="BW173" s="140"/>
      <c r="BX173" s="140"/>
      <c r="BY173" s="140"/>
      <c r="BZ173" s="140"/>
      <c r="CA173" s="140"/>
      <c r="CB173" s="140"/>
      <c r="CC173" s="140"/>
      <c r="CD173" s="150"/>
      <c r="CE173" s="155"/>
      <c r="CF173" s="150"/>
      <c r="CG173" s="152"/>
      <c r="CH173" s="252"/>
      <c r="CI173" s="160"/>
      <c r="CJ173" s="159"/>
      <c r="CK173" s="160"/>
      <c r="CL173" s="159"/>
      <c r="CM173" s="160"/>
      <c r="CN173" s="159"/>
      <c r="CO173" s="160"/>
      <c r="CP173" s="159"/>
      <c r="CQ173" s="162"/>
      <c r="CR173" s="160"/>
      <c r="CS173" s="253">
        <f>SUM(IF(AU173&lt;0,ABS(AU173),0),IF(AZ173&lt;0,ABS(AZ173),0),ABS(CI173),ABS(CK173),ABS(CM173),ABS(CO173),ABS(CQ173),ABS(CR173))</f>
        <v>0</v>
      </c>
      <c r="CT173" s="254">
        <f>SUM(AU173,AV173,AW173,AX173/400,AY173,AZ173,BG173,BH173*0.5,BI173*0.25,BJ173,BK173,BL173,BM173,BN173,BO173,BP173,BR173/20,BS173/100,BT173/60,BU173,BV173,BW173,BX173/4,SUM(BY173:CC183)/3,CE173,CG173/3,CI173,CK173,CM173,CO173,CQ173,CR173)</f>
        <v>0</v>
      </c>
      <c r="CU173" s="255"/>
    </row>
    <row r="174" ht="60.0" hidden="1" customHeight="1">
      <c r="A174" s="65"/>
      <c r="C174" s="167"/>
      <c r="D174" s="205"/>
      <c r="E174" s="262"/>
      <c r="F174" s="170"/>
      <c r="G174" s="170"/>
      <c r="H174" s="170"/>
      <c r="I174" s="170"/>
      <c r="J174" s="170"/>
      <c r="K174" s="171"/>
      <c r="L174" s="171"/>
      <c r="M174" s="171"/>
      <c r="N174" s="209"/>
      <c r="O174" s="172">
        <f t="shared" si="32"/>
        <v>0</v>
      </c>
      <c r="P174" s="166"/>
      <c r="Q174" s="173"/>
      <c r="R174" s="65"/>
      <c r="S174" s="173"/>
      <c r="T174" s="173"/>
      <c r="U174" s="166"/>
      <c r="V174" s="166"/>
      <c r="W174" s="65"/>
      <c r="X174" s="66"/>
      <c r="Y174" s="173"/>
      <c r="Z174" s="166"/>
      <c r="AA174" s="174"/>
      <c r="AB174" s="175"/>
      <c r="AC174" s="175"/>
      <c r="AD174" s="175"/>
      <c r="AE174" s="175"/>
      <c r="AF174" s="175"/>
      <c r="AG174" s="175"/>
      <c r="AH174" s="175"/>
      <c r="AI174" s="176"/>
      <c r="AJ174" s="177"/>
      <c r="AK174" s="178"/>
      <c r="AL174" s="178"/>
      <c r="AM174" s="178"/>
      <c r="AN174" s="178"/>
      <c r="AO174" s="179"/>
      <c r="AP174" s="64"/>
      <c r="AQ174" s="65"/>
      <c r="AR174" s="65"/>
      <c r="AS174" s="65"/>
      <c r="AT174" s="173"/>
      <c r="AU174" s="177"/>
      <c r="AV174" s="178"/>
      <c r="AW174" s="178"/>
      <c r="AX174" s="179"/>
      <c r="AZ174" s="166"/>
      <c r="BA174" s="177"/>
      <c r="BB174" s="178"/>
      <c r="BC174" s="178"/>
      <c r="BD174" s="178"/>
      <c r="BE174" s="178"/>
      <c r="BF174" s="178"/>
      <c r="BG174" s="178"/>
      <c r="BH174" s="178"/>
      <c r="BI174" s="179"/>
      <c r="BJ174" s="180"/>
      <c r="BK174" s="178"/>
      <c r="BL174" s="178"/>
      <c r="BM174" s="178"/>
      <c r="BN174" s="178"/>
      <c r="BO174" s="181"/>
      <c r="BP174" s="166"/>
      <c r="BQ174" s="177"/>
      <c r="BR174" s="178"/>
      <c r="BS174" s="179"/>
      <c r="BU174" s="166"/>
      <c r="BV174" s="166"/>
      <c r="BW174" s="166"/>
      <c r="BX174" s="166"/>
      <c r="BY174" s="166"/>
      <c r="BZ174" s="166"/>
      <c r="CA174" s="166"/>
      <c r="CB174" s="166"/>
      <c r="CC174" s="166"/>
      <c r="CD174" s="177"/>
      <c r="CE174" s="181"/>
      <c r="CF174" s="177"/>
      <c r="CG174" s="179"/>
      <c r="CH174" s="257"/>
      <c r="CI174" s="182"/>
      <c r="CJ174" s="177"/>
      <c r="CK174" s="182"/>
      <c r="CL174" s="177"/>
      <c r="CM174" s="182"/>
      <c r="CN174" s="177"/>
      <c r="CO174" s="182"/>
      <c r="CP174" s="177"/>
      <c r="CQ174" s="178"/>
      <c r="CR174" s="182"/>
      <c r="CS174" s="173"/>
      <c r="CT174" s="65"/>
      <c r="CU174" s="271"/>
    </row>
    <row r="175" ht="60.0" hidden="1" customHeight="1">
      <c r="A175" s="65"/>
      <c r="C175" s="167"/>
      <c r="D175" s="205"/>
      <c r="E175" s="262"/>
      <c r="F175" s="170"/>
      <c r="G175" s="170"/>
      <c r="H175" s="170"/>
      <c r="I175" s="170"/>
      <c r="J175" s="170"/>
      <c r="K175" s="171"/>
      <c r="L175" s="171"/>
      <c r="M175" s="171"/>
      <c r="N175" s="209"/>
      <c r="O175" s="172">
        <f t="shared" si="32"/>
        <v>0</v>
      </c>
      <c r="P175" s="166"/>
      <c r="Q175" s="173"/>
      <c r="R175" s="65"/>
      <c r="S175" s="173"/>
      <c r="T175" s="173"/>
      <c r="U175" s="166"/>
      <c r="V175" s="166"/>
      <c r="W175" s="65"/>
      <c r="X175" s="66"/>
      <c r="Y175" s="173"/>
      <c r="Z175" s="166"/>
      <c r="AA175" s="174"/>
      <c r="AB175" s="175"/>
      <c r="AC175" s="175"/>
      <c r="AD175" s="175"/>
      <c r="AE175" s="175"/>
      <c r="AF175" s="175"/>
      <c r="AG175" s="175"/>
      <c r="AH175" s="175"/>
      <c r="AI175" s="176"/>
      <c r="AJ175" s="177"/>
      <c r="AK175" s="178"/>
      <c r="AL175" s="178"/>
      <c r="AM175" s="178"/>
      <c r="AN175" s="178"/>
      <c r="AO175" s="179"/>
      <c r="AP175" s="64"/>
      <c r="AQ175" s="65"/>
      <c r="AR175" s="65"/>
      <c r="AS175" s="65"/>
      <c r="AT175" s="173"/>
      <c r="AU175" s="177"/>
      <c r="AV175" s="178"/>
      <c r="AW175" s="178"/>
      <c r="AX175" s="179"/>
      <c r="AZ175" s="166"/>
      <c r="BA175" s="177"/>
      <c r="BB175" s="178"/>
      <c r="BC175" s="178"/>
      <c r="BD175" s="178"/>
      <c r="BE175" s="178"/>
      <c r="BF175" s="178"/>
      <c r="BG175" s="178"/>
      <c r="BH175" s="178"/>
      <c r="BI175" s="179"/>
      <c r="BJ175" s="180"/>
      <c r="BK175" s="178"/>
      <c r="BL175" s="178"/>
      <c r="BM175" s="178"/>
      <c r="BN175" s="178"/>
      <c r="BO175" s="181"/>
      <c r="BP175" s="166"/>
      <c r="BQ175" s="177"/>
      <c r="BR175" s="178"/>
      <c r="BS175" s="179"/>
      <c r="BU175" s="166"/>
      <c r="BV175" s="166"/>
      <c r="BW175" s="166"/>
      <c r="BX175" s="166"/>
      <c r="BY175" s="166"/>
      <c r="BZ175" s="166"/>
      <c r="CA175" s="166"/>
      <c r="CB175" s="166"/>
      <c r="CC175" s="166"/>
      <c r="CD175" s="177"/>
      <c r="CE175" s="181"/>
      <c r="CF175" s="177"/>
      <c r="CG175" s="179"/>
      <c r="CH175" s="257"/>
      <c r="CI175" s="182"/>
      <c r="CJ175" s="177"/>
      <c r="CK175" s="182"/>
      <c r="CL175" s="177"/>
      <c r="CM175" s="182"/>
      <c r="CN175" s="177"/>
      <c r="CO175" s="182"/>
      <c r="CP175" s="177"/>
      <c r="CQ175" s="178"/>
      <c r="CR175" s="182"/>
      <c r="CS175" s="173"/>
      <c r="CT175" s="65"/>
      <c r="CU175" s="271"/>
    </row>
    <row r="176" ht="60.0" hidden="1" customHeight="1">
      <c r="A176" s="65"/>
      <c r="C176" s="167"/>
      <c r="D176" s="205"/>
      <c r="E176" s="262"/>
      <c r="F176" s="170"/>
      <c r="G176" s="170"/>
      <c r="H176" s="170"/>
      <c r="I176" s="170"/>
      <c r="J176" s="170"/>
      <c r="K176" s="171"/>
      <c r="L176" s="171"/>
      <c r="M176" s="171"/>
      <c r="N176" s="209"/>
      <c r="O176" s="172">
        <f t="shared" si="32"/>
        <v>0</v>
      </c>
      <c r="P176" s="166"/>
      <c r="Q176" s="173"/>
      <c r="R176" s="65"/>
      <c r="S176" s="173"/>
      <c r="T176" s="173"/>
      <c r="U176" s="166"/>
      <c r="V176" s="166"/>
      <c r="W176" s="65"/>
      <c r="X176" s="66"/>
      <c r="Y176" s="173"/>
      <c r="Z176" s="166"/>
      <c r="AA176" s="174"/>
      <c r="AB176" s="175"/>
      <c r="AC176" s="175"/>
      <c r="AD176" s="175"/>
      <c r="AE176" s="175"/>
      <c r="AF176" s="175"/>
      <c r="AG176" s="175"/>
      <c r="AH176" s="175"/>
      <c r="AI176" s="176"/>
      <c r="AJ176" s="177"/>
      <c r="AK176" s="178"/>
      <c r="AL176" s="178"/>
      <c r="AM176" s="178"/>
      <c r="AN176" s="178"/>
      <c r="AO176" s="179"/>
      <c r="AP176" s="64"/>
      <c r="AQ176" s="65"/>
      <c r="AR176" s="65"/>
      <c r="AS176" s="65"/>
      <c r="AT176" s="173"/>
      <c r="AU176" s="177"/>
      <c r="AV176" s="178"/>
      <c r="AW176" s="178"/>
      <c r="AX176" s="179"/>
      <c r="AZ176" s="166"/>
      <c r="BA176" s="177"/>
      <c r="BB176" s="178"/>
      <c r="BC176" s="178"/>
      <c r="BD176" s="178"/>
      <c r="BE176" s="178"/>
      <c r="BF176" s="178"/>
      <c r="BG176" s="178"/>
      <c r="BH176" s="178"/>
      <c r="BI176" s="179"/>
      <c r="BJ176" s="180"/>
      <c r="BK176" s="178"/>
      <c r="BL176" s="178"/>
      <c r="BM176" s="178"/>
      <c r="BN176" s="178"/>
      <c r="BO176" s="181"/>
      <c r="BP176" s="166"/>
      <c r="BQ176" s="177"/>
      <c r="BR176" s="178"/>
      <c r="BS176" s="179"/>
      <c r="BU176" s="166"/>
      <c r="BV176" s="166"/>
      <c r="BW176" s="166"/>
      <c r="BX176" s="166"/>
      <c r="BY176" s="166"/>
      <c r="BZ176" s="166"/>
      <c r="CA176" s="166"/>
      <c r="CB176" s="166"/>
      <c r="CC176" s="166"/>
      <c r="CD176" s="177"/>
      <c r="CE176" s="181"/>
      <c r="CF176" s="177"/>
      <c r="CG176" s="179"/>
      <c r="CH176" s="257"/>
      <c r="CI176" s="182"/>
      <c r="CJ176" s="177"/>
      <c r="CK176" s="182"/>
      <c r="CL176" s="177"/>
      <c r="CM176" s="182"/>
      <c r="CN176" s="177"/>
      <c r="CO176" s="182"/>
      <c r="CP176" s="177"/>
      <c r="CQ176" s="178"/>
      <c r="CR176" s="182"/>
      <c r="CS176" s="173"/>
      <c r="CT176" s="65"/>
      <c r="CU176" s="271"/>
    </row>
    <row r="177" ht="60.0" hidden="1" customHeight="1">
      <c r="A177" s="65"/>
      <c r="C177" s="167"/>
      <c r="D177" s="205"/>
      <c r="E177" s="262"/>
      <c r="F177" s="170"/>
      <c r="G177" s="170"/>
      <c r="H177" s="170"/>
      <c r="I177" s="170"/>
      <c r="J177" s="170"/>
      <c r="K177" s="171"/>
      <c r="L177" s="171"/>
      <c r="M177" s="171"/>
      <c r="N177" s="209"/>
      <c r="O177" s="172">
        <f t="shared" si="32"/>
        <v>0</v>
      </c>
      <c r="P177" s="166"/>
      <c r="Q177" s="173"/>
      <c r="R177" s="65"/>
      <c r="S177" s="173"/>
      <c r="T177" s="173"/>
      <c r="U177" s="166"/>
      <c r="V177" s="166"/>
      <c r="W177" s="65"/>
      <c r="X177" s="66"/>
      <c r="Y177" s="173"/>
      <c r="Z177" s="166"/>
      <c r="AA177" s="174"/>
      <c r="AB177" s="175"/>
      <c r="AC177" s="175"/>
      <c r="AD177" s="175"/>
      <c r="AE177" s="175"/>
      <c r="AF177" s="175"/>
      <c r="AG177" s="175"/>
      <c r="AH177" s="175"/>
      <c r="AI177" s="176"/>
      <c r="AJ177" s="177"/>
      <c r="AK177" s="178"/>
      <c r="AL177" s="178"/>
      <c r="AM177" s="178"/>
      <c r="AN177" s="178"/>
      <c r="AO177" s="179"/>
      <c r="AP177" s="64"/>
      <c r="AQ177" s="65"/>
      <c r="AR177" s="65"/>
      <c r="AS177" s="65"/>
      <c r="AT177" s="173"/>
      <c r="AU177" s="177"/>
      <c r="AV177" s="178"/>
      <c r="AW177" s="178"/>
      <c r="AX177" s="179"/>
      <c r="AZ177" s="166"/>
      <c r="BA177" s="177"/>
      <c r="BB177" s="178"/>
      <c r="BC177" s="178"/>
      <c r="BD177" s="178"/>
      <c r="BE177" s="178"/>
      <c r="BF177" s="178"/>
      <c r="BG177" s="178"/>
      <c r="BH177" s="178"/>
      <c r="BI177" s="179"/>
      <c r="BJ177" s="180"/>
      <c r="BK177" s="178"/>
      <c r="BL177" s="178"/>
      <c r="BM177" s="178"/>
      <c r="BN177" s="178"/>
      <c r="BO177" s="181"/>
      <c r="BP177" s="166"/>
      <c r="BQ177" s="177"/>
      <c r="BR177" s="178"/>
      <c r="BS177" s="179"/>
      <c r="BU177" s="166"/>
      <c r="BV177" s="166"/>
      <c r="BW177" s="166"/>
      <c r="BX177" s="166"/>
      <c r="BY177" s="166"/>
      <c r="BZ177" s="166"/>
      <c r="CA177" s="166"/>
      <c r="CB177" s="166"/>
      <c r="CC177" s="166"/>
      <c r="CD177" s="177"/>
      <c r="CE177" s="181"/>
      <c r="CF177" s="177"/>
      <c r="CG177" s="179"/>
      <c r="CH177" s="257"/>
      <c r="CI177" s="182"/>
      <c r="CJ177" s="177"/>
      <c r="CK177" s="182"/>
      <c r="CL177" s="177"/>
      <c r="CM177" s="182"/>
      <c r="CN177" s="177"/>
      <c r="CO177" s="182"/>
      <c r="CP177" s="177"/>
      <c r="CQ177" s="178"/>
      <c r="CR177" s="182"/>
      <c r="CS177" s="173"/>
      <c r="CT177" s="65"/>
      <c r="CU177" s="271"/>
    </row>
    <row r="178" ht="60.0" hidden="1" customHeight="1">
      <c r="A178" s="65"/>
      <c r="C178" s="167"/>
      <c r="D178" s="205"/>
      <c r="E178" s="262"/>
      <c r="F178" s="170"/>
      <c r="G178" s="170"/>
      <c r="H178" s="170"/>
      <c r="I178" s="170"/>
      <c r="J178" s="170"/>
      <c r="K178" s="171"/>
      <c r="L178" s="171"/>
      <c r="M178" s="171"/>
      <c r="N178" s="209"/>
      <c r="O178" s="172">
        <f t="shared" si="32"/>
        <v>0</v>
      </c>
      <c r="P178" s="166"/>
      <c r="Q178" s="173"/>
      <c r="R178" s="65"/>
      <c r="S178" s="173"/>
      <c r="T178" s="173"/>
      <c r="U178" s="166"/>
      <c r="V178" s="166"/>
      <c r="W178" s="65"/>
      <c r="X178" s="66"/>
      <c r="Y178" s="173"/>
      <c r="Z178" s="166"/>
      <c r="AA178" s="174"/>
      <c r="AB178" s="175"/>
      <c r="AC178" s="175"/>
      <c r="AD178" s="175"/>
      <c r="AE178" s="175"/>
      <c r="AF178" s="175"/>
      <c r="AG178" s="175"/>
      <c r="AH178" s="175"/>
      <c r="AI178" s="176"/>
      <c r="AJ178" s="177"/>
      <c r="AK178" s="178"/>
      <c r="AL178" s="178"/>
      <c r="AM178" s="178"/>
      <c r="AN178" s="178"/>
      <c r="AO178" s="179"/>
      <c r="AP178" s="64"/>
      <c r="AQ178" s="65"/>
      <c r="AR178" s="65"/>
      <c r="AS178" s="65"/>
      <c r="AT178" s="173"/>
      <c r="AU178" s="177"/>
      <c r="AV178" s="178"/>
      <c r="AW178" s="178"/>
      <c r="AX178" s="179"/>
      <c r="AZ178" s="166"/>
      <c r="BA178" s="177"/>
      <c r="BB178" s="178"/>
      <c r="BC178" s="178"/>
      <c r="BD178" s="178"/>
      <c r="BE178" s="178"/>
      <c r="BF178" s="178"/>
      <c r="BG178" s="178"/>
      <c r="BH178" s="178"/>
      <c r="BI178" s="179"/>
      <c r="BJ178" s="180"/>
      <c r="BK178" s="178"/>
      <c r="BL178" s="178"/>
      <c r="BM178" s="178"/>
      <c r="BN178" s="178"/>
      <c r="BO178" s="181"/>
      <c r="BP178" s="166"/>
      <c r="BQ178" s="177"/>
      <c r="BR178" s="178"/>
      <c r="BS178" s="179"/>
      <c r="BU178" s="166"/>
      <c r="BV178" s="166"/>
      <c r="BW178" s="166"/>
      <c r="BX178" s="166"/>
      <c r="BY178" s="166"/>
      <c r="BZ178" s="166"/>
      <c r="CA178" s="166"/>
      <c r="CB178" s="166"/>
      <c r="CC178" s="166"/>
      <c r="CD178" s="177"/>
      <c r="CE178" s="181"/>
      <c r="CF178" s="177"/>
      <c r="CG178" s="179"/>
      <c r="CH178" s="257"/>
      <c r="CI178" s="182"/>
      <c r="CJ178" s="177"/>
      <c r="CK178" s="182"/>
      <c r="CL178" s="177"/>
      <c r="CM178" s="182"/>
      <c r="CN178" s="177"/>
      <c r="CO178" s="182"/>
      <c r="CP178" s="177"/>
      <c r="CQ178" s="178"/>
      <c r="CR178" s="182"/>
      <c r="CS178" s="173"/>
      <c r="CT178" s="65"/>
      <c r="CU178" s="271"/>
    </row>
    <row r="179" ht="60.0" hidden="1" customHeight="1">
      <c r="A179" s="65"/>
      <c r="C179" s="167"/>
      <c r="D179" s="205"/>
      <c r="E179" s="262"/>
      <c r="F179" s="170"/>
      <c r="G179" s="170"/>
      <c r="H179" s="170"/>
      <c r="I179" s="170"/>
      <c r="J179" s="170"/>
      <c r="K179" s="171"/>
      <c r="L179" s="171"/>
      <c r="M179" s="171"/>
      <c r="N179" s="209"/>
      <c r="O179" s="172">
        <f t="shared" ref="O179:O182" si="33">IF(AND(M179&gt;=20,M179&lt;&gt;"m",RIGHT(K179,3)="Lec"),1,IF(AND(M179&gt;=20,M179&lt;&gt;"m",OR(RIGHT(K179,3)="Lab",RIGHT(K179,3)="Tut")),0.5,IF(AND(M179&gt;=20,M179&lt;&gt;"m",RIGHT(K179,2)="TL"),0.75,0)))</f>
        <v>0</v>
      </c>
      <c r="P179" s="166"/>
      <c r="Q179" s="173"/>
      <c r="R179" s="65"/>
      <c r="S179" s="173"/>
      <c r="T179" s="173"/>
      <c r="U179" s="166"/>
      <c r="V179" s="166"/>
      <c r="W179" s="65"/>
      <c r="X179" s="66"/>
      <c r="Y179" s="173"/>
      <c r="Z179" s="166"/>
      <c r="AA179" s="174"/>
      <c r="AB179" s="175"/>
      <c r="AC179" s="175"/>
      <c r="AD179" s="175"/>
      <c r="AE179" s="175"/>
      <c r="AF179" s="175"/>
      <c r="AG179" s="175"/>
      <c r="AH179" s="175"/>
      <c r="AI179" s="176"/>
      <c r="AJ179" s="177"/>
      <c r="AK179" s="178"/>
      <c r="AL179" s="178"/>
      <c r="AM179" s="178"/>
      <c r="AN179" s="178"/>
      <c r="AO179" s="179"/>
      <c r="AP179" s="64"/>
      <c r="AQ179" s="65"/>
      <c r="AR179" s="65"/>
      <c r="AS179" s="65"/>
      <c r="AT179" s="173"/>
      <c r="AU179" s="177"/>
      <c r="AV179" s="178"/>
      <c r="AW179" s="178"/>
      <c r="AX179" s="179"/>
      <c r="AZ179" s="166"/>
      <c r="BA179" s="177"/>
      <c r="BB179" s="178"/>
      <c r="BC179" s="178"/>
      <c r="BD179" s="178"/>
      <c r="BE179" s="178"/>
      <c r="BF179" s="178"/>
      <c r="BG179" s="178"/>
      <c r="BH179" s="178"/>
      <c r="BI179" s="179"/>
      <c r="BJ179" s="180"/>
      <c r="BK179" s="178"/>
      <c r="BL179" s="178"/>
      <c r="BM179" s="178"/>
      <c r="BN179" s="178"/>
      <c r="BO179" s="181"/>
      <c r="BP179" s="166"/>
      <c r="BQ179" s="177"/>
      <c r="BR179" s="178"/>
      <c r="BS179" s="179"/>
      <c r="BU179" s="166"/>
      <c r="BV179" s="166"/>
      <c r="BW179" s="166"/>
      <c r="BX179" s="166"/>
      <c r="BY179" s="166"/>
      <c r="BZ179" s="166"/>
      <c r="CA179" s="166"/>
      <c r="CB179" s="166"/>
      <c r="CC179" s="166"/>
      <c r="CD179" s="177"/>
      <c r="CE179" s="181"/>
      <c r="CF179" s="177"/>
      <c r="CG179" s="179"/>
      <c r="CH179" s="257"/>
      <c r="CI179" s="182"/>
      <c r="CJ179" s="177"/>
      <c r="CK179" s="182"/>
      <c r="CL179" s="177"/>
      <c r="CM179" s="182"/>
      <c r="CN179" s="177"/>
      <c r="CO179" s="182"/>
      <c r="CP179" s="177"/>
      <c r="CQ179" s="178"/>
      <c r="CR179" s="182"/>
      <c r="CS179" s="173"/>
      <c r="CT179" s="65"/>
      <c r="CU179" s="271"/>
    </row>
    <row r="180" ht="60.0" hidden="1" customHeight="1">
      <c r="A180" s="65"/>
      <c r="C180" s="167"/>
      <c r="D180" s="205"/>
      <c r="E180" s="262"/>
      <c r="F180" s="170"/>
      <c r="G180" s="170"/>
      <c r="H180" s="170"/>
      <c r="I180" s="170"/>
      <c r="J180" s="170"/>
      <c r="K180" s="171"/>
      <c r="L180" s="171"/>
      <c r="M180" s="171"/>
      <c r="N180" s="209"/>
      <c r="O180" s="172">
        <f t="shared" si="33"/>
        <v>0</v>
      </c>
      <c r="P180" s="166"/>
      <c r="Q180" s="173"/>
      <c r="R180" s="65"/>
      <c r="S180" s="173"/>
      <c r="T180" s="173"/>
      <c r="U180" s="166"/>
      <c r="V180" s="166"/>
      <c r="W180" s="65"/>
      <c r="X180" s="66"/>
      <c r="Y180" s="173"/>
      <c r="Z180" s="166"/>
      <c r="AA180" s="174"/>
      <c r="AB180" s="175"/>
      <c r="AC180" s="175"/>
      <c r="AD180" s="175"/>
      <c r="AE180" s="175"/>
      <c r="AF180" s="175"/>
      <c r="AG180" s="175"/>
      <c r="AH180" s="175"/>
      <c r="AI180" s="176"/>
      <c r="AJ180" s="177"/>
      <c r="AK180" s="178"/>
      <c r="AL180" s="178"/>
      <c r="AM180" s="178"/>
      <c r="AN180" s="178"/>
      <c r="AO180" s="179"/>
      <c r="AP180" s="64"/>
      <c r="AQ180" s="65"/>
      <c r="AR180" s="65"/>
      <c r="AS180" s="65"/>
      <c r="AT180" s="173"/>
      <c r="AU180" s="177"/>
      <c r="AV180" s="178"/>
      <c r="AW180" s="178"/>
      <c r="AX180" s="179"/>
      <c r="AZ180" s="166"/>
      <c r="BA180" s="177"/>
      <c r="BB180" s="178"/>
      <c r="BC180" s="178"/>
      <c r="BD180" s="178"/>
      <c r="BE180" s="178"/>
      <c r="BF180" s="178"/>
      <c r="BG180" s="178"/>
      <c r="BH180" s="178"/>
      <c r="BI180" s="179"/>
      <c r="BJ180" s="180"/>
      <c r="BK180" s="178"/>
      <c r="BL180" s="178"/>
      <c r="BM180" s="178"/>
      <c r="BN180" s="178"/>
      <c r="BO180" s="181"/>
      <c r="BP180" s="166"/>
      <c r="BQ180" s="177"/>
      <c r="BR180" s="178"/>
      <c r="BS180" s="179"/>
      <c r="BU180" s="166"/>
      <c r="BV180" s="166"/>
      <c r="BW180" s="166"/>
      <c r="BX180" s="166"/>
      <c r="BY180" s="166"/>
      <c r="BZ180" s="166"/>
      <c r="CA180" s="166"/>
      <c r="CB180" s="166"/>
      <c r="CC180" s="166"/>
      <c r="CD180" s="177"/>
      <c r="CE180" s="181"/>
      <c r="CF180" s="177"/>
      <c r="CG180" s="179"/>
      <c r="CH180" s="257"/>
      <c r="CI180" s="182"/>
      <c r="CJ180" s="177"/>
      <c r="CK180" s="182"/>
      <c r="CL180" s="177"/>
      <c r="CM180" s="182"/>
      <c r="CN180" s="177"/>
      <c r="CO180" s="182"/>
      <c r="CP180" s="177"/>
      <c r="CQ180" s="178"/>
      <c r="CR180" s="182"/>
      <c r="CS180" s="173"/>
      <c r="CT180" s="65"/>
      <c r="CU180" s="271"/>
    </row>
    <row r="181" ht="60.0" hidden="1" customHeight="1">
      <c r="A181" s="65"/>
      <c r="C181" s="167"/>
      <c r="D181" s="205"/>
      <c r="E181" s="262"/>
      <c r="F181" s="170"/>
      <c r="G181" s="170"/>
      <c r="H181" s="170"/>
      <c r="I181" s="170"/>
      <c r="J181" s="170"/>
      <c r="K181" s="171"/>
      <c r="L181" s="171"/>
      <c r="M181" s="171"/>
      <c r="N181" s="209"/>
      <c r="O181" s="172">
        <f t="shared" si="33"/>
        <v>0</v>
      </c>
      <c r="P181" s="166"/>
      <c r="Q181" s="173"/>
      <c r="R181" s="65"/>
      <c r="S181" s="173"/>
      <c r="T181" s="173"/>
      <c r="U181" s="166"/>
      <c r="V181" s="166"/>
      <c r="W181" s="65"/>
      <c r="X181" s="66"/>
      <c r="Y181" s="173"/>
      <c r="Z181" s="166"/>
      <c r="AA181" s="174"/>
      <c r="AB181" s="175"/>
      <c r="AC181" s="175"/>
      <c r="AD181" s="175"/>
      <c r="AE181" s="175"/>
      <c r="AF181" s="175"/>
      <c r="AG181" s="175"/>
      <c r="AH181" s="175"/>
      <c r="AI181" s="176"/>
      <c r="AJ181" s="177"/>
      <c r="AK181" s="178"/>
      <c r="AL181" s="178"/>
      <c r="AM181" s="178"/>
      <c r="AN181" s="178"/>
      <c r="AO181" s="179"/>
      <c r="AP181" s="64"/>
      <c r="AQ181" s="65"/>
      <c r="AR181" s="65"/>
      <c r="AS181" s="65"/>
      <c r="AT181" s="173"/>
      <c r="AU181" s="177"/>
      <c r="AV181" s="178"/>
      <c r="AW181" s="178"/>
      <c r="AX181" s="179"/>
      <c r="AZ181" s="166"/>
      <c r="BA181" s="177"/>
      <c r="BB181" s="178"/>
      <c r="BC181" s="178"/>
      <c r="BD181" s="178"/>
      <c r="BE181" s="178"/>
      <c r="BF181" s="178"/>
      <c r="BG181" s="178"/>
      <c r="BH181" s="178"/>
      <c r="BI181" s="179"/>
      <c r="BJ181" s="180"/>
      <c r="BK181" s="178"/>
      <c r="BL181" s="178"/>
      <c r="BM181" s="178"/>
      <c r="BN181" s="178"/>
      <c r="BO181" s="181"/>
      <c r="BP181" s="166"/>
      <c r="BQ181" s="177"/>
      <c r="BR181" s="178"/>
      <c r="BS181" s="179"/>
      <c r="BU181" s="166"/>
      <c r="BV181" s="166"/>
      <c r="BW181" s="166"/>
      <c r="BX181" s="166"/>
      <c r="BY181" s="166"/>
      <c r="BZ181" s="166"/>
      <c r="CA181" s="166"/>
      <c r="CB181" s="166"/>
      <c r="CC181" s="166"/>
      <c r="CD181" s="177"/>
      <c r="CE181" s="181"/>
      <c r="CF181" s="177"/>
      <c r="CG181" s="179"/>
      <c r="CH181" s="257"/>
      <c r="CI181" s="182"/>
      <c r="CJ181" s="177"/>
      <c r="CK181" s="182"/>
      <c r="CL181" s="177"/>
      <c r="CM181" s="182"/>
      <c r="CN181" s="177"/>
      <c r="CO181" s="182"/>
      <c r="CP181" s="177"/>
      <c r="CQ181" s="178"/>
      <c r="CR181" s="182"/>
      <c r="CS181" s="173"/>
      <c r="CT181" s="65"/>
      <c r="CU181" s="271"/>
    </row>
    <row r="182" ht="60.0" hidden="1" customHeight="1">
      <c r="A182" s="65"/>
      <c r="C182" s="167"/>
      <c r="D182" s="205"/>
      <c r="E182" s="262"/>
      <c r="F182" s="170"/>
      <c r="G182" s="170"/>
      <c r="H182" s="170"/>
      <c r="I182" s="170"/>
      <c r="J182" s="170"/>
      <c r="K182" s="171"/>
      <c r="L182" s="171"/>
      <c r="M182" s="171"/>
      <c r="N182" s="209"/>
      <c r="O182" s="172">
        <f t="shared" si="33"/>
        <v>0</v>
      </c>
      <c r="P182" s="166"/>
      <c r="Q182" s="173"/>
      <c r="R182" s="65"/>
      <c r="S182" s="173"/>
      <c r="T182" s="173"/>
      <c r="U182" s="166"/>
      <c r="V182" s="166"/>
      <c r="W182" s="65"/>
      <c r="X182" s="66"/>
      <c r="Y182" s="173"/>
      <c r="Z182" s="166"/>
      <c r="AA182" s="174"/>
      <c r="AB182" s="175"/>
      <c r="AC182" s="175"/>
      <c r="AD182" s="175"/>
      <c r="AE182" s="175"/>
      <c r="AF182" s="175"/>
      <c r="AG182" s="175"/>
      <c r="AH182" s="175"/>
      <c r="AI182" s="176"/>
      <c r="AJ182" s="177"/>
      <c r="AK182" s="178"/>
      <c r="AL182" s="178"/>
      <c r="AM182" s="178"/>
      <c r="AN182" s="178"/>
      <c r="AO182" s="179"/>
      <c r="AP182" s="64"/>
      <c r="AQ182" s="65"/>
      <c r="AR182" s="65"/>
      <c r="AS182" s="65"/>
      <c r="AT182" s="173"/>
      <c r="AU182" s="177"/>
      <c r="AV182" s="178"/>
      <c r="AW182" s="178"/>
      <c r="AX182" s="179"/>
      <c r="AZ182" s="166"/>
      <c r="BA182" s="177"/>
      <c r="BB182" s="178"/>
      <c r="BC182" s="178"/>
      <c r="BD182" s="178"/>
      <c r="BE182" s="178"/>
      <c r="BF182" s="178"/>
      <c r="BG182" s="178"/>
      <c r="BH182" s="178"/>
      <c r="BI182" s="179"/>
      <c r="BJ182" s="180"/>
      <c r="BK182" s="178"/>
      <c r="BL182" s="178"/>
      <c r="BM182" s="178"/>
      <c r="BN182" s="178"/>
      <c r="BO182" s="181"/>
      <c r="BP182" s="166"/>
      <c r="BQ182" s="177"/>
      <c r="BR182" s="178"/>
      <c r="BS182" s="179"/>
      <c r="BU182" s="166"/>
      <c r="BV182" s="166"/>
      <c r="BW182" s="166"/>
      <c r="BX182" s="166"/>
      <c r="BY182" s="166"/>
      <c r="BZ182" s="166"/>
      <c r="CA182" s="166"/>
      <c r="CB182" s="166"/>
      <c r="CC182" s="166"/>
      <c r="CD182" s="177"/>
      <c r="CE182" s="181"/>
      <c r="CF182" s="177"/>
      <c r="CG182" s="179"/>
      <c r="CH182" s="257"/>
      <c r="CI182" s="182"/>
      <c r="CJ182" s="177"/>
      <c r="CK182" s="182"/>
      <c r="CL182" s="177"/>
      <c r="CM182" s="182"/>
      <c r="CN182" s="177"/>
      <c r="CO182" s="182"/>
      <c r="CP182" s="177"/>
      <c r="CQ182" s="178"/>
      <c r="CR182" s="182"/>
      <c r="CS182" s="173"/>
      <c r="CT182" s="65"/>
      <c r="CU182" s="271"/>
    </row>
    <row r="183" ht="60.0" hidden="1" customHeight="1">
      <c r="A183" s="89"/>
      <c r="B183" s="6"/>
      <c r="C183" s="183"/>
      <c r="D183" s="210"/>
      <c r="E183" s="263"/>
      <c r="F183" s="186"/>
      <c r="G183" s="186"/>
      <c r="H183" s="186"/>
      <c r="I183" s="186"/>
      <c r="J183" s="186"/>
      <c r="K183" s="187"/>
      <c r="L183" s="187"/>
      <c r="M183" s="187"/>
      <c r="N183" s="214"/>
      <c r="O183" s="188">
        <f t="shared" ref="O183:O189" si="34">IF(AND(M183&lt;&gt;0,M183&lt;&gt;"m",M183&lt;&gt;"",RIGHT(K183,3)="Lec"),1,IF(AND(M183&lt;&gt;0,M183&lt;&gt;"m",M183&lt;&gt;"",OR(RIGHT(K183,3)="Lab",RIGHT(K183,3)="Tut")),0.5,IF(AND(M183&lt;&gt;0,M183&lt;&gt;"m",M183&lt;&gt;"",RIGHT(K183,2)="TL"),0.75,0)))</f>
        <v>0</v>
      </c>
      <c r="P183" s="63"/>
      <c r="Q183" s="69"/>
      <c r="R183" s="89"/>
      <c r="S183" s="69"/>
      <c r="T183" s="69"/>
      <c r="U183" s="63"/>
      <c r="V183" s="63"/>
      <c r="W183" s="89"/>
      <c r="X183" s="68"/>
      <c r="Y183" s="69"/>
      <c r="Z183" s="63"/>
      <c r="AA183" s="189"/>
      <c r="AB183" s="190"/>
      <c r="AC183" s="190"/>
      <c r="AD183" s="190"/>
      <c r="AE183" s="190"/>
      <c r="AF183" s="190"/>
      <c r="AG183" s="190"/>
      <c r="AH183" s="190"/>
      <c r="AI183" s="191"/>
      <c r="AJ183" s="192"/>
      <c r="AK183" s="193"/>
      <c r="AL183" s="193"/>
      <c r="AM183" s="193"/>
      <c r="AN183" s="193"/>
      <c r="AO183" s="194"/>
      <c r="AP183" s="103"/>
      <c r="AQ183" s="89"/>
      <c r="AR183" s="89"/>
      <c r="AS183" s="89"/>
      <c r="AT183" s="69"/>
      <c r="AU183" s="192"/>
      <c r="AV183" s="193"/>
      <c r="AW183" s="193"/>
      <c r="AX183" s="194"/>
      <c r="AY183" s="6"/>
      <c r="AZ183" s="63"/>
      <c r="BA183" s="192"/>
      <c r="BB183" s="193"/>
      <c r="BC183" s="193"/>
      <c r="BD183" s="193"/>
      <c r="BE183" s="193"/>
      <c r="BF183" s="193"/>
      <c r="BG183" s="193"/>
      <c r="BH183" s="193"/>
      <c r="BI183" s="194"/>
      <c r="BJ183" s="195"/>
      <c r="BK183" s="193"/>
      <c r="BL183" s="193"/>
      <c r="BM183" s="193"/>
      <c r="BN183" s="193"/>
      <c r="BO183" s="196"/>
      <c r="BP183" s="63"/>
      <c r="BQ183" s="192"/>
      <c r="BR183" s="193"/>
      <c r="BS183" s="194"/>
      <c r="BT183" s="6"/>
      <c r="BU183" s="63"/>
      <c r="BV183" s="63"/>
      <c r="BW183" s="63"/>
      <c r="BX183" s="63"/>
      <c r="BY183" s="63"/>
      <c r="BZ183" s="63"/>
      <c r="CA183" s="63"/>
      <c r="CB183" s="63"/>
      <c r="CC183" s="63"/>
      <c r="CD183" s="192"/>
      <c r="CE183" s="196"/>
      <c r="CF183" s="192"/>
      <c r="CG183" s="194"/>
      <c r="CH183" s="259"/>
      <c r="CI183" s="197"/>
      <c r="CJ183" s="192"/>
      <c r="CK183" s="197"/>
      <c r="CL183" s="192"/>
      <c r="CM183" s="197"/>
      <c r="CN183" s="192"/>
      <c r="CO183" s="197"/>
      <c r="CP183" s="192"/>
      <c r="CQ183" s="193"/>
      <c r="CR183" s="197"/>
      <c r="CS183" s="69"/>
      <c r="CT183" s="89"/>
      <c r="CU183" s="272"/>
    </row>
    <row r="184" ht="56.25" hidden="1" customHeight="1">
      <c r="A184" s="125">
        <v>17.0</v>
      </c>
      <c r="B184" s="199"/>
      <c r="C184" s="127"/>
      <c r="D184" s="128"/>
      <c r="E184" s="260"/>
      <c r="F184" s="261"/>
      <c r="G184" s="261"/>
      <c r="H184" s="261"/>
      <c r="I184" s="261"/>
      <c r="J184" s="170"/>
      <c r="K184" s="219"/>
      <c r="L184" s="219"/>
      <c r="M184" s="219"/>
      <c r="N184" s="220"/>
      <c r="O184" s="132">
        <f t="shared" si="34"/>
        <v>0</v>
      </c>
      <c r="P184" s="133">
        <f>COUNTIF(K184:K194,"TL")*0.75+COUNTIF(K184:K194,"Lec")*1+COUNTIF(K184:K194,"Lab")*0.5</f>
        <v>0</v>
      </c>
      <c r="Q184" s="134">
        <f>SUM((IF(LEFT(K184,1)="E",O184,0)),(IF(LEFT(K185,1)="E",O185,0)),(IF(LEFT(K186,1)="E",O186,0)),(IF(LEFT(K187,1)="E",O187,0)),(IF(LEFT(K188,1)="E",O188,0)),(IF(LEFT(K189,1)="E",O189,0)),(IF(LEFT(K190,1)="E",O190,0)),(IF(LEFT(K191,1)="E",O191,0)),(IF(LEFT(K192,1)="E",O192,0)),(IF(LEFT(K193,1)="E",O193,0)),(IF(LEFT(K194,1)="E",O194,0)))</f>
        <v>0</v>
      </c>
      <c r="R184" s="135">
        <f>SUM(IF(M190&lt;20,IF(K190="Plec",-1,IF(K190="PTL",-0.75,IF(K190="Plab",-0.5,0))),0),IF(M191&lt;20,IF(K191="Plec",-1,IF(K191="PTL",-0.75,IF(K191="Plab",-0.5,0))),0),IF(M192&lt;20,IF(K192="Plec",-1,IF(K192="PTL",-0.75,IF(K192="Plab",-0.5,0))),0),IF(M193&lt;20,IF(K193="Plec",-1,IF(K193="PTL",-0.75,IF(K193="Plab",-0.5,0))),0))</f>
        <v>0</v>
      </c>
      <c r="S184" s="134">
        <f>SUM(P184:R194)</f>
        <v>0</v>
      </c>
      <c r="T184" s="136">
        <f>SUM(IF(M184="M",IF(OR(K184="lec",K184="plec",K184="slec"),1,IF(OR(K184="lab",K184="plab",K184="slab",K184="tut",K184="ptut",K184="stut"),0.5,IF(OR(K184="TL",K184="pTL",K184="STL"),0.75,0))),0),IF(M185="M",IF(OR(K185="lec",K185="plec",K185="slec"),1,IF(OR(K185="lab",K185="plab",K185="slab",K185="tut",K185="ptut",K185="stut"),0.5,IF(OR(K185="TL",K185="pTL",K185="STL"),0.75,0))),0),IF(M186="M",IF(OR(K186="lec",K186="plec",K186="slec"),1,IF(OR(K186="lab",K186="plab",K186="slab",K186="tut",K186="ptut",K186="stut"),0.5,IF(OR(K186="TL",K186="pTL",K186="STL"),0.75,0))),0),IF(M187="M",IF(OR(K187="lec",K187="plec",K187="slec"),1,IF(OR(K187="lab",K187="plab",K187="slab",K187="tut",K187="ptut",K187="stut"),0.5,IF(OR(K187="TL",K187="pTL",K187="STL"),0.75,0))),0),IF(M188="M",IF(OR(K188="lec",K188="plec",K188="slec"),1,IF(OR(K188="lab",K188="plab",K188="slab",K188="tut",K188="ptut",K188="stut"),0.5,IF(OR(K188="TL",K188="pTL",K188="STL"),0.75,0))),0),IF(M189="M",IF(OR(K189="lec",K189="plec",K189="slec"),1,IF(OR(K189="lab",K189="plab",K189="slab",K189="tut",K189="ptut",K189="stut"),0.5,IF(OR(K189="TL",K189="pTL",K189="STL"),0.75,0))),0),IF(M190="M",IF(OR(K190="lec",K190="plec",K190="slec"),1,IF(OR(K190="lab",K190="plab",K190="slab",K190="tut",K190="ptut",K190="stut"),0.5,IF(OR(K190="TL",K190="pTL",K190="STL"),0.75,0))),0),IF(M191="M",IF(OR(K191="lec",K191="plec",K191="slec"),1,IF(OR(K191="lab",K191="plab",K191="slab",K191="tut",K191="ptut",K191="stut"),0.5,IF(OR(K191="TL",K191="pTL",K191="STL"),0.75,0))),0),IF(M192="M",IF(OR(K192="lec",K192="plec",K192="slec"),1,IF(OR(K192="lab",K192="plab",K192="slab",K192="tut",K192="ptut",K192="stut"),0.5,IF(OR(K192="TL",K192="pTL",K192="STL"),0.75,0))),0),IF(M193="M",IF(OR(K193="lec",K193="plec",K193="slec"),1,IF(OR(K193="lab",K193="plab",K193="slab",K193="tut",K193="ptut",K193="stut"),0.5,IF(OR(K193="TL",K193="pTL",K193="STL"),0.75,0))),0),IF(M194="M",IF(OR(K194="lec",K194="plec",K194="slec"),1,IF(OR(K194="lab",K194="plab",K194="slab",K194="tut",K194="ptut",K194="stut"),0.5,IF(OR(K194="TL",K194="pTL",K194="STL"),0.75,0))),0))</f>
        <v>0</v>
      </c>
      <c r="U184" s="137"/>
      <c r="V184" s="133"/>
      <c r="W184" s="138"/>
      <c r="X184" s="139">
        <f>S184-(T184+U184+V184+W184)</f>
        <v>0</v>
      </c>
      <c r="Y184" s="134" t="str">
        <f>CONCATENATE(SUM(O184:O194),"(",SUM(O184:O194)-X184,")")</f>
        <v>0(0)</v>
      </c>
      <c r="Z184" s="140"/>
      <c r="AA184" s="141"/>
      <c r="AB184" s="142"/>
      <c r="AC184" s="142"/>
      <c r="AD184" s="142"/>
      <c r="AE184" s="142"/>
      <c r="AF184" s="142"/>
      <c r="AG184" s="142"/>
      <c r="AH184" s="142"/>
      <c r="AI184" s="143"/>
      <c r="AJ184" s="144"/>
      <c r="AK184" s="145"/>
      <c r="AL184" s="145"/>
      <c r="AM184" s="145"/>
      <c r="AN184" s="145"/>
      <c r="AO184" s="146"/>
      <c r="AP184" s="147">
        <f>SUM(SUM(O184:O194),SUM(AI184:AI194)/2,AM184)</f>
        <v>0</v>
      </c>
      <c r="AQ184" s="148"/>
      <c r="AR184" s="148">
        <f>AP184*AQ184</f>
        <v>0</v>
      </c>
      <c r="AS184" s="148">
        <f>CT184</f>
        <v>0</v>
      </c>
      <c r="AT184" s="149">
        <f>AR184*0.75+AS184*0.25</f>
        <v>0</v>
      </c>
      <c r="AU184" s="150"/>
      <c r="AV184" s="151"/>
      <c r="AW184" s="151"/>
      <c r="AX184" s="152"/>
      <c r="AY184" s="153"/>
      <c r="AZ184" s="140"/>
      <c r="BA184" s="150"/>
      <c r="BB184" s="151"/>
      <c r="BC184" s="151"/>
      <c r="BD184" s="151"/>
      <c r="BE184" s="151"/>
      <c r="BF184" s="151"/>
      <c r="BG184" s="151"/>
      <c r="BH184" s="151"/>
      <c r="BI184" s="152"/>
      <c r="BJ184" s="154"/>
      <c r="BK184" s="151"/>
      <c r="BL184" s="151"/>
      <c r="BM184" s="151"/>
      <c r="BN184" s="151"/>
      <c r="BO184" s="155"/>
      <c r="BP184" s="140"/>
      <c r="BQ184" s="156"/>
      <c r="BR184" s="157"/>
      <c r="BS184" s="158"/>
      <c r="BT184" s="153"/>
      <c r="BU184" s="140"/>
      <c r="BV184" s="140"/>
      <c r="BW184" s="140"/>
      <c r="BX184" s="140"/>
      <c r="BY184" s="140"/>
      <c r="BZ184" s="140"/>
      <c r="CA184" s="140"/>
      <c r="CB184" s="140"/>
      <c r="CC184" s="140"/>
      <c r="CD184" s="150"/>
      <c r="CE184" s="155"/>
      <c r="CF184" s="150"/>
      <c r="CG184" s="152"/>
      <c r="CH184" s="252"/>
      <c r="CI184" s="160"/>
      <c r="CJ184" s="159"/>
      <c r="CK184" s="160"/>
      <c r="CL184" s="159"/>
      <c r="CM184" s="160"/>
      <c r="CN184" s="159"/>
      <c r="CO184" s="160"/>
      <c r="CP184" s="159"/>
      <c r="CQ184" s="162"/>
      <c r="CR184" s="160"/>
      <c r="CS184" s="253">
        <f>SUM(IF(AU184&lt;0,ABS(AU184),0),IF(AZ184&lt;0,ABS(AZ184),0),ABS(CI184),ABS(CK184),ABS(CM184),ABS(CO184),ABS(CQ184),ABS(CR184))</f>
        <v>0</v>
      </c>
      <c r="CT184" s="254">
        <f>SUM(AU184,AV184,AW184,AX184/400,AY184,AZ184,BG184,BH184*0.5,BI184*0.25,BJ184,BK184,BL184,BM184,BN184,BO184,BP184,BR184/20,BS184/100,BT184/60,BU184,BV184,BW184,BX184/4,SUM(BY184:CC194)/3,CE184,CG184/3,CI184,CK184,CM184,CO184,CQ184,CR184)</f>
        <v>0</v>
      </c>
      <c r="CU184" s="255"/>
    </row>
    <row r="185" ht="60.0" hidden="1" customHeight="1">
      <c r="A185" s="65"/>
      <c r="C185" s="167"/>
      <c r="D185" s="205"/>
      <c r="E185" s="262"/>
      <c r="F185" s="170"/>
      <c r="G185" s="170"/>
      <c r="H185" s="170"/>
      <c r="I185" s="170"/>
      <c r="J185" s="170"/>
      <c r="K185" s="171"/>
      <c r="L185" s="171"/>
      <c r="M185" s="171"/>
      <c r="N185" s="209"/>
      <c r="O185" s="172">
        <f t="shared" si="34"/>
        <v>0</v>
      </c>
      <c r="P185" s="166"/>
      <c r="Q185" s="173"/>
      <c r="R185" s="65"/>
      <c r="S185" s="173"/>
      <c r="T185" s="173"/>
      <c r="U185" s="166"/>
      <c r="V185" s="166"/>
      <c r="W185" s="65"/>
      <c r="X185" s="66"/>
      <c r="Y185" s="173"/>
      <c r="Z185" s="166"/>
      <c r="AA185" s="174"/>
      <c r="AB185" s="175"/>
      <c r="AC185" s="175"/>
      <c r="AD185" s="175"/>
      <c r="AE185" s="175"/>
      <c r="AF185" s="175"/>
      <c r="AG185" s="175"/>
      <c r="AH185" s="175"/>
      <c r="AI185" s="176"/>
      <c r="AJ185" s="177"/>
      <c r="AK185" s="178"/>
      <c r="AL185" s="178"/>
      <c r="AM185" s="178"/>
      <c r="AN185" s="178"/>
      <c r="AO185" s="179"/>
      <c r="AP185" s="64"/>
      <c r="AQ185" s="65"/>
      <c r="AR185" s="65"/>
      <c r="AS185" s="65"/>
      <c r="AT185" s="173"/>
      <c r="AU185" s="177"/>
      <c r="AV185" s="178"/>
      <c r="AW185" s="178"/>
      <c r="AX185" s="179"/>
      <c r="AZ185" s="166"/>
      <c r="BA185" s="177"/>
      <c r="BB185" s="178"/>
      <c r="BC185" s="178"/>
      <c r="BD185" s="178"/>
      <c r="BE185" s="178"/>
      <c r="BF185" s="178"/>
      <c r="BG185" s="178"/>
      <c r="BH185" s="178"/>
      <c r="BI185" s="179"/>
      <c r="BJ185" s="180"/>
      <c r="BK185" s="178"/>
      <c r="BL185" s="178"/>
      <c r="BM185" s="178"/>
      <c r="BN185" s="178"/>
      <c r="BO185" s="181"/>
      <c r="BP185" s="166"/>
      <c r="BQ185" s="177"/>
      <c r="BR185" s="178"/>
      <c r="BS185" s="179"/>
      <c r="BU185" s="166"/>
      <c r="BV185" s="166"/>
      <c r="BW185" s="166"/>
      <c r="BX185" s="166"/>
      <c r="BY185" s="166"/>
      <c r="BZ185" s="166"/>
      <c r="CA185" s="166"/>
      <c r="CB185" s="166"/>
      <c r="CC185" s="166"/>
      <c r="CD185" s="177"/>
      <c r="CE185" s="181"/>
      <c r="CF185" s="177"/>
      <c r="CG185" s="179"/>
      <c r="CH185" s="257"/>
      <c r="CI185" s="182"/>
      <c r="CJ185" s="177"/>
      <c r="CK185" s="182"/>
      <c r="CL185" s="177"/>
      <c r="CM185" s="182"/>
      <c r="CN185" s="177"/>
      <c r="CO185" s="182"/>
      <c r="CP185" s="177"/>
      <c r="CQ185" s="178"/>
      <c r="CR185" s="182"/>
      <c r="CS185" s="173"/>
      <c r="CT185" s="65"/>
      <c r="CU185" s="271"/>
    </row>
    <row r="186" ht="60.0" hidden="1" customHeight="1">
      <c r="A186" s="65"/>
      <c r="C186" s="167"/>
      <c r="D186" s="205"/>
      <c r="E186" s="262"/>
      <c r="F186" s="170"/>
      <c r="G186" s="170"/>
      <c r="H186" s="170"/>
      <c r="I186" s="170"/>
      <c r="J186" s="170"/>
      <c r="K186" s="171"/>
      <c r="L186" s="171"/>
      <c r="M186" s="171"/>
      <c r="N186" s="209"/>
      <c r="O186" s="172">
        <f t="shared" si="34"/>
        <v>0</v>
      </c>
      <c r="P186" s="166"/>
      <c r="Q186" s="173"/>
      <c r="R186" s="65"/>
      <c r="S186" s="173"/>
      <c r="T186" s="173"/>
      <c r="U186" s="166"/>
      <c r="V186" s="166"/>
      <c r="W186" s="65"/>
      <c r="X186" s="66"/>
      <c r="Y186" s="173"/>
      <c r="Z186" s="166"/>
      <c r="AA186" s="174"/>
      <c r="AB186" s="175"/>
      <c r="AC186" s="175"/>
      <c r="AD186" s="175"/>
      <c r="AE186" s="175"/>
      <c r="AF186" s="175"/>
      <c r="AG186" s="175"/>
      <c r="AH186" s="175"/>
      <c r="AI186" s="176"/>
      <c r="AJ186" s="177"/>
      <c r="AK186" s="178"/>
      <c r="AL186" s="178"/>
      <c r="AM186" s="178"/>
      <c r="AN186" s="178"/>
      <c r="AO186" s="179"/>
      <c r="AP186" s="64"/>
      <c r="AQ186" s="65"/>
      <c r="AR186" s="65"/>
      <c r="AS186" s="65"/>
      <c r="AT186" s="173"/>
      <c r="AU186" s="177"/>
      <c r="AV186" s="178"/>
      <c r="AW186" s="178"/>
      <c r="AX186" s="179"/>
      <c r="AZ186" s="166"/>
      <c r="BA186" s="177"/>
      <c r="BB186" s="178"/>
      <c r="BC186" s="178"/>
      <c r="BD186" s="178"/>
      <c r="BE186" s="178"/>
      <c r="BF186" s="178"/>
      <c r="BG186" s="178"/>
      <c r="BH186" s="178"/>
      <c r="BI186" s="179"/>
      <c r="BJ186" s="180"/>
      <c r="BK186" s="178"/>
      <c r="BL186" s="178"/>
      <c r="BM186" s="178"/>
      <c r="BN186" s="178"/>
      <c r="BO186" s="181"/>
      <c r="BP186" s="166"/>
      <c r="BQ186" s="177"/>
      <c r="BR186" s="178"/>
      <c r="BS186" s="179"/>
      <c r="BU186" s="166"/>
      <c r="BV186" s="166"/>
      <c r="BW186" s="166"/>
      <c r="BX186" s="166"/>
      <c r="BY186" s="166"/>
      <c r="BZ186" s="166"/>
      <c r="CA186" s="166"/>
      <c r="CB186" s="166"/>
      <c r="CC186" s="166"/>
      <c r="CD186" s="177"/>
      <c r="CE186" s="181"/>
      <c r="CF186" s="177"/>
      <c r="CG186" s="179"/>
      <c r="CH186" s="257"/>
      <c r="CI186" s="182"/>
      <c r="CJ186" s="177"/>
      <c r="CK186" s="182"/>
      <c r="CL186" s="177"/>
      <c r="CM186" s="182"/>
      <c r="CN186" s="177"/>
      <c r="CO186" s="182"/>
      <c r="CP186" s="177"/>
      <c r="CQ186" s="178"/>
      <c r="CR186" s="182"/>
      <c r="CS186" s="173"/>
      <c r="CT186" s="65"/>
      <c r="CU186" s="271"/>
    </row>
    <row r="187" ht="60.0" hidden="1" customHeight="1">
      <c r="A187" s="65"/>
      <c r="C187" s="167"/>
      <c r="D187" s="205"/>
      <c r="E187" s="262"/>
      <c r="F187" s="170"/>
      <c r="G187" s="170"/>
      <c r="H187" s="170"/>
      <c r="I187" s="170"/>
      <c r="J187" s="170"/>
      <c r="K187" s="171"/>
      <c r="L187" s="171"/>
      <c r="M187" s="171"/>
      <c r="N187" s="209"/>
      <c r="O187" s="172">
        <f t="shared" si="34"/>
        <v>0</v>
      </c>
      <c r="P187" s="166"/>
      <c r="Q187" s="173"/>
      <c r="R187" s="65"/>
      <c r="S187" s="173"/>
      <c r="T187" s="173"/>
      <c r="U187" s="166"/>
      <c r="V187" s="166"/>
      <c r="W187" s="65"/>
      <c r="X187" s="66"/>
      <c r="Y187" s="173"/>
      <c r="Z187" s="166"/>
      <c r="AA187" s="174"/>
      <c r="AB187" s="175"/>
      <c r="AC187" s="175"/>
      <c r="AD187" s="175"/>
      <c r="AE187" s="175"/>
      <c r="AF187" s="175"/>
      <c r="AG187" s="175"/>
      <c r="AH187" s="175"/>
      <c r="AI187" s="176"/>
      <c r="AJ187" s="177"/>
      <c r="AK187" s="178"/>
      <c r="AL187" s="178"/>
      <c r="AM187" s="178"/>
      <c r="AN187" s="178"/>
      <c r="AO187" s="179"/>
      <c r="AP187" s="64"/>
      <c r="AQ187" s="65"/>
      <c r="AR187" s="65"/>
      <c r="AS187" s="65"/>
      <c r="AT187" s="173"/>
      <c r="AU187" s="177"/>
      <c r="AV187" s="178"/>
      <c r="AW187" s="178"/>
      <c r="AX187" s="179"/>
      <c r="AZ187" s="166"/>
      <c r="BA187" s="177"/>
      <c r="BB187" s="178"/>
      <c r="BC187" s="178"/>
      <c r="BD187" s="178"/>
      <c r="BE187" s="178"/>
      <c r="BF187" s="178"/>
      <c r="BG187" s="178"/>
      <c r="BH187" s="178"/>
      <c r="BI187" s="179"/>
      <c r="BJ187" s="180"/>
      <c r="BK187" s="178"/>
      <c r="BL187" s="178"/>
      <c r="BM187" s="178"/>
      <c r="BN187" s="178"/>
      <c r="BO187" s="181"/>
      <c r="BP187" s="166"/>
      <c r="BQ187" s="177"/>
      <c r="BR187" s="178"/>
      <c r="BS187" s="179"/>
      <c r="BU187" s="166"/>
      <c r="BV187" s="166"/>
      <c r="BW187" s="166"/>
      <c r="BX187" s="166"/>
      <c r="BY187" s="166"/>
      <c r="BZ187" s="166"/>
      <c r="CA187" s="166"/>
      <c r="CB187" s="166"/>
      <c r="CC187" s="166"/>
      <c r="CD187" s="177"/>
      <c r="CE187" s="181"/>
      <c r="CF187" s="177"/>
      <c r="CG187" s="179"/>
      <c r="CH187" s="257"/>
      <c r="CI187" s="182"/>
      <c r="CJ187" s="177"/>
      <c r="CK187" s="182"/>
      <c r="CL187" s="177"/>
      <c r="CM187" s="182"/>
      <c r="CN187" s="177"/>
      <c r="CO187" s="182"/>
      <c r="CP187" s="177"/>
      <c r="CQ187" s="178"/>
      <c r="CR187" s="182"/>
      <c r="CS187" s="173"/>
      <c r="CT187" s="65"/>
      <c r="CU187" s="271"/>
    </row>
    <row r="188" ht="60.0" hidden="1" customHeight="1">
      <c r="A188" s="65"/>
      <c r="C188" s="167"/>
      <c r="D188" s="205"/>
      <c r="E188" s="262"/>
      <c r="F188" s="170"/>
      <c r="G188" s="170"/>
      <c r="H188" s="170"/>
      <c r="I188" s="170"/>
      <c r="J188" s="170"/>
      <c r="K188" s="171"/>
      <c r="L188" s="171"/>
      <c r="M188" s="171"/>
      <c r="N188" s="209"/>
      <c r="O188" s="172">
        <f t="shared" si="34"/>
        <v>0</v>
      </c>
      <c r="P188" s="166"/>
      <c r="Q188" s="173"/>
      <c r="R188" s="65"/>
      <c r="S188" s="173"/>
      <c r="T188" s="173"/>
      <c r="U188" s="166"/>
      <c r="V188" s="166"/>
      <c r="W188" s="65"/>
      <c r="X188" s="66"/>
      <c r="Y188" s="173"/>
      <c r="Z188" s="166"/>
      <c r="AA188" s="174"/>
      <c r="AB188" s="175"/>
      <c r="AC188" s="175"/>
      <c r="AD188" s="175"/>
      <c r="AE188" s="175"/>
      <c r="AF188" s="175"/>
      <c r="AG188" s="175"/>
      <c r="AH188" s="175"/>
      <c r="AI188" s="176"/>
      <c r="AJ188" s="177"/>
      <c r="AK188" s="178"/>
      <c r="AL188" s="178"/>
      <c r="AM188" s="178"/>
      <c r="AN188" s="178"/>
      <c r="AO188" s="179"/>
      <c r="AP188" s="64"/>
      <c r="AQ188" s="65"/>
      <c r="AR188" s="65"/>
      <c r="AS188" s="65"/>
      <c r="AT188" s="173"/>
      <c r="AU188" s="177"/>
      <c r="AV188" s="178"/>
      <c r="AW188" s="178"/>
      <c r="AX188" s="179"/>
      <c r="AZ188" s="166"/>
      <c r="BA188" s="177"/>
      <c r="BB188" s="178"/>
      <c r="BC188" s="178"/>
      <c r="BD188" s="178"/>
      <c r="BE188" s="178"/>
      <c r="BF188" s="178"/>
      <c r="BG188" s="178"/>
      <c r="BH188" s="178"/>
      <c r="BI188" s="179"/>
      <c r="BJ188" s="180"/>
      <c r="BK188" s="178"/>
      <c r="BL188" s="178"/>
      <c r="BM188" s="178"/>
      <c r="BN188" s="178"/>
      <c r="BO188" s="181"/>
      <c r="BP188" s="166"/>
      <c r="BQ188" s="177"/>
      <c r="BR188" s="178"/>
      <c r="BS188" s="179"/>
      <c r="BU188" s="166"/>
      <c r="BV188" s="166"/>
      <c r="BW188" s="166"/>
      <c r="BX188" s="166"/>
      <c r="BY188" s="166"/>
      <c r="BZ188" s="166"/>
      <c r="CA188" s="166"/>
      <c r="CB188" s="166"/>
      <c r="CC188" s="166"/>
      <c r="CD188" s="177"/>
      <c r="CE188" s="181"/>
      <c r="CF188" s="177"/>
      <c r="CG188" s="179"/>
      <c r="CH188" s="257"/>
      <c r="CI188" s="182"/>
      <c r="CJ188" s="177"/>
      <c r="CK188" s="182"/>
      <c r="CL188" s="177"/>
      <c r="CM188" s="182"/>
      <c r="CN188" s="177"/>
      <c r="CO188" s="182"/>
      <c r="CP188" s="177"/>
      <c r="CQ188" s="178"/>
      <c r="CR188" s="182"/>
      <c r="CS188" s="173"/>
      <c r="CT188" s="65"/>
      <c r="CU188" s="271"/>
    </row>
    <row r="189" ht="60.0" hidden="1" customHeight="1">
      <c r="A189" s="65"/>
      <c r="C189" s="167"/>
      <c r="D189" s="205"/>
      <c r="E189" s="262"/>
      <c r="F189" s="170"/>
      <c r="G189" s="170"/>
      <c r="H189" s="170"/>
      <c r="I189" s="170"/>
      <c r="J189" s="170"/>
      <c r="K189" s="171"/>
      <c r="L189" s="171"/>
      <c r="M189" s="171"/>
      <c r="N189" s="209"/>
      <c r="O189" s="172">
        <f t="shared" si="34"/>
        <v>0</v>
      </c>
      <c r="P189" s="166"/>
      <c r="Q189" s="173"/>
      <c r="R189" s="65"/>
      <c r="S189" s="173"/>
      <c r="T189" s="173"/>
      <c r="U189" s="166"/>
      <c r="V189" s="166"/>
      <c r="W189" s="65"/>
      <c r="X189" s="66"/>
      <c r="Y189" s="173"/>
      <c r="Z189" s="166"/>
      <c r="AA189" s="174"/>
      <c r="AB189" s="175"/>
      <c r="AC189" s="175"/>
      <c r="AD189" s="175"/>
      <c r="AE189" s="175"/>
      <c r="AF189" s="175"/>
      <c r="AG189" s="175"/>
      <c r="AH189" s="175"/>
      <c r="AI189" s="176"/>
      <c r="AJ189" s="177"/>
      <c r="AK189" s="178"/>
      <c r="AL189" s="178"/>
      <c r="AM189" s="178"/>
      <c r="AN189" s="178"/>
      <c r="AO189" s="179"/>
      <c r="AP189" s="64"/>
      <c r="AQ189" s="65"/>
      <c r="AR189" s="65"/>
      <c r="AS189" s="65"/>
      <c r="AT189" s="173"/>
      <c r="AU189" s="177"/>
      <c r="AV189" s="178"/>
      <c r="AW189" s="178"/>
      <c r="AX189" s="179"/>
      <c r="AZ189" s="166"/>
      <c r="BA189" s="177"/>
      <c r="BB189" s="178"/>
      <c r="BC189" s="178"/>
      <c r="BD189" s="178"/>
      <c r="BE189" s="178"/>
      <c r="BF189" s="178"/>
      <c r="BG189" s="178"/>
      <c r="BH189" s="178"/>
      <c r="BI189" s="179"/>
      <c r="BJ189" s="180"/>
      <c r="BK189" s="178"/>
      <c r="BL189" s="178"/>
      <c r="BM189" s="178"/>
      <c r="BN189" s="178"/>
      <c r="BO189" s="181"/>
      <c r="BP189" s="166"/>
      <c r="BQ189" s="177"/>
      <c r="BR189" s="178"/>
      <c r="BS189" s="179"/>
      <c r="BU189" s="166"/>
      <c r="BV189" s="166"/>
      <c r="BW189" s="166"/>
      <c r="BX189" s="166"/>
      <c r="BY189" s="166"/>
      <c r="BZ189" s="166"/>
      <c r="CA189" s="166"/>
      <c r="CB189" s="166"/>
      <c r="CC189" s="166"/>
      <c r="CD189" s="177"/>
      <c r="CE189" s="181"/>
      <c r="CF189" s="177"/>
      <c r="CG189" s="179"/>
      <c r="CH189" s="257"/>
      <c r="CI189" s="182"/>
      <c r="CJ189" s="177"/>
      <c r="CK189" s="182"/>
      <c r="CL189" s="177"/>
      <c r="CM189" s="182"/>
      <c r="CN189" s="177"/>
      <c r="CO189" s="182"/>
      <c r="CP189" s="177"/>
      <c r="CQ189" s="178"/>
      <c r="CR189" s="182"/>
      <c r="CS189" s="173"/>
      <c r="CT189" s="65"/>
      <c r="CU189" s="271"/>
    </row>
    <row r="190" ht="60.0" hidden="1" customHeight="1">
      <c r="A190" s="65"/>
      <c r="C190" s="167"/>
      <c r="D190" s="205"/>
      <c r="E190" s="262"/>
      <c r="F190" s="170"/>
      <c r="G190" s="170"/>
      <c r="H190" s="170"/>
      <c r="I190" s="170"/>
      <c r="J190" s="170"/>
      <c r="K190" s="171"/>
      <c r="L190" s="171"/>
      <c r="M190" s="171"/>
      <c r="N190" s="209"/>
      <c r="O190" s="172">
        <f t="shared" ref="O190:O193" si="35">IF(AND(M190&gt;=20,M190&lt;&gt;"m",RIGHT(K190,3)="Lec"),1,IF(AND(M190&gt;=20,M190&lt;&gt;"m",OR(RIGHT(K190,3)="Lab",RIGHT(K190,3)="Tut")),0.5,IF(AND(M190&gt;=20,M190&lt;&gt;"m",RIGHT(K190,2)="TL"),0.75,0)))</f>
        <v>0</v>
      </c>
      <c r="P190" s="166"/>
      <c r="Q190" s="173"/>
      <c r="R190" s="65"/>
      <c r="S190" s="173"/>
      <c r="T190" s="173"/>
      <c r="U190" s="166"/>
      <c r="V190" s="166"/>
      <c r="W190" s="65"/>
      <c r="X190" s="66"/>
      <c r="Y190" s="173"/>
      <c r="Z190" s="166"/>
      <c r="AA190" s="174"/>
      <c r="AB190" s="175"/>
      <c r="AC190" s="175"/>
      <c r="AD190" s="175"/>
      <c r="AE190" s="175"/>
      <c r="AF190" s="175"/>
      <c r="AG190" s="175"/>
      <c r="AH190" s="175"/>
      <c r="AI190" s="176"/>
      <c r="AJ190" s="177"/>
      <c r="AK190" s="178"/>
      <c r="AL190" s="178"/>
      <c r="AM190" s="178"/>
      <c r="AN190" s="178"/>
      <c r="AO190" s="179"/>
      <c r="AP190" s="64"/>
      <c r="AQ190" s="65"/>
      <c r="AR190" s="65"/>
      <c r="AS190" s="65"/>
      <c r="AT190" s="173"/>
      <c r="AU190" s="177"/>
      <c r="AV190" s="178"/>
      <c r="AW190" s="178"/>
      <c r="AX190" s="179"/>
      <c r="AZ190" s="166"/>
      <c r="BA190" s="177"/>
      <c r="BB190" s="178"/>
      <c r="BC190" s="178"/>
      <c r="BD190" s="178"/>
      <c r="BE190" s="178"/>
      <c r="BF190" s="178"/>
      <c r="BG190" s="178"/>
      <c r="BH190" s="178"/>
      <c r="BI190" s="179"/>
      <c r="BJ190" s="180"/>
      <c r="BK190" s="178"/>
      <c r="BL190" s="178"/>
      <c r="BM190" s="178"/>
      <c r="BN190" s="178"/>
      <c r="BO190" s="181"/>
      <c r="BP190" s="166"/>
      <c r="BQ190" s="177"/>
      <c r="BR190" s="178"/>
      <c r="BS190" s="179"/>
      <c r="BU190" s="166"/>
      <c r="BV190" s="166"/>
      <c r="BW190" s="166"/>
      <c r="BX190" s="166"/>
      <c r="BY190" s="166"/>
      <c r="BZ190" s="166"/>
      <c r="CA190" s="166"/>
      <c r="CB190" s="166"/>
      <c r="CC190" s="166"/>
      <c r="CD190" s="177"/>
      <c r="CE190" s="181"/>
      <c r="CF190" s="177"/>
      <c r="CG190" s="179"/>
      <c r="CH190" s="257"/>
      <c r="CI190" s="182"/>
      <c r="CJ190" s="177"/>
      <c r="CK190" s="182"/>
      <c r="CL190" s="177"/>
      <c r="CM190" s="182"/>
      <c r="CN190" s="177"/>
      <c r="CO190" s="182"/>
      <c r="CP190" s="177"/>
      <c r="CQ190" s="178"/>
      <c r="CR190" s="182"/>
      <c r="CS190" s="173"/>
      <c r="CT190" s="65"/>
      <c r="CU190" s="271"/>
    </row>
    <row r="191" ht="60.0" hidden="1" customHeight="1">
      <c r="A191" s="65"/>
      <c r="C191" s="167"/>
      <c r="D191" s="205"/>
      <c r="E191" s="262"/>
      <c r="F191" s="170"/>
      <c r="G191" s="170"/>
      <c r="H191" s="170"/>
      <c r="I191" s="170"/>
      <c r="J191" s="170"/>
      <c r="K191" s="171"/>
      <c r="L191" s="171"/>
      <c r="M191" s="171"/>
      <c r="N191" s="209"/>
      <c r="O191" s="172">
        <f t="shared" si="35"/>
        <v>0</v>
      </c>
      <c r="P191" s="166"/>
      <c r="Q191" s="173"/>
      <c r="R191" s="65"/>
      <c r="S191" s="173"/>
      <c r="T191" s="173"/>
      <c r="U191" s="166"/>
      <c r="V191" s="166"/>
      <c r="W191" s="65"/>
      <c r="X191" s="66"/>
      <c r="Y191" s="173"/>
      <c r="Z191" s="166"/>
      <c r="AA191" s="174"/>
      <c r="AB191" s="175"/>
      <c r="AC191" s="175"/>
      <c r="AD191" s="175"/>
      <c r="AE191" s="175"/>
      <c r="AF191" s="175"/>
      <c r="AG191" s="175"/>
      <c r="AH191" s="175"/>
      <c r="AI191" s="176"/>
      <c r="AJ191" s="177"/>
      <c r="AK191" s="178"/>
      <c r="AL191" s="178"/>
      <c r="AM191" s="178"/>
      <c r="AN191" s="178"/>
      <c r="AO191" s="179"/>
      <c r="AP191" s="64"/>
      <c r="AQ191" s="65"/>
      <c r="AR191" s="65"/>
      <c r="AS191" s="65"/>
      <c r="AT191" s="173"/>
      <c r="AU191" s="177"/>
      <c r="AV191" s="178"/>
      <c r="AW191" s="178"/>
      <c r="AX191" s="179"/>
      <c r="AZ191" s="166"/>
      <c r="BA191" s="177"/>
      <c r="BB191" s="178"/>
      <c r="BC191" s="178"/>
      <c r="BD191" s="178"/>
      <c r="BE191" s="178"/>
      <c r="BF191" s="178"/>
      <c r="BG191" s="178"/>
      <c r="BH191" s="178"/>
      <c r="BI191" s="179"/>
      <c r="BJ191" s="180"/>
      <c r="BK191" s="178"/>
      <c r="BL191" s="178"/>
      <c r="BM191" s="178"/>
      <c r="BN191" s="178"/>
      <c r="BO191" s="181"/>
      <c r="BP191" s="166"/>
      <c r="BQ191" s="177"/>
      <c r="BR191" s="178"/>
      <c r="BS191" s="179"/>
      <c r="BU191" s="166"/>
      <c r="BV191" s="166"/>
      <c r="BW191" s="166"/>
      <c r="BX191" s="166"/>
      <c r="BY191" s="166"/>
      <c r="BZ191" s="166"/>
      <c r="CA191" s="166"/>
      <c r="CB191" s="166"/>
      <c r="CC191" s="166"/>
      <c r="CD191" s="177"/>
      <c r="CE191" s="181"/>
      <c r="CF191" s="177"/>
      <c r="CG191" s="179"/>
      <c r="CH191" s="257"/>
      <c r="CI191" s="182"/>
      <c r="CJ191" s="177"/>
      <c r="CK191" s="182"/>
      <c r="CL191" s="177"/>
      <c r="CM191" s="182"/>
      <c r="CN191" s="177"/>
      <c r="CO191" s="182"/>
      <c r="CP191" s="177"/>
      <c r="CQ191" s="178"/>
      <c r="CR191" s="182"/>
      <c r="CS191" s="173"/>
      <c r="CT191" s="65"/>
      <c r="CU191" s="271"/>
    </row>
    <row r="192" ht="60.0" hidden="1" customHeight="1">
      <c r="A192" s="65"/>
      <c r="C192" s="167"/>
      <c r="D192" s="205"/>
      <c r="E192" s="262"/>
      <c r="F192" s="170"/>
      <c r="G192" s="170"/>
      <c r="H192" s="170"/>
      <c r="I192" s="170"/>
      <c r="J192" s="170"/>
      <c r="K192" s="171"/>
      <c r="L192" s="171"/>
      <c r="M192" s="171"/>
      <c r="N192" s="209"/>
      <c r="O192" s="172">
        <f t="shared" si="35"/>
        <v>0</v>
      </c>
      <c r="P192" s="166"/>
      <c r="Q192" s="173"/>
      <c r="R192" s="65"/>
      <c r="S192" s="173"/>
      <c r="T192" s="173"/>
      <c r="U192" s="166"/>
      <c r="V192" s="166"/>
      <c r="W192" s="65"/>
      <c r="X192" s="66"/>
      <c r="Y192" s="173"/>
      <c r="Z192" s="166"/>
      <c r="AA192" s="174"/>
      <c r="AB192" s="175"/>
      <c r="AC192" s="175"/>
      <c r="AD192" s="175"/>
      <c r="AE192" s="175"/>
      <c r="AF192" s="175"/>
      <c r="AG192" s="175"/>
      <c r="AH192" s="175"/>
      <c r="AI192" s="176"/>
      <c r="AJ192" s="177"/>
      <c r="AK192" s="178"/>
      <c r="AL192" s="178"/>
      <c r="AM192" s="178"/>
      <c r="AN192" s="178"/>
      <c r="AO192" s="179"/>
      <c r="AP192" s="64"/>
      <c r="AQ192" s="65"/>
      <c r="AR192" s="65"/>
      <c r="AS192" s="65"/>
      <c r="AT192" s="173"/>
      <c r="AU192" s="177"/>
      <c r="AV192" s="178"/>
      <c r="AW192" s="178"/>
      <c r="AX192" s="179"/>
      <c r="AZ192" s="166"/>
      <c r="BA192" s="177"/>
      <c r="BB192" s="178"/>
      <c r="BC192" s="178"/>
      <c r="BD192" s="178"/>
      <c r="BE192" s="178"/>
      <c r="BF192" s="178"/>
      <c r="BG192" s="178"/>
      <c r="BH192" s="178"/>
      <c r="BI192" s="179"/>
      <c r="BJ192" s="180"/>
      <c r="BK192" s="178"/>
      <c r="BL192" s="178"/>
      <c r="BM192" s="178"/>
      <c r="BN192" s="178"/>
      <c r="BO192" s="181"/>
      <c r="BP192" s="166"/>
      <c r="BQ192" s="177"/>
      <c r="BR192" s="178"/>
      <c r="BS192" s="179"/>
      <c r="BU192" s="166"/>
      <c r="BV192" s="166"/>
      <c r="BW192" s="166"/>
      <c r="BX192" s="166"/>
      <c r="BY192" s="166"/>
      <c r="BZ192" s="166"/>
      <c r="CA192" s="166"/>
      <c r="CB192" s="166"/>
      <c r="CC192" s="166"/>
      <c r="CD192" s="177"/>
      <c r="CE192" s="181"/>
      <c r="CF192" s="177"/>
      <c r="CG192" s="179"/>
      <c r="CH192" s="257"/>
      <c r="CI192" s="182"/>
      <c r="CJ192" s="177"/>
      <c r="CK192" s="182"/>
      <c r="CL192" s="177"/>
      <c r="CM192" s="182"/>
      <c r="CN192" s="177"/>
      <c r="CO192" s="182"/>
      <c r="CP192" s="177"/>
      <c r="CQ192" s="178"/>
      <c r="CR192" s="182"/>
      <c r="CS192" s="173"/>
      <c r="CT192" s="65"/>
      <c r="CU192" s="271"/>
    </row>
    <row r="193" ht="60.0" hidden="1" customHeight="1">
      <c r="A193" s="65"/>
      <c r="C193" s="167"/>
      <c r="D193" s="205"/>
      <c r="E193" s="262"/>
      <c r="F193" s="170"/>
      <c r="G193" s="170"/>
      <c r="H193" s="170"/>
      <c r="I193" s="170"/>
      <c r="J193" s="170"/>
      <c r="K193" s="171"/>
      <c r="L193" s="171"/>
      <c r="M193" s="171"/>
      <c r="N193" s="209"/>
      <c r="O193" s="172">
        <f t="shared" si="35"/>
        <v>0</v>
      </c>
      <c r="P193" s="166"/>
      <c r="Q193" s="173"/>
      <c r="R193" s="65"/>
      <c r="S193" s="173"/>
      <c r="T193" s="173"/>
      <c r="U193" s="166"/>
      <c r="V193" s="166"/>
      <c r="W193" s="65"/>
      <c r="X193" s="66"/>
      <c r="Y193" s="173"/>
      <c r="Z193" s="166"/>
      <c r="AA193" s="174"/>
      <c r="AB193" s="175"/>
      <c r="AC193" s="175"/>
      <c r="AD193" s="175"/>
      <c r="AE193" s="175"/>
      <c r="AF193" s="175"/>
      <c r="AG193" s="175"/>
      <c r="AH193" s="175"/>
      <c r="AI193" s="176"/>
      <c r="AJ193" s="177"/>
      <c r="AK193" s="178"/>
      <c r="AL193" s="178"/>
      <c r="AM193" s="178"/>
      <c r="AN193" s="178"/>
      <c r="AO193" s="179"/>
      <c r="AP193" s="64"/>
      <c r="AQ193" s="65"/>
      <c r="AR193" s="65"/>
      <c r="AS193" s="65"/>
      <c r="AT193" s="173"/>
      <c r="AU193" s="177"/>
      <c r="AV193" s="178"/>
      <c r="AW193" s="178"/>
      <c r="AX193" s="179"/>
      <c r="AZ193" s="166"/>
      <c r="BA193" s="177"/>
      <c r="BB193" s="178"/>
      <c r="BC193" s="178"/>
      <c r="BD193" s="178"/>
      <c r="BE193" s="178"/>
      <c r="BF193" s="178"/>
      <c r="BG193" s="178"/>
      <c r="BH193" s="178"/>
      <c r="BI193" s="179"/>
      <c r="BJ193" s="180"/>
      <c r="BK193" s="178"/>
      <c r="BL193" s="178"/>
      <c r="BM193" s="178"/>
      <c r="BN193" s="178"/>
      <c r="BO193" s="181"/>
      <c r="BP193" s="166"/>
      <c r="BQ193" s="177"/>
      <c r="BR193" s="178"/>
      <c r="BS193" s="179"/>
      <c r="BU193" s="166"/>
      <c r="BV193" s="166"/>
      <c r="BW193" s="166"/>
      <c r="BX193" s="166"/>
      <c r="BY193" s="166"/>
      <c r="BZ193" s="166"/>
      <c r="CA193" s="166"/>
      <c r="CB193" s="166"/>
      <c r="CC193" s="166"/>
      <c r="CD193" s="177"/>
      <c r="CE193" s="181"/>
      <c r="CF193" s="177"/>
      <c r="CG193" s="179"/>
      <c r="CH193" s="257"/>
      <c r="CI193" s="182"/>
      <c r="CJ193" s="177"/>
      <c r="CK193" s="182"/>
      <c r="CL193" s="177"/>
      <c r="CM193" s="182"/>
      <c r="CN193" s="177"/>
      <c r="CO193" s="182"/>
      <c r="CP193" s="177"/>
      <c r="CQ193" s="178"/>
      <c r="CR193" s="182"/>
      <c r="CS193" s="173"/>
      <c r="CT193" s="65"/>
      <c r="CU193" s="271"/>
    </row>
    <row r="194" ht="60.0" hidden="1" customHeight="1">
      <c r="A194" s="89"/>
      <c r="B194" s="6"/>
      <c r="C194" s="183"/>
      <c r="D194" s="210"/>
      <c r="E194" s="263"/>
      <c r="F194" s="186"/>
      <c r="G194" s="186"/>
      <c r="H194" s="186"/>
      <c r="I194" s="186"/>
      <c r="J194" s="186"/>
      <c r="K194" s="187"/>
      <c r="L194" s="187"/>
      <c r="M194" s="187"/>
      <c r="N194" s="214"/>
      <c r="O194" s="188">
        <f t="shared" ref="O194:O200" si="36">IF(AND(M194&lt;&gt;0,M194&lt;&gt;"m",M194&lt;&gt;"",RIGHT(K194,3)="Lec"),1,IF(AND(M194&lt;&gt;0,M194&lt;&gt;"m",M194&lt;&gt;"",OR(RIGHT(K194,3)="Lab",RIGHT(K194,3)="Tut")),0.5,IF(AND(M194&lt;&gt;0,M194&lt;&gt;"m",M194&lt;&gt;"",RIGHT(K194,2)="TL"),0.75,0)))</f>
        <v>0</v>
      </c>
      <c r="P194" s="63"/>
      <c r="Q194" s="69"/>
      <c r="R194" s="89"/>
      <c r="S194" s="69"/>
      <c r="T194" s="69"/>
      <c r="U194" s="63"/>
      <c r="V194" s="63"/>
      <c r="W194" s="89"/>
      <c r="X194" s="68"/>
      <c r="Y194" s="69"/>
      <c r="Z194" s="63"/>
      <c r="AA194" s="189"/>
      <c r="AB194" s="190"/>
      <c r="AC194" s="190"/>
      <c r="AD194" s="190"/>
      <c r="AE194" s="190"/>
      <c r="AF194" s="190"/>
      <c r="AG194" s="190"/>
      <c r="AH194" s="190"/>
      <c r="AI194" s="191"/>
      <c r="AJ194" s="192"/>
      <c r="AK194" s="193"/>
      <c r="AL194" s="193"/>
      <c r="AM194" s="193"/>
      <c r="AN194" s="193"/>
      <c r="AO194" s="194"/>
      <c r="AP194" s="103"/>
      <c r="AQ194" s="89"/>
      <c r="AR194" s="89"/>
      <c r="AS194" s="89"/>
      <c r="AT194" s="69"/>
      <c r="AU194" s="192"/>
      <c r="AV194" s="193"/>
      <c r="AW194" s="193"/>
      <c r="AX194" s="194"/>
      <c r="AY194" s="6"/>
      <c r="AZ194" s="63"/>
      <c r="BA194" s="192"/>
      <c r="BB194" s="193"/>
      <c r="BC194" s="193"/>
      <c r="BD194" s="193"/>
      <c r="BE194" s="193"/>
      <c r="BF194" s="193"/>
      <c r="BG194" s="193"/>
      <c r="BH194" s="193"/>
      <c r="BI194" s="194"/>
      <c r="BJ194" s="195"/>
      <c r="BK194" s="193"/>
      <c r="BL194" s="193"/>
      <c r="BM194" s="193"/>
      <c r="BN194" s="193"/>
      <c r="BO194" s="196"/>
      <c r="BP194" s="63"/>
      <c r="BQ194" s="192"/>
      <c r="BR194" s="193"/>
      <c r="BS194" s="194"/>
      <c r="BT194" s="6"/>
      <c r="BU194" s="63"/>
      <c r="BV194" s="63"/>
      <c r="BW194" s="63"/>
      <c r="BX194" s="63"/>
      <c r="BY194" s="63"/>
      <c r="BZ194" s="63"/>
      <c r="CA194" s="63"/>
      <c r="CB194" s="63"/>
      <c r="CC194" s="63"/>
      <c r="CD194" s="192"/>
      <c r="CE194" s="196"/>
      <c r="CF194" s="192"/>
      <c r="CG194" s="194"/>
      <c r="CH194" s="259"/>
      <c r="CI194" s="197"/>
      <c r="CJ194" s="192"/>
      <c r="CK194" s="197"/>
      <c r="CL194" s="192"/>
      <c r="CM194" s="197"/>
      <c r="CN194" s="192"/>
      <c r="CO194" s="197"/>
      <c r="CP194" s="192"/>
      <c r="CQ194" s="193"/>
      <c r="CR194" s="197"/>
      <c r="CS194" s="69"/>
      <c r="CT194" s="89"/>
      <c r="CU194" s="272"/>
    </row>
    <row r="195" ht="56.25" hidden="1" customHeight="1">
      <c r="A195" s="125">
        <v>18.0</v>
      </c>
      <c r="B195" s="199"/>
      <c r="C195" s="127"/>
      <c r="D195" s="128"/>
      <c r="E195" s="260"/>
      <c r="F195" s="261"/>
      <c r="G195" s="261"/>
      <c r="H195" s="261"/>
      <c r="I195" s="261"/>
      <c r="J195" s="170"/>
      <c r="K195" s="219"/>
      <c r="L195" s="219"/>
      <c r="M195" s="219"/>
      <c r="N195" s="220"/>
      <c r="O195" s="132">
        <f t="shared" si="36"/>
        <v>0</v>
      </c>
      <c r="P195" s="133">
        <f>COUNTIF(K195:K205,"TL")*0.75+COUNTIF(K195:K205,"Lec")*1+COUNTIF(K195:K205,"Lab")*0.5</f>
        <v>0</v>
      </c>
      <c r="Q195" s="134">
        <f>SUM((IF(LEFT(K195,1)="E",O195,0)),(IF(LEFT(K196,1)="E",O196,0)),(IF(LEFT(K197,1)="E",O197,0)),(IF(LEFT(K198,1)="E",O198,0)),(IF(LEFT(K199,1)="E",O199,0)),(IF(LEFT(K200,1)="E",O200,0)),(IF(LEFT(K201,1)="E",O201,0)),(IF(LEFT(K202,1)="E",O202,0)),(IF(LEFT(K203,1)="E",O203,0)),(IF(LEFT(K204,1)="E",O204,0)),(IF(LEFT(K205,1)="E",O205,0)))</f>
        <v>0</v>
      </c>
      <c r="R195" s="135">
        <f>SUM(IF(M201&lt;20,IF(K201="Plec",-1,IF(K201="PTL",-0.75,IF(K201="Plab",-0.5,0))),0),IF(M202&lt;20,IF(K202="Plec",-1,IF(K202="PTL",-0.75,IF(K202="Plab",-0.5,0))),0),IF(M203&lt;20,IF(K203="Plec",-1,IF(K203="PTL",-0.75,IF(K203="Plab",-0.5,0))),0),IF(M204&lt;20,IF(K204="Plec",-1,IF(K204="PTL",-0.75,IF(K204="Plab",-0.5,0))),0))</f>
        <v>0</v>
      </c>
      <c r="S195" s="134">
        <f>SUM(P195:R205)</f>
        <v>0</v>
      </c>
      <c r="T195" s="136">
        <f>SUM(IF(M195="M",IF(OR(K195="lec",K195="plec",K195="slec"),1,IF(OR(K195="lab",K195="plab",K195="slab",K195="tut",K195="ptut",K195="stut"),0.5,IF(OR(K195="TL",K195="pTL",K195="STL"),0.75,0))),0),IF(M196="M",IF(OR(K196="lec",K196="plec",K196="slec"),1,IF(OR(K196="lab",K196="plab",K196="slab",K196="tut",K196="ptut",K196="stut"),0.5,IF(OR(K196="TL",K196="pTL",K196="STL"),0.75,0))),0),IF(M197="M",IF(OR(K197="lec",K197="plec",K197="slec"),1,IF(OR(K197="lab",K197="plab",K197="slab",K197="tut",K197="ptut",K197="stut"),0.5,IF(OR(K197="TL",K197="pTL",K197="STL"),0.75,0))),0),IF(M198="M",IF(OR(K198="lec",K198="plec",K198="slec"),1,IF(OR(K198="lab",K198="plab",K198="slab",K198="tut",K198="ptut",K198="stut"),0.5,IF(OR(K198="TL",K198="pTL",K198="STL"),0.75,0))),0),IF(M199="M",IF(OR(K199="lec",K199="plec",K199="slec"),1,IF(OR(K199="lab",K199="plab",K199="slab",K199="tut",K199="ptut",K199="stut"),0.5,IF(OR(K199="TL",K199="pTL",K199="STL"),0.75,0))),0),IF(M200="M",IF(OR(K200="lec",K200="plec",K200="slec"),1,IF(OR(K200="lab",K200="plab",K200="slab",K200="tut",K200="ptut",K200="stut"),0.5,IF(OR(K200="TL",K200="pTL",K200="STL"),0.75,0))),0),IF(M201="M",IF(OR(K201="lec",K201="plec",K201="slec"),1,IF(OR(K201="lab",K201="plab",K201="slab",K201="tut",K201="ptut",K201="stut"),0.5,IF(OR(K201="TL",K201="pTL",K201="STL"),0.75,0))),0),IF(M202="M",IF(OR(K202="lec",K202="plec",K202="slec"),1,IF(OR(K202="lab",K202="plab",K202="slab",K202="tut",K202="ptut",K202="stut"),0.5,IF(OR(K202="TL",K202="pTL",K202="STL"),0.75,0))),0),IF(M203="M",IF(OR(K203="lec",K203="plec",K203="slec"),1,IF(OR(K203="lab",K203="plab",K203="slab",K203="tut",K203="ptut",K203="stut"),0.5,IF(OR(K203="TL",K203="pTL",K203="STL"),0.75,0))),0),IF(M204="M",IF(OR(K204="lec",K204="plec",K204="slec"),1,IF(OR(K204="lab",K204="plab",K204="slab",K204="tut",K204="ptut",K204="stut"),0.5,IF(OR(K204="TL",K204="pTL",K204="STL"),0.75,0))),0),IF(M205="M",IF(OR(K205="lec",K205="plec",K205="slec"),1,IF(OR(K205="lab",K205="plab",K205="slab",K205="tut",K205="ptut",K205="stut"),0.5,IF(OR(K205="TL",K205="pTL",K205="STL"),0.75,0))),0))</f>
        <v>0</v>
      </c>
      <c r="U195" s="137"/>
      <c r="V195" s="133"/>
      <c r="W195" s="138"/>
      <c r="X195" s="139">
        <f>S195-(T195+U195+V195+W195)</f>
        <v>0</v>
      </c>
      <c r="Y195" s="134" t="str">
        <f>CONCATENATE(SUM(O195:O205),"(",SUM(O195:O205)-X195,")")</f>
        <v>0(0)</v>
      </c>
      <c r="Z195" s="140"/>
      <c r="AA195" s="141"/>
      <c r="AB195" s="142"/>
      <c r="AC195" s="142"/>
      <c r="AD195" s="142"/>
      <c r="AE195" s="142"/>
      <c r="AF195" s="142"/>
      <c r="AG195" s="142"/>
      <c r="AH195" s="142"/>
      <c r="AI195" s="143"/>
      <c r="AJ195" s="144"/>
      <c r="AK195" s="145"/>
      <c r="AL195" s="145"/>
      <c r="AM195" s="145"/>
      <c r="AN195" s="145"/>
      <c r="AO195" s="146"/>
      <c r="AP195" s="147">
        <f>SUM(SUM(O195:O205),SUM(AI195:AI205)/2,AM195)</f>
        <v>0</v>
      </c>
      <c r="AQ195" s="148"/>
      <c r="AR195" s="148">
        <f>AP195*AQ195</f>
        <v>0</v>
      </c>
      <c r="AS195" s="148">
        <f>CT195</f>
        <v>0</v>
      </c>
      <c r="AT195" s="149">
        <f>AR195*0.75+AS195*0.25</f>
        <v>0</v>
      </c>
      <c r="AU195" s="150"/>
      <c r="AV195" s="151"/>
      <c r="AW195" s="151"/>
      <c r="AX195" s="152"/>
      <c r="AY195" s="153"/>
      <c r="AZ195" s="140"/>
      <c r="BA195" s="150"/>
      <c r="BB195" s="151"/>
      <c r="BC195" s="151"/>
      <c r="BD195" s="151"/>
      <c r="BE195" s="151"/>
      <c r="BF195" s="151"/>
      <c r="BG195" s="151"/>
      <c r="BH195" s="151"/>
      <c r="BI195" s="152"/>
      <c r="BJ195" s="154"/>
      <c r="BK195" s="151"/>
      <c r="BL195" s="151"/>
      <c r="BM195" s="151"/>
      <c r="BN195" s="151"/>
      <c r="BO195" s="155"/>
      <c r="BP195" s="140"/>
      <c r="BQ195" s="156"/>
      <c r="BR195" s="157"/>
      <c r="BS195" s="158"/>
      <c r="BT195" s="153"/>
      <c r="BU195" s="140"/>
      <c r="BV195" s="140"/>
      <c r="BW195" s="140"/>
      <c r="BX195" s="140"/>
      <c r="BY195" s="140"/>
      <c r="BZ195" s="140"/>
      <c r="CA195" s="140"/>
      <c r="CB195" s="140"/>
      <c r="CC195" s="140"/>
      <c r="CD195" s="150"/>
      <c r="CE195" s="155"/>
      <c r="CF195" s="150"/>
      <c r="CG195" s="152"/>
      <c r="CH195" s="252"/>
      <c r="CI195" s="160"/>
      <c r="CJ195" s="159"/>
      <c r="CK195" s="160"/>
      <c r="CL195" s="159"/>
      <c r="CM195" s="160"/>
      <c r="CN195" s="159"/>
      <c r="CO195" s="160"/>
      <c r="CP195" s="159"/>
      <c r="CQ195" s="162"/>
      <c r="CR195" s="160"/>
      <c r="CS195" s="253">
        <f>SUM(IF(AU195&lt;0,ABS(AU195),0),IF(AZ195&lt;0,ABS(AZ195),0),ABS(CI195),ABS(CK195),ABS(CM195),ABS(CO195),ABS(CQ195),ABS(CR195))</f>
        <v>0</v>
      </c>
      <c r="CT195" s="254">
        <f>SUM(AU195,AV195,AW195,AX195/400,AY195,AZ195,BG195,BH195*0.5,BI195*0.25,BJ195,BK195,BL195,BM195,BN195,BO195,BP195,BR195/20,BS195/100,BT195/60,BU195,BV195,BW195,BX195/4,SUM(BY195:CC205)/3,CE195,CG195/3,CI195,CK195,CM195,CO195,CQ195,CR195)</f>
        <v>0</v>
      </c>
      <c r="CU195" s="255"/>
    </row>
    <row r="196" ht="60.0" hidden="1" customHeight="1">
      <c r="A196" s="65"/>
      <c r="C196" s="167"/>
      <c r="D196" s="205"/>
      <c r="E196" s="262"/>
      <c r="F196" s="170"/>
      <c r="G196" s="170"/>
      <c r="H196" s="170"/>
      <c r="I196" s="170"/>
      <c r="J196" s="170"/>
      <c r="K196" s="171"/>
      <c r="L196" s="171"/>
      <c r="M196" s="171"/>
      <c r="N196" s="209"/>
      <c r="O196" s="172">
        <f t="shared" si="36"/>
        <v>0</v>
      </c>
      <c r="P196" s="166"/>
      <c r="Q196" s="173"/>
      <c r="R196" s="65"/>
      <c r="S196" s="173"/>
      <c r="T196" s="173"/>
      <c r="U196" s="166"/>
      <c r="V196" s="166"/>
      <c r="W196" s="65"/>
      <c r="X196" s="66"/>
      <c r="Y196" s="173"/>
      <c r="Z196" s="166"/>
      <c r="AA196" s="174"/>
      <c r="AB196" s="175"/>
      <c r="AC196" s="175"/>
      <c r="AD196" s="175"/>
      <c r="AE196" s="175"/>
      <c r="AF196" s="175"/>
      <c r="AG196" s="175"/>
      <c r="AH196" s="175"/>
      <c r="AI196" s="176"/>
      <c r="AJ196" s="177"/>
      <c r="AK196" s="178"/>
      <c r="AL196" s="178"/>
      <c r="AM196" s="178"/>
      <c r="AN196" s="178"/>
      <c r="AO196" s="179"/>
      <c r="AP196" s="64"/>
      <c r="AQ196" s="65"/>
      <c r="AR196" s="65"/>
      <c r="AS196" s="65"/>
      <c r="AT196" s="173"/>
      <c r="AU196" s="177"/>
      <c r="AV196" s="178"/>
      <c r="AW196" s="178"/>
      <c r="AX196" s="179"/>
      <c r="AZ196" s="166"/>
      <c r="BA196" s="177"/>
      <c r="BB196" s="178"/>
      <c r="BC196" s="178"/>
      <c r="BD196" s="178"/>
      <c r="BE196" s="178"/>
      <c r="BF196" s="178"/>
      <c r="BG196" s="178"/>
      <c r="BH196" s="178"/>
      <c r="BI196" s="179"/>
      <c r="BJ196" s="180"/>
      <c r="BK196" s="178"/>
      <c r="BL196" s="178"/>
      <c r="BM196" s="178"/>
      <c r="BN196" s="178"/>
      <c r="BO196" s="181"/>
      <c r="BP196" s="166"/>
      <c r="BQ196" s="177"/>
      <c r="BR196" s="178"/>
      <c r="BS196" s="179"/>
      <c r="BU196" s="166"/>
      <c r="BV196" s="166"/>
      <c r="BW196" s="166"/>
      <c r="BX196" s="166"/>
      <c r="BY196" s="166"/>
      <c r="BZ196" s="166"/>
      <c r="CA196" s="166"/>
      <c r="CB196" s="166"/>
      <c r="CC196" s="166"/>
      <c r="CD196" s="177"/>
      <c r="CE196" s="181"/>
      <c r="CF196" s="177"/>
      <c r="CG196" s="179"/>
      <c r="CH196" s="257"/>
      <c r="CI196" s="182"/>
      <c r="CJ196" s="177"/>
      <c r="CK196" s="182"/>
      <c r="CL196" s="177"/>
      <c r="CM196" s="182"/>
      <c r="CN196" s="177"/>
      <c r="CO196" s="182"/>
      <c r="CP196" s="177"/>
      <c r="CQ196" s="178"/>
      <c r="CR196" s="182"/>
      <c r="CS196" s="173"/>
      <c r="CT196" s="65"/>
      <c r="CU196" s="271"/>
    </row>
    <row r="197" ht="60.0" hidden="1" customHeight="1">
      <c r="A197" s="65"/>
      <c r="C197" s="167"/>
      <c r="D197" s="205"/>
      <c r="E197" s="262"/>
      <c r="F197" s="170"/>
      <c r="G197" s="170"/>
      <c r="H197" s="170"/>
      <c r="I197" s="170"/>
      <c r="J197" s="170"/>
      <c r="K197" s="171"/>
      <c r="L197" s="171"/>
      <c r="M197" s="171"/>
      <c r="N197" s="209"/>
      <c r="O197" s="172">
        <f t="shared" si="36"/>
        <v>0</v>
      </c>
      <c r="P197" s="166"/>
      <c r="Q197" s="173"/>
      <c r="R197" s="65"/>
      <c r="S197" s="173"/>
      <c r="T197" s="173"/>
      <c r="U197" s="166"/>
      <c r="V197" s="166"/>
      <c r="W197" s="65"/>
      <c r="X197" s="66"/>
      <c r="Y197" s="173"/>
      <c r="Z197" s="166"/>
      <c r="AA197" s="174"/>
      <c r="AB197" s="175"/>
      <c r="AC197" s="175"/>
      <c r="AD197" s="175"/>
      <c r="AE197" s="175"/>
      <c r="AF197" s="175"/>
      <c r="AG197" s="175"/>
      <c r="AH197" s="175"/>
      <c r="AI197" s="176"/>
      <c r="AJ197" s="177"/>
      <c r="AK197" s="178"/>
      <c r="AL197" s="178"/>
      <c r="AM197" s="178"/>
      <c r="AN197" s="178"/>
      <c r="AO197" s="179"/>
      <c r="AP197" s="64"/>
      <c r="AQ197" s="65"/>
      <c r="AR197" s="65"/>
      <c r="AS197" s="65"/>
      <c r="AT197" s="173"/>
      <c r="AU197" s="177"/>
      <c r="AV197" s="178"/>
      <c r="AW197" s="178"/>
      <c r="AX197" s="179"/>
      <c r="AZ197" s="166"/>
      <c r="BA197" s="177"/>
      <c r="BB197" s="178"/>
      <c r="BC197" s="178"/>
      <c r="BD197" s="178"/>
      <c r="BE197" s="178"/>
      <c r="BF197" s="178"/>
      <c r="BG197" s="178"/>
      <c r="BH197" s="178"/>
      <c r="BI197" s="179"/>
      <c r="BJ197" s="180"/>
      <c r="BK197" s="178"/>
      <c r="BL197" s="178"/>
      <c r="BM197" s="178"/>
      <c r="BN197" s="178"/>
      <c r="BO197" s="181"/>
      <c r="BP197" s="166"/>
      <c r="BQ197" s="177"/>
      <c r="BR197" s="178"/>
      <c r="BS197" s="179"/>
      <c r="BU197" s="166"/>
      <c r="BV197" s="166"/>
      <c r="BW197" s="166"/>
      <c r="BX197" s="166"/>
      <c r="BY197" s="166"/>
      <c r="BZ197" s="166"/>
      <c r="CA197" s="166"/>
      <c r="CB197" s="166"/>
      <c r="CC197" s="166"/>
      <c r="CD197" s="177"/>
      <c r="CE197" s="181"/>
      <c r="CF197" s="177"/>
      <c r="CG197" s="179"/>
      <c r="CH197" s="257"/>
      <c r="CI197" s="182"/>
      <c r="CJ197" s="177"/>
      <c r="CK197" s="182"/>
      <c r="CL197" s="177"/>
      <c r="CM197" s="182"/>
      <c r="CN197" s="177"/>
      <c r="CO197" s="182"/>
      <c r="CP197" s="177"/>
      <c r="CQ197" s="178"/>
      <c r="CR197" s="182"/>
      <c r="CS197" s="173"/>
      <c r="CT197" s="65"/>
      <c r="CU197" s="271"/>
    </row>
    <row r="198" ht="60.0" hidden="1" customHeight="1">
      <c r="A198" s="65"/>
      <c r="C198" s="167"/>
      <c r="D198" s="205"/>
      <c r="E198" s="262"/>
      <c r="F198" s="170"/>
      <c r="G198" s="170"/>
      <c r="H198" s="170"/>
      <c r="I198" s="170"/>
      <c r="J198" s="170"/>
      <c r="K198" s="171"/>
      <c r="L198" s="171"/>
      <c r="M198" s="171"/>
      <c r="N198" s="209"/>
      <c r="O198" s="172">
        <f t="shared" si="36"/>
        <v>0</v>
      </c>
      <c r="P198" s="166"/>
      <c r="Q198" s="173"/>
      <c r="R198" s="65"/>
      <c r="S198" s="173"/>
      <c r="T198" s="173"/>
      <c r="U198" s="166"/>
      <c r="V198" s="166"/>
      <c r="W198" s="65"/>
      <c r="X198" s="66"/>
      <c r="Y198" s="173"/>
      <c r="Z198" s="166"/>
      <c r="AA198" s="174"/>
      <c r="AB198" s="175"/>
      <c r="AC198" s="175"/>
      <c r="AD198" s="175"/>
      <c r="AE198" s="175"/>
      <c r="AF198" s="175"/>
      <c r="AG198" s="175"/>
      <c r="AH198" s="175"/>
      <c r="AI198" s="176"/>
      <c r="AJ198" s="177"/>
      <c r="AK198" s="178"/>
      <c r="AL198" s="178"/>
      <c r="AM198" s="178"/>
      <c r="AN198" s="178"/>
      <c r="AO198" s="179"/>
      <c r="AP198" s="64"/>
      <c r="AQ198" s="65"/>
      <c r="AR198" s="65"/>
      <c r="AS198" s="65"/>
      <c r="AT198" s="173"/>
      <c r="AU198" s="177"/>
      <c r="AV198" s="178"/>
      <c r="AW198" s="178"/>
      <c r="AX198" s="179"/>
      <c r="AZ198" s="166"/>
      <c r="BA198" s="177"/>
      <c r="BB198" s="178"/>
      <c r="BC198" s="178"/>
      <c r="BD198" s="178"/>
      <c r="BE198" s="178"/>
      <c r="BF198" s="178"/>
      <c r="BG198" s="178"/>
      <c r="BH198" s="178"/>
      <c r="BI198" s="179"/>
      <c r="BJ198" s="180"/>
      <c r="BK198" s="178"/>
      <c r="BL198" s="178"/>
      <c r="BM198" s="178"/>
      <c r="BN198" s="178"/>
      <c r="BO198" s="181"/>
      <c r="BP198" s="166"/>
      <c r="BQ198" s="177"/>
      <c r="BR198" s="178"/>
      <c r="BS198" s="179"/>
      <c r="BU198" s="166"/>
      <c r="BV198" s="166"/>
      <c r="BW198" s="166"/>
      <c r="BX198" s="166"/>
      <c r="BY198" s="166"/>
      <c r="BZ198" s="166"/>
      <c r="CA198" s="166"/>
      <c r="CB198" s="166"/>
      <c r="CC198" s="166"/>
      <c r="CD198" s="177"/>
      <c r="CE198" s="181"/>
      <c r="CF198" s="177"/>
      <c r="CG198" s="179"/>
      <c r="CH198" s="257"/>
      <c r="CI198" s="182"/>
      <c r="CJ198" s="177"/>
      <c r="CK198" s="182"/>
      <c r="CL198" s="177"/>
      <c r="CM198" s="182"/>
      <c r="CN198" s="177"/>
      <c r="CO198" s="182"/>
      <c r="CP198" s="177"/>
      <c r="CQ198" s="178"/>
      <c r="CR198" s="182"/>
      <c r="CS198" s="173"/>
      <c r="CT198" s="65"/>
      <c r="CU198" s="271"/>
    </row>
    <row r="199" ht="60.0" hidden="1" customHeight="1">
      <c r="A199" s="65"/>
      <c r="C199" s="167"/>
      <c r="D199" s="205"/>
      <c r="E199" s="262"/>
      <c r="F199" s="170"/>
      <c r="G199" s="170"/>
      <c r="H199" s="170"/>
      <c r="I199" s="170"/>
      <c r="J199" s="170"/>
      <c r="K199" s="171"/>
      <c r="L199" s="171"/>
      <c r="M199" s="171"/>
      <c r="N199" s="209"/>
      <c r="O199" s="172">
        <f t="shared" si="36"/>
        <v>0</v>
      </c>
      <c r="P199" s="166"/>
      <c r="Q199" s="173"/>
      <c r="R199" s="65"/>
      <c r="S199" s="173"/>
      <c r="T199" s="173"/>
      <c r="U199" s="166"/>
      <c r="V199" s="166"/>
      <c r="W199" s="65"/>
      <c r="X199" s="66"/>
      <c r="Y199" s="173"/>
      <c r="Z199" s="166"/>
      <c r="AA199" s="174"/>
      <c r="AB199" s="175"/>
      <c r="AC199" s="175"/>
      <c r="AD199" s="175"/>
      <c r="AE199" s="175"/>
      <c r="AF199" s="175"/>
      <c r="AG199" s="175"/>
      <c r="AH199" s="175"/>
      <c r="AI199" s="176"/>
      <c r="AJ199" s="177"/>
      <c r="AK199" s="178"/>
      <c r="AL199" s="178"/>
      <c r="AM199" s="178"/>
      <c r="AN199" s="178"/>
      <c r="AO199" s="179"/>
      <c r="AP199" s="64"/>
      <c r="AQ199" s="65"/>
      <c r="AR199" s="65"/>
      <c r="AS199" s="65"/>
      <c r="AT199" s="173"/>
      <c r="AU199" s="177"/>
      <c r="AV199" s="178"/>
      <c r="AW199" s="178"/>
      <c r="AX199" s="179"/>
      <c r="AZ199" s="166"/>
      <c r="BA199" s="177"/>
      <c r="BB199" s="178"/>
      <c r="BC199" s="178"/>
      <c r="BD199" s="178"/>
      <c r="BE199" s="178"/>
      <c r="BF199" s="178"/>
      <c r="BG199" s="178"/>
      <c r="BH199" s="178"/>
      <c r="BI199" s="179"/>
      <c r="BJ199" s="180"/>
      <c r="BK199" s="178"/>
      <c r="BL199" s="178"/>
      <c r="BM199" s="178"/>
      <c r="BN199" s="178"/>
      <c r="BO199" s="181"/>
      <c r="BP199" s="166"/>
      <c r="BQ199" s="177"/>
      <c r="BR199" s="178"/>
      <c r="BS199" s="179"/>
      <c r="BU199" s="166"/>
      <c r="BV199" s="166"/>
      <c r="BW199" s="166"/>
      <c r="BX199" s="166"/>
      <c r="BY199" s="166"/>
      <c r="BZ199" s="166"/>
      <c r="CA199" s="166"/>
      <c r="CB199" s="166"/>
      <c r="CC199" s="166"/>
      <c r="CD199" s="177"/>
      <c r="CE199" s="181"/>
      <c r="CF199" s="177"/>
      <c r="CG199" s="179"/>
      <c r="CH199" s="257"/>
      <c r="CI199" s="182"/>
      <c r="CJ199" s="177"/>
      <c r="CK199" s="182"/>
      <c r="CL199" s="177"/>
      <c r="CM199" s="182"/>
      <c r="CN199" s="177"/>
      <c r="CO199" s="182"/>
      <c r="CP199" s="177"/>
      <c r="CQ199" s="178"/>
      <c r="CR199" s="182"/>
      <c r="CS199" s="173"/>
      <c r="CT199" s="65"/>
      <c r="CU199" s="271"/>
    </row>
    <row r="200" ht="60.0" hidden="1" customHeight="1">
      <c r="A200" s="65"/>
      <c r="C200" s="167"/>
      <c r="D200" s="205"/>
      <c r="E200" s="262"/>
      <c r="F200" s="170"/>
      <c r="G200" s="170"/>
      <c r="H200" s="170"/>
      <c r="I200" s="170"/>
      <c r="J200" s="170"/>
      <c r="K200" s="171"/>
      <c r="L200" s="171"/>
      <c r="M200" s="171"/>
      <c r="N200" s="209"/>
      <c r="O200" s="172">
        <f t="shared" si="36"/>
        <v>0</v>
      </c>
      <c r="P200" s="166"/>
      <c r="Q200" s="173"/>
      <c r="R200" s="65"/>
      <c r="S200" s="173"/>
      <c r="T200" s="173"/>
      <c r="U200" s="166"/>
      <c r="V200" s="166"/>
      <c r="W200" s="65"/>
      <c r="X200" s="66"/>
      <c r="Y200" s="173"/>
      <c r="Z200" s="166"/>
      <c r="AA200" s="174"/>
      <c r="AB200" s="175"/>
      <c r="AC200" s="175"/>
      <c r="AD200" s="175"/>
      <c r="AE200" s="175"/>
      <c r="AF200" s="175"/>
      <c r="AG200" s="175"/>
      <c r="AH200" s="175"/>
      <c r="AI200" s="176"/>
      <c r="AJ200" s="177"/>
      <c r="AK200" s="178"/>
      <c r="AL200" s="178"/>
      <c r="AM200" s="178"/>
      <c r="AN200" s="178"/>
      <c r="AO200" s="179"/>
      <c r="AP200" s="64"/>
      <c r="AQ200" s="65"/>
      <c r="AR200" s="65"/>
      <c r="AS200" s="65"/>
      <c r="AT200" s="173"/>
      <c r="AU200" s="177"/>
      <c r="AV200" s="178"/>
      <c r="AW200" s="178"/>
      <c r="AX200" s="179"/>
      <c r="AZ200" s="166"/>
      <c r="BA200" s="177"/>
      <c r="BB200" s="178"/>
      <c r="BC200" s="178"/>
      <c r="BD200" s="178"/>
      <c r="BE200" s="178"/>
      <c r="BF200" s="178"/>
      <c r="BG200" s="178"/>
      <c r="BH200" s="178"/>
      <c r="BI200" s="179"/>
      <c r="BJ200" s="180"/>
      <c r="BK200" s="178"/>
      <c r="BL200" s="178"/>
      <c r="BM200" s="178"/>
      <c r="BN200" s="178"/>
      <c r="BO200" s="181"/>
      <c r="BP200" s="166"/>
      <c r="BQ200" s="177"/>
      <c r="BR200" s="178"/>
      <c r="BS200" s="179"/>
      <c r="BU200" s="166"/>
      <c r="BV200" s="166"/>
      <c r="BW200" s="166"/>
      <c r="BX200" s="166"/>
      <c r="BY200" s="166"/>
      <c r="BZ200" s="166"/>
      <c r="CA200" s="166"/>
      <c r="CB200" s="166"/>
      <c r="CC200" s="166"/>
      <c r="CD200" s="177"/>
      <c r="CE200" s="181"/>
      <c r="CF200" s="177"/>
      <c r="CG200" s="179"/>
      <c r="CH200" s="257"/>
      <c r="CI200" s="182"/>
      <c r="CJ200" s="177"/>
      <c r="CK200" s="182"/>
      <c r="CL200" s="177"/>
      <c r="CM200" s="182"/>
      <c r="CN200" s="177"/>
      <c r="CO200" s="182"/>
      <c r="CP200" s="177"/>
      <c r="CQ200" s="178"/>
      <c r="CR200" s="182"/>
      <c r="CS200" s="173"/>
      <c r="CT200" s="65"/>
      <c r="CU200" s="271"/>
    </row>
    <row r="201" ht="60.0" hidden="1" customHeight="1">
      <c r="A201" s="65"/>
      <c r="C201" s="167"/>
      <c r="D201" s="205"/>
      <c r="E201" s="262"/>
      <c r="F201" s="170"/>
      <c r="G201" s="170"/>
      <c r="H201" s="170"/>
      <c r="I201" s="170"/>
      <c r="J201" s="170"/>
      <c r="K201" s="171"/>
      <c r="L201" s="171"/>
      <c r="M201" s="171"/>
      <c r="N201" s="209"/>
      <c r="O201" s="172">
        <f t="shared" ref="O201:O204" si="37">IF(AND(M201&gt;=20,M201&lt;&gt;"m",RIGHT(K201,3)="Lec"),1,IF(AND(M201&gt;=20,M201&lt;&gt;"m",OR(RIGHT(K201,3)="Lab",RIGHT(K201,3)="Tut")),0.5,IF(AND(M201&gt;=20,M201&lt;&gt;"m",RIGHT(K201,2)="TL"),0.75,0)))</f>
        <v>0</v>
      </c>
      <c r="P201" s="166"/>
      <c r="Q201" s="173"/>
      <c r="R201" s="65"/>
      <c r="S201" s="173"/>
      <c r="T201" s="173"/>
      <c r="U201" s="166"/>
      <c r="V201" s="166"/>
      <c r="W201" s="65"/>
      <c r="X201" s="66"/>
      <c r="Y201" s="173"/>
      <c r="Z201" s="166"/>
      <c r="AA201" s="174"/>
      <c r="AB201" s="175"/>
      <c r="AC201" s="175"/>
      <c r="AD201" s="175"/>
      <c r="AE201" s="175"/>
      <c r="AF201" s="175"/>
      <c r="AG201" s="175"/>
      <c r="AH201" s="175"/>
      <c r="AI201" s="176"/>
      <c r="AJ201" s="177"/>
      <c r="AK201" s="178"/>
      <c r="AL201" s="178"/>
      <c r="AM201" s="178"/>
      <c r="AN201" s="178"/>
      <c r="AO201" s="179"/>
      <c r="AP201" s="64"/>
      <c r="AQ201" s="65"/>
      <c r="AR201" s="65"/>
      <c r="AS201" s="65"/>
      <c r="AT201" s="173"/>
      <c r="AU201" s="177"/>
      <c r="AV201" s="178"/>
      <c r="AW201" s="178"/>
      <c r="AX201" s="179"/>
      <c r="AZ201" s="166"/>
      <c r="BA201" s="177"/>
      <c r="BB201" s="178"/>
      <c r="BC201" s="178"/>
      <c r="BD201" s="178"/>
      <c r="BE201" s="178"/>
      <c r="BF201" s="178"/>
      <c r="BG201" s="178"/>
      <c r="BH201" s="178"/>
      <c r="BI201" s="179"/>
      <c r="BJ201" s="180"/>
      <c r="BK201" s="178"/>
      <c r="BL201" s="178"/>
      <c r="BM201" s="178"/>
      <c r="BN201" s="178"/>
      <c r="BO201" s="181"/>
      <c r="BP201" s="166"/>
      <c r="BQ201" s="177"/>
      <c r="BR201" s="178"/>
      <c r="BS201" s="179"/>
      <c r="BU201" s="166"/>
      <c r="BV201" s="166"/>
      <c r="BW201" s="166"/>
      <c r="BX201" s="166"/>
      <c r="BY201" s="166"/>
      <c r="BZ201" s="166"/>
      <c r="CA201" s="166"/>
      <c r="CB201" s="166"/>
      <c r="CC201" s="166"/>
      <c r="CD201" s="177"/>
      <c r="CE201" s="181"/>
      <c r="CF201" s="177"/>
      <c r="CG201" s="179"/>
      <c r="CH201" s="257"/>
      <c r="CI201" s="182"/>
      <c r="CJ201" s="177"/>
      <c r="CK201" s="182"/>
      <c r="CL201" s="177"/>
      <c r="CM201" s="182"/>
      <c r="CN201" s="177"/>
      <c r="CO201" s="182"/>
      <c r="CP201" s="177"/>
      <c r="CQ201" s="178"/>
      <c r="CR201" s="182"/>
      <c r="CS201" s="173"/>
      <c r="CT201" s="65"/>
      <c r="CU201" s="271"/>
    </row>
    <row r="202" ht="60.0" hidden="1" customHeight="1">
      <c r="A202" s="65"/>
      <c r="C202" s="167"/>
      <c r="D202" s="205"/>
      <c r="E202" s="262"/>
      <c r="F202" s="170"/>
      <c r="G202" s="170"/>
      <c r="H202" s="170"/>
      <c r="I202" s="170"/>
      <c r="J202" s="170"/>
      <c r="K202" s="171"/>
      <c r="L202" s="171"/>
      <c r="M202" s="171"/>
      <c r="N202" s="209"/>
      <c r="O202" s="172">
        <f t="shared" si="37"/>
        <v>0</v>
      </c>
      <c r="P202" s="166"/>
      <c r="Q202" s="173"/>
      <c r="R202" s="65"/>
      <c r="S202" s="173"/>
      <c r="T202" s="173"/>
      <c r="U202" s="166"/>
      <c r="V202" s="166"/>
      <c r="W202" s="65"/>
      <c r="X202" s="66"/>
      <c r="Y202" s="173"/>
      <c r="Z202" s="166"/>
      <c r="AA202" s="174"/>
      <c r="AB202" s="175"/>
      <c r="AC202" s="175"/>
      <c r="AD202" s="175"/>
      <c r="AE202" s="175"/>
      <c r="AF202" s="175"/>
      <c r="AG202" s="175"/>
      <c r="AH202" s="175"/>
      <c r="AI202" s="176"/>
      <c r="AJ202" s="177"/>
      <c r="AK202" s="178"/>
      <c r="AL202" s="178"/>
      <c r="AM202" s="178"/>
      <c r="AN202" s="178"/>
      <c r="AO202" s="179"/>
      <c r="AP202" s="64"/>
      <c r="AQ202" s="65"/>
      <c r="AR202" s="65"/>
      <c r="AS202" s="65"/>
      <c r="AT202" s="173"/>
      <c r="AU202" s="177"/>
      <c r="AV202" s="178"/>
      <c r="AW202" s="178"/>
      <c r="AX202" s="179"/>
      <c r="AZ202" s="166"/>
      <c r="BA202" s="177"/>
      <c r="BB202" s="178"/>
      <c r="BC202" s="178"/>
      <c r="BD202" s="178"/>
      <c r="BE202" s="178"/>
      <c r="BF202" s="178"/>
      <c r="BG202" s="178"/>
      <c r="BH202" s="178"/>
      <c r="BI202" s="179"/>
      <c r="BJ202" s="180"/>
      <c r="BK202" s="178"/>
      <c r="BL202" s="178"/>
      <c r="BM202" s="178"/>
      <c r="BN202" s="178"/>
      <c r="BO202" s="181"/>
      <c r="BP202" s="166"/>
      <c r="BQ202" s="177"/>
      <c r="BR202" s="178"/>
      <c r="BS202" s="179"/>
      <c r="BU202" s="166"/>
      <c r="BV202" s="166"/>
      <c r="BW202" s="166"/>
      <c r="BX202" s="166"/>
      <c r="BY202" s="166"/>
      <c r="BZ202" s="166"/>
      <c r="CA202" s="166"/>
      <c r="CB202" s="166"/>
      <c r="CC202" s="166"/>
      <c r="CD202" s="177"/>
      <c r="CE202" s="181"/>
      <c r="CF202" s="177"/>
      <c r="CG202" s="179"/>
      <c r="CH202" s="257"/>
      <c r="CI202" s="182"/>
      <c r="CJ202" s="177"/>
      <c r="CK202" s="182"/>
      <c r="CL202" s="177"/>
      <c r="CM202" s="182"/>
      <c r="CN202" s="177"/>
      <c r="CO202" s="182"/>
      <c r="CP202" s="177"/>
      <c r="CQ202" s="178"/>
      <c r="CR202" s="182"/>
      <c r="CS202" s="173"/>
      <c r="CT202" s="65"/>
      <c r="CU202" s="271"/>
    </row>
    <row r="203" ht="60.0" hidden="1" customHeight="1">
      <c r="A203" s="65"/>
      <c r="C203" s="167"/>
      <c r="D203" s="205"/>
      <c r="E203" s="262"/>
      <c r="F203" s="170"/>
      <c r="G203" s="170"/>
      <c r="H203" s="170"/>
      <c r="I203" s="170"/>
      <c r="J203" s="170"/>
      <c r="K203" s="171"/>
      <c r="L203" s="171"/>
      <c r="M203" s="171"/>
      <c r="N203" s="209"/>
      <c r="O203" s="172">
        <f t="shared" si="37"/>
        <v>0</v>
      </c>
      <c r="P203" s="166"/>
      <c r="Q203" s="173"/>
      <c r="R203" s="65"/>
      <c r="S203" s="173"/>
      <c r="T203" s="173"/>
      <c r="U203" s="166"/>
      <c r="V203" s="166"/>
      <c r="W203" s="65"/>
      <c r="X203" s="66"/>
      <c r="Y203" s="173"/>
      <c r="Z203" s="166"/>
      <c r="AA203" s="174"/>
      <c r="AB203" s="175"/>
      <c r="AC203" s="175"/>
      <c r="AD203" s="175"/>
      <c r="AE203" s="175"/>
      <c r="AF203" s="175"/>
      <c r="AG203" s="175"/>
      <c r="AH203" s="175"/>
      <c r="AI203" s="176"/>
      <c r="AJ203" s="177"/>
      <c r="AK203" s="178"/>
      <c r="AL203" s="178"/>
      <c r="AM203" s="178"/>
      <c r="AN203" s="178"/>
      <c r="AO203" s="179"/>
      <c r="AP203" s="64"/>
      <c r="AQ203" s="65"/>
      <c r="AR203" s="65"/>
      <c r="AS203" s="65"/>
      <c r="AT203" s="173"/>
      <c r="AU203" s="177"/>
      <c r="AV203" s="178"/>
      <c r="AW203" s="178"/>
      <c r="AX203" s="179"/>
      <c r="AZ203" s="166"/>
      <c r="BA203" s="177"/>
      <c r="BB203" s="178"/>
      <c r="BC203" s="178"/>
      <c r="BD203" s="178"/>
      <c r="BE203" s="178"/>
      <c r="BF203" s="178"/>
      <c r="BG203" s="178"/>
      <c r="BH203" s="178"/>
      <c r="BI203" s="179"/>
      <c r="BJ203" s="180"/>
      <c r="BK203" s="178"/>
      <c r="BL203" s="178"/>
      <c r="BM203" s="178"/>
      <c r="BN203" s="178"/>
      <c r="BO203" s="181"/>
      <c r="BP203" s="166"/>
      <c r="BQ203" s="177"/>
      <c r="BR203" s="178"/>
      <c r="BS203" s="179"/>
      <c r="BU203" s="166"/>
      <c r="BV203" s="166"/>
      <c r="BW203" s="166"/>
      <c r="BX203" s="166"/>
      <c r="BY203" s="166"/>
      <c r="BZ203" s="166"/>
      <c r="CA203" s="166"/>
      <c r="CB203" s="166"/>
      <c r="CC203" s="166"/>
      <c r="CD203" s="177"/>
      <c r="CE203" s="181"/>
      <c r="CF203" s="177"/>
      <c r="CG203" s="179"/>
      <c r="CH203" s="257"/>
      <c r="CI203" s="182"/>
      <c r="CJ203" s="177"/>
      <c r="CK203" s="182"/>
      <c r="CL203" s="177"/>
      <c r="CM203" s="182"/>
      <c r="CN203" s="177"/>
      <c r="CO203" s="182"/>
      <c r="CP203" s="177"/>
      <c r="CQ203" s="178"/>
      <c r="CR203" s="182"/>
      <c r="CS203" s="173"/>
      <c r="CT203" s="65"/>
      <c r="CU203" s="271"/>
    </row>
    <row r="204" ht="60.0" hidden="1" customHeight="1">
      <c r="A204" s="65"/>
      <c r="C204" s="167"/>
      <c r="D204" s="205"/>
      <c r="E204" s="262"/>
      <c r="F204" s="170"/>
      <c r="G204" s="170"/>
      <c r="H204" s="170"/>
      <c r="I204" s="170"/>
      <c r="J204" s="170"/>
      <c r="K204" s="171"/>
      <c r="L204" s="171"/>
      <c r="M204" s="171"/>
      <c r="N204" s="209"/>
      <c r="O204" s="172">
        <f t="shared" si="37"/>
        <v>0</v>
      </c>
      <c r="P204" s="166"/>
      <c r="Q204" s="173"/>
      <c r="R204" s="65"/>
      <c r="S204" s="173"/>
      <c r="T204" s="173"/>
      <c r="U204" s="166"/>
      <c r="V204" s="166"/>
      <c r="W204" s="65"/>
      <c r="X204" s="66"/>
      <c r="Y204" s="173"/>
      <c r="Z204" s="166"/>
      <c r="AA204" s="174"/>
      <c r="AB204" s="175"/>
      <c r="AC204" s="175"/>
      <c r="AD204" s="175"/>
      <c r="AE204" s="175"/>
      <c r="AF204" s="175"/>
      <c r="AG204" s="175"/>
      <c r="AH204" s="175"/>
      <c r="AI204" s="176"/>
      <c r="AJ204" s="177"/>
      <c r="AK204" s="178"/>
      <c r="AL204" s="178"/>
      <c r="AM204" s="178"/>
      <c r="AN204" s="178"/>
      <c r="AO204" s="179"/>
      <c r="AP204" s="64"/>
      <c r="AQ204" s="65"/>
      <c r="AR204" s="65"/>
      <c r="AS204" s="65"/>
      <c r="AT204" s="173"/>
      <c r="AU204" s="177"/>
      <c r="AV204" s="178"/>
      <c r="AW204" s="178"/>
      <c r="AX204" s="179"/>
      <c r="AZ204" s="166"/>
      <c r="BA204" s="177"/>
      <c r="BB204" s="178"/>
      <c r="BC204" s="178"/>
      <c r="BD204" s="178"/>
      <c r="BE204" s="178"/>
      <c r="BF204" s="178"/>
      <c r="BG204" s="178"/>
      <c r="BH204" s="178"/>
      <c r="BI204" s="179"/>
      <c r="BJ204" s="180"/>
      <c r="BK204" s="178"/>
      <c r="BL204" s="178"/>
      <c r="BM204" s="178"/>
      <c r="BN204" s="178"/>
      <c r="BO204" s="181"/>
      <c r="BP204" s="166"/>
      <c r="BQ204" s="177"/>
      <c r="BR204" s="178"/>
      <c r="BS204" s="179"/>
      <c r="BU204" s="166"/>
      <c r="BV204" s="166"/>
      <c r="BW204" s="166"/>
      <c r="BX204" s="166"/>
      <c r="BY204" s="166"/>
      <c r="BZ204" s="166"/>
      <c r="CA204" s="166"/>
      <c r="CB204" s="166"/>
      <c r="CC204" s="166"/>
      <c r="CD204" s="177"/>
      <c r="CE204" s="181"/>
      <c r="CF204" s="177"/>
      <c r="CG204" s="179"/>
      <c r="CH204" s="257"/>
      <c r="CI204" s="182"/>
      <c r="CJ204" s="177"/>
      <c r="CK204" s="182"/>
      <c r="CL204" s="177"/>
      <c r="CM204" s="182"/>
      <c r="CN204" s="177"/>
      <c r="CO204" s="182"/>
      <c r="CP204" s="177"/>
      <c r="CQ204" s="178"/>
      <c r="CR204" s="182"/>
      <c r="CS204" s="173"/>
      <c r="CT204" s="65"/>
      <c r="CU204" s="271"/>
    </row>
    <row r="205" ht="60.0" hidden="1" customHeight="1">
      <c r="A205" s="89"/>
      <c r="B205" s="6"/>
      <c r="C205" s="183"/>
      <c r="D205" s="210"/>
      <c r="E205" s="263"/>
      <c r="F205" s="186"/>
      <c r="G205" s="186"/>
      <c r="H205" s="186"/>
      <c r="I205" s="186"/>
      <c r="J205" s="186"/>
      <c r="K205" s="187"/>
      <c r="L205" s="187"/>
      <c r="M205" s="187"/>
      <c r="N205" s="214"/>
      <c r="O205" s="188">
        <f t="shared" ref="O205:O211" si="38">IF(AND(M205&lt;&gt;0,M205&lt;&gt;"m",M205&lt;&gt;"",RIGHT(K205,3)="Lec"),1,IF(AND(M205&lt;&gt;0,M205&lt;&gt;"m",M205&lt;&gt;"",OR(RIGHT(K205,3)="Lab",RIGHT(K205,3)="Tut")),0.5,IF(AND(M205&lt;&gt;0,M205&lt;&gt;"m",M205&lt;&gt;"",RIGHT(K205,2)="TL"),0.75,0)))</f>
        <v>0</v>
      </c>
      <c r="P205" s="63"/>
      <c r="Q205" s="69"/>
      <c r="R205" s="89"/>
      <c r="S205" s="69"/>
      <c r="T205" s="69"/>
      <c r="U205" s="63"/>
      <c r="V205" s="63"/>
      <c r="W205" s="89"/>
      <c r="X205" s="68"/>
      <c r="Y205" s="69"/>
      <c r="Z205" s="63"/>
      <c r="AA205" s="189"/>
      <c r="AB205" s="190"/>
      <c r="AC205" s="190"/>
      <c r="AD205" s="190"/>
      <c r="AE205" s="190"/>
      <c r="AF205" s="190"/>
      <c r="AG205" s="190"/>
      <c r="AH205" s="190"/>
      <c r="AI205" s="191"/>
      <c r="AJ205" s="192"/>
      <c r="AK205" s="193"/>
      <c r="AL205" s="193"/>
      <c r="AM205" s="193"/>
      <c r="AN205" s="193"/>
      <c r="AO205" s="194"/>
      <c r="AP205" s="103"/>
      <c r="AQ205" s="89"/>
      <c r="AR205" s="89"/>
      <c r="AS205" s="89"/>
      <c r="AT205" s="69"/>
      <c r="AU205" s="192"/>
      <c r="AV205" s="193"/>
      <c r="AW205" s="193"/>
      <c r="AX205" s="194"/>
      <c r="AY205" s="6"/>
      <c r="AZ205" s="63"/>
      <c r="BA205" s="192"/>
      <c r="BB205" s="193"/>
      <c r="BC205" s="193"/>
      <c r="BD205" s="193"/>
      <c r="BE205" s="193"/>
      <c r="BF205" s="193"/>
      <c r="BG205" s="193"/>
      <c r="BH205" s="193"/>
      <c r="BI205" s="194"/>
      <c r="BJ205" s="195"/>
      <c r="BK205" s="193"/>
      <c r="BL205" s="193"/>
      <c r="BM205" s="193"/>
      <c r="BN205" s="193"/>
      <c r="BO205" s="196"/>
      <c r="BP205" s="63"/>
      <c r="BQ205" s="192"/>
      <c r="BR205" s="193"/>
      <c r="BS205" s="194"/>
      <c r="BT205" s="6"/>
      <c r="BU205" s="63"/>
      <c r="BV205" s="63"/>
      <c r="BW205" s="63"/>
      <c r="BX205" s="63"/>
      <c r="BY205" s="63"/>
      <c r="BZ205" s="63"/>
      <c r="CA205" s="63"/>
      <c r="CB205" s="63"/>
      <c r="CC205" s="63"/>
      <c r="CD205" s="192"/>
      <c r="CE205" s="196"/>
      <c r="CF205" s="192"/>
      <c r="CG205" s="194"/>
      <c r="CH205" s="259"/>
      <c r="CI205" s="197"/>
      <c r="CJ205" s="192"/>
      <c r="CK205" s="197"/>
      <c r="CL205" s="192"/>
      <c r="CM205" s="197"/>
      <c r="CN205" s="192"/>
      <c r="CO205" s="197"/>
      <c r="CP205" s="192"/>
      <c r="CQ205" s="193"/>
      <c r="CR205" s="197"/>
      <c r="CS205" s="69"/>
      <c r="CT205" s="89"/>
      <c r="CU205" s="272"/>
    </row>
    <row r="206" ht="56.25" hidden="1" customHeight="1">
      <c r="A206" s="125">
        <v>19.0</v>
      </c>
      <c r="B206" s="199"/>
      <c r="C206" s="127"/>
      <c r="D206" s="128"/>
      <c r="E206" s="260"/>
      <c r="F206" s="261"/>
      <c r="G206" s="261"/>
      <c r="H206" s="261"/>
      <c r="I206" s="261"/>
      <c r="J206" s="170"/>
      <c r="K206" s="219"/>
      <c r="L206" s="219"/>
      <c r="M206" s="219"/>
      <c r="N206" s="220"/>
      <c r="O206" s="132">
        <f t="shared" si="38"/>
        <v>0</v>
      </c>
      <c r="P206" s="133">
        <f>COUNTIF(K206:K216,"TL")*0.75+COUNTIF(K206:K216,"Lec")*1+COUNTIF(K206:K216,"Lab")*0.5</f>
        <v>0</v>
      </c>
      <c r="Q206" s="134">
        <f>SUM((IF(LEFT(K206,1)="E",O206,0)),(IF(LEFT(K207,1)="E",O207,0)),(IF(LEFT(K208,1)="E",O208,0)),(IF(LEFT(K209,1)="E",O209,0)),(IF(LEFT(K210,1)="E",O210,0)),(IF(LEFT(K211,1)="E",O211,0)),(IF(LEFT(K212,1)="E",O212,0)),(IF(LEFT(K213,1)="E",O213,0)),(IF(LEFT(K214,1)="E",O214,0)),(IF(LEFT(K215,1)="E",O215,0)),(IF(LEFT(K216,1)="E",O216,0)))</f>
        <v>0</v>
      </c>
      <c r="R206" s="135">
        <f>SUM(IF(M212&lt;20,IF(K212="Plec",-1,IF(K212="PTL",-0.75,IF(K212="Plab",-0.5,0))),0),IF(M213&lt;20,IF(K213="Plec",-1,IF(K213="PTL",-0.75,IF(K213="Plab",-0.5,0))),0),IF(M214&lt;20,IF(K214="Plec",-1,IF(K214="PTL",-0.75,IF(K214="Plab",-0.5,0))),0),IF(M215&lt;20,IF(K215="Plec",-1,IF(K215="PTL",-0.75,IF(K215="Plab",-0.5,0))),0))</f>
        <v>0</v>
      </c>
      <c r="S206" s="134">
        <f>SUM(P206:R216)</f>
        <v>0</v>
      </c>
      <c r="T206" s="136">
        <f>SUM(IF(M206="M",IF(OR(K206="lec",K206="plec",K206="slec"),1,IF(OR(K206="lab",K206="plab",K206="slab",K206="tut",K206="ptut",K206="stut"),0.5,IF(OR(K206="TL",K206="pTL",K206="STL"),0.75,0))),0),IF(M207="M",IF(OR(K207="lec",K207="plec",K207="slec"),1,IF(OR(K207="lab",K207="plab",K207="slab",K207="tut",K207="ptut",K207="stut"),0.5,IF(OR(K207="TL",K207="pTL",K207="STL"),0.75,0))),0),IF(M208="M",IF(OR(K208="lec",K208="plec",K208="slec"),1,IF(OR(K208="lab",K208="plab",K208="slab",K208="tut",K208="ptut",K208="stut"),0.5,IF(OR(K208="TL",K208="pTL",K208="STL"),0.75,0))),0),IF(M209="M",IF(OR(K209="lec",K209="plec",K209="slec"),1,IF(OR(K209="lab",K209="plab",K209="slab",K209="tut",K209="ptut",K209="stut"),0.5,IF(OR(K209="TL",K209="pTL",K209="STL"),0.75,0))),0),IF(M210="M",IF(OR(K210="lec",K210="plec",K210="slec"),1,IF(OR(K210="lab",K210="plab",K210="slab",K210="tut",K210="ptut",K210="stut"),0.5,IF(OR(K210="TL",K210="pTL",K210="STL"),0.75,0))),0),IF(M211="M",IF(OR(K211="lec",K211="plec",K211="slec"),1,IF(OR(K211="lab",K211="plab",K211="slab",K211="tut",K211="ptut",K211="stut"),0.5,IF(OR(K211="TL",K211="pTL",K211="STL"),0.75,0))),0),IF(M212="M",IF(OR(K212="lec",K212="plec",K212="slec"),1,IF(OR(K212="lab",K212="plab",K212="slab",K212="tut",K212="ptut",K212="stut"),0.5,IF(OR(K212="TL",K212="pTL",K212="STL"),0.75,0))),0),IF(M213="M",IF(OR(K213="lec",K213="plec",K213="slec"),1,IF(OR(K213="lab",K213="plab",K213="slab",K213="tut",K213="ptut",K213="stut"),0.5,IF(OR(K213="TL",K213="pTL",K213="STL"),0.75,0))),0),IF(M214="M",IF(OR(K214="lec",K214="plec",K214="slec"),1,IF(OR(K214="lab",K214="plab",K214="slab",K214="tut",K214="ptut",K214="stut"),0.5,IF(OR(K214="TL",K214="pTL",K214="STL"),0.75,0))),0),IF(M215="M",IF(OR(K215="lec",K215="plec",K215="slec"),1,IF(OR(K215="lab",K215="plab",K215="slab",K215="tut",K215="ptut",K215="stut"),0.5,IF(OR(K215="TL",K215="pTL",K215="STL"),0.75,0))),0),IF(M216="M",IF(OR(K216="lec",K216="plec",K216="slec"),1,IF(OR(K216="lab",K216="plab",K216="slab",K216="tut",K216="ptut",K216="stut"),0.5,IF(OR(K216="TL",K216="pTL",K216="STL"),0.75,0))),0))</f>
        <v>0</v>
      </c>
      <c r="U206" s="137"/>
      <c r="V206" s="133"/>
      <c r="W206" s="138"/>
      <c r="X206" s="139">
        <f>S206-(T206+U206+V206+W206)</f>
        <v>0</v>
      </c>
      <c r="Y206" s="134" t="str">
        <f>CONCATENATE(SUM(O206:O216),"(",SUM(O206:O216)-X206,")")</f>
        <v>0(0)</v>
      </c>
      <c r="Z206" s="140"/>
      <c r="AA206" s="141"/>
      <c r="AB206" s="142"/>
      <c r="AC206" s="142"/>
      <c r="AD206" s="142"/>
      <c r="AE206" s="142"/>
      <c r="AF206" s="142"/>
      <c r="AG206" s="142"/>
      <c r="AH206" s="142"/>
      <c r="AI206" s="143"/>
      <c r="AJ206" s="144"/>
      <c r="AK206" s="145"/>
      <c r="AL206" s="145"/>
      <c r="AM206" s="145"/>
      <c r="AN206" s="145"/>
      <c r="AO206" s="146"/>
      <c r="AP206" s="147">
        <f>SUM(SUM(O206:O216),SUM(AI206:AI216)/2,AM206)</f>
        <v>0</v>
      </c>
      <c r="AQ206" s="148"/>
      <c r="AR206" s="148">
        <f>AP206*AQ206</f>
        <v>0</v>
      </c>
      <c r="AS206" s="148">
        <f>CT206</f>
        <v>0</v>
      </c>
      <c r="AT206" s="149">
        <f>AR206*0.75+AS206*0.25</f>
        <v>0</v>
      </c>
      <c r="AU206" s="150"/>
      <c r="AV206" s="151"/>
      <c r="AW206" s="151"/>
      <c r="AX206" s="152"/>
      <c r="AY206" s="153"/>
      <c r="AZ206" s="140"/>
      <c r="BA206" s="150"/>
      <c r="BB206" s="151"/>
      <c r="BC206" s="151"/>
      <c r="BD206" s="151"/>
      <c r="BE206" s="151"/>
      <c r="BF206" s="151"/>
      <c r="BG206" s="151"/>
      <c r="BH206" s="151"/>
      <c r="BI206" s="152"/>
      <c r="BJ206" s="154"/>
      <c r="BK206" s="151"/>
      <c r="BL206" s="151"/>
      <c r="BM206" s="151"/>
      <c r="BN206" s="151"/>
      <c r="BO206" s="155"/>
      <c r="BP206" s="140"/>
      <c r="BQ206" s="156"/>
      <c r="BR206" s="157"/>
      <c r="BS206" s="158"/>
      <c r="BT206" s="153"/>
      <c r="BU206" s="140"/>
      <c r="BV206" s="140"/>
      <c r="BW206" s="140"/>
      <c r="BX206" s="140"/>
      <c r="BY206" s="140"/>
      <c r="BZ206" s="140"/>
      <c r="CA206" s="140"/>
      <c r="CB206" s="140"/>
      <c r="CC206" s="140"/>
      <c r="CD206" s="150"/>
      <c r="CE206" s="155"/>
      <c r="CF206" s="150"/>
      <c r="CG206" s="152"/>
      <c r="CH206" s="252"/>
      <c r="CI206" s="160"/>
      <c r="CJ206" s="159"/>
      <c r="CK206" s="160"/>
      <c r="CL206" s="159"/>
      <c r="CM206" s="160"/>
      <c r="CN206" s="159"/>
      <c r="CO206" s="160"/>
      <c r="CP206" s="159"/>
      <c r="CQ206" s="162"/>
      <c r="CR206" s="160"/>
      <c r="CS206" s="253">
        <f>SUM(IF(AU206&lt;0,ABS(AU206),0),IF(AZ206&lt;0,ABS(AZ206),0),ABS(CI206),ABS(CK206),ABS(CM206),ABS(CO206),ABS(CQ206),ABS(CR206))</f>
        <v>0</v>
      </c>
      <c r="CT206" s="254">
        <f>SUM(AU206,AV206,AW206,AX206/400,AY206,AZ206,BG206,BH206*0.5,BI206*0.25,BJ206,BK206,BL206,BM206,BN206,BO206,BP206,BR206/20,BS206/100,BT206/60,BU206,BV206,BW206,BX206/4,SUM(BY206:CC216)/3,CE206,CG206/3,CI206,CK206,CM206,CO206,CQ206,CR206)</f>
        <v>0</v>
      </c>
      <c r="CU206" s="255"/>
    </row>
    <row r="207" ht="60.0" hidden="1" customHeight="1">
      <c r="A207" s="65"/>
      <c r="C207" s="167"/>
      <c r="D207" s="205"/>
      <c r="E207" s="262"/>
      <c r="F207" s="170"/>
      <c r="G207" s="170"/>
      <c r="H207" s="170"/>
      <c r="I207" s="170"/>
      <c r="J207" s="170"/>
      <c r="K207" s="171"/>
      <c r="L207" s="171"/>
      <c r="M207" s="171"/>
      <c r="N207" s="209"/>
      <c r="O207" s="172">
        <f t="shared" si="38"/>
        <v>0</v>
      </c>
      <c r="P207" s="166"/>
      <c r="Q207" s="173"/>
      <c r="R207" s="65"/>
      <c r="S207" s="173"/>
      <c r="T207" s="173"/>
      <c r="U207" s="166"/>
      <c r="V207" s="166"/>
      <c r="W207" s="65"/>
      <c r="X207" s="66"/>
      <c r="Y207" s="173"/>
      <c r="Z207" s="166"/>
      <c r="AA207" s="174"/>
      <c r="AB207" s="175"/>
      <c r="AC207" s="175"/>
      <c r="AD207" s="175"/>
      <c r="AE207" s="175"/>
      <c r="AF207" s="175"/>
      <c r="AG207" s="175"/>
      <c r="AH207" s="175"/>
      <c r="AI207" s="176"/>
      <c r="AJ207" s="177"/>
      <c r="AK207" s="178"/>
      <c r="AL207" s="178"/>
      <c r="AM207" s="178"/>
      <c r="AN207" s="178"/>
      <c r="AO207" s="179"/>
      <c r="AP207" s="64"/>
      <c r="AQ207" s="65"/>
      <c r="AR207" s="65"/>
      <c r="AS207" s="65"/>
      <c r="AT207" s="173"/>
      <c r="AU207" s="177"/>
      <c r="AV207" s="178"/>
      <c r="AW207" s="178"/>
      <c r="AX207" s="179"/>
      <c r="AZ207" s="166"/>
      <c r="BA207" s="177"/>
      <c r="BB207" s="178"/>
      <c r="BC207" s="178"/>
      <c r="BD207" s="178"/>
      <c r="BE207" s="178"/>
      <c r="BF207" s="178"/>
      <c r="BG207" s="178"/>
      <c r="BH207" s="178"/>
      <c r="BI207" s="179"/>
      <c r="BJ207" s="180"/>
      <c r="BK207" s="178"/>
      <c r="BL207" s="178"/>
      <c r="BM207" s="178"/>
      <c r="BN207" s="178"/>
      <c r="BO207" s="181"/>
      <c r="BP207" s="166"/>
      <c r="BQ207" s="177"/>
      <c r="BR207" s="178"/>
      <c r="BS207" s="179"/>
      <c r="BU207" s="166"/>
      <c r="BV207" s="166"/>
      <c r="BW207" s="166"/>
      <c r="BX207" s="166"/>
      <c r="BY207" s="166"/>
      <c r="BZ207" s="166"/>
      <c r="CA207" s="166"/>
      <c r="CB207" s="166"/>
      <c r="CC207" s="166"/>
      <c r="CD207" s="177"/>
      <c r="CE207" s="181"/>
      <c r="CF207" s="177"/>
      <c r="CG207" s="179"/>
      <c r="CH207" s="257"/>
      <c r="CI207" s="182"/>
      <c r="CJ207" s="177"/>
      <c r="CK207" s="182"/>
      <c r="CL207" s="177"/>
      <c r="CM207" s="182"/>
      <c r="CN207" s="177"/>
      <c r="CO207" s="182"/>
      <c r="CP207" s="177"/>
      <c r="CQ207" s="178"/>
      <c r="CR207" s="182"/>
      <c r="CS207" s="173"/>
      <c r="CT207" s="65"/>
      <c r="CU207" s="271"/>
    </row>
    <row r="208" ht="60.0" hidden="1" customHeight="1">
      <c r="A208" s="65"/>
      <c r="C208" s="167"/>
      <c r="D208" s="205"/>
      <c r="E208" s="262"/>
      <c r="F208" s="170"/>
      <c r="G208" s="170"/>
      <c r="H208" s="170"/>
      <c r="I208" s="170"/>
      <c r="J208" s="170"/>
      <c r="K208" s="171"/>
      <c r="L208" s="171"/>
      <c r="M208" s="171"/>
      <c r="N208" s="209"/>
      <c r="O208" s="172">
        <f t="shared" si="38"/>
        <v>0</v>
      </c>
      <c r="P208" s="166"/>
      <c r="Q208" s="173"/>
      <c r="R208" s="65"/>
      <c r="S208" s="173"/>
      <c r="T208" s="173"/>
      <c r="U208" s="166"/>
      <c r="V208" s="166"/>
      <c r="W208" s="65"/>
      <c r="X208" s="66"/>
      <c r="Y208" s="173"/>
      <c r="Z208" s="166"/>
      <c r="AA208" s="174"/>
      <c r="AB208" s="175"/>
      <c r="AC208" s="175"/>
      <c r="AD208" s="175"/>
      <c r="AE208" s="175"/>
      <c r="AF208" s="175"/>
      <c r="AG208" s="175"/>
      <c r="AH208" s="175"/>
      <c r="AI208" s="176"/>
      <c r="AJ208" s="177"/>
      <c r="AK208" s="178"/>
      <c r="AL208" s="178"/>
      <c r="AM208" s="178"/>
      <c r="AN208" s="178"/>
      <c r="AO208" s="179"/>
      <c r="AP208" s="64"/>
      <c r="AQ208" s="65"/>
      <c r="AR208" s="65"/>
      <c r="AS208" s="65"/>
      <c r="AT208" s="173"/>
      <c r="AU208" s="177"/>
      <c r="AV208" s="178"/>
      <c r="AW208" s="178"/>
      <c r="AX208" s="179"/>
      <c r="AZ208" s="166"/>
      <c r="BA208" s="177"/>
      <c r="BB208" s="178"/>
      <c r="BC208" s="178"/>
      <c r="BD208" s="178"/>
      <c r="BE208" s="178"/>
      <c r="BF208" s="178"/>
      <c r="BG208" s="178"/>
      <c r="BH208" s="178"/>
      <c r="BI208" s="179"/>
      <c r="BJ208" s="180"/>
      <c r="BK208" s="178"/>
      <c r="BL208" s="178"/>
      <c r="BM208" s="178"/>
      <c r="BN208" s="178"/>
      <c r="BO208" s="181"/>
      <c r="BP208" s="166"/>
      <c r="BQ208" s="177"/>
      <c r="BR208" s="178"/>
      <c r="BS208" s="179"/>
      <c r="BU208" s="166"/>
      <c r="BV208" s="166"/>
      <c r="BW208" s="166"/>
      <c r="BX208" s="166"/>
      <c r="BY208" s="166"/>
      <c r="BZ208" s="166"/>
      <c r="CA208" s="166"/>
      <c r="CB208" s="166"/>
      <c r="CC208" s="166"/>
      <c r="CD208" s="177"/>
      <c r="CE208" s="181"/>
      <c r="CF208" s="177"/>
      <c r="CG208" s="179"/>
      <c r="CH208" s="257"/>
      <c r="CI208" s="182"/>
      <c r="CJ208" s="177"/>
      <c r="CK208" s="182"/>
      <c r="CL208" s="177"/>
      <c r="CM208" s="182"/>
      <c r="CN208" s="177"/>
      <c r="CO208" s="182"/>
      <c r="CP208" s="177"/>
      <c r="CQ208" s="178"/>
      <c r="CR208" s="182"/>
      <c r="CS208" s="173"/>
      <c r="CT208" s="65"/>
      <c r="CU208" s="271"/>
    </row>
    <row r="209" ht="60.0" hidden="1" customHeight="1">
      <c r="A209" s="65"/>
      <c r="C209" s="167"/>
      <c r="D209" s="205"/>
      <c r="E209" s="262"/>
      <c r="F209" s="170"/>
      <c r="G209" s="170"/>
      <c r="H209" s="170"/>
      <c r="I209" s="170"/>
      <c r="J209" s="170"/>
      <c r="K209" s="171"/>
      <c r="L209" s="171"/>
      <c r="M209" s="171"/>
      <c r="N209" s="209"/>
      <c r="O209" s="172">
        <f t="shared" si="38"/>
        <v>0</v>
      </c>
      <c r="P209" s="166"/>
      <c r="Q209" s="173"/>
      <c r="R209" s="65"/>
      <c r="S209" s="173"/>
      <c r="T209" s="173"/>
      <c r="U209" s="166"/>
      <c r="V209" s="166"/>
      <c r="W209" s="65"/>
      <c r="X209" s="66"/>
      <c r="Y209" s="173"/>
      <c r="Z209" s="166"/>
      <c r="AA209" s="174"/>
      <c r="AB209" s="175"/>
      <c r="AC209" s="175"/>
      <c r="AD209" s="175"/>
      <c r="AE209" s="175"/>
      <c r="AF209" s="175"/>
      <c r="AG209" s="175"/>
      <c r="AH209" s="175"/>
      <c r="AI209" s="176"/>
      <c r="AJ209" s="177"/>
      <c r="AK209" s="178"/>
      <c r="AL209" s="178"/>
      <c r="AM209" s="178"/>
      <c r="AN209" s="178"/>
      <c r="AO209" s="179"/>
      <c r="AP209" s="64"/>
      <c r="AQ209" s="65"/>
      <c r="AR209" s="65"/>
      <c r="AS209" s="65"/>
      <c r="AT209" s="173"/>
      <c r="AU209" s="177"/>
      <c r="AV209" s="178"/>
      <c r="AW209" s="178"/>
      <c r="AX209" s="179"/>
      <c r="AZ209" s="166"/>
      <c r="BA209" s="177"/>
      <c r="BB209" s="178"/>
      <c r="BC209" s="178"/>
      <c r="BD209" s="178"/>
      <c r="BE209" s="178"/>
      <c r="BF209" s="178"/>
      <c r="BG209" s="178"/>
      <c r="BH209" s="178"/>
      <c r="BI209" s="179"/>
      <c r="BJ209" s="180"/>
      <c r="BK209" s="178"/>
      <c r="BL209" s="178"/>
      <c r="BM209" s="178"/>
      <c r="BN209" s="178"/>
      <c r="BO209" s="181"/>
      <c r="BP209" s="166"/>
      <c r="BQ209" s="177"/>
      <c r="BR209" s="178"/>
      <c r="BS209" s="179"/>
      <c r="BU209" s="166"/>
      <c r="BV209" s="166"/>
      <c r="BW209" s="166"/>
      <c r="BX209" s="166"/>
      <c r="BY209" s="166"/>
      <c r="BZ209" s="166"/>
      <c r="CA209" s="166"/>
      <c r="CB209" s="166"/>
      <c r="CC209" s="166"/>
      <c r="CD209" s="177"/>
      <c r="CE209" s="181"/>
      <c r="CF209" s="177"/>
      <c r="CG209" s="179"/>
      <c r="CH209" s="257"/>
      <c r="CI209" s="182"/>
      <c r="CJ209" s="177"/>
      <c r="CK209" s="182"/>
      <c r="CL209" s="177"/>
      <c r="CM209" s="182"/>
      <c r="CN209" s="177"/>
      <c r="CO209" s="182"/>
      <c r="CP209" s="177"/>
      <c r="CQ209" s="178"/>
      <c r="CR209" s="182"/>
      <c r="CS209" s="173"/>
      <c r="CT209" s="65"/>
      <c r="CU209" s="271"/>
    </row>
    <row r="210" ht="60.0" hidden="1" customHeight="1">
      <c r="A210" s="65"/>
      <c r="C210" s="167"/>
      <c r="D210" s="205"/>
      <c r="E210" s="262"/>
      <c r="F210" s="170"/>
      <c r="G210" s="170"/>
      <c r="H210" s="170"/>
      <c r="I210" s="170"/>
      <c r="J210" s="170"/>
      <c r="K210" s="171"/>
      <c r="L210" s="171"/>
      <c r="M210" s="171"/>
      <c r="N210" s="209"/>
      <c r="O210" s="172">
        <f t="shared" si="38"/>
        <v>0</v>
      </c>
      <c r="P210" s="166"/>
      <c r="Q210" s="173"/>
      <c r="R210" s="65"/>
      <c r="S210" s="173"/>
      <c r="T210" s="173"/>
      <c r="U210" s="166"/>
      <c r="V210" s="166"/>
      <c r="W210" s="65"/>
      <c r="X210" s="66"/>
      <c r="Y210" s="173"/>
      <c r="Z210" s="166"/>
      <c r="AA210" s="174"/>
      <c r="AB210" s="175"/>
      <c r="AC210" s="175"/>
      <c r="AD210" s="175"/>
      <c r="AE210" s="175"/>
      <c r="AF210" s="175"/>
      <c r="AG210" s="175"/>
      <c r="AH210" s="175"/>
      <c r="AI210" s="176"/>
      <c r="AJ210" s="177"/>
      <c r="AK210" s="178"/>
      <c r="AL210" s="178"/>
      <c r="AM210" s="178"/>
      <c r="AN210" s="178"/>
      <c r="AO210" s="179"/>
      <c r="AP210" s="64"/>
      <c r="AQ210" s="65"/>
      <c r="AR210" s="65"/>
      <c r="AS210" s="65"/>
      <c r="AT210" s="173"/>
      <c r="AU210" s="177"/>
      <c r="AV210" s="178"/>
      <c r="AW210" s="178"/>
      <c r="AX210" s="179"/>
      <c r="AZ210" s="166"/>
      <c r="BA210" s="177"/>
      <c r="BB210" s="178"/>
      <c r="BC210" s="178"/>
      <c r="BD210" s="178"/>
      <c r="BE210" s="178"/>
      <c r="BF210" s="178"/>
      <c r="BG210" s="178"/>
      <c r="BH210" s="178"/>
      <c r="BI210" s="179"/>
      <c r="BJ210" s="180"/>
      <c r="BK210" s="178"/>
      <c r="BL210" s="178"/>
      <c r="BM210" s="178"/>
      <c r="BN210" s="178"/>
      <c r="BO210" s="181"/>
      <c r="BP210" s="166"/>
      <c r="BQ210" s="177"/>
      <c r="BR210" s="178"/>
      <c r="BS210" s="179"/>
      <c r="BU210" s="166"/>
      <c r="BV210" s="166"/>
      <c r="BW210" s="166"/>
      <c r="BX210" s="166"/>
      <c r="BY210" s="166"/>
      <c r="BZ210" s="166"/>
      <c r="CA210" s="166"/>
      <c r="CB210" s="166"/>
      <c r="CC210" s="166"/>
      <c r="CD210" s="177"/>
      <c r="CE210" s="181"/>
      <c r="CF210" s="177"/>
      <c r="CG210" s="179"/>
      <c r="CH210" s="257"/>
      <c r="CI210" s="182"/>
      <c r="CJ210" s="177"/>
      <c r="CK210" s="182"/>
      <c r="CL210" s="177"/>
      <c r="CM210" s="182"/>
      <c r="CN210" s="177"/>
      <c r="CO210" s="182"/>
      <c r="CP210" s="177"/>
      <c r="CQ210" s="178"/>
      <c r="CR210" s="182"/>
      <c r="CS210" s="173"/>
      <c r="CT210" s="65"/>
      <c r="CU210" s="271"/>
    </row>
    <row r="211" ht="60.0" hidden="1" customHeight="1">
      <c r="A211" s="65"/>
      <c r="C211" s="167"/>
      <c r="D211" s="205"/>
      <c r="E211" s="262"/>
      <c r="F211" s="170"/>
      <c r="G211" s="170"/>
      <c r="H211" s="170"/>
      <c r="I211" s="170"/>
      <c r="J211" s="170"/>
      <c r="K211" s="171"/>
      <c r="L211" s="171"/>
      <c r="M211" s="171"/>
      <c r="N211" s="209"/>
      <c r="O211" s="172">
        <f t="shared" si="38"/>
        <v>0</v>
      </c>
      <c r="P211" s="166"/>
      <c r="Q211" s="173"/>
      <c r="R211" s="65"/>
      <c r="S211" s="173"/>
      <c r="T211" s="173"/>
      <c r="U211" s="166"/>
      <c r="V211" s="166"/>
      <c r="W211" s="65"/>
      <c r="X211" s="66"/>
      <c r="Y211" s="173"/>
      <c r="Z211" s="166"/>
      <c r="AA211" s="174"/>
      <c r="AB211" s="175"/>
      <c r="AC211" s="175"/>
      <c r="AD211" s="175"/>
      <c r="AE211" s="175"/>
      <c r="AF211" s="175"/>
      <c r="AG211" s="175"/>
      <c r="AH211" s="175"/>
      <c r="AI211" s="176"/>
      <c r="AJ211" s="177"/>
      <c r="AK211" s="178"/>
      <c r="AL211" s="178"/>
      <c r="AM211" s="178"/>
      <c r="AN211" s="178"/>
      <c r="AO211" s="179"/>
      <c r="AP211" s="64"/>
      <c r="AQ211" s="65"/>
      <c r="AR211" s="65"/>
      <c r="AS211" s="65"/>
      <c r="AT211" s="173"/>
      <c r="AU211" s="177"/>
      <c r="AV211" s="178"/>
      <c r="AW211" s="178"/>
      <c r="AX211" s="179"/>
      <c r="AZ211" s="166"/>
      <c r="BA211" s="177"/>
      <c r="BB211" s="178"/>
      <c r="BC211" s="178"/>
      <c r="BD211" s="178"/>
      <c r="BE211" s="178"/>
      <c r="BF211" s="178"/>
      <c r="BG211" s="178"/>
      <c r="BH211" s="178"/>
      <c r="BI211" s="179"/>
      <c r="BJ211" s="180"/>
      <c r="BK211" s="178"/>
      <c r="BL211" s="178"/>
      <c r="BM211" s="178"/>
      <c r="BN211" s="178"/>
      <c r="BO211" s="181"/>
      <c r="BP211" s="166"/>
      <c r="BQ211" s="177"/>
      <c r="BR211" s="178"/>
      <c r="BS211" s="179"/>
      <c r="BU211" s="166"/>
      <c r="BV211" s="166"/>
      <c r="BW211" s="166"/>
      <c r="BX211" s="166"/>
      <c r="BY211" s="166"/>
      <c r="BZ211" s="166"/>
      <c r="CA211" s="166"/>
      <c r="CB211" s="166"/>
      <c r="CC211" s="166"/>
      <c r="CD211" s="177"/>
      <c r="CE211" s="181"/>
      <c r="CF211" s="177"/>
      <c r="CG211" s="179"/>
      <c r="CH211" s="257"/>
      <c r="CI211" s="182"/>
      <c r="CJ211" s="177"/>
      <c r="CK211" s="182"/>
      <c r="CL211" s="177"/>
      <c r="CM211" s="182"/>
      <c r="CN211" s="177"/>
      <c r="CO211" s="182"/>
      <c r="CP211" s="177"/>
      <c r="CQ211" s="178"/>
      <c r="CR211" s="182"/>
      <c r="CS211" s="173"/>
      <c r="CT211" s="65"/>
      <c r="CU211" s="271"/>
    </row>
    <row r="212" ht="60.0" hidden="1" customHeight="1">
      <c r="A212" s="65"/>
      <c r="C212" s="167"/>
      <c r="D212" s="205"/>
      <c r="E212" s="262"/>
      <c r="F212" s="170"/>
      <c r="G212" s="170"/>
      <c r="H212" s="170"/>
      <c r="I212" s="170"/>
      <c r="J212" s="170"/>
      <c r="K212" s="171"/>
      <c r="L212" s="171"/>
      <c r="M212" s="171"/>
      <c r="N212" s="209"/>
      <c r="O212" s="172">
        <f t="shared" ref="O212:O215" si="39">IF(AND(M212&gt;=20,M212&lt;&gt;"m",RIGHT(K212,3)="Lec"),1,IF(AND(M212&gt;=20,M212&lt;&gt;"m",OR(RIGHT(K212,3)="Lab",RIGHT(K212,3)="Tut")),0.5,IF(AND(M212&gt;=20,M212&lt;&gt;"m",RIGHT(K212,2)="TL"),0.75,0)))</f>
        <v>0</v>
      </c>
      <c r="P212" s="166"/>
      <c r="Q212" s="173"/>
      <c r="R212" s="65"/>
      <c r="S212" s="173"/>
      <c r="T212" s="173"/>
      <c r="U212" s="166"/>
      <c r="V212" s="166"/>
      <c r="W212" s="65"/>
      <c r="X212" s="66"/>
      <c r="Y212" s="173"/>
      <c r="Z212" s="166"/>
      <c r="AA212" s="174"/>
      <c r="AB212" s="175"/>
      <c r="AC212" s="175"/>
      <c r="AD212" s="175"/>
      <c r="AE212" s="175"/>
      <c r="AF212" s="175"/>
      <c r="AG212" s="175"/>
      <c r="AH212" s="175"/>
      <c r="AI212" s="176"/>
      <c r="AJ212" s="177"/>
      <c r="AK212" s="178"/>
      <c r="AL212" s="178"/>
      <c r="AM212" s="178"/>
      <c r="AN212" s="178"/>
      <c r="AO212" s="179"/>
      <c r="AP212" s="64"/>
      <c r="AQ212" s="65"/>
      <c r="AR212" s="65"/>
      <c r="AS212" s="65"/>
      <c r="AT212" s="173"/>
      <c r="AU212" s="177"/>
      <c r="AV212" s="178"/>
      <c r="AW212" s="178"/>
      <c r="AX212" s="179"/>
      <c r="AZ212" s="166"/>
      <c r="BA212" s="177"/>
      <c r="BB212" s="178"/>
      <c r="BC212" s="178"/>
      <c r="BD212" s="178"/>
      <c r="BE212" s="178"/>
      <c r="BF212" s="178"/>
      <c r="BG212" s="178"/>
      <c r="BH212" s="178"/>
      <c r="BI212" s="179"/>
      <c r="BJ212" s="180"/>
      <c r="BK212" s="178"/>
      <c r="BL212" s="178"/>
      <c r="BM212" s="178"/>
      <c r="BN212" s="178"/>
      <c r="BO212" s="181"/>
      <c r="BP212" s="166"/>
      <c r="BQ212" s="177"/>
      <c r="BR212" s="178"/>
      <c r="BS212" s="179"/>
      <c r="BU212" s="166"/>
      <c r="BV212" s="166"/>
      <c r="BW212" s="166"/>
      <c r="BX212" s="166"/>
      <c r="BY212" s="166"/>
      <c r="BZ212" s="166"/>
      <c r="CA212" s="166"/>
      <c r="CB212" s="166"/>
      <c r="CC212" s="166"/>
      <c r="CD212" s="177"/>
      <c r="CE212" s="181"/>
      <c r="CF212" s="177"/>
      <c r="CG212" s="179"/>
      <c r="CH212" s="257"/>
      <c r="CI212" s="182"/>
      <c r="CJ212" s="177"/>
      <c r="CK212" s="182"/>
      <c r="CL212" s="177"/>
      <c r="CM212" s="182"/>
      <c r="CN212" s="177"/>
      <c r="CO212" s="182"/>
      <c r="CP212" s="177"/>
      <c r="CQ212" s="178"/>
      <c r="CR212" s="182"/>
      <c r="CS212" s="173"/>
      <c r="CT212" s="65"/>
      <c r="CU212" s="271"/>
    </row>
    <row r="213" ht="60.0" hidden="1" customHeight="1">
      <c r="A213" s="65"/>
      <c r="C213" s="167"/>
      <c r="D213" s="205"/>
      <c r="E213" s="262"/>
      <c r="F213" s="170"/>
      <c r="G213" s="170"/>
      <c r="H213" s="170"/>
      <c r="I213" s="170"/>
      <c r="J213" s="170"/>
      <c r="K213" s="171"/>
      <c r="L213" s="171"/>
      <c r="M213" s="171"/>
      <c r="N213" s="209"/>
      <c r="O213" s="172">
        <f t="shared" si="39"/>
        <v>0</v>
      </c>
      <c r="P213" s="166"/>
      <c r="Q213" s="173"/>
      <c r="R213" s="65"/>
      <c r="S213" s="173"/>
      <c r="T213" s="173"/>
      <c r="U213" s="166"/>
      <c r="V213" s="166"/>
      <c r="W213" s="65"/>
      <c r="X213" s="66"/>
      <c r="Y213" s="173"/>
      <c r="Z213" s="166"/>
      <c r="AA213" s="174"/>
      <c r="AB213" s="175"/>
      <c r="AC213" s="175"/>
      <c r="AD213" s="175"/>
      <c r="AE213" s="175"/>
      <c r="AF213" s="175"/>
      <c r="AG213" s="175"/>
      <c r="AH213" s="175"/>
      <c r="AI213" s="176"/>
      <c r="AJ213" s="177"/>
      <c r="AK213" s="178"/>
      <c r="AL213" s="178"/>
      <c r="AM213" s="178"/>
      <c r="AN213" s="178"/>
      <c r="AO213" s="179"/>
      <c r="AP213" s="64"/>
      <c r="AQ213" s="65"/>
      <c r="AR213" s="65"/>
      <c r="AS213" s="65"/>
      <c r="AT213" s="173"/>
      <c r="AU213" s="177"/>
      <c r="AV213" s="178"/>
      <c r="AW213" s="178"/>
      <c r="AX213" s="179"/>
      <c r="AZ213" s="166"/>
      <c r="BA213" s="177"/>
      <c r="BB213" s="178"/>
      <c r="BC213" s="178"/>
      <c r="BD213" s="178"/>
      <c r="BE213" s="178"/>
      <c r="BF213" s="178"/>
      <c r="BG213" s="178"/>
      <c r="BH213" s="178"/>
      <c r="BI213" s="179"/>
      <c r="BJ213" s="180"/>
      <c r="BK213" s="178"/>
      <c r="BL213" s="178"/>
      <c r="BM213" s="178"/>
      <c r="BN213" s="178"/>
      <c r="BO213" s="181"/>
      <c r="BP213" s="166"/>
      <c r="BQ213" s="177"/>
      <c r="BR213" s="178"/>
      <c r="BS213" s="179"/>
      <c r="BU213" s="166"/>
      <c r="BV213" s="166"/>
      <c r="BW213" s="166"/>
      <c r="BX213" s="166"/>
      <c r="BY213" s="166"/>
      <c r="BZ213" s="166"/>
      <c r="CA213" s="166"/>
      <c r="CB213" s="166"/>
      <c r="CC213" s="166"/>
      <c r="CD213" s="177"/>
      <c r="CE213" s="181"/>
      <c r="CF213" s="177"/>
      <c r="CG213" s="179"/>
      <c r="CH213" s="257"/>
      <c r="CI213" s="182"/>
      <c r="CJ213" s="177"/>
      <c r="CK213" s="182"/>
      <c r="CL213" s="177"/>
      <c r="CM213" s="182"/>
      <c r="CN213" s="177"/>
      <c r="CO213" s="182"/>
      <c r="CP213" s="177"/>
      <c r="CQ213" s="178"/>
      <c r="CR213" s="182"/>
      <c r="CS213" s="173"/>
      <c r="CT213" s="65"/>
      <c r="CU213" s="271"/>
    </row>
    <row r="214" ht="60.0" hidden="1" customHeight="1">
      <c r="A214" s="65"/>
      <c r="C214" s="167"/>
      <c r="D214" s="205"/>
      <c r="E214" s="262"/>
      <c r="F214" s="170"/>
      <c r="G214" s="170"/>
      <c r="H214" s="170"/>
      <c r="I214" s="170"/>
      <c r="J214" s="170"/>
      <c r="K214" s="171"/>
      <c r="L214" s="171"/>
      <c r="M214" s="171"/>
      <c r="N214" s="209"/>
      <c r="O214" s="172">
        <f t="shared" si="39"/>
        <v>0</v>
      </c>
      <c r="P214" s="166"/>
      <c r="Q214" s="173"/>
      <c r="R214" s="65"/>
      <c r="S214" s="173"/>
      <c r="T214" s="173"/>
      <c r="U214" s="166"/>
      <c r="V214" s="166"/>
      <c r="W214" s="65"/>
      <c r="X214" s="66"/>
      <c r="Y214" s="173"/>
      <c r="Z214" s="166"/>
      <c r="AA214" s="174"/>
      <c r="AB214" s="175"/>
      <c r="AC214" s="175"/>
      <c r="AD214" s="175"/>
      <c r="AE214" s="175"/>
      <c r="AF214" s="175"/>
      <c r="AG214" s="175"/>
      <c r="AH214" s="175"/>
      <c r="AI214" s="176"/>
      <c r="AJ214" s="177"/>
      <c r="AK214" s="178"/>
      <c r="AL214" s="178"/>
      <c r="AM214" s="178"/>
      <c r="AN214" s="178"/>
      <c r="AO214" s="179"/>
      <c r="AP214" s="64"/>
      <c r="AQ214" s="65"/>
      <c r="AR214" s="65"/>
      <c r="AS214" s="65"/>
      <c r="AT214" s="173"/>
      <c r="AU214" s="177"/>
      <c r="AV214" s="178"/>
      <c r="AW214" s="178"/>
      <c r="AX214" s="179"/>
      <c r="AZ214" s="166"/>
      <c r="BA214" s="177"/>
      <c r="BB214" s="178"/>
      <c r="BC214" s="178"/>
      <c r="BD214" s="178"/>
      <c r="BE214" s="178"/>
      <c r="BF214" s="178"/>
      <c r="BG214" s="178"/>
      <c r="BH214" s="178"/>
      <c r="BI214" s="179"/>
      <c r="BJ214" s="180"/>
      <c r="BK214" s="178"/>
      <c r="BL214" s="178"/>
      <c r="BM214" s="178"/>
      <c r="BN214" s="178"/>
      <c r="BO214" s="181"/>
      <c r="BP214" s="166"/>
      <c r="BQ214" s="177"/>
      <c r="BR214" s="178"/>
      <c r="BS214" s="179"/>
      <c r="BU214" s="166"/>
      <c r="BV214" s="166"/>
      <c r="BW214" s="166"/>
      <c r="BX214" s="166"/>
      <c r="BY214" s="166"/>
      <c r="BZ214" s="166"/>
      <c r="CA214" s="166"/>
      <c r="CB214" s="166"/>
      <c r="CC214" s="166"/>
      <c r="CD214" s="177"/>
      <c r="CE214" s="181"/>
      <c r="CF214" s="177"/>
      <c r="CG214" s="179"/>
      <c r="CH214" s="257"/>
      <c r="CI214" s="182"/>
      <c r="CJ214" s="177"/>
      <c r="CK214" s="182"/>
      <c r="CL214" s="177"/>
      <c r="CM214" s="182"/>
      <c r="CN214" s="177"/>
      <c r="CO214" s="182"/>
      <c r="CP214" s="177"/>
      <c r="CQ214" s="178"/>
      <c r="CR214" s="182"/>
      <c r="CS214" s="173"/>
      <c r="CT214" s="65"/>
      <c r="CU214" s="271"/>
    </row>
    <row r="215" ht="60.0" hidden="1" customHeight="1">
      <c r="A215" s="65"/>
      <c r="C215" s="167"/>
      <c r="D215" s="205"/>
      <c r="E215" s="262"/>
      <c r="F215" s="170"/>
      <c r="G215" s="170"/>
      <c r="H215" s="170"/>
      <c r="I215" s="170"/>
      <c r="J215" s="170"/>
      <c r="K215" s="171"/>
      <c r="L215" s="171"/>
      <c r="M215" s="171"/>
      <c r="N215" s="209"/>
      <c r="O215" s="172">
        <f t="shared" si="39"/>
        <v>0</v>
      </c>
      <c r="P215" s="166"/>
      <c r="Q215" s="173"/>
      <c r="R215" s="65"/>
      <c r="S215" s="173"/>
      <c r="T215" s="173"/>
      <c r="U215" s="166"/>
      <c r="V215" s="166"/>
      <c r="W215" s="65"/>
      <c r="X215" s="66"/>
      <c r="Y215" s="173"/>
      <c r="Z215" s="166"/>
      <c r="AA215" s="174"/>
      <c r="AB215" s="175"/>
      <c r="AC215" s="175"/>
      <c r="AD215" s="175"/>
      <c r="AE215" s="175"/>
      <c r="AF215" s="175"/>
      <c r="AG215" s="175"/>
      <c r="AH215" s="175"/>
      <c r="AI215" s="176"/>
      <c r="AJ215" s="177"/>
      <c r="AK215" s="178"/>
      <c r="AL215" s="178"/>
      <c r="AM215" s="178"/>
      <c r="AN215" s="178"/>
      <c r="AO215" s="179"/>
      <c r="AP215" s="64"/>
      <c r="AQ215" s="65"/>
      <c r="AR215" s="65"/>
      <c r="AS215" s="65"/>
      <c r="AT215" s="173"/>
      <c r="AU215" s="177"/>
      <c r="AV215" s="178"/>
      <c r="AW215" s="178"/>
      <c r="AX215" s="179"/>
      <c r="AZ215" s="166"/>
      <c r="BA215" s="177"/>
      <c r="BB215" s="178"/>
      <c r="BC215" s="178"/>
      <c r="BD215" s="178"/>
      <c r="BE215" s="178"/>
      <c r="BF215" s="178"/>
      <c r="BG215" s="178"/>
      <c r="BH215" s="178"/>
      <c r="BI215" s="179"/>
      <c r="BJ215" s="180"/>
      <c r="BK215" s="178"/>
      <c r="BL215" s="178"/>
      <c r="BM215" s="178"/>
      <c r="BN215" s="178"/>
      <c r="BO215" s="181"/>
      <c r="BP215" s="166"/>
      <c r="BQ215" s="177"/>
      <c r="BR215" s="178"/>
      <c r="BS215" s="179"/>
      <c r="BU215" s="166"/>
      <c r="BV215" s="166"/>
      <c r="BW215" s="166"/>
      <c r="BX215" s="166"/>
      <c r="BY215" s="166"/>
      <c r="BZ215" s="166"/>
      <c r="CA215" s="166"/>
      <c r="CB215" s="166"/>
      <c r="CC215" s="166"/>
      <c r="CD215" s="177"/>
      <c r="CE215" s="181"/>
      <c r="CF215" s="177"/>
      <c r="CG215" s="179"/>
      <c r="CH215" s="257"/>
      <c r="CI215" s="182"/>
      <c r="CJ215" s="177"/>
      <c r="CK215" s="182"/>
      <c r="CL215" s="177"/>
      <c r="CM215" s="182"/>
      <c r="CN215" s="177"/>
      <c r="CO215" s="182"/>
      <c r="CP215" s="177"/>
      <c r="CQ215" s="178"/>
      <c r="CR215" s="182"/>
      <c r="CS215" s="173"/>
      <c r="CT215" s="65"/>
      <c r="CU215" s="271"/>
    </row>
    <row r="216" ht="60.0" hidden="1" customHeight="1">
      <c r="A216" s="89"/>
      <c r="B216" s="6"/>
      <c r="C216" s="183"/>
      <c r="D216" s="210"/>
      <c r="E216" s="263"/>
      <c r="F216" s="186"/>
      <c r="G216" s="186"/>
      <c r="H216" s="186"/>
      <c r="I216" s="186"/>
      <c r="J216" s="186"/>
      <c r="K216" s="187"/>
      <c r="L216" s="187"/>
      <c r="M216" s="187"/>
      <c r="N216" s="214"/>
      <c r="O216" s="188">
        <f t="shared" ref="O216:O222" si="40">IF(AND(M216&lt;&gt;0,M216&lt;&gt;"m",M216&lt;&gt;"",RIGHT(K216,3)="Lec"),1,IF(AND(M216&lt;&gt;0,M216&lt;&gt;"m",M216&lt;&gt;"",OR(RIGHT(K216,3)="Lab",RIGHT(K216,3)="Tut")),0.5,IF(AND(M216&lt;&gt;0,M216&lt;&gt;"m",M216&lt;&gt;"",RIGHT(K216,2)="TL"),0.75,0)))</f>
        <v>0</v>
      </c>
      <c r="P216" s="63"/>
      <c r="Q216" s="69"/>
      <c r="R216" s="89"/>
      <c r="S216" s="69"/>
      <c r="T216" s="69"/>
      <c r="U216" s="63"/>
      <c r="V216" s="63"/>
      <c r="W216" s="89"/>
      <c r="X216" s="68"/>
      <c r="Y216" s="69"/>
      <c r="Z216" s="63"/>
      <c r="AA216" s="189"/>
      <c r="AB216" s="190"/>
      <c r="AC216" s="190"/>
      <c r="AD216" s="190"/>
      <c r="AE216" s="190"/>
      <c r="AF216" s="190"/>
      <c r="AG216" s="190"/>
      <c r="AH216" s="190"/>
      <c r="AI216" s="191"/>
      <c r="AJ216" s="192"/>
      <c r="AK216" s="193"/>
      <c r="AL216" s="193"/>
      <c r="AM216" s="193"/>
      <c r="AN216" s="193"/>
      <c r="AO216" s="194"/>
      <c r="AP216" s="103"/>
      <c r="AQ216" s="89"/>
      <c r="AR216" s="89"/>
      <c r="AS216" s="89"/>
      <c r="AT216" s="69"/>
      <c r="AU216" s="192"/>
      <c r="AV216" s="193"/>
      <c r="AW216" s="193"/>
      <c r="AX216" s="194"/>
      <c r="AY216" s="6"/>
      <c r="AZ216" s="63"/>
      <c r="BA216" s="192"/>
      <c r="BB216" s="193"/>
      <c r="BC216" s="193"/>
      <c r="BD216" s="193"/>
      <c r="BE216" s="193"/>
      <c r="BF216" s="193"/>
      <c r="BG216" s="193"/>
      <c r="BH216" s="193"/>
      <c r="BI216" s="194"/>
      <c r="BJ216" s="195"/>
      <c r="BK216" s="193"/>
      <c r="BL216" s="193"/>
      <c r="BM216" s="193"/>
      <c r="BN216" s="193"/>
      <c r="BO216" s="196"/>
      <c r="BP216" s="63"/>
      <c r="BQ216" s="192"/>
      <c r="BR216" s="193"/>
      <c r="BS216" s="194"/>
      <c r="BT216" s="6"/>
      <c r="BU216" s="63"/>
      <c r="BV216" s="63"/>
      <c r="BW216" s="63"/>
      <c r="BX216" s="63"/>
      <c r="BY216" s="63"/>
      <c r="BZ216" s="63"/>
      <c r="CA216" s="63"/>
      <c r="CB216" s="63"/>
      <c r="CC216" s="63"/>
      <c r="CD216" s="192"/>
      <c r="CE216" s="196"/>
      <c r="CF216" s="192"/>
      <c r="CG216" s="194"/>
      <c r="CH216" s="259"/>
      <c r="CI216" s="197"/>
      <c r="CJ216" s="192"/>
      <c r="CK216" s="197"/>
      <c r="CL216" s="192"/>
      <c r="CM216" s="197"/>
      <c r="CN216" s="192"/>
      <c r="CO216" s="197"/>
      <c r="CP216" s="192"/>
      <c r="CQ216" s="193"/>
      <c r="CR216" s="197"/>
      <c r="CS216" s="69"/>
      <c r="CT216" s="89"/>
      <c r="CU216" s="272"/>
    </row>
    <row r="217" ht="56.25" hidden="1" customHeight="1">
      <c r="A217" s="125">
        <v>20.0</v>
      </c>
      <c r="B217" s="199"/>
      <c r="C217" s="127"/>
      <c r="D217" s="128"/>
      <c r="E217" s="260"/>
      <c r="F217" s="261"/>
      <c r="G217" s="261"/>
      <c r="H217" s="261"/>
      <c r="I217" s="261"/>
      <c r="J217" s="170"/>
      <c r="K217" s="219"/>
      <c r="L217" s="219"/>
      <c r="M217" s="219"/>
      <c r="N217" s="220"/>
      <c r="O217" s="132">
        <f t="shared" si="40"/>
        <v>0</v>
      </c>
      <c r="P217" s="133">
        <f>COUNTIF(K217:K227,"TL")*0.75+COUNTIF(K217:K227,"Lec")*1+COUNTIF(K217:K227,"Lab")*0.5</f>
        <v>0</v>
      </c>
      <c r="Q217" s="134">
        <f>SUM((IF(LEFT(K217,1)="E",O217,0)),(IF(LEFT(K218,1)="E",O218,0)),(IF(LEFT(K219,1)="E",O219,0)),(IF(LEFT(K220,1)="E",O220,0)),(IF(LEFT(K221,1)="E",O221,0)),(IF(LEFT(K222,1)="E",O222,0)),(IF(LEFT(K223,1)="E",O223,0)),(IF(LEFT(K224,1)="E",O224,0)),(IF(LEFT(K225,1)="E",O225,0)),(IF(LEFT(K226,1)="E",O226,0)),(IF(LEFT(K227,1)="E",O227,0)))</f>
        <v>0</v>
      </c>
      <c r="R217" s="135">
        <f>SUM(IF(M223&lt;20,IF(K223="Plec",-1,IF(K223="PTL",-0.75,IF(K223="Plab",-0.5,0))),0),IF(M224&lt;20,IF(K224="Plec",-1,IF(K224="PTL",-0.75,IF(K224="Plab",-0.5,0))),0),IF(M225&lt;20,IF(K225="Plec",-1,IF(K225="PTL",-0.75,IF(K225="Plab",-0.5,0))),0),IF(M226&lt;20,IF(K226="Plec",-1,IF(K226="PTL",-0.75,IF(K226="Plab",-0.5,0))),0))</f>
        <v>0</v>
      </c>
      <c r="S217" s="134">
        <f>SUM(P217:R227)</f>
        <v>0</v>
      </c>
      <c r="T217" s="136">
        <f>SUM(IF(M217="M",IF(OR(K217="lec",K217="plec",K217="slec"),1,IF(OR(K217="lab",K217="plab",K217="slab",K217="tut",K217="ptut",K217="stut"),0.5,IF(OR(K217="TL",K217="pTL",K217="STL"),0.75,0))),0),IF(M218="M",IF(OR(K218="lec",K218="plec",K218="slec"),1,IF(OR(K218="lab",K218="plab",K218="slab",K218="tut",K218="ptut",K218="stut"),0.5,IF(OR(K218="TL",K218="pTL",K218="STL"),0.75,0))),0),IF(M219="M",IF(OR(K219="lec",K219="plec",K219="slec"),1,IF(OR(K219="lab",K219="plab",K219="slab",K219="tut",K219="ptut",K219="stut"),0.5,IF(OR(K219="TL",K219="pTL",K219="STL"),0.75,0))),0),IF(M220="M",IF(OR(K220="lec",K220="plec",K220="slec"),1,IF(OR(K220="lab",K220="plab",K220="slab",K220="tut",K220="ptut",K220="stut"),0.5,IF(OR(K220="TL",K220="pTL",K220="STL"),0.75,0))),0),IF(M221="M",IF(OR(K221="lec",K221="plec",K221="slec"),1,IF(OR(K221="lab",K221="plab",K221="slab",K221="tut",K221="ptut",K221="stut"),0.5,IF(OR(K221="TL",K221="pTL",K221="STL"),0.75,0))),0),IF(M222="M",IF(OR(K222="lec",K222="plec",K222="slec"),1,IF(OR(K222="lab",K222="plab",K222="slab",K222="tut",K222="ptut",K222="stut"),0.5,IF(OR(K222="TL",K222="pTL",K222="STL"),0.75,0))),0),IF(M223="M",IF(OR(K223="lec",K223="plec",K223="slec"),1,IF(OR(K223="lab",K223="plab",K223="slab",K223="tut",K223="ptut",K223="stut"),0.5,IF(OR(K223="TL",K223="pTL",K223="STL"),0.75,0))),0),IF(M224="M",IF(OR(K224="lec",K224="plec",K224="slec"),1,IF(OR(K224="lab",K224="plab",K224="slab",K224="tut",K224="ptut",K224="stut"),0.5,IF(OR(K224="TL",K224="pTL",K224="STL"),0.75,0))),0),IF(M225="M",IF(OR(K225="lec",K225="plec",K225="slec"),1,IF(OR(K225="lab",K225="plab",K225="slab",K225="tut",K225="ptut",K225="stut"),0.5,IF(OR(K225="TL",K225="pTL",K225="STL"),0.75,0))),0),IF(M226="M",IF(OR(K226="lec",K226="plec",K226="slec"),1,IF(OR(K226="lab",K226="plab",K226="slab",K226="tut",K226="ptut",K226="stut"),0.5,IF(OR(K226="TL",K226="pTL",K226="STL"),0.75,0))),0),IF(M227="M",IF(OR(K227="lec",K227="plec",K227="slec"),1,IF(OR(K227="lab",K227="plab",K227="slab",K227="tut",K227="ptut",K227="stut"),0.5,IF(OR(K227="TL",K227="pTL",K227="STL"),0.75,0))),0))</f>
        <v>0</v>
      </c>
      <c r="U217" s="137"/>
      <c r="V217" s="133"/>
      <c r="W217" s="138"/>
      <c r="X217" s="139">
        <f>S217-(T217+U217+V217+W217)</f>
        <v>0</v>
      </c>
      <c r="Y217" s="134" t="str">
        <f>CONCATENATE(SUM(O217:O227),"(",SUM(O217:O227)-X217,")")</f>
        <v>0(0)</v>
      </c>
      <c r="Z217" s="140"/>
      <c r="AA217" s="141"/>
      <c r="AB217" s="142"/>
      <c r="AC217" s="142"/>
      <c r="AD217" s="142"/>
      <c r="AE217" s="142"/>
      <c r="AF217" s="142"/>
      <c r="AG217" s="142"/>
      <c r="AH217" s="142"/>
      <c r="AI217" s="143"/>
      <c r="AJ217" s="144"/>
      <c r="AK217" s="145"/>
      <c r="AL217" s="145"/>
      <c r="AM217" s="145"/>
      <c r="AN217" s="145"/>
      <c r="AO217" s="146"/>
      <c r="AP217" s="147">
        <f>SUM(SUM(O217:O227),SUM(AI217:AI227)/2,AM217)</f>
        <v>0</v>
      </c>
      <c r="AQ217" s="148"/>
      <c r="AR217" s="148">
        <f>AP217*AQ217</f>
        <v>0</v>
      </c>
      <c r="AS217" s="148">
        <f>CT217</f>
        <v>0</v>
      </c>
      <c r="AT217" s="149">
        <f>AR217*0.75+AS217*0.25</f>
        <v>0</v>
      </c>
      <c r="AU217" s="150"/>
      <c r="AV217" s="151"/>
      <c r="AW217" s="151"/>
      <c r="AX217" s="152"/>
      <c r="AY217" s="153"/>
      <c r="AZ217" s="140"/>
      <c r="BA217" s="150"/>
      <c r="BB217" s="151"/>
      <c r="BC217" s="151"/>
      <c r="BD217" s="151"/>
      <c r="BE217" s="151"/>
      <c r="BF217" s="151"/>
      <c r="BG217" s="151"/>
      <c r="BH217" s="151"/>
      <c r="BI217" s="152"/>
      <c r="BJ217" s="154"/>
      <c r="BK217" s="151"/>
      <c r="BL217" s="151"/>
      <c r="BM217" s="151"/>
      <c r="BN217" s="151"/>
      <c r="BO217" s="155"/>
      <c r="BP217" s="140"/>
      <c r="BQ217" s="156"/>
      <c r="BR217" s="157"/>
      <c r="BS217" s="158"/>
      <c r="BT217" s="153"/>
      <c r="BU217" s="140"/>
      <c r="BV217" s="140"/>
      <c r="BW217" s="140"/>
      <c r="BX217" s="140"/>
      <c r="BY217" s="140"/>
      <c r="BZ217" s="140"/>
      <c r="CA217" s="140"/>
      <c r="CB217" s="140"/>
      <c r="CC217" s="140"/>
      <c r="CD217" s="150"/>
      <c r="CE217" s="155"/>
      <c r="CF217" s="150"/>
      <c r="CG217" s="152"/>
      <c r="CH217" s="252"/>
      <c r="CI217" s="160"/>
      <c r="CJ217" s="159"/>
      <c r="CK217" s="160"/>
      <c r="CL217" s="159"/>
      <c r="CM217" s="160"/>
      <c r="CN217" s="159"/>
      <c r="CO217" s="160"/>
      <c r="CP217" s="159"/>
      <c r="CQ217" s="162"/>
      <c r="CR217" s="160"/>
      <c r="CS217" s="253">
        <f>SUM(IF(AU217&lt;0,ABS(AU217),0),IF(AZ217&lt;0,ABS(AZ217),0),ABS(CI217),ABS(CK217),ABS(CM217),ABS(CO217),ABS(CQ217),ABS(CR217))</f>
        <v>0</v>
      </c>
      <c r="CT217" s="254">
        <f>SUM(AU217,AV217,AW217,AX217/400,AY217,AZ217,BG217,BH217*0.5,BI217*0.25,BJ217,BK217,BL217,BM217,BN217,BO217,BP217,BR217/20,BS217/100,BT217/60,BU217,BV217,BW217,BX217/4,SUM(BY217:CC227)/3,CE217,CG217/3,CI217,CK217,CM217,CO217,CQ217,CR217)</f>
        <v>0</v>
      </c>
      <c r="CU217" s="255"/>
    </row>
    <row r="218" ht="60.0" hidden="1" customHeight="1">
      <c r="A218" s="65"/>
      <c r="C218" s="167"/>
      <c r="D218" s="205"/>
      <c r="E218" s="262"/>
      <c r="F218" s="170"/>
      <c r="G218" s="170"/>
      <c r="H218" s="170"/>
      <c r="I218" s="170"/>
      <c r="J218" s="170"/>
      <c r="K218" s="171"/>
      <c r="L218" s="171"/>
      <c r="M218" s="171"/>
      <c r="N218" s="209"/>
      <c r="O218" s="172">
        <f t="shared" si="40"/>
        <v>0</v>
      </c>
      <c r="P218" s="166"/>
      <c r="Q218" s="173"/>
      <c r="R218" s="65"/>
      <c r="S218" s="173"/>
      <c r="T218" s="173"/>
      <c r="U218" s="166"/>
      <c r="V218" s="166"/>
      <c r="W218" s="65"/>
      <c r="X218" s="66"/>
      <c r="Y218" s="173"/>
      <c r="Z218" s="166"/>
      <c r="AA218" s="174"/>
      <c r="AB218" s="175"/>
      <c r="AC218" s="175"/>
      <c r="AD218" s="175"/>
      <c r="AE218" s="175"/>
      <c r="AF218" s="175"/>
      <c r="AG218" s="175"/>
      <c r="AH218" s="175"/>
      <c r="AI218" s="176"/>
      <c r="AJ218" s="177"/>
      <c r="AK218" s="178"/>
      <c r="AL218" s="178"/>
      <c r="AM218" s="178"/>
      <c r="AN218" s="178"/>
      <c r="AO218" s="179"/>
      <c r="AP218" s="64"/>
      <c r="AQ218" s="65"/>
      <c r="AR218" s="65"/>
      <c r="AS218" s="65"/>
      <c r="AT218" s="173"/>
      <c r="AU218" s="177"/>
      <c r="AV218" s="178"/>
      <c r="AW218" s="178"/>
      <c r="AX218" s="179"/>
      <c r="AZ218" s="166"/>
      <c r="BA218" s="177"/>
      <c r="BB218" s="178"/>
      <c r="BC218" s="178"/>
      <c r="BD218" s="178"/>
      <c r="BE218" s="178"/>
      <c r="BF218" s="178"/>
      <c r="BG218" s="178"/>
      <c r="BH218" s="178"/>
      <c r="BI218" s="179"/>
      <c r="BJ218" s="180"/>
      <c r="BK218" s="178"/>
      <c r="BL218" s="178"/>
      <c r="BM218" s="178"/>
      <c r="BN218" s="178"/>
      <c r="BO218" s="181"/>
      <c r="BP218" s="166"/>
      <c r="BQ218" s="177"/>
      <c r="BR218" s="178"/>
      <c r="BS218" s="179"/>
      <c r="BU218" s="166"/>
      <c r="BV218" s="166"/>
      <c r="BW218" s="166"/>
      <c r="BX218" s="166"/>
      <c r="BY218" s="166"/>
      <c r="BZ218" s="166"/>
      <c r="CA218" s="166"/>
      <c r="CB218" s="166"/>
      <c r="CC218" s="166"/>
      <c r="CD218" s="177"/>
      <c r="CE218" s="181"/>
      <c r="CF218" s="177"/>
      <c r="CG218" s="179"/>
      <c r="CH218" s="257"/>
      <c r="CI218" s="182"/>
      <c r="CJ218" s="177"/>
      <c r="CK218" s="182"/>
      <c r="CL218" s="177"/>
      <c r="CM218" s="182"/>
      <c r="CN218" s="177"/>
      <c r="CO218" s="182"/>
      <c r="CP218" s="177"/>
      <c r="CQ218" s="178"/>
      <c r="CR218" s="182"/>
      <c r="CS218" s="173"/>
      <c r="CT218" s="65"/>
      <c r="CU218" s="271"/>
    </row>
    <row r="219" ht="60.0" hidden="1" customHeight="1">
      <c r="A219" s="65"/>
      <c r="C219" s="167"/>
      <c r="D219" s="205"/>
      <c r="E219" s="262"/>
      <c r="F219" s="170"/>
      <c r="G219" s="170"/>
      <c r="H219" s="170"/>
      <c r="I219" s="170"/>
      <c r="J219" s="170"/>
      <c r="K219" s="171"/>
      <c r="L219" s="171"/>
      <c r="M219" s="171"/>
      <c r="N219" s="209"/>
      <c r="O219" s="172">
        <f t="shared" si="40"/>
        <v>0</v>
      </c>
      <c r="P219" s="166"/>
      <c r="Q219" s="173"/>
      <c r="R219" s="65"/>
      <c r="S219" s="173"/>
      <c r="T219" s="173"/>
      <c r="U219" s="166"/>
      <c r="V219" s="166"/>
      <c r="W219" s="65"/>
      <c r="X219" s="66"/>
      <c r="Y219" s="173"/>
      <c r="Z219" s="166"/>
      <c r="AA219" s="174"/>
      <c r="AB219" s="175"/>
      <c r="AC219" s="175"/>
      <c r="AD219" s="175"/>
      <c r="AE219" s="175"/>
      <c r="AF219" s="175"/>
      <c r="AG219" s="175"/>
      <c r="AH219" s="175"/>
      <c r="AI219" s="176"/>
      <c r="AJ219" s="177"/>
      <c r="AK219" s="178"/>
      <c r="AL219" s="178"/>
      <c r="AM219" s="178"/>
      <c r="AN219" s="178"/>
      <c r="AO219" s="179"/>
      <c r="AP219" s="64"/>
      <c r="AQ219" s="65"/>
      <c r="AR219" s="65"/>
      <c r="AS219" s="65"/>
      <c r="AT219" s="173"/>
      <c r="AU219" s="177"/>
      <c r="AV219" s="178"/>
      <c r="AW219" s="178"/>
      <c r="AX219" s="179"/>
      <c r="AZ219" s="166"/>
      <c r="BA219" s="177"/>
      <c r="BB219" s="178"/>
      <c r="BC219" s="178"/>
      <c r="BD219" s="178"/>
      <c r="BE219" s="178"/>
      <c r="BF219" s="178"/>
      <c r="BG219" s="178"/>
      <c r="BH219" s="178"/>
      <c r="BI219" s="179"/>
      <c r="BJ219" s="180"/>
      <c r="BK219" s="178"/>
      <c r="BL219" s="178"/>
      <c r="BM219" s="178"/>
      <c r="BN219" s="178"/>
      <c r="BO219" s="181"/>
      <c r="BP219" s="166"/>
      <c r="BQ219" s="177"/>
      <c r="BR219" s="178"/>
      <c r="BS219" s="179"/>
      <c r="BU219" s="166"/>
      <c r="BV219" s="166"/>
      <c r="BW219" s="166"/>
      <c r="BX219" s="166"/>
      <c r="BY219" s="166"/>
      <c r="BZ219" s="166"/>
      <c r="CA219" s="166"/>
      <c r="CB219" s="166"/>
      <c r="CC219" s="166"/>
      <c r="CD219" s="177"/>
      <c r="CE219" s="181"/>
      <c r="CF219" s="177"/>
      <c r="CG219" s="179"/>
      <c r="CH219" s="257"/>
      <c r="CI219" s="182"/>
      <c r="CJ219" s="177"/>
      <c r="CK219" s="182"/>
      <c r="CL219" s="177"/>
      <c r="CM219" s="182"/>
      <c r="CN219" s="177"/>
      <c r="CO219" s="182"/>
      <c r="CP219" s="177"/>
      <c r="CQ219" s="178"/>
      <c r="CR219" s="182"/>
      <c r="CS219" s="173"/>
      <c r="CT219" s="65"/>
      <c r="CU219" s="271"/>
    </row>
    <row r="220" ht="60.0" hidden="1" customHeight="1">
      <c r="A220" s="65"/>
      <c r="C220" s="167"/>
      <c r="D220" s="205"/>
      <c r="E220" s="262"/>
      <c r="F220" s="170"/>
      <c r="G220" s="170"/>
      <c r="H220" s="170"/>
      <c r="I220" s="170"/>
      <c r="J220" s="170"/>
      <c r="K220" s="171"/>
      <c r="L220" s="171"/>
      <c r="M220" s="171"/>
      <c r="N220" s="209"/>
      <c r="O220" s="172">
        <f t="shared" si="40"/>
        <v>0</v>
      </c>
      <c r="P220" s="166"/>
      <c r="Q220" s="173"/>
      <c r="R220" s="65"/>
      <c r="S220" s="173"/>
      <c r="T220" s="173"/>
      <c r="U220" s="166"/>
      <c r="V220" s="166"/>
      <c r="W220" s="65"/>
      <c r="X220" s="66"/>
      <c r="Y220" s="173"/>
      <c r="Z220" s="166"/>
      <c r="AA220" s="174"/>
      <c r="AB220" s="175"/>
      <c r="AC220" s="175"/>
      <c r="AD220" s="175"/>
      <c r="AE220" s="175"/>
      <c r="AF220" s="175"/>
      <c r="AG220" s="175"/>
      <c r="AH220" s="175"/>
      <c r="AI220" s="176"/>
      <c r="AJ220" s="177"/>
      <c r="AK220" s="178"/>
      <c r="AL220" s="178"/>
      <c r="AM220" s="178"/>
      <c r="AN220" s="178"/>
      <c r="AO220" s="179"/>
      <c r="AP220" s="64"/>
      <c r="AQ220" s="65"/>
      <c r="AR220" s="65"/>
      <c r="AS220" s="65"/>
      <c r="AT220" s="173"/>
      <c r="AU220" s="177"/>
      <c r="AV220" s="178"/>
      <c r="AW220" s="178"/>
      <c r="AX220" s="179"/>
      <c r="AZ220" s="166"/>
      <c r="BA220" s="177"/>
      <c r="BB220" s="178"/>
      <c r="BC220" s="178"/>
      <c r="BD220" s="178"/>
      <c r="BE220" s="178"/>
      <c r="BF220" s="178"/>
      <c r="BG220" s="178"/>
      <c r="BH220" s="178"/>
      <c r="BI220" s="179"/>
      <c r="BJ220" s="180"/>
      <c r="BK220" s="178"/>
      <c r="BL220" s="178"/>
      <c r="BM220" s="178"/>
      <c r="BN220" s="178"/>
      <c r="BO220" s="181"/>
      <c r="BP220" s="166"/>
      <c r="BQ220" s="177"/>
      <c r="BR220" s="178"/>
      <c r="BS220" s="179"/>
      <c r="BU220" s="166"/>
      <c r="BV220" s="166"/>
      <c r="BW220" s="166"/>
      <c r="BX220" s="166"/>
      <c r="BY220" s="166"/>
      <c r="BZ220" s="166"/>
      <c r="CA220" s="166"/>
      <c r="CB220" s="166"/>
      <c r="CC220" s="166"/>
      <c r="CD220" s="177"/>
      <c r="CE220" s="181"/>
      <c r="CF220" s="177"/>
      <c r="CG220" s="179"/>
      <c r="CH220" s="257"/>
      <c r="CI220" s="182"/>
      <c r="CJ220" s="177"/>
      <c r="CK220" s="182"/>
      <c r="CL220" s="177"/>
      <c r="CM220" s="182"/>
      <c r="CN220" s="177"/>
      <c r="CO220" s="182"/>
      <c r="CP220" s="177"/>
      <c r="CQ220" s="178"/>
      <c r="CR220" s="182"/>
      <c r="CS220" s="173"/>
      <c r="CT220" s="65"/>
      <c r="CU220" s="271"/>
    </row>
    <row r="221" ht="60.0" hidden="1" customHeight="1">
      <c r="A221" s="65"/>
      <c r="C221" s="167"/>
      <c r="D221" s="205"/>
      <c r="E221" s="262"/>
      <c r="F221" s="170"/>
      <c r="G221" s="170"/>
      <c r="H221" s="170"/>
      <c r="I221" s="170"/>
      <c r="J221" s="170"/>
      <c r="K221" s="171"/>
      <c r="L221" s="171"/>
      <c r="M221" s="171"/>
      <c r="N221" s="209"/>
      <c r="O221" s="172">
        <f t="shared" si="40"/>
        <v>0</v>
      </c>
      <c r="P221" s="166"/>
      <c r="Q221" s="173"/>
      <c r="R221" s="65"/>
      <c r="S221" s="173"/>
      <c r="T221" s="173"/>
      <c r="U221" s="166"/>
      <c r="V221" s="166"/>
      <c r="W221" s="65"/>
      <c r="X221" s="66"/>
      <c r="Y221" s="173"/>
      <c r="Z221" s="166"/>
      <c r="AA221" s="174"/>
      <c r="AB221" s="175"/>
      <c r="AC221" s="175"/>
      <c r="AD221" s="175"/>
      <c r="AE221" s="175"/>
      <c r="AF221" s="175"/>
      <c r="AG221" s="175"/>
      <c r="AH221" s="175"/>
      <c r="AI221" s="176"/>
      <c r="AJ221" s="177"/>
      <c r="AK221" s="178"/>
      <c r="AL221" s="178"/>
      <c r="AM221" s="178"/>
      <c r="AN221" s="178"/>
      <c r="AO221" s="179"/>
      <c r="AP221" s="64"/>
      <c r="AQ221" s="65"/>
      <c r="AR221" s="65"/>
      <c r="AS221" s="65"/>
      <c r="AT221" s="173"/>
      <c r="AU221" s="177"/>
      <c r="AV221" s="178"/>
      <c r="AW221" s="178"/>
      <c r="AX221" s="179"/>
      <c r="AZ221" s="166"/>
      <c r="BA221" s="177"/>
      <c r="BB221" s="178"/>
      <c r="BC221" s="178"/>
      <c r="BD221" s="178"/>
      <c r="BE221" s="178"/>
      <c r="BF221" s="178"/>
      <c r="BG221" s="178"/>
      <c r="BH221" s="178"/>
      <c r="BI221" s="179"/>
      <c r="BJ221" s="180"/>
      <c r="BK221" s="178"/>
      <c r="BL221" s="178"/>
      <c r="BM221" s="178"/>
      <c r="BN221" s="178"/>
      <c r="BO221" s="181"/>
      <c r="BP221" s="166"/>
      <c r="BQ221" s="177"/>
      <c r="BR221" s="178"/>
      <c r="BS221" s="179"/>
      <c r="BU221" s="166"/>
      <c r="BV221" s="166"/>
      <c r="BW221" s="166"/>
      <c r="BX221" s="166"/>
      <c r="BY221" s="166"/>
      <c r="BZ221" s="166"/>
      <c r="CA221" s="166"/>
      <c r="CB221" s="166"/>
      <c r="CC221" s="166"/>
      <c r="CD221" s="177"/>
      <c r="CE221" s="181"/>
      <c r="CF221" s="177"/>
      <c r="CG221" s="179"/>
      <c r="CH221" s="257"/>
      <c r="CI221" s="182"/>
      <c r="CJ221" s="177"/>
      <c r="CK221" s="182"/>
      <c r="CL221" s="177"/>
      <c r="CM221" s="182"/>
      <c r="CN221" s="177"/>
      <c r="CO221" s="182"/>
      <c r="CP221" s="177"/>
      <c r="CQ221" s="178"/>
      <c r="CR221" s="182"/>
      <c r="CS221" s="173"/>
      <c r="CT221" s="65"/>
      <c r="CU221" s="271"/>
    </row>
    <row r="222" ht="60.0" hidden="1" customHeight="1">
      <c r="A222" s="65"/>
      <c r="C222" s="167"/>
      <c r="D222" s="205"/>
      <c r="E222" s="262"/>
      <c r="F222" s="170"/>
      <c r="G222" s="170"/>
      <c r="H222" s="170"/>
      <c r="I222" s="170"/>
      <c r="J222" s="170"/>
      <c r="K222" s="171"/>
      <c r="L222" s="171"/>
      <c r="M222" s="171"/>
      <c r="N222" s="209"/>
      <c r="O222" s="172">
        <f t="shared" si="40"/>
        <v>0</v>
      </c>
      <c r="P222" s="166"/>
      <c r="Q222" s="173"/>
      <c r="R222" s="65"/>
      <c r="S222" s="173"/>
      <c r="T222" s="173"/>
      <c r="U222" s="166"/>
      <c r="V222" s="166"/>
      <c r="W222" s="65"/>
      <c r="X222" s="66"/>
      <c r="Y222" s="173"/>
      <c r="Z222" s="166"/>
      <c r="AA222" s="174"/>
      <c r="AB222" s="175"/>
      <c r="AC222" s="175"/>
      <c r="AD222" s="175"/>
      <c r="AE222" s="175"/>
      <c r="AF222" s="175"/>
      <c r="AG222" s="175"/>
      <c r="AH222" s="175"/>
      <c r="AI222" s="176"/>
      <c r="AJ222" s="177"/>
      <c r="AK222" s="178"/>
      <c r="AL222" s="178"/>
      <c r="AM222" s="178"/>
      <c r="AN222" s="178"/>
      <c r="AO222" s="179"/>
      <c r="AP222" s="64"/>
      <c r="AQ222" s="65"/>
      <c r="AR222" s="65"/>
      <c r="AS222" s="65"/>
      <c r="AT222" s="173"/>
      <c r="AU222" s="177"/>
      <c r="AV222" s="178"/>
      <c r="AW222" s="178"/>
      <c r="AX222" s="179"/>
      <c r="AZ222" s="166"/>
      <c r="BA222" s="177"/>
      <c r="BB222" s="178"/>
      <c r="BC222" s="178"/>
      <c r="BD222" s="178"/>
      <c r="BE222" s="178"/>
      <c r="BF222" s="178"/>
      <c r="BG222" s="178"/>
      <c r="BH222" s="178"/>
      <c r="BI222" s="179"/>
      <c r="BJ222" s="180"/>
      <c r="BK222" s="178"/>
      <c r="BL222" s="178"/>
      <c r="BM222" s="178"/>
      <c r="BN222" s="178"/>
      <c r="BO222" s="181"/>
      <c r="BP222" s="166"/>
      <c r="BQ222" s="177"/>
      <c r="BR222" s="178"/>
      <c r="BS222" s="179"/>
      <c r="BU222" s="166"/>
      <c r="BV222" s="166"/>
      <c r="BW222" s="166"/>
      <c r="BX222" s="166"/>
      <c r="BY222" s="166"/>
      <c r="BZ222" s="166"/>
      <c r="CA222" s="166"/>
      <c r="CB222" s="166"/>
      <c r="CC222" s="166"/>
      <c r="CD222" s="177"/>
      <c r="CE222" s="181"/>
      <c r="CF222" s="177"/>
      <c r="CG222" s="179"/>
      <c r="CH222" s="257"/>
      <c r="CI222" s="182"/>
      <c r="CJ222" s="177"/>
      <c r="CK222" s="182"/>
      <c r="CL222" s="177"/>
      <c r="CM222" s="182"/>
      <c r="CN222" s="177"/>
      <c r="CO222" s="182"/>
      <c r="CP222" s="177"/>
      <c r="CQ222" s="178"/>
      <c r="CR222" s="182"/>
      <c r="CS222" s="173"/>
      <c r="CT222" s="65"/>
      <c r="CU222" s="271"/>
    </row>
    <row r="223" ht="60.0" hidden="1" customHeight="1">
      <c r="A223" s="65"/>
      <c r="C223" s="167"/>
      <c r="D223" s="205"/>
      <c r="E223" s="262"/>
      <c r="F223" s="170"/>
      <c r="G223" s="170"/>
      <c r="H223" s="170"/>
      <c r="I223" s="170"/>
      <c r="J223" s="170"/>
      <c r="K223" s="171"/>
      <c r="L223" s="171"/>
      <c r="M223" s="171"/>
      <c r="N223" s="209"/>
      <c r="O223" s="172">
        <f t="shared" ref="O223:O226" si="41">IF(AND(M223&gt;=20,M223&lt;&gt;"m",RIGHT(K223,3)="Lec"),1,IF(AND(M223&gt;=20,M223&lt;&gt;"m",OR(RIGHT(K223,3)="Lab",RIGHT(K223,3)="Tut")),0.5,IF(AND(M223&gt;=20,M223&lt;&gt;"m",RIGHT(K223,2)="TL"),0.75,0)))</f>
        <v>0</v>
      </c>
      <c r="P223" s="166"/>
      <c r="Q223" s="173"/>
      <c r="R223" s="65"/>
      <c r="S223" s="173"/>
      <c r="T223" s="173"/>
      <c r="U223" s="166"/>
      <c r="V223" s="166"/>
      <c r="W223" s="65"/>
      <c r="X223" s="66"/>
      <c r="Y223" s="173"/>
      <c r="Z223" s="166"/>
      <c r="AA223" s="174"/>
      <c r="AB223" s="175"/>
      <c r="AC223" s="175"/>
      <c r="AD223" s="175"/>
      <c r="AE223" s="175"/>
      <c r="AF223" s="175"/>
      <c r="AG223" s="175"/>
      <c r="AH223" s="175"/>
      <c r="AI223" s="176"/>
      <c r="AJ223" s="177"/>
      <c r="AK223" s="178"/>
      <c r="AL223" s="178"/>
      <c r="AM223" s="178"/>
      <c r="AN223" s="178"/>
      <c r="AO223" s="179"/>
      <c r="AP223" s="64"/>
      <c r="AQ223" s="65"/>
      <c r="AR223" s="65"/>
      <c r="AS223" s="65"/>
      <c r="AT223" s="173"/>
      <c r="AU223" s="177"/>
      <c r="AV223" s="178"/>
      <c r="AW223" s="178"/>
      <c r="AX223" s="179"/>
      <c r="AZ223" s="166"/>
      <c r="BA223" s="177"/>
      <c r="BB223" s="178"/>
      <c r="BC223" s="178"/>
      <c r="BD223" s="178"/>
      <c r="BE223" s="178"/>
      <c r="BF223" s="178"/>
      <c r="BG223" s="178"/>
      <c r="BH223" s="178"/>
      <c r="BI223" s="179"/>
      <c r="BJ223" s="180"/>
      <c r="BK223" s="178"/>
      <c r="BL223" s="178"/>
      <c r="BM223" s="178"/>
      <c r="BN223" s="178"/>
      <c r="BO223" s="181"/>
      <c r="BP223" s="166"/>
      <c r="BQ223" s="177"/>
      <c r="BR223" s="178"/>
      <c r="BS223" s="179"/>
      <c r="BU223" s="166"/>
      <c r="BV223" s="166"/>
      <c r="BW223" s="166"/>
      <c r="BX223" s="166"/>
      <c r="BY223" s="166"/>
      <c r="BZ223" s="166"/>
      <c r="CA223" s="166"/>
      <c r="CB223" s="166"/>
      <c r="CC223" s="166"/>
      <c r="CD223" s="177"/>
      <c r="CE223" s="181"/>
      <c r="CF223" s="177"/>
      <c r="CG223" s="179"/>
      <c r="CH223" s="257"/>
      <c r="CI223" s="182"/>
      <c r="CJ223" s="177"/>
      <c r="CK223" s="182"/>
      <c r="CL223" s="177"/>
      <c r="CM223" s="182"/>
      <c r="CN223" s="177"/>
      <c r="CO223" s="182"/>
      <c r="CP223" s="177"/>
      <c r="CQ223" s="178"/>
      <c r="CR223" s="182"/>
      <c r="CS223" s="173"/>
      <c r="CT223" s="65"/>
      <c r="CU223" s="271"/>
    </row>
    <row r="224" ht="60.0" hidden="1" customHeight="1">
      <c r="A224" s="65"/>
      <c r="C224" s="167"/>
      <c r="D224" s="205"/>
      <c r="E224" s="262"/>
      <c r="F224" s="170"/>
      <c r="G224" s="170"/>
      <c r="H224" s="170"/>
      <c r="I224" s="170"/>
      <c r="J224" s="170"/>
      <c r="K224" s="171"/>
      <c r="L224" s="171"/>
      <c r="M224" s="171"/>
      <c r="N224" s="209"/>
      <c r="O224" s="172">
        <f t="shared" si="41"/>
        <v>0</v>
      </c>
      <c r="P224" s="166"/>
      <c r="Q224" s="173"/>
      <c r="R224" s="65"/>
      <c r="S224" s="173"/>
      <c r="T224" s="173"/>
      <c r="U224" s="166"/>
      <c r="V224" s="166"/>
      <c r="W224" s="65"/>
      <c r="X224" s="66"/>
      <c r="Y224" s="173"/>
      <c r="Z224" s="166"/>
      <c r="AA224" s="174"/>
      <c r="AB224" s="175"/>
      <c r="AC224" s="175"/>
      <c r="AD224" s="175"/>
      <c r="AE224" s="175"/>
      <c r="AF224" s="175"/>
      <c r="AG224" s="175"/>
      <c r="AH224" s="175"/>
      <c r="AI224" s="176"/>
      <c r="AJ224" s="177"/>
      <c r="AK224" s="178"/>
      <c r="AL224" s="178"/>
      <c r="AM224" s="178"/>
      <c r="AN224" s="178"/>
      <c r="AO224" s="179"/>
      <c r="AP224" s="64"/>
      <c r="AQ224" s="65"/>
      <c r="AR224" s="65"/>
      <c r="AS224" s="65"/>
      <c r="AT224" s="173"/>
      <c r="AU224" s="177"/>
      <c r="AV224" s="178"/>
      <c r="AW224" s="178"/>
      <c r="AX224" s="179"/>
      <c r="AZ224" s="166"/>
      <c r="BA224" s="177"/>
      <c r="BB224" s="178"/>
      <c r="BC224" s="178"/>
      <c r="BD224" s="178"/>
      <c r="BE224" s="178"/>
      <c r="BF224" s="178"/>
      <c r="BG224" s="178"/>
      <c r="BH224" s="178"/>
      <c r="BI224" s="179"/>
      <c r="BJ224" s="180"/>
      <c r="BK224" s="178"/>
      <c r="BL224" s="178"/>
      <c r="BM224" s="178"/>
      <c r="BN224" s="178"/>
      <c r="BO224" s="181"/>
      <c r="BP224" s="166"/>
      <c r="BQ224" s="177"/>
      <c r="BR224" s="178"/>
      <c r="BS224" s="179"/>
      <c r="BU224" s="166"/>
      <c r="BV224" s="166"/>
      <c r="BW224" s="166"/>
      <c r="BX224" s="166"/>
      <c r="BY224" s="166"/>
      <c r="BZ224" s="166"/>
      <c r="CA224" s="166"/>
      <c r="CB224" s="166"/>
      <c r="CC224" s="166"/>
      <c r="CD224" s="177"/>
      <c r="CE224" s="181"/>
      <c r="CF224" s="177"/>
      <c r="CG224" s="179"/>
      <c r="CH224" s="257"/>
      <c r="CI224" s="182"/>
      <c r="CJ224" s="177"/>
      <c r="CK224" s="182"/>
      <c r="CL224" s="177"/>
      <c r="CM224" s="182"/>
      <c r="CN224" s="177"/>
      <c r="CO224" s="182"/>
      <c r="CP224" s="177"/>
      <c r="CQ224" s="178"/>
      <c r="CR224" s="182"/>
      <c r="CS224" s="173"/>
      <c r="CT224" s="65"/>
      <c r="CU224" s="271"/>
    </row>
    <row r="225" ht="60.0" hidden="1" customHeight="1">
      <c r="A225" s="65"/>
      <c r="C225" s="167"/>
      <c r="D225" s="205"/>
      <c r="E225" s="262"/>
      <c r="F225" s="170"/>
      <c r="G225" s="170"/>
      <c r="H225" s="170"/>
      <c r="I225" s="170"/>
      <c r="J225" s="170"/>
      <c r="K225" s="171"/>
      <c r="L225" s="171"/>
      <c r="M225" s="171"/>
      <c r="N225" s="209"/>
      <c r="O225" s="172">
        <f t="shared" si="41"/>
        <v>0</v>
      </c>
      <c r="P225" s="166"/>
      <c r="Q225" s="173"/>
      <c r="R225" s="65"/>
      <c r="S225" s="173"/>
      <c r="T225" s="173"/>
      <c r="U225" s="166"/>
      <c r="V225" s="166"/>
      <c r="W225" s="65"/>
      <c r="X225" s="66"/>
      <c r="Y225" s="173"/>
      <c r="Z225" s="166"/>
      <c r="AA225" s="174"/>
      <c r="AB225" s="175"/>
      <c r="AC225" s="175"/>
      <c r="AD225" s="175"/>
      <c r="AE225" s="175"/>
      <c r="AF225" s="175"/>
      <c r="AG225" s="175"/>
      <c r="AH225" s="175"/>
      <c r="AI225" s="176"/>
      <c r="AJ225" s="177"/>
      <c r="AK225" s="178"/>
      <c r="AL225" s="178"/>
      <c r="AM225" s="178"/>
      <c r="AN225" s="178"/>
      <c r="AO225" s="179"/>
      <c r="AP225" s="64"/>
      <c r="AQ225" s="65"/>
      <c r="AR225" s="65"/>
      <c r="AS225" s="65"/>
      <c r="AT225" s="173"/>
      <c r="AU225" s="177"/>
      <c r="AV225" s="178"/>
      <c r="AW225" s="178"/>
      <c r="AX225" s="179"/>
      <c r="AZ225" s="166"/>
      <c r="BA225" s="177"/>
      <c r="BB225" s="178"/>
      <c r="BC225" s="178"/>
      <c r="BD225" s="178"/>
      <c r="BE225" s="178"/>
      <c r="BF225" s="178"/>
      <c r="BG225" s="178"/>
      <c r="BH225" s="178"/>
      <c r="BI225" s="179"/>
      <c r="BJ225" s="180"/>
      <c r="BK225" s="178"/>
      <c r="BL225" s="178"/>
      <c r="BM225" s="178"/>
      <c r="BN225" s="178"/>
      <c r="BO225" s="181"/>
      <c r="BP225" s="166"/>
      <c r="BQ225" s="177"/>
      <c r="BR225" s="178"/>
      <c r="BS225" s="179"/>
      <c r="BU225" s="166"/>
      <c r="BV225" s="166"/>
      <c r="BW225" s="166"/>
      <c r="BX225" s="166"/>
      <c r="BY225" s="166"/>
      <c r="BZ225" s="166"/>
      <c r="CA225" s="166"/>
      <c r="CB225" s="166"/>
      <c r="CC225" s="166"/>
      <c r="CD225" s="177"/>
      <c r="CE225" s="181"/>
      <c r="CF225" s="177"/>
      <c r="CG225" s="179"/>
      <c r="CH225" s="257"/>
      <c r="CI225" s="182"/>
      <c r="CJ225" s="177"/>
      <c r="CK225" s="182"/>
      <c r="CL225" s="177"/>
      <c r="CM225" s="182"/>
      <c r="CN225" s="177"/>
      <c r="CO225" s="182"/>
      <c r="CP225" s="177"/>
      <c r="CQ225" s="178"/>
      <c r="CR225" s="182"/>
      <c r="CS225" s="173"/>
      <c r="CT225" s="65"/>
      <c r="CU225" s="271"/>
    </row>
    <row r="226" ht="60.0" hidden="1" customHeight="1">
      <c r="A226" s="65"/>
      <c r="C226" s="167"/>
      <c r="D226" s="205"/>
      <c r="E226" s="262"/>
      <c r="F226" s="170"/>
      <c r="G226" s="170"/>
      <c r="H226" s="170"/>
      <c r="I226" s="170"/>
      <c r="J226" s="170"/>
      <c r="K226" s="171"/>
      <c r="L226" s="171"/>
      <c r="M226" s="171"/>
      <c r="N226" s="209"/>
      <c r="O226" s="172">
        <f t="shared" si="41"/>
        <v>0</v>
      </c>
      <c r="P226" s="166"/>
      <c r="Q226" s="173"/>
      <c r="R226" s="65"/>
      <c r="S226" s="173"/>
      <c r="T226" s="173"/>
      <c r="U226" s="166"/>
      <c r="V226" s="166"/>
      <c r="W226" s="65"/>
      <c r="X226" s="66"/>
      <c r="Y226" s="173"/>
      <c r="Z226" s="166"/>
      <c r="AA226" s="174"/>
      <c r="AB226" s="175"/>
      <c r="AC226" s="175"/>
      <c r="AD226" s="175"/>
      <c r="AE226" s="175"/>
      <c r="AF226" s="175"/>
      <c r="AG226" s="175"/>
      <c r="AH226" s="175"/>
      <c r="AI226" s="176"/>
      <c r="AJ226" s="177"/>
      <c r="AK226" s="178"/>
      <c r="AL226" s="178"/>
      <c r="AM226" s="178"/>
      <c r="AN226" s="178"/>
      <c r="AO226" s="179"/>
      <c r="AP226" s="64"/>
      <c r="AQ226" s="65"/>
      <c r="AR226" s="65"/>
      <c r="AS226" s="65"/>
      <c r="AT226" s="173"/>
      <c r="AU226" s="177"/>
      <c r="AV226" s="178"/>
      <c r="AW226" s="178"/>
      <c r="AX226" s="179"/>
      <c r="AZ226" s="166"/>
      <c r="BA226" s="177"/>
      <c r="BB226" s="178"/>
      <c r="BC226" s="178"/>
      <c r="BD226" s="178"/>
      <c r="BE226" s="178"/>
      <c r="BF226" s="178"/>
      <c r="BG226" s="178"/>
      <c r="BH226" s="178"/>
      <c r="BI226" s="179"/>
      <c r="BJ226" s="180"/>
      <c r="BK226" s="178"/>
      <c r="BL226" s="178"/>
      <c r="BM226" s="178"/>
      <c r="BN226" s="178"/>
      <c r="BO226" s="181"/>
      <c r="BP226" s="166"/>
      <c r="BQ226" s="177"/>
      <c r="BR226" s="178"/>
      <c r="BS226" s="179"/>
      <c r="BU226" s="166"/>
      <c r="BV226" s="166"/>
      <c r="BW226" s="166"/>
      <c r="BX226" s="166"/>
      <c r="BY226" s="166"/>
      <c r="BZ226" s="166"/>
      <c r="CA226" s="166"/>
      <c r="CB226" s="166"/>
      <c r="CC226" s="166"/>
      <c r="CD226" s="177"/>
      <c r="CE226" s="181"/>
      <c r="CF226" s="177"/>
      <c r="CG226" s="179"/>
      <c r="CH226" s="257"/>
      <c r="CI226" s="182"/>
      <c r="CJ226" s="177"/>
      <c r="CK226" s="182"/>
      <c r="CL226" s="177"/>
      <c r="CM226" s="182"/>
      <c r="CN226" s="177"/>
      <c r="CO226" s="182"/>
      <c r="CP226" s="177"/>
      <c r="CQ226" s="178"/>
      <c r="CR226" s="182"/>
      <c r="CS226" s="173"/>
      <c r="CT226" s="65"/>
      <c r="CU226" s="271"/>
    </row>
    <row r="227" ht="60.0" hidden="1" customHeight="1">
      <c r="A227" s="89"/>
      <c r="B227" s="6"/>
      <c r="C227" s="183"/>
      <c r="D227" s="210"/>
      <c r="E227" s="263"/>
      <c r="F227" s="186"/>
      <c r="G227" s="186"/>
      <c r="H227" s="186"/>
      <c r="I227" s="186"/>
      <c r="J227" s="186"/>
      <c r="K227" s="187"/>
      <c r="L227" s="187"/>
      <c r="M227" s="187"/>
      <c r="N227" s="214"/>
      <c r="O227" s="188">
        <f t="shared" ref="O227:O233" si="42">IF(AND(M227&lt;&gt;0,M227&lt;&gt;"m",M227&lt;&gt;"",RIGHT(K227,3)="Lec"),1,IF(AND(M227&lt;&gt;0,M227&lt;&gt;"m",M227&lt;&gt;"",OR(RIGHT(K227,3)="Lab",RIGHT(K227,3)="Tut")),0.5,IF(AND(M227&lt;&gt;0,M227&lt;&gt;"m",M227&lt;&gt;"",RIGHT(K227,2)="TL"),0.75,0)))</f>
        <v>0</v>
      </c>
      <c r="P227" s="63"/>
      <c r="Q227" s="69"/>
      <c r="R227" s="89"/>
      <c r="S227" s="69"/>
      <c r="T227" s="69"/>
      <c r="U227" s="63"/>
      <c r="V227" s="63"/>
      <c r="W227" s="89"/>
      <c r="X227" s="68"/>
      <c r="Y227" s="69"/>
      <c r="Z227" s="63"/>
      <c r="AA227" s="189"/>
      <c r="AB227" s="190"/>
      <c r="AC227" s="190"/>
      <c r="AD227" s="190"/>
      <c r="AE227" s="190"/>
      <c r="AF227" s="190"/>
      <c r="AG227" s="190"/>
      <c r="AH227" s="190"/>
      <c r="AI227" s="191"/>
      <c r="AJ227" s="192"/>
      <c r="AK227" s="193"/>
      <c r="AL227" s="193"/>
      <c r="AM227" s="193"/>
      <c r="AN227" s="193"/>
      <c r="AO227" s="194"/>
      <c r="AP227" s="103"/>
      <c r="AQ227" s="89"/>
      <c r="AR227" s="89"/>
      <c r="AS227" s="89"/>
      <c r="AT227" s="69"/>
      <c r="AU227" s="192"/>
      <c r="AV227" s="193"/>
      <c r="AW227" s="193"/>
      <c r="AX227" s="194"/>
      <c r="AY227" s="6"/>
      <c r="AZ227" s="63"/>
      <c r="BA227" s="192"/>
      <c r="BB227" s="193"/>
      <c r="BC227" s="193"/>
      <c r="BD227" s="193"/>
      <c r="BE227" s="193"/>
      <c r="BF227" s="193"/>
      <c r="BG227" s="193"/>
      <c r="BH227" s="193"/>
      <c r="BI227" s="194"/>
      <c r="BJ227" s="195"/>
      <c r="BK227" s="193"/>
      <c r="BL227" s="193"/>
      <c r="BM227" s="193"/>
      <c r="BN227" s="193"/>
      <c r="BO227" s="196"/>
      <c r="BP227" s="63"/>
      <c r="BQ227" s="192"/>
      <c r="BR227" s="193"/>
      <c r="BS227" s="194"/>
      <c r="BT227" s="6"/>
      <c r="BU227" s="63"/>
      <c r="BV227" s="63"/>
      <c r="BW227" s="63"/>
      <c r="BX227" s="63"/>
      <c r="BY227" s="63"/>
      <c r="BZ227" s="63"/>
      <c r="CA227" s="63"/>
      <c r="CB227" s="63"/>
      <c r="CC227" s="63"/>
      <c r="CD227" s="192"/>
      <c r="CE227" s="196"/>
      <c r="CF227" s="192"/>
      <c r="CG227" s="194"/>
      <c r="CH227" s="259"/>
      <c r="CI227" s="197"/>
      <c r="CJ227" s="192"/>
      <c r="CK227" s="197"/>
      <c r="CL227" s="192"/>
      <c r="CM227" s="197"/>
      <c r="CN227" s="192"/>
      <c r="CO227" s="197"/>
      <c r="CP227" s="192"/>
      <c r="CQ227" s="193"/>
      <c r="CR227" s="197"/>
      <c r="CS227" s="69"/>
      <c r="CT227" s="89"/>
      <c r="CU227" s="272"/>
    </row>
    <row r="228" ht="56.25" hidden="1" customHeight="1">
      <c r="A228" s="125">
        <v>21.0</v>
      </c>
      <c r="B228" s="199"/>
      <c r="C228" s="127"/>
      <c r="D228" s="128"/>
      <c r="E228" s="260"/>
      <c r="F228" s="261"/>
      <c r="G228" s="261"/>
      <c r="H228" s="261"/>
      <c r="I228" s="261"/>
      <c r="J228" s="170"/>
      <c r="K228" s="219"/>
      <c r="L228" s="219"/>
      <c r="M228" s="219"/>
      <c r="N228" s="220"/>
      <c r="O228" s="132">
        <f t="shared" si="42"/>
        <v>0</v>
      </c>
      <c r="P228" s="133">
        <f>COUNTIF(K228:K238,"TL")*0.75+COUNTIF(K228:K238,"Lec")*1+COUNTIF(K228:K238,"Lab")*0.5</f>
        <v>0</v>
      </c>
      <c r="Q228" s="134">
        <f>SUM((IF(LEFT(K228,1)="E",O228,0)),(IF(LEFT(K229,1)="E",O229,0)),(IF(LEFT(K230,1)="E",O230,0)),(IF(LEFT(K231,1)="E",O231,0)),(IF(LEFT(K232,1)="E",O232,0)),(IF(LEFT(K233,1)="E",O233,0)),(IF(LEFT(K234,1)="E",O234,0)),(IF(LEFT(K235,1)="E",O235,0)),(IF(LEFT(K236,1)="E",O236,0)),(IF(LEFT(K237,1)="E",O237,0)),(IF(LEFT(K238,1)="E",O238,0)))</f>
        <v>0</v>
      </c>
      <c r="R228" s="135">
        <f>SUM(IF(M234&lt;20,IF(K234="Plec",-1,IF(K234="PTL",-0.75,IF(K234="Plab",-0.5,0))),0),IF(M235&lt;20,IF(K235="Plec",-1,IF(K235="PTL",-0.75,IF(K235="Plab",-0.5,0))),0),IF(M236&lt;20,IF(K236="Plec",-1,IF(K236="PTL",-0.75,IF(K236="Plab",-0.5,0))),0),IF(M237&lt;20,IF(K237="Plec",-1,IF(K237="PTL",-0.75,IF(K237="Plab",-0.5,0))),0))</f>
        <v>0</v>
      </c>
      <c r="S228" s="134">
        <f>SUM(P228:R238)</f>
        <v>0</v>
      </c>
      <c r="T228" s="136">
        <f>SUM(IF(M228="M",IF(OR(K228="lec",K228="plec",K228="slec"),1,IF(OR(K228="lab",K228="plab",K228="slab",K228="tut",K228="ptut",K228="stut"),0.5,IF(OR(K228="TL",K228="pTL",K228="STL"),0.75,0))),0),IF(M229="M",IF(OR(K229="lec",K229="plec",K229="slec"),1,IF(OR(K229="lab",K229="plab",K229="slab",K229="tut",K229="ptut",K229="stut"),0.5,IF(OR(K229="TL",K229="pTL",K229="STL"),0.75,0))),0),IF(M230="M",IF(OR(K230="lec",K230="plec",K230="slec"),1,IF(OR(K230="lab",K230="plab",K230="slab",K230="tut",K230="ptut",K230="stut"),0.5,IF(OR(K230="TL",K230="pTL",K230="STL"),0.75,0))),0),IF(M231="M",IF(OR(K231="lec",K231="plec",K231="slec"),1,IF(OR(K231="lab",K231="plab",K231="slab",K231="tut",K231="ptut",K231="stut"),0.5,IF(OR(K231="TL",K231="pTL",K231="STL"),0.75,0))),0),IF(M232="M",IF(OR(K232="lec",K232="plec",K232="slec"),1,IF(OR(K232="lab",K232="plab",K232="slab",K232="tut",K232="ptut",K232="stut"),0.5,IF(OR(K232="TL",K232="pTL",K232="STL"),0.75,0))),0),IF(M233="M",IF(OR(K233="lec",K233="plec",K233="slec"),1,IF(OR(K233="lab",K233="plab",K233="slab",K233="tut",K233="ptut",K233="stut"),0.5,IF(OR(K233="TL",K233="pTL",K233="STL"),0.75,0))),0),IF(M234="M",IF(OR(K234="lec",K234="plec",K234="slec"),1,IF(OR(K234="lab",K234="plab",K234="slab",K234="tut",K234="ptut",K234="stut"),0.5,IF(OR(K234="TL",K234="pTL",K234="STL"),0.75,0))),0),IF(M235="M",IF(OR(K235="lec",K235="plec",K235="slec"),1,IF(OR(K235="lab",K235="plab",K235="slab",K235="tut",K235="ptut",K235="stut"),0.5,IF(OR(K235="TL",K235="pTL",K235="STL"),0.75,0))),0),IF(M236="M",IF(OR(K236="lec",K236="plec",K236="slec"),1,IF(OR(K236="lab",K236="plab",K236="slab",K236="tut",K236="ptut",K236="stut"),0.5,IF(OR(K236="TL",K236="pTL",K236="STL"),0.75,0))),0),IF(M237="M",IF(OR(K237="lec",K237="plec",K237="slec"),1,IF(OR(K237="lab",K237="plab",K237="slab",K237="tut",K237="ptut",K237="stut"),0.5,IF(OR(K237="TL",K237="pTL",K237="STL"),0.75,0))),0),IF(M238="M",IF(OR(K238="lec",K238="plec",K238="slec"),1,IF(OR(K238="lab",K238="plab",K238="slab",K238="tut",K238="ptut",K238="stut"),0.5,IF(OR(K238="TL",K238="pTL",K238="STL"),0.75,0))),0))</f>
        <v>0</v>
      </c>
      <c r="U228" s="137"/>
      <c r="V228" s="133"/>
      <c r="W228" s="138"/>
      <c r="X228" s="139">
        <f>S228-(T228+U228+V228+W228)</f>
        <v>0</v>
      </c>
      <c r="Y228" s="134" t="str">
        <f>CONCATENATE(SUM(O228:O238),"(",SUM(O228:O238)-X228,")")</f>
        <v>0(0)</v>
      </c>
      <c r="Z228" s="140"/>
      <c r="AA228" s="141"/>
      <c r="AB228" s="142"/>
      <c r="AC228" s="142"/>
      <c r="AD228" s="142"/>
      <c r="AE228" s="142"/>
      <c r="AF228" s="142"/>
      <c r="AG228" s="142"/>
      <c r="AH228" s="142"/>
      <c r="AI228" s="143"/>
      <c r="AJ228" s="144"/>
      <c r="AK228" s="145"/>
      <c r="AL228" s="145"/>
      <c r="AM228" s="145"/>
      <c r="AN228" s="145"/>
      <c r="AO228" s="146"/>
      <c r="AP228" s="147">
        <f>SUM(SUM(O228:O238),SUM(AI228:AI238)/2,AM228)</f>
        <v>0</v>
      </c>
      <c r="AQ228" s="148"/>
      <c r="AR228" s="148">
        <f>AP228*AQ228</f>
        <v>0</v>
      </c>
      <c r="AS228" s="148">
        <f>CT228</f>
        <v>0</v>
      </c>
      <c r="AT228" s="149">
        <f>AR228*0.75+AS228*0.25</f>
        <v>0</v>
      </c>
      <c r="AU228" s="150"/>
      <c r="AV228" s="151"/>
      <c r="AW228" s="151"/>
      <c r="AX228" s="152"/>
      <c r="AY228" s="153"/>
      <c r="AZ228" s="140"/>
      <c r="BA228" s="150"/>
      <c r="BB228" s="151"/>
      <c r="BC228" s="151"/>
      <c r="BD228" s="151"/>
      <c r="BE228" s="151"/>
      <c r="BF228" s="151"/>
      <c r="BG228" s="151"/>
      <c r="BH228" s="151"/>
      <c r="BI228" s="152"/>
      <c r="BJ228" s="154"/>
      <c r="BK228" s="151"/>
      <c r="BL228" s="151"/>
      <c r="BM228" s="151"/>
      <c r="BN228" s="151"/>
      <c r="BO228" s="155"/>
      <c r="BP228" s="140"/>
      <c r="BQ228" s="156"/>
      <c r="BR228" s="157"/>
      <c r="BS228" s="158"/>
      <c r="BT228" s="153"/>
      <c r="BU228" s="140"/>
      <c r="BV228" s="140"/>
      <c r="BW228" s="140"/>
      <c r="BX228" s="140"/>
      <c r="BY228" s="140"/>
      <c r="BZ228" s="140"/>
      <c r="CA228" s="140"/>
      <c r="CB228" s="140"/>
      <c r="CC228" s="140"/>
      <c r="CD228" s="150"/>
      <c r="CE228" s="155"/>
      <c r="CF228" s="150"/>
      <c r="CG228" s="152"/>
      <c r="CH228" s="252"/>
      <c r="CI228" s="160"/>
      <c r="CJ228" s="159"/>
      <c r="CK228" s="160"/>
      <c r="CL228" s="159"/>
      <c r="CM228" s="160"/>
      <c r="CN228" s="159"/>
      <c r="CO228" s="160"/>
      <c r="CP228" s="159"/>
      <c r="CQ228" s="162"/>
      <c r="CR228" s="160"/>
      <c r="CS228" s="253">
        <f>SUM(IF(AU228&lt;0,ABS(AU228),0),IF(AZ228&lt;0,ABS(AZ228),0),ABS(CI228),ABS(CK228),ABS(CM228),ABS(CO228),ABS(CQ228),ABS(CR228))</f>
        <v>0</v>
      </c>
      <c r="CT228" s="254">
        <f>SUM(AU228,AV228,AW228,AX228/400,AY228,AZ228,BG228,BH228*0.5,BI228*0.25,BJ228,BK228,BL228,BM228,BN228,BO228,BP228,BR228/20,BS228/100,BT228/60,BU228,BV228,BW228,BX228/4,SUM(BY228:CC238)/3,CE228,CG228/3,CI228,CK228,CM228,CO228,CQ228,CR228)</f>
        <v>0</v>
      </c>
      <c r="CU228" s="255"/>
    </row>
    <row r="229" ht="60.0" hidden="1" customHeight="1">
      <c r="A229" s="65"/>
      <c r="C229" s="167"/>
      <c r="D229" s="205"/>
      <c r="E229" s="262"/>
      <c r="F229" s="170"/>
      <c r="G229" s="170"/>
      <c r="H229" s="170"/>
      <c r="I229" s="170"/>
      <c r="J229" s="170"/>
      <c r="K229" s="171"/>
      <c r="L229" s="171"/>
      <c r="M229" s="171"/>
      <c r="N229" s="209"/>
      <c r="O229" s="172">
        <f t="shared" si="42"/>
        <v>0</v>
      </c>
      <c r="P229" s="166"/>
      <c r="Q229" s="173"/>
      <c r="R229" s="65"/>
      <c r="S229" s="173"/>
      <c r="T229" s="173"/>
      <c r="U229" s="166"/>
      <c r="V229" s="166"/>
      <c r="W229" s="65"/>
      <c r="X229" s="66"/>
      <c r="Y229" s="173"/>
      <c r="Z229" s="166"/>
      <c r="AA229" s="174"/>
      <c r="AB229" s="175"/>
      <c r="AC229" s="175"/>
      <c r="AD229" s="175"/>
      <c r="AE229" s="175"/>
      <c r="AF229" s="175"/>
      <c r="AG229" s="175"/>
      <c r="AH229" s="175"/>
      <c r="AI229" s="176"/>
      <c r="AJ229" s="177"/>
      <c r="AK229" s="178"/>
      <c r="AL229" s="178"/>
      <c r="AM229" s="178"/>
      <c r="AN229" s="178"/>
      <c r="AO229" s="179"/>
      <c r="AP229" s="64"/>
      <c r="AQ229" s="65"/>
      <c r="AR229" s="65"/>
      <c r="AS229" s="65"/>
      <c r="AT229" s="173"/>
      <c r="AU229" s="177"/>
      <c r="AV229" s="178"/>
      <c r="AW229" s="178"/>
      <c r="AX229" s="179"/>
      <c r="AZ229" s="166"/>
      <c r="BA229" s="177"/>
      <c r="BB229" s="178"/>
      <c r="BC229" s="178"/>
      <c r="BD229" s="178"/>
      <c r="BE229" s="178"/>
      <c r="BF229" s="178"/>
      <c r="BG229" s="178"/>
      <c r="BH229" s="178"/>
      <c r="BI229" s="179"/>
      <c r="BJ229" s="180"/>
      <c r="BK229" s="178"/>
      <c r="BL229" s="178"/>
      <c r="BM229" s="178"/>
      <c r="BN229" s="178"/>
      <c r="BO229" s="181"/>
      <c r="BP229" s="166"/>
      <c r="BQ229" s="177"/>
      <c r="BR229" s="178"/>
      <c r="BS229" s="179"/>
      <c r="BU229" s="166"/>
      <c r="BV229" s="166"/>
      <c r="BW229" s="166"/>
      <c r="BX229" s="166"/>
      <c r="BY229" s="166"/>
      <c r="BZ229" s="166"/>
      <c r="CA229" s="166"/>
      <c r="CB229" s="166"/>
      <c r="CC229" s="166"/>
      <c r="CD229" s="177"/>
      <c r="CE229" s="181"/>
      <c r="CF229" s="177"/>
      <c r="CG229" s="179"/>
      <c r="CH229" s="257"/>
      <c r="CI229" s="182"/>
      <c r="CJ229" s="177"/>
      <c r="CK229" s="182"/>
      <c r="CL229" s="177"/>
      <c r="CM229" s="182"/>
      <c r="CN229" s="177"/>
      <c r="CO229" s="182"/>
      <c r="CP229" s="177"/>
      <c r="CQ229" s="178"/>
      <c r="CR229" s="182"/>
      <c r="CS229" s="173"/>
      <c r="CT229" s="65"/>
      <c r="CU229" s="271"/>
    </row>
    <row r="230" ht="60.0" hidden="1" customHeight="1">
      <c r="A230" s="65"/>
      <c r="C230" s="167"/>
      <c r="D230" s="205"/>
      <c r="E230" s="262"/>
      <c r="F230" s="170"/>
      <c r="G230" s="170"/>
      <c r="H230" s="170"/>
      <c r="I230" s="170"/>
      <c r="J230" s="170"/>
      <c r="K230" s="171"/>
      <c r="L230" s="171"/>
      <c r="M230" s="171"/>
      <c r="N230" s="209"/>
      <c r="O230" s="172">
        <f t="shared" si="42"/>
        <v>0</v>
      </c>
      <c r="P230" s="166"/>
      <c r="Q230" s="173"/>
      <c r="R230" s="65"/>
      <c r="S230" s="173"/>
      <c r="T230" s="173"/>
      <c r="U230" s="166"/>
      <c r="V230" s="166"/>
      <c r="W230" s="65"/>
      <c r="X230" s="66"/>
      <c r="Y230" s="173"/>
      <c r="Z230" s="166"/>
      <c r="AA230" s="174"/>
      <c r="AB230" s="175"/>
      <c r="AC230" s="175"/>
      <c r="AD230" s="175"/>
      <c r="AE230" s="175"/>
      <c r="AF230" s="175"/>
      <c r="AG230" s="175"/>
      <c r="AH230" s="175"/>
      <c r="AI230" s="176"/>
      <c r="AJ230" s="177"/>
      <c r="AK230" s="178"/>
      <c r="AL230" s="178"/>
      <c r="AM230" s="178"/>
      <c r="AN230" s="178"/>
      <c r="AO230" s="179"/>
      <c r="AP230" s="64"/>
      <c r="AQ230" s="65"/>
      <c r="AR230" s="65"/>
      <c r="AS230" s="65"/>
      <c r="AT230" s="173"/>
      <c r="AU230" s="177"/>
      <c r="AV230" s="178"/>
      <c r="AW230" s="178"/>
      <c r="AX230" s="179"/>
      <c r="AZ230" s="166"/>
      <c r="BA230" s="177"/>
      <c r="BB230" s="178"/>
      <c r="BC230" s="178"/>
      <c r="BD230" s="178"/>
      <c r="BE230" s="178"/>
      <c r="BF230" s="178"/>
      <c r="BG230" s="178"/>
      <c r="BH230" s="178"/>
      <c r="BI230" s="179"/>
      <c r="BJ230" s="180"/>
      <c r="BK230" s="178"/>
      <c r="BL230" s="178"/>
      <c r="BM230" s="178"/>
      <c r="BN230" s="178"/>
      <c r="BO230" s="181"/>
      <c r="BP230" s="166"/>
      <c r="BQ230" s="177"/>
      <c r="BR230" s="178"/>
      <c r="BS230" s="179"/>
      <c r="BU230" s="166"/>
      <c r="BV230" s="166"/>
      <c r="BW230" s="166"/>
      <c r="BX230" s="166"/>
      <c r="BY230" s="166"/>
      <c r="BZ230" s="166"/>
      <c r="CA230" s="166"/>
      <c r="CB230" s="166"/>
      <c r="CC230" s="166"/>
      <c r="CD230" s="177"/>
      <c r="CE230" s="181"/>
      <c r="CF230" s="177"/>
      <c r="CG230" s="179"/>
      <c r="CH230" s="257"/>
      <c r="CI230" s="182"/>
      <c r="CJ230" s="177"/>
      <c r="CK230" s="182"/>
      <c r="CL230" s="177"/>
      <c r="CM230" s="182"/>
      <c r="CN230" s="177"/>
      <c r="CO230" s="182"/>
      <c r="CP230" s="177"/>
      <c r="CQ230" s="178"/>
      <c r="CR230" s="182"/>
      <c r="CS230" s="173"/>
      <c r="CT230" s="65"/>
      <c r="CU230" s="271"/>
    </row>
    <row r="231" ht="60.0" hidden="1" customHeight="1">
      <c r="A231" s="65"/>
      <c r="C231" s="167"/>
      <c r="D231" s="205"/>
      <c r="E231" s="262"/>
      <c r="F231" s="170"/>
      <c r="G231" s="170"/>
      <c r="H231" s="170"/>
      <c r="I231" s="170"/>
      <c r="J231" s="170"/>
      <c r="K231" s="171"/>
      <c r="L231" s="171"/>
      <c r="M231" s="171"/>
      <c r="N231" s="209"/>
      <c r="O231" s="172">
        <f t="shared" si="42"/>
        <v>0</v>
      </c>
      <c r="P231" s="166"/>
      <c r="Q231" s="173"/>
      <c r="R231" s="65"/>
      <c r="S231" s="173"/>
      <c r="T231" s="173"/>
      <c r="U231" s="166"/>
      <c r="V231" s="166"/>
      <c r="W231" s="65"/>
      <c r="X231" s="66"/>
      <c r="Y231" s="173"/>
      <c r="Z231" s="166"/>
      <c r="AA231" s="174"/>
      <c r="AB231" s="175"/>
      <c r="AC231" s="175"/>
      <c r="AD231" s="175"/>
      <c r="AE231" s="175"/>
      <c r="AF231" s="175"/>
      <c r="AG231" s="175"/>
      <c r="AH231" s="175"/>
      <c r="AI231" s="176"/>
      <c r="AJ231" s="177"/>
      <c r="AK231" s="178"/>
      <c r="AL231" s="178"/>
      <c r="AM231" s="178"/>
      <c r="AN231" s="178"/>
      <c r="AO231" s="179"/>
      <c r="AP231" s="64"/>
      <c r="AQ231" s="65"/>
      <c r="AR231" s="65"/>
      <c r="AS231" s="65"/>
      <c r="AT231" s="173"/>
      <c r="AU231" s="177"/>
      <c r="AV231" s="178"/>
      <c r="AW231" s="178"/>
      <c r="AX231" s="179"/>
      <c r="AZ231" s="166"/>
      <c r="BA231" s="177"/>
      <c r="BB231" s="178"/>
      <c r="BC231" s="178"/>
      <c r="BD231" s="178"/>
      <c r="BE231" s="178"/>
      <c r="BF231" s="178"/>
      <c r="BG231" s="178"/>
      <c r="BH231" s="178"/>
      <c r="BI231" s="179"/>
      <c r="BJ231" s="180"/>
      <c r="BK231" s="178"/>
      <c r="BL231" s="178"/>
      <c r="BM231" s="178"/>
      <c r="BN231" s="178"/>
      <c r="BO231" s="181"/>
      <c r="BP231" s="166"/>
      <c r="BQ231" s="177"/>
      <c r="BR231" s="178"/>
      <c r="BS231" s="179"/>
      <c r="BU231" s="166"/>
      <c r="BV231" s="166"/>
      <c r="BW231" s="166"/>
      <c r="BX231" s="166"/>
      <c r="BY231" s="166"/>
      <c r="BZ231" s="166"/>
      <c r="CA231" s="166"/>
      <c r="CB231" s="166"/>
      <c r="CC231" s="166"/>
      <c r="CD231" s="177"/>
      <c r="CE231" s="181"/>
      <c r="CF231" s="177"/>
      <c r="CG231" s="179"/>
      <c r="CH231" s="257"/>
      <c r="CI231" s="182"/>
      <c r="CJ231" s="177"/>
      <c r="CK231" s="182"/>
      <c r="CL231" s="177"/>
      <c r="CM231" s="182"/>
      <c r="CN231" s="177"/>
      <c r="CO231" s="182"/>
      <c r="CP231" s="177"/>
      <c r="CQ231" s="178"/>
      <c r="CR231" s="182"/>
      <c r="CS231" s="173"/>
      <c r="CT231" s="65"/>
      <c r="CU231" s="271"/>
    </row>
    <row r="232" ht="60.0" hidden="1" customHeight="1">
      <c r="A232" s="65"/>
      <c r="C232" s="167"/>
      <c r="D232" s="205"/>
      <c r="E232" s="262"/>
      <c r="F232" s="170"/>
      <c r="G232" s="170"/>
      <c r="H232" s="170"/>
      <c r="I232" s="170"/>
      <c r="J232" s="170"/>
      <c r="K232" s="171"/>
      <c r="L232" s="171"/>
      <c r="M232" s="171"/>
      <c r="N232" s="209"/>
      <c r="O232" s="172">
        <f t="shared" si="42"/>
        <v>0</v>
      </c>
      <c r="P232" s="166"/>
      <c r="Q232" s="173"/>
      <c r="R232" s="65"/>
      <c r="S232" s="173"/>
      <c r="T232" s="173"/>
      <c r="U232" s="166"/>
      <c r="V232" s="166"/>
      <c r="W232" s="65"/>
      <c r="X232" s="66"/>
      <c r="Y232" s="173"/>
      <c r="Z232" s="166"/>
      <c r="AA232" s="174"/>
      <c r="AB232" s="175"/>
      <c r="AC232" s="175"/>
      <c r="AD232" s="175"/>
      <c r="AE232" s="175"/>
      <c r="AF232" s="175"/>
      <c r="AG232" s="175"/>
      <c r="AH232" s="175"/>
      <c r="AI232" s="176"/>
      <c r="AJ232" s="177"/>
      <c r="AK232" s="178"/>
      <c r="AL232" s="178"/>
      <c r="AM232" s="178"/>
      <c r="AN232" s="178"/>
      <c r="AO232" s="179"/>
      <c r="AP232" s="64"/>
      <c r="AQ232" s="65"/>
      <c r="AR232" s="65"/>
      <c r="AS232" s="65"/>
      <c r="AT232" s="173"/>
      <c r="AU232" s="177"/>
      <c r="AV232" s="178"/>
      <c r="AW232" s="178"/>
      <c r="AX232" s="179"/>
      <c r="AZ232" s="166"/>
      <c r="BA232" s="177"/>
      <c r="BB232" s="178"/>
      <c r="BC232" s="178"/>
      <c r="BD232" s="178"/>
      <c r="BE232" s="178"/>
      <c r="BF232" s="178"/>
      <c r="BG232" s="178"/>
      <c r="BH232" s="178"/>
      <c r="BI232" s="179"/>
      <c r="BJ232" s="180"/>
      <c r="BK232" s="178"/>
      <c r="BL232" s="178"/>
      <c r="BM232" s="178"/>
      <c r="BN232" s="178"/>
      <c r="BO232" s="181"/>
      <c r="BP232" s="166"/>
      <c r="BQ232" s="177"/>
      <c r="BR232" s="178"/>
      <c r="BS232" s="179"/>
      <c r="BU232" s="166"/>
      <c r="BV232" s="166"/>
      <c r="BW232" s="166"/>
      <c r="BX232" s="166"/>
      <c r="BY232" s="166"/>
      <c r="BZ232" s="166"/>
      <c r="CA232" s="166"/>
      <c r="CB232" s="166"/>
      <c r="CC232" s="166"/>
      <c r="CD232" s="177"/>
      <c r="CE232" s="181"/>
      <c r="CF232" s="177"/>
      <c r="CG232" s="179"/>
      <c r="CH232" s="257"/>
      <c r="CI232" s="182"/>
      <c r="CJ232" s="177"/>
      <c r="CK232" s="182"/>
      <c r="CL232" s="177"/>
      <c r="CM232" s="182"/>
      <c r="CN232" s="177"/>
      <c r="CO232" s="182"/>
      <c r="CP232" s="177"/>
      <c r="CQ232" s="178"/>
      <c r="CR232" s="182"/>
      <c r="CS232" s="173"/>
      <c r="CT232" s="65"/>
      <c r="CU232" s="271"/>
    </row>
    <row r="233" ht="60.0" hidden="1" customHeight="1">
      <c r="A233" s="65"/>
      <c r="C233" s="167"/>
      <c r="D233" s="205"/>
      <c r="E233" s="262"/>
      <c r="F233" s="170"/>
      <c r="G233" s="170"/>
      <c r="H233" s="170"/>
      <c r="I233" s="170"/>
      <c r="J233" s="170"/>
      <c r="K233" s="171"/>
      <c r="L233" s="171"/>
      <c r="M233" s="171"/>
      <c r="N233" s="209"/>
      <c r="O233" s="172">
        <f t="shared" si="42"/>
        <v>0</v>
      </c>
      <c r="P233" s="166"/>
      <c r="Q233" s="173"/>
      <c r="R233" s="65"/>
      <c r="S233" s="173"/>
      <c r="T233" s="173"/>
      <c r="U233" s="166"/>
      <c r="V233" s="166"/>
      <c r="W233" s="65"/>
      <c r="X233" s="66"/>
      <c r="Y233" s="173"/>
      <c r="Z233" s="166"/>
      <c r="AA233" s="174"/>
      <c r="AB233" s="175"/>
      <c r="AC233" s="175"/>
      <c r="AD233" s="175"/>
      <c r="AE233" s="175"/>
      <c r="AF233" s="175"/>
      <c r="AG233" s="175"/>
      <c r="AH233" s="175"/>
      <c r="AI233" s="176"/>
      <c r="AJ233" s="177"/>
      <c r="AK233" s="178"/>
      <c r="AL233" s="178"/>
      <c r="AM233" s="178"/>
      <c r="AN233" s="178"/>
      <c r="AO233" s="179"/>
      <c r="AP233" s="64"/>
      <c r="AQ233" s="65"/>
      <c r="AR233" s="65"/>
      <c r="AS233" s="65"/>
      <c r="AT233" s="173"/>
      <c r="AU233" s="177"/>
      <c r="AV233" s="178"/>
      <c r="AW233" s="178"/>
      <c r="AX233" s="179"/>
      <c r="AZ233" s="166"/>
      <c r="BA233" s="177"/>
      <c r="BB233" s="178"/>
      <c r="BC233" s="178"/>
      <c r="BD233" s="178"/>
      <c r="BE233" s="178"/>
      <c r="BF233" s="178"/>
      <c r="BG233" s="178"/>
      <c r="BH233" s="178"/>
      <c r="BI233" s="179"/>
      <c r="BJ233" s="180"/>
      <c r="BK233" s="178"/>
      <c r="BL233" s="178"/>
      <c r="BM233" s="178"/>
      <c r="BN233" s="178"/>
      <c r="BO233" s="181"/>
      <c r="BP233" s="166"/>
      <c r="BQ233" s="177"/>
      <c r="BR233" s="178"/>
      <c r="BS233" s="179"/>
      <c r="BU233" s="166"/>
      <c r="BV233" s="166"/>
      <c r="BW233" s="166"/>
      <c r="BX233" s="166"/>
      <c r="BY233" s="166"/>
      <c r="BZ233" s="166"/>
      <c r="CA233" s="166"/>
      <c r="CB233" s="166"/>
      <c r="CC233" s="166"/>
      <c r="CD233" s="177"/>
      <c r="CE233" s="181"/>
      <c r="CF233" s="177"/>
      <c r="CG233" s="179"/>
      <c r="CH233" s="257"/>
      <c r="CI233" s="182"/>
      <c r="CJ233" s="177"/>
      <c r="CK233" s="182"/>
      <c r="CL233" s="177"/>
      <c r="CM233" s="182"/>
      <c r="CN233" s="177"/>
      <c r="CO233" s="182"/>
      <c r="CP233" s="177"/>
      <c r="CQ233" s="178"/>
      <c r="CR233" s="182"/>
      <c r="CS233" s="173"/>
      <c r="CT233" s="65"/>
      <c r="CU233" s="271"/>
    </row>
    <row r="234" ht="60.0" hidden="1" customHeight="1">
      <c r="A234" s="65"/>
      <c r="C234" s="167"/>
      <c r="D234" s="205"/>
      <c r="E234" s="262"/>
      <c r="F234" s="170"/>
      <c r="G234" s="170"/>
      <c r="H234" s="170"/>
      <c r="I234" s="170"/>
      <c r="J234" s="170"/>
      <c r="K234" s="171"/>
      <c r="L234" s="171"/>
      <c r="M234" s="171"/>
      <c r="N234" s="209"/>
      <c r="O234" s="172">
        <f t="shared" ref="O234:O237" si="43">IF(AND(M234&gt;=20,M234&lt;&gt;"m",RIGHT(K234,3)="Lec"),1,IF(AND(M234&gt;=20,M234&lt;&gt;"m",OR(RIGHT(K234,3)="Lab",RIGHT(K234,3)="Tut")),0.5,IF(AND(M234&gt;=20,M234&lt;&gt;"m",RIGHT(K234,2)="TL"),0.75,0)))</f>
        <v>0</v>
      </c>
      <c r="P234" s="166"/>
      <c r="Q234" s="173"/>
      <c r="R234" s="65"/>
      <c r="S234" s="173"/>
      <c r="T234" s="173"/>
      <c r="U234" s="166"/>
      <c r="V234" s="166"/>
      <c r="W234" s="65"/>
      <c r="X234" s="66"/>
      <c r="Y234" s="173"/>
      <c r="Z234" s="166"/>
      <c r="AA234" s="174"/>
      <c r="AB234" s="175"/>
      <c r="AC234" s="175"/>
      <c r="AD234" s="175"/>
      <c r="AE234" s="175"/>
      <c r="AF234" s="175"/>
      <c r="AG234" s="175"/>
      <c r="AH234" s="175"/>
      <c r="AI234" s="176"/>
      <c r="AJ234" s="177"/>
      <c r="AK234" s="178"/>
      <c r="AL234" s="178"/>
      <c r="AM234" s="178"/>
      <c r="AN234" s="178"/>
      <c r="AO234" s="179"/>
      <c r="AP234" s="64"/>
      <c r="AQ234" s="65"/>
      <c r="AR234" s="65"/>
      <c r="AS234" s="65"/>
      <c r="AT234" s="173"/>
      <c r="AU234" s="177"/>
      <c r="AV234" s="178"/>
      <c r="AW234" s="178"/>
      <c r="AX234" s="179"/>
      <c r="AZ234" s="166"/>
      <c r="BA234" s="177"/>
      <c r="BB234" s="178"/>
      <c r="BC234" s="178"/>
      <c r="BD234" s="178"/>
      <c r="BE234" s="178"/>
      <c r="BF234" s="178"/>
      <c r="BG234" s="178"/>
      <c r="BH234" s="178"/>
      <c r="BI234" s="179"/>
      <c r="BJ234" s="180"/>
      <c r="BK234" s="178"/>
      <c r="BL234" s="178"/>
      <c r="BM234" s="178"/>
      <c r="BN234" s="178"/>
      <c r="BO234" s="181"/>
      <c r="BP234" s="166"/>
      <c r="BQ234" s="177"/>
      <c r="BR234" s="178"/>
      <c r="BS234" s="179"/>
      <c r="BU234" s="166"/>
      <c r="BV234" s="166"/>
      <c r="BW234" s="166"/>
      <c r="BX234" s="166"/>
      <c r="BY234" s="166"/>
      <c r="BZ234" s="166"/>
      <c r="CA234" s="166"/>
      <c r="CB234" s="166"/>
      <c r="CC234" s="166"/>
      <c r="CD234" s="177"/>
      <c r="CE234" s="181"/>
      <c r="CF234" s="177"/>
      <c r="CG234" s="179"/>
      <c r="CH234" s="257"/>
      <c r="CI234" s="182"/>
      <c r="CJ234" s="177"/>
      <c r="CK234" s="182"/>
      <c r="CL234" s="177"/>
      <c r="CM234" s="182"/>
      <c r="CN234" s="177"/>
      <c r="CO234" s="182"/>
      <c r="CP234" s="177"/>
      <c r="CQ234" s="178"/>
      <c r="CR234" s="182"/>
      <c r="CS234" s="173"/>
      <c r="CT234" s="65"/>
      <c r="CU234" s="271"/>
    </row>
    <row r="235" ht="60.0" hidden="1" customHeight="1">
      <c r="A235" s="65"/>
      <c r="C235" s="167"/>
      <c r="D235" s="205"/>
      <c r="E235" s="262"/>
      <c r="F235" s="170"/>
      <c r="G235" s="170"/>
      <c r="H235" s="170"/>
      <c r="I235" s="170"/>
      <c r="J235" s="170"/>
      <c r="K235" s="171"/>
      <c r="L235" s="171"/>
      <c r="M235" s="171"/>
      <c r="N235" s="209"/>
      <c r="O235" s="172">
        <f t="shared" si="43"/>
        <v>0</v>
      </c>
      <c r="P235" s="166"/>
      <c r="Q235" s="173"/>
      <c r="R235" s="65"/>
      <c r="S235" s="173"/>
      <c r="T235" s="173"/>
      <c r="U235" s="166"/>
      <c r="V235" s="166"/>
      <c r="W235" s="65"/>
      <c r="X235" s="66"/>
      <c r="Y235" s="173"/>
      <c r="Z235" s="166"/>
      <c r="AA235" s="174"/>
      <c r="AB235" s="175"/>
      <c r="AC235" s="175"/>
      <c r="AD235" s="175"/>
      <c r="AE235" s="175"/>
      <c r="AF235" s="175"/>
      <c r="AG235" s="175"/>
      <c r="AH235" s="175"/>
      <c r="AI235" s="176"/>
      <c r="AJ235" s="177"/>
      <c r="AK235" s="178"/>
      <c r="AL235" s="178"/>
      <c r="AM235" s="178"/>
      <c r="AN235" s="178"/>
      <c r="AO235" s="179"/>
      <c r="AP235" s="64"/>
      <c r="AQ235" s="65"/>
      <c r="AR235" s="65"/>
      <c r="AS235" s="65"/>
      <c r="AT235" s="173"/>
      <c r="AU235" s="177"/>
      <c r="AV235" s="178"/>
      <c r="AW235" s="178"/>
      <c r="AX235" s="179"/>
      <c r="AZ235" s="166"/>
      <c r="BA235" s="177"/>
      <c r="BB235" s="178"/>
      <c r="BC235" s="178"/>
      <c r="BD235" s="178"/>
      <c r="BE235" s="178"/>
      <c r="BF235" s="178"/>
      <c r="BG235" s="178"/>
      <c r="BH235" s="178"/>
      <c r="BI235" s="179"/>
      <c r="BJ235" s="180"/>
      <c r="BK235" s="178"/>
      <c r="BL235" s="178"/>
      <c r="BM235" s="178"/>
      <c r="BN235" s="178"/>
      <c r="BO235" s="181"/>
      <c r="BP235" s="166"/>
      <c r="BQ235" s="177"/>
      <c r="BR235" s="178"/>
      <c r="BS235" s="179"/>
      <c r="BU235" s="166"/>
      <c r="BV235" s="166"/>
      <c r="BW235" s="166"/>
      <c r="BX235" s="166"/>
      <c r="BY235" s="166"/>
      <c r="BZ235" s="166"/>
      <c r="CA235" s="166"/>
      <c r="CB235" s="166"/>
      <c r="CC235" s="166"/>
      <c r="CD235" s="177"/>
      <c r="CE235" s="181"/>
      <c r="CF235" s="177"/>
      <c r="CG235" s="179"/>
      <c r="CH235" s="257"/>
      <c r="CI235" s="182"/>
      <c r="CJ235" s="177"/>
      <c r="CK235" s="182"/>
      <c r="CL235" s="177"/>
      <c r="CM235" s="182"/>
      <c r="CN235" s="177"/>
      <c r="CO235" s="182"/>
      <c r="CP235" s="177"/>
      <c r="CQ235" s="178"/>
      <c r="CR235" s="182"/>
      <c r="CS235" s="173"/>
      <c r="CT235" s="65"/>
      <c r="CU235" s="271"/>
    </row>
    <row r="236" ht="60.0" hidden="1" customHeight="1">
      <c r="A236" s="65"/>
      <c r="C236" s="167"/>
      <c r="D236" s="205"/>
      <c r="E236" s="262"/>
      <c r="F236" s="170"/>
      <c r="G236" s="170"/>
      <c r="H236" s="170"/>
      <c r="I236" s="170"/>
      <c r="J236" s="170"/>
      <c r="K236" s="171"/>
      <c r="L236" s="171"/>
      <c r="M236" s="171"/>
      <c r="N236" s="209"/>
      <c r="O236" s="172">
        <f t="shared" si="43"/>
        <v>0</v>
      </c>
      <c r="P236" s="166"/>
      <c r="Q236" s="173"/>
      <c r="R236" s="65"/>
      <c r="S236" s="173"/>
      <c r="T236" s="173"/>
      <c r="U236" s="166"/>
      <c r="V236" s="166"/>
      <c r="W236" s="65"/>
      <c r="X236" s="66"/>
      <c r="Y236" s="173"/>
      <c r="Z236" s="166"/>
      <c r="AA236" s="174"/>
      <c r="AB236" s="175"/>
      <c r="AC236" s="175"/>
      <c r="AD236" s="175"/>
      <c r="AE236" s="175"/>
      <c r="AF236" s="175"/>
      <c r="AG236" s="175"/>
      <c r="AH236" s="175"/>
      <c r="AI236" s="176"/>
      <c r="AJ236" s="177"/>
      <c r="AK236" s="178"/>
      <c r="AL236" s="178"/>
      <c r="AM236" s="178"/>
      <c r="AN236" s="178"/>
      <c r="AO236" s="179"/>
      <c r="AP236" s="64"/>
      <c r="AQ236" s="65"/>
      <c r="AR236" s="65"/>
      <c r="AS236" s="65"/>
      <c r="AT236" s="173"/>
      <c r="AU236" s="177"/>
      <c r="AV236" s="178"/>
      <c r="AW236" s="178"/>
      <c r="AX236" s="179"/>
      <c r="AZ236" s="166"/>
      <c r="BA236" s="177"/>
      <c r="BB236" s="178"/>
      <c r="BC236" s="178"/>
      <c r="BD236" s="178"/>
      <c r="BE236" s="178"/>
      <c r="BF236" s="178"/>
      <c r="BG236" s="178"/>
      <c r="BH236" s="178"/>
      <c r="BI236" s="179"/>
      <c r="BJ236" s="180"/>
      <c r="BK236" s="178"/>
      <c r="BL236" s="178"/>
      <c r="BM236" s="178"/>
      <c r="BN236" s="178"/>
      <c r="BO236" s="181"/>
      <c r="BP236" s="166"/>
      <c r="BQ236" s="177"/>
      <c r="BR236" s="178"/>
      <c r="BS236" s="179"/>
      <c r="BU236" s="166"/>
      <c r="BV236" s="166"/>
      <c r="BW236" s="166"/>
      <c r="BX236" s="166"/>
      <c r="BY236" s="166"/>
      <c r="BZ236" s="166"/>
      <c r="CA236" s="166"/>
      <c r="CB236" s="166"/>
      <c r="CC236" s="166"/>
      <c r="CD236" s="177"/>
      <c r="CE236" s="181"/>
      <c r="CF236" s="177"/>
      <c r="CG236" s="179"/>
      <c r="CH236" s="257"/>
      <c r="CI236" s="182"/>
      <c r="CJ236" s="177"/>
      <c r="CK236" s="182"/>
      <c r="CL236" s="177"/>
      <c r="CM236" s="182"/>
      <c r="CN236" s="177"/>
      <c r="CO236" s="182"/>
      <c r="CP236" s="177"/>
      <c r="CQ236" s="178"/>
      <c r="CR236" s="182"/>
      <c r="CS236" s="173"/>
      <c r="CT236" s="65"/>
      <c r="CU236" s="271"/>
    </row>
    <row r="237" ht="60.0" hidden="1" customHeight="1">
      <c r="A237" s="65"/>
      <c r="C237" s="167"/>
      <c r="D237" s="205"/>
      <c r="E237" s="262"/>
      <c r="F237" s="170"/>
      <c r="G237" s="170"/>
      <c r="H237" s="170"/>
      <c r="I237" s="170"/>
      <c r="J237" s="170"/>
      <c r="K237" s="171"/>
      <c r="L237" s="171"/>
      <c r="M237" s="171"/>
      <c r="N237" s="209"/>
      <c r="O237" s="172">
        <f t="shared" si="43"/>
        <v>0</v>
      </c>
      <c r="P237" s="166"/>
      <c r="Q237" s="173"/>
      <c r="R237" s="65"/>
      <c r="S237" s="173"/>
      <c r="T237" s="173"/>
      <c r="U237" s="166"/>
      <c r="V237" s="166"/>
      <c r="W237" s="65"/>
      <c r="X237" s="66"/>
      <c r="Y237" s="173"/>
      <c r="Z237" s="166"/>
      <c r="AA237" s="174"/>
      <c r="AB237" s="175"/>
      <c r="AC237" s="175"/>
      <c r="AD237" s="175"/>
      <c r="AE237" s="175"/>
      <c r="AF237" s="175"/>
      <c r="AG237" s="175"/>
      <c r="AH237" s="175"/>
      <c r="AI237" s="176"/>
      <c r="AJ237" s="177"/>
      <c r="AK237" s="178"/>
      <c r="AL237" s="178"/>
      <c r="AM237" s="178"/>
      <c r="AN237" s="178"/>
      <c r="AO237" s="179"/>
      <c r="AP237" s="64"/>
      <c r="AQ237" s="65"/>
      <c r="AR237" s="65"/>
      <c r="AS237" s="65"/>
      <c r="AT237" s="173"/>
      <c r="AU237" s="177"/>
      <c r="AV237" s="178"/>
      <c r="AW237" s="178"/>
      <c r="AX237" s="179"/>
      <c r="AZ237" s="166"/>
      <c r="BA237" s="177"/>
      <c r="BB237" s="178"/>
      <c r="BC237" s="178"/>
      <c r="BD237" s="178"/>
      <c r="BE237" s="178"/>
      <c r="BF237" s="178"/>
      <c r="BG237" s="178"/>
      <c r="BH237" s="178"/>
      <c r="BI237" s="179"/>
      <c r="BJ237" s="180"/>
      <c r="BK237" s="178"/>
      <c r="BL237" s="178"/>
      <c r="BM237" s="178"/>
      <c r="BN237" s="178"/>
      <c r="BO237" s="181"/>
      <c r="BP237" s="166"/>
      <c r="BQ237" s="177"/>
      <c r="BR237" s="178"/>
      <c r="BS237" s="179"/>
      <c r="BU237" s="166"/>
      <c r="BV237" s="166"/>
      <c r="BW237" s="166"/>
      <c r="BX237" s="166"/>
      <c r="BY237" s="166"/>
      <c r="BZ237" s="166"/>
      <c r="CA237" s="166"/>
      <c r="CB237" s="166"/>
      <c r="CC237" s="166"/>
      <c r="CD237" s="177"/>
      <c r="CE237" s="181"/>
      <c r="CF237" s="177"/>
      <c r="CG237" s="179"/>
      <c r="CH237" s="257"/>
      <c r="CI237" s="182"/>
      <c r="CJ237" s="177"/>
      <c r="CK237" s="182"/>
      <c r="CL237" s="177"/>
      <c r="CM237" s="182"/>
      <c r="CN237" s="177"/>
      <c r="CO237" s="182"/>
      <c r="CP237" s="177"/>
      <c r="CQ237" s="178"/>
      <c r="CR237" s="182"/>
      <c r="CS237" s="173"/>
      <c r="CT237" s="65"/>
      <c r="CU237" s="271"/>
    </row>
    <row r="238" ht="60.0" hidden="1" customHeight="1">
      <c r="A238" s="89"/>
      <c r="B238" s="6"/>
      <c r="C238" s="183"/>
      <c r="D238" s="210"/>
      <c r="E238" s="263"/>
      <c r="F238" s="186"/>
      <c r="G238" s="186"/>
      <c r="H238" s="186"/>
      <c r="I238" s="186"/>
      <c r="J238" s="186"/>
      <c r="K238" s="187"/>
      <c r="L238" s="187"/>
      <c r="M238" s="187"/>
      <c r="N238" s="214"/>
      <c r="O238" s="188">
        <f t="shared" ref="O238:O244" si="44">IF(AND(M238&lt;&gt;0,M238&lt;&gt;"m",M238&lt;&gt;"",RIGHT(K238,3)="Lec"),1,IF(AND(M238&lt;&gt;0,M238&lt;&gt;"m",M238&lt;&gt;"",OR(RIGHT(K238,3)="Lab",RIGHT(K238,3)="Tut")),0.5,IF(AND(M238&lt;&gt;0,M238&lt;&gt;"m",M238&lt;&gt;"",RIGHT(K238,2)="TL"),0.75,0)))</f>
        <v>0</v>
      </c>
      <c r="P238" s="63"/>
      <c r="Q238" s="69"/>
      <c r="R238" s="89"/>
      <c r="S238" s="69"/>
      <c r="T238" s="69"/>
      <c r="U238" s="63"/>
      <c r="V238" s="63"/>
      <c r="W238" s="89"/>
      <c r="X238" s="68"/>
      <c r="Y238" s="69"/>
      <c r="Z238" s="63"/>
      <c r="AA238" s="189"/>
      <c r="AB238" s="190"/>
      <c r="AC238" s="190"/>
      <c r="AD238" s="190"/>
      <c r="AE238" s="190"/>
      <c r="AF238" s="190"/>
      <c r="AG238" s="190"/>
      <c r="AH238" s="190"/>
      <c r="AI238" s="191"/>
      <c r="AJ238" s="192"/>
      <c r="AK238" s="193"/>
      <c r="AL238" s="193"/>
      <c r="AM238" s="193"/>
      <c r="AN238" s="193"/>
      <c r="AO238" s="194"/>
      <c r="AP238" s="103"/>
      <c r="AQ238" s="89"/>
      <c r="AR238" s="89"/>
      <c r="AS238" s="89"/>
      <c r="AT238" s="69"/>
      <c r="AU238" s="192"/>
      <c r="AV238" s="193"/>
      <c r="AW238" s="193"/>
      <c r="AX238" s="194"/>
      <c r="AY238" s="6"/>
      <c r="AZ238" s="63"/>
      <c r="BA238" s="192"/>
      <c r="BB238" s="193"/>
      <c r="BC238" s="193"/>
      <c r="BD238" s="193"/>
      <c r="BE238" s="193"/>
      <c r="BF238" s="193"/>
      <c r="BG238" s="193"/>
      <c r="BH238" s="193"/>
      <c r="BI238" s="194"/>
      <c r="BJ238" s="195"/>
      <c r="BK238" s="193"/>
      <c r="BL238" s="193"/>
      <c r="BM238" s="193"/>
      <c r="BN238" s="193"/>
      <c r="BO238" s="196"/>
      <c r="BP238" s="63"/>
      <c r="BQ238" s="192"/>
      <c r="BR238" s="193"/>
      <c r="BS238" s="194"/>
      <c r="BT238" s="6"/>
      <c r="BU238" s="63"/>
      <c r="BV238" s="63"/>
      <c r="BW238" s="63"/>
      <c r="BX238" s="63"/>
      <c r="BY238" s="63"/>
      <c r="BZ238" s="63"/>
      <c r="CA238" s="63"/>
      <c r="CB238" s="63"/>
      <c r="CC238" s="63"/>
      <c r="CD238" s="192"/>
      <c r="CE238" s="196"/>
      <c r="CF238" s="192"/>
      <c r="CG238" s="194"/>
      <c r="CH238" s="259"/>
      <c r="CI238" s="197"/>
      <c r="CJ238" s="192"/>
      <c r="CK238" s="197"/>
      <c r="CL238" s="192"/>
      <c r="CM238" s="197"/>
      <c r="CN238" s="192"/>
      <c r="CO238" s="197"/>
      <c r="CP238" s="192"/>
      <c r="CQ238" s="193"/>
      <c r="CR238" s="197"/>
      <c r="CS238" s="69"/>
      <c r="CT238" s="89"/>
      <c r="CU238" s="272"/>
    </row>
    <row r="239" ht="56.25" hidden="1" customHeight="1">
      <c r="A239" s="125">
        <v>22.0</v>
      </c>
      <c r="B239" s="199"/>
      <c r="C239" s="127"/>
      <c r="D239" s="128"/>
      <c r="E239" s="260"/>
      <c r="F239" s="261"/>
      <c r="G239" s="261"/>
      <c r="H239" s="261"/>
      <c r="I239" s="261"/>
      <c r="J239" s="170"/>
      <c r="K239" s="219"/>
      <c r="L239" s="219"/>
      <c r="M239" s="219"/>
      <c r="N239" s="220"/>
      <c r="O239" s="132">
        <f t="shared" si="44"/>
        <v>0</v>
      </c>
      <c r="P239" s="133">
        <f>COUNTIF(K239:K249,"TL")*0.75+COUNTIF(K239:K249,"Lec")*1+COUNTIF(K239:K249,"Lab")*0.5</f>
        <v>0</v>
      </c>
      <c r="Q239" s="134">
        <f>SUM((IF(LEFT(K239,1)="E",O239,0)),(IF(LEFT(K240,1)="E",O240,0)),(IF(LEFT(K241,1)="E",O241,0)),(IF(LEFT(K242,1)="E",O242,0)),(IF(LEFT(K243,1)="E",O243,0)),(IF(LEFT(K244,1)="E",O244,0)),(IF(LEFT(K245,1)="E",O245,0)),(IF(LEFT(K246,1)="E",O246,0)),(IF(LEFT(K247,1)="E",O247,0)),(IF(LEFT(K248,1)="E",O248,0)),(IF(LEFT(K249,1)="E",O249,0)))</f>
        <v>0</v>
      </c>
      <c r="R239" s="135">
        <f>SUM(IF(M245&lt;20,IF(K245="Plec",-1,IF(K245="PTL",-0.75,IF(K245="Plab",-0.5,0))),0),IF(M246&lt;20,IF(K246="Plec",-1,IF(K246="PTL",-0.75,IF(K246="Plab",-0.5,0))),0),IF(M247&lt;20,IF(K247="Plec",-1,IF(K247="PTL",-0.75,IF(K247="Plab",-0.5,0))),0),IF(M248&lt;20,IF(K248="Plec",-1,IF(K248="PTL",-0.75,IF(K248="Plab",-0.5,0))),0))</f>
        <v>0</v>
      </c>
      <c r="S239" s="134">
        <f>SUM(P239:R249)</f>
        <v>0</v>
      </c>
      <c r="T239" s="136">
        <f>SUM(IF(M239="M",IF(OR(K239="lec",K239="plec",K239="slec"),1,IF(OR(K239="lab",K239="plab",K239="slab",K239="tut",K239="ptut",K239="stut"),0.5,IF(OR(K239="TL",K239="pTL",K239="STL"),0.75,0))),0),IF(M240="M",IF(OR(K240="lec",K240="plec",K240="slec"),1,IF(OR(K240="lab",K240="plab",K240="slab",K240="tut",K240="ptut",K240="stut"),0.5,IF(OR(K240="TL",K240="pTL",K240="STL"),0.75,0))),0),IF(M241="M",IF(OR(K241="lec",K241="plec",K241="slec"),1,IF(OR(K241="lab",K241="plab",K241="slab",K241="tut",K241="ptut",K241="stut"),0.5,IF(OR(K241="TL",K241="pTL",K241="STL"),0.75,0))),0),IF(M242="M",IF(OR(K242="lec",K242="plec",K242="slec"),1,IF(OR(K242="lab",K242="plab",K242="slab",K242="tut",K242="ptut",K242="stut"),0.5,IF(OR(K242="TL",K242="pTL",K242="STL"),0.75,0))),0),IF(M243="M",IF(OR(K243="lec",K243="plec",K243="slec"),1,IF(OR(K243="lab",K243="plab",K243="slab",K243="tut",K243="ptut",K243="stut"),0.5,IF(OR(K243="TL",K243="pTL",K243="STL"),0.75,0))),0),IF(M244="M",IF(OR(K244="lec",K244="plec",K244="slec"),1,IF(OR(K244="lab",K244="plab",K244="slab",K244="tut",K244="ptut",K244="stut"),0.5,IF(OR(K244="TL",K244="pTL",K244="STL"),0.75,0))),0),IF(M245="M",IF(OR(K245="lec",K245="plec",K245="slec"),1,IF(OR(K245="lab",K245="plab",K245="slab",K245="tut",K245="ptut",K245="stut"),0.5,IF(OR(K245="TL",K245="pTL",K245="STL"),0.75,0))),0),IF(M246="M",IF(OR(K246="lec",K246="plec",K246="slec"),1,IF(OR(K246="lab",K246="plab",K246="slab",K246="tut",K246="ptut",K246="stut"),0.5,IF(OR(K246="TL",K246="pTL",K246="STL"),0.75,0))),0),IF(M247="M",IF(OR(K247="lec",K247="plec",K247="slec"),1,IF(OR(K247="lab",K247="plab",K247="slab",K247="tut",K247="ptut",K247="stut"),0.5,IF(OR(K247="TL",K247="pTL",K247="STL"),0.75,0))),0),IF(M248="M",IF(OR(K248="lec",K248="plec",K248="slec"),1,IF(OR(K248="lab",K248="plab",K248="slab",K248="tut",K248="ptut",K248="stut"),0.5,IF(OR(K248="TL",K248="pTL",K248="STL"),0.75,0))),0),IF(M249="M",IF(OR(K249="lec",K249="plec",K249="slec"),1,IF(OR(K249="lab",K249="plab",K249="slab",K249="tut",K249="ptut",K249="stut"),0.5,IF(OR(K249="TL",K249="pTL",K249="STL"),0.75,0))),0))</f>
        <v>0</v>
      </c>
      <c r="U239" s="137"/>
      <c r="V239" s="133"/>
      <c r="W239" s="138"/>
      <c r="X239" s="139">
        <f>S239-(T239+U239+V239+W239)</f>
        <v>0</v>
      </c>
      <c r="Y239" s="134" t="str">
        <f>CONCATENATE(SUM(O239:O249),"(",SUM(O239:O249)-X239,")")</f>
        <v>0(0)</v>
      </c>
      <c r="Z239" s="140"/>
      <c r="AA239" s="141"/>
      <c r="AB239" s="142"/>
      <c r="AC239" s="142"/>
      <c r="AD239" s="142"/>
      <c r="AE239" s="142"/>
      <c r="AF239" s="142"/>
      <c r="AG239" s="142"/>
      <c r="AH239" s="142"/>
      <c r="AI239" s="143"/>
      <c r="AJ239" s="144"/>
      <c r="AK239" s="145"/>
      <c r="AL239" s="145"/>
      <c r="AM239" s="145"/>
      <c r="AN239" s="145"/>
      <c r="AO239" s="146"/>
      <c r="AP239" s="147">
        <f>SUM(SUM(O239:O249),SUM(AI239:AI249)/2,AM239)</f>
        <v>0</v>
      </c>
      <c r="AQ239" s="148"/>
      <c r="AR239" s="148">
        <f>AP239*AQ239</f>
        <v>0</v>
      </c>
      <c r="AS239" s="148">
        <f>CT239</f>
        <v>0</v>
      </c>
      <c r="AT239" s="149">
        <f>AR239*0.75+AS239*0.25</f>
        <v>0</v>
      </c>
      <c r="AU239" s="150"/>
      <c r="AV239" s="151"/>
      <c r="AW239" s="151"/>
      <c r="AX239" s="152"/>
      <c r="AY239" s="153"/>
      <c r="AZ239" s="140"/>
      <c r="BA239" s="150"/>
      <c r="BB239" s="151"/>
      <c r="BC239" s="151"/>
      <c r="BD239" s="151"/>
      <c r="BE239" s="151"/>
      <c r="BF239" s="151"/>
      <c r="BG239" s="151"/>
      <c r="BH239" s="151"/>
      <c r="BI239" s="152"/>
      <c r="BJ239" s="154"/>
      <c r="BK239" s="151"/>
      <c r="BL239" s="151"/>
      <c r="BM239" s="151"/>
      <c r="BN239" s="151"/>
      <c r="BO239" s="155"/>
      <c r="BP239" s="140"/>
      <c r="BQ239" s="156"/>
      <c r="BR239" s="157"/>
      <c r="BS239" s="158"/>
      <c r="BT239" s="153"/>
      <c r="BU239" s="140"/>
      <c r="BV239" s="140"/>
      <c r="BW239" s="140"/>
      <c r="BX239" s="140"/>
      <c r="BY239" s="140"/>
      <c r="BZ239" s="140"/>
      <c r="CA239" s="140"/>
      <c r="CB239" s="140"/>
      <c r="CC239" s="140"/>
      <c r="CD239" s="150"/>
      <c r="CE239" s="155"/>
      <c r="CF239" s="150"/>
      <c r="CG239" s="152"/>
      <c r="CH239" s="252"/>
      <c r="CI239" s="160"/>
      <c r="CJ239" s="159"/>
      <c r="CK239" s="160"/>
      <c r="CL239" s="159"/>
      <c r="CM239" s="160"/>
      <c r="CN239" s="159"/>
      <c r="CO239" s="160"/>
      <c r="CP239" s="159"/>
      <c r="CQ239" s="162"/>
      <c r="CR239" s="160"/>
      <c r="CS239" s="253">
        <f>SUM(IF(AU239&lt;0,ABS(AU239),0),IF(AZ239&lt;0,ABS(AZ239),0),ABS(CI239),ABS(CK239),ABS(CM239),ABS(CO239),ABS(CQ239),ABS(CR239))</f>
        <v>0</v>
      </c>
      <c r="CT239" s="254">
        <f>SUM(AU239,AV239,AW239,AX239/400,AY239,AZ239,BG239,BH239*0.5,BI239*0.25,BJ239,BK239,BL239,BM239,BN239,BO239,BP239,BR239/20,BS239/100,BT239/60,BU239,BV239,BW239,BX239/4,SUM(BY239:CC249)/3,CE239,CG239/3,CI239,CK239,CM239,CO239,CQ239,CR239)</f>
        <v>0</v>
      </c>
      <c r="CU239" s="255"/>
    </row>
    <row r="240" ht="60.0" hidden="1" customHeight="1">
      <c r="A240" s="65"/>
      <c r="C240" s="167"/>
      <c r="D240" s="205"/>
      <c r="E240" s="262"/>
      <c r="F240" s="170"/>
      <c r="G240" s="170"/>
      <c r="H240" s="170"/>
      <c r="I240" s="170"/>
      <c r="J240" s="170"/>
      <c r="K240" s="171"/>
      <c r="L240" s="171"/>
      <c r="M240" s="171"/>
      <c r="N240" s="209"/>
      <c r="O240" s="172">
        <f t="shared" si="44"/>
        <v>0</v>
      </c>
      <c r="P240" s="166"/>
      <c r="Q240" s="173"/>
      <c r="R240" s="65"/>
      <c r="S240" s="173"/>
      <c r="T240" s="173"/>
      <c r="U240" s="166"/>
      <c r="V240" s="166"/>
      <c r="W240" s="65"/>
      <c r="X240" s="66"/>
      <c r="Y240" s="173"/>
      <c r="Z240" s="166"/>
      <c r="AA240" s="174"/>
      <c r="AB240" s="175"/>
      <c r="AC240" s="175"/>
      <c r="AD240" s="175"/>
      <c r="AE240" s="175"/>
      <c r="AF240" s="175"/>
      <c r="AG240" s="175"/>
      <c r="AH240" s="175"/>
      <c r="AI240" s="176"/>
      <c r="AJ240" s="177"/>
      <c r="AK240" s="178"/>
      <c r="AL240" s="178"/>
      <c r="AM240" s="178"/>
      <c r="AN240" s="178"/>
      <c r="AO240" s="179"/>
      <c r="AP240" s="64"/>
      <c r="AQ240" s="65"/>
      <c r="AR240" s="65"/>
      <c r="AS240" s="65"/>
      <c r="AT240" s="173"/>
      <c r="AU240" s="177"/>
      <c r="AV240" s="178"/>
      <c r="AW240" s="178"/>
      <c r="AX240" s="179"/>
      <c r="AZ240" s="166"/>
      <c r="BA240" s="177"/>
      <c r="BB240" s="178"/>
      <c r="BC240" s="178"/>
      <c r="BD240" s="178"/>
      <c r="BE240" s="178"/>
      <c r="BF240" s="178"/>
      <c r="BG240" s="178"/>
      <c r="BH240" s="178"/>
      <c r="BI240" s="179"/>
      <c r="BJ240" s="180"/>
      <c r="BK240" s="178"/>
      <c r="BL240" s="178"/>
      <c r="BM240" s="178"/>
      <c r="BN240" s="178"/>
      <c r="BO240" s="181"/>
      <c r="BP240" s="166"/>
      <c r="BQ240" s="177"/>
      <c r="BR240" s="178"/>
      <c r="BS240" s="179"/>
      <c r="BU240" s="166"/>
      <c r="BV240" s="166"/>
      <c r="BW240" s="166"/>
      <c r="BX240" s="166"/>
      <c r="BY240" s="166"/>
      <c r="BZ240" s="166"/>
      <c r="CA240" s="166"/>
      <c r="CB240" s="166"/>
      <c r="CC240" s="166"/>
      <c r="CD240" s="177"/>
      <c r="CE240" s="181"/>
      <c r="CF240" s="177"/>
      <c r="CG240" s="179"/>
      <c r="CH240" s="257"/>
      <c r="CI240" s="182"/>
      <c r="CJ240" s="177"/>
      <c r="CK240" s="182"/>
      <c r="CL240" s="177"/>
      <c r="CM240" s="182"/>
      <c r="CN240" s="177"/>
      <c r="CO240" s="182"/>
      <c r="CP240" s="177"/>
      <c r="CQ240" s="178"/>
      <c r="CR240" s="182"/>
      <c r="CS240" s="173"/>
      <c r="CT240" s="65"/>
      <c r="CU240" s="271"/>
    </row>
    <row r="241" ht="60.0" hidden="1" customHeight="1">
      <c r="A241" s="65"/>
      <c r="C241" s="167"/>
      <c r="D241" s="205"/>
      <c r="E241" s="262"/>
      <c r="F241" s="170"/>
      <c r="G241" s="170"/>
      <c r="H241" s="170"/>
      <c r="I241" s="170"/>
      <c r="J241" s="170"/>
      <c r="K241" s="171"/>
      <c r="L241" s="171"/>
      <c r="M241" s="171"/>
      <c r="N241" s="209"/>
      <c r="O241" s="172">
        <f t="shared" si="44"/>
        <v>0</v>
      </c>
      <c r="P241" s="166"/>
      <c r="Q241" s="173"/>
      <c r="R241" s="65"/>
      <c r="S241" s="173"/>
      <c r="T241" s="173"/>
      <c r="U241" s="166"/>
      <c r="V241" s="166"/>
      <c r="W241" s="65"/>
      <c r="X241" s="66"/>
      <c r="Y241" s="173"/>
      <c r="Z241" s="166"/>
      <c r="AA241" s="174"/>
      <c r="AB241" s="175"/>
      <c r="AC241" s="175"/>
      <c r="AD241" s="175"/>
      <c r="AE241" s="175"/>
      <c r="AF241" s="175"/>
      <c r="AG241" s="175"/>
      <c r="AH241" s="175"/>
      <c r="AI241" s="176"/>
      <c r="AJ241" s="177"/>
      <c r="AK241" s="178"/>
      <c r="AL241" s="178"/>
      <c r="AM241" s="178"/>
      <c r="AN241" s="178"/>
      <c r="AO241" s="179"/>
      <c r="AP241" s="64"/>
      <c r="AQ241" s="65"/>
      <c r="AR241" s="65"/>
      <c r="AS241" s="65"/>
      <c r="AT241" s="173"/>
      <c r="AU241" s="177"/>
      <c r="AV241" s="178"/>
      <c r="AW241" s="178"/>
      <c r="AX241" s="179"/>
      <c r="AZ241" s="166"/>
      <c r="BA241" s="177"/>
      <c r="BB241" s="178"/>
      <c r="BC241" s="178"/>
      <c r="BD241" s="178"/>
      <c r="BE241" s="178"/>
      <c r="BF241" s="178"/>
      <c r="BG241" s="178"/>
      <c r="BH241" s="178"/>
      <c r="BI241" s="179"/>
      <c r="BJ241" s="180"/>
      <c r="BK241" s="178"/>
      <c r="BL241" s="178"/>
      <c r="BM241" s="178"/>
      <c r="BN241" s="178"/>
      <c r="BO241" s="181"/>
      <c r="BP241" s="166"/>
      <c r="BQ241" s="177"/>
      <c r="BR241" s="178"/>
      <c r="BS241" s="179"/>
      <c r="BU241" s="166"/>
      <c r="BV241" s="166"/>
      <c r="BW241" s="166"/>
      <c r="BX241" s="166"/>
      <c r="BY241" s="166"/>
      <c r="BZ241" s="166"/>
      <c r="CA241" s="166"/>
      <c r="CB241" s="166"/>
      <c r="CC241" s="166"/>
      <c r="CD241" s="177"/>
      <c r="CE241" s="181"/>
      <c r="CF241" s="177"/>
      <c r="CG241" s="179"/>
      <c r="CH241" s="257"/>
      <c r="CI241" s="182"/>
      <c r="CJ241" s="177"/>
      <c r="CK241" s="182"/>
      <c r="CL241" s="177"/>
      <c r="CM241" s="182"/>
      <c r="CN241" s="177"/>
      <c r="CO241" s="182"/>
      <c r="CP241" s="177"/>
      <c r="CQ241" s="178"/>
      <c r="CR241" s="182"/>
      <c r="CS241" s="173"/>
      <c r="CT241" s="65"/>
      <c r="CU241" s="271"/>
    </row>
    <row r="242" ht="60.0" hidden="1" customHeight="1">
      <c r="A242" s="65"/>
      <c r="C242" s="167"/>
      <c r="D242" s="205"/>
      <c r="E242" s="262"/>
      <c r="F242" s="170"/>
      <c r="G242" s="170"/>
      <c r="H242" s="170"/>
      <c r="I242" s="170"/>
      <c r="J242" s="170"/>
      <c r="K242" s="171"/>
      <c r="L242" s="171"/>
      <c r="M242" s="171"/>
      <c r="N242" s="209"/>
      <c r="O242" s="172">
        <f t="shared" si="44"/>
        <v>0</v>
      </c>
      <c r="P242" s="166"/>
      <c r="Q242" s="173"/>
      <c r="R242" s="65"/>
      <c r="S242" s="173"/>
      <c r="T242" s="173"/>
      <c r="U242" s="166"/>
      <c r="V242" s="166"/>
      <c r="W242" s="65"/>
      <c r="X242" s="66"/>
      <c r="Y242" s="173"/>
      <c r="Z242" s="166"/>
      <c r="AA242" s="174"/>
      <c r="AB242" s="175"/>
      <c r="AC242" s="175"/>
      <c r="AD242" s="175"/>
      <c r="AE242" s="175"/>
      <c r="AF242" s="175"/>
      <c r="AG242" s="175"/>
      <c r="AH242" s="175"/>
      <c r="AI242" s="176"/>
      <c r="AJ242" s="177"/>
      <c r="AK242" s="178"/>
      <c r="AL242" s="178"/>
      <c r="AM242" s="178"/>
      <c r="AN242" s="178"/>
      <c r="AO242" s="179"/>
      <c r="AP242" s="64"/>
      <c r="AQ242" s="65"/>
      <c r="AR242" s="65"/>
      <c r="AS242" s="65"/>
      <c r="AT242" s="173"/>
      <c r="AU242" s="177"/>
      <c r="AV242" s="178"/>
      <c r="AW242" s="178"/>
      <c r="AX242" s="179"/>
      <c r="AZ242" s="166"/>
      <c r="BA242" s="177"/>
      <c r="BB242" s="178"/>
      <c r="BC242" s="178"/>
      <c r="BD242" s="178"/>
      <c r="BE242" s="178"/>
      <c r="BF242" s="178"/>
      <c r="BG242" s="178"/>
      <c r="BH242" s="178"/>
      <c r="BI242" s="179"/>
      <c r="BJ242" s="180"/>
      <c r="BK242" s="178"/>
      <c r="BL242" s="178"/>
      <c r="BM242" s="178"/>
      <c r="BN242" s="178"/>
      <c r="BO242" s="181"/>
      <c r="BP242" s="166"/>
      <c r="BQ242" s="177"/>
      <c r="BR242" s="178"/>
      <c r="BS242" s="179"/>
      <c r="BU242" s="166"/>
      <c r="BV242" s="166"/>
      <c r="BW242" s="166"/>
      <c r="BX242" s="166"/>
      <c r="BY242" s="166"/>
      <c r="BZ242" s="166"/>
      <c r="CA242" s="166"/>
      <c r="CB242" s="166"/>
      <c r="CC242" s="166"/>
      <c r="CD242" s="177"/>
      <c r="CE242" s="181"/>
      <c r="CF242" s="177"/>
      <c r="CG242" s="179"/>
      <c r="CH242" s="257"/>
      <c r="CI242" s="182"/>
      <c r="CJ242" s="177"/>
      <c r="CK242" s="182"/>
      <c r="CL242" s="177"/>
      <c r="CM242" s="182"/>
      <c r="CN242" s="177"/>
      <c r="CO242" s="182"/>
      <c r="CP242" s="177"/>
      <c r="CQ242" s="178"/>
      <c r="CR242" s="182"/>
      <c r="CS242" s="173"/>
      <c r="CT242" s="65"/>
      <c r="CU242" s="271"/>
    </row>
    <row r="243" ht="60.0" hidden="1" customHeight="1">
      <c r="A243" s="65"/>
      <c r="C243" s="167"/>
      <c r="D243" s="205"/>
      <c r="E243" s="262"/>
      <c r="F243" s="170"/>
      <c r="G243" s="170"/>
      <c r="H243" s="170"/>
      <c r="I243" s="170"/>
      <c r="J243" s="170"/>
      <c r="K243" s="171"/>
      <c r="L243" s="171"/>
      <c r="M243" s="171"/>
      <c r="N243" s="209"/>
      <c r="O243" s="172">
        <f t="shared" si="44"/>
        <v>0</v>
      </c>
      <c r="P243" s="166"/>
      <c r="Q243" s="173"/>
      <c r="R243" s="65"/>
      <c r="S243" s="173"/>
      <c r="T243" s="173"/>
      <c r="U243" s="166"/>
      <c r="V243" s="166"/>
      <c r="W243" s="65"/>
      <c r="X243" s="66"/>
      <c r="Y243" s="173"/>
      <c r="Z243" s="166"/>
      <c r="AA243" s="174"/>
      <c r="AB243" s="175"/>
      <c r="AC243" s="175"/>
      <c r="AD243" s="175"/>
      <c r="AE243" s="175"/>
      <c r="AF243" s="175"/>
      <c r="AG243" s="175"/>
      <c r="AH243" s="175"/>
      <c r="AI243" s="176"/>
      <c r="AJ243" s="177"/>
      <c r="AK243" s="178"/>
      <c r="AL243" s="178"/>
      <c r="AM243" s="178"/>
      <c r="AN243" s="178"/>
      <c r="AO243" s="179"/>
      <c r="AP243" s="64"/>
      <c r="AQ243" s="65"/>
      <c r="AR243" s="65"/>
      <c r="AS243" s="65"/>
      <c r="AT243" s="173"/>
      <c r="AU243" s="177"/>
      <c r="AV243" s="178"/>
      <c r="AW243" s="178"/>
      <c r="AX243" s="179"/>
      <c r="AZ243" s="166"/>
      <c r="BA243" s="177"/>
      <c r="BB243" s="178"/>
      <c r="BC243" s="178"/>
      <c r="BD243" s="178"/>
      <c r="BE243" s="178"/>
      <c r="BF243" s="178"/>
      <c r="BG243" s="178"/>
      <c r="BH243" s="178"/>
      <c r="BI243" s="179"/>
      <c r="BJ243" s="180"/>
      <c r="BK243" s="178"/>
      <c r="BL243" s="178"/>
      <c r="BM243" s="178"/>
      <c r="BN243" s="178"/>
      <c r="BO243" s="181"/>
      <c r="BP243" s="166"/>
      <c r="BQ243" s="177"/>
      <c r="BR243" s="178"/>
      <c r="BS243" s="179"/>
      <c r="BU243" s="166"/>
      <c r="BV243" s="166"/>
      <c r="BW243" s="166"/>
      <c r="BX243" s="166"/>
      <c r="BY243" s="166"/>
      <c r="BZ243" s="166"/>
      <c r="CA243" s="166"/>
      <c r="CB243" s="166"/>
      <c r="CC243" s="166"/>
      <c r="CD243" s="177"/>
      <c r="CE243" s="181"/>
      <c r="CF243" s="177"/>
      <c r="CG243" s="179"/>
      <c r="CH243" s="257"/>
      <c r="CI243" s="182"/>
      <c r="CJ243" s="177"/>
      <c r="CK243" s="182"/>
      <c r="CL243" s="177"/>
      <c r="CM243" s="182"/>
      <c r="CN243" s="177"/>
      <c r="CO243" s="182"/>
      <c r="CP243" s="177"/>
      <c r="CQ243" s="178"/>
      <c r="CR243" s="182"/>
      <c r="CS243" s="173"/>
      <c r="CT243" s="65"/>
      <c r="CU243" s="271"/>
    </row>
    <row r="244" ht="60.0" hidden="1" customHeight="1">
      <c r="A244" s="65"/>
      <c r="C244" s="167"/>
      <c r="D244" s="205"/>
      <c r="E244" s="262"/>
      <c r="F244" s="170"/>
      <c r="G244" s="170"/>
      <c r="H244" s="170"/>
      <c r="I244" s="170"/>
      <c r="J244" s="170"/>
      <c r="K244" s="171"/>
      <c r="L244" s="171"/>
      <c r="M244" s="171"/>
      <c r="N244" s="209"/>
      <c r="O244" s="172">
        <f t="shared" si="44"/>
        <v>0</v>
      </c>
      <c r="P244" s="166"/>
      <c r="Q244" s="173"/>
      <c r="R244" s="65"/>
      <c r="S244" s="173"/>
      <c r="T244" s="173"/>
      <c r="U244" s="166"/>
      <c r="V244" s="166"/>
      <c r="W244" s="65"/>
      <c r="X244" s="66"/>
      <c r="Y244" s="173"/>
      <c r="Z244" s="166"/>
      <c r="AA244" s="174"/>
      <c r="AB244" s="175"/>
      <c r="AC244" s="175"/>
      <c r="AD244" s="175"/>
      <c r="AE244" s="175"/>
      <c r="AF244" s="175"/>
      <c r="AG244" s="175"/>
      <c r="AH244" s="175"/>
      <c r="AI244" s="176"/>
      <c r="AJ244" s="177"/>
      <c r="AK244" s="178"/>
      <c r="AL244" s="178"/>
      <c r="AM244" s="178"/>
      <c r="AN244" s="178"/>
      <c r="AO244" s="179"/>
      <c r="AP244" s="64"/>
      <c r="AQ244" s="65"/>
      <c r="AR244" s="65"/>
      <c r="AS244" s="65"/>
      <c r="AT244" s="173"/>
      <c r="AU244" s="177"/>
      <c r="AV244" s="178"/>
      <c r="AW244" s="178"/>
      <c r="AX244" s="179"/>
      <c r="AZ244" s="166"/>
      <c r="BA244" s="177"/>
      <c r="BB244" s="178"/>
      <c r="BC244" s="178"/>
      <c r="BD244" s="178"/>
      <c r="BE244" s="178"/>
      <c r="BF244" s="178"/>
      <c r="BG244" s="178"/>
      <c r="BH244" s="178"/>
      <c r="BI244" s="179"/>
      <c r="BJ244" s="180"/>
      <c r="BK244" s="178"/>
      <c r="BL244" s="178"/>
      <c r="BM244" s="178"/>
      <c r="BN244" s="178"/>
      <c r="BO244" s="181"/>
      <c r="BP244" s="166"/>
      <c r="BQ244" s="177"/>
      <c r="BR244" s="178"/>
      <c r="BS244" s="179"/>
      <c r="BU244" s="166"/>
      <c r="BV244" s="166"/>
      <c r="BW244" s="166"/>
      <c r="BX244" s="166"/>
      <c r="BY244" s="166"/>
      <c r="BZ244" s="166"/>
      <c r="CA244" s="166"/>
      <c r="CB244" s="166"/>
      <c r="CC244" s="166"/>
      <c r="CD244" s="177"/>
      <c r="CE244" s="181"/>
      <c r="CF244" s="177"/>
      <c r="CG244" s="179"/>
      <c r="CH244" s="257"/>
      <c r="CI244" s="182"/>
      <c r="CJ244" s="177"/>
      <c r="CK244" s="182"/>
      <c r="CL244" s="177"/>
      <c r="CM244" s="182"/>
      <c r="CN244" s="177"/>
      <c r="CO244" s="182"/>
      <c r="CP244" s="177"/>
      <c r="CQ244" s="178"/>
      <c r="CR244" s="182"/>
      <c r="CS244" s="173"/>
      <c r="CT244" s="65"/>
      <c r="CU244" s="271"/>
    </row>
    <row r="245" ht="60.0" hidden="1" customHeight="1">
      <c r="A245" s="65"/>
      <c r="C245" s="167"/>
      <c r="D245" s="205"/>
      <c r="E245" s="262"/>
      <c r="F245" s="170"/>
      <c r="G245" s="170"/>
      <c r="H245" s="170"/>
      <c r="I245" s="170"/>
      <c r="J245" s="170"/>
      <c r="K245" s="171"/>
      <c r="L245" s="171"/>
      <c r="M245" s="171"/>
      <c r="N245" s="209"/>
      <c r="O245" s="172">
        <f t="shared" ref="O245:O248" si="45">IF(AND(M245&gt;=20,M245&lt;&gt;"m",RIGHT(K245,3)="Lec"),1,IF(AND(M245&gt;=20,M245&lt;&gt;"m",OR(RIGHT(K245,3)="Lab",RIGHT(K245,3)="Tut")),0.5,IF(AND(M245&gt;=20,M245&lt;&gt;"m",RIGHT(K245,2)="TL"),0.75,0)))</f>
        <v>0</v>
      </c>
      <c r="P245" s="166"/>
      <c r="Q245" s="173"/>
      <c r="R245" s="65"/>
      <c r="S245" s="173"/>
      <c r="T245" s="173"/>
      <c r="U245" s="166"/>
      <c r="V245" s="166"/>
      <c r="W245" s="65"/>
      <c r="X245" s="66"/>
      <c r="Y245" s="173"/>
      <c r="Z245" s="166"/>
      <c r="AA245" s="174"/>
      <c r="AB245" s="175"/>
      <c r="AC245" s="175"/>
      <c r="AD245" s="175"/>
      <c r="AE245" s="175"/>
      <c r="AF245" s="175"/>
      <c r="AG245" s="175"/>
      <c r="AH245" s="175"/>
      <c r="AI245" s="176"/>
      <c r="AJ245" s="177"/>
      <c r="AK245" s="178"/>
      <c r="AL245" s="178"/>
      <c r="AM245" s="178"/>
      <c r="AN245" s="178"/>
      <c r="AO245" s="179"/>
      <c r="AP245" s="64"/>
      <c r="AQ245" s="65"/>
      <c r="AR245" s="65"/>
      <c r="AS245" s="65"/>
      <c r="AT245" s="173"/>
      <c r="AU245" s="177"/>
      <c r="AV245" s="178"/>
      <c r="AW245" s="178"/>
      <c r="AX245" s="179"/>
      <c r="AZ245" s="166"/>
      <c r="BA245" s="177"/>
      <c r="BB245" s="178"/>
      <c r="BC245" s="178"/>
      <c r="BD245" s="178"/>
      <c r="BE245" s="178"/>
      <c r="BF245" s="178"/>
      <c r="BG245" s="178"/>
      <c r="BH245" s="178"/>
      <c r="BI245" s="179"/>
      <c r="BJ245" s="180"/>
      <c r="BK245" s="178"/>
      <c r="BL245" s="178"/>
      <c r="BM245" s="178"/>
      <c r="BN245" s="178"/>
      <c r="BO245" s="181"/>
      <c r="BP245" s="166"/>
      <c r="BQ245" s="177"/>
      <c r="BR245" s="178"/>
      <c r="BS245" s="179"/>
      <c r="BU245" s="166"/>
      <c r="BV245" s="166"/>
      <c r="BW245" s="166"/>
      <c r="BX245" s="166"/>
      <c r="BY245" s="166"/>
      <c r="BZ245" s="166"/>
      <c r="CA245" s="166"/>
      <c r="CB245" s="166"/>
      <c r="CC245" s="166"/>
      <c r="CD245" s="177"/>
      <c r="CE245" s="181"/>
      <c r="CF245" s="177"/>
      <c r="CG245" s="179"/>
      <c r="CH245" s="257"/>
      <c r="CI245" s="182"/>
      <c r="CJ245" s="177"/>
      <c r="CK245" s="182"/>
      <c r="CL245" s="177"/>
      <c r="CM245" s="182"/>
      <c r="CN245" s="177"/>
      <c r="CO245" s="182"/>
      <c r="CP245" s="177"/>
      <c r="CQ245" s="178"/>
      <c r="CR245" s="182"/>
      <c r="CS245" s="173"/>
      <c r="CT245" s="65"/>
      <c r="CU245" s="271"/>
    </row>
    <row r="246" ht="60.0" hidden="1" customHeight="1">
      <c r="A246" s="65"/>
      <c r="C246" s="167"/>
      <c r="D246" s="205"/>
      <c r="E246" s="262"/>
      <c r="F246" s="170"/>
      <c r="G246" s="170"/>
      <c r="H246" s="170"/>
      <c r="I246" s="170"/>
      <c r="J246" s="170"/>
      <c r="K246" s="171"/>
      <c r="L246" s="171"/>
      <c r="M246" s="171"/>
      <c r="N246" s="209"/>
      <c r="O246" s="172">
        <f t="shared" si="45"/>
        <v>0</v>
      </c>
      <c r="P246" s="166"/>
      <c r="Q246" s="173"/>
      <c r="R246" s="65"/>
      <c r="S246" s="173"/>
      <c r="T246" s="173"/>
      <c r="U246" s="166"/>
      <c r="V246" s="166"/>
      <c r="W246" s="65"/>
      <c r="X246" s="66"/>
      <c r="Y246" s="173"/>
      <c r="Z246" s="166"/>
      <c r="AA246" s="174"/>
      <c r="AB246" s="175"/>
      <c r="AC246" s="175"/>
      <c r="AD246" s="175"/>
      <c r="AE246" s="175"/>
      <c r="AF246" s="175"/>
      <c r="AG246" s="175"/>
      <c r="AH246" s="175"/>
      <c r="AI246" s="176"/>
      <c r="AJ246" s="177"/>
      <c r="AK246" s="178"/>
      <c r="AL246" s="178"/>
      <c r="AM246" s="178"/>
      <c r="AN246" s="178"/>
      <c r="AO246" s="179"/>
      <c r="AP246" s="64"/>
      <c r="AQ246" s="65"/>
      <c r="AR246" s="65"/>
      <c r="AS246" s="65"/>
      <c r="AT246" s="173"/>
      <c r="AU246" s="177"/>
      <c r="AV246" s="178"/>
      <c r="AW246" s="178"/>
      <c r="AX246" s="179"/>
      <c r="AZ246" s="166"/>
      <c r="BA246" s="177"/>
      <c r="BB246" s="178"/>
      <c r="BC246" s="178"/>
      <c r="BD246" s="178"/>
      <c r="BE246" s="178"/>
      <c r="BF246" s="178"/>
      <c r="BG246" s="178"/>
      <c r="BH246" s="178"/>
      <c r="BI246" s="179"/>
      <c r="BJ246" s="180"/>
      <c r="BK246" s="178"/>
      <c r="BL246" s="178"/>
      <c r="BM246" s="178"/>
      <c r="BN246" s="178"/>
      <c r="BO246" s="181"/>
      <c r="BP246" s="166"/>
      <c r="BQ246" s="177"/>
      <c r="BR246" s="178"/>
      <c r="BS246" s="179"/>
      <c r="BU246" s="166"/>
      <c r="BV246" s="166"/>
      <c r="BW246" s="166"/>
      <c r="BX246" s="166"/>
      <c r="BY246" s="166"/>
      <c r="BZ246" s="166"/>
      <c r="CA246" s="166"/>
      <c r="CB246" s="166"/>
      <c r="CC246" s="166"/>
      <c r="CD246" s="177"/>
      <c r="CE246" s="181"/>
      <c r="CF246" s="177"/>
      <c r="CG246" s="179"/>
      <c r="CH246" s="257"/>
      <c r="CI246" s="182"/>
      <c r="CJ246" s="177"/>
      <c r="CK246" s="182"/>
      <c r="CL246" s="177"/>
      <c r="CM246" s="182"/>
      <c r="CN246" s="177"/>
      <c r="CO246" s="182"/>
      <c r="CP246" s="177"/>
      <c r="CQ246" s="178"/>
      <c r="CR246" s="182"/>
      <c r="CS246" s="173"/>
      <c r="CT246" s="65"/>
      <c r="CU246" s="271"/>
    </row>
    <row r="247" ht="60.0" hidden="1" customHeight="1">
      <c r="A247" s="65"/>
      <c r="C247" s="167"/>
      <c r="D247" s="205"/>
      <c r="E247" s="262"/>
      <c r="F247" s="170"/>
      <c r="G247" s="170"/>
      <c r="H247" s="170"/>
      <c r="I247" s="170"/>
      <c r="J247" s="170"/>
      <c r="K247" s="171"/>
      <c r="L247" s="171"/>
      <c r="M247" s="171"/>
      <c r="N247" s="209"/>
      <c r="O247" s="172">
        <f t="shared" si="45"/>
        <v>0</v>
      </c>
      <c r="P247" s="166"/>
      <c r="Q247" s="173"/>
      <c r="R247" s="65"/>
      <c r="S247" s="173"/>
      <c r="T247" s="173"/>
      <c r="U247" s="166"/>
      <c r="V247" s="166"/>
      <c r="W247" s="65"/>
      <c r="X247" s="66"/>
      <c r="Y247" s="173"/>
      <c r="Z247" s="166"/>
      <c r="AA247" s="174"/>
      <c r="AB247" s="175"/>
      <c r="AC247" s="175"/>
      <c r="AD247" s="175"/>
      <c r="AE247" s="175"/>
      <c r="AF247" s="175"/>
      <c r="AG247" s="175"/>
      <c r="AH247" s="175"/>
      <c r="AI247" s="176"/>
      <c r="AJ247" s="177"/>
      <c r="AK247" s="178"/>
      <c r="AL247" s="178"/>
      <c r="AM247" s="178"/>
      <c r="AN247" s="178"/>
      <c r="AO247" s="179"/>
      <c r="AP247" s="64"/>
      <c r="AQ247" s="65"/>
      <c r="AR247" s="65"/>
      <c r="AS247" s="65"/>
      <c r="AT247" s="173"/>
      <c r="AU247" s="177"/>
      <c r="AV247" s="178"/>
      <c r="AW247" s="178"/>
      <c r="AX247" s="179"/>
      <c r="AZ247" s="166"/>
      <c r="BA247" s="177"/>
      <c r="BB247" s="178"/>
      <c r="BC247" s="178"/>
      <c r="BD247" s="178"/>
      <c r="BE247" s="178"/>
      <c r="BF247" s="178"/>
      <c r="BG247" s="178"/>
      <c r="BH247" s="178"/>
      <c r="BI247" s="179"/>
      <c r="BJ247" s="180"/>
      <c r="BK247" s="178"/>
      <c r="BL247" s="178"/>
      <c r="BM247" s="178"/>
      <c r="BN247" s="178"/>
      <c r="BO247" s="181"/>
      <c r="BP247" s="166"/>
      <c r="BQ247" s="177"/>
      <c r="BR247" s="178"/>
      <c r="BS247" s="179"/>
      <c r="BU247" s="166"/>
      <c r="BV247" s="166"/>
      <c r="BW247" s="166"/>
      <c r="BX247" s="166"/>
      <c r="BY247" s="166"/>
      <c r="BZ247" s="166"/>
      <c r="CA247" s="166"/>
      <c r="CB247" s="166"/>
      <c r="CC247" s="166"/>
      <c r="CD247" s="177"/>
      <c r="CE247" s="181"/>
      <c r="CF247" s="177"/>
      <c r="CG247" s="179"/>
      <c r="CH247" s="257"/>
      <c r="CI247" s="182"/>
      <c r="CJ247" s="177"/>
      <c r="CK247" s="182"/>
      <c r="CL247" s="177"/>
      <c r="CM247" s="182"/>
      <c r="CN247" s="177"/>
      <c r="CO247" s="182"/>
      <c r="CP247" s="177"/>
      <c r="CQ247" s="178"/>
      <c r="CR247" s="182"/>
      <c r="CS247" s="173"/>
      <c r="CT247" s="65"/>
      <c r="CU247" s="271"/>
    </row>
    <row r="248" ht="60.0" hidden="1" customHeight="1">
      <c r="A248" s="65"/>
      <c r="C248" s="167"/>
      <c r="D248" s="205"/>
      <c r="E248" s="262"/>
      <c r="F248" s="170"/>
      <c r="G248" s="170"/>
      <c r="H248" s="170"/>
      <c r="I248" s="170"/>
      <c r="J248" s="170"/>
      <c r="K248" s="171"/>
      <c r="L248" s="171"/>
      <c r="M248" s="171"/>
      <c r="N248" s="209"/>
      <c r="O248" s="172">
        <f t="shared" si="45"/>
        <v>0</v>
      </c>
      <c r="P248" s="166"/>
      <c r="Q248" s="173"/>
      <c r="R248" s="65"/>
      <c r="S248" s="173"/>
      <c r="T248" s="173"/>
      <c r="U248" s="166"/>
      <c r="V248" s="166"/>
      <c r="W248" s="65"/>
      <c r="X248" s="66"/>
      <c r="Y248" s="173"/>
      <c r="Z248" s="166"/>
      <c r="AA248" s="174"/>
      <c r="AB248" s="175"/>
      <c r="AC248" s="175"/>
      <c r="AD248" s="175"/>
      <c r="AE248" s="175"/>
      <c r="AF248" s="175"/>
      <c r="AG248" s="175"/>
      <c r="AH248" s="175"/>
      <c r="AI248" s="176"/>
      <c r="AJ248" s="177"/>
      <c r="AK248" s="178"/>
      <c r="AL248" s="178"/>
      <c r="AM248" s="178"/>
      <c r="AN248" s="178"/>
      <c r="AO248" s="179"/>
      <c r="AP248" s="64"/>
      <c r="AQ248" s="65"/>
      <c r="AR248" s="65"/>
      <c r="AS248" s="65"/>
      <c r="AT248" s="173"/>
      <c r="AU248" s="177"/>
      <c r="AV248" s="178"/>
      <c r="AW248" s="178"/>
      <c r="AX248" s="179"/>
      <c r="AZ248" s="166"/>
      <c r="BA248" s="177"/>
      <c r="BB248" s="178"/>
      <c r="BC248" s="178"/>
      <c r="BD248" s="178"/>
      <c r="BE248" s="178"/>
      <c r="BF248" s="178"/>
      <c r="BG248" s="178"/>
      <c r="BH248" s="178"/>
      <c r="BI248" s="179"/>
      <c r="BJ248" s="180"/>
      <c r="BK248" s="178"/>
      <c r="BL248" s="178"/>
      <c r="BM248" s="178"/>
      <c r="BN248" s="178"/>
      <c r="BO248" s="181"/>
      <c r="BP248" s="166"/>
      <c r="BQ248" s="177"/>
      <c r="BR248" s="178"/>
      <c r="BS248" s="179"/>
      <c r="BU248" s="166"/>
      <c r="BV248" s="166"/>
      <c r="BW248" s="166"/>
      <c r="BX248" s="166"/>
      <c r="BY248" s="166"/>
      <c r="BZ248" s="166"/>
      <c r="CA248" s="166"/>
      <c r="CB248" s="166"/>
      <c r="CC248" s="166"/>
      <c r="CD248" s="177"/>
      <c r="CE248" s="181"/>
      <c r="CF248" s="177"/>
      <c r="CG248" s="179"/>
      <c r="CH248" s="257"/>
      <c r="CI248" s="182"/>
      <c r="CJ248" s="177"/>
      <c r="CK248" s="182"/>
      <c r="CL248" s="177"/>
      <c r="CM248" s="182"/>
      <c r="CN248" s="177"/>
      <c r="CO248" s="182"/>
      <c r="CP248" s="177"/>
      <c r="CQ248" s="178"/>
      <c r="CR248" s="182"/>
      <c r="CS248" s="173"/>
      <c r="CT248" s="65"/>
      <c r="CU248" s="271"/>
    </row>
    <row r="249" ht="60.0" hidden="1" customHeight="1">
      <c r="A249" s="89"/>
      <c r="B249" s="6"/>
      <c r="C249" s="183"/>
      <c r="D249" s="210"/>
      <c r="E249" s="263"/>
      <c r="F249" s="186"/>
      <c r="G249" s="186"/>
      <c r="H249" s="186"/>
      <c r="I249" s="186"/>
      <c r="J249" s="186"/>
      <c r="K249" s="187"/>
      <c r="L249" s="187"/>
      <c r="M249" s="187"/>
      <c r="N249" s="214"/>
      <c r="O249" s="188">
        <f t="shared" ref="O249:O255" si="46">IF(AND(M249&lt;&gt;0,M249&lt;&gt;"m",M249&lt;&gt;"",RIGHT(K249,3)="Lec"),1,IF(AND(M249&lt;&gt;0,M249&lt;&gt;"m",M249&lt;&gt;"",OR(RIGHT(K249,3)="Lab",RIGHT(K249,3)="Tut")),0.5,IF(AND(M249&lt;&gt;0,M249&lt;&gt;"m",M249&lt;&gt;"",RIGHT(K249,2)="TL"),0.75,0)))</f>
        <v>0</v>
      </c>
      <c r="P249" s="63"/>
      <c r="Q249" s="69"/>
      <c r="R249" s="89"/>
      <c r="S249" s="69"/>
      <c r="T249" s="69"/>
      <c r="U249" s="63"/>
      <c r="V249" s="63"/>
      <c r="W249" s="89"/>
      <c r="X249" s="68"/>
      <c r="Y249" s="69"/>
      <c r="Z249" s="63"/>
      <c r="AA249" s="189"/>
      <c r="AB249" s="190"/>
      <c r="AC249" s="190"/>
      <c r="AD249" s="190"/>
      <c r="AE249" s="190"/>
      <c r="AF249" s="190"/>
      <c r="AG249" s="190"/>
      <c r="AH249" s="190"/>
      <c r="AI249" s="191"/>
      <c r="AJ249" s="192"/>
      <c r="AK249" s="193"/>
      <c r="AL249" s="193"/>
      <c r="AM249" s="193"/>
      <c r="AN249" s="193"/>
      <c r="AO249" s="194"/>
      <c r="AP249" s="103"/>
      <c r="AQ249" s="89"/>
      <c r="AR249" s="89"/>
      <c r="AS249" s="89"/>
      <c r="AT249" s="69"/>
      <c r="AU249" s="192"/>
      <c r="AV249" s="193"/>
      <c r="AW249" s="193"/>
      <c r="AX249" s="194"/>
      <c r="AY249" s="6"/>
      <c r="AZ249" s="63"/>
      <c r="BA249" s="192"/>
      <c r="BB249" s="193"/>
      <c r="BC249" s="193"/>
      <c r="BD249" s="193"/>
      <c r="BE249" s="193"/>
      <c r="BF249" s="193"/>
      <c r="BG249" s="193"/>
      <c r="BH249" s="193"/>
      <c r="BI249" s="194"/>
      <c r="BJ249" s="195"/>
      <c r="BK249" s="193"/>
      <c r="BL249" s="193"/>
      <c r="BM249" s="193"/>
      <c r="BN249" s="193"/>
      <c r="BO249" s="196"/>
      <c r="BP249" s="63"/>
      <c r="BQ249" s="192"/>
      <c r="BR249" s="193"/>
      <c r="BS249" s="194"/>
      <c r="BT249" s="6"/>
      <c r="BU249" s="63"/>
      <c r="BV249" s="63"/>
      <c r="BW249" s="63"/>
      <c r="BX249" s="63"/>
      <c r="BY249" s="63"/>
      <c r="BZ249" s="63"/>
      <c r="CA249" s="63"/>
      <c r="CB249" s="63"/>
      <c r="CC249" s="63"/>
      <c r="CD249" s="192"/>
      <c r="CE249" s="196"/>
      <c r="CF249" s="192"/>
      <c r="CG249" s="194"/>
      <c r="CH249" s="259"/>
      <c r="CI249" s="197"/>
      <c r="CJ249" s="192"/>
      <c r="CK249" s="197"/>
      <c r="CL249" s="192"/>
      <c r="CM249" s="197"/>
      <c r="CN249" s="192"/>
      <c r="CO249" s="197"/>
      <c r="CP249" s="192"/>
      <c r="CQ249" s="193"/>
      <c r="CR249" s="197"/>
      <c r="CS249" s="69"/>
      <c r="CT249" s="89"/>
      <c r="CU249" s="272"/>
    </row>
    <row r="250" ht="56.25" hidden="1" customHeight="1">
      <c r="A250" s="125">
        <v>23.0</v>
      </c>
      <c r="B250" s="199"/>
      <c r="C250" s="127"/>
      <c r="D250" s="128"/>
      <c r="E250" s="260"/>
      <c r="F250" s="261"/>
      <c r="G250" s="261"/>
      <c r="H250" s="261"/>
      <c r="I250" s="261"/>
      <c r="J250" s="170"/>
      <c r="K250" s="219"/>
      <c r="L250" s="219"/>
      <c r="M250" s="219"/>
      <c r="N250" s="220"/>
      <c r="O250" s="132">
        <f t="shared" si="46"/>
        <v>0</v>
      </c>
      <c r="P250" s="133">
        <f>COUNTIF(K250:K260,"TL")*0.75+COUNTIF(K250:K260,"Lec")*1+COUNTIF(K250:K260,"Lab")*0.5</f>
        <v>0</v>
      </c>
      <c r="Q250" s="134">
        <f>SUM((IF(LEFT(K250,1)="E",O250,0)),(IF(LEFT(K251,1)="E",O251,0)),(IF(LEFT(K252,1)="E",O252,0)),(IF(LEFT(K253,1)="E",O253,0)),(IF(LEFT(K254,1)="E",O254,0)),(IF(LEFT(K255,1)="E",O255,0)),(IF(LEFT(K256,1)="E",O256,0)),(IF(LEFT(K257,1)="E",O257,0)),(IF(LEFT(K258,1)="E",O258,0)),(IF(LEFT(K259,1)="E",O259,0)),(IF(LEFT(K260,1)="E",O260,0)))</f>
        <v>0</v>
      </c>
      <c r="R250" s="135">
        <f>SUM(IF(M256&lt;20,IF(K256="Plec",-1,IF(K256="PTL",-0.75,IF(K256="Plab",-0.5,0))),0),IF(M257&lt;20,IF(K257="Plec",-1,IF(K257="PTL",-0.75,IF(K257="Plab",-0.5,0))),0),IF(M258&lt;20,IF(K258="Plec",-1,IF(K258="PTL",-0.75,IF(K258="Plab",-0.5,0))),0),IF(M259&lt;20,IF(K259="Plec",-1,IF(K259="PTL",-0.75,IF(K259="Plab",-0.5,0))),0))</f>
        <v>0</v>
      </c>
      <c r="S250" s="134">
        <f>SUM(P250:R260)</f>
        <v>0</v>
      </c>
      <c r="T250" s="136">
        <f>SUM(IF(M250="M",IF(OR(K250="lec",K250="plec",K250="slec"),1,IF(OR(K250="lab",K250="plab",K250="slab",K250="tut",K250="ptut",K250="stut"),0.5,IF(OR(K250="TL",K250="pTL",K250="STL"),0.75,0))),0),IF(M251="M",IF(OR(K251="lec",K251="plec",K251="slec"),1,IF(OR(K251="lab",K251="plab",K251="slab",K251="tut",K251="ptut",K251="stut"),0.5,IF(OR(K251="TL",K251="pTL",K251="STL"),0.75,0))),0),IF(M252="M",IF(OR(K252="lec",K252="plec",K252="slec"),1,IF(OR(K252="lab",K252="plab",K252="slab",K252="tut",K252="ptut",K252="stut"),0.5,IF(OR(K252="TL",K252="pTL",K252="STL"),0.75,0))),0),IF(M253="M",IF(OR(K253="lec",K253="plec",K253="slec"),1,IF(OR(K253="lab",K253="plab",K253="slab",K253="tut",K253="ptut",K253="stut"),0.5,IF(OR(K253="TL",K253="pTL",K253="STL"),0.75,0))),0),IF(M254="M",IF(OR(K254="lec",K254="plec",K254="slec"),1,IF(OR(K254="lab",K254="plab",K254="slab",K254="tut",K254="ptut",K254="stut"),0.5,IF(OR(K254="TL",K254="pTL",K254="STL"),0.75,0))),0),IF(M255="M",IF(OR(K255="lec",K255="plec",K255="slec"),1,IF(OR(K255="lab",K255="plab",K255="slab",K255="tut",K255="ptut",K255="stut"),0.5,IF(OR(K255="TL",K255="pTL",K255="STL"),0.75,0))),0),IF(M256="M",IF(OR(K256="lec",K256="plec",K256="slec"),1,IF(OR(K256="lab",K256="plab",K256="slab",K256="tut",K256="ptut",K256="stut"),0.5,IF(OR(K256="TL",K256="pTL",K256="STL"),0.75,0))),0),IF(M257="M",IF(OR(K257="lec",K257="plec",K257="slec"),1,IF(OR(K257="lab",K257="plab",K257="slab",K257="tut",K257="ptut",K257="stut"),0.5,IF(OR(K257="TL",K257="pTL",K257="STL"),0.75,0))),0),IF(M258="M",IF(OR(K258="lec",K258="plec",K258="slec"),1,IF(OR(K258="lab",K258="plab",K258="slab",K258="tut",K258="ptut",K258="stut"),0.5,IF(OR(K258="TL",K258="pTL",K258="STL"),0.75,0))),0),IF(M259="M",IF(OR(K259="lec",K259="plec",K259="slec"),1,IF(OR(K259="lab",K259="plab",K259="slab",K259="tut",K259="ptut",K259="stut"),0.5,IF(OR(K259="TL",K259="pTL",K259="STL"),0.75,0))),0),IF(M260="M",IF(OR(K260="lec",K260="plec",K260="slec"),1,IF(OR(K260="lab",K260="plab",K260="slab",K260="tut",K260="ptut",K260="stut"),0.5,IF(OR(K260="TL",K260="pTL",K260="STL"),0.75,0))),0))</f>
        <v>0</v>
      </c>
      <c r="U250" s="137"/>
      <c r="V250" s="133"/>
      <c r="W250" s="138"/>
      <c r="X250" s="139">
        <f>S250-(T250+U250+V250+W250)</f>
        <v>0</v>
      </c>
      <c r="Y250" s="134" t="str">
        <f>CONCATENATE(SUM(O250:O260),"(",SUM(O250:O260)-X250,")")</f>
        <v>0(0)</v>
      </c>
      <c r="Z250" s="140"/>
      <c r="AA250" s="141"/>
      <c r="AB250" s="142"/>
      <c r="AC250" s="142"/>
      <c r="AD250" s="142"/>
      <c r="AE250" s="142"/>
      <c r="AF250" s="142"/>
      <c r="AG250" s="142"/>
      <c r="AH250" s="142"/>
      <c r="AI250" s="143"/>
      <c r="AJ250" s="144"/>
      <c r="AK250" s="145"/>
      <c r="AL250" s="145"/>
      <c r="AM250" s="145"/>
      <c r="AN250" s="145"/>
      <c r="AO250" s="146"/>
      <c r="AP250" s="147">
        <f>SUM(SUM(O250:O260),SUM(AI250:AI260)/2,AM250)</f>
        <v>0</v>
      </c>
      <c r="AQ250" s="148"/>
      <c r="AR250" s="148">
        <f>AP250*AQ250</f>
        <v>0</v>
      </c>
      <c r="AS250" s="148">
        <f>CT250</f>
        <v>0</v>
      </c>
      <c r="AT250" s="149">
        <f>AR250*0.75+AS250*0.25</f>
        <v>0</v>
      </c>
      <c r="AU250" s="150"/>
      <c r="AV250" s="151"/>
      <c r="AW250" s="151"/>
      <c r="AX250" s="152"/>
      <c r="AY250" s="153"/>
      <c r="AZ250" s="140"/>
      <c r="BA250" s="150"/>
      <c r="BB250" s="151"/>
      <c r="BC250" s="151"/>
      <c r="BD250" s="151"/>
      <c r="BE250" s="151"/>
      <c r="BF250" s="151"/>
      <c r="BG250" s="151"/>
      <c r="BH250" s="151"/>
      <c r="BI250" s="152"/>
      <c r="BJ250" s="154"/>
      <c r="BK250" s="151"/>
      <c r="BL250" s="151"/>
      <c r="BM250" s="151"/>
      <c r="BN250" s="151"/>
      <c r="BO250" s="155"/>
      <c r="BP250" s="140"/>
      <c r="BQ250" s="156"/>
      <c r="BR250" s="157"/>
      <c r="BS250" s="158"/>
      <c r="BT250" s="153"/>
      <c r="BU250" s="140"/>
      <c r="BV250" s="140"/>
      <c r="BW250" s="140"/>
      <c r="BX250" s="140"/>
      <c r="BY250" s="140"/>
      <c r="BZ250" s="140"/>
      <c r="CA250" s="140"/>
      <c r="CB250" s="140"/>
      <c r="CC250" s="140"/>
      <c r="CD250" s="150"/>
      <c r="CE250" s="155"/>
      <c r="CF250" s="150"/>
      <c r="CG250" s="152"/>
      <c r="CH250" s="252"/>
      <c r="CI250" s="160"/>
      <c r="CJ250" s="159"/>
      <c r="CK250" s="160"/>
      <c r="CL250" s="159"/>
      <c r="CM250" s="160"/>
      <c r="CN250" s="159"/>
      <c r="CO250" s="160"/>
      <c r="CP250" s="159"/>
      <c r="CQ250" s="162"/>
      <c r="CR250" s="160"/>
      <c r="CS250" s="253">
        <f>SUM(IF(AU250&lt;0,ABS(AU250),0),IF(AZ250&lt;0,ABS(AZ250),0),ABS(CI250),ABS(CK250),ABS(CM250),ABS(CO250),ABS(CQ250),ABS(CR250))</f>
        <v>0</v>
      </c>
      <c r="CT250" s="254">
        <f>SUM(AU250,AV250,AW250,AX250/400,AY250,AZ250,BG250,BH250*0.5,BI250*0.25,BJ250,BK250,BL250,BM250,BN250,BO250,BP250,BR250/20,BS250/100,BT250/60,BU250,BV250,BW250,BX250/4,SUM(BY250:CC260)/3,CE250,CG250/3,CI250,CK250,CM250,CO250,CQ250,CR250)</f>
        <v>0</v>
      </c>
      <c r="CU250" s="255"/>
    </row>
    <row r="251" ht="60.0" hidden="1" customHeight="1">
      <c r="A251" s="65"/>
      <c r="C251" s="167"/>
      <c r="D251" s="205"/>
      <c r="E251" s="262"/>
      <c r="F251" s="170"/>
      <c r="G251" s="170"/>
      <c r="H251" s="170"/>
      <c r="I251" s="170"/>
      <c r="J251" s="170"/>
      <c r="K251" s="171"/>
      <c r="L251" s="171"/>
      <c r="M251" s="171"/>
      <c r="N251" s="209"/>
      <c r="O251" s="172">
        <f t="shared" si="46"/>
        <v>0</v>
      </c>
      <c r="P251" s="166"/>
      <c r="Q251" s="173"/>
      <c r="R251" s="65"/>
      <c r="S251" s="173"/>
      <c r="T251" s="173"/>
      <c r="U251" s="166"/>
      <c r="V251" s="166"/>
      <c r="W251" s="65"/>
      <c r="X251" s="66"/>
      <c r="Y251" s="173"/>
      <c r="Z251" s="166"/>
      <c r="AA251" s="174"/>
      <c r="AB251" s="175"/>
      <c r="AC251" s="175"/>
      <c r="AD251" s="175"/>
      <c r="AE251" s="175"/>
      <c r="AF251" s="175"/>
      <c r="AG251" s="175"/>
      <c r="AH251" s="175"/>
      <c r="AI251" s="176"/>
      <c r="AJ251" s="177"/>
      <c r="AK251" s="178"/>
      <c r="AL251" s="178"/>
      <c r="AM251" s="178"/>
      <c r="AN251" s="178"/>
      <c r="AO251" s="179"/>
      <c r="AP251" s="64"/>
      <c r="AQ251" s="65"/>
      <c r="AR251" s="65"/>
      <c r="AS251" s="65"/>
      <c r="AT251" s="173"/>
      <c r="AU251" s="177"/>
      <c r="AV251" s="178"/>
      <c r="AW251" s="178"/>
      <c r="AX251" s="179"/>
      <c r="AZ251" s="166"/>
      <c r="BA251" s="177"/>
      <c r="BB251" s="178"/>
      <c r="BC251" s="178"/>
      <c r="BD251" s="178"/>
      <c r="BE251" s="178"/>
      <c r="BF251" s="178"/>
      <c r="BG251" s="178"/>
      <c r="BH251" s="178"/>
      <c r="BI251" s="179"/>
      <c r="BJ251" s="180"/>
      <c r="BK251" s="178"/>
      <c r="BL251" s="178"/>
      <c r="BM251" s="178"/>
      <c r="BN251" s="178"/>
      <c r="BO251" s="181"/>
      <c r="BP251" s="166"/>
      <c r="BQ251" s="177"/>
      <c r="BR251" s="178"/>
      <c r="BS251" s="179"/>
      <c r="BU251" s="166"/>
      <c r="BV251" s="166"/>
      <c r="BW251" s="166"/>
      <c r="BX251" s="166"/>
      <c r="BY251" s="166"/>
      <c r="BZ251" s="166"/>
      <c r="CA251" s="166"/>
      <c r="CB251" s="166"/>
      <c r="CC251" s="166"/>
      <c r="CD251" s="177"/>
      <c r="CE251" s="181"/>
      <c r="CF251" s="177"/>
      <c r="CG251" s="179"/>
      <c r="CH251" s="257"/>
      <c r="CI251" s="182"/>
      <c r="CJ251" s="177"/>
      <c r="CK251" s="182"/>
      <c r="CL251" s="177"/>
      <c r="CM251" s="182"/>
      <c r="CN251" s="177"/>
      <c r="CO251" s="182"/>
      <c r="CP251" s="177"/>
      <c r="CQ251" s="178"/>
      <c r="CR251" s="182"/>
      <c r="CS251" s="173"/>
      <c r="CT251" s="65"/>
      <c r="CU251" s="271"/>
    </row>
    <row r="252" ht="60.0" hidden="1" customHeight="1">
      <c r="A252" s="65"/>
      <c r="C252" s="167"/>
      <c r="D252" s="205"/>
      <c r="E252" s="262"/>
      <c r="F252" s="170"/>
      <c r="G252" s="170"/>
      <c r="H252" s="170"/>
      <c r="I252" s="170"/>
      <c r="J252" s="170"/>
      <c r="K252" s="171"/>
      <c r="L252" s="171"/>
      <c r="M252" s="171"/>
      <c r="N252" s="209"/>
      <c r="O252" s="172">
        <f t="shared" si="46"/>
        <v>0</v>
      </c>
      <c r="P252" s="166"/>
      <c r="Q252" s="173"/>
      <c r="R252" s="65"/>
      <c r="S252" s="173"/>
      <c r="T252" s="173"/>
      <c r="U252" s="166"/>
      <c r="V252" s="166"/>
      <c r="W252" s="65"/>
      <c r="X252" s="66"/>
      <c r="Y252" s="173"/>
      <c r="Z252" s="166"/>
      <c r="AA252" s="174"/>
      <c r="AB252" s="175"/>
      <c r="AC252" s="175"/>
      <c r="AD252" s="175"/>
      <c r="AE252" s="175"/>
      <c r="AF252" s="175"/>
      <c r="AG252" s="175"/>
      <c r="AH252" s="175"/>
      <c r="AI252" s="176"/>
      <c r="AJ252" s="177"/>
      <c r="AK252" s="178"/>
      <c r="AL252" s="178"/>
      <c r="AM252" s="178"/>
      <c r="AN252" s="178"/>
      <c r="AO252" s="179"/>
      <c r="AP252" s="64"/>
      <c r="AQ252" s="65"/>
      <c r="AR252" s="65"/>
      <c r="AS252" s="65"/>
      <c r="AT252" s="173"/>
      <c r="AU252" s="177"/>
      <c r="AV252" s="178"/>
      <c r="AW252" s="178"/>
      <c r="AX252" s="179"/>
      <c r="AZ252" s="166"/>
      <c r="BA252" s="177"/>
      <c r="BB252" s="178"/>
      <c r="BC252" s="178"/>
      <c r="BD252" s="178"/>
      <c r="BE252" s="178"/>
      <c r="BF252" s="178"/>
      <c r="BG252" s="178"/>
      <c r="BH252" s="178"/>
      <c r="BI252" s="179"/>
      <c r="BJ252" s="180"/>
      <c r="BK252" s="178"/>
      <c r="BL252" s="178"/>
      <c r="BM252" s="178"/>
      <c r="BN252" s="178"/>
      <c r="BO252" s="181"/>
      <c r="BP252" s="166"/>
      <c r="BQ252" s="177"/>
      <c r="BR252" s="178"/>
      <c r="BS252" s="179"/>
      <c r="BU252" s="166"/>
      <c r="BV252" s="166"/>
      <c r="BW252" s="166"/>
      <c r="BX252" s="166"/>
      <c r="BY252" s="166"/>
      <c r="BZ252" s="166"/>
      <c r="CA252" s="166"/>
      <c r="CB252" s="166"/>
      <c r="CC252" s="166"/>
      <c r="CD252" s="177"/>
      <c r="CE252" s="181"/>
      <c r="CF252" s="177"/>
      <c r="CG252" s="179"/>
      <c r="CH252" s="257"/>
      <c r="CI252" s="182"/>
      <c r="CJ252" s="177"/>
      <c r="CK252" s="182"/>
      <c r="CL252" s="177"/>
      <c r="CM252" s="182"/>
      <c r="CN252" s="177"/>
      <c r="CO252" s="182"/>
      <c r="CP252" s="177"/>
      <c r="CQ252" s="178"/>
      <c r="CR252" s="182"/>
      <c r="CS252" s="173"/>
      <c r="CT252" s="65"/>
      <c r="CU252" s="271"/>
    </row>
    <row r="253" ht="60.0" hidden="1" customHeight="1">
      <c r="A253" s="65"/>
      <c r="C253" s="167"/>
      <c r="D253" s="205"/>
      <c r="E253" s="262"/>
      <c r="F253" s="170"/>
      <c r="G253" s="170"/>
      <c r="H253" s="170"/>
      <c r="I253" s="170"/>
      <c r="J253" s="170"/>
      <c r="K253" s="171"/>
      <c r="L253" s="171"/>
      <c r="M253" s="171"/>
      <c r="N253" s="209"/>
      <c r="O253" s="172">
        <f t="shared" si="46"/>
        <v>0</v>
      </c>
      <c r="P253" s="166"/>
      <c r="Q253" s="173"/>
      <c r="R253" s="65"/>
      <c r="S253" s="173"/>
      <c r="T253" s="173"/>
      <c r="U253" s="166"/>
      <c r="V253" s="166"/>
      <c r="W253" s="65"/>
      <c r="X253" s="66"/>
      <c r="Y253" s="173"/>
      <c r="Z253" s="166"/>
      <c r="AA253" s="174"/>
      <c r="AB253" s="175"/>
      <c r="AC253" s="175"/>
      <c r="AD253" s="175"/>
      <c r="AE253" s="175"/>
      <c r="AF253" s="175"/>
      <c r="AG253" s="175"/>
      <c r="AH253" s="175"/>
      <c r="AI253" s="176"/>
      <c r="AJ253" s="177"/>
      <c r="AK253" s="178"/>
      <c r="AL253" s="178"/>
      <c r="AM253" s="178"/>
      <c r="AN253" s="178"/>
      <c r="AO253" s="179"/>
      <c r="AP253" s="64"/>
      <c r="AQ253" s="65"/>
      <c r="AR253" s="65"/>
      <c r="AS253" s="65"/>
      <c r="AT253" s="173"/>
      <c r="AU253" s="177"/>
      <c r="AV253" s="178"/>
      <c r="AW253" s="178"/>
      <c r="AX253" s="179"/>
      <c r="AZ253" s="166"/>
      <c r="BA253" s="177"/>
      <c r="BB253" s="178"/>
      <c r="BC253" s="178"/>
      <c r="BD253" s="178"/>
      <c r="BE253" s="178"/>
      <c r="BF253" s="178"/>
      <c r="BG253" s="178"/>
      <c r="BH253" s="178"/>
      <c r="BI253" s="179"/>
      <c r="BJ253" s="180"/>
      <c r="BK253" s="178"/>
      <c r="BL253" s="178"/>
      <c r="BM253" s="178"/>
      <c r="BN253" s="178"/>
      <c r="BO253" s="181"/>
      <c r="BP253" s="166"/>
      <c r="BQ253" s="177"/>
      <c r="BR253" s="178"/>
      <c r="BS253" s="179"/>
      <c r="BU253" s="166"/>
      <c r="BV253" s="166"/>
      <c r="BW253" s="166"/>
      <c r="BX253" s="166"/>
      <c r="BY253" s="166"/>
      <c r="BZ253" s="166"/>
      <c r="CA253" s="166"/>
      <c r="CB253" s="166"/>
      <c r="CC253" s="166"/>
      <c r="CD253" s="177"/>
      <c r="CE253" s="181"/>
      <c r="CF253" s="177"/>
      <c r="CG253" s="179"/>
      <c r="CH253" s="257"/>
      <c r="CI253" s="182"/>
      <c r="CJ253" s="177"/>
      <c r="CK253" s="182"/>
      <c r="CL253" s="177"/>
      <c r="CM253" s="182"/>
      <c r="CN253" s="177"/>
      <c r="CO253" s="182"/>
      <c r="CP253" s="177"/>
      <c r="CQ253" s="178"/>
      <c r="CR253" s="182"/>
      <c r="CS253" s="173"/>
      <c r="CT253" s="65"/>
      <c r="CU253" s="271"/>
    </row>
    <row r="254" ht="60.0" hidden="1" customHeight="1">
      <c r="A254" s="65"/>
      <c r="C254" s="167"/>
      <c r="D254" s="205"/>
      <c r="E254" s="262"/>
      <c r="F254" s="170"/>
      <c r="G254" s="170"/>
      <c r="H254" s="170"/>
      <c r="I254" s="170"/>
      <c r="J254" s="170"/>
      <c r="K254" s="171"/>
      <c r="L254" s="171"/>
      <c r="M254" s="171"/>
      <c r="N254" s="209"/>
      <c r="O254" s="172">
        <f t="shared" si="46"/>
        <v>0</v>
      </c>
      <c r="P254" s="166"/>
      <c r="Q254" s="173"/>
      <c r="R254" s="65"/>
      <c r="S254" s="173"/>
      <c r="T254" s="173"/>
      <c r="U254" s="166"/>
      <c r="V254" s="166"/>
      <c r="W254" s="65"/>
      <c r="X254" s="66"/>
      <c r="Y254" s="173"/>
      <c r="Z254" s="166"/>
      <c r="AA254" s="174"/>
      <c r="AB254" s="175"/>
      <c r="AC254" s="175"/>
      <c r="AD254" s="175"/>
      <c r="AE254" s="175"/>
      <c r="AF254" s="175"/>
      <c r="AG254" s="175"/>
      <c r="AH254" s="175"/>
      <c r="AI254" s="176"/>
      <c r="AJ254" s="177"/>
      <c r="AK254" s="178"/>
      <c r="AL254" s="178"/>
      <c r="AM254" s="178"/>
      <c r="AN254" s="178"/>
      <c r="AO254" s="179"/>
      <c r="AP254" s="64"/>
      <c r="AQ254" s="65"/>
      <c r="AR254" s="65"/>
      <c r="AS254" s="65"/>
      <c r="AT254" s="173"/>
      <c r="AU254" s="177"/>
      <c r="AV254" s="178"/>
      <c r="AW254" s="178"/>
      <c r="AX254" s="179"/>
      <c r="AZ254" s="166"/>
      <c r="BA254" s="177"/>
      <c r="BB254" s="178"/>
      <c r="BC254" s="178"/>
      <c r="BD254" s="178"/>
      <c r="BE254" s="178"/>
      <c r="BF254" s="178"/>
      <c r="BG254" s="178"/>
      <c r="BH254" s="178"/>
      <c r="BI254" s="179"/>
      <c r="BJ254" s="180"/>
      <c r="BK254" s="178"/>
      <c r="BL254" s="178"/>
      <c r="BM254" s="178"/>
      <c r="BN254" s="178"/>
      <c r="BO254" s="181"/>
      <c r="BP254" s="166"/>
      <c r="BQ254" s="177"/>
      <c r="BR254" s="178"/>
      <c r="BS254" s="179"/>
      <c r="BU254" s="166"/>
      <c r="BV254" s="166"/>
      <c r="BW254" s="166"/>
      <c r="BX254" s="166"/>
      <c r="BY254" s="166"/>
      <c r="BZ254" s="166"/>
      <c r="CA254" s="166"/>
      <c r="CB254" s="166"/>
      <c r="CC254" s="166"/>
      <c r="CD254" s="177"/>
      <c r="CE254" s="181"/>
      <c r="CF254" s="177"/>
      <c r="CG254" s="179"/>
      <c r="CH254" s="257"/>
      <c r="CI254" s="182"/>
      <c r="CJ254" s="177"/>
      <c r="CK254" s="182"/>
      <c r="CL254" s="177"/>
      <c r="CM254" s="182"/>
      <c r="CN254" s="177"/>
      <c r="CO254" s="182"/>
      <c r="CP254" s="177"/>
      <c r="CQ254" s="178"/>
      <c r="CR254" s="182"/>
      <c r="CS254" s="173"/>
      <c r="CT254" s="65"/>
      <c r="CU254" s="271"/>
    </row>
    <row r="255" ht="60.0" hidden="1" customHeight="1">
      <c r="A255" s="65"/>
      <c r="C255" s="167"/>
      <c r="D255" s="205"/>
      <c r="E255" s="262"/>
      <c r="F255" s="170"/>
      <c r="G255" s="170"/>
      <c r="H255" s="170"/>
      <c r="I255" s="170"/>
      <c r="J255" s="170"/>
      <c r="K255" s="171"/>
      <c r="L255" s="171"/>
      <c r="M255" s="171"/>
      <c r="N255" s="209"/>
      <c r="O255" s="172">
        <f t="shared" si="46"/>
        <v>0</v>
      </c>
      <c r="P255" s="166"/>
      <c r="Q255" s="173"/>
      <c r="R255" s="65"/>
      <c r="S255" s="173"/>
      <c r="T255" s="173"/>
      <c r="U255" s="166"/>
      <c r="V255" s="166"/>
      <c r="W255" s="65"/>
      <c r="X255" s="66"/>
      <c r="Y255" s="173"/>
      <c r="Z255" s="166"/>
      <c r="AA255" s="174"/>
      <c r="AB255" s="175"/>
      <c r="AC255" s="175"/>
      <c r="AD255" s="175"/>
      <c r="AE255" s="175"/>
      <c r="AF255" s="175"/>
      <c r="AG255" s="175"/>
      <c r="AH255" s="175"/>
      <c r="AI255" s="176"/>
      <c r="AJ255" s="177"/>
      <c r="AK255" s="178"/>
      <c r="AL255" s="178"/>
      <c r="AM255" s="178"/>
      <c r="AN255" s="178"/>
      <c r="AO255" s="179"/>
      <c r="AP255" s="64"/>
      <c r="AQ255" s="65"/>
      <c r="AR255" s="65"/>
      <c r="AS255" s="65"/>
      <c r="AT255" s="173"/>
      <c r="AU255" s="177"/>
      <c r="AV255" s="178"/>
      <c r="AW255" s="178"/>
      <c r="AX255" s="179"/>
      <c r="AZ255" s="166"/>
      <c r="BA255" s="177"/>
      <c r="BB255" s="178"/>
      <c r="BC255" s="178"/>
      <c r="BD255" s="178"/>
      <c r="BE255" s="178"/>
      <c r="BF255" s="178"/>
      <c r="BG255" s="178"/>
      <c r="BH255" s="178"/>
      <c r="BI255" s="179"/>
      <c r="BJ255" s="180"/>
      <c r="BK255" s="178"/>
      <c r="BL255" s="178"/>
      <c r="BM255" s="178"/>
      <c r="BN255" s="178"/>
      <c r="BO255" s="181"/>
      <c r="BP255" s="166"/>
      <c r="BQ255" s="177"/>
      <c r="BR255" s="178"/>
      <c r="BS255" s="179"/>
      <c r="BU255" s="166"/>
      <c r="BV255" s="166"/>
      <c r="BW255" s="166"/>
      <c r="BX255" s="166"/>
      <c r="BY255" s="166"/>
      <c r="BZ255" s="166"/>
      <c r="CA255" s="166"/>
      <c r="CB255" s="166"/>
      <c r="CC255" s="166"/>
      <c r="CD255" s="177"/>
      <c r="CE255" s="181"/>
      <c r="CF255" s="177"/>
      <c r="CG255" s="179"/>
      <c r="CH255" s="257"/>
      <c r="CI255" s="182"/>
      <c r="CJ255" s="177"/>
      <c r="CK255" s="182"/>
      <c r="CL255" s="177"/>
      <c r="CM255" s="182"/>
      <c r="CN255" s="177"/>
      <c r="CO255" s="182"/>
      <c r="CP255" s="177"/>
      <c r="CQ255" s="178"/>
      <c r="CR255" s="182"/>
      <c r="CS255" s="173"/>
      <c r="CT255" s="65"/>
      <c r="CU255" s="271"/>
    </row>
    <row r="256" ht="60.0" hidden="1" customHeight="1">
      <c r="A256" s="65"/>
      <c r="C256" s="167"/>
      <c r="D256" s="205"/>
      <c r="E256" s="262"/>
      <c r="F256" s="170"/>
      <c r="G256" s="170"/>
      <c r="H256" s="170"/>
      <c r="I256" s="170"/>
      <c r="J256" s="170"/>
      <c r="K256" s="171"/>
      <c r="L256" s="171"/>
      <c r="M256" s="171"/>
      <c r="N256" s="209"/>
      <c r="O256" s="172">
        <f t="shared" ref="O256:O259" si="47">IF(AND(M256&gt;=20,M256&lt;&gt;"m",RIGHT(K256,3)="Lec"),1,IF(AND(M256&gt;=20,M256&lt;&gt;"m",OR(RIGHT(K256,3)="Lab",RIGHT(K256,3)="Tut")),0.5,IF(AND(M256&gt;=20,M256&lt;&gt;"m",RIGHT(K256,2)="TL"),0.75,0)))</f>
        <v>0</v>
      </c>
      <c r="P256" s="166"/>
      <c r="Q256" s="173"/>
      <c r="R256" s="65"/>
      <c r="S256" s="173"/>
      <c r="T256" s="173"/>
      <c r="U256" s="166"/>
      <c r="V256" s="166"/>
      <c r="W256" s="65"/>
      <c r="X256" s="66"/>
      <c r="Y256" s="173"/>
      <c r="Z256" s="166"/>
      <c r="AA256" s="174"/>
      <c r="AB256" s="175"/>
      <c r="AC256" s="175"/>
      <c r="AD256" s="175"/>
      <c r="AE256" s="175"/>
      <c r="AF256" s="175"/>
      <c r="AG256" s="175"/>
      <c r="AH256" s="175"/>
      <c r="AI256" s="176"/>
      <c r="AJ256" s="177"/>
      <c r="AK256" s="178"/>
      <c r="AL256" s="178"/>
      <c r="AM256" s="178"/>
      <c r="AN256" s="178"/>
      <c r="AO256" s="179"/>
      <c r="AP256" s="64"/>
      <c r="AQ256" s="65"/>
      <c r="AR256" s="65"/>
      <c r="AS256" s="65"/>
      <c r="AT256" s="173"/>
      <c r="AU256" s="177"/>
      <c r="AV256" s="178"/>
      <c r="AW256" s="178"/>
      <c r="AX256" s="179"/>
      <c r="AZ256" s="166"/>
      <c r="BA256" s="177"/>
      <c r="BB256" s="178"/>
      <c r="BC256" s="178"/>
      <c r="BD256" s="178"/>
      <c r="BE256" s="178"/>
      <c r="BF256" s="178"/>
      <c r="BG256" s="178"/>
      <c r="BH256" s="178"/>
      <c r="BI256" s="179"/>
      <c r="BJ256" s="180"/>
      <c r="BK256" s="178"/>
      <c r="BL256" s="178"/>
      <c r="BM256" s="178"/>
      <c r="BN256" s="178"/>
      <c r="BO256" s="181"/>
      <c r="BP256" s="166"/>
      <c r="BQ256" s="177"/>
      <c r="BR256" s="178"/>
      <c r="BS256" s="179"/>
      <c r="BU256" s="166"/>
      <c r="BV256" s="166"/>
      <c r="BW256" s="166"/>
      <c r="BX256" s="166"/>
      <c r="BY256" s="166"/>
      <c r="BZ256" s="166"/>
      <c r="CA256" s="166"/>
      <c r="CB256" s="166"/>
      <c r="CC256" s="166"/>
      <c r="CD256" s="177"/>
      <c r="CE256" s="181"/>
      <c r="CF256" s="177"/>
      <c r="CG256" s="179"/>
      <c r="CH256" s="257"/>
      <c r="CI256" s="182"/>
      <c r="CJ256" s="177"/>
      <c r="CK256" s="182"/>
      <c r="CL256" s="177"/>
      <c r="CM256" s="182"/>
      <c r="CN256" s="177"/>
      <c r="CO256" s="182"/>
      <c r="CP256" s="177"/>
      <c r="CQ256" s="178"/>
      <c r="CR256" s="182"/>
      <c r="CS256" s="173"/>
      <c r="CT256" s="65"/>
      <c r="CU256" s="271"/>
    </row>
    <row r="257" ht="60.0" hidden="1" customHeight="1">
      <c r="A257" s="65"/>
      <c r="C257" s="167"/>
      <c r="D257" s="205"/>
      <c r="E257" s="262"/>
      <c r="F257" s="170"/>
      <c r="G257" s="170"/>
      <c r="H257" s="170"/>
      <c r="I257" s="170"/>
      <c r="J257" s="170"/>
      <c r="K257" s="171"/>
      <c r="L257" s="171"/>
      <c r="M257" s="171"/>
      <c r="N257" s="209"/>
      <c r="O257" s="172">
        <f t="shared" si="47"/>
        <v>0</v>
      </c>
      <c r="P257" s="166"/>
      <c r="Q257" s="173"/>
      <c r="R257" s="65"/>
      <c r="S257" s="173"/>
      <c r="T257" s="173"/>
      <c r="U257" s="166"/>
      <c r="V257" s="166"/>
      <c r="W257" s="65"/>
      <c r="X257" s="66"/>
      <c r="Y257" s="173"/>
      <c r="Z257" s="166"/>
      <c r="AA257" s="174"/>
      <c r="AB257" s="175"/>
      <c r="AC257" s="175"/>
      <c r="AD257" s="175"/>
      <c r="AE257" s="175"/>
      <c r="AF257" s="175"/>
      <c r="AG257" s="175"/>
      <c r="AH257" s="175"/>
      <c r="AI257" s="176"/>
      <c r="AJ257" s="177"/>
      <c r="AK257" s="178"/>
      <c r="AL257" s="178"/>
      <c r="AM257" s="178"/>
      <c r="AN257" s="178"/>
      <c r="AO257" s="179"/>
      <c r="AP257" s="64"/>
      <c r="AQ257" s="65"/>
      <c r="AR257" s="65"/>
      <c r="AS257" s="65"/>
      <c r="AT257" s="173"/>
      <c r="AU257" s="177"/>
      <c r="AV257" s="178"/>
      <c r="AW257" s="178"/>
      <c r="AX257" s="179"/>
      <c r="AZ257" s="166"/>
      <c r="BA257" s="177"/>
      <c r="BB257" s="178"/>
      <c r="BC257" s="178"/>
      <c r="BD257" s="178"/>
      <c r="BE257" s="178"/>
      <c r="BF257" s="178"/>
      <c r="BG257" s="178"/>
      <c r="BH257" s="178"/>
      <c r="BI257" s="179"/>
      <c r="BJ257" s="180"/>
      <c r="BK257" s="178"/>
      <c r="BL257" s="178"/>
      <c r="BM257" s="178"/>
      <c r="BN257" s="178"/>
      <c r="BO257" s="181"/>
      <c r="BP257" s="166"/>
      <c r="BQ257" s="177"/>
      <c r="BR257" s="178"/>
      <c r="BS257" s="179"/>
      <c r="BU257" s="166"/>
      <c r="BV257" s="166"/>
      <c r="BW257" s="166"/>
      <c r="BX257" s="166"/>
      <c r="BY257" s="166"/>
      <c r="BZ257" s="166"/>
      <c r="CA257" s="166"/>
      <c r="CB257" s="166"/>
      <c r="CC257" s="166"/>
      <c r="CD257" s="177"/>
      <c r="CE257" s="181"/>
      <c r="CF257" s="177"/>
      <c r="CG257" s="179"/>
      <c r="CH257" s="257"/>
      <c r="CI257" s="182"/>
      <c r="CJ257" s="177"/>
      <c r="CK257" s="182"/>
      <c r="CL257" s="177"/>
      <c r="CM257" s="182"/>
      <c r="CN257" s="177"/>
      <c r="CO257" s="182"/>
      <c r="CP257" s="177"/>
      <c r="CQ257" s="178"/>
      <c r="CR257" s="182"/>
      <c r="CS257" s="173"/>
      <c r="CT257" s="65"/>
      <c r="CU257" s="271"/>
    </row>
    <row r="258" ht="60.0" hidden="1" customHeight="1">
      <c r="A258" s="65"/>
      <c r="C258" s="167"/>
      <c r="D258" s="205"/>
      <c r="E258" s="262"/>
      <c r="F258" s="170"/>
      <c r="G258" s="170"/>
      <c r="H258" s="170"/>
      <c r="I258" s="170"/>
      <c r="J258" s="170"/>
      <c r="K258" s="171"/>
      <c r="L258" s="171"/>
      <c r="M258" s="171"/>
      <c r="N258" s="209"/>
      <c r="O258" s="172">
        <f t="shared" si="47"/>
        <v>0</v>
      </c>
      <c r="P258" s="166"/>
      <c r="Q258" s="173"/>
      <c r="R258" s="65"/>
      <c r="S258" s="173"/>
      <c r="T258" s="173"/>
      <c r="U258" s="166"/>
      <c r="V258" s="166"/>
      <c r="W258" s="65"/>
      <c r="X258" s="66"/>
      <c r="Y258" s="173"/>
      <c r="Z258" s="166"/>
      <c r="AA258" s="174"/>
      <c r="AB258" s="175"/>
      <c r="AC258" s="175"/>
      <c r="AD258" s="175"/>
      <c r="AE258" s="175"/>
      <c r="AF258" s="175"/>
      <c r="AG258" s="175"/>
      <c r="AH258" s="175"/>
      <c r="AI258" s="176"/>
      <c r="AJ258" s="177"/>
      <c r="AK258" s="178"/>
      <c r="AL258" s="178"/>
      <c r="AM258" s="178"/>
      <c r="AN258" s="178"/>
      <c r="AO258" s="179"/>
      <c r="AP258" s="64"/>
      <c r="AQ258" s="65"/>
      <c r="AR258" s="65"/>
      <c r="AS258" s="65"/>
      <c r="AT258" s="173"/>
      <c r="AU258" s="177"/>
      <c r="AV258" s="178"/>
      <c r="AW258" s="178"/>
      <c r="AX258" s="179"/>
      <c r="AZ258" s="166"/>
      <c r="BA258" s="177"/>
      <c r="BB258" s="178"/>
      <c r="BC258" s="178"/>
      <c r="BD258" s="178"/>
      <c r="BE258" s="178"/>
      <c r="BF258" s="178"/>
      <c r="BG258" s="178"/>
      <c r="BH258" s="178"/>
      <c r="BI258" s="179"/>
      <c r="BJ258" s="180"/>
      <c r="BK258" s="178"/>
      <c r="BL258" s="178"/>
      <c r="BM258" s="178"/>
      <c r="BN258" s="178"/>
      <c r="BO258" s="181"/>
      <c r="BP258" s="166"/>
      <c r="BQ258" s="177"/>
      <c r="BR258" s="178"/>
      <c r="BS258" s="179"/>
      <c r="BU258" s="166"/>
      <c r="BV258" s="166"/>
      <c r="BW258" s="166"/>
      <c r="BX258" s="166"/>
      <c r="BY258" s="166"/>
      <c r="BZ258" s="166"/>
      <c r="CA258" s="166"/>
      <c r="CB258" s="166"/>
      <c r="CC258" s="166"/>
      <c r="CD258" s="177"/>
      <c r="CE258" s="181"/>
      <c r="CF258" s="177"/>
      <c r="CG258" s="179"/>
      <c r="CH258" s="257"/>
      <c r="CI258" s="182"/>
      <c r="CJ258" s="177"/>
      <c r="CK258" s="182"/>
      <c r="CL258" s="177"/>
      <c r="CM258" s="182"/>
      <c r="CN258" s="177"/>
      <c r="CO258" s="182"/>
      <c r="CP258" s="177"/>
      <c r="CQ258" s="178"/>
      <c r="CR258" s="182"/>
      <c r="CS258" s="173"/>
      <c r="CT258" s="65"/>
      <c r="CU258" s="271"/>
    </row>
    <row r="259" ht="60.0" hidden="1" customHeight="1">
      <c r="A259" s="65"/>
      <c r="C259" s="167"/>
      <c r="D259" s="205"/>
      <c r="E259" s="262"/>
      <c r="F259" s="170"/>
      <c r="G259" s="170"/>
      <c r="H259" s="170"/>
      <c r="I259" s="170"/>
      <c r="J259" s="170"/>
      <c r="K259" s="171"/>
      <c r="L259" s="171"/>
      <c r="M259" s="171"/>
      <c r="N259" s="209"/>
      <c r="O259" s="172">
        <f t="shared" si="47"/>
        <v>0</v>
      </c>
      <c r="P259" s="166"/>
      <c r="Q259" s="173"/>
      <c r="R259" s="65"/>
      <c r="S259" s="173"/>
      <c r="T259" s="173"/>
      <c r="U259" s="166"/>
      <c r="V259" s="166"/>
      <c r="W259" s="65"/>
      <c r="X259" s="66"/>
      <c r="Y259" s="173"/>
      <c r="Z259" s="166"/>
      <c r="AA259" s="174"/>
      <c r="AB259" s="175"/>
      <c r="AC259" s="175"/>
      <c r="AD259" s="175"/>
      <c r="AE259" s="175"/>
      <c r="AF259" s="175"/>
      <c r="AG259" s="175"/>
      <c r="AH259" s="175"/>
      <c r="AI259" s="176"/>
      <c r="AJ259" s="177"/>
      <c r="AK259" s="178"/>
      <c r="AL259" s="178"/>
      <c r="AM259" s="178"/>
      <c r="AN259" s="178"/>
      <c r="AO259" s="179"/>
      <c r="AP259" s="64"/>
      <c r="AQ259" s="65"/>
      <c r="AR259" s="65"/>
      <c r="AS259" s="65"/>
      <c r="AT259" s="173"/>
      <c r="AU259" s="177"/>
      <c r="AV259" s="178"/>
      <c r="AW259" s="178"/>
      <c r="AX259" s="179"/>
      <c r="AZ259" s="166"/>
      <c r="BA259" s="177"/>
      <c r="BB259" s="178"/>
      <c r="BC259" s="178"/>
      <c r="BD259" s="178"/>
      <c r="BE259" s="178"/>
      <c r="BF259" s="178"/>
      <c r="BG259" s="178"/>
      <c r="BH259" s="178"/>
      <c r="BI259" s="179"/>
      <c r="BJ259" s="180"/>
      <c r="BK259" s="178"/>
      <c r="BL259" s="178"/>
      <c r="BM259" s="178"/>
      <c r="BN259" s="178"/>
      <c r="BO259" s="181"/>
      <c r="BP259" s="166"/>
      <c r="BQ259" s="177"/>
      <c r="BR259" s="178"/>
      <c r="BS259" s="179"/>
      <c r="BU259" s="166"/>
      <c r="BV259" s="166"/>
      <c r="BW259" s="166"/>
      <c r="BX259" s="166"/>
      <c r="BY259" s="166"/>
      <c r="BZ259" s="166"/>
      <c r="CA259" s="166"/>
      <c r="CB259" s="166"/>
      <c r="CC259" s="166"/>
      <c r="CD259" s="177"/>
      <c r="CE259" s="181"/>
      <c r="CF259" s="177"/>
      <c r="CG259" s="179"/>
      <c r="CH259" s="257"/>
      <c r="CI259" s="182"/>
      <c r="CJ259" s="177"/>
      <c r="CK259" s="182"/>
      <c r="CL259" s="177"/>
      <c r="CM259" s="182"/>
      <c r="CN259" s="177"/>
      <c r="CO259" s="182"/>
      <c r="CP259" s="177"/>
      <c r="CQ259" s="178"/>
      <c r="CR259" s="182"/>
      <c r="CS259" s="173"/>
      <c r="CT259" s="65"/>
      <c r="CU259" s="271"/>
    </row>
    <row r="260" ht="60.0" hidden="1" customHeight="1">
      <c r="A260" s="89"/>
      <c r="B260" s="6"/>
      <c r="C260" s="183"/>
      <c r="D260" s="210"/>
      <c r="E260" s="263"/>
      <c r="F260" s="186"/>
      <c r="G260" s="186"/>
      <c r="H260" s="186"/>
      <c r="I260" s="186"/>
      <c r="J260" s="186"/>
      <c r="K260" s="187"/>
      <c r="L260" s="187"/>
      <c r="M260" s="187"/>
      <c r="N260" s="214"/>
      <c r="O260" s="188">
        <f t="shared" ref="O260:O266" si="48">IF(AND(M260&lt;&gt;0,M260&lt;&gt;"m",M260&lt;&gt;"",RIGHT(K260,3)="Lec"),1,IF(AND(M260&lt;&gt;0,M260&lt;&gt;"m",M260&lt;&gt;"",OR(RIGHT(K260,3)="Lab",RIGHT(K260,3)="Tut")),0.5,IF(AND(M260&lt;&gt;0,M260&lt;&gt;"m",M260&lt;&gt;"",RIGHT(K260,2)="TL"),0.75,0)))</f>
        <v>0</v>
      </c>
      <c r="P260" s="63"/>
      <c r="Q260" s="69"/>
      <c r="R260" s="89"/>
      <c r="S260" s="69"/>
      <c r="T260" s="69"/>
      <c r="U260" s="63"/>
      <c r="V260" s="63"/>
      <c r="W260" s="89"/>
      <c r="X260" s="68"/>
      <c r="Y260" s="69"/>
      <c r="Z260" s="63"/>
      <c r="AA260" s="189"/>
      <c r="AB260" s="190"/>
      <c r="AC260" s="190"/>
      <c r="AD260" s="190"/>
      <c r="AE260" s="190"/>
      <c r="AF260" s="190"/>
      <c r="AG260" s="190"/>
      <c r="AH260" s="190"/>
      <c r="AI260" s="191"/>
      <c r="AJ260" s="192"/>
      <c r="AK260" s="193"/>
      <c r="AL260" s="193"/>
      <c r="AM260" s="193"/>
      <c r="AN260" s="193"/>
      <c r="AO260" s="194"/>
      <c r="AP260" s="103"/>
      <c r="AQ260" s="89"/>
      <c r="AR260" s="89"/>
      <c r="AS260" s="89"/>
      <c r="AT260" s="69"/>
      <c r="AU260" s="192"/>
      <c r="AV260" s="193"/>
      <c r="AW260" s="193"/>
      <c r="AX260" s="194"/>
      <c r="AY260" s="6"/>
      <c r="AZ260" s="63"/>
      <c r="BA260" s="192"/>
      <c r="BB260" s="193"/>
      <c r="BC260" s="193"/>
      <c r="BD260" s="193"/>
      <c r="BE260" s="193"/>
      <c r="BF260" s="193"/>
      <c r="BG260" s="193"/>
      <c r="BH260" s="193"/>
      <c r="BI260" s="194"/>
      <c r="BJ260" s="195"/>
      <c r="BK260" s="193"/>
      <c r="BL260" s="193"/>
      <c r="BM260" s="193"/>
      <c r="BN260" s="193"/>
      <c r="BO260" s="196"/>
      <c r="BP260" s="63"/>
      <c r="BQ260" s="192"/>
      <c r="BR260" s="193"/>
      <c r="BS260" s="194"/>
      <c r="BT260" s="6"/>
      <c r="BU260" s="63"/>
      <c r="BV260" s="63"/>
      <c r="BW260" s="63"/>
      <c r="BX260" s="63"/>
      <c r="BY260" s="63"/>
      <c r="BZ260" s="63"/>
      <c r="CA260" s="63"/>
      <c r="CB260" s="63"/>
      <c r="CC260" s="63"/>
      <c r="CD260" s="192"/>
      <c r="CE260" s="196"/>
      <c r="CF260" s="192"/>
      <c r="CG260" s="194"/>
      <c r="CH260" s="259"/>
      <c r="CI260" s="197"/>
      <c r="CJ260" s="192"/>
      <c r="CK260" s="197"/>
      <c r="CL260" s="192"/>
      <c r="CM260" s="197"/>
      <c r="CN260" s="192"/>
      <c r="CO260" s="197"/>
      <c r="CP260" s="192"/>
      <c r="CQ260" s="193"/>
      <c r="CR260" s="197"/>
      <c r="CS260" s="69"/>
      <c r="CT260" s="89"/>
      <c r="CU260" s="272"/>
    </row>
    <row r="261" ht="56.25" hidden="1" customHeight="1">
      <c r="A261" s="125">
        <v>24.0</v>
      </c>
      <c r="B261" s="199"/>
      <c r="C261" s="127"/>
      <c r="D261" s="128"/>
      <c r="E261" s="260"/>
      <c r="F261" s="261"/>
      <c r="G261" s="261"/>
      <c r="H261" s="261"/>
      <c r="I261" s="261"/>
      <c r="J261" s="170"/>
      <c r="K261" s="219"/>
      <c r="L261" s="219"/>
      <c r="M261" s="219"/>
      <c r="N261" s="220"/>
      <c r="O261" s="132">
        <f t="shared" si="48"/>
        <v>0</v>
      </c>
      <c r="P261" s="133">
        <f>COUNTIF(K261:K271,"TL")*0.75+COUNTIF(K261:K271,"Lec")*1+COUNTIF(K261:K271,"Lab")*0.5</f>
        <v>0</v>
      </c>
      <c r="Q261" s="134">
        <f>SUM((IF(LEFT(K261,1)="E",O261,0)),(IF(LEFT(K262,1)="E",O262,0)),(IF(LEFT(K263,1)="E",O263,0)),(IF(LEFT(K264,1)="E",O264,0)),(IF(LEFT(K265,1)="E",O265,0)),(IF(LEFT(K266,1)="E",O266,0)),(IF(LEFT(K267,1)="E",O267,0)),(IF(LEFT(K268,1)="E",O268,0)),(IF(LEFT(K269,1)="E",O269,0)),(IF(LEFT(K270,1)="E",O270,0)),(IF(LEFT(K271,1)="E",O271,0)))</f>
        <v>0</v>
      </c>
      <c r="R261" s="135">
        <f>SUM(IF(M267&lt;20,IF(K267="Plec",-1,IF(K267="PTL",-0.75,IF(K267="Plab",-0.5,0))),0),IF(M268&lt;20,IF(K268="Plec",-1,IF(K268="PTL",-0.75,IF(K268="Plab",-0.5,0))),0),IF(M269&lt;20,IF(K269="Plec",-1,IF(K269="PTL",-0.75,IF(K269="Plab",-0.5,0))),0),IF(M270&lt;20,IF(K270="Plec",-1,IF(K270="PTL",-0.75,IF(K270="Plab",-0.5,0))),0))</f>
        <v>0</v>
      </c>
      <c r="S261" s="134">
        <f>SUM(P261:R271)</f>
        <v>0</v>
      </c>
      <c r="T261" s="136">
        <f>SUM(IF(M261="M",IF(OR(K261="lec",K261="plec",K261="slec"),1,IF(OR(K261="lab",K261="plab",K261="slab",K261="tut",K261="ptut",K261="stut"),0.5,IF(OR(K261="TL",K261="pTL",K261="STL"),0.75,0))),0),IF(M262="M",IF(OR(K262="lec",K262="plec",K262="slec"),1,IF(OR(K262="lab",K262="plab",K262="slab",K262="tut",K262="ptut",K262="stut"),0.5,IF(OR(K262="TL",K262="pTL",K262="STL"),0.75,0))),0),IF(M263="M",IF(OR(K263="lec",K263="plec",K263="slec"),1,IF(OR(K263="lab",K263="plab",K263="slab",K263="tut",K263="ptut",K263="stut"),0.5,IF(OR(K263="TL",K263="pTL",K263="STL"),0.75,0))),0),IF(M264="M",IF(OR(K264="lec",K264="plec",K264="slec"),1,IF(OR(K264="lab",K264="plab",K264="slab",K264="tut",K264="ptut",K264="stut"),0.5,IF(OR(K264="TL",K264="pTL",K264="STL"),0.75,0))),0),IF(M265="M",IF(OR(K265="lec",K265="plec",K265="slec"),1,IF(OR(K265="lab",K265="plab",K265="slab",K265="tut",K265="ptut",K265="stut"),0.5,IF(OR(K265="TL",K265="pTL",K265="STL"),0.75,0))),0),IF(M266="M",IF(OR(K266="lec",K266="plec",K266="slec"),1,IF(OR(K266="lab",K266="plab",K266="slab",K266="tut",K266="ptut",K266="stut"),0.5,IF(OR(K266="TL",K266="pTL",K266="STL"),0.75,0))),0),IF(M267="M",IF(OR(K267="lec",K267="plec",K267="slec"),1,IF(OR(K267="lab",K267="plab",K267="slab",K267="tut",K267="ptut",K267="stut"),0.5,IF(OR(K267="TL",K267="pTL",K267="STL"),0.75,0))),0),IF(M268="M",IF(OR(K268="lec",K268="plec",K268="slec"),1,IF(OR(K268="lab",K268="plab",K268="slab",K268="tut",K268="ptut",K268="stut"),0.5,IF(OR(K268="TL",K268="pTL",K268="STL"),0.75,0))),0),IF(M269="M",IF(OR(K269="lec",K269="plec",K269="slec"),1,IF(OR(K269="lab",K269="plab",K269="slab",K269="tut",K269="ptut",K269="stut"),0.5,IF(OR(K269="TL",K269="pTL",K269="STL"),0.75,0))),0),IF(M270="M",IF(OR(K270="lec",K270="plec",K270="slec"),1,IF(OR(K270="lab",K270="plab",K270="slab",K270="tut",K270="ptut",K270="stut"),0.5,IF(OR(K270="TL",K270="pTL",K270="STL"),0.75,0))),0),IF(M271="M",IF(OR(K271="lec",K271="plec",K271="slec"),1,IF(OR(K271="lab",K271="plab",K271="slab",K271="tut",K271="ptut",K271="stut"),0.5,IF(OR(K271="TL",K271="pTL",K271="STL"),0.75,0))),0))</f>
        <v>0</v>
      </c>
      <c r="U261" s="137"/>
      <c r="V261" s="133"/>
      <c r="W261" s="138"/>
      <c r="X261" s="139">
        <f>S261-(T261+U261+V261+W261)</f>
        <v>0</v>
      </c>
      <c r="Y261" s="134" t="str">
        <f>CONCATENATE(SUM(O261:O271),"(",SUM(O261:O271)-X261,")")</f>
        <v>0(0)</v>
      </c>
      <c r="Z261" s="140"/>
      <c r="AA261" s="141"/>
      <c r="AB261" s="142"/>
      <c r="AC261" s="142"/>
      <c r="AD261" s="142"/>
      <c r="AE261" s="142"/>
      <c r="AF261" s="142"/>
      <c r="AG261" s="142"/>
      <c r="AH261" s="142"/>
      <c r="AI261" s="143"/>
      <c r="AJ261" s="144"/>
      <c r="AK261" s="145"/>
      <c r="AL261" s="145"/>
      <c r="AM261" s="145"/>
      <c r="AN261" s="145"/>
      <c r="AO261" s="146"/>
      <c r="AP261" s="147">
        <f>SUM(SUM(O261:O271),SUM(AI261:AI271)/2,AM261)</f>
        <v>0</v>
      </c>
      <c r="AQ261" s="148"/>
      <c r="AR261" s="148">
        <f>AP261*AQ261</f>
        <v>0</v>
      </c>
      <c r="AS261" s="148">
        <f>CT261</f>
        <v>0</v>
      </c>
      <c r="AT261" s="149">
        <f>AR261*0.75+AS261*0.25</f>
        <v>0</v>
      </c>
      <c r="AU261" s="150"/>
      <c r="AV261" s="151"/>
      <c r="AW261" s="151"/>
      <c r="AX261" s="152"/>
      <c r="AY261" s="153"/>
      <c r="AZ261" s="140"/>
      <c r="BA261" s="150"/>
      <c r="BB261" s="151"/>
      <c r="BC261" s="151"/>
      <c r="BD261" s="151"/>
      <c r="BE261" s="151"/>
      <c r="BF261" s="151"/>
      <c r="BG261" s="151"/>
      <c r="BH261" s="151"/>
      <c r="BI261" s="152"/>
      <c r="BJ261" s="154"/>
      <c r="BK261" s="151"/>
      <c r="BL261" s="151"/>
      <c r="BM261" s="151"/>
      <c r="BN261" s="151"/>
      <c r="BO261" s="155"/>
      <c r="BP261" s="140"/>
      <c r="BQ261" s="156"/>
      <c r="BR261" s="157"/>
      <c r="BS261" s="158"/>
      <c r="BT261" s="153"/>
      <c r="BU261" s="140"/>
      <c r="BV261" s="140"/>
      <c r="BW261" s="140"/>
      <c r="BX261" s="140"/>
      <c r="BY261" s="140"/>
      <c r="BZ261" s="140"/>
      <c r="CA261" s="140"/>
      <c r="CB261" s="140"/>
      <c r="CC261" s="140"/>
      <c r="CD261" s="150"/>
      <c r="CE261" s="155"/>
      <c r="CF261" s="150"/>
      <c r="CG261" s="152"/>
      <c r="CH261" s="252"/>
      <c r="CI261" s="160"/>
      <c r="CJ261" s="159"/>
      <c r="CK261" s="160"/>
      <c r="CL261" s="159"/>
      <c r="CM261" s="160"/>
      <c r="CN261" s="159"/>
      <c r="CO261" s="160"/>
      <c r="CP261" s="159"/>
      <c r="CQ261" s="162"/>
      <c r="CR261" s="160"/>
      <c r="CS261" s="253">
        <f>SUM(IF(AU261&lt;0,ABS(AU261),0),IF(AZ261&lt;0,ABS(AZ261),0),ABS(CI261),ABS(CK261),ABS(CM261),ABS(CO261),ABS(CQ261),ABS(CR261))</f>
        <v>0</v>
      </c>
      <c r="CT261" s="254">
        <f>SUM(AU261,AV261,AW261,AX261/400,AY261,AZ261,BG261,BH261*0.5,BI261*0.25,BJ261,BK261,BL261,BM261,BN261,BO261,BP261,BR261/20,BS261/100,BT261/60,BU261,BV261,BW261,BX261/4,SUM(BY261:CC271)/3,CE261,CG261/3,CI261,CK261,CM261,CO261,CQ261,CR261)</f>
        <v>0</v>
      </c>
      <c r="CU261" s="255"/>
    </row>
    <row r="262" ht="60.0" hidden="1" customHeight="1">
      <c r="A262" s="65"/>
      <c r="C262" s="167"/>
      <c r="D262" s="205"/>
      <c r="E262" s="262"/>
      <c r="F262" s="170"/>
      <c r="G262" s="170"/>
      <c r="H262" s="170"/>
      <c r="I262" s="170"/>
      <c r="J262" s="170"/>
      <c r="K262" s="171"/>
      <c r="L262" s="171"/>
      <c r="M262" s="171"/>
      <c r="N262" s="209"/>
      <c r="O262" s="172">
        <f t="shared" si="48"/>
        <v>0</v>
      </c>
      <c r="P262" s="166"/>
      <c r="Q262" s="173"/>
      <c r="R262" s="65"/>
      <c r="S262" s="173"/>
      <c r="T262" s="173"/>
      <c r="U262" s="166"/>
      <c r="V262" s="166"/>
      <c r="W262" s="65"/>
      <c r="X262" s="66"/>
      <c r="Y262" s="173"/>
      <c r="Z262" s="166"/>
      <c r="AA262" s="174"/>
      <c r="AB262" s="175"/>
      <c r="AC262" s="175"/>
      <c r="AD262" s="175"/>
      <c r="AE262" s="175"/>
      <c r="AF262" s="175"/>
      <c r="AG262" s="175"/>
      <c r="AH262" s="175"/>
      <c r="AI262" s="176"/>
      <c r="AJ262" s="177"/>
      <c r="AK262" s="178"/>
      <c r="AL262" s="178"/>
      <c r="AM262" s="178"/>
      <c r="AN262" s="178"/>
      <c r="AO262" s="179"/>
      <c r="AP262" s="64"/>
      <c r="AQ262" s="65"/>
      <c r="AR262" s="65"/>
      <c r="AS262" s="65"/>
      <c r="AT262" s="173"/>
      <c r="AU262" s="177"/>
      <c r="AV262" s="178"/>
      <c r="AW262" s="178"/>
      <c r="AX262" s="179"/>
      <c r="AZ262" s="166"/>
      <c r="BA262" s="177"/>
      <c r="BB262" s="178"/>
      <c r="BC262" s="178"/>
      <c r="BD262" s="178"/>
      <c r="BE262" s="178"/>
      <c r="BF262" s="178"/>
      <c r="BG262" s="178"/>
      <c r="BH262" s="178"/>
      <c r="BI262" s="179"/>
      <c r="BJ262" s="180"/>
      <c r="BK262" s="178"/>
      <c r="BL262" s="178"/>
      <c r="BM262" s="178"/>
      <c r="BN262" s="178"/>
      <c r="BO262" s="181"/>
      <c r="BP262" s="166"/>
      <c r="BQ262" s="177"/>
      <c r="BR262" s="178"/>
      <c r="BS262" s="179"/>
      <c r="BU262" s="166"/>
      <c r="BV262" s="166"/>
      <c r="BW262" s="166"/>
      <c r="BX262" s="166"/>
      <c r="BY262" s="166"/>
      <c r="BZ262" s="166"/>
      <c r="CA262" s="166"/>
      <c r="CB262" s="166"/>
      <c r="CC262" s="166"/>
      <c r="CD262" s="177"/>
      <c r="CE262" s="181"/>
      <c r="CF262" s="177"/>
      <c r="CG262" s="179"/>
      <c r="CH262" s="257"/>
      <c r="CI262" s="182"/>
      <c r="CJ262" s="177"/>
      <c r="CK262" s="182"/>
      <c r="CL262" s="177"/>
      <c r="CM262" s="182"/>
      <c r="CN262" s="177"/>
      <c r="CO262" s="182"/>
      <c r="CP262" s="177"/>
      <c r="CQ262" s="178"/>
      <c r="CR262" s="182"/>
      <c r="CS262" s="173"/>
      <c r="CT262" s="65"/>
      <c r="CU262" s="271"/>
    </row>
    <row r="263" ht="60.0" hidden="1" customHeight="1">
      <c r="A263" s="65"/>
      <c r="C263" s="167"/>
      <c r="D263" s="205"/>
      <c r="E263" s="262"/>
      <c r="F263" s="170"/>
      <c r="G263" s="170"/>
      <c r="H263" s="170"/>
      <c r="I263" s="170"/>
      <c r="J263" s="170"/>
      <c r="K263" s="171"/>
      <c r="L263" s="171"/>
      <c r="M263" s="171"/>
      <c r="N263" s="209"/>
      <c r="O263" s="172">
        <f t="shared" si="48"/>
        <v>0</v>
      </c>
      <c r="P263" s="166"/>
      <c r="Q263" s="173"/>
      <c r="R263" s="65"/>
      <c r="S263" s="173"/>
      <c r="T263" s="173"/>
      <c r="U263" s="166"/>
      <c r="V263" s="166"/>
      <c r="W263" s="65"/>
      <c r="X263" s="66"/>
      <c r="Y263" s="173"/>
      <c r="Z263" s="166"/>
      <c r="AA263" s="174"/>
      <c r="AB263" s="175"/>
      <c r="AC263" s="175"/>
      <c r="AD263" s="175"/>
      <c r="AE263" s="175"/>
      <c r="AF263" s="175"/>
      <c r="AG263" s="175"/>
      <c r="AH263" s="175"/>
      <c r="AI263" s="176"/>
      <c r="AJ263" s="177"/>
      <c r="AK263" s="178"/>
      <c r="AL263" s="178"/>
      <c r="AM263" s="178"/>
      <c r="AN263" s="178"/>
      <c r="AO263" s="179"/>
      <c r="AP263" s="64"/>
      <c r="AQ263" s="65"/>
      <c r="AR263" s="65"/>
      <c r="AS263" s="65"/>
      <c r="AT263" s="173"/>
      <c r="AU263" s="177"/>
      <c r="AV263" s="178"/>
      <c r="AW263" s="178"/>
      <c r="AX263" s="179"/>
      <c r="AZ263" s="166"/>
      <c r="BA263" s="177"/>
      <c r="BB263" s="178"/>
      <c r="BC263" s="178"/>
      <c r="BD263" s="178"/>
      <c r="BE263" s="178"/>
      <c r="BF263" s="178"/>
      <c r="BG263" s="178"/>
      <c r="BH263" s="178"/>
      <c r="BI263" s="179"/>
      <c r="BJ263" s="180"/>
      <c r="BK263" s="178"/>
      <c r="BL263" s="178"/>
      <c r="BM263" s="178"/>
      <c r="BN263" s="178"/>
      <c r="BO263" s="181"/>
      <c r="BP263" s="166"/>
      <c r="BQ263" s="177"/>
      <c r="BR263" s="178"/>
      <c r="BS263" s="179"/>
      <c r="BU263" s="166"/>
      <c r="BV263" s="166"/>
      <c r="BW263" s="166"/>
      <c r="BX263" s="166"/>
      <c r="BY263" s="166"/>
      <c r="BZ263" s="166"/>
      <c r="CA263" s="166"/>
      <c r="CB263" s="166"/>
      <c r="CC263" s="166"/>
      <c r="CD263" s="177"/>
      <c r="CE263" s="181"/>
      <c r="CF263" s="177"/>
      <c r="CG263" s="179"/>
      <c r="CH263" s="257"/>
      <c r="CI263" s="182"/>
      <c r="CJ263" s="177"/>
      <c r="CK263" s="182"/>
      <c r="CL263" s="177"/>
      <c r="CM263" s="182"/>
      <c r="CN263" s="177"/>
      <c r="CO263" s="182"/>
      <c r="CP263" s="177"/>
      <c r="CQ263" s="178"/>
      <c r="CR263" s="182"/>
      <c r="CS263" s="173"/>
      <c r="CT263" s="65"/>
      <c r="CU263" s="271"/>
    </row>
    <row r="264" ht="60.0" hidden="1" customHeight="1">
      <c r="A264" s="65"/>
      <c r="C264" s="167"/>
      <c r="D264" s="205"/>
      <c r="E264" s="262"/>
      <c r="F264" s="170"/>
      <c r="G264" s="170"/>
      <c r="H264" s="170"/>
      <c r="I264" s="170"/>
      <c r="J264" s="170"/>
      <c r="K264" s="171"/>
      <c r="L264" s="171"/>
      <c r="M264" s="171"/>
      <c r="N264" s="209"/>
      <c r="O264" s="172">
        <f t="shared" si="48"/>
        <v>0</v>
      </c>
      <c r="P264" s="166"/>
      <c r="Q264" s="173"/>
      <c r="R264" s="65"/>
      <c r="S264" s="173"/>
      <c r="T264" s="173"/>
      <c r="U264" s="166"/>
      <c r="V264" s="166"/>
      <c r="W264" s="65"/>
      <c r="X264" s="66"/>
      <c r="Y264" s="173"/>
      <c r="Z264" s="166"/>
      <c r="AA264" s="174"/>
      <c r="AB264" s="175"/>
      <c r="AC264" s="175"/>
      <c r="AD264" s="175"/>
      <c r="AE264" s="175"/>
      <c r="AF264" s="175"/>
      <c r="AG264" s="175"/>
      <c r="AH264" s="175"/>
      <c r="AI264" s="176"/>
      <c r="AJ264" s="177"/>
      <c r="AK264" s="178"/>
      <c r="AL264" s="178"/>
      <c r="AM264" s="178"/>
      <c r="AN264" s="178"/>
      <c r="AO264" s="179"/>
      <c r="AP264" s="64"/>
      <c r="AQ264" s="65"/>
      <c r="AR264" s="65"/>
      <c r="AS264" s="65"/>
      <c r="AT264" s="173"/>
      <c r="AU264" s="177"/>
      <c r="AV264" s="178"/>
      <c r="AW264" s="178"/>
      <c r="AX264" s="179"/>
      <c r="AZ264" s="166"/>
      <c r="BA264" s="177"/>
      <c r="BB264" s="178"/>
      <c r="BC264" s="178"/>
      <c r="BD264" s="178"/>
      <c r="BE264" s="178"/>
      <c r="BF264" s="178"/>
      <c r="BG264" s="178"/>
      <c r="BH264" s="178"/>
      <c r="BI264" s="179"/>
      <c r="BJ264" s="180"/>
      <c r="BK264" s="178"/>
      <c r="BL264" s="178"/>
      <c r="BM264" s="178"/>
      <c r="BN264" s="178"/>
      <c r="BO264" s="181"/>
      <c r="BP264" s="166"/>
      <c r="BQ264" s="177"/>
      <c r="BR264" s="178"/>
      <c r="BS264" s="179"/>
      <c r="BU264" s="166"/>
      <c r="BV264" s="166"/>
      <c r="BW264" s="166"/>
      <c r="BX264" s="166"/>
      <c r="BY264" s="166"/>
      <c r="BZ264" s="166"/>
      <c r="CA264" s="166"/>
      <c r="CB264" s="166"/>
      <c r="CC264" s="166"/>
      <c r="CD264" s="177"/>
      <c r="CE264" s="181"/>
      <c r="CF264" s="177"/>
      <c r="CG264" s="179"/>
      <c r="CH264" s="257"/>
      <c r="CI264" s="182"/>
      <c r="CJ264" s="177"/>
      <c r="CK264" s="182"/>
      <c r="CL264" s="177"/>
      <c r="CM264" s="182"/>
      <c r="CN264" s="177"/>
      <c r="CO264" s="182"/>
      <c r="CP264" s="177"/>
      <c r="CQ264" s="178"/>
      <c r="CR264" s="182"/>
      <c r="CS264" s="173"/>
      <c r="CT264" s="65"/>
      <c r="CU264" s="271"/>
    </row>
    <row r="265" ht="60.0" hidden="1" customHeight="1">
      <c r="A265" s="65"/>
      <c r="C265" s="167"/>
      <c r="D265" s="205"/>
      <c r="E265" s="262"/>
      <c r="F265" s="170"/>
      <c r="G265" s="170"/>
      <c r="H265" s="170"/>
      <c r="I265" s="170"/>
      <c r="J265" s="170"/>
      <c r="K265" s="171"/>
      <c r="L265" s="171"/>
      <c r="M265" s="171"/>
      <c r="N265" s="209"/>
      <c r="O265" s="172">
        <f t="shared" si="48"/>
        <v>0</v>
      </c>
      <c r="P265" s="166"/>
      <c r="Q265" s="173"/>
      <c r="R265" s="65"/>
      <c r="S265" s="173"/>
      <c r="T265" s="173"/>
      <c r="U265" s="166"/>
      <c r="V265" s="166"/>
      <c r="W265" s="65"/>
      <c r="X265" s="66"/>
      <c r="Y265" s="173"/>
      <c r="Z265" s="166"/>
      <c r="AA265" s="174"/>
      <c r="AB265" s="175"/>
      <c r="AC265" s="175"/>
      <c r="AD265" s="175"/>
      <c r="AE265" s="175"/>
      <c r="AF265" s="175"/>
      <c r="AG265" s="175"/>
      <c r="AH265" s="175"/>
      <c r="AI265" s="176"/>
      <c r="AJ265" s="177"/>
      <c r="AK265" s="178"/>
      <c r="AL265" s="178"/>
      <c r="AM265" s="178"/>
      <c r="AN265" s="178"/>
      <c r="AO265" s="179"/>
      <c r="AP265" s="64"/>
      <c r="AQ265" s="65"/>
      <c r="AR265" s="65"/>
      <c r="AS265" s="65"/>
      <c r="AT265" s="173"/>
      <c r="AU265" s="177"/>
      <c r="AV265" s="178"/>
      <c r="AW265" s="178"/>
      <c r="AX265" s="179"/>
      <c r="AZ265" s="166"/>
      <c r="BA265" s="177"/>
      <c r="BB265" s="178"/>
      <c r="BC265" s="178"/>
      <c r="BD265" s="178"/>
      <c r="BE265" s="178"/>
      <c r="BF265" s="178"/>
      <c r="BG265" s="178"/>
      <c r="BH265" s="178"/>
      <c r="BI265" s="179"/>
      <c r="BJ265" s="180"/>
      <c r="BK265" s="178"/>
      <c r="BL265" s="178"/>
      <c r="BM265" s="178"/>
      <c r="BN265" s="178"/>
      <c r="BO265" s="181"/>
      <c r="BP265" s="166"/>
      <c r="BQ265" s="177"/>
      <c r="BR265" s="178"/>
      <c r="BS265" s="179"/>
      <c r="BU265" s="166"/>
      <c r="BV265" s="166"/>
      <c r="BW265" s="166"/>
      <c r="BX265" s="166"/>
      <c r="BY265" s="166"/>
      <c r="BZ265" s="166"/>
      <c r="CA265" s="166"/>
      <c r="CB265" s="166"/>
      <c r="CC265" s="166"/>
      <c r="CD265" s="177"/>
      <c r="CE265" s="181"/>
      <c r="CF265" s="177"/>
      <c r="CG265" s="179"/>
      <c r="CH265" s="257"/>
      <c r="CI265" s="182"/>
      <c r="CJ265" s="177"/>
      <c r="CK265" s="182"/>
      <c r="CL265" s="177"/>
      <c r="CM265" s="182"/>
      <c r="CN265" s="177"/>
      <c r="CO265" s="182"/>
      <c r="CP265" s="177"/>
      <c r="CQ265" s="178"/>
      <c r="CR265" s="182"/>
      <c r="CS265" s="173"/>
      <c r="CT265" s="65"/>
      <c r="CU265" s="271"/>
    </row>
    <row r="266" ht="60.0" hidden="1" customHeight="1">
      <c r="A266" s="65"/>
      <c r="C266" s="167"/>
      <c r="D266" s="205"/>
      <c r="E266" s="262"/>
      <c r="F266" s="170"/>
      <c r="G266" s="170"/>
      <c r="H266" s="170"/>
      <c r="I266" s="170"/>
      <c r="J266" s="170"/>
      <c r="K266" s="171"/>
      <c r="L266" s="171"/>
      <c r="M266" s="171"/>
      <c r="N266" s="209"/>
      <c r="O266" s="172">
        <f t="shared" si="48"/>
        <v>0</v>
      </c>
      <c r="P266" s="166"/>
      <c r="Q266" s="173"/>
      <c r="R266" s="65"/>
      <c r="S266" s="173"/>
      <c r="T266" s="173"/>
      <c r="U266" s="166"/>
      <c r="V266" s="166"/>
      <c r="W266" s="65"/>
      <c r="X266" s="66"/>
      <c r="Y266" s="173"/>
      <c r="Z266" s="166"/>
      <c r="AA266" s="174"/>
      <c r="AB266" s="175"/>
      <c r="AC266" s="175"/>
      <c r="AD266" s="175"/>
      <c r="AE266" s="175"/>
      <c r="AF266" s="175"/>
      <c r="AG266" s="175"/>
      <c r="AH266" s="175"/>
      <c r="AI266" s="176"/>
      <c r="AJ266" s="177"/>
      <c r="AK266" s="178"/>
      <c r="AL266" s="178"/>
      <c r="AM266" s="178"/>
      <c r="AN266" s="178"/>
      <c r="AO266" s="179"/>
      <c r="AP266" s="64"/>
      <c r="AQ266" s="65"/>
      <c r="AR266" s="65"/>
      <c r="AS266" s="65"/>
      <c r="AT266" s="173"/>
      <c r="AU266" s="177"/>
      <c r="AV266" s="178"/>
      <c r="AW266" s="178"/>
      <c r="AX266" s="179"/>
      <c r="AZ266" s="166"/>
      <c r="BA266" s="177"/>
      <c r="BB266" s="178"/>
      <c r="BC266" s="178"/>
      <c r="BD266" s="178"/>
      <c r="BE266" s="178"/>
      <c r="BF266" s="178"/>
      <c r="BG266" s="178"/>
      <c r="BH266" s="178"/>
      <c r="BI266" s="179"/>
      <c r="BJ266" s="180"/>
      <c r="BK266" s="178"/>
      <c r="BL266" s="178"/>
      <c r="BM266" s="178"/>
      <c r="BN266" s="178"/>
      <c r="BO266" s="181"/>
      <c r="BP266" s="166"/>
      <c r="BQ266" s="177"/>
      <c r="BR266" s="178"/>
      <c r="BS266" s="179"/>
      <c r="BU266" s="166"/>
      <c r="BV266" s="166"/>
      <c r="BW266" s="166"/>
      <c r="BX266" s="166"/>
      <c r="BY266" s="166"/>
      <c r="BZ266" s="166"/>
      <c r="CA266" s="166"/>
      <c r="CB266" s="166"/>
      <c r="CC266" s="166"/>
      <c r="CD266" s="177"/>
      <c r="CE266" s="181"/>
      <c r="CF266" s="177"/>
      <c r="CG266" s="179"/>
      <c r="CH266" s="257"/>
      <c r="CI266" s="182"/>
      <c r="CJ266" s="177"/>
      <c r="CK266" s="182"/>
      <c r="CL266" s="177"/>
      <c r="CM266" s="182"/>
      <c r="CN266" s="177"/>
      <c r="CO266" s="182"/>
      <c r="CP266" s="177"/>
      <c r="CQ266" s="178"/>
      <c r="CR266" s="182"/>
      <c r="CS266" s="173"/>
      <c r="CT266" s="65"/>
      <c r="CU266" s="271"/>
    </row>
    <row r="267" ht="60.0" hidden="1" customHeight="1">
      <c r="A267" s="65"/>
      <c r="C267" s="167"/>
      <c r="D267" s="205"/>
      <c r="E267" s="262"/>
      <c r="F267" s="170"/>
      <c r="G267" s="170"/>
      <c r="H267" s="170"/>
      <c r="I267" s="170"/>
      <c r="J267" s="170"/>
      <c r="K267" s="171"/>
      <c r="L267" s="171"/>
      <c r="M267" s="171"/>
      <c r="N267" s="209"/>
      <c r="O267" s="172">
        <f t="shared" ref="O267:O270" si="49">IF(AND(M267&gt;=20,M267&lt;&gt;"m",RIGHT(K267,3)="Lec"),1,IF(AND(M267&gt;=20,M267&lt;&gt;"m",OR(RIGHT(K267,3)="Lab",RIGHT(K267,3)="Tut")),0.5,IF(AND(M267&gt;=20,M267&lt;&gt;"m",RIGHT(K267,2)="TL"),0.75,0)))</f>
        <v>0</v>
      </c>
      <c r="P267" s="166"/>
      <c r="Q267" s="173"/>
      <c r="R267" s="65"/>
      <c r="S267" s="173"/>
      <c r="T267" s="173"/>
      <c r="U267" s="166"/>
      <c r="V267" s="166"/>
      <c r="W267" s="65"/>
      <c r="X267" s="66"/>
      <c r="Y267" s="173"/>
      <c r="Z267" s="166"/>
      <c r="AA267" s="174"/>
      <c r="AB267" s="175"/>
      <c r="AC267" s="175"/>
      <c r="AD267" s="175"/>
      <c r="AE267" s="175"/>
      <c r="AF267" s="175"/>
      <c r="AG267" s="175"/>
      <c r="AH267" s="175"/>
      <c r="AI267" s="176"/>
      <c r="AJ267" s="177"/>
      <c r="AK267" s="178"/>
      <c r="AL267" s="178"/>
      <c r="AM267" s="178"/>
      <c r="AN267" s="178"/>
      <c r="AO267" s="179"/>
      <c r="AP267" s="64"/>
      <c r="AQ267" s="65"/>
      <c r="AR267" s="65"/>
      <c r="AS267" s="65"/>
      <c r="AT267" s="173"/>
      <c r="AU267" s="177"/>
      <c r="AV267" s="178"/>
      <c r="AW267" s="178"/>
      <c r="AX267" s="179"/>
      <c r="AZ267" s="166"/>
      <c r="BA267" s="177"/>
      <c r="BB267" s="178"/>
      <c r="BC267" s="178"/>
      <c r="BD267" s="178"/>
      <c r="BE267" s="178"/>
      <c r="BF267" s="178"/>
      <c r="BG267" s="178"/>
      <c r="BH267" s="178"/>
      <c r="BI267" s="179"/>
      <c r="BJ267" s="180"/>
      <c r="BK267" s="178"/>
      <c r="BL267" s="178"/>
      <c r="BM267" s="178"/>
      <c r="BN267" s="178"/>
      <c r="BO267" s="181"/>
      <c r="BP267" s="166"/>
      <c r="BQ267" s="177"/>
      <c r="BR267" s="178"/>
      <c r="BS267" s="179"/>
      <c r="BU267" s="166"/>
      <c r="BV267" s="166"/>
      <c r="BW267" s="166"/>
      <c r="BX267" s="166"/>
      <c r="BY267" s="166"/>
      <c r="BZ267" s="166"/>
      <c r="CA267" s="166"/>
      <c r="CB267" s="166"/>
      <c r="CC267" s="166"/>
      <c r="CD267" s="177"/>
      <c r="CE267" s="181"/>
      <c r="CF267" s="177"/>
      <c r="CG267" s="179"/>
      <c r="CH267" s="257"/>
      <c r="CI267" s="182"/>
      <c r="CJ267" s="177"/>
      <c r="CK267" s="182"/>
      <c r="CL267" s="177"/>
      <c r="CM267" s="182"/>
      <c r="CN267" s="177"/>
      <c r="CO267" s="182"/>
      <c r="CP267" s="177"/>
      <c r="CQ267" s="178"/>
      <c r="CR267" s="182"/>
      <c r="CS267" s="173"/>
      <c r="CT267" s="65"/>
      <c r="CU267" s="271"/>
    </row>
    <row r="268" ht="60.0" hidden="1" customHeight="1">
      <c r="A268" s="65"/>
      <c r="C268" s="167"/>
      <c r="D268" s="205"/>
      <c r="E268" s="262"/>
      <c r="F268" s="170"/>
      <c r="G268" s="170"/>
      <c r="H268" s="170"/>
      <c r="I268" s="170"/>
      <c r="J268" s="170"/>
      <c r="K268" s="171"/>
      <c r="L268" s="171"/>
      <c r="M268" s="171"/>
      <c r="N268" s="209"/>
      <c r="O268" s="172">
        <f t="shared" si="49"/>
        <v>0</v>
      </c>
      <c r="P268" s="166"/>
      <c r="Q268" s="173"/>
      <c r="R268" s="65"/>
      <c r="S268" s="173"/>
      <c r="T268" s="173"/>
      <c r="U268" s="166"/>
      <c r="V268" s="166"/>
      <c r="W268" s="65"/>
      <c r="X268" s="66"/>
      <c r="Y268" s="173"/>
      <c r="Z268" s="166"/>
      <c r="AA268" s="174"/>
      <c r="AB268" s="175"/>
      <c r="AC268" s="175"/>
      <c r="AD268" s="175"/>
      <c r="AE268" s="175"/>
      <c r="AF268" s="175"/>
      <c r="AG268" s="175"/>
      <c r="AH268" s="175"/>
      <c r="AI268" s="176"/>
      <c r="AJ268" s="177"/>
      <c r="AK268" s="178"/>
      <c r="AL268" s="178"/>
      <c r="AM268" s="178"/>
      <c r="AN268" s="178"/>
      <c r="AO268" s="179"/>
      <c r="AP268" s="64"/>
      <c r="AQ268" s="65"/>
      <c r="AR268" s="65"/>
      <c r="AS268" s="65"/>
      <c r="AT268" s="173"/>
      <c r="AU268" s="177"/>
      <c r="AV268" s="178"/>
      <c r="AW268" s="178"/>
      <c r="AX268" s="179"/>
      <c r="AZ268" s="166"/>
      <c r="BA268" s="177"/>
      <c r="BB268" s="178"/>
      <c r="BC268" s="178"/>
      <c r="BD268" s="178"/>
      <c r="BE268" s="178"/>
      <c r="BF268" s="178"/>
      <c r="BG268" s="178"/>
      <c r="BH268" s="178"/>
      <c r="BI268" s="179"/>
      <c r="BJ268" s="180"/>
      <c r="BK268" s="178"/>
      <c r="BL268" s="178"/>
      <c r="BM268" s="178"/>
      <c r="BN268" s="178"/>
      <c r="BO268" s="181"/>
      <c r="BP268" s="166"/>
      <c r="BQ268" s="177"/>
      <c r="BR268" s="178"/>
      <c r="BS268" s="179"/>
      <c r="BU268" s="166"/>
      <c r="BV268" s="166"/>
      <c r="BW268" s="166"/>
      <c r="BX268" s="166"/>
      <c r="BY268" s="166"/>
      <c r="BZ268" s="166"/>
      <c r="CA268" s="166"/>
      <c r="CB268" s="166"/>
      <c r="CC268" s="166"/>
      <c r="CD268" s="177"/>
      <c r="CE268" s="181"/>
      <c r="CF268" s="177"/>
      <c r="CG268" s="179"/>
      <c r="CH268" s="257"/>
      <c r="CI268" s="182"/>
      <c r="CJ268" s="177"/>
      <c r="CK268" s="182"/>
      <c r="CL268" s="177"/>
      <c r="CM268" s="182"/>
      <c r="CN268" s="177"/>
      <c r="CO268" s="182"/>
      <c r="CP268" s="177"/>
      <c r="CQ268" s="178"/>
      <c r="CR268" s="182"/>
      <c r="CS268" s="173"/>
      <c r="CT268" s="65"/>
      <c r="CU268" s="271"/>
    </row>
    <row r="269" ht="60.0" hidden="1" customHeight="1">
      <c r="A269" s="65"/>
      <c r="C269" s="167"/>
      <c r="D269" s="205"/>
      <c r="E269" s="262"/>
      <c r="F269" s="170"/>
      <c r="G269" s="170"/>
      <c r="H269" s="170"/>
      <c r="I269" s="170"/>
      <c r="J269" s="170"/>
      <c r="K269" s="171"/>
      <c r="L269" s="171"/>
      <c r="M269" s="171"/>
      <c r="N269" s="209"/>
      <c r="O269" s="172">
        <f t="shared" si="49"/>
        <v>0</v>
      </c>
      <c r="P269" s="166"/>
      <c r="Q269" s="173"/>
      <c r="R269" s="65"/>
      <c r="S269" s="173"/>
      <c r="T269" s="173"/>
      <c r="U269" s="166"/>
      <c r="V269" s="166"/>
      <c r="W269" s="65"/>
      <c r="X269" s="66"/>
      <c r="Y269" s="173"/>
      <c r="Z269" s="166"/>
      <c r="AA269" s="174"/>
      <c r="AB269" s="175"/>
      <c r="AC269" s="175"/>
      <c r="AD269" s="175"/>
      <c r="AE269" s="175"/>
      <c r="AF269" s="175"/>
      <c r="AG269" s="175"/>
      <c r="AH269" s="175"/>
      <c r="AI269" s="176"/>
      <c r="AJ269" s="177"/>
      <c r="AK269" s="178"/>
      <c r="AL269" s="178"/>
      <c r="AM269" s="178"/>
      <c r="AN269" s="178"/>
      <c r="AO269" s="179"/>
      <c r="AP269" s="64"/>
      <c r="AQ269" s="65"/>
      <c r="AR269" s="65"/>
      <c r="AS269" s="65"/>
      <c r="AT269" s="173"/>
      <c r="AU269" s="177"/>
      <c r="AV269" s="178"/>
      <c r="AW269" s="178"/>
      <c r="AX269" s="179"/>
      <c r="AZ269" s="166"/>
      <c r="BA269" s="177"/>
      <c r="BB269" s="178"/>
      <c r="BC269" s="178"/>
      <c r="BD269" s="178"/>
      <c r="BE269" s="178"/>
      <c r="BF269" s="178"/>
      <c r="BG269" s="178"/>
      <c r="BH269" s="178"/>
      <c r="BI269" s="179"/>
      <c r="BJ269" s="180"/>
      <c r="BK269" s="178"/>
      <c r="BL269" s="178"/>
      <c r="BM269" s="178"/>
      <c r="BN269" s="178"/>
      <c r="BO269" s="181"/>
      <c r="BP269" s="166"/>
      <c r="BQ269" s="177"/>
      <c r="BR269" s="178"/>
      <c r="BS269" s="179"/>
      <c r="BU269" s="166"/>
      <c r="BV269" s="166"/>
      <c r="BW269" s="166"/>
      <c r="BX269" s="166"/>
      <c r="BY269" s="166"/>
      <c r="BZ269" s="166"/>
      <c r="CA269" s="166"/>
      <c r="CB269" s="166"/>
      <c r="CC269" s="166"/>
      <c r="CD269" s="177"/>
      <c r="CE269" s="181"/>
      <c r="CF269" s="177"/>
      <c r="CG269" s="179"/>
      <c r="CH269" s="257"/>
      <c r="CI269" s="182"/>
      <c r="CJ269" s="177"/>
      <c r="CK269" s="182"/>
      <c r="CL269" s="177"/>
      <c r="CM269" s="182"/>
      <c r="CN269" s="177"/>
      <c r="CO269" s="182"/>
      <c r="CP269" s="177"/>
      <c r="CQ269" s="178"/>
      <c r="CR269" s="182"/>
      <c r="CS269" s="173"/>
      <c r="CT269" s="65"/>
      <c r="CU269" s="271"/>
    </row>
    <row r="270" ht="60.0" hidden="1" customHeight="1">
      <c r="A270" s="65"/>
      <c r="C270" s="167"/>
      <c r="D270" s="205"/>
      <c r="E270" s="262"/>
      <c r="F270" s="170"/>
      <c r="G270" s="170"/>
      <c r="H270" s="170"/>
      <c r="I270" s="170"/>
      <c r="J270" s="170"/>
      <c r="K270" s="171"/>
      <c r="L270" s="171"/>
      <c r="M270" s="171"/>
      <c r="N270" s="209"/>
      <c r="O270" s="172">
        <f t="shared" si="49"/>
        <v>0</v>
      </c>
      <c r="P270" s="166"/>
      <c r="Q270" s="173"/>
      <c r="R270" s="65"/>
      <c r="S270" s="173"/>
      <c r="T270" s="173"/>
      <c r="U270" s="166"/>
      <c r="V270" s="166"/>
      <c r="W270" s="65"/>
      <c r="X270" s="66"/>
      <c r="Y270" s="173"/>
      <c r="Z270" s="166"/>
      <c r="AA270" s="174"/>
      <c r="AB270" s="175"/>
      <c r="AC270" s="175"/>
      <c r="AD270" s="175"/>
      <c r="AE270" s="175"/>
      <c r="AF270" s="175"/>
      <c r="AG270" s="175"/>
      <c r="AH270" s="175"/>
      <c r="AI270" s="176"/>
      <c r="AJ270" s="177"/>
      <c r="AK270" s="178"/>
      <c r="AL270" s="178"/>
      <c r="AM270" s="178"/>
      <c r="AN270" s="178"/>
      <c r="AO270" s="179"/>
      <c r="AP270" s="64"/>
      <c r="AQ270" s="65"/>
      <c r="AR270" s="65"/>
      <c r="AS270" s="65"/>
      <c r="AT270" s="173"/>
      <c r="AU270" s="177"/>
      <c r="AV270" s="178"/>
      <c r="AW270" s="178"/>
      <c r="AX270" s="179"/>
      <c r="AZ270" s="166"/>
      <c r="BA270" s="177"/>
      <c r="BB270" s="178"/>
      <c r="BC270" s="178"/>
      <c r="BD270" s="178"/>
      <c r="BE270" s="178"/>
      <c r="BF270" s="178"/>
      <c r="BG270" s="178"/>
      <c r="BH270" s="178"/>
      <c r="BI270" s="179"/>
      <c r="BJ270" s="180"/>
      <c r="BK270" s="178"/>
      <c r="BL270" s="178"/>
      <c r="BM270" s="178"/>
      <c r="BN270" s="178"/>
      <c r="BO270" s="181"/>
      <c r="BP270" s="166"/>
      <c r="BQ270" s="177"/>
      <c r="BR270" s="178"/>
      <c r="BS270" s="179"/>
      <c r="BU270" s="166"/>
      <c r="BV270" s="166"/>
      <c r="BW270" s="166"/>
      <c r="BX270" s="166"/>
      <c r="BY270" s="166"/>
      <c r="BZ270" s="166"/>
      <c r="CA270" s="166"/>
      <c r="CB270" s="166"/>
      <c r="CC270" s="166"/>
      <c r="CD270" s="177"/>
      <c r="CE270" s="181"/>
      <c r="CF270" s="177"/>
      <c r="CG270" s="179"/>
      <c r="CH270" s="257"/>
      <c r="CI270" s="182"/>
      <c r="CJ270" s="177"/>
      <c r="CK270" s="182"/>
      <c r="CL270" s="177"/>
      <c r="CM270" s="182"/>
      <c r="CN270" s="177"/>
      <c r="CO270" s="182"/>
      <c r="CP270" s="177"/>
      <c r="CQ270" s="178"/>
      <c r="CR270" s="182"/>
      <c r="CS270" s="173"/>
      <c r="CT270" s="65"/>
      <c r="CU270" s="271"/>
    </row>
    <row r="271" ht="60.0" hidden="1" customHeight="1">
      <c r="A271" s="89"/>
      <c r="B271" s="6"/>
      <c r="C271" s="183"/>
      <c r="D271" s="210"/>
      <c r="E271" s="263"/>
      <c r="F271" s="186"/>
      <c r="G271" s="186"/>
      <c r="H271" s="186"/>
      <c r="I271" s="186"/>
      <c r="J271" s="186"/>
      <c r="K271" s="187"/>
      <c r="L271" s="187"/>
      <c r="M271" s="187"/>
      <c r="N271" s="214"/>
      <c r="O271" s="188">
        <f t="shared" ref="O271:O277" si="50">IF(AND(M271&lt;&gt;0,M271&lt;&gt;"m",M271&lt;&gt;"",RIGHT(K271,3)="Lec"),1,IF(AND(M271&lt;&gt;0,M271&lt;&gt;"m",M271&lt;&gt;"",OR(RIGHT(K271,3)="Lab",RIGHT(K271,3)="Tut")),0.5,IF(AND(M271&lt;&gt;0,M271&lt;&gt;"m",M271&lt;&gt;"",RIGHT(K271,2)="TL"),0.75,0)))</f>
        <v>0</v>
      </c>
      <c r="P271" s="63"/>
      <c r="Q271" s="69"/>
      <c r="R271" s="89"/>
      <c r="S271" s="69"/>
      <c r="T271" s="69"/>
      <c r="U271" s="63"/>
      <c r="V271" s="63"/>
      <c r="W271" s="89"/>
      <c r="X271" s="68"/>
      <c r="Y271" s="69"/>
      <c r="Z271" s="63"/>
      <c r="AA271" s="189"/>
      <c r="AB271" s="190"/>
      <c r="AC271" s="190"/>
      <c r="AD271" s="190"/>
      <c r="AE271" s="190"/>
      <c r="AF271" s="190"/>
      <c r="AG271" s="190"/>
      <c r="AH271" s="190"/>
      <c r="AI271" s="191"/>
      <c r="AJ271" s="192"/>
      <c r="AK271" s="193"/>
      <c r="AL271" s="193"/>
      <c r="AM271" s="193"/>
      <c r="AN271" s="193"/>
      <c r="AO271" s="194"/>
      <c r="AP271" s="103"/>
      <c r="AQ271" s="89"/>
      <c r="AR271" s="89"/>
      <c r="AS271" s="89"/>
      <c r="AT271" s="69"/>
      <c r="AU271" s="192"/>
      <c r="AV271" s="193"/>
      <c r="AW271" s="193"/>
      <c r="AX271" s="194"/>
      <c r="AY271" s="6"/>
      <c r="AZ271" s="63"/>
      <c r="BA271" s="192"/>
      <c r="BB271" s="193"/>
      <c r="BC271" s="193"/>
      <c r="BD271" s="193"/>
      <c r="BE271" s="193"/>
      <c r="BF271" s="193"/>
      <c r="BG271" s="193"/>
      <c r="BH271" s="193"/>
      <c r="BI271" s="194"/>
      <c r="BJ271" s="195"/>
      <c r="BK271" s="193"/>
      <c r="BL271" s="193"/>
      <c r="BM271" s="193"/>
      <c r="BN271" s="193"/>
      <c r="BO271" s="196"/>
      <c r="BP271" s="63"/>
      <c r="BQ271" s="192"/>
      <c r="BR271" s="193"/>
      <c r="BS271" s="194"/>
      <c r="BT271" s="6"/>
      <c r="BU271" s="63"/>
      <c r="BV271" s="63"/>
      <c r="BW271" s="63"/>
      <c r="BX271" s="63"/>
      <c r="BY271" s="63"/>
      <c r="BZ271" s="63"/>
      <c r="CA271" s="63"/>
      <c r="CB271" s="63"/>
      <c r="CC271" s="63"/>
      <c r="CD271" s="192"/>
      <c r="CE271" s="196"/>
      <c r="CF271" s="192"/>
      <c r="CG271" s="194"/>
      <c r="CH271" s="259"/>
      <c r="CI271" s="197"/>
      <c r="CJ271" s="192"/>
      <c r="CK271" s="197"/>
      <c r="CL271" s="192"/>
      <c r="CM271" s="197"/>
      <c r="CN271" s="192"/>
      <c r="CO271" s="197"/>
      <c r="CP271" s="192"/>
      <c r="CQ271" s="193"/>
      <c r="CR271" s="197"/>
      <c r="CS271" s="69"/>
      <c r="CT271" s="89"/>
      <c r="CU271" s="272"/>
    </row>
    <row r="272" ht="56.25" hidden="1" customHeight="1">
      <c r="A272" s="125">
        <v>25.0</v>
      </c>
      <c r="B272" s="199"/>
      <c r="C272" s="127"/>
      <c r="D272" s="128"/>
      <c r="E272" s="260"/>
      <c r="F272" s="261"/>
      <c r="G272" s="261"/>
      <c r="H272" s="261"/>
      <c r="I272" s="261"/>
      <c r="J272" s="170"/>
      <c r="K272" s="219"/>
      <c r="L272" s="219"/>
      <c r="M272" s="219"/>
      <c r="N272" s="220"/>
      <c r="O272" s="132">
        <f t="shared" si="50"/>
        <v>0</v>
      </c>
      <c r="P272" s="133">
        <f>COUNTIF(K272:K282,"TL")*0.75+COUNTIF(K272:K282,"Lec")*1+COUNTIF(K272:K282,"Lab")*0.5</f>
        <v>0</v>
      </c>
      <c r="Q272" s="134">
        <f>SUM((IF(LEFT(K272,1)="E",O272,0)),(IF(LEFT(K273,1)="E",O273,0)),(IF(LEFT(K274,1)="E",O274,0)),(IF(LEFT(K275,1)="E",O275,0)),(IF(LEFT(K276,1)="E",O276,0)),(IF(LEFT(K277,1)="E",O277,0)),(IF(LEFT(K278,1)="E",O278,0)),(IF(LEFT(K279,1)="E",O279,0)),(IF(LEFT(K280,1)="E",O280,0)),(IF(LEFT(K281,1)="E",O281,0)),(IF(LEFT(K282,1)="E",O282,0)))</f>
        <v>0</v>
      </c>
      <c r="R272" s="135">
        <f>SUM(IF(M278&lt;20,IF(K278="Plec",-1,IF(K278="PTL",-0.75,IF(K278="Plab",-0.5,0))),0),IF(M279&lt;20,IF(K279="Plec",-1,IF(K279="PTL",-0.75,IF(K279="Plab",-0.5,0))),0),IF(M280&lt;20,IF(K280="Plec",-1,IF(K280="PTL",-0.75,IF(K280="Plab",-0.5,0))),0),IF(M281&lt;20,IF(K281="Plec",-1,IF(K281="PTL",-0.75,IF(K281="Plab",-0.5,0))),0))</f>
        <v>0</v>
      </c>
      <c r="S272" s="134">
        <f>SUM(P272:R282)</f>
        <v>0</v>
      </c>
      <c r="T272" s="136">
        <f>SUM(IF(M272="M",IF(OR(K272="lec",K272="plec",K272="slec"),1,IF(OR(K272="lab",K272="plab",K272="slab",K272="tut",K272="ptut",K272="stut"),0.5,IF(OR(K272="TL",K272="pTL",K272="STL"),0.75,0))),0),IF(M273="M",IF(OR(K273="lec",K273="plec",K273="slec"),1,IF(OR(K273="lab",K273="plab",K273="slab",K273="tut",K273="ptut",K273="stut"),0.5,IF(OR(K273="TL",K273="pTL",K273="STL"),0.75,0))),0),IF(M274="M",IF(OR(K274="lec",K274="plec",K274="slec"),1,IF(OR(K274="lab",K274="plab",K274="slab",K274="tut",K274="ptut",K274="stut"),0.5,IF(OR(K274="TL",K274="pTL",K274="STL"),0.75,0))),0),IF(M275="M",IF(OR(K275="lec",K275="plec",K275="slec"),1,IF(OR(K275="lab",K275="plab",K275="slab",K275="tut",K275="ptut",K275="stut"),0.5,IF(OR(K275="TL",K275="pTL",K275="STL"),0.75,0))),0),IF(M276="M",IF(OR(K276="lec",K276="plec",K276="slec"),1,IF(OR(K276="lab",K276="plab",K276="slab",K276="tut",K276="ptut",K276="stut"),0.5,IF(OR(K276="TL",K276="pTL",K276="STL"),0.75,0))),0),IF(M277="M",IF(OR(K277="lec",K277="plec",K277="slec"),1,IF(OR(K277="lab",K277="plab",K277="slab",K277="tut",K277="ptut",K277="stut"),0.5,IF(OR(K277="TL",K277="pTL",K277="STL"),0.75,0))),0),IF(M278="M",IF(OR(K278="lec",K278="plec",K278="slec"),1,IF(OR(K278="lab",K278="plab",K278="slab",K278="tut",K278="ptut",K278="stut"),0.5,IF(OR(K278="TL",K278="pTL",K278="STL"),0.75,0))),0),IF(M279="M",IF(OR(K279="lec",K279="plec",K279="slec"),1,IF(OR(K279="lab",K279="plab",K279="slab",K279="tut",K279="ptut",K279="stut"),0.5,IF(OR(K279="TL",K279="pTL",K279="STL"),0.75,0))),0),IF(M280="M",IF(OR(K280="lec",K280="plec",K280="slec"),1,IF(OR(K280="lab",K280="plab",K280="slab",K280="tut",K280="ptut",K280="stut"),0.5,IF(OR(K280="TL",K280="pTL",K280="STL"),0.75,0))),0),IF(M281="M",IF(OR(K281="lec",K281="plec",K281="slec"),1,IF(OR(K281="lab",K281="plab",K281="slab",K281="tut",K281="ptut",K281="stut"),0.5,IF(OR(K281="TL",K281="pTL",K281="STL"),0.75,0))),0),IF(M282="M",IF(OR(K282="lec",K282="plec",K282="slec"),1,IF(OR(K282="lab",K282="plab",K282="slab",K282="tut",K282="ptut",K282="stut"),0.5,IF(OR(K282="TL",K282="pTL",K282="STL"),0.75,0))),0))</f>
        <v>0</v>
      </c>
      <c r="U272" s="137"/>
      <c r="V272" s="133"/>
      <c r="W272" s="138"/>
      <c r="X272" s="139">
        <f>S272-(T272+U272+V272+W272)</f>
        <v>0</v>
      </c>
      <c r="Y272" s="134" t="str">
        <f>CONCATENATE(SUM(O272:O282),"(",SUM(O272:O282)-X272,")")</f>
        <v>0(0)</v>
      </c>
      <c r="Z272" s="140"/>
      <c r="AA272" s="141"/>
      <c r="AB272" s="142"/>
      <c r="AC272" s="142"/>
      <c r="AD272" s="142"/>
      <c r="AE272" s="142"/>
      <c r="AF272" s="142"/>
      <c r="AG272" s="142"/>
      <c r="AH272" s="142"/>
      <c r="AI272" s="143"/>
      <c r="AJ272" s="144"/>
      <c r="AK272" s="145"/>
      <c r="AL272" s="145"/>
      <c r="AM272" s="145"/>
      <c r="AN272" s="145"/>
      <c r="AO272" s="146"/>
      <c r="AP272" s="147">
        <f>SUM(SUM(O272:O282),SUM(AI272:AI282)/2,AM272)</f>
        <v>0</v>
      </c>
      <c r="AQ272" s="148"/>
      <c r="AR272" s="148">
        <f>AP272*AQ272</f>
        <v>0</v>
      </c>
      <c r="AS272" s="148">
        <f>CT272</f>
        <v>0</v>
      </c>
      <c r="AT272" s="149">
        <f>AR272*0.75+AS272*0.25</f>
        <v>0</v>
      </c>
      <c r="AU272" s="150"/>
      <c r="AV272" s="151"/>
      <c r="AW272" s="151"/>
      <c r="AX272" s="152"/>
      <c r="AY272" s="153"/>
      <c r="AZ272" s="140"/>
      <c r="BA272" s="150"/>
      <c r="BB272" s="151"/>
      <c r="BC272" s="151"/>
      <c r="BD272" s="151"/>
      <c r="BE272" s="151"/>
      <c r="BF272" s="151"/>
      <c r="BG272" s="151"/>
      <c r="BH272" s="151"/>
      <c r="BI272" s="152"/>
      <c r="BJ272" s="154"/>
      <c r="BK272" s="151"/>
      <c r="BL272" s="151"/>
      <c r="BM272" s="151"/>
      <c r="BN272" s="151"/>
      <c r="BO272" s="155"/>
      <c r="BP272" s="140"/>
      <c r="BQ272" s="156"/>
      <c r="BR272" s="157"/>
      <c r="BS272" s="158"/>
      <c r="BT272" s="153"/>
      <c r="BU272" s="140"/>
      <c r="BV272" s="140"/>
      <c r="BW272" s="140"/>
      <c r="BX272" s="140"/>
      <c r="BY272" s="140"/>
      <c r="BZ272" s="140"/>
      <c r="CA272" s="140"/>
      <c r="CB272" s="140"/>
      <c r="CC272" s="140"/>
      <c r="CD272" s="150"/>
      <c r="CE272" s="155"/>
      <c r="CF272" s="150"/>
      <c r="CG272" s="152"/>
      <c r="CH272" s="252"/>
      <c r="CI272" s="160"/>
      <c r="CJ272" s="159"/>
      <c r="CK272" s="160"/>
      <c r="CL272" s="159"/>
      <c r="CM272" s="160"/>
      <c r="CN272" s="159"/>
      <c r="CO272" s="160"/>
      <c r="CP272" s="159"/>
      <c r="CQ272" s="162"/>
      <c r="CR272" s="160"/>
      <c r="CS272" s="253">
        <f>SUM(IF(AU272&lt;0,ABS(AU272),0),IF(AZ272&lt;0,ABS(AZ272),0),ABS(CI272),ABS(CK272),ABS(CM272),ABS(CO272),ABS(CQ272),ABS(CR272))</f>
        <v>0</v>
      </c>
      <c r="CT272" s="254">
        <f>SUM(AU272,AV272,AW272,AX272/400,AY272,AZ272,BG272,BH272*0.5,BI272*0.25,BJ272,BK272,BL272,BM272,BN272,BO272,BP272,BR272/20,BS272/100,BT272/60,BU272,BV272,BW272,BX272/5,SUM(BY272:CC282)/3,CE272,CG272/3,CI272,CK272,CM272,CO272,CQ272,CR272)</f>
        <v>0</v>
      </c>
      <c r="CU272" s="255"/>
    </row>
    <row r="273" ht="60.0" hidden="1" customHeight="1">
      <c r="A273" s="65"/>
      <c r="C273" s="167"/>
      <c r="D273" s="205"/>
      <c r="E273" s="262"/>
      <c r="F273" s="170"/>
      <c r="G273" s="170"/>
      <c r="H273" s="170"/>
      <c r="I273" s="170"/>
      <c r="J273" s="170"/>
      <c r="K273" s="171"/>
      <c r="L273" s="171"/>
      <c r="M273" s="171"/>
      <c r="N273" s="209"/>
      <c r="O273" s="172">
        <f t="shared" si="50"/>
        <v>0</v>
      </c>
      <c r="P273" s="166"/>
      <c r="Q273" s="173"/>
      <c r="R273" s="65"/>
      <c r="S273" s="173"/>
      <c r="T273" s="173"/>
      <c r="U273" s="166"/>
      <c r="V273" s="166"/>
      <c r="W273" s="65"/>
      <c r="X273" s="66"/>
      <c r="Y273" s="173"/>
      <c r="Z273" s="166"/>
      <c r="AA273" s="174"/>
      <c r="AB273" s="175"/>
      <c r="AC273" s="175"/>
      <c r="AD273" s="175"/>
      <c r="AE273" s="175"/>
      <c r="AF273" s="175"/>
      <c r="AG273" s="175"/>
      <c r="AH273" s="175"/>
      <c r="AI273" s="176"/>
      <c r="AJ273" s="177"/>
      <c r="AK273" s="178"/>
      <c r="AL273" s="178"/>
      <c r="AM273" s="178"/>
      <c r="AN273" s="178"/>
      <c r="AO273" s="179"/>
      <c r="AP273" s="64"/>
      <c r="AQ273" s="65"/>
      <c r="AR273" s="65"/>
      <c r="AS273" s="65"/>
      <c r="AT273" s="173"/>
      <c r="AU273" s="177"/>
      <c r="AV273" s="178"/>
      <c r="AW273" s="178"/>
      <c r="AX273" s="179"/>
      <c r="AZ273" s="166"/>
      <c r="BA273" s="177"/>
      <c r="BB273" s="178"/>
      <c r="BC273" s="178"/>
      <c r="BD273" s="178"/>
      <c r="BE273" s="178"/>
      <c r="BF273" s="178"/>
      <c r="BG273" s="178"/>
      <c r="BH273" s="178"/>
      <c r="BI273" s="179"/>
      <c r="BJ273" s="180"/>
      <c r="BK273" s="178"/>
      <c r="BL273" s="178"/>
      <c r="BM273" s="178"/>
      <c r="BN273" s="178"/>
      <c r="BO273" s="181"/>
      <c r="BP273" s="166"/>
      <c r="BQ273" s="177"/>
      <c r="BR273" s="178"/>
      <c r="BS273" s="179"/>
      <c r="BU273" s="166"/>
      <c r="BV273" s="166"/>
      <c r="BW273" s="166"/>
      <c r="BX273" s="166"/>
      <c r="BY273" s="166"/>
      <c r="BZ273" s="166"/>
      <c r="CA273" s="166"/>
      <c r="CB273" s="166"/>
      <c r="CC273" s="166"/>
      <c r="CD273" s="177"/>
      <c r="CE273" s="181"/>
      <c r="CF273" s="177"/>
      <c r="CG273" s="179"/>
      <c r="CH273" s="257"/>
      <c r="CI273" s="182"/>
      <c r="CJ273" s="177"/>
      <c r="CK273" s="182"/>
      <c r="CL273" s="177"/>
      <c r="CM273" s="182"/>
      <c r="CN273" s="177"/>
      <c r="CO273" s="182"/>
      <c r="CP273" s="177"/>
      <c r="CQ273" s="178"/>
      <c r="CR273" s="182"/>
      <c r="CS273" s="173"/>
      <c r="CT273" s="65"/>
      <c r="CU273" s="271"/>
    </row>
    <row r="274" ht="60.0" hidden="1" customHeight="1">
      <c r="A274" s="65"/>
      <c r="C274" s="167"/>
      <c r="D274" s="205"/>
      <c r="E274" s="262"/>
      <c r="F274" s="170"/>
      <c r="G274" s="170"/>
      <c r="H274" s="170"/>
      <c r="I274" s="170"/>
      <c r="J274" s="170"/>
      <c r="K274" s="171"/>
      <c r="L274" s="171"/>
      <c r="M274" s="171"/>
      <c r="N274" s="209"/>
      <c r="O274" s="172">
        <f t="shared" si="50"/>
        <v>0</v>
      </c>
      <c r="P274" s="166"/>
      <c r="Q274" s="173"/>
      <c r="R274" s="65"/>
      <c r="S274" s="173"/>
      <c r="T274" s="173"/>
      <c r="U274" s="166"/>
      <c r="V274" s="166"/>
      <c r="W274" s="65"/>
      <c r="X274" s="66"/>
      <c r="Y274" s="173"/>
      <c r="Z274" s="166"/>
      <c r="AA274" s="174"/>
      <c r="AB274" s="175"/>
      <c r="AC274" s="175"/>
      <c r="AD274" s="175"/>
      <c r="AE274" s="175"/>
      <c r="AF274" s="175"/>
      <c r="AG274" s="175"/>
      <c r="AH274" s="175"/>
      <c r="AI274" s="176"/>
      <c r="AJ274" s="177"/>
      <c r="AK274" s="178"/>
      <c r="AL274" s="178"/>
      <c r="AM274" s="178"/>
      <c r="AN274" s="178"/>
      <c r="AO274" s="179"/>
      <c r="AP274" s="64"/>
      <c r="AQ274" s="65"/>
      <c r="AR274" s="65"/>
      <c r="AS274" s="65"/>
      <c r="AT274" s="173"/>
      <c r="AU274" s="177"/>
      <c r="AV274" s="178"/>
      <c r="AW274" s="178"/>
      <c r="AX274" s="179"/>
      <c r="AZ274" s="166"/>
      <c r="BA274" s="177"/>
      <c r="BB274" s="178"/>
      <c r="BC274" s="178"/>
      <c r="BD274" s="178"/>
      <c r="BE274" s="178"/>
      <c r="BF274" s="178"/>
      <c r="BG274" s="178"/>
      <c r="BH274" s="178"/>
      <c r="BI274" s="179"/>
      <c r="BJ274" s="180"/>
      <c r="BK274" s="178"/>
      <c r="BL274" s="178"/>
      <c r="BM274" s="178"/>
      <c r="BN274" s="178"/>
      <c r="BO274" s="181"/>
      <c r="BP274" s="166"/>
      <c r="BQ274" s="177"/>
      <c r="BR274" s="178"/>
      <c r="BS274" s="179"/>
      <c r="BU274" s="166"/>
      <c r="BV274" s="166"/>
      <c r="BW274" s="166"/>
      <c r="BX274" s="166"/>
      <c r="BY274" s="166"/>
      <c r="BZ274" s="166"/>
      <c r="CA274" s="166"/>
      <c r="CB274" s="166"/>
      <c r="CC274" s="166"/>
      <c r="CD274" s="177"/>
      <c r="CE274" s="181"/>
      <c r="CF274" s="177"/>
      <c r="CG274" s="179"/>
      <c r="CH274" s="257"/>
      <c r="CI274" s="182"/>
      <c r="CJ274" s="177"/>
      <c r="CK274" s="182"/>
      <c r="CL274" s="177"/>
      <c r="CM274" s="182"/>
      <c r="CN274" s="177"/>
      <c r="CO274" s="182"/>
      <c r="CP274" s="177"/>
      <c r="CQ274" s="178"/>
      <c r="CR274" s="182"/>
      <c r="CS274" s="173"/>
      <c r="CT274" s="65"/>
      <c r="CU274" s="271"/>
    </row>
    <row r="275" ht="60.0" hidden="1" customHeight="1">
      <c r="A275" s="65"/>
      <c r="C275" s="167"/>
      <c r="D275" s="205"/>
      <c r="E275" s="262"/>
      <c r="F275" s="170"/>
      <c r="G275" s="170"/>
      <c r="H275" s="170"/>
      <c r="I275" s="170"/>
      <c r="J275" s="170"/>
      <c r="K275" s="171"/>
      <c r="L275" s="171"/>
      <c r="M275" s="171"/>
      <c r="N275" s="209"/>
      <c r="O275" s="172">
        <f t="shared" si="50"/>
        <v>0</v>
      </c>
      <c r="P275" s="166"/>
      <c r="Q275" s="173"/>
      <c r="R275" s="65"/>
      <c r="S275" s="173"/>
      <c r="T275" s="173"/>
      <c r="U275" s="166"/>
      <c r="V275" s="166"/>
      <c r="W275" s="65"/>
      <c r="X275" s="66"/>
      <c r="Y275" s="173"/>
      <c r="Z275" s="166"/>
      <c r="AA275" s="174"/>
      <c r="AB275" s="175"/>
      <c r="AC275" s="175"/>
      <c r="AD275" s="175"/>
      <c r="AE275" s="175"/>
      <c r="AF275" s="175"/>
      <c r="AG275" s="175"/>
      <c r="AH275" s="175"/>
      <c r="AI275" s="176"/>
      <c r="AJ275" s="177"/>
      <c r="AK275" s="178"/>
      <c r="AL275" s="178"/>
      <c r="AM275" s="178"/>
      <c r="AN275" s="178"/>
      <c r="AO275" s="179"/>
      <c r="AP275" s="64"/>
      <c r="AQ275" s="65"/>
      <c r="AR275" s="65"/>
      <c r="AS275" s="65"/>
      <c r="AT275" s="173"/>
      <c r="AU275" s="177"/>
      <c r="AV275" s="178"/>
      <c r="AW275" s="178"/>
      <c r="AX275" s="179"/>
      <c r="AZ275" s="166"/>
      <c r="BA275" s="177"/>
      <c r="BB275" s="178"/>
      <c r="BC275" s="178"/>
      <c r="BD275" s="178"/>
      <c r="BE275" s="178"/>
      <c r="BF275" s="178"/>
      <c r="BG275" s="178"/>
      <c r="BH275" s="178"/>
      <c r="BI275" s="179"/>
      <c r="BJ275" s="180"/>
      <c r="BK275" s="178"/>
      <c r="BL275" s="178"/>
      <c r="BM275" s="178"/>
      <c r="BN275" s="178"/>
      <c r="BO275" s="181"/>
      <c r="BP275" s="166"/>
      <c r="BQ275" s="177"/>
      <c r="BR275" s="178"/>
      <c r="BS275" s="179"/>
      <c r="BU275" s="166"/>
      <c r="BV275" s="166"/>
      <c r="BW275" s="166"/>
      <c r="BX275" s="166"/>
      <c r="BY275" s="166"/>
      <c r="BZ275" s="166"/>
      <c r="CA275" s="166"/>
      <c r="CB275" s="166"/>
      <c r="CC275" s="166"/>
      <c r="CD275" s="177"/>
      <c r="CE275" s="181"/>
      <c r="CF275" s="177"/>
      <c r="CG275" s="179"/>
      <c r="CH275" s="257"/>
      <c r="CI275" s="182"/>
      <c r="CJ275" s="177"/>
      <c r="CK275" s="182"/>
      <c r="CL275" s="177"/>
      <c r="CM275" s="182"/>
      <c r="CN275" s="177"/>
      <c r="CO275" s="182"/>
      <c r="CP275" s="177"/>
      <c r="CQ275" s="178"/>
      <c r="CR275" s="182"/>
      <c r="CS275" s="173"/>
      <c r="CT275" s="65"/>
      <c r="CU275" s="271"/>
    </row>
    <row r="276" ht="60.0" hidden="1" customHeight="1">
      <c r="A276" s="65"/>
      <c r="C276" s="167"/>
      <c r="D276" s="205"/>
      <c r="E276" s="262"/>
      <c r="F276" s="170"/>
      <c r="G276" s="170"/>
      <c r="H276" s="170"/>
      <c r="I276" s="170"/>
      <c r="J276" s="170"/>
      <c r="K276" s="171"/>
      <c r="L276" s="171"/>
      <c r="M276" s="171"/>
      <c r="N276" s="209"/>
      <c r="O276" s="172">
        <f t="shared" si="50"/>
        <v>0</v>
      </c>
      <c r="P276" s="166"/>
      <c r="Q276" s="173"/>
      <c r="R276" s="65"/>
      <c r="S276" s="173"/>
      <c r="T276" s="173"/>
      <c r="U276" s="166"/>
      <c r="V276" s="166"/>
      <c r="W276" s="65"/>
      <c r="X276" s="66"/>
      <c r="Y276" s="173"/>
      <c r="Z276" s="166"/>
      <c r="AA276" s="174"/>
      <c r="AB276" s="175"/>
      <c r="AC276" s="175"/>
      <c r="AD276" s="175"/>
      <c r="AE276" s="175"/>
      <c r="AF276" s="175"/>
      <c r="AG276" s="175"/>
      <c r="AH276" s="175"/>
      <c r="AI276" s="176"/>
      <c r="AJ276" s="177"/>
      <c r="AK276" s="178"/>
      <c r="AL276" s="178"/>
      <c r="AM276" s="178"/>
      <c r="AN276" s="178"/>
      <c r="AO276" s="179"/>
      <c r="AP276" s="64"/>
      <c r="AQ276" s="65"/>
      <c r="AR276" s="65"/>
      <c r="AS276" s="65"/>
      <c r="AT276" s="173"/>
      <c r="AU276" s="177"/>
      <c r="AV276" s="178"/>
      <c r="AW276" s="178"/>
      <c r="AX276" s="179"/>
      <c r="AZ276" s="166"/>
      <c r="BA276" s="177"/>
      <c r="BB276" s="178"/>
      <c r="BC276" s="178"/>
      <c r="BD276" s="178"/>
      <c r="BE276" s="178"/>
      <c r="BF276" s="178"/>
      <c r="BG276" s="178"/>
      <c r="BH276" s="178"/>
      <c r="BI276" s="179"/>
      <c r="BJ276" s="180"/>
      <c r="BK276" s="178"/>
      <c r="BL276" s="178"/>
      <c r="BM276" s="178"/>
      <c r="BN276" s="178"/>
      <c r="BO276" s="181"/>
      <c r="BP276" s="166"/>
      <c r="BQ276" s="177"/>
      <c r="BR276" s="178"/>
      <c r="BS276" s="179"/>
      <c r="BU276" s="166"/>
      <c r="BV276" s="166"/>
      <c r="BW276" s="166"/>
      <c r="BX276" s="166"/>
      <c r="BY276" s="166"/>
      <c r="BZ276" s="166"/>
      <c r="CA276" s="166"/>
      <c r="CB276" s="166"/>
      <c r="CC276" s="166"/>
      <c r="CD276" s="177"/>
      <c r="CE276" s="181"/>
      <c r="CF276" s="177"/>
      <c r="CG276" s="179"/>
      <c r="CH276" s="257"/>
      <c r="CI276" s="182"/>
      <c r="CJ276" s="177"/>
      <c r="CK276" s="182"/>
      <c r="CL276" s="177"/>
      <c r="CM276" s="182"/>
      <c r="CN276" s="177"/>
      <c r="CO276" s="182"/>
      <c r="CP276" s="177"/>
      <c r="CQ276" s="178"/>
      <c r="CR276" s="182"/>
      <c r="CS276" s="173"/>
      <c r="CT276" s="65"/>
      <c r="CU276" s="271"/>
    </row>
    <row r="277" ht="60.0" hidden="1" customHeight="1">
      <c r="A277" s="65"/>
      <c r="C277" s="167"/>
      <c r="D277" s="205"/>
      <c r="E277" s="262"/>
      <c r="F277" s="170"/>
      <c r="G277" s="170"/>
      <c r="H277" s="170"/>
      <c r="I277" s="170"/>
      <c r="J277" s="170"/>
      <c r="K277" s="171"/>
      <c r="L277" s="171"/>
      <c r="M277" s="171"/>
      <c r="N277" s="209"/>
      <c r="O277" s="172">
        <f t="shared" si="50"/>
        <v>0</v>
      </c>
      <c r="P277" s="166"/>
      <c r="Q277" s="173"/>
      <c r="R277" s="65"/>
      <c r="S277" s="173"/>
      <c r="T277" s="173"/>
      <c r="U277" s="166"/>
      <c r="V277" s="166"/>
      <c r="W277" s="65"/>
      <c r="X277" s="66"/>
      <c r="Y277" s="173"/>
      <c r="Z277" s="166"/>
      <c r="AA277" s="174"/>
      <c r="AB277" s="175"/>
      <c r="AC277" s="175"/>
      <c r="AD277" s="175"/>
      <c r="AE277" s="175"/>
      <c r="AF277" s="175"/>
      <c r="AG277" s="175"/>
      <c r="AH277" s="175"/>
      <c r="AI277" s="176"/>
      <c r="AJ277" s="177"/>
      <c r="AK277" s="178"/>
      <c r="AL277" s="178"/>
      <c r="AM277" s="178"/>
      <c r="AN277" s="178"/>
      <c r="AO277" s="179"/>
      <c r="AP277" s="64"/>
      <c r="AQ277" s="65"/>
      <c r="AR277" s="65"/>
      <c r="AS277" s="65"/>
      <c r="AT277" s="173"/>
      <c r="AU277" s="177"/>
      <c r="AV277" s="178"/>
      <c r="AW277" s="178"/>
      <c r="AX277" s="179"/>
      <c r="AZ277" s="166"/>
      <c r="BA277" s="177"/>
      <c r="BB277" s="178"/>
      <c r="BC277" s="178"/>
      <c r="BD277" s="178"/>
      <c r="BE277" s="178"/>
      <c r="BF277" s="178"/>
      <c r="BG277" s="178"/>
      <c r="BH277" s="178"/>
      <c r="BI277" s="179"/>
      <c r="BJ277" s="180"/>
      <c r="BK277" s="178"/>
      <c r="BL277" s="178"/>
      <c r="BM277" s="178"/>
      <c r="BN277" s="178"/>
      <c r="BO277" s="181"/>
      <c r="BP277" s="166"/>
      <c r="BQ277" s="177"/>
      <c r="BR277" s="178"/>
      <c r="BS277" s="179"/>
      <c r="BU277" s="166"/>
      <c r="BV277" s="166"/>
      <c r="BW277" s="166"/>
      <c r="BX277" s="166"/>
      <c r="BY277" s="166"/>
      <c r="BZ277" s="166"/>
      <c r="CA277" s="166"/>
      <c r="CB277" s="166"/>
      <c r="CC277" s="166"/>
      <c r="CD277" s="177"/>
      <c r="CE277" s="181"/>
      <c r="CF277" s="177"/>
      <c r="CG277" s="179"/>
      <c r="CH277" s="257"/>
      <c r="CI277" s="182"/>
      <c r="CJ277" s="177"/>
      <c r="CK277" s="182"/>
      <c r="CL277" s="177"/>
      <c r="CM277" s="182"/>
      <c r="CN277" s="177"/>
      <c r="CO277" s="182"/>
      <c r="CP277" s="177"/>
      <c r="CQ277" s="178"/>
      <c r="CR277" s="182"/>
      <c r="CS277" s="173"/>
      <c r="CT277" s="65"/>
      <c r="CU277" s="271"/>
    </row>
    <row r="278" ht="60.0" hidden="1" customHeight="1">
      <c r="A278" s="65"/>
      <c r="C278" s="167"/>
      <c r="D278" s="205"/>
      <c r="E278" s="262"/>
      <c r="F278" s="170"/>
      <c r="G278" s="170"/>
      <c r="H278" s="170"/>
      <c r="I278" s="170"/>
      <c r="J278" s="170"/>
      <c r="K278" s="171"/>
      <c r="L278" s="171"/>
      <c r="M278" s="171"/>
      <c r="N278" s="209"/>
      <c r="O278" s="172">
        <f t="shared" ref="O278:O281" si="51">IF(AND(M278&gt;=20,M278&lt;&gt;"m",RIGHT(K278,3)="Lec"),1,IF(AND(M278&gt;=20,M278&lt;&gt;"m",OR(RIGHT(K278,3)="Lab",RIGHT(K278,3)="Tut")),0.5,IF(AND(M278&gt;=20,M278&lt;&gt;"m",RIGHT(K278,2)="TL"),0.75,0)))</f>
        <v>0</v>
      </c>
      <c r="P278" s="166"/>
      <c r="Q278" s="173"/>
      <c r="R278" s="65"/>
      <c r="S278" s="173"/>
      <c r="T278" s="173"/>
      <c r="U278" s="166"/>
      <c r="V278" s="166"/>
      <c r="W278" s="65"/>
      <c r="X278" s="66"/>
      <c r="Y278" s="173"/>
      <c r="Z278" s="166"/>
      <c r="AA278" s="174"/>
      <c r="AB278" s="175"/>
      <c r="AC278" s="175"/>
      <c r="AD278" s="175"/>
      <c r="AE278" s="175"/>
      <c r="AF278" s="175"/>
      <c r="AG278" s="175"/>
      <c r="AH278" s="175"/>
      <c r="AI278" s="176"/>
      <c r="AJ278" s="177"/>
      <c r="AK278" s="178"/>
      <c r="AL278" s="178"/>
      <c r="AM278" s="178"/>
      <c r="AN278" s="178"/>
      <c r="AO278" s="179"/>
      <c r="AP278" s="64"/>
      <c r="AQ278" s="65"/>
      <c r="AR278" s="65"/>
      <c r="AS278" s="65"/>
      <c r="AT278" s="173"/>
      <c r="AU278" s="177"/>
      <c r="AV278" s="178"/>
      <c r="AW278" s="178"/>
      <c r="AX278" s="179"/>
      <c r="AZ278" s="166"/>
      <c r="BA278" s="177"/>
      <c r="BB278" s="178"/>
      <c r="BC278" s="178"/>
      <c r="BD278" s="178"/>
      <c r="BE278" s="178"/>
      <c r="BF278" s="178"/>
      <c r="BG278" s="178"/>
      <c r="BH278" s="178"/>
      <c r="BI278" s="179"/>
      <c r="BJ278" s="180"/>
      <c r="BK278" s="178"/>
      <c r="BL278" s="178"/>
      <c r="BM278" s="178"/>
      <c r="BN278" s="178"/>
      <c r="BO278" s="181"/>
      <c r="BP278" s="166"/>
      <c r="BQ278" s="177"/>
      <c r="BR278" s="178"/>
      <c r="BS278" s="179"/>
      <c r="BU278" s="166"/>
      <c r="BV278" s="166"/>
      <c r="BW278" s="166"/>
      <c r="BX278" s="166"/>
      <c r="BY278" s="166"/>
      <c r="BZ278" s="166"/>
      <c r="CA278" s="166"/>
      <c r="CB278" s="166"/>
      <c r="CC278" s="166"/>
      <c r="CD278" s="177"/>
      <c r="CE278" s="181"/>
      <c r="CF278" s="177"/>
      <c r="CG278" s="179"/>
      <c r="CH278" s="257"/>
      <c r="CI278" s="182"/>
      <c r="CJ278" s="177"/>
      <c r="CK278" s="182"/>
      <c r="CL278" s="177"/>
      <c r="CM278" s="182"/>
      <c r="CN278" s="177"/>
      <c r="CO278" s="182"/>
      <c r="CP278" s="177"/>
      <c r="CQ278" s="178"/>
      <c r="CR278" s="182"/>
      <c r="CS278" s="173"/>
      <c r="CT278" s="65"/>
      <c r="CU278" s="271"/>
    </row>
    <row r="279" ht="60.0" hidden="1" customHeight="1">
      <c r="A279" s="65"/>
      <c r="C279" s="167"/>
      <c r="D279" s="205"/>
      <c r="E279" s="262"/>
      <c r="F279" s="170"/>
      <c r="G279" s="170"/>
      <c r="H279" s="170"/>
      <c r="I279" s="170"/>
      <c r="J279" s="170"/>
      <c r="K279" s="171"/>
      <c r="L279" s="171"/>
      <c r="M279" s="171"/>
      <c r="N279" s="209"/>
      <c r="O279" s="172">
        <f t="shared" si="51"/>
        <v>0</v>
      </c>
      <c r="P279" s="166"/>
      <c r="Q279" s="173"/>
      <c r="R279" s="65"/>
      <c r="S279" s="173"/>
      <c r="T279" s="173"/>
      <c r="U279" s="166"/>
      <c r="V279" s="166"/>
      <c r="W279" s="65"/>
      <c r="X279" s="66"/>
      <c r="Y279" s="173"/>
      <c r="Z279" s="166"/>
      <c r="AA279" s="174"/>
      <c r="AB279" s="175"/>
      <c r="AC279" s="175"/>
      <c r="AD279" s="175"/>
      <c r="AE279" s="175"/>
      <c r="AF279" s="175"/>
      <c r="AG279" s="175"/>
      <c r="AH279" s="175"/>
      <c r="AI279" s="176"/>
      <c r="AJ279" s="177"/>
      <c r="AK279" s="178"/>
      <c r="AL279" s="178"/>
      <c r="AM279" s="178"/>
      <c r="AN279" s="178"/>
      <c r="AO279" s="179"/>
      <c r="AP279" s="64"/>
      <c r="AQ279" s="65"/>
      <c r="AR279" s="65"/>
      <c r="AS279" s="65"/>
      <c r="AT279" s="173"/>
      <c r="AU279" s="177"/>
      <c r="AV279" s="178"/>
      <c r="AW279" s="178"/>
      <c r="AX279" s="179"/>
      <c r="AZ279" s="166"/>
      <c r="BA279" s="177"/>
      <c r="BB279" s="178"/>
      <c r="BC279" s="178"/>
      <c r="BD279" s="178"/>
      <c r="BE279" s="178"/>
      <c r="BF279" s="178"/>
      <c r="BG279" s="178"/>
      <c r="BH279" s="178"/>
      <c r="BI279" s="179"/>
      <c r="BJ279" s="180"/>
      <c r="BK279" s="178"/>
      <c r="BL279" s="178"/>
      <c r="BM279" s="178"/>
      <c r="BN279" s="178"/>
      <c r="BO279" s="181"/>
      <c r="BP279" s="166"/>
      <c r="BQ279" s="177"/>
      <c r="BR279" s="178"/>
      <c r="BS279" s="179"/>
      <c r="BU279" s="166"/>
      <c r="BV279" s="166"/>
      <c r="BW279" s="166"/>
      <c r="BX279" s="166"/>
      <c r="BY279" s="166"/>
      <c r="BZ279" s="166"/>
      <c r="CA279" s="166"/>
      <c r="CB279" s="166"/>
      <c r="CC279" s="166"/>
      <c r="CD279" s="177"/>
      <c r="CE279" s="181"/>
      <c r="CF279" s="177"/>
      <c r="CG279" s="179"/>
      <c r="CH279" s="257"/>
      <c r="CI279" s="182"/>
      <c r="CJ279" s="177"/>
      <c r="CK279" s="182"/>
      <c r="CL279" s="177"/>
      <c r="CM279" s="182"/>
      <c r="CN279" s="177"/>
      <c r="CO279" s="182"/>
      <c r="CP279" s="177"/>
      <c r="CQ279" s="178"/>
      <c r="CR279" s="182"/>
      <c r="CS279" s="173"/>
      <c r="CT279" s="65"/>
      <c r="CU279" s="271"/>
    </row>
    <row r="280" ht="60.0" hidden="1" customHeight="1">
      <c r="A280" s="65"/>
      <c r="C280" s="167"/>
      <c r="D280" s="205"/>
      <c r="E280" s="262"/>
      <c r="F280" s="170"/>
      <c r="G280" s="170"/>
      <c r="H280" s="170"/>
      <c r="I280" s="170"/>
      <c r="J280" s="170"/>
      <c r="K280" s="171"/>
      <c r="L280" s="171"/>
      <c r="M280" s="171"/>
      <c r="N280" s="209"/>
      <c r="O280" s="172">
        <f t="shared" si="51"/>
        <v>0</v>
      </c>
      <c r="P280" s="166"/>
      <c r="Q280" s="173"/>
      <c r="R280" s="65"/>
      <c r="S280" s="173"/>
      <c r="T280" s="173"/>
      <c r="U280" s="166"/>
      <c r="V280" s="166"/>
      <c r="W280" s="65"/>
      <c r="X280" s="66"/>
      <c r="Y280" s="173"/>
      <c r="Z280" s="166"/>
      <c r="AA280" s="174"/>
      <c r="AB280" s="175"/>
      <c r="AC280" s="175"/>
      <c r="AD280" s="175"/>
      <c r="AE280" s="175"/>
      <c r="AF280" s="175"/>
      <c r="AG280" s="175"/>
      <c r="AH280" s="175"/>
      <c r="AI280" s="176"/>
      <c r="AJ280" s="177"/>
      <c r="AK280" s="178"/>
      <c r="AL280" s="178"/>
      <c r="AM280" s="178"/>
      <c r="AN280" s="178"/>
      <c r="AO280" s="179"/>
      <c r="AP280" s="64"/>
      <c r="AQ280" s="65"/>
      <c r="AR280" s="65"/>
      <c r="AS280" s="65"/>
      <c r="AT280" s="173"/>
      <c r="AU280" s="177"/>
      <c r="AV280" s="178"/>
      <c r="AW280" s="178"/>
      <c r="AX280" s="179"/>
      <c r="AZ280" s="166"/>
      <c r="BA280" s="177"/>
      <c r="BB280" s="178"/>
      <c r="BC280" s="178"/>
      <c r="BD280" s="178"/>
      <c r="BE280" s="178"/>
      <c r="BF280" s="178"/>
      <c r="BG280" s="178"/>
      <c r="BH280" s="178"/>
      <c r="BI280" s="179"/>
      <c r="BJ280" s="180"/>
      <c r="BK280" s="178"/>
      <c r="BL280" s="178"/>
      <c r="BM280" s="178"/>
      <c r="BN280" s="178"/>
      <c r="BO280" s="181"/>
      <c r="BP280" s="166"/>
      <c r="BQ280" s="177"/>
      <c r="BR280" s="178"/>
      <c r="BS280" s="179"/>
      <c r="BU280" s="166"/>
      <c r="BV280" s="166"/>
      <c r="BW280" s="166"/>
      <c r="BX280" s="166"/>
      <c r="BY280" s="166"/>
      <c r="BZ280" s="166"/>
      <c r="CA280" s="166"/>
      <c r="CB280" s="166"/>
      <c r="CC280" s="166"/>
      <c r="CD280" s="177"/>
      <c r="CE280" s="181"/>
      <c r="CF280" s="177"/>
      <c r="CG280" s="179"/>
      <c r="CH280" s="257"/>
      <c r="CI280" s="182"/>
      <c r="CJ280" s="177"/>
      <c r="CK280" s="182"/>
      <c r="CL280" s="177"/>
      <c r="CM280" s="182"/>
      <c r="CN280" s="177"/>
      <c r="CO280" s="182"/>
      <c r="CP280" s="177"/>
      <c r="CQ280" s="178"/>
      <c r="CR280" s="182"/>
      <c r="CS280" s="173"/>
      <c r="CT280" s="65"/>
      <c r="CU280" s="271"/>
    </row>
    <row r="281" ht="60.0" hidden="1" customHeight="1">
      <c r="A281" s="65"/>
      <c r="C281" s="167"/>
      <c r="D281" s="205"/>
      <c r="E281" s="262"/>
      <c r="F281" s="170"/>
      <c r="G281" s="170"/>
      <c r="H281" s="170"/>
      <c r="I281" s="170"/>
      <c r="J281" s="170"/>
      <c r="K281" s="171"/>
      <c r="L281" s="171"/>
      <c r="M281" s="171"/>
      <c r="N281" s="209"/>
      <c r="O281" s="172">
        <f t="shared" si="51"/>
        <v>0</v>
      </c>
      <c r="P281" s="166"/>
      <c r="Q281" s="173"/>
      <c r="R281" s="65"/>
      <c r="S281" s="173"/>
      <c r="T281" s="173"/>
      <c r="U281" s="166"/>
      <c r="V281" s="166"/>
      <c r="W281" s="65"/>
      <c r="X281" s="66"/>
      <c r="Y281" s="173"/>
      <c r="Z281" s="166"/>
      <c r="AA281" s="174"/>
      <c r="AB281" s="175"/>
      <c r="AC281" s="175"/>
      <c r="AD281" s="175"/>
      <c r="AE281" s="175"/>
      <c r="AF281" s="175"/>
      <c r="AG281" s="175"/>
      <c r="AH281" s="175"/>
      <c r="AI281" s="176"/>
      <c r="AJ281" s="177"/>
      <c r="AK281" s="178"/>
      <c r="AL281" s="178"/>
      <c r="AM281" s="178"/>
      <c r="AN281" s="178"/>
      <c r="AO281" s="179"/>
      <c r="AP281" s="64"/>
      <c r="AQ281" s="65"/>
      <c r="AR281" s="65"/>
      <c r="AS281" s="65"/>
      <c r="AT281" s="173"/>
      <c r="AU281" s="177"/>
      <c r="AV281" s="178"/>
      <c r="AW281" s="178"/>
      <c r="AX281" s="179"/>
      <c r="AZ281" s="166"/>
      <c r="BA281" s="177"/>
      <c r="BB281" s="178"/>
      <c r="BC281" s="178"/>
      <c r="BD281" s="178"/>
      <c r="BE281" s="178"/>
      <c r="BF281" s="178"/>
      <c r="BG281" s="178"/>
      <c r="BH281" s="178"/>
      <c r="BI281" s="179"/>
      <c r="BJ281" s="180"/>
      <c r="BK281" s="178"/>
      <c r="BL281" s="178"/>
      <c r="BM281" s="178"/>
      <c r="BN281" s="178"/>
      <c r="BO281" s="181"/>
      <c r="BP281" s="166"/>
      <c r="BQ281" s="177"/>
      <c r="BR281" s="178"/>
      <c r="BS281" s="179"/>
      <c r="BU281" s="166"/>
      <c r="BV281" s="166"/>
      <c r="BW281" s="166"/>
      <c r="BX281" s="166"/>
      <c r="BY281" s="166"/>
      <c r="BZ281" s="166"/>
      <c r="CA281" s="166"/>
      <c r="CB281" s="166"/>
      <c r="CC281" s="166"/>
      <c r="CD281" s="177"/>
      <c r="CE281" s="181"/>
      <c r="CF281" s="177"/>
      <c r="CG281" s="179"/>
      <c r="CH281" s="257"/>
      <c r="CI281" s="182"/>
      <c r="CJ281" s="177"/>
      <c r="CK281" s="182"/>
      <c r="CL281" s="177"/>
      <c r="CM281" s="182"/>
      <c r="CN281" s="177"/>
      <c r="CO281" s="182"/>
      <c r="CP281" s="177"/>
      <c r="CQ281" s="178"/>
      <c r="CR281" s="182"/>
      <c r="CS281" s="173"/>
      <c r="CT281" s="65"/>
      <c r="CU281" s="271"/>
    </row>
    <row r="282" ht="60.0" hidden="1" customHeight="1">
      <c r="A282" s="89"/>
      <c r="B282" s="6"/>
      <c r="C282" s="183"/>
      <c r="D282" s="210"/>
      <c r="E282" s="263"/>
      <c r="F282" s="186"/>
      <c r="G282" s="186"/>
      <c r="H282" s="186"/>
      <c r="I282" s="186"/>
      <c r="J282" s="186"/>
      <c r="K282" s="187"/>
      <c r="L282" s="187"/>
      <c r="M282" s="187"/>
      <c r="N282" s="214"/>
      <c r="O282" s="188">
        <f t="shared" ref="O282:O288" si="52">IF(AND(M282&lt;&gt;0,M282&lt;&gt;"m",M282&lt;&gt;"",RIGHT(K282,3)="Lec"),1,IF(AND(M282&lt;&gt;0,M282&lt;&gt;"m",M282&lt;&gt;"",OR(RIGHT(K282,3)="Lab",RIGHT(K282,3)="Tut")),0.5,IF(AND(M282&lt;&gt;0,M282&lt;&gt;"m",M282&lt;&gt;"",RIGHT(K282,2)="TL"),0.75,0)))</f>
        <v>0</v>
      </c>
      <c r="P282" s="63"/>
      <c r="Q282" s="69"/>
      <c r="R282" s="89"/>
      <c r="S282" s="69"/>
      <c r="T282" s="69"/>
      <c r="U282" s="63"/>
      <c r="V282" s="63"/>
      <c r="W282" s="89"/>
      <c r="X282" s="68"/>
      <c r="Y282" s="69"/>
      <c r="Z282" s="63"/>
      <c r="AA282" s="189"/>
      <c r="AB282" s="190"/>
      <c r="AC282" s="190"/>
      <c r="AD282" s="190"/>
      <c r="AE282" s="190"/>
      <c r="AF282" s="190"/>
      <c r="AG282" s="190"/>
      <c r="AH282" s="190"/>
      <c r="AI282" s="191"/>
      <c r="AJ282" s="192"/>
      <c r="AK282" s="193"/>
      <c r="AL282" s="193"/>
      <c r="AM282" s="193"/>
      <c r="AN282" s="193"/>
      <c r="AO282" s="194"/>
      <c r="AP282" s="103"/>
      <c r="AQ282" s="89"/>
      <c r="AR282" s="89"/>
      <c r="AS282" s="89"/>
      <c r="AT282" s="69"/>
      <c r="AU282" s="192"/>
      <c r="AV282" s="193"/>
      <c r="AW282" s="193"/>
      <c r="AX282" s="194"/>
      <c r="AY282" s="6"/>
      <c r="AZ282" s="63"/>
      <c r="BA282" s="192"/>
      <c r="BB282" s="193"/>
      <c r="BC282" s="193"/>
      <c r="BD282" s="193"/>
      <c r="BE282" s="193"/>
      <c r="BF282" s="193"/>
      <c r="BG282" s="193"/>
      <c r="BH282" s="193"/>
      <c r="BI282" s="194"/>
      <c r="BJ282" s="195"/>
      <c r="BK282" s="193"/>
      <c r="BL282" s="193"/>
      <c r="BM282" s="193"/>
      <c r="BN282" s="193"/>
      <c r="BO282" s="196"/>
      <c r="BP282" s="63"/>
      <c r="BQ282" s="192"/>
      <c r="BR282" s="193"/>
      <c r="BS282" s="194"/>
      <c r="BT282" s="6"/>
      <c r="BU282" s="63"/>
      <c r="BV282" s="63"/>
      <c r="BW282" s="63"/>
      <c r="BX282" s="63"/>
      <c r="BY282" s="63"/>
      <c r="BZ282" s="63"/>
      <c r="CA282" s="63"/>
      <c r="CB282" s="63"/>
      <c r="CC282" s="63"/>
      <c r="CD282" s="192"/>
      <c r="CE282" s="196"/>
      <c r="CF282" s="192"/>
      <c r="CG282" s="194"/>
      <c r="CH282" s="259"/>
      <c r="CI282" s="197"/>
      <c r="CJ282" s="192"/>
      <c r="CK282" s="197"/>
      <c r="CL282" s="192"/>
      <c r="CM282" s="197"/>
      <c r="CN282" s="192"/>
      <c r="CO282" s="197"/>
      <c r="CP282" s="192"/>
      <c r="CQ282" s="193"/>
      <c r="CR282" s="197"/>
      <c r="CS282" s="69"/>
      <c r="CT282" s="89"/>
      <c r="CU282" s="272"/>
    </row>
    <row r="283" ht="56.25" hidden="1" customHeight="1">
      <c r="A283" s="125">
        <v>26.0</v>
      </c>
      <c r="B283" s="199"/>
      <c r="C283" s="127"/>
      <c r="D283" s="128"/>
      <c r="E283" s="260"/>
      <c r="F283" s="261"/>
      <c r="G283" s="261"/>
      <c r="H283" s="261"/>
      <c r="I283" s="261"/>
      <c r="J283" s="170"/>
      <c r="K283" s="219"/>
      <c r="L283" s="219"/>
      <c r="M283" s="219"/>
      <c r="N283" s="220"/>
      <c r="O283" s="132">
        <f t="shared" si="52"/>
        <v>0</v>
      </c>
      <c r="P283" s="133">
        <f>COUNTIF(K283:K293,"TL")*0.75+COUNTIF(K283:K293,"Lec")*1+COUNTIF(K283:K293,"Lab")*0.5</f>
        <v>0</v>
      </c>
      <c r="Q283" s="134">
        <f>SUM((IF(LEFT(K283,1)="E",O283,0)),(IF(LEFT(K284,1)="E",O284,0)),(IF(LEFT(K285,1)="E",O285,0)),(IF(LEFT(K286,1)="E",O286,0)),(IF(LEFT(K287,1)="E",O287,0)),(IF(LEFT(K288,1)="E",O288,0)),(IF(LEFT(K289,1)="E",O289,0)),(IF(LEFT(K290,1)="E",O290,0)),(IF(LEFT(K291,1)="E",O291,0)),(IF(LEFT(K292,1)="E",O292,0)),(IF(LEFT(K293,1)="E",O293,0)))</f>
        <v>0</v>
      </c>
      <c r="R283" s="135">
        <f>SUM(IF(M289&lt;20,IF(K289="Plec",-1,IF(K289="PTL",-0.75,IF(K289="Plab",-0.5,0))),0),IF(M290&lt;20,IF(K290="Plec",-1,IF(K290="PTL",-0.75,IF(K290="Plab",-0.5,0))),0),IF(M291&lt;20,IF(K291="Plec",-1,IF(K291="PTL",-0.75,IF(K291="Plab",-0.5,0))),0),IF(M292&lt;20,IF(K292="Plec",-1,IF(K292="PTL",-0.75,IF(K292="Plab",-0.5,0))),0))</f>
        <v>0</v>
      </c>
      <c r="S283" s="134">
        <f>SUM(P283:R293)</f>
        <v>0</v>
      </c>
      <c r="T283" s="136">
        <f>SUM(IF(M283="M",IF(OR(K283="lec",K283="plec",K283="slec"),1,IF(OR(K283="lab",K283="plab",K283="slab",K283="tut",K283="ptut",K283="stut"),0.5,IF(OR(K283="TL",K283="pTL",K283="STL"),0.75,0))),0),IF(M284="M",IF(OR(K284="lec",K284="plec",K284="slec"),1,IF(OR(K284="lab",K284="plab",K284="slab",K284="tut",K284="ptut",K284="stut"),0.5,IF(OR(K284="TL",K284="pTL",K284="STL"),0.75,0))),0),IF(M285="M",IF(OR(K285="lec",K285="plec",K285="slec"),1,IF(OR(K285="lab",K285="plab",K285="slab",K285="tut",K285="ptut",K285="stut"),0.5,IF(OR(K285="TL",K285="pTL",K285="STL"),0.75,0))),0),IF(M286="M",IF(OR(K286="lec",K286="plec",K286="slec"),1,IF(OR(K286="lab",K286="plab",K286="slab",K286="tut",K286="ptut",K286="stut"),0.5,IF(OR(K286="TL",K286="pTL",K286="STL"),0.75,0))),0),IF(M287="M",IF(OR(K287="lec",K287="plec",K287="slec"),1,IF(OR(K287="lab",K287="plab",K287="slab",K287="tut",K287="ptut",K287="stut"),0.5,IF(OR(K287="TL",K287="pTL",K287="STL"),0.75,0))),0),IF(M288="M",IF(OR(K288="lec",K288="plec",K288="slec"),1,IF(OR(K288="lab",K288="plab",K288="slab",K288="tut",K288="ptut",K288="stut"),0.5,IF(OR(K288="TL",K288="pTL",K288="STL"),0.75,0))),0),IF(M289="M",IF(OR(K289="lec",K289="plec",K289="slec"),1,IF(OR(K289="lab",K289="plab",K289="slab",K289="tut",K289="ptut",K289="stut"),0.5,IF(OR(K289="TL",K289="pTL",K289="STL"),0.75,0))),0),IF(M290="M",IF(OR(K290="lec",K290="plec",K290="slec"),1,IF(OR(K290="lab",K290="plab",K290="slab",K290="tut",K290="ptut",K290="stut"),0.5,IF(OR(K290="TL",K290="pTL",K290="STL"),0.75,0))),0),IF(M291="M",IF(OR(K291="lec",K291="plec",K291="slec"),1,IF(OR(K291="lab",K291="plab",K291="slab",K291="tut",K291="ptut",K291="stut"),0.5,IF(OR(K291="TL",K291="pTL",K291="STL"),0.75,0))),0),IF(M292="M",IF(OR(K292="lec",K292="plec",K292="slec"),1,IF(OR(K292="lab",K292="plab",K292="slab",K292="tut",K292="ptut",K292="stut"),0.5,IF(OR(K292="TL",K292="pTL",K292="STL"),0.75,0))),0),IF(M293="M",IF(OR(K293="lec",K293="plec",K293="slec"),1,IF(OR(K293="lab",K293="plab",K293="slab",K293="tut",K293="ptut",K293="stut"),0.5,IF(OR(K293="TL",K293="pTL",K293="STL"),0.75,0))),0))</f>
        <v>0</v>
      </c>
      <c r="U283" s="137"/>
      <c r="V283" s="133"/>
      <c r="W283" s="138"/>
      <c r="X283" s="139">
        <f>S283-(T283+U283+V283+W283)</f>
        <v>0</v>
      </c>
      <c r="Y283" s="134" t="str">
        <f>CONCATENATE(SUM(O283:O293),"(",SUM(O283:O293)-X283,")")</f>
        <v>0(0)</v>
      </c>
      <c r="Z283" s="140"/>
      <c r="AA283" s="141"/>
      <c r="AB283" s="142"/>
      <c r="AC283" s="142"/>
      <c r="AD283" s="142"/>
      <c r="AE283" s="142"/>
      <c r="AF283" s="142"/>
      <c r="AG283" s="142"/>
      <c r="AH283" s="142"/>
      <c r="AI283" s="143"/>
      <c r="AJ283" s="144"/>
      <c r="AK283" s="145"/>
      <c r="AL283" s="145"/>
      <c r="AM283" s="145"/>
      <c r="AN283" s="145"/>
      <c r="AO283" s="146"/>
      <c r="AP283" s="147">
        <f>SUM(SUM(O283:O293),SUM(AI283:AI293)/2,AM283)</f>
        <v>0</v>
      </c>
      <c r="AQ283" s="148"/>
      <c r="AR283" s="148">
        <f>AP283*AQ283</f>
        <v>0</v>
      </c>
      <c r="AS283" s="148">
        <f>CT283</f>
        <v>0</v>
      </c>
      <c r="AT283" s="149">
        <f>AR283*0.75+AS283*0.25</f>
        <v>0</v>
      </c>
      <c r="AU283" s="150"/>
      <c r="AV283" s="151"/>
      <c r="AW283" s="151"/>
      <c r="AX283" s="152"/>
      <c r="AY283" s="153"/>
      <c r="AZ283" s="140"/>
      <c r="BA283" s="150"/>
      <c r="BB283" s="151"/>
      <c r="BC283" s="151"/>
      <c r="BD283" s="151"/>
      <c r="BE283" s="151"/>
      <c r="BF283" s="151"/>
      <c r="BG283" s="151"/>
      <c r="BH283" s="151"/>
      <c r="BI283" s="152"/>
      <c r="BJ283" s="154"/>
      <c r="BK283" s="151"/>
      <c r="BL283" s="151"/>
      <c r="BM283" s="151"/>
      <c r="BN283" s="151"/>
      <c r="BO283" s="155"/>
      <c r="BP283" s="140"/>
      <c r="BQ283" s="156"/>
      <c r="BR283" s="157"/>
      <c r="BS283" s="158"/>
      <c r="BT283" s="153"/>
      <c r="BU283" s="140"/>
      <c r="BV283" s="140"/>
      <c r="BW283" s="140"/>
      <c r="BX283" s="140"/>
      <c r="BY283" s="140"/>
      <c r="BZ283" s="140"/>
      <c r="CA283" s="140"/>
      <c r="CB283" s="140"/>
      <c r="CC283" s="140"/>
      <c r="CD283" s="150"/>
      <c r="CE283" s="155"/>
      <c r="CF283" s="150"/>
      <c r="CG283" s="152"/>
      <c r="CH283" s="252"/>
      <c r="CI283" s="160"/>
      <c r="CJ283" s="159"/>
      <c r="CK283" s="160"/>
      <c r="CL283" s="159"/>
      <c r="CM283" s="160"/>
      <c r="CN283" s="159"/>
      <c r="CO283" s="160"/>
      <c r="CP283" s="159"/>
      <c r="CQ283" s="162"/>
      <c r="CR283" s="160"/>
      <c r="CS283" s="253">
        <f>SUM(IF(AU283&lt;0,ABS(AU283),0),IF(AZ283&lt;0,ABS(AZ283),0),ABS(CI283),ABS(CK283),ABS(CM283),ABS(CO283),ABS(CQ283),ABS(CR283))</f>
        <v>0</v>
      </c>
      <c r="CT283" s="254">
        <f>SUM(AU283,AV283,AW283,AX283/400,AY283,AZ283,BG283,BH283*0.5,BI283*0.25,BJ283,BK283,BL283,BM283,BN283,BO283,BP283,BR283/20,BS283/100,BT283/60,BU283,BV283,BW283,BX283/5,SUM(BY283:CC293)/3,CE283,CG283/3,CI283,CK283,CM283,CO283,CQ283,CR283)</f>
        <v>0</v>
      </c>
      <c r="CU283" s="255"/>
    </row>
    <row r="284" ht="60.0" hidden="1" customHeight="1">
      <c r="A284" s="65"/>
      <c r="C284" s="167"/>
      <c r="D284" s="205"/>
      <c r="E284" s="262"/>
      <c r="F284" s="170"/>
      <c r="G284" s="170"/>
      <c r="H284" s="170"/>
      <c r="I284" s="170"/>
      <c r="J284" s="170"/>
      <c r="K284" s="171"/>
      <c r="L284" s="171"/>
      <c r="M284" s="171"/>
      <c r="N284" s="209"/>
      <c r="O284" s="172">
        <f t="shared" si="52"/>
        <v>0</v>
      </c>
      <c r="P284" s="166"/>
      <c r="Q284" s="173"/>
      <c r="R284" s="65"/>
      <c r="S284" s="173"/>
      <c r="T284" s="173"/>
      <c r="U284" s="166"/>
      <c r="V284" s="166"/>
      <c r="W284" s="65"/>
      <c r="X284" s="66"/>
      <c r="Y284" s="173"/>
      <c r="Z284" s="166"/>
      <c r="AA284" s="174"/>
      <c r="AB284" s="175"/>
      <c r="AC284" s="175"/>
      <c r="AD284" s="175"/>
      <c r="AE284" s="175"/>
      <c r="AF284" s="175"/>
      <c r="AG284" s="175"/>
      <c r="AH284" s="175"/>
      <c r="AI284" s="176"/>
      <c r="AJ284" s="177"/>
      <c r="AK284" s="178"/>
      <c r="AL284" s="178"/>
      <c r="AM284" s="178"/>
      <c r="AN284" s="178"/>
      <c r="AO284" s="179"/>
      <c r="AP284" s="64"/>
      <c r="AQ284" s="65"/>
      <c r="AR284" s="65"/>
      <c r="AS284" s="65"/>
      <c r="AT284" s="173"/>
      <c r="AU284" s="177"/>
      <c r="AV284" s="178"/>
      <c r="AW284" s="178"/>
      <c r="AX284" s="179"/>
      <c r="AZ284" s="166"/>
      <c r="BA284" s="177"/>
      <c r="BB284" s="178"/>
      <c r="BC284" s="178"/>
      <c r="BD284" s="178"/>
      <c r="BE284" s="178"/>
      <c r="BF284" s="178"/>
      <c r="BG284" s="178"/>
      <c r="BH284" s="178"/>
      <c r="BI284" s="179"/>
      <c r="BJ284" s="180"/>
      <c r="BK284" s="178"/>
      <c r="BL284" s="178"/>
      <c r="BM284" s="178"/>
      <c r="BN284" s="178"/>
      <c r="BO284" s="181"/>
      <c r="BP284" s="166"/>
      <c r="BQ284" s="177"/>
      <c r="BR284" s="178"/>
      <c r="BS284" s="179"/>
      <c r="BU284" s="166"/>
      <c r="BV284" s="166"/>
      <c r="BW284" s="166"/>
      <c r="BX284" s="166"/>
      <c r="BY284" s="166"/>
      <c r="BZ284" s="166"/>
      <c r="CA284" s="166"/>
      <c r="CB284" s="166"/>
      <c r="CC284" s="166"/>
      <c r="CD284" s="177"/>
      <c r="CE284" s="181"/>
      <c r="CF284" s="177"/>
      <c r="CG284" s="179"/>
      <c r="CH284" s="257"/>
      <c r="CI284" s="182"/>
      <c r="CJ284" s="177"/>
      <c r="CK284" s="182"/>
      <c r="CL284" s="177"/>
      <c r="CM284" s="182"/>
      <c r="CN284" s="177"/>
      <c r="CO284" s="182"/>
      <c r="CP284" s="177"/>
      <c r="CQ284" s="178"/>
      <c r="CR284" s="182"/>
      <c r="CS284" s="173"/>
      <c r="CT284" s="65"/>
      <c r="CU284" s="271"/>
    </row>
    <row r="285" ht="60.0" hidden="1" customHeight="1">
      <c r="A285" s="65"/>
      <c r="C285" s="167"/>
      <c r="D285" s="205"/>
      <c r="E285" s="262"/>
      <c r="F285" s="170"/>
      <c r="G285" s="170"/>
      <c r="H285" s="170"/>
      <c r="I285" s="170"/>
      <c r="J285" s="170"/>
      <c r="K285" s="171"/>
      <c r="L285" s="171"/>
      <c r="M285" s="171"/>
      <c r="N285" s="209"/>
      <c r="O285" s="172">
        <f t="shared" si="52"/>
        <v>0</v>
      </c>
      <c r="P285" s="166"/>
      <c r="Q285" s="173"/>
      <c r="R285" s="65"/>
      <c r="S285" s="173"/>
      <c r="T285" s="173"/>
      <c r="U285" s="166"/>
      <c r="V285" s="166"/>
      <c r="W285" s="65"/>
      <c r="X285" s="66"/>
      <c r="Y285" s="173"/>
      <c r="Z285" s="166"/>
      <c r="AA285" s="174"/>
      <c r="AB285" s="175"/>
      <c r="AC285" s="175"/>
      <c r="AD285" s="175"/>
      <c r="AE285" s="175"/>
      <c r="AF285" s="175"/>
      <c r="AG285" s="175"/>
      <c r="AH285" s="175"/>
      <c r="AI285" s="176"/>
      <c r="AJ285" s="177"/>
      <c r="AK285" s="178"/>
      <c r="AL285" s="178"/>
      <c r="AM285" s="178"/>
      <c r="AN285" s="178"/>
      <c r="AO285" s="179"/>
      <c r="AP285" s="64"/>
      <c r="AQ285" s="65"/>
      <c r="AR285" s="65"/>
      <c r="AS285" s="65"/>
      <c r="AT285" s="173"/>
      <c r="AU285" s="177"/>
      <c r="AV285" s="178"/>
      <c r="AW285" s="178"/>
      <c r="AX285" s="179"/>
      <c r="AZ285" s="166"/>
      <c r="BA285" s="177"/>
      <c r="BB285" s="178"/>
      <c r="BC285" s="178"/>
      <c r="BD285" s="178"/>
      <c r="BE285" s="178"/>
      <c r="BF285" s="178"/>
      <c r="BG285" s="178"/>
      <c r="BH285" s="178"/>
      <c r="BI285" s="179"/>
      <c r="BJ285" s="180"/>
      <c r="BK285" s="178"/>
      <c r="BL285" s="178"/>
      <c r="BM285" s="178"/>
      <c r="BN285" s="178"/>
      <c r="BO285" s="181"/>
      <c r="BP285" s="166"/>
      <c r="BQ285" s="177"/>
      <c r="BR285" s="178"/>
      <c r="BS285" s="179"/>
      <c r="BU285" s="166"/>
      <c r="BV285" s="166"/>
      <c r="BW285" s="166"/>
      <c r="BX285" s="166"/>
      <c r="BY285" s="166"/>
      <c r="BZ285" s="166"/>
      <c r="CA285" s="166"/>
      <c r="CB285" s="166"/>
      <c r="CC285" s="166"/>
      <c r="CD285" s="177"/>
      <c r="CE285" s="181"/>
      <c r="CF285" s="177"/>
      <c r="CG285" s="179"/>
      <c r="CH285" s="257"/>
      <c r="CI285" s="182"/>
      <c r="CJ285" s="177"/>
      <c r="CK285" s="182"/>
      <c r="CL285" s="177"/>
      <c r="CM285" s="182"/>
      <c r="CN285" s="177"/>
      <c r="CO285" s="182"/>
      <c r="CP285" s="177"/>
      <c r="CQ285" s="178"/>
      <c r="CR285" s="182"/>
      <c r="CS285" s="173"/>
      <c r="CT285" s="65"/>
      <c r="CU285" s="271"/>
    </row>
    <row r="286" ht="60.0" hidden="1" customHeight="1">
      <c r="A286" s="65"/>
      <c r="C286" s="167"/>
      <c r="D286" s="205"/>
      <c r="E286" s="262"/>
      <c r="F286" s="170"/>
      <c r="G286" s="170"/>
      <c r="H286" s="170"/>
      <c r="I286" s="170"/>
      <c r="J286" s="170"/>
      <c r="K286" s="171"/>
      <c r="L286" s="171"/>
      <c r="M286" s="171"/>
      <c r="N286" s="209"/>
      <c r="O286" s="172">
        <f t="shared" si="52"/>
        <v>0</v>
      </c>
      <c r="P286" s="166"/>
      <c r="Q286" s="173"/>
      <c r="R286" s="65"/>
      <c r="S286" s="173"/>
      <c r="T286" s="173"/>
      <c r="U286" s="166"/>
      <c r="V286" s="166"/>
      <c r="W286" s="65"/>
      <c r="X286" s="66"/>
      <c r="Y286" s="173"/>
      <c r="Z286" s="166"/>
      <c r="AA286" s="174"/>
      <c r="AB286" s="175"/>
      <c r="AC286" s="175"/>
      <c r="AD286" s="175"/>
      <c r="AE286" s="175"/>
      <c r="AF286" s="175"/>
      <c r="AG286" s="175"/>
      <c r="AH286" s="175"/>
      <c r="AI286" s="176"/>
      <c r="AJ286" s="177"/>
      <c r="AK286" s="178"/>
      <c r="AL286" s="178"/>
      <c r="AM286" s="178"/>
      <c r="AN286" s="178"/>
      <c r="AO286" s="179"/>
      <c r="AP286" s="64"/>
      <c r="AQ286" s="65"/>
      <c r="AR286" s="65"/>
      <c r="AS286" s="65"/>
      <c r="AT286" s="173"/>
      <c r="AU286" s="177"/>
      <c r="AV286" s="178"/>
      <c r="AW286" s="178"/>
      <c r="AX286" s="179"/>
      <c r="AZ286" s="166"/>
      <c r="BA286" s="177"/>
      <c r="BB286" s="178"/>
      <c r="BC286" s="178"/>
      <c r="BD286" s="178"/>
      <c r="BE286" s="178"/>
      <c r="BF286" s="178"/>
      <c r="BG286" s="178"/>
      <c r="BH286" s="178"/>
      <c r="BI286" s="179"/>
      <c r="BJ286" s="180"/>
      <c r="BK286" s="178"/>
      <c r="BL286" s="178"/>
      <c r="BM286" s="178"/>
      <c r="BN286" s="178"/>
      <c r="BO286" s="181"/>
      <c r="BP286" s="166"/>
      <c r="BQ286" s="177"/>
      <c r="BR286" s="178"/>
      <c r="BS286" s="179"/>
      <c r="BU286" s="166"/>
      <c r="BV286" s="166"/>
      <c r="BW286" s="166"/>
      <c r="BX286" s="166"/>
      <c r="BY286" s="166"/>
      <c r="BZ286" s="166"/>
      <c r="CA286" s="166"/>
      <c r="CB286" s="166"/>
      <c r="CC286" s="166"/>
      <c r="CD286" s="177"/>
      <c r="CE286" s="181"/>
      <c r="CF286" s="177"/>
      <c r="CG286" s="179"/>
      <c r="CH286" s="257"/>
      <c r="CI286" s="182"/>
      <c r="CJ286" s="177"/>
      <c r="CK286" s="182"/>
      <c r="CL286" s="177"/>
      <c r="CM286" s="182"/>
      <c r="CN286" s="177"/>
      <c r="CO286" s="182"/>
      <c r="CP286" s="177"/>
      <c r="CQ286" s="178"/>
      <c r="CR286" s="182"/>
      <c r="CS286" s="173"/>
      <c r="CT286" s="65"/>
      <c r="CU286" s="271"/>
    </row>
    <row r="287" ht="60.0" hidden="1" customHeight="1">
      <c r="A287" s="65"/>
      <c r="C287" s="167"/>
      <c r="D287" s="205"/>
      <c r="E287" s="262"/>
      <c r="F287" s="170"/>
      <c r="G287" s="170"/>
      <c r="H287" s="170"/>
      <c r="I287" s="170"/>
      <c r="J287" s="170"/>
      <c r="K287" s="171"/>
      <c r="L287" s="171"/>
      <c r="M287" s="171"/>
      <c r="N287" s="209"/>
      <c r="O287" s="172">
        <f t="shared" si="52"/>
        <v>0</v>
      </c>
      <c r="P287" s="166"/>
      <c r="Q287" s="173"/>
      <c r="R287" s="65"/>
      <c r="S287" s="173"/>
      <c r="T287" s="173"/>
      <c r="U287" s="166"/>
      <c r="V287" s="166"/>
      <c r="W287" s="65"/>
      <c r="X287" s="66"/>
      <c r="Y287" s="173"/>
      <c r="Z287" s="166"/>
      <c r="AA287" s="174"/>
      <c r="AB287" s="175"/>
      <c r="AC287" s="175"/>
      <c r="AD287" s="175"/>
      <c r="AE287" s="175"/>
      <c r="AF287" s="175"/>
      <c r="AG287" s="175"/>
      <c r="AH287" s="175"/>
      <c r="AI287" s="176"/>
      <c r="AJ287" s="177"/>
      <c r="AK287" s="178"/>
      <c r="AL287" s="178"/>
      <c r="AM287" s="178"/>
      <c r="AN287" s="178"/>
      <c r="AO287" s="179"/>
      <c r="AP287" s="64"/>
      <c r="AQ287" s="65"/>
      <c r="AR287" s="65"/>
      <c r="AS287" s="65"/>
      <c r="AT287" s="173"/>
      <c r="AU287" s="177"/>
      <c r="AV287" s="178"/>
      <c r="AW287" s="178"/>
      <c r="AX287" s="179"/>
      <c r="AZ287" s="166"/>
      <c r="BA287" s="177"/>
      <c r="BB287" s="178"/>
      <c r="BC287" s="178"/>
      <c r="BD287" s="178"/>
      <c r="BE287" s="178"/>
      <c r="BF287" s="178"/>
      <c r="BG287" s="178"/>
      <c r="BH287" s="178"/>
      <c r="BI287" s="179"/>
      <c r="BJ287" s="180"/>
      <c r="BK287" s="178"/>
      <c r="BL287" s="178"/>
      <c r="BM287" s="178"/>
      <c r="BN287" s="178"/>
      <c r="BO287" s="181"/>
      <c r="BP287" s="166"/>
      <c r="BQ287" s="177"/>
      <c r="BR287" s="178"/>
      <c r="BS287" s="179"/>
      <c r="BU287" s="166"/>
      <c r="BV287" s="166"/>
      <c r="BW287" s="166"/>
      <c r="BX287" s="166"/>
      <c r="BY287" s="166"/>
      <c r="BZ287" s="166"/>
      <c r="CA287" s="166"/>
      <c r="CB287" s="166"/>
      <c r="CC287" s="166"/>
      <c r="CD287" s="177"/>
      <c r="CE287" s="181"/>
      <c r="CF287" s="177"/>
      <c r="CG287" s="179"/>
      <c r="CH287" s="257"/>
      <c r="CI287" s="182"/>
      <c r="CJ287" s="177"/>
      <c r="CK287" s="182"/>
      <c r="CL287" s="177"/>
      <c r="CM287" s="182"/>
      <c r="CN287" s="177"/>
      <c r="CO287" s="182"/>
      <c r="CP287" s="177"/>
      <c r="CQ287" s="178"/>
      <c r="CR287" s="182"/>
      <c r="CS287" s="173"/>
      <c r="CT287" s="65"/>
      <c r="CU287" s="271"/>
    </row>
    <row r="288" ht="60.0" hidden="1" customHeight="1">
      <c r="A288" s="65"/>
      <c r="C288" s="167"/>
      <c r="D288" s="205"/>
      <c r="E288" s="262"/>
      <c r="F288" s="170"/>
      <c r="G288" s="170"/>
      <c r="H288" s="170"/>
      <c r="I288" s="170"/>
      <c r="J288" s="170"/>
      <c r="K288" s="171"/>
      <c r="L288" s="171"/>
      <c r="M288" s="171"/>
      <c r="N288" s="209"/>
      <c r="O288" s="172">
        <f t="shared" si="52"/>
        <v>0</v>
      </c>
      <c r="P288" s="166"/>
      <c r="Q288" s="173"/>
      <c r="R288" s="65"/>
      <c r="S288" s="173"/>
      <c r="T288" s="173"/>
      <c r="U288" s="166"/>
      <c r="V288" s="166"/>
      <c r="W288" s="65"/>
      <c r="X288" s="66"/>
      <c r="Y288" s="173"/>
      <c r="Z288" s="166"/>
      <c r="AA288" s="174"/>
      <c r="AB288" s="175"/>
      <c r="AC288" s="175"/>
      <c r="AD288" s="175"/>
      <c r="AE288" s="175"/>
      <c r="AF288" s="175"/>
      <c r="AG288" s="175"/>
      <c r="AH288" s="175"/>
      <c r="AI288" s="176"/>
      <c r="AJ288" s="177"/>
      <c r="AK288" s="178"/>
      <c r="AL288" s="178"/>
      <c r="AM288" s="178"/>
      <c r="AN288" s="178"/>
      <c r="AO288" s="179"/>
      <c r="AP288" s="64"/>
      <c r="AQ288" s="65"/>
      <c r="AR288" s="65"/>
      <c r="AS288" s="65"/>
      <c r="AT288" s="173"/>
      <c r="AU288" s="177"/>
      <c r="AV288" s="178"/>
      <c r="AW288" s="178"/>
      <c r="AX288" s="179"/>
      <c r="AZ288" s="166"/>
      <c r="BA288" s="177"/>
      <c r="BB288" s="178"/>
      <c r="BC288" s="178"/>
      <c r="BD288" s="178"/>
      <c r="BE288" s="178"/>
      <c r="BF288" s="178"/>
      <c r="BG288" s="178"/>
      <c r="BH288" s="178"/>
      <c r="BI288" s="179"/>
      <c r="BJ288" s="180"/>
      <c r="BK288" s="178"/>
      <c r="BL288" s="178"/>
      <c r="BM288" s="178"/>
      <c r="BN288" s="178"/>
      <c r="BO288" s="181"/>
      <c r="BP288" s="166"/>
      <c r="BQ288" s="177"/>
      <c r="BR288" s="178"/>
      <c r="BS288" s="179"/>
      <c r="BU288" s="166"/>
      <c r="BV288" s="166"/>
      <c r="BW288" s="166"/>
      <c r="BX288" s="166"/>
      <c r="BY288" s="166"/>
      <c r="BZ288" s="166"/>
      <c r="CA288" s="166"/>
      <c r="CB288" s="166"/>
      <c r="CC288" s="166"/>
      <c r="CD288" s="177"/>
      <c r="CE288" s="181"/>
      <c r="CF288" s="177"/>
      <c r="CG288" s="179"/>
      <c r="CH288" s="257"/>
      <c r="CI288" s="182"/>
      <c r="CJ288" s="177"/>
      <c r="CK288" s="182"/>
      <c r="CL288" s="177"/>
      <c r="CM288" s="182"/>
      <c r="CN288" s="177"/>
      <c r="CO288" s="182"/>
      <c r="CP288" s="177"/>
      <c r="CQ288" s="178"/>
      <c r="CR288" s="182"/>
      <c r="CS288" s="173"/>
      <c r="CT288" s="65"/>
      <c r="CU288" s="271"/>
    </row>
    <row r="289" ht="60.0" hidden="1" customHeight="1">
      <c r="A289" s="65"/>
      <c r="C289" s="167"/>
      <c r="D289" s="205"/>
      <c r="E289" s="262"/>
      <c r="F289" s="170"/>
      <c r="G289" s="170"/>
      <c r="H289" s="170"/>
      <c r="I289" s="170"/>
      <c r="J289" s="170"/>
      <c r="K289" s="171"/>
      <c r="L289" s="171"/>
      <c r="M289" s="171"/>
      <c r="N289" s="209"/>
      <c r="O289" s="172">
        <f t="shared" ref="O289:O292" si="53">IF(AND(M289&gt;=20,M289&lt;&gt;"m",RIGHT(K289,3)="Lec"),1,IF(AND(M289&gt;=20,M289&lt;&gt;"m",OR(RIGHT(K289,3)="Lab",RIGHT(K289,3)="Tut")),0.5,IF(AND(M289&gt;=20,M289&lt;&gt;"m",RIGHT(K289,2)="TL"),0.75,0)))</f>
        <v>0</v>
      </c>
      <c r="P289" s="166"/>
      <c r="Q289" s="173"/>
      <c r="R289" s="65"/>
      <c r="S289" s="173"/>
      <c r="T289" s="173"/>
      <c r="U289" s="166"/>
      <c r="V289" s="166"/>
      <c r="W289" s="65"/>
      <c r="X289" s="66"/>
      <c r="Y289" s="173"/>
      <c r="Z289" s="166"/>
      <c r="AA289" s="174"/>
      <c r="AB289" s="175"/>
      <c r="AC289" s="175"/>
      <c r="AD289" s="175"/>
      <c r="AE289" s="175"/>
      <c r="AF289" s="175"/>
      <c r="AG289" s="175"/>
      <c r="AH289" s="175"/>
      <c r="AI289" s="176"/>
      <c r="AJ289" s="177"/>
      <c r="AK289" s="178"/>
      <c r="AL289" s="178"/>
      <c r="AM289" s="178"/>
      <c r="AN289" s="178"/>
      <c r="AO289" s="179"/>
      <c r="AP289" s="64"/>
      <c r="AQ289" s="65"/>
      <c r="AR289" s="65"/>
      <c r="AS289" s="65"/>
      <c r="AT289" s="173"/>
      <c r="AU289" s="177"/>
      <c r="AV289" s="178"/>
      <c r="AW289" s="178"/>
      <c r="AX289" s="179"/>
      <c r="AZ289" s="166"/>
      <c r="BA289" s="177"/>
      <c r="BB289" s="178"/>
      <c r="BC289" s="178"/>
      <c r="BD289" s="178"/>
      <c r="BE289" s="178"/>
      <c r="BF289" s="178"/>
      <c r="BG289" s="178"/>
      <c r="BH289" s="178"/>
      <c r="BI289" s="179"/>
      <c r="BJ289" s="180"/>
      <c r="BK289" s="178"/>
      <c r="BL289" s="178"/>
      <c r="BM289" s="178"/>
      <c r="BN289" s="178"/>
      <c r="BO289" s="181"/>
      <c r="BP289" s="166"/>
      <c r="BQ289" s="177"/>
      <c r="BR289" s="178"/>
      <c r="BS289" s="179"/>
      <c r="BU289" s="166"/>
      <c r="BV289" s="166"/>
      <c r="BW289" s="166"/>
      <c r="BX289" s="166"/>
      <c r="BY289" s="166"/>
      <c r="BZ289" s="166"/>
      <c r="CA289" s="166"/>
      <c r="CB289" s="166"/>
      <c r="CC289" s="166"/>
      <c r="CD289" s="177"/>
      <c r="CE289" s="181"/>
      <c r="CF289" s="177"/>
      <c r="CG289" s="179"/>
      <c r="CH289" s="257"/>
      <c r="CI289" s="182"/>
      <c r="CJ289" s="177"/>
      <c r="CK289" s="182"/>
      <c r="CL289" s="177"/>
      <c r="CM289" s="182"/>
      <c r="CN289" s="177"/>
      <c r="CO289" s="182"/>
      <c r="CP289" s="177"/>
      <c r="CQ289" s="178"/>
      <c r="CR289" s="182"/>
      <c r="CS289" s="173"/>
      <c r="CT289" s="65"/>
      <c r="CU289" s="271"/>
    </row>
    <row r="290" ht="60.0" hidden="1" customHeight="1">
      <c r="A290" s="65"/>
      <c r="C290" s="167"/>
      <c r="D290" s="205"/>
      <c r="E290" s="262"/>
      <c r="F290" s="170"/>
      <c r="G290" s="170"/>
      <c r="H290" s="170"/>
      <c r="I290" s="170"/>
      <c r="J290" s="170"/>
      <c r="K290" s="171"/>
      <c r="L290" s="171"/>
      <c r="M290" s="171"/>
      <c r="N290" s="209"/>
      <c r="O290" s="172">
        <f t="shared" si="53"/>
        <v>0</v>
      </c>
      <c r="P290" s="166"/>
      <c r="Q290" s="173"/>
      <c r="R290" s="65"/>
      <c r="S290" s="173"/>
      <c r="T290" s="173"/>
      <c r="U290" s="166"/>
      <c r="V290" s="166"/>
      <c r="W290" s="65"/>
      <c r="X290" s="66"/>
      <c r="Y290" s="173"/>
      <c r="Z290" s="166"/>
      <c r="AA290" s="174"/>
      <c r="AB290" s="175"/>
      <c r="AC290" s="175"/>
      <c r="AD290" s="175"/>
      <c r="AE290" s="175"/>
      <c r="AF290" s="175"/>
      <c r="AG290" s="175"/>
      <c r="AH290" s="175"/>
      <c r="AI290" s="176"/>
      <c r="AJ290" s="177"/>
      <c r="AK290" s="178"/>
      <c r="AL290" s="178"/>
      <c r="AM290" s="178"/>
      <c r="AN290" s="178"/>
      <c r="AO290" s="179"/>
      <c r="AP290" s="64"/>
      <c r="AQ290" s="65"/>
      <c r="AR290" s="65"/>
      <c r="AS290" s="65"/>
      <c r="AT290" s="173"/>
      <c r="AU290" s="177"/>
      <c r="AV290" s="178"/>
      <c r="AW290" s="178"/>
      <c r="AX290" s="179"/>
      <c r="AZ290" s="166"/>
      <c r="BA290" s="177"/>
      <c r="BB290" s="178"/>
      <c r="BC290" s="178"/>
      <c r="BD290" s="178"/>
      <c r="BE290" s="178"/>
      <c r="BF290" s="178"/>
      <c r="BG290" s="178"/>
      <c r="BH290" s="178"/>
      <c r="BI290" s="179"/>
      <c r="BJ290" s="180"/>
      <c r="BK290" s="178"/>
      <c r="BL290" s="178"/>
      <c r="BM290" s="178"/>
      <c r="BN290" s="178"/>
      <c r="BO290" s="181"/>
      <c r="BP290" s="166"/>
      <c r="BQ290" s="177"/>
      <c r="BR290" s="178"/>
      <c r="BS290" s="179"/>
      <c r="BU290" s="166"/>
      <c r="BV290" s="166"/>
      <c r="BW290" s="166"/>
      <c r="BX290" s="166"/>
      <c r="BY290" s="166"/>
      <c r="BZ290" s="166"/>
      <c r="CA290" s="166"/>
      <c r="CB290" s="166"/>
      <c r="CC290" s="166"/>
      <c r="CD290" s="177"/>
      <c r="CE290" s="181"/>
      <c r="CF290" s="177"/>
      <c r="CG290" s="179"/>
      <c r="CH290" s="257"/>
      <c r="CI290" s="182"/>
      <c r="CJ290" s="177"/>
      <c r="CK290" s="182"/>
      <c r="CL290" s="177"/>
      <c r="CM290" s="182"/>
      <c r="CN290" s="177"/>
      <c r="CO290" s="182"/>
      <c r="CP290" s="177"/>
      <c r="CQ290" s="178"/>
      <c r="CR290" s="182"/>
      <c r="CS290" s="173"/>
      <c r="CT290" s="65"/>
      <c r="CU290" s="271"/>
    </row>
    <row r="291" ht="60.0" hidden="1" customHeight="1">
      <c r="A291" s="65"/>
      <c r="C291" s="167"/>
      <c r="D291" s="205"/>
      <c r="E291" s="262"/>
      <c r="F291" s="170"/>
      <c r="G291" s="170"/>
      <c r="H291" s="170"/>
      <c r="I291" s="170"/>
      <c r="J291" s="170"/>
      <c r="K291" s="171"/>
      <c r="L291" s="171"/>
      <c r="M291" s="171"/>
      <c r="N291" s="209"/>
      <c r="O291" s="172">
        <f t="shared" si="53"/>
        <v>0</v>
      </c>
      <c r="P291" s="166"/>
      <c r="Q291" s="173"/>
      <c r="R291" s="65"/>
      <c r="S291" s="173"/>
      <c r="T291" s="173"/>
      <c r="U291" s="166"/>
      <c r="V291" s="166"/>
      <c r="W291" s="65"/>
      <c r="X291" s="66"/>
      <c r="Y291" s="173"/>
      <c r="Z291" s="166"/>
      <c r="AA291" s="174"/>
      <c r="AB291" s="175"/>
      <c r="AC291" s="175"/>
      <c r="AD291" s="175"/>
      <c r="AE291" s="175"/>
      <c r="AF291" s="175"/>
      <c r="AG291" s="175"/>
      <c r="AH291" s="175"/>
      <c r="AI291" s="176"/>
      <c r="AJ291" s="177"/>
      <c r="AK291" s="178"/>
      <c r="AL291" s="178"/>
      <c r="AM291" s="178"/>
      <c r="AN291" s="178"/>
      <c r="AO291" s="179"/>
      <c r="AP291" s="64"/>
      <c r="AQ291" s="65"/>
      <c r="AR291" s="65"/>
      <c r="AS291" s="65"/>
      <c r="AT291" s="173"/>
      <c r="AU291" s="177"/>
      <c r="AV291" s="178"/>
      <c r="AW291" s="178"/>
      <c r="AX291" s="179"/>
      <c r="AZ291" s="166"/>
      <c r="BA291" s="177"/>
      <c r="BB291" s="178"/>
      <c r="BC291" s="178"/>
      <c r="BD291" s="178"/>
      <c r="BE291" s="178"/>
      <c r="BF291" s="178"/>
      <c r="BG291" s="178"/>
      <c r="BH291" s="178"/>
      <c r="BI291" s="179"/>
      <c r="BJ291" s="180"/>
      <c r="BK291" s="178"/>
      <c r="BL291" s="178"/>
      <c r="BM291" s="178"/>
      <c r="BN291" s="178"/>
      <c r="BO291" s="181"/>
      <c r="BP291" s="166"/>
      <c r="BQ291" s="177"/>
      <c r="BR291" s="178"/>
      <c r="BS291" s="179"/>
      <c r="BU291" s="166"/>
      <c r="BV291" s="166"/>
      <c r="BW291" s="166"/>
      <c r="BX291" s="166"/>
      <c r="BY291" s="166"/>
      <c r="BZ291" s="166"/>
      <c r="CA291" s="166"/>
      <c r="CB291" s="166"/>
      <c r="CC291" s="166"/>
      <c r="CD291" s="177"/>
      <c r="CE291" s="181"/>
      <c r="CF291" s="177"/>
      <c r="CG291" s="179"/>
      <c r="CH291" s="257"/>
      <c r="CI291" s="182"/>
      <c r="CJ291" s="177"/>
      <c r="CK291" s="182"/>
      <c r="CL291" s="177"/>
      <c r="CM291" s="182"/>
      <c r="CN291" s="177"/>
      <c r="CO291" s="182"/>
      <c r="CP291" s="177"/>
      <c r="CQ291" s="178"/>
      <c r="CR291" s="182"/>
      <c r="CS291" s="173"/>
      <c r="CT291" s="65"/>
      <c r="CU291" s="271"/>
    </row>
    <row r="292" ht="60.0" hidden="1" customHeight="1">
      <c r="A292" s="65"/>
      <c r="C292" s="167"/>
      <c r="D292" s="205"/>
      <c r="E292" s="262"/>
      <c r="F292" s="170"/>
      <c r="G292" s="170"/>
      <c r="H292" s="170"/>
      <c r="I292" s="170"/>
      <c r="J292" s="170"/>
      <c r="K292" s="171"/>
      <c r="L292" s="171"/>
      <c r="M292" s="171"/>
      <c r="N292" s="209"/>
      <c r="O292" s="172">
        <f t="shared" si="53"/>
        <v>0</v>
      </c>
      <c r="P292" s="166"/>
      <c r="Q292" s="173"/>
      <c r="R292" s="65"/>
      <c r="S292" s="173"/>
      <c r="T292" s="173"/>
      <c r="U292" s="166"/>
      <c r="V292" s="166"/>
      <c r="W292" s="65"/>
      <c r="X292" s="66"/>
      <c r="Y292" s="173"/>
      <c r="Z292" s="166"/>
      <c r="AA292" s="174"/>
      <c r="AB292" s="175"/>
      <c r="AC292" s="175"/>
      <c r="AD292" s="175"/>
      <c r="AE292" s="175"/>
      <c r="AF292" s="175"/>
      <c r="AG292" s="175"/>
      <c r="AH292" s="175"/>
      <c r="AI292" s="176"/>
      <c r="AJ292" s="177"/>
      <c r="AK292" s="178"/>
      <c r="AL292" s="178"/>
      <c r="AM292" s="178"/>
      <c r="AN292" s="178"/>
      <c r="AO292" s="179"/>
      <c r="AP292" s="64"/>
      <c r="AQ292" s="65"/>
      <c r="AR292" s="65"/>
      <c r="AS292" s="65"/>
      <c r="AT292" s="173"/>
      <c r="AU292" s="177"/>
      <c r="AV292" s="178"/>
      <c r="AW292" s="178"/>
      <c r="AX292" s="179"/>
      <c r="AZ292" s="166"/>
      <c r="BA292" s="177"/>
      <c r="BB292" s="178"/>
      <c r="BC292" s="178"/>
      <c r="BD292" s="178"/>
      <c r="BE292" s="178"/>
      <c r="BF292" s="178"/>
      <c r="BG292" s="178"/>
      <c r="BH292" s="178"/>
      <c r="BI292" s="179"/>
      <c r="BJ292" s="180"/>
      <c r="BK292" s="178"/>
      <c r="BL292" s="178"/>
      <c r="BM292" s="178"/>
      <c r="BN292" s="178"/>
      <c r="BO292" s="181"/>
      <c r="BP292" s="166"/>
      <c r="BQ292" s="177"/>
      <c r="BR292" s="178"/>
      <c r="BS292" s="179"/>
      <c r="BU292" s="166"/>
      <c r="BV292" s="166"/>
      <c r="BW292" s="166"/>
      <c r="BX292" s="166"/>
      <c r="BY292" s="166"/>
      <c r="BZ292" s="166"/>
      <c r="CA292" s="166"/>
      <c r="CB292" s="166"/>
      <c r="CC292" s="166"/>
      <c r="CD292" s="177"/>
      <c r="CE292" s="181"/>
      <c r="CF292" s="177"/>
      <c r="CG292" s="179"/>
      <c r="CH292" s="257"/>
      <c r="CI292" s="182"/>
      <c r="CJ292" s="177"/>
      <c r="CK292" s="182"/>
      <c r="CL292" s="177"/>
      <c r="CM292" s="182"/>
      <c r="CN292" s="177"/>
      <c r="CO292" s="182"/>
      <c r="CP292" s="177"/>
      <c r="CQ292" s="178"/>
      <c r="CR292" s="182"/>
      <c r="CS292" s="173"/>
      <c r="CT292" s="65"/>
      <c r="CU292" s="271"/>
    </row>
    <row r="293" ht="60.0" hidden="1" customHeight="1">
      <c r="A293" s="89"/>
      <c r="B293" s="6"/>
      <c r="C293" s="183"/>
      <c r="D293" s="210"/>
      <c r="E293" s="263"/>
      <c r="F293" s="186"/>
      <c r="G293" s="186"/>
      <c r="H293" s="186"/>
      <c r="I293" s="186"/>
      <c r="J293" s="186"/>
      <c r="K293" s="187"/>
      <c r="L293" s="187"/>
      <c r="M293" s="187"/>
      <c r="N293" s="214"/>
      <c r="O293" s="188">
        <f t="shared" ref="O293:O315" si="54">IF(AND(M293&lt;&gt;0,M293&lt;&gt;"m",M293&lt;&gt;"",RIGHT(K293,3)="Lec"),1,IF(AND(M293&lt;&gt;0,M293&lt;&gt;"m",M293&lt;&gt;"",OR(RIGHT(K293,3)="Lab",RIGHT(K293,3)="Tut")),0.5,IF(AND(M293&lt;&gt;0,M293&lt;&gt;"m",M293&lt;&gt;"",RIGHT(K293,2)="TL"),0.75,0)))</f>
        <v>0</v>
      </c>
      <c r="P293" s="63"/>
      <c r="Q293" s="69"/>
      <c r="R293" s="89"/>
      <c r="S293" s="69"/>
      <c r="T293" s="69"/>
      <c r="U293" s="63"/>
      <c r="V293" s="63"/>
      <c r="W293" s="89"/>
      <c r="X293" s="68"/>
      <c r="Y293" s="69"/>
      <c r="Z293" s="63"/>
      <c r="AA293" s="189"/>
      <c r="AB293" s="190"/>
      <c r="AC293" s="190"/>
      <c r="AD293" s="190"/>
      <c r="AE293" s="190"/>
      <c r="AF293" s="190"/>
      <c r="AG293" s="190"/>
      <c r="AH293" s="190"/>
      <c r="AI293" s="191"/>
      <c r="AJ293" s="192"/>
      <c r="AK293" s="193"/>
      <c r="AL293" s="193"/>
      <c r="AM293" s="193"/>
      <c r="AN293" s="193"/>
      <c r="AO293" s="194"/>
      <c r="AP293" s="103"/>
      <c r="AQ293" s="89"/>
      <c r="AR293" s="89"/>
      <c r="AS293" s="89"/>
      <c r="AT293" s="69"/>
      <c r="AU293" s="192"/>
      <c r="AV293" s="193"/>
      <c r="AW293" s="193"/>
      <c r="AX293" s="194"/>
      <c r="AY293" s="6"/>
      <c r="AZ293" s="63"/>
      <c r="BA293" s="192"/>
      <c r="BB293" s="193"/>
      <c r="BC293" s="193"/>
      <c r="BD293" s="193"/>
      <c r="BE293" s="193"/>
      <c r="BF293" s="193"/>
      <c r="BG293" s="193"/>
      <c r="BH293" s="193"/>
      <c r="BI293" s="194"/>
      <c r="BJ293" s="195"/>
      <c r="BK293" s="193"/>
      <c r="BL293" s="193"/>
      <c r="BM293" s="193"/>
      <c r="BN293" s="193"/>
      <c r="BO293" s="196"/>
      <c r="BP293" s="63"/>
      <c r="BQ293" s="192"/>
      <c r="BR293" s="193"/>
      <c r="BS293" s="194"/>
      <c r="BT293" s="6"/>
      <c r="BU293" s="63"/>
      <c r="BV293" s="63"/>
      <c r="BW293" s="63"/>
      <c r="BX293" s="63"/>
      <c r="BY293" s="63"/>
      <c r="BZ293" s="63"/>
      <c r="CA293" s="63"/>
      <c r="CB293" s="63"/>
      <c r="CC293" s="63"/>
      <c r="CD293" s="192"/>
      <c r="CE293" s="196"/>
      <c r="CF293" s="192"/>
      <c r="CG293" s="194"/>
      <c r="CH293" s="259"/>
      <c r="CI293" s="197"/>
      <c r="CJ293" s="192"/>
      <c r="CK293" s="197"/>
      <c r="CL293" s="192"/>
      <c r="CM293" s="197"/>
      <c r="CN293" s="192"/>
      <c r="CO293" s="197"/>
      <c r="CP293" s="192"/>
      <c r="CQ293" s="193"/>
      <c r="CR293" s="197"/>
      <c r="CS293" s="69"/>
      <c r="CT293" s="89"/>
      <c r="CU293" s="272"/>
    </row>
    <row r="294" ht="56.25" hidden="1" customHeight="1">
      <c r="A294" s="125">
        <v>27.0</v>
      </c>
      <c r="B294" s="199"/>
      <c r="C294" s="127"/>
      <c r="D294" s="128"/>
      <c r="E294" s="260"/>
      <c r="F294" s="261"/>
      <c r="G294" s="261"/>
      <c r="H294" s="261"/>
      <c r="I294" s="261"/>
      <c r="J294" s="170"/>
      <c r="K294" s="219"/>
      <c r="L294" s="219"/>
      <c r="M294" s="219"/>
      <c r="N294" s="220"/>
      <c r="O294" s="132">
        <f t="shared" si="54"/>
        <v>0</v>
      </c>
      <c r="P294" s="133">
        <f>COUNTIF(K294:K304,"TL")*0.75+COUNTIF(K294:K304,"Lec")*1+COUNTIF(K294:K304,"Lab")*0.5</f>
        <v>0</v>
      </c>
      <c r="Q294" s="134">
        <f>SUM((IF(LEFT(K294,1)="E",O294,0)),(IF(LEFT(K295,1)="E",O295,0)),(IF(LEFT(K296,1)="E",O296,0)),(IF(LEFT(K297,1)="E",O297,0)),(IF(LEFT(K298,1)="E",O298,0)),(IF(LEFT(K299,1)="E",O299,0)),(IF(LEFT(K300,1)="E",O300,0)),(IF(LEFT(K301,1)="E",O301,0)),(IF(LEFT(K302,1)="E",O302,0)),(IF(LEFT(K303,1)="E",O303,0)),(IF(LEFT(K304,1)="E",O304,0)))</f>
        <v>0</v>
      </c>
      <c r="R294" s="135">
        <f>SUM(IF(M300&lt;20,IF(K300="Plec",-1,IF(K300="PTL",-0.75,IF(K300="Plab",-0.5,0))),0),IF(M301&lt;20,IF(K301="Plec",-1,IF(K301="PTL",-0.75,IF(K301="Plab",-0.5,0))),0),IF(M302&lt;20,IF(K302="Plec",-1,IF(K302="PTL",-0.75,IF(K302="Plab",-0.5,0))),0),IF(M303&lt;20,IF(K303="Plec",-1,IF(K303="PTL",-0.75,IF(K303="Plab",-0.5,0))),0))</f>
        <v>0</v>
      </c>
      <c r="S294" s="134">
        <f>SUM(P294:R304)</f>
        <v>0</v>
      </c>
      <c r="T294" s="136">
        <f>SUM(IF(M294="M",IF(OR(K294="lec",K294="plec",K294="slec"),1,IF(OR(K294="lab",K294="plab",K294="slab",K294="tut",K294="ptut",K294="stut"),0.5,IF(OR(K294="TL",K294="pTL",K294="STL"),0.75,0))),0),IF(M295="M",IF(OR(K295="lec",K295="plec",K295="slec"),1,IF(OR(K295="lab",K295="plab",K295="slab",K295="tut",K295="ptut",K295="stut"),0.5,IF(OR(K295="TL",K295="pTL",K295="STL"),0.75,0))),0),IF(M296="M",IF(OR(K296="lec",K296="plec",K296="slec"),1,IF(OR(K296="lab",K296="plab",K296="slab",K296="tut",K296="ptut",K296="stut"),0.5,IF(OR(K296="TL",K296="pTL",K296="STL"),0.75,0))),0),IF(M297="M",IF(OR(K297="lec",K297="plec",K297="slec"),1,IF(OR(K297="lab",K297="plab",K297="slab",K297="tut",K297="ptut",K297="stut"),0.5,IF(OR(K297="TL",K297="pTL",K297="STL"),0.75,0))),0),IF(M298="M",IF(OR(K298="lec",K298="plec",K298="slec"),1,IF(OR(K298="lab",K298="plab",K298="slab",K298="tut",K298="ptut",K298="stut"),0.5,IF(OR(K298="TL",K298="pTL",K298="STL"),0.75,0))),0),IF(M299="M",IF(OR(K299="lec",K299="plec",K299="slec"),1,IF(OR(K299="lab",K299="plab",K299="slab",K299="tut",K299="ptut",K299="stut"),0.5,IF(OR(K299="TL",K299="pTL",K299="STL"),0.75,0))),0),IF(M300="M",IF(OR(K300="lec",K300="plec",K300="slec"),1,IF(OR(K300="lab",K300="plab",K300="slab",K300="tut",K300="ptut",K300="stut"),0.5,IF(OR(K300="TL",K300="pTL",K300="STL"),0.75,0))),0),IF(M301="M",IF(OR(K301="lec",K301="plec",K301="slec"),1,IF(OR(K301="lab",K301="plab",K301="slab",K301="tut",K301="ptut",K301="stut"),0.5,IF(OR(K301="TL",K301="pTL",K301="STL"),0.75,0))),0),IF(M302="M",IF(OR(K302="lec",K302="plec",K302="slec"),1,IF(OR(K302="lab",K302="plab",K302="slab",K302="tut",K302="ptut",K302="stut"),0.5,IF(OR(K302="TL",K302="pTL",K302="STL"),0.75,0))),0),IF(M303="M",IF(OR(K303="lec",K303="plec",K303="slec"),1,IF(OR(K303="lab",K303="plab",K303="slab",K303="tut",K303="ptut",K303="stut"),0.5,IF(OR(K303="TL",K303="pTL",K303="STL"),0.75,0))),0),IF(M304="M",IF(OR(K304="lec",K304="plec",K304="slec"),1,IF(OR(K304="lab",K304="plab",K304="slab",K304="tut",K304="ptut",K304="stut"),0.5,IF(OR(K304="TL",K304="pTL",K304="STL"),0.75,0))),0))</f>
        <v>0</v>
      </c>
      <c r="U294" s="137"/>
      <c r="V294" s="133"/>
      <c r="W294" s="138"/>
      <c r="X294" s="139">
        <f>S294-(T294+U294+V294+W294)</f>
        <v>0</v>
      </c>
      <c r="Y294" s="134" t="str">
        <f>CONCATENATE(SUM(O294:O304),"(",SUM(O294:O304)-X294,")")</f>
        <v>0(0)</v>
      </c>
      <c r="Z294" s="140"/>
      <c r="AA294" s="141"/>
      <c r="AB294" s="142"/>
      <c r="AC294" s="142"/>
      <c r="AD294" s="142"/>
      <c r="AE294" s="142"/>
      <c r="AF294" s="142"/>
      <c r="AG294" s="142"/>
      <c r="AH294" s="142"/>
      <c r="AI294" s="143"/>
      <c r="AJ294" s="144"/>
      <c r="AK294" s="145"/>
      <c r="AL294" s="145"/>
      <c r="AM294" s="145"/>
      <c r="AN294" s="145"/>
      <c r="AO294" s="146"/>
      <c r="AP294" s="147">
        <f>SUM(SUM(O294:O304),SUM(AI294:AI304)/2,AM294)</f>
        <v>0</v>
      </c>
      <c r="AQ294" s="148"/>
      <c r="AR294" s="148">
        <f>AP294*AQ294</f>
        <v>0</v>
      </c>
      <c r="AS294" s="148">
        <f>CT294</f>
        <v>0</v>
      </c>
      <c r="AT294" s="149">
        <f>AR294*0.75+AS294*0.25</f>
        <v>0</v>
      </c>
      <c r="AU294" s="150"/>
      <c r="AV294" s="151"/>
      <c r="AW294" s="151"/>
      <c r="AX294" s="152"/>
      <c r="AY294" s="153"/>
      <c r="AZ294" s="140"/>
      <c r="BA294" s="150"/>
      <c r="BB294" s="151"/>
      <c r="BC294" s="151"/>
      <c r="BD294" s="151"/>
      <c r="BE294" s="151"/>
      <c r="BF294" s="151"/>
      <c r="BG294" s="151"/>
      <c r="BH294" s="151"/>
      <c r="BI294" s="152"/>
      <c r="BJ294" s="154"/>
      <c r="BK294" s="151"/>
      <c r="BL294" s="151"/>
      <c r="BM294" s="151"/>
      <c r="BN294" s="151"/>
      <c r="BO294" s="155"/>
      <c r="BP294" s="140"/>
      <c r="BQ294" s="156"/>
      <c r="BR294" s="157"/>
      <c r="BS294" s="158"/>
      <c r="BT294" s="153"/>
      <c r="BU294" s="140"/>
      <c r="BV294" s="140"/>
      <c r="BW294" s="140"/>
      <c r="BX294" s="140"/>
      <c r="BY294" s="140"/>
      <c r="BZ294" s="140"/>
      <c r="CA294" s="140"/>
      <c r="CB294" s="140"/>
      <c r="CC294" s="140"/>
      <c r="CD294" s="150"/>
      <c r="CE294" s="155"/>
      <c r="CF294" s="150"/>
      <c r="CG294" s="152"/>
      <c r="CH294" s="252"/>
      <c r="CI294" s="160"/>
      <c r="CJ294" s="159"/>
      <c r="CK294" s="160"/>
      <c r="CL294" s="159"/>
      <c r="CM294" s="160"/>
      <c r="CN294" s="159"/>
      <c r="CO294" s="160"/>
      <c r="CP294" s="159"/>
      <c r="CQ294" s="162"/>
      <c r="CR294" s="160"/>
      <c r="CS294" s="253">
        <f>SUM(IF(AU294&lt;0,ABS(AU294),0),IF(AZ294&lt;0,ABS(AZ294),0),ABS(CI294),ABS(CK294),ABS(CM294),ABS(CO294),ABS(CQ294),ABS(CR294))</f>
        <v>0</v>
      </c>
      <c r="CT294" s="254">
        <f>SUM(AU294,AV294,AW294,AX294/400,AY294,AZ294,BG294,BH294*0.5,BI294*0.25,BJ294,BK294,BL294,BM294,BN294,BO294,BP294,BR294/20,BS294/100,BT294/60,BU294,BV294,BW294,BX294/5,SUM(BY294:CC304)/3,CE294,CG294/3,CI294,CK294,CM294,CO294,CQ294,CR294)</f>
        <v>0</v>
      </c>
      <c r="CU294" s="255"/>
    </row>
    <row r="295" ht="60.0" hidden="1" customHeight="1">
      <c r="A295" s="65"/>
      <c r="C295" s="167"/>
      <c r="D295" s="205"/>
      <c r="E295" s="262"/>
      <c r="F295" s="170"/>
      <c r="G295" s="170"/>
      <c r="H295" s="170"/>
      <c r="I295" s="170"/>
      <c r="J295" s="170"/>
      <c r="K295" s="171"/>
      <c r="L295" s="171"/>
      <c r="M295" s="171"/>
      <c r="N295" s="209"/>
      <c r="O295" s="172">
        <f t="shared" si="54"/>
        <v>0</v>
      </c>
      <c r="P295" s="166"/>
      <c r="Q295" s="173"/>
      <c r="R295" s="65"/>
      <c r="S295" s="173"/>
      <c r="T295" s="173"/>
      <c r="U295" s="166"/>
      <c r="V295" s="166"/>
      <c r="W295" s="65"/>
      <c r="X295" s="66"/>
      <c r="Y295" s="173"/>
      <c r="Z295" s="166"/>
      <c r="AA295" s="174"/>
      <c r="AB295" s="175"/>
      <c r="AC295" s="175"/>
      <c r="AD295" s="175"/>
      <c r="AE295" s="175"/>
      <c r="AF295" s="175"/>
      <c r="AG295" s="175"/>
      <c r="AH295" s="175"/>
      <c r="AI295" s="176"/>
      <c r="AJ295" s="177"/>
      <c r="AK295" s="178"/>
      <c r="AL295" s="178"/>
      <c r="AM295" s="178"/>
      <c r="AN295" s="178"/>
      <c r="AO295" s="179"/>
      <c r="AP295" s="64"/>
      <c r="AQ295" s="65"/>
      <c r="AR295" s="65"/>
      <c r="AS295" s="65"/>
      <c r="AT295" s="173"/>
      <c r="AU295" s="177"/>
      <c r="AV295" s="178"/>
      <c r="AW295" s="178"/>
      <c r="AX295" s="179"/>
      <c r="AZ295" s="166"/>
      <c r="BA295" s="177"/>
      <c r="BB295" s="178"/>
      <c r="BC295" s="178"/>
      <c r="BD295" s="178"/>
      <c r="BE295" s="178"/>
      <c r="BF295" s="178"/>
      <c r="BG295" s="178"/>
      <c r="BH295" s="178"/>
      <c r="BI295" s="179"/>
      <c r="BJ295" s="180"/>
      <c r="BK295" s="178"/>
      <c r="BL295" s="178"/>
      <c r="BM295" s="178"/>
      <c r="BN295" s="178"/>
      <c r="BO295" s="181"/>
      <c r="BP295" s="166"/>
      <c r="BQ295" s="177"/>
      <c r="BR295" s="178"/>
      <c r="BS295" s="179"/>
      <c r="BU295" s="166"/>
      <c r="BV295" s="166"/>
      <c r="BW295" s="166"/>
      <c r="BX295" s="166"/>
      <c r="BY295" s="166"/>
      <c r="BZ295" s="166"/>
      <c r="CA295" s="166"/>
      <c r="CB295" s="166"/>
      <c r="CC295" s="166"/>
      <c r="CD295" s="177"/>
      <c r="CE295" s="181"/>
      <c r="CF295" s="177"/>
      <c r="CG295" s="179"/>
      <c r="CH295" s="257"/>
      <c r="CI295" s="182"/>
      <c r="CJ295" s="177"/>
      <c r="CK295" s="182"/>
      <c r="CL295" s="177"/>
      <c r="CM295" s="182"/>
      <c r="CN295" s="177"/>
      <c r="CO295" s="182"/>
      <c r="CP295" s="177"/>
      <c r="CQ295" s="178"/>
      <c r="CR295" s="182"/>
      <c r="CS295" s="173"/>
      <c r="CT295" s="65"/>
      <c r="CU295" s="271"/>
    </row>
    <row r="296" ht="60.0" hidden="1" customHeight="1">
      <c r="A296" s="65"/>
      <c r="C296" s="167"/>
      <c r="D296" s="205"/>
      <c r="E296" s="262"/>
      <c r="F296" s="170"/>
      <c r="G296" s="170"/>
      <c r="H296" s="170"/>
      <c r="I296" s="170"/>
      <c r="J296" s="170"/>
      <c r="K296" s="171"/>
      <c r="L296" s="171"/>
      <c r="M296" s="171"/>
      <c r="N296" s="209"/>
      <c r="O296" s="172">
        <f t="shared" si="54"/>
        <v>0</v>
      </c>
      <c r="P296" s="166"/>
      <c r="Q296" s="173"/>
      <c r="R296" s="65"/>
      <c r="S296" s="173"/>
      <c r="T296" s="173"/>
      <c r="U296" s="166"/>
      <c r="V296" s="166"/>
      <c r="W296" s="65"/>
      <c r="X296" s="66"/>
      <c r="Y296" s="173"/>
      <c r="Z296" s="166"/>
      <c r="AA296" s="174"/>
      <c r="AB296" s="175"/>
      <c r="AC296" s="175"/>
      <c r="AD296" s="175"/>
      <c r="AE296" s="175"/>
      <c r="AF296" s="175"/>
      <c r="AG296" s="175"/>
      <c r="AH296" s="175"/>
      <c r="AI296" s="176"/>
      <c r="AJ296" s="177"/>
      <c r="AK296" s="178"/>
      <c r="AL296" s="178"/>
      <c r="AM296" s="178"/>
      <c r="AN296" s="178"/>
      <c r="AO296" s="179"/>
      <c r="AP296" s="64"/>
      <c r="AQ296" s="65"/>
      <c r="AR296" s="65"/>
      <c r="AS296" s="65"/>
      <c r="AT296" s="173"/>
      <c r="AU296" s="177"/>
      <c r="AV296" s="178"/>
      <c r="AW296" s="178"/>
      <c r="AX296" s="179"/>
      <c r="AZ296" s="166"/>
      <c r="BA296" s="177"/>
      <c r="BB296" s="178"/>
      <c r="BC296" s="178"/>
      <c r="BD296" s="178"/>
      <c r="BE296" s="178"/>
      <c r="BF296" s="178"/>
      <c r="BG296" s="178"/>
      <c r="BH296" s="178"/>
      <c r="BI296" s="179"/>
      <c r="BJ296" s="180"/>
      <c r="BK296" s="178"/>
      <c r="BL296" s="178"/>
      <c r="BM296" s="178"/>
      <c r="BN296" s="178"/>
      <c r="BO296" s="181"/>
      <c r="BP296" s="166"/>
      <c r="BQ296" s="177"/>
      <c r="BR296" s="178"/>
      <c r="BS296" s="179"/>
      <c r="BU296" s="166"/>
      <c r="BV296" s="166"/>
      <c r="BW296" s="166"/>
      <c r="BX296" s="166"/>
      <c r="BY296" s="166"/>
      <c r="BZ296" s="166"/>
      <c r="CA296" s="166"/>
      <c r="CB296" s="166"/>
      <c r="CC296" s="166"/>
      <c r="CD296" s="177"/>
      <c r="CE296" s="181"/>
      <c r="CF296" s="177"/>
      <c r="CG296" s="179"/>
      <c r="CH296" s="257"/>
      <c r="CI296" s="182"/>
      <c r="CJ296" s="177"/>
      <c r="CK296" s="182"/>
      <c r="CL296" s="177"/>
      <c r="CM296" s="182"/>
      <c r="CN296" s="177"/>
      <c r="CO296" s="182"/>
      <c r="CP296" s="177"/>
      <c r="CQ296" s="178"/>
      <c r="CR296" s="182"/>
      <c r="CS296" s="173"/>
      <c r="CT296" s="65"/>
      <c r="CU296" s="271"/>
    </row>
    <row r="297" ht="60.0" hidden="1" customHeight="1">
      <c r="A297" s="65"/>
      <c r="C297" s="167"/>
      <c r="D297" s="205"/>
      <c r="E297" s="262"/>
      <c r="F297" s="170"/>
      <c r="G297" s="170"/>
      <c r="H297" s="170"/>
      <c r="I297" s="170"/>
      <c r="J297" s="170"/>
      <c r="K297" s="171"/>
      <c r="L297" s="171"/>
      <c r="M297" s="171"/>
      <c r="N297" s="209"/>
      <c r="O297" s="172">
        <f t="shared" si="54"/>
        <v>0</v>
      </c>
      <c r="P297" s="166"/>
      <c r="Q297" s="173"/>
      <c r="R297" s="65"/>
      <c r="S297" s="173"/>
      <c r="T297" s="173"/>
      <c r="U297" s="166"/>
      <c r="V297" s="166"/>
      <c r="W297" s="65"/>
      <c r="X297" s="66"/>
      <c r="Y297" s="173"/>
      <c r="Z297" s="166"/>
      <c r="AA297" s="174"/>
      <c r="AB297" s="175"/>
      <c r="AC297" s="175"/>
      <c r="AD297" s="175"/>
      <c r="AE297" s="175"/>
      <c r="AF297" s="175"/>
      <c r="AG297" s="175"/>
      <c r="AH297" s="175"/>
      <c r="AI297" s="176"/>
      <c r="AJ297" s="177"/>
      <c r="AK297" s="178"/>
      <c r="AL297" s="178"/>
      <c r="AM297" s="178"/>
      <c r="AN297" s="178"/>
      <c r="AO297" s="179"/>
      <c r="AP297" s="64"/>
      <c r="AQ297" s="65"/>
      <c r="AR297" s="65"/>
      <c r="AS297" s="65"/>
      <c r="AT297" s="173"/>
      <c r="AU297" s="177"/>
      <c r="AV297" s="178"/>
      <c r="AW297" s="178"/>
      <c r="AX297" s="179"/>
      <c r="AZ297" s="166"/>
      <c r="BA297" s="177"/>
      <c r="BB297" s="178"/>
      <c r="BC297" s="178"/>
      <c r="BD297" s="178"/>
      <c r="BE297" s="178"/>
      <c r="BF297" s="178"/>
      <c r="BG297" s="178"/>
      <c r="BH297" s="178"/>
      <c r="BI297" s="179"/>
      <c r="BJ297" s="180"/>
      <c r="BK297" s="178"/>
      <c r="BL297" s="178"/>
      <c r="BM297" s="178"/>
      <c r="BN297" s="178"/>
      <c r="BO297" s="181"/>
      <c r="BP297" s="166"/>
      <c r="BQ297" s="177"/>
      <c r="BR297" s="178"/>
      <c r="BS297" s="179"/>
      <c r="BU297" s="166"/>
      <c r="BV297" s="166"/>
      <c r="BW297" s="166"/>
      <c r="BX297" s="166"/>
      <c r="BY297" s="166"/>
      <c r="BZ297" s="166"/>
      <c r="CA297" s="166"/>
      <c r="CB297" s="166"/>
      <c r="CC297" s="166"/>
      <c r="CD297" s="177"/>
      <c r="CE297" s="181"/>
      <c r="CF297" s="177"/>
      <c r="CG297" s="179"/>
      <c r="CH297" s="257"/>
      <c r="CI297" s="182"/>
      <c r="CJ297" s="177"/>
      <c r="CK297" s="182"/>
      <c r="CL297" s="177"/>
      <c r="CM297" s="182"/>
      <c r="CN297" s="177"/>
      <c r="CO297" s="182"/>
      <c r="CP297" s="177"/>
      <c r="CQ297" s="178"/>
      <c r="CR297" s="182"/>
      <c r="CS297" s="173"/>
      <c r="CT297" s="65"/>
      <c r="CU297" s="271"/>
    </row>
    <row r="298" ht="60.0" hidden="1" customHeight="1">
      <c r="A298" s="65"/>
      <c r="C298" s="167"/>
      <c r="D298" s="205"/>
      <c r="E298" s="262"/>
      <c r="F298" s="170"/>
      <c r="G298" s="170"/>
      <c r="H298" s="170"/>
      <c r="I298" s="170"/>
      <c r="J298" s="170"/>
      <c r="K298" s="171"/>
      <c r="L298" s="171"/>
      <c r="M298" s="171"/>
      <c r="N298" s="209"/>
      <c r="O298" s="172">
        <f t="shared" si="54"/>
        <v>0</v>
      </c>
      <c r="P298" s="166"/>
      <c r="Q298" s="173"/>
      <c r="R298" s="65"/>
      <c r="S298" s="173"/>
      <c r="T298" s="173"/>
      <c r="U298" s="166"/>
      <c r="V298" s="166"/>
      <c r="W298" s="65"/>
      <c r="X298" s="66"/>
      <c r="Y298" s="173"/>
      <c r="Z298" s="166"/>
      <c r="AA298" s="174"/>
      <c r="AB298" s="175"/>
      <c r="AC298" s="175"/>
      <c r="AD298" s="175"/>
      <c r="AE298" s="175"/>
      <c r="AF298" s="175"/>
      <c r="AG298" s="175"/>
      <c r="AH298" s="175"/>
      <c r="AI298" s="176"/>
      <c r="AJ298" s="177"/>
      <c r="AK298" s="178"/>
      <c r="AL298" s="178"/>
      <c r="AM298" s="178"/>
      <c r="AN298" s="178"/>
      <c r="AO298" s="179"/>
      <c r="AP298" s="64"/>
      <c r="AQ298" s="65"/>
      <c r="AR298" s="65"/>
      <c r="AS298" s="65"/>
      <c r="AT298" s="173"/>
      <c r="AU298" s="177"/>
      <c r="AV298" s="178"/>
      <c r="AW298" s="178"/>
      <c r="AX298" s="179"/>
      <c r="AZ298" s="166"/>
      <c r="BA298" s="177"/>
      <c r="BB298" s="178"/>
      <c r="BC298" s="178"/>
      <c r="BD298" s="178"/>
      <c r="BE298" s="178"/>
      <c r="BF298" s="178"/>
      <c r="BG298" s="178"/>
      <c r="BH298" s="178"/>
      <c r="BI298" s="179"/>
      <c r="BJ298" s="180"/>
      <c r="BK298" s="178"/>
      <c r="BL298" s="178"/>
      <c r="BM298" s="178"/>
      <c r="BN298" s="178"/>
      <c r="BO298" s="181"/>
      <c r="BP298" s="166"/>
      <c r="BQ298" s="177"/>
      <c r="BR298" s="178"/>
      <c r="BS298" s="179"/>
      <c r="BU298" s="166"/>
      <c r="BV298" s="166"/>
      <c r="BW298" s="166"/>
      <c r="BX298" s="166"/>
      <c r="BY298" s="166"/>
      <c r="BZ298" s="166"/>
      <c r="CA298" s="166"/>
      <c r="CB298" s="166"/>
      <c r="CC298" s="166"/>
      <c r="CD298" s="177"/>
      <c r="CE298" s="181"/>
      <c r="CF298" s="177"/>
      <c r="CG298" s="179"/>
      <c r="CH298" s="257"/>
      <c r="CI298" s="182"/>
      <c r="CJ298" s="177"/>
      <c r="CK298" s="182"/>
      <c r="CL298" s="177"/>
      <c r="CM298" s="182"/>
      <c r="CN298" s="177"/>
      <c r="CO298" s="182"/>
      <c r="CP298" s="177"/>
      <c r="CQ298" s="178"/>
      <c r="CR298" s="182"/>
      <c r="CS298" s="173"/>
      <c r="CT298" s="65"/>
      <c r="CU298" s="271"/>
    </row>
    <row r="299" ht="60.0" hidden="1" customHeight="1">
      <c r="A299" s="65"/>
      <c r="C299" s="167"/>
      <c r="D299" s="205"/>
      <c r="E299" s="262"/>
      <c r="F299" s="170"/>
      <c r="G299" s="170"/>
      <c r="H299" s="170"/>
      <c r="I299" s="170"/>
      <c r="J299" s="170"/>
      <c r="K299" s="171"/>
      <c r="L299" s="171"/>
      <c r="M299" s="171"/>
      <c r="N299" s="209"/>
      <c r="O299" s="172">
        <f t="shared" si="54"/>
        <v>0</v>
      </c>
      <c r="P299" s="166"/>
      <c r="Q299" s="173"/>
      <c r="R299" s="65"/>
      <c r="S299" s="173"/>
      <c r="T299" s="173"/>
      <c r="U299" s="166"/>
      <c r="V299" s="166"/>
      <c r="W299" s="65"/>
      <c r="X299" s="66"/>
      <c r="Y299" s="173"/>
      <c r="Z299" s="166"/>
      <c r="AA299" s="174"/>
      <c r="AB299" s="175"/>
      <c r="AC299" s="175"/>
      <c r="AD299" s="175"/>
      <c r="AE299" s="175"/>
      <c r="AF299" s="175"/>
      <c r="AG299" s="175"/>
      <c r="AH299" s="175"/>
      <c r="AI299" s="176"/>
      <c r="AJ299" s="177"/>
      <c r="AK299" s="178"/>
      <c r="AL299" s="178"/>
      <c r="AM299" s="178"/>
      <c r="AN299" s="178"/>
      <c r="AO299" s="179"/>
      <c r="AP299" s="64"/>
      <c r="AQ299" s="65"/>
      <c r="AR299" s="65"/>
      <c r="AS299" s="65"/>
      <c r="AT299" s="173"/>
      <c r="AU299" s="177"/>
      <c r="AV299" s="178"/>
      <c r="AW299" s="178"/>
      <c r="AX299" s="179"/>
      <c r="AZ299" s="166"/>
      <c r="BA299" s="177"/>
      <c r="BB299" s="178"/>
      <c r="BC299" s="178"/>
      <c r="BD299" s="178"/>
      <c r="BE299" s="178"/>
      <c r="BF299" s="178"/>
      <c r="BG299" s="178"/>
      <c r="BH299" s="178"/>
      <c r="BI299" s="179"/>
      <c r="BJ299" s="180"/>
      <c r="BK299" s="178"/>
      <c r="BL299" s="178"/>
      <c r="BM299" s="178"/>
      <c r="BN299" s="178"/>
      <c r="BO299" s="181"/>
      <c r="BP299" s="166"/>
      <c r="BQ299" s="177"/>
      <c r="BR299" s="178"/>
      <c r="BS299" s="179"/>
      <c r="BU299" s="166"/>
      <c r="BV299" s="166"/>
      <c r="BW299" s="166"/>
      <c r="BX299" s="166"/>
      <c r="BY299" s="166"/>
      <c r="BZ299" s="166"/>
      <c r="CA299" s="166"/>
      <c r="CB299" s="166"/>
      <c r="CC299" s="166"/>
      <c r="CD299" s="177"/>
      <c r="CE299" s="181"/>
      <c r="CF299" s="177"/>
      <c r="CG299" s="179"/>
      <c r="CH299" s="257"/>
      <c r="CI299" s="182"/>
      <c r="CJ299" s="177"/>
      <c r="CK299" s="182"/>
      <c r="CL299" s="177"/>
      <c r="CM299" s="182"/>
      <c r="CN299" s="177"/>
      <c r="CO299" s="182"/>
      <c r="CP299" s="177"/>
      <c r="CQ299" s="178"/>
      <c r="CR299" s="182"/>
      <c r="CS299" s="173"/>
      <c r="CT299" s="65"/>
      <c r="CU299" s="271"/>
    </row>
    <row r="300" ht="60.0" hidden="1" customHeight="1">
      <c r="A300" s="65"/>
      <c r="C300" s="167"/>
      <c r="D300" s="205"/>
      <c r="E300" s="262"/>
      <c r="F300" s="170"/>
      <c r="G300" s="170"/>
      <c r="H300" s="170"/>
      <c r="I300" s="170"/>
      <c r="J300" s="170"/>
      <c r="K300" s="171"/>
      <c r="L300" s="171"/>
      <c r="M300" s="171"/>
      <c r="N300" s="209"/>
      <c r="O300" s="172">
        <f t="shared" si="54"/>
        <v>0</v>
      </c>
      <c r="P300" s="166"/>
      <c r="Q300" s="173"/>
      <c r="R300" s="65"/>
      <c r="S300" s="173"/>
      <c r="T300" s="173"/>
      <c r="U300" s="166"/>
      <c r="V300" s="166"/>
      <c r="W300" s="65"/>
      <c r="X300" s="66"/>
      <c r="Y300" s="173"/>
      <c r="Z300" s="166"/>
      <c r="AA300" s="174"/>
      <c r="AB300" s="175"/>
      <c r="AC300" s="175"/>
      <c r="AD300" s="175"/>
      <c r="AE300" s="175"/>
      <c r="AF300" s="175"/>
      <c r="AG300" s="175"/>
      <c r="AH300" s="175"/>
      <c r="AI300" s="176"/>
      <c r="AJ300" s="177"/>
      <c r="AK300" s="178"/>
      <c r="AL300" s="178"/>
      <c r="AM300" s="178"/>
      <c r="AN300" s="178"/>
      <c r="AO300" s="179"/>
      <c r="AP300" s="64"/>
      <c r="AQ300" s="65"/>
      <c r="AR300" s="65"/>
      <c r="AS300" s="65"/>
      <c r="AT300" s="173"/>
      <c r="AU300" s="177"/>
      <c r="AV300" s="178"/>
      <c r="AW300" s="178"/>
      <c r="AX300" s="179"/>
      <c r="AZ300" s="166"/>
      <c r="BA300" s="177"/>
      <c r="BB300" s="178"/>
      <c r="BC300" s="178"/>
      <c r="BD300" s="178"/>
      <c r="BE300" s="178"/>
      <c r="BF300" s="178"/>
      <c r="BG300" s="178"/>
      <c r="BH300" s="178"/>
      <c r="BI300" s="179"/>
      <c r="BJ300" s="180"/>
      <c r="BK300" s="178"/>
      <c r="BL300" s="178"/>
      <c r="BM300" s="178"/>
      <c r="BN300" s="178"/>
      <c r="BO300" s="181"/>
      <c r="BP300" s="166"/>
      <c r="BQ300" s="177"/>
      <c r="BR300" s="178"/>
      <c r="BS300" s="179"/>
      <c r="BU300" s="166"/>
      <c r="BV300" s="166"/>
      <c r="BW300" s="166"/>
      <c r="BX300" s="166"/>
      <c r="BY300" s="166"/>
      <c r="BZ300" s="166"/>
      <c r="CA300" s="166"/>
      <c r="CB300" s="166"/>
      <c r="CC300" s="166"/>
      <c r="CD300" s="177"/>
      <c r="CE300" s="181"/>
      <c r="CF300" s="177"/>
      <c r="CG300" s="179"/>
      <c r="CH300" s="257"/>
      <c r="CI300" s="182"/>
      <c r="CJ300" s="177"/>
      <c r="CK300" s="182"/>
      <c r="CL300" s="177"/>
      <c r="CM300" s="182"/>
      <c r="CN300" s="177"/>
      <c r="CO300" s="182"/>
      <c r="CP300" s="177"/>
      <c r="CQ300" s="178"/>
      <c r="CR300" s="182"/>
      <c r="CS300" s="173"/>
      <c r="CT300" s="65"/>
      <c r="CU300" s="271"/>
    </row>
    <row r="301" ht="60.0" hidden="1" customHeight="1">
      <c r="A301" s="65"/>
      <c r="C301" s="167"/>
      <c r="D301" s="205"/>
      <c r="E301" s="262"/>
      <c r="F301" s="170"/>
      <c r="G301" s="170"/>
      <c r="H301" s="170"/>
      <c r="I301" s="170"/>
      <c r="J301" s="170"/>
      <c r="K301" s="171"/>
      <c r="L301" s="171"/>
      <c r="M301" s="171"/>
      <c r="N301" s="209"/>
      <c r="O301" s="172">
        <f t="shared" si="54"/>
        <v>0</v>
      </c>
      <c r="P301" s="166"/>
      <c r="Q301" s="173"/>
      <c r="R301" s="65"/>
      <c r="S301" s="173"/>
      <c r="T301" s="173"/>
      <c r="U301" s="166"/>
      <c r="V301" s="166"/>
      <c r="W301" s="65"/>
      <c r="X301" s="66"/>
      <c r="Y301" s="173"/>
      <c r="Z301" s="166"/>
      <c r="AA301" s="174"/>
      <c r="AB301" s="175"/>
      <c r="AC301" s="175"/>
      <c r="AD301" s="175"/>
      <c r="AE301" s="175"/>
      <c r="AF301" s="175"/>
      <c r="AG301" s="175"/>
      <c r="AH301" s="175"/>
      <c r="AI301" s="176"/>
      <c r="AJ301" s="177"/>
      <c r="AK301" s="178"/>
      <c r="AL301" s="178"/>
      <c r="AM301" s="178"/>
      <c r="AN301" s="178"/>
      <c r="AO301" s="179"/>
      <c r="AP301" s="64"/>
      <c r="AQ301" s="65"/>
      <c r="AR301" s="65"/>
      <c r="AS301" s="65"/>
      <c r="AT301" s="173"/>
      <c r="AU301" s="177"/>
      <c r="AV301" s="178"/>
      <c r="AW301" s="178"/>
      <c r="AX301" s="179"/>
      <c r="AZ301" s="166"/>
      <c r="BA301" s="177"/>
      <c r="BB301" s="178"/>
      <c r="BC301" s="178"/>
      <c r="BD301" s="178"/>
      <c r="BE301" s="178"/>
      <c r="BF301" s="178"/>
      <c r="BG301" s="178"/>
      <c r="BH301" s="178"/>
      <c r="BI301" s="179"/>
      <c r="BJ301" s="180"/>
      <c r="BK301" s="178"/>
      <c r="BL301" s="178"/>
      <c r="BM301" s="178"/>
      <c r="BN301" s="178"/>
      <c r="BO301" s="181"/>
      <c r="BP301" s="166"/>
      <c r="BQ301" s="177"/>
      <c r="BR301" s="178"/>
      <c r="BS301" s="179"/>
      <c r="BU301" s="166"/>
      <c r="BV301" s="166"/>
      <c r="BW301" s="166"/>
      <c r="BX301" s="166"/>
      <c r="BY301" s="166"/>
      <c r="BZ301" s="166"/>
      <c r="CA301" s="166"/>
      <c r="CB301" s="166"/>
      <c r="CC301" s="166"/>
      <c r="CD301" s="177"/>
      <c r="CE301" s="181"/>
      <c r="CF301" s="177"/>
      <c r="CG301" s="179"/>
      <c r="CH301" s="257"/>
      <c r="CI301" s="182"/>
      <c r="CJ301" s="177"/>
      <c r="CK301" s="182"/>
      <c r="CL301" s="177"/>
      <c r="CM301" s="182"/>
      <c r="CN301" s="177"/>
      <c r="CO301" s="182"/>
      <c r="CP301" s="177"/>
      <c r="CQ301" s="178"/>
      <c r="CR301" s="182"/>
      <c r="CS301" s="173"/>
      <c r="CT301" s="65"/>
      <c r="CU301" s="271"/>
    </row>
    <row r="302" ht="60.0" hidden="1" customHeight="1">
      <c r="A302" s="65"/>
      <c r="C302" s="167"/>
      <c r="D302" s="205"/>
      <c r="E302" s="262"/>
      <c r="F302" s="170"/>
      <c r="G302" s="170"/>
      <c r="H302" s="170"/>
      <c r="I302" s="170"/>
      <c r="J302" s="170"/>
      <c r="K302" s="171"/>
      <c r="L302" s="171"/>
      <c r="M302" s="171"/>
      <c r="N302" s="209"/>
      <c r="O302" s="172">
        <f t="shared" si="54"/>
        <v>0</v>
      </c>
      <c r="P302" s="166"/>
      <c r="Q302" s="173"/>
      <c r="R302" s="65"/>
      <c r="S302" s="173"/>
      <c r="T302" s="173"/>
      <c r="U302" s="166"/>
      <c r="V302" s="166"/>
      <c r="W302" s="65"/>
      <c r="X302" s="66"/>
      <c r="Y302" s="173"/>
      <c r="Z302" s="166"/>
      <c r="AA302" s="174"/>
      <c r="AB302" s="175"/>
      <c r="AC302" s="175"/>
      <c r="AD302" s="175"/>
      <c r="AE302" s="175"/>
      <c r="AF302" s="175"/>
      <c r="AG302" s="175"/>
      <c r="AH302" s="175"/>
      <c r="AI302" s="176"/>
      <c r="AJ302" s="177"/>
      <c r="AK302" s="178"/>
      <c r="AL302" s="178"/>
      <c r="AM302" s="178"/>
      <c r="AN302" s="178"/>
      <c r="AO302" s="179"/>
      <c r="AP302" s="64"/>
      <c r="AQ302" s="65"/>
      <c r="AR302" s="65"/>
      <c r="AS302" s="65"/>
      <c r="AT302" s="173"/>
      <c r="AU302" s="177"/>
      <c r="AV302" s="178"/>
      <c r="AW302" s="178"/>
      <c r="AX302" s="179"/>
      <c r="AZ302" s="166"/>
      <c r="BA302" s="177"/>
      <c r="BB302" s="178"/>
      <c r="BC302" s="178"/>
      <c r="BD302" s="178"/>
      <c r="BE302" s="178"/>
      <c r="BF302" s="178"/>
      <c r="BG302" s="178"/>
      <c r="BH302" s="178"/>
      <c r="BI302" s="179"/>
      <c r="BJ302" s="180"/>
      <c r="BK302" s="178"/>
      <c r="BL302" s="178"/>
      <c r="BM302" s="178"/>
      <c r="BN302" s="178"/>
      <c r="BO302" s="181"/>
      <c r="BP302" s="166"/>
      <c r="BQ302" s="177"/>
      <c r="BR302" s="178"/>
      <c r="BS302" s="179"/>
      <c r="BU302" s="166"/>
      <c r="BV302" s="166"/>
      <c r="BW302" s="166"/>
      <c r="BX302" s="166"/>
      <c r="BY302" s="166"/>
      <c r="BZ302" s="166"/>
      <c r="CA302" s="166"/>
      <c r="CB302" s="166"/>
      <c r="CC302" s="166"/>
      <c r="CD302" s="177"/>
      <c r="CE302" s="181"/>
      <c r="CF302" s="177"/>
      <c r="CG302" s="179"/>
      <c r="CH302" s="257"/>
      <c r="CI302" s="182"/>
      <c r="CJ302" s="177"/>
      <c r="CK302" s="182"/>
      <c r="CL302" s="177"/>
      <c r="CM302" s="182"/>
      <c r="CN302" s="177"/>
      <c r="CO302" s="182"/>
      <c r="CP302" s="177"/>
      <c r="CQ302" s="178"/>
      <c r="CR302" s="182"/>
      <c r="CS302" s="173"/>
      <c r="CT302" s="65"/>
      <c r="CU302" s="271"/>
    </row>
    <row r="303" ht="60.0" hidden="1" customHeight="1">
      <c r="A303" s="65"/>
      <c r="C303" s="167"/>
      <c r="D303" s="205"/>
      <c r="E303" s="262"/>
      <c r="F303" s="170"/>
      <c r="G303" s="170"/>
      <c r="H303" s="170"/>
      <c r="I303" s="170"/>
      <c r="J303" s="170"/>
      <c r="K303" s="171"/>
      <c r="L303" s="171"/>
      <c r="M303" s="171"/>
      <c r="N303" s="209"/>
      <c r="O303" s="172">
        <f t="shared" si="54"/>
        <v>0</v>
      </c>
      <c r="P303" s="166"/>
      <c r="Q303" s="173"/>
      <c r="R303" s="65"/>
      <c r="S303" s="173"/>
      <c r="T303" s="173"/>
      <c r="U303" s="166"/>
      <c r="V303" s="166"/>
      <c r="W303" s="65"/>
      <c r="X303" s="66"/>
      <c r="Y303" s="173"/>
      <c r="Z303" s="166"/>
      <c r="AA303" s="174"/>
      <c r="AB303" s="175"/>
      <c r="AC303" s="175"/>
      <c r="AD303" s="175"/>
      <c r="AE303" s="175"/>
      <c r="AF303" s="175"/>
      <c r="AG303" s="175"/>
      <c r="AH303" s="175"/>
      <c r="AI303" s="176"/>
      <c r="AJ303" s="177"/>
      <c r="AK303" s="178"/>
      <c r="AL303" s="178"/>
      <c r="AM303" s="178"/>
      <c r="AN303" s="178"/>
      <c r="AO303" s="179"/>
      <c r="AP303" s="64"/>
      <c r="AQ303" s="65"/>
      <c r="AR303" s="65"/>
      <c r="AS303" s="65"/>
      <c r="AT303" s="173"/>
      <c r="AU303" s="177"/>
      <c r="AV303" s="178"/>
      <c r="AW303" s="178"/>
      <c r="AX303" s="179"/>
      <c r="AZ303" s="166"/>
      <c r="BA303" s="177"/>
      <c r="BB303" s="178"/>
      <c r="BC303" s="178"/>
      <c r="BD303" s="178"/>
      <c r="BE303" s="178"/>
      <c r="BF303" s="178"/>
      <c r="BG303" s="178"/>
      <c r="BH303" s="178"/>
      <c r="BI303" s="179"/>
      <c r="BJ303" s="180"/>
      <c r="BK303" s="178"/>
      <c r="BL303" s="178"/>
      <c r="BM303" s="178"/>
      <c r="BN303" s="178"/>
      <c r="BO303" s="181"/>
      <c r="BP303" s="166"/>
      <c r="BQ303" s="177"/>
      <c r="BR303" s="178"/>
      <c r="BS303" s="179"/>
      <c r="BU303" s="166"/>
      <c r="BV303" s="166"/>
      <c r="BW303" s="166"/>
      <c r="BX303" s="166"/>
      <c r="BY303" s="166"/>
      <c r="BZ303" s="166"/>
      <c r="CA303" s="166"/>
      <c r="CB303" s="166"/>
      <c r="CC303" s="166"/>
      <c r="CD303" s="177"/>
      <c r="CE303" s="181"/>
      <c r="CF303" s="177"/>
      <c r="CG303" s="179"/>
      <c r="CH303" s="257"/>
      <c r="CI303" s="182"/>
      <c r="CJ303" s="177"/>
      <c r="CK303" s="182"/>
      <c r="CL303" s="177"/>
      <c r="CM303" s="182"/>
      <c r="CN303" s="177"/>
      <c r="CO303" s="182"/>
      <c r="CP303" s="177"/>
      <c r="CQ303" s="178"/>
      <c r="CR303" s="182"/>
      <c r="CS303" s="173"/>
      <c r="CT303" s="65"/>
      <c r="CU303" s="271"/>
    </row>
    <row r="304" ht="60.0" hidden="1" customHeight="1">
      <c r="A304" s="89"/>
      <c r="B304" s="6"/>
      <c r="C304" s="183"/>
      <c r="D304" s="210"/>
      <c r="E304" s="263"/>
      <c r="F304" s="186"/>
      <c r="G304" s="186"/>
      <c r="H304" s="186"/>
      <c r="I304" s="186"/>
      <c r="J304" s="186"/>
      <c r="K304" s="187"/>
      <c r="L304" s="187"/>
      <c r="M304" s="187"/>
      <c r="N304" s="214"/>
      <c r="O304" s="188">
        <f t="shared" si="54"/>
        <v>0</v>
      </c>
      <c r="P304" s="63"/>
      <c r="Q304" s="69"/>
      <c r="R304" s="89"/>
      <c r="S304" s="69"/>
      <c r="T304" s="69"/>
      <c r="U304" s="63"/>
      <c r="V304" s="63"/>
      <c r="W304" s="89"/>
      <c r="X304" s="68"/>
      <c r="Y304" s="69"/>
      <c r="Z304" s="63"/>
      <c r="AA304" s="189"/>
      <c r="AB304" s="190"/>
      <c r="AC304" s="190"/>
      <c r="AD304" s="190"/>
      <c r="AE304" s="190"/>
      <c r="AF304" s="190"/>
      <c r="AG304" s="190"/>
      <c r="AH304" s="190"/>
      <c r="AI304" s="191"/>
      <c r="AJ304" s="192"/>
      <c r="AK304" s="193"/>
      <c r="AL304" s="193"/>
      <c r="AM304" s="193"/>
      <c r="AN304" s="193"/>
      <c r="AO304" s="194"/>
      <c r="AP304" s="103"/>
      <c r="AQ304" s="89"/>
      <c r="AR304" s="89"/>
      <c r="AS304" s="89"/>
      <c r="AT304" s="69"/>
      <c r="AU304" s="192"/>
      <c r="AV304" s="193"/>
      <c r="AW304" s="193"/>
      <c r="AX304" s="194"/>
      <c r="AY304" s="6"/>
      <c r="AZ304" s="63"/>
      <c r="BA304" s="192"/>
      <c r="BB304" s="193"/>
      <c r="BC304" s="193"/>
      <c r="BD304" s="193"/>
      <c r="BE304" s="193"/>
      <c r="BF304" s="193"/>
      <c r="BG304" s="193"/>
      <c r="BH304" s="193"/>
      <c r="BI304" s="194"/>
      <c r="BJ304" s="195"/>
      <c r="BK304" s="193"/>
      <c r="BL304" s="193"/>
      <c r="BM304" s="193"/>
      <c r="BN304" s="193"/>
      <c r="BO304" s="196"/>
      <c r="BP304" s="63"/>
      <c r="BQ304" s="192"/>
      <c r="BR304" s="193"/>
      <c r="BS304" s="194"/>
      <c r="BT304" s="6"/>
      <c r="BU304" s="63"/>
      <c r="BV304" s="63"/>
      <c r="BW304" s="63"/>
      <c r="BX304" s="63"/>
      <c r="BY304" s="63"/>
      <c r="BZ304" s="63"/>
      <c r="CA304" s="63"/>
      <c r="CB304" s="63"/>
      <c r="CC304" s="63"/>
      <c r="CD304" s="192"/>
      <c r="CE304" s="196"/>
      <c r="CF304" s="192"/>
      <c r="CG304" s="194"/>
      <c r="CH304" s="259"/>
      <c r="CI304" s="197"/>
      <c r="CJ304" s="192"/>
      <c r="CK304" s="197"/>
      <c r="CL304" s="192"/>
      <c r="CM304" s="197"/>
      <c r="CN304" s="192"/>
      <c r="CO304" s="197"/>
      <c r="CP304" s="192"/>
      <c r="CQ304" s="193"/>
      <c r="CR304" s="197"/>
      <c r="CS304" s="69"/>
      <c r="CT304" s="89"/>
      <c r="CU304" s="272"/>
    </row>
    <row r="305" ht="56.25" hidden="1" customHeight="1">
      <c r="A305" s="125">
        <v>28.0</v>
      </c>
      <c r="B305" s="199"/>
      <c r="C305" s="127"/>
      <c r="D305" s="128"/>
      <c r="E305" s="260"/>
      <c r="F305" s="261"/>
      <c r="G305" s="261"/>
      <c r="H305" s="261"/>
      <c r="I305" s="261"/>
      <c r="J305" s="170"/>
      <c r="K305" s="219"/>
      <c r="L305" s="219"/>
      <c r="M305" s="219"/>
      <c r="N305" s="220"/>
      <c r="O305" s="132">
        <f t="shared" si="54"/>
        <v>0</v>
      </c>
      <c r="P305" s="133">
        <f>COUNTIF(K305:K315,"TL")*0.75+COUNTIF(K305:K315,"Lec")*1+COUNTIF(K305:K315,"Lab")*0.5</f>
        <v>0</v>
      </c>
      <c r="Q305" s="134">
        <f>SUM((IF(LEFT(K305,1)="E",O305,0)),(IF(LEFT(K306,1)="E",O306,0)),(IF(LEFT(K307,1)="E",O307,0)),(IF(LEFT(K308,1)="E",O308,0)),(IF(LEFT(K309,1)="E",O309,0)),(IF(LEFT(K310,1)="E",O310,0)),(IF(LEFT(K311,1)="E",O311,0)),(IF(LEFT(K312,1)="E",O312,0)),(IF(LEFT(K313,1)="E",O313,0)),(IF(LEFT(K314,1)="E",O314,0)),(IF(LEFT(K315,1)="E",O315,0)))</f>
        <v>0</v>
      </c>
      <c r="R305" s="135">
        <f>SUM(IF(M311&lt;20,IF(K311="Plec",-1,IF(K311="PTL",-0.75,IF(K311="Plab",-0.5,0))),0),IF(M312&lt;20,IF(K312="Plec",-1,IF(K312="PTL",-0.75,IF(K312="Plab",-0.5,0))),0),IF(M313&lt;20,IF(K313="Plec",-1,IF(K313="PTL",-0.75,IF(K313="Plab",-0.5,0))),0),IF(M314&lt;20,IF(K314="Plec",-1,IF(K314="PTL",-0.75,IF(K314="Plab",-0.5,0))),0))</f>
        <v>0</v>
      </c>
      <c r="S305" s="134">
        <f>SUM(P305:R315)</f>
        <v>0</v>
      </c>
      <c r="T305" s="136">
        <f>SUM(IF(M305="M",IF(OR(K305="lec",K305="plec",K305="slec"),1,IF(OR(K305="lab",K305="plab",K305="slab",K305="tut",K305="ptut",K305="stut"),0.5,IF(OR(K305="TL",K305="pTL",K305="STL"),0.75,0))),0),IF(M306="M",IF(OR(K306="lec",K306="plec",K306="slec"),1,IF(OR(K306="lab",K306="plab",K306="slab",K306="tut",K306="ptut",K306="stut"),0.5,IF(OR(K306="TL",K306="pTL",K306="STL"),0.75,0))),0),IF(M307="M",IF(OR(K307="lec",K307="plec",K307="slec"),1,IF(OR(K307="lab",K307="plab",K307="slab",K307="tut",K307="ptut",K307="stut"),0.5,IF(OR(K307="TL",K307="pTL",K307="STL"),0.75,0))),0),IF(M308="M",IF(OR(K308="lec",K308="plec",K308="slec"),1,IF(OR(K308="lab",K308="plab",K308="slab",K308="tut",K308="ptut",K308="stut"),0.5,IF(OR(K308="TL",K308="pTL",K308="STL"),0.75,0))),0),IF(M309="M",IF(OR(K309="lec",K309="plec",K309="slec"),1,IF(OR(K309="lab",K309="plab",K309="slab",K309="tut",K309="ptut",K309="stut"),0.5,IF(OR(K309="TL",K309="pTL",K309="STL"),0.75,0))),0),IF(M310="M",IF(OR(K310="lec",K310="plec",K310="slec"),1,IF(OR(K310="lab",K310="plab",K310="slab",K310="tut",K310="ptut",K310="stut"),0.5,IF(OR(K310="TL",K310="pTL",K310="STL"),0.75,0))),0),IF(M311="M",IF(OR(K311="lec",K311="plec",K311="slec"),1,IF(OR(K311="lab",K311="plab",K311="slab",K311="tut",K311="ptut",K311="stut"),0.5,IF(OR(K311="TL",K311="pTL",K311="STL"),0.75,0))),0),IF(M312="M",IF(OR(K312="lec",K312="plec",K312="slec"),1,IF(OR(K312="lab",K312="plab",K312="slab",K312="tut",K312="ptut",K312="stut"),0.5,IF(OR(K312="TL",K312="pTL",K312="STL"),0.75,0))),0),IF(M313="M",IF(OR(K313="lec",K313="plec",K313="slec"),1,IF(OR(K313="lab",K313="plab",K313="slab",K313="tut",K313="ptut",K313="stut"),0.5,IF(OR(K313="TL",K313="pTL",K313="STL"),0.75,0))),0),IF(M314="M",IF(OR(K314="lec",K314="plec",K314="slec"),1,IF(OR(K314="lab",K314="plab",K314="slab",K314="tut",K314="ptut",K314="stut"),0.5,IF(OR(K314="TL",K314="pTL",K314="STL"),0.75,0))),0),IF(M315="M",IF(OR(K315="lec",K315="plec",K315="slec"),1,IF(OR(K315="lab",K315="plab",K315="slab",K315="tut",K315="ptut",K315="stut"),0.5,IF(OR(K315="TL",K315="pTL",K315="STL"),0.75,0))),0))</f>
        <v>0</v>
      </c>
      <c r="U305" s="137"/>
      <c r="V305" s="133"/>
      <c r="W305" s="138"/>
      <c r="X305" s="139">
        <f>S305-(T305+U305+V305+W305)</f>
        <v>0</v>
      </c>
      <c r="Y305" s="134" t="str">
        <f>CONCATENATE(SUM(O305:O315),"(",SUM(O305:O315)-X305,")")</f>
        <v>0(0)</v>
      </c>
      <c r="Z305" s="140"/>
      <c r="AA305" s="141"/>
      <c r="AB305" s="142"/>
      <c r="AC305" s="142"/>
      <c r="AD305" s="142"/>
      <c r="AE305" s="142"/>
      <c r="AF305" s="142"/>
      <c r="AG305" s="142"/>
      <c r="AH305" s="142"/>
      <c r="AI305" s="143"/>
      <c r="AJ305" s="144"/>
      <c r="AK305" s="145"/>
      <c r="AL305" s="145"/>
      <c r="AM305" s="145"/>
      <c r="AN305" s="145"/>
      <c r="AO305" s="146"/>
      <c r="AP305" s="147">
        <f>SUM(SUM(O305:O315),SUM(AI305:AI315)/2,AM305)</f>
        <v>0</v>
      </c>
      <c r="AQ305" s="148"/>
      <c r="AR305" s="148">
        <f>AP305*AQ305</f>
        <v>0</v>
      </c>
      <c r="AS305" s="148">
        <f>CT305</f>
        <v>0</v>
      </c>
      <c r="AT305" s="149">
        <f>AR305*0.75+AS305*0.25</f>
        <v>0</v>
      </c>
      <c r="AU305" s="150"/>
      <c r="AV305" s="151"/>
      <c r="AW305" s="151"/>
      <c r="AX305" s="152"/>
      <c r="AY305" s="153"/>
      <c r="AZ305" s="140"/>
      <c r="BA305" s="150"/>
      <c r="BB305" s="151"/>
      <c r="BC305" s="151"/>
      <c r="BD305" s="151"/>
      <c r="BE305" s="151"/>
      <c r="BF305" s="151"/>
      <c r="BG305" s="151"/>
      <c r="BH305" s="151"/>
      <c r="BI305" s="152"/>
      <c r="BJ305" s="154"/>
      <c r="BK305" s="151"/>
      <c r="BL305" s="151"/>
      <c r="BM305" s="151"/>
      <c r="BN305" s="151"/>
      <c r="BO305" s="155"/>
      <c r="BP305" s="140"/>
      <c r="BQ305" s="156"/>
      <c r="BR305" s="157"/>
      <c r="BS305" s="158"/>
      <c r="BT305" s="153"/>
      <c r="BU305" s="140"/>
      <c r="BV305" s="140"/>
      <c r="BW305" s="140"/>
      <c r="BX305" s="140"/>
      <c r="BY305" s="140"/>
      <c r="BZ305" s="140"/>
      <c r="CA305" s="140"/>
      <c r="CB305" s="140"/>
      <c r="CC305" s="140"/>
      <c r="CD305" s="150"/>
      <c r="CE305" s="155"/>
      <c r="CF305" s="150"/>
      <c r="CG305" s="152"/>
      <c r="CH305" s="252"/>
      <c r="CI305" s="160"/>
      <c r="CJ305" s="159"/>
      <c r="CK305" s="160"/>
      <c r="CL305" s="159"/>
      <c r="CM305" s="160"/>
      <c r="CN305" s="159"/>
      <c r="CO305" s="160"/>
      <c r="CP305" s="159"/>
      <c r="CQ305" s="162"/>
      <c r="CR305" s="160"/>
      <c r="CS305" s="253">
        <f>SUM(IF(AU305&lt;0,ABS(AU305),0),IF(AZ305&lt;0,ABS(AZ305),0),ABS(CI305),ABS(CK305),ABS(CM305),ABS(CO305),ABS(CQ305),ABS(CR305))</f>
        <v>0</v>
      </c>
      <c r="CT305" s="254">
        <f>SUM(AU305,AV305,AW305,AX305/400,AY305,AZ305,BG305,BH305*0.5,BI305*0.25,BJ305,BK305,BL305,BM305,BN305,BO305,BP305,BR305/20,BS305/100,BT305/60,BU305,BV305,BW305,BX305/5,SUM(BY305:CC315)/3,CE305,CG305/3,CI305,CK305,CM305,CO305,CQ305,CR305)</f>
        <v>0</v>
      </c>
      <c r="CU305" s="255"/>
    </row>
    <row r="306" ht="60.0" hidden="1" customHeight="1">
      <c r="A306" s="65"/>
      <c r="C306" s="167"/>
      <c r="D306" s="205"/>
      <c r="E306" s="262"/>
      <c r="F306" s="170"/>
      <c r="G306" s="170"/>
      <c r="H306" s="170"/>
      <c r="I306" s="170"/>
      <c r="J306" s="170"/>
      <c r="K306" s="171"/>
      <c r="L306" s="171"/>
      <c r="M306" s="171"/>
      <c r="N306" s="209"/>
      <c r="O306" s="172">
        <f t="shared" si="54"/>
        <v>0</v>
      </c>
      <c r="P306" s="166"/>
      <c r="Q306" s="173"/>
      <c r="R306" s="65"/>
      <c r="S306" s="173"/>
      <c r="T306" s="173"/>
      <c r="U306" s="166"/>
      <c r="V306" s="166"/>
      <c r="W306" s="65"/>
      <c r="X306" s="66"/>
      <c r="Y306" s="173"/>
      <c r="Z306" s="166"/>
      <c r="AA306" s="174"/>
      <c r="AB306" s="175"/>
      <c r="AC306" s="175"/>
      <c r="AD306" s="175"/>
      <c r="AE306" s="175"/>
      <c r="AF306" s="175"/>
      <c r="AG306" s="175"/>
      <c r="AH306" s="175"/>
      <c r="AI306" s="176"/>
      <c r="AJ306" s="177"/>
      <c r="AK306" s="178"/>
      <c r="AL306" s="178"/>
      <c r="AM306" s="178"/>
      <c r="AN306" s="178"/>
      <c r="AO306" s="179"/>
      <c r="AP306" s="64"/>
      <c r="AQ306" s="65"/>
      <c r="AR306" s="65"/>
      <c r="AS306" s="65"/>
      <c r="AT306" s="173"/>
      <c r="AU306" s="177"/>
      <c r="AV306" s="178"/>
      <c r="AW306" s="178"/>
      <c r="AX306" s="179"/>
      <c r="AZ306" s="166"/>
      <c r="BA306" s="177"/>
      <c r="BB306" s="178"/>
      <c r="BC306" s="178"/>
      <c r="BD306" s="178"/>
      <c r="BE306" s="178"/>
      <c r="BF306" s="178"/>
      <c r="BG306" s="178"/>
      <c r="BH306" s="178"/>
      <c r="BI306" s="179"/>
      <c r="BJ306" s="180"/>
      <c r="BK306" s="178"/>
      <c r="BL306" s="178"/>
      <c r="BM306" s="178"/>
      <c r="BN306" s="178"/>
      <c r="BO306" s="181"/>
      <c r="BP306" s="166"/>
      <c r="BQ306" s="177"/>
      <c r="BR306" s="178"/>
      <c r="BS306" s="179"/>
      <c r="BU306" s="166"/>
      <c r="BV306" s="166"/>
      <c r="BW306" s="166"/>
      <c r="BX306" s="166"/>
      <c r="BY306" s="166"/>
      <c r="BZ306" s="166"/>
      <c r="CA306" s="166"/>
      <c r="CB306" s="166"/>
      <c r="CC306" s="166"/>
      <c r="CD306" s="177"/>
      <c r="CE306" s="181"/>
      <c r="CF306" s="177"/>
      <c r="CG306" s="179"/>
      <c r="CH306" s="257"/>
      <c r="CI306" s="182"/>
      <c r="CJ306" s="177"/>
      <c r="CK306" s="182"/>
      <c r="CL306" s="177"/>
      <c r="CM306" s="182"/>
      <c r="CN306" s="177"/>
      <c r="CO306" s="182"/>
      <c r="CP306" s="177"/>
      <c r="CQ306" s="178"/>
      <c r="CR306" s="182"/>
      <c r="CS306" s="173"/>
      <c r="CT306" s="65"/>
      <c r="CU306" s="271"/>
    </row>
    <row r="307" ht="60.0" hidden="1" customHeight="1">
      <c r="A307" s="65"/>
      <c r="C307" s="167"/>
      <c r="D307" s="205"/>
      <c r="E307" s="262"/>
      <c r="F307" s="170"/>
      <c r="G307" s="170"/>
      <c r="H307" s="170"/>
      <c r="I307" s="170"/>
      <c r="J307" s="170"/>
      <c r="K307" s="171"/>
      <c r="L307" s="171"/>
      <c r="M307" s="171"/>
      <c r="N307" s="209"/>
      <c r="O307" s="172">
        <f t="shared" si="54"/>
        <v>0</v>
      </c>
      <c r="P307" s="166"/>
      <c r="Q307" s="173"/>
      <c r="R307" s="65"/>
      <c r="S307" s="173"/>
      <c r="T307" s="173"/>
      <c r="U307" s="166"/>
      <c r="V307" s="166"/>
      <c r="W307" s="65"/>
      <c r="X307" s="66"/>
      <c r="Y307" s="173"/>
      <c r="Z307" s="166"/>
      <c r="AA307" s="174"/>
      <c r="AB307" s="175"/>
      <c r="AC307" s="175"/>
      <c r="AD307" s="175"/>
      <c r="AE307" s="175"/>
      <c r="AF307" s="175"/>
      <c r="AG307" s="175"/>
      <c r="AH307" s="175"/>
      <c r="AI307" s="176"/>
      <c r="AJ307" s="177"/>
      <c r="AK307" s="178"/>
      <c r="AL307" s="178"/>
      <c r="AM307" s="178"/>
      <c r="AN307" s="178"/>
      <c r="AO307" s="179"/>
      <c r="AP307" s="64"/>
      <c r="AQ307" s="65"/>
      <c r="AR307" s="65"/>
      <c r="AS307" s="65"/>
      <c r="AT307" s="173"/>
      <c r="AU307" s="177"/>
      <c r="AV307" s="178"/>
      <c r="AW307" s="178"/>
      <c r="AX307" s="179"/>
      <c r="AZ307" s="166"/>
      <c r="BA307" s="177"/>
      <c r="BB307" s="178"/>
      <c r="BC307" s="178"/>
      <c r="BD307" s="178"/>
      <c r="BE307" s="178"/>
      <c r="BF307" s="178"/>
      <c r="BG307" s="178"/>
      <c r="BH307" s="178"/>
      <c r="BI307" s="179"/>
      <c r="BJ307" s="180"/>
      <c r="BK307" s="178"/>
      <c r="BL307" s="178"/>
      <c r="BM307" s="178"/>
      <c r="BN307" s="178"/>
      <c r="BO307" s="181"/>
      <c r="BP307" s="166"/>
      <c r="BQ307" s="177"/>
      <c r="BR307" s="178"/>
      <c r="BS307" s="179"/>
      <c r="BU307" s="166"/>
      <c r="BV307" s="166"/>
      <c r="BW307" s="166"/>
      <c r="BX307" s="166"/>
      <c r="BY307" s="166"/>
      <c r="BZ307" s="166"/>
      <c r="CA307" s="166"/>
      <c r="CB307" s="166"/>
      <c r="CC307" s="166"/>
      <c r="CD307" s="177"/>
      <c r="CE307" s="181"/>
      <c r="CF307" s="177"/>
      <c r="CG307" s="179"/>
      <c r="CH307" s="257"/>
      <c r="CI307" s="182"/>
      <c r="CJ307" s="177"/>
      <c r="CK307" s="182"/>
      <c r="CL307" s="177"/>
      <c r="CM307" s="182"/>
      <c r="CN307" s="177"/>
      <c r="CO307" s="182"/>
      <c r="CP307" s="177"/>
      <c r="CQ307" s="178"/>
      <c r="CR307" s="182"/>
      <c r="CS307" s="173"/>
      <c r="CT307" s="65"/>
      <c r="CU307" s="271"/>
    </row>
    <row r="308" ht="60.0" hidden="1" customHeight="1">
      <c r="A308" s="65"/>
      <c r="C308" s="167"/>
      <c r="D308" s="205"/>
      <c r="E308" s="262"/>
      <c r="F308" s="170"/>
      <c r="G308" s="170"/>
      <c r="H308" s="170"/>
      <c r="I308" s="170"/>
      <c r="J308" s="170"/>
      <c r="K308" s="171"/>
      <c r="L308" s="171"/>
      <c r="M308" s="171"/>
      <c r="N308" s="209"/>
      <c r="O308" s="172">
        <f t="shared" si="54"/>
        <v>0</v>
      </c>
      <c r="P308" s="166"/>
      <c r="Q308" s="173"/>
      <c r="R308" s="65"/>
      <c r="S308" s="173"/>
      <c r="T308" s="173"/>
      <c r="U308" s="166"/>
      <c r="V308" s="166"/>
      <c r="W308" s="65"/>
      <c r="X308" s="66"/>
      <c r="Y308" s="173"/>
      <c r="Z308" s="166"/>
      <c r="AA308" s="174"/>
      <c r="AB308" s="175"/>
      <c r="AC308" s="175"/>
      <c r="AD308" s="175"/>
      <c r="AE308" s="175"/>
      <c r="AF308" s="175"/>
      <c r="AG308" s="175"/>
      <c r="AH308" s="175"/>
      <c r="AI308" s="176"/>
      <c r="AJ308" s="177"/>
      <c r="AK308" s="178"/>
      <c r="AL308" s="178"/>
      <c r="AM308" s="178"/>
      <c r="AN308" s="178"/>
      <c r="AO308" s="179"/>
      <c r="AP308" s="64"/>
      <c r="AQ308" s="65"/>
      <c r="AR308" s="65"/>
      <c r="AS308" s="65"/>
      <c r="AT308" s="173"/>
      <c r="AU308" s="177"/>
      <c r="AV308" s="178"/>
      <c r="AW308" s="178"/>
      <c r="AX308" s="179"/>
      <c r="AZ308" s="166"/>
      <c r="BA308" s="177"/>
      <c r="BB308" s="178"/>
      <c r="BC308" s="178"/>
      <c r="BD308" s="178"/>
      <c r="BE308" s="178"/>
      <c r="BF308" s="178"/>
      <c r="BG308" s="178"/>
      <c r="BH308" s="178"/>
      <c r="BI308" s="179"/>
      <c r="BJ308" s="180"/>
      <c r="BK308" s="178"/>
      <c r="BL308" s="178"/>
      <c r="BM308" s="178"/>
      <c r="BN308" s="178"/>
      <c r="BO308" s="181"/>
      <c r="BP308" s="166"/>
      <c r="BQ308" s="177"/>
      <c r="BR308" s="178"/>
      <c r="BS308" s="179"/>
      <c r="BU308" s="166"/>
      <c r="BV308" s="166"/>
      <c r="BW308" s="166"/>
      <c r="BX308" s="166"/>
      <c r="BY308" s="166"/>
      <c r="BZ308" s="166"/>
      <c r="CA308" s="166"/>
      <c r="CB308" s="166"/>
      <c r="CC308" s="166"/>
      <c r="CD308" s="177"/>
      <c r="CE308" s="181"/>
      <c r="CF308" s="177"/>
      <c r="CG308" s="179"/>
      <c r="CH308" s="257"/>
      <c r="CI308" s="182"/>
      <c r="CJ308" s="177"/>
      <c r="CK308" s="182"/>
      <c r="CL308" s="177"/>
      <c r="CM308" s="182"/>
      <c r="CN308" s="177"/>
      <c r="CO308" s="182"/>
      <c r="CP308" s="177"/>
      <c r="CQ308" s="178"/>
      <c r="CR308" s="182"/>
      <c r="CS308" s="173"/>
      <c r="CT308" s="65"/>
      <c r="CU308" s="271"/>
    </row>
    <row r="309" ht="60.0" hidden="1" customHeight="1">
      <c r="A309" s="65"/>
      <c r="C309" s="167"/>
      <c r="D309" s="205"/>
      <c r="E309" s="262"/>
      <c r="F309" s="170"/>
      <c r="G309" s="170"/>
      <c r="H309" s="170"/>
      <c r="I309" s="170"/>
      <c r="J309" s="170"/>
      <c r="K309" s="171"/>
      <c r="L309" s="171"/>
      <c r="M309" s="171"/>
      <c r="N309" s="209"/>
      <c r="O309" s="172">
        <f t="shared" si="54"/>
        <v>0</v>
      </c>
      <c r="P309" s="166"/>
      <c r="Q309" s="173"/>
      <c r="R309" s="65"/>
      <c r="S309" s="173"/>
      <c r="T309" s="173"/>
      <c r="U309" s="166"/>
      <c r="V309" s="166"/>
      <c r="W309" s="65"/>
      <c r="X309" s="66"/>
      <c r="Y309" s="173"/>
      <c r="Z309" s="166"/>
      <c r="AA309" s="174"/>
      <c r="AB309" s="175"/>
      <c r="AC309" s="175"/>
      <c r="AD309" s="175"/>
      <c r="AE309" s="175"/>
      <c r="AF309" s="175"/>
      <c r="AG309" s="175"/>
      <c r="AH309" s="175"/>
      <c r="AI309" s="176"/>
      <c r="AJ309" s="177"/>
      <c r="AK309" s="178"/>
      <c r="AL309" s="178"/>
      <c r="AM309" s="178"/>
      <c r="AN309" s="178"/>
      <c r="AO309" s="179"/>
      <c r="AP309" s="64"/>
      <c r="AQ309" s="65"/>
      <c r="AR309" s="65"/>
      <c r="AS309" s="65"/>
      <c r="AT309" s="173"/>
      <c r="AU309" s="177"/>
      <c r="AV309" s="178"/>
      <c r="AW309" s="178"/>
      <c r="AX309" s="179"/>
      <c r="AZ309" s="166"/>
      <c r="BA309" s="177"/>
      <c r="BB309" s="178"/>
      <c r="BC309" s="178"/>
      <c r="BD309" s="178"/>
      <c r="BE309" s="178"/>
      <c r="BF309" s="178"/>
      <c r="BG309" s="178"/>
      <c r="BH309" s="178"/>
      <c r="BI309" s="179"/>
      <c r="BJ309" s="180"/>
      <c r="BK309" s="178"/>
      <c r="BL309" s="178"/>
      <c r="BM309" s="178"/>
      <c r="BN309" s="178"/>
      <c r="BO309" s="181"/>
      <c r="BP309" s="166"/>
      <c r="BQ309" s="177"/>
      <c r="BR309" s="178"/>
      <c r="BS309" s="179"/>
      <c r="BU309" s="166"/>
      <c r="BV309" s="166"/>
      <c r="BW309" s="166"/>
      <c r="BX309" s="166"/>
      <c r="BY309" s="166"/>
      <c r="BZ309" s="166"/>
      <c r="CA309" s="166"/>
      <c r="CB309" s="166"/>
      <c r="CC309" s="166"/>
      <c r="CD309" s="177"/>
      <c r="CE309" s="181"/>
      <c r="CF309" s="177"/>
      <c r="CG309" s="179"/>
      <c r="CH309" s="257"/>
      <c r="CI309" s="182"/>
      <c r="CJ309" s="177"/>
      <c r="CK309" s="182"/>
      <c r="CL309" s="177"/>
      <c r="CM309" s="182"/>
      <c r="CN309" s="177"/>
      <c r="CO309" s="182"/>
      <c r="CP309" s="177"/>
      <c r="CQ309" s="178"/>
      <c r="CR309" s="182"/>
      <c r="CS309" s="173"/>
      <c r="CT309" s="65"/>
      <c r="CU309" s="271"/>
    </row>
    <row r="310" ht="60.0" hidden="1" customHeight="1">
      <c r="A310" s="65"/>
      <c r="C310" s="167"/>
      <c r="D310" s="205"/>
      <c r="E310" s="262"/>
      <c r="F310" s="170"/>
      <c r="G310" s="170"/>
      <c r="H310" s="170"/>
      <c r="I310" s="170"/>
      <c r="J310" s="170"/>
      <c r="K310" s="171"/>
      <c r="L310" s="171"/>
      <c r="M310" s="171"/>
      <c r="N310" s="209"/>
      <c r="O310" s="172">
        <f t="shared" si="54"/>
        <v>0</v>
      </c>
      <c r="P310" s="166"/>
      <c r="Q310" s="173"/>
      <c r="R310" s="65"/>
      <c r="S310" s="173"/>
      <c r="T310" s="173"/>
      <c r="U310" s="166"/>
      <c r="V310" s="166"/>
      <c r="W310" s="65"/>
      <c r="X310" s="66"/>
      <c r="Y310" s="173"/>
      <c r="Z310" s="166"/>
      <c r="AA310" s="174"/>
      <c r="AB310" s="175"/>
      <c r="AC310" s="175"/>
      <c r="AD310" s="175"/>
      <c r="AE310" s="175"/>
      <c r="AF310" s="175"/>
      <c r="AG310" s="175"/>
      <c r="AH310" s="175"/>
      <c r="AI310" s="176"/>
      <c r="AJ310" s="177"/>
      <c r="AK310" s="178"/>
      <c r="AL310" s="178"/>
      <c r="AM310" s="178"/>
      <c r="AN310" s="178"/>
      <c r="AO310" s="179"/>
      <c r="AP310" s="64"/>
      <c r="AQ310" s="65"/>
      <c r="AR310" s="65"/>
      <c r="AS310" s="65"/>
      <c r="AT310" s="173"/>
      <c r="AU310" s="177"/>
      <c r="AV310" s="178"/>
      <c r="AW310" s="178"/>
      <c r="AX310" s="179"/>
      <c r="AZ310" s="166"/>
      <c r="BA310" s="177"/>
      <c r="BB310" s="178"/>
      <c r="BC310" s="178"/>
      <c r="BD310" s="178"/>
      <c r="BE310" s="178"/>
      <c r="BF310" s="178"/>
      <c r="BG310" s="178"/>
      <c r="BH310" s="178"/>
      <c r="BI310" s="179"/>
      <c r="BJ310" s="180"/>
      <c r="BK310" s="178"/>
      <c r="BL310" s="178"/>
      <c r="BM310" s="178"/>
      <c r="BN310" s="178"/>
      <c r="BO310" s="181"/>
      <c r="BP310" s="166"/>
      <c r="BQ310" s="177"/>
      <c r="BR310" s="178"/>
      <c r="BS310" s="179"/>
      <c r="BU310" s="166"/>
      <c r="BV310" s="166"/>
      <c r="BW310" s="166"/>
      <c r="BX310" s="166"/>
      <c r="BY310" s="166"/>
      <c r="BZ310" s="166"/>
      <c r="CA310" s="166"/>
      <c r="CB310" s="166"/>
      <c r="CC310" s="166"/>
      <c r="CD310" s="177"/>
      <c r="CE310" s="181"/>
      <c r="CF310" s="177"/>
      <c r="CG310" s="179"/>
      <c r="CH310" s="257"/>
      <c r="CI310" s="182"/>
      <c r="CJ310" s="177"/>
      <c r="CK310" s="182"/>
      <c r="CL310" s="177"/>
      <c r="CM310" s="182"/>
      <c r="CN310" s="177"/>
      <c r="CO310" s="182"/>
      <c r="CP310" s="177"/>
      <c r="CQ310" s="178"/>
      <c r="CR310" s="182"/>
      <c r="CS310" s="173"/>
      <c r="CT310" s="65"/>
      <c r="CU310" s="271"/>
    </row>
    <row r="311" ht="60.0" hidden="1" customHeight="1">
      <c r="A311" s="65"/>
      <c r="C311" s="167"/>
      <c r="D311" s="205"/>
      <c r="E311" s="262"/>
      <c r="F311" s="170"/>
      <c r="G311" s="170"/>
      <c r="H311" s="170"/>
      <c r="I311" s="170"/>
      <c r="J311" s="170"/>
      <c r="K311" s="171"/>
      <c r="L311" s="171"/>
      <c r="M311" s="171"/>
      <c r="N311" s="209"/>
      <c r="O311" s="172">
        <f t="shared" si="54"/>
        <v>0</v>
      </c>
      <c r="P311" s="166"/>
      <c r="Q311" s="173"/>
      <c r="R311" s="65"/>
      <c r="S311" s="173"/>
      <c r="T311" s="173"/>
      <c r="U311" s="166"/>
      <c r="V311" s="166"/>
      <c r="W311" s="65"/>
      <c r="X311" s="66"/>
      <c r="Y311" s="173"/>
      <c r="Z311" s="166"/>
      <c r="AA311" s="174"/>
      <c r="AB311" s="175"/>
      <c r="AC311" s="175"/>
      <c r="AD311" s="175"/>
      <c r="AE311" s="175"/>
      <c r="AF311" s="175"/>
      <c r="AG311" s="175"/>
      <c r="AH311" s="175"/>
      <c r="AI311" s="176"/>
      <c r="AJ311" s="177"/>
      <c r="AK311" s="178"/>
      <c r="AL311" s="178"/>
      <c r="AM311" s="178"/>
      <c r="AN311" s="178"/>
      <c r="AO311" s="179"/>
      <c r="AP311" s="64"/>
      <c r="AQ311" s="65"/>
      <c r="AR311" s="65"/>
      <c r="AS311" s="65"/>
      <c r="AT311" s="173"/>
      <c r="AU311" s="177"/>
      <c r="AV311" s="178"/>
      <c r="AW311" s="178"/>
      <c r="AX311" s="179"/>
      <c r="AZ311" s="166"/>
      <c r="BA311" s="177"/>
      <c r="BB311" s="178"/>
      <c r="BC311" s="178"/>
      <c r="BD311" s="178"/>
      <c r="BE311" s="178"/>
      <c r="BF311" s="178"/>
      <c r="BG311" s="178"/>
      <c r="BH311" s="178"/>
      <c r="BI311" s="179"/>
      <c r="BJ311" s="180"/>
      <c r="BK311" s="178"/>
      <c r="BL311" s="178"/>
      <c r="BM311" s="178"/>
      <c r="BN311" s="178"/>
      <c r="BO311" s="181"/>
      <c r="BP311" s="166"/>
      <c r="BQ311" s="177"/>
      <c r="BR311" s="178"/>
      <c r="BS311" s="179"/>
      <c r="BU311" s="166"/>
      <c r="BV311" s="166"/>
      <c r="BW311" s="166"/>
      <c r="BX311" s="166"/>
      <c r="BY311" s="166"/>
      <c r="BZ311" s="166"/>
      <c r="CA311" s="166"/>
      <c r="CB311" s="166"/>
      <c r="CC311" s="166"/>
      <c r="CD311" s="177"/>
      <c r="CE311" s="181"/>
      <c r="CF311" s="177"/>
      <c r="CG311" s="179"/>
      <c r="CH311" s="257"/>
      <c r="CI311" s="182"/>
      <c r="CJ311" s="177"/>
      <c r="CK311" s="182"/>
      <c r="CL311" s="177"/>
      <c r="CM311" s="182"/>
      <c r="CN311" s="177"/>
      <c r="CO311" s="182"/>
      <c r="CP311" s="177"/>
      <c r="CQ311" s="178"/>
      <c r="CR311" s="182"/>
      <c r="CS311" s="173"/>
      <c r="CT311" s="65"/>
      <c r="CU311" s="271"/>
    </row>
    <row r="312" ht="60.0" hidden="1" customHeight="1">
      <c r="A312" s="65"/>
      <c r="C312" s="167"/>
      <c r="D312" s="205"/>
      <c r="E312" s="262"/>
      <c r="F312" s="170"/>
      <c r="G312" s="170"/>
      <c r="H312" s="170"/>
      <c r="I312" s="170"/>
      <c r="J312" s="170"/>
      <c r="K312" s="171"/>
      <c r="L312" s="171"/>
      <c r="M312" s="171"/>
      <c r="N312" s="209"/>
      <c r="O312" s="172">
        <f t="shared" si="54"/>
        <v>0</v>
      </c>
      <c r="P312" s="166"/>
      <c r="Q312" s="173"/>
      <c r="R312" s="65"/>
      <c r="S312" s="173"/>
      <c r="T312" s="173"/>
      <c r="U312" s="166"/>
      <c r="V312" s="166"/>
      <c r="W312" s="65"/>
      <c r="X312" s="66"/>
      <c r="Y312" s="173"/>
      <c r="Z312" s="166"/>
      <c r="AA312" s="174"/>
      <c r="AB312" s="175"/>
      <c r="AC312" s="175"/>
      <c r="AD312" s="175"/>
      <c r="AE312" s="175"/>
      <c r="AF312" s="175"/>
      <c r="AG312" s="175"/>
      <c r="AH312" s="175"/>
      <c r="AI312" s="176"/>
      <c r="AJ312" s="177"/>
      <c r="AK312" s="178"/>
      <c r="AL312" s="178"/>
      <c r="AM312" s="178"/>
      <c r="AN312" s="178"/>
      <c r="AO312" s="179"/>
      <c r="AP312" s="64"/>
      <c r="AQ312" s="65"/>
      <c r="AR312" s="65"/>
      <c r="AS312" s="65"/>
      <c r="AT312" s="173"/>
      <c r="AU312" s="177"/>
      <c r="AV312" s="178"/>
      <c r="AW312" s="178"/>
      <c r="AX312" s="179"/>
      <c r="AZ312" s="166"/>
      <c r="BA312" s="177"/>
      <c r="BB312" s="178"/>
      <c r="BC312" s="178"/>
      <c r="BD312" s="178"/>
      <c r="BE312" s="178"/>
      <c r="BF312" s="178"/>
      <c r="BG312" s="178"/>
      <c r="BH312" s="178"/>
      <c r="BI312" s="179"/>
      <c r="BJ312" s="180"/>
      <c r="BK312" s="178"/>
      <c r="BL312" s="178"/>
      <c r="BM312" s="178"/>
      <c r="BN312" s="178"/>
      <c r="BO312" s="181"/>
      <c r="BP312" s="166"/>
      <c r="BQ312" s="177"/>
      <c r="BR312" s="178"/>
      <c r="BS312" s="179"/>
      <c r="BU312" s="166"/>
      <c r="BV312" s="166"/>
      <c r="BW312" s="166"/>
      <c r="BX312" s="166"/>
      <c r="BY312" s="166"/>
      <c r="BZ312" s="166"/>
      <c r="CA312" s="166"/>
      <c r="CB312" s="166"/>
      <c r="CC312" s="166"/>
      <c r="CD312" s="177"/>
      <c r="CE312" s="181"/>
      <c r="CF312" s="177"/>
      <c r="CG312" s="179"/>
      <c r="CH312" s="257"/>
      <c r="CI312" s="182"/>
      <c r="CJ312" s="177"/>
      <c r="CK312" s="182"/>
      <c r="CL312" s="177"/>
      <c r="CM312" s="182"/>
      <c r="CN312" s="177"/>
      <c r="CO312" s="182"/>
      <c r="CP312" s="177"/>
      <c r="CQ312" s="178"/>
      <c r="CR312" s="182"/>
      <c r="CS312" s="173"/>
      <c r="CT312" s="65"/>
      <c r="CU312" s="271"/>
    </row>
    <row r="313" ht="60.0" hidden="1" customHeight="1">
      <c r="A313" s="65"/>
      <c r="C313" s="167"/>
      <c r="D313" s="205"/>
      <c r="E313" s="262"/>
      <c r="F313" s="170"/>
      <c r="G313" s="170"/>
      <c r="H313" s="170"/>
      <c r="I313" s="170"/>
      <c r="J313" s="170"/>
      <c r="K313" s="171"/>
      <c r="L313" s="171"/>
      <c r="M313" s="171"/>
      <c r="N313" s="209"/>
      <c r="O313" s="172">
        <f t="shared" si="54"/>
        <v>0</v>
      </c>
      <c r="P313" s="166"/>
      <c r="Q313" s="173"/>
      <c r="R313" s="65"/>
      <c r="S313" s="173"/>
      <c r="T313" s="173"/>
      <c r="U313" s="166"/>
      <c r="V313" s="166"/>
      <c r="W313" s="65"/>
      <c r="X313" s="66"/>
      <c r="Y313" s="173"/>
      <c r="Z313" s="166"/>
      <c r="AA313" s="174"/>
      <c r="AB313" s="175"/>
      <c r="AC313" s="175"/>
      <c r="AD313" s="175"/>
      <c r="AE313" s="175"/>
      <c r="AF313" s="175"/>
      <c r="AG313" s="175"/>
      <c r="AH313" s="175"/>
      <c r="AI313" s="176"/>
      <c r="AJ313" s="177"/>
      <c r="AK313" s="178"/>
      <c r="AL313" s="178"/>
      <c r="AM313" s="178"/>
      <c r="AN313" s="178"/>
      <c r="AO313" s="179"/>
      <c r="AP313" s="64"/>
      <c r="AQ313" s="65"/>
      <c r="AR313" s="65"/>
      <c r="AS313" s="65"/>
      <c r="AT313" s="173"/>
      <c r="AU313" s="177"/>
      <c r="AV313" s="178"/>
      <c r="AW313" s="178"/>
      <c r="AX313" s="179"/>
      <c r="AZ313" s="166"/>
      <c r="BA313" s="177"/>
      <c r="BB313" s="178"/>
      <c r="BC313" s="178"/>
      <c r="BD313" s="178"/>
      <c r="BE313" s="178"/>
      <c r="BF313" s="178"/>
      <c r="BG313" s="178"/>
      <c r="BH313" s="178"/>
      <c r="BI313" s="179"/>
      <c r="BJ313" s="180"/>
      <c r="BK313" s="178"/>
      <c r="BL313" s="178"/>
      <c r="BM313" s="178"/>
      <c r="BN313" s="178"/>
      <c r="BO313" s="181"/>
      <c r="BP313" s="166"/>
      <c r="BQ313" s="177"/>
      <c r="BR313" s="178"/>
      <c r="BS313" s="179"/>
      <c r="BU313" s="166"/>
      <c r="BV313" s="166"/>
      <c r="BW313" s="166"/>
      <c r="BX313" s="166"/>
      <c r="BY313" s="166"/>
      <c r="BZ313" s="166"/>
      <c r="CA313" s="166"/>
      <c r="CB313" s="166"/>
      <c r="CC313" s="166"/>
      <c r="CD313" s="177"/>
      <c r="CE313" s="181"/>
      <c r="CF313" s="177"/>
      <c r="CG313" s="179"/>
      <c r="CH313" s="257"/>
      <c r="CI313" s="182"/>
      <c r="CJ313" s="177"/>
      <c r="CK313" s="182"/>
      <c r="CL313" s="177"/>
      <c r="CM313" s="182"/>
      <c r="CN313" s="177"/>
      <c r="CO313" s="182"/>
      <c r="CP313" s="177"/>
      <c r="CQ313" s="178"/>
      <c r="CR313" s="182"/>
      <c r="CS313" s="173"/>
      <c r="CT313" s="65"/>
      <c r="CU313" s="271"/>
    </row>
    <row r="314" ht="60.0" hidden="1" customHeight="1">
      <c r="A314" s="65"/>
      <c r="C314" s="167"/>
      <c r="D314" s="205"/>
      <c r="E314" s="262"/>
      <c r="F314" s="170"/>
      <c r="G314" s="170"/>
      <c r="H314" s="170"/>
      <c r="I314" s="170"/>
      <c r="J314" s="170"/>
      <c r="K314" s="171"/>
      <c r="L314" s="171"/>
      <c r="M314" s="171"/>
      <c r="N314" s="209"/>
      <c r="O314" s="172">
        <f t="shared" si="54"/>
        <v>0</v>
      </c>
      <c r="P314" s="166"/>
      <c r="Q314" s="173"/>
      <c r="R314" s="65"/>
      <c r="S314" s="173"/>
      <c r="T314" s="173"/>
      <c r="U314" s="166"/>
      <c r="V314" s="166"/>
      <c r="W314" s="65"/>
      <c r="X314" s="66"/>
      <c r="Y314" s="173"/>
      <c r="Z314" s="166"/>
      <c r="AA314" s="174"/>
      <c r="AB314" s="175"/>
      <c r="AC314" s="175"/>
      <c r="AD314" s="175"/>
      <c r="AE314" s="175"/>
      <c r="AF314" s="175"/>
      <c r="AG314" s="175"/>
      <c r="AH314" s="175"/>
      <c r="AI314" s="176"/>
      <c r="AJ314" s="177"/>
      <c r="AK314" s="178"/>
      <c r="AL314" s="178"/>
      <c r="AM314" s="178"/>
      <c r="AN314" s="178"/>
      <c r="AO314" s="179"/>
      <c r="AP314" s="64"/>
      <c r="AQ314" s="65"/>
      <c r="AR314" s="65"/>
      <c r="AS314" s="65"/>
      <c r="AT314" s="173"/>
      <c r="AU314" s="177"/>
      <c r="AV314" s="178"/>
      <c r="AW314" s="178"/>
      <c r="AX314" s="179"/>
      <c r="AZ314" s="166"/>
      <c r="BA314" s="177"/>
      <c r="BB314" s="178"/>
      <c r="BC314" s="178"/>
      <c r="BD314" s="178"/>
      <c r="BE314" s="178"/>
      <c r="BF314" s="178"/>
      <c r="BG314" s="178"/>
      <c r="BH314" s="178"/>
      <c r="BI314" s="179"/>
      <c r="BJ314" s="180"/>
      <c r="BK314" s="178"/>
      <c r="BL314" s="178"/>
      <c r="BM314" s="178"/>
      <c r="BN314" s="178"/>
      <c r="BO314" s="181"/>
      <c r="BP314" s="166"/>
      <c r="BQ314" s="177"/>
      <c r="BR314" s="178"/>
      <c r="BS314" s="179"/>
      <c r="BU314" s="166"/>
      <c r="BV314" s="166"/>
      <c r="BW314" s="166"/>
      <c r="BX314" s="166"/>
      <c r="BY314" s="166"/>
      <c r="BZ314" s="166"/>
      <c r="CA314" s="166"/>
      <c r="CB314" s="166"/>
      <c r="CC314" s="166"/>
      <c r="CD314" s="177"/>
      <c r="CE314" s="181"/>
      <c r="CF314" s="177"/>
      <c r="CG314" s="179"/>
      <c r="CH314" s="257"/>
      <c r="CI314" s="182"/>
      <c r="CJ314" s="177"/>
      <c r="CK314" s="182"/>
      <c r="CL314" s="177"/>
      <c r="CM314" s="182"/>
      <c r="CN314" s="177"/>
      <c r="CO314" s="182"/>
      <c r="CP314" s="177"/>
      <c r="CQ314" s="178"/>
      <c r="CR314" s="182"/>
      <c r="CS314" s="173"/>
      <c r="CT314" s="65"/>
      <c r="CU314" s="271"/>
    </row>
    <row r="315" ht="60.0" hidden="1" customHeight="1">
      <c r="A315" s="89"/>
      <c r="B315" s="6"/>
      <c r="C315" s="183"/>
      <c r="D315" s="210"/>
      <c r="E315" s="264"/>
      <c r="F315" s="227"/>
      <c r="G315" s="227"/>
      <c r="H315" s="227"/>
      <c r="I315" s="227"/>
      <c r="J315" s="227"/>
      <c r="K315" s="228"/>
      <c r="L315" s="228"/>
      <c r="M315" s="228"/>
      <c r="N315" s="229"/>
      <c r="O315" s="188">
        <f t="shared" si="54"/>
        <v>0</v>
      </c>
      <c r="P315" s="63"/>
      <c r="Q315" s="69"/>
      <c r="R315" s="89"/>
      <c r="S315" s="69"/>
      <c r="T315" s="69"/>
      <c r="U315" s="63"/>
      <c r="V315" s="63"/>
      <c r="W315" s="89"/>
      <c r="X315" s="68"/>
      <c r="Y315" s="69"/>
      <c r="Z315" s="63"/>
      <c r="AA315" s="189"/>
      <c r="AB315" s="190"/>
      <c r="AC315" s="190"/>
      <c r="AD315" s="190"/>
      <c r="AE315" s="190"/>
      <c r="AF315" s="190"/>
      <c r="AG315" s="190"/>
      <c r="AH315" s="190"/>
      <c r="AI315" s="191"/>
      <c r="AJ315" s="192"/>
      <c r="AK315" s="193"/>
      <c r="AL315" s="193"/>
      <c r="AM315" s="193"/>
      <c r="AN315" s="193"/>
      <c r="AO315" s="194"/>
      <c r="AP315" s="103"/>
      <c r="AQ315" s="89"/>
      <c r="AR315" s="89"/>
      <c r="AS315" s="89"/>
      <c r="AT315" s="69"/>
      <c r="AU315" s="192"/>
      <c r="AV315" s="193"/>
      <c r="AW315" s="193"/>
      <c r="AX315" s="194"/>
      <c r="AY315" s="6"/>
      <c r="AZ315" s="63"/>
      <c r="BA315" s="192"/>
      <c r="BB315" s="193"/>
      <c r="BC315" s="193"/>
      <c r="BD315" s="193"/>
      <c r="BE315" s="193"/>
      <c r="BF315" s="193"/>
      <c r="BG315" s="193"/>
      <c r="BH315" s="193"/>
      <c r="BI315" s="194"/>
      <c r="BJ315" s="195"/>
      <c r="BK315" s="193"/>
      <c r="BL315" s="193"/>
      <c r="BM315" s="193"/>
      <c r="BN315" s="193"/>
      <c r="BO315" s="196"/>
      <c r="BP315" s="63"/>
      <c r="BQ315" s="192"/>
      <c r="BR315" s="193"/>
      <c r="BS315" s="194"/>
      <c r="BT315" s="6"/>
      <c r="BU315" s="63"/>
      <c r="BV315" s="63"/>
      <c r="BW315" s="63"/>
      <c r="BX315" s="63"/>
      <c r="BY315" s="63"/>
      <c r="BZ315" s="63"/>
      <c r="CA315" s="63"/>
      <c r="CB315" s="63"/>
      <c r="CC315" s="63"/>
      <c r="CD315" s="192"/>
      <c r="CE315" s="196"/>
      <c r="CF315" s="192"/>
      <c r="CG315" s="194"/>
      <c r="CH315" s="259"/>
      <c r="CI315" s="197"/>
      <c r="CJ315" s="192"/>
      <c r="CK315" s="197"/>
      <c r="CL315" s="192"/>
      <c r="CM315" s="197"/>
      <c r="CN315" s="192"/>
      <c r="CO315" s="197"/>
      <c r="CP315" s="192"/>
      <c r="CQ315" s="193"/>
      <c r="CR315" s="197"/>
      <c r="CS315" s="69"/>
      <c r="CT315" s="89"/>
      <c r="CU315" s="272"/>
    </row>
    <row r="316" ht="57.0" customHeight="1">
      <c r="A316" s="233"/>
      <c r="B316" s="235"/>
      <c r="C316" s="265"/>
      <c r="D316" s="265"/>
      <c r="E316" s="230"/>
      <c r="F316" s="231"/>
      <c r="G316" s="231"/>
      <c r="H316" s="231"/>
      <c r="I316" s="231"/>
      <c r="J316" s="231"/>
      <c r="K316" s="231"/>
      <c r="L316" s="231"/>
      <c r="M316" s="231"/>
      <c r="N316" s="237"/>
      <c r="O316" s="238">
        <f t="shared" ref="O316:X316" si="55">SUM(O8:O315)</f>
        <v>0</v>
      </c>
      <c r="P316" s="239">
        <f t="shared" si="55"/>
        <v>0</v>
      </c>
      <c r="Q316" s="239">
        <f t="shared" si="55"/>
        <v>0</v>
      </c>
      <c r="R316" s="239">
        <f t="shared" si="55"/>
        <v>0</v>
      </c>
      <c r="S316" s="239">
        <f t="shared" si="55"/>
        <v>0</v>
      </c>
      <c r="T316" s="239">
        <f t="shared" si="55"/>
        <v>0</v>
      </c>
      <c r="U316" s="239">
        <f t="shared" si="55"/>
        <v>0</v>
      </c>
      <c r="V316" s="239">
        <f t="shared" si="55"/>
        <v>0</v>
      </c>
      <c r="W316" s="239">
        <f t="shared" si="55"/>
        <v>0</v>
      </c>
      <c r="X316" s="239">
        <f t="shared" si="55"/>
        <v>0</v>
      </c>
      <c r="Y316" s="240">
        <f>SUM(SUM(O8:O18)-X8,SUM(O19:O29)-X19,SUM(O30:O40)-X30,SUM(O41:O51)-X41,SUM(O52:O62)-X52,SUM(O63:O73)-X63,SUM(O74:O84)-X74,SUM(O85:O95)-X85,SUM(O96:O106)-X96,SUM(O107:O117)-X107,SUM(O118:O128)-X118,SUM(O129:O139)-X129,SUM(O140:O150)-X140,SUM(O151:O161)-X151,SUM(O162:O172)-X162,SUM(O173:O183)-X173,SUM(O184:O194)-X184,SUM(O195:O205)-X195,SUM(O206:O216)-X206,SUM(O217:O227)-X217,SUM(O228:O238)-X228,SUM(O239:O249)-X239,SUM(O250:O260)-X250,SUM(O261:O271)-X261,SUM(O272:O282)-X272,SUM(O283:O293)-X283,SUM(O294:O304)-X294,SUM(O305:O315)-X305)</f>
        <v>0</v>
      </c>
      <c r="Z316" s="239">
        <f t="shared" ref="Z316:CT316" si="56">SUM(Z8:Z315)</f>
        <v>0</v>
      </c>
      <c r="AA316" s="239">
        <f t="shared" si="56"/>
        <v>0</v>
      </c>
      <c r="AB316" s="239">
        <f t="shared" si="56"/>
        <v>0</v>
      </c>
      <c r="AC316" s="239">
        <f t="shared" si="56"/>
        <v>0</v>
      </c>
      <c r="AD316" s="239">
        <f t="shared" si="56"/>
        <v>0</v>
      </c>
      <c r="AE316" s="239">
        <f t="shared" si="56"/>
        <v>0</v>
      </c>
      <c r="AF316" s="239">
        <f t="shared" si="56"/>
        <v>0</v>
      </c>
      <c r="AG316" s="239">
        <f t="shared" si="56"/>
        <v>0</v>
      </c>
      <c r="AH316" s="239">
        <f t="shared" si="56"/>
        <v>0</v>
      </c>
      <c r="AI316" s="239">
        <f t="shared" si="56"/>
        <v>0</v>
      </c>
      <c r="AJ316" s="239">
        <f t="shared" si="56"/>
        <v>0</v>
      </c>
      <c r="AK316" s="239">
        <f t="shared" si="56"/>
        <v>0</v>
      </c>
      <c r="AL316" s="239">
        <f t="shared" si="56"/>
        <v>0</v>
      </c>
      <c r="AM316" s="239">
        <f t="shared" si="56"/>
        <v>0</v>
      </c>
      <c r="AN316" s="239">
        <f t="shared" si="56"/>
        <v>0</v>
      </c>
      <c r="AO316" s="239">
        <f t="shared" si="56"/>
        <v>0</v>
      </c>
      <c r="AP316" s="239">
        <f t="shared" si="56"/>
        <v>0</v>
      </c>
      <c r="AQ316" s="239">
        <f t="shared" si="56"/>
        <v>0</v>
      </c>
      <c r="AR316" s="239">
        <f t="shared" si="56"/>
        <v>0</v>
      </c>
      <c r="AS316" s="239">
        <f t="shared" si="56"/>
        <v>18.2</v>
      </c>
      <c r="AT316" s="239">
        <f t="shared" si="56"/>
        <v>4.55</v>
      </c>
      <c r="AU316" s="239">
        <f t="shared" si="56"/>
        <v>0</v>
      </c>
      <c r="AV316" s="239">
        <f t="shared" si="56"/>
        <v>0</v>
      </c>
      <c r="AW316" s="239">
        <f t="shared" si="56"/>
        <v>0</v>
      </c>
      <c r="AX316" s="239">
        <f t="shared" si="56"/>
        <v>0</v>
      </c>
      <c r="AY316" s="239">
        <f t="shared" si="56"/>
        <v>0</v>
      </c>
      <c r="AZ316" s="239">
        <f t="shared" si="56"/>
        <v>0</v>
      </c>
      <c r="BA316" s="239">
        <f t="shared" si="56"/>
        <v>8</v>
      </c>
      <c r="BB316" s="239">
        <f t="shared" si="56"/>
        <v>0</v>
      </c>
      <c r="BC316" s="239">
        <f t="shared" si="56"/>
        <v>42</v>
      </c>
      <c r="BD316" s="239">
        <f t="shared" si="56"/>
        <v>1031</v>
      </c>
      <c r="BE316" s="239">
        <f t="shared" si="56"/>
        <v>0</v>
      </c>
      <c r="BF316" s="239">
        <f t="shared" si="56"/>
        <v>0</v>
      </c>
      <c r="BG316" s="239">
        <f t="shared" si="56"/>
        <v>9</v>
      </c>
      <c r="BH316" s="239">
        <f t="shared" si="56"/>
        <v>0</v>
      </c>
      <c r="BI316" s="239">
        <f t="shared" si="56"/>
        <v>12</v>
      </c>
      <c r="BJ316" s="239">
        <f t="shared" si="56"/>
        <v>0</v>
      </c>
      <c r="BK316" s="239">
        <f t="shared" si="56"/>
        <v>0</v>
      </c>
      <c r="BL316" s="239">
        <f t="shared" si="56"/>
        <v>0</v>
      </c>
      <c r="BM316" s="239">
        <f t="shared" si="56"/>
        <v>6.2</v>
      </c>
      <c r="BN316" s="239">
        <f t="shared" si="56"/>
        <v>0</v>
      </c>
      <c r="BO316" s="239">
        <f t="shared" si="56"/>
        <v>0</v>
      </c>
      <c r="BP316" s="239">
        <f t="shared" si="56"/>
        <v>0</v>
      </c>
      <c r="BQ316" s="239">
        <f t="shared" si="56"/>
        <v>0</v>
      </c>
      <c r="BR316" s="239">
        <f t="shared" si="56"/>
        <v>0</v>
      </c>
      <c r="BS316" s="239">
        <f t="shared" si="56"/>
        <v>0</v>
      </c>
      <c r="BT316" s="239">
        <f t="shared" si="56"/>
        <v>0</v>
      </c>
      <c r="BU316" s="239">
        <f t="shared" si="56"/>
        <v>0</v>
      </c>
      <c r="BV316" s="239">
        <f t="shared" si="56"/>
        <v>0</v>
      </c>
      <c r="BW316" s="239">
        <f t="shared" si="56"/>
        <v>0</v>
      </c>
      <c r="BX316" s="239">
        <f t="shared" si="56"/>
        <v>0</v>
      </c>
      <c r="BY316" s="239">
        <f t="shared" si="56"/>
        <v>0</v>
      </c>
      <c r="BZ316" s="239">
        <f t="shared" si="56"/>
        <v>0</v>
      </c>
      <c r="CA316" s="239">
        <f t="shared" si="56"/>
        <v>0</v>
      </c>
      <c r="CB316" s="239">
        <f t="shared" si="56"/>
        <v>0</v>
      </c>
      <c r="CC316" s="239">
        <f t="shared" si="56"/>
        <v>0</v>
      </c>
      <c r="CD316" s="239">
        <f t="shared" si="56"/>
        <v>0</v>
      </c>
      <c r="CE316" s="239">
        <f t="shared" si="56"/>
        <v>0</v>
      </c>
      <c r="CF316" s="239">
        <f t="shared" si="56"/>
        <v>0</v>
      </c>
      <c r="CG316" s="239">
        <f t="shared" si="56"/>
        <v>0</v>
      </c>
      <c r="CH316" s="239">
        <f t="shared" si="56"/>
        <v>1</v>
      </c>
      <c r="CI316" s="239">
        <f t="shared" si="56"/>
        <v>0</v>
      </c>
      <c r="CJ316" s="239">
        <f t="shared" si="56"/>
        <v>0</v>
      </c>
      <c r="CK316" s="239">
        <f t="shared" si="56"/>
        <v>0</v>
      </c>
      <c r="CL316" s="239">
        <f t="shared" si="56"/>
        <v>0</v>
      </c>
      <c r="CM316" s="239">
        <f t="shared" si="56"/>
        <v>0</v>
      </c>
      <c r="CN316" s="239">
        <f t="shared" si="56"/>
        <v>0</v>
      </c>
      <c r="CO316" s="239">
        <f t="shared" si="56"/>
        <v>0</v>
      </c>
      <c r="CP316" s="239">
        <f t="shared" si="56"/>
        <v>0</v>
      </c>
      <c r="CQ316" s="239">
        <f t="shared" si="56"/>
        <v>0</v>
      </c>
      <c r="CR316" s="239">
        <f t="shared" si="56"/>
        <v>0</v>
      </c>
      <c r="CS316" s="239">
        <f t="shared" si="56"/>
        <v>0</v>
      </c>
      <c r="CT316" s="239">
        <f t="shared" si="56"/>
        <v>18.2</v>
      </c>
      <c r="CU316" s="236"/>
    </row>
  </sheetData>
  <mergeCells count="2183">
    <mergeCell ref="CN151:CN161"/>
    <mergeCell ref="CO151:CO161"/>
    <mergeCell ref="CP151:CP161"/>
    <mergeCell ref="CQ151:CQ161"/>
    <mergeCell ref="CR151:CR161"/>
    <mergeCell ref="CS151:CS161"/>
    <mergeCell ref="CT151:CT161"/>
    <mergeCell ref="CG151:CG161"/>
    <mergeCell ref="CH151:CH161"/>
    <mergeCell ref="CI151:CI161"/>
    <mergeCell ref="CJ151:CJ161"/>
    <mergeCell ref="CK151:CK161"/>
    <mergeCell ref="CL151:CL161"/>
    <mergeCell ref="CM151:CM161"/>
    <mergeCell ref="AQ151:AQ161"/>
    <mergeCell ref="AR151:AR161"/>
    <mergeCell ref="AS151:AS161"/>
    <mergeCell ref="AT151:AT161"/>
    <mergeCell ref="AU151:AU161"/>
    <mergeCell ref="AV151:AV161"/>
    <mergeCell ref="AW151:AW161"/>
    <mergeCell ref="AX151:AX161"/>
    <mergeCell ref="AY151:AY161"/>
    <mergeCell ref="AZ151:AZ161"/>
    <mergeCell ref="BA151:BA161"/>
    <mergeCell ref="BB151:BB161"/>
    <mergeCell ref="BC151:BC161"/>
    <mergeCell ref="BD151:BD161"/>
    <mergeCell ref="BE151:BE161"/>
    <mergeCell ref="BF151:BF161"/>
    <mergeCell ref="BG151:BG161"/>
    <mergeCell ref="BH151:BH161"/>
    <mergeCell ref="BI151:BI161"/>
    <mergeCell ref="BJ151:BJ161"/>
    <mergeCell ref="BK151:BK161"/>
    <mergeCell ref="BL151:BL161"/>
    <mergeCell ref="BM151:BM161"/>
    <mergeCell ref="BN151:BN161"/>
    <mergeCell ref="BO151:BO161"/>
    <mergeCell ref="BP151:BP161"/>
    <mergeCell ref="BQ151:BQ161"/>
    <mergeCell ref="BR151:BR161"/>
    <mergeCell ref="BS151:BS161"/>
    <mergeCell ref="BT151:BT161"/>
    <mergeCell ref="BU151:BU161"/>
    <mergeCell ref="BV151:BV161"/>
    <mergeCell ref="BW151:BW161"/>
    <mergeCell ref="BX151:BX161"/>
    <mergeCell ref="BY151:BY161"/>
    <mergeCell ref="BZ151:BZ161"/>
    <mergeCell ref="CA151:CA161"/>
    <mergeCell ref="CB151:CB161"/>
    <mergeCell ref="CC151:CC161"/>
    <mergeCell ref="CD151:CD161"/>
    <mergeCell ref="CE151:CE161"/>
    <mergeCell ref="CF151:CF161"/>
    <mergeCell ref="AJ151:AJ161"/>
    <mergeCell ref="AK151:AK161"/>
    <mergeCell ref="AL151:AL161"/>
    <mergeCell ref="AM151:AM161"/>
    <mergeCell ref="AN151:AN161"/>
    <mergeCell ref="AO151:AO161"/>
    <mergeCell ref="AP151:AP161"/>
    <mergeCell ref="CN96:CN106"/>
    <mergeCell ref="CO96:CO106"/>
    <mergeCell ref="CG96:CG106"/>
    <mergeCell ref="CH96:CH106"/>
    <mergeCell ref="CI96:CI106"/>
    <mergeCell ref="CJ96:CJ106"/>
    <mergeCell ref="CK96:CK106"/>
    <mergeCell ref="CL96:CL106"/>
    <mergeCell ref="CM96:CM106"/>
    <mergeCell ref="AQ96:AQ106"/>
    <mergeCell ref="AR96:AR106"/>
    <mergeCell ref="AS96:AS106"/>
    <mergeCell ref="AT96:AT106"/>
    <mergeCell ref="AU96:AU106"/>
    <mergeCell ref="AV96:AV106"/>
    <mergeCell ref="AW96:AW106"/>
    <mergeCell ref="AX96:AX106"/>
    <mergeCell ref="AY96:AY106"/>
    <mergeCell ref="AZ96:AZ106"/>
    <mergeCell ref="BA96:BA106"/>
    <mergeCell ref="BB96:BB106"/>
    <mergeCell ref="BC96:BC106"/>
    <mergeCell ref="BD96:BD106"/>
    <mergeCell ref="BE96:BE106"/>
    <mergeCell ref="BF96:BF106"/>
    <mergeCell ref="BG96:BG106"/>
    <mergeCell ref="BH96:BH106"/>
    <mergeCell ref="BI96:BI106"/>
    <mergeCell ref="BJ96:BJ106"/>
    <mergeCell ref="BK96:BK106"/>
    <mergeCell ref="BL96:BL106"/>
    <mergeCell ref="BM96:BM106"/>
    <mergeCell ref="BN96:BN106"/>
    <mergeCell ref="BO96:BO106"/>
    <mergeCell ref="BP96:BP106"/>
    <mergeCell ref="BQ96:BQ106"/>
    <mergeCell ref="BR96:BR106"/>
    <mergeCell ref="BS96:BS106"/>
    <mergeCell ref="BT96:BT106"/>
    <mergeCell ref="BU96:BU106"/>
    <mergeCell ref="BV96:BV106"/>
    <mergeCell ref="BW96:BW106"/>
    <mergeCell ref="BX96:BX106"/>
    <mergeCell ref="BY96:BY106"/>
    <mergeCell ref="BZ96:BZ106"/>
    <mergeCell ref="CA96:CA106"/>
    <mergeCell ref="CB96:CB106"/>
    <mergeCell ref="CC96:CC106"/>
    <mergeCell ref="CD96:CD106"/>
    <mergeCell ref="CE96:CE106"/>
    <mergeCell ref="CF96:CF106"/>
    <mergeCell ref="AJ96:AJ106"/>
    <mergeCell ref="AK96:AK106"/>
    <mergeCell ref="AL96:AL106"/>
    <mergeCell ref="AM96:AM106"/>
    <mergeCell ref="AN96:AN106"/>
    <mergeCell ref="AO96:AO106"/>
    <mergeCell ref="AP96:AP106"/>
    <mergeCell ref="CN107:CN117"/>
    <mergeCell ref="CO107:CO117"/>
    <mergeCell ref="CP107:CP117"/>
    <mergeCell ref="CQ107:CQ117"/>
    <mergeCell ref="CR107:CR117"/>
    <mergeCell ref="CS107:CS117"/>
    <mergeCell ref="CT107:CT117"/>
    <mergeCell ref="CG107:CG117"/>
    <mergeCell ref="CH107:CH117"/>
    <mergeCell ref="CI107:CI117"/>
    <mergeCell ref="CJ107:CJ117"/>
    <mergeCell ref="CK107:CK117"/>
    <mergeCell ref="CL107:CL117"/>
    <mergeCell ref="CM107:CM117"/>
    <mergeCell ref="AQ107:AQ117"/>
    <mergeCell ref="AR107:AR117"/>
    <mergeCell ref="AS107:AS117"/>
    <mergeCell ref="AT107:AT117"/>
    <mergeCell ref="AU107:AU117"/>
    <mergeCell ref="AV107:AV117"/>
    <mergeCell ref="AW107:AW117"/>
    <mergeCell ref="AX107:AX117"/>
    <mergeCell ref="AY107:AY117"/>
    <mergeCell ref="AZ107:AZ117"/>
    <mergeCell ref="BA107:BA117"/>
    <mergeCell ref="BB107:BB117"/>
    <mergeCell ref="BC107:BC117"/>
    <mergeCell ref="BD107:BD117"/>
    <mergeCell ref="BE107:BE117"/>
    <mergeCell ref="BF107:BF117"/>
    <mergeCell ref="BG107:BG117"/>
    <mergeCell ref="BH107:BH117"/>
    <mergeCell ref="BI107:BI117"/>
    <mergeCell ref="BJ107:BJ117"/>
    <mergeCell ref="BK107:BK117"/>
    <mergeCell ref="BL107:BL117"/>
    <mergeCell ref="BM107:BM117"/>
    <mergeCell ref="BN107:BN117"/>
    <mergeCell ref="BO107:BO117"/>
    <mergeCell ref="BP107:BP117"/>
    <mergeCell ref="BQ107:BQ117"/>
    <mergeCell ref="BR107:BR117"/>
    <mergeCell ref="BS107:BS117"/>
    <mergeCell ref="BT107:BT117"/>
    <mergeCell ref="BU107:BU117"/>
    <mergeCell ref="BV107:BV117"/>
    <mergeCell ref="BW107:BW117"/>
    <mergeCell ref="BX107:BX117"/>
    <mergeCell ref="BY107:BY117"/>
    <mergeCell ref="BZ107:BZ117"/>
    <mergeCell ref="CA107:CA117"/>
    <mergeCell ref="CB107:CB117"/>
    <mergeCell ref="CC107:CC117"/>
    <mergeCell ref="CD107:CD117"/>
    <mergeCell ref="CE107:CE117"/>
    <mergeCell ref="CF107:CF117"/>
    <mergeCell ref="AJ107:AJ117"/>
    <mergeCell ref="AK107:AK117"/>
    <mergeCell ref="AL107:AL117"/>
    <mergeCell ref="AM107:AM117"/>
    <mergeCell ref="AN107:AN117"/>
    <mergeCell ref="AO107:AO117"/>
    <mergeCell ref="AP107:AP117"/>
    <mergeCell ref="CN118:CN128"/>
    <mergeCell ref="CO118:CO128"/>
    <mergeCell ref="CP118:CP128"/>
    <mergeCell ref="CQ118:CQ128"/>
    <mergeCell ref="CR118:CR128"/>
    <mergeCell ref="CS118:CS128"/>
    <mergeCell ref="CT118:CT128"/>
    <mergeCell ref="CG118:CG128"/>
    <mergeCell ref="CH118:CH128"/>
    <mergeCell ref="CI118:CI128"/>
    <mergeCell ref="CJ118:CJ128"/>
    <mergeCell ref="CK118:CK128"/>
    <mergeCell ref="CL118:CL128"/>
    <mergeCell ref="CM118:CM128"/>
    <mergeCell ref="AQ118:AQ128"/>
    <mergeCell ref="AR118:AR128"/>
    <mergeCell ref="AS118:AS128"/>
    <mergeCell ref="AT118:AT128"/>
    <mergeCell ref="AU118:AU128"/>
    <mergeCell ref="AV118:AV128"/>
    <mergeCell ref="AW118:AW128"/>
    <mergeCell ref="AX118:AX128"/>
    <mergeCell ref="AY118:AY128"/>
    <mergeCell ref="AZ118:AZ128"/>
    <mergeCell ref="BA118:BA128"/>
    <mergeCell ref="BB118:BB128"/>
    <mergeCell ref="BC118:BC128"/>
    <mergeCell ref="BD118:BD128"/>
    <mergeCell ref="BE118:BE128"/>
    <mergeCell ref="BF118:BF128"/>
    <mergeCell ref="BG118:BG128"/>
    <mergeCell ref="BH118:BH128"/>
    <mergeCell ref="BI118:BI128"/>
    <mergeCell ref="BJ118:BJ128"/>
    <mergeCell ref="BK118:BK128"/>
    <mergeCell ref="BL118:BL128"/>
    <mergeCell ref="BM118:BM128"/>
    <mergeCell ref="BN118:BN128"/>
    <mergeCell ref="BO118:BO128"/>
    <mergeCell ref="BP118:BP128"/>
    <mergeCell ref="BQ118:BQ128"/>
    <mergeCell ref="BR118:BR128"/>
    <mergeCell ref="BS118:BS128"/>
    <mergeCell ref="BT118:BT128"/>
    <mergeCell ref="BU118:BU128"/>
    <mergeCell ref="BV118:BV128"/>
    <mergeCell ref="BW118:BW128"/>
    <mergeCell ref="BX118:BX128"/>
    <mergeCell ref="BY118:BY128"/>
    <mergeCell ref="BZ118:BZ128"/>
    <mergeCell ref="CA118:CA128"/>
    <mergeCell ref="CB118:CB128"/>
    <mergeCell ref="CC118:CC128"/>
    <mergeCell ref="CD118:CD128"/>
    <mergeCell ref="CE118:CE128"/>
    <mergeCell ref="CF118:CF128"/>
    <mergeCell ref="AJ118:AJ128"/>
    <mergeCell ref="AK118:AK128"/>
    <mergeCell ref="AL118:AL128"/>
    <mergeCell ref="AM118:AM128"/>
    <mergeCell ref="AN118:AN128"/>
    <mergeCell ref="AO118:AO128"/>
    <mergeCell ref="AP118:AP128"/>
    <mergeCell ref="CN162:CN172"/>
    <mergeCell ref="CO162:CO172"/>
    <mergeCell ref="CP162:CP172"/>
    <mergeCell ref="CQ162:CQ172"/>
    <mergeCell ref="CR162:CR172"/>
    <mergeCell ref="CS162:CS172"/>
    <mergeCell ref="CT162:CT172"/>
    <mergeCell ref="CG162:CG172"/>
    <mergeCell ref="CH162:CH172"/>
    <mergeCell ref="CI162:CI172"/>
    <mergeCell ref="CJ162:CJ172"/>
    <mergeCell ref="CK162:CK172"/>
    <mergeCell ref="CL162:CL172"/>
    <mergeCell ref="CM162:CM172"/>
    <mergeCell ref="AJ162:AJ172"/>
    <mergeCell ref="AK162:AK172"/>
    <mergeCell ref="AL162:AL172"/>
    <mergeCell ref="AM162:AM172"/>
    <mergeCell ref="AN162:AN172"/>
    <mergeCell ref="AO162:AO172"/>
    <mergeCell ref="AP162:AP172"/>
    <mergeCell ref="AQ162:AQ172"/>
    <mergeCell ref="AR162:AR172"/>
    <mergeCell ref="AS162:AS172"/>
    <mergeCell ref="AT162:AT172"/>
    <mergeCell ref="AU162:AU172"/>
    <mergeCell ref="AV162:AV172"/>
    <mergeCell ref="AW162:AW172"/>
    <mergeCell ref="AX162:AX172"/>
    <mergeCell ref="AY162:AY172"/>
    <mergeCell ref="AZ162:AZ172"/>
    <mergeCell ref="BA162:BA172"/>
    <mergeCell ref="BB162:BB172"/>
    <mergeCell ref="BC162:BC172"/>
    <mergeCell ref="BD162:BD172"/>
    <mergeCell ref="BE162:BE172"/>
    <mergeCell ref="BF162:BF172"/>
    <mergeCell ref="BG162:BG172"/>
    <mergeCell ref="BH162:BH172"/>
    <mergeCell ref="BI162:BI172"/>
    <mergeCell ref="BJ162:BJ172"/>
    <mergeCell ref="BK162:BK172"/>
    <mergeCell ref="BL162:BL172"/>
    <mergeCell ref="BM162:BM172"/>
    <mergeCell ref="BN162:BN172"/>
    <mergeCell ref="BO162:BO172"/>
    <mergeCell ref="BP162:BP172"/>
    <mergeCell ref="BQ162:BQ172"/>
    <mergeCell ref="BR162:BR172"/>
    <mergeCell ref="BS162:BS172"/>
    <mergeCell ref="BT162:BT172"/>
    <mergeCell ref="BU162:BU172"/>
    <mergeCell ref="BV162:BV172"/>
    <mergeCell ref="BW162:BW172"/>
    <mergeCell ref="BX162:BX172"/>
    <mergeCell ref="BY162:BY172"/>
    <mergeCell ref="BZ162:BZ172"/>
    <mergeCell ref="CA162:CA172"/>
    <mergeCell ref="CB162:CB172"/>
    <mergeCell ref="CC162:CC172"/>
    <mergeCell ref="CD162:CD172"/>
    <mergeCell ref="CE162:CE172"/>
    <mergeCell ref="CF162:CF172"/>
    <mergeCell ref="CN206:CN216"/>
    <mergeCell ref="CO206:CO216"/>
    <mergeCell ref="CP206:CP216"/>
    <mergeCell ref="CQ206:CQ216"/>
    <mergeCell ref="CR206:CR216"/>
    <mergeCell ref="CS206:CS216"/>
    <mergeCell ref="CT206:CT216"/>
    <mergeCell ref="CG206:CG216"/>
    <mergeCell ref="CH206:CH216"/>
    <mergeCell ref="CI206:CI216"/>
    <mergeCell ref="CJ206:CJ216"/>
    <mergeCell ref="CK206:CK216"/>
    <mergeCell ref="CL206:CL216"/>
    <mergeCell ref="CM206:CM216"/>
    <mergeCell ref="AQ206:AQ216"/>
    <mergeCell ref="AR206:AR216"/>
    <mergeCell ref="AS206:AS216"/>
    <mergeCell ref="AT206:AT216"/>
    <mergeCell ref="AU206:AU216"/>
    <mergeCell ref="AV206:AV216"/>
    <mergeCell ref="AW206:AW216"/>
    <mergeCell ref="AX206:AX216"/>
    <mergeCell ref="AY206:AY216"/>
    <mergeCell ref="AZ206:AZ216"/>
    <mergeCell ref="BA206:BA216"/>
    <mergeCell ref="BB206:BB216"/>
    <mergeCell ref="BC206:BC216"/>
    <mergeCell ref="BD206:BD216"/>
    <mergeCell ref="BE206:BE216"/>
    <mergeCell ref="BF206:BF216"/>
    <mergeCell ref="BG206:BG216"/>
    <mergeCell ref="BH206:BH216"/>
    <mergeCell ref="BI206:BI216"/>
    <mergeCell ref="BJ206:BJ216"/>
    <mergeCell ref="BK206:BK216"/>
    <mergeCell ref="BL206:BL216"/>
    <mergeCell ref="BM206:BM216"/>
    <mergeCell ref="BN206:BN216"/>
    <mergeCell ref="BO206:BO216"/>
    <mergeCell ref="BP206:BP216"/>
    <mergeCell ref="BQ206:BQ216"/>
    <mergeCell ref="BR206:BR216"/>
    <mergeCell ref="BS206:BS216"/>
    <mergeCell ref="BT206:BT216"/>
    <mergeCell ref="BU206:BU216"/>
    <mergeCell ref="BV206:BV216"/>
    <mergeCell ref="BW206:BW216"/>
    <mergeCell ref="BX206:BX216"/>
    <mergeCell ref="BY206:BY216"/>
    <mergeCell ref="BZ206:BZ216"/>
    <mergeCell ref="CA206:CA216"/>
    <mergeCell ref="CB206:CB216"/>
    <mergeCell ref="CC206:CC216"/>
    <mergeCell ref="CD206:CD216"/>
    <mergeCell ref="CE206:CE216"/>
    <mergeCell ref="CF206:CF216"/>
    <mergeCell ref="AJ206:AJ216"/>
    <mergeCell ref="AK206:AK216"/>
    <mergeCell ref="AL206:AL216"/>
    <mergeCell ref="AM206:AM216"/>
    <mergeCell ref="AN206:AN216"/>
    <mergeCell ref="AO206:AO216"/>
    <mergeCell ref="AP206:AP216"/>
    <mergeCell ref="CC173:CC183"/>
    <mergeCell ref="CD173:CD183"/>
    <mergeCell ref="CE173:CE183"/>
    <mergeCell ref="CF173:CF183"/>
    <mergeCell ref="CG173:CG183"/>
    <mergeCell ref="CH173:CH183"/>
    <mergeCell ref="CI173:CI183"/>
    <mergeCell ref="CQ173:CQ183"/>
    <mergeCell ref="CR173:CR183"/>
    <mergeCell ref="CS173:CS183"/>
    <mergeCell ref="CT173:CT183"/>
    <mergeCell ref="CJ173:CJ183"/>
    <mergeCell ref="CK173:CK183"/>
    <mergeCell ref="CL173:CL183"/>
    <mergeCell ref="CM173:CM183"/>
    <mergeCell ref="CN173:CN183"/>
    <mergeCell ref="CO173:CO183"/>
    <mergeCell ref="CP173:CP183"/>
    <mergeCell ref="W173:W183"/>
    <mergeCell ref="X173:X183"/>
    <mergeCell ref="Y173:Y183"/>
    <mergeCell ref="Z173:Z183"/>
    <mergeCell ref="AJ173:AJ183"/>
    <mergeCell ref="AK173:AK183"/>
    <mergeCell ref="AL173:AL183"/>
    <mergeCell ref="AT173:AT183"/>
    <mergeCell ref="AU173:AU183"/>
    <mergeCell ref="AV173:AV183"/>
    <mergeCell ref="AW173:AW183"/>
    <mergeCell ref="AX173:AX183"/>
    <mergeCell ref="AY173:AY183"/>
    <mergeCell ref="AZ173:AZ183"/>
    <mergeCell ref="BA173:BA183"/>
    <mergeCell ref="BB173:BB183"/>
    <mergeCell ref="BC173:BC183"/>
    <mergeCell ref="BD173:BD183"/>
    <mergeCell ref="BE173:BE183"/>
    <mergeCell ref="BF173:BF183"/>
    <mergeCell ref="BG173:BG183"/>
    <mergeCell ref="BH173:BH183"/>
    <mergeCell ref="BI173:BI183"/>
    <mergeCell ref="BJ173:BJ183"/>
    <mergeCell ref="BK173:BK183"/>
    <mergeCell ref="BL173:BL183"/>
    <mergeCell ref="BM173:BM183"/>
    <mergeCell ref="BN173:BN183"/>
    <mergeCell ref="BO173:BO183"/>
    <mergeCell ref="BP173:BP183"/>
    <mergeCell ref="BQ173:BQ183"/>
    <mergeCell ref="BR173:BR183"/>
    <mergeCell ref="BS173:BS183"/>
    <mergeCell ref="BT173:BT183"/>
    <mergeCell ref="BU173:BU183"/>
    <mergeCell ref="BV173:BV183"/>
    <mergeCell ref="BW173:BW183"/>
    <mergeCell ref="BX173:BX183"/>
    <mergeCell ref="BY173:BY183"/>
    <mergeCell ref="BZ173:BZ183"/>
    <mergeCell ref="CA173:CA183"/>
    <mergeCell ref="CB173:CB183"/>
    <mergeCell ref="AM173:AM183"/>
    <mergeCell ref="AN173:AN183"/>
    <mergeCell ref="AO173:AO183"/>
    <mergeCell ref="AP173:AP183"/>
    <mergeCell ref="AQ173:AQ183"/>
    <mergeCell ref="AR173:AR183"/>
    <mergeCell ref="AS173:AS183"/>
    <mergeCell ref="CN184:CN194"/>
    <mergeCell ref="CO184:CO194"/>
    <mergeCell ref="CP184:CP194"/>
    <mergeCell ref="CQ184:CQ194"/>
    <mergeCell ref="CR184:CR194"/>
    <mergeCell ref="CS184:CS194"/>
    <mergeCell ref="CT184:CT194"/>
    <mergeCell ref="CG184:CG194"/>
    <mergeCell ref="CH184:CH194"/>
    <mergeCell ref="CI184:CI194"/>
    <mergeCell ref="CJ184:CJ194"/>
    <mergeCell ref="CK184:CK194"/>
    <mergeCell ref="CL184:CL194"/>
    <mergeCell ref="CM184:CM194"/>
    <mergeCell ref="AQ184:AQ194"/>
    <mergeCell ref="AR184:AR194"/>
    <mergeCell ref="AS184:AS194"/>
    <mergeCell ref="AT184:AT194"/>
    <mergeCell ref="AU184:AU194"/>
    <mergeCell ref="AV184:AV194"/>
    <mergeCell ref="AW184:AW194"/>
    <mergeCell ref="AX184:AX194"/>
    <mergeCell ref="AY184:AY194"/>
    <mergeCell ref="AZ184:AZ194"/>
    <mergeCell ref="BA184:BA194"/>
    <mergeCell ref="BB184:BB194"/>
    <mergeCell ref="BC184:BC194"/>
    <mergeCell ref="BD184:BD194"/>
    <mergeCell ref="BE184:BE194"/>
    <mergeCell ref="BF184:BF194"/>
    <mergeCell ref="BG184:BG194"/>
    <mergeCell ref="BH184:BH194"/>
    <mergeCell ref="BI184:BI194"/>
    <mergeCell ref="BJ184:BJ194"/>
    <mergeCell ref="BK184:BK194"/>
    <mergeCell ref="BL184:BL194"/>
    <mergeCell ref="BM184:BM194"/>
    <mergeCell ref="BN184:BN194"/>
    <mergeCell ref="BO184:BO194"/>
    <mergeCell ref="BP184:BP194"/>
    <mergeCell ref="BQ184:BQ194"/>
    <mergeCell ref="BR184:BR194"/>
    <mergeCell ref="BS184:BS194"/>
    <mergeCell ref="BT184:BT194"/>
    <mergeCell ref="BU184:BU194"/>
    <mergeCell ref="BV184:BV194"/>
    <mergeCell ref="BW184:BW194"/>
    <mergeCell ref="BX184:BX194"/>
    <mergeCell ref="BY184:BY194"/>
    <mergeCell ref="BZ184:BZ194"/>
    <mergeCell ref="CA184:CA194"/>
    <mergeCell ref="CB184:CB194"/>
    <mergeCell ref="CC184:CC194"/>
    <mergeCell ref="CD184:CD194"/>
    <mergeCell ref="CE184:CE194"/>
    <mergeCell ref="CF184:CF194"/>
    <mergeCell ref="AJ184:AJ194"/>
    <mergeCell ref="AK184:AK194"/>
    <mergeCell ref="AL184:AL194"/>
    <mergeCell ref="AM184:AM194"/>
    <mergeCell ref="AN184:AN194"/>
    <mergeCell ref="AO184:AO194"/>
    <mergeCell ref="AP184:AP194"/>
    <mergeCell ref="CN195:CN205"/>
    <mergeCell ref="CO195:CO205"/>
    <mergeCell ref="CP195:CP205"/>
    <mergeCell ref="CQ195:CQ205"/>
    <mergeCell ref="CR195:CR205"/>
    <mergeCell ref="CS195:CS205"/>
    <mergeCell ref="CT195:CT205"/>
    <mergeCell ref="CG195:CG205"/>
    <mergeCell ref="CH195:CH205"/>
    <mergeCell ref="CI195:CI205"/>
    <mergeCell ref="CJ195:CJ205"/>
    <mergeCell ref="CK195:CK205"/>
    <mergeCell ref="CL195:CL205"/>
    <mergeCell ref="CM195:CM205"/>
    <mergeCell ref="AQ195:AQ205"/>
    <mergeCell ref="AR195:AR205"/>
    <mergeCell ref="AS195:AS205"/>
    <mergeCell ref="AT195:AT205"/>
    <mergeCell ref="AU195:AU205"/>
    <mergeCell ref="AV195:AV205"/>
    <mergeCell ref="AW195:AW205"/>
    <mergeCell ref="AX195:AX205"/>
    <mergeCell ref="AY195:AY205"/>
    <mergeCell ref="AZ195:AZ205"/>
    <mergeCell ref="BA195:BA205"/>
    <mergeCell ref="BB195:BB205"/>
    <mergeCell ref="BC195:BC205"/>
    <mergeCell ref="BD195:BD205"/>
    <mergeCell ref="BE195:BE205"/>
    <mergeCell ref="BF195:BF205"/>
    <mergeCell ref="BG195:BG205"/>
    <mergeCell ref="BH195:BH205"/>
    <mergeCell ref="BI195:BI205"/>
    <mergeCell ref="BJ195:BJ205"/>
    <mergeCell ref="BK195:BK205"/>
    <mergeCell ref="BL195:BL205"/>
    <mergeCell ref="BM195:BM205"/>
    <mergeCell ref="BN195:BN205"/>
    <mergeCell ref="BO195:BO205"/>
    <mergeCell ref="BP195:BP205"/>
    <mergeCell ref="BQ195:BQ205"/>
    <mergeCell ref="BR195:BR205"/>
    <mergeCell ref="BS195:BS205"/>
    <mergeCell ref="BT195:BT205"/>
    <mergeCell ref="BU195:BU205"/>
    <mergeCell ref="BV195:BV205"/>
    <mergeCell ref="BW195:BW205"/>
    <mergeCell ref="BX195:BX205"/>
    <mergeCell ref="BY195:BY205"/>
    <mergeCell ref="BZ195:BZ205"/>
    <mergeCell ref="CA195:CA205"/>
    <mergeCell ref="CB195:CB205"/>
    <mergeCell ref="CC195:CC205"/>
    <mergeCell ref="CD195:CD205"/>
    <mergeCell ref="CE195:CE205"/>
    <mergeCell ref="CF195:CF205"/>
    <mergeCell ref="AJ195:AJ205"/>
    <mergeCell ref="AK195:AK205"/>
    <mergeCell ref="AL195:AL205"/>
    <mergeCell ref="AM195:AM205"/>
    <mergeCell ref="AN195:AN205"/>
    <mergeCell ref="AO195:AO205"/>
    <mergeCell ref="AP195:AP205"/>
    <mergeCell ref="CN217:CN227"/>
    <mergeCell ref="CO217:CO227"/>
    <mergeCell ref="CP217:CP227"/>
    <mergeCell ref="CQ217:CQ227"/>
    <mergeCell ref="CR217:CR227"/>
    <mergeCell ref="CS217:CS227"/>
    <mergeCell ref="CT217:CT227"/>
    <mergeCell ref="CG217:CG227"/>
    <mergeCell ref="CH217:CH227"/>
    <mergeCell ref="CI217:CI227"/>
    <mergeCell ref="CJ217:CJ227"/>
    <mergeCell ref="CK217:CK227"/>
    <mergeCell ref="CL217:CL227"/>
    <mergeCell ref="CM217:CM227"/>
    <mergeCell ref="AJ217:AJ227"/>
    <mergeCell ref="AK217:AK227"/>
    <mergeCell ref="AL217:AL227"/>
    <mergeCell ref="AM217:AM227"/>
    <mergeCell ref="AN217:AN227"/>
    <mergeCell ref="AO217:AO227"/>
    <mergeCell ref="AP217:AP227"/>
    <mergeCell ref="AQ217:AQ227"/>
    <mergeCell ref="AR217:AR227"/>
    <mergeCell ref="AS217:AS227"/>
    <mergeCell ref="AT217:AT227"/>
    <mergeCell ref="AU217:AU227"/>
    <mergeCell ref="AV217:AV227"/>
    <mergeCell ref="AW217:AW227"/>
    <mergeCell ref="AX217:AX227"/>
    <mergeCell ref="AY217:AY227"/>
    <mergeCell ref="AZ217:AZ227"/>
    <mergeCell ref="BA217:BA227"/>
    <mergeCell ref="BB217:BB227"/>
    <mergeCell ref="BC217:BC227"/>
    <mergeCell ref="BD217:BD227"/>
    <mergeCell ref="BE217:BE227"/>
    <mergeCell ref="BF217:BF227"/>
    <mergeCell ref="BG217:BG227"/>
    <mergeCell ref="BH217:BH227"/>
    <mergeCell ref="BI217:BI227"/>
    <mergeCell ref="BJ217:BJ227"/>
    <mergeCell ref="BK217:BK227"/>
    <mergeCell ref="BL217:BL227"/>
    <mergeCell ref="BM217:BM227"/>
    <mergeCell ref="BN217:BN227"/>
    <mergeCell ref="BO217:BO227"/>
    <mergeCell ref="BP217:BP227"/>
    <mergeCell ref="BQ217:BQ227"/>
    <mergeCell ref="BR217:BR227"/>
    <mergeCell ref="BS217:BS227"/>
    <mergeCell ref="BT217:BT227"/>
    <mergeCell ref="BU217:BU227"/>
    <mergeCell ref="BV217:BV227"/>
    <mergeCell ref="BW217:BW227"/>
    <mergeCell ref="BX217:BX227"/>
    <mergeCell ref="BY217:BY227"/>
    <mergeCell ref="BZ217:BZ227"/>
    <mergeCell ref="CA217:CA227"/>
    <mergeCell ref="CB217:CB227"/>
    <mergeCell ref="CC217:CC227"/>
    <mergeCell ref="CD217:CD227"/>
    <mergeCell ref="CE217:CE227"/>
    <mergeCell ref="CF217:CF227"/>
    <mergeCell ref="CN261:CN271"/>
    <mergeCell ref="CO261:CO271"/>
    <mergeCell ref="CP261:CP271"/>
    <mergeCell ref="CQ261:CQ271"/>
    <mergeCell ref="CR261:CR271"/>
    <mergeCell ref="CS261:CS271"/>
    <mergeCell ref="CT261:CT271"/>
    <mergeCell ref="CG261:CG271"/>
    <mergeCell ref="CH261:CH271"/>
    <mergeCell ref="CI261:CI271"/>
    <mergeCell ref="CJ261:CJ271"/>
    <mergeCell ref="CK261:CK271"/>
    <mergeCell ref="CL261:CL271"/>
    <mergeCell ref="CM261:CM271"/>
    <mergeCell ref="AJ261:AJ271"/>
    <mergeCell ref="AK261:AK271"/>
    <mergeCell ref="AL261:AL271"/>
    <mergeCell ref="AM261:AM271"/>
    <mergeCell ref="AN261:AN271"/>
    <mergeCell ref="AO261:AO271"/>
    <mergeCell ref="AP261:AP271"/>
    <mergeCell ref="AQ261:AQ271"/>
    <mergeCell ref="AR261:AR271"/>
    <mergeCell ref="AS261:AS271"/>
    <mergeCell ref="AT261:AT271"/>
    <mergeCell ref="AU261:AU271"/>
    <mergeCell ref="AV261:AV271"/>
    <mergeCell ref="AW261:AW271"/>
    <mergeCell ref="AX261:AX271"/>
    <mergeCell ref="AY261:AY271"/>
    <mergeCell ref="AZ261:AZ271"/>
    <mergeCell ref="BA261:BA271"/>
    <mergeCell ref="BB261:BB271"/>
    <mergeCell ref="BC261:BC271"/>
    <mergeCell ref="BD261:BD271"/>
    <mergeCell ref="BE261:BE271"/>
    <mergeCell ref="BF261:BF271"/>
    <mergeCell ref="BG261:BG271"/>
    <mergeCell ref="BH261:BH271"/>
    <mergeCell ref="BI261:BI271"/>
    <mergeCell ref="BJ261:BJ271"/>
    <mergeCell ref="BK261:BK271"/>
    <mergeCell ref="BL261:BL271"/>
    <mergeCell ref="BM261:BM271"/>
    <mergeCell ref="BN261:BN271"/>
    <mergeCell ref="BO261:BO271"/>
    <mergeCell ref="BP261:BP271"/>
    <mergeCell ref="BQ261:BQ271"/>
    <mergeCell ref="BR261:BR271"/>
    <mergeCell ref="BS261:BS271"/>
    <mergeCell ref="BT261:BT271"/>
    <mergeCell ref="BU261:BU271"/>
    <mergeCell ref="BV261:BV271"/>
    <mergeCell ref="BW261:BW271"/>
    <mergeCell ref="BX261:BX271"/>
    <mergeCell ref="BY261:BY271"/>
    <mergeCell ref="BZ261:BZ271"/>
    <mergeCell ref="CA261:CA271"/>
    <mergeCell ref="CB261:CB271"/>
    <mergeCell ref="CC261:CC271"/>
    <mergeCell ref="CD261:CD271"/>
    <mergeCell ref="CE261:CE271"/>
    <mergeCell ref="CF261:CF271"/>
    <mergeCell ref="W184:W194"/>
    <mergeCell ref="X184:X194"/>
    <mergeCell ref="Y184:Y194"/>
    <mergeCell ref="Z184:Z194"/>
    <mergeCell ref="P184:P194"/>
    <mergeCell ref="Q184:Q194"/>
    <mergeCell ref="R184:R194"/>
    <mergeCell ref="S184:S194"/>
    <mergeCell ref="T184:T194"/>
    <mergeCell ref="U184:U194"/>
    <mergeCell ref="V184:V194"/>
    <mergeCell ref="W195:W205"/>
    <mergeCell ref="X195:X205"/>
    <mergeCell ref="Y195:Y205"/>
    <mergeCell ref="Z195:Z205"/>
    <mergeCell ref="P195:P205"/>
    <mergeCell ref="Q195:Q205"/>
    <mergeCell ref="R195:R205"/>
    <mergeCell ref="S195:S205"/>
    <mergeCell ref="T195:T205"/>
    <mergeCell ref="U195:U205"/>
    <mergeCell ref="V195:V205"/>
    <mergeCell ref="W206:W216"/>
    <mergeCell ref="X206:X216"/>
    <mergeCell ref="Y206:Y216"/>
    <mergeCell ref="Z206:Z216"/>
    <mergeCell ref="P206:P216"/>
    <mergeCell ref="Q206:Q216"/>
    <mergeCell ref="R206:R216"/>
    <mergeCell ref="S206:S216"/>
    <mergeCell ref="T206:T216"/>
    <mergeCell ref="U206:U216"/>
    <mergeCell ref="V206:V216"/>
    <mergeCell ref="W228:W238"/>
    <mergeCell ref="X228:X238"/>
    <mergeCell ref="Y228:Y238"/>
    <mergeCell ref="Z228:Z238"/>
    <mergeCell ref="P228:P238"/>
    <mergeCell ref="Q228:Q238"/>
    <mergeCell ref="R228:R238"/>
    <mergeCell ref="S228:S238"/>
    <mergeCell ref="T228:T238"/>
    <mergeCell ref="U228:U238"/>
    <mergeCell ref="V228:V238"/>
    <mergeCell ref="BV228:BV238"/>
    <mergeCell ref="BW228:BW238"/>
    <mergeCell ref="BX228:BX238"/>
    <mergeCell ref="BY228:BY238"/>
    <mergeCell ref="BZ228:BZ238"/>
    <mergeCell ref="CA228:CA238"/>
    <mergeCell ref="CB228:CB238"/>
    <mergeCell ref="CC228:CC238"/>
    <mergeCell ref="CD228:CD238"/>
    <mergeCell ref="CE228:CE238"/>
    <mergeCell ref="CF228:CF238"/>
    <mergeCell ref="CG228:CG238"/>
    <mergeCell ref="CH228:CH238"/>
    <mergeCell ref="CI228:CI238"/>
    <mergeCell ref="CQ228:CQ238"/>
    <mergeCell ref="CR228:CR238"/>
    <mergeCell ref="CS228:CS238"/>
    <mergeCell ref="CT228:CT238"/>
    <mergeCell ref="CJ228:CJ238"/>
    <mergeCell ref="CK228:CK238"/>
    <mergeCell ref="CL228:CL238"/>
    <mergeCell ref="CM228:CM238"/>
    <mergeCell ref="CN228:CN238"/>
    <mergeCell ref="CO228:CO238"/>
    <mergeCell ref="CP228:CP238"/>
    <mergeCell ref="P217:P227"/>
    <mergeCell ref="Q217:Q227"/>
    <mergeCell ref="R217:R227"/>
    <mergeCell ref="S217:S227"/>
    <mergeCell ref="T217:T227"/>
    <mergeCell ref="U217:U227"/>
    <mergeCell ref="V217:V227"/>
    <mergeCell ref="W217:W227"/>
    <mergeCell ref="X217:X227"/>
    <mergeCell ref="Y217:Y227"/>
    <mergeCell ref="Z217:Z227"/>
    <mergeCell ref="AJ228:AJ238"/>
    <mergeCell ref="AK228:AK238"/>
    <mergeCell ref="AL228:AL238"/>
    <mergeCell ref="AT228:AT238"/>
    <mergeCell ref="AU228:AU238"/>
    <mergeCell ref="AV228:AV238"/>
    <mergeCell ref="AW228:AW238"/>
    <mergeCell ref="AX228:AX238"/>
    <mergeCell ref="AY228:AY238"/>
    <mergeCell ref="AZ228:AZ238"/>
    <mergeCell ref="BA228:BA238"/>
    <mergeCell ref="BB228:BB238"/>
    <mergeCell ref="BC228:BC238"/>
    <mergeCell ref="BD228:BD238"/>
    <mergeCell ref="BE228:BE238"/>
    <mergeCell ref="BF228:BF238"/>
    <mergeCell ref="BG228:BG238"/>
    <mergeCell ref="BH228:BH238"/>
    <mergeCell ref="BI228:BI238"/>
    <mergeCell ref="BJ228:BJ238"/>
    <mergeCell ref="BK228:BK238"/>
    <mergeCell ref="BL228:BL238"/>
    <mergeCell ref="BM228:BM238"/>
    <mergeCell ref="BN228:BN238"/>
    <mergeCell ref="BO228:BO238"/>
    <mergeCell ref="BP228:BP238"/>
    <mergeCell ref="BQ228:BQ238"/>
    <mergeCell ref="BR228:BR238"/>
    <mergeCell ref="BS228:BS238"/>
    <mergeCell ref="BT228:BT238"/>
    <mergeCell ref="BU228:BU238"/>
    <mergeCell ref="AM228:AM238"/>
    <mergeCell ref="AN228:AN238"/>
    <mergeCell ref="AO228:AO238"/>
    <mergeCell ref="AP228:AP238"/>
    <mergeCell ref="AQ228:AQ238"/>
    <mergeCell ref="AR228:AR238"/>
    <mergeCell ref="AS228:AS238"/>
    <mergeCell ref="CN239:CN249"/>
    <mergeCell ref="CO239:CO249"/>
    <mergeCell ref="CP239:CP249"/>
    <mergeCell ref="CQ239:CQ249"/>
    <mergeCell ref="CR239:CR249"/>
    <mergeCell ref="CS239:CS249"/>
    <mergeCell ref="CT239:CT249"/>
    <mergeCell ref="CG239:CG249"/>
    <mergeCell ref="CH239:CH249"/>
    <mergeCell ref="CI239:CI249"/>
    <mergeCell ref="CJ239:CJ249"/>
    <mergeCell ref="CK239:CK249"/>
    <mergeCell ref="CL239:CL249"/>
    <mergeCell ref="CM239:CM249"/>
    <mergeCell ref="AQ239:AQ249"/>
    <mergeCell ref="AR239:AR249"/>
    <mergeCell ref="AS239:AS249"/>
    <mergeCell ref="AT239:AT249"/>
    <mergeCell ref="AU239:AU249"/>
    <mergeCell ref="AV239:AV249"/>
    <mergeCell ref="AW239:AW249"/>
    <mergeCell ref="AX239:AX249"/>
    <mergeCell ref="AY239:AY249"/>
    <mergeCell ref="AZ239:AZ249"/>
    <mergeCell ref="BA239:BA249"/>
    <mergeCell ref="BB239:BB249"/>
    <mergeCell ref="BC239:BC249"/>
    <mergeCell ref="BD239:BD249"/>
    <mergeCell ref="BE239:BE249"/>
    <mergeCell ref="BF239:BF249"/>
    <mergeCell ref="BG239:BG249"/>
    <mergeCell ref="BH239:BH249"/>
    <mergeCell ref="BI239:BI249"/>
    <mergeCell ref="BJ239:BJ249"/>
    <mergeCell ref="BK239:BK249"/>
    <mergeCell ref="BL239:BL249"/>
    <mergeCell ref="BM239:BM249"/>
    <mergeCell ref="BN239:BN249"/>
    <mergeCell ref="BO239:BO249"/>
    <mergeCell ref="BP239:BP249"/>
    <mergeCell ref="BQ239:BQ249"/>
    <mergeCell ref="BR239:BR249"/>
    <mergeCell ref="BS239:BS249"/>
    <mergeCell ref="BT239:BT249"/>
    <mergeCell ref="BU239:BU249"/>
    <mergeCell ref="BV239:BV249"/>
    <mergeCell ref="BW239:BW249"/>
    <mergeCell ref="BX239:BX249"/>
    <mergeCell ref="BY239:BY249"/>
    <mergeCell ref="BZ239:BZ249"/>
    <mergeCell ref="CA239:CA249"/>
    <mergeCell ref="CB239:CB249"/>
    <mergeCell ref="CC239:CC249"/>
    <mergeCell ref="CD239:CD249"/>
    <mergeCell ref="CE239:CE249"/>
    <mergeCell ref="CF239:CF249"/>
    <mergeCell ref="AJ239:AJ249"/>
    <mergeCell ref="AK239:AK249"/>
    <mergeCell ref="AL239:AL249"/>
    <mergeCell ref="AM239:AM249"/>
    <mergeCell ref="AN239:AN249"/>
    <mergeCell ref="AO239:AO249"/>
    <mergeCell ref="AP239:AP249"/>
    <mergeCell ref="CN250:CN260"/>
    <mergeCell ref="CO250:CO260"/>
    <mergeCell ref="CP250:CP260"/>
    <mergeCell ref="CQ250:CQ260"/>
    <mergeCell ref="CR250:CR260"/>
    <mergeCell ref="CS250:CS260"/>
    <mergeCell ref="CT250:CT260"/>
    <mergeCell ref="CG250:CG260"/>
    <mergeCell ref="CH250:CH260"/>
    <mergeCell ref="CI250:CI260"/>
    <mergeCell ref="CJ250:CJ260"/>
    <mergeCell ref="CK250:CK260"/>
    <mergeCell ref="CL250:CL260"/>
    <mergeCell ref="CM250:CM260"/>
    <mergeCell ref="AQ250:AQ260"/>
    <mergeCell ref="AR250:AR260"/>
    <mergeCell ref="AS250:AS260"/>
    <mergeCell ref="AT250:AT260"/>
    <mergeCell ref="AU250:AU260"/>
    <mergeCell ref="AV250:AV260"/>
    <mergeCell ref="AW250:AW260"/>
    <mergeCell ref="AX250:AX260"/>
    <mergeCell ref="AY250:AY260"/>
    <mergeCell ref="AZ250:AZ260"/>
    <mergeCell ref="BA250:BA260"/>
    <mergeCell ref="BB250:BB260"/>
    <mergeCell ref="BC250:BC260"/>
    <mergeCell ref="BD250:BD260"/>
    <mergeCell ref="BE250:BE260"/>
    <mergeCell ref="BF250:BF260"/>
    <mergeCell ref="BG250:BG260"/>
    <mergeCell ref="BH250:BH260"/>
    <mergeCell ref="BI250:BI260"/>
    <mergeCell ref="BJ250:BJ260"/>
    <mergeCell ref="BK250:BK260"/>
    <mergeCell ref="BL250:BL260"/>
    <mergeCell ref="BM250:BM260"/>
    <mergeCell ref="BN250:BN260"/>
    <mergeCell ref="BO250:BO260"/>
    <mergeCell ref="BP250:BP260"/>
    <mergeCell ref="BQ250:BQ260"/>
    <mergeCell ref="BR250:BR260"/>
    <mergeCell ref="BS250:BS260"/>
    <mergeCell ref="BT250:BT260"/>
    <mergeCell ref="BU250:BU260"/>
    <mergeCell ref="BV250:BV260"/>
    <mergeCell ref="BW250:BW260"/>
    <mergeCell ref="BX250:BX260"/>
    <mergeCell ref="BY250:BY260"/>
    <mergeCell ref="BZ250:BZ260"/>
    <mergeCell ref="CA250:CA260"/>
    <mergeCell ref="CB250:CB260"/>
    <mergeCell ref="CC250:CC260"/>
    <mergeCell ref="CD250:CD260"/>
    <mergeCell ref="CE250:CE260"/>
    <mergeCell ref="CF250:CF260"/>
    <mergeCell ref="AJ250:AJ260"/>
    <mergeCell ref="AK250:AK260"/>
    <mergeCell ref="AL250:AL260"/>
    <mergeCell ref="AM250:AM260"/>
    <mergeCell ref="AN250:AN260"/>
    <mergeCell ref="AO250:AO260"/>
    <mergeCell ref="AP250:AP260"/>
    <mergeCell ref="CN305:CN315"/>
    <mergeCell ref="CO305:CO315"/>
    <mergeCell ref="CP305:CP315"/>
    <mergeCell ref="CQ305:CQ315"/>
    <mergeCell ref="CR305:CR315"/>
    <mergeCell ref="CS305:CS315"/>
    <mergeCell ref="CT305:CT315"/>
    <mergeCell ref="CG305:CG315"/>
    <mergeCell ref="CH305:CH315"/>
    <mergeCell ref="CI305:CI315"/>
    <mergeCell ref="CJ305:CJ315"/>
    <mergeCell ref="CK305:CK315"/>
    <mergeCell ref="CL305:CL315"/>
    <mergeCell ref="CM305:CM315"/>
    <mergeCell ref="AJ305:AJ315"/>
    <mergeCell ref="AK305:AK315"/>
    <mergeCell ref="AL305:AL315"/>
    <mergeCell ref="AM305:AM315"/>
    <mergeCell ref="AN305:AN315"/>
    <mergeCell ref="AO305:AO315"/>
    <mergeCell ref="AP305:AP315"/>
    <mergeCell ref="AQ305:AQ315"/>
    <mergeCell ref="AR305:AR315"/>
    <mergeCell ref="AS305:AS315"/>
    <mergeCell ref="AT305:AT315"/>
    <mergeCell ref="AU305:AU315"/>
    <mergeCell ref="AV305:AV315"/>
    <mergeCell ref="AW305:AW315"/>
    <mergeCell ref="AX305:AX315"/>
    <mergeCell ref="AY305:AY315"/>
    <mergeCell ref="AZ305:AZ315"/>
    <mergeCell ref="BA305:BA315"/>
    <mergeCell ref="BB305:BB315"/>
    <mergeCell ref="BC305:BC315"/>
    <mergeCell ref="BD305:BD315"/>
    <mergeCell ref="BE305:BE315"/>
    <mergeCell ref="BF305:BF315"/>
    <mergeCell ref="BG305:BG315"/>
    <mergeCell ref="BH305:BH315"/>
    <mergeCell ref="BI305:BI315"/>
    <mergeCell ref="BJ305:BJ315"/>
    <mergeCell ref="BK305:BK315"/>
    <mergeCell ref="BL305:BL315"/>
    <mergeCell ref="BM305:BM315"/>
    <mergeCell ref="BN305:BN315"/>
    <mergeCell ref="BO305:BO315"/>
    <mergeCell ref="BP305:BP315"/>
    <mergeCell ref="BQ305:BQ315"/>
    <mergeCell ref="BR305:BR315"/>
    <mergeCell ref="BS305:BS315"/>
    <mergeCell ref="BT305:BT315"/>
    <mergeCell ref="BU305:BU315"/>
    <mergeCell ref="BV305:BV315"/>
    <mergeCell ref="BW305:BW315"/>
    <mergeCell ref="BX305:BX315"/>
    <mergeCell ref="BY305:BY315"/>
    <mergeCell ref="BZ305:BZ315"/>
    <mergeCell ref="CA305:CA315"/>
    <mergeCell ref="CB305:CB315"/>
    <mergeCell ref="CC305:CC315"/>
    <mergeCell ref="CD305:CD315"/>
    <mergeCell ref="CE305:CE315"/>
    <mergeCell ref="CF305:CF315"/>
    <mergeCell ref="W239:W249"/>
    <mergeCell ref="X239:X249"/>
    <mergeCell ref="Y239:Y249"/>
    <mergeCell ref="Z239:Z249"/>
    <mergeCell ref="P239:P249"/>
    <mergeCell ref="Q239:Q249"/>
    <mergeCell ref="R239:R249"/>
    <mergeCell ref="S239:S249"/>
    <mergeCell ref="T239:T249"/>
    <mergeCell ref="U239:U249"/>
    <mergeCell ref="V239:V249"/>
    <mergeCell ref="W250:W260"/>
    <mergeCell ref="X250:X260"/>
    <mergeCell ref="Y250:Y260"/>
    <mergeCell ref="Z250:Z260"/>
    <mergeCell ref="P250:P260"/>
    <mergeCell ref="Q250:Q260"/>
    <mergeCell ref="R250:R260"/>
    <mergeCell ref="S250:S260"/>
    <mergeCell ref="T250:T260"/>
    <mergeCell ref="U250:U260"/>
    <mergeCell ref="V250:V260"/>
    <mergeCell ref="W261:W271"/>
    <mergeCell ref="X261:X271"/>
    <mergeCell ref="Y261:Y271"/>
    <mergeCell ref="Z261:Z271"/>
    <mergeCell ref="P261:P271"/>
    <mergeCell ref="Q261:Q271"/>
    <mergeCell ref="R261:R271"/>
    <mergeCell ref="S261:S271"/>
    <mergeCell ref="T261:T271"/>
    <mergeCell ref="U261:U271"/>
    <mergeCell ref="V261:V271"/>
    <mergeCell ref="P272:P282"/>
    <mergeCell ref="Q272:Q282"/>
    <mergeCell ref="R272:R282"/>
    <mergeCell ref="S272:S282"/>
    <mergeCell ref="T272:T282"/>
    <mergeCell ref="U272:U282"/>
    <mergeCell ref="V272:V282"/>
    <mergeCell ref="CC272:CC282"/>
    <mergeCell ref="CD272:CD282"/>
    <mergeCell ref="CE272:CE282"/>
    <mergeCell ref="CF272:CF282"/>
    <mergeCell ref="CG272:CG282"/>
    <mergeCell ref="CH272:CH282"/>
    <mergeCell ref="CI272:CI282"/>
    <mergeCell ref="CQ272:CQ282"/>
    <mergeCell ref="CR272:CR282"/>
    <mergeCell ref="CS272:CS282"/>
    <mergeCell ref="CT272:CT282"/>
    <mergeCell ref="CJ272:CJ282"/>
    <mergeCell ref="CK272:CK282"/>
    <mergeCell ref="CL272:CL282"/>
    <mergeCell ref="CM272:CM282"/>
    <mergeCell ref="CN272:CN282"/>
    <mergeCell ref="CO272:CO282"/>
    <mergeCell ref="CP272:CP282"/>
    <mergeCell ref="W272:W282"/>
    <mergeCell ref="X272:X282"/>
    <mergeCell ref="Y272:Y282"/>
    <mergeCell ref="Z272:Z282"/>
    <mergeCell ref="AJ272:AJ282"/>
    <mergeCell ref="AK272:AK282"/>
    <mergeCell ref="AL272:AL282"/>
    <mergeCell ref="AT272:AT282"/>
    <mergeCell ref="AU272:AU282"/>
    <mergeCell ref="AV272:AV282"/>
    <mergeCell ref="AW272:AW282"/>
    <mergeCell ref="AX272:AX282"/>
    <mergeCell ref="AY272:AY282"/>
    <mergeCell ref="AZ272:AZ282"/>
    <mergeCell ref="BA272:BA282"/>
    <mergeCell ref="BB272:BB282"/>
    <mergeCell ref="BC272:BC282"/>
    <mergeCell ref="BD272:BD282"/>
    <mergeCell ref="BE272:BE282"/>
    <mergeCell ref="BF272:BF282"/>
    <mergeCell ref="BG272:BG282"/>
    <mergeCell ref="BH272:BH282"/>
    <mergeCell ref="BI272:BI282"/>
    <mergeCell ref="BJ272:BJ282"/>
    <mergeCell ref="BK272:BK282"/>
    <mergeCell ref="BL272:BL282"/>
    <mergeCell ref="BM272:BM282"/>
    <mergeCell ref="BN272:BN282"/>
    <mergeCell ref="BO272:BO282"/>
    <mergeCell ref="BP272:BP282"/>
    <mergeCell ref="BQ272:BQ282"/>
    <mergeCell ref="BR272:BR282"/>
    <mergeCell ref="BS272:BS282"/>
    <mergeCell ref="BT272:BT282"/>
    <mergeCell ref="BU272:BU282"/>
    <mergeCell ref="BV272:BV282"/>
    <mergeCell ref="BW272:BW282"/>
    <mergeCell ref="BX272:BX282"/>
    <mergeCell ref="BY272:BY282"/>
    <mergeCell ref="BZ272:BZ282"/>
    <mergeCell ref="CA272:CA282"/>
    <mergeCell ref="CB272:CB282"/>
    <mergeCell ref="AM272:AM282"/>
    <mergeCell ref="AN272:AN282"/>
    <mergeCell ref="AO272:AO282"/>
    <mergeCell ref="AP272:AP282"/>
    <mergeCell ref="AQ272:AQ282"/>
    <mergeCell ref="AR272:AR282"/>
    <mergeCell ref="AS272:AS282"/>
    <mergeCell ref="CN283:CN293"/>
    <mergeCell ref="CO283:CO293"/>
    <mergeCell ref="CP283:CP293"/>
    <mergeCell ref="CQ283:CQ293"/>
    <mergeCell ref="CR283:CR293"/>
    <mergeCell ref="CS283:CS293"/>
    <mergeCell ref="CT283:CT293"/>
    <mergeCell ref="CG283:CG293"/>
    <mergeCell ref="CH283:CH293"/>
    <mergeCell ref="CI283:CI293"/>
    <mergeCell ref="CJ283:CJ293"/>
    <mergeCell ref="CK283:CK293"/>
    <mergeCell ref="CL283:CL293"/>
    <mergeCell ref="CM283:CM293"/>
    <mergeCell ref="AQ283:AQ293"/>
    <mergeCell ref="AR283:AR293"/>
    <mergeCell ref="AS283:AS293"/>
    <mergeCell ref="AT283:AT293"/>
    <mergeCell ref="AU283:AU293"/>
    <mergeCell ref="AV283:AV293"/>
    <mergeCell ref="AW283:AW293"/>
    <mergeCell ref="AX283:AX293"/>
    <mergeCell ref="AY283:AY293"/>
    <mergeCell ref="AZ283:AZ293"/>
    <mergeCell ref="BA283:BA293"/>
    <mergeCell ref="BB283:BB293"/>
    <mergeCell ref="BC283:BC293"/>
    <mergeCell ref="BD283:BD293"/>
    <mergeCell ref="BE283:BE293"/>
    <mergeCell ref="BF283:BF293"/>
    <mergeCell ref="BG283:BG293"/>
    <mergeCell ref="BH283:BH293"/>
    <mergeCell ref="BI283:BI293"/>
    <mergeCell ref="BJ283:BJ293"/>
    <mergeCell ref="BK283:BK293"/>
    <mergeCell ref="BL283:BL293"/>
    <mergeCell ref="BM283:BM293"/>
    <mergeCell ref="BN283:BN293"/>
    <mergeCell ref="BO283:BO293"/>
    <mergeCell ref="BP283:BP293"/>
    <mergeCell ref="BQ283:BQ293"/>
    <mergeCell ref="BR283:BR293"/>
    <mergeCell ref="BS283:BS293"/>
    <mergeCell ref="BT283:BT293"/>
    <mergeCell ref="BU283:BU293"/>
    <mergeCell ref="BV283:BV293"/>
    <mergeCell ref="BW283:BW293"/>
    <mergeCell ref="BX283:BX293"/>
    <mergeCell ref="BY283:BY293"/>
    <mergeCell ref="BZ283:BZ293"/>
    <mergeCell ref="CA283:CA293"/>
    <mergeCell ref="CB283:CB293"/>
    <mergeCell ref="CC283:CC293"/>
    <mergeCell ref="CD283:CD293"/>
    <mergeCell ref="CE283:CE293"/>
    <mergeCell ref="CF283:CF293"/>
    <mergeCell ref="AJ283:AJ293"/>
    <mergeCell ref="AK283:AK293"/>
    <mergeCell ref="AL283:AL293"/>
    <mergeCell ref="AM283:AM293"/>
    <mergeCell ref="AN283:AN293"/>
    <mergeCell ref="AO283:AO293"/>
    <mergeCell ref="AP283:AP293"/>
    <mergeCell ref="CN294:CN304"/>
    <mergeCell ref="CO294:CO304"/>
    <mergeCell ref="CP294:CP304"/>
    <mergeCell ref="CQ294:CQ304"/>
    <mergeCell ref="CR294:CR304"/>
    <mergeCell ref="CS294:CS304"/>
    <mergeCell ref="CT294:CT304"/>
    <mergeCell ref="CG294:CG304"/>
    <mergeCell ref="CH294:CH304"/>
    <mergeCell ref="CI294:CI304"/>
    <mergeCell ref="CJ294:CJ304"/>
    <mergeCell ref="CK294:CK304"/>
    <mergeCell ref="CL294:CL304"/>
    <mergeCell ref="CM294:CM304"/>
    <mergeCell ref="AQ294:AQ304"/>
    <mergeCell ref="AR294:AR304"/>
    <mergeCell ref="AS294:AS304"/>
    <mergeCell ref="AT294:AT304"/>
    <mergeCell ref="AU294:AU304"/>
    <mergeCell ref="AV294:AV304"/>
    <mergeCell ref="AW294:AW304"/>
    <mergeCell ref="AX294:AX304"/>
    <mergeCell ref="AY294:AY304"/>
    <mergeCell ref="AZ294:AZ304"/>
    <mergeCell ref="BA294:BA304"/>
    <mergeCell ref="BB294:BB304"/>
    <mergeCell ref="BC294:BC304"/>
    <mergeCell ref="BD294:BD304"/>
    <mergeCell ref="BE294:BE304"/>
    <mergeCell ref="BF294:BF304"/>
    <mergeCell ref="BG294:BG304"/>
    <mergeCell ref="BH294:BH304"/>
    <mergeCell ref="BI294:BI304"/>
    <mergeCell ref="BJ294:BJ304"/>
    <mergeCell ref="BK294:BK304"/>
    <mergeCell ref="BL294:BL304"/>
    <mergeCell ref="BM294:BM304"/>
    <mergeCell ref="BN294:BN304"/>
    <mergeCell ref="BO294:BO304"/>
    <mergeCell ref="BP294:BP304"/>
    <mergeCell ref="BQ294:BQ304"/>
    <mergeCell ref="BR294:BR304"/>
    <mergeCell ref="BS294:BS304"/>
    <mergeCell ref="BT294:BT304"/>
    <mergeCell ref="BU294:BU304"/>
    <mergeCell ref="BV294:BV304"/>
    <mergeCell ref="BW294:BW304"/>
    <mergeCell ref="BX294:BX304"/>
    <mergeCell ref="BY294:BY304"/>
    <mergeCell ref="BZ294:BZ304"/>
    <mergeCell ref="CA294:CA304"/>
    <mergeCell ref="CB294:CB304"/>
    <mergeCell ref="CC294:CC304"/>
    <mergeCell ref="CD294:CD304"/>
    <mergeCell ref="CE294:CE304"/>
    <mergeCell ref="CF294:CF304"/>
    <mergeCell ref="AJ294:AJ304"/>
    <mergeCell ref="AK294:AK304"/>
    <mergeCell ref="AL294:AL304"/>
    <mergeCell ref="AM294:AM304"/>
    <mergeCell ref="AN294:AN304"/>
    <mergeCell ref="AO294:AO304"/>
    <mergeCell ref="AP294:AP304"/>
    <mergeCell ref="AR5:AR7"/>
    <mergeCell ref="AS5:AS7"/>
    <mergeCell ref="AT5:AT7"/>
    <mergeCell ref="AU5:AX5"/>
    <mergeCell ref="AY5:AY6"/>
    <mergeCell ref="AZ5:AZ6"/>
    <mergeCell ref="BA5:BO5"/>
    <mergeCell ref="BP5:BU5"/>
    <mergeCell ref="BV5:BW5"/>
    <mergeCell ref="BX5:CG5"/>
    <mergeCell ref="BV6:BV7"/>
    <mergeCell ref="BW6:BW7"/>
    <mergeCell ref="BX6:CE6"/>
    <mergeCell ref="CF6:CG6"/>
    <mergeCell ref="A6:A7"/>
    <mergeCell ref="B6:B7"/>
    <mergeCell ref="C6:C7"/>
    <mergeCell ref="D6:D7"/>
    <mergeCell ref="A1:AT1"/>
    <mergeCell ref="AU1:CT1"/>
    <mergeCell ref="A2:AT2"/>
    <mergeCell ref="AU2:CT2"/>
    <mergeCell ref="A3:AT3"/>
    <mergeCell ref="AU3:CT3"/>
    <mergeCell ref="A4:AR4"/>
    <mergeCell ref="CH6:CI6"/>
    <mergeCell ref="CJ6:CK6"/>
    <mergeCell ref="CL6:CM6"/>
    <mergeCell ref="CN6:CO6"/>
    <mergeCell ref="CP6:CP7"/>
    <mergeCell ref="CQ6:CQ7"/>
    <mergeCell ref="CR6:CR7"/>
    <mergeCell ref="CS6:CS7"/>
    <mergeCell ref="CT6:CT7"/>
    <mergeCell ref="AU4:CG4"/>
    <mergeCell ref="CH4:CS5"/>
    <mergeCell ref="A5:Z5"/>
    <mergeCell ref="AJ5:AO6"/>
    <mergeCell ref="AP5:AP7"/>
    <mergeCell ref="AQ5:AQ7"/>
    <mergeCell ref="N6:N7"/>
    <mergeCell ref="AW8:AW18"/>
    <mergeCell ref="AX8:AX18"/>
    <mergeCell ref="AP8:AP18"/>
    <mergeCell ref="AQ8:AQ18"/>
    <mergeCell ref="AR8:AR18"/>
    <mergeCell ref="AS8:AS18"/>
    <mergeCell ref="AT8:AT18"/>
    <mergeCell ref="AU8:AU18"/>
    <mergeCell ref="AV8:AV18"/>
    <mergeCell ref="BK8:BK18"/>
    <mergeCell ref="BL8:BL18"/>
    <mergeCell ref="BD8:BD18"/>
    <mergeCell ref="BE8:BE18"/>
    <mergeCell ref="BF8:BF18"/>
    <mergeCell ref="BG8:BG18"/>
    <mergeCell ref="BH8:BH18"/>
    <mergeCell ref="BI8:BI18"/>
    <mergeCell ref="BJ8:BJ18"/>
    <mergeCell ref="BP6:BP7"/>
    <mergeCell ref="BQ6:BS6"/>
    <mergeCell ref="BM8:BM18"/>
    <mergeCell ref="BN8:BN18"/>
    <mergeCell ref="BO8:BO18"/>
    <mergeCell ref="BP8:BP18"/>
    <mergeCell ref="BQ8:BQ18"/>
    <mergeCell ref="BR8:BR18"/>
    <mergeCell ref="BS8:BS18"/>
    <mergeCell ref="BT8:BT18"/>
    <mergeCell ref="BU8:BU18"/>
    <mergeCell ref="BV8:BV18"/>
    <mergeCell ref="BW8:BW18"/>
    <mergeCell ref="BX8:BX18"/>
    <mergeCell ref="CM8:CM18"/>
    <mergeCell ref="CN8:CN18"/>
    <mergeCell ref="CO8:CO18"/>
    <mergeCell ref="CP8:CP18"/>
    <mergeCell ref="CQ8:CQ18"/>
    <mergeCell ref="CR8:CR18"/>
    <mergeCell ref="CS8:CS18"/>
    <mergeCell ref="CT8:CT18"/>
    <mergeCell ref="CF8:CF18"/>
    <mergeCell ref="CG8:CG18"/>
    <mergeCell ref="CH8:CH18"/>
    <mergeCell ref="CI8:CI18"/>
    <mergeCell ref="CJ8:CJ18"/>
    <mergeCell ref="CK8:CK18"/>
    <mergeCell ref="CL8:CL18"/>
    <mergeCell ref="CM19:CM29"/>
    <mergeCell ref="CN19:CN29"/>
    <mergeCell ref="CO19:CO29"/>
    <mergeCell ref="CP19:CP29"/>
    <mergeCell ref="CQ19:CQ29"/>
    <mergeCell ref="CR19:CR29"/>
    <mergeCell ref="CS19:CS29"/>
    <mergeCell ref="CT19:CT29"/>
    <mergeCell ref="CF19:CF29"/>
    <mergeCell ref="CG19:CG29"/>
    <mergeCell ref="CH19:CH29"/>
    <mergeCell ref="CI19:CI29"/>
    <mergeCell ref="CJ19:CJ29"/>
    <mergeCell ref="CK19:CK29"/>
    <mergeCell ref="CL19:CL29"/>
    <mergeCell ref="BH19:BH29"/>
    <mergeCell ref="BI19:BI29"/>
    <mergeCell ref="BA19:BA29"/>
    <mergeCell ref="BB19:BB29"/>
    <mergeCell ref="BC19:BC29"/>
    <mergeCell ref="BD19:BD29"/>
    <mergeCell ref="BE19:BE29"/>
    <mergeCell ref="BF19:BF29"/>
    <mergeCell ref="BG19:BG29"/>
    <mergeCell ref="CQ52:CQ62"/>
    <mergeCell ref="CR52:CR62"/>
    <mergeCell ref="CJ52:CJ62"/>
    <mergeCell ref="CK52:CK62"/>
    <mergeCell ref="CL52:CL62"/>
    <mergeCell ref="CM52:CM62"/>
    <mergeCell ref="CN52:CN62"/>
    <mergeCell ref="CO52:CO62"/>
    <mergeCell ref="CP52:CP62"/>
    <mergeCell ref="AM52:AM62"/>
    <mergeCell ref="AN52:AN62"/>
    <mergeCell ref="AO52:AO62"/>
    <mergeCell ref="AP52:AP62"/>
    <mergeCell ref="AQ52:AQ62"/>
    <mergeCell ref="AR52:AR62"/>
    <mergeCell ref="AS52:AS62"/>
    <mergeCell ref="AT52:AT62"/>
    <mergeCell ref="AU52:AU62"/>
    <mergeCell ref="AV52:AV62"/>
    <mergeCell ref="AW52:AW62"/>
    <mergeCell ref="AX52:AX62"/>
    <mergeCell ref="AY52:AY62"/>
    <mergeCell ref="AZ52:AZ62"/>
    <mergeCell ref="BA52:BA62"/>
    <mergeCell ref="BB52:BB62"/>
    <mergeCell ref="BC52:BC62"/>
    <mergeCell ref="BD52:BD62"/>
    <mergeCell ref="BE52:BE62"/>
    <mergeCell ref="BF52:BF62"/>
    <mergeCell ref="BG52:BG62"/>
    <mergeCell ref="BH52:BH62"/>
    <mergeCell ref="BI52:BI62"/>
    <mergeCell ref="BJ52:BJ62"/>
    <mergeCell ref="BK52:BK62"/>
    <mergeCell ref="BL52:BL62"/>
    <mergeCell ref="BM52:BM62"/>
    <mergeCell ref="BN52:BN62"/>
    <mergeCell ref="BO52:BO62"/>
    <mergeCell ref="BP52:BP62"/>
    <mergeCell ref="BQ52:BQ62"/>
    <mergeCell ref="BR52:BR62"/>
    <mergeCell ref="BS52:BS62"/>
    <mergeCell ref="BT52:BT62"/>
    <mergeCell ref="BU52:BU62"/>
    <mergeCell ref="BV52:BV62"/>
    <mergeCell ref="BW52:BW62"/>
    <mergeCell ref="BX52:BX62"/>
    <mergeCell ref="BY52:BY62"/>
    <mergeCell ref="BZ52:BZ62"/>
    <mergeCell ref="CA52:CA62"/>
    <mergeCell ref="CB52:CB62"/>
    <mergeCell ref="CC52:CC62"/>
    <mergeCell ref="CD52:CD62"/>
    <mergeCell ref="CE52:CE62"/>
    <mergeCell ref="CF52:CF62"/>
    <mergeCell ref="CG52:CG62"/>
    <mergeCell ref="CH52:CH62"/>
    <mergeCell ref="CI52:CI62"/>
    <mergeCell ref="AU6:AU7"/>
    <mergeCell ref="AV6:AV7"/>
    <mergeCell ref="BA6:BI6"/>
    <mergeCell ref="BL6:BN6"/>
    <mergeCell ref="BT6:BT7"/>
    <mergeCell ref="BU6:BU7"/>
    <mergeCell ref="E6:L6"/>
    <mergeCell ref="M6:M7"/>
    <mergeCell ref="A8:A18"/>
    <mergeCell ref="B8:B18"/>
    <mergeCell ref="P8:P18"/>
    <mergeCell ref="Q8:Q18"/>
    <mergeCell ref="R8:R18"/>
    <mergeCell ref="AA5:AI6"/>
    <mergeCell ref="Z6:Z7"/>
    <mergeCell ref="AK8:AK18"/>
    <mergeCell ref="AL8:AL18"/>
    <mergeCell ref="AM8:AM18"/>
    <mergeCell ref="AN8:AN18"/>
    <mergeCell ref="AO8:AO18"/>
    <mergeCell ref="AW6:AW7"/>
    <mergeCell ref="AX6:AX7"/>
    <mergeCell ref="AY8:AY18"/>
    <mergeCell ref="AZ8:AZ18"/>
    <mergeCell ref="BA8:BA18"/>
    <mergeCell ref="BB8:BB18"/>
    <mergeCell ref="BC8:BC18"/>
    <mergeCell ref="BY8:BY18"/>
    <mergeCell ref="BZ8:BZ18"/>
    <mergeCell ref="CA8:CA18"/>
    <mergeCell ref="CB8:CB18"/>
    <mergeCell ref="CC8:CC18"/>
    <mergeCell ref="CD8:CD18"/>
    <mergeCell ref="CE8:CE18"/>
    <mergeCell ref="BJ19:BJ29"/>
    <mergeCell ref="BK19:BK29"/>
    <mergeCell ref="BL19:BL29"/>
    <mergeCell ref="BM19:BM29"/>
    <mergeCell ref="BN19:BN29"/>
    <mergeCell ref="BO19:BO29"/>
    <mergeCell ref="BP19:BP29"/>
    <mergeCell ref="BX19:BX29"/>
    <mergeCell ref="BY19:BY29"/>
    <mergeCell ref="BZ19:BZ29"/>
    <mergeCell ref="CA19:CA29"/>
    <mergeCell ref="CB19:CB29"/>
    <mergeCell ref="CC19:CC29"/>
    <mergeCell ref="CD19:CD29"/>
    <mergeCell ref="CE19:CE29"/>
    <mergeCell ref="BQ19:BQ29"/>
    <mergeCell ref="BR19:BR29"/>
    <mergeCell ref="BS19:BS29"/>
    <mergeCell ref="BT19:BT29"/>
    <mergeCell ref="BU19:BU29"/>
    <mergeCell ref="BV19:BV29"/>
    <mergeCell ref="BW19:BW29"/>
    <mergeCell ref="AQ30:AQ40"/>
    <mergeCell ref="AR30:AR40"/>
    <mergeCell ref="AS30:AS40"/>
    <mergeCell ref="AT30:AT40"/>
    <mergeCell ref="AU30:AU40"/>
    <mergeCell ref="AV30:AV40"/>
    <mergeCell ref="AW30:AW40"/>
    <mergeCell ref="AX30:AX40"/>
    <mergeCell ref="AY30:AY40"/>
    <mergeCell ref="BA30:BA40"/>
    <mergeCell ref="BB30:BB40"/>
    <mergeCell ref="BC30:BC40"/>
    <mergeCell ref="BD30:BD40"/>
    <mergeCell ref="BE30:BE40"/>
    <mergeCell ref="BF30:BF40"/>
    <mergeCell ref="BG30:BG40"/>
    <mergeCell ref="BH30:BH40"/>
    <mergeCell ref="BI30:BI40"/>
    <mergeCell ref="BJ30:BJ40"/>
    <mergeCell ref="BK30:BK40"/>
    <mergeCell ref="BL30:BL40"/>
    <mergeCell ref="BM30:BM40"/>
    <mergeCell ref="BN30:BN40"/>
    <mergeCell ref="BO30:BO40"/>
    <mergeCell ref="BP30:BP40"/>
    <mergeCell ref="BQ30:BQ40"/>
    <mergeCell ref="BR30:BR40"/>
    <mergeCell ref="BS30:BS40"/>
    <mergeCell ref="BT30:BT40"/>
    <mergeCell ref="BU30:BU40"/>
    <mergeCell ref="BV30:BV40"/>
    <mergeCell ref="BW30:BW40"/>
    <mergeCell ref="BX30:BX40"/>
    <mergeCell ref="BY30:BY40"/>
    <mergeCell ref="BZ30:BZ40"/>
    <mergeCell ref="CA30:CA40"/>
    <mergeCell ref="CB30:CB40"/>
    <mergeCell ref="CC30:CC40"/>
    <mergeCell ref="CD30:CD40"/>
    <mergeCell ref="CE30:CE40"/>
    <mergeCell ref="CF30:CF40"/>
    <mergeCell ref="CG30:CG40"/>
    <mergeCell ref="CO30:CO40"/>
    <mergeCell ref="CP30:CP40"/>
    <mergeCell ref="CQ30:CQ40"/>
    <mergeCell ref="CR30:CR40"/>
    <mergeCell ref="CS30:CS40"/>
    <mergeCell ref="CT30:CT40"/>
    <mergeCell ref="CH30:CH40"/>
    <mergeCell ref="CI30:CI40"/>
    <mergeCell ref="CJ30:CJ40"/>
    <mergeCell ref="CK30:CK40"/>
    <mergeCell ref="CL30:CL40"/>
    <mergeCell ref="CM30:CM40"/>
    <mergeCell ref="CN30:CN40"/>
    <mergeCell ref="Z8:Z18"/>
    <mergeCell ref="AJ8:AJ18"/>
    <mergeCell ref="A19:A29"/>
    <mergeCell ref="B19:B29"/>
    <mergeCell ref="A30:A40"/>
    <mergeCell ref="B30:B40"/>
    <mergeCell ref="S8:S18"/>
    <mergeCell ref="T8:T18"/>
    <mergeCell ref="U8:U18"/>
    <mergeCell ref="V8:V18"/>
    <mergeCell ref="W8:W18"/>
    <mergeCell ref="X8:X18"/>
    <mergeCell ref="Y8:Y18"/>
    <mergeCell ref="W19:W29"/>
    <mergeCell ref="X19:X29"/>
    <mergeCell ref="Y19:Y29"/>
    <mergeCell ref="Z19:Z29"/>
    <mergeCell ref="AJ19:AJ29"/>
    <mergeCell ref="AK19:AK29"/>
    <mergeCell ref="AL19:AL29"/>
    <mergeCell ref="AT19:AT29"/>
    <mergeCell ref="AU19:AU29"/>
    <mergeCell ref="AV19:AV29"/>
    <mergeCell ref="AW19:AW29"/>
    <mergeCell ref="AX19:AX29"/>
    <mergeCell ref="AY19:AY29"/>
    <mergeCell ref="AZ19:AZ29"/>
    <mergeCell ref="AZ30:AZ40"/>
    <mergeCell ref="P19:P29"/>
    <mergeCell ref="Q19:Q29"/>
    <mergeCell ref="R19:R29"/>
    <mergeCell ref="S19:S29"/>
    <mergeCell ref="T19:T29"/>
    <mergeCell ref="U19:U29"/>
    <mergeCell ref="V19:V29"/>
    <mergeCell ref="AM19:AM29"/>
    <mergeCell ref="AN19:AN29"/>
    <mergeCell ref="AO19:AO29"/>
    <mergeCell ref="AP19:AP29"/>
    <mergeCell ref="AQ19:AQ29"/>
    <mergeCell ref="AR19:AR29"/>
    <mergeCell ref="AS19:AS29"/>
    <mergeCell ref="BX41:BX51"/>
    <mergeCell ref="BY41:BY51"/>
    <mergeCell ref="BZ41:BZ51"/>
    <mergeCell ref="CA41:CA51"/>
    <mergeCell ref="CB41:CB51"/>
    <mergeCell ref="CC41:CC51"/>
    <mergeCell ref="CD41:CD51"/>
    <mergeCell ref="CE41:CE51"/>
    <mergeCell ref="CF41:CF51"/>
    <mergeCell ref="CG41:CG51"/>
    <mergeCell ref="CH41:CH51"/>
    <mergeCell ref="CI41:CI51"/>
    <mergeCell ref="CJ41:CJ51"/>
    <mergeCell ref="CK41:CK51"/>
    <mergeCell ref="CS41:CS51"/>
    <mergeCell ref="CT41:CT51"/>
    <mergeCell ref="CS52:CS62"/>
    <mergeCell ref="CT52:CT62"/>
    <mergeCell ref="CL41:CL51"/>
    <mergeCell ref="CM41:CM51"/>
    <mergeCell ref="CN41:CN51"/>
    <mergeCell ref="CO41:CO51"/>
    <mergeCell ref="CP41:CP51"/>
    <mergeCell ref="CQ41:CQ51"/>
    <mergeCell ref="CR41:CR51"/>
    <mergeCell ref="Y30:Y40"/>
    <mergeCell ref="Z30:Z40"/>
    <mergeCell ref="AJ30:AJ40"/>
    <mergeCell ref="AK30:AK40"/>
    <mergeCell ref="AL30:AL40"/>
    <mergeCell ref="AM30:AM40"/>
    <mergeCell ref="AN30:AN40"/>
    <mergeCell ref="AO30:AO40"/>
    <mergeCell ref="AP30:AP40"/>
    <mergeCell ref="AJ41:AJ51"/>
    <mergeCell ref="AK41:AK51"/>
    <mergeCell ref="AL41:AL51"/>
    <mergeCell ref="AM41:AM51"/>
    <mergeCell ref="AN41:AN51"/>
    <mergeCell ref="AO41:AO51"/>
    <mergeCell ref="AP41:AP51"/>
    <mergeCell ref="AQ41:AQ51"/>
    <mergeCell ref="AR41:AR51"/>
    <mergeCell ref="AS41:AS51"/>
    <mergeCell ref="AT41:AT51"/>
    <mergeCell ref="AU41:AU51"/>
    <mergeCell ref="AV41:AV51"/>
    <mergeCell ref="AW41:AW51"/>
    <mergeCell ref="AX41:AX51"/>
    <mergeCell ref="AY41:AY51"/>
    <mergeCell ref="AZ41:AZ51"/>
    <mergeCell ref="BA41:BA51"/>
    <mergeCell ref="BB41:BB51"/>
    <mergeCell ref="BC41:BC51"/>
    <mergeCell ref="BD41:BD51"/>
    <mergeCell ref="BE41:BE51"/>
    <mergeCell ref="BF41:BF51"/>
    <mergeCell ref="BG41:BG51"/>
    <mergeCell ref="BH41:BH51"/>
    <mergeCell ref="BI41:BI51"/>
    <mergeCell ref="BJ41:BJ51"/>
    <mergeCell ref="BK41:BK51"/>
    <mergeCell ref="BL41:BL51"/>
    <mergeCell ref="BM41:BM51"/>
    <mergeCell ref="BN41:BN51"/>
    <mergeCell ref="BO41:BO51"/>
    <mergeCell ref="BP41:BP51"/>
    <mergeCell ref="BQ41:BQ51"/>
    <mergeCell ref="BR41:BR51"/>
    <mergeCell ref="BS41:BS51"/>
    <mergeCell ref="BT41:BT51"/>
    <mergeCell ref="BU41:BU51"/>
    <mergeCell ref="BV41:BV51"/>
    <mergeCell ref="BW41:BW51"/>
    <mergeCell ref="CN63:CN73"/>
    <mergeCell ref="CO63:CO73"/>
    <mergeCell ref="CP63:CP73"/>
    <mergeCell ref="CQ63:CQ73"/>
    <mergeCell ref="CR63:CR73"/>
    <mergeCell ref="CS63:CS73"/>
    <mergeCell ref="CT63:CT73"/>
    <mergeCell ref="CG63:CG73"/>
    <mergeCell ref="CH63:CH73"/>
    <mergeCell ref="CI63:CI73"/>
    <mergeCell ref="CJ63:CJ73"/>
    <mergeCell ref="CK63:CK73"/>
    <mergeCell ref="CL63:CL73"/>
    <mergeCell ref="CM63:CM73"/>
    <mergeCell ref="AJ63:AJ73"/>
    <mergeCell ref="AK63:AK73"/>
    <mergeCell ref="AL63:AL73"/>
    <mergeCell ref="AM63:AM73"/>
    <mergeCell ref="AN63:AN73"/>
    <mergeCell ref="AO63:AO73"/>
    <mergeCell ref="AP63:AP73"/>
    <mergeCell ref="AQ63:AQ73"/>
    <mergeCell ref="AR63:AR73"/>
    <mergeCell ref="AS63:AS73"/>
    <mergeCell ref="AT63:AT73"/>
    <mergeCell ref="AU63:AU73"/>
    <mergeCell ref="AV63:AV73"/>
    <mergeCell ref="AW63:AW73"/>
    <mergeCell ref="AX63:AX73"/>
    <mergeCell ref="AY63:AY73"/>
    <mergeCell ref="AZ63:AZ73"/>
    <mergeCell ref="BA63:BA73"/>
    <mergeCell ref="BB63:BB73"/>
    <mergeCell ref="BC63:BC73"/>
    <mergeCell ref="BD63:BD73"/>
    <mergeCell ref="BE63:BE73"/>
    <mergeCell ref="BF63:BF73"/>
    <mergeCell ref="BG63:BG73"/>
    <mergeCell ref="BH63:BH73"/>
    <mergeCell ref="BI63:BI73"/>
    <mergeCell ref="BJ63:BJ73"/>
    <mergeCell ref="BK63:BK73"/>
    <mergeCell ref="BL63:BL73"/>
    <mergeCell ref="BM63:BM73"/>
    <mergeCell ref="BN63:BN73"/>
    <mergeCell ref="BO63:BO73"/>
    <mergeCell ref="BP63:BP73"/>
    <mergeCell ref="BQ63:BQ73"/>
    <mergeCell ref="BR63:BR73"/>
    <mergeCell ref="BS63:BS73"/>
    <mergeCell ref="BT63:BT73"/>
    <mergeCell ref="BU63:BU73"/>
    <mergeCell ref="BV63:BV73"/>
    <mergeCell ref="BW63:BW73"/>
    <mergeCell ref="BX63:BX73"/>
    <mergeCell ref="BY63:BY73"/>
    <mergeCell ref="BZ63:BZ73"/>
    <mergeCell ref="CA63:CA73"/>
    <mergeCell ref="CB63:CB73"/>
    <mergeCell ref="CC63:CC73"/>
    <mergeCell ref="CD63:CD73"/>
    <mergeCell ref="CE63:CE73"/>
    <mergeCell ref="CF63:CF73"/>
    <mergeCell ref="W63:W73"/>
    <mergeCell ref="X63:X73"/>
    <mergeCell ref="P63:P73"/>
    <mergeCell ref="Q63:Q73"/>
    <mergeCell ref="R63:R73"/>
    <mergeCell ref="S63:S73"/>
    <mergeCell ref="T63:T73"/>
    <mergeCell ref="U63:U73"/>
    <mergeCell ref="V63:V73"/>
    <mergeCell ref="CN74:CN84"/>
    <mergeCell ref="CO74:CO84"/>
    <mergeCell ref="CP74:CP84"/>
    <mergeCell ref="CQ74:CQ84"/>
    <mergeCell ref="CR74:CR84"/>
    <mergeCell ref="CS74:CS84"/>
    <mergeCell ref="CT74:CT84"/>
    <mergeCell ref="CG74:CG84"/>
    <mergeCell ref="CH74:CH84"/>
    <mergeCell ref="CI74:CI84"/>
    <mergeCell ref="CJ74:CJ84"/>
    <mergeCell ref="CK74:CK84"/>
    <mergeCell ref="CL74:CL84"/>
    <mergeCell ref="CM74:CM84"/>
    <mergeCell ref="AJ74:AJ84"/>
    <mergeCell ref="AK74:AK84"/>
    <mergeCell ref="AL74:AL84"/>
    <mergeCell ref="AM74:AM84"/>
    <mergeCell ref="AN74:AN84"/>
    <mergeCell ref="AO74:AO84"/>
    <mergeCell ref="AP74:AP84"/>
    <mergeCell ref="AQ74:AQ84"/>
    <mergeCell ref="AR74:AR84"/>
    <mergeCell ref="AS74:AS84"/>
    <mergeCell ref="AT74:AT84"/>
    <mergeCell ref="AU74:AU84"/>
    <mergeCell ref="AV74:AV84"/>
    <mergeCell ref="AW74:AW84"/>
    <mergeCell ref="AX74:AX84"/>
    <mergeCell ref="AY74:AY84"/>
    <mergeCell ref="AZ74:AZ84"/>
    <mergeCell ref="BA74:BA84"/>
    <mergeCell ref="BB74:BB84"/>
    <mergeCell ref="BC74:BC84"/>
    <mergeCell ref="BD74:BD84"/>
    <mergeCell ref="BE74:BE84"/>
    <mergeCell ref="BF74:BF84"/>
    <mergeCell ref="BG74:BG84"/>
    <mergeCell ref="BH74:BH84"/>
    <mergeCell ref="BI74:BI84"/>
    <mergeCell ref="BJ74:BJ84"/>
    <mergeCell ref="BK74:BK84"/>
    <mergeCell ref="BL74:BL84"/>
    <mergeCell ref="BM74:BM84"/>
    <mergeCell ref="BN74:BN84"/>
    <mergeCell ref="BO74:BO84"/>
    <mergeCell ref="BP74:BP84"/>
    <mergeCell ref="BQ74:BQ84"/>
    <mergeCell ref="BR74:BR84"/>
    <mergeCell ref="BS74:BS84"/>
    <mergeCell ref="BT74:BT84"/>
    <mergeCell ref="BU74:BU84"/>
    <mergeCell ref="BV74:BV84"/>
    <mergeCell ref="BW74:BW84"/>
    <mergeCell ref="BX74:BX84"/>
    <mergeCell ref="BY74:BY84"/>
    <mergeCell ref="BZ74:BZ84"/>
    <mergeCell ref="CA74:CA84"/>
    <mergeCell ref="CB74:CB84"/>
    <mergeCell ref="CC74:CC84"/>
    <mergeCell ref="CD74:CD84"/>
    <mergeCell ref="CE74:CE84"/>
    <mergeCell ref="CF74:CF84"/>
    <mergeCell ref="W52:W62"/>
    <mergeCell ref="X52:X62"/>
    <mergeCell ref="Y52:Y62"/>
    <mergeCell ref="Z52:Z62"/>
    <mergeCell ref="AJ52:AJ62"/>
    <mergeCell ref="AK52:AK62"/>
    <mergeCell ref="AL52:AL62"/>
    <mergeCell ref="P52:P62"/>
    <mergeCell ref="Q52:Q62"/>
    <mergeCell ref="R52:R62"/>
    <mergeCell ref="S52:S62"/>
    <mergeCell ref="T52:T62"/>
    <mergeCell ref="U52:U62"/>
    <mergeCell ref="V52:V62"/>
    <mergeCell ref="BX85:BX95"/>
    <mergeCell ref="BY85:BY95"/>
    <mergeCell ref="BZ85:BZ95"/>
    <mergeCell ref="CA85:CA95"/>
    <mergeCell ref="CB85:CB95"/>
    <mergeCell ref="CC85:CC95"/>
    <mergeCell ref="CD85:CD95"/>
    <mergeCell ref="CE85:CE95"/>
    <mergeCell ref="CF85:CF95"/>
    <mergeCell ref="CG85:CG95"/>
    <mergeCell ref="CH85:CH95"/>
    <mergeCell ref="CI85:CI95"/>
    <mergeCell ref="CJ85:CJ95"/>
    <mergeCell ref="CK85:CK95"/>
    <mergeCell ref="CS85:CS95"/>
    <mergeCell ref="CT85:CT95"/>
    <mergeCell ref="CP96:CP106"/>
    <mergeCell ref="CQ96:CQ106"/>
    <mergeCell ref="CR96:CR106"/>
    <mergeCell ref="CS96:CS106"/>
    <mergeCell ref="CT96:CT106"/>
    <mergeCell ref="CL85:CL95"/>
    <mergeCell ref="CM85:CM95"/>
    <mergeCell ref="CN85:CN95"/>
    <mergeCell ref="CO85:CO95"/>
    <mergeCell ref="CP85:CP95"/>
    <mergeCell ref="CQ85:CQ95"/>
    <mergeCell ref="CR85:CR95"/>
    <mergeCell ref="A74:A84"/>
    <mergeCell ref="A85:A95"/>
    <mergeCell ref="A96:A106"/>
    <mergeCell ref="A41:A51"/>
    <mergeCell ref="B41:B51"/>
    <mergeCell ref="A52:A62"/>
    <mergeCell ref="B52:B62"/>
    <mergeCell ref="A63:A73"/>
    <mergeCell ref="B63:B73"/>
    <mergeCell ref="B74:B84"/>
    <mergeCell ref="P74:P84"/>
    <mergeCell ref="Q74:Q84"/>
    <mergeCell ref="R74:R84"/>
    <mergeCell ref="S74:S84"/>
    <mergeCell ref="T74:T84"/>
    <mergeCell ref="U74:U84"/>
    <mergeCell ref="V74:V84"/>
    <mergeCell ref="W74:W84"/>
    <mergeCell ref="X74:X84"/>
    <mergeCell ref="AJ85:AJ95"/>
    <mergeCell ref="AK85:AK95"/>
    <mergeCell ref="AL85:AL95"/>
    <mergeCell ref="AM85:AM95"/>
    <mergeCell ref="AN85:AN95"/>
    <mergeCell ref="AV85:AV95"/>
    <mergeCell ref="AW85:AW95"/>
    <mergeCell ref="AX85:AX95"/>
    <mergeCell ref="AY85:AY95"/>
    <mergeCell ref="AZ85:AZ95"/>
    <mergeCell ref="BA85:BA95"/>
    <mergeCell ref="BB85:BB95"/>
    <mergeCell ref="BC85:BC95"/>
    <mergeCell ref="BD85:BD95"/>
    <mergeCell ref="BE85:BE95"/>
    <mergeCell ref="BF85:BF95"/>
    <mergeCell ref="BG85:BG95"/>
    <mergeCell ref="BH85:BH95"/>
    <mergeCell ref="BI85:BI95"/>
    <mergeCell ref="BJ85:BJ95"/>
    <mergeCell ref="BK85:BK95"/>
    <mergeCell ref="BL85:BL95"/>
    <mergeCell ref="BM85:BM95"/>
    <mergeCell ref="BN85:BN95"/>
    <mergeCell ref="BO85:BO95"/>
    <mergeCell ref="BP85:BP95"/>
    <mergeCell ref="BQ85:BQ95"/>
    <mergeCell ref="BR85:BR95"/>
    <mergeCell ref="BS85:BS95"/>
    <mergeCell ref="BT85:BT95"/>
    <mergeCell ref="BU85:BU95"/>
    <mergeCell ref="BV85:BV95"/>
    <mergeCell ref="BW85:BW95"/>
    <mergeCell ref="AO85:AO95"/>
    <mergeCell ref="AP85:AP95"/>
    <mergeCell ref="AQ85:AQ95"/>
    <mergeCell ref="AR85:AR95"/>
    <mergeCell ref="AS85:AS95"/>
    <mergeCell ref="AT85:AT95"/>
    <mergeCell ref="AU85:AU95"/>
    <mergeCell ref="CN129:CN139"/>
    <mergeCell ref="CO129:CO139"/>
    <mergeCell ref="CP129:CP139"/>
    <mergeCell ref="CQ129:CQ139"/>
    <mergeCell ref="CR129:CR139"/>
    <mergeCell ref="CS129:CS139"/>
    <mergeCell ref="CT129:CT139"/>
    <mergeCell ref="CG129:CG139"/>
    <mergeCell ref="CH129:CH139"/>
    <mergeCell ref="CI129:CI139"/>
    <mergeCell ref="CJ129:CJ139"/>
    <mergeCell ref="CK129:CK139"/>
    <mergeCell ref="CL129:CL139"/>
    <mergeCell ref="CM129:CM139"/>
    <mergeCell ref="AQ129:AQ139"/>
    <mergeCell ref="AR129:AR139"/>
    <mergeCell ref="AS129:AS139"/>
    <mergeCell ref="AT129:AT139"/>
    <mergeCell ref="AU129:AU139"/>
    <mergeCell ref="AV129:AV139"/>
    <mergeCell ref="AW129:AW139"/>
    <mergeCell ref="AX129:AX139"/>
    <mergeCell ref="AY129:AY139"/>
    <mergeCell ref="AZ129:AZ139"/>
    <mergeCell ref="BA129:BA139"/>
    <mergeCell ref="BB129:BB139"/>
    <mergeCell ref="BC129:BC139"/>
    <mergeCell ref="BD129:BD139"/>
    <mergeCell ref="BE129:BE139"/>
    <mergeCell ref="BF129:BF139"/>
    <mergeCell ref="BG129:BG139"/>
    <mergeCell ref="BH129:BH139"/>
    <mergeCell ref="BI129:BI139"/>
    <mergeCell ref="BJ129:BJ139"/>
    <mergeCell ref="BK129:BK139"/>
    <mergeCell ref="BL129:BL139"/>
    <mergeCell ref="BM129:BM139"/>
    <mergeCell ref="BN129:BN139"/>
    <mergeCell ref="BO129:BO139"/>
    <mergeCell ref="BP129:BP139"/>
    <mergeCell ref="BQ129:BQ139"/>
    <mergeCell ref="BR129:BR139"/>
    <mergeCell ref="BS129:BS139"/>
    <mergeCell ref="BT129:BT139"/>
    <mergeCell ref="BU129:BU139"/>
    <mergeCell ref="BV129:BV139"/>
    <mergeCell ref="BW129:BW139"/>
    <mergeCell ref="BX129:BX139"/>
    <mergeCell ref="BY129:BY139"/>
    <mergeCell ref="BZ129:BZ139"/>
    <mergeCell ref="CA129:CA139"/>
    <mergeCell ref="CB129:CB139"/>
    <mergeCell ref="CC129:CC139"/>
    <mergeCell ref="CD129:CD139"/>
    <mergeCell ref="CE129:CE139"/>
    <mergeCell ref="CF129:CF139"/>
    <mergeCell ref="AJ129:AJ139"/>
    <mergeCell ref="AK129:AK139"/>
    <mergeCell ref="AL129:AL139"/>
    <mergeCell ref="AM129:AM139"/>
    <mergeCell ref="AN129:AN139"/>
    <mergeCell ref="AO129:AO139"/>
    <mergeCell ref="AP129:AP139"/>
    <mergeCell ref="CN140:CN150"/>
    <mergeCell ref="CO140:CO150"/>
    <mergeCell ref="CP140:CP150"/>
    <mergeCell ref="CQ140:CQ150"/>
    <mergeCell ref="CR140:CR150"/>
    <mergeCell ref="CS140:CS150"/>
    <mergeCell ref="CT140:CT150"/>
    <mergeCell ref="CG140:CG150"/>
    <mergeCell ref="CH140:CH150"/>
    <mergeCell ref="CI140:CI150"/>
    <mergeCell ref="CJ140:CJ150"/>
    <mergeCell ref="CK140:CK150"/>
    <mergeCell ref="CL140:CL150"/>
    <mergeCell ref="CM140:CM150"/>
    <mergeCell ref="AQ140:AQ150"/>
    <mergeCell ref="AR140:AR150"/>
    <mergeCell ref="AS140:AS150"/>
    <mergeCell ref="AT140:AT150"/>
    <mergeCell ref="AU140:AU150"/>
    <mergeCell ref="AV140:AV150"/>
    <mergeCell ref="AW140:AW150"/>
    <mergeCell ref="AX140:AX150"/>
    <mergeCell ref="AY140:AY150"/>
    <mergeCell ref="AZ140:AZ150"/>
    <mergeCell ref="BA140:BA150"/>
    <mergeCell ref="BB140:BB150"/>
    <mergeCell ref="BC140:BC150"/>
    <mergeCell ref="BD140:BD150"/>
    <mergeCell ref="BE140:BE150"/>
    <mergeCell ref="BF140:BF150"/>
    <mergeCell ref="BG140:BG150"/>
    <mergeCell ref="BH140:BH150"/>
    <mergeCell ref="BI140:BI150"/>
    <mergeCell ref="BJ140:BJ150"/>
    <mergeCell ref="BK140:BK150"/>
    <mergeCell ref="BL140:BL150"/>
    <mergeCell ref="BM140:BM150"/>
    <mergeCell ref="BN140:BN150"/>
    <mergeCell ref="BO140:BO150"/>
    <mergeCell ref="BP140:BP150"/>
    <mergeCell ref="BQ140:BQ150"/>
    <mergeCell ref="BR140:BR150"/>
    <mergeCell ref="BS140:BS150"/>
    <mergeCell ref="BT140:BT150"/>
    <mergeCell ref="BU140:BU150"/>
    <mergeCell ref="BV140:BV150"/>
    <mergeCell ref="BW140:BW150"/>
    <mergeCell ref="BX140:BX150"/>
    <mergeCell ref="BY140:BY150"/>
    <mergeCell ref="BZ140:BZ150"/>
    <mergeCell ref="CA140:CA150"/>
    <mergeCell ref="CB140:CB150"/>
    <mergeCell ref="CC140:CC150"/>
    <mergeCell ref="CD140:CD150"/>
    <mergeCell ref="CE140:CE150"/>
    <mergeCell ref="CF140:CF150"/>
    <mergeCell ref="AJ140:AJ150"/>
    <mergeCell ref="AK140:AK150"/>
    <mergeCell ref="AL140:AL150"/>
    <mergeCell ref="AM140:AM150"/>
    <mergeCell ref="AN140:AN150"/>
    <mergeCell ref="AO140:AO150"/>
    <mergeCell ref="AP140:AP150"/>
    <mergeCell ref="W96:W106"/>
    <mergeCell ref="X96:X106"/>
    <mergeCell ref="P96:P106"/>
    <mergeCell ref="Q96:Q106"/>
    <mergeCell ref="R96:R106"/>
    <mergeCell ref="S96:S106"/>
    <mergeCell ref="T96:T106"/>
    <mergeCell ref="U96:U106"/>
    <mergeCell ref="V96:V106"/>
    <mergeCell ref="W107:W117"/>
    <mergeCell ref="X107:X117"/>
    <mergeCell ref="P107:P117"/>
    <mergeCell ref="Q107:Q117"/>
    <mergeCell ref="R107:R117"/>
    <mergeCell ref="S107:S117"/>
    <mergeCell ref="T107:T117"/>
    <mergeCell ref="U107:U117"/>
    <mergeCell ref="V107:V117"/>
    <mergeCell ref="W118:W128"/>
    <mergeCell ref="X118:X128"/>
    <mergeCell ref="P118:P128"/>
    <mergeCell ref="Q118:Q128"/>
    <mergeCell ref="R118:R128"/>
    <mergeCell ref="S118:S128"/>
    <mergeCell ref="T118:T128"/>
    <mergeCell ref="U118:U128"/>
    <mergeCell ref="V118:V128"/>
    <mergeCell ref="W85:W95"/>
    <mergeCell ref="X85:X95"/>
    <mergeCell ref="Y85:Y95"/>
    <mergeCell ref="Z85:Z95"/>
    <mergeCell ref="Y96:Y106"/>
    <mergeCell ref="Z96:Z106"/>
    <mergeCell ref="Z107:Z117"/>
    <mergeCell ref="P85:P95"/>
    <mergeCell ref="Q85:Q95"/>
    <mergeCell ref="R85:R95"/>
    <mergeCell ref="S85:S95"/>
    <mergeCell ref="T85:T95"/>
    <mergeCell ref="U85:U95"/>
    <mergeCell ref="V85:V95"/>
    <mergeCell ref="B85:B95"/>
    <mergeCell ref="B96:B106"/>
    <mergeCell ref="A107:A117"/>
    <mergeCell ref="B107:B117"/>
    <mergeCell ref="A118:A128"/>
    <mergeCell ref="B118:B128"/>
    <mergeCell ref="B129:B139"/>
    <mergeCell ref="A129:A139"/>
    <mergeCell ref="A140:A150"/>
    <mergeCell ref="A151:A161"/>
    <mergeCell ref="A162:A172"/>
    <mergeCell ref="A173:A183"/>
    <mergeCell ref="A184:A194"/>
    <mergeCell ref="A195:A205"/>
    <mergeCell ref="B140:B150"/>
    <mergeCell ref="B151:B161"/>
    <mergeCell ref="B162:B172"/>
    <mergeCell ref="B173:B183"/>
    <mergeCell ref="B184:B194"/>
    <mergeCell ref="B195:B205"/>
    <mergeCell ref="B206:B216"/>
    <mergeCell ref="A283:A293"/>
    <mergeCell ref="A294:A304"/>
    <mergeCell ref="A305:A315"/>
    <mergeCell ref="A206:A216"/>
    <mergeCell ref="A217:A227"/>
    <mergeCell ref="A228:A238"/>
    <mergeCell ref="A239:A249"/>
    <mergeCell ref="A250:A260"/>
    <mergeCell ref="A261:A271"/>
    <mergeCell ref="A272:A282"/>
    <mergeCell ref="B294:B304"/>
    <mergeCell ref="B305:B315"/>
    <mergeCell ref="B217:B227"/>
    <mergeCell ref="B228:B238"/>
    <mergeCell ref="B239:B249"/>
    <mergeCell ref="B250:B260"/>
    <mergeCell ref="B261:B271"/>
    <mergeCell ref="B272:B282"/>
    <mergeCell ref="B283:B293"/>
    <mergeCell ref="W30:W40"/>
    <mergeCell ref="X30:X40"/>
    <mergeCell ref="P30:P40"/>
    <mergeCell ref="Q30:Q40"/>
    <mergeCell ref="R30:R40"/>
    <mergeCell ref="S30:S40"/>
    <mergeCell ref="T30:T40"/>
    <mergeCell ref="U30:U40"/>
    <mergeCell ref="V30:V40"/>
    <mergeCell ref="W41:W51"/>
    <mergeCell ref="X41:X51"/>
    <mergeCell ref="Y41:Y51"/>
    <mergeCell ref="Z41:Z51"/>
    <mergeCell ref="Y63:Y73"/>
    <mergeCell ref="Z63:Z73"/>
    <mergeCell ref="Y74:Y84"/>
    <mergeCell ref="Z74:Z84"/>
    <mergeCell ref="P41:P51"/>
    <mergeCell ref="Q41:Q51"/>
    <mergeCell ref="R41:R51"/>
    <mergeCell ref="S41:S51"/>
    <mergeCell ref="T41:T51"/>
    <mergeCell ref="U41:U51"/>
    <mergeCell ref="V41:V51"/>
    <mergeCell ref="Y107:Y117"/>
    <mergeCell ref="Y118:Y128"/>
    <mergeCell ref="Z118:Z128"/>
    <mergeCell ref="W129:W139"/>
    <mergeCell ref="X129:X139"/>
    <mergeCell ref="Y129:Y139"/>
    <mergeCell ref="Z129:Z139"/>
    <mergeCell ref="P129:P139"/>
    <mergeCell ref="Q129:Q139"/>
    <mergeCell ref="R129:R139"/>
    <mergeCell ref="S129:S139"/>
    <mergeCell ref="T129:T139"/>
    <mergeCell ref="U129:U139"/>
    <mergeCell ref="V129:V139"/>
    <mergeCell ref="W283:W293"/>
    <mergeCell ref="X283:X293"/>
    <mergeCell ref="Y283:Y293"/>
    <mergeCell ref="Z283:Z293"/>
    <mergeCell ref="P283:P293"/>
    <mergeCell ref="Q283:Q293"/>
    <mergeCell ref="R283:R293"/>
    <mergeCell ref="S283:S293"/>
    <mergeCell ref="T283:T293"/>
    <mergeCell ref="U283:U293"/>
    <mergeCell ref="V283:V293"/>
    <mergeCell ref="W294:W304"/>
    <mergeCell ref="X294:X304"/>
    <mergeCell ref="Y294:Y304"/>
    <mergeCell ref="Z294:Z304"/>
    <mergeCell ref="P294:P304"/>
    <mergeCell ref="Q294:Q304"/>
    <mergeCell ref="R294:R304"/>
    <mergeCell ref="S294:S304"/>
    <mergeCell ref="T294:T304"/>
    <mergeCell ref="U294:U304"/>
    <mergeCell ref="V294:V304"/>
    <mergeCell ref="W305:W315"/>
    <mergeCell ref="X305:X315"/>
    <mergeCell ref="Y305:Y315"/>
    <mergeCell ref="Z305:Z315"/>
    <mergeCell ref="P305:P315"/>
    <mergeCell ref="Q305:Q315"/>
    <mergeCell ref="R305:R315"/>
    <mergeCell ref="S305:S315"/>
    <mergeCell ref="T305:T315"/>
    <mergeCell ref="U305:U315"/>
    <mergeCell ref="V305:V315"/>
    <mergeCell ref="W140:W150"/>
    <mergeCell ref="X140:X150"/>
    <mergeCell ref="Y140:Y150"/>
    <mergeCell ref="Z140:Z150"/>
    <mergeCell ref="P140:P150"/>
    <mergeCell ref="Q140:Q150"/>
    <mergeCell ref="R140:R150"/>
    <mergeCell ref="S140:S150"/>
    <mergeCell ref="T140:T150"/>
    <mergeCell ref="U140:U150"/>
    <mergeCell ref="V140:V150"/>
    <mergeCell ref="W151:W161"/>
    <mergeCell ref="X151:X161"/>
    <mergeCell ref="Y151:Y161"/>
    <mergeCell ref="Z151:Z161"/>
    <mergeCell ref="P151:P161"/>
    <mergeCell ref="Q151:Q161"/>
    <mergeCell ref="R151:R161"/>
    <mergeCell ref="S151:S161"/>
    <mergeCell ref="T151:T161"/>
    <mergeCell ref="U151:U161"/>
    <mergeCell ref="V151:V161"/>
    <mergeCell ref="W162:W172"/>
    <mergeCell ref="X162:X172"/>
    <mergeCell ref="Y162:Y172"/>
    <mergeCell ref="Z162:Z172"/>
    <mergeCell ref="P162:P172"/>
    <mergeCell ref="Q162:Q172"/>
    <mergeCell ref="R162:R172"/>
    <mergeCell ref="S162:S172"/>
    <mergeCell ref="T162:T172"/>
    <mergeCell ref="U162:U172"/>
    <mergeCell ref="V162:V172"/>
    <mergeCell ref="P173:P183"/>
    <mergeCell ref="Q173:Q183"/>
    <mergeCell ref="R173:R183"/>
    <mergeCell ref="S173:S183"/>
    <mergeCell ref="T173:T183"/>
    <mergeCell ref="U173:U183"/>
    <mergeCell ref="V173:V183"/>
  </mergeCells>
  <conditionalFormatting sqref="E228:N315">
    <cfRule type="expression" dxfId="0" priority="1">
      <formula>AND($F228&lt;&gt;"",OR($M228=0,$M228=""))</formula>
    </cfRule>
  </conditionalFormatting>
  <conditionalFormatting sqref="E228:N315">
    <cfRule type="expression" dxfId="1" priority="2">
      <formula>LEFT($K228,1)="E"</formula>
    </cfRule>
  </conditionalFormatting>
  <conditionalFormatting sqref="E228:N315">
    <cfRule type="expression" dxfId="2" priority="3">
      <formula>LEFT($K228,1)="P"</formula>
    </cfRule>
  </conditionalFormatting>
  <conditionalFormatting sqref="E228:N315">
    <cfRule type="expression" dxfId="3" priority="4">
      <formula>LEFT($K228,1)="S"</formula>
    </cfRule>
  </conditionalFormatting>
  <conditionalFormatting sqref="E162:N227">
    <cfRule type="expression" dxfId="0" priority="5">
      <formula>AND($F162&lt;&gt;"",OR($M162=0,$M162=""))</formula>
    </cfRule>
  </conditionalFormatting>
  <conditionalFormatting sqref="E162:N227">
    <cfRule type="expression" dxfId="1" priority="6">
      <formula>LEFT($K162,1)="E"</formula>
    </cfRule>
  </conditionalFormatting>
  <conditionalFormatting sqref="E162:N227">
    <cfRule type="expression" dxfId="2" priority="7">
      <formula>LEFT($K162,1)="P"</formula>
    </cfRule>
  </conditionalFormatting>
  <conditionalFormatting sqref="E162:N227">
    <cfRule type="expression" dxfId="3" priority="8">
      <formula>LEFT($K162,1)="S"</formula>
    </cfRule>
  </conditionalFormatting>
  <conditionalFormatting sqref="E8:N8">
    <cfRule type="expression" dxfId="0" priority="9">
      <formula>AND($F8&lt;&gt;"",OR($M8=0,$M8=""))</formula>
    </cfRule>
  </conditionalFormatting>
  <conditionalFormatting sqref="E8:N8">
    <cfRule type="expression" dxfId="1" priority="10">
      <formula>LEFT($K8,1)="E"</formula>
    </cfRule>
  </conditionalFormatting>
  <conditionalFormatting sqref="E8:N8">
    <cfRule type="expression" dxfId="2" priority="11">
      <formula>LEFT($K8,1)="P"</formula>
    </cfRule>
  </conditionalFormatting>
  <conditionalFormatting sqref="E8:N8">
    <cfRule type="expression" dxfId="3" priority="12">
      <formula>LEFT($K8,1)="S"</formula>
    </cfRule>
  </conditionalFormatting>
  <conditionalFormatting sqref="E9:N9">
    <cfRule type="expression" dxfId="0" priority="13">
      <formula>AND($F9&lt;&gt;"",OR($M9=0,$M9=""))</formula>
    </cfRule>
  </conditionalFormatting>
  <conditionalFormatting sqref="E9:N9">
    <cfRule type="expression" dxfId="1" priority="14">
      <formula>LEFT($K9,1)="E"</formula>
    </cfRule>
  </conditionalFormatting>
  <conditionalFormatting sqref="E9:N9">
    <cfRule type="expression" dxfId="2" priority="15">
      <formula>LEFT($K9,1)="P"</formula>
    </cfRule>
  </conditionalFormatting>
  <conditionalFormatting sqref="E9:N9">
    <cfRule type="expression" dxfId="3" priority="16">
      <formula>LEFT($K9,1)="S"</formula>
    </cfRule>
  </conditionalFormatting>
  <conditionalFormatting sqref="E10:N18">
    <cfRule type="expression" dxfId="0" priority="17">
      <formula>AND($F10&lt;&gt;"",OR($M10=0,$M10=""))</formula>
    </cfRule>
  </conditionalFormatting>
  <conditionalFormatting sqref="E10:N18">
    <cfRule type="expression" dxfId="1" priority="18">
      <formula>LEFT($K10,1)="E"</formula>
    </cfRule>
  </conditionalFormatting>
  <conditionalFormatting sqref="E10:N18">
    <cfRule type="expression" dxfId="2" priority="19">
      <formula>LEFT($K10,1)="P"</formula>
    </cfRule>
  </conditionalFormatting>
  <conditionalFormatting sqref="E10:N18">
    <cfRule type="expression" dxfId="3" priority="20">
      <formula>LEFT($K10,1)="S"</formula>
    </cfRule>
  </conditionalFormatting>
  <conditionalFormatting sqref="E10">
    <cfRule type="expression" dxfId="0" priority="21">
      <formula>AND($F10&lt;&gt;"",OR($M10=0,$M10=""))</formula>
    </cfRule>
  </conditionalFormatting>
  <conditionalFormatting sqref="E10">
    <cfRule type="expression" dxfId="1" priority="22">
      <formula>LEFT($K10,1)="E"</formula>
    </cfRule>
  </conditionalFormatting>
  <conditionalFormatting sqref="E10">
    <cfRule type="expression" dxfId="2" priority="23">
      <formula>LEFT($K10,1)="P"</formula>
    </cfRule>
  </conditionalFormatting>
  <conditionalFormatting sqref="E10">
    <cfRule type="expression" dxfId="3" priority="24">
      <formula>LEFT($K10,1)="S"</formula>
    </cfRule>
  </conditionalFormatting>
  <conditionalFormatting sqref="E11">
    <cfRule type="expression" dxfId="0" priority="25">
      <formula>AND($F11&lt;&gt;"",OR($M11=0,$M11=""))</formula>
    </cfRule>
  </conditionalFormatting>
  <conditionalFormatting sqref="E11">
    <cfRule type="expression" dxfId="1" priority="26">
      <formula>LEFT($K11,1)="E"</formula>
    </cfRule>
  </conditionalFormatting>
  <conditionalFormatting sqref="E11">
    <cfRule type="expression" dxfId="2" priority="27">
      <formula>LEFT($K11,1)="P"</formula>
    </cfRule>
  </conditionalFormatting>
  <conditionalFormatting sqref="E11">
    <cfRule type="expression" dxfId="3" priority="28">
      <formula>LEFT($K11,1)="S"</formula>
    </cfRule>
  </conditionalFormatting>
  <conditionalFormatting sqref="E8:N8">
    <cfRule type="expression" dxfId="0" priority="29">
      <formula>AND($F8&lt;&gt;"",OR($M8=0,$M8=""))</formula>
    </cfRule>
  </conditionalFormatting>
  <conditionalFormatting sqref="E8:N8">
    <cfRule type="expression" dxfId="1" priority="30">
      <formula>LEFT($K8,1)="E"</formula>
    </cfRule>
  </conditionalFormatting>
  <conditionalFormatting sqref="E8:N8">
    <cfRule type="expression" dxfId="2" priority="31">
      <formula>LEFT($K8,1)="P"</formula>
    </cfRule>
  </conditionalFormatting>
  <conditionalFormatting sqref="E8:N8">
    <cfRule type="expression" dxfId="3" priority="32">
      <formula>LEFT($K8,1)="S"</formula>
    </cfRule>
  </conditionalFormatting>
  <conditionalFormatting sqref="E9:N9">
    <cfRule type="expression" dxfId="0" priority="33">
      <formula>AND($F9&lt;&gt;"",OR($M9=0,$M9=""))</formula>
    </cfRule>
  </conditionalFormatting>
  <conditionalFormatting sqref="E9:N9">
    <cfRule type="expression" dxfId="1" priority="34">
      <formula>LEFT($K9,1)="E"</formula>
    </cfRule>
  </conditionalFormatting>
  <conditionalFormatting sqref="E9:N9">
    <cfRule type="expression" dxfId="2" priority="35">
      <formula>LEFT($K9,1)="P"</formula>
    </cfRule>
  </conditionalFormatting>
  <conditionalFormatting sqref="E9:N9">
    <cfRule type="expression" dxfId="3" priority="36">
      <formula>LEFT($K9,1)="S"</formula>
    </cfRule>
  </conditionalFormatting>
  <conditionalFormatting sqref="E10:N18">
    <cfRule type="expression" dxfId="0" priority="37">
      <formula>AND($F10&lt;&gt;"",OR($M10=0,$M10=""))</formula>
    </cfRule>
  </conditionalFormatting>
  <conditionalFormatting sqref="E10:N18">
    <cfRule type="expression" dxfId="1" priority="38">
      <formula>LEFT($K10,1)="E"</formula>
    </cfRule>
  </conditionalFormatting>
  <conditionalFormatting sqref="E10:N18">
    <cfRule type="expression" dxfId="2" priority="39">
      <formula>LEFT($K10,1)="P"</formula>
    </cfRule>
  </conditionalFormatting>
  <conditionalFormatting sqref="E10:N18">
    <cfRule type="expression" dxfId="3" priority="40">
      <formula>LEFT($K10,1)="S"</formula>
    </cfRule>
  </conditionalFormatting>
  <conditionalFormatting sqref="E10">
    <cfRule type="expression" dxfId="0" priority="41">
      <formula>AND($F10&lt;&gt;"",OR($M10=0,$M10=""))</formula>
    </cfRule>
  </conditionalFormatting>
  <conditionalFormatting sqref="E10">
    <cfRule type="expression" dxfId="1" priority="42">
      <formula>LEFT($K10,1)="E"</formula>
    </cfRule>
  </conditionalFormatting>
  <conditionalFormatting sqref="E10">
    <cfRule type="expression" dxfId="2" priority="43">
      <formula>LEFT($K10,1)="P"</formula>
    </cfRule>
  </conditionalFormatting>
  <conditionalFormatting sqref="E10">
    <cfRule type="expression" dxfId="3" priority="44">
      <formula>LEFT($K10,1)="S"</formula>
    </cfRule>
  </conditionalFormatting>
  <conditionalFormatting sqref="E11">
    <cfRule type="expression" dxfId="0" priority="45">
      <formula>AND($F11&lt;&gt;"",OR($M11=0,$M11=""))</formula>
    </cfRule>
  </conditionalFormatting>
  <conditionalFormatting sqref="E11">
    <cfRule type="expression" dxfId="1" priority="46">
      <formula>LEFT($K11,1)="E"</formula>
    </cfRule>
  </conditionalFormatting>
  <conditionalFormatting sqref="E11">
    <cfRule type="expression" dxfId="2" priority="47">
      <formula>LEFT($K11,1)="P"</formula>
    </cfRule>
  </conditionalFormatting>
  <conditionalFormatting sqref="E11">
    <cfRule type="expression" dxfId="3" priority="48">
      <formula>LEFT($K11,1)="S"</formula>
    </cfRule>
  </conditionalFormatting>
  <conditionalFormatting sqref="E19:N19 E30:N30 E41:N41 E52:N52 E63:N63 E74:N74 E85:N85 E96:N96 E107:N107 E118:N118 E129:N129 E140:N140 E151:N151">
    <cfRule type="expression" dxfId="0" priority="49">
      <formula>AND($F19&lt;&gt;"",OR($M19=0,$M19=""))</formula>
    </cfRule>
  </conditionalFormatting>
  <conditionalFormatting sqref="E19:N19 E30:N30 E41:N41 E52:N52 E63:N63 E74:N74 E85:N85 E96:N96 E107:N107 E118:N118 E129:N129 E140:N140 E151:N151">
    <cfRule type="expression" dxfId="1" priority="50">
      <formula>LEFT($K19,1)="E"</formula>
    </cfRule>
  </conditionalFormatting>
  <conditionalFormatting sqref="E19:N19 E30:N30 E41:N41 E52:N52 E63:N63 E74:N74 E85:N85 E96:N96 E107:N107 E118:N118 E129:N129 E140:N140 E151:N151">
    <cfRule type="expression" dxfId="2" priority="51">
      <formula>LEFT($K19,1)="P"</formula>
    </cfRule>
  </conditionalFormatting>
  <conditionalFormatting sqref="E19:N19 E30:N30 E41:N41 E52:N52 E63:N63 E74:N74 E85:N85 E96:N96 E107:N107 E118:N118 E129:N129 E140:N140 E151:N151">
    <cfRule type="expression" dxfId="3" priority="52">
      <formula>LEFT($K19,1)="S"</formula>
    </cfRule>
  </conditionalFormatting>
  <conditionalFormatting sqref="E20:N20 E31:N31 E42:N42 E53:N53 E64:N64 E75:N75 E86:N86 E97:N97 E108:N108 E119:N119 E130:N130 E141:N141 E152:N152">
    <cfRule type="expression" dxfId="0" priority="53">
      <formula>AND($F20&lt;&gt;"",OR($M20=0,$M20=""))</formula>
    </cfRule>
  </conditionalFormatting>
  <conditionalFormatting sqref="E20:N20 E31:N31 E42:N42 E53:N53 E64:N64 E75:N75 E86:N86 E97:N97 E108:N108 E119:N119 E130:N130 E141:N141 E152:N152">
    <cfRule type="expression" dxfId="1" priority="54">
      <formula>LEFT($K20,1)="E"</formula>
    </cfRule>
  </conditionalFormatting>
  <conditionalFormatting sqref="E20:N20 E31:N31 E42:N42 E53:N53 E64:N64 E75:N75 E86:N86 E97:N97 E108:N108 E119:N119 E130:N130 E141:N141 E152:N152">
    <cfRule type="expression" dxfId="2" priority="55">
      <formula>LEFT($K20,1)="P"</formula>
    </cfRule>
  </conditionalFormatting>
  <conditionalFormatting sqref="E20:N20 E31:N31 E42:N42 E53:N53 E64:N64 E75:N75 E86:N86 E97:N97 E108:N108 E119:N119 E130:N130 E141:N141 E152:N152">
    <cfRule type="expression" dxfId="3" priority="56">
      <formula>LEFT($K20,1)="S"</formula>
    </cfRule>
  </conditionalFormatting>
  <conditionalFormatting sqref="E21:N29 E32:N40 E43:N51 E54:N62 E65:N73 E76:N84 E87:N95 E98:N106 E109:N117 E120:N128 E131:N139 E142:N150 E153:N161">
    <cfRule type="expression" dxfId="0" priority="57">
      <formula>AND($F21&lt;&gt;"",OR($M21=0,$M21=""))</formula>
    </cfRule>
  </conditionalFormatting>
  <conditionalFormatting sqref="E21:N29 E32:N40 E43:N51 E54:N62 E65:N73 E76:N84 E87:N95 E98:N106 E109:N117 E120:N128 E131:N139 E142:N150 E153:N161">
    <cfRule type="expression" dxfId="1" priority="58">
      <formula>LEFT($K21,1)="E"</formula>
    </cfRule>
  </conditionalFormatting>
  <conditionalFormatting sqref="E21:N29 E32:N40 E43:N51 E54:N62 E65:N73 E76:N84 E87:N95 E98:N106 E109:N117 E120:N128 E131:N139 E142:N150 E153:N161">
    <cfRule type="expression" dxfId="2" priority="59">
      <formula>LEFT($K21,1)="P"</formula>
    </cfRule>
  </conditionalFormatting>
  <conditionalFormatting sqref="E21:N29 E32:N40 E43:N51 E54:N62 E65:N73 E76:N84 E87:N95 E98:N106 E109:N117 E120:N128 E131:N139 E142:N150 E153:N161">
    <cfRule type="expression" dxfId="3" priority="60">
      <formula>LEFT($K21,1)="S"</formula>
    </cfRule>
  </conditionalFormatting>
  <conditionalFormatting sqref="E21 E32 E43 E54 E65 E76 E87 E98 E109 E120 E131 E142 E153">
    <cfRule type="expression" dxfId="0" priority="61">
      <formula>AND($F21&lt;&gt;"",OR($M21=0,$M21=""))</formula>
    </cfRule>
  </conditionalFormatting>
  <conditionalFormatting sqref="E21 E32 E43 E54 E65 E76 E87 E98 E109 E120 E131 E142 E153">
    <cfRule type="expression" dxfId="1" priority="62">
      <formula>LEFT($K21,1)="E"</formula>
    </cfRule>
  </conditionalFormatting>
  <conditionalFormatting sqref="E21 E32 E43 E54 E65 E76 E87 E98 E109 E120 E131 E142 E153">
    <cfRule type="expression" dxfId="2" priority="63">
      <formula>LEFT($K21,1)="P"</formula>
    </cfRule>
  </conditionalFormatting>
  <conditionalFormatting sqref="E21 E32 E43 E54 E65 E76 E87 E98 E109 E120 E131 E142 E153">
    <cfRule type="expression" dxfId="3" priority="64">
      <formula>LEFT($K21,1)="S"</formula>
    </cfRule>
  </conditionalFormatting>
  <conditionalFormatting sqref="E22 E33 E44 E55 E66 E77 E88 E99 E110 E121 E132 E143 E154">
    <cfRule type="expression" dxfId="0" priority="65">
      <formula>AND($F22&lt;&gt;"",OR($M22=0,$M22=""))</formula>
    </cfRule>
  </conditionalFormatting>
  <conditionalFormatting sqref="E22 E33 E44 E55 E66 E77 E88 E99 E110 E121 E132 E143 E154">
    <cfRule type="expression" dxfId="1" priority="66">
      <formula>LEFT($K22,1)="E"</formula>
    </cfRule>
  </conditionalFormatting>
  <conditionalFormatting sqref="E22 E33 E44 E55 E66 E77 E88 E99 E110 E121 E132 E143 E154">
    <cfRule type="expression" dxfId="2" priority="67">
      <formula>LEFT($K22,1)="P"</formula>
    </cfRule>
  </conditionalFormatting>
  <conditionalFormatting sqref="E22 E33 E44 E55 E66 E77 E88 E99 E110 E121 E132 E143 E154">
    <cfRule type="expression" dxfId="3" priority="68">
      <formula>LEFT($K22,1)="S"</formula>
    </cfRule>
  </conditionalFormatting>
  <conditionalFormatting sqref="E19:N19 E30:N30 E41:N41 E52:N52 E63:N63 E74:N74 E85:N85 E96:N96 E107:N107 E118:N118 E129:N129 E140:N140 E151:N151">
    <cfRule type="expression" dxfId="0" priority="69">
      <formula>AND($F19&lt;&gt;"",OR($M19=0,$M19=""))</formula>
    </cfRule>
  </conditionalFormatting>
  <conditionalFormatting sqref="E19:N19 E30:N30 E41:N41 E52:N52 E63:N63 E74:N74 E85:N85 E96:N96 E107:N107 E118:N118 E129:N129 E140:N140 E151:N151">
    <cfRule type="expression" dxfId="1" priority="70">
      <formula>LEFT($K19,1)="E"</formula>
    </cfRule>
  </conditionalFormatting>
  <conditionalFormatting sqref="E19:N19 E30:N30 E41:N41 E52:N52 E63:N63 E74:N74 E85:N85 E96:N96 E107:N107 E118:N118 E129:N129 E140:N140 E151:N151">
    <cfRule type="expression" dxfId="2" priority="71">
      <formula>LEFT($K19,1)="P"</formula>
    </cfRule>
  </conditionalFormatting>
  <conditionalFormatting sqref="E19:N19 E30:N30 E41:N41 E52:N52 E63:N63 E74:N74 E85:N85 E96:N96 E107:N107 E118:N118 E129:N129 E140:N140 E151:N151">
    <cfRule type="expression" dxfId="3" priority="72">
      <formula>LEFT($K19,1)="S"</formula>
    </cfRule>
  </conditionalFormatting>
  <conditionalFormatting sqref="E20:N20 E31:N31 E42:N42 E53:N53 E64:N64 E75:N75 E86:N86 E97:N97 E108:N108 E119:N119 E130:N130 E141:N141 E152:N152">
    <cfRule type="expression" dxfId="0" priority="73">
      <formula>AND($F20&lt;&gt;"",OR($M20=0,$M20=""))</formula>
    </cfRule>
  </conditionalFormatting>
  <conditionalFormatting sqref="E20:N20 E31:N31 E42:N42 E53:N53 E64:N64 E75:N75 E86:N86 E97:N97 E108:N108 E119:N119 E130:N130 E141:N141 E152:N152">
    <cfRule type="expression" dxfId="1" priority="74">
      <formula>LEFT($K20,1)="E"</formula>
    </cfRule>
  </conditionalFormatting>
  <conditionalFormatting sqref="E20:N20 E31:N31 E42:N42 E53:N53 E64:N64 E75:N75 E86:N86 E97:N97 E108:N108 E119:N119 E130:N130 E141:N141 E152:N152">
    <cfRule type="expression" dxfId="2" priority="75">
      <formula>LEFT($K20,1)="P"</formula>
    </cfRule>
  </conditionalFormatting>
  <conditionalFormatting sqref="E20:N20 E31:N31 E42:N42 E53:N53 E64:N64 E75:N75 E86:N86 E97:N97 E108:N108 E119:N119 E130:N130 E141:N141 E152:N152">
    <cfRule type="expression" dxfId="3" priority="76">
      <formula>LEFT($K20,1)="S"</formula>
    </cfRule>
  </conditionalFormatting>
  <conditionalFormatting sqref="E21:N29 E32:N40 E43:N51 E54:N62 E65:N73 E76:N84 E87:N95 E98:N106 E109:N117 E120:N128 E131:N139 E142:N150 E153:N161">
    <cfRule type="expression" dxfId="0" priority="77">
      <formula>AND($F21&lt;&gt;"",OR($M21=0,$M21=""))</formula>
    </cfRule>
  </conditionalFormatting>
  <conditionalFormatting sqref="E21:N29 E32:N40 E43:N51 E54:N62 E65:N73 E76:N84 E87:N95 E98:N106 E109:N117 E120:N128 E131:N139 E142:N150 E153:N161">
    <cfRule type="expression" dxfId="1" priority="78">
      <formula>LEFT($K21,1)="E"</formula>
    </cfRule>
  </conditionalFormatting>
  <conditionalFormatting sqref="E21:N29 E32:N40 E43:N51 E54:N62 E65:N73 E76:N84 E87:N95 E98:N106 E109:N117 E120:N128 E131:N139 E142:N150 E153:N161">
    <cfRule type="expression" dxfId="2" priority="79">
      <formula>LEFT($K21,1)="P"</formula>
    </cfRule>
  </conditionalFormatting>
  <conditionalFormatting sqref="E21:N29 E32:N40 E43:N51 E54:N62 E65:N73 E76:N84 E87:N95 E98:N106 E109:N117 E120:N128 E131:N139 E142:N150 E153:N161">
    <cfRule type="expression" dxfId="3" priority="80">
      <formula>LEFT($K21,1)="S"</formula>
    </cfRule>
  </conditionalFormatting>
  <conditionalFormatting sqref="E21 E32 E43 E54 E65 E76 E87 E98 E109 E120 E131 E142 E153">
    <cfRule type="expression" dxfId="0" priority="81">
      <formula>AND($F21&lt;&gt;"",OR($M21=0,$M21=""))</formula>
    </cfRule>
  </conditionalFormatting>
  <conditionalFormatting sqref="E21 E32 E43 E54 E65 E76 E87 E98 E109 E120 E131 E142 E153">
    <cfRule type="expression" dxfId="1" priority="82">
      <formula>LEFT($K21,1)="E"</formula>
    </cfRule>
  </conditionalFormatting>
  <conditionalFormatting sqref="E21 E32 E43 E54 E65 E76 E87 E98 E109 E120 E131 E142 E153">
    <cfRule type="expression" dxfId="2" priority="83">
      <formula>LEFT($K21,1)="P"</formula>
    </cfRule>
  </conditionalFormatting>
  <conditionalFormatting sqref="E21 E32 E43 E54 E65 E76 E87 E98 E109 E120 E131 E142 E153">
    <cfRule type="expression" dxfId="3" priority="84">
      <formula>LEFT($K21,1)="S"</formula>
    </cfRule>
  </conditionalFormatting>
  <conditionalFormatting sqref="E22 E33 E44 E55 E66 E77 E88 E99 E110 E121 E132 E143 E154">
    <cfRule type="expression" dxfId="0" priority="85">
      <formula>AND($F22&lt;&gt;"",OR($M22=0,$M22=""))</formula>
    </cfRule>
  </conditionalFormatting>
  <conditionalFormatting sqref="E22 E33 E44 E55 E66 E77 E88 E99 E110 E121 E132 E143 E154">
    <cfRule type="expression" dxfId="1" priority="86">
      <formula>LEFT($K22,1)="E"</formula>
    </cfRule>
  </conditionalFormatting>
  <conditionalFormatting sqref="E22 E33 E44 E55 E66 E77 E88 E99 E110 E121 E132 E143 E154">
    <cfRule type="expression" dxfId="2" priority="87">
      <formula>LEFT($K22,1)="P"</formula>
    </cfRule>
  </conditionalFormatting>
  <conditionalFormatting sqref="E22 E33 E44 E55 E66 E77 E88 E99 E110 E121 E132 E143 E154">
    <cfRule type="expression" dxfId="3" priority="88">
      <formula>LEFT($K22,1)="S"</formula>
    </cfRule>
  </conditionalFormatting>
  <printOptions/>
  <pageMargins bottom="0.75" footer="0.0" header="0.0" left="0.7" right="0.7" top="0.75"/>
  <pageSetup paperSize="8" orientation="landscape"/>
  <colBreaks count="1" manualBreakCount="1">
    <brk id="44"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18.0"/>
    <col customWidth="1" min="2" max="2" width="48.43"/>
    <col customWidth="1" min="3" max="4" width="35.0"/>
    <col customWidth="1" min="5" max="6" width="31.86"/>
    <col customWidth="1" min="7" max="26" width="26.43"/>
    <col customWidth="1" min="27" max="35" width="25.86"/>
    <col customWidth="1" min="36" max="46" width="35.0"/>
    <col customWidth="1" min="47" max="67" width="28.43"/>
    <col customWidth="1" min="68" max="68" width="35.43"/>
    <col customWidth="1" min="69" max="83" width="28.43"/>
    <col customWidth="1" min="84" max="84" width="43.43"/>
    <col customWidth="1" min="85" max="98" width="28.43"/>
    <col customWidth="1" min="99" max="99" width="28.14"/>
  </cols>
  <sheetData>
    <row r="1" ht="79.5" customHeight="1">
      <c r="A1" s="1" t="str">
        <f>CONCATENATE("DAILY REPORT   DATE :  ",MID(CELL("filename",A1),FIND("]",CELL("filename",A1),1)+1,255))</f>
        <v>#VALUE!</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3"/>
      <c r="AU1" s="1" t="str">
        <f>A1</f>
        <v>#VALUE!</v>
      </c>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3"/>
      <c r="CU1" s="242"/>
    </row>
    <row r="2" ht="3.0" customHeight="1">
      <c r="A2" s="266"/>
      <c r="AT2" s="76"/>
      <c r="AU2" s="1"/>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3"/>
      <c r="CU2" s="242"/>
    </row>
    <row r="3">
      <c r="A3" s="8" t="s">
        <v>250</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11"/>
      <c r="AU3" s="1" t="str">
        <f>A3</f>
        <v>COLLEGE NAME : L.J. INSTITUTE OF ENGINEERING AND TECHNOLOGY                                 DEPARTMENT NAME :   SY4(CST CS&amp;IT)                      YEAR : 2024-25                              SEMESTER : III</v>
      </c>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3"/>
      <c r="CU3" s="242"/>
    </row>
    <row r="4" ht="61.5" customHeight="1">
      <c r="A4" s="12" t="s">
        <v>1</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4"/>
      <c r="AS4" s="15"/>
      <c r="AT4" s="16"/>
      <c r="AU4" s="17" t="s">
        <v>2</v>
      </c>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8"/>
      <c r="CH4" s="19" t="s">
        <v>3</v>
      </c>
      <c r="CI4" s="2"/>
      <c r="CJ4" s="2"/>
      <c r="CK4" s="2"/>
      <c r="CL4" s="2"/>
      <c r="CM4" s="2"/>
      <c r="CN4" s="2"/>
      <c r="CO4" s="2"/>
      <c r="CP4" s="2"/>
      <c r="CQ4" s="2"/>
      <c r="CR4" s="2"/>
      <c r="CS4" s="20"/>
      <c r="CT4" s="21"/>
      <c r="CU4" s="243"/>
    </row>
    <row r="5" ht="61.5" customHeight="1">
      <c r="A5" s="244" t="s">
        <v>4</v>
      </c>
      <c r="B5" s="24"/>
      <c r="C5" s="24"/>
      <c r="D5" s="24"/>
      <c r="E5" s="24"/>
      <c r="F5" s="24"/>
      <c r="G5" s="24"/>
      <c r="H5" s="24"/>
      <c r="I5" s="24"/>
      <c r="J5" s="24"/>
      <c r="K5" s="24"/>
      <c r="L5" s="24"/>
      <c r="M5" s="24"/>
      <c r="N5" s="24"/>
      <c r="O5" s="24"/>
      <c r="P5" s="24"/>
      <c r="Q5" s="24"/>
      <c r="R5" s="24"/>
      <c r="S5" s="24"/>
      <c r="T5" s="24"/>
      <c r="U5" s="24"/>
      <c r="V5" s="24"/>
      <c r="W5" s="24"/>
      <c r="X5" s="24"/>
      <c r="Y5" s="24"/>
      <c r="Z5" s="25"/>
      <c r="AA5" s="26" t="s">
        <v>5</v>
      </c>
      <c r="AB5" s="2"/>
      <c r="AC5" s="2"/>
      <c r="AD5" s="2"/>
      <c r="AE5" s="2"/>
      <c r="AF5" s="2"/>
      <c r="AG5" s="2"/>
      <c r="AH5" s="2"/>
      <c r="AI5" s="3"/>
      <c r="AJ5" s="27" t="s">
        <v>6</v>
      </c>
      <c r="AK5" s="28"/>
      <c r="AL5" s="28"/>
      <c r="AM5" s="28"/>
      <c r="AN5" s="28"/>
      <c r="AO5" s="29"/>
      <c r="AP5" s="30" t="s">
        <v>7</v>
      </c>
      <c r="AQ5" s="31" t="s">
        <v>8</v>
      </c>
      <c r="AR5" s="31" t="s">
        <v>9</v>
      </c>
      <c r="AS5" s="31" t="s">
        <v>251</v>
      </c>
      <c r="AT5" s="32" t="s">
        <v>11</v>
      </c>
      <c r="AU5" s="33" t="s">
        <v>12</v>
      </c>
      <c r="AV5" s="34"/>
      <c r="AW5" s="34"/>
      <c r="AX5" s="35"/>
      <c r="AY5" s="36" t="s">
        <v>13</v>
      </c>
      <c r="AZ5" s="37" t="s">
        <v>14</v>
      </c>
      <c r="BA5" s="38" t="s">
        <v>15</v>
      </c>
      <c r="BB5" s="24"/>
      <c r="BC5" s="24"/>
      <c r="BD5" s="24"/>
      <c r="BE5" s="24"/>
      <c r="BF5" s="24"/>
      <c r="BG5" s="24"/>
      <c r="BH5" s="24"/>
      <c r="BI5" s="24"/>
      <c r="BJ5" s="24"/>
      <c r="BK5" s="24"/>
      <c r="BL5" s="24"/>
      <c r="BM5" s="24"/>
      <c r="BN5" s="24"/>
      <c r="BO5" s="39"/>
      <c r="BP5" s="40" t="s">
        <v>16</v>
      </c>
      <c r="BQ5" s="24"/>
      <c r="BR5" s="24"/>
      <c r="BS5" s="24"/>
      <c r="BT5" s="24"/>
      <c r="BU5" s="41"/>
      <c r="BV5" s="42" t="s">
        <v>17</v>
      </c>
      <c r="BW5" s="14"/>
      <c r="BX5" s="43" t="s">
        <v>18</v>
      </c>
      <c r="BY5" s="34"/>
      <c r="BZ5" s="34"/>
      <c r="CA5" s="34"/>
      <c r="CB5" s="34"/>
      <c r="CC5" s="34"/>
      <c r="CD5" s="34"/>
      <c r="CE5" s="34"/>
      <c r="CF5" s="34"/>
      <c r="CG5" s="44"/>
      <c r="CH5" s="45"/>
      <c r="CI5" s="46"/>
      <c r="CJ5" s="46"/>
      <c r="CK5" s="46"/>
      <c r="CL5" s="46"/>
      <c r="CM5" s="46"/>
      <c r="CN5" s="46"/>
      <c r="CO5" s="46"/>
      <c r="CP5" s="46"/>
      <c r="CQ5" s="46"/>
      <c r="CR5" s="46"/>
      <c r="CS5" s="47"/>
      <c r="CT5" s="48"/>
      <c r="CU5" s="245"/>
    </row>
    <row r="6" ht="174.0" customHeight="1">
      <c r="A6" s="50" t="s">
        <v>19</v>
      </c>
      <c r="B6" s="50" t="s">
        <v>20</v>
      </c>
      <c r="C6" s="50" t="s">
        <v>21</v>
      </c>
      <c r="D6" s="273" t="s">
        <v>22</v>
      </c>
      <c r="E6" s="246" t="s">
        <v>23</v>
      </c>
      <c r="F6" s="9"/>
      <c r="G6" s="9"/>
      <c r="H6" s="9"/>
      <c r="I6" s="9"/>
      <c r="J6" s="9"/>
      <c r="K6" s="9"/>
      <c r="L6" s="11"/>
      <c r="M6" s="53" t="s">
        <v>24</v>
      </c>
      <c r="N6" s="247" t="s">
        <v>25</v>
      </c>
      <c r="O6" s="55" t="s">
        <v>26</v>
      </c>
      <c r="P6" s="56" t="s">
        <v>27</v>
      </c>
      <c r="Q6" s="57" t="s">
        <v>28</v>
      </c>
      <c r="R6" s="57" t="s">
        <v>29</v>
      </c>
      <c r="S6" s="57" t="s">
        <v>30</v>
      </c>
      <c r="T6" s="58" t="s">
        <v>31</v>
      </c>
      <c r="U6" s="59" t="s">
        <v>32</v>
      </c>
      <c r="V6" s="60" t="s">
        <v>33</v>
      </c>
      <c r="W6" s="61" t="s">
        <v>34</v>
      </c>
      <c r="X6" s="62" t="s">
        <v>35</v>
      </c>
      <c r="Y6" s="58" t="s">
        <v>36</v>
      </c>
      <c r="Z6" s="59" t="s">
        <v>37</v>
      </c>
      <c r="AA6" s="63"/>
      <c r="AB6" s="6"/>
      <c r="AC6" s="6"/>
      <c r="AD6" s="6"/>
      <c r="AE6" s="6"/>
      <c r="AF6" s="6"/>
      <c r="AG6" s="6"/>
      <c r="AH6" s="6"/>
      <c r="AI6" s="7"/>
      <c r="AJ6" s="63"/>
      <c r="AK6" s="6"/>
      <c r="AL6" s="6"/>
      <c r="AM6" s="6"/>
      <c r="AN6" s="6"/>
      <c r="AO6" s="7"/>
      <c r="AP6" s="64"/>
      <c r="AQ6" s="65"/>
      <c r="AR6" s="65"/>
      <c r="AS6" s="65"/>
      <c r="AT6" s="66"/>
      <c r="AU6" s="67" t="s">
        <v>38</v>
      </c>
      <c r="AV6" s="67" t="s">
        <v>39</v>
      </c>
      <c r="AW6" s="51" t="s">
        <v>40</v>
      </c>
      <c r="AX6" s="67" t="s">
        <v>41</v>
      </c>
      <c r="AY6" s="68"/>
      <c r="AZ6" s="69"/>
      <c r="BA6" s="70" t="s">
        <v>42</v>
      </c>
      <c r="BB6" s="46"/>
      <c r="BC6" s="46"/>
      <c r="BD6" s="46"/>
      <c r="BE6" s="46"/>
      <c r="BF6" s="46"/>
      <c r="BG6" s="46"/>
      <c r="BH6" s="46"/>
      <c r="BI6" s="71"/>
      <c r="BJ6" s="72" t="s">
        <v>43</v>
      </c>
      <c r="BK6" s="73" t="s">
        <v>44</v>
      </c>
      <c r="BL6" s="74" t="s">
        <v>45</v>
      </c>
      <c r="BM6" s="24"/>
      <c r="BN6" s="39"/>
      <c r="BO6" s="73" t="s">
        <v>46</v>
      </c>
      <c r="BP6" s="59" t="s">
        <v>47</v>
      </c>
      <c r="BQ6" s="75" t="s">
        <v>48</v>
      </c>
      <c r="BS6" s="76"/>
      <c r="BT6" s="75" t="s">
        <v>49</v>
      </c>
      <c r="BU6" s="75" t="s">
        <v>252</v>
      </c>
      <c r="BV6" s="51" t="s">
        <v>51</v>
      </c>
      <c r="BW6" s="51" t="s">
        <v>52</v>
      </c>
      <c r="BX6" s="77" t="s">
        <v>53</v>
      </c>
      <c r="BY6" s="9"/>
      <c r="BZ6" s="9"/>
      <c r="CA6" s="9"/>
      <c r="CB6" s="9"/>
      <c r="CC6" s="9"/>
      <c r="CD6" s="9"/>
      <c r="CE6" s="11"/>
      <c r="CF6" s="78" t="s">
        <v>54</v>
      </c>
      <c r="CG6" s="3"/>
      <c r="CH6" s="79" t="s">
        <v>55</v>
      </c>
      <c r="CI6" s="80"/>
      <c r="CJ6" s="81" t="s">
        <v>56</v>
      </c>
      <c r="CK6" s="82"/>
      <c r="CL6" s="81" t="s">
        <v>57</v>
      </c>
      <c r="CM6" s="82"/>
      <c r="CN6" s="81" t="s">
        <v>58</v>
      </c>
      <c r="CO6" s="82"/>
      <c r="CP6" s="83" t="s">
        <v>59</v>
      </c>
      <c r="CQ6" s="84" t="s">
        <v>253</v>
      </c>
      <c r="CR6" s="85" t="s">
        <v>254</v>
      </c>
      <c r="CS6" s="86" t="s">
        <v>62</v>
      </c>
      <c r="CT6" s="87" t="s">
        <v>63</v>
      </c>
      <c r="CU6" s="248"/>
    </row>
    <row r="7" ht="303.0" customHeight="1">
      <c r="A7" s="89"/>
      <c r="B7" s="89"/>
      <c r="C7" s="89"/>
      <c r="D7" s="63"/>
      <c r="E7" s="90" t="s">
        <v>64</v>
      </c>
      <c r="F7" s="91" t="s">
        <v>65</v>
      </c>
      <c r="G7" s="91" t="s">
        <v>255</v>
      </c>
      <c r="H7" s="91" t="s">
        <v>67</v>
      </c>
      <c r="I7" s="91" t="s">
        <v>68</v>
      </c>
      <c r="J7" s="92" t="s">
        <v>69</v>
      </c>
      <c r="K7" s="92" t="s">
        <v>70</v>
      </c>
      <c r="L7" s="249" t="s">
        <v>71</v>
      </c>
      <c r="M7" s="89"/>
      <c r="N7" s="7"/>
      <c r="O7" s="94" t="s">
        <v>72</v>
      </c>
      <c r="P7" s="78" t="s">
        <v>73</v>
      </c>
      <c r="Q7" s="95" t="s">
        <v>74</v>
      </c>
      <c r="R7" s="95" t="s">
        <v>75</v>
      </c>
      <c r="S7" s="95" t="s">
        <v>76</v>
      </c>
      <c r="T7" s="95" t="s">
        <v>77</v>
      </c>
      <c r="U7" s="78" t="s">
        <v>78</v>
      </c>
      <c r="V7" s="78" t="s">
        <v>79</v>
      </c>
      <c r="W7" s="67" t="s">
        <v>80</v>
      </c>
      <c r="X7" s="94" t="s">
        <v>81</v>
      </c>
      <c r="Y7" s="95" t="s">
        <v>82</v>
      </c>
      <c r="Z7" s="63"/>
      <c r="AA7" s="96" t="s">
        <v>83</v>
      </c>
      <c r="AB7" s="97" t="s">
        <v>84</v>
      </c>
      <c r="AC7" s="98" t="s">
        <v>85</v>
      </c>
      <c r="AD7" s="98" t="s">
        <v>86</v>
      </c>
      <c r="AE7" s="98" t="s">
        <v>87</v>
      </c>
      <c r="AF7" s="98" t="s">
        <v>88</v>
      </c>
      <c r="AG7" s="98" t="s">
        <v>89</v>
      </c>
      <c r="AH7" s="98" t="s">
        <v>256</v>
      </c>
      <c r="AI7" s="99" t="s">
        <v>257</v>
      </c>
      <c r="AJ7" s="100" t="s">
        <v>92</v>
      </c>
      <c r="AK7" s="101" t="s">
        <v>93</v>
      </c>
      <c r="AL7" s="101" t="s">
        <v>94</v>
      </c>
      <c r="AM7" s="101" t="s">
        <v>95</v>
      </c>
      <c r="AN7" s="101" t="s">
        <v>96</v>
      </c>
      <c r="AO7" s="102" t="s">
        <v>97</v>
      </c>
      <c r="AP7" s="103"/>
      <c r="AQ7" s="89"/>
      <c r="AR7" s="89"/>
      <c r="AS7" s="89"/>
      <c r="AT7" s="68"/>
      <c r="AU7" s="89"/>
      <c r="AV7" s="89"/>
      <c r="AW7" s="89"/>
      <c r="AX7" s="89"/>
      <c r="AY7" s="104" t="s">
        <v>98</v>
      </c>
      <c r="AZ7" s="105" t="s">
        <v>99</v>
      </c>
      <c r="BA7" s="106" t="s">
        <v>100</v>
      </c>
      <c r="BB7" s="107" t="s">
        <v>101</v>
      </c>
      <c r="BC7" s="107" t="s">
        <v>102</v>
      </c>
      <c r="BD7" s="107" t="s">
        <v>103</v>
      </c>
      <c r="BE7" s="107" t="s">
        <v>104</v>
      </c>
      <c r="BF7" s="107" t="s">
        <v>105</v>
      </c>
      <c r="BG7" s="107" t="s">
        <v>106</v>
      </c>
      <c r="BH7" s="107" t="s">
        <v>107</v>
      </c>
      <c r="BI7" s="108" t="s">
        <v>108</v>
      </c>
      <c r="BJ7" s="109" t="s">
        <v>109</v>
      </c>
      <c r="BK7" s="110" t="s">
        <v>110</v>
      </c>
      <c r="BL7" s="111" t="s">
        <v>258</v>
      </c>
      <c r="BM7" s="111" t="s">
        <v>259</v>
      </c>
      <c r="BN7" s="112" t="s">
        <v>260</v>
      </c>
      <c r="BO7" s="113" t="s">
        <v>114</v>
      </c>
      <c r="BP7" s="63"/>
      <c r="BQ7" s="90" t="s">
        <v>115</v>
      </c>
      <c r="BR7" s="114" t="s">
        <v>116</v>
      </c>
      <c r="BS7" s="115" t="s">
        <v>117</v>
      </c>
      <c r="BT7" s="63"/>
      <c r="BU7" s="63"/>
      <c r="BV7" s="89"/>
      <c r="BW7" s="89"/>
      <c r="BX7" s="116" t="s">
        <v>118</v>
      </c>
      <c r="BY7" s="101" t="s">
        <v>119</v>
      </c>
      <c r="BZ7" s="101" t="s">
        <v>120</v>
      </c>
      <c r="CA7" s="101" t="s">
        <v>121</v>
      </c>
      <c r="CB7" s="101" t="s">
        <v>122</v>
      </c>
      <c r="CC7" s="117" t="s">
        <v>123</v>
      </c>
      <c r="CD7" s="111" t="s">
        <v>124</v>
      </c>
      <c r="CE7" s="113" t="s">
        <v>125</v>
      </c>
      <c r="CF7" s="118" t="s">
        <v>126</v>
      </c>
      <c r="CG7" s="119" t="s">
        <v>127</v>
      </c>
      <c r="CH7" s="120" t="s">
        <v>128</v>
      </c>
      <c r="CI7" s="121" t="s">
        <v>261</v>
      </c>
      <c r="CJ7" s="122" t="s">
        <v>130</v>
      </c>
      <c r="CK7" s="123" t="s">
        <v>262</v>
      </c>
      <c r="CL7" s="122" t="s">
        <v>132</v>
      </c>
      <c r="CM7" s="123" t="s">
        <v>263</v>
      </c>
      <c r="CN7" s="122" t="s">
        <v>134</v>
      </c>
      <c r="CO7" s="123" t="s">
        <v>264</v>
      </c>
      <c r="CP7" s="89"/>
      <c r="CQ7" s="69"/>
      <c r="CR7" s="69"/>
      <c r="CS7" s="69"/>
      <c r="CT7" s="89"/>
      <c r="CU7" s="248"/>
    </row>
    <row r="8" ht="55.5" customHeight="1">
      <c r="A8" s="125">
        <v>1.0</v>
      </c>
      <c r="B8" s="274" t="s">
        <v>136</v>
      </c>
      <c r="C8" s="127">
        <v>1.0</v>
      </c>
      <c r="D8" s="168" t="s">
        <v>137</v>
      </c>
      <c r="E8" s="129"/>
      <c r="F8" s="130"/>
      <c r="G8" s="130"/>
      <c r="H8" s="130"/>
      <c r="I8" s="201"/>
      <c r="J8" s="130"/>
      <c r="K8" s="131"/>
      <c r="L8" s="131"/>
      <c r="M8" s="131"/>
      <c r="N8" s="275"/>
      <c r="O8" s="250">
        <f t="shared" ref="O8:O13" si="1">IF(AND(M8&lt;&gt;0,M8&lt;&gt;"m",M8&lt;&gt;"",RIGHT(K8,3)="Lec"),1,IF(AND(M8&lt;&gt;0,M8&lt;&gt;"m",M8&lt;&gt;"",OR(RIGHT(K8,3)="Lab",RIGHT(K8,3)="Tut")),0.5,IF(AND(M8&lt;&gt;0,M8&lt;&gt;"m",M8&lt;&gt;"",RIGHT(K8,2)="TL"),0.75,0)))</f>
        <v>0</v>
      </c>
      <c r="P8" s="251">
        <f>COUNTIF(K8:K18,"TL")*0.75+COUNTIF(K8:K18,"Lec")*1+COUNTIF(K8:K18,"Lab")*0.5</f>
        <v>0</v>
      </c>
      <c r="Q8" s="134">
        <f>SUM((IF(LEFT(K8,1)="E",O8,0)),(IF(LEFT(K9,1)="E",O9,0)),(IF(LEFT(K10,1)="E",O10,0)),(IF(LEFT(K11,1)="E",O11,0)),(IF(LEFT(K12,1)="E",O12,0)),(IF(LEFT(K13,1)="E",O13,0)),(IF(LEFT(K14,1)="E",O14,0)),(IF(LEFT(K15,1)="E",O15,0)),(IF(LEFT(K16,1)="E",O16,0)),(IF(LEFT(K17,1)="E",O17,0)),(IF(LEFT(K18,1)="E",O18,0)))</f>
        <v>0</v>
      </c>
      <c r="R8" s="135">
        <f>SUM(IF(M14&lt;20,IF(K14="Plec",-1,IF(K14="PTL",-0.75,IF(K14="Plab",-0.5,0))),0),IF(M15&lt;20,IF(K15="Plec",-1,IF(K15="PTL",-0.75,IF(K15="Plab",-0.5,0))),0),IF(M16&lt;20,IF(K16="Plec",-1,IF(K16="PTL",-0.75,IF(K16="Plab",-0.5,0))),0),IF(M17&lt;20,IF(K17="Plec",-1,IF(K17="PTL",-0.75,IF(K17="Plab",-0.5,0))),0))</f>
        <v>0</v>
      </c>
      <c r="S8" s="134">
        <f>SUM(P8:R18)</f>
        <v>0</v>
      </c>
      <c r="T8" s="136">
        <f>SUM(IF(M8="M",IF(OR(K8="lec",K8="plec",K8="slec"),1,IF(OR(K8="lab",K8="plab",K8="slab",K8="tut",K8="ptut",K8="stut"),0.5,IF(OR(K8="TL",K8="pTL",K8="STL"),0.75,0))),0),IF(M9="M",IF(OR(K9="lec",K9="plec",K9="slec"),1,IF(OR(K9="lab",K9="plab",K9="slab",K9="tut",K9="ptut",K9="stut"),0.5,IF(OR(K9="TL",K9="pTL",K9="STL"),0.75,0))),0),IF(M10="M",IF(OR(K10="lec",K10="plec",K10="slec"),1,IF(OR(K10="lab",K10="plab",K10="slab",K10="tut",K10="ptut",K10="stut"),0.5,IF(OR(K10="TL",K10="pTL",K10="STL"),0.75,0))),0),IF(M11="M",IF(OR(K11="lec",K11="plec",K11="slec"),1,IF(OR(K11="lab",K11="plab",K11="slab",K11="tut",K11="ptut",K11="stut"),0.5,IF(OR(K11="TL",K11="pTL",K11="STL"),0.75,0))),0),IF(M12="M",IF(OR(K12="lec",K12="plec",K12="slec"),1,IF(OR(K12="lab",K12="plab",K12="slab",K12="tut",K12="ptut",K12="stut"),0.5,IF(OR(K12="TL",K12="pTL",K12="STL"),0.75,0))),0),IF(M13="M",IF(OR(K13="lec",K13="plec",K13="slec"),1,IF(OR(K13="lab",K13="plab",K13="slab",K13="tut",K13="ptut",K13="stut"),0.5,IF(OR(K13="TL",K13="pTL",K13="STL"),0.75,0))),0),IF(M14="M",IF(OR(K14="lec",K14="plec",K14="slec"),1,IF(OR(K14="lab",K14="plab",K14="slab",K14="tut",K14="ptut",K14="stut"),0.5,IF(OR(K14="TL",K14="pTL",K14="STL"),0.75,0))),0),IF(M15="M",IF(OR(K15="lec",K15="plec",K15="slec"),1,IF(OR(K15="lab",K15="plab",K15="slab",K15="tut",K15="ptut",K15="stut"),0.5,IF(OR(K15="TL",K15="pTL",K15="STL"),0.75,0))),0),IF(M16="M",IF(OR(K16="lec",K16="plec",K16="slec"),1,IF(OR(K16="lab",K16="plab",K16="slab",K16="tut",K16="ptut",K16="stut"),0.5,IF(OR(K16="TL",K16="pTL",K16="STL"),0.75,0))),0),IF(M17="M",IF(OR(K17="lec",K17="plec",K17="slec"),1,IF(OR(K17="lab",K17="plab",K17="slab",K17="tut",K17="ptut",K17="stut"),0.5,IF(OR(K17="TL",K17="pTL",K17="STL"),0.75,0))),0),IF(M18="M",IF(OR(K18="lec",K18="plec",K18="slec"),1,IF(OR(K18="lab",K18="plab",K18="slab",K18="tut",K18="ptut",K18="stut"),0.5,IF(OR(K18="TL",K18="pTL",K18="STL"),0.75,0))),0))</f>
        <v>0</v>
      </c>
      <c r="U8" s="137"/>
      <c r="V8" s="133"/>
      <c r="W8" s="138"/>
      <c r="X8" s="139">
        <f>S8-(T8+U8+V8+W8)</f>
        <v>0</v>
      </c>
      <c r="Y8" s="134" t="str">
        <f>CONCATENATE(SUM(O8:O18),"(",SUM(O8:O18)-X8,")")</f>
        <v>0(0)</v>
      </c>
      <c r="Z8" s="140"/>
      <c r="AA8" s="141"/>
      <c r="AB8" s="142"/>
      <c r="AC8" s="142"/>
      <c r="AD8" s="142"/>
      <c r="AE8" s="142"/>
      <c r="AF8" s="142"/>
      <c r="AG8" s="142"/>
      <c r="AH8" s="142"/>
      <c r="AI8" s="143"/>
      <c r="AJ8" s="144"/>
      <c r="AK8" s="145"/>
      <c r="AL8" s="145"/>
      <c r="AM8" s="145"/>
      <c r="AN8" s="145"/>
      <c r="AO8" s="146"/>
      <c r="AP8" s="147">
        <f>SUM(SUM(O8:O18),SUM(AI8:AI18)/2,AM8)</f>
        <v>0</v>
      </c>
      <c r="AQ8" s="148"/>
      <c r="AR8" s="148">
        <f>AP8*AQ8</f>
        <v>0</v>
      </c>
      <c r="AS8" s="148">
        <f>CT8</f>
        <v>0</v>
      </c>
      <c r="AT8" s="149">
        <f>AR8*0.75+AS8*0.25</f>
        <v>0</v>
      </c>
      <c r="AU8" s="150"/>
      <c r="AV8" s="151"/>
      <c r="AW8" s="151"/>
      <c r="AX8" s="152"/>
      <c r="AY8" s="153"/>
      <c r="AZ8" s="140"/>
      <c r="BA8" s="150"/>
      <c r="BB8" s="151"/>
      <c r="BC8" s="151"/>
      <c r="BD8" s="151"/>
      <c r="BE8" s="151"/>
      <c r="BF8" s="151"/>
      <c r="BG8" s="151"/>
      <c r="BH8" s="151"/>
      <c r="BI8" s="152"/>
      <c r="BJ8" s="154"/>
      <c r="BK8" s="151"/>
      <c r="BL8" s="151"/>
      <c r="BM8" s="151"/>
      <c r="BN8" s="151"/>
      <c r="BO8" s="155"/>
      <c r="BP8" s="140"/>
      <c r="BQ8" s="156"/>
      <c r="BR8" s="157"/>
      <c r="BS8" s="158"/>
      <c r="BT8" s="153"/>
      <c r="BU8" s="140"/>
      <c r="BV8" s="140"/>
      <c r="BW8" s="140"/>
      <c r="BX8" s="140"/>
      <c r="BY8" s="140"/>
      <c r="BZ8" s="140"/>
      <c r="CA8" s="140"/>
      <c r="CB8" s="140"/>
      <c r="CC8" s="140"/>
      <c r="CD8" s="150"/>
      <c r="CE8" s="155"/>
      <c r="CF8" s="150"/>
      <c r="CG8" s="152"/>
      <c r="CH8" s="252"/>
      <c r="CI8" s="160"/>
      <c r="CJ8" s="159"/>
      <c r="CK8" s="160"/>
      <c r="CL8" s="159"/>
      <c r="CM8" s="160"/>
      <c r="CN8" s="159"/>
      <c r="CO8" s="160"/>
      <c r="CP8" s="159"/>
      <c r="CQ8" s="162"/>
      <c r="CR8" s="160"/>
      <c r="CS8" s="253">
        <f>SUM(CS19:CS305)</f>
        <v>0</v>
      </c>
      <c r="CT8" s="254">
        <f>SUM(AU8,AV8,AW8,AX8/400,AY8,AZ8,BG8,BH8*0.5,BI8*0.25,BJ8,BK8,BL8,BM8,BN8,BO8,BP8,BR8/20,BS8/100,BT8/60,BU8,BV8,BW8,BX8/4,SUM(BY8:CC18)/3,CE8,CG8/3,CI8,CK8,CM8,CO8,CQ8,CR8)</f>
        <v>0</v>
      </c>
      <c r="CU8" s="255" t="str">
        <f t="shared" ref="CU8:CU161" si="2">D8</f>
        <v>STS</v>
      </c>
    </row>
    <row r="9" ht="60.0" customHeight="1">
      <c r="A9" s="65"/>
      <c r="B9" s="65"/>
      <c r="C9" s="167">
        <v>2.0</v>
      </c>
      <c r="D9" s="168" t="s">
        <v>137</v>
      </c>
      <c r="E9" s="169"/>
      <c r="F9" s="170"/>
      <c r="G9" s="170"/>
      <c r="H9" s="170"/>
      <c r="I9" s="207"/>
      <c r="J9" s="170"/>
      <c r="K9" s="171"/>
      <c r="L9" s="171"/>
      <c r="M9" s="171"/>
      <c r="N9" s="276"/>
      <c r="O9" s="256">
        <f t="shared" si="1"/>
        <v>0</v>
      </c>
      <c r="Q9" s="173"/>
      <c r="R9" s="65"/>
      <c r="S9" s="173"/>
      <c r="T9" s="173"/>
      <c r="U9" s="166"/>
      <c r="V9" s="166"/>
      <c r="W9" s="65"/>
      <c r="X9" s="66"/>
      <c r="Y9" s="173"/>
      <c r="Z9" s="166"/>
      <c r="AA9" s="174"/>
      <c r="AB9" s="175"/>
      <c r="AC9" s="175"/>
      <c r="AD9" s="175"/>
      <c r="AE9" s="175"/>
      <c r="AF9" s="175"/>
      <c r="AG9" s="175"/>
      <c r="AH9" s="175"/>
      <c r="AI9" s="176"/>
      <c r="AJ9" s="177"/>
      <c r="AK9" s="178"/>
      <c r="AL9" s="178"/>
      <c r="AM9" s="178"/>
      <c r="AN9" s="178"/>
      <c r="AO9" s="179"/>
      <c r="AP9" s="64"/>
      <c r="AQ9" s="65"/>
      <c r="AR9" s="65"/>
      <c r="AS9" s="65"/>
      <c r="AT9" s="173"/>
      <c r="AU9" s="177"/>
      <c r="AV9" s="178"/>
      <c r="AW9" s="178"/>
      <c r="AX9" s="179"/>
      <c r="AZ9" s="166"/>
      <c r="BA9" s="177"/>
      <c r="BB9" s="178"/>
      <c r="BC9" s="178"/>
      <c r="BD9" s="178"/>
      <c r="BE9" s="178"/>
      <c r="BF9" s="178"/>
      <c r="BG9" s="178"/>
      <c r="BH9" s="178"/>
      <c r="BI9" s="179"/>
      <c r="BJ9" s="180"/>
      <c r="BK9" s="178"/>
      <c r="BL9" s="178"/>
      <c r="BM9" s="178"/>
      <c r="BN9" s="178"/>
      <c r="BO9" s="181"/>
      <c r="BP9" s="166"/>
      <c r="BQ9" s="177"/>
      <c r="BR9" s="178"/>
      <c r="BS9" s="179"/>
      <c r="BU9" s="166"/>
      <c r="BV9" s="166"/>
      <c r="BW9" s="166"/>
      <c r="BX9" s="166"/>
      <c r="BY9" s="166"/>
      <c r="BZ9" s="166"/>
      <c r="CA9" s="166"/>
      <c r="CB9" s="166"/>
      <c r="CC9" s="166"/>
      <c r="CD9" s="177"/>
      <c r="CE9" s="181"/>
      <c r="CF9" s="177"/>
      <c r="CG9" s="179"/>
      <c r="CH9" s="257"/>
      <c r="CI9" s="182"/>
      <c r="CJ9" s="177"/>
      <c r="CK9" s="182"/>
      <c r="CL9" s="177"/>
      <c r="CM9" s="182"/>
      <c r="CN9" s="177"/>
      <c r="CO9" s="182"/>
      <c r="CP9" s="177"/>
      <c r="CQ9" s="178"/>
      <c r="CR9" s="182"/>
      <c r="CS9" s="173"/>
      <c r="CT9" s="65"/>
      <c r="CU9" s="255" t="str">
        <f t="shared" si="2"/>
        <v>STS</v>
      </c>
    </row>
    <row r="10" ht="60.0" customHeight="1">
      <c r="A10" s="65"/>
      <c r="B10" s="65"/>
      <c r="C10" s="167">
        <v>3.0</v>
      </c>
      <c r="D10" s="168" t="s">
        <v>137</v>
      </c>
      <c r="E10" s="169"/>
      <c r="F10" s="170"/>
      <c r="G10" s="170"/>
      <c r="H10" s="170"/>
      <c r="I10" s="207"/>
      <c r="J10" s="170"/>
      <c r="K10" s="171"/>
      <c r="L10" s="171"/>
      <c r="M10" s="171"/>
      <c r="N10" s="276"/>
      <c r="O10" s="256">
        <f t="shared" si="1"/>
        <v>0</v>
      </c>
      <c r="Q10" s="173"/>
      <c r="R10" s="65"/>
      <c r="S10" s="173"/>
      <c r="T10" s="173"/>
      <c r="U10" s="166"/>
      <c r="V10" s="166"/>
      <c r="W10" s="65"/>
      <c r="X10" s="66"/>
      <c r="Y10" s="173"/>
      <c r="Z10" s="166"/>
      <c r="AA10" s="174"/>
      <c r="AB10" s="175"/>
      <c r="AC10" s="175"/>
      <c r="AD10" s="175"/>
      <c r="AE10" s="175"/>
      <c r="AF10" s="175"/>
      <c r="AG10" s="175"/>
      <c r="AH10" s="175"/>
      <c r="AI10" s="176"/>
      <c r="AJ10" s="177"/>
      <c r="AK10" s="178"/>
      <c r="AL10" s="178"/>
      <c r="AM10" s="178"/>
      <c r="AN10" s="178"/>
      <c r="AO10" s="179"/>
      <c r="AP10" s="64"/>
      <c r="AQ10" s="65"/>
      <c r="AR10" s="65"/>
      <c r="AS10" s="65"/>
      <c r="AT10" s="173"/>
      <c r="AU10" s="177"/>
      <c r="AV10" s="178"/>
      <c r="AW10" s="178"/>
      <c r="AX10" s="179"/>
      <c r="AZ10" s="166"/>
      <c r="BA10" s="177"/>
      <c r="BB10" s="178"/>
      <c r="BC10" s="178"/>
      <c r="BD10" s="178"/>
      <c r="BE10" s="178"/>
      <c r="BF10" s="178"/>
      <c r="BG10" s="178"/>
      <c r="BH10" s="178"/>
      <c r="BI10" s="179"/>
      <c r="BJ10" s="180"/>
      <c r="BK10" s="178"/>
      <c r="BL10" s="178"/>
      <c r="BM10" s="178"/>
      <c r="BN10" s="178"/>
      <c r="BO10" s="181"/>
      <c r="BP10" s="166"/>
      <c r="BQ10" s="177"/>
      <c r="BR10" s="178"/>
      <c r="BS10" s="179"/>
      <c r="BU10" s="166"/>
      <c r="BV10" s="166"/>
      <c r="BW10" s="166"/>
      <c r="BX10" s="166"/>
      <c r="BY10" s="166"/>
      <c r="BZ10" s="166"/>
      <c r="CA10" s="166"/>
      <c r="CB10" s="166"/>
      <c r="CC10" s="166"/>
      <c r="CD10" s="177"/>
      <c r="CE10" s="181"/>
      <c r="CF10" s="177"/>
      <c r="CG10" s="179"/>
      <c r="CH10" s="257"/>
      <c r="CI10" s="182"/>
      <c r="CJ10" s="177"/>
      <c r="CK10" s="182"/>
      <c r="CL10" s="177"/>
      <c r="CM10" s="182"/>
      <c r="CN10" s="177"/>
      <c r="CO10" s="182"/>
      <c r="CP10" s="177"/>
      <c r="CQ10" s="178"/>
      <c r="CR10" s="182"/>
      <c r="CS10" s="173"/>
      <c r="CT10" s="65"/>
      <c r="CU10" s="255" t="str">
        <f t="shared" si="2"/>
        <v>STS</v>
      </c>
    </row>
    <row r="11" ht="60.0" customHeight="1">
      <c r="A11" s="65"/>
      <c r="B11" s="65"/>
      <c r="C11" s="167">
        <v>4.0</v>
      </c>
      <c r="D11" s="168" t="s">
        <v>137</v>
      </c>
      <c r="E11" s="169"/>
      <c r="F11" s="170"/>
      <c r="G11" s="170"/>
      <c r="H11" s="170"/>
      <c r="I11" s="207"/>
      <c r="J11" s="170"/>
      <c r="K11" s="171"/>
      <c r="L11" s="171"/>
      <c r="M11" s="171"/>
      <c r="N11" s="276"/>
      <c r="O11" s="256">
        <f t="shared" si="1"/>
        <v>0</v>
      </c>
      <c r="Q11" s="173"/>
      <c r="R11" s="65"/>
      <c r="S11" s="173"/>
      <c r="T11" s="173"/>
      <c r="U11" s="166"/>
      <c r="V11" s="166"/>
      <c r="W11" s="65"/>
      <c r="X11" s="66"/>
      <c r="Y11" s="173"/>
      <c r="Z11" s="166"/>
      <c r="AA11" s="174"/>
      <c r="AB11" s="175"/>
      <c r="AC11" s="175"/>
      <c r="AD11" s="175"/>
      <c r="AE11" s="175"/>
      <c r="AF11" s="175"/>
      <c r="AG11" s="175"/>
      <c r="AH11" s="175"/>
      <c r="AI11" s="176"/>
      <c r="AJ11" s="177"/>
      <c r="AK11" s="178"/>
      <c r="AL11" s="178"/>
      <c r="AM11" s="178"/>
      <c r="AN11" s="178"/>
      <c r="AO11" s="179"/>
      <c r="AP11" s="64"/>
      <c r="AQ11" s="65"/>
      <c r="AR11" s="65"/>
      <c r="AS11" s="65"/>
      <c r="AT11" s="173"/>
      <c r="AU11" s="177"/>
      <c r="AV11" s="178"/>
      <c r="AW11" s="178"/>
      <c r="AX11" s="179"/>
      <c r="AZ11" s="166"/>
      <c r="BA11" s="177"/>
      <c r="BB11" s="178"/>
      <c r="BC11" s="178"/>
      <c r="BD11" s="178"/>
      <c r="BE11" s="178"/>
      <c r="BF11" s="178"/>
      <c r="BG11" s="178"/>
      <c r="BH11" s="178"/>
      <c r="BI11" s="179"/>
      <c r="BJ11" s="180"/>
      <c r="BK11" s="178"/>
      <c r="BL11" s="178"/>
      <c r="BM11" s="178"/>
      <c r="BN11" s="178"/>
      <c r="BO11" s="181"/>
      <c r="BP11" s="166"/>
      <c r="BQ11" s="177"/>
      <c r="BR11" s="178"/>
      <c r="BS11" s="179"/>
      <c r="BU11" s="166"/>
      <c r="BV11" s="166"/>
      <c r="BW11" s="166"/>
      <c r="BX11" s="166"/>
      <c r="BY11" s="166"/>
      <c r="BZ11" s="166"/>
      <c r="CA11" s="166"/>
      <c r="CB11" s="166"/>
      <c r="CC11" s="166"/>
      <c r="CD11" s="177"/>
      <c r="CE11" s="181"/>
      <c r="CF11" s="177"/>
      <c r="CG11" s="179"/>
      <c r="CH11" s="257"/>
      <c r="CI11" s="182"/>
      <c r="CJ11" s="177"/>
      <c r="CK11" s="182"/>
      <c r="CL11" s="177"/>
      <c r="CM11" s="182"/>
      <c r="CN11" s="177"/>
      <c r="CO11" s="182"/>
      <c r="CP11" s="177"/>
      <c r="CQ11" s="178"/>
      <c r="CR11" s="182"/>
      <c r="CS11" s="173"/>
      <c r="CT11" s="65"/>
      <c r="CU11" s="255" t="str">
        <f t="shared" si="2"/>
        <v>STS</v>
      </c>
    </row>
    <row r="12" ht="60.0" customHeight="1">
      <c r="A12" s="65"/>
      <c r="B12" s="65"/>
      <c r="C12" s="167">
        <v>5.0</v>
      </c>
      <c r="D12" s="168" t="s">
        <v>137</v>
      </c>
      <c r="E12" s="169"/>
      <c r="F12" s="170"/>
      <c r="G12" s="170"/>
      <c r="H12" s="170"/>
      <c r="I12" s="207"/>
      <c r="J12" s="170"/>
      <c r="K12" s="171"/>
      <c r="L12" s="171"/>
      <c r="M12" s="171"/>
      <c r="N12" s="276"/>
      <c r="O12" s="256">
        <f t="shared" si="1"/>
        <v>0</v>
      </c>
      <c r="Q12" s="173"/>
      <c r="R12" s="65"/>
      <c r="S12" s="173"/>
      <c r="T12" s="173"/>
      <c r="U12" s="166"/>
      <c r="V12" s="166"/>
      <c r="W12" s="65"/>
      <c r="X12" s="66"/>
      <c r="Y12" s="173"/>
      <c r="Z12" s="166"/>
      <c r="AA12" s="174"/>
      <c r="AB12" s="175"/>
      <c r="AC12" s="175"/>
      <c r="AD12" s="175"/>
      <c r="AE12" s="175"/>
      <c r="AF12" s="175"/>
      <c r="AG12" s="175"/>
      <c r="AH12" s="175"/>
      <c r="AI12" s="176"/>
      <c r="AJ12" s="177"/>
      <c r="AK12" s="178"/>
      <c r="AL12" s="178"/>
      <c r="AM12" s="178"/>
      <c r="AN12" s="178"/>
      <c r="AO12" s="179"/>
      <c r="AP12" s="64"/>
      <c r="AQ12" s="65"/>
      <c r="AR12" s="65"/>
      <c r="AS12" s="65"/>
      <c r="AT12" s="173"/>
      <c r="AU12" s="177"/>
      <c r="AV12" s="178"/>
      <c r="AW12" s="178"/>
      <c r="AX12" s="179"/>
      <c r="AZ12" s="166"/>
      <c r="BA12" s="177"/>
      <c r="BB12" s="178"/>
      <c r="BC12" s="178"/>
      <c r="BD12" s="178"/>
      <c r="BE12" s="178"/>
      <c r="BF12" s="178"/>
      <c r="BG12" s="178"/>
      <c r="BH12" s="178"/>
      <c r="BI12" s="179"/>
      <c r="BJ12" s="180"/>
      <c r="BK12" s="178"/>
      <c r="BL12" s="178"/>
      <c r="BM12" s="178"/>
      <c r="BN12" s="178"/>
      <c r="BO12" s="181"/>
      <c r="BP12" s="166"/>
      <c r="BQ12" s="177"/>
      <c r="BR12" s="178"/>
      <c r="BS12" s="179"/>
      <c r="BU12" s="166"/>
      <c r="BV12" s="166"/>
      <c r="BW12" s="166"/>
      <c r="BX12" s="166"/>
      <c r="BY12" s="166"/>
      <c r="BZ12" s="166"/>
      <c r="CA12" s="166"/>
      <c r="CB12" s="166"/>
      <c r="CC12" s="166"/>
      <c r="CD12" s="177"/>
      <c r="CE12" s="181"/>
      <c r="CF12" s="177"/>
      <c r="CG12" s="179"/>
      <c r="CH12" s="257"/>
      <c r="CI12" s="182"/>
      <c r="CJ12" s="177"/>
      <c r="CK12" s="182"/>
      <c r="CL12" s="177"/>
      <c r="CM12" s="182"/>
      <c r="CN12" s="177"/>
      <c r="CO12" s="182"/>
      <c r="CP12" s="177"/>
      <c r="CQ12" s="178"/>
      <c r="CR12" s="182"/>
      <c r="CS12" s="173"/>
      <c r="CT12" s="65"/>
      <c r="CU12" s="255" t="str">
        <f t="shared" si="2"/>
        <v>STS</v>
      </c>
    </row>
    <row r="13" ht="60.0" customHeight="1">
      <c r="A13" s="65"/>
      <c r="B13" s="65"/>
      <c r="C13" s="167">
        <v>6.0</v>
      </c>
      <c r="D13" s="168" t="s">
        <v>137</v>
      </c>
      <c r="E13" s="169"/>
      <c r="F13" s="170"/>
      <c r="G13" s="170"/>
      <c r="H13" s="170"/>
      <c r="I13" s="207"/>
      <c r="J13" s="170"/>
      <c r="K13" s="171"/>
      <c r="L13" s="171"/>
      <c r="M13" s="171"/>
      <c r="N13" s="276"/>
      <c r="O13" s="256">
        <f t="shared" si="1"/>
        <v>0</v>
      </c>
      <c r="Q13" s="173"/>
      <c r="R13" s="65"/>
      <c r="S13" s="173"/>
      <c r="T13" s="173"/>
      <c r="U13" s="166"/>
      <c r="V13" s="166"/>
      <c r="W13" s="65"/>
      <c r="X13" s="66"/>
      <c r="Y13" s="173"/>
      <c r="Z13" s="166"/>
      <c r="AA13" s="174"/>
      <c r="AB13" s="175"/>
      <c r="AC13" s="175"/>
      <c r="AD13" s="175"/>
      <c r="AE13" s="175"/>
      <c r="AF13" s="175"/>
      <c r="AG13" s="175"/>
      <c r="AH13" s="175"/>
      <c r="AI13" s="176"/>
      <c r="AJ13" s="177"/>
      <c r="AK13" s="178"/>
      <c r="AL13" s="178"/>
      <c r="AM13" s="178"/>
      <c r="AN13" s="178"/>
      <c r="AO13" s="179"/>
      <c r="AP13" s="64"/>
      <c r="AQ13" s="65"/>
      <c r="AR13" s="65"/>
      <c r="AS13" s="65"/>
      <c r="AT13" s="173"/>
      <c r="AU13" s="177"/>
      <c r="AV13" s="178"/>
      <c r="AW13" s="178"/>
      <c r="AX13" s="179"/>
      <c r="AZ13" s="166"/>
      <c r="BA13" s="177"/>
      <c r="BB13" s="178"/>
      <c r="BC13" s="178"/>
      <c r="BD13" s="178"/>
      <c r="BE13" s="178"/>
      <c r="BF13" s="178"/>
      <c r="BG13" s="178"/>
      <c r="BH13" s="178"/>
      <c r="BI13" s="179"/>
      <c r="BJ13" s="180"/>
      <c r="BK13" s="178"/>
      <c r="BL13" s="178"/>
      <c r="BM13" s="178"/>
      <c r="BN13" s="178"/>
      <c r="BO13" s="181"/>
      <c r="BP13" s="166"/>
      <c r="BQ13" s="177"/>
      <c r="BR13" s="178"/>
      <c r="BS13" s="179"/>
      <c r="BU13" s="166"/>
      <c r="BV13" s="166"/>
      <c r="BW13" s="166"/>
      <c r="BX13" s="166"/>
      <c r="BY13" s="166"/>
      <c r="BZ13" s="166"/>
      <c r="CA13" s="166"/>
      <c r="CB13" s="166"/>
      <c r="CC13" s="166"/>
      <c r="CD13" s="177"/>
      <c r="CE13" s="181"/>
      <c r="CF13" s="177"/>
      <c r="CG13" s="179"/>
      <c r="CH13" s="257"/>
      <c r="CI13" s="182"/>
      <c r="CJ13" s="177"/>
      <c r="CK13" s="182"/>
      <c r="CL13" s="177"/>
      <c r="CM13" s="182"/>
      <c r="CN13" s="177"/>
      <c r="CO13" s="182"/>
      <c r="CP13" s="177"/>
      <c r="CQ13" s="178"/>
      <c r="CR13" s="182"/>
      <c r="CS13" s="173"/>
      <c r="CT13" s="65"/>
      <c r="CU13" s="255" t="str">
        <f t="shared" si="2"/>
        <v>STS</v>
      </c>
    </row>
    <row r="14" ht="60.0" customHeight="1">
      <c r="A14" s="65"/>
      <c r="B14" s="65"/>
      <c r="C14" s="167">
        <v>7.0</v>
      </c>
      <c r="D14" s="168" t="s">
        <v>137</v>
      </c>
      <c r="E14" s="169"/>
      <c r="F14" s="170"/>
      <c r="G14" s="170"/>
      <c r="H14" s="170"/>
      <c r="I14" s="207"/>
      <c r="J14" s="170"/>
      <c r="K14" s="171"/>
      <c r="L14" s="171"/>
      <c r="M14" s="171"/>
      <c r="N14" s="276"/>
      <c r="O14" s="256">
        <f t="shared" ref="O14:O17" si="3">IF(AND(M14&gt;=20,M14&lt;&gt;"m",RIGHT(K14,3)="Lec"),1,IF(AND(M14&gt;=20,M14&lt;&gt;"m",OR(RIGHT(K14,3)="Lab",RIGHT(K14,3)="Tut")),0.5,IF(AND(M14&gt;=20,M14&lt;&gt;"m",RIGHT(K14,2)="TL"),0.75,0)))</f>
        <v>0</v>
      </c>
      <c r="Q14" s="173"/>
      <c r="R14" s="65"/>
      <c r="S14" s="173"/>
      <c r="T14" s="173"/>
      <c r="U14" s="166"/>
      <c r="V14" s="166"/>
      <c r="W14" s="65"/>
      <c r="X14" s="66"/>
      <c r="Y14" s="173"/>
      <c r="Z14" s="166"/>
      <c r="AA14" s="174"/>
      <c r="AB14" s="175"/>
      <c r="AC14" s="175"/>
      <c r="AD14" s="175"/>
      <c r="AE14" s="175"/>
      <c r="AF14" s="175"/>
      <c r="AG14" s="175"/>
      <c r="AH14" s="175"/>
      <c r="AI14" s="176"/>
      <c r="AJ14" s="177"/>
      <c r="AK14" s="178"/>
      <c r="AL14" s="178"/>
      <c r="AM14" s="178"/>
      <c r="AN14" s="178"/>
      <c r="AO14" s="179"/>
      <c r="AP14" s="64"/>
      <c r="AQ14" s="65"/>
      <c r="AR14" s="65"/>
      <c r="AS14" s="65"/>
      <c r="AT14" s="173"/>
      <c r="AU14" s="177"/>
      <c r="AV14" s="178"/>
      <c r="AW14" s="178"/>
      <c r="AX14" s="179"/>
      <c r="AZ14" s="166"/>
      <c r="BA14" s="177"/>
      <c r="BB14" s="178"/>
      <c r="BC14" s="178"/>
      <c r="BD14" s="178"/>
      <c r="BE14" s="178"/>
      <c r="BF14" s="178"/>
      <c r="BG14" s="178"/>
      <c r="BH14" s="178"/>
      <c r="BI14" s="179"/>
      <c r="BJ14" s="180"/>
      <c r="BK14" s="178"/>
      <c r="BL14" s="178"/>
      <c r="BM14" s="178"/>
      <c r="BN14" s="178"/>
      <c r="BO14" s="181"/>
      <c r="BP14" s="166"/>
      <c r="BQ14" s="177"/>
      <c r="BR14" s="178"/>
      <c r="BS14" s="179"/>
      <c r="BU14" s="166"/>
      <c r="BV14" s="166"/>
      <c r="BW14" s="166"/>
      <c r="BX14" s="166"/>
      <c r="BY14" s="166"/>
      <c r="BZ14" s="166"/>
      <c r="CA14" s="166"/>
      <c r="CB14" s="166"/>
      <c r="CC14" s="166"/>
      <c r="CD14" s="177"/>
      <c r="CE14" s="181"/>
      <c r="CF14" s="177"/>
      <c r="CG14" s="179"/>
      <c r="CH14" s="257"/>
      <c r="CI14" s="182"/>
      <c r="CJ14" s="177"/>
      <c r="CK14" s="182"/>
      <c r="CL14" s="177"/>
      <c r="CM14" s="182"/>
      <c r="CN14" s="177"/>
      <c r="CO14" s="182"/>
      <c r="CP14" s="177"/>
      <c r="CQ14" s="178"/>
      <c r="CR14" s="182"/>
      <c r="CS14" s="173"/>
      <c r="CT14" s="65"/>
      <c r="CU14" s="255" t="str">
        <f t="shared" si="2"/>
        <v>STS</v>
      </c>
    </row>
    <row r="15" ht="60.0" customHeight="1">
      <c r="A15" s="65"/>
      <c r="B15" s="65"/>
      <c r="C15" s="167">
        <v>8.0</v>
      </c>
      <c r="D15" s="168" t="s">
        <v>137</v>
      </c>
      <c r="E15" s="169"/>
      <c r="F15" s="170"/>
      <c r="G15" s="170"/>
      <c r="H15" s="170"/>
      <c r="I15" s="207"/>
      <c r="J15" s="170"/>
      <c r="K15" s="171"/>
      <c r="L15" s="171"/>
      <c r="M15" s="171"/>
      <c r="N15" s="276"/>
      <c r="O15" s="256">
        <f t="shared" si="3"/>
        <v>0</v>
      </c>
      <c r="Q15" s="173"/>
      <c r="R15" s="65"/>
      <c r="S15" s="173"/>
      <c r="T15" s="173"/>
      <c r="U15" s="166"/>
      <c r="V15" s="166"/>
      <c r="W15" s="65"/>
      <c r="X15" s="66"/>
      <c r="Y15" s="173"/>
      <c r="Z15" s="166"/>
      <c r="AA15" s="174"/>
      <c r="AB15" s="175"/>
      <c r="AC15" s="175"/>
      <c r="AD15" s="175"/>
      <c r="AE15" s="175"/>
      <c r="AF15" s="175"/>
      <c r="AG15" s="175"/>
      <c r="AH15" s="175"/>
      <c r="AI15" s="176"/>
      <c r="AJ15" s="177"/>
      <c r="AK15" s="178"/>
      <c r="AL15" s="178"/>
      <c r="AM15" s="178"/>
      <c r="AN15" s="178"/>
      <c r="AO15" s="179"/>
      <c r="AP15" s="64"/>
      <c r="AQ15" s="65"/>
      <c r="AR15" s="65"/>
      <c r="AS15" s="65"/>
      <c r="AT15" s="173"/>
      <c r="AU15" s="177"/>
      <c r="AV15" s="178"/>
      <c r="AW15" s="178"/>
      <c r="AX15" s="179"/>
      <c r="AZ15" s="166"/>
      <c r="BA15" s="177"/>
      <c r="BB15" s="178"/>
      <c r="BC15" s="178"/>
      <c r="BD15" s="178"/>
      <c r="BE15" s="178"/>
      <c r="BF15" s="178"/>
      <c r="BG15" s="178"/>
      <c r="BH15" s="178"/>
      <c r="BI15" s="179"/>
      <c r="BJ15" s="180"/>
      <c r="BK15" s="178"/>
      <c r="BL15" s="178"/>
      <c r="BM15" s="178"/>
      <c r="BN15" s="178"/>
      <c r="BO15" s="181"/>
      <c r="BP15" s="166"/>
      <c r="BQ15" s="177"/>
      <c r="BR15" s="178"/>
      <c r="BS15" s="179"/>
      <c r="BU15" s="166"/>
      <c r="BV15" s="166"/>
      <c r="BW15" s="166"/>
      <c r="BX15" s="166"/>
      <c r="BY15" s="166"/>
      <c r="BZ15" s="166"/>
      <c r="CA15" s="166"/>
      <c r="CB15" s="166"/>
      <c r="CC15" s="166"/>
      <c r="CD15" s="177"/>
      <c r="CE15" s="181"/>
      <c r="CF15" s="177"/>
      <c r="CG15" s="179"/>
      <c r="CH15" s="257"/>
      <c r="CI15" s="182"/>
      <c r="CJ15" s="177"/>
      <c r="CK15" s="182"/>
      <c r="CL15" s="177"/>
      <c r="CM15" s="182"/>
      <c r="CN15" s="177"/>
      <c r="CO15" s="182"/>
      <c r="CP15" s="177"/>
      <c r="CQ15" s="178"/>
      <c r="CR15" s="182"/>
      <c r="CS15" s="173"/>
      <c r="CT15" s="65"/>
      <c r="CU15" s="255" t="str">
        <f t="shared" si="2"/>
        <v>STS</v>
      </c>
    </row>
    <row r="16" ht="60.0" customHeight="1">
      <c r="A16" s="65"/>
      <c r="B16" s="65"/>
      <c r="C16" s="167">
        <v>9.0</v>
      </c>
      <c r="D16" s="168" t="s">
        <v>137</v>
      </c>
      <c r="E16" s="169"/>
      <c r="F16" s="170"/>
      <c r="G16" s="170"/>
      <c r="H16" s="170"/>
      <c r="I16" s="207"/>
      <c r="J16" s="170"/>
      <c r="K16" s="171"/>
      <c r="L16" s="171"/>
      <c r="M16" s="171"/>
      <c r="N16" s="276"/>
      <c r="O16" s="256">
        <f t="shared" si="3"/>
        <v>0</v>
      </c>
      <c r="Q16" s="173"/>
      <c r="R16" s="65"/>
      <c r="S16" s="173"/>
      <c r="T16" s="173"/>
      <c r="U16" s="166"/>
      <c r="V16" s="166"/>
      <c r="W16" s="65"/>
      <c r="X16" s="66"/>
      <c r="Y16" s="173"/>
      <c r="Z16" s="166"/>
      <c r="AA16" s="174"/>
      <c r="AB16" s="175"/>
      <c r="AC16" s="175"/>
      <c r="AD16" s="175"/>
      <c r="AE16" s="175"/>
      <c r="AF16" s="175"/>
      <c r="AG16" s="175"/>
      <c r="AH16" s="175"/>
      <c r="AI16" s="176"/>
      <c r="AJ16" s="177"/>
      <c r="AK16" s="178"/>
      <c r="AL16" s="178"/>
      <c r="AM16" s="178"/>
      <c r="AN16" s="178"/>
      <c r="AO16" s="179"/>
      <c r="AP16" s="64"/>
      <c r="AQ16" s="65"/>
      <c r="AR16" s="65"/>
      <c r="AS16" s="65"/>
      <c r="AT16" s="173"/>
      <c r="AU16" s="177"/>
      <c r="AV16" s="178"/>
      <c r="AW16" s="178"/>
      <c r="AX16" s="179"/>
      <c r="AZ16" s="166"/>
      <c r="BA16" s="177"/>
      <c r="BB16" s="178"/>
      <c r="BC16" s="178"/>
      <c r="BD16" s="178"/>
      <c r="BE16" s="178"/>
      <c r="BF16" s="178"/>
      <c r="BG16" s="178"/>
      <c r="BH16" s="178"/>
      <c r="BI16" s="179"/>
      <c r="BJ16" s="180"/>
      <c r="BK16" s="178"/>
      <c r="BL16" s="178"/>
      <c r="BM16" s="178"/>
      <c r="BN16" s="178"/>
      <c r="BO16" s="181"/>
      <c r="BP16" s="166"/>
      <c r="BQ16" s="177"/>
      <c r="BR16" s="178"/>
      <c r="BS16" s="179"/>
      <c r="BU16" s="166"/>
      <c r="BV16" s="166"/>
      <c r="BW16" s="166"/>
      <c r="BX16" s="166"/>
      <c r="BY16" s="166"/>
      <c r="BZ16" s="166"/>
      <c r="CA16" s="166"/>
      <c r="CB16" s="166"/>
      <c r="CC16" s="166"/>
      <c r="CD16" s="177"/>
      <c r="CE16" s="181"/>
      <c r="CF16" s="177"/>
      <c r="CG16" s="179"/>
      <c r="CH16" s="257"/>
      <c r="CI16" s="182"/>
      <c r="CJ16" s="177"/>
      <c r="CK16" s="182"/>
      <c r="CL16" s="177"/>
      <c r="CM16" s="182"/>
      <c r="CN16" s="177"/>
      <c r="CO16" s="182"/>
      <c r="CP16" s="177"/>
      <c r="CQ16" s="178"/>
      <c r="CR16" s="182"/>
      <c r="CS16" s="173"/>
      <c r="CT16" s="65"/>
      <c r="CU16" s="255" t="str">
        <f t="shared" si="2"/>
        <v>STS</v>
      </c>
    </row>
    <row r="17" ht="60.0" customHeight="1">
      <c r="A17" s="65"/>
      <c r="B17" s="65"/>
      <c r="C17" s="167">
        <v>10.0</v>
      </c>
      <c r="D17" s="168" t="s">
        <v>137</v>
      </c>
      <c r="E17" s="169"/>
      <c r="F17" s="170"/>
      <c r="G17" s="170"/>
      <c r="H17" s="170"/>
      <c r="I17" s="207"/>
      <c r="J17" s="170"/>
      <c r="K17" s="171"/>
      <c r="L17" s="171"/>
      <c r="M17" s="171"/>
      <c r="N17" s="276"/>
      <c r="O17" s="256">
        <f t="shared" si="3"/>
        <v>0</v>
      </c>
      <c r="Q17" s="173"/>
      <c r="R17" s="65"/>
      <c r="S17" s="173"/>
      <c r="T17" s="173"/>
      <c r="U17" s="166"/>
      <c r="V17" s="166"/>
      <c r="W17" s="65"/>
      <c r="X17" s="66"/>
      <c r="Y17" s="173"/>
      <c r="Z17" s="166"/>
      <c r="AA17" s="174"/>
      <c r="AB17" s="175"/>
      <c r="AC17" s="175"/>
      <c r="AD17" s="175"/>
      <c r="AE17" s="175"/>
      <c r="AF17" s="175"/>
      <c r="AG17" s="175"/>
      <c r="AH17" s="175"/>
      <c r="AI17" s="176"/>
      <c r="AJ17" s="177"/>
      <c r="AK17" s="178"/>
      <c r="AL17" s="178"/>
      <c r="AM17" s="178"/>
      <c r="AN17" s="178"/>
      <c r="AO17" s="179"/>
      <c r="AP17" s="64"/>
      <c r="AQ17" s="65"/>
      <c r="AR17" s="65"/>
      <c r="AS17" s="65"/>
      <c r="AT17" s="173"/>
      <c r="AU17" s="177"/>
      <c r="AV17" s="178"/>
      <c r="AW17" s="178"/>
      <c r="AX17" s="179"/>
      <c r="AZ17" s="166"/>
      <c r="BA17" s="177"/>
      <c r="BB17" s="178"/>
      <c r="BC17" s="178"/>
      <c r="BD17" s="178"/>
      <c r="BE17" s="178"/>
      <c r="BF17" s="178"/>
      <c r="BG17" s="178"/>
      <c r="BH17" s="178"/>
      <c r="BI17" s="179"/>
      <c r="BJ17" s="180"/>
      <c r="BK17" s="178"/>
      <c r="BL17" s="178"/>
      <c r="BM17" s="178"/>
      <c r="BN17" s="178"/>
      <c r="BO17" s="181"/>
      <c r="BP17" s="166"/>
      <c r="BQ17" s="177"/>
      <c r="BR17" s="178"/>
      <c r="BS17" s="179"/>
      <c r="BU17" s="166"/>
      <c r="BV17" s="166"/>
      <c r="BW17" s="166"/>
      <c r="BX17" s="166"/>
      <c r="BY17" s="166"/>
      <c r="BZ17" s="166"/>
      <c r="CA17" s="166"/>
      <c r="CB17" s="166"/>
      <c r="CC17" s="166"/>
      <c r="CD17" s="177"/>
      <c r="CE17" s="181"/>
      <c r="CF17" s="177"/>
      <c r="CG17" s="179"/>
      <c r="CH17" s="257"/>
      <c r="CI17" s="182"/>
      <c r="CJ17" s="177"/>
      <c r="CK17" s="182"/>
      <c r="CL17" s="177"/>
      <c r="CM17" s="182"/>
      <c r="CN17" s="177"/>
      <c r="CO17" s="182"/>
      <c r="CP17" s="177"/>
      <c r="CQ17" s="178"/>
      <c r="CR17" s="182"/>
      <c r="CS17" s="173"/>
      <c r="CT17" s="65"/>
      <c r="CU17" s="255" t="str">
        <f t="shared" si="2"/>
        <v>STS</v>
      </c>
    </row>
    <row r="18" ht="60.0" customHeight="1">
      <c r="A18" s="89"/>
      <c r="B18" s="89"/>
      <c r="C18" s="183">
        <v>11.0</v>
      </c>
      <c r="D18" s="210" t="s">
        <v>137</v>
      </c>
      <c r="E18" s="185"/>
      <c r="F18" s="186"/>
      <c r="G18" s="186"/>
      <c r="H18" s="186"/>
      <c r="I18" s="212"/>
      <c r="J18" s="186"/>
      <c r="K18" s="187"/>
      <c r="L18" s="187"/>
      <c r="M18" s="187"/>
      <c r="N18" s="214"/>
      <c r="O18" s="258">
        <f t="shared" ref="O18:O24" si="4">IF(AND(M18&lt;&gt;0,M18&lt;&gt;"m",M18&lt;&gt;"",RIGHT(K18,3)="Lec"),1,IF(AND(M18&lt;&gt;0,M18&lt;&gt;"m",M18&lt;&gt;"",OR(RIGHT(K18,3)="Lab",RIGHT(K18,3)="Tut")),0.5,IF(AND(M18&lt;&gt;0,M18&lt;&gt;"m",M18&lt;&gt;"",RIGHT(K18,2)="TL"),0.75,0)))</f>
        <v>0</v>
      </c>
      <c r="P18" s="6"/>
      <c r="Q18" s="69"/>
      <c r="R18" s="89"/>
      <c r="S18" s="69"/>
      <c r="T18" s="69"/>
      <c r="U18" s="63"/>
      <c r="V18" s="63"/>
      <c r="W18" s="89"/>
      <c r="X18" s="68"/>
      <c r="Y18" s="69"/>
      <c r="Z18" s="63"/>
      <c r="AA18" s="189"/>
      <c r="AB18" s="190"/>
      <c r="AC18" s="190"/>
      <c r="AD18" s="190"/>
      <c r="AE18" s="190"/>
      <c r="AF18" s="190"/>
      <c r="AG18" s="190"/>
      <c r="AH18" s="190"/>
      <c r="AI18" s="191"/>
      <c r="AJ18" s="192"/>
      <c r="AK18" s="193"/>
      <c r="AL18" s="193"/>
      <c r="AM18" s="193"/>
      <c r="AN18" s="193"/>
      <c r="AO18" s="194"/>
      <c r="AP18" s="103"/>
      <c r="AQ18" s="89"/>
      <c r="AR18" s="89"/>
      <c r="AS18" s="89"/>
      <c r="AT18" s="69"/>
      <c r="AU18" s="192"/>
      <c r="AV18" s="193"/>
      <c r="AW18" s="193"/>
      <c r="AX18" s="194"/>
      <c r="AY18" s="6"/>
      <c r="AZ18" s="63"/>
      <c r="BA18" s="192"/>
      <c r="BB18" s="193"/>
      <c r="BC18" s="193"/>
      <c r="BD18" s="193"/>
      <c r="BE18" s="193"/>
      <c r="BF18" s="193"/>
      <c r="BG18" s="193"/>
      <c r="BH18" s="193"/>
      <c r="BI18" s="194"/>
      <c r="BJ18" s="195"/>
      <c r="BK18" s="193"/>
      <c r="BL18" s="193"/>
      <c r="BM18" s="193"/>
      <c r="BN18" s="193"/>
      <c r="BO18" s="196"/>
      <c r="BP18" s="63"/>
      <c r="BQ18" s="192"/>
      <c r="BR18" s="193"/>
      <c r="BS18" s="194"/>
      <c r="BT18" s="6"/>
      <c r="BU18" s="63"/>
      <c r="BV18" s="63"/>
      <c r="BW18" s="63"/>
      <c r="BX18" s="63"/>
      <c r="BY18" s="63"/>
      <c r="BZ18" s="63"/>
      <c r="CA18" s="63"/>
      <c r="CB18" s="63"/>
      <c r="CC18" s="63"/>
      <c r="CD18" s="192"/>
      <c r="CE18" s="196"/>
      <c r="CF18" s="192"/>
      <c r="CG18" s="194"/>
      <c r="CH18" s="259"/>
      <c r="CI18" s="197"/>
      <c r="CJ18" s="192"/>
      <c r="CK18" s="197"/>
      <c r="CL18" s="192"/>
      <c r="CM18" s="197"/>
      <c r="CN18" s="192"/>
      <c r="CO18" s="197"/>
      <c r="CP18" s="192"/>
      <c r="CQ18" s="193"/>
      <c r="CR18" s="197"/>
      <c r="CS18" s="69"/>
      <c r="CT18" s="89"/>
      <c r="CU18" s="255" t="str">
        <f t="shared" si="2"/>
        <v>STS</v>
      </c>
    </row>
    <row r="19" ht="55.5" customHeight="1">
      <c r="A19" s="125">
        <v>2.0</v>
      </c>
      <c r="B19" s="274" t="s">
        <v>146</v>
      </c>
      <c r="C19" s="127">
        <v>1.0</v>
      </c>
      <c r="D19" s="168" t="s">
        <v>147</v>
      </c>
      <c r="E19" s="129"/>
      <c r="F19" s="130"/>
      <c r="G19" s="130"/>
      <c r="H19" s="130"/>
      <c r="I19" s="201"/>
      <c r="J19" s="130"/>
      <c r="K19" s="131"/>
      <c r="L19" s="131"/>
      <c r="M19" s="131"/>
      <c r="N19" s="275"/>
      <c r="O19" s="250">
        <f t="shared" si="4"/>
        <v>0</v>
      </c>
      <c r="P19" s="251">
        <f>COUNTIF(K19:K29,"TL")*0.75+COUNTIF(K19:K29,"Lec")*1+COUNTIF(K19:K29,"Lab")*0.5</f>
        <v>0</v>
      </c>
      <c r="Q19" s="134">
        <f>SUM((IF(LEFT(K19,1)="E",O19,0)),(IF(LEFT(K20,1)="E",O20,0)),(IF(LEFT(K21,1)="E",O21,0)),(IF(LEFT(K22,1)="E",O22,0)),(IF(LEFT(K23,1)="E",O23,0)),(IF(LEFT(K24,1)="E",O24,0)),(IF(LEFT(K25,1)="E",O25,0)),(IF(LEFT(K26,1)="E",O26,0)),(IF(LEFT(K27,1)="E",O27,0)),(IF(LEFT(K28,1)="E",O28,0)),(IF(LEFT(K29,1)="E",O29,0)))</f>
        <v>0</v>
      </c>
      <c r="R19" s="135">
        <f>SUM(IF(M25&lt;20,IF(K25="Plec",-1,IF(K25="PTL",-0.75,IF(K25="Plab",-0.5,0))),0),IF(M26&lt;20,IF(K26="Plec",-1,IF(K26="PTL",-0.75,IF(K26="Plab",-0.5,0))),0),IF(M27&lt;20,IF(K27="Plec",-1,IF(K27="PTL",-0.75,IF(K27="Plab",-0.5,0))),0),IF(M28&lt;20,IF(K28="Plec",-1,IF(K28="PTL",-0.75,IF(K28="Plab",-0.5,0))),0))</f>
        <v>0</v>
      </c>
      <c r="S19" s="134">
        <f>SUM(P19:R29)</f>
        <v>0</v>
      </c>
      <c r="T19" s="136">
        <f>SUM(IF(M19="M",IF(OR(K19="lec",K19="plec",K19="slec"),1,IF(OR(K19="lab",K19="plab",K19="slab",K19="tut",K19="ptut",K19="stut"),0.5,IF(OR(K19="TL",K19="pTL",K19="STL"),0.75,0))),0),IF(M20="M",IF(OR(K20="lec",K20="plec",K20="slec"),1,IF(OR(K20="lab",K20="plab",K20="slab",K20="tut",K20="ptut",K20="stut"),0.5,IF(OR(K20="TL",K20="pTL",K20="STL"),0.75,0))),0),IF(M21="M",IF(OR(K21="lec",K21="plec",K21="slec"),1,IF(OR(K21="lab",K21="plab",K21="slab",K21="tut",K21="ptut",K21="stut"),0.5,IF(OR(K21="TL",K21="pTL",K21="STL"),0.75,0))),0),IF(M22="M",IF(OR(K22="lec",K22="plec",K22="slec"),1,IF(OR(K22="lab",K22="plab",K22="slab",K22="tut",K22="ptut",K22="stut"),0.5,IF(OR(K22="TL",K22="pTL",K22="STL"),0.75,0))),0),IF(M23="M",IF(OR(K23="lec",K23="plec",K23="slec"),1,IF(OR(K23="lab",K23="plab",K23="slab",K23="tut",K23="ptut",K23="stut"),0.5,IF(OR(K23="TL",K23="pTL",K23="STL"),0.75,0))),0),IF(M24="M",IF(OR(K24="lec",K24="plec",K24="slec"),1,IF(OR(K24="lab",K24="plab",K24="slab",K24="tut",K24="ptut",K24="stut"),0.5,IF(OR(K24="TL",K24="pTL",K24="STL"),0.75,0))),0),IF(M25="M",IF(OR(K25="lec",K25="plec",K25="slec"),1,IF(OR(K25="lab",K25="plab",K25="slab",K25="tut",K25="ptut",K25="stut"),0.5,IF(OR(K25="TL",K25="pTL",K25="STL"),0.75,0))),0),IF(M26="M",IF(OR(K26="lec",K26="plec",K26="slec"),1,IF(OR(K26="lab",K26="plab",K26="slab",K26="tut",K26="ptut",K26="stut"),0.5,IF(OR(K26="TL",K26="pTL",K26="STL"),0.75,0))),0),IF(M27="M",IF(OR(K27="lec",K27="plec",K27="slec"),1,IF(OR(K27="lab",K27="plab",K27="slab",K27="tut",K27="ptut",K27="stut"),0.5,IF(OR(K27="TL",K27="pTL",K27="STL"),0.75,0))),0),IF(M28="M",IF(OR(K28="lec",K28="plec",K28="slec"),1,IF(OR(K28="lab",K28="plab",K28="slab",K28="tut",K28="ptut",K28="stut"),0.5,IF(OR(K28="TL",K28="pTL",K28="STL"),0.75,0))),0),IF(M29="M",IF(OR(K29="lec",K29="plec",K29="slec"),1,IF(OR(K29="lab",K29="plab",K29="slab",K29="tut",K29="ptut",K29="stut"),0.5,IF(OR(K29="TL",K29="pTL",K29="STL"),0.75,0))),0))</f>
        <v>0</v>
      </c>
      <c r="U19" s="137"/>
      <c r="V19" s="133"/>
      <c r="W19" s="138"/>
      <c r="X19" s="139">
        <f>S19-(T19+U19+V19+W19)</f>
        <v>0</v>
      </c>
      <c r="Y19" s="134" t="str">
        <f>CONCATENATE(SUM(O19:O29),"(",SUM(O19:O29)-X19,")")</f>
        <v>0(0)</v>
      </c>
      <c r="Z19" s="140"/>
      <c r="AA19" s="141"/>
      <c r="AB19" s="142"/>
      <c r="AC19" s="142"/>
      <c r="AD19" s="142"/>
      <c r="AE19" s="142"/>
      <c r="AF19" s="142"/>
      <c r="AG19" s="142"/>
      <c r="AH19" s="142"/>
      <c r="AI19" s="143"/>
      <c r="AJ19" s="144"/>
      <c r="AK19" s="145"/>
      <c r="AL19" s="145"/>
      <c r="AM19" s="145"/>
      <c r="AN19" s="145"/>
      <c r="AO19" s="146"/>
      <c r="AP19" s="147">
        <f>SUM(SUM(O19:O29),SUM(AI19:AI29)/2,AM19)</f>
        <v>0</v>
      </c>
      <c r="AQ19" s="148"/>
      <c r="AR19" s="148">
        <f>AP19*AQ19</f>
        <v>0</v>
      </c>
      <c r="AS19" s="148">
        <f>CT19</f>
        <v>0</v>
      </c>
      <c r="AT19" s="149">
        <f>AR19*0.75+AS19*0.25</f>
        <v>0</v>
      </c>
      <c r="AU19" s="150"/>
      <c r="AV19" s="151"/>
      <c r="AW19" s="151"/>
      <c r="AX19" s="152"/>
      <c r="AY19" s="153"/>
      <c r="AZ19" s="140"/>
      <c r="BA19" s="150"/>
      <c r="BB19" s="151"/>
      <c r="BC19" s="151"/>
      <c r="BD19" s="151"/>
      <c r="BE19" s="151"/>
      <c r="BF19" s="151"/>
      <c r="BG19" s="151"/>
      <c r="BH19" s="151"/>
      <c r="BI19" s="152"/>
      <c r="BJ19" s="154"/>
      <c r="BK19" s="151"/>
      <c r="BL19" s="151"/>
      <c r="BM19" s="151"/>
      <c r="BN19" s="151"/>
      <c r="BO19" s="155"/>
      <c r="BP19" s="140"/>
      <c r="BQ19" s="156"/>
      <c r="BR19" s="157"/>
      <c r="BS19" s="158"/>
      <c r="BT19" s="153"/>
      <c r="BU19" s="140"/>
      <c r="BV19" s="140"/>
      <c r="BW19" s="140"/>
      <c r="BX19" s="140"/>
      <c r="BY19" s="140"/>
      <c r="BZ19" s="140"/>
      <c r="CA19" s="140"/>
      <c r="CB19" s="140"/>
      <c r="CC19" s="140"/>
      <c r="CD19" s="150"/>
      <c r="CE19" s="155"/>
      <c r="CF19" s="150"/>
      <c r="CG19" s="152"/>
      <c r="CH19" s="252"/>
      <c r="CI19" s="160"/>
      <c r="CJ19" s="159"/>
      <c r="CK19" s="160"/>
      <c r="CL19" s="159"/>
      <c r="CM19" s="160"/>
      <c r="CN19" s="159"/>
      <c r="CO19" s="160"/>
      <c r="CP19" s="159"/>
      <c r="CQ19" s="162"/>
      <c r="CR19" s="160"/>
      <c r="CS19" s="253">
        <f>SUM(IF(AU19&lt;0,ABS(AU19),0),IF(AZ19&lt;0,ABS(AZ19),0),ABS(CI19),ABS(CK19),ABS(CM19),ABS(CO19),ABS(CQ19),ABS(CR19))</f>
        <v>0</v>
      </c>
      <c r="CT19" s="254">
        <f>SUM(AU19,AV19,AW19,AX19/400,AY19,AZ19,BG19,BH19*0.5,BI19*0.25,BJ19,BK19,BL19,BM19,BN19,BO19,BP19,BR19/20,BS19/100,BT19/60,BU19,BV19,BW19,BX19/4,SUM(BY19:CC29)/3,CE19,CG19/3,CI19,CK19,CM19,CO19,CQ19,CR19)</f>
        <v>0</v>
      </c>
      <c r="CU19" s="255" t="str">
        <f t="shared" si="2"/>
        <v>DVB</v>
      </c>
    </row>
    <row r="20" ht="60.0" customHeight="1">
      <c r="A20" s="65"/>
      <c r="B20" s="65"/>
      <c r="C20" s="167">
        <v>2.0</v>
      </c>
      <c r="D20" s="168" t="s">
        <v>147</v>
      </c>
      <c r="E20" s="169"/>
      <c r="F20" s="170"/>
      <c r="G20" s="170"/>
      <c r="H20" s="170"/>
      <c r="I20" s="207"/>
      <c r="J20" s="170"/>
      <c r="K20" s="171"/>
      <c r="L20" s="171"/>
      <c r="M20" s="171"/>
      <c r="N20" s="276"/>
      <c r="O20" s="256">
        <f t="shared" si="4"/>
        <v>0</v>
      </c>
      <c r="Q20" s="173"/>
      <c r="R20" s="65"/>
      <c r="S20" s="173"/>
      <c r="T20" s="173"/>
      <c r="U20" s="166"/>
      <c r="V20" s="166"/>
      <c r="W20" s="65"/>
      <c r="X20" s="66"/>
      <c r="Y20" s="173"/>
      <c r="Z20" s="166"/>
      <c r="AA20" s="174"/>
      <c r="AB20" s="175"/>
      <c r="AC20" s="175"/>
      <c r="AD20" s="175"/>
      <c r="AE20" s="175"/>
      <c r="AF20" s="175"/>
      <c r="AG20" s="175"/>
      <c r="AH20" s="175"/>
      <c r="AI20" s="176"/>
      <c r="AJ20" s="177"/>
      <c r="AK20" s="178"/>
      <c r="AL20" s="178"/>
      <c r="AM20" s="178"/>
      <c r="AN20" s="178"/>
      <c r="AO20" s="179"/>
      <c r="AP20" s="64"/>
      <c r="AQ20" s="65"/>
      <c r="AR20" s="65"/>
      <c r="AS20" s="65"/>
      <c r="AT20" s="173"/>
      <c r="AU20" s="177"/>
      <c r="AV20" s="178"/>
      <c r="AW20" s="178"/>
      <c r="AX20" s="179"/>
      <c r="AZ20" s="166"/>
      <c r="BA20" s="177"/>
      <c r="BB20" s="178"/>
      <c r="BC20" s="178"/>
      <c r="BD20" s="178"/>
      <c r="BE20" s="178"/>
      <c r="BF20" s="178"/>
      <c r="BG20" s="178"/>
      <c r="BH20" s="178"/>
      <c r="BI20" s="179"/>
      <c r="BJ20" s="180"/>
      <c r="BK20" s="178"/>
      <c r="BL20" s="178"/>
      <c r="BM20" s="178"/>
      <c r="BN20" s="178"/>
      <c r="BO20" s="181"/>
      <c r="BP20" s="166"/>
      <c r="BQ20" s="177"/>
      <c r="BR20" s="178"/>
      <c r="BS20" s="179"/>
      <c r="BU20" s="166"/>
      <c r="BV20" s="166"/>
      <c r="BW20" s="166"/>
      <c r="BX20" s="166"/>
      <c r="BY20" s="166"/>
      <c r="BZ20" s="166"/>
      <c r="CA20" s="166"/>
      <c r="CB20" s="166"/>
      <c r="CC20" s="166"/>
      <c r="CD20" s="177"/>
      <c r="CE20" s="181"/>
      <c r="CF20" s="177"/>
      <c r="CG20" s="179"/>
      <c r="CH20" s="257"/>
      <c r="CI20" s="182"/>
      <c r="CJ20" s="177"/>
      <c r="CK20" s="182"/>
      <c r="CL20" s="177"/>
      <c r="CM20" s="182"/>
      <c r="CN20" s="177"/>
      <c r="CO20" s="182"/>
      <c r="CP20" s="177"/>
      <c r="CQ20" s="178"/>
      <c r="CR20" s="182"/>
      <c r="CS20" s="173"/>
      <c r="CT20" s="65"/>
      <c r="CU20" s="255" t="str">
        <f t="shared" si="2"/>
        <v>DVB</v>
      </c>
    </row>
    <row r="21" ht="60.0" customHeight="1">
      <c r="A21" s="65"/>
      <c r="B21" s="65"/>
      <c r="C21" s="167">
        <v>3.0</v>
      </c>
      <c r="D21" s="168" t="s">
        <v>147</v>
      </c>
      <c r="E21" s="169"/>
      <c r="F21" s="170"/>
      <c r="G21" s="170"/>
      <c r="H21" s="170"/>
      <c r="I21" s="207"/>
      <c r="J21" s="170"/>
      <c r="K21" s="171"/>
      <c r="L21" s="171"/>
      <c r="M21" s="171"/>
      <c r="N21" s="276"/>
      <c r="O21" s="256">
        <f t="shared" si="4"/>
        <v>0</v>
      </c>
      <c r="Q21" s="173"/>
      <c r="R21" s="65"/>
      <c r="S21" s="173"/>
      <c r="T21" s="173"/>
      <c r="U21" s="166"/>
      <c r="V21" s="166"/>
      <c r="W21" s="65"/>
      <c r="X21" s="66"/>
      <c r="Y21" s="173"/>
      <c r="Z21" s="166"/>
      <c r="AA21" s="174"/>
      <c r="AB21" s="175"/>
      <c r="AC21" s="175"/>
      <c r="AD21" s="175"/>
      <c r="AE21" s="175"/>
      <c r="AF21" s="175"/>
      <c r="AG21" s="175"/>
      <c r="AH21" s="175"/>
      <c r="AI21" s="176"/>
      <c r="AJ21" s="177"/>
      <c r="AK21" s="178"/>
      <c r="AL21" s="178"/>
      <c r="AM21" s="178"/>
      <c r="AN21" s="178"/>
      <c r="AO21" s="179"/>
      <c r="AP21" s="64"/>
      <c r="AQ21" s="65"/>
      <c r="AR21" s="65"/>
      <c r="AS21" s="65"/>
      <c r="AT21" s="173"/>
      <c r="AU21" s="177"/>
      <c r="AV21" s="178"/>
      <c r="AW21" s="178"/>
      <c r="AX21" s="179"/>
      <c r="AZ21" s="166"/>
      <c r="BA21" s="177"/>
      <c r="BB21" s="178"/>
      <c r="BC21" s="178"/>
      <c r="BD21" s="178"/>
      <c r="BE21" s="178"/>
      <c r="BF21" s="178"/>
      <c r="BG21" s="178"/>
      <c r="BH21" s="178"/>
      <c r="BI21" s="179"/>
      <c r="BJ21" s="180"/>
      <c r="BK21" s="178"/>
      <c r="BL21" s="178"/>
      <c r="BM21" s="178"/>
      <c r="BN21" s="178"/>
      <c r="BO21" s="181"/>
      <c r="BP21" s="166"/>
      <c r="BQ21" s="177"/>
      <c r="BR21" s="178"/>
      <c r="BS21" s="179"/>
      <c r="BU21" s="166"/>
      <c r="BV21" s="166"/>
      <c r="BW21" s="166"/>
      <c r="BX21" s="166"/>
      <c r="BY21" s="166"/>
      <c r="BZ21" s="166"/>
      <c r="CA21" s="166"/>
      <c r="CB21" s="166"/>
      <c r="CC21" s="166"/>
      <c r="CD21" s="177"/>
      <c r="CE21" s="181"/>
      <c r="CF21" s="177"/>
      <c r="CG21" s="179"/>
      <c r="CH21" s="257"/>
      <c r="CI21" s="182"/>
      <c r="CJ21" s="177"/>
      <c r="CK21" s="182"/>
      <c r="CL21" s="177"/>
      <c r="CM21" s="182"/>
      <c r="CN21" s="177"/>
      <c r="CO21" s="182"/>
      <c r="CP21" s="177"/>
      <c r="CQ21" s="178"/>
      <c r="CR21" s="182"/>
      <c r="CS21" s="173"/>
      <c r="CT21" s="65"/>
      <c r="CU21" s="255" t="str">
        <f t="shared" si="2"/>
        <v>DVB</v>
      </c>
    </row>
    <row r="22" ht="60.0" customHeight="1">
      <c r="A22" s="65"/>
      <c r="B22" s="65"/>
      <c r="C22" s="167">
        <v>4.0</v>
      </c>
      <c r="D22" s="168" t="s">
        <v>147</v>
      </c>
      <c r="E22" s="169"/>
      <c r="F22" s="170"/>
      <c r="G22" s="170"/>
      <c r="H22" s="170"/>
      <c r="I22" s="207"/>
      <c r="J22" s="170"/>
      <c r="K22" s="171"/>
      <c r="L22" s="171"/>
      <c r="M22" s="171"/>
      <c r="N22" s="276"/>
      <c r="O22" s="256">
        <f t="shared" si="4"/>
        <v>0</v>
      </c>
      <c r="Q22" s="173"/>
      <c r="R22" s="65"/>
      <c r="S22" s="173"/>
      <c r="T22" s="173"/>
      <c r="U22" s="166"/>
      <c r="V22" s="166"/>
      <c r="W22" s="65"/>
      <c r="X22" s="66"/>
      <c r="Y22" s="173"/>
      <c r="Z22" s="166"/>
      <c r="AA22" s="174"/>
      <c r="AB22" s="175"/>
      <c r="AC22" s="175"/>
      <c r="AD22" s="175"/>
      <c r="AE22" s="175"/>
      <c r="AF22" s="175"/>
      <c r="AG22" s="175"/>
      <c r="AH22" s="175"/>
      <c r="AI22" s="176"/>
      <c r="AJ22" s="177"/>
      <c r="AK22" s="178"/>
      <c r="AL22" s="178"/>
      <c r="AM22" s="178"/>
      <c r="AN22" s="178"/>
      <c r="AO22" s="179"/>
      <c r="AP22" s="64"/>
      <c r="AQ22" s="65"/>
      <c r="AR22" s="65"/>
      <c r="AS22" s="65"/>
      <c r="AT22" s="173"/>
      <c r="AU22" s="177"/>
      <c r="AV22" s="178"/>
      <c r="AW22" s="178"/>
      <c r="AX22" s="179"/>
      <c r="AZ22" s="166"/>
      <c r="BA22" s="177"/>
      <c r="BB22" s="178"/>
      <c r="BC22" s="178"/>
      <c r="BD22" s="178"/>
      <c r="BE22" s="178"/>
      <c r="BF22" s="178"/>
      <c r="BG22" s="178"/>
      <c r="BH22" s="178"/>
      <c r="BI22" s="179"/>
      <c r="BJ22" s="180"/>
      <c r="BK22" s="178"/>
      <c r="BL22" s="178"/>
      <c r="BM22" s="178"/>
      <c r="BN22" s="178"/>
      <c r="BO22" s="181"/>
      <c r="BP22" s="166"/>
      <c r="BQ22" s="177"/>
      <c r="BR22" s="178"/>
      <c r="BS22" s="179"/>
      <c r="BU22" s="166"/>
      <c r="BV22" s="166"/>
      <c r="BW22" s="166"/>
      <c r="BX22" s="166"/>
      <c r="BY22" s="166"/>
      <c r="BZ22" s="166"/>
      <c r="CA22" s="166"/>
      <c r="CB22" s="166"/>
      <c r="CC22" s="166"/>
      <c r="CD22" s="177"/>
      <c r="CE22" s="181"/>
      <c r="CF22" s="177"/>
      <c r="CG22" s="179"/>
      <c r="CH22" s="257"/>
      <c r="CI22" s="182"/>
      <c r="CJ22" s="177"/>
      <c r="CK22" s="182"/>
      <c r="CL22" s="177"/>
      <c r="CM22" s="182"/>
      <c r="CN22" s="177"/>
      <c r="CO22" s="182"/>
      <c r="CP22" s="177"/>
      <c r="CQ22" s="178"/>
      <c r="CR22" s="182"/>
      <c r="CS22" s="173"/>
      <c r="CT22" s="65"/>
      <c r="CU22" s="255" t="str">
        <f t="shared" si="2"/>
        <v>DVB</v>
      </c>
    </row>
    <row r="23" ht="60.0" customHeight="1">
      <c r="A23" s="65"/>
      <c r="B23" s="65"/>
      <c r="C23" s="167">
        <v>5.0</v>
      </c>
      <c r="D23" s="168" t="s">
        <v>147</v>
      </c>
      <c r="E23" s="169"/>
      <c r="F23" s="170"/>
      <c r="G23" s="170"/>
      <c r="H23" s="170"/>
      <c r="I23" s="207"/>
      <c r="J23" s="170"/>
      <c r="K23" s="171"/>
      <c r="L23" s="171"/>
      <c r="M23" s="171"/>
      <c r="N23" s="276"/>
      <c r="O23" s="256">
        <f t="shared" si="4"/>
        <v>0</v>
      </c>
      <c r="Q23" s="173"/>
      <c r="R23" s="65"/>
      <c r="S23" s="173"/>
      <c r="T23" s="173"/>
      <c r="U23" s="166"/>
      <c r="V23" s="166"/>
      <c r="W23" s="65"/>
      <c r="X23" s="66"/>
      <c r="Y23" s="173"/>
      <c r="Z23" s="166"/>
      <c r="AA23" s="174"/>
      <c r="AB23" s="175"/>
      <c r="AC23" s="175"/>
      <c r="AD23" s="175"/>
      <c r="AE23" s="175"/>
      <c r="AF23" s="175"/>
      <c r="AG23" s="175"/>
      <c r="AH23" s="175"/>
      <c r="AI23" s="176"/>
      <c r="AJ23" s="177"/>
      <c r="AK23" s="178"/>
      <c r="AL23" s="178"/>
      <c r="AM23" s="178"/>
      <c r="AN23" s="178"/>
      <c r="AO23" s="179"/>
      <c r="AP23" s="64"/>
      <c r="AQ23" s="65"/>
      <c r="AR23" s="65"/>
      <c r="AS23" s="65"/>
      <c r="AT23" s="173"/>
      <c r="AU23" s="177"/>
      <c r="AV23" s="178"/>
      <c r="AW23" s="178"/>
      <c r="AX23" s="179"/>
      <c r="AZ23" s="166"/>
      <c r="BA23" s="177"/>
      <c r="BB23" s="178"/>
      <c r="BC23" s="178"/>
      <c r="BD23" s="178"/>
      <c r="BE23" s="178"/>
      <c r="BF23" s="178"/>
      <c r="BG23" s="178"/>
      <c r="BH23" s="178"/>
      <c r="BI23" s="179"/>
      <c r="BJ23" s="180"/>
      <c r="BK23" s="178"/>
      <c r="BL23" s="178"/>
      <c r="BM23" s="178"/>
      <c r="BN23" s="178"/>
      <c r="BO23" s="181"/>
      <c r="BP23" s="166"/>
      <c r="BQ23" s="177"/>
      <c r="BR23" s="178"/>
      <c r="BS23" s="179"/>
      <c r="BU23" s="166"/>
      <c r="BV23" s="166"/>
      <c r="BW23" s="166"/>
      <c r="BX23" s="166"/>
      <c r="BY23" s="166"/>
      <c r="BZ23" s="166"/>
      <c r="CA23" s="166"/>
      <c r="CB23" s="166"/>
      <c r="CC23" s="166"/>
      <c r="CD23" s="177"/>
      <c r="CE23" s="181"/>
      <c r="CF23" s="177"/>
      <c r="CG23" s="179"/>
      <c r="CH23" s="257"/>
      <c r="CI23" s="182"/>
      <c r="CJ23" s="177"/>
      <c r="CK23" s="182"/>
      <c r="CL23" s="177"/>
      <c r="CM23" s="182"/>
      <c r="CN23" s="177"/>
      <c r="CO23" s="182"/>
      <c r="CP23" s="177"/>
      <c r="CQ23" s="178"/>
      <c r="CR23" s="182"/>
      <c r="CS23" s="173"/>
      <c r="CT23" s="65"/>
      <c r="CU23" s="255" t="str">
        <f t="shared" si="2"/>
        <v>DVB</v>
      </c>
    </row>
    <row r="24" ht="60.0" customHeight="1">
      <c r="A24" s="65"/>
      <c r="B24" s="65"/>
      <c r="C24" s="167">
        <v>6.0</v>
      </c>
      <c r="D24" s="168" t="s">
        <v>147</v>
      </c>
      <c r="E24" s="169"/>
      <c r="F24" s="170"/>
      <c r="G24" s="170"/>
      <c r="H24" s="170"/>
      <c r="I24" s="207"/>
      <c r="J24" s="170"/>
      <c r="K24" s="171"/>
      <c r="L24" s="171"/>
      <c r="M24" s="171"/>
      <c r="N24" s="276"/>
      <c r="O24" s="256">
        <f t="shared" si="4"/>
        <v>0</v>
      </c>
      <c r="Q24" s="173"/>
      <c r="R24" s="65"/>
      <c r="S24" s="173"/>
      <c r="T24" s="173"/>
      <c r="U24" s="166"/>
      <c r="V24" s="166"/>
      <c r="W24" s="65"/>
      <c r="X24" s="66"/>
      <c r="Y24" s="173"/>
      <c r="Z24" s="166"/>
      <c r="AA24" s="174"/>
      <c r="AB24" s="175"/>
      <c r="AC24" s="175"/>
      <c r="AD24" s="175"/>
      <c r="AE24" s="175"/>
      <c r="AF24" s="175"/>
      <c r="AG24" s="175"/>
      <c r="AH24" s="175"/>
      <c r="AI24" s="176"/>
      <c r="AJ24" s="177"/>
      <c r="AK24" s="178"/>
      <c r="AL24" s="178"/>
      <c r="AM24" s="178"/>
      <c r="AN24" s="178"/>
      <c r="AO24" s="179"/>
      <c r="AP24" s="64"/>
      <c r="AQ24" s="65"/>
      <c r="AR24" s="65"/>
      <c r="AS24" s="65"/>
      <c r="AT24" s="173"/>
      <c r="AU24" s="177"/>
      <c r="AV24" s="178"/>
      <c r="AW24" s="178"/>
      <c r="AX24" s="179"/>
      <c r="AZ24" s="166"/>
      <c r="BA24" s="177"/>
      <c r="BB24" s="178"/>
      <c r="BC24" s="178"/>
      <c r="BD24" s="178"/>
      <c r="BE24" s="178"/>
      <c r="BF24" s="178"/>
      <c r="BG24" s="178"/>
      <c r="BH24" s="178"/>
      <c r="BI24" s="179"/>
      <c r="BJ24" s="180"/>
      <c r="BK24" s="178"/>
      <c r="BL24" s="178"/>
      <c r="BM24" s="178"/>
      <c r="BN24" s="178"/>
      <c r="BO24" s="181"/>
      <c r="BP24" s="166"/>
      <c r="BQ24" s="177"/>
      <c r="BR24" s="178"/>
      <c r="BS24" s="179"/>
      <c r="BU24" s="166"/>
      <c r="BV24" s="166"/>
      <c r="BW24" s="166"/>
      <c r="BX24" s="166"/>
      <c r="BY24" s="166"/>
      <c r="BZ24" s="166"/>
      <c r="CA24" s="166"/>
      <c r="CB24" s="166"/>
      <c r="CC24" s="166"/>
      <c r="CD24" s="177"/>
      <c r="CE24" s="181"/>
      <c r="CF24" s="177"/>
      <c r="CG24" s="179"/>
      <c r="CH24" s="257"/>
      <c r="CI24" s="182"/>
      <c r="CJ24" s="177"/>
      <c r="CK24" s="182"/>
      <c r="CL24" s="177"/>
      <c r="CM24" s="182"/>
      <c r="CN24" s="177"/>
      <c r="CO24" s="182"/>
      <c r="CP24" s="177"/>
      <c r="CQ24" s="178"/>
      <c r="CR24" s="182"/>
      <c r="CS24" s="173"/>
      <c r="CT24" s="65"/>
      <c r="CU24" s="255" t="str">
        <f t="shared" si="2"/>
        <v>DVB</v>
      </c>
    </row>
    <row r="25" ht="60.0" customHeight="1">
      <c r="A25" s="65"/>
      <c r="B25" s="65"/>
      <c r="C25" s="167">
        <v>7.0</v>
      </c>
      <c r="D25" s="168" t="s">
        <v>147</v>
      </c>
      <c r="E25" s="169"/>
      <c r="F25" s="170"/>
      <c r="G25" s="170"/>
      <c r="H25" s="170"/>
      <c r="I25" s="207"/>
      <c r="J25" s="170"/>
      <c r="K25" s="171"/>
      <c r="L25" s="171"/>
      <c r="M25" s="171"/>
      <c r="N25" s="276"/>
      <c r="O25" s="256">
        <f t="shared" ref="O25:O28" si="5">IF(AND(M25&gt;=20,M25&lt;&gt;"m",RIGHT(K25,3)="Lec"),1,IF(AND(M25&gt;=20,M25&lt;&gt;"m",OR(RIGHT(K25,3)="Lab",RIGHT(K25,3)="Tut")),0.5,IF(AND(M25&gt;=20,M25&lt;&gt;"m",RIGHT(K25,2)="TL"),0.75,0)))</f>
        <v>0</v>
      </c>
      <c r="Q25" s="173"/>
      <c r="R25" s="65"/>
      <c r="S25" s="173"/>
      <c r="T25" s="173"/>
      <c r="U25" s="166"/>
      <c r="V25" s="166"/>
      <c r="W25" s="65"/>
      <c r="X25" s="66"/>
      <c r="Y25" s="173"/>
      <c r="Z25" s="166"/>
      <c r="AA25" s="174"/>
      <c r="AB25" s="175"/>
      <c r="AC25" s="175"/>
      <c r="AD25" s="175"/>
      <c r="AE25" s="175"/>
      <c r="AF25" s="175"/>
      <c r="AG25" s="175"/>
      <c r="AH25" s="175"/>
      <c r="AI25" s="176"/>
      <c r="AJ25" s="177"/>
      <c r="AK25" s="178"/>
      <c r="AL25" s="178"/>
      <c r="AM25" s="178"/>
      <c r="AN25" s="178"/>
      <c r="AO25" s="179"/>
      <c r="AP25" s="64"/>
      <c r="AQ25" s="65"/>
      <c r="AR25" s="65"/>
      <c r="AS25" s="65"/>
      <c r="AT25" s="173"/>
      <c r="AU25" s="177"/>
      <c r="AV25" s="178"/>
      <c r="AW25" s="178"/>
      <c r="AX25" s="179"/>
      <c r="AZ25" s="166"/>
      <c r="BA25" s="177"/>
      <c r="BB25" s="178"/>
      <c r="BC25" s="178"/>
      <c r="BD25" s="178"/>
      <c r="BE25" s="178"/>
      <c r="BF25" s="178"/>
      <c r="BG25" s="178"/>
      <c r="BH25" s="178"/>
      <c r="BI25" s="179"/>
      <c r="BJ25" s="180"/>
      <c r="BK25" s="178"/>
      <c r="BL25" s="178"/>
      <c r="BM25" s="178"/>
      <c r="BN25" s="178"/>
      <c r="BO25" s="181"/>
      <c r="BP25" s="166"/>
      <c r="BQ25" s="177"/>
      <c r="BR25" s="178"/>
      <c r="BS25" s="179"/>
      <c r="BU25" s="166"/>
      <c r="BV25" s="166"/>
      <c r="BW25" s="166"/>
      <c r="BX25" s="166"/>
      <c r="BY25" s="166"/>
      <c r="BZ25" s="166"/>
      <c r="CA25" s="166"/>
      <c r="CB25" s="166"/>
      <c r="CC25" s="166"/>
      <c r="CD25" s="177"/>
      <c r="CE25" s="181"/>
      <c r="CF25" s="177"/>
      <c r="CG25" s="179"/>
      <c r="CH25" s="257"/>
      <c r="CI25" s="182"/>
      <c r="CJ25" s="177"/>
      <c r="CK25" s="182"/>
      <c r="CL25" s="177"/>
      <c r="CM25" s="182"/>
      <c r="CN25" s="177"/>
      <c r="CO25" s="182"/>
      <c r="CP25" s="177"/>
      <c r="CQ25" s="178"/>
      <c r="CR25" s="182"/>
      <c r="CS25" s="173"/>
      <c r="CT25" s="65"/>
      <c r="CU25" s="255" t="str">
        <f t="shared" si="2"/>
        <v>DVB</v>
      </c>
    </row>
    <row r="26" ht="60.0" customHeight="1">
      <c r="A26" s="65"/>
      <c r="B26" s="65"/>
      <c r="C26" s="167">
        <v>8.0</v>
      </c>
      <c r="D26" s="168" t="s">
        <v>147</v>
      </c>
      <c r="E26" s="169"/>
      <c r="F26" s="170"/>
      <c r="G26" s="170"/>
      <c r="H26" s="170"/>
      <c r="I26" s="207"/>
      <c r="J26" s="170"/>
      <c r="K26" s="171"/>
      <c r="L26" s="171"/>
      <c r="M26" s="171"/>
      <c r="N26" s="276"/>
      <c r="O26" s="256">
        <f t="shared" si="5"/>
        <v>0</v>
      </c>
      <c r="Q26" s="173"/>
      <c r="R26" s="65"/>
      <c r="S26" s="173"/>
      <c r="T26" s="173"/>
      <c r="U26" s="166"/>
      <c r="V26" s="166"/>
      <c r="W26" s="65"/>
      <c r="X26" s="66"/>
      <c r="Y26" s="173"/>
      <c r="Z26" s="166"/>
      <c r="AA26" s="174"/>
      <c r="AB26" s="175"/>
      <c r="AC26" s="175"/>
      <c r="AD26" s="175"/>
      <c r="AE26" s="175"/>
      <c r="AF26" s="175"/>
      <c r="AG26" s="175"/>
      <c r="AH26" s="175"/>
      <c r="AI26" s="176"/>
      <c r="AJ26" s="177"/>
      <c r="AK26" s="178"/>
      <c r="AL26" s="178"/>
      <c r="AM26" s="178"/>
      <c r="AN26" s="178"/>
      <c r="AO26" s="179"/>
      <c r="AP26" s="64"/>
      <c r="AQ26" s="65"/>
      <c r="AR26" s="65"/>
      <c r="AS26" s="65"/>
      <c r="AT26" s="173"/>
      <c r="AU26" s="177"/>
      <c r="AV26" s="178"/>
      <c r="AW26" s="178"/>
      <c r="AX26" s="179"/>
      <c r="AZ26" s="166"/>
      <c r="BA26" s="177"/>
      <c r="BB26" s="178"/>
      <c r="BC26" s="178"/>
      <c r="BD26" s="178"/>
      <c r="BE26" s="178"/>
      <c r="BF26" s="178"/>
      <c r="BG26" s="178"/>
      <c r="BH26" s="178"/>
      <c r="BI26" s="179"/>
      <c r="BJ26" s="180"/>
      <c r="BK26" s="178"/>
      <c r="BL26" s="178"/>
      <c r="BM26" s="178"/>
      <c r="BN26" s="178"/>
      <c r="BO26" s="181"/>
      <c r="BP26" s="166"/>
      <c r="BQ26" s="177"/>
      <c r="BR26" s="178"/>
      <c r="BS26" s="179"/>
      <c r="BU26" s="166"/>
      <c r="BV26" s="166"/>
      <c r="BW26" s="166"/>
      <c r="BX26" s="166"/>
      <c r="BY26" s="166"/>
      <c r="BZ26" s="166"/>
      <c r="CA26" s="166"/>
      <c r="CB26" s="166"/>
      <c r="CC26" s="166"/>
      <c r="CD26" s="177"/>
      <c r="CE26" s="181"/>
      <c r="CF26" s="177"/>
      <c r="CG26" s="179"/>
      <c r="CH26" s="257"/>
      <c r="CI26" s="182"/>
      <c r="CJ26" s="177"/>
      <c r="CK26" s="182"/>
      <c r="CL26" s="177"/>
      <c r="CM26" s="182"/>
      <c r="CN26" s="177"/>
      <c r="CO26" s="182"/>
      <c r="CP26" s="177"/>
      <c r="CQ26" s="178"/>
      <c r="CR26" s="182"/>
      <c r="CS26" s="173"/>
      <c r="CT26" s="65"/>
      <c r="CU26" s="255" t="str">
        <f t="shared" si="2"/>
        <v>DVB</v>
      </c>
    </row>
    <row r="27" ht="60.0" customHeight="1">
      <c r="A27" s="65"/>
      <c r="B27" s="65"/>
      <c r="C27" s="167">
        <v>9.0</v>
      </c>
      <c r="D27" s="168" t="s">
        <v>147</v>
      </c>
      <c r="E27" s="169"/>
      <c r="F27" s="170"/>
      <c r="G27" s="170"/>
      <c r="H27" s="170"/>
      <c r="I27" s="207"/>
      <c r="J27" s="170"/>
      <c r="K27" s="171"/>
      <c r="L27" s="171"/>
      <c r="M27" s="171"/>
      <c r="N27" s="276"/>
      <c r="O27" s="256">
        <f t="shared" si="5"/>
        <v>0</v>
      </c>
      <c r="Q27" s="173"/>
      <c r="R27" s="65"/>
      <c r="S27" s="173"/>
      <c r="T27" s="173"/>
      <c r="U27" s="166"/>
      <c r="V27" s="166"/>
      <c r="W27" s="65"/>
      <c r="X27" s="66"/>
      <c r="Y27" s="173"/>
      <c r="Z27" s="166"/>
      <c r="AA27" s="174"/>
      <c r="AB27" s="175"/>
      <c r="AC27" s="175"/>
      <c r="AD27" s="175"/>
      <c r="AE27" s="175"/>
      <c r="AF27" s="175"/>
      <c r="AG27" s="175"/>
      <c r="AH27" s="175"/>
      <c r="AI27" s="176"/>
      <c r="AJ27" s="177"/>
      <c r="AK27" s="178"/>
      <c r="AL27" s="178"/>
      <c r="AM27" s="178"/>
      <c r="AN27" s="178"/>
      <c r="AO27" s="179"/>
      <c r="AP27" s="64"/>
      <c r="AQ27" s="65"/>
      <c r="AR27" s="65"/>
      <c r="AS27" s="65"/>
      <c r="AT27" s="173"/>
      <c r="AU27" s="177"/>
      <c r="AV27" s="178"/>
      <c r="AW27" s="178"/>
      <c r="AX27" s="179"/>
      <c r="AZ27" s="166"/>
      <c r="BA27" s="177"/>
      <c r="BB27" s="178"/>
      <c r="BC27" s="178"/>
      <c r="BD27" s="178"/>
      <c r="BE27" s="178"/>
      <c r="BF27" s="178"/>
      <c r="BG27" s="178"/>
      <c r="BH27" s="178"/>
      <c r="BI27" s="179"/>
      <c r="BJ27" s="180"/>
      <c r="BK27" s="178"/>
      <c r="BL27" s="178"/>
      <c r="BM27" s="178"/>
      <c r="BN27" s="178"/>
      <c r="BO27" s="181"/>
      <c r="BP27" s="166"/>
      <c r="BQ27" s="177"/>
      <c r="BR27" s="178"/>
      <c r="BS27" s="179"/>
      <c r="BU27" s="166"/>
      <c r="BV27" s="166"/>
      <c r="BW27" s="166"/>
      <c r="BX27" s="166"/>
      <c r="BY27" s="166"/>
      <c r="BZ27" s="166"/>
      <c r="CA27" s="166"/>
      <c r="CB27" s="166"/>
      <c r="CC27" s="166"/>
      <c r="CD27" s="177"/>
      <c r="CE27" s="181"/>
      <c r="CF27" s="177"/>
      <c r="CG27" s="179"/>
      <c r="CH27" s="257"/>
      <c r="CI27" s="182"/>
      <c r="CJ27" s="177"/>
      <c r="CK27" s="182"/>
      <c r="CL27" s="177"/>
      <c r="CM27" s="182"/>
      <c r="CN27" s="177"/>
      <c r="CO27" s="182"/>
      <c r="CP27" s="177"/>
      <c r="CQ27" s="178"/>
      <c r="CR27" s="182"/>
      <c r="CS27" s="173"/>
      <c r="CT27" s="65"/>
      <c r="CU27" s="255" t="str">
        <f t="shared" si="2"/>
        <v>DVB</v>
      </c>
    </row>
    <row r="28" ht="60.0" customHeight="1">
      <c r="A28" s="65"/>
      <c r="B28" s="65"/>
      <c r="C28" s="167">
        <v>10.0</v>
      </c>
      <c r="D28" s="168" t="s">
        <v>147</v>
      </c>
      <c r="E28" s="169"/>
      <c r="F28" s="170"/>
      <c r="G28" s="170"/>
      <c r="H28" s="170"/>
      <c r="I28" s="207"/>
      <c r="J28" s="170"/>
      <c r="K28" s="171"/>
      <c r="L28" s="171"/>
      <c r="M28" s="171"/>
      <c r="N28" s="276"/>
      <c r="O28" s="256">
        <f t="shared" si="5"/>
        <v>0</v>
      </c>
      <c r="Q28" s="173"/>
      <c r="R28" s="65"/>
      <c r="S28" s="173"/>
      <c r="T28" s="173"/>
      <c r="U28" s="166"/>
      <c r="V28" s="166"/>
      <c r="W28" s="65"/>
      <c r="X28" s="66"/>
      <c r="Y28" s="173"/>
      <c r="Z28" s="166"/>
      <c r="AA28" s="174"/>
      <c r="AB28" s="175"/>
      <c r="AC28" s="175"/>
      <c r="AD28" s="175"/>
      <c r="AE28" s="175"/>
      <c r="AF28" s="175"/>
      <c r="AG28" s="175"/>
      <c r="AH28" s="175"/>
      <c r="AI28" s="176"/>
      <c r="AJ28" s="177"/>
      <c r="AK28" s="178"/>
      <c r="AL28" s="178"/>
      <c r="AM28" s="178"/>
      <c r="AN28" s="178"/>
      <c r="AO28" s="179"/>
      <c r="AP28" s="64"/>
      <c r="AQ28" s="65"/>
      <c r="AR28" s="65"/>
      <c r="AS28" s="65"/>
      <c r="AT28" s="173"/>
      <c r="AU28" s="177"/>
      <c r="AV28" s="178"/>
      <c r="AW28" s="178"/>
      <c r="AX28" s="179"/>
      <c r="AZ28" s="166"/>
      <c r="BA28" s="177"/>
      <c r="BB28" s="178"/>
      <c r="BC28" s="178"/>
      <c r="BD28" s="178"/>
      <c r="BE28" s="178"/>
      <c r="BF28" s="178"/>
      <c r="BG28" s="178"/>
      <c r="BH28" s="178"/>
      <c r="BI28" s="179"/>
      <c r="BJ28" s="180"/>
      <c r="BK28" s="178"/>
      <c r="BL28" s="178"/>
      <c r="BM28" s="178"/>
      <c r="BN28" s="178"/>
      <c r="BO28" s="181"/>
      <c r="BP28" s="166"/>
      <c r="BQ28" s="177"/>
      <c r="BR28" s="178"/>
      <c r="BS28" s="179"/>
      <c r="BU28" s="166"/>
      <c r="BV28" s="166"/>
      <c r="BW28" s="166"/>
      <c r="BX28" s="166"/>
      <c r="BY28" s="166"/>
      <c r="BZ28" s="166"/>
      <c r="CA28" s="166"/>
      <c r="CB28" s="166"/>
      <c r="CC28" s="166"/>
      <c r="CD28" s="177"/>
      <c r="CE28" s="181"/>
      <c r="CF28" s="177"/>
      <c r="CG28" s="179"/>
      <c r="CH28" s="257"/>
      <c r="CI28" s="182"/>
      <c r="CJ28" s="177"/>
      <c r="CK28" s="182"/>
      <c r="CL28" s="177"/>
      <c r="CM28" s="182"/>
      <c r="CN28" s="177"/>
      <c r="CO28" s="182"/>
      <c r="CP28" s="177"/>
      <c r="CQ28" s="178"/>
      <c r="CR28" s="182"/>
      <c r="CS28" s="173"/>
      <c r="CT28" s="65"/>
      <c r="CU28" s="255" t="str">
        <f t="shared" si="2"/>
        <v>DVB</v>
      </c>
    </row>
    <row r="29" ht="60.0" customHeight="1">
      <c r="A29" s="89"/>
      <c r="B29" s="89"/>
      <c r="C29" s="183">
        <v>11.0</v>
      </c>
      <c r="D29" s="210" t="s">
        <v>147</v>
      </c>
      <c r="E29" s="185"/>
      <c r="F29" s="186"/>
      <c r="G29" s="186"/>
      <c r="H29" s="186"/>
      <c r="I29" s="212"/>
      <c r="J29" s="186"/>
      <c r="K29" s="187"/>
      <c r="L29" s="187"/>
      <c r="M29" s="187"/>
      <c r="N29" s="214"/>
      <c r="O29" s="258">
        <f t="shared" ref="O29:O35" si="6">IF(AND(M29&lt;&gt;0,M29&lt;&gt;"m",M29&lt;&gt;"",RIGHT(K29,3)="Lec"),1,IF(AND(M29&lt;&gt;0,M29&lt;&gt;"m",M29&lt;&gt;"",OR(RIGHT(K29,3)="Lab",RIGHT(K29,3)="Tut")),0.5,IF(AND(M29&lt;&gt;0,M29&lt;&gt;"m",M29&lt;&gt;"",RIGHT(K29,2)="TL"),0.75,0)))</f>
        <v>0</v>
      </c>
      <c r="P29" s="6"/>
      <c r="Q29" s="69"/>
      <c r="R29" s="89"/>
      <c r="S29" s="69"/>
      <c r="T29" s="69"/>
      <c r="U29" s="63"/>
      <c r="V29" s="63"/>
      <c r="W29" s="89"/>
      <c r="X29" s="68"/>
      <c r="Y29" s="69"/>
      <c r="Z29" s="63"/>
      <c r="AA29" s="189"/>
      <c r="AB29" s="190"/>
      <c r="AC29" s="190"/>
      <c r="AD29" s="190"/>
      <c r="AE29" s="190"/>
      <c r="AF29" s="190"/>
      <c r="AG29" s="190"/>
      <c r="AH29" s="190"/>
      <c r="AI29" s="191"/>
      <c r="AJ29" s="192"/>
      <c r="AK29" s="193"/>
      <c r="AL29" s="193"/>
      <c r="AM29" s="193"/>
      <c r="AN29" s="193"/>
      <c r="AO29" s="194"/>
      <c r="AP29" s="103"/>
      <c r="AQ29" s="89"/>
      <c r="AR29" s="89"/>
      <c r="AS29" s="89"/>
      <c r="AT29" s="69"/>
      <c r="AU29" s="192"/>
      <c r="AV29" s="193"/>
      <c r="AW29" s="193"/>
      <c r="AX29" s="194"/>
      <c r="AY29" s="6"/>
      <c r="AZ29" s="63"/>
      <c r="BA29" s="192"/>
      <c r="BB29" s="193"/>
      <c r="BC29" s="193"/>
      <c r="BD29" s="193"/>
      <c r="BE29" s="193"/>
      <c r="BF29" s="193"/>
      <c r="BG29" s="193"/>
      <c r="BH29" s="193"/>
      <c r="BI29" s="194"/>
      <c r="BJ29" s="195"/>
      <c r="BK29" s="193"/>
      <c r="BL29" s="193"/>
      <c r="BM29" s="193"/>
      <c r="BN29" s="193"/>
      <c r="BO29" s="196"/>
      <c r="BP29" s="63"/>
      <c r="BQ29" s="192"/>
      <c r="BR29" s="193"/>
      <c r="BS29" s="194"/>
      <c r="BT29" s="6"/>
      <c r="BU29" s="63"/>
      <c r="BV29" s="63"/>
      <c r="BW29" s="63"/>
      <c r="BX29" s="63"/>
      <c r="BY29" s="63"/>
      <c r="BZ29" s="63"/>
      <c r="CA29" s="63"/>
      <c r="CB29" s="63"/>
      <c r="CC29" s="63"/>
      <c r="CD29" s="192"/>
      <c r="CE29" s="196"/>
      <c r="CF29" s="192"/>
      <c r="CG29" s="194"/>
      <c r="CH29" s="259"/>
      <c r="CI29" s="197"/>
      <c r="CJ29" s="192"/>
      <c r="CK29" s="197"/>
      <c r="CL29" s="192"/>
      <c r="CM29" s="197"/>
      <c r="CN29" s="192"/>
      <c r="CO29" s="197"/>
      <c r="CP29" s="192"/>
      <c r="CQ29" s="193"/>
      <c r="CR29" s="197"/>
      <c r="CS29" s="69"/>
      <c r="CT29" s="89"/>
      <c r="CU29" s="255" t="str">
        <f t="shared" si="2"/>
        <v>DVB</v>
      </c>
    </row>
    <row r="30" ht="55.5" customHeight="1">
      <c r="A30" s="125">
        <v>3.0</v>
      </c>
      <c r="B30" s="274" t="s">
        <v>153</v>
      </c>
      <c r="C30" s="127">
        <v>1.0</v>
      </c>
      <c r="D30" s="168" t="s">
        <v>154</v>
      </c>
      <c r="E30" s="129"/>
      <c r="F30" s="130"/>
      <c r="G30" s="130"/>
      <c r="H30" s="130"/>
      <c r="I30" s="201"/>
      <c r="J30" s="130"/>
      <c r="K30" s="131"/>
      <c r="L30" s="131"/>
      <c r="M30" s="131"/>
      <c r="N30" s="275"/>
      <c r="O30" s="250">
        <f t="shared" si="6"/>
        <v>0</v>
      </c>
      <c r="P30" s="251">
        <f>COUNTIF(K30:K40,"TL")*0.75+COUNTIF(K30:K40,"Lec")*1+COUNTIF(K30:K40,"Lab")*0.5</f>
        <v>0</v>
      </c>
      <c r="Q30" s="134">
        <f>SUM((IF(LEFT(K30,1)="E",O30,0)),(IF(LEFT(K31,1)="E",O31,0)),(IF(LEFT(K32,1)="E",O32,0)),(IF(LEFT(K33,1)="E",O33,0)),(IF(LEFT(K34,1)="E",O34,0)),(IF(LEFT(K35,1)="E",O35,0)),(IF(LEFT(K36,1)="E",O36,0)),(IF(LEFT(K37,1)="E",O37,0)),(IF(LEFT(K38,1)="E",O38,0)),(IF(LEFT(K39,1)="E",O39,0)),(IF(LEFT(K40,1)="E",O40,0)))</f>
        <v>0</v>
      </c>
      <c r="R30" s="135">
        <f>SUM(IF(M36&lt;20,IF(K36="Plec",-1,IF(K36="PTL",-0.75,IF(K36="Plab",-0.5,0))),0),IF(M37&lt;20,IF(K37="Plec",-1,IF(K37="PTL",-0.75,IF(K37="Plab",-0.5,0))),0),IF(M38&lt;20,IF(K38="Plec",-1,IF(K38="PTL",-0.75,IF(K38="Plab",-0.5,0))),0),IF(M39&lt;20,IF(K39="Plec",-1,IF(K39="PTL",-0.75,IF(K39="Plab",-0.5,0))),0))</f>
        <v>0</v>
      </c>
      <c r="S30" s="134">
        <f>SUM(P30:R40)</f>
        <v>0</v>
      </c>
      <c r="T30" s="136">
        <f>SUM(IF(M30="M",IF(OR(K30="lec",K30="plec",K30="slec"),1,IF(OR(K30="lab",K30="plab",K30="slab",K30="tut",K30="ptut",K30="stut"),0.5,IF(OR(K30="TL",K30="pTL",K30="STL"),0.75,0))),0),IF(M31="M",IF(OR(K31="lec",K31="plec",K31="slec"),1,IF(OR(K31="lab",K31="plab",K31="slab",K31="tut",K31="ptut",K31="stut"),0.5,IF(OR(K31="TL",K31="pTL",K31="STL"),0.75,0))),0),IF(M32="M",IF(OR(K32="lec",K32="plec",K32="slec"),1,IF(OR(K32="lab",K32="plab",K32="slab",K32="tut",K32="ptut",K32="stut"),0.5,IF(OR(K32="TL",K32="pTL",K32="STL"),0.75,0))),0),IF(M33="M",IF(OR(K33="lec",K33="plec",K33="slec"),1,IF(OR(K33="lab",K33="plab",K33="slab",K33="tut",K33="ptut",K33="stut"),0.5,IF(OR(K33="TL",K33="pTL",K33="STL"),0.75,0))),0),IF(M34="M",IF(OR(K34="lec",K34="plec",K34="slec"),1,IF(OR(K34="lab",K34="plab",K34="slab",K34="tut",K34="ptut",K34="stut"),0.5,IF(OR(K34="TL",K34="pTL",K34="STL"),0.75,0))),0),IF(M35="M",IF(OR(K35="lec",K35="plec",K35="slec"),1,IF(OR(K35="lab",K35="plab",K35="slab",K35="tut",K35="ptut",K35="stut"),0.5,IF(OR(K35="TL",K35="pTL",K35="STL"),0.75,0))),0),IF(M36="M",IF(OR(K36="lec",K36="plec",K36="slec"),1,IF(OR(K36="lab",K36="plab",K36="slab",K36="tut",K36="ptut",K36="stut"),0.5,IF(OR(K36="TL",K36="pTL",K36="STL"),0.75,0))),0),IF(M37="M",IF(OR(K37="lec",K37="plec",K37="slec"),1,IF(OR(K37="lab",K37="plab",K37="slab",K37="tut",K37="ptut",K37="stut"),0.5,IF(OR(K37="TL",K37="pTL",K37="STL"),0.75,0))),0),IF(M38="M",IF(OR(K38="lec",K38="plec",K38="slec"),1,IF(OR(K38="lab",K38="plab",K38="slab",K38="tut",K38="ptut",K38="stut"),0.5,IF(OR(K38="TL",K38="pTL",K38="STL"),0.75,0))),0),IF(M39="M",IF(OR(K39="lec",K39="plec",K39="slec"),1,IF(OR(K39="lab",K39="plab",K39="slab",K39="tut",K39="ptut",K39="stut"),0.5,IF(OR(K39="TL",K39="pTL",K39="STL"),0.75,0))),0),IF(M40="M",IF(OR(K40="lec",K40="plec",K40="slec"),1,IF(OR(K40="lab",K40="plab",K40="slab",K40="tut",K40="ptut",K40="stut"),0.5,IF(OR(K40="TL",K40="pTL",K40="STL"),0.75,0))),0))</f>
        <v>0</v>
      </c>
      <c r="U30" s="137"/>
      <c r="V30" s="133"/>
      <c r="W30" s="138"/>
      <c r="X30" s="139">
        <f>S30-(T30+U30+V30+W30)</f>
        <v>0</v>
      </c>
      <c r="Y30" s="134" t="str">
        <f>CONCATENATE(SUM(O30:O40),"(",SUM(O30:O40)-X30,")")</f>
        <v>0(0)</v>
      </c>
      <c r="Z30" s="140"/>
      <c r="AA30" s="141"/>
      <c r="AB30" s="142"/>
      <c r="AC30" s="142"/>
      <c r="AD30" s="142"/>
      <c r="AE30" s="142"/>
      <c r="AF30" s="142"/>
      <c r="AG30" s="142"/>
      <c r="AH30" s="142"/>
      <c r="AI30" s="143"/>
      <c r="AJ30" s="144"/>
      <c r="AK30" s="145"/>
      <c r="AL30" s="145"/>
      <c r="AM30" s="145"/>
      <c r="AN30" s="145"/>
      <c r="AO30" s="146"/>
      <c r="AP30" s="147">
        <f>SUM(SUM(O30:O40),SUM(AI30:AI40)/2,AM30)</f>
        <v>0</v>
      </c>
      <c r="AQ30" s="148"/>
      <c r="AR30" s="148">
        <f>AP30*AQ30</f>
        <v>0</v>
      </c>
      <c r="AS30" s="148">
        <f>CT30</f>
        <v>5.25</v>
      </c>
      <c r="AT30" s="149">
        <f>AR30*0.75+AS30*0.25</f>
        <v>1.3125</v>
      </c>
      <c r="AU30" s="150"/>
      <c r="AV30" s="151"/>
      <c r="AW30" s="151"/>
      <c r="AX30" s="152"/>
      <c r="AY30" s="153"/>
      <c r="AZ30" s="140"/>
      <c r="BA30" s="150">
        <v>1.0</v>
      </c>
      <c r="BB30" s="151" t="s">
        <v>247</v>
      </c>
      <c r="BC30" s="151">
        <v>1.0</v>
      </c>
      <c r="BD30" s="151">
        <v>301.0</v>
      </c>
      <c r="BE30" s="151" t="s">
        <v>150</v>
      </c>
      <c r="BF30" s="151"/>
      <c r="BG30" s="151">
        <v>2.0</v>
      </c>
      <c r="BH30" s="151"/>
      <c r="BI30" s="152"/>
      <c r="BJ30" s="154"/>
      <c r="BK30" s="151"/>
      <c r="BL30" s="151"/>
      <c r="BM30" s="151"/>
      <c r="BN30" s="151">
        <v>3.2</v>
      </c>
      <c r="BO30" s="155"/>
      <c r="BP30" s="140"/>
      <c r="BQ30" s="156" t="s">
        <v>265</v>
      </c>
      <c r="BR30" s="157">
        <v>1.0</v>
      </c>
      <c r="BS30" s="158">
        <v>0.0</v>
      </c>
      <c r="BT30" s="153"/>
      <c r="BU30" s="140"/>
      <c r="BV30" s="140"/>
      <c r="BW30" s="140"/>
      <c r="BX30" s="140"/>
      <c r="BY30" s="140"/>
      <c r="BZ30" s="140"/>
      <c r="CA30" s="140"/>
      <c r="CB30" s="140"/>
      <c r="CC30" s="140"/>
      <c r="CD30" s="150"/>
      <c r="CE30" s="155"/>
      <c r="CF30" s="150" t="s">
        <v>266</v>
      </c>
      <c r="CG30" s="152"/>
      <c r="CH30" s="252"/>
      <c r="CI30" s="160"/>
      <c r="CJ30" s="159"/>
      <c r="CK30" s="160"/>
      <c r="CL30" s="159"/>
      <c r="CM30" s="160"/>
      <c r="CN30" s="159"/>
      <c r="CO30" s="160"/>
      <c r="CP30" s="159"/>
      <c r="CQ30" s="162"/>
      <c r="CR30" s="160"/>
      <c r="CS30" s="253">
        <f>SUM(IF(AU30&lt;0,ABS(AU30),0),IF(AZ30&lt;0,ABS(AZ30),0),ABS(CI30),ABS(CK30),ABS(CM30),ABS(CO30),ABS(CQ30),ABS(CR30))</f>
        <v>0</v>
      </c>
      <c r="CT30" s="254">
        <f>SUM(AU30,AV30,AW30,AX30/400,AY30,AZ30,BG30,BH30*0.5,BI30*0.25,BJ30,BK30,BL30,BM30,BN30,BO30,BP30,BR30/20,BS30/100,BT30/60,BU30,BV30,BW30,BX30/4,SUM(BY30:CC40)/3,CE30,CG30/3,CI30,CK30,CM30,CO30,CQ30,CR30)</f>
        <v>5.25</v>
      </c>
      <c r="CU30" s="255" t="str">
        <f t="shared" si="2"/>
        <v>MPH</v>
      </c>
    </row>
    <row r="31" ht="60.0" customHeight="1">
      <c r="A31" s="65"/>
      <c r="B31" s="65"/>
      <c r="C31" s="167">
        <v>2.0</v>
      </c>
      <c r="D31" s="168" t="s">
        <v>154</v>
      </c>
      <c r="E31" s="169"/>
      <c r="F31" s="170"/>
      <c r="G31" s="170"/>
      <c r="H31" s="170"/>
      <c r="I31" s="207"/>
      <c r="J31" s="170"/>
      <c r="K31" s="171"/>
      <c r="L31" s="171"/>
      <c r="M31" s="171"/>
      <c r="N31" s="276"/>
      <c r="O31" s="256">
        <f t="shared" si="6"/>
        <v>0</v>
      </c>
      <c r="Q31" s="173"/>
      <c r="R31" s="65"/>
      <c r="S31" s="173"/>
      <c r="T31" s="173"/>
      <c r="U31" s="166"/>
      <c r="V31" s="166"/>
      <c r="W31" s="65"/>
      <c r="X31" s="66"/>
      <c r="Y31" s="173"/>
      <c r="Z31" s="166"/>
      <c r="AA31" s="174"/>
      <c r="AB31" s="175"/>
      <c r="AC31" s="175"/>
      <c r="AD31" s="175"/>
      <c r="AE31" s="175"/>
      <c r="AF31" s="175"/>
      <c r="AG31" s="175"/>
      <c r="AH31" s="175"/>
      <c r="AI31" s="176"/>
      <c r="AJ31" s="177"/>
      <c r="AK31" s="178"/>
      <c r="AL31" s="178"/>
      <c r="AM31" s="178"/>
      <c r="AN31" s="178"/>
      <c r="AO31" s="179"/>
      <c r="AP31" s="64"/>
      <c r="AQ31" s="65"/>
      <c r="AR31" s="65"/>
      <c r="AS31" s="65"/>
      <c r="AT31" s="173"/>
      <c r="AU31" s="177"/>
      <c r="AV31" s="178"/>
      <c r="AW31" s="178"/>
      <c r="AX31" s="179"/>
      <c r="AZ31" s="166"/>
      <c r="BA31" s="177"/>
      <c r="BB31" s="178"/>
      <c r="BC31" s="178"/>
      <c r="BD31" s="178"/>
      <c r="BE31" s="178"/>
      <c r="BF31" s="178"/>
      <c r="BG31" s="178"/>
      <c r="BH31" s="178"/>
      <c r="BI31" s="179"/>
      <c r="BJ31" s="180"/>
      <c r="BK31" s="178"/>
      <c r="BL31" s="178"/>
      <c r="BM31" s="178"/>
      <c r="BN31" s="178"/>
      <c r="BO31" s="181"/>
      <c r="BP31" s="166"/>
      <c r="BQ31" s="177"/>
      <c r="BR31" s="178"/>
      <c r="BS31" s="179"/>
      <c r="BU31" s="166"/>
      <c r="BV31" s="166"/>
      <c r="BW31" s="166"/>
      <c r="BX31" s="166"/>
      <c r="BY31" s="166"/>
      <c r="BZ31" s="166"/>
      <c r="CA31" s="166"/>
      <c r="CB31" s="166"/>
      <c r="CC31" s="166"/>
      <c r="CD31" s="177"/>
      <c r="CE31" s="181"/>
      <c r="CF31" s="177"/>
      <c r="CG31" s="179"/>
      <c r="CH31" s="257"/>
      <c r="CI31" s="182"/>
      <c r="CJ31" s="177"/>
      <c r="CK31" s="182"/>
      <c r="CL31" s="177"/>
      <c r="CM31" s="182"/>
      <c r="CN31" s="177"/>
      <c r="CO31" s="182"/>
      <c r="CP31" s="177"/>
      <c r="CQ31" s="178"/>
      <c r="CR31" s="182"/>
      <c r="CS31" s="173"/>
      <c r="CT31" s="65"/>
      <c r="CU31" s="255" t="str">
        <f t="shared" si="2"/>
        <v>MPH</v>
      </c>
    </row>
    <row r="32" ht="60.0" customHeight="1">
      <c r="A32" s="65"/>
      <c r="B32" s="65"/>
      <c r="C32" s="167">
        <v>3.0</v>
      </c>
      <c r="D32" s="168" t="s">
        <v>154</v>
      </c>
      <c r="E32" s="169"/>
      <c r="F32" s="170"/>
      <c r="G32" s="170"/>
      <c r="H32" s="170"/>
      <c r="I32" s="207"/>
      <c r="J32" s="170"/>
      <c r="K32" s="171"/>
      <c r="L32" s="171"/>
      <c r="M32" s="171"/>
      <c r="N32" s="276"/>
      <c r="O32" s="256">
        <f t="shared" si="6"/>
        <v>0</v>
      </c>
      <c r="Q32" s="173"/>
      <c r="R32" s="65"/>
      <c r="S32" s="173"/>
      <c r="T32" s="173"/>
      <c r="U32" s="166"/>
      <c r="V32" s="166"/>
      <c r="W32" s="65"/>
      <c r="X32" s="66"/>
      <c r="Y32" s="173"/>
      <c r="Z32" s="166"/>
      <c r="AA32" s="174"/>
      <c r="AB32" s="175"/>
      <c r="AC32" s="175"/>
      <c r="AD32" s="175"/>
      <c r="AE32" s="175"/>
      <c r="AF32" s="175"/>
      <c r="AG32" s="175"/>
      <c r="AH32" s="175"/>
      <c r="AI32" s="176"/>
      <c r="AJ32" s="177"/>
      <c r="AK32" s="178"/>
      <c r="AL32" s="178"/>
      <c r="AM32" s="178"/>
      <c r="AN32" s="178"/>
      <c r="AO32" s="179"/>
      <c r="AP32" s="64"/>
      <c r="AQ32" s="65"/>
      <c r="AR32" s="65"/>
      <c r="AS32" s="65"/>
      <c r="AT32" s="173"/>
      <c r="AU32" s="177"/>
      <c r="AV32" s="178"/>
      <c r="AW32" s="178"/>
      <c r="AX32" s="179"/>
      <c r="AZ32" s="166"/>
      <c r="BA32" s="177"/>
      <c r="BB32" s="178"/>
      <c r="BC32" s="178"/>
      <c r="BD32" s="178"/>
      <c r="BE32" s="178"/>
      <c r="BF32" s="178"/>
      <c r="BG32" s="178"/>
      <c r="BH32" s="178"/>
      <c r="BI32" s="179"/>
      <c r="BJ32" s="180"/>
      <c r="BK32" s="178"/>
      <c r="BL32" s="178"/>
      <c r="BM32" s="178"/>
      <c r="BN32" s="178"/>
      <c r="BO32" s="181"/>
      <c r="BP32" s="166"/>
      <c r="BQ32" s="177"/>
      <c r="BR32" s="178"/>
      <c r="BS32" s="179"/>
      <c r="BU32" s="166"/>
      <c r="BV32" s="166"/>
      <c r="BW32" s="166"/>
      <c r="BX32" s="166"/>
      <c r="BY32" s="166"/>
      <c r="BZ32" s="166"/>
      <c r="CA32" s="166"/>
      <c r="CB32" s="166"/>
      <c r="CC32" s="166"/>
      <c r="CD32" s="177"/>
      <c r="CE32" s="181"/>
      <c r="CF32" s="177"/>
      <c r="CG32" s="179"/>
      <c r="CH32" s="257"/>
      <c r="CI32" s="182"/>
      <c r="CJ32" s="177"/>
      <c r="CK32" s="182"/>
      <c r="CL32" s="177"/>
      <c r="CM32" s="182"/>
      <c r="CN32" s="177"/>
      <c r="CO32" s="182"/>
      <c r="CP32" s="177"/>
      <c r="CQ32" s="178"/>
      <c r="CR32" s="182"/>
      <c r="CS32" s="173"/>
      <c r="CT32" s="65"/>
      <c r="CU32" s="255" t="str">
        <f t="shared" si="2"/>
        <v>MPH</v>
      </c>
    </row>
    <row r="33" ht="60.0" customHeight="1">
      <c r="A33" s="65"/>
      <c r="B33" s="65"/>
      <c r="C33" s="167">
        <v>4.0</v>
      </c>
      <c r="D33" s="168" t="s">
        <v>154</v>
      </c>
      <c r="E33" s="169"/>
      <c r="F33" s="170"/>
      <c r="G33" s="170"/>
      <c r="H33" s="170"/>
      <c r="I33" s="207"/>
      <c r="J33" s="170"/>
      <c r="K33" s="171"/>
      <c r="L33" s="171"/>
      <c r="M33" s="171"/>
      <c r="N33" s="276"/>
      <c r="O33" s="256">
        <f t="shared" si="6"/>
        <v>0</v>
      </c>
      <c r="Q33" s="173"/>
      <c r="R33" s="65"/>
      <c r="S33" s="173"/>
      <c r="T33" s="173"/>
      <c r="U33" s="166"/>
      <c r="V33" s="166"/>
      <c r="W33" s="65"/>
      <c r="X33" s="66"/>
      <c r="Y33" s="173"/>
      <c r="Z33" s="166"/>
      <c r="AA33" s="174"/>
      <c r="AB33" s="175"/>
      <c r="AC33" s="175"/>
      <c r="AD33" s="175"/>
      <c r="AE33" s="175"/>
      <c r="AF33" s="175"/>
      <c r="AG33" s="175"/>
      <c r="AH33" s="175"/>
      <c r="AI33" s="176"/>
      <c r="AJ33" s="177"/>
      <c r="AK33" s="178"/>
      <c r="AL33" s="178"/>
      <c r="AM33" s="178"/>
      <c r="AN33" s="178"/>
      <c r="AO33" s="179"/>
      <c r="AP33" s="64"/>
      <c r="AQ33" s="65"/>
      <c r="AR33" s="65"/>
      <c r="AS33" s="65"/>
      <c r="AT33" s="173"/>
      <c r="AU33" s="177"/>
      <c r="AV33" s="178"/>
      <c r="AW33" s="178"/>
      <c r="AX33" s="179"/>
      <c r="AZ33" s="166"/>
      <c r="BA33" s="177"/>
      <c r="BB33" s="178"/>
      <c r="BC33" s="178"/>
      <c r="BD33" s="178"/>
      <c r="BE33" s="178"/>
      <c r="BF33" s="178"/>
      <c r="BG33" s="178"/>
      <c r="BH33" s="178"/>
      <c r="BI33" s="179"/>
      <c r="BJ33" s="180"/>
      <c r="BK33" s="178"/>
      <c r="BL33" s="178"/>
      <c r="BM33" s="178"/>
      <c r="BN33" s="178"/>
      <c r="BO33" s="181"/>
      <c r="BP33" s="166"/>
      <c r="BQ33" s="177"/>
      <c r="BR33" s="178"/>
      <c r="BS33" s="179"/>
      <c r="BU33" s="166"/>
      <c r="BV33" s="166"/>
      <c r="BW33" s="166"/>
      <c r="BX33" s="166"/>
      <c r="BY33" s="166"/>
      <c r="BZ33" s="166"/>
      <c r="CA33" s="166"/>
      <c r="CB33" s="166"/>
      <c r="CC33" s="166"/>
      <c r="CD33" s="177"/>
      <c r="CE33" s="181"/>
      <c r="CF33" s="177"/>
      <c r="CG33" s="179"/>
      <c r="CH33" s="257"/>
      <c r="CI33" s="182"/>
      <c r="CJ33" s="177"/>
      <c r="CK33" s="182"/>
      <c r="CL33" s="177"/>
      <c r="CM33" s="182"/>
      <c r="CN33" s="177"/>
      <c r="CO33" s="182"/>
      <c r="CP33" s="177"/>
      <c r="CQ33" s="178"/>
      <c r="CR33" s="182"/>
      <c r="CS33" s="173"/>
      <c r="CT33" s="65"/>
      <c r="CU33" s="255" t="str">
        <f t="shared" si="2"/>
        <v>MPH</v>
      </c>
    </row>
    <row r="34" ht="60.0" customHeight="1">
      <c r="A34" s="65"/>
      <c r="B34" s="65"/>
      <c r="C34" s="167">
        <v>5.0</v>
      </c>
      <c r="D34" s="168" t="s">
        <v>154</v>
      </c>
      <c r="E34" s="169"/>
      <c r="F34" s="170"/>
      <c r="G34" s="170"/>
      <c r="H34" s="170"/>
      <c r="I34" s="207"/>
      <c r="J34" s="170"/>
      <c r="K34" s="171"/>
      <c r="L34" s="171"/>
      <c r="M34" s="171"/>
      <c r="N34" s="276"/>
      <c r="O34" s="256">
        <f t="shared" si="6"/>
        <v>0</v>
      </c>
      <c r="Q34" s="173"/>
      <c r="R34" s="65"/>
      <c r="S34" s="173"/>
      <c r="T34" s="173"/>
      <c r="U34" s="166"/>
      <c r="V34" s="166"/>
      <c r="W34" s="65"/>
      <c r="X34" s="66"/>
      <c r="Y34" s="173"/>
      <c r="Z34" s="166"/>
      <c r="AA34" s="174"/>
      <c r="AB34" s="175"/>
      <c r="AC34" s="175"/>
      <c r="AD34" s="175"/>
      <c r="AE34" s="175"/>
      <c r="AF34" s="175"/>
      <c r="AG34" s="175"/>
      <c r="AH34" s="175"/>
      <c r="AI34" s="176"/>
      <c r="AJ34" s="177"/>
      <c r="AK34" s="178"/>
      <c r="AL34" s="178"/>
      <c r="AM34" s="178"/>
      <c r="AN34" s="178"/>
      <c r="AO34" s="179"/>
      <c r="AP34" s="64"/>
      <c r="AQ34" s="65"/>
      <c r="AR34" s="65"/>
      <c r="AS34" s="65"/>
      <c r="AT34" s="173"/>
      <c r="AU34" s="177"/>
      <c r="AV34" s="178"/>
      <c r="AW34" s="178"/>
      <c r="AX34" s="179"/>
      <c r="AZ34" s="166"/>
      <c r="BA34" s="177"/>
      <c r="BB34" s="178"/>
      <c r="BC34" s="178"/>
      <c r="BD34" s="178"/>
      <c r="BE34" s="178"/>
      <c r="BF34" s="178"/>
      <c r="BG34" s="178"/>
      <c r="BH34" s="178"/>
      <c r="BI34" s="179"/>
      <c r="BJ34" s="180"/>
      <c r="BK34" s="178"/>
      <c r="BL34" s="178"/>
      <c r="BM34" s="178"/>
      <c r="BN34" s="178"/>
      <c r="BO34" s="181"/>
      <c r="BP34" s="166"/>
      <c r="BQ34" s="177"/>
      <c r="BR34" s="178"/>
      <c r="BS34" s="179"/>
      <c r="BU34" s="166"/>
      <c r="BV34" s="166"/>
      <c r="BW34" s="166"/>
      <c r="BX34" s="166"/>
      <c r="BY34" s="166"/>
      <c r="BZ34" s="166"/>
      <c r="CA34" s="166"/>
      <c r="CB34" s="166"/>
      <c r="CC34" s="166"/>
      <c r="CD34" s="177"/>
      <c r="CE34" s="181"/>
      <c r="CF34" s="177"/>
      <c r="CG34" s="179"/>
      <c r="CH34" s="257"/>
      <c r="CI34" s="182"/>
      <c r="CJ34" s="177"/>
      <c r="CK34" s="182"/>
      <c r="CL34" s="177"/>
      <c r="CM34" s="182"/>
      <c r="CN34" s="177"/>
      <c r="CO34" s="182"/>
      <c r="CP34" s="177"/>
      <c r="CQ34" s="178"/>
      <c r="CR34" s="182"/>
      <c r="CS34" s="173"/>
      <c r="CT34" s="65"/>
      <c r="CU34" s="255" t="str">
        <f t="shared" si="2"/>
        <v>MPH</v>
      </c>
    </row>
    <row r="35" ht="60.0" customHeight="1">
      <c r="A35" s="65"/>
      <c r="B35" s="65"/>
      <c r="C35" s="167">
        <v>6.0</v>
      </c>
      <c r="D35" s="168" t="s">
        <v>154</v>
      </c>
      <c r="E35" s="169"/>
      <c r="F35" s="170"/>
      <c r="G35" s="170"/>
      <c r="H35" s="170"/>
      <c r="I35" s="207"/>
      <c r="J35" s="170"/>
      <c r="K35" s="171"/>
      <c r="L35" s="171"/>
      <c r="M35" s="171"/>
      <c r="N35" s="276"/>
      <c r="O35" s="256">
        <f t="shared" si="6"/>
        <v>0</v>
      </c>
      <c r="Q35" s="173"/>
      <c r="R35" s="65"/>
      <c r="S35" s="173"/>
      <c r="T35" s="173"/>
      <c r="U35" s="166"/>
      <c r="V35" s="166"/>
      <c r="W35" s="65"/>
      <c r="X35" s="66"/>
      <c r="Y35" s="173"/>
      <c r="Z35" s="166"/>
      <c r="AA35" s="174"/>
      <c r="AB35" s="175"/>
      <c r="AC35" s="175"/>
      <c r="AD35" s="175"/>
      <c r="AE35" s="175"/>
      <c r="AF35" s="175"/>
      <c r="AG35" s="175"/>
      <c r="AH35" s="175"/>
      <c r="AI35" s="176"/>
      <c r="AJ35" s="177"/>
      <c r="AK35" s="178"/>
      <c r="AL35" s="178"/>
      <c r="AM35" s="178"/>
      <c r="AN35" s="178"/>
      <c r="AO35" s="179"/>
      <c r="AP35" s="64"/>
      <c r="AQ35" s="65"/>
      <c r="AR35" s="65"/>
      <c r="AS35" s="65"/>
      <c r="AT35" s="173"/>
      <c r="AU35" s="177"/>
      <c r="AV35" s="178"/>
      <c r="AW35" s="178"/>
      <c r="AX35" s="179"/>
      <c r="AZ35" s="166"/>
      <c r="BA35" s="177"/>
      <c r="BB35" s="178"/>
      <c r="BC35" s="178"/>
      <c r="BD35" s="178"/>
      <c r="BE35" s="178"/>
      <c r="BF35" s="178"/>
      <c r="BG35" s="178"/>
      <c r="BH35" s="178"/>
      <c r="BI35" s="179"/>
      <c r="BJ35" s="180"/>
      <c r="BK35" s="178"/>
      <c r="BL35" s="178"/>
      <c r="BM35" s="178"/>
      <c r="BN35" s="178"/>
      <c r="BO35" s="181"/>
      <c r="BP35" s="166"/>
      <c r="BQ35" s="177"/>
      <c r="BR35" s="178"/>
      <c r="BS35" s="179"/>
      <c r="BU35" s="166"/>
      <c r="BV35" s="166"/>
      <c r="BW35" s="166"/>
      <c r="BX35" s="166"/>
      <c r="BY35" s="166"/>
      <c r="BZ35" s="166"/>
      <c r="CA35" s="166"/>
      <c r="CB35" s="166"/>
      <c r="CC35" s="166"/>
      <c r="CD35" s="177"/>
      <c r="CE35" s="181"/>
      <c r="CF35" s="177"/>
      <c r="CG35" s="179"/>
      <c r="CH35" s="257"/>
      <c r="CI35" s="182"/>
      <c r="CJ35" s="177"/>
      <c r="CK35" s="182"/>
      <c r="CL35" s="177"/>
      <c r="CM35" s="182"/>
      <c r="CN35" s="177"/>
      <c r="CO35" s="182"/>
      <c r="CP35" s="177"/>
      <c r="CQ35" s="178"/>
      <c r="CR35" s="182"/>
      <c r="CS35" s="173"/>
      <c r="CT35" s="65"/>
      <c r="CU35" s="255" t="str">
        <f t="shared" si="2"/>
        <v>MPH</v>
      </c>
    </row>
    <row r="36" ht="60.0" customHeight="1">
      <c r="A36" s="65"/>
      <c r="B36" s="65"/>
      <c r="C36" s="167">
        <v>7.0</v>
      </c>
      <c r="D36" s="168" t="s">
        <v>154</v>
      </c>
      <c r="E36" s="169"/>
      <c r="F36" s="170"/>
      <c r="G36" s="170"/>
      <c r="H36" s="170"/>
      <c r="I36" s="207"/>
      <c r="J36" s="170"/>
      <c r="K36" s="171"/>
      <c r="L36" s="171"/>
      <c r="M36" s="171"/>
      <c r="N36" s="276"/>
      <c r="O36" s="256">
        <f t="shared" ref="O36:O39" si="7">IF(AND(M36&gt;=20,M36&lt;&gt;"m",RIGHT(K36,3)="Lec"),1,IF(AND(M36&gt;=20,M36&lt;&gt;"m",OR(RIGHT(K36,3)="Lab",RIGHT(K36,3)="Tut")),0.5,IF(AND(M36&gt;=20,M36&lt;&gt;"m",RIGHT(K36,2)="TL"),0.75,0)))</f>
        <v>0</v>
      </c>
      <c r="Q36" s="173"/>
      <c r="R36" s="65"/>
      <c r="S36" s="173"/>
      <c r="T36" s="173"/>
      <c r="U36" s="166"/>
      <c r="V36" s="166"/>
      <c r="W36" s="65"/>
      <c r="X36" s="66"/>
      <c r="Y36" s="173"/>
      <c r="Z36" s="166"/>
      <c r="AA36" s="174"/>
      <c r="AB36" s="175"/>
      <c r="AC36" s="175"/>
      <c r="AD36" s="175"/>
      <c r="AE36" s="175"/>
      <c r="AF36" s="175"/>
      <c r="AG36" s="175"/>
      <c r="AH36" s="175"/>
      <c r="AI36" s="176"/>
      <c r="AJ36" s="177"/>
      <c r="AK36" s="178"/>
      <c r="AL36" s="178"/>
      <c r="AM36" s="178"/>
      <c r="AN36" s="178"/>
      <c r="AO36" s="179"/>
      <c r="AP36" s="64"/>
      <c r="AQ36" s="65"/>
      <c r="AR36" s="65"/>
      <c r="AS36" s="65"/>
      <c r="AT36" s="173"/>
      <c r="AU36" s="177"/>
      <c r="AV36" s="178"/>
      <c r="AW36" s="178"/>
      <c r="AX36" s="179"/>
      <c r="AZ36" s="166"/>
      <c r="BA36" s="177"/>
      <c r="BB36" s="178"/>
      <c r="BC36" s="178"/>
      <c r="BD36" s="178"/>
      <c r="BE36" s="178"/>
      <c r="BF36" s="178"/>
      <c r="BG36" s="178"/>
      <c r="BH36" s="178"/>
      <c r="BI36" s="179"/>
      <c r="BJ36" s="180"/>
      <c r="BK36" s="178"/>
      <c r="BL36" s="178"/>
      <c r="BM36" s="178"/>
      <c r="BN36" s="178"/>
      <c r="BO36" s="181"/>
      <c r="BP36" s="166"/>
      <c r="BQ36" s="177"/>
      <c r="BR36" s="178"/>
      <c r="BS36" s="179"/>
      <c r="BU36" s="166"/>
      <c r="BV36" s="166"/>
      <c r="BW36" s="166"/>
      <c r="BX36" s="166"/>
      <c r="BY36" s="166"/>
      <c r="BZ36" s="166"/>
      <c r="CA36" s="166"/>
      <c r="CB36" s="166"/>
      <c r="CC36" s="166"/>
      <c r="CD36" s="177"/>
      <c r="CE36" s="181"/>
      <c r="CF36" s="177"/>
      <c r="CG36" s="179"/>
      <c r="CH36" s="257"/>
      <c r="CI36" s="182"/>
      <c r="CJ36" s="177"/>
      <c r="CK36" s="182"/>
      <c r="CL36" s="177"/>
      <c r="CM36" s="182"/>
      <c r="CN36" s="177"/>
      <c r="CO36" s="182"/>
      <c r="CP36" s="177"/>
      <c r="CQ36" s="178"/>
      <c r="CR36" s="182"/>
      <c r="CS36" s="173"/>
      <c r="CT36" s="65"/>
      <c r="CU36" s="255" t="str">
        <f t="shared" si="2"/>
        <v>MPH</v>
      </c>
    </row>
    <row r="37" ht="60.0" customHeight="1">
      <c r="A37" s="65"/>
      <c r="B37" s="65"/>
      <c r="C37" s="167">
        <v>8.0</v>
      </c>
      <c r="D37" s="168" t="s">
        <v>154</v>
      </c>
      <c r="E37" s="169"/>
      <c r="F37" s="170"/>
      <c r="G37" s="170"/>
      <c r="H37" s="170"/>
      <c r="I37" s="207"/>
      <c r="J37" s="170"/>
      <c r="K37" s="171"/>
      <c r="L37" s="171"/>
      <c r="M37" s="171"/>
      <c r="N37" s="276"/>
      <c r="O37" s="256">
        <f t="shared" si="7"/>
        <v>0</v>
      </c>
      <c r="Q37" s="173"/>
      <c r="R37" s="65"/>
      <c r="S37" s="173"/>
      <c r="T37" s="173"/>
      <c r="U37" s="166"/>
      <c r="V37" s="166"/>
      <c r="W37" s="65"/>
      <c r="X37" s="66"/>
      <c r="Y37" s="173"/>
      <c r="Z37" s="166"/>
      <c r="AA37" s="174"/>
      <c r="AB37" s="175"/>
      <c r="AC37" s="175"/>
      <c r="AD37" s="175"/>
      <c r="AE37" s="175"/>
      <c r="AF37" s="175"/>
      <c r="AG37" s="175"/>
      <c r="AH37" s="175"/>
      <c r="AI37" s="176"/>
      <c r="AJ37" s="177"/>
      <c r="AK37" s="178"/>
      <c r="AL37" s="178"/>
      <c r="AM37" s="178"/>
      <c r="AN37" s="178"/>
      <c r="AO37" s="179"/>
      <c r="AP37" s="64"/>
      <c r="AQ37" s="65"/>
      <c r="AR37" s="65"/>
      <c r="AS37" s="65"/>
      <c r="AT37" s="173"/>
      <c r="AU37" s="177"/>
      <c r="AV37" s="178"/>
      <c r="AW37" s="178"/>
      <c r="AX37" s="179"/>
      <c r="AZ37" s="166"/>
      <c r="BA37" s="177"/>
      <c r="BB37" s="178"/>
      <c r="BC37" s="178"/>
      <c r="BD37" s="178"/>
      <c r="BE37" s="178"/>
      <c r="BF37" s="178"/>
      <c r="BG37" s="178"/>
      <c r="BH37" s="178"/>
      <c r="BI37" s="179"/>
      <c r="BJ37" s="180"/>
      <c r="BK37" s="178"/>
      <c r="BL37" s="178"/>
      <c r="BM37" s="178"/>
      <c r="BN37" s="178"/>
      <c r="BO37" s="181"/>
      <c r="BP37" s="166"/>
      <c r="BQ37" s="177"/>
      <c r="BR37" s="178"/>
      <c r="BS37" s="179"/>
      <c r="BU37" s="166"/>
      <c r="BV37" s="166"/>
      <c r="BW37" s="166"/>
      <c r="BX37" s="166"/>
      <c r="BY37" s="166"/>
      <c r="BZ37" s="166"/>
      <c r="CA37" s="166"/>
      <c r="CB37" s="166"/>
      <c r="CC37" s="166"/>
      <c r="CD37" s="177"/>
      <c r="CE37" s="181"/>
      <c r="CF37" s="177"/>
      <c r="CG37" s="179"/>
      <c r="CH37" s="257"/>
      <c r="CI37" s="182"/>
      <c r="CJ37" s="177"/>
      <c r="CK37" s="182"/>
      <c r="CL37" s="177"/>
      <c r="CM37" s="182"/>
      <c r="CN37" s="177"/>
      <c r="CO37" s="182"/>
      <c r="CP37" s="177"/>
      <c r="CQ37" s="178"/>
      <c r="CR37" s="182"/>
      <c r="CS37" s="173"/>
      <c r="CT37" s="65"/>
      <c r="CU37" s="255" t="str">
        <f t="shared" si="2"/>
        <v>MPH</v>
      </c>
    </row>
    <row r="38" ht="60.0" customHeight="1">
      <c r="A38" s="65"/>
      <c r="B38" s="65"/>
      <c r="C38" s="167">
        <v>9.0</v>
      </c>
      <c r="D38" s="168" t="s">
        <v>154</v>
      </c>
      <c r="E38" s="169"/>
      <c r="F38" s="170"/>
      <c r="G38" s="170"/>
      <c r="H38" s="170"/>
      <c r="I38" s="207"/>
      <c r="J38" s="170"/>
      <c r="K38" s="171"/>
      <c r="L38" s="171"/>
      <c r="M38" s="171"/>
      <c r="N38" s="276"/>
      <c r="O38" s="256">
        <f t="shared" si="7"/>
        <v>0</v>
      </c>
      <c r="Q38" s="173"/>
      <c r="R38" s="65"/>
      <c r="S38" s="173"/>
      <c r="T38" s="173"/>
      <c r="U38" s="166"/>
      <c r="V38" s="166"/>
      <c r="W38" s="65"/>
      <c r="X38" s="66"/>
      <c r="Y38" s="173"/>
      <c r="Z38" s="166"/>
      <c r="AA38" s="174"/>
      <c r="AB38" s="175"/>
      <c r="AC38" s="175"/>
      <c r="AD38" s="175"/>
      <c r="AE38" s="175"/>
      <c r="AF38" s="175"/>
      <c r="AG38" s="175"/>
      <c r="AH38" s="175"/>
      <c r="AI38" s="176"/>
      <c r="AJ38" s="177"/>
      <c r="AK38" s="178"/>
      <c r="AL38" s="178"/>
      <c r="AM38" s="178"/>
      <c r="AN38" s="178"/>
      <c r="AO38" s="179"/>
      <c r="AP38" s="64"/>
      <c r="AQ38" s="65"/>
      <c r="AR38" s="65"/>
      <c r="AS38" s="65"/>
      <c r="AT38" s="173"/>
      <c r="AU38" s="177"/>
      <c r="AV38" s="178"/>
      <c r="AW38" s="178"/>
      <c r="AX38" s="179"/>
      <c r="AZ38" s="166"/>
      <c r="BA38" s="177"/>
      <c r="BB38" s="178"/>
      <c r="BC38" s="178"/>
      <c r="BD38" s="178"/>
      <c r="BE38" s="178"/>
      <c r="BF38" s="178"/>
      <c r="BG38" s="178"/>
      <c r="BH38" s="178"/>
      <c r="BI38" s="179"/>
      <c r="BJ38" s="180"/>
      <c r="BK38" s="178"/>
      <c r="BL38" s="178"/>
      <c r="BM38" s="178"/>
      <c r="BN38" s="178"/>
      <c r="BO38" s="181"/>
      <c r="BP38" s="166"/>
      <c r="BQ38" s="177"/>
      <c r="BR38" s="178"/>
      <c r="BS38" s="179"/>
      <c r="BU38" s="166"/>
      <c r="BV38" s="166"/>
      <c r="BW38" s="166"/>
      <c r="BX38" s="166"/>
      <c r="BY38" s="166"/>
      <c r="BZ38" s="166"/>
      <c r="CA38" s="166"/>
      <c r="CB38" s="166"/>
      <c r="CC38" s="166"/>
      <c r="CD38" s="177"/>
      <c r="CE38" s="181"/>
      <c r="CF38" s="177"/>
      <c r="CG38" s="179"/>
      <c r="CH38" s="257"/>
      <c r="CI38" s="182"/>
      <c r="CJ38" s="177"/>
      <c r="CK38" s="182"/>
      <c r="CL38" s="177"/>
      <c r="CM38" s="182"/>
      <c r="CN38" s="177"/>
      <c r="CO38" s="182"/>
      <c r="CP38" s="177"/>
      <c r="CQ38" s="178"/>
      <c r="CR38" s="182"/>
      <c r="CS38" s="173"/>
      <c r="CT38" s="65"/>
      <c r="CU38" s="255" t="str">
        <f t="shared" si="2"/>
        <v>MPH</v>
      </c>
    </row>
    <row r="39" ht="60.0" customHeight="1">
      <c r="A39" s="65"/>
      <c r="B39" s="65"/>
      <c r="C39" s="167">
        <v>10.0</v>
      </c>
      <c r="D39" s="168" t="s">
        <v>154</v>
      </c>
      <c r="E39" s="169"/>
      <c r="F39" s="170"/>
      <c r="G39" s="170"/>
      <c r="H39" s="170"/>
      <c r="I39" s="207"/>
      <c r="J39" s="170"/>
      <c r="K39" s="171"/>
      <c r="L39" s="171"/>
      <c r="M39" s="171"/>
      <c r="N39" s="276"/>
      <c r="O39" s="256">
        <f t="shared" si="7"/>
        <v>0</v>
      </c>
      <c r="Q39" s="173"/>
      <c r="R39" s="65"/>
      <c r="S39" s="173"/>
      <c r="T39" s="173"/>
      <c r="U39" s="166"/>
      <c r="V39" s="166"/>
      <c r="W39" s="65"/>
      <c r="X39" s="66"/>
      <c r="Y39" s="173"/>
      <c r="Z39" s="166"/>
      <c r="AA39" s="174"/>
      <c r="AB39" s="175"/>
      <c r="AC39" s="175"/>
      <c r="AD39" s="175"/>
      <c r="AE39" s="175"/>
      <c r="AF39" s="175"/>
      <c r="AG39" s="175"/>
      <c r="AH39" s="175"/>
      <c r="AI39" s="176"/>
      <c r="AJ39" s="177"/>
      <c r="AK39" s="178"/>
      <c r="AL39" s="178"/>
      <c r="AM39" s="178"/>
      <c r="AN39" s="178"/>
      <c r="AO39" s="179"/>
      <c r="AP39" s="64"/>
      <c r="AQ39" s="65"/>
      <c r="AR39" s="65"/>
      <c r="AS39" s="65"/>
      <c r="AT39" s="173"/>
      <c r="AU39" s="177"/>
      <c r="AV39" s="178"/>
      <c r="AW39" s="178"/>
      <c r="AX39" s="179"/>
      <c r="AZ39" s="166"/>
      <c r="BA39" s="177"/>
      <c r="BB39" s="178"/>
      <c r="BC39" s="178"/>
      <c r="BD39" s="178"/>
      <c r="BE39" s="178"/>
      <c r="BF39" s="178"/>
      <c r="BG39" s="178"/>
      <c r="BH39" s="178"/>
      <c r="BI39" s="179"/>
      <c r="BJ39" s="180"/>
      <c r="BK39" s="178"/>
      <c r="BL39" s="178"/>
      <c r="BM39" s="178"/>
      <c r="BN39" s="178"/>
      <c r="BO39" s="181"/>
      <c r="BP39" s="166"/>
      <c r="BQ39" s="177"/>
      <c r="BR39" s="178"/>
      <c r="BS39" s="179"/>
      <c r="BU39" s="166"/>
      <c r="BV39" s="166"/>
      <c r="BW39" s="166"/>
      <c r="BX39" s="166"/>
      <c r="BY39" s="166"/>
      <c r="BZ39" s="166"/>
      <c r="CA39" s="166"/>
      <c r="CB39" s="166"/>
      <c r="CC39" s="166"/>
      <c r="CD39" s="177"/>
      <c r="CE39" s="181"/>
      <c r="CF39" s="177"/>
      <c r="CG39" s="179"/>
      <c r="CH39" s="257"/>
      <c r="CI39" s="182"/>
      <c r="CJ39" s="177"/>
      <c r="CK39" s="182"/>
      <c r="CL39" s="177"/>
      <c r="CM39" s="182"/>
      <c r="CN39" s="177"/>
      <c r="CO39" s="182"/>
      <c r="CP39" s="177"/>
      <c r="CQ39" s="178"/>
      <c r="CR39" s="182"/>
      <c r="CS39" s="173"/>
      <c r="CT39" s="65"/>
      <c r="CU39" s="255" t="str">
        <f t="shared" si="2"/>
        <v>MPH</v>
      </c>
    </row>
    <row r="40" ht="60.0" customHeight="1">
      <c r="A40" s="89"/>
      <c r="B40" s="89"/>
      <c r="C40" s="183">
        <v>11.0</v>
      </c>
      <c r="D40" s="210" t="s">
        <v>154</v>
      </c>
      <c r="E40" s="185"/>
      <c r="F40" s="186"/>
      <c r="G40" s="186"/>
      <c r="H40" s="186"/>
      <c r="I40" s="212"/>
      <c r="J40" s="186"/>
      <c r="K40" s="187"/>
      <c r="L40" s="187"/>
      <c r="M40" s="187"/>
      <c r="N40" s="214"/>
      <c r="O40" s="258">
        <f t="shared" ref="O40:O46" si="8">IF(AND(M40&lt;&gt;0,M40&lt;&gt;"m",M40&lt;&gt;"",RIGHT(K40,3)="Lec"),1,IF(AND(M40&lt;&gt;0,M40&lt;&gt;"m",M40&lt;&gt;"",OR(RIGHT(K40,3)="Lab",RIGHT(K40,3)="Tut")),0.5,IF(AND(M40&lt;&gt;0,M40&lt;&gt;"m",M40&lt;&gt;"",RIGHT(K40,2)="TL"),0.75,0)))</f>
        <v>0</v>
      </c>
      <c r="P40" s="6"/>
      <c r="Q40" s="69"/>
      <c r="R40" s="89"/>
      <c r="S40" s="69"/>
      <c r="T40" s="69"/>
      <c r="U40" s="63"/>
      <c r="V40" s="63"/>
      <c r="W40" s="89"/>
      <c r="X40" s="68"/>
      <c r="Y40" s="69"/>
      <c r="Z40" s="63"/>
      <c r="AA40" s="189"/>
      <c r="AB40" s="190"/>
      <c r="AC40" s="190"/>
      <c r="AD40" s="190"/>
      <c r="AE40" s="190"/>
      <c r="AF40" s="190"/>
      <c r="AG40" s="190"/>
      <c r="AH40" s="190"/>
      <c r="AI40" s="191"/>
      <c r="AJ40" s="192"/>
      <c r="AK40" s="193"/>
      <c r="AL40" s="193"/>
      <c r="AM40" s="193"/>
      <c r="AN40" s="193"/>
      <c r="AO40" s="194"/>
      <c r="AP40" s="103"/>
      <c r="AQ40" s="89"/>
      <c r="AR40" s="89"/>
      <c r="AS40" s="89"/>
      <c r="AT40" s="69"/>
      <c r="AU40" s="192"/>
      <c r="AV40" s="193"/>
      <c r="AW40" s="193"/>
      <c r="AX40" s="194"/>
      <c r="AY40" s="6"/>
      <c r="AZ40" s="63"/>
      <c r="BA40" s="192"/>
      <c r="BB40" s="193"/>
      <c r="BC40" s="193"/>
      <c r="BD40" s="193"/>
      <c r="BE40" s="193"/>
      <c r="BF40" s="193"/>
      <c r="BG40" s="193"/>
      <c r="BH40" s="193"/>
      <c r="BI40" s="194"/>
      <c r="BJ40" s="195"/>
      <c r="BK40" s="193"/>
      <c r="BL40" s="193"/>
      <c r="BM40" s="193"/>
      <c r="BN40" s="193"/>
      <c r="BO40" s="196"/>
      <c r="BP40" s="63"/>
      <c r="BQ40" s="192"/>
      <c r="BR40" s="193"/>
      <c r="BS40" s="194"/>
      <c r="BT40" s="6"/>
      <c r="BU40" s="63"/>
      <c r="BV40" s="63"/>
      <c r="BW40" s="63"/>
      <c r="BX40" s="63"/>
      <c r="BY40" s="63"/>
      <c r="BZ40" s="63"/>
      <c r="CA40" s="63"/>
      <c r="CB40" s="63"/>
      <c r="CC40" s="63"/>
      <c r="CD40" s="192"/>
      <c r="CE40" s="196"/>
      <c r="CF40" s="192"/>
      <c r="CG40" s="194"/>
      <c r="CH40" s="259"/>
      <c r="CI40" s="197"/>
      <c r="CJ40" s="192"/>
      <c r="CK40" s="197"/>
      <c r="CL40" s="192"/>
      <c r="CM40" s="197"/>
      <c r="CN40" s="192"/>
      <c r="CO40" s="197"/>
      <c r="CP40" s="192"/>
      <c r="CQ40" s="193"/>
      <c r="CR40" s="197"/>
      <c r="CS40" s="69"/>
      <c r="CT40" s="89"/>
      <c r="CU40" s="255" t="str">
        <f t="shared" si="2"/>
        <v>MPH</v>
      </c>
    </row>
    <row r="41" ht="55.5" customHeight="1">
      <c r="A41" s="125">
        <v>4.0</v>
      </c>
      <c r="B41" s="274" t="s">
        <v>157</v>
      </c>
      <c r="C41" s="127">
        <v>1.0</v>
      </c>
      <c r="D41" s="168" t="s">
        <v>158</v>
      </c>
      <c r="E41" s="129"/>
      <c r="F41" s="130"/>
      <c r="G41" s="130"/>
      <c r="H41" s="130"/>
      <c r="I41" s="201"/>
      <c r="J41" s="130"/>
      <c r="K41" s="131"/>
      <c r="L41" s="131"/>
      <c r="M41" s="131"/>
      <c r="N41" s="275"/>
      <c r="O41" s="250">
        <f t="shared" si="8"/>
        <v>0</v>
      </c>
      <c r="P41" s="251">
        <f>COUNTIF(K41:K51,"TL")*0.75+COUNTIF(K41:K51,"Lec")*1+COUNTIF(K41:K51,"Lab")*0.5</f>
        <v>0</v>
      </c>
      <c r="Q41" s="134">
        <f>SUM((IF(LEFT(K41,1)="E",O41,0)),(IF(LEFT(K42,1)="E",O42,0)),(IF(LEFT(K43,1)="E",O43,0)),(IF(LEFT(K44,1)="E",O44,0)),(IF(LEFT(K45,1)="E",O45,0)),(IF(LEFT(K46,1)="E",O46,0)),(IF(LEFT(K47,1)="E",O47,0)),(IF(LEFT(K48,1)="E",O48,0)),(IF(LEFT(K49,1)="E",O49,0)),(IF(LEFT(K50,1)="E",O50,0)),(IF(LEFT(K51,1)="E",O51,0)))</f>
        <v>0</v>
      </c>
      <c r="R41" s="135">
        <f>SUM(IF(M47&lt;20,IF(K47="Plec",-1,IF(K47="PTL",-0.75,IF(K47="Plab",-0.5,0))),0),IF(M48&lt;20,IF(K48="Plec",-1,IF(K48="PTL",-0.75,IF(K48="Plab",-0.5,0))),0),IF(M49&lt;20,IF(K49="Plec",-1,IF(K49="PTL",-0.75,IF(K49="Plab",-0.5,0))),0),IF(M50&lt;20,IF(K50="Plec",-1,IF(K50="PTL",-0.75,IF(K50="Plab",-0.5,0))),0))</f>
        <v>0</v>
      </c>
      <c r="S41" s="134">
        <f>SUM(P41:R51)</f>
        <v>0</v>
      </c>
      <c r="T41" s="136">
        <f>SUM(IF(M41="M",IF(OR(K41="lec",K41="plec",K41="slec"),1,IF(OR(K41="lab",K41="plab",K41="slab",K41="tut",K41="ptut",K41="stut"),0.5,IF(OR(K41="TL",K41="pTL",K41="STL"),0.75,0))),0),IF(M42="M",IF(OR(K42="lec",K42="plec",K42="slec"),1,IF(OR(K42="lab",K42="plab",K42="slab",K42="tut",K42="ptut",K42="stut"),0.5,IF(OR(K42="TL",K42="pTL",K42="STL"),0.75,0))),0),IF(M43="M",IF(OR(K43="lec",K43="plec",K43="slec"),1,IF(OR(K43="lab",K43="plab",K43="slab",K43="tut",K43="ptut",K43="stut"),0.5,IF(OR(K43="TL",K43="pTL",K43="STL"),0.75,0))),0),IF(M44="M",IF(OR(K44="lec",K44="plec",K44="slec"),1,IF(OR(K44="lab",K44="plab",K44="slab",K44="tut",K44="ptut",K44="stut"),0.5,IF(OR(K44="TL",K44="pTL",K44="STL"),0.75,0))),0),IF(M45="M",IF(OR(K45="lec",K45="plec",K45="slec"),1,IF(OR(K45="lab",K45="plab",K45="slab",K45="tut",K45="ptut",K45="stut"),0.5,IF(OR(K45="TL",K45="pTL",K45="STL"),0.75,0))),0),IF(M46="M",IF(OR(K46="lec",K46="plec",K46="slec"),1,IF(OR(K46="lab",K46="plab",K46="slab",K46="tut",K46="ptut",K46="stut"),0.5,IF(OR(K46="TL",K46="pTL",K46="STL"),0.75,0))),0),IF(M47="M",IF(OR(K47="lec",K47="plec",K47="slec"),1,IF(OR(K47="lab",K47="plab",K47="slab",K47="tut",K47="ptut",K47="stut"),0.5,IF(OR(K47="TL",K47="pTL",K47="STL"),0.75,0))),0),IF(M48="M",IF(OR(K48="lec",K48="plec",K48="slec"),1,IF(OR(K48="lab",K48="plab",K48="slab",K48="tut",K48="ptut",K48="stut"),0.5,IF(OR(K48="TL",K48="pTL",K48="STL"),0.75,0))),0),IF(M49="M",IF(OR(K49="lec",K49="plec",K49="slec"),1,IF(OR(K49="lab",K49="plab",K49="slab",K49="tut",K49="ptut",K49="stut"),0.5,IF(OR(K49="TL",K49="pTL",K49="STL"),0.75,0))),0),IF(M50="M",IF(OR(K50="lec",K50="plec",K50="slec"),1,IF(OR(K50="lab",K50="plab",K50="slab",K50="tut",K50="ptut",K50="stut"),0.5,IF(OR(K50="TL",K50="pTL",K50="STL"),0.75,0))),0),IF(M51="M",IF(OR(K51="lec",K51="plec",K51="slec"),1,IF(OR(K51="lab",K51="plab",K51="slab",K51="tut",K51="ptut",K51="stut"),0.5,IF(OR(K51="TL",K51="pTL",K51="STL"),0.75,0))),0))</f>
        <v>0</v>
      </c>
      <c r="U41" s="137"/>
      <c r="V41" s="133"/>
      <c r="W41" s="138"/>
      <c r="X41" s="139">
        <f>S41-(T41+U41+V41+W41)</f>
        <v>0</v>
      </c>
      <c r="Y41" s="134" t="str">
        <f>CONCATENATE(SUM(O41:O51),"(",SUM(O41:O51)-X41,")")</f>
        <v>0(0)</v>
      </c>
      <c r="Z41" s="140"/>
      <c r="AA41" s="141"/>
      <c r="AB41" s="142"/>
      <c r="AC41" s="142"/>
      <c r="AD41" s="142"/>
      <c r="AE41" s="142"/>
      <c r="AF41" s="142"/>
      <c r="AG41" s="142"/>
      <c r="AH41" s="142"/>
      <c r="AI41" s="143"/>
      <c r="AJ41" s="144"/>
      <c r="AK41" s="145"/>
      <c r="AL41" s="145"/>
      <c r="AM41" s="145"/>
      <c r="AN41" s="145"/>
      <c r="AO41" s="146"/>
      <c r="AP41" s="147">
        <f>SUM(SUM(O41:O51),SUM(AI41:AI51)/2,AM41)</f>
        <v>0</v>
      </c>
      <c r="AQ41" s="148"/>
      <c r="AR41" s="148">
        <f>AP41*AQ41</f>
        <v>0</v>
      </c>
      <c r="AS41" s="148">
        <f>CT41</f>
        <v>2</v>
      </c>
      <c r="AT41" s="149">
        <f>AR41*0.75+AS41*0.25</f>
        <v>0.5</v>
      </c>
      <c r="AU41" s="150"/>
      <c r="AV41" s="151"/>
      <c r="AW41" s="151"/>
      <c r="AX41" s="152"/>
      <c r="AY41" s="153"/>
      <c r="AZ41" s="140"/>
      <c r="BA41" s="150">
        <v>1.0</v>
      </c>
      <c r="BB41" s="151" t="s">
        <v>247</v>
      </c>
      <c r="BC41" s="151">
        <v>3.0</v>
      </c>
      <c r="BD41" s="151" t="s">
        <v>267</v>
      </c>
      <c r="BE41" s="151" t="s">
        <v>150</v>
      </c>
      <c r="BF41" s="151"/>
      <c r="BG41" s="151">
        <v>2.0</v>
      </c>
      <c r="BH41" s="151"/>
      <c r="BI41" s="152"/>
      <c r="BJ41" s="154"/>
      <c r="BK41" s="151"/>
      <c r="BL41" s="151"/>
      <c r="BM41" s="151"/>
      <c r="BN41" s="151"/>
      <c r="BO41" s="155"/>
      <c r="BP41" s="140"/>
      <c r="BQ41" s="156"/>
      <c r="BR41" s="157"/>
      <c r="BS41" s="158"/>
      <c r="BT41" s="153"/>
      <c r="BU41" s="140"/>
      <c r="BV41" s="140"/>
      <c r="BW41" s="140"/>
      <c r="BX41" s="140"/>
      <c r="BY41" s="140"/>
      <c r="BZ41" s="140"/>
      <c r="CA41" s="140"/>
      <c r="CB41" s="140"/>
      <c r="CC41" s="140"/>
      <c r="CD41" s="150"/>
      <c r="CE41" s="155"/>
      <c r="CF41" s="150" t="s">
        <v>268</v>
      </c>
      <c r="CG41" s="152"/>
      <c r="CH41" s="252" t="s">
        <v>269</v>
      </c>
      <c r="CI41" s="160"/>
      <c r="CJ41" s="159"/>
      <c r="CK41" s="160"/>
      <c r="CL41" s="159"/>
      <c r="CM41" s="160"/>
      <c r="CN41" s="159"/>
      <c r="CO41" s="160"/>
      <c r="CP41" s="159"/>
      <c r="CQ41" s="162"/>
      <c r="CR41" s="160"/>
      <c r="CS41" s="253">
        <f>SUM(IF(AU41&lt;0,ABS(AU41),0),IF(AZ41&lt;0,ABS(AZ41),0),ABS(CI41),ABS(CK41),ABS(CM41),ABS(CO41),ABS(CQ41),ABS(CR41))</f>
        <v>0</v>
      </c>
      <c r="CT41" s="254">
        <f>SUM(AU41,AV41,AW41,AX41/400,AY41,AZ41,BG41,BH41*0.5,BI41*0.25,BJ41,BK41,BL41,BM41,BN41,BO41,BP41,BR41/20,BS41/100,BT41/60,BU41,BV41,BW41,BX41/4,SUM(BY41:CC51)/3,CE41,CG41/3,CI41,CK41,CM41,CO41,CQ41,CR41)</f>
        <v>2</v>
      </c>
      <c r="CU41" s="255" t="str">
        <f t="shared" si="2"/>
        <v>MVK</v>
      </c>
    </row>
    <row r="42" ht="60.0" customHeight="1">
      <c r="A42" s="65"/>
      <c r="B42" s="65"/>
      <c r="C42" s="167">
        <v>2.0</v>
      </c>
      <c r="D42" s="168" t="s">
        <v>158</v>
      </c>
      <c r="E42" s="169"/>
      <c r="F42" s="170"/>
      <c r="G42" s="170"/>
      <c r="H42" s="170"/>
      <c r="I42" s="207"/>
      <c r="J42" s="170"/>
      <c r="K42" s="171"/>
      <c r="L42" s="171"/>
      <c r="M42" s="171"/>
      <c r="N42" s="276"/>
      <c r="O42" s="256">
        <f t="shared" si="8"/>
        <v>0</v>
      </c>
      <c r="Q42" s="173"/>
      <c r="R42" s="65"/>
      <c r="S42" s="173"/>
      <c r="T42" s="173"/>
      <c r="U42" s="166"/>
      <c r="V42" s="166"/>
      <c r="W42" s="65"/>
      <c r="X42" s="66"/>
      <c r="Y42" s="173"/>
      <c r="Z42" s="166"/>
      <c r="AA42" s="174"/>
      <c r="AB42" s="175"/>
      <c r="AC42" s="175"/>
      <c r="AD42" s="175"/>
      <c r="AE42" s="175"/>
      <c r="AF42" s="175"/>
      <c r="AG42" s="175"/>
      <c r="AH42" s="175"/>
      <c r="AI42" s="176"/>
      <c r="AJ42" s="177"/>
      <c r="AK42" s="178"/>
      <c r="AL42" s="178"/>
      <c r="AM42" s="178"/>
      <c r="AN42" s="178"/>
      <c r="AO42" s="179"/>
      <c r="AP42" s="64"/>
      <c r="AQ42" s="65"/>
      <c r="AR42" s="65"/>
      <c r="AS42" s="65"/>
      <c r="AT42" s="173"/>
      <c r="AU42" s="177"/>
      <c r="AV42" s="178"/>
      <c r="AW42" s="178"/>
      <c r="AX42" s="179"/>
      <c r="AZ42" s="166"/>
      <c r="BA42" s="177"/>
      <c r="BB42" s="178"/>
      <c r="BC42" s="178"/>
      <c r="BD42" s="178"/>
      <c r="BE42" s="178"/>
      <c r="BF42" s="178"/>
      <c r="BG42" s="178"/>
      <c r="BH42" s="178"/>
      <c r="BI42" s="179"/>
      <c r="BJ42" s="180"/>
      <c r="BK42" s="178"/>
      <c r="BL42" s="178"/>
      <c r="BM42" s="178"/>
      <c r="BN42" s="178"/>
      <c r="BO42" s="181"/>
      <c r="BP42" s="166"/>
      <c r="BQ42" s="177"/>
      <c r="BR42" s="178"/>
      <c r="BS42" s="179"/>
      <c r="BU42" s="166"/>
      <c r="BV42" s="166"/>
      <c r="BW42" s="166"/>
      <c r="BX42" s="166"/>
      <c r="BY42" s="166"/>
      <c r="BZ42" s="166"/>
      <c r="CA42" s="166"/>
      <c r="CB42" s="166"/>
      <c r="CC42" s="166"/>
      <c r="CD42" s="177"/>
      <c r="CE42" s="181"/>
      <c r="CF42" s="177"/>
      <c r="CG42" s="179"/>
      <c r="CH42" s="257"/>
      <c r="CI42" s="182"/>
      <c r="CJ42" s="177"/>
      <c r="CK42" s="182"/>
      <c r="CL42" s="177"/>
      <c r="CM42" s="182"/>
      <c r="CN42" s="177"/>
      <c r="CO42" s="182"/>
      <c r="CP42" s="177"/>
      <c r="CQ42" s="178"/>
      <c r="CR42" s="182"/>
      <c r="CS42" s="173"/>
      <c r="CT42" s="65"/>
      <c r="CU42" s="255" t="str">
        <f t="shared" si="2"/>
        <v>MVK</v>
      </c>
    </row>
    <row r="43" ht="60.0" customHeight="1">
      <c r="A43" s="65"/>
      <c r="B43" s="65"/>
      <c r="C43" s="167">
        <v>3.0</v>
      </c>
      <c r="D43" s="168" t="s">
        <v>158</v>
      </c>
      <c r="E43" s="169"/>
      <c r="F43" s="170"/>
      <c r="G43" s="170"/>
      <c r="H43" s="170"/>
      <c r="I43" s="207"/>
      <c r="J43" s="170"/>
      <c r="K43" s="171"/>
      <c r="L43" s="171"/>
      <c r="M43" s="171"/>
      <c r="N43" s="276"/>
      <c r="O43" s="256">
        <f t="shared" si="8"/>
        <v>0</v>
      </c>
      <c r="Q43" s="173"/>
      <c r="R43" s="65"/>
      <c r="S43" s="173"/>
      <c r="T43" s="173"/>
      <c r="U43" s="166"/>
      <c r="V43" s="166"/>
      <c r="W43" s="65"/>
      <c r="X43" s="66"/>
      <c r="Y43" s="173"/>
      <c r="Z43" s="166"/>
      <c r="AA43" s="174"/>
      <c r="AB43" s="175"/>
      <c r="AC43" s="175"/>
      <c r="AD43" s="175"/>
      <c r="AE43" s="175"/>
      <c r="AF43" s="175"/>
      <c r="AG43" s="175"/>
      <c r="AH43" s="175"/>
      <c r="AI43" s="176"/>
      <c r="AJ43" s="177"/>
      <c r="AK43" s="178"/>
      <c r="AL43" s="178"/>
      <c r="AM43" s="178"/>
      <c r="AN43" s="178"/>
      <c r="AO43" s="179"/>
      <c r="AP43" s="64"/>
      <c r="AQ43" s="65"/>
      <c r="AR43" s="65"/>
      <c r="AS43" s="65"/>
      <c r="AT43" s="173"/>
      <c r="AU43" s="177"/>
      <c r="AV43" s="178"/>
      <c r="AW43" s="178"/>
      <c r="AX43" s="179"/>
      <c r="AZ43" s="166"/>
      <c r="BA43" s="177"/>
      <c r="BB43" s="178"/>
      <c r="BC43" s="178"/>
      <c r="BD43" s="178"/>
      <c r="BE43" s="178"/>
      <c r="BF43" s="178"/>
      <c r="BG43" s="178"/>
      <c r="BH43" s="178"/>
      <c r="BI43" s="179"/>
      <c r="BJ43" s="180"/>
      <c r="BK43" s="178"/>
      <c r="BL43" s="178"/>
      <c r="BM43" s="178"/>
      <c r="BN43" s="178"/>
      <c r="BO43" s="181"/>
      <c r="BP43" s="166"/>
      <c r="BQ43" s="177"/>
      <c r="BR43" s="178"/>
      <c r="BS43" s="179"/>
      <c r="BU43" s="166"/>
      <c r="BV43" s="166"/>
      <c r="BW43" s="166"/>
      <c r="BX43" s="166"/>
      <c r="BY43" s="166"/>
      <c r="BZ43" s="166"/>
      <c r="CA43" s="166"/>
      <c r="CB43" s="166"/>
      <c r="CC43" s="166"/>
      <c r="CD43" s="177"/>
      <c r="CE43" s="181"/>
      <c r="CF43" s="177"/>
      <c r="CG43" s="179"/>
      <c r="CH43" s="257"/>
      <c r="CI43" s="182"/>
      <c r="CJ43" s="177"/>
      <c r="CK43" s="182"/>
      <c r="CL43" s="177"/>
      <c r="CM43" s="182"/>
      <c r="CN43" s="177"/>
      <c r="CO43" s="182"/>
      <c r="CP43" s="177"/>
      <c r="CQ43" s="178"/>
      <c r="CR43" s="182"/>
      <c r="CS43" s="173"/>
      <c r="CT43" s="65"/>
      <c r="CU43" s="255" t="str">
        <f t="shared" si="2"/>
        <v>MVK</v>
      </c>
    </row>
    <row r="44" ht="60.0" customHeight="1">
      <c r="A44" s="65"/>
      <c r="B44" s="65"/>
      <c r="C44" s="167">
        <v>4.0</v>
      </c>
      <c r="D44" s="168" t="s">
        <v>158</v>
      </c>
      <c r="E44" s="169"/>
      <c r="F44" s="170"/>
      <c r="G44" s="170"/>
      <c r="H44" s="170"/>
      <c r="I44" s="207"/>
      <c r="J44" s="170"/>
      <c r="K44" s="171"/>
      <c r="L44" s="171"/>
      <c r="M44" s="171"/>
      <c r="N44" s="276"/>
      <c r="O44" s="256">
        <f t="shared" si="8"/>
        <v>0</v>
      </c>
      <c r="Q44" s="173"/>
      <c r="R44" s="65"/>
      <c r="S44" s="173"/>
      <c r="T44" s="173"/>
      <c r="U44" s="166"/>
      <c r="V44" s="166"/>
      <c r="W44" s="65"/>
      <c r="X44" s="66"/>
      <c r="Y44" s="173"/>
      <c r="Z44" s="166"/>
      <c r="AA44" s="174"/>
      <c r="AB44" s="175"/>
      <c r="AC44" s="175"/>
      <c r="AD44" s="175"/>
      <c r="AE44" s="175"/>
      <c r="AF44" s="175"/>
      <c r="AG44" s="175"/>
      <c r="AH44" s="175"/>
      <c r="AI44" s="176"/>
      <c r="AJ44" s="177"/>
      <c r="AK44" s="178"/>
      <c r="AL44" s="178"/>
      <c r="AM44" s="178"/>
      <c r="AN44" s="178"/>
      <c r="AO44" s="179"/>
      <c r="AP44" s="64"/>
      <c r="AQ44" s="65"/>
      <c r="AR44" s="65"/>
      <c r="AS44" s="65"/>
      <c r="AT44" s="173"/>
      <c r="AU44" s="177"/>
      <c r="AV44" s="178"/>
      <c r="AW44" s="178"/>
      <c r="AX44" s="179"/>
      <c r="AZ44" s="166"/>
      <c r="BA44" s="177"/>
      <c r="BB44" s="178"/>
      <c r="BC44" s="178"/>
      <c r="BD44" s="178"/>
      <c r="BE44" s="178"/>
      <c r="BF44" s="178"/>
      <c r="BG44" s="178"/>
      <c r="BH44" s="178"/>
      <c r="BI44" s="179"/>
      <c r="BJ44" s="180"/>
      <c r="BK44" s="178"/>
      <c r="BL44" s="178"/>
      <c r="BM44" s="178"/>
      <c r="BN44" s="178"/>
      <c r="BO44" s="181"/>
      <c r="BP44" s="166"/>
      <c r="BQ44" s="177"/>
      <c r="BR44" s="178"/>
      <c r="BS44" s="179"/>
      <c r="BU44" s="166"/>
      <c r="BV44" s="166"/>
      <c r="BW44" s="166"/>
      <c r="BX44" s="166"/>
      <c r="BY44" s="166"/>
      <c r="BZ44" s="166"/>
      <c r="CA44" s="166"/>
      <c r="CB44" s="166"/>
      <c r="CC44" s="166"/>
      <c r="CD44" s="177"/>
      <c r="CE44" s="181"/>
      <c r="CF44" s="177"/>
      <c r="CG44" s="179"/>
      <c r="CH44" s="257"/>
      <c r="CI44" s="182"/>
      <c r="CJ44" s="177"/>
      <c r="CK44" s="182"/>
      <c r="CL44" s="177"/>
      <c r="CM44" s="182"/>
      <c r="CN44" s="177"/>
      <c r="CO44" s="182"/>
      <c r="CP44" s="177"/>
      <c r="CQ44" s="178"/>
      <c r="CR44" s="182"/>
      <c r="CS44" s="173"/>
      <c r="CT44" s="65"/>
      <c r="CU44" s="255" t="str">
        <f t="shared" si="2"/>
        <v>MVK</v>
      </c>
    </row>
    <row r="45" ht="60.0" customHeight="1">
      <c r="A45" s="65"/>
      <c r="B45" s="65"/>
      <c r="C45" s="167">
        <v>5.0</v>
      </c>
      <c r="D45" s="168" t="s">
        <v>158</v>
      </c>
      <c r="E45" s="169"/>
      <c r="F45" s="170"/>
      <c r="G45" s="170"/>
      <c r="H45" s="170"/>
      <c r="I45" s="207"/>
      <c r="J45" s="170"/>
      <c r="K45" s="171"/>
      <c r="L45" s="171"/>
      <c r="M45" s="171"/>
      <c r="N45" s="276"/>
      <c r="O45" s="256">
        <f t="shared" si="8"/>
        <v>0</v>
      </c>
      <c r="Q45" s="173"/>
      <c r="R45" s="65"/>
      <c r="S45" s="173"/>
      <c r="T45" s="173"/>
      <c r="U45" s="166"/>
      <c r="V45" s="166"/>
      <c r="W45" s="65"/>
      <c r="X45" s="66"/>
      <c r="Y45" s="173"/>
      <c r="Z45" s="166"/>
      <c r="AA45" s="174"/>
      <c r="AB45" s="175"/>
      <c r="AC45" s="175"/>
      <c r="AD45" s="175"/>
      <c r="AE45" s="175"/>
      <c r="AF45" s="175"/>
      <c r="AG45" s="175"/>
      <c r="AH45" s="175"/>
      <c r="AI45" s="176"/>
      <c r="AJ45" s="177"/>
      <c r="AK45" s="178"/>
      <c r="AL45" s="178"/>
      <c r="AM45" s="178"/>
      <c r="AN45" s="178"/>
      <c r="AO45" s="179"/>
      <c r="AP45" s="64"/>
      <c r="AQ45" s="65"/>
      <c r="AR45" s="65"/>
      <c r="AS45" s="65"/>
      <c r="AT45" s="173"/>
      <c r="AU45" s="177"/>
      <c r="AV45" s="178"/>
      <c r="AW45" s="178"/>
      <c r="AX45" s="179"/>
      <c r="AZ45" s="166"/>
      <c r="BA45" s="177"/>
      <c r="BB45" s="178"/>
      <c r="BC45" s="178"/>
      <c r="BD45" s="178"/>
      <c r="BE45" s="178"/>
      <c r="BF45" s="178"/>
      <c r="BG45" s="178"/>
      <c r="BH45" s="178"/>
      <c r="BI45" s="179"/>
      <c r="BJ45" s="180"/>
      <c r="BK45" s="178"/>
      <c r="BL45" s="178"/>
      <c r="BM45" s="178"/>
      <c r="BN45" s="178"/>
      <c r="BO45" s="181"/>
      <c r="BP45" s="166"/>
      <c r="BQ45" s="177"/>
      <c r="BR45" s="178"/>
      <c r="BS45" s="179"/>
      <c r="BU45" s="166"/>
      <c r="BV45" s="166"/>
      <c r="BW45" s="166"/>
      <c r="BX45" s="166"/>
      <c r="BY45" s="166"/>
      <c r="BZ45" s="166"/>
      <c r="CA45" s="166"/>
      <c r="CB45" s="166"/>
      <c r="CC45" s="166"/>
      <c r="CD45" s="177"/>
      <c r="CE45" s="181"/>
      <c r="CF45" s="177"/>
      <c r="CG45" s="179"/>
      <c r="CH45" s="257"/>
      <c r="CI45" s="182"/>
      <c r="CJ45" s="177"/>
      <c r="CK45" s="182"/>
      <c r="CL45" s="177"/>
      <c r="CM45" s="182"/>
      <c r="CN45" s="177"/>
      <c r="CO45" s="182"/>
      <c r="CP45" s="177"/>
      <c r="CQ45" s="178"/>
      <c r="CR45" s="182"/>
      <c r="CS45" s="173"/>
      <c r="CT45" s="65"/>
      <c r="CU45" s="255" t="str">
        <f t="shared" si="2"/>
        <v>MVK</v>
      </c>
    </row>
    <row r="46" ht="60.0" customHeight="1">
      <c r="A46" s="65"/>
      <c r="B46" s="65"/>
      <c r="C46" s="167">
        <v>6.0</v>
      </c>
      <c r="D46" s="168" t="s">
        <v>158</v>
      </c>
      <c r="E46" s="169"/>
      <c r="F46" s="170"/>
      <c r="G46" s="170"/>
      <c r="H46" s="170"/>
      <c r="I46" s="207"/>
      <c r="J46" s="170"/>
      <c r="K46" s="171"/>
      <c r="L46" s="171"/>
      <c r="M46" s="171"/>
      <c r="N46" s="276"/>
      <c r="O46" s="256">
        <f t="shared" si="8"/>
        <v>0</v>
      </c>
      <c r="Q46" s="173"/>
      <c r="R46" s="65"/>
      <c r="S46" s="173"/>
      <c r="T46" s="173"/>
      <c r="U46" s="166"/>
      <c r="V46" s="166"/>
      <c r="W46" s="65"/>
      <c r="X46" s="66"/>
      <c r="Y46" s="173"/>
      <c r="Z46" s="166"/>
      <c r="AA46" s="174"/>
      <c r="AB46" s="175"/>
      <c r="AC46" s="175"/>
      <c r="AD46" s="175"/>
      <c r="AE46" s="175"/>
      <c r="AF46" s="175"/>
      <c r="AG46" s="175"/>
      <c r="AH46" s="175"/>
      <c r="AI46" s="176"/>
      <c r="AJ46" s="177"/>
      <c r="AK46" s="178"/>
      <c r="AL46" s="178"/>
      <c r="AM46" s="178"/>
      <c r="AN46" s="178"/>
      <c r="AO46" s="179"/>
      <c r="AP46" s="64"/>
      <c r="AQ46" s="65"/>
      <c r="AR46" s="65"/>
      <c r="AS46" s="65"/>
      <c r="AT46" s="173"/>
      <c r="AU46" s="177"/>
      <c r="AV46" s="178"/>
      <c r="AW46" s="178"/>
      <c r="AX46" s="179"/>
      <c r="AZ46" s="166"/>
      <c r="BA46" s="177"/>
      <c r="BB46" s="178"/>
      <c r="BC46" s="178"/>
      <c r="BD46" s="178"/>
      <c r="BE46" s="178"/>
      <c r="BF46" s="178"/>
      <c r="BG46" s="178"/>
      <c r="BH46" s="178"/>
      <c r="BI46" s="179"/>
      <c r="BJ46" s="180"/>
      <c r="BK46" s="178"/>
      <c r="BL46" s="178"/>
      <c r="BM46" s="178"/>
      <c r="BN46" s="178"/>
      <c r="BO46" s="181"/>
      <c r="BP46" s="166"/>
      <c r="BQ46" s="177"/>
      <c r="BR46" s="178"/>
      <c r="BS46" s="179"/>
      <c r="BU46" s="166"/>
      <c r="BV46" s="166"/>
      <c r="BW46" s="166"/>
      <c r="BX46" s="166"/>
      <c r="BY46" s="166"/>
      <c r="BZ46" s="166"/>
      <c r="CA46" s="166"/>
      <c r="CB46" s="166"/>
      <c r="CC46" s="166"/>
      <c r="CD46" s="177"/>
      <c r="CE46" s="181"/>
      <c r="CF46" s="177"/>
      <c r="CG46" s="179"/>
      <c r="CH46" s="257"/>
      <c r="CI46" s="182"/>
      <c r="CJ46" s="177"/>
      <c r="CK46" s="182"/>
      <c r="CL46" s="177"/>
      <c r="CM46" s="182"/>
      <c r="CN46" s="177"/>
      <c r="CO46" s="182"/>
      <c r="CP46" s="177"/>
      <c r="CQ46" s="178"/>
      <c r="CR46" s="182"/>
      <c r="CS46" s="173"/>
      <c r="CT46" s="65"/>
      <c r="CU46" s="255" t="str">
        <f t="shared" si="2"/>
        <v>MVK</v>
      </c>
    </row>
    <row r="47" ht="60.0" customHeight="1">
      <c r="A47" s="65"/>
      <c r="B47" s="65"/>
      <c r="C47" s="167">
        <v>7.0</v>
      </c>
      <c r="D47" s="168" t="s">
        <v>158</v>
      </c>
      <c r="E47" s="169"/>
      <c r="F47" s="170"/>
      <c r="G47" s="170"/>
      <c r="H47" s="170"/>
      <c r="I47" s="207"/>
      <c r="J47" s="170"/>
      <c r="K47" s="171"/>
      <c r="L47" s="171"/>
      <c r="M47" s="171"/>
      <c r="N47" s="276"/>
      <c r="O47" s="256">
        <f t="shared" ref="O47:O50" si="9">IF(AND(M47&gt;=20,M47&lt;&gt;"m",RIGHT(K47,3)="Lec"),1,IF(AND(M47&gt;=20,M47&lt;&gt;"m",OR(RIGHT(K47,3)="Lab",RIGHT(K47,3)="Tut")),0.5,IF(AND(M47&gt;=20,M47&lt;&gt;"m",RIGHT(K47,2)="TL"),0.75,0)))</f>
        <v>0</v>
      </c>
      <c r="Q47" s="173"/>
      <c r="R47" s="65"/>
      <c r="S47" s="173"/>
      <c r="T47" s="173"/>
      <c r="U47" s="166"/>
      <c r="V47" s="166"/>
      <c r="W47" s="65"/>
      <c r="X47" s="66"/>
      <c r="Y47" s="173"/>
      <c r="Z47" s="166"/>
      <c r="AA47" s="174"/>
      <c r="AB47" s="175"/>
      <c r="AC47" s="175"/>
      <c r="AD47" s="175"/>
      <c r="AE47" s="175"/>
      <c r="AF47" s="175"/>
      <c r="AG47" s="175"/>
      <c r="AH47" s="175"/>
      <c r="AI47" s="176"/>
      <c r="AJ47" s="177"/>
      <c r="AK47" s="178"/>
      <c r="AL47" s="178"/>
      <c r="AM47" s="178"/>
      <c r="AN47" s="178"/>
      <c r="AO47" s="179"/>
      <c r="AP47" s="64"/>
      <c r="AQ47" s="65"/>
      <c r="AR47" s="65"/>
      <c r="AS47" s="65"/>
      <c r="AT47" s="173"/>
      <c r="AU47" s="177"/>
      <c r="AV47" s="178"/>
      <c r="AW47" s="178"/>
      <c r="AX47" s="179"/>
      <c r="AZ47" s="166"/>
      <c r="BA47" s="177"/>
      <c r="BB47" s="178"/>
      <c r="BC47" s="178"/>
      <c r="BD47" s="178"/>
      <c r="BE47" s="178"/>
      <c r="BF47" s="178"/>
      <c r="BG47" s="178"/>
      <c r="BH47" s="178"/>
      <c r="BI47" s="179"/>
      <c r="BJ47" s="180"/>
      <c r="BK47" s="178"/>
      <c r="BL47" s="178"/>
      <c r="BM47" s="178"/>
      <c r="BN47" s="178"/>
      <c r="BO47" s="181"/>
      <c r="BP47" s="166"/>
      <c r="BQ47" s="177"/>
      <c r="BR47" s="178"/>
      <c r="BS47" s="179"/>
      <c r="BU47" s="166"/>
      <c r="BV47" s="166"/>
      <c r="BW47" s="166"/>
      <c r="BX47" s="166"/>
      <c r="BY47" s="166"/>
      <c r="BZ47" s="166"/>
      <c r="CA47" s="166"/>
      <c r="CB47" s="166"/>
      <c r="CC47" s="166"/>
      <c r="CD47" s="177"/>
      <c r="CE47" s="181"/>
      <c r="CF47" s="177"/>
      <c r="CG47" s="179"/>
      <c r="CH47" s="257"/>
      <c r="CI47" s="182"/>
      <c r="CJ47" s="177"/>
      <c r="CK47" s="182"/>
      <c r="CL47" s="177"/>
      <c r="CM47" s="182"/>
      <c r="CN47" s="177"/>
      <c r="CO47" s="182"/>
      <c r="CP47" s="177"/>
      <c r="CQ47" s="178"/>
      <c r="CR47" s="182"/>
      <c r="CS47" s="173"/>
      <c r="CT47" s="65"/>
      <c r="CU47" s="255" t="str">
        <f t="shared" si="2"/>
        <v>MVK</v>
      </c>
    </row>
    <row r="48" ht="60.0" customHeight="1">
      <c r="A48" s="65"/>
      <c r="B48" s="65"/>
      <c r="C48" s="167">
        <v>8.0</v>
      </c>
      <c r="D48" s="168" t="s">
        <v>158</v>
      </c>
      <c r="E48" s="169"/>
      <c r="F48" s="170"/>
      <c r="G48" s="170"/>
      <c r="H48" s="170"/>
      <c r="I48" s="207"/>
      <c r="J48" s="170"/>
      <c r="K48" s="171"/>
      <c r="L48" s="171"/>
      <c r="M48" s="171"/>
      <c r="N48" s="276"/>
      <c r="O48" s="256">
        <f t="shared" si="9"/>
        <v>0</v>
      </c>
      <c r="Q48" s="173"/>
      <c r="R48" s="65"/>
      <c r="S48" s="173"/>
      <c r="T48" s="173"/>
      <c r="U48" s="166"/>
      <c r="V48" s="166"/>
      <c r="W48" s="65"/>
      <c r="X48" s="66"/>
      <c r="Y48" s="173"/>
      <c r="Z48" s="166"/>
      <c r="AA48" s="174"/>
      <c r="AB48" s="175"/>
      <c r="AC48" s="175"/>
      <c r="AD48" s="175"/>
      <c r="AE48" s="175"/>
      <c r="AF48" s="175"/>
      <c r="AG48" s="175"/>
      <c r="AH48" s="175"/>
      <c r="AI48" s="176"/>
      <c r="AJ48" s="177"/>
      <c r="AK48" s="178"/>
      <c r="AL48" s="178"/>
      <c r="AM48" s="178"/>
      <c r="AN48" s="178"/>
      <c r="AO48" s="179"/>
      <c r="AP48" s="64"/>
      <c r="AQ48" s="65"/>
      <c r="AR48" s="65"/>
      <c r="AS48" s="65"/>
      <c r="AT48" s="173"/>
      <c r="AU48" s="177"/>
      <c r="AV48" s="178"/>
      <c r="AW48" s="178"/>
      <c r="AX48" s="179"/>
      <c r="AZ48" s="166"/>
      <c r="BA48" s="177"/>
      <c r="BB48" s="178"/>
      <c r="BC48" s="178"/>
      <c r="BD48" s="178"/>
      <c r="BE48" s="178"/>
      <c r="BF48" s="178"/>
      <c r="BG48" s="178"/>
      <c r="BH48" s="178"/>
      <c r="BI48" s="179"/>
      <c r="BJ48" s="180"/>
      <c r="BK48" s="178"/>
      <c r="BL48" s="178"/>
      <c r="BM48" s="178"/>
      <c r="BN48" s="178"/>
      <c r="BO48" s="181"/>
      <c r="BP48" s="166"/>
      <c r="BQ48" s="177"/>
      <c r="BR48" s="178"/>
      <c r="BS48" s="179"/>
      <c r="BU48" s="166"/>
      <c r="BV48" s="166"/>
      <c r="BW48" s="166"/>
      <c r="BX48" s="166"/>
      <c r="BY48" s="166"/>
      <c r="BZ48" s="166"/>
      <c r="CA48" s="166"/>
      <c r="CB48" s="166"/>
      <c r="CC48" s="166"/>
      <c r="CD48" s="177"/>
      <c r="CE48" s="181"/>
      <c r="CF48" s="177"/>
      <c r="CG48" s="179"/>
      <c r="CH48" s="257"/>
      <c r="CI48" s="182"/>
      <c r="CJ48" s="177"/>
      <c r="CK48" s="182"/>
      <c r="CL48" s="177"/>
      <c r="CM48" s="182"/>
      <c r="CN48" s="177"/>
      <c r="CO48" s="182"/>
      <c r="CP48" s="177"/>
      <c r="CQ48" s="178"/>
      <c r="CR48" s="182"/>
      <c r="CS48" s="173"/>
      <c r="CT48" s="65"/>
      <c r="CU48" s="255" t="str">
        <f t="shared" si="2"/>
        <v>MVK</v>
      </c>
    </row>
    <row r="49" ht="60.0" customHeight="1">
      <c r="A49" s="65"/>
      <c r="B49" s="65"/>
      <c r="C49" s="167">
        <v>9.0</v>
      </c>
      <c r="D49" s="168" t="s">
        <v>158</v>
      </c>
      <c r="E49" s="169"/>
      <c r="F49" s="170"/>
      <c r="G49" s="170"/>
      <c r="H49" s="170"/>
      <c r="I49" s="207"/>
      <c r="J49" s="170"/>
      <c r="K49" s="171"/>
      <c r="L49" s="171"/>
      <c r="M49" s="171"/>
      <c r="N49" s="276"/>
      <c r="O49" s="256">
        <f t="shared" si="9"/>
        <v>0</v>
      </c>
      <c r="Q49" s="173"/>
      <c r="R49" s="65"/>
      <c r="S49" s="173"/>
      <c r="T49" s="173"/>
      <c r="U49" s="166"/>
      <c r="V49" s="166"/>
      <c r="W49" s="65"/>
      <c r="X49" s="66"/>
      <c r="Y49" s="173"/>
      <c r="Z49" s="166"/>
      <c r="AA49" s="174"/>
      <c r="AB49" s="175"/>
      <c r="AC49" s="175"/>
      <c r="AD49" s="175"/>
      <c r="AE49" s="175"/>
      <c r="AF49" s="175"/>
      <c r="AG49" s="175"/>
      <c r="AH49" s="175"/>
      <c r="AI49" s="176"/>
      <c r="AJ49" s="177"/>
      <c r="AK49" s="178"/>
      <c r="AL49" s="178"/>
      <c r="AM49" s="178"/>
      <c r="AN49" s="178"/>
      <c r="AO49" s="179"/>
      <c r="AP49" s="64"/>
      <c r="AQ49" s="65"/>
      <c r="AR49" s="65"/>
      <c r="AS49" s="65"/>
      <c r="AT49" s="173"/>
      <c r="AU49" s="177"/>
      <c r="AV49" s="178"/>
      <c r="AW49" s="178"/>
      <c r="AX49" s="179"/>
      <c r="AZ49" s="166"/>
      <c r="BA49" s="177"/>
      <c r="BB49" s="178"/>
      <c r="BC49" s="178"/>
      <c r="BD49" s="178"/>
      <c r="BE49" s="178"/>
      <c r="BF49" s="178"/>
      <c r="BG49" s="178"/>
      <c r="BH49" s="178"/>
      <c r="BI49" s="179"/>
      <c r="BJ49" s="180"/>
      <c r="BK49" s="178"/>
      <c r="BL49" s="178"/>
      <c r="BM49" s="178"/>
      <c r="BN49" s="178"/>
      <c r="BO49" s="181"/>
      <c r="BP49" s="166"/>
      <c r="BQ49" s="177"/>
      <c r="BR49" s="178"/>
      <c r="BS49" s="179"/>
      <c r="BU49" s="166"/>
      <c r="BV49" s="166"/>
      <c r="BW49" s="166"/>
      <c r="BX49" s="166"/>
      <c r="BY49" s="166"/>
      <c r="BZ49" s="166"/>
      <c r="CA49" s="166"/>
      <c r="CB49" s="166"/>
      <c r="CC49" s="166"/>
      <c r="CD49" s="177"/>
      <c r="CE49" s="181"/>
      <c r="CF49" s="177"/>
      <c r="CG49" s="179"/>
      <c r="CH49" s="257"/>
      <c r="CI49" s="182"/>
      <c r="CJ49" s="177"/>
      <c r="CK49" s="182"/>
      <c r="CL49" s="177"/>
      <c r="CM49" s="182"/>
      <c r="CN49" s="177"/>
      <c r="CO49" s="182"/>
      <c r="CP49" s="177"/>
      <c r="CQ49" s="178"/>
      <c r="CR49" s="182"/>
      <c r="CS49" s="173"/>
      <c r="CT49" s="65"/>
      <c r="CU49" s="255" t="str">
        <f t="shared" si="2"/>
        <v>MVK</v>
      </c>
    </row>
    <row r="50" ht="60.0" customHeight="1">
      <c r="A50" s="65"/>
      <c r="B50" s="65"/>
      <c r="C50" s="167">
        <v>10.0</v>
      </c>
      <c r="D50" s="168" t="s">
        <v>158</v>
      </c>
      <c r="E50" s="169"/>
      <c r="F50" s="170"/>
      <c r="G50" s="170"/>
      <c r="H50" s="170"/>
      <c r="I50" s="207"/>
      <c r="J50" s="170"/>
      <c r="K50" s="171"/>
      <c r="L50" s="171"/>
      <c r="M50" s="171"/>
      <c r="N50" s="276"/>
      <c r="O50" s="256">
        <f t="shared" si="9"/>
        <v>0</v>
      </c>
      <c r="Q50" s="173"/>
      <c r="R50" s="65"/>
      <c r="S50" s="173"/>
      <c r="T50" s="173"/>
      <c r="U50" s="166"/>
      <c r="V50" s="166"/>
      <c r="W50" s="65"/>
      <c r="X50" s="66"/>
      <c r="Y50" s="173"/>
      <c r="Z50" s="166"/>
      <c r="AA50" s="174"/>
      <c r="AB50" s="175"/>
      <c r="AC50" s="175"/>
      <c r="AD50" s="175"/>
      <c r="AE50" s="175"/>
      <c r="AF50" s="175"/>
      <c r="AG50" s="175"/>
      <c r="AH50" s="175"/>
      <c r="AI50" s="176"/>
      <c r="AJ50" s="177"/>
      <c r="AK50" s="178"/>
      <c r="AL50" s="178"/>
      <c r="AM50" s="178"/>
      <c r="AN50" s="178"/>
      <c r="AO50" s="179"/>
      <c r="AP50" s="64"/>
      <c r="AQ50" s="65"/>
      <c r="AR50" s="65"/>
      <c r="AS50" s="65"/>
      <c r="AT50" s="173"/>
      <c r="AU50" s="177"/>
      <c r="AV50" s="178"/>
      <c r="AW50" s="178"/>
      <c r="AX50" s="179"/>
      <c r="AZ50" s="166"/>
      <c r="BA50" s="177"/>
      <c r="BB50" s="178"/>
      <c r="BC50" s="178"/>
      <c r="BD50" s="178"/>
      <c r="BE50" s="178"/>
      <c r="BF50" s="178"/>
      <c r="BG50" s="178"/>
      <c r="BH50" s="178"/>
      <c r="BI50" s="179"/>
      <c r="BJ50" s="180"/>
      <c r="BK50" s="178"/>
      <c r="BL50" s="178"/>
      <c r="BM50" s="178"/>
      <c r="BN50" s="178"/>
      <c r="BO50" s="181"/>
      <c r="BP50" s="166"/>
      <c r="BQ50" s="177"/>
      <c r="BR50" s="178"/>
      <c r="BS50" s="179"/>
      <c r="BU50" s="166"/>
      <c r="BV50" s="166"/>
      <c r="BW50" s="166"/>
      <c r="BX50" s="166"/>
      <c r="BY50" s="166"/>
      <c r="BZ50" s="166"/>
      <c r="CA50" s="166"/>
      <c r="CB50" s="166"/>
      <c r="CC50" s="166"/>
      <c r="CD50" s="177"/>
      <c r="CE50" s="181"/>
      <c r="CF50" s="177"/>
      <c r="CG50" s="179"/>
      <c r="CH50" s="257"/>
      <c r="CI50" s="182"/>
      <c r="CJ50" s="177"/>
      <c r="CK50" s="182"/>
      <c r="CL50" s="177"/>
      <c r="CM50" s="182"/>
      <c r="CN50" s="177"/>
      <c r="CO50" s="182"/>
      <c r="CP50" s="177"/>
      <c r="CQ50" s="178"/>
      <c r="CR50" s="182"/>
      <c r="CS50" s="173"/>
      <c r="CT50" s="65"/>
      <c r="CU50" s="255" t="str">
        <f t="shared" si="2"/>
        <v>MVK</v>
      </c>
    </row>
    <row r="51" ht="60.0" customHeight="1">
      <c r="A51" s="89"/>
      <c r="B51" s="89"/>
      <c r="C51" s="183">
        <v>11.0</v>
      </c>
      <c r="D51" s="210" t="s">
        <v>158</v>
      </c>
      <c r="E51" s="185"/>
      <c r="F51" s="186"/>
      <c r="G51" s="186"/>
      <c r="H51" s="186"/>
      <c r="I51" s="212"/>
      <c r="J51" s="186"/>
      <c r="K51" s="187"/>
      <c r="L51" s="187"/>
      <c r="M51" s="187"/>
      <c r="N51" s="214"/>
      <c r="O51" s="258">
        <f t="shared" ref="O51:O57" si="10">IF(AND(M51&lt;&gt;0,M51&lt;&gt;"m",M51&lt;&gt;"",RIGHT(K51,3)="Lec"),1,IF(AND(M51&lt;&gt;0,M51&lt;&gt;"m",M51&lt;&gt;"",OR(RIGHT(K51,3)="Lab",RIGHT(K51,3)="Tut")),0.5,IF(AND(M51&lt;&gt;0,M51&lt;&gt;"m",M51&lt;&gt;"",RIGHT(K51,2)="TL"),0.75,0)))</f>
        <v>0</v>
      </c>
      <c r="P51" s="6"/>
      <c r="Q51" s="69"/>
      <c r="R51" s="89"/>
      <c r="S51" s="69"/>
      <c r="T51" s="69"/>
      <c r="U51" s="63"/>
      <c r="V51" s="63"/>
      <c r="W51" s="89"/>
      <c r="X51" s="68"/>
      <c r="Y51" s="69"/>
      <c r="Z51" s="63"/>
      <c r="AA51" s="189"/>
      <c r="AB51" s="190"/>
      <c r="AC51" s="190"/>
      <c r="AD51" s="190"/>
      <c r="AE51" s="190"/>
      <c r="AF51" s="190"/>
      <c r="AG51" s="190"/>
      <c r="AH51" s="190"/>
      <c r="AI51" s="191"/>
      <c r="AJ51" s="192"/>
      <c r="AK51" s="193"/>
      <c r="AL51" s="193"/>
      <c r="AM51" s="193"/>
      <c r="AN51" s="193"/>
      <c r="AO51" s="194"/>
      <c r="AP51" s="103"/>
      <c r="AQ51" s="89"/>
      <c r="AR51" s="89"/>
      <c r="AS51" s="89"/>
      <c r="AT51" s="69"/>
      <c r="AU51" s="192"/>
      <c r="AV51" s="193"/>
      <c r="AW51" s="193"/>
      <c r="AX51" s="194"/>
      <c r="AY51" s="6"/>
      <c r="AZ51" s="63"/>
      <c r="BA51" s="192"/>
      <c r="BB51" s="193"/>
      <c r="BC51" s="193"/>
      <c r="BD51" s="193"/>
      <c r="BE51" s="193"/>
      <c r="BF51" s="193"/>
      <c r="BG51" s="193"/>
      <c r="BH51" s="193"/>
      <c r="BI51" s="194"/>
      <c r="BJ51" s="195"/>
      <c r="BK51" s="193"/>
      <c r="BL51" s="193"/>
      <c r="BM51" s="193"/>
      <c r="BN51" s="193"/>
      <c r="BO51" s="196"/>
      <c r="BP51" s="63"/>
      <c r="BQ51" s="192"/>
      <c r="BR51" s="193"/>
      <c r="BS51" s="194"/>
      <c r="BT51" s="6"/>
      <c r="BU51" s="63"/>
      <c r="BV51" s="63"/>
      <c r="BW51" s="63"/>
      <c r="BX51" s="63"/>
      <c r="BY51" s="63"/>
      <c r="BZ51" s="63"/>
      <c r="CA51" s="63"/>
      <c r="CB51" s="63"/>
      <c r="CC51" s="63"/>
      <c r="CD51" s="192"/>
      <c r="CE51" s="196"/>
      <c r="CF51" s="192"/>
      <c r="CG51" s="194"/>
      <c r="CH51" s="259"/>
      <c r="CI51" s="197"/>
      <c r="CJ51" s="192"/>
      <c r="CK51" s="197"/>
      <c r="CL51" s="192"/>
      <c r="CM51" s="197"/>
      <c r="CN51" s="192"/>
      <c r="CO51" s="197"/>
      <c r="CP51" s="192"/>
      <c r="CQ51" s="193"/>
      <c r="CR51" s="197"/>
      <c r="CS51" s="69"/>
      <c r="CT51" s="89"/>
      <c r="CU51" s="255" t="str">
        <f t="shared" si="2"/>
        <v>MVK</v>
      </c>
    </row>
    <row r="52" ht="55.5" customHeight="1">
      <c r="A52" s="125">
        <v>5.0</v>
      </c>
      <c r="B52" s="274" t="s">
        <v>161</v>
      </c>
      <c r="C52" s="127">
        <v>1.0</v>
      </c>
      <c r="D52" s="168" t="s">
        <v>162</v>
      </c>
      <c r="E52" s="129"/>
      <c r="F52" s="130"/>
      <c r="G52" s="130"/>
      <c r="H52" s="130"/>
      <c r="I52" s="201"/>
      <c r="J52" s="130"/>
      <c r="K52" s="131"/>
      <c r="L52" s="131"/>
      <c r="M52" s="131"/>
      <c r="N52" s="275"/>
      <c r="O52" s="250">
        <f t="shared" si="10"/>
        <v>0</v>
      </c>
      <c r="P52" s="251">
        <f>COUNTIF(K52:K62,"TL")*0.75+COUNTIF(K52:K62,"Lec")*1+COUNTIF(K52:K62,"Lab")*0.5</f>
        <v>0</v>
      </c>
      <c r="Q52" s="134">
        <f>SUM((IF(LEFT(K52,1)="E",O52,0)),(IF(LEFT(K53,1)="E",O53,0)),(IF(LEFT(K54,1)="E",O54,0)),(IF(LEFT(K55,1)="E",O55,0)),(IF(LEFT(K56,1)="E",O56,0)),(IF(LEFT(K57,1)="E",O57,0)),(IF(LEFT(K58,1)="E",O58,0)),(IF(LEFT(K59,1)="E",O59,0)),(IF(LEFT(K60,1)="E",O60,0)),(IF(LEFT(K61,1)="E",O61,0)),(IF(LEFT(K62,1)="E",O62,0)))</f>
        <v>0</v>
      </c>
      <c r="R52" s="135">
        <f>SUM(IF(M58&lt;20,IF(K58="Plec",-1,IF(K58="PTL",-0.75,IF(K58="Plab",-0.5,0))),0),IF(M59&lt;20,IF(K59="Plec",-1,IF(K59="PTL",-0.75,IF(K59="Plab",-0.5,0))),0),IF(M60&lt;20,IF(K60="Plec",-1,IF(K60="PTL",-0.75,IF(K60="Plab",-0.5,0))),0),IF(M61&lt;20,IF(K61="Plec",-1,IF(K61="PTL",-0.75,IF(K61="Plab",-0.5,0))),0))</f>
        <v>0</v>
      </c>
      <c r="S52" s="134">
        <f>SUM(P52:R62)</f>
        <v>0</v>
      </c>
      <c r="T52" s="136">
        <f>SUM(IF(M52="M",IF(OR(K52="lec",K52="plec",K52="slec"),1,IF(OR(K52="lab",K52="plab",K52="slab",K52="tut",K52="ptut",K52="stut"),0.5,IF(OR(K52="TL",K52="pTL",K52="STL"),0.75,0))),0),IF(M53="M",IF(OR(K53="lec",K53="plec",K53="slec"),1,IF(OR(K53="lab",K53="plab",K53="slab",K53="tut",K53="ptut",K53="stut"),0.5,IF(OR(K53="TL",K53="pTL",K53="STL"),0.75,0))),0),IF(M54="M",IF(OR(K54="lec",K54="plec",K54="slec"),1,IF(OR(K54="lab",K54="plab",K54="slab",K54="tut",K54="ptut",K54="stut"),0.5,IF(OR(K54="TL",K54="pTL",K54="STL"),0.75,0))),0),IF(M55="M",IF(OR(K55="lec",K55="plec",K55="slec"),1,IF(OR(K55="lab",K55="plab",K55="slab",K55="tut",K55="ptut",K55="stut"),0.5,IF(OR(K55="TL",K55="pTL",K55="STL"),0.75,0))),0),IF(M56="M",IF(OR(K56="lec",K56="plec",K56="slec"),1,IF(OR(K56="lab",K56="plab",K56="slab",K56="tut",K56="ptut",K56="stut"),0.5,IF(OR(K56="TL",K56="pTL",K56="STL"),0.75,0))),0),IF(M57="M",IF(OR(K57="lec",K57="plec",K57="slec"),1,IF(OR(K57="lab",K57="plab",K57="slab",K57="tut",K57="ptut",K57="stut"),0.5,IF(OR(K57="TL",K57="pTL",K57="STL"),0.75,0))),0),IF(M58="M",IF(OR(K58="lec",K58="plec",K58="slec"),1,IF(OR(K58="lab",K58="plab",K58="slab",K58="tut",K58="ptut",K58="stut"),0.5,IF(OR(K58="TL",K58="pTL",K58="STL"),0.75,0))),0),IF(M59="M",IF(OR(K59="lec",K59="plec",K59="slec"),1,IF(OR(K59="lab",K59="plab",K59="slab",K59="tut",K59="ptut",K59="stut"),0.5,IF(OR(K59="TL",K59="pTL",K59="STL"),0.75,0))),0),IF(M60="M",IF(OR(K60="lec",K60="plec",K60="slec"),1,IF(OR(K60="lab",K60="plab",K60="slab",K60="tut",K60="ptut",K60="stut"),0.5,IF(OR(K60="TL",K60="pTL",K60="STL"),0.75,0))),0),IF(M61="M",IF(OR(K61="lec",K61="plec",K61="slec"),1,IF(OR(K61="lab",K61="plab",K61="slab",K61="tut",K61="ptut",K61="stut"),0.5,IF(OR(K61="TL",K61="pTL",K61="STL"),0.75,0))),0),IF(M62="M",IF(OR(K62="lec",K62="plec",K62="slec"),1,IF(OR(K62="lab",K62="plab",K62="slab",K62="tut",K62="ptut",K62="stut"),0.5,IF(OR(K62="TL",K62="pTL",K62="STL"),0.75,0))),0))</f>
        <v>0</v>
      </c>
      <c r="U52" s="137"/>
      <c r="V52" s="133"/>
      <c r="W52" s="138"/>
      <c r="X52" s="139">
        <f>S52-(T52+U52+V52+W52)</f>
        <v>0</v>
      </c>
      <c r="Y52" s="134" t="str">
        <f>CONCATENATE(SUM(O52:O62),"(",SUM(O52:O62)-X52,")")</f>
        <v>0(0)</v>
      </c>
      <c r="Z52" s="140"/>
      <c r="AA52" s="141"/>
      <c r="AB52" s="142"/>
      <c r="AC52" s="142"/>
      <c r="AD52" s="142"/>
      <c r="AE52" s="142"/>
      <c r="AF52" s="142"/>
      <c r="AG52" s="142"/>
      <c r="AH52" s="142"/>
      <c r="AI52" s="143"/>
      <c r="AJ52" s="144"/>
      <c r="AK52" s="145"/>
      <c r="AL52" s="145"/>
      <c r="AM52" s="145"/>
      <c r="AN52" s="145"/>
      <c r="AO52" s="146"/>
      <c r="AP52" s="147">
        <f>SUM(SUM(O52:O62),SUM(AI52:AI62)/2,AM52)</f>
        <v>0</v>
      </c>
      <c r="AQ52" s="148"/>
      <c r="AR52" s="148">
        <f>AP52*AQ52</f>
        <v>0</v>
      </c>
      <c r="AS52" s="148">
        <f>CT52</f>
        <v>4.25</v>
      </c>
      <c r="AT52" s="149">
        <f>AR52*0.75+AS52*0.25</f>
        <v>1.0625</v>
      </c>
      <c r="AU52" s="150"/>
      <c r="AV52" s="151"/>
      <c r="AW52" s="151"/>
      <c r="AX52" s="152"/>
      <c r="AY52" s="153"/>
      <c r="AZ52" s="140"/>
      <c r="BA52" s="150"/>
      <c r="BB52" s="151"/>
      <c r="BC52" s="151"/>
      <c r="BD52" s="151"/>
      <c r="BE52" s="151"/>
      <c r="BF52" s="151"/>
      <c r="BG52" s="151"/>
      <c r="BH52" s="151"/>
      <c r="BI52" s="152"/>
      <c r="BJ52" s="154"/>
      <c r="BK52" s="151"/>
      <c r="BL52" s="151"/>
      <c r="BM52" s="151"/>
      <c r="BN52" s="151">
        <v>4.2</v>
      </c>
      <c r="BO52" s="155"/>
      <c r="BP52" s="140"/>
      <c r="BQ52" s="156" t="s">
        <v>265</v>
      </c>
      <c r="BR52" s="157">
        <v>1.0</v>
      </c>
      <c r="BS52" s="158">
        <v>0.0</v>
      </c>
      <c r="BT52" s="153"/>
      <c r="BU52" s="140"/>
      <c r="BV52" s="140"/>
      <c r="BW52" s="140"/>
      <c r="BX52" s="140"/>
      <c r="BY52" s="140"/>
      <c r="BZ52" s="140"/>
      <c r="CA52" s="140"/>
      <c r="CB52" s="140"/>
      <c r="CC52" s="140"/>
      <c r="CD52" s="150"/>
      <c r="CE52" s="155"/>
      <c r="CF52" s="150" t="s">
        <v>270</v>
      </c>
      <c r="CG52" s="152"/>
      <c r="CH52" s="252"/>
      <c r="CI52" s="160"/>
      <c r="CJ52" s="159"/>
      <c r="CK52" s="160"/>
      <c r="CL52" s="159"/>
      <c r="CM52" s="160"/>
      <c r="CN52" s="159"/>
      <c r="CO52" s="160"/>
      <c r="CP52" s="159"/>
      <c r="CQ52" s="162"/>
      <c r="CR52" s="160"/>
      <c r="CS52" s="253">
        <f>SUM(IF(AU52&lt;0,ABS(AU52),0),IF(AZ52&lt;0,ABS(AZ52),0),ABS(CI52),ABS(CK52),ABS(CM52),ABS(CO52),ABS(CQ52),ABS(CR52))</f>
        <v>0</v>
      </c>
      <c r="CT52" s="254">
        <f>SUM(AU52,AV52,AW52,AX52/400,AY52,AZ52,BG52,BH52*0.5,BI52*0.25,BJ52,BK52,BL52,BM52,BN52,BO52,BP52,BR52/20,BS52/100,BT52/60,BU52,BV52,BW52,BX52/4,SUM(BY52:CC62)/3,CE52,CG52/3,CI52,CK52,CM52,CO52,CQ52,CR52)</f>
        <v>4.25</v>
      </c>
      <c r="CU52" s="255" t="str">
        <f t="shared" si="2"/>
        <v>PCS</v>
      </c>
    </row>
    <row r="53" ht="60.0" customHeight="1">
      <c r="A53" s="65"/>
      <c r="B53" s="65"/>
      <c r="C53" s="167">
        <v>2.0</v>
      </c>
      <c r="D53" s="168" t="s">
        <v>162</v>
      </c>
      <c r="E53" s="169"/>
      <c r="F53" s="170"/>
      <c r="G53" s="170"/>
      <c r="H53" s="170"/>
      <c r="I53" s="207"/>
      <c r="J53" s="170"/>
      <c r="K53" s="171"/>
      <c r="L53" s="171"/>
      <c r="M53" s="171"/>
      <c r="N53" s="276"/>
      <c r="O53" s="256">
        <f t="shared" si="10"/>
        <v>0</v>
      </c>
      <c r="Q53" s="173"/>
      <c r="R53" s="65"/>
      <c r="S53" s="173"/>
      <c r="T53" s="173"/>
      <c r="U53" s="166"/>
      <c r="V53" s="166"/>
      <c r="W53" s="65"/>
      <c r="X53" s="66"/>
      <c r="Y53" s="173"/>
      <c r="Z53" s="166"/>
      <c r="AA53" s="174"/>
      <c r="AB53" s="175"/>
      <c r="AC53" s="175"/>
      <c r="AD53" s="175"/>
      <c r="AE53" s="175"/>
      <c r="AF53" s="175"/>
      <c r="AG53" s="175"/>
      <c r="AH53" s="175"/>
      <c r="AI53" s="176"/>
      <c r="AJ53" s="177"/>
      <c r="AK53" s="178"/>
      <c r="AL53" s="178"/>
      <c r="AM53" s="178"/>
      <c r="AN53" s="178"/>
      <c r="AO53" s="179"/>
      <c r="AP53" s="64"/>
      <c r="AQ53" s="65"/>
      <c r="AR53" s="65"/>
      <c r="AS53" s="65"/>
      <c r="AT53" s="173"/>
      <c r="AU53" s="177"/>
      <c r="AV53" s="178"/>
      <c r="AW53" s="178"/>
      <c r="AX53" s="179"/>
      <c r="AZ53" s="166"/>
      <c r="BA53" s="177"/>
      <c r="BB53" s="178"/>
      <c r="BC53" s="178"/>
      <c r="BD53" s="178"/>
      <c r="BE53" s="178"/>
      <c r="BF53" s="178"/>
      <c r="BG53" s="178"/>
      <c r="BH53" s="178"/>
      <c r="BI53" s="179"/>
      <c r="BJ53" s="180"/>
      <c r="BK53" s="178"/>
      <c r="BL53" s="178"/>
      <c r="BM53" s="178"/>
      <c r="BN53" s="178"/>
      <c r="BO53" s="181"/>
      <c r="BP53" s="166"/>
      <c r="BQ53" s="177"/>
      <c r="BR53" s="178"/>
      <c r="BS53" s="179"/>
      <c r="BU53" s="166"/>
      <c r="BV53" s="166"/>
      <c r="BW53" s="166"/>
      <c r="BX53" s="166"/>
      <c r="BY53" s="166"/>
      <c r="BZ53" s="166"/>
      <c r="CA53" s="166"/>
      <c r="CB53" s="166"/>
      <c r="CC53" s="166"/>
      <c r="CD53" s="177"/>
      <c r="CE53" s="181"/>
      <c r="CF53" s="177"/>
      <c r="CG53" s="179"/>
      <c r="CH53" s="257"/>
      <c r="CI53" s="182"/>
      <c r="CJ53" s="177"/>
      <c r="CK53" s="182"/>
      <c r="CL53" s="177"/>
      <c r="CM53" s="182"/>
      <c r="CN53" s="177"/>
      <c r="CO53" s="182"/>
      <c r="CP53" s="177"/>
      <c r="CQ53" s="178"/>
      <c r="CR53" s="182"/>
      <c r="CS53" s="173"/>
      <c r="CT53" s="65"/>
      <c r="CU53" s="255" t="str">
        <f t="shared" si="2"/>
        <v>PCS</v>
      </c>
    </row>
    <row r="54" ht="60.0" customHeight="1">
      <c r="A54" s="65"/>
      <c r="B54" s="65"/>
      <c r="C54" s="167">
        <v>3.0</v>
      </c>
      <c r="D54" s="168" t="s">
        <v>162</v>
      </c>
      <c r="E54" s="169"/>
      <c r="F54" s="170"/>
      <c r="G54" s="170"/>
      <c r="H54" s="170"/>
      <c r="I54" s="207"/>
      <c r="J54" s="170"/>
      <c r="K54" s="171"/>
      <c r="L54" s="171"/>
      <c r="M54" s="171"/>
      <c r="N54" s="276"/>
      <c r="O54" s="256">
        <f t="shared" si="10"/>
        <v>0</v>
      </c>
      <c r="Q54" s="173"/>
      <c r="R54" s="65"/>
      <c r="S54" s="173"/>
      <c r="T54" s="173"/>
      <c r="U54" s="166"/>
      <c r="V54" s="166"/>
      <c r="W54" s="65"/>
      <c r="X54" s="66"/>
      <c r="Y54" s="173"/>
      <c r="Z54" s="166"/>
      <c r="AA54" s="174"/>
      <c r="AB54" s="175"/>
      <c r="AC54" s="175"/>
      <c r="AD54" s="175"/>
      <c r="AE54" s="175"/>
      <c r="AF54" s="175"/>
      <c r="AG54" s="175"/>
      <c r="AH54" s="175"/>
      <c r="AI54" s="176"/>
      <c r="AJ54" s="177"/>
      <c r="AK54" s="178"/>
      <c r="AL54" s="178"/>
      <c r="AM54" s="178"/>
      <c r="AN54" s="178"/>
      <c r="AO54" s="179"/>
      <c r="AP54" s="64"/>
      <c r="AQ54" s="65"/>
      <c r="AR54" s="65"/>
      <c r="AS54" s="65"/>
      <c r="AT54" s="173"/>
      <c r="AU54" s="177"/>
      <c r="AV54" s="178"/>
      <c r="AW54" s="178"/>
      <c r="AX54" s="179"/>
      <c r="AZ54" s="166"/>
      <c r="BA54" s="177"/>
      <c r="BB54" s="178"/>
      <c r="BC54" s="178"/>
      <c r="BD54" s="178"/>
      <c r="BE54" s="178"/>
      <c r="BF54" s="178"/>
      <c r="BG54" s="178"/>
      <c r="BH54" s="178"/>
      <c r="BI54" s="179"/>
      <c r="BJ54" s="180"/>
      <c r="BK54" s="178"/>
      <c r="BL54" s="178"/>
      <c r="BM54" s="178"/>
      <c r="BN54" s="178"/>
      <c r="BO54" s="181"/>
      <c r="BP54" s="166"/>
      <c r="BQ54" s="177"/>
      <c r="BR54" s="178"/>
      <c r="BS54" s="179"/>
      <c r="BU54" s="166"/>
      <c r="BV54" s="166"/>
      <c r="BW54" s="166"/>
      <c r="BX54" s="166"/>
      <c r="BY54" s="166"/>
      <c r="BZ54" s="166"/>
      <c r="CA54" s="166"/>
      <c r="CB54" s="166"/>
      <c r="CC54" s="166"/>
      <c r="CD54" s="177"/>
      <c r="CE54" s="181"/>
      <c r="CF54" s="177"/>
      <c r="CG54" s="179"/>
      <c r="CH54" s="257"/>
      <c r="CI54" s="182"/>
      <c r="CJ54" s="177"/>
      <c r="CK54" s="182"/>
      <c r="CL54" s="177"/>
      <c r="CM54" s="182"/>
      <c r="CN54" s="177"/>
      <c r="CO54" s="182"/>
      <c r="CP54" s="177"/>
      <c r="CQ54" s="178"/>
      <c r="CR54" s="182"/>
      <c r="CS54" s="173"/>
      <c r="CT54" s="65"/>
      <c r="CU54" s="255" t="str">
        <f t="shared" si="2"/>
        <v>PCS</v>
      </c>
    </row>
    <row r="55" ht="60.0" customHeight="1">
      <c r="A55" s="65"/>
      <c r="B55" s="65"/>
      <c r="C55" s="167">
        <v>4.0</v>
      </c>
      <c r="D55" s="168" t="s">
        <v>162</v>
      </c>
      <c r="E55" s="169"/>
      <c r="F55" s="170"/>
      <c r="G55" s="170"/>
      <c r="H55" s="170"/>
      <c r="I55" s="207"/>
      <c r="J55" s="170"/>
      <c r="K55" s="171"/>
      <c r="L55" s="171"/>
      <c r="M55" s="171"/>
      <c r="N55" s="276"/>
      <c r="O55" s="256">
        <f t="shared" si="10"/>
        <v>0</v>
      </c>
      <c r="Q55" s="173"/>
      <c r="R55" s="65"/>
      <c r="S55" s="173"/>
      <c r="T55" s="173"/>
      <c r="U55" s="166"/>
      <c r="V55" s="166"/>
      <c r="W55" s="65"/>
      <c r="X55" s="66"/>
      <c r="Y55" s="173"/>
      <c r="Z55" s="166"/>
      <c r="AA55" s="174"/>
      <c r="AB55" s="175"/>
      <c r="AC55" s="175"/>
      <c r="AD55" s="175"/>
      <c r="AE55" s="175"/>
      <c r="AF55" s="175"/>
      <c r="AG55" s="175"/>
      <c r="AH55" s="175"/>
      <c r="AI55" s="176"/>
      <c r="AJ55" s="177"/>
      <c r="AK55" s="178"/>
      <c r="AL55" s="178"/>
      <c r="AM55" s="178"/>
      <c r="AN55" s="178"/>
      <c r="AO55" s="179"/>
      <c r="AP55" s="64"/>
      <c r="AQ55" s="65"/>
      <c r="AR55" s="65"/>
      <c r="AS55" s="65"/>
      <c r="AT55" s="173"/>
      <c r="AU55" s="177"/>
      <c r="AV55" s="178"/>
      <c r="AW55" s="178"/>
      <c r="AX55" s="179"/>
      <c r="AZ55" s="166"/>
      <c r="BA55" s="177"/>
      <c r="BB55" s="178"/>
      <c r="BC55" s="178"/>
      <c r="BD55" s="178"/>
      <c r="BE55" s="178"/>
      <c r="BF55" s="178"/>
      <c r="BG55" s="178"/>
      <c r="BH55" s="178"/>
      <c r="BI55" s="179"/>
      <c r="BJ55" s="180"/>
      <c r="BK55" s="178"/>
      <c r="BL55" s="178"/>
      <c r="BM55" s="178"/>
      <c r="BN55" s="178"/>
      <c r="BO55" s="181"/>
      <c r="BP55" s="166"/>
      <c r="BQ55" s="177"/>
      <c r="BR55" s="178"/>
      <c r="BS55" s="179"/>
      <c r="BU55" s="166"/>
      <c r="BV55" s="166"/>
      <c r="BW55" s="166"/>
      <c r="BX55" s="166"/>
      <c r="BY55" s="166"/>
      <c r="BZ55" s="166"/>
      <c r="CA55" s="166"/>
      <c r="CB55" s="166"/>
      <c r="CC55" s="166"/>
      <c r="CD55" s="177"/>
      <c r="CE55" s="181"/>
      <c r="CF55" s="177"/>
      <c r="CG55" s="179"/>
      <c r="CH55" s="257"/>
      <c r="CI55" s="182"/>
      <c r="CJ55" s="177"/>
      <c r="CK55" s="182"/>
      <c r="CL55" s="177"/>
      <c r="CM55" s="182"/>
      <c r="CN55" s="177"/>
      <c r="CO55" s="182"/>
      <c r="CP55" s="177"/>
      <c r="CQ55" s="178"/>
      <c r="CR55" s="182"/>
      <c r="CS55" s="173"/>
      <c r="CT55" s="65"/>
      <c r="CU55" s="255" t="str">
        <f t="shared" si="2"/>
        <v>PCS</v>
      </c>
    </row>
    <row r="56" ht="60.0" customHeight="1">
      <c r="A56" s="65"/>
      <c r="B56" s="65"/>
      <c r="C56" s="167">
        <v>5.0</v>
      </c>
      <c r="D56" s="168" t="s">
        <v>162</v>
      </c>
      <c r="E56" s="169"/>
      <c r="F56" s="170"/>
      <c r="G56" s="170"/>
      <c r="H56" s="170"/>
      <c r="I56" s="207"/>
      <c r="J56" s="170"/>
      <c r="K56" s="171"/>
      <c r="L56" s="171"/>
      <c r="M56" s="171"/>
      <c r="N56" s="276"/>
      <c r="O56" s="256">
        <f t="shared" si="10"/>
        <v>0</v>
      </c>
      <c r="Q56" s="173"/>
      <c r="R56" s="65"/>
      <c r="S56" s="173"/>
      <c r="T56" s="173"/>
      <c r="U56" s="166"/>
      <c r="V56" s="166"/>
      <c r="W56" s="65"/>
      <c r="X56" s="66"/>
      <c r="Y56" s="173"/>
      <c r="Z56" s="166"/>
      <c r="AA56" s="174"/>
      <c r="AB56" s="175"/>
      <c r="AC56" s="175"/>
      <c r="AD56" s="175"/>
      <c r="AE56" s="175"/>
      <c r="AF56" s="175"/>
      <c r="AG56" s="175"/>
      <c r="AH56" s="175"/>
      <c r="AI56" s="176"/>
      <c r="AJ56" s="177"/>
      <c r="AK56" s="178"/>
      <c r="AL56" s="178"/>
      <c r="AM56" s="178"/>
      <c r="AN56" s="178"/>
      <c r="AO56" s="179"/>
      <c r="AP56" s="64"/>
      <c r="AQ56" s="65"/>
      <c r="AR56" s="65"/>
      <c r="AS56" s="65"/>
      <c r="AT56" s="173"/>
      <c r="AU56" s="177"/>
      <c r="AV56" s="178"/>
      <c r="AW56" s="178"/>
      <c r="AX56" s="179"/>
      <c r="AZ56" s="166"/>
      <c r="BA56" s="177"/>
      <c r="BB56" s="178"/>
      <c r="BC56" s="178"/>
      <c r="BD56" s="178"/>
      <c r="BE56" s="178"/>
      <c r="BF56" s="178"/>
      <c r="BG56" s="178"/>
      <c r="BH56" s="178"/>
      <c r="BI56" s="179"/>
      <c r="BJ56" s="180"/>
      <c r="BK56" s="178"/>
      <c r="BL56" s="178"/>
      <c r="BM56" s="178"/>
      <c r="BN56" s="178"/>
      <c r="BO56" s="181"/>
      <c r="BP56" s="166"/>
      <c r="BQ56" s="177"/>
      <c r="BR56" s="178"/>
      <c r="BS56" s="179"/>
      <c r="BU56" s="166"/>
      <c r="BV56" s="166"/>
      <c r="BW56" s="166"/>
      <c r="BX56" s="166"/>
      <c r="BY56" s="166"/>
      <c r="BZ56" s="166"/>
      <c r="CA56" s="166"/>
      <c r="CB56" s="166"/>
      <c r="CC56" s="166"/>
      <c r="CD56" s="177"/>
      <c r="CE56" s="181"/>
      <c r="CF56" s="177"/>
      <c r="CG56" s="179"/>
      <c r="CH56" s="257"/>
      <c r="CI56" s="182"/>
      <c r="CJ56" s="177"/>
      <c r="CK56" s="182"/>
      <c r="CL56" s="177"/>
      <c r="CM56" s="182"/>
      <c r="CN56" s="177"/>
      <c r="CO56" s="182"/>
      <c r="CP56" s="177"/>
      <c r="CQ56" s="178"/>
      <c r="CR56" s="182"/>
      <c r="CS56" s="173"/>
      <c r="CT56" s="65"/>
      <c r="CU56" s="255" t="str">
        <f t="shared" si="2"/>
        <v>PCS</v>
      </c>
    </row>
    <row r="57" ht="60.0" customHeight="1">
      <c r="A57" s="65"/>
      <c r="B57" s="65"/>
      <c r="C57" s="167">
        <v>6.0</v>
      </c>
      <c r="D57" s="168" t="s">
        <v>162</v>
      </c>
      <c r="E57" s="169"/>
      <c r="F57" s="170"/>
      <c r="G57" s="170"/>
      <c r="H57" s="170"/>
      <c r="I57" s="207"/>
      <c r="J57" s="170"/>
      <c r="K57" s="171"/>
      <c r="L57" s="171"/>
      <c r="M57" s="171"/>
      <c r="N57" s="276"/>
      <c r="O57" s="256">
        <f t="shared" si="10"/>
        <v>0</v>
      </c>
      <c r="Q57" s="173"/>
      <c r="R57" s="65"/>
      <c r="S57" s="173"/>
      <c r="T57" s="173"/>
      <c r="U57" s="166"/>
      <c r="V57" s="166"/>
      <c r="W57" s="65"/>
      <c r="X57" s="66"/>
      <c r="Y57" s="173"/>
      <c r="Z57" s="166"/>
      <c r="AA57" s="174"/>
      <c r="AB57" s="175"/>
      <c r="AC57" s="175"/>
      <c r="AD57" s="175"/>
      <c r="AE57" s="175"/>
      <c r="AF57" s="175"/>
      <c r="AG57" s="175"/>
      <c r="AH57" s="175"/>
      <c r="AI57" s="176"/>
      <c r="AJ57" s="177"/>
      <c r="AK57" s="178"/>
      <c r="AL57" s="178"/>
      <c r="AM57" s="178"/>
      <c r="AN57" s="178"/>
      <c r="AO57" s="179"/>
      <c r="AP57" s="64"/>
      <c r="AQ57" s="65"/>
      <c r="AR57" s="65"/>
      <c r="AS57" s="65"/>
      <c r="AT57" s="173"/>
      <c r="AU57" s="177"/>
      <c r="AV57" s="178"/>
      <c r="AW57" s="178"/>
      <c r="AX57" s="179"/>
      <c r="AZ57" s="166"/>
      <c r="BA57" s="177"/>
      <c r="BB57" s="178"/>
      <c r="BC57" s="178"/>
      <c r="BD57" s="178"/>
      <c r="BE57" s="178"/>
      <c r="BF57" s="178"/>
      <c r="BG57" s="178"/>
      <c r="BH57" s="178"/>
      <c r="BI57" s="179"/>
      <c r="BJ57" s="180"/>
      <c r="BK57" s="178"/>
      <c r="BL57" s="178"/>
      <c r="BM57" s="178"/>
      <c r="BN57" s="178"/>
      <c r="BO57" s="181"/>
      <c r="BP57" s="166"/>
      <c r="BQ57" s="177"/>
      <c r="BR57" s="178"/>
      <c r="BS57" s="179"/>
      <c r="BU57" s="166"/>
      <c r="BV57" s="166"/>
      <c r="BW57" s="166"/>
      <c r="BX57" s="166"/>
      <c r="BY57" s="166"/>
      <c r="BZ57" s="166"/>
      <c r="CA57" s="166"/>
      <c r="CB57" s="166"/>
      <c r="CC57" s="166"/>
      <c r="CD57" s="177"/>
      <c r="CE57" s="181"/>
      <c r="CF57" s="177"/>
      <c r="CG57" s="179"/>
      <c r="CH57" s="257"/>
      <c r="CI57" s="182"/>
      <c r="CJ57" s="177"/>
      <c r="CK57" s="182"/>
      <c r="CL57" s="177"/>
      <c r="CM57" s="182"/>
      <c r="CN57" s="177"/>
      <c r="CO57" s="182"/>
      <c r="CP57" s="177"/>
      <c r="CQ57" s="178"/>
      <c r="CR57" s="182"/>
      <c r="CS57" s="173"/>
      <c r="CT57" s="65"/>
      <c r="CU57" s="255" t="str">
        <f t="shared" si="2"/>
        <v>PCS</v>
      </c>
    </row>
    <row r="58" ht="60.0" customHeight="1">
      <c r="A58" s="65"/>
      <c r="B58" s="65"/>
      <c r="C58" s="167">
        <v>7.0</v>
      </c>
      <c r="D58" s="168" t="s">
        <v>162</v>
      </c>
      <c r="E58" s="169"/>
      <c r="F58" s="170"/>
      <c r="G58" s="170"/>
      <c r="H58" s="170"/>
      <c r="I58" s="207"/>
      <c r="J58" s="170"/>
      <c r="K58" s="171"/>
      <c r="L58" s="171"/>
      <c r="M58" s="171"/>
      <c r="N58" s="276"/>
      <c r="O58" s="256">
        <f t="shared" ref="O58:O61" si="11">IF(AND(M58&gt;=20,M58&lt;&gt;"m",RIGHT(K58,3)="Lec"),1,IF(AND(M58&gt;=20,M58&lt;&gt;"m",OR(RIGHT(K58,3)="Lab",RIGHT(K58,3)="Tut")),0.5,IF(AND(M58&gt;=20,M58&lt;&gt;"m",RIGHT(K58,2)="TL"),0.75,0)))</f>
        <v>0</v>
      </c>
      <c r="Q58" s="173"/>
      <c r="R58" s="65"/>
      <c r="S58" s="173"/>
      <c r="T58" s="173"/>
      <c r="U58" s="166"/>
      <c r="V58" s="166"/>
      <c r="W58" s="65"/>
      <c r="X58" s="66"/>
      <c r="Y58" s="173"/>
      <c r="Z58" s="166"/>
      <c r="AA58" s="174"/>
      <c r="AB58" s="175"/>
      <c r="AC58" s="175"/>
      <c r="AD58" s="175"/>
      <c r="AE58" s="175"/>
      <c r="AF58" s="175"/>
      <c r="AG58" s="175"/>
      <c r="AH58" s="175"/>
      <c r="AI58" s="176"/>
      <c r="AJ58" s="177"/>
      <c r="AK58" s="178"/>
      <c r="AL58" s="178"/>
      <c r="AM58" s="178"/>
      <c r="AN58" s="178"/>
      <c r="AO58" s="179"/>
      <c r="AP58" s="64"/>
      <c r="AQ58" s="65"/>
      <c r="AR58" s="65"/>
      <c r="AS58" s="65"/>
      <c r="AT58" s="173"/>
      <c r="AU58" s="177"/>
      <c r="AV58" s="178"/>
      <c r="AW58" s="178"/>
      <c r="AX58" s="179"/>
      <c r="AZ58" s="166"/>
      <c r="BA58" s="177"/>
      <c r="BB58" s="178"/>
      <c r="BC58" s="178"/>
      <c r="BD58" s="178"/>
      <c r="BE58" s="178"/>
      <c r="BF58" s="178"/>
      <c r="BG58" s="178"/>
      <c r="BH58" s="178"/>
      <c r="BI58" s="179"/>
      <c r="BJ58" s="180"/>
      <c r="BK58" s="178"/>
      <c r="BL58" s="178"/>
      <c r="BM58" s="178"/>
      <c r="BN58" s="178"/>
      <c r="BO58" s="181"/>
      <c r="BP58" s="166"/>
      <c r="BQ58" s="177"/>
      <c r="BR58" s="178"/>
      <c r="BS58" s="179"/>
      <c r="BU58" s="166"/>
      <c r="BV58" s="166"/>
      <c r="BW58" s="166"/>
      <c r="BX58" s="166"/>
      <c r="BY58" s="166"/>
      <c r="BZ58" s="166"/>
      <c r="CA58" s="166"/>
      <c r="CB58" s="166"/>
      <c r="CC58" s="166"/>
      <c r="CD58" s="177"/>
      <c r="CE58" s="181"/>
      <c r="CF58" s="177"/>
      <c r="CG58" s="179"/>
      <c r="CH58" s="257"/>
      <c r="CI58" s="182"/>
      <c r="CJ58" s="177"/>
      <c r="CK58" s="182"/>
      <c r="CL58" s="177"/>
      <c r="CM58" s="182"/>
      <c r="CN58" s="177"/>
      <c r="CO58" s="182"/>
      <c r="CP58" s="177"/>
      <c r="CQ58" s="178"/>
      <c r="CR58" s="182"/>
      <c r="CS58" s="173"/>
      <c r="CT58" s="65"/>
      <c r="CU58" s="255" t="str">
        <f t="shared" si="2"/>
        <v>PCS</v>
      </c>
    </row>
    <row r="59" ht="60.0" customHeight="1">
      <c r="A59" s="65"/>
      <c r="B59" s="65"/>
      <c r="C59" s="167">
        <v>8.0</v>
      </c>
      <c r="D59" s="168" t="s">
        <v>162</v>
      </c>
      <c r="E59" s="169"/>
      <c r="F59" s="170"/>
      <c r="G59" s="170"/>
      <c r="H59" s="170"/>
      <c r="I59" s="207"/>
      <c r="J59" s="170"/>
      <c r="K59" s="171"/>
      <c r="L59" s="171"/>
      <c r="M59" s="171"/>
      <c r="N59" s="276"/>
      <c r="O59" s="256">
        <f t="shared" si="11"/>
        <v>0</v>
      </c>
      <c r="Q59" s="173"/>
      <c r="R59" s="65"/>
      <c r="S59" s="173"/>
      <c r="T59" s="173"/>
      <c r="U59" s="166"/>
      <c r="V59" s="166"/>
      <c r="W59" s="65"/>
      <c r="X59" s="66"/>
      <c r="Y59" s="173"/>
      <c r="Z59" s="166"/>
      <c r="AA59" s="174"/>
      <c r="AB59" s="175"/>
      <c r="AC59" s="175"/>
      <c r="AD59" s="175"/>
      <c r="AE59" s="175"/>
      <c r="AF59" s="175"/>
      <c r="AG59" s="175"/>
      <c r="AH59" s="175"/>
      <c r="AI59" s="176"/>
      <c r="AJ59" s="177"/>
      <c r="AK59" s="178"/>
      <c r="AL59" s="178"/>
      <c r="AM59" s="178"/>
      <c r="AN59" s="178"/>
      <c r="AO59" s="179"/>
      <c r="AP59" s="64"/>
      <c r="AQ59" s="65"/>
      <c r="AR59" s="65"/>
      <c r="AS59" s="65"/>
      <c r="AT59" s="173"/>
      <c r="AU59" s="177"/>
      <c r="AV59" s="178"/>
      <c r="AW59" s="178"/>
      <c r="AX59" s="179"/>
      <c r="AZ59" s="166"/>
      <c r="BA59" s="177"/>
      <c r="BB59" s="178"/>
      <c r="BC59" s="178"/>
      <c r="BD59" s="178"/>
      <c r="BE59" s="178"/>
      <c r="BF59" s="178"/>
      <c r="BG59" s="178"/>
      <c r="BH59" s="178"/>
      <c r="BI59" s="179"/>
      <c r="BJ59" s="180"/>
      <c r="BK59" s="178"/>
      <c r="BL59" s="178"/>
      <c r="BM59" s="178"/>
      <c r="BN59" s="178"/>
      <c r="BO59" s="181"/>
      <c r="BP59" s="166"/>
      <c r="BQ59" s="177"/>
      <c r="BR59" s="178"/>
      <c r="BS59" s="179"/>
      <c r="BU59" s="166"/>
      <c r="BV59" s="166"/>
      <c r="BW59" s="166"/>
      <c r="BX59" s="166"/>
      <c r="BY59" s="166"/>
      <c r="BZ59" s="166"/>
      <c r="CA59" s="166"/>
      <c r="CB59" s="166"/>
      <c r="CC59" s="166"/>
      <c r="CD59" s="177"/>
      <c r="CE59" s="181"/>
      <c r="CF59" s="177"/>
      <c r="CG59" s="179"/>
      <c r="CH59" s="257"/>
      <c r="CI59" s="182"/>
      <c r="CJ59" s="177"/>
      <c r="CK59" s="182"/>
      <c r="CL59" s="177"/>
      <c r="CM59" s="182"/>
      <c r="CN59" s="177"/>
      <c r="CO59" s="182"/>
      <c r="CP59" s="177"/>
      <c r="CQ59" s="178"/>
      <c r="CR59" s="182"/>
      <c r="CS59" s="173"/>
      <c r="CT59" s="65"/>
      <c r="CU59" s="255" t="str">
        <f t="shared" si="2"/>
        <v>PCS</v>
      </c>
    </row>
    <row r="60" ht="60.0" customHeight="1">
      <c r="A60" s="65"/>
      <c r="B60" s="65"/>
      <c r="C60" s="167">
        <v>9.0</v>
      </c>
      <c r="D60" s="168" t="s">
        <v>162</v>
      </c>
      <c r="E60" s="169"/>
      <c r="F60" s="170"/>
      <c r="G60" s="170"/>
      <c r="H60" s="170"/>
      <c r="I60" s="207"/>
      <c r="J60" s="170"/>
      <c r="K60" s="171"/>
      <c r="L60" s="171"/>
      <c r="M60" s="171"/>
      <c r="N60" s="276"/>
      <c r="O60" s="256">
        <f t="shared" si="11"/>
        <v>0</v>
      </c>
      <c r="Q60" s="173"/>
      <c r="R60" s="65"/>
      <c r="S60" s="173"/>
      <c r="T60" s="173"/>
      <c r="U60" s="166"/>
      <c r="V60" s="166"/>
      <c r="W60" s="65"/>
      <c r="X60" s="66"/>
      <c r="Y60" s="173"/>
      <c r="Z60" s="166"/>
      <c r="AA60" s="174"/>
      <c r="AB60" s="175"/>
      <c r="AC60" s="175"/>
      <c r="AD60" s="175"/>
      <c r="AE60" s="175"/>
      <c r="AF60" s="175"/>
      <c r="AG60" s="175"/>
      <c r="AH60" s="175"/>
      <c r="AI60" s="176"/>
      <c r="AJ60" s="177"/>
      <c r="AK60" s="178"/>
      <c r="AL60" s="178"/>
      <c r="AM60" s="178"/>
      <c r="AN60" s="178"/>
      <c r="AO60" s="179"/>
      <c r="AP60" s="64"/>
      <c r="AQ60" s="65"/>
      <c r="AR60" s="65"/>
      <c r="AS60" s="65"/>
      <c r="AT60" s="173"/>
      <c r="AU60" s="177"/>
      <c r="AV60" s="178"/>
      <c r="AW60" s="178"/>
      <c r="AX60" s="179"/>
      <c r="AZ60" s="166"/>
      <c r="BA60" s="177"/>
      <c r="BB60" s="178"/>
      <c r="BC60" s="178"/>
      <c r="BD60" s="178"/>
      <c r="BE60" s="178"/>
      <c r="BF60" s="178"/>
      <c r="BG60" s="178"/>
      <c r="BH60" s="178"/>
      <c r="BI60" s="179"/>
      <c r="BJ60" s="180"/>
      <c r="BK60" s="178"/>
      <c r="BL60" s="178"/>
      <c r="BM60" s="178"/>
      <c r="BN60" s="178"/>
      <c r="BO60" s="181"/>
      <c r="BP60" s="166"/>
      <c r="BQ60" s="177"/>
      <c r="BR60" s="178"/>
      <c r="BS60" s="179"/>
      <c r="BU60" s="166"/>
      <c r="BV60" s="166"/>
      <c r="BW60" s="166"/>
      <c r="BX60" s="166"/>
      <c r="BY60" s="166"/>
      <c r="BZ60" s="166"/>
      <c r="CA60" s="166"/>
      <c r="CB60" s="166"/>
      <c r="CC60" s="166"/>
      <c r="CD60" s="177"/>
      <c r="CE60" s="181"/>
      <c r="CF60" s="177"/>
      <c r="CG60" s="179"/>
      <c r="CH60" s="257"/>
      <c r="CI60" s="182"/>
      <c r="CJ60" s="177"/>
      <c r="CK60" s="182"/>
      <c r="CL60" s="177"/>
      <c r="CM60" s="182"/>
      <c r="CN60" s="177"/>
      <c r="CO60" s="182"/>
      <c r="CP60" s="177"/>
      <c r="CQ60" s="178"/>
      <c r="CR60" s="182"/>
      <c r="CS60" s="173"/>
      <c r="CT60" s="65"/>
      <c r="CU60" s="255" t="str">
        <f t="shared" si="2"/>
        <v>PCS</v>
      </c>
    </row>
    <row r="61" ht="60.0" customHeight="1">
      <c r="A61" s="65"/>
      <c r="B61" s="65"/>
      <c r="C61" s="167">
        <v>10.0</v>
      </c>
      <c r="D61" s="168" t="s">
        <v>162</v>
      </c>
      <c r="E61" s="169"/>
      <c r="F61" s="170"/>
      <c r="G61" s="170"/>
      <c r="H61" s="170"/>
      <c r="I61" s="207"/>
      <c r="J61" s="170"/>
      <c r="K61" s="171"/>
      <c r="L61" s="171"/>
      <c r="M61" s="171"/>
      <c r="N61" s="276"/>
      <c r="O61" s="256">
        <f t="shared" si="11"/>
        <v>0</v>
      </c>
      <c r="Q61" s="173"/>
      <c r="R61" s="65"/>
      <c r="S61" s="173"/>
      <c r="T61" s="173"/>
      <c r="U61" s="166"/>
      <c r="V61" s="166"/>
      <c r="W61" s="65"/>
      <c r="X61" s="66"/>
      <c r="Y61" s="173"/>
      <c r="Z61" s="166"/>
      <c r="AA61" s="174"/>
      <c r="AB61" s="175"/>
      <c r="AC61" s="175"/>
      <c r="AD61" s="175"/>
      <c r="AE61" s="175"/>
      <c r="AF61" s="175"/>
      <c r="AG61" s="175"/>
      <c r="AH61" s="175"/>
      <c r="AI61" s="176"/>
      <c r="AJ61" s="177"/>
      <c r="AK61" s="178"/>
      <c r="AL61" s="178"/>
      <c r="AM61" s="178"/>
      <c r="AN61" s="178"/>
      <c r="AO61" s="179"/>
      <c r="AP61" s="64"/>
      <c r="AQ61" s="65"/>
      <c r="AR61" s="65"/>
      <c r="AS61" s="65"/>
      <c r="AT61" s="173"/>
      <c r="AU61" s="177"/>
      <c r="AV61" s="178"/>
      <c r="AW61" s="178"/>
      <c r="AX61" s="179"/>
      <c r="AZ61" s="166"/>
      <c r="BA61" s="177"/>
      <c r="BB61" s="178"/>
      <c r="BC61" s="178"/>
      <c r="BD61" s="178"/>
      <c r="BE61" s="178"/>
      <c r="BF61" s="178"/>
      <c r="BG61" s="178"/>
      <c r="BH61" s="178"/>
      <c r="BI61" s="179"/>
      <c r="BJ61" s="180"/>
      <c r="BK61" s="178"/>
      <c r="BL61" s="178"/>
      <c r="BM61" s="178"/>
      <c r="BN61" s="178"/>
      <c r="BO61" s="181"/>
      <c r="BP61" s="166"/>
      <c r="BQ61" s="177"/>
      <c r="BR61" s="178"/>
      <c r="BS61" s="179"/>
      <c r="BU61" s="166"/>
      <c r="BV61" s="166"/>
      <c r="BW61" s="166"/>
      <c r="BX61" s="166"/>
      <c r="BY61" s="166"/>
      <c r="BZ61" s="166"/>
      <c r="CA61" s="166"/>
      <c r="CB61" s="166"/>
      <c r="CC61" s="166"/>
      <c r="CD61" s="177"/>
      <c r="CE61" s="181"/>
      <c r="CF61" s="177"/>
      <c r="CG61" s="179"/>
      <c r="CH61" s="257"/>
      <c r="CI61" s="182"/>
      <c r="CJ61" s="177"/>
      <c r="CK61" s="182"/>
      <c r="CL61" s="177"/>
      <c r="CM61" s="182"/>
      <c r="CN61" s="177"/>
      <c r="CO61" s="182"/>
      <c r="CP61" s="177"/>
      <c r="CQ61" s="178"/>
      <c r="CR61" s="182"/>
      <c r="CS61" s="173"/>
      <c r="CT61" s="65"/>
      <c r="CU61" s="255" t="str">
        <f t="shared" si="2"/>
        <v>PCS</v>
      </c>
    </row>
    <row r="62" ht="60.0" customHeight="1">
      <c r="A62" s="89"/>
      <c r="B62" s="89"/>
      <c r="C62" s="183">
        <v>11.0</v>
      </c>
      <c r="D62" s="210" t="s">
        <v>162</v>
      </c>
      <c r="E62" s="185"/>
      <c r="F62" s="186"/>
      <c r="G62" s="186"/>
      <c r="H62" s="186"/>
      <c r="I62" s="212"/>
      <c r="J62" s="186"/>
      <c r="K62" s="187"/>
      <c r="L62" s="187"/>
      <c r="M62" s="187"/>
      <c r="N62" s="214"/>
      <c r="O62" s="258">
        <f t="shared" ref="O62:O68" si="12">IF(AND(M62&lt;&gt;0,M62&lt;&gt;"m",M62&lt;&gt;"",RIGHT(K62,3)="Lec"),1,IF(AND(M62&lt;&gt;0,M62&lt;&gt;"m",M62&lt;&gt;"",OR(RIGHT(K62,3)="Lab",RIGHT(K62,3)="Tut")),0.5,IF(AND(M62&lt;&gt;0,M62&lt;&gt;"m",M62&lt;&gt;"",RIGHT(K62,2)="TL"),0.75,0)))</f>
        <v>0</v>
      </c>
      <c r="P62" s="6"/>
      <c r="Q62" s="69"/>
      <c r="R62" s="89"/>
      <c r="S62" s="69"/>
      <c r="T62" s="69"/>
      <c r="U62" s="63"/>
      <c r="V62" s="63"/>
      <c r="W62" s="89"/>
      <c r="X62" s="68"/>
      <c r="Y62" s="69"/>
      <c r="Z62" s="63"/>
      <c r="AA62" s="189"/>
      <c r="AB62" s="190"/>
      <c r="AC62" s="190"/>
      <c r="AD62" s="190"/>
      <c r="AE62" s="190"/>
      <c r="AF62" s="190"/>
      <c r="AG62" s="190"/>
      <c r="AH62" s="190"/>
      <c r="AI62" s="191"/>
      <c r="AJ62" s="192"/>
      <c r="AK62" s="193"/>
      <c r="AL62" s="193"/>
      <c r="AM62" s="193"/>
      <c r="AN62" s="193"/>
      <c r="AO62" s="194"/>
      <c r="AP62" s="103"/>
      <c r="AQ62" s="89"/>
      <c r="AR62" s="89"/>
      <c r="AS62" s="89"/>
      <c r="AT62" s="69"/>
      <c r="AU62" s="192"/>
      <c r="AV62" s="193"/>
      <c r="AW62" s="193"/>
      <c r="AX62" s="194"/>
      <c r="AY62" s="6"/>
      <c r="AZ62" s="63"/>
      <c r="BA62" s="192"/>
      <c r="BB62" s="193"/>
      <c r="BC62" s="193"/>
      <c r="BD62" s="193"/>
      <c r="BE62" s="193"/>
      <c r="BF62" s="193"/>
      <c r="BG62" s="193"/>
      <c r="BH62" s="193"/>
      <c r="BI62" s="194"/>
      <c r="BJ62" s="195"/>
      <c r="BK62" s="193"/>
      <c r="BL62" s="193"/>
      <c r="BM62" s="193"/>
      <c r="BN62" s="193"/>
      <c r="BO62" s="196"/>
      <c r="BP62" s="63"/>
      <c r="BQ62" s="192"/>
      <c r="BR62" s="193"/>
      <c r="BS62" s="194"/>
      <c r="BT62" s="6"/>
      <c r="BU62" s="63"/>
      <c r="BV62" s="63"/>
      <c r="BW62" s="63"/>
      <c r="BX62" s="63"/>
      <c r="BY62" s="63"/>
      <c r="BZ62" s="63"/>
      <c r="CA62" s="63"/>
      <c r="CB62" s="63"/>
      <c r="CC62" s="63"/>
      <c r="CD62" s="192"/>
      <c r="CE62" s="196"/>
      <c r="CF62" s="192"/>
      <c r="CG62" s="194"/>
      <c r="CH62" s="259"/>
      <c r="CI62" s="197"/>
      <c r="CJ62" s="192"/>
      <c r="CK62" s="197"/>
      <c r="CL62" s="192"/>
      <c r="CM62" s="197"/>
      <c r="CN62" s="192"/>
      <c r="CO62" s="197"/>
      <c r="CP62" s="192"/>
      <c r="CQ62" s="193"/>
      <c r="CR62" s="197"/>
      <c r="CS62" s="69"/>
      <c r="CT62" s="89"/>
      <c r="CU62" s="255" t="str">
        <f t="shared" si="2"/>
        <v>PCS</v>
      </c>
    </row>
    <row r="63" ht="55.5" customHeight="1">
      <c r="A63" s="125">
        <v>6.0</v>
      </c>
      <c r="B63" s="274" t="s">
        <v>164</v>
      </c>
      <c r="C63" s="127">
        <v>1.0</v>
      </c>
      <c r="D63" s="168" t="s">
        <v>165</v>
      </c>
      <c r="E63" s="129"/>
      <c r="F63" s="130"/>
      <c r="G63" s="130"/>
      <c r="H63" s="130"/>
      <c r="I63" s="201"/>
      <c r="J63" s="130"/>
      <c r="K63" s="131"/>
      <c r="L63" s="131"/>
      <c r="M63" s="131"/>
      <c r="N63" s="275"/>
      <c r="O63" s="250">
        <f t="shared" si="12"/>
        <v>0</v>
      </c>
      <c r="P63" s="251">
        <f>COUNTIF(K63:K73,"TL")*0.75+COUNTIF(K63:K73,"Lec")*1+COUNTIF(K63:K73,"Lab")*0.5</f>
        <v>0</v>
      </c>
      <c r="Q63" s="134">
        <f>SUM((IF(LEFT(K63,1)="E",O63,0)),(IF(LEFT(K64,1)="E",O64,0)),(IF(LEFT(K65,1)="E",O65,0)),(IF(LEFT(K66,1)="E",O66,0)),(IF(LEFT(K67,1)="E",O67,0)),(IF(LEFT(K68,1)="E",O68,0)),(IF(LEFT(K69,1)="E",O69,0)),(IF(LEFT(K70,1)="E",O70,0)),(IF(LEFT(K71,1)="E",O71,0)),(IF(LEFT(K72,1)="E",O72,0)),(IF(LEFT(K73,1)="E",O73,0)))</f>
        <v>0</v>
      </c>
      <c r="R63" s="135">
        <f>SUM(IF(M69&lt;20,IF(K69="Plec",-1,IF(K69="PTL",-0.75,IF(K69="Plab",-0.5,0))),0),IF(M70&lt;20,IF(K70="Plec",-1,IF(K70="PTL",-0.75,IF(K70="Plab",-0.5,0))),0),IF(M71&lt;20,IF(K71="Plec",-1,IF(K71="PTL",-0.75,IF(K71="Plab",-0.5,0))),0),IF(M72&lt;20,IF(K72="Plec",-1,IF(K72="PTL",-0.75,IF(K72="Plab",-0.5,0))),0))</f>
        <v>0</v>
      </c>
      <c r="S63" s="134">
        <f>SUM(P63:R73)</f>
        <v>0</v>
      </c>
      <c r="T63" s="136">
        <f>SUM(IF(M63="M",IF(OR(K63="lec",K63="plec",K63="slec"),1,IF(OR(K63="lab",K63="plab",K63="slab",K63="tut",K63="ptut",K63="stut"),0.5,IF(OR(K63="TL",K63="pTL",K63="STL"),0.75,0))),0),IF(M64="M",IF(OR(K64="lec",K64="plec",K64="slec"),1,IF(OR(K64="lab",K64="plab",K64="slab",K64="tut",K64="ptut",K64="stut"),0.5,IF(OR(K64="TL",K64="pTL",K64="STL"),0.75,0))),0),IF(M65="M",IF(OR(K65="lec",K65="plec",K65="slec"),1,IF(OR(K65="lab",K65="plab",K65="slab",K65="tut",K65="ptut",K65="stut"),0.5,IF(OR(K65="TL",K65="pTL",K65="STL"),0.75,0))),0),IF(M66="M",IF(OR(K66="lec",K66="plec",K66="slec"),1,IF(OR(K66="lab",K66="plab",K66="slab",K66="tut",K66="ptut",K66="stut"),0.5,IF(OR(K66="TL",K66="pTL",K66="STL"),0.75,0))),0),IF(M67="M",IF(OR(K67="lec",K67="plec",K67="slec"),1,IF(OR(K67="lab",K67="plab",K67="slab",K67="tut",K67="ptut",K67="stut"),0.5,IF(OR(K67="TL",K67="pTL",K67="STL"),0.75,0))),0),IF(M68="M",IF(OR(K68="lec",K68="plec",K68="slec"),1,IF(OR(K68="lab",K68="plab",K68="slab",K68="tut",K68="ptut",K68="stut"),0.5,IF(OR(K68="TL",K68="pTL",K68="STL"),0.75,0))),0),IF(M69="M",IF(OR(K69="lec",K69="plec",K69="slec"),1,IF(OR(K69="lab",K69="plab",K69="slab",K69="tut",K69="ptut",K69="stut"),0.5,IF(OR(K69="TL",K69="pTL",K69="STL"),0.75,0))),0),IF(M70="M",IF(OR(K70="lec",K70="plec",K70="slec"),1,IF(OR(K70="lab",K70="plab",K70="slab",K70="tut",K70="ptut",K70="stut"),0.5,IF(OR(K70="TL",K70="pTL",K70="STL"),0.75,0))),0),IF(M71="M",IF(OR(K71="lec",K71="plec",K71="slec"),1,IF(OR(K71="lab",K71="plab",K71="slab",K71="tut",K71="ptut",K71="stut"),0.5,IF(OR(K71="TL",K71="pTL",K71="STL"),0.75,0))),0),IF(M72="M",IF(OR(K72="lec",K72="plec",K72="slec"),1,IF(OR(K72="lab",K72="plab",K72="slab",K72="tut",K72="ptut",K72="stut"),0.5,IF(OR(K72="TL",K72="pTL",K72="STL"),0.75,0))),0),IF(M73="M",IF(OR(K73="lec",K73="plec",K73="slec"),1,IF(OR(K73="lab",K73="plab",K73="slab",K73="tut",K73="ptut",K73="stut"),0.5,IF(OR(K73="TL",K73="pTL",K73="STL"),0.75,0))),0))</f>
        <v>0</v>
      </c>
      <c r="U63" s="137"/>
      <c r="V63" s="133"/>
      <c r="W63" s="138"/>
      <c r="X63" s="139">
        <f>S63-(T63+U63+V63+W63)</f>
        <v>0</v>
      </c>
      <c r="Y63" s="134" t="str">
        <f>CONCATENATE(SUM(O63:O73),"(",SUM(O63:O73)-X63,")")</f>
        <v>0(0)</v>
      </c>
      <c r="Z63" s="140"/>
      <c r="AA63" s="141"/>
      <c r="AB63" s="142"/>
      <c r="AC63" s="142"/>
      <c r="AD63" s="142"/>
      <c r="AE63" s="142"/>
      <c r="AF63" s="142"/>
      <c r="AG63" s="142"/>
      <c r="AH63" s="142"/>
      <c r="AI63" s="143"/>
      <c r="AJ63" s="144"/>
      <c r="AK63" s="145"/>
      <c r="AL63" s="145"/>
      <c r="AM63" s="145"/>
      <c r="AN63" s="145"/>
      <c r="AO63" s="146"/>
      <c r="AP63" s="147">
        <f>SUM(SUM(O63:O73),SUM(AI63:AI73)/2,AM63)</f>
        <v>0</v>
      </c>
      <c r="AQ63" s="148"/>
      <c r="AR63" s="148">
        <f>AP63*AQ63</f>
        <v>0</v>
      </c>
      <c r="AS63" s="148">
        <f>CT63</f>
        <v>6.2</v>
      </c>
      <c r="AT63" s="149">
        <f>AR63*0.75+AS63*0.25</f>
        <v>1.55</v>
      </c>
      <c r="AU63" s="150"/>
      <c r="AV63" s="151"/>
      <c r="AW63" s="151"/>
      <c r="AX63" s="152"/>
      <c r="AY63" s="153"/>
      <c r="AZ63" s="140"/>
      <c r="BA63" s="150"/>
      <c r="BB63" s="151"/>
      <c r="BC63" s="151"/>
      <c r="BD63" s="151"/>
      <c r="BE63" s="151"/>
      <c r="BF63" s="151"/>
      <c r="BG63" s="151"/>
      <c r="BH63" s="151"/>
      <c r="BI63" s="152"/>
      <c r="BJ63" s="154"/>
      <c r="BK63" s="151"/>
      <c r="BL63" s="151"/>
      <c r="BM63" s="151">
        <v>6.2</v>
      </c>
      <c r="BN63" s="151"/>
      <c r="BO63" s="155"/>
      <c r="BP63" s="140"/>
      <c r="BQ63" s="156"/>
      <c r="BR63" s="157"/>
      <c r="BS63" s="158"/>
      <c r="BT63" s="153"/>
      <c r="BU63" s="140"/>
      <c r="BV63" s="140"/>
      <c r="BW63" s="140"/>
      <c r="BX63" s="140"/>
      <c r="BY63" s="140"/>
      <c r="BZ63" s="140"/>
      <c r="CA63" s="140"/>
      <c r="CB63" s="140"/>
      <c r="CC63" s="140"/>
      <c r="CD63" s="150" t="s">
        <v>271</v>
      </c>
      <c r="CE63" s="155"/>
      <c r="CF63" s="150"/>
      <c r="CG63" s="152"/>
      <c r="CH63" s="252"/>
      <c r="CI63" s="160"/>
      <c r="CJ63" s="159"/>
      <c r="CK63" s="160"/>
      <c r="CL63" s="159"/>
      <c r="CM63" s="160"/>
      <c r="CN63" s="159"/>
      <c r="CO63" s="160"/>
      <c r="CP63" s="159"/>
      <c r="CQ63" s="162"/>
      <c r="CR63" s="160"/>
      <c r="CS63" s="253">
        <f>SUM(IF(AU63&lt;0,ABS(AU63),0),IF(AZ63&lt;0,ABS(AZ63),0),ABS(CI63),ABS(CK63),ABS(CM63),ABS(CO63),ABS(CQ63),ABS(CR63))</f>
        <v>0</v>
      </c>
      <c r="CT63" s="254">
        <f>SUM(AU63,AV63,AW63,AX63/400,AY63,AZ63,BG63,BH63*0.5,BI63*0.25,BJ63,BK63,BL63,BM63,BN63,BO63,BP63,BR63/20,BS63/100,BT63/60,BU63,BV63,BW63,BX63/4,SUM(BY63:CC73)/3,CE63,CG63/3,CI63,CK63,CM63,CO63,CQ63,CR63)</f>
        <v>6.2</v>
      </c>
      <c r="CU63" s="255" t="str">
        <f t="shared" si="2"/>
        <v>PKP</v>
      </c>
    </row>
    <row r="64" ht="60.0" customHeight="1">
      <c r="A64" s="65"/>
      <c r="B64" s="65"/>
      <c r="C64" s="167">
        <v>2.0</v>
      </c>
      <c r="D64" s="168" t="s">
        <v>165</v>
      </c>
      <c r="E64" s="169"/>
      <c r="F64" s="170"/>
      <c r="G64" s="170"/>
      <c r="H64" s="170"/>
      <c r="I64" s="207"/>
      <c r="J64" s="170"/>
      <c r="K64" s="171"/>
      <c r="L64" s="171"/>
      <c r="M64" s="171"/>
      <c r="N64" s="276"/>
      <c r="O64" s="256">
        <f t="shared" si="12"/>
        <v>0</v>
      </c>
      <c r="Q64" s="173"/>
      <c r="R64" s="65"/>
      <c r="S64" s="173"/>
      <c r="T64" s="173"/>
      <c r="U64" s="166"/>
      <c r="V64" s="166"/>
      <c r="W64" s="65"/>
      <c r="X64" s="66"/>
      <c r="Y64" s="173"/>
      <c r="Z64" s="166"/>
      <c r="AA64" s="174"/>
      <c r="AB64" s="175"/>
      <c r="AC64" s="175"/>
      <c r="AD64" s="175"/>
      <c r="AE64" s="175"/>
      <c r="AF64" s="175"/>
      <c r="AG64" s="175"/>
      <c r="AH64" s="175"/>
      <c r="AI64" s="176"/>
      <c r="AJ64" s="177"/>
      <c r="AK64" s="178"/>
      <c r="AL64" s="178"/>
      <c r="AM64" s="178"/>
      <c r="AN64" s="178"/>
      <c r="AO64" s="179"/>
      <c r="AP64" s="64"/>
      <c r="AQ64" s="65"/>
      <c r="AR64" s="65"/>
      <c r="AS64" s="65"/>
      <c r="AT64" s="173"/>
      <c r="AU64" s="177"/>
      <c r="AV64" s="178"/>
      <c r="AW64" s="178"/>
      <c r="AX64" s="179"/>
      <c r="AZ64" s="166"/>
      <c r="BA64" s="177"/>
      <c r="BB64" s="178"/>
      <c r="BC64" s="178"/>
      <c r="BD64" s="178"/>
      <c r="BE64" s="178"/>
      <c r="BF64" s="178"/>
      <c r="BG64" s="178"/>
      <c r="BH64" s="178"/>
      <c r="BI64" s="179"/>
      <c r="BJ64" s="180"/>
      <c r="BK64" s="178"/>
      <c r="BL64" s="178"/>
      <c r="BM64" s="178"/>
      <c r="BN64" s="178"/>
      <c r="BO64" s="181"/>
      <c r="BP64" s="166"/>
      <c r="BQ64" s="177"/>
      <c r="BR64" s="178"/>
      <c r="BS64" s="179"/>
      <c r="BU64" s="166"/>
      <c r="BV64" s="166"/>
      <c r="BW64" s="166"/>
      <c r="BX64" s="166"/>
      <c r="BY64" s="166"/>
      <c r="BZ64" s="166"/>
      <c r="CA64" s="166"/>
      <c r="CB64" s="166"/>
      <c r="CC64" s="166"/>
      <c r="CD64" s="177"/>
      <c r="CE64" s="181"/>
      <c r="CF64" s="177"/>
      <c r="CG64" s="179"/>
      <c r="CH64" s="257"/>
      <c r="CI64" s="182"/>
      <c r="CJ64" s="177"/>
      <c r="CK64" s="182"/>
      <c r="CL64" s="177"/>
      <c r="CM64" s="182"/>
      <c r="CN64" s="177"/>
      <c r="CO64" s="182"/>
      <c r="CP64" s="177"/>
      <c r="CQ64" s="178"/>
      <c r="CR64" s="182"/>
      <c r="CS64" s="173"/>
      <c r="CT64" s="65"/>
      <c r="CU64" s="255" t="str">
        <f t="shared" si="2"/>
        <v>PKP</v>
      </c>
    </row>
    <row r="65" ht="60.0" customHeight="1">
      <c r="A65" s="65"/>
      <c r="B65" s="65"/>
      <c r="C65" s="167">
        <v>3.0</v>
      </c>
      <c r="D65" s="168" t="s">
        <v>165</v>
      </c>
      <c r="E65" s="169"/>
      <c r="F65" s="170"/>
      <c r="G65" s="170"/>
      <c r="H65" s="170"/>
      <c r="I65" s="207"/>
      <c r="J65" s="170"/>
      <c r="K65" s="171"/>
      <c r="L65" s="171"/>
      <c r="M65" s="171"/>
      <c r="N65" s="276"/>
      <c r="O65" s="256">
        <f t="shared" si="12"/>
        <v>0</v>
      </c>
      <c r="Q65" s="173"/>
      <c r="R65" s="65"/>
      <c r="S65" s="173"/>
      <c r="T65" s="173"/>
      <c r="U65" s="166"/>
      <c r="V65" s="166"/>
      <c r="W65" s="65"/>
      <c r="X65" s="66"/>
      <c r="Y65" s="173"/>
      <c r="Z65" s="166"/>
      <c r="AA65" s="174"/>
      <c r="AB65" s="175"/>
      <c r="AC65" s="175"/>
      <c r="AD65" s="175"/>
      <c r="AE65" s="175"/>
      <c r="AF65" s="175"/>
      <c r="AG65" s="175"/>
      <c r="AH65" s="175"/>
      <c r="AI65" s="176"/>
      <c r="AJ65" s="177"/>
      <c r="AK65" s="178"/>
      <c r="AL65" s="178"/>
      <c r="AM65" s="178"/>
      <c r="AN65" s="178"/>
      <c r="AO65" s="179"/>
      <c r="AP65" s="64"/>
      <c r="AQ65" s="65"/>
      <c r="AR65" s="65"/>
      <c r="AS65" s="65"/>
      <c r="AT65" s="173"/>
      <c r="AU65" s="177"/>
      <c r="AV65" s="178"/>
      <c r="AW65" s="178"/>
      <c r="AX65" s="179"/>
      <c r="AZ65" s="166"/>
      <c r="BA65" s="177"/>
      <c r="BB65" s="178"/>
      <c r="BC65" s="178"/>
      <c r="BD65" s="178"/>
      <c r="BE65" s="178"/>
      <c r="BF65" s="178"/>
      <c r="BG65" s="178"/>
      <c r="BH65" s="178"/>
      <c r="BI65" s="179"/>
      <c r="BJ65" s="180"/>
      <c r="BK65" s="178"/>
      <c r="BL65" s="178"/>
      <c r="BM65" s="178"/>
      <c r="BN65" s="178"/>
      <c r="BO65" s="181"/>
      <c r="BP65" s="166"/>
      <c r="BQ65" s="177"/>
      <c r="BR65" s="178"/>
      <c r="BS65" s="179"/>
      <c r="BU65" s="166"/>
      <c r="BV65" s="166"/>
      <c r="BW65" s="166"/>
      <c r="BX65" s="166"/>
      <c r="BY65" s="166"/>
      <c r="BZ65" s="166"/>
      <c r="CA65" s="166"/>
      <c r="CB65" s="166"/>
      <c r="CC65" s="166"/>
      <c r="CD65" s="177"/>
      <c r="CE65" s="181"/>
      <c r="CF65" s="177"/>
      <c r="CG65" s="179"/>
      <c r="CH65" s="257"/>
      <c r="CI65" s="182"/>
      <c r="CJ65" s="177"/>
      <c r="CK65" s="182"/>
      <c r="CL65" s="177"/>
      <c r="CM65" s="182"/>
      <c r="CN65" s="177"/>
      <c r="CO65" s="182"/>
      <c r="CP65" s="177"/>
      <c r="CQ65" s="178"/>
      <c r="CR65" s="182"/>
      <c r="CS65" s="173"/>
      <c r="CT65" s="65"/>
      <c r="CU65" s="255" t="str">
        <f t="shared" si="2"/>
        <v>PKP</v>
      </c>
    </row>
    <row r="66" ht="60.0" customHeight="1">
      <c r="A66" s="65"/>
      <c r="B66" s="65"/>
      <c r="C66" s="167">
        <v>4.0</v>
      </c>
      <c r="D66" s="168" t="s">
        <v>165</v>
      </c>
      <c r="E66" s="169"/>
      <c r="F66" s="170"/>
      <c r="G66" s="170"/>
      <c r="H66" s="170"/>
      <c r="I66" s="207"/>
      <c r="J66" s="170"/>
      <c r="K66" s="171"/>
      <c r="L66" s="171"/>
      <c r="M66" s="171"/>
      <c r="N66" s="276"/>
      <c r="O66" s="256">
        <f t="shared" si="12"/>
        <v>0</v>
      </c>
      <c r="Q66" s="173"/>
      <c r="R66" s="65"/>
      <c r="S66" s="173"/>
      <c r="T66" s="173"/>
      <c r="U66" s="166"/>
      <c r="V66" s="166"/>
      <c r="W66" s="65"/>
      <c r="X66" s="66"/>
      <c r="Y66" s="173"/>
      <c r="Z66" s="166"/>
      <c r="AA66" s="174"/>
      <c r="AB66" s="175"/>
      <c r="AC66" s="175"/>
      <c r="AD66" s="175"/>
      <c r="AE66" s="175"/>
      <c r="AF66" s="175"/>
      <c r="AG66" s="175"/>
      <c r="AH66" s="175"/>
      <c r="AI66" s="176"/>
      <c r="AJ66" s="177"/>
      <c r="AK66" s="178"/>
      <c r="AL66" s="178"/>
      <c r="AM66" s="178"/>
      <c r="AN66" s="178"/>
      <c r="AO66" s="179"/>
      <c r="AP66" s="64"/>
      <c r="AQ66" s="65"/>
      <c r="AR66" s="65"/>
      <c r="AS66" s="65"/>
      <c r="AT66" s="173"/>
      <c r="AU66" s="177"/>
      <c r="AV66" s="178"/>
      <c r="AW66" s="178"/>
      <c r="AX66" s="179"/>
      <c r="AZ66" s="166"/>
      <c r="BA66" s="177"/>
      <c r="BB66" s="178"/>
      <c r="BC66" s="178"/>
      <c r="BD66" s="178"/>
      <c r="BE66" s="178"/>
      <c r="BF66" s="178"/>
      <c r="BG66" s="178"/>
      <c r="BH66" s="178"/>
      <c r="BI66" s="179"/>
      <c r="BJ66" s="180"/>
      <c r="BK66" s="178"/>
      <c r="BL66" s="178"/>
      <c r="BM66" s="178"/>
      <c r="BN66" s="178"/>
      <c r="BO66" s="181"/>
      <c r="BP66" s="166"/>
      <c r="BQ66" s="177"/>
      <c r="BR66" s="178"/>
      <c r="BS66" s="179"/>
      <c r="BU66" s="166"/>
      <c r="BV66" s="166"/>
      <c r="BW66" s="166"/>
      <c r="BX66" s="166"/>
      <c r="BY66" s="166"/>
      <c r="BZ66" s="166"/>
      <c r="CA66" s="166"/>
      <c r="CB66" s="166"/>
      <c r="CC66" s="166"/>
      <c r="CD66" s="177"/>
      <c r="CE66" s="181"/>
      <c r="CF66" s="177"/>
      <c r="CG66" s="179"/>
      <c r="CH66" s="257"/>
      <c r="CI66" s="182"/>
      <c r="CJ66" s="177"/>
      <c r="CK66" s="182"/>
      <c r="CL66" s="177"/>
      <c r="CM66" s="182"/>
      <c r="CN66" s="177"/>
      <c r="CO66" s="182"/>
      <c r="CP66" s="177"/>
      <c r="CQ66" s="178"/>
      <c r="CR66" s="182"/>
      <c r="CS66" s="173"/>
      <c r="CT66" s="65"/>
      <c r="CU66" s="255" t="str">
        <f t="shared" si="2"/>
        <v>PKP</v>
      </c>
    </row>
    <row r="67" ht="60.0" customHeight="1">
      <c r="A67" s="65"/>
      <c r="B67" s="65"/>
      <c r="C67" s="167">
        <v>5.0</v>
      </c>
      <c r="D67" s="168" t="s">
        <v>165</v>
      </c>
      <c r="E67" s="169"/>
      <c r="F67" s="170"/>
      <c r="G67" s="170"/>
      <c r="H67" s="170"/>
      <c r="I67" s="207"/>
      <c r="J67" s="170"/>
      <c r="K67" s="171"/>
      <c r="L67" s="171"/>
      <c r="M67" s="171"/>
      <c r="N67" s="276"/>
      <c r="O67" s="256">
        <f t="shared" si="12"/>
        <v>0</v>
      </c>
      <c r="Q67" s="173"/>
      <c r="R67" s="65"/>
      <c r="S67" s="173"/>
      <c r="T67" s="173"/>
      <c r="U67" s="166"/>
      <c r="V67" s="166"/>
      <c r="W67" s="65"/>
      <c r="X67" s="66"/>
      <c r="Y67" s="173"/>
      <c r="Z67" s="166"/>
      <c r="AA67" s="174"/>
      <c r="AB67" s="175"/>
      <c r="AC67" s="175"/>
      <c r="AD67" s="175"/>
      <c r="AE67" s="175"/>
      <c r="AF67" s="175"/>
      <c r="AG67" s="175"/>
      <c r="AH67" s="175"/>
      <c r="AI67" s="176"/>
      <c r="AJ67" s="177"/>
      <c r="AK67" s="178"/>
      <c r="AL67" s="178"/>
      <c r="AM67" s="178"/>
      <c r="AN67" s="178"/>
      <c r="AO67" s="179"/>
      <c r="AP67" s="64"/>
      <c r="AQ67" s="65"/>
      <c r="AR67" s="65"/>
      <c r="AS67" s="65"/>
      <c r="AT67" s="173"/>
      <c r="AU67" s="177"/>
      <c r="AV67" s="178"/>
      <c r="AW67" s="178"/>
      <c r="AX67" s="179"/>
      <c r="AZ67" s="166"/>
      <c r="BA67" s="177"/>
      <c r="BB67" s="178"/>
      <c r="BC67" s="178"/>
      <c r="BD67" s="178"/>
      <c r="BE67" s="178"/>
      <c r="BF67" s="178"/>
      <c r="BG67" s="178"/>
      <c r="BH67" s="178"/>
      <c r="BI67" s="179"/>
      <c r="BJ67" s="180"/>
      <c r="BK67" s="178"/>
      <c r="BL67" s="178"/>
      <c r="BM67" s="178"/>
      <c r="BN67" s="178"/>
      <c r="BO67" s="181"/>
      <c r="BP67" s="166"/>
      <c r="BQ67" s="177"/>
      <c r="BR67" s="178"/>
      <c r="BS67" s="179"/>
      <c r="BU67" s="166"/>
      <c r="BV67" s="166"/>
      <c r="BW67" s="166"/>
      <c r="BX67" s="166"/>
      <c r="BY67" s="166"/>
      <c r="BZ67" s="166"/>
      <c r="CA67" s="166"/>
      <c r="CB67" s="166"/>
      <c r="CC67" s="166"/>
      <c r="CD67" s="177"/>
      <c r="CE67" s="181"/>
      <c r="CF67" s="177"/>
      <c r="CG67" s="179"/>
      <c r="CH67" s="257"/>
      <c r="CI67" s="182"/>
      <c r="CJ67" s="177"/>
      <c r="CK67" s="182"/>
      <c r="CL67" s="177"/>
      <c r="CM67" s="182"/>
      <c r="CN67" s="177"/>
      <c r="CO67" s="182"/>
      <c r="CP67" s="177"/>
      <c r="CQ67" s="178"/>
      <c r="CR67" s="182"/>
      <c r="CS67" s="173"/>
      <c r="CT67" s="65"/>
      <c r="CU67" s="255" t="str">
        <f t="shared" si="2"/>
        <v>PKP</v>
      </c>
    </row>
    <row r="68" ht="60.0" customHeight="1">
      <c r="A68" s="65"/>
      <c r="B68" s="65"/>
      <c r="C68" s="167">
        <v>6.0</v>
      </c>
      <c r="D68" s="168" t="s">
        <v>165</v>
      </c>
      <c r="E68" s="169"/>
      <c r="F68" s="170"/>
      <c r="G68" s="170"/>
      <c r="H68" s="170"/>
      <c r="I68" s="207"/>
      <c r="J68" s="170"/>
      <c r="K68" s="171"/>
      <c r="L68" s="171"/>
      <c r="M68" s="171"/>
      <c r="N68" s="276"/>
      <c r="O68" s="256">
        <f t="shared" si="12"/>
        <v>0</v>
      </c>
      <c r="Q68" s="173"/>
      <c r="R68" s="65"/>
      <c r="S68" s="173"/>
      <c r="T68" s="173"/>
      <c r="U68" s="166"/>
      <c r="V68" s="166"/>
      <c r="W68" s="65"/>
      <c r="X68" s="66"/>
      <c r="Y68" s="173"/>
      <c r="Z68" s="166"/>
      <c r="AA68" s="174"/>
      <c r="AB68" s="175"/>
      <c r="AC68" s="175"/>
      <c r="AD68" s="175"/>
      <c r="AE68" s="175"/>
      <c r="AF68" s="175"/>
      <c r="AG68" s="175"/>
      <c r="AH68" s="175"/>
      <c r="AI68" s="176"/>
      <c r="AJ68" s="177"/>
      <c r="AK68" s="178"/>
      <c r="AL68" s="178"/>
      <c r="AM68" s="178"/>
      <c r="AN68" s="178"/>
      <c r="AO68" s="179"/>
      <c r="AP68" s="64"/>
      <c r="AQ68" s="65"/>
      <c r="AR68" s="65"/>
      <c r="AS68" s="65"/>
      <c r="AT68" s="173"/>
      <c r="AU68" s="177"/>
      <c r="AV68" s="178"/>
      <c r="AW68" s="178"/>
      <c r="AX68" s="179"/>
      <c r="AZ68" s="166"/>
      <c r="BA68" s="177"/>
      <c r="BB68" s="178"/>
      <c r="BC68" s="178"/>
      <c r="BD68" s="178"/>
      <c r="BE68" s="178"/>
      <c r="BF68" s="178"/>
      <c r="BG68" s="178"/>
      <c r="BH68" s="178"/>
      <c r="BI68" s="179"/>
      <c r="BJ68" s="180"/>
      <c r="BK68" s="178"/>
      <c r="BL68" s="178"/>
      <c r="BM68" s="178"/>
      <c r="BN68" s="178"/>
      <c r="BO68" s="181"/>
      <c r="BP68" s="166"/>
      <c r="BQ68" s="177"/>
      <c r="BR68" s="178"/>
      <c r="BS68" s="179"/>
      <c r="BU68" s="166"/>
      <c r="BV68" s="166"/>
      <c r="BW68" s="166"/>
      <c r="BX68" s="166"/>
      <c r="BY68" s="166"/>
      <c r="BZ68" s="166"/>
      <c r="CA68" s="166"/>
      <c r="CB68" s="166"/>
      <c r="CC68" s="166"/>
      <c r="CD68" s="177"/>
      <c r="CE68" s="181"/>
      <c r="CF68" s="177"/>
      <c r="CG68" s="179"/>
      <c r="CH68" s="257"/>
      <c r="CI68" s="182"/>
      <c r="CJ68" s="177"/>
      <c r="CK68" s="182"/>
      <c r="CL68" s="177"/>
      <c r="CM68" s="182"/>
      <c r="CN68" s="177"/>
      <c r="CO68" s="182"/>
      <c r="CP68" s="177"/>
      <c r="CQ68" s="178"/>
      <c r="CR68" s="182"/>
      <c r="CS68" s="173"/>
      <c r="CT68" s="65"/>
      <c r="CU68" s="255" t="str">
        <f t="shared" si="2"/>
        <v>PKP</v>
      </c>
    </row>
    <row r="69" ht="60.0" customHeight="1">
      <c r="A69" s="65"/>
      <c r="B69" s="65"/>
      <c r="C69" s="167">
        <v>7.0</v>
      </c>
      <c r="D69" s="168" t="s">
        <v>165</v>
      </c>
      <c r="E69" s="169"/>
      <c r="F69" s="170"/>
      <c r="G69" s="170"/>
      <c r="H69" s="170"/>
      <c r="I69" s="207"/>
      <c r="J69" s="170"/>
      <c r="K69" s="171"/>
      <c r="L69" s="171"/>
      <c r="M69" s="171"/>
      <c r="N69" s="276"/>
      <c r="O69" s="256">
        <f t="shared" ref="O69:O72" si="13">IF(AND(M69&gt;=20,M69&lt;&gt;"m",RIGHT(K69,3)="Lec"),1,IF(AND(M69&gt;=20,M69&lt;&gt;"m",OR(RIGHT(K69,3)="Lab",RIGHT(K69,3)="Tut")),0.5,IF(AND(M69&gt;=20,M69&lt;&gt;"m",RIGHT(K69,2)="TL"),0.75,0)))</f>
        <v>0</v>
      </c>
      <c r="Q69" s="173"/>
      <c r="R69" s="65"/>
      <c r="S69" s="173"/>
      <c r="T69" s="173"/>
      <c r="U69" s="166"/>
      <c r="V69" s="166"/>
      <c r="W69" s="65"/>
      <c r="X69" s="66"/>
      <c r="Y69" s="173"/>
      <c r="Z69" s="166"/>
      <c r="AA69" s="174"/>
      <c r="AB69" s="175"/>
      <c r="AC69" s="175"/>
      <c r="AD69" s="175"/>
      <c r="AE69" s="175"/>
      <c r="AF69" s="175"/>
      <c r="AG69" s="175"/>
      <c r="AH69" s="175"/>
      <c r="AI69" s="176"/>
      <c r="AJ69" s="177"/>
      <c r="AK69" s="178"/>
      <c r="AL69" s="178"/>
      <c r="AM69" s="178"/>
      <c r="AN69" s="178"/>
      <c r="AO69" s="179"/>
      <c r="AP69" s="64"/>
      <c r="AQ69" s="65"/>
      <c r="AR69" s="65"/>
      <c r="AS69" s="65"/>
      <c r="AT69" s="173"/>
      <c r="AU69" s="177"/>
      <c r="AV69" s="178"/>
      <c r="AW69" s="178"/>
      <c r="AX69" s="179"/>
      <c r="AZ69" s="166"/>
      <c r="BA69" s="177"/>
      <c r="BB69" s="178"/>
      <c r="BC69" s="178"/>
      <c r="BD69" s="178"/>
      <c r="BE69" s="178"/>
      <c r="BF69" s="178"/>
      <c r="BG69" s="178"/>
      <c r="BH69" s="178"/>
      <c r="BI69" s="179"/>
      <c r="BJ69" s="180"/>
      <c r="BK69" s="178"/>
      <c r="BL69" s="178"/>
      <c r="BM69" s="178"/>
      <c r="BN69" s="178"/>
      <c r="BO69" s="181"/>
      <c r="BP69" s="166"/>
      <c r="BQ69" s="177"/>
      <c r="BR69" s="178"/>
      <c r="BS69" s="179"/>
      <c r="BU69" s="166"/>
      <c r="BV69" s="166"/>
      <c r="BW69" s="166"/>
      <c r="BX69" s="166"/>
      <c r="BY69" s="166"/>
      <c r="BZ69" s="166"/>
      <c r="CA69" s="166"/>
      <c r="CB69" s="166"/>
      <c r="CC69" s="166"/>
      <c r="CD69" s="177"/>
      <c r="CE69" s="181"/>
      <c r="CF69" s="177"/>
      <c r="CG69" s="179"/>
      <c r="CH69" s="257"/>
      <c r="CI69" s="182"/>
      <c r="CJ69" s="177"/>
      <c r="CK69" s="182"/>
      <c r="CL69" s="177"/>
      <c r="CM69" s="182"/>
      <c r="CN69" s="177"/>
      <c r="CO69" s="182"/>
      <c r="CP69" s="177"/>
      <c r="CQ69" s="178"/>
      <c r="CR69" s="182"/>
      <c r="CS69" s="173"/>
      <c r="CT69" s="65"/>
      <c r="CU69" s="255" t="str">
        <f t="shared" si="2"/>
        <v>PKP</v>
      </c>
    </row>
    <row r="70" ht="60.0" customHeight="1">
      <c r="A70" s="65"/>
      <c r="B70" s="65"/>
      <c r="C70" s="167">
        <v>8.0</v>
      </c>
      <c r="D70" s="168" t="s">
        <v>165</v>
      </c>
      <c r="E70" s="169"/>
      <c r="F70" s="170"/>
      <c r="G70" s="170"/>
      <c r="H70" s="170"/>
      <c r="I70" s="207"/>
      <c r="J70" s="170"/>
      <c r="K70" s="171"/>
      <c r="L70" s="171"/>
      <c r="M70" s="171"/>
      <c r="N70" s="276"/>
      <c r="O70" s="256">
        <f t="shared" si="13"/>
        <v>0</v>
      </c>
      <c r="Q70" s="173"/>
      <c r="R70" s="65"/>
      <c r="S70" s="173"/>
      <c r="T70" s="173"/>
      <c r="U70" s="166"/>
      <c r="V70" s="166"/>
      <c r="W70" s="65"/>
      <c r="X70" s="66"/>
      <c r="Y70" s="173"/>
      <c r="Z70" s="166"/>
      <c r="AA70" s="174"/>
      <c r="AB70" s="175"/>
      <c r="AC70" s="175"/>
      <c r="AD70" s="175"/>
      <c r="AE70" s="175"/>
      <c r="AF70" s="175"/>
      <c r="AG70" s="175"/>
      <c r="AH70" s="175"/>
      <c r="AI70" s="176"/>
      <c r="AJ70" s="177"/>
      <c r="AK70" s="178"/>
      <c r="AL70" s="178"/>
      <c r="AM70" s="178"/>
      <c r="AN70" s="178"/>
      <c r="AO70" s="179"/>
      <c r="AP70" s="64"/>
      <c r="AQ70" s="65"/>
      <c r="AR70" s="65"/>
      <c r="AS70" s="65"/>
      <c r="AT70" s="173"/>
      <c r="AU70" s="177"/>
      <c r="AV70" s="178"/>
      <c r="AW70" s="178"/>
      <c r="AX70" s="179"/>
      <c r="AZ70" s="166"/>
      <c r="BA70" s="177"/>
      <c r="BB70" s="178"/>
      <c r="BC70" s="178"/>
      <c r="BD70" s="178"/>
      <c r="BE70" s="178"/>
      <c r="BF70" s="178"/>
      <c r="BG70" s="178"/>
      <c r="BH70" s="178"/>
      <c r="BI70" s="179"/>
      <c r="BJ70" s="180"/>
      <c r="BK70" s="178"/>
      <c r="BL70" s="178"/>
      <c r="BM70" s="178"/>
      <c r="BN70" s="178"/>
      <c r="BO70" s="181"/>
      <c r="BP70" s="166"/>
      <c r="BQ70" s="177"/>
      <c r="BR70" s="178"/>
      <c r="BS70" s="179"/>
      <c r="BU70" s="166"/>
      <c r="BV70" s="166"/>
      <c r="BW70" s="166"/>
      <c r="BX70" s="166"/>
      <c r="BY70" s="166"/>
      <c r="BZ70" s="166"/>
      <c r="CA70" s="166"/>
      <c r="CB70" s="166"/>
      <c r="CC70" s="166"/>
      <c r="CD70" s="177"/>
      <c r="CE70" s="181"/>
      <c r="CF70" s="177"/>
      <c r="CG70" s="179"/>
      <c r="CH70" s="257"/>
      <c r="CI70" s="182"/>
      <c r="CJ70" s="177"/>
      <c r="CK70" s="182"/>
      <c r="CL70" s="177"/>
      <c r="CM70" s="182"/>
      <c r="CN70" s="177"/>
      <c r="CO70" s="182"/>
      <c r="CP70" s="177"/>
      <c r="CQ70" s="178"/>
      <c r="CR70" s="182"/>
      <c r="CS70" s="173"/>
      <c r="CT70" s="65"/>
      <c r="CU70" s="255" t="str">
        <f t="shared" si="2"/>
        <v>PKP</v>
      </c>
    </row>
    <row r="71" ht="60.0" customHeight="1">
      <c r="A71" s="65"/>
      <c r="B71" s="65"/>
      <c r="C71" s="167">
        <v>9.0</v>
      </c>
      <c r="D71" s="168" t="s">
        <v>165</v>
      </c>
      <c r="E71" s="169"/>
      <c r="F71" s="170"/>
      <c r="G71" s="170"/>
      <c r="H71" s="170"/>
      <c r="I71" s="207"/>
      <c r="J71" s="170"/>
      <c r="K71" s="171"/>
      <c r="L71" s="171"/>
      <c r="M71" s="171"/>
      <c r="N71" s="276"/>
      <c r="O71" s="256">
        <f t="shared" si="13"/>
        <v>0</v>
      </c>
      <c r="Q71" s="173"/>
      <c r="R71" s="65"/>
      <c r="S71" s="173"/>
      <c r="T71" s="173"/>
      <c r="U71" s="166"/>
      <c r="V71" s="166"/>
      <c r="W71" s="65"/>
      <c r="X71" s="66"/>
      <c r="Y71" s="173"/>
      <c r="Z71" s="166"/>
      <c r="AA71" s="174"/>
      <c r="AB71" s="175"/>
      <c r="AC71" s="175"/>
      <c r="AD71" s="175"/>
      <c r="AE71" s="175"/>
      <c r="AF71" s="175"/>
      <c r="AG71" s="175"/>
      <c r="AH71" s="175"/>
      <c r="AI71" s="176"/>
      <c r="AJ71" s="177"/>
      <c r="AK71" s="178"/>
      <c r="AL71" s="178"/>
      <c r="AM71" s="178"/>
      <c r="AN71" s="178"/>
      <c r="AO71" s="179"/>
      <c r="AP71" s="64"/>
      <c r="AQ71" s="65"/>
      <c r="AR71" s="65"/>
      <c r="AS71" s="65"/>
      <c r="AT71" s="173"/>
      <c r="AU71" s="177"/>
      <c r="AV71" s="178"/>
      <c r="AW71" s="178"/>
      <c r="AX71" s="179"/>
      <c r="AZ71" s="166"/>
      <c r="BA71" s="177"/>
      <c r="BB71" s="178"/>
      <c r="BC71" s="178"/>
      <c r="BD71" s="178"/>
      <c r="BE71" s="178"/>
      <c r="BF71" s="178"/>
      <c r="BG71" s="178"/>
      <c r="BH71" s="178"/>
      <c r="BI71" s="179"/>
      <c r="BJ71" s="180"/>
      <c r="BK71" s="178"/>
      <c r="BL71" s="178"/>
      <c r="BM71" s="178"/>
      <c r="BN71" s="178"/>
      <c r="BO71" s="181"/>
      <c r="BP71" s="166"/>
      <c r="BQ71" s="177"/>
      <c r="BR71" s="178"/>
      <c r="BS71" s="179"/>
      <c r="BU71" s="166"/>
      <c r="BV71" s="166"/>
      <c r="BW71" s="166"/>
      <c r="BX71" s="166"/>
      <c r="BY71" s="166"/>
      <c r="BZ71" s="166"/>
      <c r="CA71" s="166"/>
      <c r="CB71" s="166"/>
      <c r="CC71" s="166"/>
      <c r="CD71" s="177"/>
      <c r="CE71" s="181"/>
      <c r="CF71" s="177"/>
      <c r="CG71" s="179"/>
      <c r="CH71" s="257"/>
      <c r="CI71" s="182"/>
      <c r="CJ71" s="177"/>
      <c r="CK71" s="182"/>
      <c r="CL71" s="177"/>
      <c r="CM71" s="182"/>
      <c r="CN71" s="177"/>
      <c r="CO71" s="182"/>
      <c r="CP71" s="177"/>
      <c r="CQ71" s="178"/>
      <c r="CR71" s="182"/>
      <c r="CS71" s="173"/>
      <c r="CT71" s="65"/>
      <c r="CU71" s="255" t="str">
        <f t="shared" si="2"/>
        <v>PKP</v>
      </c>
    </row>
    <row r="72" ht="60.0" customHeight="1">
      <c r="A72" s="65"/>
      <c r="B72" s="65"/>
      <c r="C72" s="167">
        <v>10.0</v>
      </c>
      <c r="D72" s="168" t="s">
        <v>165</v>
      </c>
      <c r="E72" s="169"/>
      <c r="F72" s="170"/>
      <c r="G72" s="170"/>
      <c r="H72" s="170"/>
      <c r="I72" s="207"/>
      <c r="J72" s="170"/>
      <c r="K72" s="171"/>
      <c r="L72" s="171"/>
      <c r="M72" s="171"/>
      <c r="N72" s="276"/>
      <c r="O72" s="256">
        <f t="shared" si="13"/>
        <v>0</v>
      </c>
      <c r="Q72" s="173"/>
      <c r="R72" s="65"/>
      <c r="S72" s="173"/>
      <c r="T72" s="173"/>
      <c r="U72" s="166"/>
      <c r="V72" s="166"/>
      <c r="W72" s="65"/>
      <c r="X72" s="66"/>
      <c r="Y72" s="173"/>
      <c r="Z72" s="166"/>
      <c r="AA72" s="174"/>
      <c r="AB72" s="175"/>
      <c r="AC72" s="175"/>
      <c r="AD72" s="175"/>
      <c r="AE72" s="175"/>
      <c r="AF72" s="175"/>
      <c r="AG72" s="175"/>
      <c r="AH72" s="175"/>
      <c r="AI72" s="176"/>
      <c r="AJ72" s="177"/>
      <c r="AK72" s="178"/>
      <c r="AL72" s="178"/>
      <c r="AM72" s="178"/>
      <c r="AN72" s="178"/>
      <c r="AO72" s="179"/>
      <c r="AP72" s="64"/>
      <c r="AQ72" s="65"/>
      <c r="AR72" s="65"/>
      <c r="AS72" s="65"/>
      <c r="AT72" s="173"/>
      <c r="AU72" s="177"/>
      <c r="AV72" s="178"/>
      <c r="AW72" s="178"/>
      <c r="AX72" s="179"/>
      <c r="AZ72" s="166"/>
      <c r="BA72" s="177"/>
      <c r="BB72" s="178"/>
      <c r="BC72" s="178"/>
      <c r="BD72" s="178"/>
      <c r="BE72" s="178"/>
      <c r="BF72" s="178"/>
      <c r="BG72" s="178"/>
      <c r="BH72" s="178"/>
      <c r="BI72" s="179"/>
      <c r="BJ72" s="180"/>
      <c r="BK72" s="178"/>
      <c r="BL72" s="178"/>
      <c r="BM72" s="178"/>
      <c r="BN72" s="178"/>
      <c r="BO72" s="181"/>
      <c r="BP72" s="166"/>
      <c r="BQ72" s="177"/>
      <c r="BR72" s="178"/>
      <c r="BS72" s="179"/>
      <c r="BU72" s="166"/>
      <c r="BV72" s="166"/>
      <c r="BW72" s="166"/>
      <c r="BX72" s="166"/>
      <c r="BY72" s="166"/>
      <c r="BZ72" s="166"/>
      <c r="CA72" s="166"/>
      <c r="CB72" s="166"/>
      <c r="CC72" s="166"/>
      <c r="CD72" s="177"/>
      <c r="CE72" s="181"/>
      <c r="CF72" s="177"/>
      <c r="CG72" s="179"/>
      <c r="CH72" s="257"/>
      <c r="CI72" s="182"/>
      <c r="CJ72" s="177"/>
      <c r="CK72" s="182"/>
      <c r="CL72" s="177"/>
      <c r="CM72" s="182"/>
      <c r="CN72" s="177"/>
      <c r="CO72" s="182"/>
      <c r="CP72" s="177"/>
      <c r="CQ72" s="178"/>
      <c r="CR72" s="182"/>
      <c r="CS72" s="173"/>
      <c r="CT72" s="65"/>
      <c r="CU72" s="255" t="str">
        <f t="shared" si="2"/>
        <v>PKP</v>
      </c>
    </row>
    <row r="73" ht="60.0" customHeight="1">
      <c r="A73" s="89"/>
      <c r="B73" s="89"/>
      <c r="C73" s="183">
        <v>11.0</v>
      </c>
      <c r="D73" s="210" t="s">
        <v>165</v>
      </c>
      <c r="E73" s="185"/>
      <c r="F73" s="186"/>
      <c r="G73" s="186"/>
      <c r="H73" s="186"/>
      <c r="I73" s="212"/>
      <c r="J73" s="186"/>
      <c r="K73" s="187"/>
      <c r="L73" s="187"/>
      <c r="M73" s="187"/>
      <c r="N73" s="214"/>
      <c r="O73" s="258">
        <f t="shared" ref="O73:O79" si="14">IF(AND(M73&lt;&gt;0,M73&lt;&gt;"m",M73&lt;&gt;"",RIGHT(K73,3)="Lec"),1,IF(AND(M73&lt;&gt;0,M73&lt;&gt;"m",M73&lt;&gt;"",OR(RIGHT(K73,3)="Lab",RIGHT(K73,3)="Tut")),0.5,IF(AND(M73&lt;&gt;0,M73&lt;&gt;"m",M73&lt;&gt;"",RIGHT(K73,2)="TL"),0.75,0)))</f>
        <v>0</v>
      </c>
      <c r="P73" s="6"/>
      <c r="Q73" s="69"/>
      <c r="R73" s="89"/>
      <c r="S73" s="69"/>
      <c r="T73" s="69"/>
      <c r="U73" s="63"/>
      <c r="V73" s="63"/>
      <c r="W73" s="89"/>
      <c r="X73" s="68"/>
      <c r="Y73" s="69"/>
      <c r="Z73" s="63"/>
      <c r="AA73" s="189"/>
      <c r="AB73" s="190"/>
      <c r="AC73" s="190"/>
      <c r="AD73" s="190"/>
      <c r="AE73" s="190"/>
      <c r="AF73" s="190"/>
      <c r="AG73" s="190"/>
      <c r="AH73" s="190"/>
      <c r="AI73" s="191"/>
      <c r="AJ73" s="192"/>
      <c r="AK73" s="193"/>
      <c r="AL73" s="193"/>
      <c r="AM73" s="193"/>
      <c r="AN73" s="193"/>
      <c r="AO73" s="194"/>
      <c r="AP73" s="103"/>
      <c r="AQ73" s="89"/>
      <c r="AR73" s="89"/>
      <c r="AS73" s="89"/>
      <c r="AT73" s="69"/>
      <c r="AU73" s="192"/>
      <c r="AV73" s="193"/>
      <c r="AW73" s="193"/>
      <c r="AX73" s="194"/>
      <c r="AY73" s="6"/>
      <c r="AZ73" s="63"/>
      <c r="BA73" s="192"/>
      <c r="BB73" s="193"/>
      <c r="BC73" s="193"/>
      <c r="BD73" s="193"/>
      <c r="BE73" s="193"/>
      <c r="BF73" s="193"/>
      <c r="BG73" s="193"/>
      <c r="BH73" s="193"/>
      <c r="BI73" s="194"/>
      <c r="BJ73" s="195"/>
      <c r="BK73" s="193"/>
      <c r="BL73" s="193"/>
      <c r="BM73" s="193"/>
      <c r="BN73" s="193"/>
      <c r="BO73" s="196"/>
      <c r="BP73" s="63"/>
      <c r="BQ73" s="192"/>
      <c r="BR73" s="193"/>
      <c r="BS73" s="194"/>
      <c r="BT73" s="6"/>
      <c r="BU73" s="63"/>
      <c r="BV73" s="63"/>
      <c r="BW73" s="63"/>
      <c r="BX73" s="63"/>
      <c r="BY73" s="63"/>
      <c r="BZ73" s="63"/>
      <c r="CA73" s="63"/>
      <c r="CB73" s="63"/>
      <c r="CC73" s="63"/>
      <c r="CD73" s="192"/>
      <c r="CE73" s="196"/>
      <c r="CF73" s="192"/>
      <c r="CG73" s="194"/>
      <c r="CH73" s="259"/>
      <c r="CI73" s="197"/>
      <c r="CJ73" s="192"/>
      <c r="CK73" s="197"/>
      <c r="CL73" s="192"/>
      <c r="CM73" s="197"/>
      <c r="CN73" s="192"/>
      <c r="CO73" s="197"/>
      <c r="CP73" s="192"/>
      <c r="CQ73" s="193"/>
      <c r="CR73" s="197"/>
      <c r="CS73" s="69"/>
      <c r="CT73" s="89"/>
      <c r="CU73" s="255" t="str">
        <f t="shared" si="2"/>
        <v>PKP</v>
      </c>
    </row>
    <row r="74" ht="55.5" customHeight="1">
      <c r="A74" s="125">
        <v>7.0</v>
      </c>
      <c r="B74" s="274" t="s">
        <v>169</v>
      </c>
      <c r="C74" s="127">
        <v>1.0</v>
      </c>
      <c r="D74" s="168" t="s">
        <v>170</v>
      </c>
      <c r="E74" s="129"/>
      <c r="F74" s="130"/>
      <c r="G74" s="130"/>
      <c r="H74" s="130"/>
      <c r="I74" s="201"/>
      <c r="J74" s="130"/>
      <c r="K74" s="131"/>
      <c r="L74" s="131"/>
      <c r="M74" s="131"/>
      <c r="N74" s="275"/>
      <c r="O74" s="250">
        <f t="shared" si="14"/>
        <v>0</v>
      </c>
      <c r="P74" s="251">
        <f>COUNTIF(K74:K84,"TL")*0.75+COUNTIF(K74:K84,"Lec")*1+COUNTIF(K74:K84,"Lab")*0.5</f>
        <v>0</v>
      </c>
      <c r="Q74" s="134">
        <f>SUM((IF(LEFT(K74,1)="E",O74,0)),(IF(LEFT(K75,1)="E",O75,0)),(IF(LEFT(K76,1)="E",O76,0)),(IF(LEFT(K77,1)="E",O77,0)),(IF(LEFT(K78,1)="E",O78,0)),(IF(LEFT(K79,1)="E",O79,0)),(IF(LEFT(K80,1)="E",O80,0)),(IF(LEFT(K81,1)="E",O81,0)),(IF(LEFT(K82,1)="E",O82,0)),(IF(LEFT(K83,1)="E",O83,0)),(IF(LEFT(K84,1)="E",O84,0)))</f>
        <v>0</v>
      </c>
      <c r="R74" s="135">
        <f>SUM(IF(M80&lt;20,IF(K80="Plec",-1,IF(K80="PTL",-0.75,IF(K80="Plab",-0.5,0))),0),IF(M81&lt;20,IF(K81="Plec",-1,IF(K81="PTL",-0.75,IF(K81="Plab",-0.5,0))),0),IF(M82&lt;20,IF(K82="Plec",-1,IF(K82="PTL",-0.75,IF(K82="Plab",-0.5,0))),0),IF(M83&lt;20,IF(K83="Plec",-1,IF(K83="PTL",-0.75,IF(K83="Plab",-0.5,0))),0))</f>
        <v>0</v>
      </c>
      <c r="S74" s="134">
        <f>SUM(P74:R84)</f>
        <v>0</v>
      </c>
      <c r="T74" s="136">
        <f>SUM(IF(M74="M",IF(OR(K74="lec",K74="plec",K74="slec"),1,IF(OR(K74="lab",K74="plab",K74="slab",K74="tut",K74="ptut",K74="stut"),0.5,IF(OR(K74="TL",K74="pTL",K74="STL"),0.75,0))),0),IF(M75="M",IF(OR(K75="lec",K75="plec",K75="slec"),1,IF(OR(K75="lab",K75="plab",K75="slab",K75="tut",K75="ptut",K75="stut"),0.5,IF(OR(K75="TL",K75="pTL",K75="STL"),0.75,0))),0),IF(M76="M",IF(OR(K76="lec",K76="plec",K76="slec"),1,IF(OR(K76="lab",K76="plab",K76="slab",K76="tut",K76="ptut",K76="stut"),0.5,IF(OR(K76="TL",K76="pTL",K76="STL"),0.75,0))),0),IF(M77="M",IF(OR(K77="lec",K77="plec",K77="slec"),1,IF(OR(K77="lab",K77="plab",K77="slab",K77="tut",K77="ptut",K77="stut"),0.5,IF(OR(K77="TL",K77="pTL",K77="STL"),0.75,0))),0),IF(M78="M",IF(OR(K78="lec",K78="plec",K78="slec"),1,IF(OR(K78="lab",K78="plab",K78="slab",K78="tut",K78="ptut",K78="stut"),0.5,IF(OR(K78="TL",K78="pTL",K78="STL"),0.75,0))),0),IF(M79="M",IF(OR(K79="lec",K79="plec",K79="slec"),1,IF(OR(K79="lab",K79="plab",K79="slab",K79="tut",K79="ptut",K79="stut"),0.5,IF(OR(K79="TL",K79="pTL",K79="STL"),0.75,0))),0),IF(M80="M",IF(OR(K80="lec",K80="plec",K80="slec"),1,IF(OR(K80="lab",K80="plab",K80="slab",K80="tut",K80="ptut",K80="stut"),0.5,IF(OR(K80="TL",K80="pTL",K80="STL"),0.75,0))),0),IF(M81="M",IF(OR(K81="lec",K81="plec",K81="slec"),1,IF(OR(K81="lab",K81="plab",K81="slab",K81="tut",K81="ptut",K81="stut"),0.5,IF(OR(K81="TL",K81="pTL",K81="STL"),0.75,0))),0),IF(M82="M",IF(OR(K82="lec",K82="plec",K82="slec"),1,IF(OR(K82="lab",K82="plab",K82="slab",K82="tut",K82="ptut",K82="stut"),0.5,IF(OR(K82="TL",K82="pTL",K82="STL"),0.75,0))),0),IF(M83="M",IF(OR(K83="lec",K83="plec",K83="slec"),1,IF(OR(K83="lab",K83="plab",K83="slab",K83="tut",K83="ptut",K83="stut"),0.5,IF(OR(K83="TL",K83="pTL",K83="STL"),0.75,0))),0),IF(M84="M",IF(OR(K84="lec",K84="plec",K84="slec"),1,IF(OR(K84="lab",K84="plab",K84="slab",K84="tut",K84="ptut",K84="stut"),0.5,IF(OR(K84="TL",K84="pTL",K84="STL"),0.75,0))),0))</f>
        <v>0</v>
      </c>
      <c r="U74" s="137"/>
      <c r="V74" s="133"/>
      <c r="W74" s="138"/>
      <c r="X74" s="139">
        <f>S74-(T74+U74+V74+W74)</f>
        <v>0</v>
      </c>
      <c r="Y74" s="134" t="str">
        <f>CONCATENATE(SUM(O74:O84),"(",SUM(O74:O84)-X74,")")</f>
        <v>0(0)</v>
      </c>
      <c r="Z74" s="140"/>
      <c r="AA74" s="141"/>
      <c r="AB74" s="142"/>
      <c r="AC74" s="142"/>
      <c r="AD74" s="142"/>
      <c r="AE74" s="142"/>
      <c r="AF74" s="142"/>
      <c r="AG74" s="142"/>
      <c r="AH74" s="142"/>
      <c r="AI74" s="143"/>
      <c r="AJ74" s="144"/>
      <c r="AK74" s="145"/>
      <c r="AL74" s="145"/>
      <c r="AM74" s="145"/>
      <c r="AN74" s="145"/>
      <c r="AO74" s="146"/>
      <c r="AP74" s="147">
        <f>SUM(SUM(O74:O84),SUM(AI74:AI84)/2,AM74)</f>
        <v>0</v>
      </c>
      <c r="AQ74" s="148"/>
      <c r="AR74" s="148">
        <f>AP74*AQ74</f>
        <v>0</v>
      </c>
      <c r="AS74" s="148">
        <f>CT74</f>
        <v>0.4944444444</v>
      </c>
      <c r="AT74" s="149">
        <f>AR74*0.75+AS74*0.25</f>
        <v>0.1236111111</v>
      </c>
      <c r="AU74" s="150"/>
      <c r="AV74" s="151"/>
      <c r="AW74" s="151"/>
      <c r="AX74" s="152"/>
      <c r="AY74" s="153"/>
      <c r="AZ74" s="140"/>
      <c r="BA74" s="150"/>
      <c r="BB74" s="151"/>
      <c r="BC74" s="151"/>
      <c r="BD74" s="151"/>
      <c r="BE74" s="151"/>
      <c r="BF74" s="151"/>
      <c r="BG74" s="151"/>
      <c r="BH74" s="151"/>
      <c r="BI74" s="152"/>
      <c r="BJ74" s="154"/>
      <c r="BK74" s="151"/>
      <c r="BL74" s="151"/>
      <c r="BM74" s="151"/>
      <c r="BN74" s="151"/>
      <c r="BO74" s="155"/>
      <c r="BP74" s="140"/>
      <c r="BQ74" s="156" t="s">
        <v>265</v>
      </c>
      <c r="BR74" s="157">
        <v>1.0</v>
      </c>
      <c r="BS74" s="158">
        <v>0.0</v>
      </c>
      <c r="BT74" s="153"/>
      <c r="BU74" s="140"/>
      <c r="BV74" s="140"/>
      <c r="BW74" s="140"/>
      <c r="BX74" s="140"/>
      <c r="BY74" s="140"/>
      <c r="BZ74" s="140"/>
      <c r="CA74" s="140"/>
      <c r="CB74" s="140"/>
      <c r="CC74" s="140"/>
      <c r="CD74" s="150"/>
      <c r="CE74" s="155"/>
      <c r="CF74" s="150" t="s">
        <v>272</v>
      </c>
      <c r="CG74" s="152">
        <f>80/60</f>
        <v>1.333333333</v>
      </c>
      <c r="CH74" s="252"/>
      <c r="CI74" s="160"/>
      <c r="CJ74" s="159"/>
      <c r="CK74" s="160"/>
      <c r="CL74" s="159"/>
      <c r="CM74" s="160"/>
      <c r="CN74" s="159"/>
      <c r="CO74" s="160"/>
      <c r="CP74" s="159"/>
      <c r="CQ74" s="162"/>
      <c r="CR74" s="160"/>
      <c r="CS74" s="253">
        <f>SUM(IF(AU74&lt;0,ABS(AU74),0),IF(AZ74&lt;0,ABS(AZ74),0),ABS(CI74),ABS(CK74),ABS(CM74),ABS(CO74),ABS(CQ74),ABS(CR74))</f>
        <v>0</v>
      </c>
      <c r="CT74" s="254">
        <f>SUM(AU74,AV74,AW74,AX74/400,AY74,AZ74,BG74,BH74*0.5,BI74*0.25,BJ74,BK74,BL74,BM74,BN74,BO74,BP74,BR74/20,BS74/100,BT74/60,BU74,BV74,BW74,BX74/4,SUM(BY74:CC84)/3,CE74,CG74/3,CI74,CK74,CM74,CO74,CQ74,CR74)</f>
        <v>0.4944444444</v>
      </c>
      <c r="CU74" s="255" t="str">
        <f t="shared" si="2"/>
        <v>SDP</v>
      </c>
    </row>
    <row r="75" ht="60.0" customHeight="1">
      <c r="A75" s="65"/>
      <c r="B75" s="65"/>
      <c r="C75" s="167">
        <v>2.0</v>
      </c>
      <c r="D75" s="168" t="s">
        <v>170</v>
      </c>
      <c r="E75" s="169"/>
      <c r="F75" s="170"/>
      <c r="G75" s="170"/>
      <c r="H75" s="170"/>
      <c r="I75" s="207"/>
      <c r="J75" s="170"/>
      <c r="K75" s="171"/>
      <c r="L75" s="171"/>
      <c r="M75" s="171"/>
      <c r="N75" s="276"/>
      <c r="O75" s="256">
        <f t="shared" si="14"/>
        <v>0</v>
      </c>
      <c r="Q75" s="173"/>
      <c r="R75" s="65"/>
      <c r="S75" s="173"/>
      <c r="T75" s="173"/>
      <c r="U75" s="166"/>
      <c r="V75" s="166"/>
      <c r="W75" s="65"/>
      <c r="X75" s="66"/>
      <c r="Y75" s="173"/>
      <c r="Z75" s="166"/>
      <c r="AA75" s="174"/>
      <c r="AB75" s="175"/>
      <c r="AC75" s="175"/>
      <c r="AD75" s="175"/>
      <c r="AE75" s="175"/>
      <c r="AF75" s="175"/>
      <c r="AG75" s="175"/>
      <c r="AH75" s="175"/>
      <c r="AI75" s="176"/>
      <c r="AJ75" s="177"/>
      <c r="AK75" s="178"/>
      <c r="AL75" s="178"/>
      <c r="AM75" s="178"/>
      <c r="AN75" s="178"/>
      <c r="AO75" s="179"/>
      <c r="AP75" s="64"/>
      <c r="AQ75" s="65"/>
      <c r="AR75" s="65"/>
      <c r="AS75" s="65"/>
      <c r="AT75" s="173"/>
      <c r="AU75" s="177"/>
      <c r="AV75" s="178"/>
      <c r="AW75" s="178"/>
      <c r="AX75" s="179"/>
      <c r="AZ75" s="166"/>
      <c r="BA75" s="177"/>
      <c r="BB75" s="178"/>
      <c r="BC75" s="178"/>
      <c r="BD75" s="178"/>
      <c r="BE75" s="178"/>
      <c r="BF75" s="178"/>
      <c r="BG75" s="178"/>
      <c r="BH75" s="178"/>
      <c r="BI75" s="179"/>
      <c r="BJ75" s="180"/>
      <c r="BK75" s="178"/>
      <c r="BL75" s="178"/>
      <c r="BM75" s="178"/>
      <c r="BN75" s="178"/>
      <c r="BO75" s="181"/>
      <c r="BP75" s="166"/>
      <c r="BQ75" s="177"/>
      <c r="BR75" s="178"/>
      <c r="BS75" s="179"/>
      <c r="BU75" s="166"/>
      <c r="BV75" s="166"/>
      <c r="BW75" s="166"/>
      <c r="BX75" s="166"/>
      <c r="BY75" s="166"/>
      <c r="BZ75" s="166"/>
      <c r="CA75" s="166"/>
      <c r="CB75" s="166"/>
      <c r="CC75" s="166"/>
      <c r="CD75" s="177"/>
      <c r="CE75" s="181"/>
      <c r="CF75" s="177"/>
      <c r="CG75" s="179"/>
      <c r="CH75" s="257"/>
      <c r="CI75" s="182"/>
      <c r="CJ75" s="177"/>
      <c r="CK75" s="182"/>
      <c r="CL75" s="177"/>
      <c r="CM75" s="182"/>
      <c r="CN75" s="177"/>
      <c r="CO75" s="182"/>
      <c r="CP75" s="177"/>
      <c r="CQ75" s="178"/>
      <c r="CR75" s="182"/>
      <c r="CS75" s="173"/>
      <c r="CT75" s="65"/>
      <c r="CU75" s="255" t="str">
        <f t="shared" si="2"/>
        <v>SDP</v>
      </c>
    </row>
    <row r="76" ht="60.0" customHeight="1">
      <c r="A76" s="65"/>
      <c r="B76" s="65"/>
      <c r="C76" s="167">
        <v>3.0</v>
      </c>
      <c r="D76" s="168" t="s">
        <v>170</v>
      </c>
      <c r="E76" s="169"/>
      <c r="F76" s="170"/>
      <c r="G76" s="170"/>
      <c r="H76" s="170"/>
      <c r="I76" s="207"/>
      <c r="J76" s="170"/>
      <c r="K76" s="171"/>
      <c r="L76" s="171"/>
      <c r="M76" s="171"/>
      <c r="N76" s="276"/>
      <c r="O76" s="256">
        <f t="shared" si="14"/>
        <v>0</v>
      </c>
      <c r="Q76" s="173"/>
      <c r="R76" s="65"/>
      <c r="S76" s="173"/>
      <c r="T76" s="173"/>
      <c r="U76" s="166"/>
      <c r="V76" s="166"/>
      <c r="W76" s="65"/>
      <c r="X76" s="66"/>
      <c r="Y76" s="173"/>
      <c r="Z76" s="166"/>
      <c r="AA76" s="174"/>
      <c r="AB76" s="175"/>
      <c r="AC76" s="175"/>
      <c r="AD76" s="175"/>
      <c r="AE76" s="175"/>
      <c r="AF76" s="175"/>
      <c r="AG76" s="175"/>
      <c r="AH76" s="175"/>
      <c r="AI76" s="176"/>
      <c r="AJ76" s="177"/>
      <c r="AK76" s="178"/>
      <c r="AL76" s="178"/>
      <c r="AM76" s="178"/>
      <c r="AN76" s="178"/>
      <c r="AO76" s="179"/>
      <c r="AP76" s="64"/>
      <c r="AQ76" s="65"/>
      <c r="AR76" s="65"/>
      <c r="AS76" s="65"/>
      <c r="AT76" s="173"/>
      <c r="AU76" s="177"/>
      <c r="AV76" s="178"/>
      <c r="AW76" s="178"/>
      <c r="AX76" s="179"/>
      <c r="AZ76" s="166"/>
      <c r="BA76" s="177"/>
      <c r="BB76" s="178"/>
      <c r="BC76" s="178"/>
      <c r="BD76" s="178"/>
      <c r="BE76" s="178"/>
      <c r="BF76" s="178"/>
      <c r="BG76" s="178"/>
      <c r="BH76" s="178"/>
      <c r="BI76" s="179"/>
      <c r="BJ76" s="180"/>
      <c r="BK76" s="178"/>
      <c r="BL76" s="178"/>
      <c r="BM76" s="178"/>
      <c r="BN76" s="178"/>
      <c r="BO76" s="181"/>
      <c r="BP76" s="166"/>
      <c r="BQ76" s="177"/>
      <c r="BR76" s="178"/>
      <c r="BS76" s="179"/>
      <c r="BU76" s="166"/>
      <c r="BV76" s="166"/>
      <c r="BW76" s="166"/>
      <c r="BX76" s="166"/>
      <c r="BY76" s="166"/>
      <c r="BZ76" s="166"/>
      <c r="CA76" s="166"/>
      <c r="CB76" s="166"/>
      <c r="CC76" s="166"/>
      <c r="CD76" s="177"/>
      <c r="CE76" s="181"/>
      <c r="CF76" s="177"/>
      <c r="CG76" s="179"/>
      <c r="CH76" s="257"/>
      <c r="CI76" s="182"/>
      <c r="CJ76" s="177"/>
      <c r="CK76" s="182"/>
      <c r="CL76" s="177"/>
      <c r="CM76" s="182"/>
      <c r="CN76" s="177"/>
      <c r="CO76" s="182"/>
      <c r="CP76" s="177"/>
      <c r="CQ76" s="178"/>
      <c r="CR76" s="182"/>
      <c r="CS76" s="173"/>
      <c r="CT76" s="65"/>
      <c r="CU76" s="255" t="str">
        <f t="shared" si="2"/>
        <v>SDP</v>
      </c>
    </row>
    <row r="77" ht="60.0" customHeight="1">
      <c r="A77" s="65"/>
      <c r="B77" s="65"/>
      <c r="C77" s="167">
        <v>4.0</v>
      </c>
      <c r="D77" s="168" t="s">
        <v>170</v>
      </c>
      <c r="E77" s="169"/>
      <c r="F77" s="170"/>
      <c r="G77" s="170"/>
      <c r="H77" s="170"/>
      <c r="I77" s="207"/>
      <c r="J77" s="170"/>
      <c r="K77" s="171"/>
      <c r="L77" s="171"/>
      <c r="M77" s="171"/>
      <c r="N77" s="276"/>
      <c r="O77" s="256">
        <f t="shared" si="14"/>
        <v>0</v>
      </c>
      <c r="Q77" s="173"/>
      <c r="R77" s="65"/>
      <c r="S77" s="173"/>
      <c r="T77" s="173"/>
      <c r="U77" s="166"/>
      <c r="V77" s="166"/>
      <c r="W77" s="65"/>
      <c r="X77" s="66"/>
      <c r="Y77" s="173"/>
      <c r="Z77" s="166"/>
      <c r="AA77" s="174"/>
      <c r="AB77" s="175"/>
      <c r="AC77" s="175"/>
      <c r="AD77" s="175"/>
      <c r="AE77" s="175"/>
      <c r="AF77" s="175"/>
      <c r="AG77" s="175"/>
      <c r="AH77" s="175"/>
      <c r="AI77" s="176"/>
      <c r="AJ77" s="177"/>
      <c r="AK77" s="178"/>
      <c r="AL77" s="178"/>
      <c r="AM77" s="178"/>
      <c r="AN77" s="178"/>
      <c r="AO77" s="179"/>
      <c r="AP77" s="64"/>
      <c r="AQ77" s="65"/>
      <c r="AR77" s="65"/>
      <c r="AS77" s="65"/>
      <c r="AT77" s="173"/>
      <c r="AU77" s="177"/>
      <c r="AV77" s="178"/>
      <c r="AW77" s="178"/>
      <c r="AX77" s="179"/>
      <c r="AZ77" s="166"/>
      <c r="BA77" s="177"/>
      <c r="BB77" s="178"/>
      <c r="BC77" s="178"/>
      <c r="BD77" s="178"/>
      <c r="BE77" s="178"/>
      <c r="BF77" s="178"/>
      <c r="BG77" s="178"/>
      <c r="BH77" s="178"/>
      <c r="BI77" s="179"/>
      <c r="BJ77" s="180"/>
      <c r="BK77" s="178"/>
      <c r="BL77" s="178"/>
      <c r="BM77" s="178"/>
      <c r="BN77" s="178"/>
      <c r="BO77" s="181"/>
      <c r="BP77" s="166"/>
      <c r="BQ77" s="177"/>
      <c r="BR77" s="178"/>
      <c r="BS77" s="179"/>
      <c r="BU77" s="166"/>
      <c r="BV77" s="166"/>
      <c r="BW77" s="166"/>
      <c r="BX77" s="166"/>
      <c r="BY77" s="166"/>
      <c r="BZ77" s="166"/>
      <c r="CA77" s="166"/>
      <c r="CB77" s="166"/>
      <c r="CC77" s="166"/>
      <c r="CD77" s="177"/>
      <c r="CE77" s="181"/>
      <c r="CF77" s="177"/>
      <c r="CG77" s="179"/>
      <c r="CH77" s="257"/>
      <c r="CI77" s="182"/>
      <c r="CJ77" s="177"/>
      <c r="CK77" s="182"/>
      <c r="CL77" s="177"/>
      <c r="CM77" s="182"/>
      <c r="CN77" s="177"/>
      <c r="CO77" s="182"/>
      <c r="CP77" s="177"/>
      <c r="CQ77" s="178"/>
      <c r="CR77" s="182"/>
      <c r="CS77" s="173"/>
      <c r="CT77" s="65"/>
      <c r="CU77" s="255" t="str">
        <f t="shared" si="2"/>
        <v>SDP</v>
      </c>
    </row>
    <row r="78" ht="60.0" customHeight="1">
      <c r="A78" s="65"/>
      <c r="B78" s="65"/>
      <c r="C78" s="167">
        <v>5.0</v>
      </c>
      <c r="D78" s="168" t="s">
        <v>170</v>
      </c>
      <c r="E78" s="169"/>
      <c r="F78" s="170"/>
      <c r="G78" s="170"/>
      <c r="H78" s="170"/>
      <c r="I78" s="207"/>
      <c r="J78" s="170"/>
      <c r="K78" s="171"/>
      <c r="L78" s="171"/>
      <c r="M78" s="171"/>
      <c r="N78" s="276"/>
      <c r="O78" s="256">
        <f t="shared" si="14"/>
        <v>0</v>
      </c>
      <c r="Q78" s="173"/>
      <c r="R78" s="65"/>
      <c r="S78" s="173"/>
      <c r="T78" s="173"/>
      <c r="U78" s="166"/>
      <c r="V78" s="166"/>
      <c r="W78" s="65"/>
      <c r="X78" s="66"/>
      <c r="Y78" s="173"/>
      <c r="Z78" s="166"/>
      <c r="AA78" s="174"/>
      <c r="AB78" s="175"/>
      <c r="AC78" s="175"/>
      <c r="AD78" s="175"/>
      <c r="AE78" s="175"/>
      <c r="AF78" s="175"/>
      <c r="AG78" s="175"/>
      <c r="AH78" s="175"/>
      <c r="AI78" s="176"/>
      <c r="AJ78" s="177"/>
      <c r="AK78" s="178"/>
      <c r="AL78" s="178"/>
      <c r="AM78" s="178"/>
      <c r="AN78" s="178"/>
      <c r="AO78" s="179"/>
      <c r="AP78" s="64"/>
      <c r="AQ78" s="65"/>
      <c r="AR78" s="65"/>
      <c r="AS78" s="65"/>
      <c r="AT78" s="173"/>
      <c r="AU78" s="177"/>
      <c r="AV78" s="178"/>
      <c r="AW78" s="178"/>
      <c r="AX78" s="179"/>
      <c r="AZ78" s="166"/>
      <c r="BA78" s="177"/>
      <c r="BB78" s="178"/>
      <c r="BC78" s="178"/>
      <c r="BD78" s="178"/>
      <c r="BE78" s="178"/>
      <c r="BF78" s="178"/>
      <c r="BG78" s="178"/>
      <c r="BH78" s="178"/>
      <c r="BI78" s="179"/>
      <c r="BJ78" s="180"/>
      <c r="BK78" s="178"/>
      <c r="BL78" s="178"/>
      <c r="BM78" s="178"/>
      <c r="BN78" s="178"/>
      <c r="BO78" s="181"/>
      <c r="BP78" s="166"/>
      <c r="BQ78" s="177"/>
      <c r="BR78" s="178"/>
      <c r="BS78" s="179"/>
      <c r="BU78" s="166"/>
      <c r="BV78" s="166"/>
      <c r="BW78" s="166"/>
      <c r="BX78" s="166"/>
      <c r="BY78" s="166"/>
      <c r="BZ78" s="166"/>
      <c r="CA78" s="166"/>
      <c r="CB78" s="166"/>
      <c r="CC78" s="166"/>
      <c r="CD78" s="177"/>
      <c r="CE78" s="181"/>
      <c r="CF78" s="177"/>
      <c r="CG78" s="179"/>
      <c r="CH78" s="257"/>
      <c r="CI78" s="182"/>
      <c r="CJ78" s="177"/>
      <c r="CK78" s="182"/>
      <c r="CL78" s="177"/>
      <c r="CM78" s="182"/>
      <c r="CN78" s="177"/>
      <c r="CO78" s="182"/>
      <c r="CP78" s="177"/>
      <c r="CQ78" s="178"/>
      <c r="CR78" s="182"/>
      <c r="CS78" s="173"/>
      <c r="CT78" s="65"/>
      <c r="CU78" s="255" t="str">
        <f t="shared" si="2"/>
        <v>SDP</v>
      </c>
    </row>
    <row r="79" ht="60.0" customHeight="1">
      <c r="A79" s="65"/>
      <c r="B79" s="65"/>
      <c r="C79" s="167">
        <v>6.0</v>
      </c>
      <c r="D79" s="168" t="s">
        <v>170</v>
      </c>
      <c r="E79" s="169"/>
      <c r="F79" s="170"/>
      <c r="G79" s="170"/>
      <c r="H79" s="170"/>
      <c r="I79" s="207"/>
      <c r="J79" s="170"/>
      <c r="K79" s="171"/>
      <c r="L79" s="171"/>
      <c r="M79" s="171"/>
      <c r="N79" s="276"/>
      <c r="O79" s="256">
        <f t="shared" si="14"/>
        <v>0</v>
      </c>
      <c r="Q79" s="173"/>
      <c r="R79" s="65"/>
      <c r="S79" s="173"/>
      <c r="T79" s="173"/>
      <c r="U79" s="166"/>
      <c r="V79" s="166"/>
      <c r="W79" s="65"/>
      <c r="X79" s="66"/>
      <c r="Y79" s="173"/>
      <c r="Z79" s="166"/>
      <c r="AA79" s="174"/>
      <c r="AB79" s="175"/>
      <c r="AC79" s="175"/>
      <c r="AD79" s="175"/>
      <c r="AE79" s="175"/>
      <c r="AF79" s="175"/>
      <c r="AG79" s="175"/>
      <c r="AH79" s="175"/>
      <c r="AI79" s="176"/>
      <c r="AJ79" s="177"/>
      <c r="AK79" s="178"/>
      <c r="AL79" s="178"/>
      <c r="AM79" s="178"/>
      <c r="AN79" s="178"/>
      <c r="AO79" s="179"/>
      <c r="AP79" s="64"/>
      <c r="AQ79" s="65"/>
      <c r="AR79" s="65"/>
      <c r="AS79" s="65"/>
      <c r="AT79" s="173"/>
      <c r="AU79" s="177"/>
      <c r="AV79" s="178"/>
      <c r="AW79" s="178"/>
      <c r="AX79" s="179"/>
      <c r="AZ79" s="166"/>
      <c r="BA79" s="177"/>
      <c r="BB79" s="178"/>
      <c r="BC79" s="178"/>
      <c r="BD79" s="178"/>
      <c r="BE79" s="178"/>
      <c r="BF79" s="178"/>
      <c r="BG79" s="178"/>
      <c r="BH79" s="178"/>
      <c r="BI79" s="179"/>
      <c r="BJ79" s="180"/>
      <c r="BK79" s="178"/>
      <c r="BL79" s="178"/>
      <c r="BM79" s="178"/>
      <c r="BN79" s="178"/>
      <c r="BO79" s="181"/>
      <c r="BP79" s="166"/>
      <c r="BQ79" s="177"/>
      <c r="BR79" s="178"/>
      <c r="BS79" s="179"/>
      <c r="BU79" s="166"/>
      <c r="BV79" s="166"/>
      <c r="BW79" s="166"/>
      <c r="BX79" s="166"/>
      <c r="BY79" s="166"/>
      <c r="BZ79" s="166"/>
      <c r="CA79" s="166"/>
      <c r="CB79" s="166"/>
      <c r="CC79" s="166"/>
      <c r="CD79" s="177"/>
      <c r="CE79" s="181"/>
      <c r="CF79" s="177"/>
      <c r="CG79" s="179"/>
      <c r="CH79" s="257"/>
      <c r="CI79" s="182"/>
      <c r="CJ79" s="177"/>
      <c r="CK79" s="182"/>
      <c r="CL79" s="177"/>
      <c r="CM79" s="182"/>
      <c r="CN79" s="177"/>
      <c r="CO79" s="182"/>
      <c r="CP79" s="177"/>
      <c r="CQ79" s="178"/>
      <c r="CR79" s="182"/>
      <c r="CS79" s="173"/>
      <c r="CT79" s="65"/>
      <c r="CU79" s="255" t="str">
        <f t="shared" si="2"/>
        <v>SDP</v>
      </c>
    </row>
    <row r="80" ht="60.0" customHeight="1">
      <c r="A80" s="65"/>
      <c r="B80" s="65"/>
      <c r="C80" s="167">
        <v>7.0</v>
      </c>
      <c r="D80" s="168" t="s">
        <v>170</v>
      </c>
      <c r="E80" s="169"/>
      <c r="F80" s="170"/>
      <c r="G80" s="170"/>
      <c r="H80" s="170"/>
      <c r="I80" s="207"/>
      <c r="J80" s="170"/>
      <c r="K80" s="171"/>
      <c r="L80" s="171"/>
      <c r="M80" s="171"/>
      <c r="N80" s="276"/>
      <c r="O80" s="256">
        <f t="shared" ref="O80:O83" si="15">IF(AND(M80&gt;=20,M80&lt;&gt;"m",RIGHT(K80,3)="Lec"),1,IF(AND(M80&gt;=20,M80&lt;&gt;"m",OR(RIGHT(K80,3)="Lab",RIGHT(K80,3)="Tut")),0.5,IF(AND(M80&gt;=20,M80&lt;&gt;"m",RIGHT(K80,2)="TL"),0.75,0)))</f>
        <v>0</v>
      </c>
      <c r="Q80" s="173"/>
      <c r="R80" s="65"/>
      <c r="S80" s="173"/>
      <c r="T80" s="173"/>
      <c r="U80" s="166"/>
      <c r="V80" s="166"/>
      <c r="W80" s="65"/>
      <c r="X80" s="66"/>
      <c r="Y80" s="173"/>
      <c r="Z80" s="166"/>
      <c r="AA80" s="174"/>
      <c r="AB80" s="175"/>
      <c r="AC80" s="175"/>
      <c r="AD80" s="175"/>
      <c r="AE80" s="175"/>
      <c r="AF80" s="175"/>
      <c r="AG80" s="175"/>
      <c r="AH80" s="175"/>
      <c r="AI80" s="176"/>
      <c r="AJ80" s="177"/>
      <c r="AK80" s="178"/>
      <c r="AL80" s="178"/>
      <c r="AM80" s="178"/>
      <c r="AN80" s="178"/>
      <c r="AO80" s="179"/>
      <c r="AP80" s="64"/>
      <c r="AQ80" s="65"/>
      <c r="AR80" s="65"/>
      <c r="AS80" s="65"/>
      <c r="AT80" s="173"/>
      <c r="AU80" s="177"/>
      <c r="AV80" s="178"/>
      <c r="AW80" s="178"/>
      <c r="AX80" s="179"/>
      <c r="AZ80" s="166"/>
      <c r="BA80" s="177"/>
      <c r="BB80" s="178"/>
      <c r="BC80" s="178"/>
      <c r="BD80" s="178"/>
      <c r="BE80" s="178"/>
      <c r="BF80" s="178"/>
      <c r="BG80" s="178"/>
      <c r="BH80" s="178"/>
      <c r="BI80" s="179"/>
      <c r="BJ80" s="180"/>
      <c r="BK80" s="178"/>
      <c r="BL80" s="178"/>
      <c r="BM80" s="178"/>
      <c r="BN80" s="178"/>
      <c r="BO80" s="181"/>
      <c r="BP80" s="166"/>
      <c r="BQ80" s="177"/>
      <c r="BR80" s="178"/>
      <c r="BS80" s="179"/>
      <c r="BU80" s="166"/>
      <c r="BV80" s="166"/>
      <c r="BW80" s="166"/>
      <c r="BX80" s="166"/>
      <c r="BY80" s="166"/>
      <c r="BZ80" s="166"/>
      <c r="CA80" s="166"/>
      <c r="CB80" s="166"/>
      <c r="CC80" s="166"/>
      <c r="CD80" s="177"/>
      <c r="CE80" s="181"/>
      <c r="CF80" s="177"/>
      <c r="CG80" s="179"/>
      <c r="CH80" s="257"/>
      <c r="CI80" s="182"/>
      <c r="CJ80" s="177"/>
      <c r="CK80" s="182"/>
      <c r="CL80" s="177"/>
      <c r="CM80" s="182"/>
      <c r="CN80" s="177"/>
      <c r="CO80" s="182"/>
      <c r="CP80" s="177"/>
      <c r="CQ80" s="178"/>
      <c r="CR80" s="182"/>
      <c r="CS80" s="173"/>
      <c r="CT80" s="65"/>
      <c r="CU80" s="255" t="str">
        <f t="shared" si="2"/>
        <v>SDP</v>
      </c>
    </row>
    <row r="81" ht="60.0" customHeight="1">
      <c r="A81" s="65"/>
      <c r="B81" s="65"/>
      <c r="C81" s="167">
        <v>8.0</v>
      </c>
      <c r="D81" s="168" t="s">
        <v>170</v>
      </c>
      <c r="E81" s="169"/>
      <c r="F81" s="170"/>
      <c r="G81" s="170"/>
      <c r="H81" s="170"/>
      <c r="I81" s="207"/>
      <c r="J81" s="170"/>
      <c r="K81" s="171"/>
      <c r="L81" s="171"/>
      <c r="M81" s="171"/>
      <c r="N81" s="276"/>
      <c r="O81" s="256">
        <f t="shared" si="15"/>
        <v>0</v>
      </c>
      <c r="Q81" s="173"/>
      <c r="R81" s="65"/>
      <c r="S81" s="173"/>
      <c r="T81" s="173"/>
      <c r="U81" s="166"/>
      <c r="V81" s="166"/>
      <c r="W81" s="65"/>
      <c r="X81" s="66"/>
      <c r="Y81" s="173"/>
      <c r="Z81" s="166"/>
      <c r="AA81" s="174"/>
      <c r="AB81" s="175"/>
      <c r="AC81" s="175"/>
      <c r="AD81" s="175"/>
      <c r="AE81" s="175"/>
      <c r="AF81" s="175"/>
      <c r="AG81" s="175"/>
      <c r="AH81" s="175"/>
      <c r="AI81" s="176"/>
      <c r="AJ81" s="177"/>
      <c r="AK81" s="178"/>
      <c r="AL81" s="178"/>
      <c r="AM81" s="178"/>
      <c r="AN81" s="178"/>
      <c r="AO81" s="179"/>
      <c r="AP81" s="64"/>
      <c r="AQ81" s="65"/>
      <c r="AR81" s="65"/>
      <c r="AS81" s="65"/>
      <c r="AT81" s="173"/>
      <c r="AU81" s="177"/>
      <c r="AV81" s="178"/>
      <c r="AW81" s="178"/>
      <c r="AX81" s="179"/>
      <c r="AZ81" s="166"/>
      <c r="BA81" s="177"/>
      <c r="BB81" s="178"/>
      <c r="BC81" s="178"/>
      <c r="BD81" s="178"/>
      <c r="BE81" s="178"/>
      <c r="BF81" s="178"/>
      <c r="BG81" s="178"/>
      <c r="BH81" s="178"/>
      <c r="BI81" s="179"/>
      <c r="BJ81" s="180"/>
      <c r="BK81" s="178"/>
      <c r="BL81" s="178"/>
      <c r="BM81" s="178"/>
      <c r="BN81" s="178"/>
      <c r="BO81" s="181"/>
      <c r="BP81" s="166"/>
      <c r="BQ81" s="177"/>
      <c r="BR81" s="178"/>
      <c r="BS81" s="179"/>
      <c r="BU81" s="166"/>
      <c r="BV81" s="166"/>
      <c r="BW81" s="166"/>
      <c r="BX81" s="166"/>
      <c r="BY81" s="166"/>
      <c r="BZ81" s="166"/>
      <c r="CA81" s="166"/>
      <c r="CB81" s="166"/>
      <c r="CC81" s="166"/>
      <c r="CD81" s="177"/>
      <c r="CE81" s="181"/>
      <c r="CF81" s="177"/>
      <c r="CG81" s="179"/>
      <c r="CH81" s="257"/>
      <c r="CI81" s="182"/>
      <c r="CJ81" s="177"/>
      <c r="CK81" s="182"/>
      <c r="CL81" s="177"/>
      <c r="CM81" s="182"/>
      <c r="CN81" s="177"/>
      <c r="CO81" s="182"/>
      <c r="CP81" s="177"/>
      <c r="CQ81" s="178"/>
      <c r="CR81" s="182"/>
      <c r="CS81" s="173"/>
      <c r="CT81" s="65"/>
      <c r="CU81" s="255" t="str">
        <f t="shared" si="2"/>
        <v>SDP</v>
      </c>
    </row>
    <row r="82" ht="60.0" customHeight="1">
      <c r="A82" s="65"/>
      <c r="B82" s="65"/>
      <c r="C82" s="167">
        <v>9.0</v>
      </c>
      <c r="D82" s="168" t="s">
        <v>170</v>
      </c>
      <c r="E82" s="169"/>
      <c r="F82" s="170"/>
      <c r="G82" s="170"/>
      <c r="H82" s="170"/>
      <c r="I82" s="207"/>
      <c r="J82" s="170"/>
      <c r="K82" s="171"/>
      <c r="L82" s="171"/>
      <c r="M82" s="171"/>
      <c r="N82" s="276"/>
      <c r="O82" s="256">
        <f t="shared" si="15"/>
        <v>0</v>
      </c>
      <c r="Q82" s="173"/>
      <c r="R82" s="65"/>
      <c r="S82" s="173"/>
      <c r="T82" s="173"/>
      <c r="U82" s="166"/>
      <c r="V82" s="166"/>
      <c r="W82" s="65"/>
      <c r="X82" s="66"/>
      <c r="Y82" s="173"/>
      <c r="Z82" s="166"/>
      <c r="AA82" s="174"/>
      <c r="AB82" s="175"/>
      <c r="AC82" s="175"/>
      <c r="AD82" s="175"/>
      <c r="AE82" s="175"/>
      <c r="AF82" s="175"/>
      <c r="AG82" s="175"/>
      <c r="AH82" s="175"/>
      <c r="AI82" s="176"/>
      <c r="AJ82" s="177"/>
      <c r="AK82" s="178"/>
      <c r="AL82" s="178"/>
      <c r="AM82" s="178"/>
      <c r="AN82" s="178"/>
      <c r="AO82" s="179"/>
      <c r="AP82" s="64"/>
      <c r="AQ82" s="65"/>
      <c r="AR82" s="65"/>
      <c r="AS82" s="65"/>
      <c r="AT82" s="173"/>
      <c r="AU82" s="177"/>
      <c r="AV82" s="178"/>
      <c r="AW82" s="178"/>
      <c r="AX82" s="179"/>
      <c r="AZ82" s="166"/>
      <c r="BA82" s="177"/>
      <c r="BB82" s="178"/>
      <c r="BC82" s="178"/>
      <c r="BD82" s="178"/>
      <c r="BE82" s="178"/>
      <c r="BF82" s="178"/>
      <c r="BG82" s="178"/>
      <c r="BH82" s="178"/>
      <c r="BI82" s="179"/>
      <c r="BJ82" s="180"/>
      <c r="BK82" s="178"/>
      <c r="BL82" s="178"/>
      <c r="BM82" s="178"/>
      <c r="BN82" s="178"/>
      <c r="BO82" s="181"/>
      <c r="BP82" s="166"/>
      <c r="BQ82" s="177"/>
      <c r="BR82" s="178"/>
      <c r="BS82" s="179"/>
      <c r="BU82" s="166"/>
      <c r="BV82" s="166"/>
      <c r="BW82" s="166"/>
      <c r="BX82" s="166"/>
      <c r="BY82" s="166"/>
      <c r="BZ82" s="166"/>
      <c r="CA82" s="166"/>
      <c r="CB82" s="166"/>
      <c r="CC82" s="166"/>
      <c r="CD82" s="177"/>
      <c r="CE82" s="181"/>
      <c r="CF82" s="177"/>
      <c r="CG82" s="179"/>
      <c r="CH82" s="257"/>
      <c r="CI82" s="182"/>
      <c r="CJ82" s="177"/>
      <c r="CK82" s="182"/>
      <c r="CL82" s="177"/>
      <c r="CM82" s="182"/>
      <c r="CN82" s="177"/>
      <c r="CO82" s="182"/>
      <c r="CP82" s="177"/>
      <c r="CQ82" s="178"/>
      <c r="CR82" s="182"/>
      <c r="CS82" s="173"/>
      <c r="CT82" s="65"/>
      <c r="CU82" s="255" t="str">
        <f t="shared" si="2"/>
        <v>SDP</v>
      </c>
    </row>
    <row r="83" ht="60.0" customHeight="1">
      <c r="A83" s="65"/>
      <c r="B83" s="65"/>
      <c r="C83" s="167">
        <v>10.0</v>
      </c>
      <c r="D83" s="168" t="s">
        <v>170</v>
      </c>
      <c r="E83" s="169"/>
      <c r="F83" s="170"/>
      <c r="G83" s="170"/>
      <c r="H83" s="170"/>
      <c r="I83" s="207"/>
      <c r="J83" s="170"/>
      <c r="K83" s="171"/>
      <c r="L83" s="171"/>
      <c r="M83" s="171"/>
      <c r="N83" s="276"/>
      <c r="O83" s="256">
        <f t="shared" si="15"/>
        <v>0</v>
      </c>
      <c r="Q83" s="173"/>
      <c r="R83" s="65"/>
      <c r="S83" s="173"/>
      <c r="T83" s="173"/>
      <c r="U83" s="166"/>
      <c r="V83" s="166"/>
      <c r="W83" s="65"/>
      <c r="X83" s="66"/>
      <c r="Y83" s="173"/>
      <c r="Z83" s="166"/>
      <c r="AA83" s="174"/>
      <c r="AB83" s="175"/>
      <c r="AC83" s="175"/>
      <c r="AD83" s="175"/>
      <c r="AE83" s="175"/>
      <c r="AF83" s="175"/>
      <c r="AG83" s="175"/>
      <c r="AH83" s="175"/>
      <c r="AI83" s="176"/>
      <c r="AJ83" s="177"/>
      <c r="AK83" s="178"/>
      <c r="AL83" s="178"/>
      <c r="AM83" s="178"/>
      <c r="AN83" s="178"/>
      <c r="AO83" s="179"/>
      <c r="AP83" s="64"/>
      <c r="AQ83" s="65"/>
      <c r="AR83" s="65"/>
      <c r="AS83" s="65"/>
      <c r="AT83" s="173"/>
      <c r="AU83" s="177"/>
      <c r="AV83" s="178"/>
      <c r="AW83" s="178"/>
      <c r="AX83" s="179"/>
      <c r="AZ83" s="166"/>
      <c r="BA83" s="177"/>
      <c r="BB83" s="178"/>
      <c r="BC83" s="178"/>
      <c r="BD83" s="178"/>
      <c r="BE83" s="178"/>
      <c r="BF83" s="178"/>
      <c r="BG83" s="178"/>
      <c r="BH83" s="178"/>
      <c r="BI83" s="179"/>
      <c r="BJ83" s="180"/>
      <c r="BK83" s="178"/>
      <c r="BL83" s="178"/>
      <c r="BM83" s="178"/>
      <c r="BN83" s="178"/>
      <c r="BO83" s="181"/>
      <c r="BP83" s="166"/>
      <c r="BQ83" s="177"/>
      <c r="BR83" s="178"/>
      <c r="BS83" s="179"/>
      <c r="BU83" s="166"/>
      <c r="BV83" s="166"/>
      <c r="BW83" s="166"/>
      <c r="BX83" s="166"/>
      <c r="BY83" s="166"/>
      <c r="BZ83" s="166"/>
      <c r="CA83" s="166"/>
      <c r="CB83" s="166"/>
      <c r="CC83" s="166"/>
      <c r="CD83" s="177"/>
      <c r="CE83" s="181"/>
      <c r="CF83" s="177"/>
      <c r="CG83" s="179"/>
      <c r="CH83" s="257"/>
      <c r="CI83" s="182"/>
      <c r="CJ83" s="177"/>
      <c r="CK83" s="182"/>
      <c r="CL83" s="177"/>
      <c r="CM83" s="182"/>
      <c r="CN83" s="177"/>
      <c r="CO83" s="182"/>
      <c r="CP83" s="177"/>
      <c r="CQ83" s="178"/>
      <c r="CR83" s="182"/>
      <c r="CS83" s="173"/>
      <c r="CT83" s="65"/>
      <c r="CU83" s="255" t="str">
        <f t="shared" si="2"/>
        <v>SDP</v>
      </c>
    </row>
    <row r="84" ht="60.0" customHeight="1">
      <c r="A84" s="89"/>
      <c r="B84" s="89"/>
      <c r="C84" s="183">
        <v>11.0</v>
      </c>
      <c r="D84" s="210" t="s">
        <v>170</v>
      </c>
      <c r="E84" s="185"/>
      <c r="F84" s="186"/>
      <c r="G84" s="186"/>
      <c r="H84" s="186"/>
      <c r="I84" s="212"/>
      <c r="J84" s="186"/>
      <c r="K84" s="187"/>
      <c r="L84" s="187"/>
      <c r="M84" s="187"/>
      <c r="N84" s="214"/>
      <c r="O84" s="258">
        <f t="shared" ref="O84:O90" si="16">IF(AND(M84&lt;&gt;0,M84&lt;&gt;"m",M84&lt;&gt;"",RIGHT(K84,3)="Lec"),1,IF(AND(M84&lt;&gt;0,M84&lt;&gt;"m",M84&lt;&gt;"",OR(RIGHT(K84,3)="Lab",RIGHT(K84,3)="Tut")),0.5,IF(AND(M84&lt;&gt;0,M84&lt;&gt;"m",M84&lt;&gt;"",RIGHT(K84,2)="TL"),0.75,0)))</f>
        <v>0</v>
      </c>
      <c r="P84" s="6"/>
      <c r="Q84" s="69"/>
      <c r="R84" s="89"/>
      <c r="S84" s="69"/>
      <c r="T84" s="69"/>
      <c r="U84" s="63"/>
      <c r="V84" s="63"/>
      <c r="W84" s="89"/>
      <c r="X84" s="68"/>
      <c r="Y84" s="69"/>
      <c r="Z84" s="63"/>
      <c r="AA84" s="189"/>
      <c r="AB84" s="190"/>
      <c r="AC84" s="190"/>
      <c r="AD84" s="190"/>
      <c r="AE84" s="190"/>
      <c r="AF84" s="190"/>
      <c r="AG84" s="190"/>
      <c r="AH84" s="190"/>
      <c r="AI84" s="191"/>
      <c r="AJ84" s="192"/>
      <c r="AK84" s="193"/>
      <c r="AL84" s="193"/>
      <c r="AM84" s="193"/>
      <c r="AN84" s="193"/>
      <c r="AO84" s="194"/>
      <c r="AP84" s="103"/>
      <c r="AQ84" s="89"/>
      <c r="AR84" s="89"/>
      <c r="AS84" s="89"/>
      <c r="AT84" s="69"/>
      <c r="AU84" s="192"/>
      <c r="AV84" s="193"/>
      <c r="AW84" s="193"/>
      <c r="AX84" s="194"/>
      <c r="AY84" s="6"/>
      <c r="AZ84" s="63"/>
      <c r="BA84" s="192"/>
      <c r="BB84" s="193"/>
      <c r="BC84" s="193"/>
      <c r="BD84" s="193"/>
      <c r="BE84" s="193"/>
      <c r="BF84" s="193"/>
      <c r="BG84" s="193"/>
      <c r="BH84" s="193"/>
      <c r="BI84" s="194"/>
      <c r="BJ84" s="195"/>
      <c r="BK84" s="193"/>
      <c r="BL84" s="193"/>
      <c r="BM84" s="193"/>
      <c r="BN84" s="193"/>
      <c r="BO84" s="196"/>
      <c r="BP84" s="63"/>
      <c r="BQ84" s="192"/>
      <c r="BR84" s="193"/>
      <c r="BS84" s="194"/>
      <c r="BT84" s="6"/>
      <c r="BU84" s="63"/>
      <c r="BV84" s="63"/>
      <c r="BW84" s="63"/>
      <c r="BX84" s="63"/>
      <c r="BY84" s="63"/>
      <c r="BZ84" s="63"/>
      <c r="CA84" s="63"/>
      <c r="CB84" s="63"/>
      <c r="CC84" s="63"/>
      <c r="CD84" s="192"/>
      <c r="CE84" s="196"/>
      <c r="CF84" s="192"/>
      <c r="CG84" s="194"/>
      <c r="CH84" s="259"/>
      <c r="CI84" s="197"/>
      <c r="CJ84" s="192"/>
      <c r="CK84" s="197"/>
      <c r="CL84" s="192"/>
      <c r="CM84" s="197"/>
      <c r="CN84" s="192"/>
      <c r="CO84" s="197"/>
      <c r="CP84" s="192"/>
      <c r="CQ84" s="193"/>
      <c r="CR84" s="197"/>
      <c r="CS84" s="69"/>
      <c r="CT84" s="89"/>
      <c r="CU84" s="255" t="str">
        <f t="shared" si="2"/>
        <v>SDP</v>
      </c>
    </row>
    <row r="85" ht="55.5" customHeight="1">
      <c r="A85" s="125">
        <v>8.0</v>
      </c>
      <c r="B85" s="274" t="s">
        <v>174</v>
      </c>
      <c r="C85" s="127">
        <v>1.0</v>
      </c>
      <c r="D85" s="168" t="s">
        <v>175</v>
      </c>
      <c r="E85" s="129"/>
      <c r="F85" s="130"/>
      <c r="G85" s="130"/>
      <c r="H85" s="130"/>
      <c r="I85" s="201"/>
      <c r="J85" s="130"/>
      <c r="K85" s="131"/>
      <c r="L85" s="131"/>
      <c r="M85" s="131"/>
      <c r="N85" s="275"/>
      <c r="O85" s="250">
        <f t="shared" si="16"/>
        <v>0</v>
      </c>
      <c r="P85" s="251">
        <f>COUNTIF(K85:K95,"TL")*0.75+COUNTIF(K85:K95,"Lec")*1+COUNTIF(K85:K95,"Lab")*0.5</f>
        <v>0</v>
      </c>
      <c r="Q85" s="134">
        <f>SUM((IF(LEFT(K85,1)="E",O85,0)),(IF(LEFT(K86,1)="E",O86,0)),(IF(LEFT(K87,1)="E",O87,0)),(IF(LEFT(K88,1)="E",O88,0)),(IF(LEFT(K89,1)="E",O89,0)),(IF(LEFT(K90,1)="E",O90,0)),(IF(LEFT(K91,1)="E",O91,0)),(IF(LEFT(K92,1)="E",O92,0)),(IF(LEFT(K93,1)="E",O93,0)),(IF(LEFT(K94,1)="E",O94,0)),(IF(LEFT(K95,1)="E",O95,0)))</f>
        <v>0</v>
      </c>
      <c r="R85" s="135">
        <f>SUM(IF(M91&lt;20,IF(K91="Plec",-1,IF(K91="PTL",-0.75,IF(K91="Plab",-0.5,0))),0),IF(M92&lt;20,IF(K92="Plec",-1,IF(K92="PTL",-0.75,IF(K92="Plab",-0.5,0))),0),IF(M93&lt;20,IF(K93="Plec",-1,IF(K93="PTL",-0.75,IF(K93="Plab",-0.5,0))),0),IF(M94&lt;20,IF(K94="Plec",-1,IF(K94="PTL",-0.75,IF(K94="Plab",-0.5,0))),0))</f>
        <v>0</v>
      </c>
      <c r="S85" s="134">
        <f>SUM(P85:R95)</f>
        <v>0</v>
      </c>
      <c r="T85" s="136">
        <f>SUM(IF(M85="M",IF(OR(K85="lec",K85="plec",K85="slec"),1,IF(OR(K85="lab",K85="plab",K85="slab",K85="tut",K85="ptut",K85="stut"),0.5,IF(OR(K85="TL",K85="pTL",K85="STL"),0.75,0))),0),IF(M86="M",IF(OR(K86="lec",K86="plec",K86="slec"),1,IF(OR(K86="lab",K86="plab",K86="slab",K86="tut",K86="ptut",K86="stut"),0.5,IF(OR(K86="TL",K86="pTL",K86="STL"),0.75,0))),0),IF(M87="M",IF(OR(K87="lec",K87="plec",K87="slec"),1,IF(OR(K87="lab",K87="plab",K87="slab",K87="tut",K87="ptut",K87="stut"),0.5,IF(OR(K87="TL",K87="pTL",K87="STL"),0.75,0))),0),IF(M88="M",IF(OR(K88="lec",K88="plec",K88="slec"),1,IF(OR(K88="lab",K88="plab",K88="slab",K88="tut",K88="ptut",K88="stut"),0.5,IF(OR(K88="TL",K88="pTL",K88="STL"),0.75,0))),0),IF(M89="M",IF(OR(K89="lec",K89="plec",K89="slec"),1,IF(OR(K89="lab",K89="plab",K89="slab",K89="tut",K89="ptut",K89="stut"),0.5,IF(OR(K89="TL",K89="pTL",K89="STL"),0.75,0))),0),IF(M90="M",IF(OR(K90="lec",K90="plec",K90="slec"),1,IF(OR(K90="lab",K90="plab",K90="slab",K90="tut",K90="ptut",K90="stut"),0.5,IF(OR(K90="TL",K90="pTL",K90="STL"),0.75,0))),0),IF(M91="M",IF(OR(K91="lec",K91="plec",K91="slec"),1,IF(OR(K91="lab",K91="plab",K91="slab",K91="tut",K91="ptut",K91="stut"),0.5,IF(OR(K91="TL",K91="pTL",K91="STL"),0.75,0))),0),IF(M92="M",IF(OR(K92="lec",K92="plec",K92="slec"),1,IF(OR(K92="lab",K92="plab",K92="slab",K92="tut",K92="ptut",K92="stut"),0.5,IF(OR(K92="TL",K92="pTL",K92="STL"),0.75,0))),0),IF(M93="M",IF(OR(K93="lec",K93="plec",K93="slec"),1,IF(OR(K93="lab",K93="plab",K93="slab",K93="tut",K93="ptut",K93="stut"),0.5,IF(OR(K93="TL",K93="pTL",K93="STL"),0.75,0))),0),IF(M94="M",IF(OR(K94="lec",K94="plec",K94="slec"),1,IF(OR(K94="lab",K94="plab",K94="slab",K94="tut",K94="ptut",K94="stut"),0.5,IF(OR(K94="TL",K94="pTL",K94="STL"),0.75,0))),0),IF(M95="M",IF(OR(K95="lec",K95="plec",K95="slec"),1,IF(OR(K95="lab",K95="plab",K95="slab",K95="tut",K95="ptut",K95="stut"),0.5,IF(OR(K95="TL",K95="pTL",K95="STL"),0.75,0))),0))</f>
        <v>0</v>
      </c>
      <c r="U85" s="137"/>
      <c r="V85" s="133"/>
      <c r="W85" s="138"/>
      <c r="X85" s="139">
        <f>S85-(T85+U85+V85+W85)</f>
        <v>0</v>
      </c>
      <c r="Y85" s="134" t="str">
        <f>CONCATENATE(SUM(O85:O95),"(",SUM(O85:O95)-X85,")")</f>
        <v>0(0)</v>
      </c>
      <c r="Z85" s="140"/>
      <c r="AA85" s="141"/>
      <c r="AB85" s="142"/>
      <c r="AC85" s="142"/>
      <c r="AD85" s="142"/>
      <c r="AE85" s="142"/>
      <c r="AF85" s="142"/>
      <c r="AG85" s="142"/>
      <c r="AH85" s="142"/>
      <c r="AI85" s="143"/>
      <c r="AJ85" s="144"/>
      <c r="AK85" s="145"/>
      <c r="AL85" s="145"/>
      <c r="AM85" s="145"/>
      <c r="AN85" s="145"/>
      <c r="AO85" s="146"/>
      <c r="AP85" s="147">
        <f>SUM(SUM(O85:O95),SUM(AI85:AI95)/2,AM85)</f>
        <v>0</v>
      </c>
      <c r="AQ85" s="148"/>
      <c r="AR85" s="148">
        <f>AP85*AQ85</f>
        <v>0</v>
      </c>
      <c r="AS85" s="148">
        <f>CT85</f>
        <v>0.05</v>
      </c>
      <c r="AT85" s="149">
        <f>AR85*0.75+AS85*0.25</f>
        <v>0.0125</v>
      </c>
      <c r="AU85" s="150"/>
      <c r="AV85" s="151"/>
      <c r="AW85" s="151"/>
      <c r="AX85" s="152"/>
      <c r="AY85" s="153"/>
      <c r="AZ85" s="140"/>
      <c r="BA85" s="150"/>
      <c r="BB85" s="151"/>
      <c r="BC85" s="151"/>
      <c r="BD85" s="151"/>
      <c r="BE85" s="151"/>
      <c r="BF85" s="151"/>
      <c r="BG85" s="151"/>
      <c r="BH85" s="151"/>
      <c r="BI85" s="152"/>
      <c r="BJ85" s="154"/>
      <c r="BK85" s="151"/>
      <c r="BL85" s="151"/>
      <c r="BM85" s="151"/>
      <c r="BN85" s="151"/>
      <c r="BO85" s="155"/>
      <c r="BP85" s="140"/>
      <c r="BQ85" s="156" t="s">
        <v>265</v>
      </c>
      <c r="BR85" s="157">
        <v>1.0</v>
      </c>
      <c r="BS85" s="158">
        <v>0.0</v>
      </c>
      <c r="BT85" s="153"/>
      <c r="BU85" s="140"/>
      <c r="BV85" s="140"/>
      <c r="BW85" s="140"/>
      <c r="BX85" s="140"/>
      <c r="BY85" s="140"/>
      <c r="BZ85" s="140"/>
      <c r="CA85" s="140"/>
      <c r="CB85" s="140"/>
      <c r="CC85" s="140"/>
      <c r="CD85" s="150"/>
      <c r="CE85" s="155"/>
      <c r="CF85" s="150"/>
      <c r="CG85" s="152"/>
      <c r="CH85" s="252" t="s">
        <v>273</v>
      </c>
      <c r="CI85" s="160"/>
      <c r="CJ85" s="159"/>
      <c r="CK85" s="160"/>
      <c r="CL85" s="159"/>
      <c r="CM85" s="160"/>
      <c r="CN85" s="159"/>
      <c r="CO85" s="160"/>
      <c r="CP85" s="159"/>
      <c r="CQ85" s="162"/>
      <c r="CR85" s="160"/>
      <c r="CS85" s="253">
        <f>SUM(IF(AU85&lt;0,ABS(AU85),0),IF(AZ85&lt;0,ABS(AZ85),0),ABS(CI85),ABS(CK85),ABS(CM85),ABS(CO85),ABS(CQ85),ABS(CR85))</f>
        <v>0</v>
      </c>
      <c r="CT85" s="254">
        <f>SUM(AU85,AV85,AW85,AX85/400,AY85,AZ85,BG85,BH85*0.5,BI85*0.25,BJ85,BK85,BL85,BM85,BN85,BO85,BP85,BR85/20,BS85/100,BT85/60,BU85,BV85,BW85,BX85/4,SUM(BY85:CC95)/3,CE85,CG85/3,CI85,CK85,CM85,CO85,CQ85,CR85)</f>
        <v>0.05</v>
      </c>
      <c r="CU85" s="255" t="str">
        <f t="shared" si="2"/>
        <v>SHP</v>
      </c>
    </row>
    <row r="86" ht="60.0" customHeight="1">
      <c r="A86" s="65"/>
      <c r="B86" s="65"/>
      <c r="C86" s="167">
        <v>2.0</v>
      </c>
      <c r="D86" s="168" t="s">
        <v>175</v>
      </c>
      <c r="E86" s="169"/>
      <c r="F86" s="170"/>
      <c r="G86" s="170"/>
      <c r="H86" s="170"/>
      <c r="I86" s="207"/>
      <c r="J86" s="170"/>
      <c r="K86" s="171"/>
      <c r="L86" s="171"/>
      <c r="M86" s="171"/>
      <c r="N86" s="276"/>
      <c r="O86" s="256">
        <f t="shared" si="16"/>
        <v>0</v>
      </c>
      <c r="Q86" s="173"/>
      <c r="R86" s="65"/>
      <c r="S86" s="173"/>
      <c r="T86" s="173"/>
      <c r="U86" s="166"/>
      <c r="V86" s="166"/>
      <c r="W86" s="65"/>
      <c r="X86" s="66"/>
      <c r="Y86" s="173"/>
      <c r="Z86" s="166"/>
      <c r="AA86" s="174"/>
      <c r="AB86" s="175"/>
      <c r="AC86" s="175"/>
      <c r="AD86" s="175"/>
      <c r="AE86" s="175"/>
      <c r="AF86" s="175"/>
      <c r="AG86" s="175"/>
      <c r="AH86" s="175"/>
      <c r="AI86" s="176"/>
      <c r="AJ86" s="177"/>
      <c r="AK86" s="178"/>
      <c r="AL86" s="178"/>
      <c r="AM86" s="178"/>
      <c r="AN86" s="178"/>
      <c r="AO86" s="179"/>
      <c r="AP86" s="64"/>
      <c r="AQ86" s="65"/>
      <c r="AR86" s="65"/>
      <c r="AS86" s="65"/>
      <c r="AT86" s="173"/>
      <c r="AU86" s="177"/>
      <c r="AV86" s="178"/>
      <c r="AW86" s="178"/>
      <c r="AX86" s="179"/>
      <c r="AZ86" s="166"/>
      <c r="BA86" s="177"/>
      <c r="BB86" s="178"/>
      <c r="BC86" s="178"/>
      <c r="BD86" s="178"/>
      <c r="BE86" s="178"/>
      <c r="BF86" s="178"/>
      <c r="BG86" s="178"/>
      <c r="BH86" s="178"/>
      <c r="BI86" s="179"/>
      <c r="BJ86" s="180"/>
      <c r="BK86" s="178"/>
      <c r="BL86" s="178"/>
      <c r="BM86" s="178"/>
      <c r="BN86" s="178"/>
      <c r="BO86" s="181"/>
      <c r="BP86" s="166"/>
      <c r="BQ86" s="177"/>
      <c r="BR86" s="178"/>
      <c r="BS86" s="179"/>
      <c r="BU86" s="166"/>
      <c r="BV86" s="166"/>
      <c r="BW86" s="166"/>
      <c r="BX86" s="166"/>
      <c r="BY86" s="166"/>
      <c r="BZ86" s="166"/>
      <c r="CA86" s="166"/>
      <c r="CB86" s="166"/>
      <c r="CC86" s="166"/>
      <c r="CD86" s="177"/>
      <c r="CE86" s="181"/>
      <c r="CF86" s="177"/>
      <c r="CG86" s="179"/>
      <c r="CH86" s="257"/>
      <c r="CI86" s="182"/>
      <c r="CJ86" s="177"/>
      <c r="CK86" s="182"/>
      <c r="CL86" s="177"/>
      <c r="CM86" s="182"/>
      <c r="CN86" s="177"/>
      <c r="CO86" s="182"/>
      <c r="CP86" s="177"/>
      <c r="CQ86" s="178"/>
      <c r="CR86" s="182"/>
      <c r="CS86" s="173"/>
      <c r="CT86" s="65"/>
      <c r="CU86" s="255" t="str">
        <f t="shared" si="2"/>
        <v>SHP</v>
      </c>
    </row>
    <row r="87" ht="60.0" customHeight="1">
      <c r="A87" s="65"/>
      <c r="B87" s="65"/>
      <c r="C87" s="167">
        <v>3.0</v>
      </c>
      <c r="D87" s="168" t="s">
        <v>175</v>
      </c>
      <c r="E87" s="169"/>
      <c r="F87" s="170"/>
      <c r="G87" s="170"/>
      <c r="H87" s="170"/>
      <c r="I87" s="207"/>
      <c r="J87" s="170"/>
      <c r="K87" s="171"/>
      <c r="L87" s="171"/>
      <c r="M87" s="171"/>
      <c r="N87" s="276"/>
      <c r="O87" s="256">
        <f t="shared" si="16"/>
        <v>0</v>
      </c>
      <c r="Q87" s="173"/>
      <c r="R87" s="65"/>
      <c r="S87" s="173"/>
      <c r="T87" s="173"/>
      <c r="U87" s="166"/>
      <c r="V87" s="166"/>
      <c r="W87" s="65"/>
      <c r="X87" s="66"/>
      <c r="Y87" s="173"/>
      <c r="Z87" s="166"/>
      <c r="AA87" s="174"/>
      <c r="AB87" s="175"/>
      <c r="AC87" s="175"/>
      <c r="AD87" s="175"/>
      <c r="AE87" s="175"/>
      <c r="AF87" s="175"/>
      <c r="AG87" s="175"/>
      <c r="AH87" s="175"/>
      <c r="AI87" s="176"/>
      <c r="AJ87" s="177"/>
      <c r="AK87" s="178"/>
      <c r="AL87" s="178"/>
      <c r="AM87" s="178"/>
      <c r="AN87" s="178"/>
      <c r="AO87" s="179"/>
      <c r="AP87" s="64"/>
      <c r="AQ87" s="65"/>
      <c r="AR87" s="65"/>
      <c r="AS87" s="65"/>
      <c r="AT87" s="173"/>
      <c r="AU87" s="177"/>
      <c r="AV87" s="178"/>
      <c r="AW87" s="178"/>
      <c r="AX87" s="179"/>
      <c r="AZ87" s="166"/>
      <c r="BA87" s="177"/>
      <c r="BB87" s="178"/>
      <c r="BC87" s="178"/>
      <c r="BD87" s="178"/>
      <c r="BE87" s="178"/>
      <c r="BF87" s="178"/>
      <c r="BG87" s="178"/>
      <c r="BH87" s="178"/>
      <c r="BI87" s="179"/>
      <c r="BJ87" s="180"/>
      <c r="BK87" s="178"/>
      <c r="BL87" s="178"/>
      <c r="BM87" s="178"/>
      <c r="BN87" s="178"/>
      <c r="BO87" s="181"/>
      <c r="BP87" s="166"/>
      <c r="BQ87" s="177"/>
      <c r="BR87" s="178"/>
      <c r="BS87" s="179"/>
      <c r="BU87" s="166"/>
      <c r="BV87" s="166"/>
      <c r="BW87" s="166"/>
      <c r="BX87" s="166"/>
      <c r="BY87" s="166"/>
      <c r="BZ87" s="166"/>
      <c r="CA87" s="166"/>
      <c r="CB87" s="166"/>
      <c r="CC87" s="166"/>
      <c r="CD87" s="177"/>
      <c r="CE87" s="181"/>
      <c r="CF87" s="177"/>
      <c r="CG87" s="179"/>
      <c r="CH87" s="257"/>
      <c r="CI87" s="182"/>
      <c r="CJ87" s="177"/>
      <c r="CK87" s="182"/>
      <c r="CL87" s="177"/>
      <c r="CM87" s="182"/>
      <c r="CN87" s="177"/>
      <c r="CO87" s="182"/>
      <c r="CP87" s="177"/>
      <c r="CQ87" s="178"/>
      <c r="CR87" s="182"/>
      <c r="CS87" s="173"/>
      <c r="CT87" s="65"/>
      <c r="CU87" s="255" t="str">
        <f t="shared" si="2"/>
        <v>SHP</v>
      </c>
    </row>
    <row r="88" ht="60.0" customHeight="1">
      <c r="A88" s="65"/>
      <c r="B88" s="65"/>
      <c r="C88" s="167">
        <v>4.0</v>
      </c>
      <c r="D88" s="168" t="s">
        <v>175</v>
      </c>
      <c r="E88" s="169"/>
      <c r="F88" s="170"/>
      <c r="G88" s="170"/>
      <c r="H88" s="170"/>
      <c r="I88" s="207"/>
      <c r="J88" s="170"/>
      <c r="K88" s="171"/>
      <c r="L88" s="171"/>
      <c r="M88" s="171"/>
      <c r="N88" s="276"/>
      <c r="O88" s="256">
        <f t="shared" si="16"/>
        <v>0</v>
      </c>
      <c r="Q88" s="173"/>
      <c r="R88" s="65"/>
      <c r="S88" s="173"/>
      <c r="T88" s="173"/>
      <c r="U88" s="166"/>
      <c r="V88" s="166"/>
      <c r="W88" s="65"/>
      <c r="X88" s="66"/>
      <c r="Y88" s="173"/>
      <c r="Z88" s="166"/>
      <c r="AA88" s="174"/>
      <c r="AB88" s="175"/>
      <c r="AC88" s="175"/>
      <c r="AD88" s="175"/>
      <c r="AE88" s="175"/>
      <c r="AF88" s="175"/>
      <c r="AG88" s="175"/>
      <c r="AH88" s="175"/>
      <c r="AI88" s="176"/>
      <c r="AJ88" s="177"/>
      <c r="AK88" s="178"/>
      <c r="AL88" s="178"/>
      <c r="AM88" s="178"/>
      <c r="AN88" s="178"/>
      <c r="AO88" s="179"/>
      <c r="AP88" s="64"/>
      <c r="AQ88" s="65"/>
      <c r="AR88" s="65"/>
      <c r="AS88" s="65"/>
      <c r="AT88" s="173"/>
      <c r="AU88" s="177"/>
      <c r="AV88" s="178"/>
      <c r="AW88" s="178"/>
      <c r="AX88" s="179"/>
      <c r="AZ88" s="166"/>
      <c r="BA88" s="177"/>
      <c r="BB88" s="178"/>
      <c r="BC88" s="178"/>
      <c r="BD88" s="178"/>
      <c r="BE88" s="178"/>
      <c r="BF88" s="178"/>
      <c r="BG88" s="178"/>
      <c r="BH88" s="178"/>
      <c r="BI88" s="179"/>
      <c r="BJ88" s="180"/>
      <c r="BK88" s="178"/>
      <c r="BL88" s="178"/>
      <c r="BM88" s="178"/>
      <c r="BN88" s="178"/>
      <c r="BO88" s="181"/>
      <c r="BP88" s="166"/>
      <c r="BQ88" s="177"/>
      <c r="BR88" s="178"/>
      <c r="BS88" s="179"/>
      <c r="BU88" s="166"/>
      <c r="BV88" s="166"/>
      <c r="BW88" s="166"/>
      <c r="BX88" s="166"/>
      <c r="BY88" s="166"/>
      <c r="BZ88" s="166"/>
      <c r="CA88" s="166"/>
      <c r="CB88" s="166"/>
      <c r="CC88" s="166"/>
      <c r="CD88" s="177"/>
      <c r="CE88" s="181"/>
      <c r="CF88" s="177"/>
      <c r="CG88" s="179"/>
      <c r="CH88" s="257"/>
      <c r="CI88" s="182"/>
      <c r="CJ88" s="177"/>
      <c r="CK88" s="182"/>
      <c r="CL88" s="177"/>
      <c r="CM88" s="182"/>
      <c r="CN88" s="177"/>
      <c r="CO88" s="182"/>
      <c r="CP88" s="177"/>
      <c r="CQ88" s="178"/>
      <c r="CR88" s="182"/>
      <c r="CS88" s="173"/>
      <c r="CT88" s="65"/>
      <c r="CU88" s="255" t="str">
        <f t="shared" si="2"/>
        <v>SHP</v>
      </c>
    </row>
    <row r="89" ht="60.0" customHeight="1">
      <c r="A89" s="65"/>
      <c r="B89" s="65"/>
      <c r="C89" s="167">
        <v>5.0</v>
      </c>
      <c r="D89" s="168" t="s">
        <v>175</v>
      </c>
      <c r="E89" s="169"/>
      <c r="F89" s="170"/>
      <c r="G89" s="170"/>
      <c r="H89" s="170"/>
      <c r="I89" s="207"/>
      <c r="J89" s="170"/>
      <c r="K89" s="171"/>
      <c r="L89" s="171"/>
      <c r="M89" s="171"/>
      <c r="N89" s="276"/>
      <c r="O89" s="256">
        <f t="shared" si="16"/>
        <v>0</v>
      </c>
      <c r="Q89" s="173"/>
      <c r="R89" s="65"/>
      <c r="S89" s="173"/>
      <c r="T89" s="173"/>
      <c r="U89" s="166"/>
      <c r="V89" s="166"/>
      <c r="W89" s="65"/>
      <c r="X89" s="66"/>
      <c r="Y89" s="173"/>
      <c r="Z89" s="166"/>
      <c r="AA89" s="174"/>
      <c r="AB89" s="175"/>
      <c r="AC89" s="175"/>
      <c r="AD89" s="175"/>
      <c r="AE89" s="175"/>
      <c r="AF89" s="175"/>
      <c r="AG89" s="175"/>
      <c r="AH89" s="175"/>
      <c r="AI89" s="176"/>
      <c r="AJ89" s="177"/>
      <c r="AK89" s="178"/>
      <c r="AL89" s="178"/>
      <c r="AM89" s="178"/>
      <c r="AN89" s="178"/>
      <c r="AO89" s="179"/>
      <c r="AP89" s="64"/>
      <c r="AQ89" s="65"/>
      <c r="AR89" s="65"/>
      <c r="AS89" s="65"/>
      <c r="AT89" s="173"/>
      <c r="AU89" s="177"/>
      <c r="AV89" s="178"/>
      <c r="AW89" s="178"/>
      <c r="AX89" s="179"/>
      <c r="AZ89" s="166"/>
      <c r="BA89" s="177"/>
      <c r="BB89" s="178"/>
      <c r="BC89" s="178"/>
      <c r="BD89" s="178"/>
      <c r="BE89" s="178"/>
      <c r="BF89" s="178"/>
      <c r="BG89" s="178"/>
      <c r="BH89" s="178"/>
      <c r="BI89" s="179"/>
      <c r="BJ89" s="180"/>
      <c r="BK89" s="178"/>
      <c r="BL89" s="178"/>
      <c r="BM89" s="178"/>
      <c r="BN89" s="178"/>
      <c r="BO89" s="181"/>
      <c r="BP89" s="166"/>
      <c r="BQ89" s="177"/>
      <c r="BR89" s="178"/>
      <c r="BS89" s="179"/>
      <c r="BU89" s="166"/>
      <c r="BV89" s="166"/>
      <c r="BW89" s="166"/>
      <c r="BX89" s="166"/>
      <c r="BY89" s="166"/>
      <c r="BZ89" s="166"/>
      <c r="CA89" s="166"/>
      <c r="CB89" s="166"/>
      <c r="CC89" s="166"/>
      <c r="CD89" s="177"/>
      <c r="CE89" s="181"/>
      <c r="CF89" s="177"/>
      <c r="CG89" s="179"/>
      <c r="CH89" s="257"/>
      <c r="CI89" s="182"/>
      <c r="CJ89" s="177"/>
      <c r="CK89" s="182"/>
      <c r="CL89" s="177"/>
      <c r="CM89" s="182"/>
      <c r="CN89" s="177"/>
      <c r="CO89" s="182"/>
      <c r="CP89" s="177"/>
      <c r="CQ89" s="178"/>
      <c r="CR89" s="182"/>
      <c r="CS89" s="173"/>
      <c r="CT89" s="65"/>
      <c r="CU89" s="255" t="str">
        <f t="shared" si="2"/>
        <v>SHP</v>
      </c>
    </row>
    <row r="90" ht="60.0" customHeight="1">
      <c r="A90" s="65"/>
      <c r="B90" s="65"/>
      <c r="C90" s="167">
        <v>6.0</v>
      </c>
      <c r="D90" s="168" t="s">
        <v>175</v>
      </c>
      <c r="E90" s="169"/>
      <c r="F90" s="170"/>
      <c r="G90" s="170"/>
      <c r="H90" s="170"/>
      <c r="I90" s="207"/>
      <c r="J90" s="170"/>
      <c r="K90" s="171"/>
      <c r="L90" s="171"/>
      <c r="M90" s="171"/>
      <c r="N90" s="276"/>
      <c r="O90" s="256">
        <f t="shared" si="16"/>
        <v>0</v>
      </c>
      <c r="Q90" s="173"/>
      <c r="R90" s="65"/>
      <c r="S90" s="173"/>
      <c r="T90" s="173"/>
      <c r="U90" s="166"/>
      <c r="V90" s="166"/>
      <c r="W90" s="65"/>
      <c r="X90" s="66"/>
      <c r="Y90" s="173"/>
      <c r="Z90" s="166"/>
      <c r="AA90" s="174"/>
      <c r="AB90" s="175"/>
      <c r="AC90" s="175"/>
      <c r="AD90" s="175"/>
      <c r="AE90" s="175"/>
      <c r="AF90" s="175"/>
      <c r="AG90" s="175"/>
      <c r="AH90" s="175"/>
      <c r="AI90" s="176"/>
      <c r="AJ90" s="177"/>
      <c r="AK90" s="178"/>
      <c r="AL90" s="178"/>
      <c r="AM90" s="178"/>
      <c r="AN90" s="178"/>
      <c r="AO90" s="179"/>
      <c r="AP90" s="64"/>
      <c r="AQ90" s="65"/>
      <c r="AR90" s="65"/>
      <c r="AS90" s="65"/>
      <c r="AT90" s="173"/>
      <c r="AU90" s="177"/>
      <c r="AV90" s="178"/>
      <c r="AW90" s="178"/>
      <c r="AX90" s="179"/>
      <c r="AZ90" s="166"/>
      <c r="BA90" s="177"/>
      <c r="BB90" s="178"/>
      <c r="BC90" s="178"/>
      <c r="BD90" s="178"/>
      <c r="BE90" s="178"/>
      <c r="BF90" s="178"/>
      <c r="BG90" s="178"/>
      <c r="BH90" s="178"/>
      <c r="BI90" s="179"/>
      <c r="BJ90" s="180"/>
      <c r="BK90" s="178"/>
      <c r="BL90" s="178"/>
      <c r="BM90" s="178"/>
      <c r="BN90" s="178"/>
      <c r="BO90" s="181"/>
      <c r="BP90" s="166"/>
      <c r="BQ90" s="177"/>
      <c r="BR90" s="178"/>
      <c r="BS90" s="179"/>
      <c r="BU90" s="166"/>
      <c r="BV90" s="166"/>
      <c r="BW90" s="166"/>
      <c r="BX90" s="166"/>
      <c r="BY90" s="166"/>
      <c r="BZ90" s="166"/>
      <c r="CA90" s="166"/>
      <c r="CB90" s="166"/>
      <c r="CC90" s="166"/>
      <c r="CD90" s="177"/>
      <c r="CE90" s="181"/>
      <c r="CF90" s="177"/>
      <c r="CG90" s="179"/>
      <c r="CH90" s="257"/>
      <c r="CI90" s="182"/>
      <c r="CJ90" s="177"/>
      <c r="CK90" s="182"/>
      <c r="CL90" s="177"/>
      <c r="CM90" s="182"/>
      <c r="CN90" s="177"/>
      <c r="CO90" s="182"/>
      <c r="CP90" s="177"/>
      <c r="CQ90" s="178"/>
      <c r="CR90" s="182"/>
      <c r="CS90" s="173"/>
      <c r="CT90" s="65"/>
      <c r="CU90" s="255" t="str">
        <f t="shared" si="2"/>
        <v>SHP</v>
      </c>
    </row>
    <row r="91" ht="60.0" customHeight="1">
      <c r="A91" s="65"/>
      <c r="B91" s="65"/>
      <c r="C91" s="167">
        <v>7.0</v>
      </c>
      <c r="D91" s="168" t="s">
        <v>175</v>
      </c>
      <c r="E91" s="169"/>
      <c r="F91" s="170"/>
      <c r="G91" s="170"/>
      <c r="H91" s="170"/>
      <c r="I91" s="207"/>
      <c r="J91" s="170"/>
      <c r="K91" s="171"/>
      <c r="L91" s="171"/>
      <c r="M91" s="171"/>
      <c r="N91" s="276"/>
      <c r="O91" s="256">
        <f t="shared" ref="O91:O94" si="17">IF(AND(M91&gt;=20,M91&lt;&gt;"m",RIGHT(K91,3)="Lec"),1,IF(AND(M91&gt;=20,M91&lt;&gt;"m",OR(RIGHT(K91,3)="Lab",RIGHT(K91,3)="Tut")),0.5,IF(AND(M91&gt;=20,M91&lt;&gt;"m",RIGHT(K91,2)="TL"),0.75,0)))</f>
        <v>0</v>
      </c>
      <c r="Q91" s="173"/>
      <c r="R91" s="65"/>
      <c r="S91" s="173"/>
      <c r="T91" s="173"/>
      <c r="U91" s="166"/>
      <c r="V91" s="166"/>
      <c r="W91" s="65"/>
      <c r="X91" s="66"/>
      <c r="Y91" s="173"/>
      <c r="Z91" s="166"/>
      <c r="AA91" s="174"/>
      <c r="AB91" s="175"/>
      <c r="AC91" s="175"/>
      <c r="AD91" s="175"/>
      <c r="AE91" s="175"/>
      <c r="AF91" s="175"/>
      <c r="AG91" s="175"/>
      <c r="AH91" s="175"/>
      <c r="AI91" s="176"/>
      <c r="AJ91" s="177"/>
      <c r="AK91" s="178"/>
      <c r="AL91" s="178"/>
      <c r="AM91" s="178"/>
      <c r="AN91" s="178"/>
      <c r="AO91" s="179"/>
      <c r="AP91" s="64"/>
      <c r="AQ91" s="65"/>
      <c r="AR91" s="65"/>
      <c r="AS91" s="65"/>
      <c r="AT91" s="173"/>
      <c r="AU91" s="177"/>
      <c r="AV91" s="178"/>
      <c r="AW91" s="178"/>
      <c r="AX91" s="179"/>
      <c r="AZ91" s="166"/>
      <c r="BA91" s="177"/>
      <c r="BB91" s="178"/>
      <c r="BC91" s="178"/>
      <c r="BD91" s="178"/>
      <c r="BE91" s="178"/>
      <c r="BF91" s="178"/>
      <c r="BG91" s="178"/>
      <c r="BH91" s="178"/>
      <c r="BI91" s="179"/>
      <c r="BJ91" s="180"/>
      <c r="BK91" s="178"/>
      <c r="BL91" s="178"/>
      <c r="BM91" s="178"/>
      <c r="BN91" s="178"/>
      <c r="BO91" s="181"/>
      <c r="BP91" s="166"/>
      <c r="BQ91" s="177"/>
      <c r="BR91" s="178"/>
      <c r="BS91" s="179"/>
      <c r="BU91" s="166"/>
      <c r="BV91" s="166"/>
      <c r="BW91" s="166"/>
      <c r="BX91" s="166"/>
      <c r="BY91" s="166"/>
      <c r="BZ91" s="166"/>
      <c r="CA91" s="166"/>
      <c r="CB91" s="166"/>
      <c r="CC91" s="166"/>
      <c r="CD91" s="177"/>
      <c r="CE91" s="181"/>
      <c r="CF91" s="177"/>
      <c r="CG91" s="179"/>
      <c r="CH91" s="257"/>
      <c r="CI91" s="182"/>
      <c r="CJ91" s="177"/>
      <c r="CK91" s="182"/>
      <c r="CL91" s="177"/>
      <c r="CM91" s="182"/>
      <c r="CN91" s="177"/>
      <c r="CO91" s="182"/>
      <c r="CP91" s="177"/>
      <c r="CQ91" s="178"/>
      <c r="CR91" s="182"/>
      <c r="CS91" s="173"/>
      <c r="CT91" s="65"/>
      <c r="CU91" s="255" t="str">
        <f t="shared" si="2"/>
        <v>SHP</v>
      </c>
    </row>
    <row r="92" ht="60.0" customHeight="1">
      <c r="A92" s="65"/>
      <c r="B92" s="65"/>
      <c r="C92" s="167">
        <v>8.0</v>
      </c>
      <c r="D92" s="168" t="s">
        <v>175</v>
      </c>
      <c r="E92" s="169"/>
      <c r="F92" s="170"/>
      <c r="G92" s="170"/>
      <c r="H92" s="170"/>
      <c r="I92" s="207"/>
      <c r="J92" s="170"/>
      <c r="K92" s="171"/>
      <c r="L92" s="171"/>
      <c r="M92" s="171"/>
      <c r="N92" s="276"/>
      <c r="O92" s="256">
        <f t="shared" si="17"/>
        <v>0</v>
      </c>
      <c r="Q92" s="173"/>
      <c r="R92" s="65"/>
      <c r="S92" s="173"/>
      <c r="T92" s="173"/>
      <c r="U92" s="166"/>
      <c r="V92" s="166"/>
      <c r="W92" s="65"/>
      <c r="X92" s="66"/>
      <c r="Y92" s="173"/>
      <c r="Z92" s="166"/>
      <c r="AA92" s="174"/>
      <c r="AB92" s="175"/>
      <c r="AC92" s="175"/>
      <c r="AD92" s="175"/>
      <c r="AE92" s="175"/>
      <c r="AF92" s="175"/>
      <c r="AG92" s="175"/>
      <c r="AH92" s="175"/>
      <c r="AI92" s="176"/>
      <c r="AJ92" s="177"/>
      <c r="AK92" s="178"/>
      <c r="AL92" s="178"/>
      <c r="AM92" s="178"/>
      <c r="AN92" s="178"/>
      <c r="AO92" s="179"/>
      <c r="AP92" s="64"/>
      <c r="AQ92" s="65"/>
      <c r="AR92" s="65"/>
      <c r="AS92" s="65"/>
      <c r="AT92" s="173"/>
      <c r="AU92" s="177"/>
      <c r="AV92" s="178"/>
      <c r="AW92" s="178"/>
      <c r="AX92" s="179"/>
      <c r="AZ92" s="166"/>
      <c r="BA92" s="177"/>
      <c r="BB92" s="178"/>
      <c r="BC92" s="178"/>
      <c r="BD92" s="178"/>
      <c r="BE92" s="178"/>
      <c r="BF92" s="178"/>
      <c r="BG92" s="178"/>
      <c r="BH92" s="178"/>
      <c r="BI92" s="179"/>
      <c r="BJ92" s="180"/>
      <c r="BK92" s="178"/>
      <c r="BL92" s="178"/>
      <c r="BM92" s="178"/>
      <c r="BN92" s="178"/>
      <c r="BO92" s="181"/>
      <c r="BP92" s="166"/>
      <c r="BQ92" s="177"/>
      <c r="BR92" s="178"/>
      <c r="BS92" s="179"/>
      <c r="BU92" s="166"/>
      <c r="BV92" s="166"/>
      <c r="BW92" s="166"/>
      <c r="BX92" s="166"/>
      <c r="BY92" s="166"/>
      <c r="BZ92" s="166"/>
      <c r="CA92" s="166"/>
      <c r="CB92" s="166"/>
      <c r="CC92" s="166"/>
      <c r="CD92" s="177"/>
      <c r="CE92" s="181"/>
      <c r="CF92" s="177"/>
      <c r="CG92" s="179"/>
      <c r="CH92" s="257"/>
      <c r="CI92" s="182"/>
      <c r="CJ92" s="177"/>
      <c r="CK92" s="182"/>
      <c r="CL92" s="177"/>
      <c r="CM92" s="182"/>
      <c r="CN92" s="177"/>
      <c r="CO92" s="182"/>
      <c r="CP92" s="177"/>
      <c r="CQ92" s="178"/>
      <c r="CR92" s="182"/>
      <c r="CS92" s="173"/>
      <c r="CT92" s="65"/>
      <c r="CU92" s="255" t="str">
        <f t="shared" si="2"/>
        <v>SHP</v>
      </c>
    </row>
    <row r="93" ht="60.0" customHeight="1">
      <c r="A93" s="65"/>
      <c r="B93" s="65"/>
      <c r="C93" s="167">
        <v>9.0</v>
      </c>
      <c r="D93" s="168" t="s">
        <v>175</v>
      </c>
      <c r="E93" s="169"/>
      <c r="F93" s="170"/>
      <c r="G93" s="170"/>
      <c r="H93" s="170"/>
      <c r="I93" s="207"/>
      <c r="J93" s="170"/>
      <c r="K93" s="171"/>
      <c r="L93" s="171"/>
      <c r="M93" s="171"/>
      <c r="N93" s="276"/>
      <c r="O93" s="256">
        <f t="shared" si="17"/>
        <v>0</v>
      </c>
      <c r="Q93" s="173"/>
      <c r="R93" s="65"/>
      <c r="S93" s="173"/>
      <c r="T93" s="173"/>
      <c r="U93" s="166"/>
      <c r="V93" s="166"/>
      <c r="W93" s="65"/>
      <c r="X93" s="66"/>
      <c r="Y93" s="173"/>
      <c r="Z93" s="166"/>
      <c r="AA93" s="174"/>
      <c r="AB93" s="175"/>
      <c r="AC93" s="175"/>
      <c r="AD93" s="175"/>
      <c r="AE93" s="175"/>
      <c r="AF93" s="175"/>
      <c r="AG93" s="175"/>
      <c r="AH93" s="175"/>
      <c r="AI93" s="176"/>
      <c r="AJ93" s="177"/>
      <c r="AK93" s="178"/>
      <c r="AL93" s="178"/>
      <c r="AM93" s="178"/>
      <c r="AN93" s="178"/>
      <c r="AO93" s="179"/>
      <c r="AP93" s="64"/>
      <c r="AQ93" s="65"/>
      <c r="AR93" s="65"/>
      <c r="AS93" s="65"/>
      <c r="AT93" s="173"/>
      <c r="AU93" s="177"/>
      <c r="AV93" s="178"/>
      <c r="AW93" s="178"/>
      <c r="AX93" s="179"/>
      <c r="AZ93" s="166"/>
      <c r="BA93" s="177"/>
      <c r="BB93" s="178"/>
      <c r="BC93" s="178"/>
      <c r="BD93" s="178"/>
      <c r="BE93" s="178"/>
      <c r="BF93" s="178"/>
      <c r="BG93" s="178"/>
      <c r="BH93" s="178"/>
      <c r="BI93" s="179"/>
      <c r="BJ93" s="180"/>
      <c r="BK93" s="178"/>
      <c r="BL93" s="178"/>
      <c r="BM93" s="178"/>
      <c r="BN93" s="178"/>
      <c r="BO93" s="181"/>
      <c r="BP93" s="166"/>
      <c r="BQ93" s="177"/>
      <c r="BR93" s="178"/>
      <c r="BS93" s="179"/>
      <c r="BU93" s="166"/>
      <c r="BV93" s="166"/>
      <c r="BW93" s="166"/>
      <c r="BX93" s="166"/>
      <c r="BY93" s="166"/>
      <c r="BZ93" s="166"/>
      <c r="CA93" s="166"/>
      <c r="CB93" s="166"/>
      <c r="CC93" s="166"/>
      <c r="CD93" s="177"/>
      <c r="CE93" s="181"/>
      <c r="CF93" s="177"/>
      <c r="CG93" s="179"/>
      <c r="CH93" s="257"/>
      <c r="CI93" s="182"/>
      <c r="CJ93" s="177"/>
      <c r="CK93" s="182"/>
      <c r="CL93" s="177"/>
      <c r="CM93" s="182"/>
      <c r="CN93" s="177"/>
      <c r="CO93" s="182"/>
      <c r="CP93" s="177"/>
      <c r="CQ93" s="178"/>
      <c r="CR93" s="182"/>
      <c r="CS93" s="173"/>
      <c r="CT93" s="65"/>
      <c r="CU93" s="255" t="str">
        <f t="shared" si="2"/>
        <v>SHP</v>
      </c>
    </row>
    <row r="94" ht="60.0" customHeight="1">
      <c r="A94" s="65"/>
      <c r="B94" s="65"/>
      <c r="C94" s="167">
        <v>10.0</v>
      </c>
      <c r="D94" s="168" t="s">
        <v>175</v>
      </c>
      <c r="E94" s="169"/>
      <c r="F94" s="170"/>
      <c r="G94" s="170"/>
      <c r="H94" s="170"/>
      <c r="I94" s="207"/>
      <c r="J94" s="170"/>
      <c r="K94" s="171"/>
      <c r="L94" s="171"/>
      <c r="M94" s="171"/>
      <c r="N94" s="276"/>
      <c r="O94" s="256">
        <f t="shared" si="17"/>
        <v>0</v>
      </c>
      <c r="Q94" s="173"/>
      <c r="R94" s="65"/>
      <c r="S94" s="173"/>
      <c r="T94" s="173"/>
      <c r="U94" s="166"/>
      <c r="V94" s="166"/>
      <c r="W94" s="65"/>
      <c r="X94" s="66"/>
      <c r="Y94" s="173"/>
      <c r="Z94" s="166"/>
      <c r="AA94" s="174"/>
      <c r="AB94" s="175"/>
      <c r="AC94" s="175"/>
      <c r="AD94" s="175"/>
      <c r="AE94" s="175"/>
      <c r="AF94" s="175"/>
      <c r="AG94" s="175"/>
      <c r="AH94" s="175"/>
      <c r="AI94" s="176"/>
      <c r="AJ94" s="177"/>
      <c r="AK94" s="178"/>
      <c r="AL94" s="178"/>
      <c r="AM94" s="178"/>
      <c r="AN94" s="178"/>
      <c r="AO94" s="179"/>
      <c r="AP94" s="64"/>
      <c r="AQ94" s="65"/>
      <c r="AR94" s="65"/>
      <c r="AS94" s="65"/>
      <c r="AT94" s="173"/>
      <c r="AU94" s="177"/>
      <c r="AV94" s="178"/>
      <c r="AW94" s="178"/>
      <c r="AX94" s="179"/>
      <c r="AZ94" s="166"/>
      <c r="BA94" s="177"/>
      <c r="BB94" s="178"/>
      <c r="BC94" s="178"/>
      <c r="BD94" s="178"/>
      <c r="BE94" s="178"/>
      <c r="BF94" s="178"/>
      <c r="BG94" s="178"/>
      <c r="BH94" s="178"/>
      <c r="BI94" s="179"/>
      <c r="BJ94" s="180"/>
      <c r="BK94" s="178"/>
      <c r="BL94" s="178"/>
      <c r="BM94" s="178"/>
      <c r="BN94" s="178"/>
      <c r="BO94" s="181"/>
      <c r="BP94" s="166"/>
      <c r="BQ94" s="177"/>
      <c r="BR94" s="178"/>
      <c r="BS94" s="179"/>
      <c r="BU94" s="166"/>
      <c r="BV94" s="166"/>
      <c r="BW94" s="166"/>
      <c r="BX94" s="166"/>
      <c r="BY94" s="166"/>
      <c r="BZ94" s="166"/>
      <c r="CA94" s="166"/>
      <c r="CB94" s="166"/>
      <c r="CC94" s="166"/>
      <c r="CD94" s="177"/>
      <c r="CE94" s="181"/>
      <c r="CF94" s="177"/>
      <c r="CG94" s="179"/>
      <c r="CH94" s="257"/>
      <c r="CI94" s="182"/>
      <c r="CJ94" s="177"/>
      <c r="CK94" s="182"/>
      <c r="CL94" s="177"/>
      <c r="CM94" s="182"/>
      <c r="CN94" s="177"/>
      <c r="CO94" s="182"/>
      <c r="CP94" s="177"/>
      <c r="CQ94" s="178"/>
      <c r="CR94" s="182"/>
      <c r="CS94" s="173"/>
      <c r="CT94" s="65"/>
      <c r="CU94" s="255" t="str">
        <f t="shared" si="2"/>
        <v>SHP</v>
      </c>
    </row>
    <row r="95" ht="60.0" customHeight="1">
      <c r="A95" s="89"/>
      <c r="B95" s="89"/>
      <c r="C95" s="183">
        <v>11.0</v>
      </c>
      <c r="D95" s="210" t="s">
        <v>175</v>
      </c>
      <c r="E95" s="185"/>
      <c r="F95" s="186"/>
      <c r="G95" s="186"/>
      <c r="H95" s="186"/>
      <c r="I95" s="212"/>
      <c r="J95" s="186"/>
      <c r="K95" s="187"/>
      <c r="L95" s="187"/>
      <c r="M95" s="187"/>
      <c r="N95" s="214"/>
      <c r="O95" s="258">
        <f t="shared" ref="O95:O101" si="18">IF(AND(M95&lt;&gt;0,M95&lt;&gt;"m",M95&lt;&gt;"",RIGHT(K95,3)="Lec"),1,IF(AND(M95&lt;&gt;0,M95&lt;&gt;"m",M95&lt;&gt;"",OR(RIGHT(K95,3)="Lab",RIGHT(K95,3)="Tut")),0.5,IF(AND(M95&lt;&gt;0,M95&lt;&gt;"m",M95&lt;&gt;"",RIGHT(K95,2)="TL"),0.75,0)))</f>
        <v>0</v>
      </c>
      <c r="P95" s="6"/>
      <c r="Q95" s="69"/>
      <c r="R95" s="89"/>
      <c r="S95" s="69"/>
      <c r="T95" s="69"/>
      <c r="U95" s="63"/>
      <c r="V95" s="63"/>
      <c r="W95" s="89"/>
      <c r="X95" s="68"/>
      <c r="Y95" s="69"/>
      <c r="Z95" s="63"/>
      <c r="AA95" s="189"/>
      <c r="AB95" s="190"/>
      <c r="AC95" s="190"/>
      <c r="AD95" s="190"/>
      <c r="AE95" s="190"/>
      <c r="AF95" s="190"/>
      <c r="AG95" s="190"/>
      <c r="AH95" s="190"/>
      <c r="AI95" s="191"/>
      <c r="AJ95" s="192"/>
      <c r="AK95" s="193"/>
      <c r="AL95" s="193"/>
      <c r="AM95" s="193"/>
      <c r="AN95" s="193"/>
      <c r="AO95" s="194"/>
      <c r="AP95" s="103"/>
      <c r="AQ95" s="89"/>
      <c r="AR95" s="89"/>
      <c r="AS95" s="89"/>
      <c r="AT95" s="69"/>
      <c r="AU95" s="192"/>
      <c r="AV95" s="193"/>
      <c r="AW95" s="193"/>
      <c r="AX95" s="194"/>
      <c r="AY95" s="6"/>
      <c r="AZ95" s="63"/>
      <c r="BA95" s="192"/>
      <c r="BB95" s="193"/>
      <c r="BC95" s="193"/>
      <c r="BD95" s="193"/>
      <c r="BE95" s="193"/>
      <c r="BF95" s="193"/>
      <c r="BG95" s="193"/>
      <c r="BH95" s="193"/>
      <c r="BI95" s="194"/>
      <c r="BJ95" s="195"/>
      <c r="BK95" s="193"/>
      <c r="BL95" s="193"/>
      <c r="BM95" s="193"/>
      <c r="BN95" s="193"/>
      <c r="BO95" s="196"/>
      <c r="BP95" s="63"/>
      <c r="BQ95" s="192"/>
      <c r="BR95" s="193"/>
      <c r="BS95" s="194"/>
      <c r="BT95" s="6"/>
      <c r="BU95" s="63"/>
      <c r="BV95" s="63"/>
      <c r="BW95" s="63"/>
      <c r="BX95" s="63"/>
      <c r="BY95" s="63"/>
      <c r="BZ95" s="63"/>
      <c r="CA95" s="63"/>
      <c r="CB95" s="63"/>
      <c r="CC95" s="63"/>
      <c r="CD95" s="192"/>
      <c r="CE95" s="196"/>
      <c r="CF95" s="192"/>
      <c r="CG95" s="194"/>
      <c r="CH95" s="259"/>
      <c r="CI95" s="197"/>
      <c r="CJ95" s="192"/>
      <c r="CK95" s="197"/>
      <c r="CL95" s="192"/>
      <c r="CM95" s="197"/>
      <c r="CN95" s="192"/>
      <c r="CO95" s="197"/>
      <c r="CP95" s="192"/>
      <c r="CQ95" s="193"/>
      <c r="CR95" s="197"/>
      <c r="CS95" s="69"/>
      <c r="CT95" s="89"/>
      <c r="CU95" s="255" t="str">
        <f t="shared" si="2"/>
        <v>SHP</v>
      </c>
    </row>
    <row r="96" ht="55.5" customHeight="1">
      <c r="A96" s="125">
        <v>9.0</v>
      </c>
      <c r="B96" s="274" t="s">
        <v>179</v>
      </c>
      <c r="C96" s="127">
        <v>1.0</v>
      </c>
      <c r="D96" s="168" t="s">
        <v>180</v>
      </c>
      <c r="E96" s="129"/>
      <c r="F96" s="130"/>
      <c r="G96" s="130"/>
      <c r="H96" s="130"/>
      <c r="I96" s="201"/>
      <c r="J96" s="130"/>
      <c r="K96" s="131"/>
      <c r="L96" s="131"/>
      <c r="M96" s="131"/>
      <c r="N96" s="275"/>
      <c r="O96" s="250">
        <f t="shared" si="18"/>
        <v>0</v>
      </c>
      <c r="P96" s="251">
        <f>COUNTIF(K96:K106,"TL")*0.75+COUNTIF(K96:K106,"Lec")*1+COUNTIF(K96:K106,"Lab")*0.5</f>
        <v>0</v>
      </c>
      <c r="Q96" s="134">
        <f>SUM((IF(LEFT(K96,1)="E",O96,0)),(IF(LEFT(K97,1)="E",O97,0)),(IF(LEFT(K98,1)="E",O98,0)),(IF(LEFT(K99,1)="E",O99,0)),(IF(LEFT(K100,1)="E",O100,0)),(IF(LEFT(K101,1)="E",O101,0)),(IF(LEFT(K102,1)="E",O102,0)),(IF(LEFT(K103,1)="E",O103,0)),(IF(LEFT(K104,1)="E",O104,0)),(IF(LEFT(K105,1)="E",O105,0)),(IF(LEFT(K106,1)="E",O106,0)))</f>
        <v>0</v>
      </c>
      <c r="R96" s="135">
        <f>SUM(IF(M102&lt;20,IF(K102="Plec",-1,IF(K102="PTL",-0.75,IF(K102="Plab",-0.5,0))),0),IF(M103&lt;20,IF(K103="Plec",-1,IF(K103="PTL",-0.75,IF(K103="Plab",-0.5,0))),0),IF(M104&lt;20,IF(K104="Plec",-1,IF(K104="PTL",-0.75,IF(K104="Plab",-0.5,0))),0),IF(M105&lt;20,IF(K105="Plec",-1,IF(K105="PTL",-0.75,IF(K105="Plab",-0.5,0))),0))</f>
        <v>0</v>
      </c>
      <c r="S96" s="134">
        <f>SUM(P96:R106)</f>
        <v>0</v>
      </c>
      <c r="T96" s="136">
        <f>SUM(IF(M96="M",IF(OR(K96="lec",K96="plec",K96="slec"),1,IF(OR(K96="lab",K96="plab",K96="slab",K96="tut",K96="ptut",K96="stut"),0.5,IF(OR(K96="TL",K96="pTL",K96="STL"),0.75,0))),0),IF(M97="M",IF(OR(K97="lec",K97="plec",K97="slec"),1,IF(OR(K97="lab",K97="plab",K97="slab",K97="tut",K97="ptut",K97="stut"),0.5,IF(OR(K97="TL",K97="pTL",K97="STL"),0.75,0))),0),IF(M98="M",IF(OR(K98="lec",K98="plec",K98="slec"),1,IF(OR(K98="lab",K98="plab",K98="slab",K98="tut",K98="ptut",K98="stut"),0.5,IF(OR(K98="TL",K98="pTL",K98="STL"),0.75,0))),0),IF(M99="M",IF(OR(K99="lec",K99="plec",K99="slec"),1,IF(OR(K99="lab",K99="plab",K99="slab",K99="tut",K99="ptut",K99="stut"),0.5,IF(OR(K99="TL",K99="pTL",K99="STL"),0.75,0))),0),IF(M100="M",IF(OR(K100="lec",K100="plec",K100="slec"),1,IF(OR(K100="lab",K100="plab",K100="slab",K100="tut",K100="ptut",K100="stut"),0.5,IF(OR(K100="TL",K100="pTL",K100="STL"),0.75,0))),0),IF(M101="M",IF(OR(K101="lec",K101="plec",K101="slec"),1,IF(OR(K101="lab",K101="plab",K101="slab",K101="tut",K101="ptut",K101="stut"),0.5,IF(OR(K101="TL",K101="pTL",K101="STL"),0.75,0))),0),IF(M102="M",IF(OR(K102="lec",K102="plec",K102="slec"),1,IF(OR(K102="lab",K102="plab",K102="slab",K102="tut",K102="ptut",K102="stut"),0.5,IF(OR(K102="TL",K102="pTL",K102="STL"),0.75,0))),0),IF(M103="M",IF(OR(K103="lec",K103="plec",K103="slec"),1,IF(OR(K103="lab",K103="plab",K103="slab",K103="tut",K103="ptut",K103="stut"),0.5,IF(OR(K103="TL",K103="pTL",K103="STL"),0.75,0))),0),IF(M104="M",IF(OR(K104="lec",K104="plec",K104="slec"),1,IF(OR(K104="lab",K104="plab",K104="slab",K104="tut",K104="ptut",K104="stut"),0.5,IF(OR(K104="TL",K104="pTL",K104="STL"),0.75,0))),0),IF(M105="M",IF(OR(K105="lec",K105="plec",K105="slec"),1,IF(OR(K105="lab",K105="plab",K105="slab",K105="tut",K105="ptut",K105="stut"),0.5,IF(OR(K105="TL",K105="pTL",K105="STL"),0.75,0))),0),IF(M106="M",IF(OR(K106="lec",K106="plec",K106="slec"),1,IF(OR(K106="lab",K106="plab",K106="slab",K106="tut",K106="ptut",K106="stut"),0.5,IF(OR(K106="TL",K106="pTL",K106="STL"),0.75,0))),0))</f>
        <v>0</v>
      </c>
      <c r="U96" s="137"/>
      <c r="V96" s="133"/>
      <c r="W96" s="138"/>
      <c r="X96" s="139">
        <f>S96-(T96+U96+V96+W96)</f>
        <v>0</v>
      </c>
      <c r="Y96" s="134" t="str">
        <f>CONCATENATE(SUM(O96:O106),"(",SUM(O96:O106)-X96,")")</f>
        <v>0(0)</v>
      </c>
      <c r="Z96" s="140"/>
      <c r="AA96" s="141"/>
      <c r="AB96" s="142"/>
      <c r="AC96" s="142"/>
      <c r="AD96" s="142"/>
      <c r="AE96" s="142"/>
      <c r="AF96" s="142"/>
      <c r="AG96" s="142"/>
      <c r="AH96" s="142"/>
      <c r="AI96" s="143"/>
      <c r="AJ96" s="144"/>
      <c r="AK96" s="145"/>
      <c r="AL96" s="145"/>
      <c r="AM96" s="145"/>
      <c r="AN96" s="145"/>
      <c r="AO96" s="146"/>
      <c r="AP96" s="147">
        <f>SUM(SUM(O96:O106),SUM(AI96:AI106)/2,AM96)</f>
        <v>0</v>
      </c>
      <c r="AQ96" s="148"/>
      <c r="AR96" s="148">
        <f>AP96*AQ96</f>
        <v>0</v>
      </c>
      <c r="AS96" s="148">
        <f>CT96</f>
        <v>6.9</v>
      </c>
      <c r="AT96" s="149">
        <f>AR96*0.75+AS96*0.25</f>
        <v>1.725</v>
      </c>
      <c r="AU96" s="150"/>
      <c r="AV96" s="151"/>
      <c r="AW96" s="151"/>
      <c r="AX96" s="152"/>
      <c r="AY96" s="153"/>
      <c r="AZ96" s="140"/>
      <c r="BA96" s="150"/>
      <c r="BB96" s="151"/>
      <c r="BC96" s="151"/>
      <c r="BD96" s="151"/>
      <c r="BE96" s="151"/>
      <c r="BF96" s="151"/>
      <c r="BG96" s="151"/>
      <c r="BH96" s="151"/>
      <c r="BI96" s="152"/>
      <c r="BJ96" s="154"/>
      <c r="BK96" s="151"/>
      <c r="BL96" s="151">
        <v>6.9</v>
      </c>
      <c r="BM96" s="151"/>
      <c r="BN96" s="151"/>
      <c r="BO96" s="155"/>
      <c r="BP96" s="140"/>
      <c r="BQ96" s="156"/>
      <c r="BR96" s="157"/>
      <c r="BS96" s="158"/>
      <c r="BT96" s="153"/>
      <c r="BU96" s="140"/>
      <c r="BV96" s="140"/>
      <c r="BW96" s="140"/>
      <c r="BX96" s="140"/>
      <c r="BY96" s="140"/>
      <c r="BZ96" s="140"/>
      <c r="CA96" s="140"/>
      <c r="CB96" s="140"/>
      <c r="CC96" s="140"/>
      <c r="CD96" s="150"/>
      <c r="CE96" s="155"/>
      <c r="CF96" s="150" t="s">
        <v>274</v>
      </c>
      <c r="CG96" s="152"/>
      <c r="CH96" s="252"/>
      <c r="CI96" s="160"/>
      <c r="CJ96" s="159"/>
      <c r="CK96" s="160"/>
      <c r="CL96" s="159"/>
      <c r="CM96" s="160"/>
      <c r="CN96" s="159"/>
      <c r="CO96" s="160"/>
      <c r="CP96" s="159"/>
      <c r="CQ96" s="162"/>
      <c r="CR96" s="160"/>
      <c r="CS96" s="253">
        <f>SUM(IF(AU96&lt;0,ABS(AU96),0),IF(AZ96&lt;0,ABS(AZ96),0),ABS(CI96),ABS(CK96),ABS(CM96),ABS(CO96),ABS(CQ96),ABS(CR96))</f>
        <v>0</v>
      </c>
      <c r="CT96" s="254">
        <f>SUM(AU96,AV96,AW96,AX96/400,AY96,AZ96,BG96,BH96*0.5,BI96*0.25,BJ96,BK96,BL96,BM96,BN96,BO96,BP96,BR96/20,BS96/100,BT96/60,BU96,BV96,BW96,BX96/4,SUM(BY96:CC106)/3,CE96,CG96/3,CI96,CK96,CM96,CO96,CQ96,CR96)</f>
        <v>6.9</v>
      </c>
      <c r="CU96" s="255" t="str">
        <f t="shared" si="2"/>
        <v>ZMP</v>
      </c>
    </row>
    <row r="97" ht="60.0" customHeight="1">
      <c r="A97" s="65"/>
      <c r="B97" s="65"/>
      <c r="C97" s="167">
        <v>2.0</v>
      </c>
      <c r="D97" s="168" t="s">
        <v>180</v>
      </c>
      <c r="E97" s="169"/>
      <c r="F97" s="170"/>
      <c r="G97" s="170"/>
      <c r="H97" s="170"/>
      <c r="I97" s="207"/>
      <c r="J97" s="170"/>
      <c r="K97" s="171"/>
      <c r="L97" s="171"/>
      <c r="M97" s="171"/>
      <c r="N97" s="276"/>
      <c r="O97" s="256">
        <f t="shared" si="18"/>
        <v>0</v>
      </c>
      <c r="Q97" s="173"/>
      <c r="R97" s="65"/>
      <c r="S97" s="173"/>
      <c r="T97" s="173"/>
      <c r="U97" s="166"/>
      <c r="V97" s="166"/>
      <c r="W97" s="65"/>
      <c r="X97" s="66"/>
      <c r="Y97" s="173"/>
      <c r="Z97" s="166"/>
      <c r="AA97" s="174"/>
      <c r="AB97" s="175"/>
      <c r="AC97" s="175"/>
      <c r="AD97" s="175"/>
      <c r="AE97" s="175"/>
      <c r="AF97" s="175"/>
      <c r="AG97" s="175"/>
      <c r="AH97" s="175"/>
      <c r="AI97" s="176"/>
      <c r="AJ97" s="177"/>
      <c r="AK97" s="178"/>
      <c r="AL97" s="178"/>
      <c r="AM97" s="178"/>
      <c r="AN97" s="178"/>
      <c r="AO97" s="179"/>
      <c r="AP97" s="64"/>
      <c r="AQ97" s="65"/>
      <c r="AR97" s="65"/>
      <c r="AS97" s="65"/>
      <c r="AT97" s="173"/>
      <c r="AU97" s="177"/>
      <c r="AV97" s="178"/>
      <c r="AW97" s="178"/>
      <c r="AX97" s="179"/>
      <c r="AZ97" s="166"/>
      <c r="BA97" s="177"/>
      <c r="BB97" s="178"/>
      <c r="BC97" s="178"/>
      <c r="BD97" s="178"/>
      <c r="BE97" s="178"/>
      <c r="BF97" s="178"/>
      <c r="BG97" s="178"/>
      <c r="BH97" s="178"/>
      <c r="BI97" s="179"/>
      <c r="BJ97" s="180"/>
      <c r="BK97" s="178"/>
      <c r="BL97" s="178"/>
      <c r="BM97" s="178"/>
      <c r="BN97" s="178"/>
      <c r="BO97" s="181"/>
      <c r="BP97" s="166"/>
      <c r="BQ97" s="177"/>
      <c r="BR97" s="178"/>
      <c r="BS97" s="179"/>
      <c r="BU97" s="166"/>
      <c r="BV97" s="166"/>
      <c r="BW97" s="166"/>
      <c r="BX97" s="166"/>
      <c r="BY97" s="166"/>
      <c r="BZ97" s="166"/>
      <c r="CA97" s="166"/>
      <c r="CB97" s="166"/>
      <c r="CC97" s="166"/>
      <c r="CD97" s="177"/>
      <c r="CE97" s="181"/>
      <c r="CF97" s="177"/>
      <c r="CG97" s="179"/>
      <c r="CH97" s="257"/>
      <c r="CI97" s="182"/>
      <c r="CJ97" s="177"/>
      <c r="CK97" s="182"/>
      <c r="CL97" s="177"/>
      <c r="CM97" s="182"/>
      <c r="CN97" s="177"/>
      <c r="CO97" s="182"/>
      <c r="CP97" s="177"/>
      <c r="CQ97" s="178"/>
      <c r="CR97" s="182"/>
      <c r="CS97" s="173"/>
      <c r="CT97" s="65"/>
      <c r="CU97" s="255" t="str">
        <f t="shared" si="2"/>
        <v>ZMP</v>
      </c>
    </row>
    <row r="98" ht="60.0" customHeight="1">
      <c r="A98" s="65"/>
      <c r="B98" s="65"/>
      <c r="C98" s="167">
        <v>3.0</v>
      </c>
      <c r="D98" s="168" t="s">
        <v>180</v>
      </c>
      <c r="E98" s="169"/>
      <c r="F98" s="170"/>
      <c r="G98" s="170"/>
      <c r="H98" s="170"/>
      <c r="I98" s="207"/>
      <c r="J98" s="170"/>
      <c r="K98" s="171"/>
      <c r="L98" s="171"/>
      <c r="M98" s="171"/>
      <c r="N98" s="276"/>
      <c r="O98" s="256">
        <f t="shared" si="18"/>
        <v>0</v>
      </c>
      <c r="Q98" s="173"/>
      <c r="R98" s="65"/>
      <c r="S98" s="173"/>
      <c r="T98" s="173"/>
      <c r="U98" s="166"/>
      <c r="V98" s="166"/>
      <c r="W98" s="65"/>
      <c r="X98" s="66"/>
      <c r="Y98" s="173"/>
      <c r="Z98" s="166"/>
      <c r="AA98" s="174"/>
      <c r="AB98" s="175"/>
      <c r="AC98" s="175"/>
      <c r="AD98" s="175"/>
      <c r="AE98" s="175"/>
      <c r="AF98" s="175"/>
      <c r="AG98" s="175"/>
      <c r="AH98" s="175"/>
      <c r="AI98" s="176"/>
      <c r="AJ98" s="177"/>
      <c r="AK98" s="178"/>
      <c r="AL98" s="178"/>
      <c r="AM98" s="178"/>
      <c r="AN98" s="178"/>
      <c r="AO98" s="179"/>
      <c r="AP98" s="64"/>
      <c r="AQ98" s="65"/>
      <c r="AR98" s="65"/>
      <c r="AS98" s="65"/>
      <c r="AT98" s="173"/>
      <c r="AU98" s="177"/>
      <c r="AV98" s="178"/>
      <c r="AW98" s="178"/>
      <c r="AX98" s="179"/>
      <c r="AZ98" s="166"/>
      <c r="BA98" s="177"/>
      <c r="BB98" s="178"/>
      <c r="BC98" s="178"/>
      <c r="BD98" s="178"/>
      <c r="BE98" s="178"/>
      <c r="BF98" s="178"/>
      <c r="BG98" s="178"/>
      <c r="BH98" s="178"/>
      <c r="BI98" s="179"/>
      <c r="BJ98" s="180"/>
      <c r="BK98" s="178"/>
      <c r="BL98" s="178"/>
      <c r="BM98" s="178"/>
      <c r="BN98" s="178"/>
      <c r="BO98" s="181"/>
      <c r="BP98" s="166"/>
      <c r="BQ98" s="177"/>
      <c r="BR98" s="178"/>
      <c r="BS98" s="179"/>
      <c r="BU98" s="166"/>
      <c r="BV98" s="166"/>
      <c r="BW98" s="166"/>
      <c r="BX98" s="166"/>
      <c r="BY98" s="166"/>
      <c r="BZ98" s="166"/>
      <c r="CA98" s="166"/>
      <c r="CB98" s="166"/>
      <c r="CC98" s="166"/>
      <c r="CD98" s="177"/>
      <c r="CE98" s="181"/>
      <c r="CF98" s="177"/>
      <c r="CG98" s="179"/>
      <c r="CH98" s="257"/>
      <c r="CI98" s="182"/>
      <c r="CJ98" s="177"/>
      <c r="CK98" s="182"/>
      <c r="CL98" s="177"/>
      <c r="CM98" s="182"/>
      <c r="CN98" s="177"/>
      <c r="CO98" s="182"/>
      <c r="CP98" s="177"/>
      <c r="CQ98" s="178"/>
      <c r="CR98" s="182"/>
      <c r="CS98" s="173"/>
      <c r="CT98" s="65"/>
      <c r="CU98" s="255" t="str">
        <f t="shared" si="2"/>
        <v>ZMP</v>
      </c>
    </row>
    <row r="99" ht="60.0" customHeight="1">
      <c r="A99" s="65"/>
      <c r="B99" s="65"/>
      <c r="C99" s="167">
        <v>4.0</v>
      </c>
      <c r="D99" s="168" t="s">
        <v>180</v>
      </c>
      <c r="E99" s="169"/>
      <c r="F99" s="170"/>
      <c r="G99" s="170"/>
      <c r="H99" s="170"/>
      <c r="I99" s="207"/>
      <c r="J99" s="170"/>
      <c r="K99" s="171"/>
      <c r="L99" s="171"/>
      <c r="M99" s="171"/>
      <c r="N99" s="276"/>
      <c r="O99" s="256">
        <f t="shared" si="18"/>
        <v>0</v>
      </c>
      <c r="Q99" s="173"/>
      <c r="R99" s="65"/>
      <c r="S99" s="173"/>
      <c r="T99" s="173"/>
      <c r="U99" s="166"/>
      <c r="V99" s="166"/>
      <c r="W99" s="65"/>
      <c r="X99" s="66"/>
      <c r="Y99" s="173"/>
      <c r="Z99" s="166"/>
      <c r="AA99" s="174"/>
      <c r="AB99" s="175"/>
      <c r="AC99" s="175"/>
      <c r="AD99" s="175"/>
      <c r="AE99" s="175"/>
      <c r="AF99" s="175"/>
      <c r="AG99" s="175"/>
      <c r="AH99" s="175"/>
      <c r="AI99" s="176"/>
      <c r="AJ99" s="177"/>
      <c r="AK99" s="178"/>
      <c r="AL99" s="178"/>
      <c r="AM99" s="178"/>
      <c r="AN99" s="178"/>
      <c r="AO99" s="179"/>
      <c r="AP99" s="64"/>
      <c r="AQ99" s="65"/>
      <c r="AR99" s="65"/>
      <c r="AS99" s="65"/>
      <c r="AT99" s="173"/>
      <c r="AU99" s="177"/>
      <c r="AV99" s="178"/>
      <c r="AW99" s="178"/>
      <c r="AX99" s="179"/>
      <c r="AZ99" s="166"/>
      <c r="BA99" s="177"/>
      <c r="BB99" s="178"/>
      <c r="BC99" s="178"/>
      <c r="BD99" s="178"/>
      <c r="BE99" s="178"/>
      <c r="BF99" s="178"/>
      <c r="BG99" s="178"/>
      <c r="BH99" s="178"/>
      <c r="BI99" s="179"/>
      <c r="BJ99" s="180"/>
      <c r="BK99" s="178"/>
      <c r="BL99" s="178"/>
      <c r="BM99" s="178"/>
      <c r="BN99" s="178"/>
      <c r="BO99" s="181"/>
      <c r="BP99" s="166"/>
      <c r="BQ99" s="177"/>
      <c r="BR99" s="178"/>
      <c r="BS99" s="179"/>
      <c r="BU99" s="166"/>
      <c r="BV99" s="166"/>
      <c r="BW99" s="166"/>
      <c r="BX99" s="166"/>
      <c r="BY99" s="166"/>
      <c r="BZ99" s="166"/>
      <c r="CA99" s="166"/>
      <c r="CB99" s="166"/>
      <c r="CC99" s="166"/>
      <c r="CD99" s="177"/>
      <c r="CE99" s="181"/>
      <c r="CF99" s="177"/>
      <c r="CG99" s="179"/>
      <c r="CH99" s="257"/>
      <c r="CI99" s="182"/>
      <c r="CJ99" s="177"/>
      <c r="CK99" s="182"/>
      <c r="CL99" s="177"/>
      <c r="CM99" s="182"/>
      <c r="CN99" s="177"/>
      <c r="CO99" s="182"/>
      <c r="CP99" s="177"/>
      <c r="CQ99" s="178"/>
      <c r="CR99" s="182"/>
      <c r="CS99" s="173"/>
      <c r="CT99" s="65"/>
      <c r="CU99" s="255" t="str">
        <f t="shared" si="2"/>
        <v>ZMP</v>
      </c>
    </row>
    <row r="100" ht="60.0" customHeight="1">
      <c r="A100" s="65"/>
      <c r="B100" s="65"/>
      <c r="C100" s="167">
        <v>5.0</v>
      </c>
      <c r="D100" s="168" t="s">
        <v>180</v>
      </c>
      <c r="E100" s="169"/>
      <c r="F100" s="170"/>
      <c r="G100" s="170"/>
      <c r="H100" s="170"/>
      <c r="I100" s="207"/>
      <c r="J100" s="170"/>
      <c r="K100" s="171"/>
      <c r="L100" s="171"/>
      <c r="M100" s="171"/>
      <c r="N100" s="276"/>
      <c r="O100" s="256">
        <f t="shared" si="18"/>
        <v>0</v>
      </c>
      <c r="Q100" s="173"/>
      <c r="R100" s="65"/>
      <c r="S100" s="173"/>
      <c r="T100" s="173"/>
      <c r="U100" s="166"/>
      <c r="V100" s="166"/>
      <c r="W100" s="65"/>
      <c r="X100" s="66"/>
      <c r="Y100" s="173"/>
      <c r="Z100" s="166"/>
      <c r="AA100" s="174"/>
      <c r="AB100" s="175"/>
      <c r="AC100" s="175"/>
      <c r="AD100" s="175"/>
      <c r="AE100" s="175"/>
      <c r="AF100" s="175"/>
      <c r="AG100" s="175"/>
      <c r="AH100" s="175"/>
      <c r="AI100" s="176"/>
      <c r="AJ100" s="177"/>
      <c r="AK100" s="178"/>
      <c r="AL100" s="178"/>
      <c r="AM100" s="178"/>
      <c r="AN100" s="178"/>
      <c r="AO100" s="179"/>
      <c r="AP100" s="64"/>
      <c r="AQ100" s="65"/>
      <c r="AR100" s="65"/>
      <c r="AS100" s="65"/>
      <c r="AT100" s="173"/>
      <c r="AU100" s="177"/>
      <c r="AV100" s="178"/>
      <c r="AW100" s="178"/>
      <c r="AX100" s="179"/>
      <c r="AZ100" s="166"/>
      <c r="BA100" s="177"/>
      <c r="BB100" s="178"/>
      <c r="BC100" s="178"/>
      <c r="BD100" s="178"/>
      <c r="BE100" s="178"/>
      <c r="BF100" s="178"/>
      <c r="BG100" s="178"/>
      <c r="BH100" s="178"/>
      <c r="BI100" s="179"/>
      <c r="BJ100" s="180"/>
      <c r="BK100" s="178"/>
      <c r="BL100" s="178"/>
      <c r="BM100" s="178"/>
      <c r="BN100" s="178"/>
      <c r="BO100" s="181"/>
      <c r="BP100" s="166"/>
      <c r="BQ100" s="177"/>
      <c r="BR100" s="178"/>
      <c r="BS100" s="179"/>
      <c r="BU100" s="166"/>
      <c r="BV100" s="166"/>
      <c r="BW100" s="166"/>
      <c r="BX100" s="166"/>
      <c r="BY100" s="166"/>
      <c r="BZ100" s="166"/>
      <c r="CA100" s="166"/>
      <c r="CB100" s="166"/>
      <c r="CC100" s="166"/>
      <c r="CD100" s="177"/>
      <c r="CE100" s="181"/>
      <c r="CF100" s="177"/>
      <c r="CG100" s="179"/>
      <c r="CH100" s="257"/>
      <c r="CI100" s="182"/>
      <c r="CJ100" s="177"/>
      <c r="CK100" s="182"/>
      <c r="CL100" s="177"/>
      <c r="CM100" s="182"/>
      <c r="CN100" s="177"/>
      <c r="CO100" s="182"/>
      <c r="CP100" s="177"/>
      <c r="CQ100" s="178"/>
      <c r="CR100" s="182"/>
      <c r="CS100" s="173"/>
      <c r="CT100" s="65"/>
      <c r="CU100" s="255" t="str">
        <f t="shared" si="2"/>
        <v>ZMP</v>
      </c>
    </row>
    <row r="101" ht="60.0" customHeight="1">
      <c r="A101" s="65"/>
      <c r="B101" s="65"/>
      <c r="C101" s="167">
        <v>6.0</v>
      </c>
      <c r="D101" s="168" t="s">
        <v>180</v>
      </c>
      <c r="E101" s="169"/>
      <c r="F101" s="170"/>
      <c r="G101" s="170"/>
      <c r="H101" s="170"/>
      <c r="I101" s="207"/>
      <c r="J101" s="170"/>
      <c r="K101" s="171"/>
      <c r="L101" s="171"/>
      <c r="M101" s="171"/>
      <c r="N101" s="276"/>
      <c r="O101" s="256">
        <f t="shared" si="18"/>
        <v>0</v>
      </c>
      <c r="Q101" s="173"/>
      <c r="R101" s="65"/>
      <c r="S101" s="173"/>
      <c r="T101" s="173"/>
      <c r="U101" s="166"/>
      <c r="V101" s="166"/>
      <c r="W101" s="65"/>
      <c r="X101" s="66"/>
      <c r="Y101" s="173"/>
      <c r="Z101" s="166"/>
      <c r="AA101" s="174"/>
      <c r="AB101" s="175"/>
      <c r="AC101" s="175"/>
      <c r="AD101" s="175"/>
      <c r="AE101" s="175"/>
      <c r="AF101" s="175"/>
      <c r="AG101" s="175"/>
      <c r="AH101" s="175"/>
      <c r="AI101" s="176"/>
      <c r="AJ101" s="177"/>
      <c r="AK101" s="178"/>
      <c r="AL101" s="178"/>
      <c r="AM101" s="178"/>
      <c r="AN101" s="178"/>
      <c r="AO101" s="179"/>
      <c r="AP101" s="64"/>
      <c r="AQ101" s="65"/>
      <c r="AR101" s="65"/>
      <c r="AS101" s="65"/>
      <c r="AT101" s="173"/>
      <c r="AU101" s="177"/>
      <c r="AV101" s="178"/>
      <c r="AW101" s="178"/>
      <c r="AX101" s="179"/>
      <c r="AZ101" s="166"/>
      <c r="BA101" s="177"/>
      <c r="BB101" s="178"/>
      <c r="BC101" s="178"/>
      <c r="BD101" s="178"/>
      <c r="BE101" s="178"/>
      <c r="BF101" s="178"/>
      <c r="BG101" s="178"/>
      <c r="BH101" s="178"/>
      <c r="BI101" s="179"/>
      <c r="BJ101" s="180"/>
      <c r="BK101" s="178"/>
      <c r="BL101" s="178"/>
      <c r="BM101" s="178"/>
      <c r="BN101" s="178"/>
      <c r="BO101" s="181"/>
      <c r="BP101" s="166"/>
      <c r="BQ101" s="177"/>
      <c r="BR101" s="178"/>
      <c r="BS101" s="179"/>
      <c r="BU101" s="166"/>
      <c r="BV101" s="166"/>
      <c r="BW101" s="166"/>
      <c r="BX101" s="166"/>
      <c r="BY101" s="166"/>
      <c r="BZ101" s="166"/>
      <c r="CA101" s="166"/>
      <c r="CB101" s="166"/>
      <c r="CC101" s="166"/>
      <c r="CD101" s="177"/>
      <c r="CE101" s="181"/>
      <c r="CF101" s="177"/>
      <c r="CG101" s="179"/>
      <c r="CH101" s="257"/>
      <c r="CI101" s="182"/>
      <c r="CJ101" s="177"/>
      <c r="CK101" s="182"/>
      <c r="CL101" s="177"/>
      <c r="CM101" s="182"/>
      <c r="CN101" s="177"/>
      <c r="CO101" s="182"/>
      <c r="CP101" s="177"/>
      <c r="CQ101" s="178"/>
      <c r="CR101" s="182"/>
      <c r="CS101" s="173"/>
      <c r="CT101" s="65"/>
      <c r="CU101" s="255" t="str">
        <f t="shared" si="2"/>
        <v>ZMP</v>
      </c>
    </row>
    <row r="102" ht="60.0" customHeight="1">
      <c r="A102" s="65"/>
      <c r="B102" s="65"/>
      <c r="C102" s="167">
        <v>7.0</v>
      </c>
      <c r="D102" s="168" t="s">
        <v>180</v>
      </c>
      <c r="E102" s="169"/>
      <c r="F102" s="170"/>
      <c r="G102" s="170"/>
      <c r="H102" s="170"/>
      <c r="I102" s="207"/>
      <c r="J102" s="170"/>
      <c r="K102" s="171"/>
      <c r="L102" s="171"/>
      <c r="M102" s="171"/>
      <c r="N102" s="276"/>
      <c r="O102" s="256">
        <f t="shared" ref="O102:O105" si="19">IF(AND(M102&gt;=20,M102&lt;&gt;"m",RIGHT(K102,3)="Lec"),1,IF(AND(M102&gt;=20,M102&lt;&gt;"m",OR(RIGHT(K102,3)="Lab",RIGHT(K102,3)="Tut")),0.5,IF(AND(M102&gt;=20,M102&lt;&gt;"m",RIGHT(K102,2)="TL"),0.75,0)))</f>
        <v>0</v>
      </c>
      <c r="Q102" s="173"/>
      <c r="R102" s="65"/>
      <c r="S102" s="173"/>
      <c r="T102" s="173"/>
      <c r="U102" s="166"/>
      <c r="V102" s="166"/>
      <c r="W102" s="65"/>
      <c r="X102" s="66"/>
      <c r="Y102" s="173"/>
      <c r="Z102" s="166"/>
      <c r="AA102" s="174"/>
      <c r="AB102" s="175"/>
      <c r="AC102" s="175"/>
      <c r="AD102" s="175"/>
      <c r="AE102" s="175"/>
      <c r="AF102" s="175"/>
      <c r="AG102" s="175"/>
      <c r="AH102" s="175"/>
      <c r="AI102" s="176"/>
      <c r="AJ102" s="177"/>
      <c r="AK102" s="178"/>
      <c r="AL102" s="178"/>
      <c r="AM102" s="178"/>
      <c r="AN102" s="178"/>
      <c r="AO102" s="179"/>
      <c r="AP102" s="64"/>
      <c r="AQ102" s="65"/>
      <c r="AR102" s="65"/>
      <c r="AS102" s="65"/>
      <c r="AT102" s="173"/>
      <c r="AU102" s="177"/>
      <c r="AV102" s="178"/>
      <c r="AW102" s="178"/>
      <c r="AX102" s="179"/>
      <c r="AZ102" s="166"/>
      <c r="BA102" s="177"/>
      <c r="BB102" s="178"/>
      <c r="BC102" s="178"/>
      <c r="BD102" s="178"/>
      <c r="BE102" s="178"/>
      <c r="BF102" s="178"/>
      <c r="BG102" s="178"/>
      <c r="BH102" s="178"/>
      <c r="BI102" s="179"/>
      <c r="BJ102" s="180"/>
      <c r="BK102" s="178"/>
      <c r="BL102" s="178"/>
      <c r="BM102" s="178"/>
      <c r="BN102" s="178"/>
      <c r="BO102" s="181"/>
      <c r="BP102" s="166"/>
      <c r="BQ102" s="177"/>
      <c r="BR102" s="178"/>
      <c r="BS102" s="179"/>
      <c r="BU102" s="166"/>
      <c r="BV102" s="166"/>
      <c r="BW102" s="166"/>
      <c r="BX102" s="166"/>
      <c r="BY102" s="166"/>
      <c r="BZ102" s="166"/>
      <c r="CA102" s="166"/>
      <c r="CB102" s="166"/>
      <c r="CC102" s="166"/>
      <c r="CD102" s="177"/>
      <c r="CE102" s="181"/>
      <c r="CF102" s="177"/>
      <c r="CG102" s="179"/>
      <c r="CH102" s="257"/>
      <c r="CI102" s="182"/>
      <c r="CJ102" s="177"/>
      <c r="CK102" s="182"/>
      <c r="CL102" s="177"/>
      <c r="CM102" s="182"/>
      <c r="CN102" s="177"/>
      <c r="CO102" s="182"/>
      <c r="CP102" s="177"/>
      <c r="CQ102" s="178"/>
      <c r="CR102" s="182"/>
      <c r="CS102" s="173"/>
      <c r="CT102" s="65"/>
      <c r="CU102" s="255" t="str">
        <f t="shared" si="2"/>
        <v>ZMP</v>
      </c>
    </row>
    <row r="103" ht="60.0" customHeight="1">
      <c r="A103" s="65"/>
      <c r="B103" s="65"/>
      <c r="C103" s="167">
        <v>8.0</v>
      </c>
      <c r="D103" s="168" t="s">
        <v>180</v>
      </c>
      <c r="E103" s="169"/>
      <c r="F103" s="170"/>
      <c r="G103" s="170"/>
      <c r="H103" s="170"/>
      <c r="I103" s="207"/>
      <c r="J103" s="170"/>
      <c r="K103" s="171"/>
      <c r="L103" s="171"/>
      <c r="M103" s="171"/>
      <c r="N103" s="276"/>
      <c r="O103" s="256">
        <f t="shared" si="19"/>
        <v>0</v>
      </c>
      <c r="Q103" s="173"/>
      <c r="R103" s="65"/>
      <c r="S103" s="173"/>
      <c r="T103" s="173"/>
      <c r="U103" s="166"/>
      <c r="V103" s="166"/>
      <c r="W103" s="65"/>
      <c r="X103" s="66"/>
      <c r="Y103" s="173"/>
      <c r="Z103" s="166"/>
      <c r="AA103" s="174"/>
      <c r="AB103" s="175"/>
      <c r="AC103" s="175"/>
      <c r="AD103" s="175"/>
      <c r="AE103" s="175"/>
      <c r="AF103" s="175"/>
      <c r="AG103" s="175"/>
      <c r="AH103" s="175"/>
      <c r="AI103" s="176"/>
      <c r="AJ103" s="177"/>
      <c r="AK103" s="178"/>
      <c r="AL103" s="178"/>
      <c r="AM103" s="178"/>
      <c r="AN103" s="178"/>
      <c r="AO103" s="179"/>
      <c r="AP103" s="64"/>
      <c r="AQ103" s="65"/>
      <c r="AR103" s="65"/>
      <c r="AS103" s="65"/>
      <c r="AT103" s="173"/>
      <c r="AU103" s="177"/>
      <c r="AV103" s="178"/>
      <c r="AW103" s="178"/>
      <c r="AX103" s="179"/>
      <c r="AZ103" s="166"/>
      <c r="BA103" s="177"/>
      <c r="BB103" s="178"/>
      <c r="BC103" s="178"/>
      <c r="BD103" s="178"/>
      <c r="BE103" s="178"/>
      <c r="BF103" s="178"/>
      <c r="BG103" s="178"/>
      <c r="BH103" s="178"/>
      <c r="BI103" s="179"/>
      <c r="BJ103" s="180"/>
      <c r="BK103" s="178"/>
      <c r="BL103" s="178"/>
      <c r="BM103" s="178"/>
      <c r="BN103" s="178"/>
      <c r="BO103" s="181"/>
      <c r="BP103" s="166"/>
      <c r="BQ103" s="177"/>
      <c r="BR103" s="178"/>
      <c r="BS103" s="179"/>
      <c r="BU103" s="166"/>
      <c r="BV103" s="166"/>
      <c r="BW103" s="166"/>
      <c r="BX103" s="166"/>
      <c r="BY103" s="166"/>
      <c r="BZ103" s="166"/>
      <c r="CA103" s="166"/>
      <c r="CB103" s="166"/>
      <c r="CC103" s="166"/>
      <c r="CD103" s="177"/>
      <c r="CE103" s="181"/>
      <c r="CF103" s="177"/>
      <c r="CG103" s="179"/>
      <c r="CH103" s="257"/>
      <c r="CI103" s="182"/>
      <c r="CJ103" s="177"/>
      <c r="CK103" s="182"/>
      <c r="CL103" s="177"/>
      <c r="CM103" s="182"/>
      <c r="CN103" s="177"/>
      <c r="CO103" s="182"/>
      <c r="CP103" s="177"/>
      <c r="CQ103" s="178"/>
      <c r="CR103" s="182"/>
      <c r="CS103" s="173"/>
      <c r="CT103" s="65"/>
      <c r="CU103" s="255" t="str">
        <f t="shared" si="2"/>
        <v>ZMP</v>
      </c>
    </row>
    <row r="104" ht="60.0" customHeight="1">
      <c r="A104" s="65"/>
      <c r="B104" s="65"/>
      <c r="C104" s="167">
        <v>9.0</v>
      </c>
      <c r="D104" s="168" t="s">
        <v>180</v>
      </c>
      <c r="E104" s="169"/>
      <c r="F104" s="170"/>
      <c r="G104" s="170"/>
      <c r="H104" s="170"/>
      <c r="I104" s="207"/>
      <c r="J104" s="170"/>
      <c r="K104" s="171"/>
      <c r="L104" s="171"/>
      <c r="M104" s="171"/>
      <c r="N104" s="276"/>
      <c r="O104" s="256">
        <f t="shared" si="19"/>
        <v>0</v>
      </c>
      <c r="Q104" s="173"/>
      <c r="R104" s="65"/>
      <c r="S104" s="173"/>
      <c r="T104" s="173"/>
      <c r="U104" s="166"/>
      <c r="V104" s="166"/>
      <c r="W104" s="65"/>
      <c r="X104" s="66"/>
      <c r="Y104" s="173"/>
      <c r="Z104" s="166"/>
      <c r="AA104" s="174"/>
      <c r="AB104" s="175"/>
      <c r="AC104" s="175"/>
      <c r="AD104" s="175"/>
      <c r="AE104" s="175"/>
      <c r="AF104" s="175"/>
      <c r="AG104" s="175"/>
      <c r="AH104" s="175"/>
      <c r="AI104" s="176"/>
      <c r="AJ104" s="177"/>
      <c r="AK104" s="178"/>
      <c r="AL104" s="178"/>
      <c r="AM104" s="178"/>
      <c r="AN104" s="178"/>
      <c r="AO104" s="179"/>
      <c r="AP104" s="64"/>
      <c r="AQ104" s="65"/>
      <c r="AR104" s="65"/>
      <c r="AS104" s="65"/>
      <c r="AT104" s="173"/>
      <c r="AU104" s="177"/>
      <c r="AV104" s="178"/>
      <c r="AW104" s="178"/>
      <c r="AX104" s="179"/>
      <c r="AZ104" s="166"/>
      <c r="BA104" s="177"/>
      <c r="BB104" s="178"/>
      <c r="BC104" s="178"/>
      <c r="BD104" s="178"/>
      <c r="BE104" s="178"/>
      <c r="BF104" s="178"/>
      <c r="BG104" s="178"/>
      <c r="BH104" s="178"/>
      <c r="BI104" s="179"/>
      <c r="BJ104" s="180"/>
      <c r="BK104" s="178"/>
      <c r="BL104" s="178"/>
      <c r="BM104" s="178"/>
      <c r="BN104" s="178"/>
      <c r="BO104" s="181"/>
      <c r="BP104" s="166"/>
      <c r="BQ104" s="177"/>
      <c r="BR104" s="178"/>
      <c r="BS104" s="179"/>
      <c r="BU104" s="166"/>
      <c r="BV104" s="166"/>
      <c r="BW104" s="166"/>
      <c r="BX104" s="166"/>
      <c r="BY104" s="166"/>
      <c r="BZ104" s="166"/>
      <c r="CA104" s="166"/>
      <c r="CB104" s="166"/>
      <c r="CC104" s="166"/>
      <c r="CD104" s="177"/>
      <c r="CE104" s="181"/>
      <c r="CF104" s="177"/>
      <c r="CG104" s="179"/>
      <c r="CH104" s="257"/>
      <c r="CI104" s="182"/>
      <c r="CJ104" s="177"/>
      <c r="CK104" s="182"/>
      <c r="CL104" s="177"/>
      <c r="CM104" s="182"/>
      <c r="CN104" s="177"/>
      <c r="CO104" s="182"/>
      <c r="CP104" s="177"/>
      <c r="CQ104" s="178"/>
      <c r="CR104" s="182"/>
      <c r="CS104" s="173"/>
      <c r="CT104" s="65"/>
      <c r="CU104" s="255" t="str">
        <f t="shared" si="2"/>
        <v>ZMP</v>
      </c>
    </row>
    <row r="105" ht="60.0" customHeight="1">
      <c r="A105" s="65"/>
      <c r="B105" s="65"/>
      <c r="C105" s="167">
        <v>10.0</v>
      </c>
      <c r="D105" s="168" t="s">
        <v>180</v>
      </c>
      <c r="E105" s="169"/>
      <c r="F105" s="170"/>
      <c r="G105" s="170"/>
      <c r="H105" s="170"/>
      <c r="I105" s="207"/>
      <c r="J105" s="170"/>
      <c r="K105" s="171"/>
      <c r="L105" s="171"/>
      <c r="M105" s="171"/>
      <c r="N105" s="276"/>
      <c r="O105" s="256">
        <f t="shared" si="19"/>
        <v>0</v>
      </c>
      <c r="Q105" s="173"/>
      <c r="R105" s="65"/>
      <c r="S105" s="173"/>
      <c r="T105" s="173"/>
      <c r="U105" s="166"/>
      <c r="V105" s="166"/>
      <c r="W105" s="65"/>
      <c r="X105" s="66"/>
      <c r="Y105" s="173"/>
      <c r="Z105" s="166"/>
      <c r="AA105" s="174"/>
      <c r="AB105" s="175"/>
      <c r="AC105" s="175"/>
      <c r="AD105" s="175"/>
      <c r="AE105" s="175"/>
      <c r="AF105" s="175"/>
      <c r="AG105" s="175"/>
      <c r="AH105" s="175"/>
      <c r="AI105" s="176"/>
      <c r="AJ105" s="177"/>
      <c r="AK105" s="178"/>
      <c r="AL105" s="178"/>
      <c r="AM105" s="178"/>
      <c r="AN105" s="178"/>
      <c r="AO105" s="179"/>
      <c r="AP105" s="64"/>
      <c r="AQ105" s="65"/>
      <c r="AR105" s="65"/>
      <c r="AS105" s="65"/>
      <c r="AT105" s="173"/>
      <c r="AU105" s="177"/>
      <c r="AV105" s="178"/>
      <c r="AW105" s="178"/>
      <c r="AX105" s="179"/>
      <c r="AZ105" s="166"/>
      <c r="BA105" s="177"/>
      <c r="BB105" s="178"/>
      <c r="BC105" s="178"/>
      <c r="BD105" s="178"/>
      <c r="BE105" s="178"/>
      <c r="BF105" s="178"/>
      <c r="BG105" s="178"/>
      <c r="BH105" s="178"/>
      <c r="BI105" s="179"/>
      <c r="BJ105" s="180"/>
      <c r="BK105" s="178"/>
      <c r="BL105" s="178"/>
      <c r="BM105" s="178"/>
      <c r="BN105" s="178"/>
      <c r="BO105" s="181"/>
      <c r="BP105" s="166"/>
      <c r="BQ105" s="177"/>
      <c r="BR105" s="178"/>
      <c r="BS105" s="179"/>
      <c r="BU105" s="166"/>
      <c r="BV105" s="166"/>
      <c r="BW105" s="166"/>
      <c r="BX105" s="166"/>
      <c r="BY105" s="166"/>
      <c r="BZ105" s="166"/>
      <c r="CA105" s="166"/>
      <c r="CB105" s="166"/>
      <c r="CC105" s="166"/>
      <c r="CD105" s="177"/>
      <c r="CE105" s="181"/>
      <c r="CF105" s="177"/>
      <c r="CG105" s="179"/>
      <c r="CH105" s="257"/>
      <c r="CI105" s="182"/>
      <c r="CJ105" s="177"/>
      <c r="CK105" s="182"/>
      <c r="CL105" s="177"/>
      <c r="CM105" s="182"/>
      <c r="CN105" s="177"/>
      <c r="CO105" s="182"/>
      <c r="CP105" s="177"/>
      <c r="CQ105" s="178"/>
      <c r="CR105" s="182"/>
      <c r="CS105" s="173"/>
      <c r="CT105" s="65"/>
      <c r="CU105" s="255" t="str">
        <f t="shared" si="2"/>
        <v>ZMP</v>
      </c>
    </row>
    <row r="106" ht="60.0" customHeight="1">
      <c r="A106" s="89"/>
      <c r="B106" s="89"/>
      <c r="C106" s="183">
        <v>11.0</v>
      </c>
      <c r="D106" s="210" t="s">
        <v>180</v>
      </c>
      <c r="E106" s="185"/>
      <c r="F106" s="186"/>
      <c r="G106" s="186"/>
      <c r="H106" s="186"/>
      <c r="I106" s="212"/>
      <c r="J106" s="186"/>
      <c r="K106" s="187"/>
      <c r="L106" s="187"/>
      <c r="M106" s="187"/>
      <c r="N106" s="214"/>
      <c r="O106" s="258">
        <f t="shared" ref="O106:O112" si="20">IF(AND(M106&lt;&gt;0,M106&lt;&gt;"m",M106&lt;&gt;"",RIGHT(K106,3)="Lec"),1,IF(AND(M106&lt;&gt;0,M106&lt;&gt;"m",M106&lt;&gt;"",OR(RIGHT(K106,3)="Lab",RIGHT(K106,3)="Tut")),0.5,IF(AND(M106&lt;&gt;0,M106&lt;&gt;"m",M106&lt;&gt;"",RIGHT(K106,2)="TL"),0.75,0)))</f>
        <v>0</v>
      </c>
      <c r="P106" s="6"/>
      <c r="Q106" s="69"/>
      <c r="R106" s="89"/>
      <c r="S106" s="69"/>
      <c r="T106" s="69"/>
      <c r="U106" s="63"/>
      <c r="V106" s="63"/>
      <c r="W106" s="89"/>
      <c r="X106" s="68"/>
      <c r="Y106" s="69"/>
      <c r="Z106" s="63"/>
      <c r="AA106" s="189"/>
      <c r="AB106" s="190"/>
      <c r="AC106" s="190"/>
      <c r="AD106" s="190"/>
      <c r="AE106" s="190"/>
      <c r="AF106" s="190"/>
      <c r="AG106" s="190"/>
      <c r="AH106" s="190"/>
      <c r="AI106" s="191"/>
      <c r="AJ106" s="192"/>
      <c r="AK106" s="193"/>
      <c r="AL106" s="193"/>
      <c r="AM106" s="193"/>
      <c r="AN106" s="193"/>
      <c r="AO106" s="194"/>
      <c r="AP106" s="103"/>
      <c r="AQ106" s="89"/>
      <c r="AR106" s="89"/>
      <c r="AS106" s="89"/>
      <c r="AT106" s="69"/>
      <c r="AU106" s="192"/>
      <c r="AV106" s="193"/>
      <c r="AW106" s="193"/>
      <c r="AX106" s="194"/>
      <c r="AY106" s="6"/>
      <c r="AZ106" s="63"/>
      <c r="BA106" s="192"/>
      <c r="BB106" s="193"/>
      <c r="BC106" s="193"/>
      <c r="BD106" s="193"/>
      <c r="BE106" s="193"/>
      <c r="BF106" s="193"/>
      <c r="BG106" s="193"/>
      <c r="BH106" s="193"/>
      <c r="BI106" s="194"/>
      <c r="BJ106" s="195"/>
      <c r="BK106" s="193"/>
      <c r="BL106" s="193"/>
      <c r="BM106" s="193"/>
      <c r="BN106" s="193"/>
      <c r="BO106" s="196"/>
      <c r="BP106" s="63"/>
      <c r="BQ106" s="192"/>
      <c r="BR106" s="193"/>
      <c r="BS106" s="194"/>
      <c r="BT106" s="6"/>
      <c r="BU106" s="63"/>
      <c r="BV106" s="63"/>
      <c r="BW106" s="63"/>
      <c r="BX106" s="63"/>
      <c r="BY106" s="63"/>
      <c r="BZ106" s="63"/>
      <c r="CA106" s="63"/>
      <c r="CB106" s="63"/>
      <c r="CC106" s="63"/>
      <c r="CD106" s="192"/>
      <c r="CE106" s="196"/>
      <c r="CF106" s="192"/>
      <c r="CG106" s="194"/>
      <c r="CH106" s="259"/>
      <c r="CI106" s="197"/>
      <c r="CJ106" s="192"/>
      <c r="CK106" s="197"/>
      <c r="CL106" s="192"/>
      <c r="CM106" s="197"/>
      <c r="CN106" s="192"/>
      <c r="CO106" s="197"/>
      <c r="CP106" s="192"/>
      <c r="CQ106" s="193"/>
      <c r="CR106" s="197"/>
      <c r="CS106" s="69"/>
      <c r="CT106" s="89"/>
      <c r="CU106" s="255" t="str">
        <f t="shared" si="2"/>
        <v>ZMP</v>
      </c>
    </row>
    <row r="107" ht="55.5" customHeight="1">
      <c r="A107" s="125">
        <v>10.0</v>
      </c>
      <c r="B107" s="274" t="s">
        <v>184</v>
      </c>
      <c r="C107" s="127">
        <v>1.0</v>
      </c>
      <c r="D107" s="168" t="s">
        <v>185</v>
      </c>
      <c r="E107" s="129"/>
      <c r="F107" s="130"/>
      <c r="G107" s="130"/>
      <c r="H107" s="130"/>
      <c r="I107" s="201"/>
      <c r="J107" s="130"/>
      <c r="K107" s="131"/>
      <c r="L107" s="131"/>
      <c r="M107" s="131"/>
      <c r="N107" s="275"/>
      <c r="O107" s="250">
        <f t="shared" si="20"/>
        <v>0</v>
      </c>
      <c r="P107" s="251">
        <f>COUNTIF(K107:K117,"TL")*0.75+COUNTIF(K107:K117,"Lec")*1+COUNTIF(K107:K117,"Lab")*0.5</f>
        <v>0</v>
      </c>
      <c r="Q107" s="134">
        <f>SUM((IF(LEFT(K107,1)="E",O107,0)),(IF(LEFT(K108,1)="E",O108,0)),(IF(LEFT(K109,1)="E",O109,0)),(IF(LEFT(K110,1)="E",O110,0)),(IF(LEFT(K111,1)="E",O111,0)),(IF(LEFT(K112,1)="E",O112,0)),(IF(LEFT(K113,1)="E",O113,0)),(IF(LEFT(K114,1)="E",O114,0)),(IF(LEFT(K115,1)="E",O115,0)),(IF(LEFT(K116,1)="E",O116,0)),(IF(LEFT(K117,1)="E",O117,0)))</f>
        <v>0</v>
      </c>
      <c r="R107" s="135">
        <f>SUM(IF(M113&lt;20,IF(K113="Plec",-1,IF(K113="PTL",-0.75,IF(K113="Plab",-0.5,0))),0),IF(M114&lt;20,IF(K114="Plec",-1,IF(K114="PTL",-0.75,IF(K114="Plab",-0.5,0))),0),IF(M115&lt;20,IF(K115="Plec",-1,IF(K115="PTL",-0.75,IF(K115="Plab",-0.5,0))),0),IF(M116&lt;20,IF(K116="Plec",-1,IF(K116="PTL",-0.75,IF(K116="Plab",-0.5,0))),0))</f>
        <v>0</v>
      </c>
      <c r="S107" s="134">
        <f>SUM(P107:R117)</f>
        <v>0</v>
      </c>
      <c r="T107" s="136">
        <f>SUM(IF(M107="M",IF(OR(K107="lec",K107="plec",K107="slec"),1,IF(OR(K107="lab",K107="plab",K107="slab",K107="tut",K107="ptut",K107="stut"),0.5,IF(OR(K107="TL",K107="pTL",K107="STL"),0.75,0))),0),IF(M108="M",IF(OR(K108="lec",K108="plec",K108="slec"),1,IF(OR(K108="lab",K108="plab",K108="slab",K108="tut",K108="ptut",K108="stut"),0.5,IF(OR(K108="TL",K108="pTL",K108="STL"),0.75,0))),0),IF(M109="M",IF(OR(K109="lec",K109="plec",K109="slec"),1,IF(OR(K109="lab",K109="plab",K109="slab",K109="tut",K109="ptut",K109="stut"),0.5,IF(OR(K109="TL",K109="pTL",K109="STL"),0.75,0))),0),IF(M110="M",IF(OR(K110="lec",K110="plec",K110="slec"),1,IF(OR(K110="lab",K110="plab",K110="slab",K110="tut",K110="ptut",K110="stut"),0.5,IF(OR(K110="TL",K110="pTL",K110="STL"),0.75,0))),0),IF(M111="M",IF(OR(K111="lec",K111="plec",K111="slec"),1,IF(OR(K111="lab",K111="plab",K111="slab",K111="tut",K111="ptut",K111="stut"),0.5,IF(OR(K111="TL",K111="pTL",K111="STL"),0.75,0))),0),IF(M112="M",IF(OR(K112="lec",K112="plec",K112="slec"),1,IF(OR(K112="lab",K112="plab",K112="slab",K112="tut",K112="ptut",K112="stut"),0.5,IF(OR(K112="TL",K112="pTL",K112="STL"),0.75,0))),0),IF(M113="M",IF(OR(K113="lec",K113="plec",K113="slec"),1,IF(OR(K113="lab",K113="plab",K113="slab",K113="tut",K113="ptut",K113="stut"),0.5,IF(OR(K113="TL",K113="pTL",K113="STL"),0.75,0))),0),IF(M114="M",IF(OR(K114="lec",K114="plec",K114="slec"),1,IF(OR(K114="lab",K114="plab",K114="slab",K114="tut",K114="ptut",K114="stut"),0.5,IF(OR(K114="TL",K114="pTL",K114="STL"),0.75,0))),0),IF(M115="M",IF(OR(K115="lec",K115="plec",K115="slec"),1,IF(OR(K115="lab",K115="plab",K115="slab",K115="tut",K115="ptut",K115="stut"),0.5,IF(OR(K115="TL",K115="pTL",K115="STL"),0.75,0))),0),IF(M116="M",IF(OR(K116="lec",K116="plec",K116="slec"),1,IF(OR(K116="lab",K116="plab",K116="slab",K116="tut",K116="ptut",K116="stut"),0.5,IF(OR(K116="TL",K116="pTL",K116="STL"),0.75,0))),0),IF(M117="M",IF(OR(K117="lec",K117="plec",K117="slec"),1,IF(OR(K117="lab",K117="plab",K117="slab",K117="tut",K117="ptut",K117="stut"),0.5,IF(OR(K117="TL",K117="pTL",K117="STL"),0.75,0))),0))</f>
        <v>0</v>
      </c>
      <c r="U107" s="137"/>
      <c r="V107" s="133"/>
      <c r="W107" s="138"/>
      <c r="X107" s="139">
        <f>S107-(T107+U107+V107+W107)</f>
        <v>0</v>
      </c>
      <c r="Y107" s="134" t="str">
        <f>CONCATENATE(SUM(O107:O117),"(",SUM(O107:O117)-X107,")")</f>
        <v>0(0)</v>
      </c>
      <c r="Z107" s="140"/>
      <c r="AA107" s="141"/>
      <c r="AB107" s="142"/>
      <c r="AC107" s="142"/>
      <c r="AD107" s="142"/>
      <c r="AE107" s="142"/>
      <c r="AF107" s="142"/>
      <c r="AG107" s="142"/>
      <c r="AH107" s="142"/>
      <c r="AI107" s="143"/>
      <c r="AJ107" s="144"/>
      <c r="AK107" s="145"/>
      <c r="AL107" s="145"/>
      <c r="AM107" s="145"/>
      <c r="AN107" s="145"/>
      <c r="AO107" s="146"/>
      <c r="AP107" s="147">
        <f>SUM(SUM(O107:O117),SUM(AI107:AI117)/2,AM107)</f>
        <v>0</v>
      </c>
      <c r="AQ107" s="148"/>
      <c r="AR107" s="148">
        <f>AP107*AQ107</f>
        <v>0</v>
      </c>
      <c r="AS107" s="148">
        <f>CT107</f>
        <v>8.2</v>
      </c>
      <c r="AT107" s="149">
        <f>AR107*0.75+AS107*0.25</f>
        <v>2.05</v>
      </c>
      <c r="AU107" s="150"/>
      <c r="AV107" s="151"/>
      <c r="AW107" s="151"/>
      <c r="AX107" s="152"/>
      <c r="AY107" s="153"/>
      <c r="AZ107" s="140"/>
      <c r="BA107" s="150"/>
      <c r="BB107" s="151"/>
      <c r="BC107" s="151"/>
      <c r="BD107" s="151"/>
      <c r="BE107" s="151"/>
      <c r="BF107" s="151"/>
      <c r="BG107" s="151"/>
      <c r="BH107" s="151"/>
      <c r="BI107" s="152"/>
      <c r="BJ107" s="154"/>
      <c r="BK107" s="151"/>
      <c r="BL107" s="151">
        <v>8.2</v>
      </c>
      <c r="BM107" s="151"/>
      <c r="BN107" s="151"/>
      <c r="BO107" s="155"/>
      <c r="BP107" s="140"/>
      <c r="BQ107" s="156"/>
      <c r="BR107" s="157"/>
      <c r="BS107" s="158"/>
      <c r="BT107" s="153"/>
      <c r="BU107" s="140"/>
      <c r="BV107" s="140"/>
      <c r="BW107" s="140"/>
      <c r="BX107" s="140"/>
      <c r="BY107" s="140"/>
      <c r="BZ107" s="140"/>
      <c r="CA107" s="140"/>
      <c r="CB107" s="140"/>
      <c r="CC107" s="140"/>
      <c r="CD107" s="150"/>
      <c r="CE107" s="155"/>
      <c r="CF107" s="150" t="s">
        <v>275</v>
      </c>
      <c r="CG107" s="152"/>
      <c r="CH107" s="252"/>
      <c r="CI107" s="160"/>
      <c r="CJ107" s="159"/>
      <c r="CK107" s="160"/>
      <c r="CL107" s="159"/>
      <c r="CM107" s="160"/>
      <c r="CN107" s="159"/>
      <c r="CO107" s="160"/>
      <c r="CP107" s="159"/>
      <c r="CQ107" s="162"/>
      <c r="CR107" s="160"/>
      <c r="CS107" s="253">
        <f>SUM(IF(AU107&lt;0,ABS(AU107),0),IF(AZ107&lt;0,ABS(AZ107),0),ABS(CI107),ABS(CK107),ABS(CM107),ABS(CO107),ABS(CQ107),ABS(CR107))</f>
        <v>0</v>
      </c>
      <c r="CT107" s="254">
        <f>SUM(AU107,AV107,AW107,AX107/400,AY107,AZ107,BG107,BH107*0.5,BI107*0.25,BJ107,BK107,BL107,BM107,BN107,BO107,BP107,BR107/20,BS107/100,BT107/60,BU107,BV107,BW107,BX107/4,SUM(BY107:CC117)/3,CE107,CG107/3,CI107,CK107,CM107,CO107,CQ107,CR107)</f>
        <v>8.2</v>
      </c>
      <c r="CU107" s="255" t="str">
        <f t="shared" si="2"/>
        <v>ZPB</v>
      </c>
    </row>
    <row r="108" ht="60.0" customHeight="1">
      <c r="A108" s="65"/>
      <c r="B108" s="65"/>
      <c r="C108" s="167">
        <v>2.0</v>
      </c>
      <c r="D108" s="168" t="s">
        <v>185</v>
      </c>
      <c r="E108" s="169"/>
      <c r="F108" s="170"/>
      <c r="G108" s="170"/>
      <c r="H108" s="170"/>
      <c r="I108" s="207"/>
      <c r="J108" s="170"/>
      <c r="K108" s="171"/>
      <c r="L108" s="171"/>
      <c r="M108" s="171"/>
      <c r="N108" s="276"/>
      <c r="O108" s="256">
        <f t="shared" si="20"/>
        <v>0</v>
      </c>
      <c r="Q108" s="173"/>
      <c r="R108" s="65"/>
      <c r="S108" s="173"/>
      <c r="T108" s="173"/>
      <c r="U108" s="166"/>
      <c r="V108" s="166"/>
      <c r="W108" s="65"/>
      <c r="X108" s="66"/>
      <c r="Y108" s="173"/>
      <c r="Z108" s="166"/>
      <c r="AA108" s="174"/>
      <c r="AB108" s="175"/>
      <c r="AC108" s="175"/>
      <c r="AD108" s="175"/>
      <c r="AE108" s="175"/>
      <c r="AF108" s="175"/>
      <c r="AG108" s="175"/>
      <c r="AH108" s="175"/>
      <c r="AI108" s="176"/>
      <c r="AJ108" s="177"/>
      <c r="AK108" s="178"/>
      <c r="AL108" s="178"/>
      <c r="AM108" s="178"/>
      <c r="AN108" s="178"/>
      <c r="AO108" s="179"/>
      <c r="AP108" s="64"/>
      <c r="AQ108" s="65"/>
      <c r="AR108" s="65"/>
      <c r="AS108" s="65"/>
      <c r="AT108" s="173"/>
      <c r="AU108" s="177"/>
      <c r="AV108" s="178"/>
      <c r="AW108" s="178"/>
      <c r="AX108" s="179"/>
      <c r="AZ108" s="166"/>
      <c r="BA108" s="177"/>
      <c r="BB108" s="178"/>
      <c r="BC108" s="178"/>
      <c r="BD108" s="178"/>
      <c r="BE108" s="178"/>
      <c r="BF108" s="178"/>
      <c r="BG108" s="178"/>
      <c r="BH108" s="178"/>
      <c r="BI108" s="179"/>
      <c r="BJ108" s="180"/>
      <c r="BK108" s="178"/>
      <c r="BL108" s="178"/>
      <c r="BM108" s="178"/>
      <c r="BN108" s="178"/>
      <c r="BO108" s="181"/>
      <c r="BP108" s="166"/>
      <c r="BQ108" s="177"/>
      <c r="BR108" s="178"/>
      <c r="BS108" s="179"/>
      <c r="BU108" s="166"/>
      <c r="BV108" s="166"/>
      <c r="BW108" s="166"/>
      <c r="BX108" s="166"/>
      <c r="BY108" s="166"/>
      <c r="BZ108" s="166"/>
      <c r="CA108" s="166"/>
      <c r="CB108" s="166"/>
      <c r="CC108" s="166"/>
      <c r="CD108" s="177"/>
      <c r="CE108" s="181"/>
      <c r="CF108" s="177"/>
      <c r="CG108" s="179"/>
      <c r="CH108" s="257"/>
      <c r="CI108" s="182"/>
      <c r="CJ108" s="177"/>
      <c r="CK108" s="182"/>
      <c r="CL108" s="177"/>
      <c r="CM108" s="182"/>
      <c r="CN108" s="177"/>
      <c r="CO108" s="182"/>
      <c r="CP108" s="177"/>
      <c r="CQ108" s="178"/>
      <c r="CR108" s="182"/>
      <c r="CS108" s="173"/>
      <c r="CT108" s="65"/>
      <c r="CU108" s="255" t="str">
        <f t="shared" si="2"/>
        <v>ZPB</v>
      </c>
    </row>
    <row r="109" ht="60.0" customHeight="1">
      <c r="A109" s="65"/>
      <c r="B109" s="65"/>
      <c r="C109" s="167">
        <v>3.0</v>
      </c>
      <c r="D109" s="168" t="s">
        <v>185</v>
      </c>
      <c r="E109" s="169"/>
      <c r="F109" s="170"/>
      <c r="G109" s="170"/>
      <c r="H109" s="170"/>
      <c r="I109" s="207"/>
      <c r="J109" s="170"/>
      <c r="K109" s="171"/>
      <c r="L109" s="171"/>
      <c r="M109" s="171"/>
      <c r="N109" s="276"/>
      <c r="O109" s="256">
        <f t="shared" si="20"/>
        <v>0</v>
      </c>
      <c r="Q109" s="173"/>
      <c r="R109" s="65"/>
      <c r="S109" s="173"/>
      <c r="T109" s="173"/>
      <c r="U109" s="166"/>
      <c r="V109" s="166"/>
      <c r="W109" s="65"/>
      <c r="X109" s="66"/>
      <c r="Y109" s="173"/>
      <c r="Z109" s="166"/>
      <c r="AA109" s="174"/>
      <c r="AB109" s="175"/>
      <c r="AC109" s="175"/>
      <c r="AD109" s="175"/>
      <c r="AE109" s="175"/>
      <c r="AF109" s="175"/>
      <c r="AG109" s="175"/>
      <c r="AH109" s="175"/>
      <c r="AI109" s="176"/>
      <c r="AJ109" s="177"/>
      <c r="AK109" s="178"/>
      <c r="AL109" s="178"/>
      <c r="AM109" s="178"/>
      <c r="AN109" s="178"/>
      <c r="AO109" s="179"/>
      <c r="AP109" s="64"/>
      <c r="AQ109" s="65"/>
      <c r="AR109" s="65"/>
      <c r="AS109" s="65"/>
      <c r="AT109" s="173"/>
      <c r="AU109" s="177"/>
      <c r="AV109" s="178"/>
      <c r="AW109" s="178"/>
      <c r="AX109" s="179"/>
      <c r="AZ109" s="166"/>
      <c r="BA109" s="177"/>
      <c r="BB109" s="178"/>
      <c r="BC109" s="178"/>
      <c r="BD109" s="178"/>
      <c r="BE109" s="178"/>
      <c r="BF109" s="178"/>
      <c r="BG109" s="178"/>
      <c r="BH109" s="178"/>
      <c r="BI109" s="179"/>
      <c r="BJ109" s="180"/>
      <c r="BK109" s="178"/>
      <c r="BL109" s="178"/>
      <c r="BM109" s="178"/>
      <c r="BN109" s="178"/>
      <c r="BO109" s="181"/>
      <c r="BP109" s="166"/>
      <c r="BQ109" s="177"/>
      <c r="BR109" s="178"/>
      <c r="BS109" s="179"/>
      <c r="BU109" s="166"/>
      <c r="BV109" s="166"/>
      <c r="BW109" s="166"/>
      <c r="BX109" s="166"/>
      <c r="BY109" s="166"/>
      <c r="BZ109" s="166"/>
      <c r="CA109" s="166"/>
      <c r="CB109" s="166"/>
      <c r="CC109" s="166"/>
      <c r="CD109" s="177"/>
      <c r="CE109" s="181"/>
      <c r="CF109" s="177"/>
      <c r="CG109" s="179"/>
      <c r="CH109" s="257"/>
      <c r="CI109" s="182"/>
      <c r="CJ109" s="177"/>
      <c r="CK109" s="182"/>
      <c r="CL109" s="177"/>
      <c r="CM109" s="182"/>
      <c r="CN109" s="177"/>
      <c r="CO109" s="182"/>
      <c r="CP109" s="177"/>
      <c r="CQ109" s="178"/>
      <c r="CR109" s="182"/>
      <c r="CS109" s="173"/>
      <c r="CT109" s="65"/>
      <c r="CU109" s="255" t="str">
        <f t="shared" si="2"/>
        <v>ZPB</v>
      </c>
    </row>
    <row r="110" ht="60.0" customHeight="1">
      <c r="A110" s="65"/>
      <c r="B110" s="65"/>
      <c r="C110" s="167">
        <v>4.0</v>
      </c>
      <c r="D110" s="168" t="s">
        <v>185</v>
      </c>
      <c r="E110" s="169"/>
      <c r="F110" s="170"/>
      <c r="G110" s="170"/>
      <c r="H110" s="170"/>
      <c r="I110" s="207"/>
      <c r="J110" s="170"/>
      <c r="K110" s="171"/>
      <c r="L110" s="171"/>
      <c r="M110" s="171"/>
      <c r="N110" s="276"/>
      <c r="O110" s="256">
        <f t="shared" si="20"/>
        <v>0</v>
      </c>
      <c r="Q110" s="173"/>
      <c r="R110" s="65"/>
      <c r="S110" s="173"/>
      <c r="T110" s="173"/>
      <c r="U110" s="166"/>
      <c r="V110" s="166"/>
      <c r="W110" s="65"/>
      <c r="X110" s="66"/>
      <c r="Y110" s="173"/>
      <c r="Z110" s="166"/>
      <c r="AA110" s="174"/>
      <c r="AB110" s="175"/>
      <c r="AC110" s="175"/>
      <c r="AD110" s="175"/>
      <c r="AE110" s="175"/>
      <c r="AF110" s="175"/>
      <c r="AG110" s="175"/>
      <c r="AH110" s="175"/>
      <c r="AI110" s="176"/>
      <c r="AJ110" s="177"/>
      <c r="AK110" s="178"/>
      <c r="AL110" s="178"/>
      <c r="AM110" s="178"/>
      <c r="AN110" s="178"/>
      <c r="AO110" s="179"/>
      <c r="AP110" s="64"/>
      <c r="AQ110" s="65"/>
      <c r="AR110" s="65"/>
      <c r="AS110" s="65"/>
      <c r="AT110" s="173"/>
      <c r="AU110" s="177"/>
      <c r="AV110" s="178"/>
      <c r="AW110" s="178"/>
      <c r="AX110" s="179"/>
      <c r="AZ110" s="166"/>
      <c r="BA110" s="177"/>
      <c r="BB110" s="178"/>
      <c r="BC110" s="178"/>
      <c r="BD110" s="178"/>
      <c r="BE110" s="178"/>
      <c r="BF110" s="178"/>
      <c r="BG110" s="178"/>
      <c r="BH110" s="178"/>
      <c r="BI110" s="179"/>
      <c r="BJ110" s="180"/>
      <c r="BK110" s="178"/>
      <c r="BL110" s="178"/>
      <c r="BM110" s="178"/>
      <c r="BN110" s="178"/>
      <c r="BO110" s="181"/>
      <c r="BP110" s="166"/>
      <c r="BQ110" s="177"/>
      <c r="BR110" s="178"/>
      <c r="BS110" s="179"/>
      <c r="BU110" s="166"/>
      <c r="BV110" s="166"/>
      <c r="BW110" s="166"/>
      <c r="BX110" s="166"/>
      <c r="BY110" s="166"/>
      <c r="BZ110" s="166"/>
      <c r="CA110" s="166"/>
      <c r="CB110" s="166"/>
      <c r="CC110" s="166"/>
      <c r="CD110" s="177"/>
      <c r="CE110" s="181"/>
      <c r="CF110" s="177"/>
      <c r="CG110" s="179"/>
      <c r="CH110" s="257"/>
      <c r="CI110" s="182"/>
      <c r="CJ110" s="177"/>
      <c r="CK110" s="182"/>
      <c r="CL110" s="177"/>
      <c r="CM110" s="182"/>
      <c r="CN110" s="177"/>
      <c r="CO110" s="182"/>
      <c r="CP110" s="177"/>
      <c r="CQ110" s="178"/>
      <c r="CR110" s="182"/>
      <c r="CS110" s="173"/>
      <c r="CT110" s="65"/>
      <c r="CU110" s="255" t="str">
        <f t="shared" si="2"/>
        <v>ZPB</v>
      </c>
    </row>
    <row r="111" ht="60.0" customHeight="1">
      <c r="A111" s="65"/>
      <c r="B111" s="65"/>
      <c r="C111" s="167">
        <v>5.0</v>
      </c>
      <c r="D111" s="168" t="s">
        <v>185</v>
      </c>
      <c r="E111" s="169"/>
      <c r="F111" s="170"/>
      <c r="G111" s="170"/>
      <c r="H111" s="170"/>
      <c r="I111" s="207"/>
      <c r="J111" s="170"/>
      <c r="K111" s="171"/>
      <c r="L111" s="171"/>
      <c r="M111" s="171"/>
      <c r="N111" s="276"/>
      <c r="O111" s="256">
        <f t="shared" si="20"/>
        <v>0</v>
      </c>
      <c r="Q111" s="173"/>
      <c r="R111" s="65"/>
      <c r="S111" s="173"/>
      <c r="T111" s="173"/>
      <c r="U111" s="166"/>
      <c r="V111" s="166"/>
      <c r="W111" s="65"/>
      <c r="X111" s="66"/>
      <c r="Y111" s="173"/>
      <c r="Z111" s="166"/>
      <c r="AA111" s="174"/>
      <c r="AB111" s="175"/>
      <c r="AC111" s="175"/>
      <c r="AD111" s="175"/>
      <c r="AE111" s="175"/>
      <c r="AF111" s="175"/>
      <c r="AG111" s="175"/>
      <c r="AH111" s="175"/>
      <c r="AI111" s="176"/>
      <c r="AJ111" s="177"/>
      <c r="AK111" s="178"/>
      <c r="AL111" s="178"/>
      <c r="AM111" s="178"/>
      <c r="AN111" s="178"/>
      <c r="AO111" s="179"/>
      <c r="AP111" s="64"/>
      <c r="AQ111" s="65"/>
      <c r="AR111" s="65"/>
      <c r="AS111" s="65"/>
      <c r="AT111" s="173"/>
      <c r="AU111" s="177"/>
      <c r="AV111" s="178"/>
      <c r="AW111" s="178"/>
      <c r="AX111" s="179"/>
      <c r="AZ111" s="166"/>
      <c r="BA111" s="177"/>
      <c r="BB111" s="178"/>
      <c r="BC111" s="178"/>
      <c r="BD111" s="178"/>
      <c r="BE111" s="178"/>
      <c r="BF111" s="178"/>
      <c r="BG111" s="178"/>
      <c r="BH111" s="178"/>
      <c r="BI111" s="179"/>
      <c r="BJ111" s="180"/>
      <c r="BK111" s="178"/>
      <c r="BL111" s="178"/>
      <c r="BM111" s="178"/>
      <c r="BN111" s="178"/>
      <c r="BO111" s="181"/>
      <c r="BP111" s="166"/>
      <c r="BQ111" s="177"/>
      <c r="BR111" s="178"/>
      <c r="BS111" s="179"/>
      <c r="BU111" s="166"/>
      <c r="BV111" s="166"/>
      <c r="BW111" s="166"/>
      <c r="BX111" s="166"/>
      <c r="BY111" s="166"/>
      <c r="BZ111" s="166"/>
      <c r="CA111" s="166"/>
      <c r="CB111" s="166"/>
      <c r="CC111" s="166"/>
      <c r="CD111" s="177"/>
      <c r="CE111" s="181"/>
      <c r="CF111" s="177"/>
      <c r="CG111" s="179"/>
      <c r="CH111" s="257"/>
      <c r="CI111" s="182"/>
      <c r="CJ111" s="177"/>
      <c r="CK111" s="182"/>
      <c r="CL111" s="177"/>
      <c r="CM111" s="182"/>
      <c r="CN111" s="177"/>
      <c r="CO111" s="182"/>
      <c r="CP111" s="177"/>
      <c r="CQ111" s="178"/>
      <c r="CR111" s="182"/>
      <c r="CS111" s="173"/>
      <c r="CT111" s="65"/>
      <c r="CU111" s="255" t="str">
        <f t="shared" si="2"/>
        <v>ZPB</v>
      </c>
    </row>
    <row r="112" ht="60.0" customHeight="1">
      <c r="A112" s="65"/>
      <c r="B112" s="65"/>
      <c r="C112" s="167">
        <v>6.0</v>
      </c>
      <c r="D112" s="168" t="s">
        <v>185</v>
      </c>
      <c r="E112" s="169"/>
      <c r="F112" s="170"/>
      <c r="G112" s="170"/>
      <c r="H112" s="170"/>
      <c r="I112" s="207"/>
      <c r="J112" s="170"/>
      <c r="K112" s="171"/>
      <c r="L112" s="171"/>
      <c r="M112" s="171"/>
      <c r="N112" s="276"/>
      <c r="O112" s="256">
        <f t="shared" si="20"/>
        <v>0</v>
      </c>
      <c r="Q112" s="173"/>
      <c r="R112" s="65"/>
      <c r="S112" s="173"/>
      <c r="T112" s="173"/>
      <c r="U112" s="166"/>
      <c r="V112" s="166"/>
      <c r="W112" s="65"/>
      <c r="X112" s="66"/>
      <c r="Y112" s="173"/>
      <c r="Z112" s="166"/>
      <c r="AA112" s="174"/>
      <c r="AB112" s="175"/>
      <c r="AC112" s="175"/>
      <c r="AD112" s="175"/>
      <c r="AE112" s="175"/>
      <c r="AF112" s="175"/>
      <c r="AG112" s="175"/>
      <c r="AH112" s="175"/>
      <c r="AI112" s="176"/>
      <c r="AJ112" s="177"/>
      <c r="AK112" s="178"/>
      <c r="AL112" s="178"/>
      <c r="AM112" s="178"/>
      <c r="AN112" s="178"/>
      <c r="AO112" s="179"/>
      <c r="AP112" s="64"/>
      <c r="AQ112" s="65"/>
      <c r="AR112" s="65"/>
      <c r="AS112" s="65"/>
      <c r="AT112" s="173"/>
      <c r="AU112" s="177"/>
      <c r="AV112" s="178"/>
      <c r="AW112" s="178"/>
      <c r="AX112" s="179"/>
      <c r="AZ112" s="166"/>
      <c r="BA112" s="177"/>
      <c r="BB112" s="178"/>
      <c r="BC112" s="178"/>
      <c r="BD112" s="178"/>
      <c r="BE112" s="178"/>
      <c r="BF112" s="178"/>
      <c r="BG112" s="178"/>
      <c r="BH112" s="178"/>
      <c r="BI112" s="179"/>
      <c r="BJ112" s="180"/>
      <c r="BK112" s="178"/>
      <c r="BL112" s="178"/>
      <c r="BM112" s="178"/>
      <c r="BN112" s="178"/>
      <c r="BO112" s="181"/>
      <c r="BP112" s="166"/>
      <c r="BQ112" s="177"/>
      <c r="BR112" s="178"/>
      <c r="BS112" s="179"/>
      <c r="BU112" s="166"/>
      <c r="BV112" s="166"/>
      <c r="BW112" s="166"/>
      <c r="BX112" s="166"/>
      <c r="BY112" s="166"/>
      <c r="BZ112" s="166"/>
      <c r="CA112" s="166"/>
      <c r="CB112" s="166"/>
      <c r="CC112" s="166"/>
      <c r="CD112" s="177"/>
      <c r="CE112" s="181"/>
      <c r="CF112" s="177"/>
      <c r="CG112" s="179"/>
      <c r="CH112" s="257"/>
      <c r="CI112" s="182"/>
      <c r="CJ112" s="177"/>
      <c r="CK112" s="182"/>
      <c r="CL112" s="177"/>
      <c r="CM112" s="182"/>
      <c r="CN112" s="177"/>
      <c r="CO112" s="182"/>
      <c r="CP112" s="177"/>
      <c r="CQ112" s="178"/>
      <c r="CR112" s="182"/>
      <c r="CS112" s="173"/>
      <c r="CT112" s="65"/>
      <c r="CU112" s="255" t="str">
        <f t="shared" si="2"/>
        <v>ZPB</v>
      </c>
    </row>
    <row r="113" ht="60.0" customHeight="1">
      <c r="A113" s="65"/>
      <c r="B113" s="65"/>
      <c r="C113" s="167">
        <v>7.0</v>
      </c>
      <c r="D113" s="168" t="s">
        <v>185</v>
      </c>
      <c r="E113" s="169"/>
      <c r="F113" s="170"/>
      <c r="G113" s="170"/>
      <c r="H113" s="170"/>
      <c r="I113" s="207"/>
      <c r="J113" s="170"/>
      <c r="K113" s="171"/>
      <c r="L113" s="171"/>
      <c r="M113" s="171"/>
      <c r="N113" s="276"/>
      <c r="O113" s="256">
        <f t="shared" ref="O113:O116" si="21">IF(AND(M113&gt;=20,M113&lt;&gt;"m",RIGHT(K113,3)="Lec"),1,IF(AND(M113&gt;=20,M113&lt;&gt;"m",OR(RIGHT(K113,3)="Lab",RIGHT(K113,3)="Tut")),0.5,IF(AND(M113&gt;=20,M113&lt;&gt;"m",RIGHT(K113,2)="TL"),0.75,0)))</f>
        <v>0</v>
      </c>
      <c r="Q113" s="173"/>
      <c r="R113" s="65"/>
      <c r="S113" s="173"/>
      <c r="T113" s="173"/>
      <c r="U113" s="166"/>
      <c r="V113" s="166"/>
      <c r="W113" s="65"/>
      <c r="X113" s="66"/>
      <c r="Y113" s="173"/>
      <c r="Z113" s="166"/>
      <c r="AA113" s="174"/>
      <c r="AB113" s="175"/>
      <c r="AC113" s="175"/>
      <c r="AD113" s="175"/>
      <c r="AE113" s="175"/>
      <c r="AF113" s="175"/>
      <c r="AG113" s="175"/>
      <c r="AH113" s="175"/>
      <c r="AI113" s="176"/>
      <c r="AJ113" s="177"/>
      <c r="AK113" s="178"/>
      <c r="AL113" s="178"/>
      <c r="AM113" s="178"/>
      <c r="AN113" s="178"/>
      <c r="AO113" s="179"/>
      <c r="AP113" s="64"/>
      <c r="AQ113" s="65"/>
      <c r="AR113" s="65"/>
      <c r="AS113" s="65"/>
      <c r="AT113" s="173"/>
      <c r="AU113" s="177"/>
      <c r="AV113" s="178"/>
      <c r="AW113" s="178"/>
      <c r="AX113" s="179"/>
      <c r="AZ113" s="166"/>
      <c r="BA113" s="177"/>
      <c r="BB113" s="178"/>
      <c r="BC113" s="178"/>
      <c r="BD113" s="178"/>
      <c r="BE113" s="178"/>
      <c r="BF113" s="178"/>
      <c r="BG113" s="178"/>
      <c r="BH113" s="178"/>
      <c r="BI113" s="179"/>
      <c r="BJ113" s="180"/>
      <c r="BK113" s="178"/>
      <c r="BL113" s="178"/>
      <c r="BM113" s="178"/>
      <c r="BN113" s="178"/>
      <c r="BO113" s="181"/>
      <c r="BP113" s="166"/>
      <c r="BQ113" s="177"/>
      <c r="BR113" s="178"/>
      <c r="BS113" s="179"/>
      <c r="BU113" s="166"/>
      <c r="BV113" s="166"/>
      <c r="BW113" s="166"/>
      <c r="BX113" s="166"/>
      <c r="BY113" s="166"/>
      <c r="BZ113" s="166"/>
      <c r="CA113" s="166"/>
      <c r="CB113" s="166"/>
      <c r="CC113" s="166"/>
      <c r="CD113" s="177"/>
      <c r="CE113" s="181"/>
      <c r="CF113" s="177"/>
      <c r="CG113" s="179"/>
      <c r="CH113" s="257"/>
      <c r="CI113" s="182"/>
      <c r="CJ113" s="177"/>
      <c r="CK113" s="182"/>
      <c r="CL113" s="177"/>
      <c r="CM113" s="182"/>
      <c r="CN113" s="177"/>
      <c r="CO113" s="182"/>
      <c r="CP113" s="177"/>
      <c r="CQ113" s="178"/>
      <c r="CR113" s="182"/>
      <c r="CS113" s="173"/>
      <c r="CT113" s="65"/>
      <c r="CU113" s="255" t="str">
        <f t="shared" si="2"/>
        <v>ZPB</v>
      </c>
    </row>
    <row r="114" ht="60.0" customHeight="1">
      <c r="A114" s="65"/>
      <c r="B114" s="65"/>
      <c r="C114" s="167">
        <v>8.0</v>
      </c>
      <c r="D114" s="168" t="s">
        <v>185</v>
      </c>
      <c r="E114" s="169"/>
      <c r="F114" s="170"/>
      <c r="G114" s="170"/>
      <c r="H114" s="170"/>
      <c r="I114" s="207"/>
      <c r="J114" s="170"/>
      <c r="K114" s="171"/>
      <c r="L114" s="171"/>
      <c r="M114" s="171"/>
      <c r="N114" s="276"/>
      <c r="O114" s="256">
        <f t="shared" si="21"/>
        <v>0</v>
      </c>
      <c r="Q114" s="173"/>
      <c r="R114" s="65"/>
      <c r="S114" s="173"/>
      <c r="T114" s="173"/>
      <c r="U114" s="166"/>
      <c r="V114" s="166"/>
      <c r="W114" s="65"/>
      <c r="X114" s="66"/>
      <c r="Y114" s="173"/>
      <c r="Z114" s="166"/>
      <c r="AA114" s="174"/>
      <c r="AB114" s="175"/>
      <c r="AC114" s="175"/>
      <c r="AD114" s="175"/>
      <c r="AE114" s="175"/>
      <c r="AF114" s="175"/>
      <c r="AG114" s="175"/>
      <c r="AH114" s="175"/>
      <c r="AI114" s="176"/>
      <c r="AJ114" s="177"/>
      <c r="AK114" s="178"/>
      <c r="AL114" s="178"/>
      <c r="AM114" s="178"/>
      <c r="AN114" s="178"/>
      <c r="AO114" s="179"/>
      <c r="AP114" s="64"/>
      <c r="AQ114" s="65"/>
      <c r="AR114" s="65"/>
      <c r="AS114" s="65"/>
      <c r="AT114" s="173"/>
      <c r="AU114" s="177"/>
      <c r="AV114" s="178"/>
      <c r="AW114" s="178"/>
      <c r="AX114" s="179"/>
      <c r="AZ114" s="166"/>
      <c r="BA114" s="177"/>
      <c r="BB114" s="178"/>
      <c r="BC114" s="178"/>
      <c r="BD114" s="178"/>
      <c r="BE114" s="178"/>
      <c r="BF114" s="178"/>
      <c r="BG114" s="178"/>
      <c r="BH114" s="178"/>
      <c r="BI114" s="179"/>
      <c r="BJ114" s="180"/>
      <c r="BK114" s="178"/>
      <c r="BL114" s="178"/>
      <c r="BM114" s="178"/>
      <c r="BN114" s="178"/>
      <c r="BO114" s="181"/>
      <c r="BP114" s="166"/>
      <c r="BQ114" s="177"/>
      <c r="BR114" s="178"/>
      <c r="BS114" s="179"/>
      <c r="BU114" s="166"/>
      <c r="BV114" s="166"/>
      <c r="BW114" s="166"/>
      <c r="BX114" s="166"/>
      <c r="BY114" s="166"/>
      <c r="BZ114" s="166"/>
      <c r="CA114" s="166"/>
      <c r="CB114" s="166"/>
      <c r="CC114" s="166"/>
      <c r="CD114" s="177"/>
      <c r="CE114" s="181"/>
      <c r="CF114" s="177"/>
      <c r="CG114" s="179"/>
      <c r="CH114" s="257"/>
      <c r="CI114" s="182"/>
      <c r="CJ114" s="177"/>
      <c r="CK114" s="182"/>
      <c r="CL114" s="177"/>
      <c r="CM114" s="182"/>
      <c r="CN114" s="177"/>
      <c r="CO114" s="182"/>
      <c r="CP114" s="177"/>
      <c r="CQ114" s="178"/>
      <c r="CR114" s="182"/>
      <c r="CS114" s="173"/>
      <c r="CT114" s="65"/>
      <c r="CU114" s="255" t="str">
        <f t="shared" si="2"/>
        <v>ZPB</v>
      </c>
    </row>
    <row r="115" ht="60.0" customHeight="1">
      <c r="A115" s="65"/>
      <c r="B115" s="65"/>
      <c r="C115" s="167">
        <v>9.0</v>
      </c>
      <c r="D115" s="168" t="s">
        <v>185</v>
      </c>
      <c r="E115" s="169"/>
      <c r="F115" s="170"/>
      <c r="G115" s="170"/>
      <c r="H115" s="170"/>
      <c r="I115" s="207"/>
      <c r="J115" s="170"/>
      <c r="K115" s="171"/>
      <c r="L115" s="171"/>
      <c r="M115" s="171"/>
      <c r="N115" s="276"/>
      <c r="O115" s="256">
        <f t="shared" si="21"/>
        <v>0</v>
      </c>
      <c r="Q115" s="173"/>
      <c r="R115" s="65"/>
      <c r="S115" s="173"/>
      <c r="T115" s="173"/>
      <c r="U115" s="166"/>
      <c r="V115" s="166"/>
      <c r="W115" s="65"/>
      <c r="X115" s="66"/>
      <c r="Y115" s="173"/>
      <c r="Z115" s="166"/>
      <c r="AA115" s="174"/>
      <c r="AB115" s="175"/>
      <c r="AC115" s="175"/>
      <c r="AD115" s="175"/>
      <c r="AE115" s="175"/>
      <c r="AF115" s="175"/>
      <c r="AG115" s="175"/>
      <c r="AH115" s="175"/>
      <c r="AI115" s="176"/>
      <c r="AJ115" s="177"/>
      <c r="AK115" s="178"/>
      <c r="AL115" s="178"/>
      <c r="AM115" s="178"/>
      <c r="AN115" s="178"/>
      <c r="AO115" s="179"/>
      <c r="AP115" s="64"/>
      <c r="AQ115" s="65"/>
      <c r="AR115" s="65"/>
      <c r="AS115" s="65"/>
      <c r="AT115" s="173"/>
      <c r="AU115" s="177"/>
      <c r="AV115" s="178"/>
      <c r="AW115" s="178"/>
      <c r="AX115" s="179"/>
      <c r="AZ115" s="166"/>
      <c r="BA115" s="177"/>
      <c r="BB115" s="178"/>
      <c r="BC115" s="178"/>
      <c r="BD115" s="178"/>
      <c r="BE115" s="178"/>
      <c r="BF115" s="178"/>
      <c r="BG115" s="178"/>
      <c r="BH115" s="178"/>
      <c r="BI115" s="179"/>
      <c r="BJ115" s="180"/>
      <c r="BK115" s="178"/>
      <c r="BL115" s="178"/>
      <c r="BM115" s="178"/>
      <c r="BN115" s="178"/>
      <c r="BO115" s="181"/>
      <c r="BP115" s="166"/>
      <c r="BQ115" s="177"/>
      <c r="BR115" s="178"/>
      <c r="BS115" s="179"/>
      <c r="BU115" s="166"/>
      <c r="BV115" s="166"/>
      <c r="BW115" s="166"/>
      <c r="BX115" s="166"/>
      <c r="BY115" s="166"/>
      <c r="BZ115" s="166"/>
      <c r="CA115" s="166"/>
      <c r="CB115" s="166"/>
      <c r="CC115" s="166"/>
      <c r="CD115" s="177"/>
      <c r="CE115" s="181"/>
      <c r="CF115" s="177"/>
      <c r="CG115" s="179"/>
      <c r="CH115" s="257"/>
      <c r="CI115" s="182"/>
      <c r="CJ115" s="177"/>
      <c r="CK115" s="182"/>
      <c r="CL115" s="177"/>
      <c r="CM115" s="182"/>
      <c r="CN115" s="177"/>
      <c r="CO115" s="182"/>
      <c r="CP115" s="177"/>
      <c r="CQ115" s="178"/>
      <c r="CR115" s="182"/>
      <c r="CS115" s="173"/>
      <c r="CT115" s="65"/>
      <c r="CU115" s="255" t="str">
        <f t="shared" si="2"/>
        <v>ZPB</v>
      </c>
    </row>
    <row r="116" ht="60.0" customHeight="1">
      <c r="A116" s="65"/>
      <c r="B116" s="65"/>
      <c r="C116" s="167">
        <v>10.0</v>
      </c>
      <c r="D116" s="168" t="s">
        <v>185</v>
      </c>
      <c r="E116" s="169"/>
      <c r="F116" s="170"/>
      <c r="G116" s="170"/>
      <c r="H116" s="170"/>
      <c r="I116" s="207"/>
      <c r="J116" s="170"/>
      <c r="K116" s="171"/>
      <c r="L116" s="171"/>
      <c r="M116" s="171"/>
      <c r="N116" s="276"/>
      <c r="O116" s="256">
        <f t="shared" si="21"/>
        <v>0</v>
      </c>
      <c r="Q116" s="173"/>
      <c r="R116" s="65"/>
      <c r="S116" s="173"/>
      <c r="T116" s="173"/>
      <c r="U116" s="166"/>
      <c r="V116" s="166"/>
      <c r="W116" s="65"/>
      <c r="X116" s="66"/>
      <c r="Y116" s="173"/>
      <c r="Z116" s="166"/>
      <c r="AA116" s="174"/>
      <c r="AB116" s="175"/>
      <c r="AC116" s="175"/>
      <c r="AD116" s="175"/>
      <c r="AE116" s="175"/>
      <c r="AF116" s="175"/>
      <c r="AG116" s="175"/>
      <c r="AH116" s="175"/>
      <c r="AI116" s="176"/>
      <c r="AJ116" s="177"/>
      <c r="AK116" s="178"/>
      <c r="AL116" s="178"/>
      <c r="AM116" s="178"/>
      <c r="AN116" s="178"/>
      <c r="AO116" s="179"/>
      <c r="AP116" s="64"/>
      <c r="AQ116" s="65"/>
      <c r="AR116" s="65"/>
      <c r="AS116" s="65"/>
      <c r="AT116" s="173"/>
      <c r="AU116" s="177"/>
      <c r="AV116" s="178"/>
      <c r="AW116" s="178"/>
      <c r="AX116" s="179"/>
      <c r="AZ116" s="166"/>
      <c r="BA116" s="177"/>
      <c r="BB116" s="178"/>
      <c r="BC116" s="178"/>
      <c r="BD116" s="178"/>
      <c r="BE116" s="178"/>
      <c r="BF116" s="178"/>
      <c r="BG116" s="178"/>
      <c r="BH116" s="178"/>
      <c r="BI116" s="179"/>
      <c r="BJ116" s="180"/>
      <c r="BK116" s="178"/>
      <c r="BL116" s="178"/>
      <c r="BM116" s="178"/>
      <c r="BN116" s="178"/>
      <c r="BO116" s="181"/>
      <c r="BP116" s="166"/>
      <c r="BQ116" s="177"/>
      <c r="BR116" s="178"/>
      <c r="BS116" s="179"/>
      <c r="BU116" s="166"/>
      <c r="BV116" s="166"/>
      <c r="BW116" s="166"/>
      <c r="BX116" s="166"/>
      <c r="BY116" s="166"/>
      <c r="BZ116" s="166"/>
      <c r="CA116" s="166"/>
      <c r="CB116" s="166"/>
      <c r="CC116" s="166"/>
      <c r="CD116" s="177"/>
      <c r="CE116" s="181"/>
      <c r="CF116" s="177"/>
      <c r="CG116" s="179"/>
      <c r="CH116" s="257"/>
      <c r="CI116" s="182"/>
      <c r="CJ116" s="177"/>
      <c r="CK116" s="182"/>
      <c r="CL116" s="177"/>
      <c r="CM116" s="182"/>
      <c r="CN116" s="177"/>
      <c r="CO116" s="182"/>
      <c r="CP116" s="177"/>
      <c r="CQ116" s="178"/>
      <c r="CR116" s="182"/>
      <c r="CS116" s="173"/>
      <c r="CT116" s="65"/>
      <c r="CU116" s="255" t="str">
        <f t="shared" si="2"/>
        <v>ZPB</v>
      </c>
    </row>
    <row r="117" ht="60.0" customHeight="1">
      <c r="A117" s="89"/>
      <c r="B117" s="89"/>
      <c r="C117" s="183">
        <v>11.0</v>
      </c>
      <c r="D117" s="210" t="s">
        <v>185</v>
      </c>
      <c r="E117" s="185"/>
      <c r="F117" s="186"/>
      <c r="G117" s="186"/>
      <c r="H117" s="186"/>
      <c r="I117" s="212"/>
      <c r="J117" s="186"/>
      <c r="K117" s="187"/>
      <c r="L117" s="187"/>
      <c r="M117" s="187"/>
      <c r="N117" s="214"/>
      <c r="O117" s="258">
        <f t="shared" ref="O117:O123" si="22">IF(AND(M117&lt;&gt;0,M117&lt;&gt;"m",M117&lt;&gt;"",RIGHT(K117,3)="Lec"),1,IF(AND(M117&lt;&gt;0,M117&lt;&gt;"m",M117&lt;&gt;"",OR(RIGHT(K117,3)="Lab",RIGHT(K117,3)="Tut")),0.5,IF(AND(M117&lt;&gt;0,M117&lt;&gt;"m",M117&lt;&gt;"",RIGHT(K117,2)="TL"),0.75,0)))</f>
        <v>0</v>
      </c>
      <c r="P117" s="6"/>
      <c r="Q117" s="69"/>
      <c r="R117" s="89"/>
      <c r="S117" s="69"/>
      <c r="T117" s="69"/>
      <c r="U117" s="63"/>
      <c r="V117" s="63"/>
      <c r="W117" s="89"/>
      <c r="X117" s="68"/>
      <c r="Y117" s="69"/>
      <c r="Z117" s="63"/>
      <c r="AA117" s="189"/>
      <c r="AB117" s="190"/>
      <c r="AC117" s="190"/>
      <c r="AD117" s="190"/>
      <c r="AE117" s="190"/>
      <c r="AF117" s="190"/>
      <c r="AG117" s="190"/>
      <c r="AH117" s="190"/>
      <c r="AI117" s="191"/>
      <c r="AJ117" s="192"/>
      <c r="AK117" s="193"/>
      <c r="AL117" s="193"/>
      <c r="AM117" s="193"/>
      <c r="AN117" s="193"/>
      <c r="AO117" s="194"/>
      <c r="AP117" s="103"/>
      <c r="AQ117" s="89"/>
      <c r="AR117" s="89"/>
      <c r="AS117" s="89"/>
      <c r="AT117" s="69"/>
      <c r="AU117" s="192"/>
      <c r="AV117" s="193"/>
      <c r="AW117" s="193"/>
      <c r="AX117" s="194"/>
      <c r="AY117" s="6"/>
      <c r="AZ117" s="63"/>
      <c r="BA117" s="192"/>
      <c r="BB117" s="193"/>
      <c r="BC117" s="193"/>
      <c r="BD117" s="193"/>
      <c r="BE117" s="193"/>
      <c r="BF117" s="193"/>
      <c r="BG117" s="193"/>
      <c r="BH117" s="193"/>
      <c r="BI117" s="194"/>
      <c r="BJ117" s="195"/>
      <c r="BK117" s="193"/>
      <c r="BL117" s="193"/>
      <c r="BM117" s="193"/>
      <c r="BN117" s="193"/>
      <c r="BO117" s="196"/>
      <c r="BP117" s="63"/>
      <c r="BQ117" s="192"/>
      <c r="BR117" s="193"/>
      <c r="BS117" s="194"/>
      <c r="BT117" s="6"/>
      <c r="BU117" s="63"/>
      <c r="BV117" s="63"/>
      <c r="BW117" s="63"/>
      <c r="BX117" s="63"/>
      <c r="BY117" s="63"/>
      <c r="BZ117" s="63"/>
      <c r="CA117" s="63"/>
      <c r="CB117" s="63"/>
      <c r="CC117" s="63"/>
      <c r="CD117" s="192"/>
      <c r="CE117" s="196"/>
      <c r="CF117" s="192"/>
      <c r="CG117" s="194"/>
      <c r="CH117" s="259"/>
      <c r="CI117" s="197"/>
      <c r="CJ117" s="192"/>
      <c r="CK117" s="197"/>
      <c r="CL117" s="192"/>
      <c r="CM117" s="197"/>
      <c r="CN117" s="192"/>
      <c r="CO117" s="197"/>
      <c r="CP117" s="192"/>
      <c r="CQ117" s="193"/>
      <c r="CR117" s="197"/>
      <c r="CS117" s="69"/>
      <c r="CT117" s="89"/>
      <c r="CU117" s="255" t="str">
        <f t="shared" si="2"/>
        <v>ZPB</v>
      </c>
    </row>
    <row r="118" ht="55.5" customHeight="1">
      <c r="A118" s="125">
        <v>11.0</v>
      </c>
      <c r="B118" s="274" t="s">
        <v>194</v>
      </c>
      <c r="C118" s="127">
        <v>1.0</v>
      </c>
      <c r="D118" s="168" t="s">
        <v>195</v>
      </c>
      <c r="E118" s="129"/>
      <c r="F118" s="130"/>
      <c r="G118" s="130"/>
      <c r="H118" s="130"/>
      <c r="I118" s="201"/>
      <c r="J118" s="130"/>
      <c r="K118" s="131"/>
      <c r="L118" s="131"/>
      <c r="M118" s="131"/>
      <c r="N118" s="275"/>
      <c r="O118" s="250">
        <f t="shared" si="22"/>
        <v>0</v>
      </c>
      <c r="P118" s="251">
        <f>COUNTIF(K118:K128,"TL")*0.75+COUNTIF(K118:K128,"Lec")*1+COUNTIF(K118:K128,"Lab")*0.5</f>
        <v>0</v>
      </c>
      <c r="Q118" s="134">
        <f>SUM((IF(LEFT(K118,1)="E",O118,0)),(IF(LEFT(K119,1)="E",O119,0)),(IF(LEFT(K120,1)="E",O120,0)),(IF(LEFT(K121,1)="E",O121,0)),(IF(LEFT(K122,1)="E",O122,0)),(IF(LEFT(K123,1)="E",O123,0)),(IF(LEFT(K124,1)="E",O124,0)),(IF(LEFT(K125,1)="E",O125,0)),(IF(LEFT(K126,1)="E",O126,0)),(IF(LEFT(K127,1)="E",O127,0)),(IF(LEFT(K128,1)="E",O128,0)))</f>
        <v>0</v>
      </c>
      <c r="R118" s="135">
        <f>SUM(IF(M124&lt;20,IF(K124="Plec",-1,IF(K124="PTL",-0.75,IF(K124="Plab",-0.5,0))),0),IF(M125&lt;20,IF(K125="Plec",-1,IF(K125="PTL",-0.75,IF(K125="Plab",-0.5,0))),0),IF(M126&lt;20,IF(K126="Plec",-1,IF(K126="PTL",-0.75,IF(K126="Plab",-0.5,0))),0),IF(M127&lt;20,IF(K127="Plec",-1,IF(K127="PTL",-0.75,IF(K127="Plab",-0.5,0))),0))</f>
        <v>0</v>
      </c>
      <c r="S118" s="134">
        <f>SUM(P118:R128)</f>
        <v>0</v>
      </c>
      <c r="T118" s="136">
        <f>SUM(IF(M118="M",IF(OR(K118="lec",K118="plec",K118="slec"),1,IF(OR(K118="lab",K118="plab",K118="slab",K118="tut",K118="ptut",K118="stut"),0.5,IF(OR(K118="TL",K118="pTL",K118="STL"),0.75,0))),0),IF(M119="M",IF(OR(K119="lec",K119="plec",K119="slec"),1,IF(OR(K119="lab",K119="plab",K119="slab",K119="tut",K119="ptut",K119="stut"),0.5,IF(OR(K119="TL",K119="pTL",K119="STL"),0.75,0))),0),IF(M120="M",IF(OR(K120="lec",K120="plec",K120="slec"),1,IF(OR(K120="lab",K120="plab",K120="slab",K120="tut",K120="ptut",K120="stut"),0.5,IF(OR(K120="TL",K120="pTL",K120="STL"),0.75,0))),0),IF(M121="M",IF(OR(K121="lec",K121="plec",K121="slec"),1,IF(OR(K121="lab",K121="plab",K121="slab",K121="tut",K121="ptut",K121="stut"),0.5,IF(OR(K121="TL",K121="pTL",K121="STL"),0.75,0))),0),IF(M122="M",IF(OR(K122="lec",K122="plec",K122="slec"),1,IF(OR(K122="lab",K122="plab",K122="slab",K122="tut",K122="ptut",K122="stut"),0.5,IF(OR(K122="TL",K122="pTL",K122="STL"),0.75,0))),0),IF(M123="M",IF(OR(K123="lec",K123="plec",K123="slec"),1,IF(OR(K123="lab",K123="plab",K123="slab",K123="tut",K123="ptut",K123="stut"),0.5,IF(OR(K123="TL",K123="pTL",K123="STL"),0.75,0))),0),IF(M124="M",IF(OR(K124="lec",K124="plec",K124="slec"),1,IF(OR(K124="lab",K124="plab",K124="slab",K124="tut",K124="ptut",K124="stut"),0.5,IF(OR(K124="TL",K124="pTL",K124="STL"),0.75,0))),0),IF(M125="M",IF(OR(K125="lec",K125="plec",K125="slec"),1,IF(OR(K125="lab",K125="plab",K125="slab",K125="tut",K125="ptut",K125="stut"),0.5,IF(OR(K125="TL",K125="pTL",K125="STL"),0.75,0))),0),IF(M126="M",IF(OR(K126="lec",K126="plec",K126="slec"),1,IF(OR(K126="lab",K126="plab",K126="slab",K126="tut",K126="ptut",K126="stut"),0.5,IF(OR(K126="TL",K126="pTL",K126="STL"),0.75,0))),0),IF(M127="M",IF(OR(K127="lec",K127="plec",K127="slec"),1,IF(OR(K127="lab",K127="plab",K127="slab",K127="tut",K127="ptut",K127="stut"),0.5,IF(OR(K127="TL",K127="pTL",K127="STL"),0.75,0))),0),IF(M128="M",IF(OR(K128="lec",K128="plec",K128="slec"),1,IF(OR(K128="lab",K128="plab",K128="slab",K128="tut",K128="ptut",K128="stut"),0.5,IF(OR(K128="TL",K128="pTL",K128="STL"),0.75,0))),0))</f>
        <v>0</v>
      </c>
      <c r="U118" s="137"/>
      <c r="V118" s="133"/>
      <c r="W118" s="138"/>
      <c r="X118" s="139">
        <f>S118-(T118+U118+V118+W118)</f>
        <v>0</v>
      </c>
      <c r="Y118" s="134" t="str">
        <f>CONCATENATE(SUM(O118:O128),"(",SUM(O118:O128)-X118,")")</f>
        <v>0(0)</v>
      </c>
      <c r="Z118" s="140"/>
      <c r="AA118" s="141"/>
      <c r="AB118" s="142"/>
      <c r="AC118" s="142"/>
      <c r="AD118" s="142"/>
      <c r="AE118" s="142"/>
      <c r="AF118" s="142"/>
      <c r="AG118" s="142"/>
      <c r="AH118" s="142"/>
      <c r="AI118" s="143"/>
      <c r="AJ118" s="144"/>
      <c r="AK118" s="145"/>
      <c r="AL118" s="145"/>
      <c r="AM118" s="145"/>
      <c r="AN118" s="145"/>
      <c r="AO118" s="146"/>
      <c r="AP118" s="147">
        <f>SUM(SUM(O118:O128),SUM(AI118:AI128)/2,AM118)</f>
        <v>0</v>
      </c>
      <c r="AQ118" s="148"/>
      <c r="AR118" s="148">
        <f>AP118*AQ118</f>
        <v>0</v>
      </c>
      <c r="AS118" s="148">
        <f>CT118</f>
        <v>0</v>
      </c>
      <c r="AT118" s="149">
        <f>AR118*0.75+AS118*0.25</f>
        <v>0</v>
      </c>
      <c r="AU118" s="150"/>
      <c r="AV118" s="151"/>
      <c r="AW118" s="151"/>
      <c r="AX118" s="152"/>
      <c r="AY118" s="153"/>
      <c r="AZ118" s="140"/>
      <c r="BA118" s="150"/>
      <c r="BB118" s="151"/>
      <c r="BC118" s="151"/>
      <c r="BD118" s="151"/>
      <c r="BE118" s="151"/>
      <c r="BF118" s="151"/>
      <c r="BG118" s="151"/>
      <c r="BH118" s="151"/>
      <c r="BI118" s="152"/>
      <c r="BJ118" s="154"/>
      <c r="BK118" s="151"/>
      <c r="BL118" s="151"/>
      <c r="BM118" s="151"/>
      <c r="BN118" s="151"/>
      <c r="BO118" s="155"/>
      <c r="BP118" s="140"/>
      <c r="BQ118" s="156"/>
      <c r="BR118" s="157"/>
      <c r="BS118" s="158"/>
      <c r="BT118" s="153"/>
      <c r="BU118" s="140"/>
      <c r="BV118" s="140"/>
      <c r="BW118" s="140"/>
      <c r="BX118" s="140"/>
      <c r="BY118" s="140"/>
      <c r="BZ118" s="140"/>
      <c r="CA118" s="140"/>
      <c r="CB118" s="140"/>
      <c r="CC118" s="140"/>
      <c r="CD118" s="150"/>
      <c r="CE118" s="155"/>
      <c r="CF118" s="150"/>
      <c r="CG118" s="152"/>
      <c r="CH118" s="252"/>
      <c r="CI118" s="160"/>
      <c r="CJ118" s="159"/>
      <c r="CK118" s="160"/>
      <c r="CL118" s="159"/>
      <c r="CM118" s="160"/>
      <c r="CN118" s="159"/>
      <c r="CO118" s="160"/>
      <c r="CP118" s="159"/>
      <c r="CQ118" s="162"/>
      <c r="CR118" s="160"/>
      <c r="CS118" s="253">
        <f>SUM(IF(AU118&lt;0,ABS(AU118),0),IF(AZ118&lt;0,ABS(AZ118),0),ABS(CI118),ABS(CK118),ABS(CM118),ABS(CO118),ABS(CQ118),ABS(CR118))</f>
        <v>0</v>
      </c>
      <c r="CT118" s="254">
        <f>SUM(AU118,AV118,AW118,AX118/400,AY118,AZ118,BG118,BH118*0.5,BI118*0.25,BJ118,BK118,BL118,BM118,BN118,BO118,BP118,BR118/20,BS118/100,BT118/60,BU118,BV118,BW118,BX118/4,SUM(BY118:CC128)/3,CE118,CG118/3,CI118,CK118,CM118,CO118,CQ118,CR118)</f>
        <v>0</v>
      </c>
      <c r="CU118" s="255" t="str">
        <f t="shared" si="2"/>
        <v>DPS</v>
      </c>
    </row>
    <row r="119" ht="60.0" customHeight="1">
      <c r="A119" s="65"/>
      <c r="B119" s="65"/>
      <c r="C119" s="167">
        <v>2.0</v>
      </c>
      <c r="D119" s="168" t="s">
        <v>195</v>
      </c>
      <c r="E119" s="169"/>
      <c r="F119" s="170"/>
      <c r="G119" s="170"/>
      <c r="H119" s="170"/>
      <c r="I119" s="207"/>
      <c r="J119" s="170"/>
      <c r="K119" s="171"/>
      <c r="L119" s="171"/>
      <c r="M119" s="171"/>
      <c r="N119" s="276"/>
      <c r="O119" s="256">
        <f t="shared" si="22"/>
        <v>0</v>
      </c>
      <c r="Q119" s="173"/>
      <c r="R119" s="65"/>
      <c r="S119" s="173"/>
      <c r="T119" s="173"/>
      <c r="U119" s="166"/>
      <c r="V119" s="166"/>
      <c r="W119" s="65"/>
      <c r="X119" s="66"/>
      <c r="Y119" s="173"/>
      <c r="Z119" s="166"/>
      <c r="AA119" s="174"/>
      <c r="AB119" s="175"/>
      <c r="AC119" s="175"/>
      <c r="AD119" s="175"/>
      <c r="AE119" s="175"/>
      <c r="AF119" s="175"/>
      <c r="AG119" s="175"/>
      <c r="AH119" s="175"/>
      <c r="AI119" s="176"/>
      <c r="AJ119" s="177"/>
      <c r="AK119" s="178"/>
      <c r="AL119" s="178"/>
      <c r="AM119" s="178"/>
      <c r="AN119" s="178"/>
      <c r="AO119" s="179"/>
      <c r="AP119" s="64"/>
      <c r="AQ119" s="65"/>
      <c r="AR119" s="65"/>
      <c r="AS119" s="65"/>
      <c r="AT119" s="173"/>
      <c r="AU119" s="177"/>
      <c r="AV119" s="178"/>
      <c r="AW119" s="178"/>
      <c r="AX119" s="179"/>
      <c r="AZ119" s="166"/>
      <c r="BA119" s="177"/>
      <c r="BB119" s="178"/>
      <c r="BC119" s="178"/>
      <c r="BD119" s="178"/>
      <c r="BE119" s="178"/>
      <c r="BF119" s="178"/>
      <c r="BG119" s="178"/>
      <c r="BH119" s="178"/>
      <c r="BI119" s="179"/>
      <c r="BJ119" s="180"/>
      <c r="BK119" s="178"/>
      <c r="BL119" s="178"/>
      <c r="BM119" s="178"/>
      <c r="BN119" s="178"/>
      <c r="BO119" s="181"/>
      <c r="BP119" s="166"/>
      <c r="BQ119" s="177"/>
      <c r="BR119" s="178"/>
      <c r="BS119" s="179"/>
      <c r="BU119" s="166"/>
      <c r="BV119" s="166"/>
      <c r="BW119" s="166"/>
      <c r="BX119" s="166"/>
      <c r="BY119" s="166"/>
      <c r="BZ119" s="166"/>
      <c r="CA119" s="166"/>
      <c r="CB119" s="166"/>
      <c r="CC119" s="166"/>
      <c r="CD119" s="177"/>
      <c r="CE119" s="181"/>
      <c r="CF119" s="177"/>
      <c r="CG119" s="179"/>
      <c r="CH119" s="257"/>
      <c r="CI119" s="182"/>
      <c r="CJ119" s="177"/>
      <c r="CK119" s="182"/>
      <c r="CL119" s="177"/>
      <c r="CM119" s="182"/>
      <c r="CN119" s="177"/>
      <c r="CO119" s="182"/>
      <c r="CP119" s="177"/>
      <c r="CQ119" s="178"/>
      <c r="CR119" s="182"/>
      <c r="CS119" s="173"/>
      <c r="CT119" s="65"/>
      <c r="CU119" s="255" t="str">
        <f t="shared" si="2"/>
        <v>DPS</v>
      </c>
    </row>
    <row r="120" ht="60.0" customHeight="1">
      <c r="A120" s="65"/>
      <c r="B120" s="65"/>
      <c r="C120" s="167">
        <v>3.0</v>
      </c>
      <c r="D120" s="168" t="s">
        <v>195</v>
      </c>
      <c r="E120" s="169"/>
      <c r="F120" s="170"/>
      <c r="G120" s="170"/>
      <c r="H120" s="170"/>
      <c r="I120" s="207"/>
      <c r="J120" s="170"/>
      <c r="K120" s="171"/>
      <c r="L120" s="171"/>
      <c r="M120" s="171"/>
      <c r="N120" s="276"/>
      <c r="O120" s="256">
        <f t="shared" si="22"/>
        <v>0</v>
      </c>
      <c r="Q120" s="173"/>
      <c r="R120" s="65"/>
      <c r="S120" s="173"/>
      <c r="T120" s="173"/>
      <c r="U120" s="166"/>
      <c r="V120" s="166"/>
      <c r="W120" s="65"/>
      <c r="X120" s="66"/>
      <c r="Y120" s="173"/>
      <c r="Z120" s="166"/>
      <c r="AA120" s="174"/>
      <c r="AB120" s="175"/>
      <c r="AC120" s="175"/>
      <c r="AD120" s="175"/>
      <c r="AE120" s="175"/>
      <c r="AF120" s="175"/>
      <c r="AG120" s="175"/>
      <c r="AH120" s="175"/>
      <c r="AI120" s="176"/>
      <c r="AJ120" s="177"/>
      <c r="AK120" s="178"/>
      <c r="AL120" s="178"/>
      <c r="AM120" s="178"/>
      <c r="AN120" s="178"/>
      <c r="AO120" s="179"/>
      <c r="AP120" s="64"/>
      <c r="AQ120" s="65"/>
      <c r="AR120" s="65"/>
      <c r="AS120" s="65"/>
      <c r="AT120" s="173"/>
      <c r="AU120" s="177"/>
      <c r="AV120" s="178"/>
      <c r="AW120" s="178"/>
      <c r="AX120" s="179"/>
      <c r="AZ120" s="166"/>
      <c r="BA120" s="177"/>
      <c r="BB120" s="178"/>
      <c r="BC120" s="178"/>
      <c r="BD120" s="178"/>
      <c r="BE120" s="178"/>
      <c r="BF120" s="178"/>
      <c r="BG120" s="178"/>
      <c r="BH120" s="178"/>
      <c r="BI120" s="179"/>
      <c r="BJ120" s="180"/>
      <c r="BK120" s="178"/>
      <c r="BL120" s="178"/>
      <c r="BM120" s="178"/>
      <c r="BN120" s="178"/>
      <c r="BO120" s="181"/>
      <c r="BP120" s="166"/>
      <c r="BQ120" s="177"/>
      <c r="BR120" s="178"/>
      <c r="BS120" s="179"/>
      <c r="BU120" s="166"/>
      <c r="BV120" s="166"/>
      <c r="BW120" s="166"/>
      <c r="BX120" s="166"/>
      <c r="BY120" s="166"/>
      <c r="BZ120" s="166"/>
      <c r="CA120" s="166"/>
      <c r="CB120" s="166"/>
      <c r="CC120" s="166"/>
      <c r="CD120" s="177"/>
      <c r="CE120" s="181"/>
      <c r="CF120" s="177"/>
      <c r="CG120" s="179"/>
      <c r="CH120" s="257"/>
      <c r="CI120" s="182"/>
      <c r="CJ120" s="177"/>
      <c r="CK120" s="182"/>
      <c r="CL120" s="177"/>
      <c r="CM120" s="182"/>
      <c r="CN120" s="177"/>
      <c r="CO120" s="182"/>
      <c r="CP120" s="177"/>
      <c r="CQ120" s="178"/>
      <c r="CR120" s="182"/>
      <c r="CS120" s="173"/>
      <c r="CT120" s="65"/>
      <c r="CU120" s="255" t="str">
        <f t="shared" si="2"/>
        <v>DPS</v>
      </c>
    </row>
    <row r="121" ht="60.0" customHeight="1">
      <c r="A121" s="65"/>
      <c r="B121" s="65"/>
      <c r="C121" s="167">
        <v>4.0</v>
      </c>
      <c r="D121" s="168" t="s">
        <v>195</v>
      </c>
      <c r="E121" s="169"/>
      <c r="F121" s="170"/>
      <c r="G121" s="170"/>
      <c r="H121" s="170"/>
      <c r="I121" s="207"/>
      <c r="J121" s="170"/>
      <c r="K121" s="171"/>
      <c r="L121" s="171"/>
      <c r="M121" s="171"/>
      <c r="N121" s="276"/>
      <c r="O121" s="256">
        <f t="shared" si="22"/>
        <v>0</v>
      </c>
      <c r="Q121" s="173"/>
      <c r="R121" s="65"/>
      <c r="S121" s="173"/>
      <c r="T121" s="173"/>
      <c r="U121" s="166"/>
      <c r="V121" s="166"/>
      <c r="W121" s="65"/>
      <c r="X121" s="66"/>
      <c r="Y121" s="173"/>
      <c r="Z121" s="166"/>
      <c r="AA121" s="174"/>
      <c r="AB121" s="175"/>
      <c r="AC121" s="175"/>
      <c r="AD121" s="175"/>
      <c r="AE121" s="175"/>
      <c r="AF121" s="175"/>
      <c r="AG121" s="175"/>
      <c r="AH121" s="175"/>
      <c r="AI121" s="176"/>
      <c r="AJ121" s="177"/>
      <c r="AK121" s="178"/>
      <c r="AL121" s="178"/>
      <c r="AM121" s="178"/>
      <c r="AN121" s="178"/>
      <c r="AO121" s="179"/>
      <c r="AP121" s="64"/>
      <c r="AQ121" s="65"/>
      <c r="AR121" s="65"/>
      <c r="AS121" s="65"/>
      <c r="AT121" s="173"/>
      <c r="AU121" s="177"/>
      <c r="AV121" s="178"/>
      <c r="AW121" s="178"/>
      <c r="AX121" s="179"/>
      <c r="AZ121" s="166"/>
      <c r="BA121" s="177"/>
      <c r="BB121" s="178"/>
      <c r="BC121" s="178"/>
      <c r="BD121" s="178"/>
      <c r="BE121" s="178"/>
      <c r="BF121" s="178"/>
      <c r="BG121" s="178"/>
      <c r="BH121" s="178"/>
      <c r="BI121" s="179"/>
      <c r="BJ121" s="180"/>
      <c r="BK121" s="178"/>
      <c r="BL121" s="178"/>
      <c r="BM121" s="178"/>
      <c r="BN121" s="178"/>
      <c r="BO121" s="181"/>
      <c r="BP121" s="166"/>
      <c r="BQ121" s="177"/>
      <c r="BR121" s="178"/>
      <c r="BS121" s="179"/>
      <c r="BU121" s="166"/>
      <c r="BV121" s="166"/>
      <c r="BW121" s="166"/>
      <c r="BX121" s="166"/>
      <c r="BY121" s="166"/>
      <c r="BZ121" s="166"/>
      <c r="CA121" s="166"/>
      <c r="CB121" s="166"/>
      <c r="CC121" s="166"/>
      <c r="CD121" s="177"/>
      <c r="CE121" s="181"/>
      <c r="CF121" s="177"/>
      <c r="CG121" s="179"/>
      <c r="CH121" s="257"/>
      <c r="CI121" s="182"/>
      <c r="CJ121" s="177"/>
      <c r="CK121" s="182"/>
      <c r="CL121" s="177"/>
      <c r="CM121" s="182"/>
      <c r="CN121" s="177"/>
      <c r="CO121" s="182"/>
      <c r="CP121" s="177"/>
      <c r="CQ121" s="178"/>
      <c r="CR121" s="182"/>
      <c r="CS121" s="173"/>
      <c r="CT121" s="65"/>
      <c r="CU121" s="255" t="str">
        <f t="shared" si="2"/>
        <v>DPS</v>
      </c>
    </row>
    <row r="122" ht="60.0" customHeight="1">
      <c r="A122" s="65"/>
      <c r="B122" s="65"/>
      <c r="C122" s="167">
        <v>5.0</v>
      </c>
      <c r="D122" s="168" t="s">
        <v>195</v>
      </c>
      <c r="E122" s="169"/>
      <c r="F122" s="170"/>
      <c r="G122" s="170"/>
      <c r="H122" s="170"/>
      <c r="I122" s="207"/>
      <c r="J122" s="170"/>
      <c r="K122" s="171"/>
      <c r="L122" s="171"/>
      <c r="M122" s="171"/>
      <c r="N122" s="276"/>
      <c r="O122" s="256">
        <f t="shared" si="22"/>
        <v>0</v>
      </c>
      <c r="Q122" s="173"/>
      <c r="R122" s="65"/>
      <c r="S122" s="173"/>
      <c r="T122" s="173"/>
      <c r="U122" s="166"/>
      <c r="V122" s="166"/>
      <c r="W122" s="65"/>
      <c r="X122" s="66"/>
      <c r="Y122" s="173"/>
      <c r="Z122" s="166"/>
      <c r="AA122" s="174"/>
      <c r="AB122" s="175"/>
      <c r="AC122" s="175"/>
      <c r="AD122" s="175"/>
      <c r="AE122" s="175"/>
      <c r="AF122" s="175"/>
      <c r="AG122" s="175"/>
      <c r="AH122" s="175"/>
      <c r="AI122" s="176"/>
      <c r="AJ122" s="177"/>
      <c r="AK122" s="178"/>
      <c r="AL122" s="178"/>
      <c r="AM122" s="178"/>
      <c r="AN122" s="178"/>
      <c r="AO122" s="179"/>
      <c r="AP122" s="64"/>
      <c r="AQ122" s="65"/>
      <c r="AR122" s="65"/>
      <c r="AS122" s="65"/>
      <c r="AT122" s="173"/>
      <c r="AU122" s="177"/>
      <c r="AV122" s="178"/>
      <c r="AW122" s="178"/>
      <c r="AX122" s="179"/>
      <c r="AZ122" s="166"/>
      <c r="BA122" s="177"/>
      <c r="BB122" s="178"/>
      <c r="BC122" s="178"/>
      <c r="BD122" s="178"/>
      <c r="BE122" s="178"/>
      <c r="BF122" s="178"/>
      <c r="BG122" s="178"/>
      <c r="BH122" s="178"/>
      <c r="BI122" s="179"/>
      <c r="BJ122" s="180"/>
      <c r="BK122" s="178"/>
      <c r="BL122" s="178"/>
      <c r="BM122" s="178"/>
      <c r="BN122" s="178"/>
      <c r="BO122" s="181"/>
      <c r="BP122" s="166"/>
      <c r="BQ122" s="177"/>
      <c r="BR122" s="178"/>
      <c r="BS122" s="179"/>
      <c r="BU122" s="166"/>
      <c r="BV122" s="166"/>
      <c r="BW122" s="166"/>
      <c r="BX122" s="166"/>
      <c r="BY122" s="166"/>
      <c r="BZ122" s="166"/>
      <c r="CA122" s="166"/>
      <c r="CB122" s="166"/>
      <c r="CC122" s="166"/>
      <c r="CD122" s="177"/>
      <c r="CE122" s="181"/>
      <c r="CF122" s="177"/>
      <c r="CG122" s="179"/>
      <c r="CH122" s="257"/>
      <c r="CI122" s="182"/>
      <c r="CJ122" s="177"/>
      <c r="CK122" s="182"/>
      <c r="CL122" s="177"/>
      <c r="CM122" s="182"/>
      <c r="CN122" s="177"/>
      <c r="CO122" s="182"/>
      <c r="CP122" s="177"/>
      <c r="CQ122" s="178"/>
      <c r="CR122" s="182"/>
      <c r="CS122" s="173"/>
      <c r="CT122" s="65"/>
      <c r="CU122" s="255" t="str">
        <f t="shared" si="2"/>
        <v>DPS</v>
      </c>
    </row>
    <row r="123" ht="60.0" customHeight="1">
      <c r="A123" s="65"/>
      <c r="B123" s="65"/>
      <c r="C123" s="167">
        <v>6.0</v>
      </c>
      <c r="D123" s="168" t="s">
        <v>195</v>
      </c>
      <c r="E123" s="169"/>
      <c r="F123" s="170"/>
      <c r="G123" s="170"/>
      <c r="H123" s="170"/>
      <c r="I123" s="207"/>
      <c r="J123" s="170"/>
      <c r="K123" s="171"/>
      <c r="L123" s="171"/>
      <c r="M123" s="171"/>
      <c r="N123" s="276"/>
      <c r="O123" s="256">
        <f t="shared" si="22"/>
        <v>0</v>
      </c>
      <c r="Q123" s="173"/>
      <c r="R123" s="65"/>
      <c r="S123" s="173"/>
      <c r="T123" s="173"/>
      <c r="U123" s="166"/>
      <c r="V123" s="166"/>
      <c r="W123" s="65"/>
      <c r="X123" s="66"/>
      <c r="Y123" s="173"/>
      <c r="Z123" s="166"/>
      <c r="AA123" s="174"/>
      <c r="AB123" s="175"/>
      <c r="AC123" s="175"/>
      <c r="AD123" s="175"/>
      <c r="AE123" s="175"/>
      <c r="AF123" s="175"/>
      <c r="AG123" s="175"/>
      <c r="AH123" s="175"/>
      <c r="AI123" s="176"/>
      <c r="AJ123" s="177"/>
      <c r="AK123" s="178"/>
      <c r="AL123" s="178"/>
      <c r="AM123" s="178"/>
      <c r="AN123" s="178"/>
      <c r="AO123" s="179"/>
      <c r="AP123" s="64"/>
      <c r="AQ123" s="65"/>
      <c r="AR123" s="65"/>
      <c r="AS123" s="65"/>
      <c r="AT123" s="173"/>
      <c r="AU123" s="177"/>
      <c r="AV123" s="178"/>
      <c r="AW123" s="178"/>
      <c r="AX123" s="179"/>
      <c r="AZ123" s="166"/>
      <c r="BA123" s="177"/>
      <c r="BB123" s="178"/>
      <c r="BC123" s="178"/>
      <c r="BD123" s="178"/>
      <c r="BE123" s="178"/>
      <c r="BF123" s="178"/>
      <c r="BG123" s="178"/>
      <c r="BH123" s="178"/>
      <c r="BI123" s="179"/>
      <c r="BJ123" s="180"/>
      <c r="BK123" s="178"/>
      <c r="BL123" s="178"/>
      <c r="BM123" s="178"/>
      <c r="BN123" s="178"/>
      <c r="BO123" s="181"/>
      <c r="BP123" s="166"/>
      <c r="BQ123" s="177"/>
      <c r="BR123" s="178"/>
      <c r="BS123" s="179"/>
      <c r="BU123" s="166"/>
      <c r="BV123" s="166"/>
      <c r="BW123" s="166"/>
      <c r="BX123" s="166"/>
      <c r="BY123" s="166"/>
      <c r="BZ123" s="166"/>
      <c r="CA123" s="166"/>
      <c r="CB123" s="166"/>
      <c r="CC123" s="166"/>
      <c r="CD123" s="177"/>
      <c r="CE123" s="181"/>
      <c r="CF123" s="177"/>
      <c r="CG123" s="179"/>
      <c r="CH123" s="257"/>
      <c r="CI123" s="182"/>
      <c r="CJ123" s="177"/>
      <c r="CK123" s="182"/>
      <c r="CL123" s="177"/>
      <c r="CM123" s="182"/>
      <c r="CN123" s="177"/>
      <c r="CO123" s="182"/>
      <c r="CP123" s="177"/>
      <c r="CQ123" s="178"/>
      <c r="CR123" s="182"/>
      <c r="CS123" s="173"/>
      <c r="CT123" s="65"/>
      <c r="CU123" s="255" t="str">
        <f t="shared" si="2"/>
        <v>DPS</v>
      </c>
    </row>
    <row r="124" ht="60.0" customHeight="1">
      <c r="A124" s="65"/>
      <c r="B124" s="65"/>
      <c r="C124" s="167">
        <v>7.0</v>
      </c>
      <c r="D124" s="168" t="s">
        <v>195</v>
      </c>
      <c r="E124" s="169"/>
      <c r="F124" s="170"/>
      <c r="G124" s="170"/>
      <c r="H124" s="170"/>
      <c r="I124" s="207"/>
      <c r="J124" s="170"/>
      <c r="K124" s="171"/>
      <c r="L124" s="171"/>
      <c r="M124" s="171"/>
      <c r="N124" s="276"/>
      <c r="O124" s="256">
        <f t="shared" ref="O124:O127" si="23">IF(AND(M124&gt;=20,M124&lt;&gt;"m",RIGHT(K124,3)="Lec"),1,IF(AND(M124&gt;=20,M124&lt;&gt;"m",OR(RIGHT(K124,3)="Lab",RIGHT(K124,3)="Tut")),0.5,IF(AND(M124&gt;=20,M124&lt;&gt;"m",RIGHT(K124,2)="TL"),0.75,0)))</f>
        <v>0</v>
      </c>
      <c r="Q124" s="173"/>
      <c r="R124" s="65"/>
      <c r="S124" s="173"/>
      <c r="T124" s="173"/>
      <c r="U124" s="166"/>
      <c r="V124" s="166"/>
      <c r="W124" s="65"/>
      <c r="X124" s="66"/>
      <c r="Y124" s="173"/>
      <c r="Z124" s="166"/>
      <c r="AA124" s="174"/>
      <c r="AB124" s="175"/>
      <c r="AC124" s="175"/>
      <c r="AD124" s="175"/>
      <c r="AE124" s="175"/>
      <c r="AF124" s="175"/>
      <c r="AG124" s="175"/>
      <c r="AH124" s="175"/>
      <c r="AI124" s="176"/>
      <c r="AJ124" s="177"/>
      <c r="AK124" s="178"/>
      <c r="AL124" s="178"/>
      <c r="AM124" s="178"/>
      <c r="AN124" s="178"/>
      <c r="AO124" s="179"/>
      <c r="AP124" s="64"/>
      <c r="AQ124" s="65"/>
      <c r="AR124" s="65"/>
      <c r="AS124" s="65"/>
      <c r="AT124" s="173"/>
      <c r="AU124" s="177"/>
      <c r="AV124" s="178"/>
      <c r="AW124" s="178"/>
      <c r="AX124" s="179"/>
      <c r="AZ124" s="166"/>
      <c r="BA124" s="177"/>
      <c r="BB124" s="178"/>
      <c r="BC124" s="178"/>
      <c r="BD124" s="178"/>
      <c r="BE124" s="178"/>
      <c r="BF124" s="178"/>
      <c r="BG124" s="178"/>
      <c r="BH124" s="178"/>
      <c r="BI124" s="179"/>
      <c r="BJ124" s="180"/>
      <c r="BK124" s="178"/>
      <c r="BL124" s="178"/>
      <c r="BM124" s="178"/>
      <c r="BN124" s="178"/>
      <c r="BO124" s="181"/>
      <c r="BP124" s="166"/>
      <c r="BQ124" s="177"/>
      <c r="BR124" s="178"/>
      <c r="BS124" s="179"/>
      <c r="BU124" s="166"/>
      <c r="BV124" s="166"/>
      <c r="BW124" s="166"/>
      <c r="BX124" s="166"/>
      <c r="BY124" s="166"/>
      <c r="BZ124" s="166"/>
      <c r="CA124" s="166"/>
      <c r="CB124" s="166"/>
      <c r="CC124" s="166"/>
      <c r="CD124" s="177"/>
      <c r="CE124" s="181"/>
      <c r="CF124" s="177"/>
      <c r="CG124" s="179"/>
      <c r="CH124" s="257"/>
      <c r="CI124" s="182"/>
      <c r="CJ124" s="177"/>
      <c r="CK124" s="182"/>
      <c r="CL124" s="177"/>
      <c r="CM124" s="182"/>
      <c r="CN124" s="177"/>
      <c r="CO124" s="182"/>
      <c r="CP124" s="177"/>
      <c r="CQ124" s="178"/>
      <c r="CR124" s="182"/>
      <c r="CS124" s="173"/>
      <c r="CT124" s="65"/>
      <c r="CU124" s="255" t="str">
        <f t="shared" si="2"/>
        <v>DPS</v>
      </c>
    </row>
    <row r="125" ht="60.0" customHeight="1">
      <c r="A125" s="65"/>
      <c r="B125" s="65"/>
      <c r="C125" s="167">
        <v>8.0</v>
      </c>
      <c r="D125" s="168" t="s">
        <v>195</v>
      </c>
      <c r="E125" s="169"/>
      <c r="F125" s="170"/>
      <c r="G125" s="170"/>
      <c r="H125" s="170"/>
      <c r="I125" s="207"/>
      <c r="J125" s="170"/>
      <c r="K125" s="171"/>
      <c r="L125" s="171"/>
      <c r="M125" s="171"/>
      <c r="N125" s="276"/>
      <c r="O125" s="256">
        <f t="shared" si="23"/>
        <v>0</v>
      </c>
      <c r="Q125" s="173"/>
      <c r="R125" s="65"/>
      <c r="S125" s="173"/>
      <c r="T125" s="173"/>
      <c r="U125" s="166"/>
      <c r="V125" s="166"/>
      <c r="W125" s="65"/>
      <c r="X125" s="66"/>
      <c r="Y125" s="173"/>
      <c r="Z125" s="166"/>
      <c r="AA125" s="174"/>
      <c r="AB125" s="175"/>
      <c r="AC125" s="175"/>
      <c r="AD125" s="175"/>
      <c r="AE125" s="175"/>
      <c r="AF125" s="175"/>
      <c r="AG125" s="175"/>
      <c r="AH125" s="175"/>
      <c r="AI125" s="176"/>
      <c r="AJ125" s="177"/>
      <c r="AK125" s="178"/>
      <c r="AL125" s="178"/>
      <c r="AM125" s="178"/>
      <c r="AN125" s="178"/>
      <c r="AO125" s="179"/>
      <c r="AP125" s="64"/>
      <c r="AQ125" s="65"/>
      <c r="AR125" s="65"/>
      <c r="AS125" s="65"/>
      <c r="AT125" s="173"/>
      <c r="AU125" s="177"/>
      <c r="AV125" s="178"/>
      <c r="AW125" s="178"/>
      <c r="AX125" s="179"/>
      <c r="AZ125" s="166"/>
      <c r="BA125" s="177"/>
      <c r="BB125" s="178"/>
      <c r="BC125" s="178"/>
      <c r="BD125" s="178"/>
      <c r="BE125" s="178"/>
      <c r="BF125" s="178"/>
      <c r="BG125" s="178"/>
      <c r="BH125" s="178"/>
      <c r="BI125" s="179"/>
      <c r="BJ125" s="180"/>
      <c r="BK125" s="178"/>
      <c r="BL125" s="178"/>
      <c r="BM125" s="178"/>
      <c r="BN125" s="178"/>
      <c r="BO125" s="181"/>
      <c r="BP125" s="166"/>
      <c r="BQ125" s="177"/>
      <c r="BR125" s="178"/>
      <c r="BS125" s="179"/>
      <c r="BU125" s="166"/>
      <c r="BV125" s="166"/>
      <c r="BW125" s="166"/>
      <c r="BX125" s="166"/>
      <c r="BY125" s="166"/>
      <c r="BZ125" s="166"/>
      <c r="CA125" s="166"/>
      <c r="CB125" s="166"/>
      <c r="CC125" s="166"/>
      <c r="CD125" s="177"/>
      <c r="CE125" s="181"/>
      <c r="CF125" s="177"/>
      <c r="CG125" s="179"/>
      <c r="CH125" s="257"/>
      <c r="CI125" s="182"/>
      <c r="CJ125" s="177"/>
      <c r="CK125" s="182"/>
      <c r="CL125" s="177"/>
      <c r="CM125" s="182"/>
      <c r="CN125" s="177"/>
      <c r="CO125" s="182"/>
      <c r="CP125" s="177"/>
      <c r="CQ125" s="178"/>
      <c r="CR125" s="182"/>
      <c r="CS125" s="173"/>
      <c r="CT125" s="65"/>
      <c r="CU125" s="255" t="str">
        <f t="shared" si="2"/>
        <v>DPS</v>
      </c>
    </row>
    <row r="126" ht="60.0" customHeight="1">
      <c r="A126" s="65"/>
      <c r="B126" s="65"/>
      <c r="C126" s="167">
        <v>9.0</v>
      </c>
      <c r="D126" s="168" t="s">
        <v>195</v>
      </c>
      <c r="E126" s="169"/>
      <c r="F126" s="170"/>
      <c r="G126" s="170"/>
      <c r="H126" s="170"/>
      <c r="I126" s="207"/>
      <c r="J126" s="170"/>
      <c r="K126" s="171"/>
      <c r="L126" s="171"/>
      <c r="M126" s="171"/>
      <c r="N126" s="276"/>
      <c r="O126" s="256">
        <f t="shared" si="23"/>
        <v>0</v>
      </c>
      <c r="Q126" s="173"/>
      <c r="R126" s="65"/>
      <c r="S126" s="173"/>
      <c r="T126" s="173"/>
      <c r="U126" s="166"/>
      <c r="V126" s="166"/>
      <c r="W126" s="65"/>
      <c r="X126" s="66"/>
      <c r="Y126" s="173"/>
      <c r="Z126" s="166"/>
      <c r="AA126" s="174"/>
      <c r="AB126" s="175"/>
      <c r="AC126" s="175"/>
      <c r="AD126" s="175"/>
      <c r="AE126" s="175"/>
      <c r="AF126" s="175"/>
      <c r="AG126" s="175"/>
      <c r="AH126" s="175"/>
      <c r="AI126" s="176"/>
      <c r="AJ126" s="177"/>
      <c r="AK126" s="178"/>
      <c r="AL126" s="178"/>
      <c r="AM126" s="178"/>
      <c r="AN126" s="178"/>
      <c r="AO126" s="179"/>
      <c r="AP126" s="64"/>
      <c r="AQ126" s="65"/>
      <c r="AR126" s="65"/>
      <c r="AS126" s="65"/>
      <c r="AT126" s="173"/>
      <c r="AU126" s="177"/>
      <c r="AV126" s="178"/>
      <c r="AW126" s="178"/>
      <c r="AX126" s="179"/>
      <c r="AZ126" s="166"/>
      <c r="BA126" s="177"/>
      <c r="BB126" s="178"/>
      <c r="BC126" s="178"/>
      <c r="BD126" s="178"/>
      <c r="BE126" s="178"/>
      <c r="BF126" s="178"/>
      <c r="BG126" s="178"/>
      <c r="BH126" s="178"/>
      <c r="BI126" s="179"/>
      <c r="BJ126" s="180"/>
      <c r="BK126" s="178"/>
      <c r="BL126" s="178"/>
      <c r="BM126" s="178"/>
      <c r="BN126" s="178"/>
      <c r="BO126" s="181"/>
      <c r="BP126" s="166"/>
      <c r="BQ126" s="177"/>
      <c r="BR126" s="178"/>
      <c r="BS126" s="179"/>
      <c r="BU126" s="166"/>
      <c r="BV126" s="166"/>
      <c r="BW126" s="166"/>
      <c r="BX126" s="166"/>
      <c r="BY126" s="166"/>
      <c r="BZ126" s="166"/>
      <c r="CA126" s="166"/>
      <c r="CB126" s="166"/>
      <c r="CC126" s="166"/>
      <c r="CD126" s="177"/>
      <c r="CE126" s="181"/>
      <c r="CF126" s="177"/>
      <c r="CG126" s="179"/>
      <c r="CH126" s="257"/>
      <c r="CI126" s="182"/>
      <c r="CJ126" s="177"/>
      <c r="CK126" s="182"/>
      <c r="CL126" s="177"/>
      <c r="CM126" s="182"/>
      <c r="CN126" s="177"/>
      <c r="CO126" s="182"/>
      <c r="CP126" s="177"/>
      <c r="CQ126" s="178"/>
      <c r="CR126" s="182"/>
      <c r="CS126" s="173"/>
      <c r="CT126" s="65"/>
      <c r="CU126" s="255" t="str">
        <f t="shared" si="2"/>
        <v>DPS</v>
      </c>
    </row>
    <row r="127" ht="60.0" customHeight="1">
      <c r="A127" s="65"/>
      <c r="B127" s="65"/>
      <c r="C127" s="167">
        <v>10.0</v>
      </c>
      <c r="D127" s="168" t="s">
        <v>195</v>
      </c>
      <c r="E127" s="169"/>
      <c r="F127" s="170"/>
      <c r="G127" s="170"/>
      <c r="H127" s="170"/>
      <c r="I127" s="207"/>
      <c r="J127" s="170"/>
      <c r="K127" s="171"/>
      <c r="L127" s="171"/>
      <c r="M127" s="171"/>
      <c r="N127" s="276"/>
      <c r="O127" s="256">
        <f t="shared" si="23"/>
        <v>0</v>
      </c>
      <c r="Q127" s="173"/>
      <c r="R127" s="65"/>
      <c r="S127" s="173"/>
      <c r="T127" s="173"/>
      <c r="U127" s="166"/>
      <c r="V127" s="166"/>
      <c r="W127" s="65"/>
      <c r="X127" s="66"/>
      <c r="Y127" s="173"/>
      <c r="Z127" s="166"/>
      <c r="AA127" s="174"/>
      <c r="AB127" s="175"/>
      <c r="AC127" s="175"/>
      <c r="AD127" s="175"/>
      <c r="AE127" s="175"/>
      <c r="AF127" s="175"/>
      <c r="AG127" s="175"/>
      <c r="AH127" s="175"/>
      <c r="AI127" s="176"/>
      <c r="AJ127" s="177"/>
      <c r="AK127" s="178"/>
      <c r="AL127" s="178"/>
      <c r="AM127" s="178"/>
      <c r="AN127" s="178"/>
      <c r="AO127" s="179"/>
      <c r="AP127" s="64"/>
      <c r="AQ127" s="65"/>
      <c r="AR127" s="65"/>
      <c r="AS127" s="65"/>
      <c r="AT127" s="173"/>
      <c r="AU127" s="177"/>
      <c r="AV127" s="178"/>
      <c r="AW127" s="178"/>
      <c r="AX127" s="179"/>
      <c r="AZ127" s="166"/>
      <c r="BA127" s="177"/>
      <c r="BB127" s="178"/>
      <c r="BC127" s="178"/>
      <c r="BD127" s="178"/>
      <c r="BE127" s="178"/>
      <c r="BF127" s="178"/>
      <c r="BG127" s="178"/>
      <c r="BH127" s="178"/>
      <c r="BI127" s="179"/>
      <c r="BJ127" s="180"/>
      <c r="BK127" s="178"/>
      <c r="BL127" s="178"/>
      <c r="BM127" s="178"/>
      <c r="BN127" s="178"/>
      <c r="BO127" s="181"/>
      <c r="BP127" s="166"/>
      <c r="BQ127" s="177"/>
      <c r="BR127" s="178"/>
      <c r="BS127" s="179"/>
      <c r="BU127" s="166"/>
      <c r="BV127" s="166"/>
      <c r="BW127" s="166"/>
      <c r="BX127" s="166"/>
      <c r="BY127" s="166"/>
      <c r="BZ127" s="166"/>
      <c r="CA127" s="166"/>
      <c r="CB127" s="166"/>
      <c r="CC127" s="166"/>
      <c r="CD127" s="177"/>
      <c r="CE127" s="181"/>
      <c r="CF127" s="177"/>
      <c r="CG127" s="179"/>
      <c r="CH127" s="257"/>
      <c r="CI127" s="182"/>
      <c r="CJ127" s="177"/>
      <c r="CK127" s="182"/>
      <c r="CL127" s="177"/>
      <c r="CM127" s="182"/>
      <c r="CN127" s="177"/>
      <c r="CO127" s="182"/>
      <c r="CP127" s="177"/>
      <c r="CQ127" s="178"/>
      <c r="CR127" s="182"/>
      <c r="CS127" s="173"/>
      <c r="CT127" s="65"/>
      <c r="CU127" s="255" t="str">
        <f t="shared" si="2"/>
        <v>DPS</v>
      </c>
    </row>
    <row r="128" ht="60.0" customHeight="1">
      <c r="A128" s="89"/>
      <c r="B128" s="89"/>
      <c r="C128" s="183">
        <v>11.0</v>
      </c>
      <c r="D128" s="210" t="s">
        <v>195</v>
      </c>
      <c r="E128" s="185"/>
      <c r="F128" s="186"/>
      <c r="G128" s="186"/>
      <c r="H128" s="186"/>
      <c r="I128" s="212"/>
      <c r="J128" s="186"/>
      <c r="K128" s="187"/>
      <c r="L128" s="187"/>
      <c r="M128" s="187"/>
      <c r="N128" s="214"/>
      <c r="O128" s="258">
        <f t="shared" ref="O128:O134" si="24">IF(AND(M128&lt;&gt;0,M128&lt;&gt;"m",M128&lt;&gt;"",RIGHT(K128,3)="Lec"),1,IF(AND(M128&lt;&gt;0,M128&lt;&gt;"m",M128&lt;&gt;"",OR(RIGHT(K128,3)="Lab",RIGHT(K128,3)="Tut")),0.5,IF(AND(M128&lt;&gt;0,M128&lt;&gt;"m",M128&lt;&gt;"",RIGHT(K128,2)="TL"),0.75,0)))</f>
        <v>0</v>
      </c>
      <c r="P128" s="6"/>
      <c r="Q128" s="69"/>
      <c r="R128" s="89"/>
      <c r="S128" s="69"/>
      <c r="T128" s="69"/>
      <c r="U128" s="63"/>
      <c r="V128" s="63"/>
      <c r="W128" s="89"/>
      <c r="X128" s="68"/>
      <c r="Y128" s="69"/>
      <c r="Z128" s="63"/>
      <c r="AA128" s="189"/>
      <c r="AB128" s="190"/>
      <c r="AC128" s="190"/>
      <c r="AD128" s="190"/>
      <c r="AE128" s="190"/>
      <c r="AF128" s="190"/>
      <c r="AG128" s="190"/>
      <c r="AH128" s="190"/>
      <c r="AI128" s="191"/>
      <c r="AJ128" s="192"/>
      <c r="AK128" s="193"/>
      <c r="AL128" s="193"/>
      <c r="AM128" s="193"/>
      <c r="AN128" s="193"/>
      <c r="AO128" s="194"/>
      <c r="AP128" s="103"/>
      <c r="AQ128" s="89"/>
      <c r="AR128" s="89"/>
      <c r="AS128" s="89"/>
      <c r="AT128" s="69"/>
      <c r="AU128" s="192"/>
      <c r="AV128" s="193"/>
      <c r="AW128" s="193"/>
      <c r="AX128" s="194"/>
      <c r="AY128" s="6"/>
      <c r="AZ128" s="63"/>
      <c r="BA128" s="192"/>
      <c r="BB128" s="193"/>
      <c r="BC128" s="193"/>
      <c r="BD128" s="193"/>
      <c r="BE128" s="193"/>
      <c r="BF128" s="193"/>
      <c r="BG128" s="193"/>
      <c r="BH128" s="193"/>
      <c r="BI128" s="194"/>
      <c r="BJ128" s="195"/>
      <c r="BK128" s="193"/>
      <c r="BL128" s="193"/>
      <c r="BM128" s="193"/>
      <c r="BN128" s="193"/>
      <c r="BO128" s="196"/>
      <c r="BP128" s="63"/>
      <c r="BQ128" s="192"/>
      <c r="BR128" s="193"/>
      <c r="BS128" s="194"/>
      <c r="BT128" s="6"/>
      <c r="BU128" s="63"/>
      <c r="BV128" s="63"/>
      <c r="BW128" s="63"/>
      <c r="BX128" s="63"/>
      <c r="BY128" s="63"/>
      <c r="BZ128" s="63"/>
      <c r="CA128" s="63"/>
      <c r="CB128" s="63"/>
      <c r="CC128" s="63"/>
      <c r="CD128" s="192"/>
      <c r="CE128" s="196"/>
      <c r="CF128" s="192"/>
      <c r="CG128" s="194"/>
      <c r="CH128" s="259"/>
      <c r="CI128" s="197"/>
      <c r="CJ128" s="192"/>
      <c r="CK128" s="197"/>
      <c r="CL128" s="192"/>
      <c r="CM128" s="197"/>
      <c r="CN128" s="192"/>
      <c r="CO128" s="197"/>
      <c r="CP128" s="192"/>
      <c r="CQ128" s="193"/>
      <c r="CR128" s="197"/>
      <c r="CS128" s="69"/>
      <c r="CT128" s="89"/>
      <c r="CU128" s="255" t="str">
        <f t="shared" si="2"/>
        <v>DPS</v>
      </c>
    </row>
    <row r="129" ht="55.5" customHeight="1">
      <c r="A129" s="125">
        <v>12.0</v>
      </c>
      <c r="B129" s="274" t="s">
        <v>196</v>
      </c>
      <c r="C129" s="127">
        <v>1.0</v>
      </c>
      <c r="D129" s="168" t="s">
        <v>197</v>
      </c>
      <c r="E129" s="129"/>
      <c r="F129" s="130"/>
      <c r="G129" s="130"/>
      <c r="H129" s="130"/>
      <c r="I129" s="201"/>
      <c r="J129" s="130"/>
      <c r="K129" s="131"/>
      <c r="L129" s="131"/>
      <c r="M129" s="131"/>
      <c r="N129" s="275"/>
      <c r="O129" s="250">
        <f t="shared" si="24"/>
        <v>0</v>
      </c>
      <c r="P129" s="251">
        <f>COUNTIF(K129:K139,"TL")*0.75+COUNTIF(K129:K139,"Lec")*1+COUNTIF(K129:K139,"Lab")*0.5</f>
        <v>0</v>
      </c>
      <c r="Q129" s="134">
        <f>SUM((IF(LEFT(K129,1)="E",O129,0)),(IF(LEFT(K130,1)="E",O130,0)),(IF(LEFT(K131,1)="E",O131,0)),(IF(LEFT(K132,1)="E",O132,0)),(IF(LEFT(K133,1)="E",O133,0)),(IF(LEFT(K134,1)="E",O134,0)),(IF(LEFT(K135,1)="E",O135,0)),(IF(LEFT(K136,1)="E",O136,0)),(IF(LEFT(K137,1)="E",O137,0)),(IF(LEFT(K138,1)="E",O138,0)),(IF(LEFT(K139,1)="E",O139,0)))</f>
        <v>0</v>
      </c>
      <c r="R129" s="135">
        <f>SUM(IF(M135&lt;20,IF(K135="Plec",-1,IF(K135="PTL",-0.75,IF(K135="Plab",-0.5,0))),0),IF(M136&lt;20,IF(K136="Plec",-1,IF(K136="PTL",-0.75,IF(K136="Plab",-0.5,0))),0),IF(M137&lt;20,IF(K137="Plec",-1,IF(K137="PTL",-0.75,IF(K137="Plab",-0.5,0))),0),IF(M138&lt;20,IF(K138="Plec",-1,IF(K138="PTL",-0.75,IF(K138="Plab",-0.5,0))),0))</f>
        <v>0</v>
      </c>
      <c r="S129" s="134">
        <f>SUM(P129:R139)</f>
        <v>0</v>
      </c>
      <c r="T129" s="136">
        <f>SUM(IF(M129="M",IF(OR(K129="lec",K129="plec",K129="slec"),1,IF(OR(K129="lab",K129="plab",K129="slab",K129="tut",K129="ptut",K129="stut"),0.5,IF(OR(K129="TL",K129="pTL",K129="STL"),0.75,0))),0),IF(M130="M",IF(OR(K130="lec",K130="plec",K130="slec"),1,IF(OR(K130="lab",K130="plab",K130="slab",K130="tut",K130="ptut",K130="stut"),0.5,IF(OR(K130="TL",K130="pTL",K130="STL"),0.75,0))),0),IF(M131="M",IF(OR(K131="lec",K131="plec",K131="slec"),1,IF(OR(K131="lab",K131="plab",K131="slab",K131="tut",K131="ptut",K131="stut"),0.5,IF(OR(K131="TL",K131="pTL",K131="STL"),0.75,0))),0),IF(M132="M",IF(OR(K132="lec",K132="plec",K132="slec"),1,IF(OR(K132="lab",K132="plab",K132="slab",K132="tut",K132="ptut",K132="stut"),0.5,IF(OR(K132="TL",K132="pTL",K132="STL"),0.75,0))),0),IF(M133="M",IF(OR(K133="lec",K133="plec",K133="slec"),1,IF(OR(K133="lab",K133="plab",K133="slab",K133="tut",K133="ptut",K133="stut"),0.5,IF(OR(K133="TL",K133="pTL",K133="STL"),0.75,0))),0),IF(M134="M",IF(OR(K134="lec",K134="plec",K134="slec"),1,IF(OR(K134="lab",K134="plab",K134="slab",K134="tut",K134="ptut",K134="stut"),0.5,IF(OR(K134="TL",K134="pTL",K134="STL"),0.75,0))),0),IF(M135="M",IF(OR(K135="lec",K135="plec",K135="slec"),1,IF(OR(K135="lab",K135="plab",K135="slab",K135="tut",K135="ptut",K135="stut"),0.5,IF(OR(K135="TL",K135="pTL",K135="STL"),0.75,0))),0),IF(M136="M",IF(OR(K136="lec",K136="plec",K136="slec"),1,IF(OR(K136="lab",K136="plab",K136="slab",K136="tut",K136="ptut",K136="stut"),0.5,IF(OR(K136="TL",K136="pTL",K136="STL"),0.75,0))),0),IF(M137="M",IF(OR(K137="lec",K137="plec",K137="slec"),1,IF(OR(K137="lab",K137="plab",K137="slab",K137="tut",K137="ptut",K137="stut"),0.5,IF(OR(K137="TL",K137="pTL",K137="STL"),0.75,0))),0),IF(M138="M",IF(OR(K138="lec",K138="plec",K138="slec"),1,IF(OR(K138="lab",K138="plab",K138="slab",K138="tut",K138="ptut",K138="stut"),0.5,IF(OR(K138="TL",K138="pTL",K138="STL"),0.75,0))),0),IF(M139="M",IF(OR(K139="lec",K139="plec",K139="slec"),1,IF(OR(K139="lab",K139="plab",K139="slab",K139="tut",K139="ptut",K139="stut"),0.5,IF(OR(K139="TL",K139="pTL",K139="STL"),0.75,0))),0))</f>
        <v>0</v>
      </c>
      <c r="U129" s="137"/>
      <c r="V129" s="133"/>
      <c r="W129" s="138"/>
      <c r="X129" s="139">
        <f>S129-(T129+U129+V129+W129)</f>
        <v>0</v>
      </c>
      <c r="Y129" s="134" t="str">
        <f>CONCATENATE(SUM(O129:O139),"(",SUM(O129:O139)-X129,")")</f>
        <v>0(0)</v>
      </c>
      <c r="Z129" s="140"/>
      <c r="AA129" s="141"/>
      <c r="AB129" s="142"/>
      <c r="AC129" s="142"/>
      <c r="AD129" s="142"/>
      <c r="AE129" s="142"/>
      <c r="AF129" s="142"/>
      <c r="AG129" s="142"/>
      <c r="AH129" s="142"/>
      <c r="AI129" s="143"/>
      <c r="AJ129" s="144"/>
      <c r="AK129" s="145"/>
      <c r="AL129" s="145"/>
      <c r="AM129" s="145"/>
      <c r="AN129" s="145"/>
      <c r="AO129" s="146"/>
      <c r="AP129" s="147">
        <f>SUM(SUM(O129:O139),SUM(AI129:AI139)/2,AM129)</f>
        <v>0</v>
      </c>
      <c r="AQ129" s="148"/>
      <c r="AR129" s="148">
        <f>AP129*AQ129</f>
        <v>0</v>
      </c>
      <c r="AS129" s="148">
        <f>CT129</f>
        <v>0</v>
      </c>
      <c r="AT129" s="149">
        <f>AR129*0.75+AS129*0.25</f>
        <v>0</v>
      </c>
      <c r="AU129" s="150"/>
      <c r="AV129" s="151"/>
      <c r="AW129" s="151"/>
      <c r="AX129" s="152"/>
      <c r="AY129" s="153"/>
      <c r="AZ129" s="140"/>
      <c r="BA129" s="150"/>
      <c r="BB129" s="151"/>
      <c r="BC129" s="151"/>
      <c r="BD129" s="151"/>
      <c r="BE129" s="151"/>
      <c r="BF129" s="151"/>
      <c r="BG129" s="151"/>
      <c r="BH129" s="151"/>
      <c r="BI129" s="152"/>
      <c r="BJ129" s="154"/>
      <c r="BK129" s="151"/>
      <c r="BL129" s="151"/>
      <c r="BM129" s="151"/>
      <c r="BN129" s="151"/>
      <c r="BO129" s="155"/>
      <c r="BP129" s="140"/>
      <c r="BQ129" s="156"/>
      <c r="BR129" s="157"/>
      <c r="BS129" s="158"/>
      <c r="BT129" s="153"/>
      <c r="BU129" s="140"/>
      <c r="BV129" s="140"/>
      <c r="BW129" s="140"/>
      <c r="BX129" s="140"/>
      <c r="BY129" s="140"/>
      <c r="BZ129" s="140"/>
      <c r="CA129" s="140"/>
      <c r="CB129" s="140"/>
      <c r="CC129" s="140"/>
      <c r="CD129" s="150"/>
      <c r="CE129" s="155"/>
      <c r="CF129" s="150"/>
      <c r="CG129" s="152"/>
      <c r="CH129" s="252"/>
      <c r="CI129" s="160"/>
      <c r="CJ129" s="159"/>
      <c r="CK129" s="160"/>
      <c r="CL129" s="159"/>
      <c r="CM129" s="160"/>
      <c r="CN129" s="159"/>
      <c r="CO129" s="160"/>
      <c r="CP129" s="159"/>
      <c r="CQ129" s="162"/>
      <c r="CR129" s="160"/>
      <c r="CS129" s="253">
        <f>SUM(IF(AU129&lt;0,ABS(AU129),0),IF(AZ129&lt;0,ABS(AZ129),0),ABS(CI129),ABS(CK129),ABS(CM129),ABS(CO129),ABS(CQ129),ABS(CR129))</f>
        <v>0</v>
      </c>
      <c r="CT129" s="254">
        <f>SUM(AU129,AV129,AW129,AX129/400,AY129,AZ129,BG129,BH129*0.5,BI129*0.25,BJ129,BK129,BL129,BM129,BN129,BO129,BP129,BR129/20,BS129/100,BT129/60,BU129,BV129,BW129,BX129/4,SUM(BY129:CC139)/3,CE129,CG129/3,CI129,CK129,CM129,CO129,CQ129,CR129)</f>
        <v>0</v>
      </c>
      <c r="CU129" s="255" t="str">
        <f t="shared" si="2"/>
        <v>MSS</v>
      </c>
    </row>
    <row r="130" ht="60.0" customHeight="1">
      <c r="A130" s="65"/>
      <c r="B130" s="65"/>
      <c r="C130" s="167">
        <v>2.0</v>
      </c>
      <c r="D130" s="168" t="s">
        <v>197</v>
      </c>
      <c r="E130" s="169"/>
      <c r="F130" s="170"/>
      <c r="G130" s="170"/>
      <c r="H130" s="170"/>
      <c r="I130" s="207"/>
      <c r="J130" s="170"/>
      <c r="K130" s="171"/>
      <c r="L130" s="171"/>
      <c r="M130" s="171"/>
      <c r="N130" s="276"/>
      <c r="O130" s="256">
        <f t="shared" si="24"/>
        <v>0</v>
      </c>
      <c r="Q130" s="173"/>
      <c r="R130" s="65"/>
      <c r="S130" s="173"/>
      <c r="T130" s="173"/>
      <c r="U130" s="166"/>
      <c r="V130" s="166"/>
      <c r="W130" s="65"/>
      <c r="X130" s="66"/>
      <c r="Y130" s="173"/>
      <c r="Z130" s="166"/>
      <c r="AA130" s="174"/>
      <c r="AB130" s="175"/>
      <c r="AC130" s="175"/>
      <c r="AD130" s="175"/>
      <c r="AE130" s="175"/>
      <c r="AF130" s="175"/>
      <c r="AG130" s="175"/>
      <c r="AH130" s="175"/>
      <c r="AI130" s="176"/>
      <c r="AJ130" s="177"/>
      <c r="AK130" s="178"/>
      <c r="AL130" s="178"/>
      <c r="AM130" s="178"/>
      <c r="AN130" s="178"/>
      <c r="AO130" s="179"/>
      <c r="AP130" s="64"/>
      <c r="AQ130" s="65"/>
      <c r="AR130" s="65"/>
      <c r="AS130" s="65"/>
      <c r="AT130" s="173"/>
      <c r="AU130" s="177"/>
      <c r="AV130" s="178"/>
      <c r="AW130" s="178"/>
      <c r="AX130" s="179"/>
      <c r="AZ130" s="166"/>
      <c r="BA130" s="177"/>
      <c r="BB130" s="178"/>
      <c r="BC130" s="178"/>
      <c r="BD130" s="178"/>
      <c r="BE130" s="178"/>
      <c r="BF130" s="178"/>
      <c r="BG130" s="178"/>
      <c r="BH130" s="178"/>
      <c r="BI130" s="179"/>
      <c r="BJ130" s="180"/>
      <c r="BK130" s="178"/>
      <c r="BL130" s="178"/>
      <c r="BM130" s="178"/>
      <c r="BN130" s="178"/>
      <c r="BO130" s="181"/>
      <c r="BP130" s="166"/>
      <c r="BQ130" s="177"/>
      <c r="BR130" s="178"/>
      <c r="BS130" s="179"/>
      <c r="BU130" s="166"/>
      <c r="BV130" s="166"/>
      <c r="BW130" s="166"/>
      <c r="BX130" s="166"/>
      <c r="BY130" s="166"/>
      <c r="BZ130" s="166"/>
      <c r="CA130" s="166"/>
      <c r="CB130" s="166"/>
      <c r="CC130" s="166"/>
      <c r="CD130" s="177"/>
      <c r="CE130" s="181"/>
      <c r="CF130" s="177"/>
      <c r="CG130" s="179"/>
      <c r="CH130" s="257"/>
      <c r="CI130" s="182"/>
      <c r="CJ130" s="177"/>
      <c r="CK130" s="182"/>
      <c r="CL130" s="177"/>
      <c r="CM130" s="182"/>
      <c r="CN130" s="177"/>
      <c r="CO130" s="182"/>
      <c r="CP130" s="177"/>
      <c r="CQ130" s="178"/>
      <c r="CR130" s="182"/>
      <c r="CS130" s="173"/>
      <c r="CT130" s="65"/>
      <c r="CU130" s="255" t="str">
        <f t="shared" si="2"/>
        <v>MSS</v>
      </c>
    </row>
    <row r="131" ht="60.0" customHeight="1">
      <c r="A131" s="65"/>
      <c r="B131" s="65"/>
      <c r="C131" s="167">
        <v>3.0</v>
      </c>
      <c r="D131" s="168" t="s">
        <v>197</v>
      </c>
      <c r="E131" s="169"/>
      <c r="F131" s="170"/>
      <c r="G131" s="170"/>
      <c r="H131" s="170"/>
      <c r="I131" s="207"/>
      <c r="J131" s="170"/>
      <c r="K131" s="171"/>
      <c r="L131" s="171"/>
      <c r="M131" s="171"/>
      <c r="N131" s="276"/>
      <c r="O131" s="256">
        <f t="shared" si="24"/>
        <v>0</v>
      </c>
      <c r="Q131" s="173"/>
      <c r="R131" s="65"/>
      <c r="S131" s="173"/>
      <c r="T131" s="173"/>
      <c r="U131" s="166"/>
      <c r="V131" s="166"/>
      <c r="W131" s="65"/>
      <c r="X131" s="66"/>
      <c r="Y131" s="173"/>
      <c r="Z131" s="166"/>
      <c r="AA131" s="174"/>
      <c r="AB131" s="175"/>
      <c r="AC131" s="175"/>
      <c r="AD131" s="175"/>
      <c r="AE131" s="175"/>
      <c r="AF131" s="175"/>
      <c r="AG131" s="175"/>
      <c r="AH131" s="175"/>
      <c r="AI131" s="176"/>
      <c r="AJ131" s="177"/>
      <c r="AK131" s="178"/>
      <c r="AL131" s="178"/>
      <c r="AM131" s="178"/>
      <c r="AN131" s="178"/>
      <c r="AO131" s="179"/>
      <c r="AP131" s="64"/>
      <c r="AQ131" s="65"/>
      <c r="AR131" s="65"/>
      <c r="AS131" s="65"/>
      <c r="AT131" s="173"/>
      <c r="AU131" s="177"/>
      <c r="AV131" s="178"/>
      <c r="AW131" s="178"/>
      <c r="AX131" s="179"/>
      <c r="AZ131" s="166"/>
      <c r="BA131" s="177"/>
      <c r="BB131" s="178"/>
      <c r="BC131" s="178"/>
      <c r="BD131" s="178"/>
      <c r="BE131" s="178"/>
      <c r="BF131" s="178"/>
      <c r="BG131" s="178"/>
      <c r="BH131" s="178"/>
      <c r="BI131" s="179"/>
      <c r="BJ131" s="180"/>
      <c r="BK131" s="178"/>
      <c r="BL131" s="178"/>
      <c r="BM131" s="178"/>
      <c r="BN131" s="178"/>
      <c r="BO131" s="181"/>
      <c r="BP131" s="166"/>
      <c r="BQ131" s="177"/>
      <c r="BR131" s="178"/>
      <c r="BS131" s="179"/>
      <c r="BU131" s="166"/>
      <c r="BV131" s="166"/>
      <c r="BW131" s="166"/>
      <c r="BX131" s="166"/>
      <c r="BY131" s="166"/>
      <c r="BZ131" s="166"/>
      <c r="CA131" s="166"/>
      <c r="CB131" s="166"/>
      <c r="CC131" s="166"/>
      <c r="CD131" s="177"/>
      <c r="CE131" s="181"/>
      <c r="CF131" s="177"/>
      <c r="CG131" s="179"/>
      <c r="CH131" s="257"/>
      <c r="CI131" s="182"/>
      <c r="CJ131" s="177"/>
      <c r="CK131" s="182"/>
      <c r="CL131" s="177"/>
      <c r="CM131" s="182"/>
      <c r="CN131" s="177"/>
      <c r="CO131" s="182"/>
      <c r="CP131" s="177"/>
      <c r="CQ131" s="178"/>
      <c r="CR131" s="182"/>
      <c r="CS131" s="173"/>
      <c r="CT131" s="65"/>
      <c r="CU131" s="255" t="str">
        <f t="shared" si="2"/>
        <v>MSS</v>
      </c>
    </row>
    <row r="132" ht="60.0" customHeight="1">
      <c r="A132" s="65"/>
      <c r="B132" s="65"/>
      <c r="C132" s="167">
        <v>4.0</v>
      </c>
      <c r="D132" s="168" t="s">
        <v>197</v>
      </c>
      <c r="E132" s="169"/>
      <c r="F132" s="170"/>
      <c r="G132" s="170"/>
      <c r="H132" s="170"/>
      <c r="I132" s="207"/>
      <c r="J132" s="170"/>
      <c r="K132" s="171"/>
      <c r="L132" s="171"/>
      <c r="M132" s="171"/>
      <c r="N132" s="276"/>
      <c r="O132" s="256">
        <f t="shared" si="24"/>
        <v>0</v>
      </c>
      <c r="Q132" s="173"/>
      <c r="R132" s="65"/>
      <c r="S132" s="173"/>
      <c r="T132" s="173"/>
      <c r="U132" s="166"/>
      <c r="V132" s="166"/>
      <c r="W132" s="65"/>
      <c r="X132" s="66"/>
      <c r="Y132" s="173"/>
      <c r="Z132" s="166"/>
      <c r="AA132" s="174"/>
      <c r="AB132" s="175"/>
      <c r="AC132" s="175"/>
      <c r="AD132" s="175"/>
      <c r="AE132" s="175"/>
      <c r="AF132" s="175"/>
      <c r="AG132" s="175"/>
      <c r="AH132" s="175"/>
      <c r="AI132" s="176"/>
      <c r="AJ132" s="177"/>
      <c r="AK132" s="178"/>
      <c r="AL132" s="178"/>
      <c r="AM132" s="178"/>
      <c r="AN132" s="178"/>
      <c r="AO132" s="179"/>
      <c r="AP132" s="64"/>
      <c r="AQ132" s="65"/>
      <c r="AR132" s="65"/>
      <c r="AS132" s="65"/>
      <c r="AT132" s="173"/>
      <c r="AU132" s="177"/>
      <c r="AV132" s="178"/>
      <c r="AW132" s="178"/>
      <c r="AX132" s="179"/>
      <c r="AZ132" s="166"/>
      <c r="BA132" s="177"/>
      <c r="BB132" s="178"/>
      <c r="BC132" s="178"/>
      <c r="BD132" s="178"/>
      <c r="BE132" s="178"/>
      <c r="BF132" s="178"/>
      <c r="BG132" s="178"/>
      <c r="BH132" s="178"/>
      <c r="BI132" s="179"/>
      <c r="BJ132" s="180"/>
      <c r="BK132" s="178"/>
      <c r="BL132" s="178"/>
      <c r="BM132" s="178"/>
      <c r="BN132" s="178"/>
      <c r="BO132" s="181"/>
      <c r="BP132" s="166"/>
      <c r="BQ132" s="177"/>
      <c r="BR132" s="178"/>
      <c r="BS132" s="179"/>
      <c r="BU132" s="166"/>
      <c r="BV132" s="166"/>
      <c r="BW132" s="166"/>
      <c r="BX132" s="166"/>
      <c r="BY132" s="166"/>
      <c r="BZ132" s="166"/>
      <c r="CA132" s="166"/>
      <c r="CB132" s="166"/>
      <c r="CC132" s="166"/>
      <c r="CD132" s="177"/>
      <c r="CE132" s="181"/>
      <c r="CF132" s="177"/>
      <c r="CG132" s="179"/>
      <c r="CH132" s="257"/>
      <c r="CI132" s="182"/>
      <c r="CJ132" s="177"/>
      <c r="CK132" s="182"/>
      <c r="CL132" s="177"/>
      <c r="CM132" s="182"/>
      <c r="CN132" s="177"/>
      <c r="CO132" s="182"/>
      <c r="CP132" s="177"/>
      <c r="CQ132" s="178"/>
      <c r="CR132" s="182"/>
      <c r="CS132" s="173"/>
      <c r="CT132" s="65"/>
      <c r="CU132" s="255" t="str">
        <f t="shared" si="2"/>
        <v>MSS</v>
      </c>
    </row>
    <row r="133" ht="60.0" customHeight="1">
      <c r="A133" s="65"/>
      <c r="B133" s="65"/>
      <c r="C133" s="167">
        <v>5.0</v>
      </c>
      <c r="D133" s="168" t="s">
        <v>197</v>
      </c>
      <c r="E133" s="169"/>
      <c r="F133" s="170"/>
      <c r="G133" s="170"/>
      <c r="H133" s="170"/>
      <c r="I133" s="207"/>
      <c r="J133" s="170"/>
      <c r="K133" s="171"/>
      <c r="L133" s="171"/>
      <c r="M133" s="171"/>
      <c r="N133" s="276"/>
      <c r="O133" s="256">
        <f t="shared" si="24"/>
        <v>0</v>
      </c>
      <c r="Q133" s="173"/>
      <c r="R133" s="65"/>
      <c r="S133" s="173"/>
      <c r="T133" s="173"/>
      <c r="U133" s="166"/>
      <c r="V133" s="166"/>
      <c r="W133" s="65"/>
      <c r="X133" s="66"/>
      <c r="Y133" s="173"/>
      <c r="Z133" s="166"/>
      <c r="AA133" s="174"/>
      <c r="AB133" s="175"/>
      <c r="AC133" s="175"/>
      <c r="AD133" s="175"/>
      <c r="AE133" s="175"/>
      <c r="AF133" s="175"/>
      <c r="AG133" s="175"/>
      <c r="AH133" s="175"/>
      <c r="AI133" s="176"/>
      <c r="AJ133" s="177"/>
      <c r="AK133" s="178"/>
      <c r="AL133" s="178"/>
      <c r="AM133" s="178"/>
      <c r="AN133" s="178"/>
      <c r="AO133" s="179"/>
      <c r="AP133" s="64"/>
      <c r="AQ133" s="65"/>
      <c r="AR133" s="65"/>
      <c r="AS133" s="65"/>
      <c r="AT133" s="173"/>
      <c r="AU133" s="177"/>
      <c r="AV133" s="178"/>
      <c r="AW133" s="178"/>
      <c r="AX133" s="179"/>
      <c r="AZ133" s="166"/>
      <c r="BA133" s="177"/>
      <c r="BB133" s="178"/>
      <c r="BC133" s="178"/>
      <c r="BD133" s="178"/>
      <c r="BE133" s="178"/>
      <c r="BF133" s="178"/>
      <c r="BG133" s="178"/>
      <c r="BH133" s="178"/>
      <c r="BI133" s="179"/>
      <c r="BJ133" s="180"/>
      <c r="BK133" s="178"/>
      <c r="BL133" s="178"/>
      <c r="BM133" s="178"/>
      <c r="BN133" s="178"/>
      <c r="BO133" s="181"/>
      <c r="BP133" s="166"/>
      <c r="BQ133" s="177"/>
      <c r="BR133" s="178"/>
      <c r="BS133" s="179"/>
      <c r="BU133" s="166"/>
      <c r="BV133" s="166"/>
      <c r="BW133" s="166"/>
      <c r="BX133" s="166"/>
      <c r="BY133" s="166"/>
      <c r="BZ133" s="166"/>
      <c r="CA133" s="166"/>
      <c r="CB133" s="166"/>
      <c r="CC133" s="166"/>
      <c r="CD133" s="177"/>
      <c r="CE133" s="181"/>
      <c r="CF133" s="177"/>
      <c r="CG133" s="179"/>
      <c r="CH133" s="257"/>
      <c r="CI133" s="182"/>
      <c r="CJ133" s="177"/>
      <c r="CK133" s="182"/>
      <c r="CL133" s="177"/>
      <c r="CM133" s="182"/>
      <c r="CN133" s="177"/>
      <c r="CO133" s="182"/>
      <c r="CP133" s="177"/>
      <c r="CQ133" s="178"/>
      <c r="CR133" s="182"/>
      <c r="CS133" s="173"/>
      <c r="CT133" s="65"/>
      <c r="CU133" s="255" t="str">
        <f t="shared" si="2"/>
        <v>MSS</v>
      </c>
    </row>
    <row r="134" ht="60.0" customHeight="1">
      <c r="A134" s="65"/>
      <c r="B134" s="65"/>
      <c r="C134" s="167">
        <v>6.0</v>
      </c>
      <c r="D134" s="168" t="s">
        <v>197</v>
      </c>
      <c r="E134" s="169"/>
      <c r="F134" s="170"/>
      <c r="G134" s="170"/>
      <c r="H134" s="170"/>
      <c r="I134" s="207"/>
      <c r="J134" s="170"/>
      <c r="K134" s="171"/>
      <c r="L134" s="171"/>
      <c r="M134" s="171"/>
      <c r="N134" s="276"/>
      <c r="O134" s="256">
        <f t="shared" si="24"/>
        <v>0</v>
      </c>
      <c r="Q134" s="173"/>
      <c r="R134" s="65"/>
      <c r="S134" s="173"/>
      <c r="T134" s="173"/>
      <c r="U134" s="166"/>
      <c r="V134" s="166"/>
      <c r="W134" s="65"/>
      <c r="X134" s="66"/>
      <c r="Y134" s="173"/>
      <c r="Z134" s="166"/>
      <c r="AA134" s="174"/>
      <c r="AB134" s="175"/>
      <c r="AC134" s="175"/>
      <c r="AD134" s="175"/>
      <c r="AE134" s="175"/>
      <c r="AF134" s="175"/>
      <c r="AG134" s="175"/>
      <c r="AH134" s="175"/>
      <c r="AI134" s="176"/>
      <c r="AJ134" s="177"/>
      <c r="AK134" s="178"/>
      <c r="AL134" s="178"/>
      <c r="AM134" s="178"/>
      <c r="AN134" s="178"/>
      <c r="AO134" s="179"/>
      <c r="AP134" s="64"/>
      <c r="AQ134" s="65"/>
      <c r="AR134" s="65"/>
      <c r="AS134" s="65"/>
      <c r="AT134" s="173"/>
      <c r="AU134" s="177"/>
      <c r="AV134" s="178"/>
      <c r="AW134" s="178"/>
      <c r="AX134" s="179"/>
      <c r="AZ134" s="166"/>
      <c r="BA134" s="177"/>
      <c r="BB134" s="178"/>
      <c r="BC134" s="178"/>
      <c r="BD134" s="178"/>
      <c r="BE134" s="178"/>
      <c r="BF134" s="178"/>
      <c r="BG134" s="178"/>
      <c r="BH134" s="178"/>
      <c r="BI134" s="179"/>
      <c r="BJ134" s="180"/>
      <c r="BK134" s="178"/>
      <c r="BL134" s="178"/>
      <c r="BM134" s="178"/>
      <c r="BN134" s="178"/>
      <c r="BO134" s="181"/>
      <c r="BP134" s="166"/>
      <c r="BQ134" s="177"/>
      <c r="BR134" s="178"/>
      <c r="BS134" s="179"/>
      <c r="BU134" s="166"/>
      <c r="BV134" s="166"/>
      <c r="BW134" s="166"/>
      <c r="BX134" s="166"/>
      <c r="BY134" s="166"/>
      <c r="BZ134" s="166"/>
      <c r="CA134" s="166"/>
      <c r="CB134" s="166"/>
      <c r="CC134" s="166"/>
      <c r="CD134" s="177"/>
      <c r="CE134" s="181"/>
      <c r="CF134" s="177"/>
      <c r="CG134" s="179"/>
      <c r="CH134" s="257"/>
      <c r="CI134" s="182"/>
      <c r="CJ134" s="177"/>
      <c r="CK134" s="182"/>
      <c r="CL134" s="177"/>
      <c r="CM134" s="182"/>
      <c r="CN134" s="177"/>
      <c r="CO134" s="182"/>
      <c r="CP134" s="177"/>
      <c r="CQ134" s="178"/>
      <c r="CR134" s="182"/>
      <c r="CS134" s="173"/>
      <c r="CT134" s="65"/>
      <c r="CU134" s="255" t="str">
        <f t="shared" si="2"/>
        <v>MSS</v>
      </c>
    </row>
    <row r="135" ht="60.0" customHeight="1">
      <c r="A135" s="65"/>
      <c r="B135" s="65"/>
      <c r="C135" s="167">
        <v>7.0</v>
      </c>
      <c r="D135" s="168" t="s">
        <v>197</v>
      </c>
      <c r="E135" s="169"/>
      <c r="F135" s="170"/>
      <c r="G135" s="170"/>
      <c r="H135" s="170"/>
      <c r="I135" s="207"/>
      <c r="J135" s="170"/>
      <c r="K135" s="171"/>
      <c r="L135" s="171"/>
      <c r="M135" s="171"/>
      <c r="N135" s="276"/>
      <c r="O135" s="256">
        <f t="shared" ref="O135:O138" si="25">IF(AND(M135&gt;=20,M135&lt;&gt;"m",RIGHT(K135,3)="Lec"),1,IF(AND(M135&gt;=20,M135&lt;&gt;"m",OR(RIGHT(K135,3)="Lab",RIGHT(K135,3)="Tut")),0.5,IF(AND(M135&gt;=20,M135&lt;&gt;"m",RIGHT(K135,2)="TL"),0.75,0)))</f>
        <v>0</v>
      </c>
      <c r="Q135" s="173"/>
      <c r="R135" s="65"/>
      <c r="S135" s="173"/>
      <c r="T135" s="173"/>
      <c r="U135" s="166"/>
      <c r="V135" s="166"/>
      <c r="W135" s="65"/>
      <c r="X135" s="66"/>
      <c r="Y135" s="173"/>
      <c r="Z135" s="166"/>
      <c r="AA135" s="174"/>
      <c r="AB135" s="175"/>
      <c r="AC135" s="175"/>
      <c r="AD135" s="175"/>
      <c r="AE135" s="175"/>
      <c r="AF135" s="175"/>
      <c r="AG135" s="175"/>
      <c r="AH135" s="175"/>
      <c r="AI135" s="176"/>
      <c r="AJ135" s="177"/>
      <c r="AK135" s="178"/>
      <c r="AL135" s="178"/>
      <c r="AM135" s="178"/>
      <c r="AN135" s="178"/>
      <c r="AO135" s="179"/>
      <c r="AP135" s="64"/>
      <c r="AQ135" s="65"/>
      <c r="AR135" s="65"/>
      <c r="AS135" s="65"/>
      <c r="AT135" s="173"/>
      <c r="AU135" s="177"/>
      <c r="AV135" s="178"/>
      <c r="AW135" s="178"/>
      <c r="AX135" s="179"/>
      <c r="AZ135" s="166"/>
      <c r="BA135" s="177"/>
      <c r="BB135" s="178"/>
      <c r="BC135" s="178"/>
      <c r="BD135" s="178"/>
      <c r="BE135" s="178"/>
      <c r="BF135" s="178"/>
      <c r="BG135" s="178"/>
      <c r="BH135" s="178"/>
      <c r="BI135" s="179"/>
      <c r="BJ135" s="180"/>
      <c r="BK135" s="178"/>
      <c r="BL135" s="178"/>
      <c r="BM135" s="178"/>
      <c r="BN135" s="178"/>
      <c r="BO135" s="181"/>
      <c r="BP135" s="166"/>
      <c r="BQ135" s="177"/>
      <c r="BR135" s="178"/>
      <c r="BS135" s="179"/>
      <c r="BU135" s="166"/>
      <c r="BV135" s="166"/>
      <c r="BW135" s="166"/>
      <c r="BX135" s="166"/>
      <c r="BY135" s="166"/>
      <c r="BZ135" s="166"/>
      <c r="CA135" s="166"/>
      <c r="CB135" s="166"/>
      <c r="CC135" s="166"/>
      <c r="CD135" s="177"/>
      <c r="CE135" s="181"/>
      <c r="CF135" s="177"/>
      <c r="CG135" s="179"/>
      <c r="CH135" s="257"/>
      <c r="CI135" s="182"/>
      <c r="CJ135" s="177"/>
      <c r="CK135" s="182"/>
      <c r="CL135" s="177"/>
      <c r="CM135" s="182"/>
      <c r="CN135" s="177"/>
      <c r="CO135" s="182"/>
      <c r="CP135" s="177"/>
      <c r="CQ135" s="178"/>
      <c r="CR135" s="182"/>
      <c r="CS135" s="173"/>
      <c r="CT135" s="65"/>
      <c r="CU135" s="255" t="str">
        <f t="shared" si="2"/>
        <v>MSS</v>
      </c>
    </row>
    <row r="136" ht="60.0" customHeight="1">
      <c r="A136" s="65"/>
      <c r="B136" s="65"/>
      <c r="C136" s="167">
        <v>8.0</v>
      </c>
      <c r="D136" s="168" t="s">
        <v>197</v>
      </c>
      <c r="E136" s="169"/>
      <c r="F136" s="170"/>
      <c r="G136" s="170"/>
      <c r="H136" s="170"/>
      <c r="I136" s="207"/>
      <c r="J136" s="170"/>
      <c r="K136" s="171"/>
      <c r="L136" s="171"/>
      <c r="M136" s="171"/>
      <c r="N136" s="276"/>
      <c r="O136" s="256">
        <f t="shared" si="25"/>
        <v>0</v>
      </c>
      <c r="Q136" s="173"/>
      <c r="R136" s="65"/>
      <c r="S136" s="173"/>
      <c r="T136" s="173"/>
      <c r="U136" s="166"/>
      <c r="V136" s="166"/>
      <c r="W136" s="65"/>
      <c r="X136" s="66"/>
      <c r="Y136" s="173"/>
      <c r="Z136" s="166"/>
      <c r="AA136" s="174"/>
      <c r="AB136" s="175"/>
      <c r="AC136" s="175"/>
      <c r="AD136" s="175"/>
      <c r="AE136" s="175"/>
      <c r="AF136" s="175"/>
      <c r="AG136" s="175"/>
      <c r="AH136" s="175"/>
      <c r="AI136" s="176"/>
      <c r="AJ136" s="177"/>
      <c r="AK136" s="178"/>
      <c r="AL136" s="178"/>
      <c r="AM136" s="178"/>
      <c r="AN136" s="178"/>
      <c r="AO136" s="179"/>
      <c r="AP136" s="64"/>
      <c r="AQ136" s="65"/>
      <c r="AR136" s="65"/>
      <c r="AS136" s="65"/>
      <c r="AT136" s="173"/>
      <c r="AU136" s="177"/>
      <c r="AV136" s="178"/>
      <c r="AW136" s="178"/>
      <c r="AX136" s="179"/>
      <c r="AZ136" s="166"/>
      <c r="BA136" s="177"/>
      <c r="BB136" s="178"/>
      <c r="BC136" s="178"/>
      <c r="BD136" s="178"/>
      <c r="BE136" s="178"/>
      <c r="BF136" s="178"/>
      <c r="BG136" s="178"/>
      <c r="BH136" s="178"/>
      <c r="BI136" s="179"/>
      <c r="BJ136" s="180"/>
      <c r="BK136" s="178"/>
      <c r="BL136" s="178"/>
      <c r="BM136" s="178"/>
      <c r="BN136" s="178"/>
      <c r="BO136" s="181"/>
      <c r="BP136" s="166"/>
      <c r="BQ136" s="177"/>
      <c r="BR136" s="178"/>
      <c r="BS136" s="179"/>
      <c r="BU136" s="166"/>
      <c r="BV136" s="166"/>
      <c r="BW136" s="166"/>
      <c r="BX136" s="166"/>
      <c r="BY136" s="166"/>
      <c r="BZ136" s="166"/>
      <c r="CA136" s="166"/>
      <c r="CB136" s="166"/>
      <c r="CC136" s="166"/>
      <c r="CD136" s="177"/>
      <c r="CE136" s="181"/>
      <c r="CF136" s="177"/>
      <c r="CG136" s="179"/>
      <c r="CH136" s="257"/>
      <c r="CI136" s="182"/>
      <c r="CJ136" s="177"/>
      <c r="CK136" s="182"/>
      <c r="CL136" s="177"/>
      <c r="CM136" s="182"/>
      <c r="CN136" s="177"/>
      <c r="CO136" s="182"/>
      <c r="CP136" s="177"/>
      <c r="CQ136" s="178"/>
      <c r="CR136" s="182"/>
      <c r="CS136" s="173"/>
      <c r="CT136" s="65"/>
      <c r="CU136" s="255" t="str">
        <f t="shared" si="2"/>
        <v>MSS</v>
      </c>
    </row>
    <row r="137" ht="60.0" customHeight="1">
      <c r="A137" s="65"/>
      <c r="B137" s="65"/>
      <c r="C137" s="167">
        <v>9.0</v>
      </c>
      <c r="D137" s="168" t="s">
        <v>197</v>
      </c>
      <c r="E137" s="169"/>
      <c r="F137" s="170"/>
      <c r="G137" s="170"/>
      <c r="H137" s="170"/>
      <c r="I137" s="207"/>
      <c r="J137" s="170"/>
      <c r="K137" s="171"/>
      <c r="L137" s="171"/>
      <c r="M137" s="171"/>
      <c r="N137" s="276"/>
      <c r="O137" s="256">
        <f t="shared" si="25"/>
        <v>0</v>
      </c>
      <c r="Q137" s="173"/>
      <c r="R137" s="65"/>
      <c r="S137" s="173"/>
      <c r="T137" s="173"/>
      <c r="U137" s="166"/>
      <c r="V137" s="166"/>
      <c r="W137" s="65"/>
      <c r="X137" s="66"/>
      <c r="Y137" s="173"/>
      <c r="Z137" s="166"/>
      <c r="AA137" s="174"/>
      <c r="AB137" s="175"/>
      <c r="AC137" s="175"/>
      <c r="AD137" s="175"/>
      <c r="AE137" s="175"/>
      <c r="AF137" s="175"/>
      <c r="AG137" s="175"/>
      <c r="AH137" s="175"/>
      <c r="AI137" s="176"/>
      <c r="AJ137" s="177"/>
      <c r="AK137" s="178"/>
      <c r="AL137" s="178"/>
      <c r="AM137" s="178"/>
      <c r="AN137" s="178"/>
      <c r="AO137" s="179"/>
      <c r="AP137" s="64"/>
      <c r="AQ137" s="65"/>
      <c r="AR137" s="65"/>
      <c r="AS137" s="65"/>
      <c r="AT137" s="173"/>
      <c r="AU137" s="177"/>
      <c r="AV137" s="178"/>
      <c r="AW137" s="178"/>
      <c r="AX137" s="179"/>
      <c r="AZ137" s="166"/>
      <c r="BA137" s="177"/>
      <c r="BB137" s="178"/>
      <c r="BC137" s="178"/>
      <c r="BD137" s="178"/>
      <c r="BE137" s="178"/>
      <c r="BF137" s="178"/>
      <c r="BG137" s="178"/>
      <c r="BH137" s="178"/>
      <c r="BI137" s="179"/>
      <c r="BJ137" s="180"/>
      <c r="BK137" s="178"/>
      <c r="BL137" s="178"/>
      <c r="BM137" s="178"/>
      <c r="BN137" s="178"/>
      <c r="BO137" s="181"/>
      <c r="BP137" s="166"/>
      <c r="BQ137" s="177"/>
      <c r="BR137" s="178"/>
      <c r="BS137" s="179"/>
      <c r="BU137" s="166"/>
      <c r="BV137" s="166"/>
      <c r="BW137" s="166"/>
      <c r="BX137" s="166"/>
      <c r="BY137" s="166"/>
      <c r="BZ137" s="166"/>
      <c r="CA137" s="166"/>
      <c r="CB137" s="166"/>
      <c r="CC137" s="166"/>
      <c r="CD137" s="177"/>
      <c r="CE137" s="181"/>
      <c r="CF137" s="177"/>
      <c r="CG137" s="179"/>
      <c r="CH137" s="257"/>
      <c r="CI137" s="182"/>
      <c r="CJ137" s="177"/>
      <c r="CK137" s="182"/>
      <c r="CL137" s="177"/>
      <c r="CM137" s="182"/>
      <c r="CN137" s="177"/>
      <c r="CO137" s="182"/>
      <c r="CP137" s="177"/>
      <c r="CQ137" s="178"/>
      <c r="CR137" s="182"/>
      <c r="CS137" s="173"/>
      <c r="CT137" s="65"/>
      <c r="CU137" s="255" t="str">
        <f t="shared" si="2"/>
        <v>MSS</v>
      </c>
    </row>
    <row r="138" ht="60.0" customHeight="1">
      <c r="A138" s="65"/>
      <c r="B138" s="65"/>
      <c r="C138" s="167">
        <v>10.0</v>
      </c>
      <c r="D138" s="168" t="s">
        <v>197</v>
      </c>
      <c r="E138" s="169"/>
      <c r="F138" s="170"/>
      <c r="G138" s="170"/>
      <c r="H138" s="170"/>
      <c r="I138" s="207"/>
      <c r="J138" s="170"/>
      <c r="K138" s="171"/>
      <c r="L138" s="171"/>
      <c r="M138" s="171"/>
      <c r="N138" s="276"/>
      <c r="O138" s="256">
        <f t="shared" si="25"/>
        <v>0</v>
      </c>
      <c r="Q138" s="173"/>
      <c r="R138" s="65"/>
      <c r="S138" s="173"/>
      <c r="T138" s="173"/>
      <c r="U138" s="166"/>
      <c r="V138" s="166"/>
      <c r="W138" s="65"/>
      <c r="X138" s="66"/>
      <c r="Y138" s="173"/>
      <c r="Z138" s="166"/>
      <c r="AA138" s="174"/>
      <c r="AB138" s="175"/>
      <c r="AC138" s="175"/>
      <c r="AD138" s="175"/>
      <c r="AE138" s="175"/>
      <c r="AF138" s="175"/>
      <c r="AG138" s="175"/>
      <c r="AH138" s="175"/>
      <c r="AI138" s="176"/>
      <c r="AJ138" s="177"/>
      <c r="AK138" s="178"/>
      <c r="AL138" s="178"/>
      <c r="AM138" s="178"/>
      <c r="AN138" s="178"/>
      <c r="AO138" s="179"/>
      <c r="AP138" s="64"/>
      <c r="AQ138" s="65"/>
      <c r="AR138" s="65"/>
      <c r="AS138" s="65"/>
      <c r="AT138" s="173"/>
      <c r="AU138" s="177"/>
      <c r="AV138" s="178"/>
      <c r="AW138" s="178"/>
      <c r="AX138" s="179"/>
      <c r="AZ138" s="166"/>
      <c r="BA138" s="177"/>
      <c r="BB138" s="178"/>
      <c r="BC138" s="178"/>
      <c r="BD138" s="178"/>
      <c r="BE138" s="178"/>
      <c r="BF138" s="178"/>
      <c r="BG138" s="178"/>
      <c r="BH138" s="178"/>
      <c r="BI138" s="179"/>
      <c r="BJ138" s="180"/>
      <c r="BK138" s="178"/>
      <c r="BL138" s="178"/>
      <c r="BM138" s="178"/>
      <c r="BN138" s="178"/>
      <c r="BO138" s="181"/>
      <c r="BP138" s="166"/>
      <c r="BQ138" s="177"/>
      <c r="BR138" s="178"/>
      <c r="BS138" s="179"/>
      <c r="BU138" s="166"/>
      <c r="BV138" s="166"/>
      <c r="BW138" s="166"/>
      <c r="BX138" s="166"/>
      <c r="BY138" s="166"/>
      <c r="BZ138" s="166"/>
      <c r="CA138" s="166"/>
      <c r="CB138" s="166"/>
      <c r="CC138" s="166"/>
      <c r="CD138" s="177"/>
      <c r="CE138" s="181"/>
      <c r="CF138" s="177"/>
      <c r="CG138" s="179"/>
      <c r="CH138" s="257"/>
      <c r="CI138" s="182"/>
      <c r="CJ138" s="177"/>
      <c r="CK138" s="182"/>
      <c r="CL138" s="177"/>
      <c r="CM138" s="182"/>
      <c r="CN138" s="177"/>
      <c r="CO138" s="182"/>
      <c r="CP138" s="177"/>
      <c r="CQ138" s="178"/>
      <c r="CR138" s="182"/>
      <c r="CS138" s="173"/>
      <c r="CT138" s="65"/>
      <c r="CU138" s="255" t="str">
        <f t="shared" si="2"/>
        <v>MSS</v>
      </c>
    </row>
    <row r="139" ht="60.0" customHeight="1">
      <c r="A139" s="89"/>
      <c r="B139" s="89"/>
      <c r="C139" s="183">
        <v>11.0</v>
      </c>
      <c r="D139" s="210" t="s">
        <v>197</v>
      </c>
      <c r="E139" s="185"/>
      <c r="F139" s="186"/>
      <c r="G139" s="186"/>
      <c r="H139" s="186"/>
      <c r="I139" s="212"/>
      <c r="J139" s="186"/>
      <c r="K139" s="187"/>
      <c r="L139" s="187"/>
      <c r="M139" s="187"/>
      <c r="N139" s="214"/>
      <c r="O139" s="258">
        <f t="shared" ref="O139:O145" si="26">IF(AND(M139&lt;&gt;0,M139&lt;&gt;"m",M139&lt;&gt;"",RIGHT(K139,3)="Lec"),1,IF(AND(M139&lt;&gt;0,M139&lt;&gt;"m",M139&lt;&gt;"",OR(RIGHT(K139,3)="Lab",RIGHT(K139,3)="Tut")),0.5,IF(AND(M139&lt;&gt;0,M139&lt;&gt;"m",M139&lt;&gt;"",RIGHT(K139,2)="TL"),0.75,0)))</f>
        <v>0</v>
      </c>
      <c r="P139" s="6"/>
      <c r="Q139" s="69"/>
      <c r="R139" s="89"/>
      <c r="S139" s="69"/>
      <c r="T139" s="69"/>
      <c r="U139" s="63"/>
      <c r="V139" s="63"/>
      <c r="W139" s="89"/>
      <c r="X139" s="68"/>
      <c r="Y139" s="69"/>
      <c r="Z139" s="63"/>
      <c r="AA139" s="189"/>
      <c r="AB139" s="190"/>
      <c r="AC139" s="190"/>
      <c r="AD139" s="190"/>
      <c r="AE139" s="190"/>
      <c r="AF139" s="190"/>
      <c r="AG139" s="190"/>
      <c r="AH139" s="190"/>
      <c r="AI139" s="191"/>
      <c r="AJ139" s="192"/>
      <c r="AK139" s="193"/>
      <c r="AL139" s="193"/>
      <c r="AM139" s="193"/>
      <c r="AN139" s="193"/>
      <c r="AO139" s="194"/>
      <c r="AP139" s="103"/>
      <c r="AQ139" s="89"/>
      <c r="AR139" s="89"/>
      <c r="AS139" s="89"/>
      <c r="AT139" s="69"/>
      <c r="AU139" s="192"/>
      <c r="AV139" s="193"/>
      <c r="AW139" s="193"/>
      <c r="AX139" s="194"/>
      <c r="AY139" s="6"/>
      <c r="AZ139" s="63"/>
      <c r="BA139" s="192"/>
      <c r="BB139" s="193"/>
      <c r="BC139" s="193"/>
      <c r="BD139" s="193"/>
      <c r="BE139" s="193"/>
      <c r="BF139" s="193"/>
      <c r="BG139" s="193"/>
      <c r="BH139" s="193"/>
      <c r="BI139" s="194"/>
      <c r="BJ139" s="195"/>
      <c r="BK139" s="193"/>
      <c r="BL139" s="193"/>
      <c r="BM139" s="193"/>
      <c r="BN139" s="193"/>
      <c r="BO139" s="196"/>
      <c r="BP139" s="63"/>
      <c r="BQ139" s="192"/>
      <c r="BR139" s="193"/>
      <c r="BS139" s="194"/>
      <c r="BT139" s="6"/>
      <c r="BU139" s="63"/>
      <c r="BV139" s="63"/>
      <c r="BW139" s="63"/>
      <c r="BX139" s="63"/>
      <c r="BY139" s="63"/>
      <c r="BZ139" s="63"/>
      <c r="CA139" s="63"/>
      <c r="CB139" s="63"/>
      <c r="CC139" s="63"/>
      <c r="CD139" s="192"/>
      <c r="CE139" s="196"/>
      <c r="CF139" s="192"/>
      <c r="CG139" s="194"/>
      <c r="CH139" s="259"/>
      <c r="CI139" s="197"/>
      <c r="CJ139" s="192"/>
      <c r="CK139" s="197"/>
      <c r="CL139" s="192"/>
      <c r="CM139" s="197"/>
      <c r="CN139" s="192"/>
      <c r="CO139" s="197"/>
      <c r="CP139" s="192"/>
      <c r="CQ139" s="193"/>
      <c r="CR139" s="197"/>
      <c r="CS139" s="69"/>
      <c r="CT139" s="89"/>
      <c r="CU139" s="255" t="str">
        <f t="shared" si="2"/>
        <v>MSS</v>
      </c>
    </row>
    <row r="140" ht="55.5" customHeight="1">
      <c r="A140" s="125">
        <v>13.0</v>
      </c>
      <c r="B140" s="274" t="s">
        <v>199</v>
      </c>
      <c r="C140" s="127">
        <v>1.0</v>
      </c>
      <c r="D140" s="168" t="s">
        <v>200</v>
      </c>
      <c r="E140" s="129"/>
      <c r="F140" s="130"/>
      <c r="G140" s="130"/>
      <c r="H140" s="130"/>
      <c r="I140" s="201"/>
      <c r="J140" s="130"/>
      <c r="K140" s="131"/>
      <c r="L140" s="131"/>
      <c r="M140" s="131"/>
      <c r="N140" s="275"/>
      <c r="O140" s="250">
        <f t="shared" si="26"/>
        <v>0</v>
      </c>
      <c r="P140" s="251">
        <f>COUNTIF(K140:K150,"TL")*0.75+COUNTIF(K140:K150,"Lec")*1+COUNTIF(K140:K150,"Lab")*0.5</f>
        <v>0</v>
      </c>
      <c r="Q140" s="134">
        <f>SUM((IF(LEFT(K140,1)="E",O140,0)),(IF(LEFT(K141,1)="E",O141,0)),(IF(LEFT(K142,1)="E",O142,0)),(IF(LEFT(K143,1)="E",O143,0)),(IF(LEFT(K144,1)="E",O144,0)),(IF(LEFT(K145,1)="E",O145,0)),(IF(LEFT(K146,1)="E",O146,0)),(IF(LEFT(K147,1)="E",O147,0)),(IF(LEFT(K148,1)="E",O148,0)),(IF(LEFT(K149,1)="E",O149,0)),(IF(LEFT(K150,1)="E",O150,0)))</f>
        <v>0</v>
      </c>
      <c r="R140" s="135">
        <f>SUM(IF(M146&lt;20,IF(K146="Plec",-1,IF(K146="PTL",-0.75,IF(K146="Plab",-0.5,0))),0),IF(M147&lt;20,IF(K147="Plec",-1,IF(K147="PTL",-0.75,IF(K147="Plab",-0.5,0))),0),IF(M148&lt;20,IF(K148="Plec",-1,IF(K148="PTL",-0.75,IF(K148="Plab",-0.5,0))),0),IF(M149&lt;20,IF(K149="Plec",-1,IF(K149="PTL",-0.75,IF(K149="Plab",-0.5,0))),0))</f>
        <v>0</v>
      </c>
      <c r="S140" s="134">
        <f>SUM(P140:R150)</f>
        <v>0</v>
      </c>
      <c r="T140" s="136">
        <f>SUM(IF(M140="M",IF(OR(K140="lec",K140="plec",K140="slec"),1,IF(OR(K140="lab",K140="plab",K140="slab",K140="tut",K140="ptut",K140="stut"),0.5,IF(OR(K140="TL",K140="pTL",K140="STL"),0.75,0))),0),IF(M141="M",IF(OR(K141="lec",K141="plec",K141="slec"),1,IF(OR(K141="lab",K141="plab",K141="slab",K141="tut",K141="ptut",K141="stut"),0.5,IF(OR(K141="TL",K141="pTL",K141="STL"),0.75,0))),0),IF(M142="M",IF(OR(K142="lec",K142="plec",K142="slec"),1,IF(OR(K142="lab",K142="plab",K142="slab",K142="tut",K142="ptut",K142="stut"),0.5,IF(OR(K142="TL",K142="pTL",K142="STL"),0.75,0))),0),IF(M143="M",IF(OR(K143="lec",K143="plec",K143="slec"),1,IF(OR(K143="lab",K143="plab",K143="slab",K143="tut",K143="ptut",K143="stut"),0.5,IF(OR(K143="TL",K143="pTL",K143="STL"),0.75,0))),0),IF(M144="M",IF(OR(K144="lec",K144="plec",K144="slec"),1,IF(OR(K144="lab",K144="plab",K144="slab",K144="tut",K144="ptut",K144="stut"),0.5,IF(OR(K144="TL",K144="pTL",K144="STL"),0.75,0))),0),IF(M145="M",IF(OR(K145="lec",K145="plec",K145="slec"),1,IF(OR(K145="lab",K145="plab",K145="slab",K145="tut",K145="ptut",K145="stut"),0.5,IF(OR(K145="TL",K145="pTL",K145="STL"),0.75,0))),0),IF(M146="M",IF(OR(K146="lec",K146="plec",K146="slec"),1,IF(OR(K146="lab",K146="plab",K146="slab",K146="tut",K146="ptut",K146="stut"),0.5,IF(OR(K146="TL",K146="pTL",K146="STL"),0.75,0))),0),IF(M147="M",IF(OR(K147="lec",K147="plec",K147="slec"),1,IF(OR(K147="lab",K147="plab",K147="slab",K147="tut",K147="ptut",K147="stut"),0.5,IF(OR(K147="TL",K147="pTL",K147="STL"),0.75,0))),0),IF(M148="M",IF(OR(K148="lec",K148="plec",K148="slec"),1,IF(OR(K148="lab",K148="plab",K148="slab",K148="tut",K148="ptut",K148="stut"),0.5,IF(OR(K148="TL",K148="pTL",K148="STL"),0.75,0))),0),IF(M149="M",IF(OR(K149="lec",K149="plec",K149="slec"),1,IF(OR(K149="lab",K149="plab",K149="slab",K149="tut",K149="ptut",K149="stut"),0.5,IF(OR(K149="TL",K149="pTL",K149="STL"),0.75,0))),0),IF(M150="M",IF(OR(K150="lec",K150="plec",K150="slec"),1,IF(OR(K150="lab",K150="plab",K150="slab",K150="tut",K150="ptut",K150="stut"),0.5,IF(OR(K150="TL",K150="pTL",K150="STL"),0.75,0))),0))</f>
        <v>0</v>
      </c>
      <c r="U140" s="137"/>
      <c r="V140" s="133"/>
      <c r="W140" s="138"/>
      <c r="X140" s="139">
        <f>S140-(T140+U140+V140+W140)</f>
        <v>0</v>
      </c>
      <c r="Y140" s="134" t="str">
        <f>CONCATENATE(SUM(O140:O150),"(",SUM(O140:O150)-X140,")")</f>
        <v>0(0)</v>
      </c>
      <c r="Z140" s="140"/>
      <c r="AA140" s="141"/>
      <c r="AB140" s="142"/>
      <c r="AC140" s="142"/>
      <c r="AD140" s="142"/>
      <c r="AE140" s="142"/>
      <c r="AF140" s="142"/>
      <c r="AG140" s="142"/>
      <c r="AH140" s="142"/>
      <c r="AI140" s="143"/>
      <c r="AJ140" s="144"/>
      <c r="AK140" s="145"/>
      <c r="AL140" s="145"/>
      <c r="AM140" s="145"/>
      <c r="AN140" s="145"/>
      <c r="AO140" s="146"/>
      <c r="AP140" s="147">
        <f>SUM(SUM(O140:O150),SUM(AI140:AI150)/2,AM140)</f>
        <v>0</v>
      </c>
      <c r="AQ140" s="148"/>
      <c r="AR140" s="148">
        <f>AP140*AQ140</f>
        <v>0</v>
      </c>
      <c r="AS140" s="148">
        <f>CT140</f>
        <v>0</v>
      </c>
      <c r="AT140" s="149">
        <f>AR140*0.75+AS140*0.25</f>
        <v>0</v>
      </c>
      <c r="AU140" s="150"/>
      <c r="AV140" s="151"/>
      <c r="AW140" s="151"/>
      <c r="AX140" s="152"/>
      <c r="AY140" s="153"/>
      <c r="AZ140" s="140"/>
      <c r="BA140" s="150"/>
      <c r="BB140" s="151"/>
      <c r="BC140" s="151"/>
      <c r="BD140" s="151"/>
      <c r="BE140" s="151"/>
      <c r="BF140" s="151"/>
      <c r="BG140" s="151"/>
      <c r="BH140" s="151"/>
      <c r="BI140" s="152"/>
      <c r="BJ140" s="154"/>
      <c r="BK140" s="151"/>
      <c r="BL140" s="151"/>
      <c r="BM140" s="151"/>
      <c r="BN140" s="151"/>
      <c r="BO140" s="155"/>
      <c r="BP140" s="140"/>
      <c r="BQ140" s="156"/>
      <c r="BR140" s="157"/>
      <c r="BS140" s="158"/>
      <c r="BT140" s="153"/>
      <c r="BU140" s="140"/>
      <c r="BV140" s="140"/>
      <c r="BW140" s="140"/>
      <c r="BX140" s="140"/>
      <c r="BY140" s="140"/>
      <c r="BZ140" s="140"/>
      <c r="CA140" s="140"/>
      <c r="CB140" s="140"/>
      <c r="CC140" s="140"/>
      <c r="CD140" s="150"/>
      <c r="CE140" s="155"/>
      <c r="CF140" s="150"/>
      <c r="CG140" s="152"/>
      <c r="CH140" s="252"/>
      <c r="CI140" s="160"/>
      <c r="CJ140" s="159"/>
      <c r="CK140" s="160"/>
      <c r="CL140" s="159"/>
      <c r="CM140" s="160"/>
      <c r="CN140" s="159"/>
      <c r="CO140" s="160"/>
      <c r="CP140" s="159"/>
      <c r="CQ140" s="162"/>
      <c r="CR140" s="160"/>
      <c r="CS140" s="253">
        <f>SUM(IF(AU140&lt;0,ABS(AU140),0),IF(AZ140&lt;0,ABS(AZ140),0),ABS(CI140),ABS(CK140),ABS(CM140),ABS(CO140),ABS(CQ140),ABS(CR140))</f>
        <v>0</v>
      </c>
      <c r="CT140" s="254">
        <f>SUM(AU140,AV140,AW140,AX140/400,AY140,AZ140,BG140,BH140*0.5,BI140*0.25,BJ140,BK140,BL140,BM140,BN140,BO140,BP140,BR140/20,BS140/100,BT140/60,BU140,BV140,BW140,BX140/4,SUM(BY140:CC150)/3,CE140,CG140/3,CI140,CK140,CM140,CO140,CQ140,CR140)</f>
        <v>0</v>
      </c>
      <c r="CU140" s="255" t="str">
        <f t="shared" si="2"/>
        <v>MSP</v>
      </c>
    </row>
    <row r="141" ht="60.0" customHeight="1">
      <c r="A141" s="65"/>
      <c r="B141" s="65"/>
      <c r="C141" s="167">
        <v>2.0</v>
      </c>
      <c r="D141" s="168" t="s">
        <v>200</v>
      </c>
      <c r="E141" s="169"/>
      <c r="F141" s="170"/>
      <c r="G141" s="170"/>
      <c r="H141" s="170"/>
      <c r="I141" s="207"/>
      <c r="J141" s="170"/>
      <c r="K141" s="171"/>
      <c r="L141" s="171"/>
      <c r="M141" s="171"/>
      <c r="N141" s="276"/>
      <c r="O141" s="256">
        <f t="shared" si="26"/>
        <v>0</v>
      </c>
      <c r="Q141" s="173"/>
      <c r="R141" s="65"/>
      <c r="S141" s="173"/>
      <c r="T141" s="173"/>
      <c r="U141" s="166"/>
      <c r="V141" s="166"/>
      <c r="W141" s="65"/>
      <c r="X141" s="66"/>
      <c r="Y141" s="173"/>
      <c r="Z141" s="166"/>
      <c r="AA141" s="174"/>
      <c r="AB141" s="175"/>
      <c r="AC141" s="175"/>
      <c r="AD141" s="175"/>
      <c r="AE141" s="175"/>
      <c r="AF141" s="175"/>
      <c r="AG141" s="175"/>
      <c r="AH141" s="175"/>
      <c r="AI141" s="176"/>
      <c r="AJ141" s="177"/>
      <c r="AK141" s="178"/>
      <c r="AL141" s="178"/>
      <c r="AM141" s="178"/>
      <c r="AN141" s="178"/>
      <c r="AO141" s="179"/>
      <c r="AP141" s="64"/>
      <c r="AQ141" s="65"/>
      <c r="AR141" s="65"/>
      <c r="AS141" s="65"/>
      <c r="AT141" s="173"/>
      <c r="AU141" s="177"/>
      <c r="AV141" s="178"/>
      <c r="AW141" s="178"/>
      <c r="AX141" s="179"/>
      <c r="AZ141" s="166"/>
      <c r="BA141" s="177"/>
      <c r="BB141" s="178"/>
      <c r="BC141" s="178"/>
      <c r="BD141" s="178"/>
      <c r="BE141" s="178"/>
      <c r="BF141" s="178"/>
      <c r="BG141" s="178"/>
      <c r="BH141" s="178"/>
      <c r="BI141" s="179"/>
      <c r="BJ141" s="180"/>
      <c r="BK141" s="178"/>
      <c r="BL141" s="178"/>
      <c r="BM141" s="178"/>
      <c r="BN141" s="178"/>
      <c r="BO141" s="181"/>
      <c r="BP141" s="166"/>
      <c r="BQ141" s="177"/>
      <c r="BR141" s="178"/>
      <c r="BS141" s="179"/>
      <c r="BU141" s="166"/>
      <c r="BV141" s="166"/>
      <c r="BW141" s="166"/>
      <c r="BX141" s="166"/>
      <c r="BY141" s="166"/>
      <c r="BZ141" s="166"/>
      <c r="CA141" s="166"/>
      <c r="CB141" s="166"/>
      <c r="CC141" s="166"/>
      <c r="CD141" s="177"/>
      <c r="CE141" s="181"/>
      <c r="CF141" s="177"/>
      <c r="CG141" s="179"/>
      <c r="CH141" s="257"/>
      <c r="CI141" s="182"/>
      <c r="CJ141" s="177"/>
      <c r="CK141" s="182"/>
      <c r="CL141" s="177"/>
      <c r="CM141" s="182"/>
      <c r="CN141" s="177"/>
      <c r="CO141" s="182"/>
      <c r="CP141" s="177"/>
      <c r="CQ141" s="178"/>
      <c r="CR141" s="182"/>
      <c r="CS141" s="173"/>
      <c r="CT141" s="65"/>
      <c r="CU141" s="255" t="str">
        <f t="shared" si="2"/>
        <v>MSP</v>
      </c>
    </row>
    <row r="142" ht="60.0" customHeight="1">
      <c r="A142" s="65"/>
      <c r="B142" s="65"/>
      <c r="C142" s="167">
        <v>3.0</v>
      </c>
      <c r="D142" s="168" t="s">
        <v>200</v>
      </c>
      <c r="E142" s="169"/>
      <c r="F142" s="170"/>
      <c r="G142" s="170"/>
      <c r="H142" s="170"/>
      <c r="I142" s="207"/>
      <c r="J142" s="170"/>
      <c r="K142" s="171"/>
      <c r="L142" s="171"/>
      <c r="M142" s="171"/>
      <c r="N142" s="276"/>
      <c r="O142" s="256">
        <f t="shared" si="26"/>
        <v>0</v>
      </c>
      <c r="Q142" s="173"/>
      <c r="R142" s="65"/>
      <c r="S142" s="173"/>
      <c r="T142" s="173"/>
      <c r="U142" s="166"/>
      <c r="V142" s="166"/>
      <c r="W142" s="65"/>
      <c r="X142" s="66"/>
      <c r="Y142" s="173"/>
      <c r="Z142" s="166"/>
      <c r="AA142" s="174"/>
      <c r="AB142" s="175"/>
      <c r="AC142" s="175"/>
      <c r="AD142" s="175"/>
      <c r="AE142" s="175"/>
      <c r="AF142" s="175"/>
      <c r="AG142" s="175"/>
      <c r="AH142" s="175"/>
      <c r="AI142" s="176"/>
      <c r="AJ142" s="177"/>
      <c r="AK142" s="178"/>
      <c r="AL142" s="178"/>
      <c r="AM142" s="178"/>
      <c r="AN142" s="178"/>
      <c r="AO142" s="179"/>
      <c r="AP142" s="64"/>
      <c r="AQ142" s="65"/>
      <c r="AR142" s="65"/>
      <c r="AS142" s="65"/>
      <c r="AT142" s="173"/>
      <c r="AU142" s="177"/>
      <c r="AV142" s="178"/>
      <c r="AW142" s="178"/>
      <c r="AX142" s="179"/>
      <c r="AZ142" s="166"/>
      <c r="BA142" s="177"/>
      <c r="BB142" s="178"/>
      <c r="BC142" s="178"/>
      <c r="BD142" s="178"/>
      <c r="BE142" s="178"/>
      <c r="BF142" s="178"/>
      <c r="BG142" s="178"/>
      <c r="BH142" s="178"/>
      <c r="BI142" s="179"/>
      <c r="BJ142" s="180"/>
      <c r="BK142" s="178"/>
      <c r="BL142" s="178"/>
      <c r="BM142" s="178"/>
      <c r="BN142" s="178"/>
      <c r="BO142" s="181"/>
      <c r="BP142" s="166"/>
      <c r="BQ142" s="177"/>
      <c r="BR142" s="178"/>
      <c r="BS142" s="179"/>
      <c r="BU142" s="166"/>
      <c r="BV142" s="166"/>
      <c r="BW142" s="166"/>
      <c r="BX142" s="166"/>
      <c r="BY142" s="166"/>
      <c r="BZ142" s="166"/>
      <c r="CA142" s="166"/>
      <c r="CB142" s="166"/>
      <c r="CC142" s="166"/>
      <c r="CD142" s="177"/>
      <c r="CE142" s="181"/>
      <c r="CF142" s="177"/>
      <c r="CG142" s="179"/>
      <c r="CH142" s="257"/>
      <c r="CI142" s="182"/>
      <c r="CJ142" s="177"/>
      <c r="CK142" s="182"/>
      <c r="CL142" s="177"/>
      <c r="CM142" s="182"/>
      <c r="CN142" s="177"/>
      <c r="CO142" s="182"/>
      <c r="CP142" s="177"/>
      <c r="CQ142" s="178"/>
      <c r="CR142" s="182"/>
      <c r="CS142" s="173"/>
      <c r="CT142" s="65"/>
      <c r="CU142" s="255" t="str">
        <f t="shared" si="2"/>
        <v>MSP</v>
      </c>
    </row>
    <row r="143" ht="60.0" customHeight="1">
      <c r="A143" s="65"/>
      <c r="B143" s="65"/>
      <c r="C143" s="167">
        <v>4.0</v>
      </c>
      <c r="D143" s="168" t="s">
        <v>200</v>
      </c>
      <c r="E143" s="169"/>
      <c r="F143" s="170"/>
      <c r="G143" s="170"/>
      <c r="H143" s="170"/>
      <c r="I143" s="207"/>
      <c r="J143" s="170"/>
      <c r="K143" s="171"/>
      <c r="L143" s="171"/>
      <c r="M143" s="171"/>
      <c r="N143" s="276"/>
      <c r="O143" s="256">
        <f t="shared" si="26"/>
        <v>0</v>
      </c>
      <c r="Q143" s="173"/>
      <c r="R143" s="65"/>
      <c r="S143" s="173"/>
      <c r="T143" s="173"/>
      <c r="U143" s="166"/>
      <c r="V143" s="166"/>
      <c r="W143" s="65"/>
      <c r="X143" s="66"/>
      <c r="Y143" s="173"/>
      <c r="Z143" s="166"/>
      <c r="AA143" s="174"/>
      <c r="AB143" s="175"/>
      <c r="AC143" s="175"/>
      <c r="AD143" s="175"/>
      <c r="AE143" s="175"/>
      <c r="AF143" s="175"/>
      <c r="AG143" s="175"/>
      <c r="AH143" s="175"/>
      <c r="AI143" s="176"/>
      <c r="AJ143" s="177"/>
      <c r="AK143" s="178"/>
      <c r="AL143" s="178"/>
      <c r="AM143" s="178"/>
      <c r="AN143" s="178"/>
      <c r="AO143" s="179"/>
      <c r="AP143" s="64"/>
      <c r="AQ143" s="65"/>
      <c r="AR143" s="65"/>
      <c r="AS143" s="65"/>
      <c r="AT143" s="173"/>
      <c r="AU143" s="177"/>
      <c r="AV143" s="178"/>
      <c r="AW143" s="178"/>
      <c r="AX143" s="179"/>
      <c r="AZ143" s="166"/>
      <c r="BA143" s="177"/>
      <c r="BB143" s="178"/>
      <c r="BC143" s="178"/>
      <c r="BD143" s="178"/>
      <c r="BE143" s="178"/>
      <c r="BF143" s="178"/>
      <c r="BG143" s="178"/>
      <c r="BH143" s="178"/>
      <c r="BI143" s="179"/>
      <c r="BJ143" s="180"/>
      <c r="BK143" s="178"/>
      <c r="BL143" s="178"/>
      <c r="BM143" s="178"/>
      <c r="BN143" s="178"/>
      <c r="BO143" s="181"/>
      <c r="BP143" s="166"/>
      <c r="BQ143" s="177"/>
      <c r="BR143" s="178"/>
      <c r="BS143" s="179"/>
      <c r="BU143" s="166"/>
      <c r="BV143" s="166"/>
      <c r="BW143" s="166"/>
      <c r="BX143" s="166"/>
      <c r="BY143" s="166"/>
      <c r="BZ143" s="166"/>
      <c r="CA143" s="166"/>
      <c r="CB143" s="166"/>
      <c r="CC143" s="166"/>
      <c r="CD143" s="177"/>
      <c r="CE143" s="181"/>
      <c r="CF143" s="177"/>
      <c r="CG143" s="179"/>
      <c r="CH143" s="257"/>
      <c r="CI143" s="182"/>
      <c r="CJ143" s="177"/>
      <c r="CK143" s="182"/>
      <c r="CL143" s="177"/>
      <c r="CM143" s="182"/>
      <c r="CN143" s="177"/>
      <c r="CO143" s="182"/>
      <c r="CP143" s="177"/>
      <c r="CQ143" s="178"/>
      <c r="CR143" s="182"/>
      <c r="CS143" s="173"/>
      <c r="CT143" s="65"/>
      <c r="CU143" s="255" t="str">
        <f t="shared" si="2"/>
        <v>MSP</v>
      </c>
    </row>
    <row r="144" ht="60.0" customHeight="1">
      <c r="A144" s="65"/>
      <c r="B144" s="65"/>
      <c r="C144" s="167">
        <v>5.0</v>
      </c>
      <c r="D144" s="168" t="s">
        <v>200</v>
      </c>
      <c r="E144" s="169"/>
      <c r="F144" s="170"/>
      <c r="G144" s="170"/>
      <c r="H144" s="170"/>
      <c r="I144" s="207"/>
      <c r="J144" s="170"/>
      <c r="K144" s="171"/>
      <c r="L144" s="171"/>
      <c r="M144" s="171"/>
      <c r="N144" s="276"/>
      <c r="O144" s="256">
        <f t="shared" si="26"/>
        <v>0</v>
      </c>
      <c r="Q144" s="173"/>
      <c r="R144" s="65"/>
      <c r="S144" s="173"/>
      <c r="T144" s="173"/>
      <c r="U144" s="166"/>
      <c r="V144" s="166"/>
      <c r="W144" s="65"/>
      <c r="X144" s="66"/>
      <c r="Y144" s="173"/>
      <c r="Z144" s="166"/>
      <c r="AA144" s="174"/>
      <c r="AB144" s="175"/>
      <c r="AC144" s="175"/>
      <c r="AD144" s="175"/>
      <c r="AE144" s="175"/>
      <c r="AF144" s="175"/>
      <c r="AG144" s="175"/>
      <c r="AH144" s="175"/>
      <c r="AI144" s="176"/>
      <c r="AJ144" s="177"/>
      <c r="AK144" s="178"/>
      <c r="AL144" s="178"/>
      <c r="AM144" s="178"/>
      <c r="AN144" s="178"/>
      <c r="AO144" s="179"/>
      <c r="AP144" s="64"/>
      <c r="AQ144" s="65"/>
      <c r="AR144" s="65"/>
      <c r="AS144" s="65"/>
      <c r="AT144" s="173"/>
      <c r="AU144" s="177"/>
      <c r="AV144" s="178"/>
      <c r="AW144" s="178"/>
      <c r="AX144" s="179"/>
      <c r="AZ144" s="166"/>
      <c r="BA144" s="177"/>
      <c r="BB144" s="178"/>
      <c r="BC144" s="178"/>
      <c r="BD144" s="178"/>
      <c r="BE144" s="178"/>
      <c r="BF144" s="178"/>
      <c r="BG144" s="178"/>
      <c r="BH144" s="178"/>
      <c r="BI144" s="179"/>
      <c r="BJ144" s="180"/>
      <c r="BK144" s="178"/>
      <c r="BL144" s="178"/>
      <c r="BM144" s="178"/>
      <c r="BN144" s="178"/>
      <c r="BO144" s="181"/>
      <c r="BP144" s="166"/>
      <c r="BQ144" s="177"/>
      <c r="BR144" s="178"/>
      <c r="BS144" s="179"/>
      <c r="BU144" s="166"/>
      <c r="BV144" s="166"/>
      <c r="BW144" s="166"/>
      <c r="BX144" s="166"/>
      <c r="BY144" s="166"/>
      <c r="BZ144" s="166"/>
      <c r="CA144" s="166"/>
      <c r="CB144" s="166"/>
      <c r="CC144" s="166"/>
      <c r="CD144" s="177"/>
      <c r="CE144" s="181"/>
      <c r="CF144" s="177"/>
      <c r="CG144" s="179"/>
      <c r="CH144" s="257"/>
      <c r="CI144" s="182"/>
      <c r="CJ144" s="177"/>
      <c r="CK144" s="182"/>
      <c r="CL144" s="177"/>
      <c r="CM144" s="182"/>
      <c r="CN144" s="177"/>
      <c r="CO144" s="182"/>
      <c r="CP144" s="177"/>
      <c r="CQ144" s="178"/>
      <c r="CR144" s="182"/>
      <c r="CS144" s="173"/>
      <c r="CT144" s="65"/>
      <c r="CU144" s="255" t="str">
        <f t="shared" si="2"/>
        <v>MSP</v>
      </c>
    </row>
    <row r="145" ht="60.0" customHeight="1">
      <c r="A145" s="65"/>
      <c r="B145" s="65"/>
      <c r="C145" s="167">
        <v>6.0</v>
      </c>
      <c r="D145" s="168" t="s">
        <v>200</v>
      </c>
      <c r="E145" s="169"/>
      <c r="F145" s="170"/>
      <c r="G145" s="170"/>
      <c r="H145" s="170"/>
      <c r="I145" s="207"/>
      <c r="J145" s="170"/>
      <c r="K145" s="171"/>
      <c r="L145" s="171"/>
      <c r="M145" s="171"/>
      <c r="N145" s="276"/>
      <c r="O145" s="256">
        <f t="shared" si="26"/>
        <v>0</v>
      </c>
      <c r="Q145" s="173"/>
      <c r="R145" s="65"/>
      <c r="S145" s="173"/>
      <c r="T145" s="173"/>
      <c r="U145" s="166"/>
      <c r="V145" s="166"/>
      <c r="W145" s="65"/>
      <c r="X145" s="66"/>
      <c r="Y145" s="173"/>
      <c r="Z145" s="166"/>
      <c r="AA145" s="174"/>
      <c r="AB145" s="175"/>
      <c r="AC145" s="175"/>
      <c r="AD145" s="175"/>
      <c r="AE145" s="175"/>
      <c r="AF145" s="175"/>
      <c r="AG145" s="175"/>
      <c r="AH145" s="175"/>
      <c r="AI145" s="176"/>
      <c r="AJ145" s="177"/>
      <c r="AK145" s="178"/>
      <c r="AL145" s="178"/>
      <c r="AM145" s="178"/>
      <c r="AN145" s="178"/>
      <c r="AO145" s="179"/>
      <c r="AP145" s="64"/>
      <c r="AQ145" s="65"/>
      <c r="AR145" s="65"/>
      <c r="AS145" s="65"/>
      <c r="AT145" s="173"/>
      <c r="AU145" s="177"/>
      <c r="AV145" s="178"/>
      <c r="AW145" s="178"/>
      <c r="AX145" s="179"/>
      <c r="AZ145" s="166"/>
      <c r="BA145" s="177"/>
      <c r="BB145" s="178"/>
      <c r="BC145" s="178"/>
      <c r="BD145" s="178"/>
      <c r="BE145" s="178"/>
      <c r="BF145" s="178"/>
      <c r="BG145" s="178"/>
      <c r="BH145" s="178"/>
      <c r="BI145" s="179"/>
      <c r="BJ145" s="180"/>
      <c r="BK145" s="178"/>
      <c r="BL145" s="178"/>
      <c r="BM145" s="178"/>
      <c r="BN145" s="178"/>
      <c r="BO145" s="181"/>
      <c r="BP145" s="166"/>
      <c r="BQ145" s="177"/>
      <c r="BR145" s="178"/>
      <c r="BS145" s="179"/>
      <c r="BU145" s="166"/>
      <c r="BV145" s="166"/>
      <c r="BW145" s="166"/>
      <c r="BX145" s="166"/>
      <c r="BY145" s="166"/>
      <c r="BZ145" s="166"/>
      <c r="CA145" s="166"/>
      <c r="CB145" s="166"/>
      <c r="CC145" s="166"/>
      <c r="CD145" s="177"/>
      <c r="CE145" s="181"/>
      <c r="CF145" s="177"/>
      <c r="CG145" s="179"/>
      <c r="CH145" s="257"/>
      <c r="CI145" s="182"/>
      <c r="CJ145" s="177"/>
      <c r="CK145" s="182"/>
      <c r="CL145" s="177"/>
      <c r="CM145" s="182"/>
      <c r="CN145" s="177"/>
      <c r="CO145" s="182"/>
      <c r="CP145" s="177"/>
      <c r="CQ145" s="178"/>
      <c r="CR145" s="182"/>
      <c r="CS145" s="173"/>
      <c r="CT145" s="65"/>
      <c r="CU145" s="255" t="str">
        <f t="shared" si="2"/>
        <v>MSP</v>
      </c>
    </row>
    <row r="146" ht="60.0" customHeight="1">
      <c r="A146" s="65"/>
      <c r="B146" s="65"/>
      <c r="C146" s="167">
        <v>7.0</v>
      </c>
      <c r="D146" s="168" t="s">
        <v>200</v>
      </c>
      <c r="E146" s="169"/>
      <c r="F146" s="170"/>
      <c r="G146" s="170"/>
      <c r="H146" s="170"/>
      <c r="I146" s="207"/>
      <c r="J146" s="170"/>
      <c r="K146" s="171"/>
      <c r="L146" s="171"/>
      <c r="M146" s="171"/>
      <c r="N146" s="276"/>
      <c r="O146" s="256">
        <f t="shared" ref="O146:O149" si="27">IF(AND(M146&gt;=20,M146&lt;&gt;"m",RIGHT(K146,3)="Lec"),1,IF(AND(M146&gt;=20,M146&lt;&gt;"m",OR(RIGHT(K146,3)="Lab",RIGHT(K146,3)="Tut")),0.5,IF(AND(M146&gt;=20,M146&lt;&gt;"m",RIGHT(K146,2)="TL"),0.75,0)))</f>
        <v>0</v>
      </c>
      <c r="Q146" s="173"/>
      <c r="R146" s="65"/>
      <c r="S146" s="173"/>
      <c r="T146" s="173"/>
      <c r="U146" s="166"/>
      <c r="V146" s="166"/>
      <c r="W146" s="65"/>
      <c r="X146" s="66"/>
      <c r="Y146" s="173"/>
      <c r="Z146" s="166"/>
      <c r="AA146" s="174"/>
      <c r="AB146" s="175"/>
      <c r="AC146" s="175"/>
      <c r="AD146" s="175"/>
      <c r="AE146" s="175"/>
      <c r="AF146" s="175"/>
      <c r="AG146" s="175"/>
      <c r="AH146" s="175"/>
      <c r="AI146" s="176"/>
      <c r="AJ146" s="177"/>
      <c r="AK146" s="178"/>
      <c r="AL146" s="178"/>
      <c r="AM146" s="178"/>
      <c r="AN146" s="178"/>
      <c r="AO146" s="179"/>
      <c r="AP146" s="64"/>
      <c r="AQ146" s="65"/>
      <c r="AR146" s="65"/>
      <c r="AS146" s="65"/>
      <c r="AT146" s="173"/>
      <c r="AU146" s="177"/>
      <c r="AV146" s="178"/>
      <c r="AW146" s="178"/>
      <c r="AX146" s="179"/>
      <c r="AZ146" s="166"/>
      <c r="BA146" s="177"/>
      <c r="BB146" s="178"/>
      <c r="BC146" s="178"/>
      <c r="BD146" s="178"/>
      <c r="BE146" s="178"/>
      <c r="BF146" s="178"/>
      <c r="BG146" s="178"/>
      <c r="BH146" s="178"/>
      <c r="BI146" s="179"/>
      <c r="BJ146" s="180"/>
      <c r="BK146" s="178"/>
      <c r="BL146" s="178"/>
      <c r="BM146" s="178"/>
      <c r="BN146" s="178"/>
      <c r="BO146" s="181"/>
      <c r="BP146" s="166"/>
      <c r="BQ146" s="177"/>
      <c r="BR146" s="178"/>
      <c r="BS146" s="179"/>
      <c r="BU146" s="166"/>
      <c r="BV146" s="166"/>
      <c r="BW146" s="166"/>
      <c r="BX146" s="166"/>
      <c r="BY146" s="166"/>
      <c r="BZ146" s="166"/>
      <c r="CA146" s="166"/>
      <c r="CB146" s="166"/>
      <c r="CC146" s="166"/>
      <c r="CD146" s="177"/>
      <c r="CE146" s="181"/>
      <c r="CF146" s="177"/>
      <c r="CG146" s="179"/>
      <c r="CH146" s="257"/>
      <c r="CI146" s="182"/>
      <c r="CJ146" s="177"/>
      <c r="CK146" s="182"/>
      <c r="CL146" s="177"/>
      <c r="CM146" s="182"/>
      <c r="CN146" s="177"/>
      <c r="CO146" s="182"/>
      <c r="CP146" s="177"/>
      <c r="CQ146" s="178"/>
      <c r="CR146" s="182"/>
      <c r="CS146" s="173"/>
      <c r="CT146" s="65"/>
      <c r="CU146" s="255" t="str">
        <f t="shared" si="2"/>
        <v>MSP</v>
      </c>
    </row>
    <row r="147" ht="60.0" customHeight="1">
      <c r="A147" s="65"/>
      <c r="B147" s="65"/>
      <c r="C147" s="167">
        <v>8.0</v>
      </c>
      <c r="D147" s="168" t="s">
        <v>200</v>
      </c>
      <c r="E147" s="169"/>
      <c r="F147" s="170"/>
      <c r="G147" s="170"/>
      <c r="H147" s="170"/>
      <c r="I147" s="207"/>
      <c r="J147" s="170"/>
      <c r="K147" s="171"/>
      <c r="L147" s="171"/>
      <c r="M147" s="171"/>
      <c r="N147" s="276"/>
      <c r="O147" s="256">
        <f t="shared" si="27"/>
        <v>0</v>
      </c>
      <c r="Q147" s="173"/>
      <c r="R147" s="65"/>
      <c r="S147" s="173"/>
      <c r="T147" s="173"/>
      <c r="U147" s="166"/>
      <c r="V147" s="166"/>
      <c r="W147" s="65"/>
      <c r="X147" s="66"/>
      <c r="Y147" s="173"/>
      <c r="Z147" s="166"/>
      <c r="AA147" s="174"/>
      <c r="AB147" s="175"/>
      <c r="AC147" s="175"/>
      <c r="AD147" s="175"/>
      <c r="AE147" s="175"/>
      <c r="AF147" s="175"/>
      <c r="AG147" s="175"/>
      <c r="AH147" s="175"/>
      <c r="AI147" s="176"/>
      <c r="AJ147" s="177"/>
      <c r="AK147" s="178"/>
      <c r="AL147" s="178"/>
      <c r="AM147" s="178"/>
      <c r="AN147" s="178"/>
      <c r="AO147" s="179"/>
      <c r="AP147" s="64"/>
      <c r="AQ147" s="65"/>
      <c r="AR147" s="65"/>
      <c r="AS147" s="65"/>
      <c r="AT147" s="173"/>
      <c r="AU147" s="177"/>
      <c r="AV147" s="178"/>
      <c r="AW147" s="178"/>
      <c r="AX147" s="179"/>
      <c r="AZ147" s="166"/>
      <c r="BA147" s="177"/>
      <c r="BB147" s="178"/>
      <c r="BC147" s="178"/>
      <c r="BD147" s="178"/>
      <c r="BE147" s="178"/>
      <c r="BF147" s="178"/>
      <c r="BG147" s="178"/>
      <c r="BH147" s="178"/>
      <c r="BI147" s="179"/>
      <c r="BJ147" s="180"/>
      <c r="BK147" s="178"/>
      <c r="BL147" s="178"/>
      <c r="BM147" s="178"/>
      <c r="BN147" s="178"/>
      <c r="BO147" s="181"/>
      <c r="BP147" s="166"/>
      <c r="BQ147" s="177"/>
      <c r="BR147" s="178"/>
      <c r="BS147" s="179"/>
      <c r="BU147" s="166"/>
      <c r="BV147" s="166"/>
      <c r="BW147" s="166"/>
      <c r="BX147" s="166"/>
      <c r="BY147" s="166"/>
      <c r="BZ147" s="166"/>
      <c r="CA147" s="166"/>
      <c r="CB147" s="166"/>
      <c r="CC147" s="166"/>
      <c r="CD147" s="177"/>
      <c r="CE147" s="181"/>
      <c r="CF147" s="177"/>
      <c r="CG147" s="179"/>
      <c r="CH147" s="257"/>
      <c r="CI147" s="182"/>
      <c r="CJ147" s="177"/>
      <c r="CK147" s="182"/>
      <c r="CL147" s="177"/>
      <c r="CM147" s="182"/>
      <c r="CN147" s="177"/>
      <c r="CO147" s="182"/>
      <c r="CP147" s="177"/>
      <c r="CQ147" s="178"/>
      <c r="CR147" s="182"/>
      <c r="CS147" s="173"/>
      <c r="CT147" s="65"/>
      <c r="CU147" s="255" t="str">
        <f t="shared" si="2"/>
        <v>MSP</v>
      </c>
    </row>
    <row r="148" ht="60.0" customHeight="1">
      <c r="A148" s="65"/>
      <c r="B148" s="65"/>
      <c r="C148" s="167">
        <v>9.0</v>
      </c>
      <c r="D148" s="168" t="s">
        <v>200</v>
      </c>
      <c r="E148" s="169"/>
      <c r="F148" s="170"/>
      <c r="G148" s="170"/>
      <c r="H148" s="170"/>
      <c r="I148" s="207"/>
      <c r="J148" s="170"/>
      <c r="K148" s="171"/>
      <c r="L148" s="171"/>
      <c r="M148" s="171"/>
      <c r="N148" s="276"/>
      <c r="O148" s="256">
        <f t="shared" si="27"/>
        <v>0</v>
      </c>
      <c r="Q148" s="173"/>
      <c r="R148" s="65"/>
      <c r="S148" s="173"/>
      <c r="T148" s="173"/>
      <c r="U148" s="166"/>
      <c r="V148" s="166"/>
      <c r="W148" s="65"/>
      <c r="X148" s="66"/>
      <c r="Y148" s="173"/>
      <c r="Z148" s="166"/>
      <c r="AA148" s="174"/>
      <c r="AB148" s="175"/>
      <c r="AC148" s="175"/>
      <c r="AD148" s="175"/>
      <c r="AE148" s="175"/>
      <c r="AF148" s="175"/>
      <c r="AG148" s="175"/>
      <c r="AH148" s="175"/>
      <c r="AI148" s="176"/>
      <c r="AJ148" s="177"/>
      <c r="AK148" s="178"/>
      <c r="AL148" s="178"/>
      <c r="AM148" s="178"/>
      <c r="AN148" s="178"/>
      <c r="AO148" s="179"/>
      <c r="AP148" s="64"/>
      <c r="AQ148" s="65"/>
      <c r="AR148" s="65"/>
      <c r="AS148" s="65"/>
      <c r="AT148" s="173"/>
      <c r="AU148" s="177"/>
      <c r="AV148" s="178"/>
      <c r="AW148" s="178"/>
      <c r="AX148" s="179"/>
      <c r="AZ148" s="166"/>
      <c r="BA148" s="177"/>
      <c r="BB148" s="178"/>
      <c r="BC148" s="178"/>
      <c r="BD148" s="178"/>
      <c r="BE148" s="178"/>
      <c r="BF148" s="178"/>
      <c r="BG148" s="178"/>
      <c r="BH148" s="178"/>
      <c r="BI148" s="179"/>
      <c r="BJ148" s="180"/>
      <c r="BK148" s="178"/>
      <c r="BL148" s="178"/>
      <c r="BM148" s="178"/>
      <c r="BN148" s="178"/>
      <c r="BO148" s="181"/>
      <c r="BP148" s="166"/>
      <c r="BQ148" s="177"/>
      <c r="BR148" s="178"/>
      <c r="BS148" s="179"/>
      <c r="BU148" s="166"/>
      <c r="BV148" s="166"/>
      <c r="BW148" s="166"/>
      <c r="BX148" s="166"/>
      <c r="BY148" s="166"/>
      <c r="BZ148" s="166"/>
      <c r="CA148" s="166"/>
      <c r="CB148" s="166"/>
      <c r="CC148" s="166"/>
      <c r="CD148" s="177"/>
      <c r="CE148" s="181"/>
      <c r="CF148" s="177"/>
      <c r="CG148" s="179"/>
      <c r="CH148" s="257"/>
      <c r="CI148" s="182"/>
      <c r="CJ148" s="177"/>
      <c r="CK148" s="182"/>
      <c r="CL148" s="177"/>
      <c r="CM148" s="182"/>
      <c r="CN148" s="177"/>
      <c r="CO148" s="182"/>
      <c r="CP148" s="177"/>
      <c r="CQ148" s="178"/>
      <c r="CR148" s="182"/>
      <c r="CS148" s="173"/>
      <c r="CT148" s="65"/>
      <c r="CU148" s="255" t="str">
        <f t="shared" si="2"/>
        <v>MSP</v>
      </c>
    </row>
    <row r="149" ht="60.0" customHeight="1">
      <c r="A149" s="65"/>
      <c r="B149" s="65"/>
      <c r="C149" s="167">
        <v>10.0</v>
      </c>
      <c r="D149" s="168" t="s">
        <v>200</v>
      </c>
      <c r="E149" s="169"/>
      <c r="F149" s="170"/>
      <c r="G149" s="170"/>
      <c r="H149" s="170"/>
      <c r="I149" s="207"/>
      <c r="J149" s="170"/>
      <c r="K149" s="171"/>
      <c r="L149" s="171"/>
      <c r="M149" s="171"/>
      <c r="N149" s="276"/>
      <c r="O149" s="256">
        <f t="shared" si="27"/>
        <v>0</v>
      </c>
      <c r="Q149" s="173"/>
      <c r="R149" s="65"/>
      <c r="S149" s="173"/>
      <c r="T149" s="173"/>
      <c r="U149" s="166"/>
      <c r="V149" s="166"/>
      <c r="W149" s="65"/>
      <c r="X149" s="66"/>
      <c r="Y149" s="173"/>
      <c r="Z149" s="166"/>
      <c r="AA149" s="174"/>
      <c r="AB149" s="175"/>
      <c r="AC149" s="175"/>
      <c r="AD149" s="175"/>
      <c r="AE149" s="175"/>
      <c r="AF149" s="175"/>
      <c r="AG149" s="175"/>
      <c r="AH149" s="175"/>
      <c r="AI149" s="176"/>
      <c r="AJ149" s="177"/>
      <c r="AK149" s="178"/>
      <c r="AL149" s="178"/>
      <c r="AM149" s="178"/>
      <c r="AN149" s="178"/>
      <c r="AO149" s="179"/>
      <c r="AP149" s="64"/>
      <c r="AQ149" s="65"/>
      <c r="AR149" s="65"/>
      <c r="AS149" s="65"/>
      <c r="AT149" s="173"/>
      <c r="AU149" s="177"/>
      <c r="AV149" s="178"/>
      <c r="AW149" s="178"/>
      <c r="AX149" s="179"/>
      <c r="AZ149" s="166"/>
      <c r="BA149" s="177"/>
      <c r="BB149" s="178"/>
      <c r="BC149" s="178"/>
      <c r="BD149" s="178"/>
      <c r="BE149" s="178"/>
      <c r="BF149" s="178"/>
      <c r="BG149" s="178"/>
      <c r="BH149" s="178"/>
      <c r="BI149" s="179"/>
      <c r="BJ149" s="180"/>
      <c r="BK149" s="178"/>
      <c r="BL149" s="178"/>
      <c r="BM149" s="178"/>
      <c r="BN149" s="178"/>
      <c r="BO149" s="181"/>
      <c r="BP149" s="166"/>
      <c r="BQ149" s="177"/>
      <c r="BR149" s="178"/>
      <c r="BS149" s="179"/>
      <c r="BU149" s="166"/>
      <c r="BV149" s="166"/>
      <c r="BW149" s="166"/>
      <c r="BX149" s="166"/>
      <c r="BY149" s="166"/>
      <c r="BZ149" s="166"/>
      <c r="CA149" s="166"/>
      <c r="CB149" s="166"/>
      <c r="CC149" s="166"/>
      <c r="CD149" s="177"/>
      <c r="CE149" s="181"/>
      <c r="CF149" s="177"/>
      <c r="CG149" s="179"/>
      <c r="CH149" s="257"/>
      <c r="CI149" s="182"/>
      <c r="CJ149" s="177"/>
      <c r="CK149" s="182"/>
      <c r="CL149" s="177"/>
      <c r="CM149" s="182"/>
      <c r="CN149" s="177"/>
      <c r="CO149" s="182"/>
      <c r="CP149" s="177"/>
      <c r="CQ149" s="178"/>
      <c r="CR149" s="182"/>
      <c r="CS149" s="173"/>
      <c r="CT149" s="65"/>
      <c r="CU149" s="255" t="str">
        <f t="shared" si="2"/>
        <v>MSP</v>
      </c>
    </row>
    <row r="150" ht="60.0" customHeight="1">
      <c r="A150" s="89"/>
      <c r="B150" s="89"/>
      <c r="C150" s="183">
        <v>11.0</v>
      </c>
      <c r="D150" s="210" t="s">
        <v>200</v>
      </c>
      <c r="E150" s="185"/>
      <c r="F150" s="186"/>
      <c r="G150" s="186"/>
      <c r="H150" s="186"/>
      <c r="I150" s="212"/>
      <c r="J150" s="186"/>
      <c r="K150" s="187"/>
      <c r="L150" s="187"/>
      <c r="M150" s="187"/>
      <c r="N150" s="214"/>
      <c r="O150" s="258">
        <f t="shared" ref="O150:O156" si="28">IF(AND(M150&lt;&gt;0,M150&lt;&gt;"m",M150&lt;&gt;"",RIGHT(K150,3)="Lec"),1,IF(AND(M150&lt;&gt;0,M150&lt;&gt;"m",M150&lt;&gt;"",OR(RIGHT(K150,3)="Lab",RIGHT(K150,3)="Tut")),0.5,IF(AND(M150&lt;&gt;0,M150&lt;&gt;"m",M150&lt;&gt;"",RIGHT(K150,2)="TL"),0.75,0)))</f>
        <v>0</v>
      </c>
      <c r="P150" s="6"/>
      <c r="Q150" s="69"/>
      <c r="R150" s="89"/>
      <c r="S150" s="69"/>
      <c r="T150" s="69"/>
      <c r="U150" s="63"/>
      <c r="V150" s="63"/>
      <c r="W150" s="89"/>
      <c r="X150" s="68"/>
      <c r="Y150" s="69"/>
      <c r="Z150" s="63"/>
      <c r="AA150" s="189"/>
      <c r="AB150" s="190"/>
      <c r="AC150" s="190"/>
      <c r="AD150" s="190"/>
      <c r="AE150" s="190"/>
      <c r="AF150" s="190"/>
      <c r="AG150" s="190"/>
      <c r="AH150" s="190"/>
      <c r="AI150" s="191"/>
      <c r="AJ150" s="192"/>
      <c r="AK150" s="193"/>
      <c r="AL150" s="193"/>
      <c r="AM150" s="193"/>
      <c r="AN150" s="193"/>
      <c r="AO150" s="194"/>
      <c r="AP150" s="103"/>
      <c r="AQ150" s="89"/>
      <c r="AR150" s="89"/>
      <c r="AS150" s="89"/>
      <c r="AT150" s="69"/>
      <c r="AU150" s="192"/>
      <c r="AV150" s="193"/>
      <c r="AW150" s="193"/>
      <c r="AX150" s="194"/>
      <c r="AY150" s="6"/>
      <c r="AZ150" s="63"/>
      <c r="BA150" s="192"/>
      <c r="BB150" s="193"/>
      <c r="BC150" s="193"/>
      <c r="BD150" s="193"/>
      <c r="BE150" s="193"/>
      <c r="BF150" s="193"/>
      <c r="BG150" s="193"/>
      <c r="BH150" s="193"/>
      <c r="BI150" s="194"/>
      <c r="BJ150" s="195"/>
      <c r="BK150" s="193"/>
      <c r="BL150" s="193"/>
      <c r="BM150" s="193"/>
      <c r="BN150" s="193"/>
      <c r="BO150" s="196"/>
      <c r="BP150" s="63"/>
      <c r="BQ150" s="192"/>
      <c r="BR150" s="193"/>
      <c r="BS150" s="194"/>
      <c r="BT150" s="6"/>
      <c r="BU150" s="63"/>
      <c r="BV150" s="63"/>
      <c r="BW150" s="63"/>
      <c r="BX150" s="63"/>
      <c r="BY150" s="63"/>
      <c r="BZ150" s="63"/>
      <c r="CA150" s="63"/>
      <c r="CB150" s="63"/>
      <c r="CC150" s="63"/>
      <c r="CD150" s="192"/>
      <c r="CE150" s="196"/>
      <c r="CF150" s="192"/>
      <c r="CG150" s="194"/>
      <c r="CH150" s="259"/>
      <c r="CI150" s="197"/>
      <c r="CJ150" s="192"/>
      <c r="CK150" s="197"/>
      <c r="CL150" s="192"/>
      <c r="CM150" s="197"/>
      <c r="CN150" s="192"/>
      <c r="CO150" s="197"/>
      <c r="CP150" s="192"/>
      <c r="CQ150" s="193"/>
      <c r="CR150" s="197"/>
      <c r="CS150" s="69"/>
      <c r="CT150" s="89"/>
      <c r="CU150" s="255" t="str">
        <f t="shared" si="2"/>
        <v>MSP</v>
      </c>
    </row>
    <row r="151" ht="55.5" customHeight="1">
      <c r="A151" s="125">
        <v>14.0</v>
      </c>
      <c r="B151" s="274" t="s">
        <v>204</v>
      </c>
      <c r="C151" s="127">
        <v>1.0</v>
      </c>
      <c r="D151" s="168" t="s">
        <v>205</v>
      </c>
      <c r="E151" s="129"/>
      <c r="F151" s="130"/>
      <c r="G151" s="130"/>
      <c r="H151" s="130"/>
      <c r="I151" s="201"/>
      <c r="J151" s="130"/>
      <c r="K151" s="131"/>
      <c r="L151" s="131"/>
      <c r="M151" s="131"/>
      <c r="N151" s="275"/>
      <c r="O151" s="250">
        <f t="shared" si="28"/>
        <v>0</v>
      </c>
      <c r="P151" s="251">
        <f>COUNTIF(K151:K161,"TL")*0.75+COUNTIF(K151:K161,"Lec")*1+COUNTIF(K151:K161,"Lab")*0.5</f>
        <v>0</v>
      </c>
      <c r="Q151" s="134">
        <f>SUM((IF(LEFT(K151,1)="E",O151,0)),(IF(LEFT(K152,1)="E",O152,0)),(IF(LEFT(K153,1)="E",O153,0)),(IF(LEFT(K154,1)="E",O154,0)),(IF(LEFT(K155,1)="E",O155,0)),(IF(LEFT(K156,1)="E",O156,0)),(IF(LEFT(K157,1)="E",O157,0)),(IF(LEFT(K158,1)="E",O158,0)),(IF(LEFT(K159,1)="E",O159,0)),(IF(LEFT(K160,1)="E",O160,0)),(IF(LEFT(K161,1)="E",O161,0)))</f>
        <v>0</v>
      </c>
      <c r="R151" s="135">
        <f>SUM(IF(M157&lt;20,IF(K157="Plec",-1,IF(K157="PTL",-0.75,IF(K157="Plab",-0.5,0))),0),IF(M158&lt;20,IF(K158="Plec",-1,IF(K158="PTL",-0.75,IF(K158="Plab",-0.5,0))),0),IF(M159&lt;20,IF(K159="Plec",-1,IF(K159="PTL",-0.75,IF(K159="Plab",-0.5,0))),0),IF(M160&lt;20,IF(K160="Plec",-1,IF(K160="PTL",-0.75,IF(K160="Plab",-0.5,0))),0))</f>
        <v>0</v>
      </c>
      <c r="S151" s="134">
        <f>SUM(P151:R161)</f>
        <v>0</v>
      </c>
      <c r="T151" s="136">
        <f>SUM(IF(M151="M",IF(OR(K151="lec",K151="plec",K151="slec"),1,IF(OR(K151="lab",K151="plab",K151="slab",K151="tut",K151="ptut",K151="stut"),0.5,IF(OR(K151="TL",K151="pTL",K151="STL"),0.75,0))),0),IF(M152="M",IF(OR(K152="lec",K152="plec",K152="slec"),1,IF(OR(K152="lab",K152="plab",K152="slab",K152="tut",K152="ptut",K152="stut"),0.5,IF(OR(K152="TL",K152="pTL",K152="STL"),0.75,0))),0),IF(M153="M",IF(OR(K153="lec",K153="plec",K153="slec"),1,IF(OR(K153="lab",K153="plab",K153="slab",K153="tut",K153="ptut",K153="stut"),0.5,IF(OR(K153="TL",K153="pTL",K153="STL"),0.75,0))),0),IF(M154="M",IF(OR(K154="lec",K154="plec",K154="slec"),1,IF(OR(K154="lab",K154="plab",K154="slab",K154="tut",K154="ptut",K154="stut"),0.5,IF(OR(K154="TL",K154="pTL",K154="STL"),0.75,0))),0),IF(M155="M",IF(OR(K155="lec",K155="plec",K155="slec"),1,IF(OR(K155="lab",K155="plab",K155="slab",K155="tut",K155="ptut",K155="stut"),0.5,IF(OR(K155="TL",K155="pTL",K155="STL"),0.75,0))),0),IF(M156="M",IF(OR(K156="lec",K156="plec",K156="slec"),1,IF(OR(K156="lab",K156="plab",K156="slab",K156="tut",K156="ptut",K156="stut"),0.5,IF(OR(K156="TL",K156="pTL",K156="STL"),0.75,0))),0),IF(M157="M",IF(OR(K157="lec",K157="plec",K157="slec"),1,IF(OR(K157="lab",K157="plab",K157="slab",K157="tut",K157="ptut",K157="stut"),0.5,IF(OR(K157="TL",K157="pTL",K157="STL"),0.75,0))),0),IF(M158="M",IF(OR(K158="lec",K158="plec",K158="slec"),1,IF(OR(K158="lab",K158="plab",K158="slab",K158="tut",K158="ptut",K158="stut"),0.5,IF(OR(K158="TL",K158="pTL",K158="STL"),0.75,0))),0),IF(M159="M",IF(OR(K159="lec",K159="plec",K159="slec"),1,IF(OR(K159="lab",K159="plab",K159="slab",K159="tut",K159="ptut",K159="stut"),0.5,IF(OR(K159="TL",K159="pTL",K159="STL"),0.75,0))),0),IF(M160="M",IF(OR(K160="lec",K160="plec",K160="slec"),1,IF(OR(K160="lab",K160="plab",K160="slab",K160="tut",K160="ptut",K160="stut"),0.5,IF(OR(K160="TL",K160="pTL",K160="STL"),0.75,0))),0),IF(M161="M",IF(OR(K161="lec",K161="plec",K161="slec"),1,IF(OR(K161="lab",K161="plab",K161="slab",K161="tut",K161="ptut",K161="stut"),0.5,IF(OR(K161="TL",K161="pTL",K161="STL"),0.75,0))),0))</f>
        <v>0</v>
      </c>
      <c r="U151" s="137"/>
      <c r="V151" s="133"/>
      <c r="W151" s="138"/>
      <c r="X151" s="139">
        <f>S151-(T151+U151+V151+W151)</f>
        <v>0</v>
      </c>
      <c r="Y151" s="134" t="str">
        <f>CONCATENATE(SUM(O151:O161),"(",SUM(O151:O161)-X151,")")</f>
        <v>0(0)</v>
      </c>
      <c r="Z151" s="140"/>
      <c r="AA151" s="141"/>
      <c r="AB151" s="142"/>
      <c r="AC151" s="142"/>
      <c r="AD151" s="142"/>
      <c r="AE151" s="142"/>
      <c r="AF151" s="142"/>
      <c r="AG151" s="142"/>
      <c r="AH151" s="142"/>
      <c r="AI151" s="143"/>
      <c r="AJ151" s="144"/>
      <c r="AK151" s="145"/>
      <c r="AL151" s="145"/>
      <c r="AM151" s="145"/>
      <c r="AN151" s="145"/>
      <c r="AO151" s="146"/>
      <c r="AP151" s="147">
        <f>SUM(SUM(O151:O161),SUM(AI151:AI161)/2,AM151)</f>
        <v>0</v>
      </c>
      <c r="AQ151" s="148"/>
      <c r="AR151" s="148">
        <f>AP151*AQ151</f>
        <v>0</v>
      </c>
      <c r="AS151" s="148">
        <f>CT151</f>
        <v>0</v>
      </c>
      <c r="AT151" s="149">
        <f>AR151*0.75+AS151*0.25</f>
        <v>0</v>
      </c>
      <c r="AU151" s="150"/>
      <c r="AV151" s="151"/>
      <c r="AW151" s="151"/>
      <c r="AX151" s="152"/>
      <c r="AY151" s="153"/>
      <c r="AZ151" s="140"/>
      <c r="BA151" s="150"/>
      <c r="BB151" s="151"/>
      <c r="BC151" s="151"/>
      <c r="BD151" s="151"/>
      <c r="BE151" s="151"/>
      <c r="BF151" s="151"/>
      <c r="BG151" s="151"/>
      <c r="BH151" s="151"/>
      <c r="BI151" s="152"/>
      <c r="BJ151" s="154"/>
      <c r="BK151" s="151"/>
      <c r="BL151" s="151"/>
      <c r="BM151" s="151"/>
      <c r="BN151" s="151"/>
      <c r="BO151" s="155"/>
      <c r="BP151" s="140"/>
      <c r="BQ151" s="156"/>
      <c r="BR151" s="157"/>
      <c r="BS151" s="158"/>
      <c r="BT151" s="153"/>
      <c r="BU151" s="140"/>
      <c r="BV151" s="140"/>
      <c r="BW151" s="140"/>
      <c r="BX151" s="140"/>
      <c r="BY151" s="140"/>
      <c r="BZ151" s="140"/>
      <c r="CA151" s="140"/>
      <c r="CB151" s="140"/>
      <c r="CC151" s="140"/>
      <c r="CD151" s="150"/>
      <c r="CE151" s="155"/>
      <c r="CF151" s="150"/>
      <c r="CG151" s="152"/>
      <c r="CH151" s="252"/>
      <c r="CI151" s="160"/>
      <c r="CJ151" s="159"/>
      <c r="CK151" s="160"/>
      <c r="CL151" s="159"/>
      <c r="CM151" s="160"/>
      <c r="CN151" s="159"/>
      <c r="CO151" s="160"/>
      <c r="CP151" s="159"/>
      <c r="CQ151" s="162"/>
      <c r="CR151" s="160"/>
      <c r="CS151" s="253">
        <f>SUM(IF(AU151&lt;0,ABS(AU151),0),IF(AZ151&lt;0,ABS(AZ151),0),ABS(CI151),ABS(CK151),ABS(CM151),ABS(CO151),ABS(CQ151),ABS(CR151))</f>
        <v>0</v>
      </c>
      <c r="CT151" s="254">
        <f>SUM(AU151,AV151,AW151,AX151/400,AY151,AZ151,BG151,BH151*0.5,BI151*0.25,BJ151,BK151,BL151,BM151,BN151,BO151,BP151,BR151/20,BS151/100,BT151/60,BU151,BV151,BW151,BX151/4,SUM(BY151:CC161)/3,CE151,CG151/3,CI151,CK151,CM151,CO151,CQ151,CR151)</f>
        <v>0</v>
      </c>
      <c r="CU151" s="255" t="str">
        <f t="shared" si="2"/>
        <v>AJK</v>
      </c>
    </row>
    <row r="152" ht="60.0" customHeight="1">
      <c r="A152" s="65"/>
      <c r="B152" s="65"/>
      <c r="C152" s="167">
        <v>2.0</v>
      </c>
      <c r="D152" s="168" t="s">
        <v>205</v>
      </c>
      <c r="E152" s="169"/>
      <c r="F152" s="170"/>
      <c r="G152" s="170"/>
      <c r="H152" s="170"/>
      <c r="I152" s="207"/>
      <c r="J152" s="170"/>
      <c r="K152" s="171"/>
      <c r="L152" s="171"/>
      <c r="M152" s="171"/>
      <c r="N152" s="276"/>
      <c r="O152" s="256">
        <f t="shared" si="28"/>
        <v>0</v>
      </c>
      <c r="Q152" s="173"/>
      <c r="R152" s="65"/>
      <c r="S152" s="173"/>
      <c r="T152" s="173"/>
      <c r="U152" s="166"/>
      <c r="V152" s="166"/>
      <c r="W152" s="65"/>
      <c r="X152" s="66"/>
      <c r="Y152" s="173"/>
      <c r="Z152" s="166"/>
      <c r="AA152" s="174"/>
      <c r="AB152" s="175"/>
      <c r="AC152" s="175"/>
      <c r="AD152" s="175"/>
      <c r="AE152" s="175"/>
      <c r="AF152" s="175"/>
      <c r="AG152" s="175"/>
      <c r="AH152" s="175"/>
      <c r="AI152" s="176"/>
      <c r="AJ152" s="177"/>
      <c r="AK152" s="178"/>
      <c r="AL152" s="178"/>
      <c r="AM152" s="178"/>
      <c r="AN152" s="178"/>
      <c r="AO152" s="179"/>
      <c r="AP152" s="64"/>
      <c r="AQ152" s="65"/>
      <c r="AR152" s="65"/>
      <c r="AS152" s="65"/>
      <c r="AT152" s="173"/>
      <c r="AU152" s="177"/>
      <c r="AV152" s="178"/>
      <c r="AW152" s="178"/>
      <c r="AX152" s="179"/>
      <c r="AZ152" s="166"/>
      <c r="BA152" s="177"/>
      <c r="BB152" s="178"/>
      <c r="BC152" s="178"/>
      <c r="BD152" s="178"/>
      <c r="BE152" s="178"/>
      <c r="BF152" s="178"/>
      <c r="BG152" s="178"/>
      <c r="BH152" s="178"/>
      <c r="BI152" s="179"/>
      <c r="BJ152" s="180"/>
      <c r="BK152" s="178"/>
      <c r="BL152" s="178"/>
      <c r="BM152" s="178"/>
      <c r="BN152" s="178"/>
      <c r="BO152" s="181"/>
      <c r="BP152" s="166"/>
      <c r="BQ152" s="177"/>
      <c r="BR152" s="178"/>
      <c r="BS152" s="179"/>
      <c r="BU152" s="166"/>
      <c r="BV152" s="166"/>
      <c r="BW152" s="166"/>
      <c r="BX152" s="166"/>
      <c r="BY152" s="166"/>
      <c r="BZ152" s="166"/>
      <c r="CA152" s="166"/>
      <c r="CB152" s="166"/>
      <c r="CC152" s="166"/>
      <c r="CD152" s="177"/>
      <c r="CE152" s="181"/>
      <c r="CF152" s="177"/>
      <c r="CG152" s="179"/>
      <c r="CH152" s="257"/>
      <c r="CI152" s="182"/>
      <c r="CJ152" s="177"/>
      <c r="CK152" s="182"/>
      <c r="CL152" s="177"/>
      <c r="CM152" s="182"/>
      <c r="CN152" s="177"/>
      <c r="CO152" s="182"/>
      <c r="CP152" s="177"/>
      <c r="CQ152" s="178"/>
      <c r="CR152" s="182"/>
      <c r="CS152" s="173"/>
      <c r="CT152" s="65"/>
      <c r="CU152" s="255" t="str">
        <f t="shared" si="2"/>
        <v>AJK</v>
      </c>
    </row>
    <row r="153" ht="60.0" customHeight="1">
      <c r="A153" s="65"/>
      <c r="B153" s="65"/>
      <c r="C153" s="167">
        <v>3.0</v>
      </c>
      <c r="D153" s="168" t="s">
        <v>205</v>
      </c>
      <c r="E153" s="169"/>
      <c r="F153" s="170"/>
      <c r="G153" s="170"/>
      <c r="H153" s="170"/>
      <c r="I153" s="207"/>
      <c r="J153" s="170"/>
      <c r="K153" s="171"/>
      <c r="L153" s="171"/>
      <c r="M153" s="171"/>
      <c r="N153" s="276"/>
      <c r="O153" s="256">
        <f t="shared" si="28"/>
        <v>0</v>
      </c>
      <c r="Q153" s="173"/>
      <c r="R153" s="65"/>
      <c r="S153" s="173"/>
      <c r="T153" s="173"/>
      <c r="U153" s="166"/>
      <c r="V153" s="166"/>
      <c r="W153" s="65"/>
      <c r="X153" s="66"/>
      <c r="Y153" s="173"/>
      <c r="Z153" s="166"/>
      <c r="AA153" s="174"/>
      <c r="AB153" s="175"/>
      <c r="AC153" s="175"/>
      <c r="AD153" s="175"/>
      <c r="AE153" s="175"/>
      <c r="AF153" s="175"/>
      <c r="AG153" s="175"/>
      <c r="AH153" s="175"/>
      <c r="AI153" s="176"/>
      <c r="AJ153" s="177"/>
      <c r="AK153" s="178"/>
      <c r="AL153" s="178"/>
      <c r="AM153" s="178"/>
      <c r="AN153" s="178"/>
      <c r="AO153" s="179"/>
      <c r="AP153" s="64"/>
      <c r="AQ153" s="65"/>
      <c r="AR153" s="65"/>
      <c r="AS153" s="65"/>
      <c r="AT153" s="173"/>
      <c r="AU153" s="177"/>
      <c r="AV153" s="178"/>
      <c r="AW153" s="178"/>
      <c r="AX153" s="179"/>
      <c r="AZ153" s="166"/>
      <c r="BA153" s="177"/>
      <c r="BB153" s="178"/>
      <c r="BC153" s="178"/>
      <c r="BD153" s="178"/>
      <c r="BE153" s="178"/>
      <c r="BF153" s="178"/>
      <c r="BG153" s="178"/>
      <c r="BH153" s="178"/>
      <c r="BI153" s="179"/>
      <c r="BJ153" s="180"/>
      <c r="BK153" s="178"/>
      <c r="BL153" s="178"/>
      <c r="BM153" s="178"/>
      <c r="BN153" s="178"/>
      <c r="BO153" s="181"/>
      <c r="BP153" s="166"/>
      <c r="BQ153" s="177"/>
      <c r="BR153" s="178"/>
      <c r="BS153" s="179"/>
      <c r="BU153" s="166"/>
      <c r="BV153" s="166"/>
      <c r="BW153" s="166"/>
      <c r="BX153" s="166"/>
      <c r="BY153" s="166"/>
      <c r="BZ153" s="166"/>
      <c r="CA153" s="166"/>
      <c r="CB153" s="166"/>
      <c r="CC153" s="166"/>
      <c r="CD153" s="177"/>
      <c r="CE153" s="181"/>
      <c r="CF153" s="177"/>
      <c r="CG153" s="179"/>
      <c r="CH153" s="257"/>
      <c r="CI153" s="182"/>
      <c r="CJ153" s="177"/>
      <c r="CK153" s="182"/>
      <c r="CL153" s="177"/>
      <c r="CM153" s="182"/>
      <c r="CN153" s="177"/>
      <c r="CO153" s="182"/>
      <c r="CP153" s="177"/>
      <c r="CQ153" s="178"/>
      <c r="CR153" s="182"/>
      <c r="CS153" s="173"/>
      <c r="CT153" s="65"/>
      <c r="CU153" s="255" t="str">
        <f t="shared" si="2"/>
        <v>AJK</v>
      </c>
    </row>
    <row r="154" ht="60.0" customHeight="1">
      <c r="A154" s="65"/>
      <c r="B154" s="65"/>
      <c r="C154" s="167">
        <v>4.0</v>
      </c>
      <c r="D154" s="168" t="s">
        <v>205</v>
      </c>
      <c r="E154" s="169"/>
      <c r="F154" s="170"/>
      <c r="G154" s="170"/>
      <c r="H154" s="170"/>
      <c r="I154" s="207"/>
      <c r="J154" s="170"/>
      <c r="K154" s="171"/>
      <c r="L154" s="171"/>
      <c r="M154" s="171"/>
      <c r="N154" s="276"/>
      <c r="O154" s="256">
        <f t="shared" si="28"/>
        <v>0</v>
      </c>
      <c r="Q154" s="173"/>
      <c r="R154" s="65"/>
      <c r="S154" s="173"/>
      <c r="T154" s="173"/>
      <c r="U154" s="166"/>
      <c r="V154" s="166"/>
      <c r="W154" s="65"/>
      <c r="X154" s="66"/>
      <c r="Y154" s="173"/>
      <c r="Z154" s="166"/>
      <c r="AA154" s="174"/>
      <c r="AB154" s="175"/>
      <c r="AC154" s="175"/>
      <c r="AD154" s="175"/>
      <c r="AE154" s="175"/>
      <c r="AF154" s="175"/>
      <c r="AG154" s="175"/>
      <c r="AH154" s="175"/>
      <c r="AI154" s="176"/>
      <c r="AJ154" s="177"/>
      <c r="AK154" s="178"/>
      <c r="AL154" s="178"/>
      <c r="AM154" s="178"/>
      <c r="AN154" s="178"/>
      <c r="AO154" s="179"/>
      <c r="AP154" s="64"/>
      <c r="AQ154" s="65"/>
      <c r="AR154" s="65"/>
      <c r="AS154" s="65"/>
      <c r="AT154" s="173"/>
      <c r="AU154" s="177"/>
      <c r="AV154" s="178"/>
      <c r="AW154" s="178"/>
      <c r="AX154" s="179"/>
      <c r="AZ154" s="166"/>
      <c r="BA154" s="177"/>
      <c r="BB154" s="178"/>
      <c r="BC154" s="178"/>
      <c r="BD154" s="178"/>
      <c r="BE154" s="178"/>
      <c r="BF154" s="178"/>
      <c r="BG154" s="178"/>
      <c r="BH154" s="178"/>
      <c r="BI154" s="179"/>
      <c r="BJ154" s="180"/>
      <c r="BK154" s="178"/>
      <c r="BL154" s="178"/>
      <c r="BM154" s="178"/>
      <c r="BN154" s="178"/>
      <c r="BO154" s="181"/>
      <c r="BP154" s="166"/>
      <c r="BQ154" s="177"/>
      <c r="BR154" s="178"/>
      <c r="BS154" s="179"/>
      <c r="BU154" s="166"/>
      <c r="BV154" s="166"/>
      <c r="BW154" s="166"/>
      <c r="BX154" s="166"/>
      <c r="BY154" s="166"/>
      <c r="BZ154" s="166"/>
      <c r="CA154" s="166"/>
      <c r="CB154" s="166"/>
      <c r="CC154" s="166"/>
      <c r="CD154" s="177"/>
      <c r="CE154" s="181"/>
      <c r="CF154" s="177"/>
      <c r="CG154" s="179"/>
      <c r="CH154" s="257"/>
      <c r="CI154" s="182"/>
      <c r="CJ154" s="177"/>
      <c r="CK154" s="182"/>
      <c r="CL154" s="177"/>
      <c r="CM154" s="182"/>
      <c r="CN154" s="177"/>
      <c r="CO154" s="182"/>
      <c r="CP154" s="177"/>
      <c r="CQ154" s="178"/>
      <c r="CR154" s="182"/>
      <c r="CS154" s="173"/>
      <c r="CT154" s="65"/>
      <c r="CU154" s="255" t="str">
        <f t="shared" si="2"/>
        <v>AJK</v>
      </c>
    </row>
    <row r="155" ht="60.0" customHeight="1">
      <c r="A155" s="65"/>
      <c r="B155" s="65"/>
      <c r="C155" s="167">
        <v>5.0</v>
      </c>
      <c r="D155" s="168" t="s">
        <v>205</v>
      </c>
      <c r="E155" s="169"/>
      <c r="F155" s="170"/>
      <c r="G155" s="170"/>
      <c r="H155" s="170"/>
      <c r="I155" s="207"/>
      <c r="J155" s="170"/>
      <c r="K155" s="171"/>
      <c r="L155" s="171"/>
      <c r="M155" s="171"/>
      <c r="N155" s="276"/>
      <c r="O155" s="256">
        <f t="shared" si="28"/>
        <v>0</v>
      </c>
      <c r="Q155" s="173"/>
      <c r="R155" s="65"/>
      <c r="S155" s="173"/>
      <c r="T155" s="173"/>
      <c r="U155" s="166"/>
      <c r="V155" s="166"/>
      <c r="W155" s="65"/>
      <c r="X155" s="66"/>
      <c r="Y155" s="173"/>
      <c r="Z155" s="166"/>
      <c r="AA155" s="174"/>
      <c r="AB155" s="175"/>
      <c r="AC155" s="175"/>
      <c r="AD155" s="175"/>
      <c r="AE155" s="175"/>
      <c r="AF155" s="175"/>
      <c r="AG155" s="175"/>
      <c r="AH155" s="175"/>
      <c r="AI155" s="176"/>
      <c r="AJ155" s="177"/>
      <c r="AK155" s="178"/>
      <c r="AL155" s="178"/>
      <c r="AM155" s="178"/>
      <c r="AN155" s="178"/>
      <c r="AO155" s="179"/>
      <c r="AP155" s="64"/>
      <c r="AQ155" s="65"/>
      <c r="AR155" s="65"/>
      <c r="AS155" s="65"/>
      <c r="AT155" s="173"/>
      <c r="AU155" s="177"/>
      <c r="AV155" s="178"/>
      <c r="AW155" s="178"/>
      <c r="AX155" s="179"/>
      <c r="AZ155" s="166"/>
      <c r="BA155" s="177"/>
      <c r="BB155" s="178"/>
      <c r="BC155" s="178"/>
      <c r="BD155" s="178"/>
      <c r="BE155" s="178"/>
      <c r="BF155" s="178"/>
      <c r="BG155" s="178"/>
      <c r="BH155" s="178"/>
      <c r="BI155" s="179"/>
      <c r="BJ155" s="180"/>
      <c r="BK155" s="178"/>
      <c r="BL155" s="178"/>
      <c r="BM155" s="178"/>
      <c r="BN155" s="178"/>
      <c r="BO155" s="181"/>
      <c r="BP155" s="166"/>
      <c r="BQ155" s="177"/>
      <c r="BR155" s="178"/>
      <c r="BS155" s="179"/>
      <c r="BU155" s="166"/>
      <c r="BV155" s="166"/>
      <c r="BW155" s="166"/>
      <c r="BX155" s="166"/>
      <c r="BY155" s="166"/>
      <c r="BZ155" s="166"/>
      <c r="CA155" s="166"/>
      <c r="CB155" s="166"/>
      <c r="CC155" s="166"/>
      <c r="CD155" s="177"/>
      <c r="CE155" s="181"/>
      <c r="CF155" s="177"/>
      <c r="CG155" s="179"/>
      <c r="CH155" s="257"/>
      <c r="CI155" s="182"/>
      <c r="CJ155" s="177"/>
      <c r="CK155" s="182"/>
      <c r="CL155" s="177"/>
      <c r="CM155" s="182"/>
      <c r="CN155" s="177"/>
      <c r="CO155" s="182"/>
      <c r="CP155" s="177"/>
      <c r="CQ155" s="178"/>
      <c r="CR155" s="182"/>
      <c r="CS155" s="173"/>
      <c r="CT155" s="65"/>
      <c r="CU155" s="255" t="str">
        <f t="shared" si="2"/>
        <v>AJK</v>
      </c>
    </row>
    <row r="156" ht="60.0" customHeight="1">
      <c r="A156" s="65"/>
      <c r="B156" s="65"/>
      <c r="C156" s="167">
        <v>6.0</v>
      </c>
      <c r="D156" s="168" t="s">
        <v>205</v>
      </c>
      <c r="E156" s="169"/>
      <c r="F156" s="170"/>
      <c r="G156" s="170"/>
      <c r="H156" s="170"/>
      <c r="I156" s="207"/>
      <c r="J156" s="170"/>
      <c r="K156" s="171"/>
      <c r="L156" s="171"/>
      <c r="M156" s="171"/>
      <c r="N156" s="276"/>
      <c r="O156" s="256">
        <f t="shared" si="28"/>
        <v>0</v>
      </c>
      <c r="Q156" s="173"/>
      <c r="R156" s="65"/>
      <c r="S156" s="173"/>
      <c r="T156" s="173"/>
      <c r="U156" s="166"/>
      <c r="V156" s="166"/>
      <c r="W156" s="65"/>
      <c r="X156" s="66"/>
      <c r="Y156" s="173"/>
      <c r="Z156" s="166"/>
      <c r="AA156" s="174"/>
      <c r="AB156" s="175"/>
      <c r="AC156" s="175"/>
      <c r="AD156" s="175"/>
      <c r="AE156" s="175"/>
      <c r="AF156" s="175"/>
      <c r="AG156" s="175"/>
      <c r="AH156" s="175"/>
      <c r="AI156" s="176"/>
      <c r="AJ156" s="177"/>
      <c r="AK156" s="178"/>
      <c r="AL156" s="178"/>
      <c r="AM156" s="178"/>
      <c r="AN156" s="178"/>
      <c r="AO156" s="179"/>
      <c r="AP156" s="64"/>
      <c r="AQ156" s="65"/>
      <c r="AR156" s="65"/>
      <c r="AS156" s="65"/>
      <c r="AT156" s="173"/>
      <c r="AU156" s="177"/>
      <c r="AV156" s="178"/>
      <c r="AW156" s="178"/>
      <c r="AX156" s="179"/>
      <c r="AZ156" s="166"/>
      <c r="BA156" s="177"/>
      <c r="BB156" s="178"/>
      <c r="BC156" s="178"/>
      <c r="BD156" s="178"/>
      <c r="BE156" s="178"/>
      <c r="BF156" s="178"/>
      <c r="BG156" s="178"/>
      <c r="BH156" s="178"/>
      <c r="BI156" s="179"/>
      <c r="BJ156" s="180"/>
      <c r="BK156" s="178"/>
      <c r="BL156" s="178"/>
      <c r="BM156" s="178"/>
      <c r="BN156" s="178"/>
      <c r="BO156" s="181"/>
      <c r="BP156" s="166"/>
      <c r="BQ156" s="177"/>
      <c r="BR156" s="178"/>
      <c r="BS156" s="179"/>
      <c r="BU156" s="166"/>
      <c r="BV156" s="166"/>
      <c r="BW156" s="166"/>
      <c r="BX156" s="166"/>
      <c r="BY156" s="166"/>
      <c r="BZ156" s="166"/>
      <c r="CA156" s="166"/>
      <c r="CB156" s="166"/>
      <c r="CC156" s="166"/>
      <c r="CD156" s="177"/>
      <c r="CE156" s="181"/>
      <c r="CF156" s="177"/>
      <c r="CG156" s="179"/>
      <c r="CH156" s="257"/>
      <c r="CI156" s="182"/>
      <c r="CJ156" s="177"/>
      <c r="CK156" s="182"/>
      <c r="CL156" s="177"/>
      <c r="CM156" s="182"/>
      <c r="CN156" s="177"/>
      <c r="CO156" s="182"/>
      <c r="CP156" s="177"/>
      <c r="CQ156" s="178"/>
      <c r="CR156" s="182"/>
      <c r="CS156" s="173"/>
      <c r="CT156" s="65"/>
      <c r="CU156" s="255" t="str">
        <f t="shared" si="2"/>
        <v>AJK</v>
      </c>
    </row>
    <row r="157" ht="60.0" customHeight="1">
      <c r="A157" s="65"/>
      <c r="B157" s="65"/>
      <c r="C157" s="167">
        <v>7.0</v>
      </c>
      <c r="D157" s="168" t="s">
        <v>205</v>
      </c>
      <c r="E157" s="169"/>
      <c r="F157" s="170"/>
      <c r="G157" s="170"/>
      <c r="H157" s="170"/>
      <c r="I157" s="207"/>
      <c r="J157" s="170"/>
      <c r="K157" s="171"/>
      <c r="L157" s="171"/>
      <c r="M157" s="171"/>
      <c r="N157" s="276"/>
      <c r="O157" s="256">
        <f t="shared" ref="O157:O160" si="29">IF(AND(M157&gt;=20,M157&lt;&gt;"m",RIGHT(K157,3)="Lec"),1,IF(AND(M157&gt;=20,M157&lt;&gt;"m",OR(RIGHT(K157,3)="Lab",RIGHT(K157,3)="Tut")),0.5,IF(AND(M157&gt;=20,M157&lt;&gt;"m",RIGHT(K157,2)="TL"),0.75,0)))</f>
        <v>0</v>
      </c>
      <c r="Q157" s="173"/>
      <c r="R157" s="65"/>
      <c r="S157" s="173"/>
      <c r="T157" s="173"/>
      <c r="U157" s="166"/>
      <c r="V157" s="166"/>
      <c r="W157" s="65"/>
      <c r="X157" s="66"/>
      <c r="Y157" s="173"/>
      <c r="Z157" s="166"/>
      <c r="AA157" s="174"/>
      <c r="AB157" s="175"/>
      <c r="AC157" s="175"/>
      <c r="AD157" s="175"/>
      <c r="AE157" s="175"/>
      <c r="AF157" s="175"/>
      <c r="AG157" s="175"/>
      <c r="AH157" s="175"/>
      <c r="AI157" s="176"/>
      <c r="AJ157" s="177"/>
      <c r="AK157" s="178"/>
      <c r="AL157" s="178"/>
      <c r="AM157" s="178"/>
      <c r="AN157" s="178"/>
      <c r="AO157" s="179"/>
      <c r="AP157" s="64"/>
      <c r="AQ157" s="65"/>
      <c r="AR157" s="65"/>
      <c r="AS157" s="65"/>
      <c r="AT157" s="173"/>
      <c r="AU157" s="177"/>
      <c r="AV157" s="178"/>
      <c r="AW157" s="178"/>
      <c r="AX157" s="179"/>
      <c r="AZ157" s="166"/>
      <c r="BA157" s="177"/>
      <c r="BB157" s="178"/>
      <c r="BC157" s="178"/>
      <c r="BD157" s="178"/>
      <c r="BE157" s="178"/>
      <c r="BF157" s="178"/>
      <c r="BG157" s="178"/>
      <c r="BH157" s="178"/>
      <c r="BI157" s="179"/>
      <c r="BJ157" s="180"/>
      <c r="BK157" s="178"/>
      <c r="BL157" s="178"/>
      <c r="BM157" s="178"/>
      <c r="BN157" s="178"/>
      <c r="BO157" s="181"/>
      <c r="BP157" s="166"/>
      <c r="BQ157" s="177"/>
      <c r="BR157" s="178"/>
      <c r="BS157" s="179"/>
      <c r="BU157" s="166"/>
      <c r="BV157" s="166"/>
      <c r="BW157" s="166"/>
      <c r="BX157" s="166"/>
      <c r="BY157" s="166"/>
      <c r="BZ157" s="166"/>
      <c r="CA157" s="166"/>
      <c r="CB157" s="166"/>
      <c r="CC157" s="166"/>
      <c r="CD157" s="177"/>
      <c r="CE157" s="181"/>
      <c r="CF157" s="177"/>
      <c r="CG157" s="179"/>
      <c r="CH157" s="257"/>
      <c r="CI157" s="182"/>
      <c r="CJ157" s="177"/>
      <c r="CK157" s="182"/>
      <c r="CL157" s="177"/>
      <c r="CM157" s="182"/>
      <c r="CN157" s="177"/>
      <c r="CO157" s="182"/>
      <c r="CP157" s="177"/>
      <c r="CQ157" s="178"/>
      <c r="CR157" s="182"/>
      <c r="CS157" s="173"/>
      <c r="CT157" s="65"/>
      <c r="CU157" s="255" t="str">
        <f t="shared" si="2"/>
        <v>AJK</v>
      </c>
    </row>
    <row r="158" ht="60.0" customHeight="1">
      <c r="A158" s="65"/>
      <c r="B158" s="65"/>
      <c r="C158" s="167">
        <v>8.0</v>
      </c>
      <c r="D158" s="168" t="s">
        <v>205</v>
      </c>
      <c r="E158" s="169"/>
      <c r="F158" s="170"/>
      <c r="G158" s="170"/>
      <c r="H158" s="170"/>
      <c r="I158" s="207"/>
      <c r="J158" s="170"/>
      <c r="K158" s="171"/>
      <c r="L158" s="171"/>
      <c r="M158" s="171"/>
      <c r="N158" s="276"/>
      <c r="O158" s="256">
        <f t="shared" si="29"/>
        <v>0</v>
      </c>
      <c r="Q158" s="173"/>
      <c r="R158" s="65"/>
      <c r="S158" s="173"/>
      <c r="T158" s="173"/>
      <c r="U158" s="166"/>
      <c r="V158" s="166"/>
      <c r="W158" s="65"/>
      <c r="X158" s="66"/>
      <c r="Y158" s="173"/>
      <c r="Z158" s="166"/>
      <c r="AA158" s="174"/>
      <c r="AB158" s="175"/>
      <c r="AC158" s="175"/>
      <c r="AD158" s="175"/>
      <c r="AE158" s="175"/>
      <c r="AF158" s="175"/>
      <c r="AG158" s="175"/>
      <c r="AH158" s="175"/>
      <c r="AI158" s="176"/>
      <c r="AJ158" s="177"/>
      <c r="AK158" s="178"/>
      <c r="AL158" s="178"/>
      <c r="AM158" s="178"/>
      <c r="AN158" s="178"/>
      <c r="AO158" s="179"/>
      <c r="AP158" s="64"/>
      <c r="AQ158" s="65"/>
      <c r="AR158" s="65"/>
      <c r="AS158" s="65"/>
      <c r="AT158" s="173"/>
      <c r="AU158" s="177"/>
      <c r="AV158" s="178"/>
      <c r="AW158" s="178"/>
      <c r="AX158" s="179"/>
      <c r="AZ158" s="166"/>
      <c r="BA158" s="177"/>
      <c r="BB158" s="178"/>
      <c r="BC158" s="178"/>
      <c r="BD158" s="178"/>
      <c r="BE158" s="178"/>
      <c r="BF158" s="178"/>
      <c r="BG158" s="178"/>
      <c r="BH158" s="178"/>
      <c r="BI158" s="179"/>
      <c r="BJ158" s="180"/>
      <c r="BK158" s="178"/>
      <c r="BL158" s="178"/>
      <c r="BM158" s="178"/>
      <c r="BN158" s="178"/>
      <c r="BO158" s="181"/>
      <c r="BP158" s="166"/>
      <c r="BQ158" s="177"/>
      <c r="BR158" s="178"/>
      <c r="BS158" s="179"/>
      <c r="BU158" s="166"/>
      <c r="BV158" s="166"/>
      <c r="BW158" s="166"/>
      <c r="BX158" s="166"/>
      <c r="BY158" s="166"/>
      <c r="BZ158" s="166"/>
      <c r="CA158" s="166"/>
      <c r="CB158" s="166"/>
      <c r="CC158" s="166"/>
      <c r="CD158" s="177"/>
      <c r="CE158" s="181"/>
      <c r="CF158" s="177"/>
      <c r="CG158" s="179"/>
      <c r="CH158" s="257"/>
      <c r="CI158" s="182"/>
      <c r="CJ158" s="177"/>
      <c r="CK158" s="182"/>
      <c r="CL158" s="177"/>
      <c r="CM158" s="182"/>
      <c r="CN158" s="177"/>
      <c r="CO158" s="182"/>
      <c r="CP158" s="177"/>
      <c r="CQ158" s="178"/>
      <c r="CR158" s="182"/>
      <c r="CS158" s="173"/>
      <c r="CT158" s="65"/>
      <c r="CU158" s="255" t="str">
        <f t="shared" si="2"/>
        <v>AJK</v>
      </c>
    </row>
    <row r="159" ht="60.0" customHeight="1">
      <c r="A159" s="65"/>
      <c r="B159" s="65"/>
      <c r="C159" s="167">
        <v>9.0</v>
      </c>
      <c r="D159" s="168" t="s">
        <v>205</v>
      </c>
      <c r="E159" s="169"/>
      <c r="F159" s="170"/>
      <c r="G159" s="170"/>
      <c r="H159" s="170"/>
      <c r="I159" s="207"/>
      <c r="J159" s="170"/>
      <c r="K159" s="171"/>
      <c r="L159" s="171"/>
      <c r="M159" s="171"/>
      <c r="N159" s="276"/>
      <c r="O159" s="256">
        <f t="shared" si="29"/>
        <v>0</v>
      </c>
      <c r="Q159" s="173"/>
      <c r="R159" s="65"/>
      <c r="S159" s="173"/>
      <c r="T159" s="173"/>
      <c r="U159" s="166"/>
      <c r="V159" s="166"/>
      <c r="W159" s="65"/>
      <c r="X159" s="66"/>
      <c r="Y159" s="173"/>
      <c r="Z159" s="166"/>
      <c r="AA159" s="174"/>
      <c r="AB159" s="175"/>
      <c r="AC159" s="175"/>
      <c r="AD159" s="175"/>
      <c r="AE159" s="175"/>
      <c r="AF159" s="175"/>
      <c r="AG159" s="175"/>
      <c r="AH159" s="175"/>
      <c r="AI159" s="176"/>
      <c r="AJ159" s="177"/>
      <c r="AK159" s="178"/>
      <c r="AL159" s="178"/>
      <c r="AM159" s="178"/>
      <c r="AN159" s="178"/>
      <c r="AO159" s="179"/>
      <c r="AP159" s="64"/>
      <c r="AQ159" s="65"/>
      <c r="AR159" s="65"/>
      <c r="AS159" s="65"/>
      <c r="AT159" s="173"/>
      <c r="AU159" s="177"/>
      <c r="AV159" s="178"/>
      <c r="AW159" s="178"/>
      <c r="AX159" s="179"/>
      <c r="AZ159" s="166"/>
      <c r="BA159" s="177"/>
      <c r="BB159" s="178"/>
      <c r="BC159" s="178"/>
      <c r="BD159" s="178"/>
      <c r="BE159" s="178"/>
      <c r="BF159" s="178"/>
      <c r="BG159" s="178"/>
      <c r="BH159" s="178"/>
      <c r="BI159" s="179"/>
      <c r="BJ159" s="180"/>
      <c r="BK159" s="178"/>
      <c r="BL159" s="178"/>
      <c r="BM159" s="178"/>
      <c r="BN159" s="178"/>
      <c r="BO159" s="181"/>
      <c r="BP159" s="166"/>
      <c r="BQ159" s="177"/>
      <c r="BR159" s="178"/>
      <c r="BS159" s="179"/>
      <c r="BU159" s="166"/>
      <c r="BV159" s="166"/>
      <c r="BW159" s="166"/>
      <c r="BX159" s="166"/>
      <c r="BY159" s="166"/>
      <c r="BZ159" s="166"/>
      <c r="CA159" s="166"/>
      <c r="CB159" s="166"/>
      <c r="CC159" s="166"/>
      <c r="CD159" s="177"/>
      <c r="CE159" s="181"/>
      <c r="CF159" s="177"/>
      <c r="CG159" s="179"/>
      <c r="CH159" s="257"/>
      <c r="CI159" s="182"/>
      <c r="CJ159" s="177"/>
      <c r="CK159" s="182"/>
      <c r="CL159" s="177"/>
      <c r="CM159" s="182"/>
      <c r="CN159" s="177"/>
      <c r="CO159" s="182"/>
      <c r="CP159" s="177"/>
      <c r="CQ159" s="178"/>
      <c r="CR159" s="182"/>
      <c r="CS159" s="173"/>
      <c r="CT159" s="65"/>
      <c r="CU159" s="255" t="str">
        <f t="shared" si="2"/>
        <v>AJK</v>
      </c>
    </row>
    <row r="160" ht="60.0" customHeight="1">
      <c r="A160" s="65"/>
      <c r="B160" s="65"/>
      <c r="C160" s="167">
        <v>10.0</v>
      </c>
      <c r="D160" s="168" t="s">
        <v>205</v>
      </c>
      <c r="E160" s="169"/>
      <c r="F160" s="170"/>
      <c r="G160" s="170"/>
      <c r="H160" s="170"/>
      <c r="I160" s="207"/>
      <c r="J160" s="170"/>
      <c r="K160" s="171"/>
      <c r="L160" s="171"/>
      <c r="M160" s="171"/>
      <c r="N160" s="276"/>
      <c r="O160" s="256">
        <f t="shared" si="29"/>
        <v>0</v>
      </c>
      <c r="Q160" s="173"/>
      <c r="R160" s="65"/>
      <c r="S160" s="173"/>
      <c r="T160" s="173"/>
      <c r="U160" s="166"/>
      <c r="V160" s="166"/>
      <c r="W160" s="65"/>
      <c r="X160" s="66"/>
      <c r="Y160" s="173"/>
      <c r="Z160" s="166"/>
      <c r="AA160" s="174"/>
      <c r="AB160" s="175"/>
      <c r="AC160" s="175"/>
      <c r="AD160" s="175"/>
      <c r="AE160" s="175"/>
      <c r="AF160" s="175"/>
      <c r="AG160" s="175"/>
      <c r="AH160" s="175"/>
      <c r="AI160" s="176"/>
      <c r="AJ160" s="177"/>
      <c r="AK160" s="178"/>
      <c r="AL160" s="178"/>
      <c r="AM160" s="178"/>
      <c r="AN160" s="178"/>
      <c r="AO160" s="179"/>
      <c r="AP160" s="64"/>
      <c r="AQ160" s="65"/>
      <c r="AR160" s="65"/>
      <c r="AS160" s="65"/>
      <c r="AT160" s="173"/>
      <c r="AU160" s="177"/>
      <c r="AV160" s="178"/>
      <c r="AW160" s="178"/>
      <c r="AX160" s="179"/>
      <c r="AZ160" s="166"/>
      <c r="BA160" s="177"/>
      <c r="BB160" s="178"/>
      <c r="BC160" s="178"/>
      <c r="BD160" s="178"/>
      <c r="BE160" s="178"/>
      <c r="BF160" s="178"/>
      <c r="BG160" s="178"/>
      <c r="BH160" s="178"/>
      <c r="BI160" s="179"/>
      <c r="BJ160" s="180"/>
      <c r="BK160" s="178"/>
      <c r="BL160" s="178"/>
      <c r="BM160" s="178"/>
      <c r="BN160" s="178"/>
      <c r="BO160" s="181"/>
      <c r="BP160" s="166"/>
      <c r="BQ160" s="177"/>
      <c r="BR160" s="178"/>
      <c r="BS160" s="179"/>
      <c r="BU160" s="166"/>
      <c r="BV160" s="166"/>
      <c r="BW160" s="166"/>
      <c r="BX160" s="166"/>
      <c r="BY160" s="166"/>
      <c r="BZ160" s="166"/>
      <c r="CA160" s="166"/>
      <c r="CB160" s="166"/>
      <c r="CC160" s="166"/>
      <c r="CD160" s="177"/>
      <c r="CE160" s="181"/>
      <c r="CF160" s="177"/>
      <c r="CG160" s="179"/>
      <c r="CH160" s="257"/>
      <c r="CI160" s="182"/>
      <c r="CJ160" s="177"/>
      <c r="CK160" s="182"/>
      <c r="CL160" s="177"/>
      <c r="CM160" s="182"/>
      <c r="CN160" s="177"/>
      <c r="CO160" s="182"/>
      <c r="CP160" s="177"/>
      <c r="CQ160" s="178"/>
      <c r="CR160" s="182"/>
      <c r="CS160" s="173"/>
      <c r="CT160" s="65"/>
      <c r="CU160" s="255" t="str">
        <f t="shared" si="2"/>
        <v>AJK</v>
      </c>
    </row>
    <row r="161" ht="60.0" customHeight="1">
      <c r="A161" s="89"/>
      <c r="B161" s="89"/>
      <c r="C161" s="183">
        <v>11.0</v>
      </c>
      <c r="D161" s="210" t="s">
        <v>205</v>
      </c>
      <c r="E161" s="185"/>
      <c r="F161" s="186"/>
      <c r="G161" s="186"/>
      <c r="H161" s="186"/>
      <c r="I161" s="212"/>
      <c r="J161" s="186"/>
      <c r="K161" s="187"/>
      <c r="L161" s="187"/>
      <c r="M161" s="187"/>
      <c r="N161" s="214"/>
      <c r="O161" s="258">
        <f t="shared" ref="O161:O167" si="30">IF(AND(M161&lt;&gt;0,M161&lt;&gt;"m",M161&lt;&gt;"",RIGHT(K161,3)="Lec"),1,IF(AND(M161&lt;&gt;0,M161&lt;&gt;"m",M161&lt;&gt;"",OR(RIGHT(K161,3)="Lab",RIGHT(K161,3)="Tut")),0.5,IF(AND(M161&lt;&gt;0,M161&lt;&gt;"m",M161&lt;&gt;"",RIGHT(K161,2)="TL"),0.75,0)))</f>
        <v>0</v>
      </c>
      <c r="P161" s="6"/>
      <c r="Q161" s="69"/>
      <c r="R161" s="89"/>
      <c r="S161" s="69"/>
      <c r="T161" s="69"/>
      <c r="U161" s="63"/>
      <c r="V161" s="63"/>
      <c r="W161" s="89"/>
      <c r="X161" s="68"/>
      <c r="Y161" s="69"/>
      <c r="Z161" s="63"/>
      <c r="AA161" s="189"/>
      <c r="AB161" s="190"/>
      <c r="AC161" s="190"/>
      <c r="AD161" s="190"/>
      <c r="AE161" s="190"/>
      <c r="AF161" s="190"/>
      <c r="AG161" s="190"/>
      <c r="AH161" s="190"/>
      <c r="AI161" s="191"/>
      <c r="AJ161" s="192"/>
      <c r="AK161" s="193"/>
      <c r="AL161" s="193"/>
      <c r="AM161" s="193"/>
      <c r="AN161" s="193"/>
      <c r="AO161" s="194"/>
      <c r="AP161" s="103"/>
      <c r="AQ161" s="89"/>
      <c r="AR161" s="89"/>
      <c r="AS161" s="89"/>
      <c r="AT161" s="69"/>
      <c r="AU161" s="192"/>
      <c r="AV161" s="193"/>
      <c r="AW161" s="193"/>
      <c r="AX161" s="194"/>
      <c r="AY161" s="6"/>
      <c r="AZ161" s="63"/>
      <c r="BA161" s="192"/>
      <c r="BB161" s="193"/>
      <c r="BC161" s="193"/>
      <c r="BD161" s="193"/>
      <c r="BE161" s="193"/>
      <c r="BF161" s="193"/>
      <c r="BG161" s="193"/>
      <c r="BH161" s="193"/>
      <c r="BI161" s="194"/>
      <c r="BJ161" s="195"/>
      <c r="BK161" s="193"/>
      <c r="BL161" s="193"/>
      <c r="BM161" s="193"/>
      <c r="BN161" s="193"/>
      <c r="BO161" s="196"/>
      <c r="BP161" s="63"/>
      <c r="BQ161" s="192"/>
      <c r="BR161" s="193"/>
      <c r="BS161" s="194"/>
      <c r="BT161" s="6"/>
      <c r="BU161" s="63"/>
      <c r="BV161" s="63"/>
      <c r="BW161" s="63"/>
      <c r="BX161" s="63"/>
      <c r="BY161" s="63"/>
      <c r="BZ161" s="63"/>
      <c r="CA161" s="63"/>
      <c r="CB161" s="63"/>
      <c r="CC161" s="63"/>
      <c r="CD161" s="192"/>
      <c r="CE161" s="196"/>
      <c r="CF161" s="192"/>
      <c r="CG161" s="194"/>
      <c r="CH161" s="259"/>
      <c r="CI161" s="197"/>
      <c r="CJ161" s="192"/>
      <c r="CK161" s="197"/>
      <c r="CL161" s="192"/>
      <c r="CM161" s="197"/>
      <c r="CN161" s="192"/>
      <c r="CO161" s="197"/>
      <c r="CP161" s="192"/>
      <c r="CQ161" s="193"/>
      <c r="CR161" s="197"/>
      <c r="CS161" s="69"/>
      <c r="CT161" s="89"/>
      <c r="CU161" s="255" t="str">
        <f t="shared" si="2"/>
        <v>AJK</v>
      </c>
    </row>
    <row r="162" ht="55.5" hidden="1" customHeight="1">
      <c r="A162" s="125"/>
      <c r="B162" s="199"/>
      <c r="C162" s="127"/>
      <c r="D162" s="128"/>
      <c r="E162" s="260"/>
      <c r="F162" s="261"/>
      <c r="G162" s="261"/>
      <c r="H162" s="261"/>
      <c r="I162" s="261"/>
      <c r="J162" s="170"/>
      <c r="K162" s="219"/>
      <c r="L162" s="219"/>
      <c r="M162" s="219"/>
      <c r="N162" s="220"/>
      <c r="O162" s="270">
        <f t="shared" si="30"/>
        <v>0</v>
      </c>
      <c r="P162" s="133">
        <f>COUNTIF(K162:K172,"TL")*0.75+COUNTIF(K162:K172,"Lec")*1+COUNTIF(K162:K172,"Lab")*0.5</f>
        <v>0</v>
      </c>
      <c r="Q162" s="134">
        <f>SUM((IF(LEFT(K162,1)="E",O162,0)),(IF(LEFT(K163,1)="E",O163,0)),(IF(LEFT(K164,1)="E",O164,0)),(IF(LEFT(K165,1)="E",O165,0)),(IF(LEFT(K166,1)="E",O166,0)),(IF(LEFT(K167,1)="E",O167,0)),(IF(LEFT(K168,1)="E",O168,0)),(IF(LEFT(K169,1)="E",O169,0)),(IF(LEFT(K170,1)="E",O170,0)),(IF(LEFT(K171,1)="E",O171,0)),(IF(LEFT(K172,1)="E",O172,0)))</f>
        <v>0</v>
      </c>
      <c r="R162" s="135">
        <f>SUM(IF(M168&lt;20,IF(K168="Plec",-1,IF(K168="PTL",-0.75,IF(K168="Plab",-0.5,0))),0),IF(M169&lt;20,IF(K169="Plec",-1,IF(K169="PTL",-0.75,IF(K169="Plab",-0.5,0))),0),IF(M170&lt;20,IF(K170="Plec",-1,IF(K170="PTL",-0.75,IF(K170="Plab",-0.5,0))),0),IF(M171&lt;20,IF(K171="Plec",-1,IF(K171="PTL",-0.75,IF(K171="Plab",-0.5,0))),0))</f>
        <v>0</v>
      </c>
      <c r="S162" s="134">
        <f>SUM(P162:R172)</f>
        <v>0</v>
      </c>
      <c r="T162" s="136">
        <f>SUM(IF(M162="M",IF(OR(K162="lec",K162="plec",K162="slec"),1,IF(OR(K162="lab",K162="plab",K162="slab",K162="tut",K162="ptut",K162="stut"),0.5,IF(OR(K162="TL",K162="pTL",K162="STL"),0.75,0))),0),IF(M163="M",IF(OR(K163="lec",K163="plec",K163="slec"),1,IF(OR(K163="lab",K163="plab",K163="slab",K163="tut",K163="ptut",K163="stut"),0.5,IF(OR(K163="TL",K163="pTL",K163="STL"),0.75,0))),0),IF(M164="M",IF(OR(K164="lec",K164="plec",K164="slec"),1,IF(OR(K164="lab",K164="plab",K164="slab",K164="tut",K164="ptut",K164="stut"),0.5,IF(OR(K164="TL",K164="pTL",K164="STL"),0.75,0))),0),IF(M165="M",IF(OR(K165="lec",K165="plec",K165="slec"),1,IF(OR(K165="lab",K165="plab",K165="slab",K165="tut",K165="ptut",K165="stut"),0.5,IF(OR(K165="TL",K165="pTL",K165="STL"),0.75,0))),0),IF(M166="M",IF(OR(K166="lec",K166="plec",K166="slec"),1,IF(OR(K166="lab",K166="plab",K166="slab",K166="tut",K166="ptut",K166="stut"),0.5,IF(OR(K166="TL",K166="pTL",K166="STL"),0.75,0))),0),IF(M167="M",IF(OR(K167="lec",K167="plec",K167="slec"),1,IF(OR(K167="lab",K167="plab",K167="slab",K167="tut",K167="ptut",K167="stut"),0.5,IF(OR(K167="TL",K167="pTL",K167="STL"),0.75,0))),0),IF(M168="M",IF(OR(K168="lec",K168="plec",K168="slec"),1,IF(OR(K168="lab",K168="plab",K168="slab",K168="tut",K168="ptut",K168="stut"),0.5,IF(OR(K168="TL",K168="pTL",K168="STL"),0.75,0))),0),IF(M169="M",IF(OR(K169="lec",K169="plec",K169="slec"),1,IF(OR(K169="lab",K169="plab",K169="slab",K169="tut",K169="ptut",K169="stut"),0.5,IF(OR(K169="TL",K169="pTL",K169="STL"),0.75,0))),0),IF(M170="M",IF(OR(K170="lec",K170="plec",K170="slec"),1,IF(OR(K170="lab",K170="plab",K170="slab",K170="tut",K170="ptut",K170="stut"),0.5,IF(OR(K170="TL",K170="pTL",K170="STL"),0.75,0))),0),IF(M171="M",IF(OR(K171="lec",K171="plec",K171="slec"),1,IF(OR(K171="lab",K171="plab",K171="slab",K171="tut",K171="ptut",K171="stut"),0.5,IF(OR(K171="TL",K171="pTL",K171="STL"),0.75,0))),0),IF(M172="M",IF(OR(K172="lec",K172="plec",K172="slec"),1,IF(OR(K172="lab",K172="plab",K172="slab",K172="tut",K172="ptut",K172="stut"),0.5,IF(OR(K172="TL",K172="pTL",K172="STL"),0.75,0))),0))</f>
        <v>0</v>
      </c>
      <c r="U162" s="137"/>
      <c r="V162" s="133"/>
      <c r="W162" s="138"/>
      <c r="X162" s="139">
        <f>S162-(T162+U162+V162+W162)</f>
        <v>0</v>
      </c>
      <c r="Y162" s="134" t="str">
        <f>CONCATENATE(SUM(O162:O172),"(",SUM(O162:O172)-X162,")")</f>
        <v>0(0)</v>
      </c>
      <c r="Z162" s="140"/>
      <c r="AA162" s="141"/>
      <c r="AB162" s="142"/>
      <c r="AC162" s="142"/>
      <c r="AD162" s="142"/>
      <c r="AE162" s="142"/>
      <c r="AF162" s="142"/>
      <c r="AG162" s="142"/>
      <c r="AH162" s="142"/>
      <c r="AI162" s="143"/>
      <c r="AJ162" s="144"/>
      <c r="AK162" s="145"/>
      <c r="AL162" s="145"/>
      <c r="AM162" s="145"/>
      <c r="AN162" s="145"/>
      <c r="AO162" s="146"/>
      <c r="AP162" s="147">
        <f>SUM(SUM(O162:O172),SUM(AI162:AI172)/2,AM162)</f>
        <v>0</v>
      </c>
      <c r="AQ162" s="148"/>
      <c r="AR162" s="148">
        <f>AP162*AQ162</f>
        <v>0</v>
      </c>
      <c r="AS162" s="148">
        <f>CT162</f>
        <v>0</v>
      </c>
      <c r="AT162" s="149">
        <f>AR162*0.75+AS162*0.25</f>
        <v>0</v>
      </c>
      <c r="AU162" s="150"/>
      <c r="AV162" s="151"/>
      <c r="AW162" s="151"/>
      <c r="AX162" s="152"/>
      <c r="AY162" s="153"/>
      <c r="AZ162" s="140"/>
      <c r="BA162" s="150"/>
      <c r="BB162" s="151"/>
      <c r="BC162" s="151"/>
      <c r="BD162" s="151"/>
      <c r="BE162" s="151"/>
      <c r="BF162" s="151"/>
      <c r="BG162" s="151"/>
      <c r="BH162" s="151"/>
      <c r="BI162" s="152"/>
      <c r="BJ162" s="154"/>
      <c r="BK162" s="151"/>
      <c r="BL162" s="151"/>
      <c r="BM162" s="151"/>
      <c r="BN162" s="151"/>
      <c r="BO162" s="155"/>
      <c r="BP162" s="140"/>
      <c r="BQ162" s="156"/>
      <c r="BR162" s="157"/>
      <c r="BS162" s="158"/>
      <c r="BT162" s="153"/>
      <c r="BU162" s="140"/>
      <c r="BV162" s="140"/>
      <c r="BW162" s="140"/>
      <c r="BX162" s="140"/>
      <c r="BY162" s="140"/>
      <c r="BZ162" s="140"/>
      <c r="CA162" s="140"/>
      <c r="CB162" s="140"/>
      <c r="CC162" s="140"/>
      <c r="CD162" s="150"/>
      <c r="CE162" s="155"/>
      <c r="CF162" s="150"/>
      <c r="CG162" s="152"/>
      <c r="CH162" s="252"/>
      <c r="CI162" s="160"/>
      <c r="CJ162" s="159"/>
      <c r="CK162" s="160"/>
      <c r="CL162" s="159"/>
      <c r="CM162" s="160"/>
      <c r="CN162" s="159"/>
      <c r="CO162" s="160"/>
      <c r="CP162" s="159"/>
      <c r="CQ162" s="162"/>
      <c r="CR162" s="160"/>
      <c r="CS162" s="253">
        <f>SUM(IF(AU162&lt;0,ABS(AU162),0),IF(AZ162&lt;0,ABS(AZ162),0),ABS(CI162),ABS(CK162),ABS(CM162),ABS(CO162),ABS(CQ162),ABS(CR162))</f>
        <v>0</v>
      </c>
      <c r="CT162" s="254">
        <f>SUM(AU162,AV162,AW162,AX162/400,AY162,AZ162,BG162,BH162*0.5,BI162*0.25,BJ162,BK162,BL162,BM162,BN162,BO162,BP162,BR162/20,BS162/100,BT162/60,BU162,BV162,BW162,BX162/4,SUM(BY162:CC172)/3,CE162,CG162/3,CI162,CK162,CM162,CO162,CQ162,CR162)</f>
        <v>0</v>
      </c>
      <c r="CU162" s="255"/>
    </row>
    <row r="163" ht="60.0" hidden="1" customHeight="1">
      <c r="A163" s="65"/>
      <c r="C163" s="167"/>
      <c r="D163" s="205"/>
      <c r="E163" s="262"/>
      <c r="F163" s="170"/>
      <c r="G163" s="170"/>
      <c r="H163" s="170"/>
      <c r="I163" s="170"/>
      <c r="J163" s="170"/>
      <c r="K163" s="171"/>
      <c r="L163" s="171"/>
      <c r="M163" s="171"/>
      <c r="N163" s="209"/>
      <c r="O163" s="172">
        <f t="shared" si="30"/>
        <v>0</v>
      </c>
      <c r="P163" s="166"/>
      <c r="Q163" s="173"/>
      <c r="R163" s="65"/>
      <c r="S163" s="173"/>
      <c r="T163" s="173"/>
      <c r="U163" s="166"/>
      <c r="V163" s="166"/>
      <c r="W163" s="65"/>
      <c r="X163" s="66"/>
      <c r="Y163" s="173"/>
      <c r="Z163" s="166"/>
      <c r="AA163" s="174"/>
      <c r="AB163" s="175"/>
      <c r="AC163" s="175"/>
      <c r="AD163" s="175"/>
      <c r="AE163" s="175"/>
      <c r="AF163" s="175"/>
      <c r="AG163" s="175"/>
      <c r="AH163" s="175"/>
      <c r="AI163" s="176"/>
      <c r="AJ163" s="177"/>
      <c r="AK163" s="178"/>
      <c r="AL163" s="178"/>
      <c r="AM163" s="178"/>
      <c r="AN163" s="178"/>
      <c r="AO163" s="179"/>
      <c r="AP163" s="64"/>
      <c r="AQ163" s="65"/>
      <c r="AR163" s="65"/>
      <c r="AS163" s="65"/>
      <c r="AT163" s="173"/>
      <c r="AU163" s="177"/>
      <c r="AV163" s="178"/>
      <c r="AW163" s="178"/>
      <c r="AX163" s="179"/>
      <c r="AZ163" s="166"/>
      <c r="BA163" s="177"/>
      <c r="BB163" s="178"/>
      <c r="BC163" s="178"/>
      <c r="BD163" s="178"/>
      <c r="BE163" s="178"/>
      <c r="BF163" s="178"/>
      <c r="BG163" s="178"/>
      <c r="BH163" s="178"/>
      <c r="BI163" s="179"/>
      <c r="BJ163" s="180"/>
      <c r="BK163" s="178"/>
      <c r="BL163" s="178"/>
      <c r="BM163" s="178"/>
      <c r="BN163" s="178"/>
      <c r="BO163" s="181"/>
      <c r="BP163" s="166"/>
      <c r="BQ163" s="177"/>
      <c r="BR163" s="178"/>
      <c r="BS163" s="179"/>
      <c r="BU163" s="166"/>
      <c r="BV163" s="166"/>
      <c r="BW163" s="166"/>
      <c r="BX163" s="166"/>
      <c r="BY163" s="166"/>
      <c r="BZ163" s="166"/>
      <c r="CA163" s="166"/>
      <c r="CB163" s="166"/>
      <c r="CC163" s="166"/>
      <c r="CD163" s="177"/>
      <c r="CE163" s="181"/>
      <c r="CF163" s="177"/>
      <c r="CG163" s="179"/>
      <c r="CH163" s="257"/>
      <c r="CI163" s="182"/>
      <c r="CJ163" s="177"/>
      <c r="CK163" s="182"/>
      <c r="CL163" s="177"/>
      <c r="CM163" s="182"/>
      <c r="CN163" s="177"/>
      <c r="CO163" s="182"/>
      <c r="CP163" s="177"/>
      <c r="CQ163" s="178"/>
      <c r="CR163" s="182"/>
      <c r="CS163" s="173"/>
      <c r="CT163" s="65"/>
      <c r="CU163" s="271"/>
    </row>
    <row r="164" ht="60.0" hidden="1" customHeight="1">
      <c r="A164" s="65"/>
      <c r="C164" s="167"/>
      <c r="D164" s="205"/>
      <c r="E164" s="262"/>
      <c r="F164" s="170"/>
      <c r="G164" s="170"/>
      <c r="H164" s="170"/>
      <c r="I164" s="170"/>
      <c r="J164" s="170"/>
      <c r="K164" s="171"/>
      <c r="L164" s="171"/>
      <c r="M164" s="171"/>
      <c r="N164" s="209"/>
      <c r="O164" s="172">
        <f t="shared" si="30"/>
        <v>0</v>
      </c>
      <c r="P164" s="166"/>
      <c r="Q164" s="173"/>
      <c r="R164" s="65"/>
      <c r="S164" s="173"/>
      <c r="T164" s="173"/>
      <c r="U164" s="166"/>
      <c r="V164" s="166"/>
      <c r="W164" s="65"/>
      <c r="X164" s="66"/>
      <c r="Y164" s="173"/>
      <c r="Z164" s="166"/>
      <c r="AA164" s="174"/>
      <c r="AB164" s="175"/>
      <c r="AC164" s="175"/>
      <c r="AD164" s="175"/>
      <c r="AE164" s="175"/>
      <c r="AF164" s="175"/>
      <c r="AG164" s="175"/>
      <c r="AH164" s="175"/>
      <c r="AI164" s="176"/>
      <c r="AJ164" s="177"/>
      <c r="AK164" s="178"/>
      <c r="AL164" s="178"/>
      <c r="AM164" s="178"/>
      <c r="AN164" s="178"/>
      <c r="AO164" s="179"/>
      <c r="AP164" s="64"/>
      <c r="AQ164" s="65"/>
      <c r="AR164" s="65"/>
      <c r="AS164" s="65"/>
      <c r="AT164" s="173"/>
      <c r="AU164" s="177"/>
      <c r="AV164" s="178"/>
      <c r="AW164" s="178"/>
      <c r="AX164" s="179"/>
      <c r="AZ164" s="166"/>
      <c r="BA164" s="177"/>
      <c r="BB164" s="178"/>
      <c r="BC164" s="178"/>
      <c r="BD164" s="178"/>
      <c r="BE164" s="178"/>
      <c r="BF164" s="178"/>
      <c r="BG164" s="178"/>
      <c r="BH164" s="178"/>
      <c r="BI164" s="179"/>
      <c r="BJ164" s="180"/>
      <c r="BK164" s="178"/>
      <c r="BL164" s="178"/>
      <c r="BM164" s="178"/>
      <c r="BN164" s="178"/>
      <c r="BO164" s="181"/>
      <c r="BP164" s="166"/>
      <c r="BQ164" s="177"/>
      <c r="BR164" s="178"/>
      <c r="BS164" s="179"/>
      <c r="BU164" s="166"/>
      <c r="BV164" s="166"/>
      <c r="BW164" s="166"/>
      <c r="BX164" s="166"/>
      <c r="BY164" s="166"/>
      <c r="BZ164" s="166"/>
      <c r="CA164" s="166"/>
      <c r="CB164" s="166"/>
      <c r="CC164" s="166"/>
      <c r="CD164" s="177"/>
      <c r="CE164" s="181"/>
      <c r="CF164" s="177"/>
      <c r="CG164" s="179"/>
      <c r="CH164" s="257"/>
      <c r="CI164" s="182"/>
      <c r="CJ164" s="177"/>
      <c r="CK164" s="182"/>
      <c r="CL164" s="177"/>
      <c r="CM164" s="182"/>
      <c r="CN164" s="177"/>
      <c r="CO164" s="182"/>
      <c r="CP164" s="177"/>
      <c r="CQ164" s="178"/>
      <c r="CR164" s="182"/>
      <c r="CS164" s="173"/>
      <c r="CT164" s="65"/>
      <c r="CU164" s="271"/>
    </row>
    <row r="165" ht="60.0" hidden="1" customHeight="1">
      <c r="A165" s="65"/>
      <c r="C165" s="167"/>
      <c r="D165" s="205"/>
      <c r="E165" s="262"/>
      <c r="F165" s="170"/>
      <c r="G165" s="170"/>
      <c r="H165" s="170"/>
      <c r="I165" s="170"/>
      <c r="J165" s="170"/>
      <c r="K165" s="171"/>
      <c r="L165" s="171"/>
      <c r="M165" s="171"/>
      <c r="N165" s="209"/>
      <c r="O165" s="172">
        <f t="shared" si="30"/>
        <v>0</v>
      </c>
      <c r="P165" s="166"/>
      <c r="Q165" s="173"/>
      <c r="R165" s="65"/>
      <c r="S165" s="173"/>
      <c r="T165" s="173"/>
      <c r="U165" s="166"/>
      <c r="V165" s="166"/>
      <c r="W165" s="65"/>
      <c r="X165" s="66"/>
      <c r="Y165" s="173"/>
      <c r="Z165" s="166"/>
      <c r="AA165" s="174"/>
      <c r="AB165" s="175"/>
      <c r="AC165" s="175"/>
      <c r="AD165" s="175"/>
      <c r="AE165" s="175"/>
      <c r="AF165" s="175"/>
      <c r="AG165" s="175"/>
      <c r="AH165" s="175"/>
      <c r="AI165" s="176"/>
      <c r="AJ165" s="177"/>
      <c r="AK165" s="178"/>
      <c r="AL165" s="178"/>
      <c r="AM165" s="178"/>
      <c r="AN165" s="178"/>
      <c r="AO165" s="179"/>
      <c r="AP165" s="64"/>
      <c r="AQ165" s="65"/>
      <c r="AR165" s="65"/>
      <c r="AS165" s="65"/>
      <c r="AT165" s="173"/>
      <c r="AU165" s="177"/>
      <c r="AV165" s="178"/>
      <c r="AW165" s="178"/>
      <c r="AX165" s="179"/>
      <c r="AZ165" s="166"/>
      <c r="BA165" s="177"/>
      <c r="BB165" s="178"/>
      <c r="BC165" s="178"/>
      <c r="BD165" s="178"/>
      <c r="BE165" s="178"/>
      <c r="BF165" s="178"/>
      <c r="BG165" s="178"/>
      <c r="BH165" s="178"/>
      <c r="BI165" s="179"/>
      <c r="BJ165" s="180"/>
      <c r="BK165" s="178"/>
      <c r="BL165" s="178"/>
      <c r="BM165" s="178"/>
      <c r="BN165" s="178"/>
      <c r="BO165" s="181"/>
      <c r="BP165" s="166"/>
      <c r="BQ165" s="177"/>
      <c r="BR165" s="178"/>
      <c r="BS165" s="179"/>
      <c r="BU165" s="166"/>
      <c r="BV165" s="166"/>
      <c r="BW165" s="166"/>
      <c r="BX165" s="166"/>
      <c r="BY165" s="166"/>
      <c r="BZ165" s="166"/>
      <c r="CA165" s="166"/>
      <c r="CB165" s="166"/>
      <c r="CC165" s="166"/>
      <c r="CD165" s="177"/>
      <c r="CE165" s="181"/>
      <c r="CF165" s="177"/>
      <c r="CG165" s="179"/>
      <c r="CH165" s="257"/>
      <c r="CI165" s="182"/>
      <c r="CJ165" s="177"/>
      <c r="CK165" s="182"/>
      <c r="CL165" s="177"/>
      <c r="CM165" s="182"/>
      <c r="CN165" s="177"/>
      <c r="CO165" s="182"/>
      <c r="CP165" s="177"/>
      <c r="CQ165" s="178"/>
      <c r="CR165" s="182"/>
      <c r="CS165" s="173"/>
      <c r="CT165" s="65"/>
      <c r="CU165" s="271"/>
    </row>
    <row r="166" ht="60.0" hidden="1" customHeight="1">
      <c r="A166" s="65"/>
      <c r="C166" s="167"/>
      <c r="D166" s="205"/>
      <c r="E166" s="262"/>
      <c r="F166" s="170"/>
      <c r="G166" s="170"/>
      <c r="H166" s="170"/>
      <c r="I166" s="170"/>
      <c r="J166" s="170"/>
      <c r="K166" s="171"/>
      <c r="L166" s="171"/>
      <c r="M166" s="171"/>
      <c r="N166" s="209"/>
      <c r="O166" s="172">
        <f t="shared" si="30"/>
        <v>0</v>
      </c>
      <c r="P166" s="166"/>
      <c r="Q166" s="173"/>
      <c r="R166" s="65"/>
      <c r="S166" s="173"/>
      <c r="T166" s="173"/>
      <c r="U166" s="166"/>
      <c r="V166" s="166"/>
      <c r="W166" s="65"/>
      <c r="X166" s="66"/>
      <c r="Y166" s="173"/>
      <c r="Z166" s="166"/>
      <c r="AA166" s="174"/>
      <c r="AB166" s="175"/>
      <c r="AC166" s="175"/>
      <c r="AD166" s="175"/>
      <c r="AE166" s="175"/>
      <c r="AF166" s="175"/>
      <c r="AG166" s="175"/>
      <c r="AH166" s="175"/>
      <c r="AI166" s="176"/>
      <c r="AJ166" s="177"/>
      <c r="AK166" s="178"/>
      <c r="AL166" s="178"/>
      <c r="AM166" s="178"/>
      <c r="AN166" s="178"/>
      <c r="AO166" s="179"/>
      <c r="AP166" s="64"/>
      <c r="AQ166" s="65"/>
      <c r="AR166" s="65"/>
      <c r="AS166" s="65"/>
      <c r="AT166" s="173"/>
      <c r="AU166" s="177"/>
      <c r="AV166" s="178"/>
      <c r="AW166" s="178"/>
      <c r="AX166" s="179"/>
      <c r="AZ166" s="166"/>
      <c r="BA166" s="177"/>
      <c r="BB166" s="178"/>
      <c r="BC166" s="178"/>
      <c r="BD166" s="178"/>
      <c r="BE166" s="178"/>
      <c r="BF166" s="178"/>
      <c r="BG166" s="178"/>
      <c r="BH166" s="178"/>
      <c r="BI166" s="179"/>
      <c r="BJ166" s="180"/>
      <c r="BK166" s="178"/>
      <c r="BL166" s="178"/>
      <c r="BM166" s="178"/>
      <c r="BN166" s="178"/>
      <c r="BO166" s="181"/>
      <c r="BP166" s="166"/>
      <c r="BQ166" s="177"/>
      <c r="BR166" s="178"/>
      <c r="BS166" s="179"/>
      <c r="BU166" s="166"/>
      <c r="BV166" s="166"/>
      <c r="BW166" s="166"/>
      <c r="BX166" s="166"/>
      <c r="BY166" s="166"/>
      <c r="BZ166" s="166"/>
      <c r="CA166" s="166"/>
      <c r="CB166" s="166"/>
      <c r="CC166" s="166"/>
      <c r="CD166" s="177"/>
      <c r="CE166" s="181"/>
      <c r="CF166" s="177"/>
      <c r="CG166" s="179"/>
      <c r="CH166" s="257"/>
      <c r="CI166" s="182"/>
      <c r="CJ166" s="177"/>
      <c r="CK166" s="182"/>
      <c r="CL166" s="177"/>
      <c r="CM166" s="182"/>
      <c r="CN166" s="177"/>
      <c r="CO166" s="182"/>
      <c r="CP166" s="177"/>
      <c r="CQ166" s="178"/>
      <c r="CR166" s="182"/>
      <c r="CS166" s="173"/>
      <c r="CT166" s="65"/>
      <c r="CU166" s="271"/>
    </row>
    <row r="167" ht="60.0" hidden="1" customHeight="1">
      <c r="A167" s="65"/>
      <c r="C167" s="167"/>
      <c r="D167" s="205"/>
      <c r="E167" s="262"/>
      <c r="F167" s="170"/>
      <c r="G167" s="170"/>
      <c r="H167" s="170"/>
      <c r="I167" s="170"/>
      <c r="J167" s="170"/>
      <c r="K167" s="171"/>
      <c r="L167" s="171"/>
      <c r="M167" s="171"/>
      <c r="N167" s="209"/>
      <c r="O167" s="172">
        <f t="shared" si="30"/>
        <v>0</v>
      </c>
      <c r="P167" s="166"/>
      <c r="Q167" s="173"/>
      <c r="R167" s="65"/>
      <c r="S167" s="173"/>
      <c r="T167" s="173"/>
      <c r="U167" s="166"/>
      <c r="V167" s="166"/>
      <c r="W167" s="65"/>
      <c r="X167" s="66"/>
      <c r="Y167" s="173"/>
      <c r="Z167" s="166"/>
      <c r="AA167" s="174"/>
      <c r="AB167" s="175"/>
      <c r="AC167" s="175"/>
      <c r="AD167" s="175"/>
      <c r="AE167" s="175"/>
      <c r="AF167" s="175"/>
      <c r="AG167" s="175"/>
      <c r="AH167" s="175"/>
      <c r="AI167" s="176"/>
      <c r="AJ167" s="177"/>
      <c r="AK167" s="178"/>
      <c r="AL167" s="178"/>
      <c r="AM167" s="178"/>
      <c r="AN167" s="178"/>
      <c r="AO167" s="179"/>
      <c r="AP167" s="64"/>
      <c r="AQ167" s="65"/>
      <c r="AR167" s="65"/>
      <c r="AS167" s="65"/>
      <c r="AT167" s="173"/>
      <c r="AU167" s="177"/>
      <c r="AV167" s="178"/>
      <c r="AW167" s="178"/>
      <c r="AX167" s="179"/>
      <c r="AZ167" s="166"/>
      <c r="BA167" s="177"/>
      <c r="BB167" s="178"/>
      <c r="BC167" s="178"/>
      <c r="BD167" s="178"/>
      <c r="BE167" s="178"/>
      <c r="BF167" s="178"/>
      <c r="BG167" s="178"/>
      <c r="BH167" s="178"/>
      <c r="BI167" s="179"/>
      <c r="BJ167" s="180"/>
      <c r="BK167" s="178"/>
      <c r="BL167" s="178"/>
      <c r="BM167" s="178"/>
      <c r="BN167" s="178"/>
      <c r="BO167" s="181"/>
      <c r="BP167" s="166"/>
      <c r="BQ167" s="177"/>
      <c r="BR167" s="178"/>
      <c r="BS167" s="179"/>
      <c r="BU167" s="166"/>
      <c r="BV167" s="166"/>
      <c r="BW167" s="166"/>
      <c r="BX167" s="166"/>
      <c r="BY167" s="166"/>
      <c r="BZ167" s="166"/>
      <c r="CA167" s="166"/>
      <c r="CB167" s="166"/>
      <c r="CC167" s="166"/>
      <c r="CD167" s="177"/>
      <c r="CE167" s="181"/>
      <c r="CF167" s="177"/>
      <c r="CG167" s="179"/>
      <c r="CH167" s="257"/>
      <c r="CI167" s="182"/>
      <c r="CJ167" s="177"/>
      <c r="CK167" s="182"/>
      <c r="CL167" s="177"/>
      <c r="CM167" s="182"/>
      <c r="CN167" s="177"/>
      <c r="CO167" s="182"/>
      <c r="CP167" s="177"/>
      <c r="CQ167" s="178"/>
      <c r="CR167" s="182"/>
      <c r="CS167" s="173"/>
      <c r="CT167" s="65"/>
      <c r="CU167" s="271"/>
    </row>
    <row r="168" ht="60.0" hidden="1" customHeight="1">
      <c r="A168" s="65"/>
      <c r="C168" s="167"/>
      <c r="D168" s="205"/>
      <c r="E168" s="262"/>
      <c r="F168" s="170"/>
      <c r="G168" s="170"/>
      <c r="H168" s="170"/>
      <c r="I168" s="170"/>
      <c r="J168" s="170"/>
      <c r="K168" s="171"/>
      <c r="L168" s="171"/>
      <c r="M168" s="171"/>
      <c r="N168" s="209"/>
      <c r="O168" s="172">
        <f t="shared" ref="O168:O171" si="31">IF(AND(M168&gt;=20,M168&lt;&gt;"m",RIGHT(K168,3)="Lec"),1,IF(AND(M168&gt;=20,M168&lt;&gt;"m",OR(RIGHT(K168,3)="Lab",RIGHT(K168,3)="Tut")),0.5,IF(AND(M168&gt;=20,M168&lt;&gt;"m",RIGHT(K168,2)="TL"),0.75,0)))</f>
        <v>0</v>
      </c>
      <c r="P168" s="166"/>
      <c r="Q168" s="173"/>
      <c r="R168" s="65"/>
      <c r="S168" s="173"/>
      <c r="T168" s="173"/>
      <c r="U168" s="166"/>
      <c r="V168" s="166"/>
      <c r="W168" s="65"/>
      <c r="X168" s="66"/>
      <c r="Y168" s="173"/>
      <c r="Z168" s="166"/>
      <c r="AA168" s="174"/>
      <c r="AB168" s="175"/>
      <c r="AC168" s="175"/>
      <c r="AD168" s="175"/>
      <c r="AE168" s="175"/>
      <c r="AF168" s="175"/>
      <c r="AG168" s="175"/>
      <c r="AH168" s="175"/>
      <c r="AI168" s="176"/>
      <c r="AJ168" s="177"/>
      <c r="AK168" s="178"/>
      <c r="AL168" s="178"/>
      <c r="AM168" s="178"/>
      <c r="AN168" s="178"/>
      <c r="AO168" s="179"/>
      <c r="AP168" s="64"/>
      <c r="AQ168" s="65"/>
      <c r="AR168" s="65"/>
      <c r="AS168" s="65"/>
      <c r="AT168" s="173"/>
      <c r="AU168" s="177"/>
      <c r="AV168" s="178"/>
      <c r="AW168" s="178"/>
      <c r="AX168" s="179"/>
      <c r="AZ168" s="166"/>
      <c r="BA168" s="177"/>
      <c r="BB168" s="178"/>
      <c r="BC168" s="178"/>
      <c r="BD168" s="178"/>
      <c r="BE168" s="178"/>
      <c r="BF168" s="178"/>
      <c r="BG168" s="178"/>
      <c r="BH168" s="178"/>
      <c r="BI168" s="179"/>
      <c r="BJ168" s="180"/>
      <c r="BK168" s="178"/>
      <c r="BL168" s="178"/>
      <c r="BM168" s="178"/>
      <c r="BN168" s="178"/>
      <c r="BO168" s="181"/>
      <c r="BP168" s="166"/>
      <c r="BQ168" s="177"/>
      <c r="BR168" s="178"/>
      <c r="BS168" s="179"/>
      <c r="BU168" s="166"/>
      <c r="BV168" s="166"/>
      <c r="BW168" s="166"/>
      <c r="BX168" s="166"/>
      <c r="BY168" s="166"/>
      <c r="BZ168" s="166"/>
      <c r="CA168" s="166"/>
      <c r="CB168" s="166"/>
      <c r="CC168" s="166"/>
      <c r="CD168" s="177"/>
      <c r="CE168" s="181"/>
      <c r="CF168" s="177"/>
      <c r="CG168" s="179"/>
      <c r="CH168" s="257"/>
      <c r="CI168" s="182"/>
      <c r="CJ168" s="177"/>
      <c r="CK168" s="182"/>
      <c r="CL168" s="177"/>
      <c r="CM168" s="182"/>
      <c r="CN168" s="177"/>
      <c r="CO168" s="182"/>
      <c r="CP168" s="177"/>
      <c r="CQ168" s="178"/>
      <c r="CR168" s="182"/>
      <c r="CS168" s="173"/>
      <c r="CT168" s="65"/>
      <c r="CU168" s="271"/>
    </row>
    <row r="169" ht="60.0" hidden="1" customHeight="1">
      <c r="A169" s="65"/>
      <c r="C169" s="167"/>
      <c r="D169" s="205"/>
      <c r="E169" s="262"/>
      <c r="F169" s="170"/>
      <c r="G169" s="170"/>
      <c r="H169" s="170"/>
      <c r="I169" s="170"/>
      <c r="J169" s="170"/>
      <c r="K169" s="171"/>
      <c r="L169" s="171"/>
      <c r="M169" s="171"/>
      <c r="N169" s="209"/>
      <c r="O169" s="172">
        <f t="shared" si="31"/>
        <v>0</v>
      </c>
      <c r="P169" s="166"/>
      <c r="Q169" s="173"/>
      <c r="R169" s="65"/>
      <c r="S169" s="173"/>
      <c r="T169" s="173"/>
      <c r="U169" s="166"/>
      <c r="V169" s="166"/>
      <c r="W169" s="65"/>
      <c r="X169" s="66"/>
      <c r="Y169" s="173"/>
      <c r="Z169" s="166"/>
      <c r="AA169" s="174"/>
      <c r="AB169" s="175"/>
      <c r="AC169" s="175"/>
      <c r="AD169" s="175"/>
      <c r="AE169" s="175"/>
      <c r="AF169" s="175"/>
      <c r="AG169" s="175"/>
      <c r="AH169" s="175"/>
      <c r="AI169" s="176"/>
      <c r="AJ169" s="177"/>
      <c r="AK169" s="178"/>
      <c r="AL169" s="178"/>
      <c r="AM169" s="178"/>
      <c r="AN169" s="178"/>
      <c r="AO169" s="179"/>
      <c r="AP169" s="64"/>
      <c r="AQ169" s="65"/>
      <c r="AR169" s="65"/>
      <c r="AS169" s="65"/>
      <c r="AT169" s="173"/>
      <c r="AU169" s="177"/>
      <c r="AV169" s="178"/>
      <c r="AW169" s="178"/>
      <c r="AX169" s="179"/>
      <c r="AZ169" s="166"/>
      <c r="BA169" s="177"/>
      <c r="BB169" s="178"/>
      <c r="BC169" s="178"/>
      <c r="BD169" s="178"/>
      <c r="BE169" s="178"/>
      <c r="BF169" s="178"/>
      <c r="BG169" s="178"/>
      <c r="BH169" s="178"/>
      <c r="BI169" s="179"/>
      <c r="BJ169" s="180"/>
      <c r="BK169" s="178"/>
      <c r="BL169" s="178"/>
      <c r="BM169" s="178"/>
      <c r="BN169" s="178"/>
      <c r="BO169" s="181"/>
      <c r="BP169" s="166"/>
      <c r="BQ169" s="177"/>
      <c r="BR169" s="178"/>
      <c r="BS169" s="179"/>
      <c r="BU169" s="166"/>
      <c r="BV169" s="166"/>
      <c r="BW169" s="166"/>
      <c r="BX169" s="166"/>
      <c r="BY169" s="166"/>
      <c r="BZ169" s="166"/>
      <c r="CA169" s="166"/>
      <c r="CB169" s="166"/>
      <c r="CC169" s="166"/>
      <c r="CD169" s="177"/>
      <c r="CE169" s="181"/>
      <c r="CF169" s="177"/>
      <c r="CG169" s="179"/>
      <c r="CH169" s="257"/>
      <c r="CI169" s="182"/>
      <c r="CJ169" s="177"/>
      <c r="CK169" s="182"/>
      <c r="CL169" s="177"/>
      <c r="CM169" s="182"/>
      <c r="CN169" s="177"/>
      <c r="CO169" s="182"/>
      <c r="CP169" s="177"/>
      <c r="CQ169" s="178"/>
      <c r="CR169" s="182"/>
      <c r="CS169" s="173"/>
      <c r="CT169" s="65"/>
      <c r="CU169" s="271"/>
    </row>
    <row r="170" ht="60.0" hidden="1" customHeight="1">
      <c r="A170" s="65"/>
      <c r="C170" s="167"/>
      <c r="D170" s="205"/>
      <c r="E170" s="262"/>
      <c r="F170" s="170"/>
      <c r="G170" s="170"/>
      <c r="H170" s="170"/>
      <c r="I170" s="170"/>
      <c r="J170" s="170"/>
      <c r="K170" s="171"/>
      <c r="L170" s="171"/>
      <c r="M170" s="171"/>
      <c r="N170" s="209"/>
      <c r="O170" s="172">
        <f t="shared" si="31"/>
        <v>0</v>
      </c>
      <c r="P170" s="166"/>
      <c r="Q170" s="173"/>
      <c r="R170" s="65"/>
      <c r="S170" s="173"/>
      <c r="T170" s="173"/>
      <c r="U170" s="166"/>
      <c r="V170" s="166"/>
      <c r="W170" s="65"/>
      <c r="X170" s="66"/>
      <c r="Y170" s="173"/>
      <c r="Z170" s="166"/>
      <c r="AA170" s="174"/>
      <c r="AB170" s="175"/>
      <c r="AC170" s="175"/>
      <c r="AD170" s="175"/>
      <c r="AE170" s="175"/>
      <c r="AF170" s="175"/>
      <c r="AG170" s="175"/>
      <c r="AH170" s="175"/>
      <c r="AI170" s="176"/>
      <c r="AJ170" s="177"/>
      <c r="AK170" s="178"/>
      <c r="AL170" s="178"/>
      <c r="AM170" s="178"/>
      <c r="AN170" s="178"/>
      <c r="AO170" s="179"/>
      <c r="AP170" s="64"/>
      <c r="AQ170" s="65"/>
      <c r="AR170" s="65"/>
      <c r="AS170" s="65"/>
      <c r="AT170" s="173"/>
      <c r="AU170" s="177"/>
      <c r="AV170" s="178"/>
      <c r="AW170" s="178"/>
      <c r="AX170" s="179"/>
      <c r="AZ170" s="166"/>
      <c r="BA170" s="177"/>
      <c r="BB170" s="178"/>
      <c r="BC170" s="178"/>
      <c r="BD170" s="178"/>
      <c r="BE170" s="178"/>
      <c r="BF170" s="178"/>
      <c r="BG170" s="178"/>
      <c r="BH170" s="178"/>
      <c r="BI170" s="179"/>
      <c r="BJ170" s="180"/>
      <c r="BK170" s="178"/>
      <c r="BL170" s="178"/>
      <c r="BM170" s="178"/>
      <c r="BN170" s="178"/>
      <c r="BO170" s="181"/>
      <c r="BP170" s="166"/>
      <c r="BQ170" s="177"/>
      <c r="BR170" s="178"/>
      <c r="BS170" s="179"/>
      <c r="BU170" s="166"/>
      <c r="BV170" s="166"/>
      <c r="BW170" s="166"/>
      <c r="BX170" s="166"/>
      <c r="BY170" s="166"/>
      <c r="BZ170" s="166"/>
      <c r="CA170" s="166"/>
      <c r="CB170" s="166"/>
      <c r="CC170" s="166"/>
      <c r="CD170" s="177"/>
      <c r="CE170" s="181"/>
      <c r="CF170" s="177"/>
      <c r="CG170" s="179"/>
      <c r="CH170" s="257"/>
      <c r="CI170" s="182"/>
      <c r="CJ170" s="177"/>
      <c r="CK170" s="182"/>
      <c r="CL170" s="177"/>
      <c r="CM170" s="182"/>
      <c r="CN170" s="177"/>
      <c r="CO170" s="182"/>
      <c r="CP170" s="177"/>
      <c r="CQ170" s="178"/>
      <c r="CR170" s="182"/>
      <c r="CS170" s="173"/>
      <c r="CT170" s="65"/>
      <c r="CU170" s="271"/>
    </row>
    <row r="171" ht="60.0" hidden="1" customHeight="1">
      <c r="A171" s="65"/>
      <c r="C171" s="167"/>
      <c r="D171" s="205"/>
      <c r="E171" s="262"/>
      <c r="F171" s="170"/>
      <c r="G171" s="170"/>
      <c r="H171" s="170"/>
      <c r="I171" s="170"/>
      <c r="J171" s="170"/>
      <c r="K171" s="171"/>
      <c r="L171" s="171"/>
      <c r="M171" s="171"/>
      <c r="N171" s="209"/>
      <c r="O171" s="172">
        <f t="shared" si="31"/>
        <v>0</v>
      </c>
      <c r="P171" s="166"/>
      <c r="Q171" s="173"/>
      <c r="R171" s="65"/>
      <c r="S171" s="173"/>
      <c r="T171" s="173"/>
      <c r="U171" s="166"/>
      <c r="V171" s="166"/>
      <c r="W171" s="65"/>
      <c r="X171" s="66"/>
      <c r="Y171" s="173"/>
      <c r="Z171" s="166"/>
      <c r="AA171" s="174"/>
      <c r="AB171" s="175"/>
      <c r="AC171" s="175"/>
      <c r="AD171" s="175"/>
      <c r="AE171" s="175"/>
      <c r="AF171" s="175"/>
      <c r="AG171" s="175"/>
      <c r="AH171" s="175"/>
      <c r="AI171" s="176"/>
      <c r="AJ171" s="177"/>
      <c r="AK171" s="178"/>
      <c r="AL171" s="178"/>
      <c r="AM171" s="178"/>
      <c r="AN171" s="178"/>
      <c r="AO171" s="179"/>
      <c r="AP171" s="64"/>
      <c r="AQ171" s="65"/>
      <c r="AR171" s="65"/>
      <c r="AS171" s="65"/>
      <c r="AT171" s="173"/>
      <c r="AU171" s="177"/>
      <c r="AV171" s="178"/>
      <c r="AW171" s="178"/>
      <c r="AX171" s="179"/>
      <c r="AZ171" s="166"/>
      <c r="BA171" s="177"/>
      <c r="BB171" s="178"/>
      <c r="BC171" s="178"/>
      <c r="BD171" s="178"/>
      <c r="BE171" s="178"/>
      <c r="BF171" s="178"/>
      <c r="BG171" s="178"/>
      <c r="BH171" s="178"/>
      <c r="BI171" s="179"/>
      <c r="BJ171" s="180"/>
      <c r="BK171" s="178"/>
      <c r="BL171" s="178"/>
      <c r="BM171" s="178"/>
      <c r="BN171" s="178"/>
      <c r="BO171" s="181"/>
      <c r="BP171" s="166"/>
      <c r="BQ171" s="177"/>
      <c r="BR171" s="178"/>
      <c r="BS171" s="179"/>
      <c r="BU171" s="166"/>
      <c r="BV171" s="166"/>
      <c r="BW171" s="166"/>
      <c r="BX171" s="166"/>
      <c r="BY171" s="166"/>
      <c r="BZ171" s="166"/>
      <c r="CA171" s="166"/>
      <c r="CB171" s="166"/>
      <c r="CC171" s="166"/>
      <c r="CD171" s="177"/>
      <c r="CE171" s="181"/>
      <c r="CF171" s="177"/>
      <c r="CG171" s="179"/>
      <c r="CH171" s="257"/>
      <c r="CI171" s="182"/>
      <c r="CJ171" s="177"/>
      <c r="CK171" s="182"/>
      <c r="CL171" s="177"/>
      <c r="CM171" s="182"/>
      <c r="CN171" s="177"/>
      <c r="CO171" s="182"/>
      <c r="CP171" s="177"/>
      <c r="CQ171" s="178"/>
      <c r="CR171" s="182"/>
      <c r="CS171" s="173"/>
      <c r="CT171" s="65"/>
      <c r="CU171" s="271"/>
    </row>
    <row r="172" ht="60.0" hidden="1" customHeight="1">
      <c r="A172" s="89"/>
      <c r="B172" s="6"/>
      <c r="C172" s="183"/>
      <c r="D172" s="210"/>
      <c r="E172" s="263"/>
      <c r="F172" s="186"/>
      <c r="G172" s="186"/>
      <c r="H172" s="186"/>
      <c r="I172" s="186"/>
      <c r="J172" s="186"/>
      <c r="K172" s="187"/>
      <c r="L172" s="187"/>
      <c r="M172" s="187"/>
      <c r="N172" s="214"/>
      <c r="O172" s="188">
        <f t="shared" ref="O172:O178" si="32">IF(AND(M172&lt;&gt;0,M172&lt;&gt;"m",M172&lt;&gt;"",RIGHT(K172,3)="Lec"),1,IF(AND(M172&lt;&gt;0,M172&lt;&gt;"m",M172&lt;&gt;"",OR(RIGHT(K172,3)="Lab",RIGHT(K172,3)="Tut")),0.5,IF(AND(M172&lt;&gt;0,M172&lt;&gt;"m",M172&lt;&gt;"",RIGHT(K172,2)="TL"),0.75,0)))</f>
        <v>0</v>
      </c>
      <c r="P172" s="63"/>
      <c r="Q172" s="69"/>
      <c r="R172" s="89"/>
      <c r="S172" s="69"/>
      <c r="T172" s="69"/>
      <c r="U172" s="63"/>
      <c r="V172" s="63"/>
      <c r="W172" s="89"/>
      <c r="X172" s="68"/>
      <c r="Y172" s="69"/>
      <c r="Z172" s="63"/>
      <c r="AA172" s="189"/>
      <c r="AB172" s="190"/>
      <c r="AC172" s="190"/>
      <c r="AD172" s="190"/>
      <c r="AE172" s="190"/>
      <c r="AF172" s="190"/>
      <c r="AG172" s="190"/>
      <c r="AH172" s="190"/>
      <c r="AI172" s="191"/>
      <c r="AJ172" s="192"/>
      <c r="AK172" s="193"/>
      <c r="AL172" s="193"/>
      <c r="AM172" s="193"/>
      <c r="AN172" s="193"/>
      <c r="AO172" s="194"/>
      <c r="AP172" s="103"/>
      <c r="AQ172" s="89"/>
      <c r="AR172" s="89"/>
      <c r="AS172" s="89"/>
      <c r="AT172" s="69"/>
      <c r="AU172" s="192"/>
      <c r="AV172" s="193"/>
      <c r="AW172" s="193"/>
      <c r="AX172" s="194"/>
      <c r="AY172" s="6"/>
      <c r="AZ172" s="63"/>
      <c r="BA172" s="192"/>
      <c r="BB172" s="193"/>
      <c r="BC172" s="193"/>
      <c r="BD172" s="193"/>
      <c r="BE172" s="193"/>
      <c r="BF172" s="193"/>
      <c r="BG172" s="193"/>
      <c r="BH172" s="193"/>
      <c r="BI172" s="194"/>
      <c r="BJ172" s="195"/>
      <c r="BK172" s="193"/>
      <c r="BL172" s="193"/>
      <c r="BM172" s="193"/>
      <c r="BN172" s="193"/>
      <c r="BO172" s="196"/>
      <c r="BP172" s="63"/>
      <c r="BQ172" s="192"/>
      <c r="BR172" s="193"/>
      <c r="BS172" s="194"/>
      <c r="BT172" s="6"/>
      <c r="BU172" s="63"/>
      <c r="BV172" s="63"/>
      <c r="BW172" s="63"/>
      <c r="BX172" s="63"/>
      <c r="BY172" s="63"/>
      <c r="BZ172" s="63"/>
      <c r="CA172" s="63"/>
      <c r="CB172" s="63"/>
      <c r="CC172" s="63"/>
      <c r="CD172" s="192"/>
      <c r="CE172" s="196"/>
      <c r="CF172" s="192"/>
      <c r="CG172" s="194"/>
      <c r="CH172" s="259"/>
      <c r="CI172" s="197"/>
      <c r="CJ172" s="192"/>
      <c r="CK172" s="197"/>
      <c r="CL172" s="192"/>
      <c r="CM172" s="197"/>
      <c r="CN172" s="192"/>
      <c r="CO172" s="197"/>
      <c r="CP172" s="192"/>
      <c r="CQ172" s="193"/>
      <c r="CR172" s="197"/>
      <c r="CS172" s="69"/>
      <c r="CT172" s="89"/>
      <c r="CU172" s="272"/>
    </row>
    <row r="173" ht="55.5" hidden="1" customHeight="1">
      <c r="A173" s="125">
        <v>16.0</v>
      </c>
      <c r="B173" s="199"/>
      <c r="C173" s="127"/>
      <c r="D173" s="128"/>
      <c r="E173" s="260"/>
      <c r="F173" s="261"/>
      <c r="G173" s="261"/>
      <c r="H173" s="261"/>
      <c r="I173" s="261"/>
      <c r="J173" s="170"/>
      <c r="K173" s="219"/>
      <c r="L173" s="219"/>
      <c r="M173" s="219"/>
      <c r="N173" s="220"/>
      <c r="O173" s="132">
        <f t="shared" si="32"/>
        <v>0</v>
      </c>
      <c r="P173" s="133">
        <f>COUNTIF(K173:K183,"TL")*0.75+COUNTIF(K173:K183,"Lec")*1+COUNTIF(K173:K183,"Lab")*0.5</f>
        <v>0</v>
      </c>
      <c r="Q173" s="134">
        <f>SUM((IF(LEFT(K173,1)="E",O173,0)),(IF(LEFT(K174,1)="E",O174,0)),(IF(LEFT(K175,1)="E",O175,0)),(IF(LEFT(K176,1)="E",O176,0)),(IF(LEFT(K177,1)="E",O177,0)),(IF(LEFT(K178,1)="E",O178,0)),(IF(LEFT(K179,1)="E",O179,0)),(IF(LEFT(K180,1)="E",O180,0)),(IF(LEFT(K181,1)="E",O181,0)),(IF(LEFT(K182,1)="E",O182,0)),(IF(LEFT(K183,1)="E",O183,0)))</f>
        <v>0</v>
      </c>
      <c r="R173" s="135">
        <f>SUM(IF(M179&lt;20,IF(K179="Plec",-1,IF(K179="PTL",-0.75,IF(K179="Plab",-0.5,0))),0),IF(M180&lt;20,IF(K180="Plec",-1,IF(K180="PTL",-0.75,IF(K180="Plab",-0.5,0))),0),IF(M181&lt;20,IF(K181="Plec",-1,IF(K181="PTL",-0.75,IF(K181="Plab",-0.5,0))),0),IF(M182&lt;20,IF(K182="Plec",-1,IF(K182="PTL",-0.75,IF(K182="Plab",-0.5,0))),0))</f>
        <v>0</v>
      </c>
      <c r="S173" s="134">
        <f>SUM(P173:R183)</f>
        <v>0</v>
      </c>
      <c r="T173" s="136">
        <f>SUM(IF(M173="M",IF(OR(K173="lec",K173="plec",K173="slec"),1,IF(OR(K173="lab",K173="plab",K173="slab",K173="tut",K173="ptut",K173="stut"),0.5,IF(OR(K173="TL",K173="pTL",K173="STL"),0.75,0))),0),IF(M174="M",IF(OR(K174="lec",K174="plec",K174="slec"),1,IF(OR(K174="lab",K174="plab",K174="slab",K174="tut",K174="ptut",K174="stut"),0.5,IF(OR(K174="TL",K174="pTL",K174="STL"),0.75,0))),0),IF(M175="M",IF(OR(K175="lec",K175="plec",K175="slec"),1,IF(OR(K175="lab",K175="plab",K175="slab",K175="tut",K175="ptut",K175="stut"),0.5,IF(OR(K175="TL",K175="pTL",K175="STL"),0.75,0))),0),IF(M176="M",IF(OR(K176="lec",K176="plec",K176="slec"),1,IF(OR(K176="lab",K176="plab",K176="slab",K176="tut",K176="ptut",K176="stut"),0.5,IF(OR(K176="TL",K176="pTL",K176="STL"),0.75,0))),0),IF(M177="M",IF(OR(K177="lec",K177="plec",K177="slec"),1,IF(OR(K177="lab",K177="plab",K177="slab",K177="tut",K177="ptut",K177="stut"),0.5,IF(OR(K177="TL",K177="pTL",K177="STL"),0.75,0))),0),IF(M178="M",IF(OR(K178="lec",K178="plec",K178="slec"),1,IF(OR(K178="lab",K178="plab",K178="slab",K178="tut",K178="ptut",K178="stut"),0.5,IF(OR(K178="TL",K178="pTL",K178="STL"),0.75,0))),0),IF(M179="M",IF(OR(K179="lec",K179="plec",K179="slec"),1,IF(OR(K179="lab",K179="plab",K179="slab",K179="tut",K179="ptut",K179="stut"),0.5,IF(OR(K179="TL",K179="pTL",K179="STL"),0.75,0))),0),IF(M180="M",IF(OR(K180="lec",K180="plec",K180="slec"),1,IF(OR(K180="lab",K180="plab",K180="slab",K180="tut",K180="ptut",K180="stut"),0.5,IF(OR(K180="TL",K180="pTL",K180="STL"),0.75,0))),0),IF(M181="M",IF(OR(K181="lec",K181="plec",K181="slec"),1,IF(OR(K181="lab",K181="plab",K181="slab",K181="tut",K181="ptut",K181="stut"),0.5,IF(OR(K181="TL",K181="pTL",K181="STL"),0.75,0))),0),IF(M182="M",IF(OR(K182="lec",K182="plec",K182="slec"),1,IF(OR(K182="lab",K182="plab",K182="slab",K182="tut",K182="ptut",K182="stut"),0.5,IF(OR(K182="TL",K182="pTL",K182="STL"),0.75,0))),0),IF(M183="M",IF(OR(K183="lec",K183="plec",K183="slec"),1,IF(OR(K183="lab",K183="plab",K183="slab",K183="tut",K183="ptut",K183="stut"),0.5,IF(OR(K183="TL",K183="pTL",K183="STL"),0.75,0))),0))</f>
        <v>0</v>
      </c>
      <c r="U173" s="137"/>
      <c r="V173" s="133"/>
      <c r="W173" s="138"/>
      <c r="X173" s="139">
        <f>S173-(T173+U173+V173+W173)</f>
        <v>0</v>
      </c>
      <c r="Y173" s="134" t="str">
        <f>CONCATENATE(SUM(O173:O183),"(",SUM(O173:O183)-X173,")")</f>
        <v>0(0)</v>
      </c>
      <c r="Z173" s="140"/>
      <c r="AA173" s="141"/>
      <c r="AB173" s="142"/>
      <c r="AC173" s="142"/>
      <c r="AD173" s="142"/>
      <c r="AE173" s="142"/>
      <c r="AF173" s="142"/>
      <c r="AG173" s="142"/>
      <c r="AH173" s="142"/>
      <c r="AI173" s="143"/>
      <c r="AJ173" s="144"/>
      <c r="AK173" s="145"/>
      <c r="AL173" s="145"/>
      <c r="AM173" s="145"/>
      <c r="AN173" s="145"/>
      <c r="AO173" s="146"/>
      <c r="AP173" s="147">
        <f>SUM(SUM(O173:O183),SUM(AI173:AI183)/2,AM173)</f>
        <v>0</v>
      </c>
      <c r="AQ173" s="148"/>
      <c r="AR173" s="148">
        <f>AP173*AQ173</f>
        <v>0</v>
      </c>
      <c r="AS173" s="148">
        <f>CT173</f>
        <v>0</v>
      </c>
      <c r="AT173" s="149">
        <f>AR173*0.75+AS173*0.25</f>
        <v>0</v>
      </c>
      <c r="AU173" s="150"/>
      <c r="AV173" s="151"/>
      <c r="AW173" s="151"/>
      <c r="AX173" s="152"/>
      <c r="AY173" s="153"/>
      <c r="AZ173" s="140"/>
      <c r="BA173" s="150"/>
      <c r="BB173" s="151"/>
      <c r="BC173" s="151"/>
      <c r="BD173" s="151"/>
      <c r="BE173" s="151"/>
      <c r="BF173" s="151"/>
      <c r="BG173" s="151"/>
      <c r="BH173" s="151"/>
      <c r="BI173" s="152"/>
      <c r="BJ173" s="154"/>
      <c r="BK173" s="151"/>
      <c r="BL173" s="151"/>
      <c r="BM173" s="151"/>
      <c r="BN173" s="151"/>
      <c r="BO173" s="155"/>
      <c r="BP173" s="140"/>
      <c r="BQ173" s="156"/>
      <c r="BR173" s="157"/>
      <c r="BS173" s="158"/>
      <c r="BT173" s="153"/>
      <c r="BU173" s="140"/>
      <c r="BV173" s="140"/>
      <c r="BW173" s="140"/>
      <c r="BX173" s="140"/>
      <c r="BY173" s="140"/>
      <c r="BZ173" s="140"/>
      <c r="CA173" s="140"/>
      <c r="CB173" s="140"/>
      <c r="CC173" s="140"/>
      <c r="CD173" s="150"/>
      <c r="CE173" s="155"/>
      <c r="CF173" s="150"/>
      <c r="CG173" s="152"/>
      <c r="CH173" s="252"/>
      <c r="CI173" s="160"/>
      <c r="CJ173" s="159"/>
      <c r="CK173" s="160"/>
      <c r="CL173" s="159"/>
      <c r="CM173" s="160"/>
      <c r="CN173" s="159"/>
      <c r="CO173" s="160"/>
      <c r="CP173" s="159"/>
      <c r="CQ173" s="162"/>
      <c r="CR173" s="160"/>
      <c r="CS173" s="253">
        <f>SUM(IF(AU173&lt;0,ABS(AU173),0),IF(AZ173&lt;0,ABS(AZ173),0),ABS(CI173),ABS(CK173),ABS(CM173),ABS(CO173),ABS(CQ173),ABS(CR173))</f>
        <v>0</v>
      </c>
      <c r="CT173" s="254">
        <f>SUM(AU173,AV173,AW173,AX173/400,AY173,AZ173,BG173,BH173*0.5,BI173*0.25,BJ173,BK173,BL173,BM173,BN173,BO173,BP173,BR173/20,BS173/100,BT173/60,BU173,BV173,BW173,BX173/4,SUM(BY173:CC183)/3,CE173,CG173/3,CI173,CK173,CM173,CO173,CQ173,CR173)</f>
        <v>0</v>
      </c>
      <c r="CU173" s="255"/>
    </row>
    <row r="174" ht="60.0" hidden="1" customHeight="1">
      <c r="A174" s="65"/>
      <c r="C174" s="167"/>
      <c r="D174" s="205"/>
      <c r="E174" s="262"/>
      <c r="F174" s="170"/>
      <c r="G174" s="170"/>
      <c r="H174" s="170"/>
      <c r="I174" s="170"/>
      <c r="J174" s="170"/>
      <c r="K174" s="171"/>
      <c r="L174" s="171"/>
      <c r="M174" s="171"/>
      <c r="N174" s="209"/>
      <c r="O174" s="172">
        <f t="shared" si="32"/>
        <v>0</v>
      </c>
      <c r="P174" s="166"/>
      <c r="Q174" s="173"/>
      <c r="R174" s="65"/>
      <c r="S174" s="173"/>
      <c r="T174" s="173"/>
      <c r="U174" s="166"/>
      <c r="V174" s="166"/>
      <c r="W174" s="65"/>
      <c r="X174" s="66"/>
      <c r="Y174" s="173"/>
      <c r="Z174" s="166"/>
      <c r="AA174" s="174"/>
      <c r="AB174" s="175"/>
      <c r="AC174" s="175"/>
      <c r="AD174" s="175"/>
      <c r="AE174" s="175"/>
      <c r="AF174" s="175"/>
      <c r="AG174" s="175"/>
      <c r="AH174" s="175"/>
      <c r="AI174" s="176"/>
      <c r="AJ174" s="177"/>
      <c r="AK174" s="178"/>
      <c r="AL174" s="178"/>
      <c r="AM174" s="178"/>
      <c r="AN174" s="178"/>
      <c r="AO174" s="179"/>
      <c r="AP174" s="64"/>
      <c r="AQ174" s="65"/>
      <c r="AR174" s="65"/>
      <c r="AS174" s="65"/>
      <c r="AT174" s="173"/>
      <c r="AU174" s="177"/>
      <c r="AV174" s="178"/>
      <c r="AW174" s="178"/>
      <c r="AX174" s="179"/>
      <c r="AZ174" s="166"/>
      <c r="BA174" s="177"/>
      <c r="BB174" s="178"/>
      <c r="BC174" s="178"/>
      <c r="BD174" s="178"/>
      <c r="BE174" s="178"/>
      <c r="BF174" s="178"/>
      <c r="BG174" s="178"/>
      <c r="BH174" s="178"/>
      <c r="BI174" s="179"/>
      <c r="BJ174" s="180"/>
      <c r="BK174" s="178"/>
      <c r="BL174" s="178"/>
      <c r="BM174" s="178"/>
      <c r="BN174" s="178"/>
      <c r="BO174" s="181"/>
      <c r="BP174" s="166"/>
      <c r="BQ174" s="177"/>
      <c r="BR174" s="178"/>
      <c r="BS174" s="179"/>
      <c r="BU174" s="166"/>
      <c r="BV174" s="166"/>
      <c r="BW174" s="166"/>
      <c r="BX174" s="166"/>
      <c r="BY174" s="166"/>
      <c r="BZ174" s="166"/>
      <c r="CA174" s="166"/>
      <c r="CB174" s="166"/>
      <c r="CC174" s="166"/>
      <c r="CD174" s="177"/>
      <c r="CE174" s="181"/>
      <c r="CF174" s="177"/>
      <c r="CG174" s="179"/>
      <c r="CH174" s="257"/>
      <c r="CI174" s="182"/>
      <c r="CJ174" s="177"/>
      <c r="CK174" s="182"/>
      <c r="CL174" s="177"/>
      <c r="CM174" s="182"/>
      <c r="CN174" s="177"/>
      <c r="CO174" s="182"/>
      <c r="CP174" s="177"/>
      <c r="CQ174" s="178"/>
      <c r="CR174" s="182"/>
      <c r="CS174" s="173"/>
      <c r="CT174" s="65"/>
      <c r="CU174" s="271"/>
    </row>
    <row r="175" ht="60.0" hidden="1" customHeight="1">
      <c r="A175" s="65"/>
      <c r="C175" s="167"/>
      <c r="D175" s="205"/>
      <c r="E175" s="262"/>
      <c r="F175" s="170"/>
      <c r="G175" s="170"/>
      <c r="H175" s="170"/>
      <c r="I175" s="170"/>
      <c r="J175" s="170"/>
      <c r="K175" s="171"/>
      <c r="L175" s="171"/>
      <c r="M175" s="171"/>
      <c r="N175" s="209"/>
      <c r="O175" s="172">
        <f t="shared" si="32"/>
        <v>0</v>
      </c>
      <c r="P175" s="166"/>
      <c r="Q175" s="173"/>
      <c r="R175" s="65"/>
      <c r="S175" s="173"/>
      <c r="T175" s="173"/>
      <c r="U175" s="166"/>
      <c r="V175" s="166"/>
      <c r="W175" s="65"/>
      <c r="X175" s="66"/>
      <c r="Y175" s="173"/>
      <c r="Z175" s="166"/>
      <c r="AA175" s="174"/>
      <c r="AB175" s="175"/>
      <c r="AC175" s="175"/>
      <c r="AD175" s="175"/>
      <c r="AE175" s="175"/>
      <c r="AF175" s="175"/>
      <c r="AG175" s="175"/>
      <c r="AH175" s="175"/>
      <c r="AI175" s="176"/>
      <c r="AJ175" s="177"/>
      <c r="AK175" s="178"/>
      <c r="AL175" s="178"/>
      <c r="AM175" s="178"/>
      <c r="AN175" s="178"/>
      <c r="AO175" s="179"/>
      <c r="AP175" s="64"/>
      <c r="AQ175" s="65"/>
      <c r="AR175" s="65"/>
      <c r="AS175" s="65"/>
      <c r="AT175" s="173"/>
      <c r="AU175" s="177"/>
      <c r="AV175" s="178"/>
      <c r="AW175" s="178"/>
      <c r="AX175" s="179"/>
      <c r="AZ175" s="166"/>
      <c r="BA175" s="177"/>
      <c r="BB175" s="178"/>
      <c r="BC175" s="178"/>
      <c r="BD175" s="178"/>
      <c r="BE175" s="178"/>
      <c r="BF175" s="178"/>
      <c r="BG175" s="178"/>
      <c r="BH175" s="178"/>
      <c r="BI175" s="179"/>
      <c r="BJ175" s="180"/>
      <c r="BK175" s="178"/>
      <c r="BL175" s="178"/>
      <c r="BM175" s="178"/>
      <c r="BN175" s="178"/>
      <c r="BO175" s="181"/>
      <c r="BP175" s="166"/>
      <c r="BQ175" s="177"/>
      <c r="BR175" s="178"/>
      <c r="BS175" s="179"/>
      <c r="BU175" s="166"/>
      <c r="BV175" s="166"/>
      <c r="BW175" s="166"/>
      <c r="BX175" s="166"/>
      <c r="BY175" s="166"/>
      <c r="BZ175" s="166"/>
      <c r="CA175" s="166"/>
      <c r="CB175" s="166"/>
      <c r="CC175" s="166"/>
      <c r="CD175" s="177"/>
      <c r="CE175" s="181"/>
      <c r="CF175" s="177"/>
      <c r="CG175" s="179"/>
      <c r="CH175" s="257"/>
      <c r="CI175" s="182"/>
      <c r="CJ175" s="177"/>
      <c r="CK175" s="182"/>
      <c r="CL175" s="177"/>
      <c r="CM175" s="182"/>
      <c r="CN175" s="177"/>
      <c r="CO175" s="182"/>
      <c r="CP175" s="177"/>
      <c r="CQ175" s="178"/>
      <c r="CR175" s="182"/>
      <c r="CS175" s="173"/>
      <c r="CT175" s="65"/>
      <c r="CU175" s="271"/>
    </row>
    <row r="176" ht="60.0" hidden="1" customHeight="1">
      <c r="A176" s="65"/>
      <c r="C176" s="167"/>
      <c r="D176" s="205"/>
      <c r="E176" s="262"/>
      <c r="F176" s="170"/>
      <c r="G176" s="170"/>
      <c r="H176" s="170"/>
      <c r="I176" s="170"/>
      <c r="J176" s="170"/>
      <c r="K176" s="171"/>
      <c r="L176" s="171"/>
      <c r="M176" s="171"/>
      <c r="N176" s="209"/>
      <c r="O176" s="172">
        <f t="shared" si="32"/>
        <v>0</v>
      </c>
      <c r="P176" s="166"/>
      <c r="Q176" s="173"/>
      <c r="R176" s="65"/>
      <c r="S176" s="173"/>
      <c r="T176" s="173"/>
      <c r="U176" s="166"/>
      <c r="V176" s="166"/>
      <c r="W176" s="65"/>
      <c r="X176" s="66"/>
      <c r="Y176" s="173"/>
      <c r="Z176" s="166"/>
      <c r="AA176" s="174"/>
      <c r="AB176" s="175"/>
      <c r="AC176" s="175"/>
      <c r="AD176" s="175"/>
      <c r="AE176" s="175"/>
      <c r="AF176" s="175"/>
      <c r="AG176" s="175"/>
      <c r="AH176" s="175"/>
      <c r="AI176" s="176"/>
      <c r="AJ176" s="177"/>
      <c r="AK176" s="178"/>
      <c r="AL176" s="178"/>
      <c r="AM176" s="178"/>
      <c r="AN176" s="178"/>
      <c r="AO176" s="179"/>
      <c r="AP176" s="64"/>
      <c r="AQ176" s="65"/>
      <c r="AR176" s="65"/>
      <c r="AS176" s="65"/>
      <c r="AT176" s="173"/>
      <c r="AU176" s="177"/>
      <c r="AV176" s="178"/>
      <c r="AW176" s="178"/>
      <c r="AX176" s="179"/>
      <c r="AZ176" s="166"/>
      <c r="BA176" s="177"/>
      <c r="BB176" s="178"/>
      <c r="BC176" s="178"/>
      <c r="BD176" s="178"/>
      <c r="BE176" s="178"/>
      <c r="BF176" s="178"/>
      <c r="BG176" s="178"/>
      <c r="BH176" s="178"/>
      <c r="BI176" s="179"/>
      <c r="BJ176" s="180"/>
      <c r="BK176" s="178"/>
      <c r="BL176" s="178"/>
      <c r="BM176" s="178"/>
      <c r="BN176" s="178"/>
      <c r="BO176" s="181"/>
      <c r="BP176" s="166"/>
      <c r="BQ176" s="177"/>
      <c r="BR176" s="178"/>
      <c r="BS176" s="179"/>
      <c r="BU176" s="166"/>
      <c r="BV176" s="166"/>
      <c r="BW176" s="166"/>
      <c r="BX176" s="166"/>
      <c r="BY176" s="166"/>
      <c r="BZ176" s="166"/>
      <c r="CA176" s="166"/>
      <c r="CB176" s="166"/>
      <c r="CC176" s="166"/>
      <c r="CD176" s="177"/>
      <c r="CE176" s="181"/>
      <c r="CF176" s="177"/>
      <c r="CG176" s="179"/>
      <c r="CH176" s="257"/>
      <c r="CI176" s="182"/>
      <c r="CJ176" s="177"/>
      <c r="CK176" s="182"/>
      <c r="CL176" s="177"/>
      <c r="CM176" s="182"/>
      <c r="CN176" s="177"/>
      <c r="CO176" s="182"/>
      <c r="CP176" s="177"/>
      <c r="CQ176" s="178"/>
      <c r="CR176" s="182"/>
      <c r="CS176" s="173"/>
      <c r="CT176" s="65"/>
      <c r="CU176" s="271"/>
    </row>
    <row r="177" ht="60.0" hidden="1" customHeight="1">
      <c r="A177" s="65"/>
      <c r="C177" s="167"/>
      <c r="D177" s="205"/>
      <c r="E177" s="262"/>
      <c r="F177" s="170"/>
      <c r="G177" s="170"/>
      <c r="H177" s="170"/>
      <c r="I177" s="170"/>
      <c r="J177" s="170"/>
      <c r="K177" s="171"/>
      <c r="L177" s="171"/>
      <c r="M177" s="171"/>
      <c r="N177" s="209"/>
      <c r="O177" s="172">
        <f t="shared" si="32"/>
        <v>0</v>
      </c>
      <c r="P177" s="166"/>
      <c r="Q177" s="173"/>
      <c r="R177" s="65"/>
      <c r="S177" s="173"/>
      <c r="T177" s="173"/>
      <c r="U177" s="166"/>
      <c r="V177" s="166"/>
      <c r="W177" s="65"/>
      <c r="X177" s="66"/>
      <c r="Y177" s="173"/>
      <c r="Z177" s="166"/>
      <c r="AA177" s="174"/>
      <c r="AB177" s="175"/>
      <c r="AC177" s="175"/>
      <c r="AD177" s="175"/>
      <c r="AE177" s="175"/>
      <c r="AF177" s="175"/>
      <c r="AG177" s="175"/>
      <c r="AH177" s="175"/>
      <c r="AI177" s="176"/>
      <c r="AJ177" s="177"/>
      <c r="AK177" s="178"/>
      <c r="AL177" s="178"/>
      <c r="AM177" s="178"/>
      <c r="AN177" s="178"/>
      <c r="AO177" s="179"/>
      <c r="AP177" s="64"/>
      <c r="AQ177" s="65"/>
      <c r="AR177" s="65"/>
      <c r="AS177" s="65"/>
      <c r="AT177" s="173"/>
      <c r="AU177" s="177"/>
      <c r="AV177" s="178"/>
      <c r="AW177" s="178"/>
      <c r="AX177" s="179"/>
      <c r="AZ177" s="166"/>
      <c r="BA177" s="177"/>
      <c r="BB177" s="178"/>
      <c r="BC177" s="178"/>
      <c r="BD177" s="178"/>
      <c r="BE177" s="178"/>
      <c r="BF177" s="178"/>
      <c r="BG177" s="178"/>
      <c r="BH177" s="178"/>
      <c r="BI177" s="179"/>
      <c r="BJ177" s="180"/>
      <c r="BK177" s="178"/>
      <c r="BL177" s="178"/>
      <c r="BM177" s="178"/>
      <c r="BN177" s="178"/>
      <c r="BO177" s="181"/>
      <c r="BP177" s="166"/>
      <c r="BQ177" s="177"/>
      <c r="BR177" s="178"/>
      <c r="BS177" s="179"/>
      <c r="BU177" s="166"/>
      <c r="BV177" s="166"/>
      <c r="BW177" s="166"/>
      <c r="BX177" s="166"/>
      <c r="BY177" s="166"/>
      <c r="BZ177" s="166"/>
      <c r="CA177" s="166"/>
      <c r="CB177" s="166"/>
      <c r="CC177" s="166"/>
      <c r="CD177" s="177"/>
      <c r="CE177" s="181"/>
      <c r="CF177" s="177"/>
      <c r="CG177" s="179"/>
      <c r="CH177" s="257"/>
      <c r="CI177" s="182"/>
      <c r="CJ177" s="177"/>
      <c r="CK177" s="182"/>
      <c r="CL177" s="177"/>
      <c r="CM177" s="182"/>
      <c r="CN177" s="177"/>
      <c r="CO177" s="182"/>
      <c r="CP177" s="177"/>
      <c r="CQ177" s="178"/>
      <c r="CR177" s="182"/>
      <c r="CS177" s="173"/>
      <c r="CT177" s="65"/>
      <c r="CU177" s="271"/>
    </row>
    <row r="178" ht="60.0" hidden="1" customHeight="1">
      <c r="A178" s="65"/>
      <c r="C178" s="167"/>
      <c r="D178" s="205"/>
      <c r="E178" s="262"/>
      <c r="F178" s="170"/>
      <c r="G178" s="170"/>
      <c r="H178" s="170"/>
      <c r="I178" s="170"/>
      <c r="J178" s="170"/>
      <c r="K178" s="171"/>
      <c r="L178" s="171"/>
      <c r="M178" s="171"/>
      <c r="N178" s="209"/>
      <c r="O178" s="172">
        <f t="shared" si="32"/>
        <v>0</v>
      </c>
      <c r="P178" s="166"/>
      <c r="Q178" s="173"/>
      <c r="R178" s="65"/>
      <c r="S178" s="173"/>
      <c r="T178" s="173"/>
      <c r="U178" s="166"/>
      <c r="V178" s="166"/>
      <c r="W178" s="65"/>
      <c r="X178" s="66"/>
      <c r="Y178" s="173"/>
      <c r="Z178" s="166"/>
      <c r="AA178" s="174"/>
      <c r="AB178" s="175"/>
      <c r="AC178" s="175"/>
      <c r="AD178" s="175"/>
      <c r="AE178" s="175"/>
      <c r="AF178" s="175"/>
      <c r="AG178" s="175"/>
      <c r="AH178" s="175"/>
      <c r="AI178" s="176"/>
      <c r="AJ178" s="177"/>
      <c r="AK178" s="178"/>
      <c r="AL178" s="178"/>
      <c r="AM178" s="178"/>
      <c r="AN178" s="178"/>
      <c r="AO178" s="179"/>
      <c r="AP178" s="64"/>
      <c r="AQ178" s="65"/>
      <c r="AR178" s="65"/>
      <c r="AS178" s="65"/>
      <c r="AT178" s="173"/>
      <c r="AU178" s="177"/>
      <c r="AV178" s="178"/>
      <c r="AW178" s="178"/>
      <c r="AX178" s="179"/>
      <c r="AZ178" s="166"/>
      <c r="BA178" s="177"/>
      <c r="BB178" s="178"/>
      <c r="BC178" s="178"/>
      <c r="BD178" s="178"/>
      <c r="BE178" s="178"/>
      <c r="BF178" s="178"/>
      <c r="BG178" s="178"/>
      <c r="BH178" s="178"/>
      <c r="BI178" s="179"/>
      <c r="BJ178" s="180"/>
      <c r="BK178" s="178"/>
      <c r="BL178" s="178"/>
      <c r="BM178" s="178"/>
      <c r="BN178" s="178"/>
      <c r="BO178" s="181"/>
      <c r="BP178" s="166"/>
      <c r="BQ178" s="177"/>
      <c r="BR178" s="178"/>
      <c r="BS178" s="179"/>
      <c r="BU178" s="166"/>
      <c r="BV178" s="166"/>
      <c r="BW178" s="166"/>
      <c r="BX178" s="166"/>
      <c r="BY178" s="166"/>
      <c r="BZ178" s="166"/>
      <c r="CA178" s="166"/>
      <c r="CB178" s="166"/>
      <c r="CC178" s="166"/>
      <c r="CD178" s="177"/>
      <c r="CE178" s="181"/>
      <c r="CF178" s="177"/>
      <c r="CG178" s="179"/>
      <c r="CH178" s="257"/>
      <c r="CI178" s="182"/>
      <c r="CJ178" s="177"/>
      <c r="CK178" s="182"/>
      <c r="CL178" s="177"/>
      <c r="CM178" s="182"/>
      <c r="CN178" s="177"/>
      <c r="CO178" s="182"/>
      <c r="CP178" s="177"/>
      <c r="CQ178" s="178"/>
      <c r="CR178" s="182"/>
      <c r="CS178" s="173"/>
      <c r="CT178" s="65"/>
      <c r="CU178" s="271"/>
    </row>
    <row r="179" ht="60.0" hidden="1" customHeight="1">
      <c r="A179" s="65"/>
      <c r="C179" s="167"/>
      <c r="D179" s="205"/>
      <c r="E179" s="262"/>
      <c r="F179" s="170"/>
      <c r="G179" s="170"/>
      <c r="H179" s="170"/>
      <c r="I179" s="170"/>
      <c r="J179" s="170"/>
      <c r="K179" s="171"/>
      <c r="L179" s="171"/>
      <c r="M179" s="171"/>
      <c r="N179" s="209"/>
      <c r="O179" s="172">
        <f t="shared" ref="O179:O182" si="33">IF(AND(M179&gt;=20,M179&lt;&gt;"m",RIGHT(K179,3)="Lec"),1,IF(AND(M179&gt;=20,M179&lt;&gt;"m",OR(RIGHT(K179,3)="Lab",RIGHT(K179,3)="Tut")),0.5,IF(AND(M179&gt;=20,M179&lt;&gt;"m",RIGHT(K179,2)="TL"),0.75,0)))</f>
        <v>0</v>
      </c>
      <c r="P179" s="166"/>
      <c r="Q179" s="173"/>
      <c r="R179" s="65"/>
      <c r="S179" s="173"/>
      <c r="T179" s="173"/>
      <c r="U179" s="166"/>
      <c r="V179" s="166"/>
      <c r="W179" s="65"/>
      <c r="X179" s="66"/>
      <c r="Y179" s="173"/>
      <c r="Z179" s="166"/>
      <c r="AA179" s="174"/>
      <c r="AB179" s="175"/>
      <c r="AC179" s="175"/>
      <c r="AD179" s="175"/>
      <c r="AE179" s="175"/>
      <c r="AF179" s="175"/>
      <c r="AG179" s="175"/>
      <c r="AH179" s="175"/>
      <c r="AI179" s="176"/>
      <c r="AJ179" s="177"/>
      <c r="AK179" s="178"/>
      <c r="AL179" s="178"/>
      <c r="AM179" s="178"/>
      <c r="AN179" s="178"/>
      <c r="AO179" s="179"/>
      <c r="AP179" s="64"/>
      <c r="AQ179" s="65"/>
      <c r="AR179" s="65"/>
      <c r="AS179" s="65"/>
      <c r="AT179" s="173"/>
      <c r="AU179" s="177"/>
      <c r="AV179" s="178"/>
      <c r="AW179" s="178"/>
      <c r="AX179" s="179"/>
      <c r="AZ179" s="166"/>
      <c r="BA179" s="177"/>
      <c r="BB179" s="178"/>
      <c r="BC179" s="178"/>
      <c r="BD179" s="178"/>
      <c r="BE179" s="178"/>
      <c r="BF179" s="178"/>
      <c r="BG179" s="178"/>
      <c r="BH179" s="178"/>
      <c r="BI179" s="179"/>
      <c r="BJ179" s="180"/>
      <c r="BK179" s="178"/>
      <c r="BL179" s="178"/>
      <c r="BM179" s="178"/>
      <c r="BN179" s="178"/>
      <c r="BO179" s="181"/>
      <c r="BP179" s="166"/>
      <c r="BQ179" s="177"/>
      <c r="BR179" s="178"/>
      <c r="BS179" s="179"/>
      <c r="BU179" s="166"/>
      <c r="BV179" s="166"/>
      <c r="BW179" s="166"/>
      <c r="BX179" s="166"/>
      <c r="BY179" s="166"/>
      <c r="BZ179" s="166"/>
      <c r="CA179" s="166"/>
      <c r="CB179" s="166"/>
      <c r="CC179" s="166"/>
      <c r="CD179" s="177"/>
      <c r="CE179" s="181"/>
      <c r="CF179" s="177"/>
      <c r="CG179" s="179"/>
      <c r="CH179" s="257"/>
      <c r="CI179" s="182"/>
      <c r="CJ179" s="177"/>
      <c r="CK179" s="182"/>
      <c r="CL179" s="177"/>
      <c r="CM179" s="182"/>
      <c r="CN179" s="177"/>
      <c r="CO179" s="182"/>
      <c r="CP179" s="177"/>
      <c r="CQ179" s="178"/>
      <c r="CR179" s="182"/>
      <c r="CS179" s="173"/>
      <c r="CT179" s="65"/>
      <c r="CU179" s="271"/>
    </row>
    <row r="180" ht="60.0" hidden="1" customHeight="1">
      <c r="A180" s="65"/>
      <c r="C180" s="167"/>
      <c r="D180" s="205"/>
      <c r="E180" s="262"/>
      <c r="F180" s="170"/>
      <c r="G180" s="170"/>
      <c r="H180" s="170"/>
      <c r="I180" s="170"/>
      <c r="J180" s="170"/>
      <c r="K180" s="171"/>
      <c r="L180" s="171"/>
      <c r="M180" s="171"/>
      <c r="N180" s="209"/>
      <c r="O180" s="172">
        <f t="shared" si="33"/>
        <v>0</v>
      </c>
      <c r="P180" s="166"/>
      <c r="Q180" s="173"/>
      <c r="R180" s="65"/>
      <c r="S180" s="173"/>
      <c r="T180" s="173"/>
      <c r="U180" s="166"/>
      <c r="V180" s="166"/>
      <c r="W180" s="65"/>
      <c r="X180" s="66"/>
      <c r="Y180" s="173"/>
      <c r="Z180" s="166"/>
      <c r="AA180" s="174"/>
      <c r="AB180" s="175"/>
      <c r="AC180" s="175"/>
      <c r="AD180" s="175"/>
      <c r="AE180" s="175"/>
      <c r="AF180" s="175"/>
      <c r="AG180" s="175"/>
      <c r="AH180" s="175"/>
      <c r="AI180" s="176"/>
      <c r="AJ180" s="177"/>
      <c r="AK180" s="178"/>
      <c r="AL180" s="178"/>
      <c r="AM180" s="178"/>
      <c r="AN180" s="178"/>
      <c r="AO180" s="179"/>
      <c r="AP180" s="64"/>
      <c r="AQ180" s="65"/>
      <c r="AR180" s="65"/>
      <c r="AS180" s="65"/>
      <c r="AT180" s="173"/>
      <c r="AU180" s="177"/>
      <c r="AV180" s="178"/>
      <c r="AW180" s="178"/>
      <c r="AX180" s="179"/>
      <c r="AZ180" s="166"/>
      <c r="BA180" s="177"/>
      <c r="BB180" s="178"/>
      <c r="BC180" s="178"/>
      <c r="BD180" s="178"/>
      <c r="BE180" s="178"/>
      <c r="BF180" s="178"/>
      <c r="BG180" s="178"/>
      <c r="BH180" s="178"/>
      <c r="BI180" s="179"/>
      <c r="BJ180" s="180"/>
      <c r="BK180" s="178"/>
      <c r="BL180" s="178"/>
      <c r="BM180" s="178"/>
      <c r="BN180" s="178"/>
      <c r="BO180" s="181"/>
      <c r="BP180" s="166"/>
      <c r="BQ180" s="177"/>
      <c r="BR180" s="178"/>
      <c r="BS180" s="179"/>
      <c r="BU180" s="166"/>
      <c r="BV180" s="166"/>
      <c r="BW180" s="166"/>
      <c r="BX180" s="166"/>
      <c r="BY180" s="166"/>
      <c r="BZ180" s="166"/>
      <c r="CA180" s="166"/>
      <c r="CB180" s="166"/>
      <c r="CC180" s="166"/>
      <c r="CD180" s="177"/>
      <c r="CE180" s="181"/>
      <c r="CF180" s="177"/>
      <c r="CG180" s="179"/>
      <c r="CH180" s="257"/>
      <c r="CI180" s="182"/>
      <c r="CJ180" s="177"/>
      <c r="CK180" s="182"/>
      <c r="CL180" s="177"/>
      <c r="CM180" s="182"/>
      <c r="CN180" s="177"/>
      <c r="CO180" s="182"/>
      <c r="CP180" s="177"/>
      <c r="CQ180" s="178"/>
      <c r="CR180" s="182"/>
      <c r="CS180" s="173"/>
      <c r="CT180" s="65"/>
      <c r="CU180" s="271"/>
    </row>
    <row r="181" ht="60.0" hidden="1" customHeight="1">
      <c r="A181" s="65"/>
      <c r="C181" s="167"/>
      <c r="D181" s="205"/>
      <c r="E181" s="262"/>
      <c r="F181" s="170"/>
      <c r="G181" s="170"/>
      <c r="H181" s="170"/>
      <c r="I181" s="170"/>
      <c r="J181" s="170"/>
      <c r="K181" s="171"/>
      <c r="L181" s="171"/>
      <c r="M181" s="171"/>
      <c r="N181" s="209"/>
      <c r="O181" s="172">
        <f t="shared" si="33"/>
        <v>0</v>
      </c>
      <c r="P181" s="166"/>
      <c r="Q181" s="173"/>
      <c r="R181" s="65"/>
      <c r="S181" s="173"/>
      <c r="T181" s="173"/>
      <c r="U181" s="166"/>
      <c r="V181" s="166"/>
      <c r="W181" s="65"/>
      <c r="X181" s="66"/>
      <c r="Y181" s="173"/>
      <c r="Z181" s="166"/>
      <c r="AA181" s="174"/>
      <c r="AB181" s="175"/>
      <c r="AC181" s="175"/>
      <c r="AD181" s="175"/>
      <c r="AE181" s="175"/>
      <c r="AF181" s="175"/>
      <c r="AG181" s="175"/>
      <c r="AH181" s="175"/>
      <c r="AI181" s="176"/>
      <c r="AJ181" s="177"/>
      <c r="AK181" s="178"/>
      <c r="AL181" s="178"/>
      <c r="AM181" s="178"/>
      <c r="AN181" s="178"/>
      <c r="AO181" s="179"/>
      <c r="AP181" s="64"/>
      <c r="AQ181" s="65"/>
      <c r="AR181" s="65"/>
      <c r="AS181" s="65"/>
      <c r="AT181" s="173"/>
      <c r="AU181" s="177"/>
      <c r="AV181" s="178"/>
      <c r="AW181" s="178"/>
      <c r="AX181" s="179"/>
      <c r="AZ181" s="166"/>
      <c r="BA181" s="177"/>
      <c r="BB181" s="178"/>
      <c r="BC181" s="178"/>
      <c r="BD181" s="178"/>
      <c r="BE181" s="178"/>
      <c r="BF181" s="178"/>
      <c r="BG181" s="178"/>
      <c r="BH181" s="178"/>
      <c r="BI181" s="179"/>
      <c r="BJ181" s="180"/>
      <c r="BK181" s="178"/>
      <c r="BL181" s="178"/>
      <c r="BM181" s="178"/>
      <c r="BN181" s="178"/>
      <c r="BO181" s="181"/>
      <c r="BP181" s="166"/>
      <c r="BQ181" s="177"/>
      <c r="BR181" s="178"/>
      <c r="BS181" s="179"/>
      <c r="BU181" s="166"/>
      <c r="BV181" s="166"/>
      <c r="BW181" s="166"/>
      <c r="BX181" s="166"/>
      <c r="BY181" s="166"/>
      <c r="BZ181" s="166"/>
      <c r="CA181" s="166"/>
      <c r="CB181" s="166"/>
      <c r="CC181" s="166"/>
      <c r="CD181" s="177"/>
      <c r="CE181" s="181"/>
      <c r="CF181" s="177"/>
      <c r="CG181" s="179"/>
      <c r="CH181" s="257"/>
      <c r="CI181" s="182"/>
      <c r="CJ181" s="177"/>
      <c r="CK181" s="182"/>
      <c r="CL181" s="177"/>
      <c r="CM181" s="182"/>
      <c r="CN181" s="177"/>
      <c r="CO181" s="182"/>
      <c r="CP181" s="177"/>
      <c r="CQ181" s="178"/>
      <c r="CR181" s="182"/>
      <c r="CS181" s="173"/>
      <c r="CT181" s="65"/>
      <c r="CU181" s="271"/>
    </row>
    <row r="182" ht="60.0" hidden="1" customHeight="1">
      <c r="A182" s="65"/>
      <c r="C182" s="167"/>
      <c r="D182" s="205"/>
      <c r="E182" s="262"/>
      <c r="F182" s="170"/>
      <c r="G182" s="170"/>
      <c r="H182" s="170"/>
      <c r="I182" s="170"/>
      <c r="J182" s="170"/>
      <c r="K182" s="171"/>
      <c r="L182" s="171"/>
      <c r="M182" s="171"/>
      <c r="N182" s="209"/>
      <c r="O182" s="172">
        <f t="shared" si="33"/>
        <v>0</v>
      </c>
      <c r="P182" s="166"/>
      <c r="Q182" s="173"/>
      <c r="R182" s="65"/>
      <c r="S182" s="173"/>
      <c r="T182" s="173"/>
      <c r="U182" s="166"/>
      <c r="V182" s="166"/>
      <c r="W182" s="65"/>
      <c r="X182" s="66"/>
      <c r="Y182" s="173"/>
      <c r="Z182" s="166"/>
      <c r="AA182" s="174"/>
      <c r="AB182" s="175"/>
      <c r="AC182" s="175"/>
      <c r="AD182" s="175"/>
      <c r="AE182" s="175"/>
      <c r="AF182" s="175"/>
      <c r="AG182" s="175"/>
      <c r="AH182" s="175"/>
      <c r="AI182" s="176"/>
      <c r="AJ182" s="177"/>
      <c r="AK182" s="178"/>
      <c r="AL182" s="178"/>
      <c r="AM182" s="178"/>
      <c r="AN182" s="178"/>
      <c r="AO182" s="179"/>
      <c r="AP182" s="64"/>
      <c r="AQ182" s="65"/>
      <c r="AR182" s="65"/>
      <c r="AS182" s="65"/>
      <c r="AT182" s="173"/>
      <c r="AU182" s="177"/>
      <c r="AV182" s="178"/>
      <c r="AW182" s="178"/>
      <c r="AX182" s="179"/>
      <c r="AZ182" s="166"/>
      <c r="BA182" s="177"/>
      <c r="BB182" s="178"/>
      <c r="BC182" s="178"/>
      <c r="BD182" s="178"/>
      <c r="BE182" s="178"/>
      <c r="BF182" s="178"/>
      <c r="BG182" s="178"/>
      <c r="BH182" s="178"/>
      <c r="BI182" s="179"/>
      <c r="BJ182" s="180"/>
      <c r="BK182" s="178"/>
      <c r="BL182" s="178"/>
      <c r="BM182" s="178"/>
      <c r="BN182" s="178"/>
      <c r="BO182" s="181"/>
      <c r="BP182" s="166"/>
      <c r="BQ182" s="177"/>
      <c r="BR182" s="178"/>
      <c r="BS182" s="179"/>
      <c r="BU182" s="166"/>
      <c r="BV182" s="166"/>
      <c r="BW182" s="166"/>
      <c r="BX182" s="166"/>
      <c r="BY182" s="166"/>
      <c r="BZ182" s="166"/>
      <c r="CA182" s="166"/>
      <c r="CB182" s="166"/>
      <c r="CC182" s="166"/>
      <c r="CD182" s="177"/>
      <c r="CE182" s="181"/>
      <c r="CF182" s="177"/>
      <c r="CG182" s="179"/>
      <c r="CH182" s="257"/>
      <c r="CI182" s="182"/>
      <c r="CJ182" s="177"/>
      <c r="CK182" s="182"/>
      <c r="CL182" s="177"/>
      <c r="CM182" s="182"/>
      <c r="CN182" s="177"/>
      <c r="CO182" s="182"/>
      <c r="CP182" s="177"/>
      <c r="CQ182" s="178"/>
      <c r="CR182" s="182"/>
      <c r="CS182" s="173"/>
      <c r="CT182" s="65"/>
      <c r="CU182" s="271"/>
    </row>
    <row r="183" ht="60.0" hidden="1" customHeight="1">
      <c r="A183" s="89"/>
      <c r="B183" s="6"/>
      <c r="C183" s="183"/>
      <c r="D183" s="210"/>
      <c r="E183" s="263"/>
      <c r="F183" s="186"/>
      <c r="G183" s="186"/>
      <c r="H183" s="186"/>
      <c r="I183" s="186"/>
      <c r="J183" s="186"/>
      <c r="K183" s="187"/>
      <c r="L183" s="187"/>
      <c r="M183" s="187"/>
      <c r="N183" s="214"/>
      <c r="O183" s="188">
        <f t="shared" ref="O183:O189" si="34">IF(AND(M183&lt;&gt;0,M183&lt;&gt;"m",M183&lt;&gt;"",RIGHT(K183,3)="Lec"),1,IF(AND(M183&lt;&gt;0,M183&lt;&gt;"m",M183&lt;&gt;"",OR(RIGHT(K183,3)="Lab",RIGHT(K183,3)="Tut")),0.5,IF(AND(M183&lt;&gt;0,M183&lt;&gt;"m",M183&lt;&gt;"",RIGHT(K183,2)="TL"),0.75,0)))</f>
        <v>0</v>
      </c>
      <c r="P183" s="63"/>
      <c r="Q183" s="69"/>
      <c r="R183" s="89"/>
      <c r="S183" s="69"/>
      <c r="T183" s="69"/>
      <c r="U183" s="63"/>
      <c r="V183" s="63"/>
      <c r="W183" s="89"/>
      <c r="X183" s="68"/>
      <c r="Y183" s="69"/>
      <c r="Z183" s="63"/>
      <c r="AA183" s="189"/>
      <c r="AB183" s="190"/>
      <c r="AC183" s="190"/>
      <c r="AD183" s="190"/>
      <c r="AE183" s="190"/>
      <c r="AF183" s="190"/>
      <c r="AG183" s="190"/>
      <c r="AH183" s="190"/>
      <c r="AI183" s="191"/>
      <c r="AJ183" s="192"/>
      <c r="AK183" s="193"/>
      <c r="AL183" s="193"/>
      <c r="AM183" s="193"/>
      <c r="AN183" s="193"/>
      <c r="AO183" s="194"/>
      <c r="AP183" s="103"/>
      <c r="AQ183" s="89"/>
      <c r="AR183" s="89"/>
      <c r="AS183" s="89"/>
      <c r="AT183" s="69"/>
      <c r="AU183" s="192"/>
      <c r="AV183" s="193"/>
      <c r="AW183" s="193"/>
      <c r="AX183" s="194"/>
      <c r="AY183" s="6"/>
      <c r="AZ183" s="63"/>
      <c r="BA183" s="192"/>
      <c r="BB183" s="193"/>
      <c r="BC183" s="193"/>
      <c r="BD183" s="193"/>
      <c r="BE183" s="193"/>
      <c r="BF183" s="193"/>
      <c r="BG183" s="193"/>
      <c r="BH183" s="193"/>
      <c r="BI183" s="194"/>
      <c r="BJ183" s="195"/>
      <c r="BK183" s="193"/>
      <c r="BL183" s="193"/>
      <c r="BM183" s="193"/>
      <c r="BN183" s="193"/>
      <c r="BO183" s="196"/>
      <c r="BP183" s="63"/>
      <c r="BQ183" s="192"/>
      <c r="BR183" s="193"/>
      <c r="BS183" s="194"/>
      <c r="BT183" s="6"/>
      <c r="BU183" s="63"/>
      <c r="BV183" s="63"/>
      <c r="BW183" s="63"/>
      <c r="BX183" s="63"/>
      <c r="BY183" s="63"/>
      <c r="BZ183" s="63"/>
      <c r="CA183" s="63"/>
      <c r="CB183" s="63"/>
      <c r="CC183" s="63"/>
      <c r="CD183" s="192"/>
      <c r="CE183" s="196"/>
      <c r="CF183" s="192"/>
      <c r="CG183" s="194"/>
      <c r="CH183" s="259"/>
      <c r="CI183" s="197"/>
      <c r="CJ183" s="192"/>
      <c r="CK183" s="197"/>
      <c r="CL183" s="192"/>
      <c r="CM183" s="197"/>
      <c r="CN183" s="192"/>
      <c r="CO183" s="197"/>
      <c r="CP183" s="192"/>
      <c r="CQ183" s="193"/>
      <c r="CR183" s="197"/>
      <c r="CS183" s="69"/>
      <c r="CT183" s="89"/>
      <c r="CU183" s="272"/>
    </row>
    <row r="184" ht="55.5" hidden="1" customHeight="1">
      <c r="A184" s="125">
        <v>17.0</v>
      </c>
      <c r="B184" s="199"/>
      <c r="C184" s="127"/>
      <c r="D184" s="128"/>
      <c r="E184" s="260"/>
      <c r="F184" s="261"/>
      <c r="G184" s="261"/>
      <c r="H184" s="261"/>
      <c r="I184" s="261"/>
      <c r="J184" s="170"/>
      <c r="K184" s="219"/>
      <c r="L184" s="219"/>
      <c r="M184" s="219"/>
      <c r="N184" s="220"/>
      <c r="O184" s="132">
        <f t="shared" si="34"/>
        <v>0</v>
      </c>
      <c r="P184" s="133">
        <f>COUNTIF(K184:K194,"TL")*0.75+COUNTIF(K184:K194,"Lec")*1+COUNTIF(K184:K194,"Lab")*0.5</f>
        <v>0</v>
      </c>
      <c r="Q184" s="134">
        <f>SUM((IF(LEFT(K184,1)="E",O184,0)),(IF(LEFT(K185,1)="E",O185,0)),(IF(LEFT(K186,1)="E",O186,0)),(IF(LEFT(K187,1)="E",O187,0)),(IF(LEFT(K188,1)="E",O188,0)),(IF(LEFT(K189,1)="E",O189,0)),(IF(LEFT(K190,1)="E",O190,0)),(IF(LEFT(K191,1)="E",O191,0)),(IF(LEFT(K192,1)="E",O192,0)),(IF(LEFT(K193,1)="E",O193,0)),(IF(LEFT(K194,1)="E",O194,0)))</f>
        <v>0</v>
      </c>
      <c r="R184" s="135">
        <f>SUM(IF(M190&lt;20,IF(K190="Plec",-1,IF(K190="PTL",-0.75,IF(K190="Plab",-0.5,0))),0),IF(M191&lt;20,IF(K191="Plec",-1,IF(K191="PTL",-0.75,IF(K191="Plab",-0.5,0))),0),IF(M192&lt;20,IF(K192="Plec",-1,IF(K192="PTL",-0.75,IF(K192="Plab",-0.5,0))),0),IF(M193&lt;20,IF(K193="Plec",-1,IF(K193="PTL",-0.75,IF(K193="Plab",-0.5,0))),0))</f>
        <v>0</v>
      </c>
      <c r="S184" s="134">
        <f>SUM(P184:R194)</f>
        <v>0</v>
      </c>
      <c r="T184" s="136">
        <f>SUM(IF(M184="M",IF(OR(K184="lec",K184="plec",K184="slec"),1,IF(OR(K184="lab",K184="plab",K184="slab",K184="tut",K184="ptut",K184="stut"),0.5,IF(OR(K184="TL",K184="pTL",K184="STL"),0.75,0))),0),IF(M185="M",IF(OR(K185="lec",K185="plec",K185="slec"),1,IF(OR(K185="lab",K185="plab",K185="slab",K185="tut",K185="ptut",K185="stut"),0.5,IF(OR(K185="TL",K185="pTL",K185="STL"),0.75,0))),0),IF(M186="M",IF(OR(K186="lec",K186="plec",K186="slec"),1,IF(OR(K186="lab",K186="plab",K186="slab",K186="tut",K186="ptut",K186="stut"),0.5,IF(OR(K186="TL",K186="pTL",K186="STL"),0.75,0))),0),IF(M187="M",IF(OR(K187="lec",K187="plec",K187="slec"),1,IF(OR(K187="lab",K187="plab",K187="slab",K187="tut",K187="ptut",K187="stut"),0.5,IF(OR(K187="TL",K187="pTL",K187="STL"),0.75,0))),0),IF(M188="M",IF(OR(K188="lec",K188="plec",K188="slec"),1,IF(OR(K188="lab",K188="plab",K188="slab",K188="tut",K188="ptut",K188="stut"),0.5,IF(OR(K188="TL",K188="pTL",K188="STL"),0.75,0))),0),IF(M189="M",IF(OR(K189="lec",K189="plec",K189="slec"),1,IF(OR(K189="lab",K189="plab",K189="slab",K189="tut",K189="ptut",K189="stut"),0.5,IF(OR(K189="TL",K189="pTL",K189="STL"),0.75,0))),0),IF(M190="M",IF(OR(K190="lec",K190="plec",K190="slec"),1,IF(OR(K190="lab",K190="plab",K190="slab",K190="tut",K190="ptut",K190="stut"),0.5,IF(OR(K190="TL",K190="pTL",K190="STL"),0.75,0))),0),IF(M191="M",IF(OR(K191="lec",K191="plec",K191="slec"),1,IF(OR(K191="lab",K191="plab",K191="slab",K191="tut",K191="ptut",K191="stut"),0.5,IF(OR(K191="TL",K191="pTL",K191="STL"),0.75,0))),0),IF(M192="M",IF(OR(K192="lec",K192="plec",K192="slec"),1,IF(OR(K192="lab",K192="plab",K192="slab",K192="tut",K192="ptut",K192="stut"),0.5,IF(OR(K192="TL",K192="pTL",K192="STL"),0.75,0))),0),IF(M193="M",IF(OR(K193="lec",K193="plec",K193="slec"),1,IF(OR(K193="lab",K193="plab",K193="slab",K193="tut",K193="ptut",K193="stut"),0.5,IF(OR(K193="TL",K193="pTL",K193="STL"),0.75,0))),0),IF(M194="M",IF(OR(K194="lec",K194="plec",K194="slec"),1,IF(OR(K194="lab",K194="plab",K194="slab",K194="tut",K194="ptut",K194="stut"),0.5,IF(OR(K194="TL",K194="pTL",K194="STL"),0.75,0))),0))</f>
        <v>0</v>
      </c>
      <c r="U184" s="137"/>
      <c r="V184" s="133"/>
      <c r="W184" s="138"/>
      <c r="X184" s="139">
        <f>S184-(T184+U184+V184+W184)</f>
        <v>0</v>
      </c>
      <c r="Y184" s="134" t="str">
        <f>CONCATENATE(SUM(O184:O194),"(",SUM(O184:O194)-X184,")")</f>
        <v>0(0)</v>
      </c>
      <c r="Z184" s="140"/>
      <c r="AA184" s="141"/>
      <c r="AB184" s="142"/>
      <c r="AC184" s="142"/>
      <c r="AD184" s="142"/>
      <c r="AE184" s="142"/>
      <c r="AF184" s="142"/>
      <c r="AG184" s="142"/>
      <c r="AH184" s="142"/>
      <c r="AI184" s="143"/>
      <c r="AJ184" s="144"/>
      <c r="AK184" s="145"/>
      <c r="AL184" s="145"/>
      <c r="AM184" s="145"/>
      <c r="AN184" s="145"/>
      <c r="AO184" s="146"/>
      <c r="AP184" s="147">
        <f>SUM(SUM(O184:O194),SUM(AI184:AI194)/2,AM184)</f>
        <v>0</v>
      </c>
      <c r="AQ184" s="148"/>
      <c r="AR184" s="148">
        <f>AP184*AQ184</f>
        <v>0</v>
      </c>
      <c r="AS184" s="148">
        <f>CT184</f>
        <v>0</v>
      </c>
      <c r="AT184" s="149">
        <f>AR184*0.75+AS184*0.25</f>
        <v>0</v>
      </c>
      <c r="AU184" s="150"/>
      <c r="AV184" s="151"/>
      <c r="AW184" s="151"/>
      <c r="AX184" s="152"/>
      <c r="AY184" s="153"/>
      <c r="AZ184" s="140"/>
      <c r="BA184" s="150"/>
      <c r="BB184" s="151"/>
      <c r="BC184" s="151"/>
      <c r="BD184" s="151"/>
      <c r="BE184" s="151"/>
      <c r="BF184" s="151"/>
      <c r="BG184" s="151"/>
      <c r="BH184" s="151"/>
      <c r="BI184" s="152"/>
      <c r="BJ184" s="154"/>
      <c r="BK184" s="151"/>
      <c r="BL184" s="151"/>
      <c r="BM184" s="151"/>
      <c r="BN184" s="151"/>
      <c r="BO184" s="155"/>
      <c r="BP184" s="140"/>
      <c r="BQ184" s="156"/>
      <c r="BR184" s="157"/>
      <c r="BS184" s="158"/>
      <c r="BT184" s="153"/>
      <c r="BU184" s="140"/>
      <c r="BV184" s="140"/>
      <c r="BW184" s="140"/>
      <c r="BX184" s="140"/>
      <c r="BY184" s="140"/>
      <c r="BZ184" s="140"/>
      <c r="CA184" s="140"/>
      <c r="CB184" s="140"/>
      <c r="CC184" s="140"/>
      <c r="CD184" s="150"/>
      <c r="CE184" s="155"/>
      <c r="CF184" s="150"/>
      <c r="CG184" s="152"/>
      <c r="CH184" s="252"/>
      <c r="CI184" s="160"/>
      <c r="CJ184" s="159"/>
      <c r="CK184" s="160"/>
      <c r="CL184" s="159"/>
      <c r="CM184" s="160"/>
      <c r="CN184" s="159"/>
      <c r="CO184" s="160"/>
      <c r="CP184" s="159"/>
      <c r="CQ184" s="162"/>
      <c r="CR184" s="160"/>
      <c r="CS184" s="253">
        <f>SUM(IF(AU184&lt;0,ABS(AU184),0),IF(AZ184&lt;0,ABS(AZ184),0),ABS(CI184),ABS(CK184),ABS(CM184),ABS(CO184),ABS(CQ184),ABS(CR184))</f>
        <v>0</v>
      </c>
      <c r="CT184" s="254">
        <f>SUM(AU184,AV184,AW184,AX184/400,AY184,AZ184,BG184,BH184*0.5,BI184*0.25,BJ184,BK184,BL184,BM184,BN184,BO184,BP184,BR184/20,BS184/100,BT184/60,BU184,BV184,BW184,BX184/4,SUM(BY184:CC194)/3,CE184,CG184/3,CI184,CK184,CM184,CO184,CQ184,CR184)</f>
        <v>0</v>
      </c>
      <c r="CU184" s="255"/>
    </row>
    <row r="185" ht="60.0" hidden="1" customHeight="1">
      <c r="A185" s="65"/>
      <c r="C185" s="167"/>
      <c r="D185" s="205"/>
      <c r="E185" s="262"/>
      <c r="F185" s="170"/>
      <c r="G185" s="170"/>
      <c r="H185" s="170"/>
      <c r="I185" s="170"/>
      <c r="J185" s="170"/>
      <c r="K185" s="171"/>
      <c r="L185" s="171"/>
      <c r="M185" s="171"/>
      <c r="N185" s="209"/>
      <c r="O185" s="172">
        <f t="shared" si="34"/>
        <v>0</v>
      </c>
      <c r="P185" s="166"/>
      <c r="Q185" s="173"/>
      <c r="R185" s="65"/>
      <c r="S185" s="173"/>
      <c r="T185" s="173"/>
      <c r="U185" s="166"/>
      <c r="V185" s="166"/>
      <c r="W185" s="65"/>
      <c r="X185" s="66"/>
      <c r="Y185" s="173"/>
      <c r="Z185" s="166"/>
      <c r="AA185" s="174"/>
      <c r="AB185" s="175"/>
      <c r="AC185" s="175"/>
      <c r="AD185" s="175"/>
      <c r="AE185" s="175"/>
      <c r="AF185" s="175"/>
      <c r="AG185" s="175"/>
      <c r="AH185" s="175"/>
      <c r="AI185" s="176"/>
      <c r="AJ185" s="177"/>
      <c r="AK185" s="178"/>
      <c r="AL185" s="178"/>
      <c r="AM185" s="178"/>
      <c r="AN185" s="178"/>
      <c r="AO185" s="179"/>
      <c r="AP185" s="64"/>
      <c r="AQ185" s="65"/>
      <c r="AR185" s="65"/>
      <c r="AS185" s="65"/>
      <c r="AT185" s="173"/>
      <c r="AU185" s="177"/>
      <c r="AV185" s="178"/>
      <c r="AW185" s="178"/>
      <c r="AX185" s="179"/>
      <c r="AZ185" s="166"/>
      <c r="BA185" s="177"/>
      <c r="BB185" s="178"/>
      <c r="BC185" s="178"/>
      <c r="BD185" s="178"/>
      <c r="BE185" s="178"/>
      <c r="BF185" s="178"/>
      <c r="BG185" s="178"/>
      <c r="BH185" s="178"/>
      <c r="BI185" s="179"/>
      <c r="BJ185" s="180"/>
      <c r="BK185" s="178"/>
      <c r="BL185" s="178"/>
      <c r="BM185" s="178"/>
      <c r="BN185" s="178"/>
      <c r="BO185" s="181"/>
      <c r="BP185" s="166"/>
      <c r="BQ185" s="177"/>
      <c r="BR185" s="178"/>
      <c r="BS185" s="179"/>
      <c r="BU185" s="166"/>
      <c r="BV185" s="166"/>
      <c r="BW185" s="166"/>
      <c r="BX185" s="166"/>
      <c r="BY185" s="166"/>
      <c r="BZ185" s="166"/>
      <c r="CA185" s="166"/>
      <c r="CB185" s="166"/>
      <c r="CC185" s="166"/>
      <c r="CD185" s="177"/>
      <c r="CE185" s="181"/>
      <c r="CF185" s="177"/>
      <c r="CG185" s="179"/>
      <c r="CH185" s="257"/>
      <c r="CI185" s="182"/>
      <c r="CJ185" s="177"/>
      <c r="CK185" s="182"/>
      <c r="CL185" s="177"/>
      <c r="CM185" s="182"/>
      <c r="CN185" s="177"/>
      <c r="CO185" s="182"/>
      <c r="CP185" s="177"/>
      <c r="CQ185" s="178"/>
      <c r="CR185" s="182"/>
      <c r="CS185" s="173"/>
      <c r="CT185" s="65"/>
      <c r="CU185" s="271"/>
    </row>
    <row r="186" ht="60.0" hidden="1" customHeight="1">
      <c r="A186" s="65"/>
      <c r="C186" s="167"/>
      <c r="D186" s="205"/>
      <c r="E186" s="262"/>
      <c r="F186" s="170"/>
      <c r="G186" s="170"/>
      <c r="H186" s="170"/>
      <c r="I186" s="170"/>
      <c r="J186" s="170"/>
      <c r="K186" s="171"/>
      <c r="L186" s="171"/>
      <c r="M186" s="171"/>
      <c r="N186" s="209"/>
      <c r="O186" s="172">
        <f t="shared" si="34"/>
        <v>0</v>
      </c>
      <c r="P186" s="166"/>
      <c r="Q186" s="173"/>
      <c r="R186" s="65"/>
      <c r="S186" s="173"/>
      <c r="T186" s="173"/>
      <c r="U186" s="166"/>
      <c r="V186" s="166"/>
      <c r="W186" s="65"/>
      <c r="X186" s="66"/>
      <c r="Y186" s="173"/>
      <c r="Z186" s="166"/>
      <c r="AA186" s="174"/>
      <c r="AB186" s="175"/>
      <c r="AC186" s="175"/>
      <c r="AD186" s="175"/>
      <c r="AE186" s="175"/>
      <c r="AF186" s="175"/>
      <c r="AG186" s="175"/>
      <c r="AH186" s="175"/>
      <c r="AI186" s="176"/>
      <c r="AJ186" s="177"/>
      <c r="AK186" s="178"/>
      <c r="AL186" s="178"/>
      <c r="AM186" s="178"/>
      <c r="AN186" s="178"/>
      <c r="AO186" s="179"/>
      <c r="AP186" s="64"/>
      <c r="AQ186" s="65"/>
      <c r="AR186" s="65"/>
      <c r="AS186" s="65"/>
      <c r="AT186" s="173"/>
      <c r="AU186" s="177"/>
      <c r="AV186" s="178"/>
      <c r="AW186" s="178"/>
      <c r="AX186" s="179"/>
      <c r="AZ186" s="166"/>
      <c r="BA186" s="177"/>
      <c r="BB186" s="178"/>
      <c r="BC186" s="178"/>
      <c r="BD186" s="178"/>
      <c r="BE186" s="178"/>
      <c r="BF186" s="178"/>
      <c r="BG186" s="178"/>
      <c r="BH186" s="178"/>
      <c r="BI186" s="179"/>
      <c r="BJ186" s="180"/>
      <c r="BK186" s="178"/>
      <c r="BL186" s="178"/>
      <c r="BM186" s="178"/>
      <c r="BN186" s="178"/>
      <c r="BO186" s="181"/>
      <c r="BP186" s="166"/>
      <c r="BQ186" s="177"/>
      <c r="BR186" s="178"/>
      <c r="BS186" s="179"/>
      <c r="BU186" s="166"/>
      <c r="BV186" s="166"/>
      <c r="BW186" s="166"/>
      <c r="BX186" s="166"/>
      <c r="BY186" s="166"/>
      <c r="BZ186" s="166"/>
      <c r="CA186" s="166"/>
      <c r="CB186" s="166"/>
      <c r="CC186" s="166"/>
      <c r="CD186" s="177"/>
      <c r="CE186" s="181"/>
      <c r="CF186" s="177"/>
      <c r="CG186" s="179"/>
      <c r="CH186" s="257"/>
      <c r="CI186" s="182"/>
      <c r="CJ186" s="177"/>
      <c r="CK186" s="182"/>
      <c r="CL186" s="177"/>
      <c r="CM186" s="182"/>
      <c r="CN186" s="177"/>
      <c r="CO186" s="182"/>
      <c r="CP186" s="177"/>
      <c r="CQ186" s="178"/>
      <c r="CR186" s="182"/>
      <c r="CS186" s="173"/>
      <c r="CT186" s="65"/>
      <c r="CU186" s="271"/>
    </row>
    <row r="187" ht="60.0" hidden="1" customHeight="1">
      <c r="A187" s="65"/>
      <c r="C187" s="167"/>
      <c r="D187" s="205"/>
      <c r="E187" s="262"/>
      <c r="F187" s="170"/>
      <c r="G187" s="170"/>
      <c r="H187" s="170"/>
      <c r="I187" s="170"/>
      <c r="J187" s="170"/>
      <c r="K187" s="171"/>
      <c r="L187" s="171"/>
      <c r="M187" s="171"/>
      <c r="N187" s="209"/>
      <c r="O187" s="172">
        <f t="shared" si="34"/>
        <v>0</v>
      </c>
      <c r="P187" s="166"/>
      <c r="Q187" s="173"/>
      <c r="R187" s="65"/>
      <c r="S187" s="173"/>
      <c r="T187" s="173"/>
      <c r="U187" s="166"/>
      <c r="V187" s="166"/>
      <c r="W187" s="65"/>
      <c r="X187" s="66"/>
      <c r="Y187" s="173"/>
      <c r="Z187" s="166"/>
      <c r="AA187" s="174"/>
      <c r="AB187" s="175"/>
      <c r="AC187" s="175"/>
      <c r="AD187" s="175"/>
      <c r="AE187" s="175"/>
      <c r="AF187" s="175"/>
      <c r="AG187" s="175"/>
      <c r="AH187" s="175"/>
      <c r="AI187" s="176"/>
      <c r="AJ187" s="177"/>
      <c r="AK187" s="178"/>
      <c r="AL187" s="178"/>
      <c r="AM187" s="178"/>
      <c r="AN187" s="178"/>
      <c r="AO187" s="179"/>
      <c r="AP187" s="64"/>
      <c r="AQ187" s="65"/>
      <c r="AR187" s="65"/>
      <c r="AS187" s="65"/>
      <c r="AT187" s="173"/>
      <c r="AU187" s="177"/>
      <c r="AV187" s="178"/>
      <c r="AW187" s="178"/>
      <c r="AX187" s="179"/>
      <c r="AZ187" s="166"/>
      <c r="BA187" s="177"/>
      <c r="BB187" s="178"/>
      <c r="BC187" s="178"/>
      <c r="BD187" s="178"/>
      <c r="BE187" s="178"/>
      <c r="BF187" s="178"/>
      <c r="BG187" s="178"/>
      <c r="BH187" s="178"/>
      <c r="BI187" s="179"/>
      <c r="BJ187" s="180"/>
      <c r="BK187" s="178"/>
      <c r="BL187" s="178"/>
      <c r="BM187" s="178"/>
      <c r="BN187" s="178"/>
      <c r="BO187" s="181"/>
      <c r="BP187" s="166"/>
      <c r="BQ187" s="177"/>
      <c r="BR187" s="178"/>
      <c r="BS187" s="179"/>
      <c r="BU187" s="166"/>
      <c r="BV187" s="166"/>
      <c r="BW187" s="166"/>
      <c r="BX187" s="166"/>
      <c r="BY187" s="166"/>
      <c r="BZ187" s="166"/>
      <c r="CA187" s="166"/>
      <c r="CB187" s="166"/>
      <c r="CC187" s="166"/>
      <c r="CD187" s="177"/>
      <c r="CE187" s="181"/>
      <c r="CF187" s="177"/>
      <c r="CG187" s="179"/>
      <c r="CH187" s="257"/>
      <c r="CI187" s="182"/>
      <c r="CJ187" s="177"/>
      <c r="CK187" s="182"/>
      <c r="CL187" s="177"/>
      <c r="CM187" s="182"/>
      <c r="CN187" s="177"/>
      <c r="CO187" s="182"/>
      <c r="CP187" s="177"/>
      <c r="CQ187" s="178"/>
      <c r="CR187" s="182"/>
      <c r="CS187" s="173"/>
      <c r="CT187" s="65"/>
      <c r="CU187" s="271"/>
    </row>
    <row r="188" ht="60.0" hidden="1" customHeight="1">
      <c r="A188" s="65"/>
      <c r="C188" s="167"/>
      <c r="D188" s="205"/>
      <c r="E188" s="262"/>
      <c r="F188" s="170"/>
      <c r="G188" s="170"/>
      <c r="H188" s="170"/>
      <c r="I188" s="170"/>
      <c r="J188" s="170"/>
      <c r="K188" s="171"/>
      <c r="L188" s="171"/>
      <c r="M188" s="171"/>
      <c r="N188" s="209"/>
      <c r="O188" s="172">
        <f t="shared" si="34"/>
        <v>0</v>
      </c>
      <c r="P188" s="166"/>
      <c r="Q188" s="173"/>
      <c r="R188" s="65"/>
      <c r="S188" s="173"/>
      <c r="T188" s="173"/>
      <c r="U188" s="166"/>
      <c r="V188" s="166"/>
      <c r="W188" s="65"/>
      <c r="X188" s="66"/>
      <c r="Y188" s="173"/>
      <c r="Z188" s="166"/>
      <c r="AA188" s="174"/>
      <c r="AB188" s="175"/>
      <c r="AC188" s="175"/>
      <c r="AD188" s="175"/>
      <c r="AE188" s="175"/>
      <c r="AF188" s="175"/>
      <c r="AG188" s="175"/>
      <c r="AH188" s="175"/>
      <c r="AI188" s="176"/>
      <c r="AJ188" s="177"/>
      <c r="AK188" s="178"/>
      <c r="AL188" s="178"/>
      <c r="AM188" s="178"/>
      <c r="AN188" s="178"/>
      <c r="AO188" s="179"/>
      <c r="AP188" s="64"/>
      <c r="AQ188" s="65"/>
      <c r="AR188" s="65"/>
      <c r="AS188" s="65"/>
      <c r="AT188" s="173"/>
      <c r="AU188" s="177"/>
      <c r="AV188" s="178"/>
      <c r="AW188" s="178"/>
      <c r="AX188" s="179"/>
      <c r="AZ188" s="166"/>
      <c r="BA188" s="177"/>
      <c r="BB188" s="178"/>
      <c r="BC188" s="178"/>
      <c r="BD188" s="178"/>
      <c r="BE188" s="178"/>
      <c r="BF188" s="178"/>
      <c r="BG188" s="178"/>
      <c r="BH188" s="178"/>
      <c r="BI188" s="179"/>
      <c r="BJ188" s="180"/>
      <c r="BK188" s="178"/>
      <c r="BL188" s="178"/>
      <c r="BM188" s="178"/>
      <c r="BN188" s="178"/>
      <c r="BO188" s="181"/>
      <c r="BP188" s="166"/>
      <c r="BQ188" s="177"/>
      <c r="BR188" s="178"/>
      <c r="BS188" s="179"/>
      <c r="BU188" s="166"/>
      <c r="BV188" s="166"/>
      <c r="BW188" s="166"/>
      <c r="BX188" s="166"/>
      <c r="BY188" s="166"/>
      <c r="BZ188" s="166"/>
      <c r="CA188" s="166"/>
      <c r="CB188" s="166"/>
      <c r="CC188" s="166"/>
      <c r="CD188" s="177"/>
      <c r="CE188" s="181"/>
      <c r="CF188" s="177"/>
      <c r="CG188" s="179"/>
      <c r="CH188" s="257"/>
      <c r="CI188" s="182"/>
      <c r="CJ188" s="177"/>
      <c r="CK188" s="182"/>
      <c r="CL188" s="177"/>
      <c r="CM188" s="182"/>
      <c r="CN188" s="177"/>
      <c r="CO188" s="182"/>
      <c r="CP188" s="177"/>
      <c r="CQ188" s="178"/>
      <c r="CR188" s="182"/>
      <c r="CS188" s="173"/>
      <c r="CT188" s="65"/>
      <c r="CU188" s="271"/>
    </row>
    <row r="189" ht="60.0" hidden="1" customHeight="1">
      <c r="A189" s="65"/>
      <c r="C189" s="167"/>
      <c r="D189" s="205"/>
      <c r="E189" s="262"/>
      <c r="F189" s="170"/>
      <c r="G189" s="170"/>
      <c r="H189" s="170"/>
      <c r="I189" s="170"/>
      <c r="J189" s="170"/>
      <c r="K189" s="171"/>
      <c r="L189" s="171"/>
      <c r="M189" s="171"/>
      <c r="N189" s="209"/>
      <c r="O189" s="172">
        <f t="shared" si="34"/>
        <v>0</v>
      </c>
      <c r="P189" s="166"/>
      <c r="Q189" s="173"/>
      <c r="R189" s="65"/>
      <c r="S189" s="173"/>
      <c r="T189" s="173"/>
      <c r="U189" s="166"/>
      <c r="V189" s="166"/>
      <c r="W189" s="65"/>
      <c r="X189" s="66"/>
      <c r="Y189" s="173"/>
      <c r="Z189" s="166"/>
      <c r="AA189" s="174"/>
      <c r="AB189" s="175"/>
      <c r="AC189" s="175"/>
      <c r="AD189" s="175"/>
      <c r="AE189" s="175"/>
      <c r="AF189" s="175"/>
      <c r="AG189" s="175"/>
      <c r="AH189" s="175"/>
      <c r="AI189" s="176"/>
      <c r="AJ189" s="177"/>
      <c r="AK189" s="178"/>
      <c r="AL189" s="178"/>
      <c r="AM189" s="178"/>
      <c r="AN189" s="178"/>
      <c r="AO189" s="179"/>
      <c r="AP189" s="64"/>
      <c r="AQ189" s="65"/>
      <c r="AR189" s="65"/>
      <c r="AS189" s="65"/>
      <c r="AT189" s="173"/>
      <c r="AU189" s="177"/>
      <c r="AV189" s="178"/>
      <c r="AW189" s="178"/>
      <c r="AX189" s="179"/>
      <c r="AZ189" s="166"/>
      <c r="BA189" s="177"/>
      <c r="BB189" s="178"/>
      <c r="BC189" s="178"/>
      <c r="BD189" s="178"/>
      <c r="BE189" s="178"/>
      <c r="BF189" s="178"/>
      <c r="BG189" s="178"/>
      <c r="BH189" s="178"/>
      <c r="BI189" s="179"/>
      <c r="BJ189" s="180"/>
      <c r="BK189" s="178"/>
      <c r="BL189" s="178"/>
      <c r="BM189" s="178"/>
      <c r="BN189" s="178"/>
      <c r="BO189" s="181"/>
      <c r="BP189" s="166"/>
      <c r="BQ189" s="177"/>
      <c r="BR189" s="178"/>
      <c r="BS189" s="179"/>
      <c r="BU189" s="166"/>
      <c r="BV189" s="166"/>
      <c r="BW189" s="166"/>
      <c r="BX189" s="166"/>
      <c r="BY189" s="166"/>
      <c r="BZ189" s="166"/>
      <c r="CA189" s="166"/>
      <c r="CB189" s="166"/>
      <c r="CC189" s="166"/>
      <c r="CD189" s="177"/>
      <c r="CE189" s="181"/>
      <c r="CF189" s="177"/>
      <c r="CG189" s="179"/>
      <c r="CH189" s="257"/>
      <c r="CI189" s="182"/>
      <c r="CJ189" s="177"/>
      <c r="CK189" s="182"/>
      <c r="CL189" s="177"/>
      <c r="CM189" s="182"/>
      <c r="CN189" s="177"/>
      <c r="CO189" s="182"/>
      <c r="CP189" s="177"/>
      <c r="CQ189" s="178"/>
      <c r="CR189" s="182"/>
      <c r="CS189" s="173"/>
      <c r="CT189" s="65"/>
      <c r="CU189" s="271"/>
    </row>
    <row r="190" ht="60.0" hidden="1" customHeight="1">
      <c r="A190" s="65"/>
      <c r="C190" s="167"/>
      <c r="D190" s="205"/>
      <c r="E190" s="262"/>
      <c r="F190" s="170"/>
      <c r="G190" s="170"/>
      <c r="H190" s="170"/>
      <c r="I190" s="170"/>
      <c r="J190" s="170"/>
      <c r="K190" s="171"/>
      <c r="L190" s="171"/>
      <c r="M190" s="171"/>
      <c r="N190" s="209"/>
      <c r="O190" s="172">
        <f t="shared" ref="O190:O193" si="35">IF(AND(M190&gt;=20,M190&lt;&gt;"m",RIGHT(K190,3)="Lec"),1,IF(AND(M190&gt;=20,M190&lt;&gt;"m",OR(RIGHT(K190,3)="Lab",RIGHT(K190,3)="Tut")),0.5,IF(AND(M190&gt;=20,M190&lt;&gt;"m",RIGHT(K190,2)="TL"),0.75,0)))</f>
        <v>0</v>
      </c>
      <c r="P190" s="166"/>
      <c r="Q190" s="173"/>
      <c r="R190" s="65"/>
      <c r="S190" s="173"/>
      <c r="T190" s="173"/>
      <c r="U190" s="166"/>
      <c r="V190" s="166"/>
      <c r="W190" s="65"/>
      <c r="X190" s="66"/>
      <c r="Y190" s="173"/>
      <c r="Z190" s="166"/>
      <c r="AA190" s="174"/>
      <c r="AB190" s="175"/>
      <c r="AC190" s="175"/>
      <c r="AD190" s="175"/>
      <c r="AE190" s="175"/>
      <c r="AF190" s="175"/>
      <c r="AG190" s="175"/>
      <c r="AH190" s="175"/>
      <c r="AI190" s="176"/>
      <c r="AJ190" s="177"/>
      <c r="AK190" s="178"/>
      <c r="AL190" s="178"/>
      <c r="AM190" s="178"/>
      <c r="AN190" s="178"/>
      <c r="AO190" s="179"/>
      <c r="AP190" s="64"/>
      <c r="AQ190" s="65"/>
      <c r="AR190" s="65"/>
      <c r="AS190" s="65"/>
      <c r="AT190" s="173"/>
      <c r="AU190" s="177"/>
      <c r="AV190" s="178"/>
      <c r="AW190" s="178"/>
      <c r="AX190" s="179"/>
      <c r="AZ190" s="166"/>
      <c r="BA190" s="177"/>
      <c r="BB190" s="178"/>
      <c r="BC190" s="178"/>
      <c r="BD190" s="178"/>
      <c r="BE190" s="178"/>
      <c r="BF190" s="178"/>
      <c r="BG190" s="178"/>
      <c r="BH190" s="178"/>
      <c r="BI190" s="179"/>
      <c r="BJ190" s="180"/>
      <c r="BK190" s="178"/>
      <c r="BL190" s="178"/>
      <c r="BM190" s="178"/>
      <c r="BN190" s="178"/>
      <c r="BO190" s="181"/>
      <c r="BP190" s="166"/>
      <c r="BQ190" s="177"/>
      <c r="BR190" s="178"/>
      <c r="BS190" s="179"/>
      <c r="BU190" s="166"/>
      <c r="BV190" s="166"/>
      <c r="BW190" s="166"/>
      <c r="BX190" s="166"/>
      <c r="BY190" s="166"/>
      <c r="BZ190" s="166"/>
      <c r="CA190" s="166"/>
      <c r="CB190" s="166"/>
      <c r="CC190" s="166"/>
      <c r="CD190" s="177"/>
      <c r="CE190" s="181"/>
      <c r="CF190" s="177"/>
      <c r="CG190" s="179"/>
      <c r="CH190" s="257"/>
      <c r="CI190" s="182"/>
      <c r="CJ190" s="177"/>
      <c r="CK190" s="182"/>
      <c r="CL190" s="177"/>
      <c r="CM190" s="182"/>
      <c r="CN190" s="177"/>
      <c r="CO190" s="182"/>
      <c r="CP190" s="177"/>
      <c r="CQ190" s="178"/>
      <c r="CR190" s="182"/>
      <c r="CS190" s="173"/>
      <c r="CT190" s="65"/>
      <c r="CU190" s="271"/>
    </row>
    <row r="191" ht="60.0" hidden="1" customHeight="1">
      <c r="A191" s="65"/>
      <c r="C191" s="167"/>
      <c r="D191" s="205"/>
      <c r="E191" s="262"/>
      <c r="F191" s="170"/>
      <c r="G191" s="170"/>
      <c r="H191" s="170"/>
      <c r="I191" s="170"/>
      <c r="J191" s="170"/>
      <c r="K191" s="171"/>
      <c r="L191" s="171"/>
      <c r="M191" s="171"/>
      <c r="N191" s="209"/>
      <c r="O191" s="172">
        <f t="shared" si="35"/>
        <v>0</v>
      </c>
      <c r="P191" s="166"/>
      <c r="Q191" s="173"/>
      <c r="R191" s="65"/>
      <c r="S191" s="173"/>
      <c r="T191" s="173"/>
      <c r="U191" s="166"/>
      <c r="V191" s="166"/>
      <c r="W191" s="65"/>
      <c r="X191" s="66"/>
      <c r="Y191" s="173"/>
      <c r="Z191" s="166"/>
      <c r="AA191" s="174"/>
      <c r="AB191" s="175"/>
      <c r="AC191" s="175"/>
      <c r="AD191" s="175"/>
      <c r="AE191" s="175"/>
      <c r="AF191" s="175"/>
      <c r="AG191" s="175"/>
      <c r="AH191" s="175"/>
      <c r="AI191" s="176"/>
      <c r="AJ191" s="177"/>
      <c r="AK191" s="178"/>
      <c r="AL191" s="178"/>
      <c r="AM191" s="178"/>
      <c r="AN191" s="178"/>
      <c r="AO191" s="179"/>
      <c r="AP191" s="64"/>
      <c r="AQ191" s="65"/>
      <c r="AR191" s="65"/>
      <c r="AS191" s="65"/>
      <c r="AT191" s="173"/>
      <c r="AU191" s="177"/>
      <c r="AV191" s="178"/>
      <c r="AW191" s="178"/>
      <c r="AX191" s="179"/>
      <c r="AZ191" s="166"/>
      <c r="BA191" s="177"/>
      <c r="BB191" s="178"/>
      <c r="BC191" s="178"/>
      <c r="BD191" s="178"/>
      <c r="BE191" s="178"/>
      <c r="BF191" s="178"/>
      <c r="BG191" s="178"/>
      <c r="BH191" s="178"/>
      <c r="BI191" s="179"/>
      <c r="BJ191" s="180"/>
      <c r="BK191" s="178"/>
      <c r="BL191" s="178"/>
      <c r="BM191" s="178"/>
      <c r="BN191" s="178"/>
      <c r="BO191" s="181"/>
      <c r="BP191" s="166"/>
      <c r="BQ191" s="177"/>
      <c r="BR191" s="178"/>
      <c r="BS191" s="179"/>
      <c r="BU191" s="166"/>
      <c r="BV191" s="166"/>
      <c r="BW191" s="166"/>
      <c r="BX191" s="166"/>
      <c r="BY191" s="166"/>
      <c r="BZ191" s="166"/>
      <c r="CA191" s="166"/>
      <c r="CB191" s="166"/>
      <c r="CC191" s="166"/>
      <c r="CD191" s="177"/>
      <c r="CE191" s="181"/>
      <c r="CF191" s="177"/>
      <c r="CG191" s="179"/>
      <c r="CH191" s="257"/>
      <c r="CI191" s="182"/>
      <c r="CJ191" s="177"/>
      <c r="CK191" s="182"/>
      <c r="CL191" s="177"/>
      <c r="CM191" s="182"/>
      <c r="CN191" s="177"/>
      <c r="CO191" s="182"/>
      <c r="CP191" s="177"/>
      <c r="CQ191" s="178"/>
      <c r="CR191" s="182"/>
      <c r="CS191" s="173"/>
      <c r="CT191" s="65"/>
      <c r="CU191" s="271"/>
    </row>
    <row r="192" ht="60.0" hidden="1" customHeight="1">
      <c r="A192" s="65"/>
      <c r="C192" s="167"/>
      <c r="D192" s="205"/>
      <c r="E192" s="262"/>
      <c r="F192" s="170"/>
      <c r="G192" s="170"/>
      <c r="H192" s="170"/>
      <c r="I192" s="170"/>
      <c r="J192" s="170"/>
      <c r="K192" s="171"/>
      <c r="L192" s="171"/>
      <c r="M192" s="171"/>
      <c r="N192" s="209"/>
      <c r="O192" s="172">
        <f t="shared" si="35"/>
        <v>0</v>
      </c>
      <c r="P192" s="166"/>
      <c r="Q192" s="173"/>
      <c r="R192" s="65"/>
      <c r="S192" s="173"/>
      <c r="T192" s="173"/>
      <c r="U192" s="166"/>
      <c r="V192" s="166"/>
      <c r="W192" s="65"/>
      <c r="X192" s="66"/>
      <c r="Y192" s="173"/>
      <c r="Z192" s="166"/>
      <c r="AA192" s="174"/>
      <c r="AB192" s="175"/>
      <c r="AC192" s="175"/>
      <c r="AD192" s="175"/>
      <c r="AE192" s="175"/>
      <c r="AF192" s="175"/>
      <c r="AG192" s="175"/>
      <c r="AH192" s="175"/>
      <c r="AI192" s="176"/>
      <c r="AJ192" s="177"/>
      <c r="AK192" s="178"/>
      <c r="AL192" s="178"/>
      <c r="AM192" s="178"/>
      <c r="AN192" s="178"/>
      <c r="AO192" s="179"/>
      <c r="AP192" s="64"/>
      <c r="AQ192" s="65"/>
      <c r="AR192" s="65"/>
      <c r="AS192" s="65"/>
      <c r="AT192" s="173"/>
      <c r="AU192" s="177"/>
      <c r="AV192" s="178"/>
      <c r="AW192" s="178"/>
      <c r="AX192" s="179"/>
      <c r="AZ192" s="166"/>
      <c r="BA192" s="177"/>
      <c r="BB192" s="178"/>
      <c r="BC192" s="178"/>
      <c r="BD192" s="178"/>
      <c r="BE192" s="178"/>
      <c r="BF192" s="178"/>
      <c r="BG192" s="178"/>
      <c r="BH192" s="178"/>
      <c r="BI192" s="179"/>
      <c r="BJ192" s="180"/>
      <c r="BK192" s="178"/>
      <c r="BL192" s="178"/>
      <c r="BM192" s="178"/>
      <c r="BN192" s="178"/>
      <c r="BO192" s="181"/>
      <c r="BP192" s="166"/>
      <c r="BQ192" s="177"/>
      <c r="BR192" s="178"/>
      <c r="BS192" s="179"/>
      <c r="BU192" s="166"/>
      <c r="BV192" s="166"/>
      <c r="BW192" s="166"/>
      <c r="BX192" s="166"/>
      <c r="BY192" s="166"/>
      <c r="BZ192" s="166"/>
      <c r="CA192" s="166"/>
      <c r="CB192" s="166"/>
      <c r="CC192" s="166"/>
      <c r="CD192" s="177"/>
      <c r="CE192" s="181"/>
      <c r="CF192" s="177"/>
      <c r="CG192" s="179"/>
      <c r="CH192" s="257"/>
      <c r="CI192" s="182"/>
      <c r="CJ192" s="177"/>
      <c r="CK192" s="182"/>
      <c r="CL192" s="177"/>
      <c r="CM192" s="182"/>
      <c r="CN192" s="177"/>
      <c r="CO192" s="182"/>
      <c r="CP192" s="177"/>
      <c r="CQ192" s="178"/>
      <c r="CR192" s="182"/>
      <c r="CS192" s="173"/>
      <c r="CT192" s="65"/>
      <c r="CU192" s="271"/>
    </row>
    <row r="193" ht="60.0" hidden="1" customHeight="1">
      <c r="A193" s="65"/>
      <c r="C193" s="167"/>
      <c r="D193" s="205"/>
      <c r="E193" s="262"/>
      <c r="F193" s="170"/>
      <c r="G193" s="170"/>
      <c r="H193" s="170"/>
      <c r="I193" s="170"/>
      <c r="J193" s="170"/>
      <c r="K193" s="171"/>
      <c r="L193" s="171"/>
      <c r="M193" s="171"/>
      <c r="N193" s="209"/>
      <c r="O193" s="172">
        <f t="shared" si="35"/>
        <v>0</v>
      </c>
      <c r="P193" s="166"/>
      <c r="Q193" s="173"/>
      <c r="R193" s="65"/>
      <c r="S193" s="173"/>
      <c r="T193" s="173"/>
      <c r="U193" s="166"/>
      <c r="V193" s="166"/>
      <c r="W193" s="65"/>
      <c r="X193" s="66"/>
      <c r="Y193" s="173"/>
      <c r="Z193" s="166"/>
      <c r="AA193" s="174"/>
      <c r="AB193" s="175"/>
      <c r="AC193" s="175"/>
      <c r="AD193" s="175"/>
      <c r="AE193" s="175"/>
      <c r="AF193" s="175"/>
      <c r="AG193" s="175"/>
      <c r="AH193" s="175"/>
      <c r="AI193" s="176"/>
      <c r="AJ193" s="177"/>
      <c r="AK193" s="178"/>
      <c r="AL193" s="178"/>
      <c r="AM193" s="178"/>
      <c r="AN193" s="178"/>
      <c r="AO193" s="179"/>
      <c r="AP193" s="64"/>
      <c r="AQ193" s="65"/>
      <c r="AR193" s="65"/>
      <c r="AS193" s="65"/>
      <c r="AT193" s="173"/>
      <c r="AU193" s="177"/>
      <c r="AV193" s="178"/>
      <c r="AW193" s="178"/>
      <c r="AX193" s="179"/>
      <c r="AZ193" s="166"/>
      <c r="BA193" s="177"/>
      <c r="BB193" s="178"/>
      <c r="BC193" s="178"/>
      <c r="BD193" s="178"/>
      <c r="BE193" s="178"/>
      <c r="BF193" s="178"/>
      <c r="BG193" s="178"/>
      <c r="BH193" s="178"/>
      <c r="BI193" s="179"/>
      <c r="BJ193" s="180"/>
      <c r="BK193" s="178"/>
      <c r="BL193" s="178"/>
      <c r="BM193" s="178"/>
      <c r="BN193" s="178"/>
      <c r="BO193" s="181"/>
      <c r="BP193" s="166"/>
      <c r="BQ193" s="177"/>
      <c r="BR193" s="178"/>
      <c r="BS193" s="179"/>
      <c r="BU193" s="166"/>
      <c r="BV193" s="166"/>
      <c r="BW193" s="166"/>
      <c r="BX193" s="166"/>
      <c r="BY193" s="166"/>
      <c r="BZ193" s="166"/>
      <c r="CA193" s="166"/>
      <c r="CB193" s="166"/>
      <c r="CC193" s="166"/>
      <c r="CD193" s="177"/>
      <c r="CE193" s="181"/>
      <c r="CF193" s="177"/>
      <c r="CG193" s="179"/>
      <c r="CH193" s="257"/>
      <c r="CI193" s="182"/>
      <c r="CJ193" s="177"/>
      <c r="CK193" s="182"/>
      <c r="CL193" s="177"/>
      <c r="CM193" s="182"/>
      <c r="CN193" s="177"/>
      <c r="CO193" s="182"/>
      <c r="CP193" s="177"/>
      <c r="CQ193" s="178"/>
      <c r="CR193" s="182"/>
      <c r="CS193" s="173"/>
      <c r="CT193" s="65"/>
      <c r="CU193" s="271"/>
    </row>
    <row r="194" ht="60.0" hidden="1" customHeight="1">
      <c r="A194" s="89"/>
      <c r="B194" s="6"/>
      <c r="C194" s="183"/>
      <c r="D194" s="210"/>
      <c r="E194" s="263"/>
      <c r="F194" s="186"/>
      <c r="G194" s="186"/>
      <c r="H194" s="186"/>
      <c r="I194" s="186"/>
      <c r="J194" s="186"/>
      <c r="K194" s="187"/>
      <c r="L194" s="187"/>
      <c r="M194" s="187"/>
      <c r="N194" s="214"/>
      <c r="O194" s="188">
        <f t="shared" ref="O194:O200" si="36">IF(AND(M194&lt;&gt;0,M194&lt;&gt;"m",M194&lt;&gt;"",RIGHT(K194,3)="Lec"),1,IF(AND(M194&lt;&gt;0,M194&lt;&gt;"m",M194&lt;&gt;"",OR(RIGHT(K194,3)="Lab",RIGHT(K194,3)="Tut")),0.5,IF(AND(M194&lt;&gt;0,M194&lt;&gt;"m",M194&lt;&gt;"",RIGHT(K194,2)="TL"),0.75,0)))</f>
        <v>0</v>
      </c>
      <c r="P194" s="63"/>
      <c r="Q194" s="69"/>
      <c r="R194" s="89"/>
      <c r="S194" s="69"/>
      <c r="T194" s="69"/>
      <c r="U194" s="63"/>
      <c r="V194" s="63"/>
      <c r="W194" s="89"/>
      <c r="X194" s="68"/>
      <c r="Y194" s="69"/>
      <c r="Z194" s="63"/>
      <c r="AA194" s="189"/>
      <c r="AB194" s="190"/>
      <c r="AC194" s="190"/>
      <c r="AD194" s="190"/>
      <c r="AE194" s="190"/>
      <c r="AF194" s="190"/>
      <c r="AG194" s="190"/>
      <c r="AH194" s="190"/>
      <c r="AI194" s="191"/>
      <c r="AJ194" s="192"/>
      <c r="AK194" s="193"/>
      <c r="AL194" s="193"/>
      <c r="AM194" s="193"/>
      <c r="AN194" s="193"/>
      <c r="AO194" s="194"/>
      <c r="AP194" s="103"/>
      <c r="AQ194" s="89"/>
      <c r="AR194" s="89"/>
      <c r="AS194" s="89"/>
      <c r="AT194" s="69"/>
      <c r="AU194" s="192"/>
      <c r="AV194" s="193"/>
      <c r="AW194" s="193"/>
      <c r="AX194" s="194"/>
      <c r="AY194" s="6"/>
      <c r="AZ194" s="63"/>
      <c r="BA194" s="192"/>
      <c r="BB194" s="193"/>
      <c r="BC194" s="193"/>
      <c r="BD194" s="193"/>
      <c r="BE194" s="193"/>
      <c r="BF194" s="193"/>
      <c r="BG194" s="193"/>
      <c r="BH194" s="193"/>
      <c r="BI194" s="194"/>
      <c r="BJ194" s="195"/>
      <c r="BK194" s="193"/>
      <c r="BL194" s="193"/>
      <c r="BM194" s="193"/>
      <c r="BN194" s="193"/>
      <c r="BO194" s="196"/>
      <c r="BP194" s="63"/>
      <c r="BQ194" s="192"/>
      <c r="BR194" s="193"/>
      <c r="BS194" s="194"/>
      <c r="BT194" s="6"/>
      <c r="BU194" s="63"/>
      <c r="BV194" s="63"/>
      <c r="BW194" s="63"/>
      <c r="BX194" s="63"/>
      <c r="BY194" s="63"/>
      <c r="BZ194" s="63"/>
      <c r="CA194" s="63"/>
      <c r="CB194" s="63"/>
      <c r="CC194" s="63"/>
      <c r="CD194" s="192"/>
      <c r="CE194" s="196"/>
      <c r="CF194" s="192"/>
      <c r="CG194" s="194"/>
      <c r="CH194" s="259"/>
      <c r="CI194" s="197"/>
      <c r="CJ194" s="192"/>
      <c r="CK194" s="197"/>
      <c r="CL194" s="192"/>
      <c r="CM194" s="197"/>
      <c r="CN194" s="192"/>
      <c r="CO194" s="197"/>
      <c r="CP194" s="192"/>
      <c r="CQ194" s="193"/>
      <c r="CR194" s="197"/>
      <c r="CS194" s="69"/>
      <c r="CT194" s="89"/>
      <c r="CU194" s="272"/>
    </row>
    <row r="195" ht="55.5" hidden="1" customHeight="1">
      <c r="A195" s="125">
        <v>18.0</v>
      </c>
      <c r="B195" s="199"/>
      <c r="C195" s="127"/>
      <c r="D195" s="128"/>
      <c r="E195" s="260"/>
      <c r="F195" s="261"/>
      <c r="G195" s="261"/>
      <c r="H195" s="261"/>
      <c r="I195" s="261"/>
      <c r="J195" s="170"/>
      <c r="K195" s="219"/>
      <c r="L195" s="219"/>
      <c r="M195" s="219"/>
      <c r="N195" s="220"/>
      <c r="O195" s="132">
        <f t="shared" si="36"/>
        <v>0</v>
      </c>
      <c r="P195" s="133">
        <f>COUNTIF(K195:K205,"TL")*0.75+COUNTIF(K195:K205,"Lec")*1+COUNTIF(K195:K205,"Lab")*0.5</f>
        <v>0</v>
      </c>
      <c r="Q195" s="134">
        <f>SUM((IF(LEFT(K195,1)="E",O195,0)),(IF(LEFT(K196,1)="E",O196,0)),(IF(LEFT(K197,1)="E",O197,0)),(IF(LEFT(K198,1)="E",O198,0)),(IF(LEFT(K199,1)="E",O199,0)),(IF(LEFT(K200,1)="E",O200,0)),(IF(LEFT(K201,1)="E",O201,0)),(IF(LEFT(K202,1)="E",O202,0)),(IF(LEFT(K203,1)="E",O203,0)),(IF(LEFT(K204,1)="E",O204,0)),(IF(LEFT(K205,1)="E",O205,0)))</f>
        <v>0</v>
      </c>
      <c r="R195" s="135">
        <f>SUM(IF(M201&lt;20,IF(K201="Plec",-1,IF(K201="PTL",-0.75,IF(K201="Plab",-0.5,0))),0),IF(M202&lt;20,IF(K202="Plec",-1,IF(K202="PTL",-0.75,IF(K202="Plab",-0.5,0))),0),IF(M203&lt;20,IF(K203="Plec",-1,IF(K203="PTL",-0.75,IF(K203="Plab",-0.5,0))),0),IF(M204&lt;20,IF(K204="Plec",-1,IF(K204="PTL",-0.75,IF(K204="Plab",-0.5,0))),0))</f>
        <v>0</v>
      </c>
      <c r="S195" s="134">
        <f>SUM(P195:R205)</f>
        <v>0</v>
      </c>
      <c r="T195" s="136">
        <f>SUM(IF(M195="M",IF(OR(K195="lec",K195="plec",K195="slec"),1,IF(OR(K195="lab",K195="plab",K195="slab",K195="tut",K195="ptut",K195="stut"),0.5,IF(OR(K195="TL",K195="pTL",K195="STL"),0.75,0))),0),IF(M196="M",IF(OR(K196="lec",K196="plec",K196="slec"),1,IF(OR(K196="lab",K196="plab",K196="slab",K196="tut",K196="ptut",K196="stut"),0.5,IF(OR(K196="TL",K196="pTL",K196="STL"),0.75,0))),0),IF(M197="M",IF(OR(K197="lec",K197="plec",K197="slec"),1,IF(OR(K197="lab",K197="plab",K197="slab",K197="tut",K197="ptut",K197="stut"),0.5,IF(OR(K197="TL",K197="pTL",K197="STL"),0.75,0))),0),IF(M198="M",IF(OR(K198="lec",K198="plec",K198="slec"),1,IF(OR(K198="lab",K198="plab",K198="slab",K198="tut",K198="ptut",K198="stut"),0.5,IF(OR(K198="TL",K198="pTL",K198="STL"),0.75,0))),0),IF(M199="M",IF(OR(K199="lec",K199="plec",K199="slec"),1,IF(OR(K199="lab",K199="plab",K199="slab",K199="tut",K199="ptut",K199="stut"),0.5,IF(OR(K199="TL",K199="pTL",K199="STL"),0.75,0))),0),IF(M200="M",IF(OR(K200="lec",K200="plec",K200="slec"),1,IF(OR(K200="lab",K200="plab",K200="slab",K200="tut",K200="ptut",K200="stut"),0.5,IF(OR(K200="TL",K200="pTL",K200="STL"),0.75,0))),0),IF(M201="M",IF(OR(K201="lec",K201="plec",K201="slec"),1,IF(OR(K201="lab",K201="plab",K201="slab",K201="tut",K201="ptut",K201="stut"),0.5,IF(OR(K201="TL",K201="pTL",K201="STL"),0.75,0))),0),IF(M202="M",IF(OR(K202="lec",K202="plec",K202="slec"),1,IF(OR(K202="lab",K202="plab",K202="slab",K202="tut",K202="ptut",K202="stut"),0.5,IF(OR(K202="TL",K202="pTL",K202="STL"),0.75,0))),0),IF(M203="M",IF(OR(K203="lec",K203="plec",K203="slec"),1,IF(OR(K203="lab",K203="plab",K203="slab",K203="tut",K203="ptut",K203="stut"),0.5,IF(OR(K203="TL",K203="pTL",K203="STL"),0.75,0))),0),IF(M204="M",IF(OR(K204="lec",K204="plec",K204="slec"),1,IF(OR(K204="lab",K204="plab",K204="slab",K204="tut",K204="ptut",K204="stut"),0.5,IF(OR(K204="TL",K204="pTL",K204="STL"),0.75,0))),0),IF(M205="M",IF(OR(K205="lec",K205="plec",K205="slec"),1,IF(OR(K205="lab",K205="plab",K205="slab",K205="tut",K205="ptut",K205="stut"),0.5,IF(OR(K205="TL",K205="pTL",K205="STL"),0.75,0))),0))</f>
        <v>0</v>
      </c>
      <c r="U195" s="137"/>
      <c r="V195" s="133"/>
      <c r="W195" s="138"/>
      <c r="X195" s="139">
        <f>S195-(T195+U195+V195+W195)</f>
        <v>0</v>
      </c>
      <c r="Y195" s="134" t="str">
        <f>CONCATENATE(SUM(O195:O205),"(",SUM(O195:O205)-X195,")")</f>
        <v>0(0)</v>
      </c>
      <c r="Z195" s="140"/>
      <c r="AA195" s="141"/>
      <c r="AB195" s="142"/>
      <c r="AC195" s="142"/>
      <c r="AD195" s="142"/>
      <c r="AE195" s="142"/>
      <c r="AF195" s="142"/>
      <c r="AG195" s="142"/>
      <c r="AH195" s="142"/>
      <c r="AI195" s="143"/>
      <c r="AJ195" s="144"/>
      <c r="AK195" s="145"/>
      <c r="AL195" s="145"/>
      <c r="AM195" s="145"/>
      <c r="AN195" s="145"/>
      <c r="AO195" s="146"/>
      <c r="AP195" s="147">
        <f>SUM(SUM(O195:O205),SUM(AI195:AI205)/2,AM195)</f>
        <v>0</v>
      </c>
      <c r="AQ195" s="148"/>
      <c r="AR195" s="148">
        <f>AP195*AQ195</f>
        <v>0</v>
      </c>
      <c r="AS195" s="148">
        <f>CT195</f>
        <v>0</v>
      </c>
      <c r="AT195" s="149">
        <f>AR195*0.75+AS195*0.25</f>
        <v>0</v>
      </c>
      <c r="AU195" s="150"/>
      <c r="AV195" s="151"/>
      <c r="AW195" s="151"/>
      <c r="AX195" s="152"/>
      <c r="AY195" s="153"/>
      <c r="AZ195" s="140"/>
      <c r="BA195" s="150"/>
      <c r="BB195" s="151"/>
      <c r="BC195" s="151"/>
      <c r="BD195" s="151"/>
      <c r="BE195" s="151"/>
      <c r="BF195" s="151"/>
      <c r="BG195" s="151"/>
      <c r="BH195" s="151"/>
      <c r="BI195" s="152"/>
      <c r="BJ195" s="154"/>
      <c r="BK195" s="151"/>
      <c r="BL195" s="151"/>
      <c r="BM195" s="151"/>
      <c r="BN195" s="151"/>
      <c r="BO195" s="155"/>
      <c r="BP195" s="140"/>
      <c r="BQ195" s="156"/>
      <c r="BR195" s="157"/>
      <c r="BS195" s="158"/>
      <c r="BT195" s="153"/>
      <c r="BU195" s="140"/>
      <c r="BV195" s="140"/>
      <c r="BW195" s="140"/>
      <c r="BX195" s="140"/>
      <c r="BY195" s="140"/>
      <c r="BZ195" s="140"/>
      <c r="CA195" s="140"/>
      <c r="CB195" s="140"/>
      <c r="CC195" s="140"/>
      <c r="CD195" s="150"/>
      <c r="CE195" s="155"/>
      <c r="CF195" s="150"/>
      <c r="CG195" s="152"/>
      <c r="CH195" s="252"/>
      <c r="CI195" s="160"/>
      <c r="CJ195" s="159"/>
      <c r="CK195" s="160"/>
      <c r="CL195" s="159"/>
      <c r="CM195" s="160"/>
      <c r="CN195" s="159"/>
      <c r="CO195" s="160"/>
      <c r="CP195" s="159"/>
      <c r="CQ195" s="162"/>
      <c r="CR195" s="160"/>
      <c r="CS195" s="253">
        <f>SUM(IF(AU195&lt;0,ABS(AU195),0),IF(AZ195&lt;0,ABS(AZ195),0),ABS(CI195),ABS(CK195),ABS(CM195),ABS(CO195),ABS(CQ195),ABS(CR195))</f>
        <v>0</v>
      </c>
      <c r="CT195" s="254">
        <f>SUM(AU195,AV195,AW195,AX195/400,AY195,AZ195,BG195,BH195*0.5,BI195*0.25,BJ195,BK195,BL195,BM195,BN195,BO195,BP195,BR195/20,BS195/100,BT195/60,BU195,BV195,BW195,BX195/4,SUM(BY195:CC205)/3,CE195,CG195/3,CI195,CK195,CM195,CO195,CQ195,CR195)</f>
        <v>0</v>
      </c>
      <c r="CU195" s="255"/>
    </row>
    <row r="196" ht="60.0" hidden="1" customHeight="1">
      <c r="A196" s="65"/>
      <c r="C196" s="167"/>
      <c r="D196" s="205"/>
      <c r="E196" s="262"/>
      <c r="F196" s="170"/>
      <c r="G196" s="170"/>
      <c r="H196" s="170"/>
      <c r="I196" s="170"/>
      <c r="J196" s="170"/>
      <c r="K196" s="171"/>
      <c r="L196" s="171"/>
      <c r="M196" s="171"/>
      <c r="N196" s="209"/>
      <c r="O196" s="172">
        <f t="shared" si="36"/>
        <v>0</v>
      </c>
      <c r="P196" s="166"/>
      <c r="Q196" s="173"/>
      <c r="R196" s="65"/>
      <c r="S196" s="173"/>
      <c r="T196" s="173"/>
      <c r="U196" s="166"/>
      <c r="V196" s="166"/>
      <c r="W196" s="65"/>
      <c r="X196" s="66"/>
      <c r="Y196" s="173"/>
      <c r="Z196" s="166"/>
      <c r="AA196" s="174"/>
      <c r="AB196" s="175"/>
      <c r="AC196" s="175"/>
      <c r="AD196" s="175"/>
      <c r="AE196" s="175"/>
      <c r="AF196" s="175"/>
      <c r="AG196" s="175"/>
      <c r="AH196" s="175"/>
      <c r="AI196" s="176"/>
      <c r="AJ196" s="177"/>
      <c r="AK196" s="178"/>
      <c r="AL196" s="178"/>
      <c r="AM196" s="178"/>
      <c r="AN196" s="178"/>
      <c r="AO196" s="179"/>
      <c r="AP196" s="64"/>
      <c r="AQ196" s="65"/>
      <c r="AR196" s="65"/>
      <c r="AS196" s="65"/>
      <c r="AT196" s="173"/>
      <c r="AU196" s="177"/>
      <c r="AV196" s="178"/>
      <c r="AW196" s="178"/>
      <c r="AX196" s="179"/>
      <c r="AZ196" s="166"/>
      <c r="BA196" s="177"/>
      <c r="BB196" s="178"/>
      <c r="BC196" s="178"/>
      <c r="BD196" s="178"/>
      <c r="BE196" s="178"/>
      <c r="BF196" s="178"/>
      <c r="BG196" s="178"/>
      <c r="BH196" s="178"/>
      <c r="BI196" s="179"/>
      <c r="BJ196" s="180"/>
      <c r="BK196" s="178"/>
      <c r="BL196" s="178"/>
      <c r="BM196" s="178"/>
      <c r="BN196" s="178"/>
      <c r="BO196" s="181"/>
      <c r="BP196" s="166"/>
      <c r="BQ196" s="177"/>
      <c r="BR196" s="178"/>
      <c r="BS196" s="179"/>
      <c r="BU196" s="166"/>
      <c r="BV196" s="166"/>
      <c r="BW196" s="166"/>
      <c r="BX196" s="166"/>
      <c r="BY196" s="166"/>
      <c r="BZ196" s="166"/>
      <c r="CA196" s="166"/>
      <c r="CB196" s="166"/>
      <c r="CC196" s="166"/>
      <c r="CD196" s="177"/>
      <c r="CE196" s="181"/>
      <c r="CF196" s="177"/>
      <c r="CG196" s="179"/>
      <c r="CH196" s="257"/>
      <c r="CI196" s="182"/>
      <c r="CJ196" s="177"/>
      <c r="CK196" s="182"/>
      <c r="CL196" s="177"/>
      <c r="CM196" s="182"/>
      <c r="CN196" s="177"/>
      <c r="CO196" s="182"/>
      <c r="CP196" s="177"/>
      <c r="CQ196" s="178"/>
      <c r="CR196" s="182"/>
      <c r="CS196" s="173"/>
      <c r="CT196" s="65"/>
      <c r="CU196" s="271"/>
    </row>
    <row r="197" ht="60.0" hidden="1" customHeight="1">
      <c r="A197" s="65"/>
      <c r="C197" s="167"/>
      <c r="D197" s="205"/>
      <c r="E197" s="262"/>
      <c r="F197" s="170"/>
      <c r="G197" s="170"/>
      <c r="H197" s="170"/>
      <c r="I197" s="170"/>
      <c r="J197" s="170"/>
      <c r="K197" s="171"/>
      <c r="L197" s="171"/>
      <c r="M197" s="171"/>
      <c r="N197" s="209"/>
      <c r="O197" s="172">
        <f t="shared" si="36"/>
        <v>0</v>
      </c>
      <c r="P197" s="166"/>
      <c r="Q197" s="173"/>
      <c r="R197" s="65"/>
      <c r="S197" s="173"/>
      <c r="T197" s="173"/>
      <c r="U197" s="166"/>
      <c r="V197" s="166"/>
      <c r="W197" s="65"/>
      <c r="X197" s="66"/>
      <c r="Y197" s="173"/>
      <c r="Z197" s="166"/>
      <c r="AA197" s="174"/>
      <c r="AB197" s="175"/>
      <c r="AC197" s="175"/>
      <c r="AD197" s="175"/>
      <c r="AE197" s="175"/>
      <c r="AF197" s="175"/>
      <c r="AG197" s="175"/>
      <c r="AH197" s="175"/>
      <c r="AI197" s="176"/>
      <c r="AJ197" s="177"/>
      <c r="AK197" s="178"/>
      <c r="AL197" s="178"/>
      <c r="AM197" s="178"/>
      <c r="AN197" s="178"/>
      <c r="AO197" s="179"/>
      <c r="AP197" s="64"/>
      <c r="AQ197" s="65"/>
      <c r="AR197" s="65"/>
      <c r="AS197" s="65"/>
      <c r="AT197" s="173"/>
      <c r="AU197" s="177"/>
      <c r="AV197" s="178"/>
      <c r="AW197" s="178"/>
      <c r="AX197" s="179"/>
      <c r="AZ197" s="166"/>
      <c r="BA197" s="177"/>
      <c r="BB197" s="178"/>
      <c r="BC197" s="178"/>
      <c r="BD197" s="178"/>
      <c r="BE197" s="178"/>
      <c r="BF197" s="178"/>
      <c r="BG197" s="178"/>
      <c r="BH197" s="178"/>
      <c r="BI197" s="179"/>
      <c r="BJ197" s="180"/>
      <c r="BK197" s="178"/>
      <c r="BL197" s="178"/>
      <c r="BM197" s="178"/>
      <c r="BN197" s="178"/>
      <c r="BO197" s="181"/>
      <c r="BP197" s="166"/>
      <c r="BQ197" s="177"/>
      <c r="BR197" s="178"/>
      <c r="BS197" s="179"/>
      <c r="BU197" s="166"/>
      <c r="BV197" s="166"/>
      <c r="BW197" s="166"/>
      <c r="BX197" s="166"/>
      <c r="BY197" s="166"/>
      <c r="BZ197" s="166"/>
      <c r="CA197" s="166"/>
      <c r="CB197" s="166"/>
      <c r="CC197" s="166"/>
      <c r="CD197" s="177"/>
      <c r="CE197" s="181"/>
      <c r="CF197" s="177"/>
      <c r="CG197" s="179"/>
      <c r="CH197" s="257"/>
      <c r="CI197" s="182"/>
      <c r="CJ197" s="177"/>
      <c r="CK197" s="182"/>
      <c r="CL197" s="177"/>
      <c r="CM197" s="182"/>
      <c r="CN197" s="177"/>
      <c r="CO197" s="182"/>
      <c r="CP197" s="177"/>
      <c r="CQ197" s="178"/>
      <c r="CR197" s="182"/>
      <c r="CS197" s="173"/>
      <c r="CT197" s="65"/>
      <c r="CU197" s="271"/>
    </row>
    <row r="198" ht="60.0" hidden="1" customHeight="1">
      <c r="A198" s="65"/>
      <c r="C198" s="167"/>
      <c r="D198" s="205"/>
      <c r="E198" s="262"/>
      <c r="F198" s="170"/>
      <c r="G198" s="170"/>
      <c r="H198" s="170"/>
      <c r="I198" s="170"/>
      <c r="J198" s="170"/>
      <c r="K198" s="171"/>
      <c r="L198" s="171"/>
      <c r="M198" s="171"/>
      <c r="N198" s="209"/>
      <c r="O198" s="172">
        <f t="shared" si="36"/>
        <v>0</v>
      </c>
      <c r="P198" s="166"/>
      <c r="Q198" s="173"/>
      <c r="R198" s="65"/>
      <c r="S198" s="173"/>
      <c r="T198" s="173"/>
      <c r="U198" s="166"/>
      <c r="V198" s="166"/>
      <c r="W198" s="65"/>
      <c r="X198" s="66"/>
      <c r="Y198" s="173"/>
      <c r="Z198" s="166"/>
      <c r="AA198" s="174"/>
      <c r="AB198" s="175"/>
      <c r="AC198" s="175"/>
      <c r="AD198" s="175"/>
      <c r="AE198" s="175"/>
      <c r="AF198" s="175"/>
      <c r="AG198" s="175"/>
      <c r="AH198" s="175"/>
      <c r="AI198" s="176"/>
      <c r="AJ198" s="177"/>
      <c r="AK198" s="178"/>
      <c r="AL198" s="178"/>
      <c r="AM198" s="178"/>
      <c r="AN198" s="178"/>
      <c r="AO198" s="179"/>
      <c r="AP198" s="64"/>
      <c r="AQ198" s="65"/>
      <c r="AR198" s="65"/>
      <c r="AS198" s="65"/>
      <c r="AT198" s="173"/>
      <c r="AU198" s="177"/>
      <c r="AV198" s="178"/>
      <c r="AW198" s="178"/>
      <c r="AX198" s="179"/>
      <c r="AZ198" s="166"/>
      <c r="BA198" s="177"/>
      <c r="BB198" s="178"/>
      <c r="BC198" s="178"/>
      <c r="BD198" s="178"/>
      <c r="BE198" s="178"/>
      <c r="BF198" s="178"/>
      <c r="BG198" s="178"/>
      <c r="BH198" s="178"/>
      <c r="BI198" s="179"/>
      <c r="BJ198" s="180"/>
      <c r="BK198" s="178"/>
      <c r="BL198" s="178"/>
      <c r="BM198" s="178"/>
      <c r="BN198" s="178"/>
      <c r="BO198" s="181"/>
      <c r="BP198" s="166"/>
      <c r="BQ198" s="177"/>
      <c r="BR198" s="178"/>
      <c r="BS198" s="179"/>
      <c r="BU198" s="166"/>
      <c r="BV198" s="166"/>
      <c r="BW198" s="166"/>
      <c r="BX198" s="166"/>
      <c r="BY198" s="166"/>
      <c r="BZ198" s="166"/>
      <c r="CA198" s="166"/>
      <c r="CB198" s="166"/>
      <c r="CC198" s="166"/>
      <c r="CD198" s="177"/>
      <c r="CE198" s="181"/>
      <c r="CF198" s="177"/>
      <c r="CG198" s="179"/>
      <c r="CH198" s="257"/>
      <c r="CI198" s="182"/>
      <c r="CJ198" s="177"/>
      <c r="CK198" s="182"/>
      <c r="CL198" s="177"/>
      <c r="CM198" s="182"/>
      <c r="CN198" s="177"/>
      <c r="CO198" s="182"/>
      <c r="CP198" s="177"/>
      <c r="CQ198" s="178"/>
      <c r="CR198" s="182"/>
      <c r="CS198" s="173"/>
      <c r="CT198" s="65"/>
      <c r="CU198" s="271"/>
    </row>
    <row r="199" ht="60.0" hidden="1" customHeight="1">
      <c r="A199" s="65"/>
      <c r="C199" s="167"/>
      <c r="D199" s="205"/>
      <c r="E199" s="262"/>
      <c r="F199" s="170"/>
      <c r="G199" s="170"/>
      <c r="H199" s="170"/>
      <c r="I199" s="170"/>
      <c r="J199" s="170"/>
      <c r="K199" s="171"/>
      <c r="L199" s="171"/>
      <c r="M199" s="171"/>
      <c r="N199" s="209"/>
      <c r="O199" s="172">
        <f t="shared" si="36"/>
        <v>0</v>
      </c>
      <c r="P199" s="166"/>
      <c r="Q199" s="173"/>
      <c r="R199" s="65"/>
      <c r="S199" s="173"/>
      <c r="T199" s="173"/>
      <c r="U199" s="166"/>
      <c r="V199" s="166"/>
      <c r="W199" s="65"/>
      <c r="X199" s="66"/>
      <c r="Y199" s="173"/>
      <c r="Z199" s="166"/>
      <c r="AA199" s="174"/>
      <c r="AB199" s="175"/>
      <c r="AC199" s="175"/>
      <c r="AD199" s="175"/>
      <c r="AE199" s="175"/>
      <c r="AF199" s="175"/>
      <c r="AG199" s="175"/>
      <c r="AH199" s="175"/>
      <c r="AI199" s="176"/>
      <c r="AJ199" s="177"/>
      <c r="AK199" s="178"/>
      <c r="AL199" s="178"/>
      <c r="AM199" s="178"/>
      <c r="AN199" s="178"/>
      <c r="AO199" s="179"/>
      <c r="AP199" s="64"/>
      <c r="AQ199" s="65"/>
      <c r="AR199" s="65"/>
      <c r="AS199" s="65"/>
      <c r="AT199" s="173"/>
      <c r="AU199" s="177"/>
      <c r="AV199" s="178"/>
      <c r="AW199" s="178"/>
      <c r="AX199" s="179"/>
      <c r="AZ199" s="166"/>
      <c r="BA199" s="177"/>
      <c r="BB199" s="178"/>
      <c r="BC199" s="178"/>
      <c r="BD199" s="178"/>
      <c r="BE199" s="178"/>
      <c r="BF199" s="178"/>
      <c r="BG199" s="178"/>
      <c r="BH199" s="178"/>
      <c r="BI199" s="179"/>
      <c r="BJ199" s="180"/>
      <c r="BK199" s="178"/>
      <c r="BL199" s="178"/>
      <c r="BM199" s="178"/>
      <c r="BN199" s="178"/>
      <c r="BO199" s="181"/>
      <c r="BP199" s="166"/>
      <c r="BQ199" s="177"/>
      <c r="BR199" s="178"/>
      <c r="BS199" s="179"/>
      <c r="BU199" s="166"/>
      <c r="BV199" s="166"/>
      <c r="BW199" s="166"/>
      <c r="BX199" s="166"/>
      <c r="BY199" s="166"/>
      <c r="BZ199" s="166"/>
      <c r="CA199" s="166"/>
      <c r="CB199" s="166"/>
      <c r="CC199" s="166"/>
      <c r="CD199" s="177"/>
      <c r="CE199" s="181"/>
      <c r="CF199" s="177"/>
      <c r="CG199" s="179"/>
      <c r="CH199" s="257"/>
      <c r="CI199" s="182"/>
      <c r="CJ199" s="177"/>
      <c r="CK199" s="182"/>
      <c r="CL199" s="177"/>
      <c r="CM199" s="182"/>
      <c r="CN199" s="177"/>
      <c r="CO199" s="182"/>
      <c r="CP199" s="177"/>
      <c r="CQ199" s="178"/>
      <c r="CR199" s="182"/>
      <c r="CS199" s="173"/>
      <c r="CT199" s="65"/>
      <c r="CU199" s="271"/>
    </row>
    <row r="200" ht="60.0" hidden="1" customHeight="1">
      <c r="A200" s="65"/>
      <c r="C200" s="167"/>
      <c r="D200" s="205"/>
      <c r="E200" s="262"/>
      <c r="F200" s="170"/>
      <c r="G200" s="170"/>
      <c r="H200" s="170"/>
      <c r="I200" s="170"/>
      <c r="J200" s="170"/>
      <c r="K200" s="171"/>
      <c r="L200" s="171"/>
      <c r="M200" s="171"/>
      <c r="N200" s="209"/>
      <c r="O200" s="172">
        <f t="shared" si="36"/>
        <v>0</v>
      </c>
      <c r="P200" s="166"/>
      <c r="Q200" s="173"/>
      <c r="R200" s="65"/>
      <c r="S200" s="173"/>
      <c r="T200" s="173"/>
      <c r="U200" s="166"/>
      <c r="V200" s="166"/>
      <c r="W200" s="65"/>
      <c r="X200" s="66"/>
      <c r="Y200" s="173"/>
      <c r="Z200" s="166"/>
      <c r="AA200" s="174"/>
      <c r="AB200" s="175"/>
      <c r="AC200" s="175"/>
      <c r="AD200" s="175"/>
      <c r="AE200" s="175"/>
      <c r="AF200" s="175"/>
      <c r="AG200" s="175"/>
      <c r="AH200" s="175"/>
      <c r="AI200" s="176"/>
      <c r="AJ200" s="177"/>
      <c r="AK200" s="178"/>
      <c r="AL200" s="178"/>
      <c r="AM200" s="178"/>
      <c r="AN200" s="178"/>
      <c r="AO200" s="179"/>
      <c r="AP200" s="64"/>
      <c r="AQ200" s="65"/>
      <c r="AR200" s="65"/>
      <c r="AS200" s="65"/>
      <c r="AT200" s="173"/>
      <c r="AU200" s="177"/>
      <c r="AV200" s="178"/>
      <c r="AW200" s="178"/>
      <c r="AX200" s="179"/>
      <c r="AZ200" s="166"/>
      <c r="BA200" s="177"/>
      <c r="BB200" s="178"/>
      <c r="BC200" s="178"/>
      <c r="BD200" s="178"/>
      <c r="BE200" s="178"/>
      <c r="BF200" s="178"/>
      <c r="BG200" s="178"/>
      <c r="BH200" s="178"/>
      <c r="BI200" s="179"/>
      <c r="BJ200" s="180"/>
      <c r="BK200" s="178"/>
      <c r="BL200" s="178"/>
      <c r="BM200" s="178"/>
      <c r="BN200" s="178"/>
      <c r="BO200" s="181"/>
      <c r="BP200" s="166"/>
      <c r="BQ200" s="177"/>
      <c r="BR200" s="178"/>
      <c r="BS200" s="179"/>
      <c r="BU200" s="166"/>
      <c r="BV200" s="166"/>
      <c r="BW200" s="166"/>
      <c r="BX200" s="166"/>
      <c r="BY200" s="166"/>
      <c r="BZ200" s="166"/>
      <c r="CA200" s="166"/>
      <c r="CB200" s="166"/>
      <c r="CC200" s="166"/>
      <c r="CD200" s="177"/>
      <c r="CE200" s="181"/>
      <c r="CF200" s="177"/>
      <c r="CG200" s="179"/>
      <c r="CH200" s="257"/>
      <c r="CI200" s="182"/>
      <c r="CJ200" s="177"/>
      <c r="CK200" s="182"/>
      <c r="CL200" s="177"/>
      <c r="CM200" s="182"/>
      <c r="CN200" s="177"/>
      <c r="CO200" s="182"/>
      <c r="CP200" s="177"/>
      <c r="CQ200" s="178"/>
      <c r="CR200" s="182"/>
      <c r="CS200" s="173"/>
      <c r="CT200" s="65"/>
      <c r="CU200" s="271"/>
    </row>
    <row r="201" ht="60.0" hidden="1" customHeight="1">
      <c r="A201" s="65"/>
      <c r="C201" s="167"/>
      <c r="D201" s="205"/>
      <c r="E201" s="262"/>
      <c r="F201" s="170"/>
      <c r="G201" s="170"/>
      <c r="H201" s="170"/>
      <c r="I201" s="170"/>
      <c r="J201" s="170"/>
      <c r="K201" s="171"/>
      <c r="L201" s="171"/>
      <c r="M201" s="171"/>
      <c r="N201" s="209"/>
      <c r="O201" s="172">
        <f t="shared" ref="O201:O204" si="37">IF(AND(M201&gt;=20,M201&lt;&gt;"m",RIGHT(K201,3)="Lec"),1,IF(AND(M201&gt;=20,M201&lt;&gt;"m",OR(RIGHT(K201,3)="Lab",RIGHT(K201,3)="Tut")),0.5,IF(AND(M201&gt;=20,M201&lt;&gt;"m",RIGHT(K201,2)="TL"),0.75,0)))</f>
        <v>0</v>
      </c>
      <c r="P201" s="166"/>
      <c r="Q201" s="173"/>
      <c r="R201" s="65"/>
      <c r="S201" s="173"/>
      <c r="T201" s="173"/>
      <c r="U201" s="166"/>
      <c r="V201" s="166"/>
      <c r="W201" s="65"/>
      <c r="X201" s="66"/>
      <c r="Y201" s="173"/>
      <c r="Z201" s="166"/>
      <c r="AA201" s="174"/>
      <c r="AB201" s="175"/>
      <c r="AC201" s="175"/>
      <c r="AD201" s="175"/>
      <c r="AE201" s="175"/>
      <c r="AF201" s="175"/>
      <c r="AG201" s="175"/>
      <c r="AH201" s="175"/>
      <c r="AI201" s="176"/>
      <c r="AJ201" s="177"/>
      <c r="AK201" s="178"/>
      <c r="AL201" s="178"/>
      <c r="AM201" s="178"/>
      <c r="AN201" s="178"/>
      <c r="AO201" s="179"/>
      <c r="AP201" s="64"/>
      <c r="AQ201" s="65"/>
      <c r="AR201" s="65"/>
      <c r="AS201" s="65"/>
      <c r="AT201" s="173"/>
      <c r="AU201" s="177"/>
      <c r="AV201" s="178"/>
      <c r="AW201" s="178"/>
      <c r="AX201" s="179"/>
      <c r="AZ201" s="166"/>
      <c r="BA201" s="177"/>
      <c r="BB201" s="178"/>
      <c r="BC201" s="178"/>
      <c r="BD201" s="178"/>
      <c r="BE201" s="178"/>
      <c r="BF201" s="178"/>
      <c r="BG201" s="178"/>
      <c r="BH201" s="178"/>
      <c r="BI201" s="179"/>
      <c r="BJ201" s="180"/>
      <c r="BK201" s="178"/>
      <c r="BL201" s="178"/>
      <c r="BM201" s="178"/>
      <c r="BN201" s="178"/>
      <c r="BO201" s="181"/>
      <c r="BP201" s="166"/>
      <c r="BQ201" s="177"/>
      <c r="BR201" s="178"/>
      <c r="BS201" s="179"/>
      <c r="BU201" s="166"/>
      <c r="BV201" s="166"/>
      <c r="BW201" s="166"/>
      <c r="BX201" s="166"/>
      <c r="BY201" s="166"/>
      <c r="BZ201" s="166"/>
      <c r="CA201" s="166"/>
      <c r="CB201" s="166"/>
      <c r="CC201" s="166"/>
      <c r="CD201" s="177"/>
      <c r="CE201" s="181"/>
      <c r="CF201" s="177"/>
      <c r="CG201" s="179"/>
      <c r="CH201" s="257"/>
      <c r="CI201" s="182"/>
      <c r="CJ201" s="177"/>
      <c r="CK201" s="182"/>
      <c r="CL201" s="177"/>
      <c r="CM201" s="182"/>
      <c r="CN201" s="177"/>
      <c r="CO201" s="182"/>
      <c r="CP201" s="177"/>
      <c r="CQ201" s="178"/>
      <c r="CR201" s="182"/>
      <c r="CS201" s="173"/>
      <c r="CT201" s="65"/>
      <c r="CU201" s="271"/>
    </row>
    <row r="202" ht="60.0" hidden="1" customHeight="1">
      <c r="A202" s="65"/>
      <c r="C202" s="167"/>
      <c r="D202" s="205"/>
      <c r="E202" s="262"/>
      <c r="F202" s="170"/>
      <c r="G202" s="170"/>
      <c r="H202" s="170"/>
      <c r="I202" s="170"/>
      <c r="J202" s="170"/>
      <c r="K202" s="171"/>
      <c r="L202" s="171"/>
      <c r="M202" s="171"/>
      <c r="N202" s="209"/>
      <c r="O202" s="172">
        <f t="shared" si="37"/>
        <v>0</v>
      </c>
      <c r="P202" s="166"/>
      <c r="Q202" s="173"/>
      <c r="R202" s="65"/>
      <c r="S202" s="173"/>
      <c r="T202" s="173"/>
      <c r="U202" s="166"/>
      <c r="V202" s="166"/>
      <c r="W202" s="65"/>
      <c r="X202" s="66"/>
      <c r="Y202" s="173"/>
      <c r="Z202" s="166"/>
      <c r="AA202" s="174"/>
      <c r="AB202" s="175"/>
      <c r="AC202" s="175"/>
      <c r="AD202" s="175"/>
      <c r="AE202" s="175"/>
      <c r="AF202" s="175"/>
      <c r="AG202" s="175"/>
      <c r="AH202" s="175"/>
      <c r="AI202" s="176"/>
      <c r="AJ202" s="177"/>
      <c r="AK202" s="178"/>
      <c r="AL202" s="178"/>
      <c r="AM202" s="178"/>
      <c r="AN202" s="178"/>
      <c r="AO202" s="179"/>
      <c r="AP202" s="64"/>
      <c r="AQ202" s="65"/>
      <c r="AR202" s="65"/>
      <c r="AS202" s="65"/>
      <c r="AT202" s="173"/>
      <c r="AU202" s="177"/>
      <c r="AV202" s="178"/>
      <c r="AW202" s="178"/>
      <c r="AX202" s="179"/>
      <c r="AZ202" s="166"/>
      <c r="BA202" s="177"/>
      <c r="BB202" s="178"/>
      <c r="BC202" s="178"/>
      <c r="BD202" s="178"/>
      <c r="BE202" s="178"/>
      <c r="BF202" s="178"/>
      <c r="BG202" s="178"/>
      <c r="BH202" s="178"/>
      <c r="BI202" s="179"/>
      <c r="BJ202" s="180"/>
      <c r="BK202" s="178"/>
      <c r="BL202" s="178"/>
      <c r="BM202" s="178"/>
      <c r="BN202" s="178"/>
      <c r="BO202" s="181"/>
      <c r="BP202" s="166"/>
      <c r="BQ202" s="177"/>
      <c r="BR202" s="178"/>
      <c r="BS202" s="179"/>
      <c r="BU202" s="166"/>
      <c r="BV202" s="166"/>
      <c r="BW202" s="166"/>
      <c r="BX202" s="166"/>
      <c r="BY202" s="166"/>
      <c r="BZ202" s="166"/>
      <c r="CA202" s="166"/>
      <c r="CB202" s="166"/>
      <c r="CC202" s="166"/>
      <c r="CD202" s="177"/>
      <c r="CE202" s="181"/>
      <c r="CF202" s="177"/>
      <c r="CG202" s="179"/>
      <c r="CH202" s="257"/>
      <c r="CI202" s="182"/>
      <c r="CJ202" s="177"/>
      <c r="CK202" s="182"/>
      <c r="CL202" s="177"/>
      <c r="CM202" s="182"/>
      <c r="CN202" s="177"/>
      <c r="CO202" s="182"/>
      <c r="CP202" s="177"/>
      <c r="CQ202" s="178"/>
      <c r="CR202" s="182"/>
      <c r="CS202" s="173"/>
      <c r="CT202" s="65"/>
      <c r="CU202" s="271"/>
    </row>
    <row r="203" ht="60.0" hidden="1" customHeight="1">
      <c r="A203" s="65"/>
      <c r="C203" s="167"/>
      <c r="D203" s="205"/>
      <c r="E203" s="262"/>
      <c r="F203" s="170"/>
      <c r="G203" s="170"/>
      <c r="H203" s="170"/>
      <c r="I203" s="170"/>
      <c r="J203" s="170"/>
      <c r="K203" s="171"/>
      <c r="L203" s="171"/>
      <c r="M203" s="171"/>
      <c r="N203" s="209"/>
      <c r="O203" s="172">
        <f t="shared" si="37"/>
        <v>0</v>
      </c>
      <c r="P203" s="166"/>
      <c r="Q203" s="173"/>
      <c r="R203" s="65"/>
      <c r="S203" s="173"/>
      <c r="T203" s="173"/>
      <c r="U203" s="166"/>
      <c r="V203" s="166"/>
      <c r="W203" s="65"/>
      <c r="X203" s="66"/>
      <c r="Y203" s="173"/>
      <c r="Z203" s="166"/>
      <c r="AA203" s="174"/>
      <c r="AB203" s="175"/>
      <c r="AC203" s="175"/>
      <c r="AD203" s="175"/>
      <c r="AE203" s="175"/>
      <c r="AF203" s="175"/>
      <c r="AG203" s="175"/>
      <c r="AH203" s="175"/>
      <c r="AI203" s="176"/>
      <c r="AJ203" s="177"/>
      <c r="AK203" s="178"/>
      <c r="AL203" s="178"/>
      <c r="AM203" s="178"/>
      <c r="AN203" s="178"/>
      <c r="AO203" s="179"/>
      <c r="AP203" s="64"/>
      <c r="AQ203" s="65"/>
      <c r="AR203" s="65"/>
      <c r="AS203" s="65"/>
      <c r="AT203" s="173"/>
      <c r="AU203" s="177"/>
      <c r="AV203" s="178"/>
      <c r="AW203" s="178"/>
      <c r="AX203" s="179"/>
      <c r="AZ203" s="166"/>
      <c r="BA203" s="177"/>
      <c r="BB203" s="178"/>
      <c r="BC203" s="178"/>
      <c r="BD203" s="178"/>
      <c r="BE203" s="178"/>
      <c r="BF203" s="178"/>
      <c r="BG203" s="178"/>
      <c r="BH203" s="178"/>
      <c r="BI203" s="179"/>
      <c r="BJ203" s="180"/>
      <c r="BK203" s="178"/>
      <c r="BL203" s="178"/>
      <c r="BM203" s="178"/>
      <c r="BN203" s="178"/>
      <c r="BO203" s="181"/>
      <c r="BP203" s="166"/>
      <c r="BQ203" s="177"/>
      <c r="BR203" s="178"/>
      <c r="BS203" s="179"/>
      <c r="BU203" s="166"/>
      <c r="BV203" s="166"/>
      <c r="BW203" s="166"/>
      <c r="BX203" s="166"/>
      <c r="BY203" s="166"/>
      <c r="BZ203" s="166"/>
      <c r="CA203" s="166"/>
      <c r="CB203" s="166"/>
      <c r="CC203" s="166"/>
      <c r="CD203" s="177"/>
      <c r="CE203" s="181"/>
      <c r="CF203" s="177"/>
      <c r="CG203" s="179"/>
      <c r="CH203" s="257"/>
      <c r="CI203" s="182"/>
      <c r="CJ203" s="177"/>
      <c r="CK203" s="182"/>
      <c r="CL203" s="177"/>
      <c r="CM203" s="182"/>
      <c r="CN203" s="177"/>
      <c r="CO203" s="182"/>
      <c r="CP203" s="177"/>
      <c r="CQ203" s="178"/>
      <c r="CR203" s="182"/>
      <c r="CS203" s="173"/>
      <c r="CT203" s="65"/>
      <c r="CU203" s="271"/>
    </row>
    <row r="204" ht="60.0" hidden="1" customHeight="1">
      <c r="A204" s="65"/>
      <c r="C204" s="167"/>
      <c r="D204" s="205"/>
      <c r="E204" s="262"/>
      <c r="F204" s="170"/>
      <c r="G204" s="170"/>
      <c r="H204" s="170"/>
      <c r="I204" s="170"/>
      <c r="J204" s="170"/>
      <c r="K204" s="171"/>
      <c r="L204" s="171"/>
      <c r="M204" s="171"/>
      <c r="N204" s="209"/>
      <c r="O204" s="172">
        <f t="shared" si="37"/>
        <v>0</v>
      </c>
      <c r="P204" s="166"/>
      <c r="Q204" s="173"/>
      <c r="R204" s="65"/>
      <c r="S204" s="173"/>
      <c r="T204" s="173"/>
      <c r="U204" s="166"/>
      <c r="V204" s="166"/>
      <c r="W204" s="65"/>
      <c r="X204" s="66"/>
      <c r="Y204" s="173"/>
      <c r="Z204" s="166"/>
      <c r="AA204" s="174"/>
      <c r="AB204" s="175"/>
      <c r="AC204" s="175"/>
      <c r="AD204" s="175"/>
      <c r="AE204" s="175"/>
      <c r="AF204" s="175"/>
      <c r="AG204" s="175"/>
      <c r="AH204" s="175"/>
      <c r="AI204" s="176"/>
      <c r="AJ204" s="177"/>
      <c r="AK204" s="178"/>
      <c r="AL204" s="178"/>
      <c r="AM204" s="178"/>
      <c r="AN204" s="178"/>
      <c r="AO204" s="179"/>
      <c r="AP204" s="64"/>
      <c r="AQ204" s="65"/>
      <c r="AR204" s="65"/>
      <c r="AS204" s="65"/>
      <c r="AT204" s="173"/>
      <c r="AU204" s="177"/>
      <c r="AV204" s="178"/>
      <c r="AW204" s="178"/>
      <c r="AX204" s="179"/>
      <c r="AZ204" s="166"/>
      <c r="BA204" s="177"/>
      <c r="BB204" s="178"/>
      <c r="BC204" s="178"/>
      <c r="BD204" s="178"/>
      <c r="BE204" s="178"/>
      <c r="BF204" s="178"/>
      <c r="BG204" s="178"/>
      <c r="BH204" s="178"/>
      <c r="BI204" s="179"/>
      <c r="BJ204" s="180"/>
      <c r="BK204" s="178"/>
      <c r="BL204" s="178"/>
      <c r="BM204" s="178"/>
      <c r="BN204" s="178"/>
      <c r="BO204" s="181"/>
      <c r="BP204" s="166"/>
      <c r="BQ204" s="177"/>
      <c r="BR204" s="178"/>
      <c r="BS204" s="179"/>
      <c r="BU204" s="166"/>
      <c r="BV204" s="166"/>
      <c r="BW204" s="166"/>
      <c r="BX204" s="166"/>
      <c r="BY204" s="166"/>
      <c r="BZ204" s="166"/>
      <c r="CA204" s="166"/>
      <c r="CB204" s="166"/>
      <c r="CC204" s="166"/>
      <c r="CD204" s="177"/>
      <c r="CE204" s="181"/>
      <c r="CF204" s="177"/>
      <c r="CG204" s="179"/>
      <c r="CH204" s="257"/>
      <c r="CI204" s="182"/>
      <c r="CJ204" s="177"/>
      <c r="CK204" s="182"/>
      <c r="CL204" s="177"/>
      <c r="CM204" s="182"/>
      <c r="CN204" s="177"/>
      <c r="CO204" s="182"/>
      <c r="CP204" s="177"/>
      <c r="CQ204" s="178"/>
      <c r="CR204" s="182"/>
      <c r="CS204" s="173"/>
      <c r="CT204" s="65"/>
      <c r="CU204" s="271"/>
    </row>
    <row r="205" ht="60.0" hidden="1" customHeight="1">
      <c r="A205" s="89"/>
      <c r="B205" s="6"/>
      <c r="C205" s="183"/>
      <c r="D205" s="210"/>
      <c r="E205" s="263"/>
      <c r="F205" s="186"/>
      <c r="G205" s="186"/>
      <c r="H205" s="186"/>
      <c r="I205" s="186"/>
      <c r="J205" s="186"/>
      <c r="K205" s="187"/>
      <c r="L205" s="187"/>
      <c r="M205" s="187"/>
      <c r="N205" s="214"/>
      <c r="O205" s="188">
        <f t="shared" ref="O205:O211" si="38">IF(AND(M205&lt;&gt;0,M205&lt;&gt;"m",M205&lt;&gt;"",RIGHT(K205,3)="Lec"),1,IF(AND(M205&lt;&gt;0,M205&lt;&gt;"m",M205&lt;&gt;"",OR(RIGHT(K205,3)="Lab",RIGHT(K205,3)="Tut")),0.5,IF(AND(M205&lt;&gt;0,M205&lt;&gt;"m",M205&lt;&gt;"",RIGHT(K205,2)="TL"),0.75,0)))</f>
        <v>0</v>
      </c>
      <c r="P205" s="63"/>
      <c r="Q205" s="69"/>
      <c r="R205" s="89"/>
      <c r="S205" s="69"/>
      <c r="T205" s="69"/>
      <c r="U205" s="63"/>
      <c r="V205" s="63"/>
      <c r="W205" s="89"/>
      <c r="X205" s="68"/>
      <c r="Y205" s="69"/>
      <c r="Z205" s="63"/>
      <c r="AA205" s="189"/>
      <c r="AB205" s="190"/>
      <c r="AC205" s="190"/>
      <c r="AD205" s="190"/>
      <c r="AE205" s="190"/>
      <c r="AF205" s="190"/>
      <c r="AG205" s="190"/>
      <c r="AH205" s="190"/>
      <c r="AI205" s="191"/>
      <c r="AJ205" s="192"/>
      <c r="AK205" s="193"/>
      <c r="AL205" s="193"/>
      <c r="AM205" s="193"/>
      <c r="AN205" s="193"/>
      <c r="AO205" s="194"/>
      <c r="AP205" s="103"/>
      <c r="AQ205" s="89"/>
      <c r="AR205" s="89"/>
      <c r="AS205" s="89"/>
      <c r="AT205" s="69"/>
      <c r="AU205" s="192"/>
      <c r="AV205" s="193"/>
      <c r="AW205" s="193"/>
      <c r="AX205" s="194"/>
      <c r="AY205" s="6"/>
      <c r="AZ205" s="63"/>
      <c r="BA205" s="192"/>
      <c r="BB205" s="193"/>
      <c r="BC205" s="193"/>
      <c r="BD205" s="193"/>
      <c r="BE205" s="193"/>
      <c r="BF205" s="193"/>
      <c r="BG205" s="193"/>
      <c r="BH205" s="193"/>
      <c r="BI205" s="194"/>
      <c r="BJ205" s="195"/>
      <c r="BK205" s="193"/>
      <c r="BL205" s="193"/>
      <c r="BM205" s="193"/>
      <c r="BN205" s="193"/>
      <c r="BO205" s="196"/>
      <c r="BP205" s="63"/>
      <c r="BQ205" s="192"/>
      <c r="BR205" s="193"/>
      <c r="BS205" s="194"/>
      <c r="BT205" s="6"/>
      <c r="BU205" s="63"/>
      <c r="BV205" s="63"/>
      <c r="BW205" s="63"/>
      <c r="BX205" s="63"/>
      <c r="BY205" s="63"/>
      <c r="BZ205" s="63"/>
      <c r="CA205" s="63"/>
      <c r="CB205" s="63"/>
      <c r="CC205" s="63"/>
      <c r="CD205" s="192"/>
      <c r="CE205" s="196"/>
      <c r="CF205" s="192"/>
      <c r="CG205" s="194"/>
      <c r="CH205" s="259"/>
      <c r="CI205" s="197"/>
      <c r="CJ205" s="192"/>
      <c r="CK205" s="197"/>
      <c r="CL205" s="192"/>
      <c r="CM205" s="197"/>
      <c r="CN205" s="192"/>
      <c r="CO205" s="197"/>
      <c r="CP205" s="192"/>
      <c r="CQ205" s="193"/>
      <c r="CR205" s="197"/>
      <c r="CS205" s="69"/>
      <c r="CT205" s="89"/>
      <c r="CU205" s="272"/>
    </row>
    <row r="206" ht="55.5" hidden="1" customHeight="1">
      <c r="A206" s="125">
        <v>19.0</v>
      </c>
      <c r="B206" s="199"/>
      <c r="C206" s="127"/>
      <c r="D206" s="128"/>
      <c r="E206" s="260"/>
      <c r="F206" s="261"/>
      <c r="G206" s="261"/>
      <c r="H206" s="261"/>
      <c r="I206" s="261"/>
      <c r="J206" s="170"/>
      <c r="K206" s="219"/>
      <c r="L206" s="219"/>
      <c r="M206" s="219"/>
      <c r="N206" s="220"/>
      <c r="O206" s="132">
        <f t="shared" si="38"/>
        <v>0</v>
      </c>
      <c r="P206" s="133">
        <f>COUNTIF(K206:K216,"TL")*0.75+COUNTIF(K206:K216,"Lec")*1+COUNTIF(K206:K216,"Lab")*0.5</f>
        <v>0</v>
      </c>
      <c r="Q206" s="134">
        <f>SUM((IF(LEFT(K206,1)="E",O206,0)),(IF(LEFT(K207,1)="E",O207,0)),(IF(LEFT(K208,1)="E",O208,0)),(IF(LEFT(K209,1)="E",O209,0)),(IF(LEFT(K210,1)="E",O210,0)),(IF(LEFT(K211,1)="E",O211,0)),(IF(LEFT(K212,1)="E",O212,0)),(IF(LEFT(K213,1)="E",O213,0)),(IF(LEFT(K214,1)="E",O214,0)),(IF(LEFT(K215,1)="E",O215,0)),(IF(LEFT(K216,1)="E",O216,0)))</f>
        <v>0</v>
      </c>
      <c r="R206" s="135">
        <f>SUM(IF(M212&lt;20,IF(K212="Plec",-1,IF(K212="PTL",-0.75,IF(K212="Plab",-0.5,0))),0),IF(M213&lt;20,IF(K213="Plec",-1,IF(K213="PTL",-0.75,IF(K213="Plab",-0.5,0))),0),IF(M214&lt;20,IF(K214="Plec",-1,IF(K214="PTL",-0.75,IF(K214="Plab",-0.5,0))),0),IF(M215&lt;20,IF(K215="Plec",-1,IF(K215="PTL",-0.75,IF(K215="Plab",-0.5,0))),0))</f>
        <v>0</v>
      </c>
      <c r="S206" s="134">
        <f>SUM(P206:R216)</f>
        <v>0</v>
      </c>
      <c r="T206" s="136">
        <f>SUM(IF(M206="M",IF(OR(K206="lec",K206="plec",K206="slec"),1,IF(OR(K206="lab",K206="plab",K206="slab",K206="tut",K206="ptut",K206="stut"),0.5,IF(OR(K206="TL",K206="pTL",K206="STL"),0.75,0))),0),IF(M207="M",IF(OR(K207="lec",K207="plec",K207="slec"),1,IF(OR(K207="lab",K207="plab",K207="slab",K207="tut",K207="ptut",K207="stut"),0.5,IF(OR(K207="TL",K207="pTL",K207="STL"),0.75,0))),0),IF(M208="M",IF(OR(K208="lec",K208="plec",K208="slec"),1,IF(OR(K208="lab",K208="plab",K208="slab",K208="tut",K208="ptut",K208="stut"),0.5,IF(OR(K208="TL",K208="pTL",K208="STL"),0.75,0))),0),IF(M209="M",IF(OR(K209="lec",K209="plec",K209="slec"),1,IF(OR(K209="lab",K209="plab",K209="slab",K209="tut",K209="ptut",K209="stut"),0.5,IF(OR(K209="TL",K209="pTL",K209="STL"),0.75,0))),0),IF(M210="M",IF(OR(K210="lec",K210="plec",K210="slec"),1,IF(OR(K210="lab",K210="plab",K210="slab",K210="tut",K210="ptut",K210="stut"),0.5,IF(OR(K210="TL",K210="pTL",K210="STL"),0.75,0))),0),IF(M211="M",IF(OR(K211="lec",K211="plec",K211="slec"),1,IF(OR(K211="lab",K211="plab",K211="slab",K211="tut",K211="ptut",K211="stut"),0.5,IF(OR(K211="TL",K211="pTL",K211="STL"),0.75,0))),0),IF(M212="M",IF(OR(K212="lec",K212="plec",K212="slec"),1,IF(OR(K212="lab",K212="plab",K212="slab",K212="tut",K212="ptut",K212="stut"),0.5,IF(OR(K212="TL",K212="pTL",K212="STL"),0.75,0))),0),IF(M213="M",IF(OR(K213="lec",K213="plec",K213="slec"),1,IF(OR(K213="lab",K213="plab",K213="slab",K213="tut",K213="ptut",K213="stut"),0.5,IF(OR(K213="TL",K213="pTL",K213="STL"),0.75,0))),0),IF(M214="M",IF(OR(K214="lec",K214="plec",K214="slec"),1,IF(OR(K214="lab",K214="plab",K214="slab",K214="tut",K214="ptut",K214="stut"),0.5,IF(OR(K214="TL",K214="pTL",K214="STL"),0.75,0))),0),IF(M215="M",IF(OR(K215="lec",K215="plec",K215="slec"),1,IF(OR(K215="lab",K215="plab",K215="slab",K215="tut",K215="ptut",K215="stut"),0.5,IF(OR(K215="TL",K215="pTL",K215="STL"),0.75,0))),0),IF(M216="M",IF(OR(K216="lec",K216="plec",K216="slec"),1,IF(OR(K216="lab",K216="plab",K216="slab",K216="tut",K216="ptut",K216="stut"),0.5,IF(OR(K216="TL",K216="pTL",K216="STL"),0.75,0))),0))</f>
        <v>0</v>
      </c>
      <c r="U206" s="137"/>
      <c r="V206" s="133"/>
      <c r="W206" s="138"/>
      <c r="X206" s="139">
        <f>S206-(T206+U206+V206+W206)</f>
        <v>0</v>
      </c>
      <c r="Y206" s="134" t="str">
        <f>CONCATENATE(SUM(O206:O216),"(",SUM(O206:O216)-X206,")")</f>
        <v>0(0)</v>
      </c>
      <c r="Z206" s="140"/>
      <c r="AA206" s="141"/>
      <c r="AB206" s="142"/>
      <c r="AC206" s="142"/>
      <c r="AD206" s="142"/>
      <c r="AE206" s="142"/>
      <c r="AF206" s="142"/>
      <c r="AG206" s="142"/>
      <c r="AH206" s="142"/>
      <c r="AI206" s="143"/>
      <c r="AJ206" s="144"/>
      <c r="AK206" s="145"/>
      <c r="AL206" s="145"/>
      <c r="AM206" s="145"/>
      <c r="AN206" s="145"/>
      <c r="AO206" s="146"/>
      <c r="AP206" s="147">
        <f>SUM(SUM(O206:O216),SUM(AI206:AI216)/2,AM206)</f>
        <v>0</v>
      </c>
      <c r="AQ206" s="148"/>
      <c r="AR206" s="148">
        <f>AP206*AQ206</f>
        <v>0</v>
      </c>
      <c r="AS206" s="148">
        <f>CT206</f>
        <v>0</v>
      </c>
      <c r="AT206" s="149">
        <f>AR206*0.75+AS206*0.25</f>
        <v>0</v>
      </c>
      <c r="AU206" s="150"/>
      <c r="AV206" s="151"/>
      <c r="AW206" s="151"/>
      <c r="AX206" s="152"/>
      <c r="AY206" s="153"/>
      <c r="AZ206" s="140"/>
      <c r="BA206" s="150"/>
      <c r="BB206" s="151"/>
      <c r="BC206" s="151"/>
      <c r="BD206" s="151"/>
      <c r="BE206" s="151"/>
      <c r="BF206" s="151"/>
      <c r="BG206" s="151"/>
      <c r="BH206" s="151"/>
      <c r="BI206" s="152"/>
      <c r="BJ206" s="154"/>
      <c r="BK206" s="151"/>
      <c r="BL206" s="151"/>
      <c r="BM206" s="151"/>
      <c r="BN206" s="151"/>
      <c r="BO206" s="155"/>
      <c r="BP206" s="140"/>
      <c r="BQ206" s="156"/>
      <c r="BR206" s="157"/>
      <c r="BS206" s="158"/>
      <c r="BT206" s="153"/>
      <c r="BU206" s="140"/>
      <c r="BV206" s="140"/>
      <c r="BW206" s="140"/>
      <c r="BX206" s="140"/>
      <c r="BY206" s="140"/>
      <c r="BZ206" s="140"/>
      <c r="CA206" s="140"/>
      <c r="CB206" s="140"/>
      <c r="CC206" s="140"/>
      <c r="CD206" s="150"/>
      <c r="CE206" s="155"/>
      <c r="CF206" s="150"/>
      <c r="CG206" s="152"/>
      <c r="CH206" s="252"/>
      <c r="CI206" s="160"/>
      <c r="CJ206" s="159"/>
      <c r="CK206" s="160"/>
      <c r="CL206" s="159"/>
      <c r="CM206" s="160"/>
      <c r="CN206" s="159"/>
      <c r="CO206" s="160"/>
      <c r="CP206" s="159"/>
      <c r="CQ206" s="162"/>
      <c r="CR206" s="160"/>
      <c r="CS206" s="253">
        <f>SUM(IF(AU206&lt;0,ABS(AU206),0),IF(AZ206&lt;0,ABS(AZ206),0),ABS(CI206),ABS(CK206),ABS(CM206),ABS(CO206),ABS(CQ206),ABS(CR206))</f>
        <v>0</v>
      </c>
      <c r="CT206" s="254">
        <f>SUM(AU206,AV206,AW206,AX206/400,AY206,AZ206,BG206,BH206*0.5,BI206*0.25,BJ206,BK206,BL206,BM206,BN206,BO206,BP206,BR206/20,BS206/100,BT206/60,BU206,BV206,BW206,BX206/4,SUM(BY206:CC216)/3,CE206,CG206/3,CI206,CK206,CM206,CO206,CQ206,CR206)</f>
        <v>0</v>
      </c>
      <c r="CU206" s="255"/>
    </row>
    <row r="207" ht="60.0" hidden="1" customHeight="1">
      <c r="A207" s="65"/>
      <c r="C207" s="167"/>
      <c r="D207" s="205"/>
      <c r="E207" s="262"/>
      <c r="F207" s="170"/>
      <c r="G207" s="170"/>
      <c r="H207" s="170"/>
      <c r="I207" s="170"/>
      <c r="J207" s="170"/>
      <c r="K207" s="171"/>
      <c r="L207" s="171"/>
      <c r="M207" s="171"/>
      <c r="N207" s="209"/>
      <c r="O207" s="172">
        <f t="shared" si="38"/>
        <v>0</v>
      </c>
      <c r="P207" s="166"/>
      <c r="Q207" s="173"/>
      <c r="R207" s="65"/>
      <c r="S207" s="173"/>
      <c r="T207" s="173"/>
      <c r="U207" s="166"/>
      <c r="V207" s="166"/>
      <c r="W207" s="65"/>
      <c r="X207" s="66"/>
      <c r="Y207" s="173"/>
      <c r="Z207" s="166"/>
      <c r="AA207" s="174"/>
      <c r="AB207" s="175"/>
      <c r="AC207" s="175"/>
      <c r="AD207" s="175"/>
      <c r="AE207" s="175"/>
      <c r="AF207" s="175"/>
      <c r="AG207" s="175"/>
      <c r="AH207" s="175"/>
      <c r="AI207" s="176"/>
      <c r="AJ207" s="177"/>
      <c r="AK207" s="178"/>
      <c r="AL207" s="178"/>
      <c r="AM207" s="178"/>
      <c r="AN207" s="178"/>
      <c r="AO207" s="179"/>
      <c r="AP207" s="64"/>
      <c r="AQ207" s="65"/>
      <c r="AR207" s="65"/>
      <c r="AS207" s="65"/>
      <c r="AT207" s="173"/>
      <c r="AU207" s="177"/>
      <c r="AV207" s="178"/>
      <c r="AW207" s="178"/>
      <c r="AX207" s="179"/>
      <c r="AZ207" s="166"/>
      <c r="BA207" s="177"/>
      <c r="BB207" s="178"/>
      <c r="BC207" s="178"/>
      <c r="BD207" s="178"/>
      <c r="BE207" s="178"/>
      <c r="BF207" s="178"/>
      <c r="BG207" s="178"/>
      <c r="BH207" s="178"/>
      <c r="BI207" s="179"/>
      <c r="BJ207" s="180"/>
      <c r="BK207" s="178"/>
      <c r="BL207" s="178"/>
      <c r="BM207" s="178"/>
      <c r="BN207" s="178"/>
      <c r="BO207" s="181"/>
      <c r="BP207" s="166"/>
      <c r="BQ207" s="177"/>
      <c r="BR207" s="178"/>
      <c r="BS207" s="179"/>
      <c r="BU207" s="166"/>
      <c r="BV207" s="166"/>
      <c r="BW207" s="166"/>
      <c r="BX207" s="166"/>
      <c r="BY207" s="166"/>
      <c r="BZ207" s="166"/>
      <c r="CA207" s="166"/>
      <c r="CB207" s="166"/>
      <c r="CC207" s="166"/>
      <c r="CD207" s="177"/>
      <c r="CE207" s="181"/>
      <c r="CF207" s="177"/>
      <c r="CG207" s="179"/>
      <c r="CH207" s="257"/>
      <c r="CI207" s="182"/>
      <c r="CJ207" s="177"/>
      <c r="CK207" s="182"/>
      <c r="CL207" s="177"/>
      <c r="CM207" s="182"/>
      <c r="CN207" s="177"/>
      <c r="CO207" s="182"/>
      <c r="CP207" s="177"/>
      <c r="CQ207" s="178"/>
      <c r="CR207" s="182"/>
      <c r="CS207" s="173"/>
      <c r="CT207" s="65"/>
      <c r="CU207" s="271"/>
    </row>
    <row r="208" ht="60.0" hidden="1" customHeight="1">
      <c r="A208" s="65"/>
      <c r="C208" s="167"/>
      <c r="D208" s="205"/>
      <c r="E208" s="262"/>
      <c r="F208" s="170"/>
      <c r="G208" s="170"/>
      <c r="H208" s="170"/>
      <c r="I208" s="170"/>
      <c r="J208" s="170"/>
      <c r="K208" s="171"/>
      <c r="L208" s="171"/>
      <c r="M208" s="171"/>
      <c r="N208" s="209"/>
      <c r="O208" s="172">
        <f t="shared" si="38"/>
        <v>0</v>
      </c>
      <c r="P208" s="166"/>
      <c r="Q208" s="173"/>
      <c r="R208" s="65"/>
      <c r="S208" s="173"/>
      <c r="T208" s="173"/>
      <c r="U208" s="166"/>
      <c r="V208" s="166"/>
      <c r="W208" s="65"/>
      <c r="X208" s="66"/>
      <c r="Y208" s="173"/>
      <c r="Z208" s="166"/>
      <c r="AA208" s="174"/>
      <c r="AB208" s="175"/>
      <c r="AC208" s="175"/>
      <c r="AD208" s="175"/>
      <c r="AE208" s="175"/>
      <c r="AF208" s="175"/>
      <c r="AG208" s="175"/>
      <c r="AH208" s="175"/>
      <c r="AI208" s="176"/>
      <c r="AJ208" s="177"/>
      <c r="AK208" s="178"/>
      <c r="AL208" s="178"/>
      <c r="AM208" s="178"/>
      <c r="AN208" s="178"/>
      <c r="AO208" s="179"/>
      <c r="AP208" s="64"/>
      <c r="AQ208" s="65"/>
      <c r="AR208" s="65"/>
      <c r="AS208" s="65"/>
      <c r="AT208" s="173"/>
      <c r="AU208" s="177"/>
      <c r="AV208" s="178"/>
      <c r="AW208" s="178"/>
      <c r="AX208" s="179"/>
      <c r="AZ208" s="166"/>
      <c r="BA208" s="177"/>
      <c r="BB208" s="178"/>
      <c r="BC208" s="178"/>
      <c r="BD208" s="178"/>
      <c r="BE208" s="178"/>
      <c r="BF208" s="178"/>
      <c r="BG208" s="178"/>
      <c r="BH208" s="178"/>
      <c r="BI208" s="179"/>
      <c r="BJ208" s="180"/>
      <c r="BK208" s="178"/>
      <c r="BL208" s="178"/>
      <c r="BM208" s="178"/>
      <c r="BN208" s="178"/>
      <c r="BO208" s="181"/>
      <c r="BP208" s="166"/>
      <c r="BQ208" s="177"/>
      <c r="BR208" s="178"/>
      <c r="BS208" s="179"/>
      <c r="BU208" s="166"/>
      <c r="BV208" s="166"/>
      <c r="BW208" s="166"/>
      <c r="BX208" s="166"/>
      <c r="BY208" s="166"/>
      <c r="BZ208" s="166"/>
      <c r="CA208" s="166"/>
      <c r="CB208" s="166"/>
      <c r="CC208" s="166"/>
      <c r="CD208" s="177"/>
      <c r="CE208" s="181"/>
      <c r="CF208" s="177"/>
      <c r="CG208" s="179"/>
      <c r="CH208" s="257"/>
      <c r="CI208" s="182"/>
      <c r="CJ208" s="177"/>
      <c r="CK208" s="182"/>
      <c r="CL208" s="177"/>
      <c r="CM208" s="182"/>
      <c r="CN208" s="177"/>
      <c r="CO208" s="182"/>
      <c r="CP208" s="177"/>
      <c r="CQ208" s="178"/>
      <c r="CR208" s="182"/>
      <c r="CS208" s="173"/>
      <c r="CT208" s="65"/>
      <c r="CU208" s="271"/>
    </row>
    <row r="209" ht="60.0" hidden="1" customHeight="1">
      <c r="A209" s="65"/>
      <c r="C209" s="167"/>
      <c r="D209" s="205"/>
      <c r="E209" s="262"/>
      <c r="F209" s="170"/>
      <c r="G209" s="170"/>
      <c r="H209" s="170"/>
      <c r="I209" s="170"/>
      <c r="J209" s="170"/>
      <c r="K209" s="171"/>
      <c r="L209" s="171"/>
      <c r="M209" s="171"/>
      <c r="N209" s="209"/>
      <c r="O209" s="172">
        <f t="shared" si="38"/>
        <v>0</v>
      </c>
      <c r="P209" s="166"/>
      <c r="Q209" s="173"/>
      <c r="R209" s="65"/>
      <c r="S209" s="173"/>
      <c r="T209" s="173"/>
      <c r="U209" s="166"/>
      <c r="V209" s="166"/>
      <c r="W209" s="65"/>
      <c r="X209" s="66"/>
      <c r="Y209" s="173"/>
      <c r="Z209" s="166"/>
      <c r="AA209" s="174"/>
      <c r="AB209" s="175"/>
      <c r="AC209" s="175"/>
      <c r="AD209" s="175"/>
      <c r="AE209" s="175"/>
      <c r="AF209" s="175"/>
      <c r="AG209" s="175"/>
      <c r="AH209" s="175"/>
      <c r="AI209" s="176"/>
      <c r="AJ209" s="177"/>
      <c r="AK209" s="178"/>
      <c r="AL209" s="178"/>
      <c r="AM209" s="178"/>
      <c r="AN209" s="178"/>
      <c r="AO209" s="179"/>
      <c r="AP209" s="64"/>
      <c r="AQ209" s="65"/>
      <c r="AR209" s="65"/>
      <c r="AS209" s="65"/>
      <c r="AT209" s="173"/>
      <c r="AU209" s="177"/>
      <c r="AV209" s="178"/>
      <c r="AW209" s="178"/>
      <c r="AX209" s="179"/>
      <c r="AZ209" s="166"/>
      <c r="BA209" s="177"/>
      <c r="BB209" s="178"/>
      <c r="BC209" s="178"/>
      <c r="BD209" s="178"/>
      <c r="BE209" s="178"/>
      <c r="BF209" s="178"/>
      <c r="BG209" s="178"/>
      <c r="BH209" s="178"/>
      <c r="BI209" s="179"/>
      <c r="BJ209" s="180"/>
      <c r="BK209" s="178"/>
      <c r="BL209" s="178"/>
      <c r="BM209" s="178"/>
      <c r="BN209" s="178"/>
      <c r="BO209" s="181"/>
      <c r="BP209" s="166"/>
      <c r="BQ209" s="177"/>
      <c r="BR209" s="178"/>
      <c r="BS209" s="179"/>
      <c r="BU209" s="166"/>
      <c r="BV209" s="166"/>
      <c r="BW209" s="166"/>
      <c r="BX209" s="166"/>
      <c r="BY209" s="166"/>
      <c r="BZ209" s="166"/>
      <c r="CA209" s="166"/>
      <c r="CB209" s="166"/>
      <c r="CC209" s="166"/>
      <c r="CD209" s="177"/>
      <c r="CE209" s="181"/>
      <c r="CF209" s="177"/>
      <c r="CG209" s="179"/>
      <c r="CH209" s="257"/>
      <c r="CI209" s="182"/>
      <c r="CJ209" s="177"/>
      <c r="CK209" s="182"/>
      <c r="CL209" s="177"/>
      <c r="CM209" s="182"/>
      <c r="CN209" s="177"/>
      <c r="CO209" s="182"/>
      <c r="CP209" s="177"/>
      <c r="CQ209" s="178"/>
      <c r="CR209" s="182"/>
      <c r="CS209" s="173"/>
      <c r="CT209" s="65"/>
      <c r="CU209" s="271"/>
    </row>
    <row r="210" ht="60.0" hidden="1" customHeight="1">
      <c r="A210" s="65"/>
      <c r="C210" s="167"/>
      <c r="D210" s="205"/>
      <c r="E210" s="262"/>
      <c r="F210" s="170"/>
      <c r="G210" s="170"/>
      <c r="H210" s="170"/>
      <c r="I210" s="170"/>
      <c r="J210" s="170"/>
      <c r="K210" s="171"/>
      <c r="L210" s="171"/>
      <c r="M210" s="171"/>
      <c r="N210" s="209"/>
      <c r="O210" s="172">
        <f t="shared" si="38"/>
        <v>0</v>
      </c>
      <c r="P210" s="166"/>
      <c r="Q210" s="173"/>
      <c r="R210" s="65"/>
      <c r="S210" s="173"/>
      <c r="T210" s="173"/>
      <c r="U210" s="166"/>
      <c r="V210" s="166"/>
      <c r="W210" s="65"/>
      <c r="X210" s="66"/>
      <c r="Y210" s="173"/>
      <c r="Z210" s="166"/>
      <c r="AA210" s="174"/>
      <c r="AB210" s="175"/>
      <c r="AC210" s="175"/>
      <c r="AD210" s="175"/>
      <c r="AE210" s="175"/>
      <c r="AF210" s="175"/>
      <c r="AG210" s="175"/>
      <c r="AH210" s="175"/>
      <c r="AI210" s="176"/>
      <c r="AJ210" s="177"/>
      <c r="AK210" s="178"/>
      <c r="AL210" s="178"/>
      <c r="AM210" s="178"/>
      <c r="AN210" s="178"/>
      <c r="AO210" s="179"/>
      <c r="AP210" s="64"/>
      <c r="AQ210" s="65"/>
      <c r="AR210" s="65"/>
      <c r="AS210" s="65"/>
      <c r="AT210" s="173"/>
      <c r="AU210" s="177"/>
      <c r="AV210" s="178"/>
      <c r="AW210" s="178"/>
      <c r="AX210" s="179"/>
      <c r="AZ210" s="166"/>
      <c r="BA210" s="177"/>
      <c r="BB210" s="178"/>
      <c r="BC210" s="178"/>
      <c r="BD210" s="178"/>
      <c r="BE210" s="178"/>
      <c r="BF210" s="178"/>
      <c r="BG210" s="178"/>
      <c r="BH210" s="178"/>
      <c r="BI210" s="179"/>
      <c r="BJ210" s="180"/>
      <c r="BK210" s="178"/>
      <c r="BL210" s="178"/>
      <c r="BM210" s="178"/>
      <c r="BN210" s="178"/>
      <c r="BO210" s="181"/>
      <c r="BP210" s="166"/>
      <c r="BQ210" s="177"/>
      <c r="BR210" s="178"/>
      <c r="BS210" s="179"/>
      <c r="BU210" s="166"/>
      <c r="BV210" s="166"/>
      <c r="BW210" s="166"/>
      <c r="BX210" s="166"/>
      <c r="BY210" s="166"/>
      <c r="BZ210" s="166"/>
      <c r="CA210" s="166"/>
      <c r="CB210" s="166"/>
      <c r="CC210" s="166"/>
      <c r="CD210" s="177"/>
      <c r="CE210" s="181"/>
      <c r="CF210" s="177"/>
      <c r="CG210" s="179"/>
      <c r="CH210" s="257"/>
      <c r="CI210" s="182"/>
      <c r="CJ210" s="177"/>
      <c r="CK210" s="182"/>
      <c r="CL210" s="177"/>
      <c r="CM210" s="182"/>
      <c r="CN210" s="177"/>
      <c r="CO210" s="182"/>
      <c r="CP210" s="177"/>
      <c r="CQ210" s="178"/>
      <c r="CR210" s="182"/>
      <c r="CS210" s="173"/>
      <c r="CT210" s="65"/>
      <c r="CU210" s="271"/>
    </row>
    <row r="211" ht="60.0" hidden="1" customHeight="1">
      <c r="A211" s="65"/>
      <c r="C211" s="167"/>
      <c r="D211" s="205"/>
      <c r="E211" s="262"/>
      <c r="F211" s="170"/>
      <c r="G211" s="170"/>
      <c r="H211" s="170"/>
      <c r="I211" s="170"/>
      <c r="J211" s="170"/>
      <c r="K211" s="171"/>
      <c r="L211" s="171"/>
      <c r="M211" s="171"/>
      <c r="N211" s="209"/>
      <c r="O211" s="172">
        <f t="shared" si="38"/>
        <v>0</v>
      </c>
      <c r="P211" s="166"/>
      <c r="Q211" s="173"/>
      <c r="R211" s="65"/>
      <c r="S211" s="173"/>
      <c r="T211" s="173"/>
      <c r="U211" s="166"/>
      <c r="V211" s="166"/>
      <c r="W211" s="65"/>
      <c r="X211" s="66"/>
      <c r="Y211" s="173"/>
      <c r="Z211" s="166"/>
      <c r="AA211" s="174"/>
      <c r="AB211" s="175"/>
      <c r="AC211" s="175"/>
      <c r="AD211" s="175"/>
      <c r="AE211" s="175"/>
      <c r="AF211" s="175"/>
      <c r="AG211" s="175"/>
      <c r="AH211" s="175"/>
      <c r="AI211" s="176"/>
      <c r="AJ211" s="177"/>
      <c r="AK211" s="178"/>
      <c r="AL211" s="178"/>
      <c r="AM211" s="178"/>
      <c r="AN211" s="178"/>
      <c r="AO211" s="179"/>
      <c r="AP211" s="64"/>
      <c r="AQ211" s="65"/>
      <c r="AR211" s="65"/>
      <c r="AS211" s="65"/>
      <c r="AT211" s="173"/>
      <c r="AU211" s="177"/>
      <c r="AV211" s="178"/>
      <c r="AW211" s="178"/>
      <c r="AX211" s="179"/>
      <c r="AZ211" s="166"/>
      <c r="BA211" s="177"/>
      <c r="BB211" s="178"/>
      <c r="BC211" s="178"/>
      <c r="BD211" s="178"/>
      <c r="BE211" s="178"/>
      <c r="BF211" s="178"/>
      <c r="BG211" s="178"/>
      <c r="BH211" s="178"/>
      <c r="BI211" s="179"/>
      <c r="BJ211" s="180"/>
      <c r="BK211" s="178"/>
      <c r="BL211" s="178"/>
      <c r="BM211" s="178"/>
      <c r="BN211" s="178"/>
      <c r="BO211" s="181"/>
      <c r="BP211" s="166"/>
      <c r="BQ211" s="177"/>
      <c r="BR211" s="178"/>
      <c r="BS211" s="179"/>
      <c r="BU211" s="166"/>
      <c r="BV211" s="166"/>
      <c r="BW211" s="166"/>
      <c r="BX211" s="166"/>
      <c r="BY211" s="166"/>
      <c r="BZ211" s="166"/>
      <c r="CA211" s="166"/>
      <c r="CB211" s="166"/>
      <c r="CC211" s="166"/>
      <c r="CD211" s="177"/>
      <c r="CE211" s="181"/>
      <c r="CF211" s="177"/>
      <c r="CG211" s="179"/>
      <c r="CH211" s="257"/>
      <c r="CI211" s="182"/>
      <c r="CJ211" s="177"/>
      <c r="CK211" s="182"/>
      <c r="CL211" s="177"/>
      <c r="CM211" s="182"/>
      <c r="CN211" s="177"/>
      <c r="CO211" s="182"/>
      <c r="CP211" s="177"/>
      <c r="CQ211" s="178"/>
      <c r="CR211" s="182"/>
      <c r="CS211" s="173"/>
      <c r="CT211" s="65"/>
      <c r="CU211" s="271"/>
    </row>
    <row r="212" ht="60.0" hidden="1" customHeight="1">
      <c r="A212" s="65"/>
      <c r="C212" s="167"/>
      <c r="D212" s="205"/>
      <c r="E212" s="262"/>
      <c r="F212" s="170"/>
      <c r="G212" s="170"/>
      <c r="H212" s="170"/>
      <c r="I212" s="170"/>
      <c r="J212" s="170"/>
      <c r="K212" s="171"/>
      <c r="L212" s="171"/>
      <c r="M212" s="171"/>
      <c r="N212" s="209"/>
      <c r="O212" s="172">
        <f t="shared" ref="O212:O215" si="39">IF(AND(M212&gt;=20,M212&lt;&gt;"m",RIGHT(K212,3)="Lec"),1,IF(AND(M212&gt;=20,M212&lt;&gt;"m",OR(RIGHT(K212,3)="Lab",RIGHT(K212,3)="Tut")),0.5,IF(AND(M212&gt;=20,M212&lt;&gt;"m",RIGHT(K212,2)="TL"),0.75,0)))</f>
        <v>0</v>
      </c>
      <c r="P212" s="166"/>
      <c r="Q212" s="173"/>
      <c r="R212" s="65"/>
      <c r="S212" s="173"/>
      <c r="T212" s="173"/>
      <c r="U212" s="166"/>
      <c r="V212" s="166"/>
      <c r="W212" s="65"/>
      <c r="X212" s="66"/>
      <c r="Y212" s="173"/>
      <c r="Z212" s="166"/>
      <c r="AA212" s="174"/>
      <c r="AB212" s="175"/>
      <c r="AC212" s="175"/>
      <c r="AD212" s="175"/>
      <c r="AE212" s="175"/>
      <c r="AF212" s="175"/>
      <c r="AG212" s="175"/>
      <c r="AH212" s="175"/>
      <c r="AI212" s="176"/>
      <c r="AJ212" s="177"/>
      <c r="AK212" s="178"/>
      <c r="AL212" s="178"/>
      <c r="AM212" s="178"/>
      <c r="AN212" s="178"/>
      <c r="AO212" s="179"/>
      <c r="AP212" s="64"/>
      <c r="AQ212" s="65"/>
      <c r="AR212" s="65"/>
      <c r="AS212" s="65"/>
      <c r="AT212" s="173"/>
      <c r="AU212" s="177"/>
      <c r="AV212" s="178"/>
      <c r="AW212" s="178"/>
      <c r="AX212" s="179"/>
      <c r="AZ212" s="166"/>
      <c r="BA212" s="177"/>
      <c r="BB212" s="178"/>
      <c r="BC212" s="178"/>
      <c r="BD212" s="178"/>
      <c r="BE212" s="178"/>
      <c r="BF212" s="178"/>
      <c r="BG212" s="178"/>
      <c r="BH212" s="178"/>
      <c r="BI212" s="179"/>
      <c r="BJ212" s="180"/>
      <c r="BK212" s="178"/>
      <c r="BL212" s="178"/>
      <c r="BM212" s="178"/>
      <c r="BN212" s="178"/>
      <c r="BO212" s="181"/>
      <c r="BP212" s="166"/>
      <c r="BQ212" s="177"/>
      <c r="BR212" s="178"/>
      <c r="BS212" s="179"/>
      <c r="BU212" s="166"/>
      <c r="BV212" s="166"/>
      <c r="BW212" s="166"/>
      <c r="BX212" s="166"/>
      <c r="BY212" s="166"/>
      <c r="BZ212" s="166"/>
      <c r="CA212" s="166"/>
      <c r="CB212" s="166"/>
      <c r="CC212" s="166"/>
      <c r="CD212" s="177"/>
      <c r="CE212" s="181"/>
      <c r="CF212" s="177"/>
      <c r="CG212" s="179"/>
      <c r="CH212" s="257"/>
      <c r="CI212" s="182"/>
      <c r="CJ212" s="177"/>
      <c r="CK212" s="182"/>
      <c r="CL212" s="177"/>
      <c r="CM212" s="182"/>
      <c r="CN212" s="177"/>
      <c r="CO212" s="182"/>
      <c r="CP212" s="177"/>
      <c r="CQ212" s="178"/>
      <c r="CR212" s="182"/>
      <c r="CS212" s="173"/>
      <c r="CT212" s="65"/>
      <c r="CU212" s="271"/>
    </row>
    <row r="213" ht="60.0" hidden="1" customHeight="1">
      <c r="A213" s="65"/>
      <c r="C213" s="167"/>
      <c r="D213" s="205"/>
      <c r="E213" s="262"/>
      <c r="F213" s="170"/>
      <c r="G213" s="170"/>
      <c r="H213" s="170"/>
      <c r="I213" s="170"/>
      <c r="J213" s="170"/>
      <c r="K213" s="171"/>
      <c r="L213" s="171"/>
      <c r="M213" s="171"/>
      <c r="N213" s="209"/>
      <c r="O213" s="172">
        <f t="shared" si="39"/>
        <v>0</v>
      </c>
      <c r="P213" s="166"/>
      <c r="Q213" s="173"/>
      <c r="R213" s="65"/>
      <c r="S213" s="173"/>
      <c r="T213" s="173"/>
      <c r="U213" s="166"/>
      <c r="V213" s="166"/>
      <c r="W213" s="65"/>
      <c r="X213" s="66"/>
      <c r="Y213" s="173"/>
      <c r="Z213" s="166"/>
      <c r="AA213" s="174"/>
      <c r="AB213" s="175"/>
      <c r="AC213" s="175"/>
      <c r="AD213" s="175"/>
      <c r="AE213" s="175"/>
      <c r="AF213" s="175"/>
      <c r="AG213" s="175"/>
      <c r="AH213" s="175"/>
      <c r="AI213" s="176"/>
      <c r="AJ213" s="177"/>
      <c r="AK213" s="178"/>
      <c r="AL213" s="178"/>
      <c r="AM213" s="178"/>
      <c r="AN213" s="178"/>
      <c r="AO213" s="179"/>
      <c r="AP213" s="64"/>
      <c r="AQ213" s="65"/>
      <c r="AR213" s="65"/>
      <c r="AS213" s="65"/>
      <c r="AT213" s="173"/>
      <c r="AU213" s="177"/>
      <c r="AV213" s="178"/>
      <c r="AW213" s="178"/>
      <c r="AX213" s="179"/>
      <c r="AZ213" s="166"/>
      <c r="BA213" s="177"/>
      <c r="BB213" s="178"/>
      <c r="BC213" s="178"/>
      <c r="BD213" s="178"/>
      <c r="BE213" s="178"/>
      <c r="BF213" s="178"/>
      <c r="BG213" s="178"/>
      <c r="BH213" s="178"/>
      <c r="BI213" s="179"/>
      <c r="BJ213" s="180"/>
      <c r="BK213" s="178"/>
      <c r="BL213" s="178"/>
      <c r="BM213" s="178"/>
      <c r="BN213" s="178"/>
      <c r="BO213" s="181"/>
      <c r="BP213" s="166"/>
      <c r="BQ213" s="177"/>
      <c r="BR213" s="178"/>
      <c r="BS213" s="179"/>
      <c r="BU213" s="166"/>
      <c r="BV213" s="166"/>
      <c r="BW213" s="166"/>
      <c r="BX213" s="166"/>
      <c r="BY213" s="166"/>
      <c r="BZ213" s="166"/>
      <c r="CA213" s="166"/>
      <c r="CB213" s="166"/>
      <c r="CC213" s="166"/>
      <c r="CD213" s="177"/>
      <c r="CE213" s="181"/>
      <c r="CF213" s="177"/>
      <c r="CG213" s="179"/>
      <c r="CH213" s="257"/>
      <c r="CI213" s="182"/>
      <c r="CJ213" s="177"/>
      <c r="CK213" s="182"/>
      <c r="CL213" s="177"/>
      <c r="CM213" s="182"/>
      <c r="CN213" s="177"/>
      <c r="CO213" s="182"/>
      <c r="CP213" s="177"/>
      <c r="CQ213" s="178"/>
      <c r="CR213" s="182"/>
      <c r="CS213" s="173"/>
      <c r="CT213" s="65"/>
      <c r="CU213" s="271"/>
    </row>
    <row r="214" ht="60.0" hidden="1" customHeight="1">
      <c r="A214" s="65"/>
      <c r="C214" s="167"/>
      <c r="D214" s="205"/>
      <c r="E214" s="262"/>
      <c r="F214" s="170"/>
      <c r="G214" s="170"/>
      <c r="H214" s="170"/>
      <c r="I214" s="170"/>
      <c r="J214" s="170"/>
      <c r="K214" s="171"/>
      <c r="L214" s="171"/>
      <c r="M214" s="171"/>
      <c r="N214" s="209"/>
      <c r="O214" s="172">
        <f t="shared" si="39"/>
        <v>0</v>
      </c>
      <c r="P214" s="166"/>
      <c r="Q214" s="173"/>
      <c r="R214" s="65"/>
      <c r="S214" s="173"/>
      <c r="T214" s="173"/>
      <c r="U214" s="166"/>
      <c r="V214" s="166"/>
      <c r="W214" s="65"/>
      <c r="X214" s="66"/>
      <c r="Y214" s="173"/>
      <c r="Z214" s="166"/>
      <c r="AA214" s="174"/>
      <c r="AB214" s="175"/>
      <c r="AC214" s="175"/>
      <c r="AD214" s="175"/>
      <c r="AE214" s="175"/>
      <c r="AF214" s="175"/>
      <c r="AG214" s="175"/>
      <c r="AH214" s="175"/>
      <c r="AI214" s="176"/>
      <c r="AJ214" s="177"/>
      <c r="AK214" s="178"/>
      <c r="AL214" s="178"/>
      <c r="AM214" s="178"/>
      <c r="AN214" s="178"/>
      <c r="AO214" s="179"/>
      <c r="AP214" s="64"/>
      <c r="AQ214" s="65"/>
      <c r="AR214" s="65"/>
      <c r="AS214" s="65"/>
      <c r="AT214" s="173"/>
      <c r="AU214" s="177"/>
      <c r="AV214" s="178"/>
      <c r="AW214" s="178"/>
      <c r="AX214" s="179"/>
      <c r="AZ214" s="166"/>
      <c r="BA214" s="177"/>
      <c r="BB214" s="178"/>
      <c r="BC214" s="178"/>
      <c r="BD214" s="178"/>
      <c r="BE214" s="178"/>
      <c r="BF214" s="178"/>
      <c r="BG214" s="178"/>
      <c r="BH214" s="178"/>
      <c r="BI214" s="179"/>
      <c r="BJ214" s="180"/>
      <c r="BK214" s="178"/>
      <c r="BL214" s="178"/>
      <c r="BM214" s="178"/>
      <c r="BN214" s="178"/>
      <c r="BO214" s="181"/>
      <c r="BP214" s="166"/>
      <c r="BQ214" s="177"/>
      <c r="BR214" s="178"/>
      <c r="BS214" s="179"/>
      <c r="BU214" s="166"/>
      <c r="BV214" s="166"/>
      <c r="BW214" s="166"/>
      <c r="BX214" s="166"/>
      <c r="BY214" s="166"/>
      <c r="BZ214" s="166"/>
      <c r="CA214" s="166"/>
      <c r="CB214" s="166"/>
      <c r="CC214" s="166"/>
      <c r="CD214" s="177"/>
      <c r="CE214" s="181"/>
      <c r="CF214" s="177"/>
      <c r="CG214" s="179"/>
      <c r="CH214" s="257"/>
      <c r="CI214" s="182"/>
      <c r="CJ214" s="177"/>
      <c r="CK214" s="182"/>
      <c r="CL214" s="177"/>
      <c r="CM214" s="182"/>
      <c r="CN214" s="177"/>
      <c r="CO214" s="182"/>
      <c r="CP214" s="177"/>
      <c r="CQ214" s="178"/>
      <c r="CR214" s="182"/>
      <c r="CS214" s="173"/>
      <c r="CT214" s="65"/>
      <c r="CU214" s="271"/>
    </row>
    <row r="215" ht="60.0" hidden="1" customHeight="1">
      <c r="A215" s="65"/>
      <c r="C215" s="167"/>
      <c r="D215" s="205"/>
      <c r="E215" s="262"/>
      <c r="F215" s="170"/>
      <c r="G215" s="170"/>
      <c r="H215" s="170"/>
      <c r="I215" s="170"/>
      <c r="J215" s="170"/>
      <c r="K215" s="171"/>
      <c r="L215" s="171"/>
      <c r="M215" s="171"/>
      <c r="N215" s="209"/>
      <c r="O215" s="172">
        <f t="shared" si="39"/>
        <v>0</v>
      </c>
      <c r="P215" s="166"/>
      <c r="Q215" s="173"/>
      <c r="R215" s="65"/>
      <c r="S215" s="173"/>
      <c r="T215" s="173"/>
      <c r="U215" s="166"/>
      <c r="V215" s="166"/>
      <c r="W215" s="65"/>
      <c r="X215" s="66"/>
      <c r="Y215" s="173"/>
      <c r="Z215" s="166"/>
      <c r="AA215" s="174"/>
      <c r="AB215" s="175"/>
      <c r="AC215" s="175"/>
      <c r="AD215" s="175"/>
      <c r="AE215" s="175"/>
      <c r="AF215" s="175"/>
      <c r="AG215" s="175"/>
      <c r="AH215" s="175"/>
      <c r="AI215" s="176"/>
      <c r="AJ215" s="177"/>
      <c r="AK215" s="178"/>
      <c r="AL215" s="178"/>
      <c r="AM215" s="178"/>
      <c r="AN215" s="178"/>
      <c r="AO215" s="179"/>
      <c r="AP215" s="64"/>
      <c r="AQ215" s="65"/>
      <c r="AR215" s="65"/>
      <c r="AS215" s="65"/>
      <c r="AT215" s="173"/>
      <c r="AU215" s="177"/>
      <c r="AV215" s="178"/>
      <c r="AW215" s="178"/>
      <c r="AX215" s="179"/>
      <c r="AZ215" s="166"/>
      <c r="BA215" s="177"/>
      <c r="BB215" s="178"/>
      <c r="BC215" s="178"/>
      <c r="BD215" s="178"/>
      <c r="BE215" s="178"/>
      <c r="BF215" s="178"/>
      <c r="BG215" s="178"/>
      <c r="BH215" s="178"/>
      <c r="BI215" s="179"/>
      <c r="BJ215" s="180"/>
      <c r="BK215" s="178"/>
      <c r="BL215" s="178"/>
      <c r="BM215" s="178"/>
      <c r="BN215" s="178"/>
      <c r="BO215" s="181"/>
      <c r="BP215" s="166"/>
      <c r="BQ215" s="177"/>
      <c r="BR215" s="178"/>
      <c r="BS215" s="179"/>
      <c r="BU215" s="166"/>
      <c r="BV215" s="166"/>
      <c r="BW215" s="166"/>
      <c r="BX215" s="166"/>
      <c r="BY215" s="166"/>
      <c r="BZ215" s="166"/>
      <c r="CA215" s="166"/>
      <c r="CB215" s="166"/>
      <c r="CC215" s="166"/>
      <c r="CD215" s="177"/>
      <c r="CE215" s="181"/>
      <c r="CF215" s="177"/>
      <c r="CG215" s="179"/>
      <c r="CH215" s="257"/>
      <c r="CI215" s="182"/>
      <c r="CJ215" s="177"/>
      <c r="CK215" s="182"/>
      <c r="CL215" s="177"/>
      <c r="CM215" s="182"/>
      <c r="CN215" s="177"/>
      <c r="CO215" s="182"/>
      <c r="CP215" s="177"/>
      <c r="CQ215" s="178"/>
      <c r="CR215" s="182"/>
      <c r="CS215" s="173"/>
      <c r="CT215" s="65"/>
      <c r="CU215" s="271"/>
    </row>
    <row r="216" ht="60.0" hidden="1" customHeight="1">
      <c r="A216" s="89"/>
      <c r="B216" s="6"/>
      <c r="C216" s="183"/>
      <c r="D216" s="210"/>
      <c r="E216" s="263"/>
      <c r="F216" s="186"/>
      <c r="G216" s="186"/>
      <c r="H216" s="186"/>
      <c r="I216" s="186"/>
      <c r="J216" s="186"/>
      <c r="K216" s="187"/>
      <c r="L216" s="187"/>
      <c r="M216" s="187"/>
      <c r="N216" s="214"/>
      <c r="O216" s="188">
        <f t="shared" ref="O216:O222" si="40">IF(AND(M216&lt;&gt;0,M216&lt;&gt;"m",M216&lt;&gt;"",RIGHT(K216,3)="Lec"),1,IF(AND(M216&lt;&gt;0,M216&lt;&gt;"m",M216&lt;&gt;"",OR(RIGHT(K216,3)="Lab",RIGHT(K216,3)="Tut")),0.5,IF(AND(M216&lt;&gt;0,M216&lt;&gt;"m",M216&lt;&gt;"",RIGHT(K216,2)="TL"),0.75,0)))</f>
        <v>0</v>
      </c>
      <c r="P216" s="63"/>
      <c r="Q216" s="69"/>
      <c r="R216" s="89"/>
      <c r="S216" s="69"/>
      <c r="T216" s="69"/>
      <c r="U216" s="63"/>
      <c r="V216" s="63"/>
      <c r="W216" s="89"/>
      <c r="X216" s="68"/>
      <c r="Y216" s="69"/>
      <c r="Z216" s="63"/>
      <c r="AA216" s="189"/>
      <c r="AB216" s="190"/>
      <c r="AC216" s="190"/>
      <c r="AD216" s="190"/>
      <c r="AE216" s="190"/>
      <c r="AF216" s="190"/>
      <c r="AG216" s="190"/>
      <c r="AH216" s="190"/>
      <c r="AI216" s="191"/>
      <c r="AJ216" s="192"/>
      <c r="AK216" s="193"/>
      <c r="AL216" s="193"/>
      <c r="AM216" s="193"/>
      <c r="AN216" s="193"/>
      <c r="AO216" s="194"/>
      <c r="AP216" s="103"/>
      <c r="AQ216" s="89"/>
      <c r="AR216" s="89"/>
      <c r="AS216" s="89"/>
      <c r="AT216" s="69"/>
      <c r="AU216" s="192"/>
      <c r="AV216" s="193"/>
      <c r="AW216" s="193"/>
      <c r="AX216" s="194"/>
      <c r="AY216" s="6"/>
      <c r="AZ216" s="63"/>
      <c r="BA216" s="192"/>
      <c r="BB216" s="193"/>
      <c r="BC216" s="193"/>
      <c r="BD216" s="193"/>
      <c r="BE216" s="193"/>
      <c r="BF216" s="193"/>
      <c r="BG216" s="193"/>
      <c r="BH216" s="193"/>
      <c r="BI216" s="194"/>
      <c r="BJ216" s="195"/>
      <c r="BK216" s="193"/>
      <c r="BL216" s="193"/>
      <c r="BM216" s="193"/>
      <c r="BN216" s="193"/>
      <c r="BO216" s="196"/>
      <c r="BP216" s="63"/>
      <c r="BQ216" s="192"/>
      <c r="BR216" s="193"/>
      <c r="BS216" s="194"/>
      <c r="BT216" s="6"/>
      <c r="BU216" s="63"/>
      <c r="BV216" s="63"/>
      <c r="BW216" s="63"/>
      <c r="BX216" s="63"/>
      <c r="BY216" s="63"/>
      <c r="BZ216" s="63"/>
      <c r="CA216" s="63"/>
      <c r="CB216" s="63"/>
      <c r="CC216" s="63"/>
      <c r="CD216" s="192"/>
      <c r="CE216" s="196"/>
      <c r="CF216" s="192"/>
      <c r="CG216" s="194"/>
      <c r="CH216" s="259"/>
      <c r="CI216" s="197"/>
      <c r="CJ216" s="192"/>
      <c r="CK216" s="197"/>
      <c r="CL216" s="192"/>
      <c r="CM216" s="197"/>
      <c r="CN216" s="192"/>
      <c r="CO216" s="197"/>
      <c r="CP216" s="192"/>
      <c r="CQ216" s="193"/>
      <c r="CR216" s="197"/>
      <c r="CS216" s="69"/>
      <c r="CT216" s="89"/>
      <c r="CU216" s="272"/>
    </row>
    <row r="217" ht="55.5" hidden="1" customHeight="1">
      <c r="A217" s="125">
        <v>20.0</v>
      </c>
      <c r="B217" s="199"/>
      <c r="C217" s="127"/>
      <c r="D217" s="128"/>
      <c r="E217" s="260"/>
      <c r="F217" s="261"/>
      <c r="G217" s="261"/>
      <c r="H217" s="261"/>
      <c r="I217" s="261"/>
      <c r="J217" s="170"/>
      <c r="K217" s="219"/>
      <c r="L217" s="219"/>
      <c r="M217" s="219"/>
      <c r="N217" s="220"/>
      <c r="O217" s="132">
        <f t="shared" si="40"/>
        <v>0</v>
      </c>
      <c r="P217" s="133">
        <f>COUNTIF(K217:K227,"TL")*0.75+COUNTIF(K217:K227,"Lec")*1+COUNTIF(K217:K227,"Lab")*0.5</f>
        <v>0</v>
      </c>
      <c r="Q217" s="134">
        <f>SUM((IF(LEFT(K217,1)="E",O217,0)),(IF(LEFT(K218,1)="E",O218,0)),(IF(LEFT(K219,1)="E",O219,0)),(IF(LEFT(K220,1)="E",O220,0)),(IF(LEFT(K221,1)="E",O221,0)),(IF(LEFT(K222,1)="E",O222,0)),(IF(LEFT(K223,1)="E",O223,0)),(IF(LEFT(K224,1)="E",O224,0)),(IF(LEFT(K225,1)="E",O225,0)),(IF(LEFT(K226,1)="E",O226,0)),(IF(LEFT(K227,1)="E",O227,0)))</f>
        <v>0</v>
      </c>
      <c r="R217" s="135">
        <f>SUM(IF(M223&lt;20,IF(K223="Plec",-1,IF(K223="PTL",-0.75,IF(K223="Plab",-0.5,0))),0),IF(M224&lt;20,IF(K224="Plec",-1,IF(K224="PTL",-0.75,IF(K224="Plab",-0.5,0))),0),IF(M225&lt;20,IF(K225="Plec",-1,IF(K225="PTL",-0.75,IF(K225="Plab",-0.5,0))),0),IF(M226&lt;20,IF(K226="Plec",-1,IF(K226="PTL",-0.75,IF(K226="Plab",-0.5,0))),0))</f>
        <v>0</v>
      </c>
      <c r="S217" s="134">
        <f>SUM(P217:R227)</f>
        <v>0</v>
      </c>
      <c r="T217" s="136">
        <f>SUM(IF(M217="M",IF(OR(K217="lec",K217="plec",K217="slec"),1,IF(OR(K217="lab",K217="plab",K217="slab",K217="tut",K217="ptut",K217="stut"),0.5,IF(OR(K217="TL",K217="pTL",K217="STL"),0.75,0))),0),IF(M218="M",IF(OR(K218="lec",K218="plec",K218="slec"),1,IF(OR(K218="lab",K218="plab",K218="slab",K218="tut",K218="ptut",K218="stut"),0.5,IF(OR(K218="TL",K218="pTL",K218="STL"),0.75,0))),0),IF(M219="M",IF(OR(K219="lec",K219="plec",K219="slec"),1,IF(OR(K219="lab",K219="plab",K219="slab",K219="tut",K219="ptut",K219="stut"),0.5,IF(OR(K219="TL",K219="pTL",K219="STL"),0.75,0))),0),IF(M220="M",IF(OR(K220="lec",K220="plec",K220="slec"),1,IF(OR(K220="lab",K220="plab",K220="slab",K220="tut",K220="ptut",K220="stut"),0.5,IF(OR(K220="TL",K220="pTL",K220="STL"),0.75,0))),0),IF(M221="M",IF(OR(K221="lec",K221="plec",K221="slec"),1,IF(OR(K221="lab",K221="plab",K221="slab",K221="tut",K221="ptut",K221="stut"),0.5,IF(OR(K221="TL",K221="pTL",K221="STL"),0.75,0))),0),IF(M222="M",IF(OR(K222="lec",K222="plec",K222="slec"),1,IF(OR(K222="lab",K222="plab",K222="slab",K222="tut",K222="ptut",K222="stut"),0.5,IF(OR(K222="TL",K222="pTL",K222="STL"),0.75,0))),0),IF(M223="M",IF(OR(K223="lec",K223="plec",K223="slec"),1,IF(OR(K223="lab",K223="plab",K223="slab",K223="tut",K223="ptut",K223="stut"),0.5,IF(OR(K223="TL",K223="pTL",K223="STL"),0.75,0))),0),IF(M224="M",IF(OR(K224="lec",K224="plec",K224="slec"),1,IF(OR(K224="lab",K224="plab",K224="slab",K224="tut",K224="ptut",K224="stut"),0.5,IF(OR(K224="TL",K224="pTL",K224="STL"),0.75,0))),0),IF(M225="M",IF(OR(K225="lec",K225="plec",K225="slec"),1,IF(OR(K225="lab",K225="plab",K225="slab",K225="tut",K225="ptut",K225="stut"),0.5,IF(OR(K225="TL",K225="pTL",K225="STL"),0.75,0))),0),IF(M226="M",IF(OR(K226="lec",K226="plec",K226="slec"),1,IF(OR(K226="lab",K226="plab",K226="slab",K226="tut",K226="ptut",K226="stut"),0.5,IF(OR(K226="TL",K226="pTL",K226="STL"),0.75,0))),0),IF(M227="M",IF(OR(K227="lec",K227="plec",K227="slec"),1,IF(OR(K227="lab",K227="plab",K227="slab",K227="tut",K227="ptut",K227="stut"),0.5,IF(OR(K227="TL",K227="pTL",K227="STL"),0.75,0))),0))</f>
        <v>0</v>
      </c>
      <c r="U217" s="137"/>
      <c r="V217" s="133"/>
      <c r="W217" s="138"/>
      <c r="X217" s="139">
        <f>S217-(T217+U217+V217+W217)</f>
        <v>0</v>
      </c>
      <c r="Y217" s="134" t="str">
        <f>CONCATENATE(SUM(O217:O227),"(",SUM(O217:O227)-X217,")")</f>
        <v>0(0)</v>
      </c>
      <c r="Z217" s="140"/>
      <c r="AA217" s="141"/>
      <c r="AB217" s="142"/>
      <c r="AC217" s="142"/>
      <c r="AD217" s="142"/>
      <c r="AE217" s="142"/>
      <c r="AF217" s="142"/>
      <c r="AG217" s="142"/>
      <c r="AH217" s="142"/>
      <c r="AI217" s="143"/>
      <c r="AJ217" s="144"/>
      <c r="AK217" s="145"/>
      <c r="AL217" s="145"/>
      <c r="AM217" s="145"/>
      <c r="AN217" s="145"/>
      <c r="AO217" s="146"/>
      <c r="AP217" s="147">
        <f>SUM(SUM(O217:O227),SUM(AI217:AI227)/2,AM217)</f>
        <v>0</v>
      </c>
      <c r="AQ217" s="148"/>
      <c r="AR217" s="148">
        <f>AP217*AQ217</f>
        <v>0</v>
      </c>
      <c r="AS217" s="148">
        <f>CT217</f>
        <v>0</v>
      </c>
      <c r="AT217" s="149">
        <f>AR217*0.75+AS217*0.25</f>
        <v>0</v>
      </c>
      <c r="AU217" s="150"/>
      <c r="AV217" s="151"/>
      <c r="AW217" s="151"/>
      <c r="AX217" s="152"/>
      <c r="AY217" s="153"/>
      <c r="AZ217" s="140"/>
      <c r="BA217" s="150"/>
      <c r="BB217" s="151"/>
      <c r="BC217" s="151"/>
      <c r="BD217" s="151"/>
      <c r="BE217" s="151"/>
      <c r="BF217" s="151"/>
      <c r="BG217" s="151"/>
      <c r="BH217" s="151"/>
      <c r="BI217" s="152"/>
      <c r="BJ217" s="154"/>
      <c r="BK217" s="151"/>
      <c r="BL217" s="151"/>
      <c r="BM217" s="151"/>
      <c r="BN217" s="151"/>
      <c r="BO217" s="155"/>
      <c r="BP217" s="140"/>
      <c r="BQ217" s="156"/>
      <c r="BR217" s="157"/>
      <c r="BS217" s="158"/>
      <c r="BT217" s="153"/>
      <c r="BU217" s="140"/>
      <c r="BV217" s="140"/>
      <c r="BW217" s="140"/>
      <c r="BX217" s="140"/>
      <c r="BY217" s="140"/>
      <c r="BZ217" s="140"/>
      <c r="CA217" s="140"/>
      <c r="CB217" s="140"/>
      <c r="CC217" s="140"/>
      <c r="CD217" s="150"/>
      <c r="CE217" s="155"/>
      <c r="CF217" s="150"/>
      <c r="CG217" s="152"/>
      <c r="CH217" s="252"/>
      <c r="CI217" s="160"/>
      <c r="CJ217" s="159"/>
      <c r="CK217" s="160"/>
      <c r="CL217" s="159"/>
      <c r="CM217" s="160"/>
      <c r="CN217" s="159"/>
      <c r="CO217" s="160"/>
      <c r="CP217" s="159"/>
      <c r="CQ217" s="162"/>
      <c r="CR217" s="160"/>
      <c r="CS217" s="253">
        <f>SUM(IF(AU217&lt;0,ABS(AU217),0),IF(AZ217&lt;0,ABS(AZ217),0),ABS(CI217),ABS(CK217),ABS(CM217),ABS(CO217),ABS(CQ217),ABS(CR217))</f>
        <v>0</v>
      </c>
      <c r="CT217" s="254">
        <f>SUM(AU217,AV217,AW217,AX217/400,AY217,AZ217,BG217,BH217*0.5,BI217*0.25,BJ217,BK217,BL217,BM217,BN217,BO217,BP217,BR217/20,BS217/100,BT217/60,BU217,BV217,BW217,BX217/4,SUM(BY217:CC227)/3,CE217,CG217/3,CI217,CK217,CM217,CO217,CQ217,CR217)</f>
        <v>0</v>
      </c>
      <c r="CU217" s="255"/>
    </row>
    <row r="218" ht="60.0" hidden="1" customHeight="1">
      <c r="A218" s="65"/>
      <c r="C218" s="167"/>
      <c r="D218" s="205"/>
      <c r="E218" s="262"/>
      <c r="F218" s="170"/>
      <c r="G218" s="170"/>
      <c r="H218" s="170"/>
      <c r="I218" s="170"/>
      <c r="J218" s="170"/>
      <c r="K218" s="171"/>
      <c r="L218" s="171"/>
      <c r="M218" s="171"/>
      <c r="N218" s="209"/>
      <c r="O218" s="172">
        <f t="shared" si="40"/>
        <v>0</v>
      </c>
      <c r="P218" s="166"/>
      <c r="Q218" s="173"/>
      <c r="R218" s="65"/>
      <c r="S218" s="173"/>
      <c r="T218" s="173"/>
      <c r="U218" s="166"/>
      <c r="V218" s="166"/>
      <c r="W218" s="65"/>
      <c r="X218" s="66"/>
      <c r="Y218" s="173"/>
      <c r="Z218" s="166"/>
      <c r="AA218" s="174"/>
      <c r="AB218" s="175"/>
      <c r="AC218" s="175"/>
      <c r="AD218" s="175"/>
      <c r="AE218" s="175"/>
      <c r="AF218" s="175"/>
      <c r="AG218" s="175"/>
      <c r="AH218" s="175"/>
      <c r="AI218" s="176"/>
      <c r="AJ218" s="177"/>
      <c r="AK218" s="178"/>
      <c r="AL218" s="178"/>
      <c r="AM218" s="178"/>
      <c r="AN218" s="178"/>
      <c r="AO218" s="179"/>
      <c r="AP218" s="64"/>
      <c r="AQ218" s="65"/>
      <c r="AR218" s="65"/>
      <c r="AS218" s="65"/>
      <c r="AT218" s="173"/>
      <c r="AU218" s="177"/>
      <c r="AV218" s="178"/>
      <c r="AW218" s="178"/>
      <c r="AX218" s="179"/>
      <c r="AZ218" s="166"/>
      <c r="BA218" s="177"/>
      <c r="BB218" s="178"/>
      <c r="BC218" s="178"/>
      <c r="BD218" s="178"/>
      <c r="BE218" s="178"/>
      <c r="BF218" s="178"/>
      <c r="BG218" s="178"/>
      <c r="BH218" s="178"/>
      <c r="BI218" s="179"/>
      <c r="BJ218" s="180"/>
      <c r="BK218" s="178"/>
      <c r="BL218" s="178"/>
      <c r="BM218" s="178"/>
      <c r="BN218" s="178"/>
      <c r="BO218" s="181"/>
      <c r="BP218" s="166"/>
      <c r="BQ218" s="177"/>
      <c r="BR218" s="178"/>
      <c r="BS218" s="179"/>
      <c r="BU218" s="166"/>
      <c r="BV218" s="166"/>
      <c r="BW218" s="166"/>
      <c r="BX218" s="166"/>
      <c r="BY218" s="166"/>
      <c r="BZ218" s="166"/>
      <c r="CA218" s="166"/>
      <c r="CB218" s="166"/>
      <c r="CC218" s="166"/>
      <c r="CD218" s="177"/>
      <c r="CE218" s="181"/>
      <c r="CF218" s="177"/>
      <c r="CG218" s="179"/>
      <c r="CH218" s="257"/>
      <c r="CI218" s="182"/>
      <c r="CJ218" s="177"/>
      <c r="CK218" s="182"/>
      <c r="CL218" s="177"/>
      <c r="CM218" s="182"/>
      <c r="CN218" s="177"/>
      <c r="CO218" s="182"/>
      <c r="CP218" s="177"/>
      <c r="CQ218" s="178"/>
      <c r="CR218" s="182"/>
      <c r="CS218" s="173"/>
      <c r="CT218" s="65"/>
      <c r="CU218" s="271"/>
    </row>
    <row r="219" ht="60.0" hidden="1" customHeight="1">
      <c r="A219" s="65"/>
      <c r="C219" s="167"/>
      <c r="D219" s="205"/>
      <c r="E219" s="262"/>
      <c r="F219" s="170"/>
      <c r="G219" s="170"/>
      <c r="H219" s="170"/>
      <c r="I219" s="170"/>
      <c r="J219" s="170"/>
      <c r="K219" s="171"/>
      <c r="L219" s="171"/>
      <c r="M219" s="171"/>
      <c r="N219" s="209"/>
      <c r="O219" s="172">
        <f t="shared" si="40"/>
        <v>0</v>
      </c>
      <c r="P219" s="166"/>
      <c r="Q219" s="173"/>
      <c r="R219" s="65"/>
      <c r="S219" s="173"/>
      <c r="T219" s="173"/>
      <c r="U219" s="166"/>
      <c r="V219" s="166"/>
      <c r="W219" s="65"/>
      <c r="X219" s="66"/>
      <c r="Y219" s="173"/>
      <c r="Z219" s="166"/>
      <c r="AA219" s="174"/>
      <c r="AB219" s="175"/>
      <c r="AC219" s="175"/>
      <c r="AD219" s="175"/>
      <c r="AE219" s="175"/>
      <c r="AF219" s="175"/>
      <c r="AG219" s="175"/>
      <c r="AH219" s="175"/>
      <c r="AI219" s="176"/>
      <c r="AJ219" s="177"/>
      <c r="AK219" s="178"/>
      <c r="AL219" s="178"/>
      <c r="AM219" s="178"/>
      <c r="AN219" s="178"/>
      <c r="AO219" s="179"/>
      <c r="AP219" s="64"/>
      <c r="AQ219" s="65"/>
      <c r="AR219" s="65"/>
      <c r="AS219" s="65"/>
      <c r="AT219" s="173"/>
      <c r="AU219" s="177"/>
      <c r="AV219" s="178"/>
      <c r="AW219" s="178"/>
      <c r="AX219" s="179"/>
      <c r="AZ219" s="166"/>
      <c r="BA219" s="177"/>
      <c r="BB219" s="178"/>
      <c r="BC219" s="178"/>
      <c r="BD219" s="178"/>
      <c r="BE219" s="178"/>
      <c r="BF219" s="178"/>
      <c r="BG219" s="178"/>
      <c r="BH219" s="178"/>
      <c r="BI219" s="179"/>
      <c r="BJ219" s="180"/>
      <c r="BK219" s="178"/>
      <c r="BL219" s="178"/>
      <c r="BM219" s="178"/>
      <c r="BN219" s="178"/>
      <c r="BO219" s="181"/>
      <c r="BP219" s="166"/>
      <c r="BQ219" s="177"/>
      <c r="BR219" s="178"/>
      <c r="BS219" s="179"/>
      <c r="BU219" s="166"/>
      <c r="BV219" s="166"/>
      <c r="BW219" s="166"/>
      <c r="BX219" s="166"/>
      <c r="BY219" s="166"/>
      <c r="BZ219" s="166"/>
      <c r="CA219" s="166"/>
      <c r="CB219" s="166"/>
      <c r="CC219" s="166"/>
      <c r="CD219" s="177"/>
      <c r="CE219" s="181"/>
      <c r="CF219" s="177"/>
      <c r="CG219" s="179"/>
      <c r="CH219" s="257"/>
      <c r="CI219" s="182"/>
      <c r="CJ219" s="177"/>
      <c r="CK219" s="182"/>
      <c r="CL219" s="177"/>
      <c r="CM219" s="182"/>
      <c r="CN219" s="177"/>
      <c r="CO219" s="182"/>
      <c r="CP219" s="177"/>
      <c r="CQ219" s="178"/>
      <c r="CR219" s="182"/>
      <c r="CS219" s="173"/>
      <c r="CT219" s="65"/>
      <c r="CU219" s="271"/>
    </row>
    <row r="220" ht="60.0" hidden="1" customHeight="1">
      <c r="A220" s="65"/>
      <c r="C220" s="167"/>
      <c r="D220" s="205"/>
      <c r="E220" s="262"/>
      <c r="F220" s="170"/>
      <c r="G220" s="170"/>
      <c r="H220" s="170"/>
      <c r="I220" s="170"/>
      <c r="J220" s="170"/>
      <c r="K220" s="171"/>
      <c r="L220" s="171"/>
      <c r="M220" s="171"/>
      <c r="N220" s="209"/>
      <c r="O220" s="172">
        <f t="shared" si="40"/>
        <v>0</v>
      </c>
      <c r="P220" s="166"/>
      <c r="Q220" s="173"/>
      <c r="R220" s="65"/>
      <c r="S220" s="173"/>
      <c r="T220" s="173"/>
      <c r="U220" s="166"/>
      <c r="V220" s="166"/>
      <c r="W220" s="65"/>
      <c r="X220" s="66"/>
      <c r="Y220" s="173"/>
      <c r="Z220" s="166"/>
      <c r="AA220" s="174"/>
      <c r="AB220" s="175"/>
      <c r="AC220" s="175"/>
      <c r="AD220" s="175"/>
      <c r="AE220" s="175"/>
      <c r="AF220" s="175"/>
      <c r="AG220" s="175"/>
      <c r="AH220" s="175"/>
      <c r="AI220" s="176"/>
      <c r="AJ220" s="177"/>
      <c r="AK220" s="178"/>
      <c r="AL220" s="178"/>
      <c r="AM220" s="178"/>
      <c r="AN220" s="178"/>
      <c r="AO220" s="179"/>
      <c r="AP220" s="64"/>
      <c r="AQ220" s="65"/>
      <c r="AR220" s="65"/>
      <c r="AS220" s="65"/>
      <c r="AT220" s="173"/>
      <c r="AU220" s="177"/>
      <c r="AV220" s="178"/>
      <c r="AW220" s="178"/>
      <c r="AX220" s="179"/>
      <c r="AZ220" s="166"/>
      <c r="BA220" s="177"/>
      <c r="BB220" s="178"/>
      <c r="BC220" s="178"/>
      <c r="BD220" s="178"/>
      <c r="BE220" s="178"/>
      <c r="BF220" s="178"/>
      <c r="BG220" s="178"/>
      <c r="BH220" s="178"/>
      <c r="BI220" s="179"/>
      <c r="BJ220" s="180"/>
      <c r="BK220" s="178"/>
      <c r="BL220" s="178"/>
      <c r="BM220" s="178"/>
      <c r="BN220" s="178"/>
      <c r="BO220" s="181"/>
      <c r="BP220" s="166"/>
      <c r="BQ220" s="177"/>
      <c r="BR220" s="178"/>
      <c r="BS220" s="179"/>
      <c r="BU220" s="166"/>
      <c r="BV220" s="166"/>
      <c r="BW220" s="166"/>
      <c r="BX220" s="166"/>
      <c r="BY220" s="166"/>
      <c r="BZ220" s="166"/>
      <c r="CA220" s="166"/>
      <c r="CB220" s="166"/>
      <c r="CC220" s="166"/>
      <c r="CD220" s="177"/>
      <c r="CE220" s="181"/>
      <c r="CF220" s="177"/>
      <c r="CG220" s="179"/>
      <c r="CH220" s="257"/>
      <c r="CI220" s="182"/>
      <c r="CJ220" s="177"/>
      <c r="CK220" s="182"/>
      <c r="CL220" s="177"/>
      <c r="CM220" s="182"/>
      <c r="CN220" s="177"/>
      <c r="CO220" s="182"/>
      <c r="CP220" s="177"/>
      <c r="CQ220" s="178"/>
      <c r="CR220" s="182"/>
      <c r="CS220" s="173"/>
      <c r="CT220" s="65"/>
      <c r="CU220" s="271"/>
    </row>
    <row r="221" ht="60.0" hidden="1" customHeight="1">
      <c r="A221" s="65"/>
      <c r="C221" s="167"/>
      <c r="D221" s="205"/>
      <c r="E221" s="262"/>
      <c r="F221" s="170"/>
      <c r="G221" s="170"/>
      <c r="H221" s="170"/>
      <c r="I221" s="170"/>
      <c r="J221" s="170"/>
      <c r="K221" s="171"/>
      <c r="L221" s="171"/>
      <c r="M221" s="171"/>
      <c r="N221" s="209"/>
      <c r="O221" s="172">
        <f t="shared" si="40"/>
        <v>0</v>
      </c>
      <c r="P221" s="166"/>
      <c r="Q221" s="173"/>
      <c r="R221" s="65"/>
      <c r="S221" s="173"/>
      <c r="T221" s="173"/>
      <c r="U221" s="166"/>
      <c r="V221" s="166"/>
      <c r="W221" s="65"/>
      <c r="X221" s="66"/>
      <c r="Y221" s="173"/>
      <c r="Z221" s="166"/>
      <c r="AA221" s="174"/>
      <c r="AB221" s="175"/>
      <c r="AC221" s="175"/>
      <c r="AD221" s="175"/>
      <c r="AE221" s="175"/>
      <c r="AF221" s="175"/>
      <c r="AG221" s="175"/>
      <c r="AH221" s="175"/>
      <c r="AI221" s="176"/>
      <c r="AJ221" s="177"/>
      <c r="AK221" s="178"/>
      <c r="AL221" s="178"/>
      <c r="AM221" s="178"/>
      <c r="AN221" s="178"/>
      <c r="AO221" s="179"/>
      <c r="AP221" s="64"/>
      <c r="AQ221" s="65"/>
      <c r="AR221" s="65"/>
      <c r="AS221" s="65"/>
      <c r="AT221" s="173"/>
      <c r="AU221" s="177"/>
      <c r="AV221" s="178"/>
      <c r="AW221" s="178"/>
      <c r="AX221" s="179"/>
      <c r="AZ221" s="166"/>
      <c r="BA221" s="177"/>
      <c r="BB221" s="178"/>
      <c r="BC221" s="178"/>
      <c r="BD221" s="178"/>
      <c r="BE221" s="178"/>
      <c r="BF221" s="178"/>
      <c r="BG221" s="178"/>
      <c r="BH221" s="178"/>
      <c r="BI221" s="179"/>
      <c r="BJ221" s="180"/>
      <c r="BK221" s="178"/>
      <c r="BL221" s="178"/>
      <c r="BM221" s="178"/>
      <c r="BN221" s="178"/>
      <c r="BO221" s="181"/>
      <c r="BP221" s="166"/>
      <c r="BQ221" s="177"/>
      <c r="BR221" s="178"/>
      <c r="BS221" s="179"/>
      <c r="BU221" s="166"/>
      <c r="BV221" s="166"/>
      <c r="BW221" s="166"/>
      <c r="BX221" s="166"/>
      <c r="BY221" s="166"/>
      <c r="BZ221" s="166"/>
      <c r="CA221" s="166"/>
      <c r="CB221" s="166"/>
      <c r="CC221" s="166"/>
      <c r="CD221" s="177"/>
      <c r="CE221" s="181"/>
      <c r="CF221" s="177"/>
      <c r="CG221" s="179"/>
      <c r="CH221" s="257"/>
      <c r="CI221" s="182"/>
      <c r="CJ221" s="177"/>
      <c r="CK221" s="182"/>
      <c r="CL221" s="177"/>
      <c r="CM221" s="182"/>
      <c r="CN221" s="177"/>
      <c r="CO221" s="182"/>
      <c r="CP221" s="177"/>
      <c r="CQ221" s="178"/>
      <c r="CR221" s="182"/>
      <c r="CS221" s="173"/>
      <c r="CT221" s="65"/>
      <c r="CU221" s="271"/>
    </row>
    <row r="222" ht="60.0" hidden="1" customHeight="1">
      <c r="A222" s="65"/>
      <c r="C222" s="167"/>
      <c r="D222" s="205"/>
      <c r="E222" s="262"/>
      <c r="F222" s="170"/>
      <c r="G222" s="170"/>
      <c r="H222" s="170"/>
      <c r="I222" s="170"/>
      <c r="J222" s="170"/>
      <c r="K222" s="171"/>
      <c r="L222" s="171"/>
      <c r="M222" s="171"/>
      <c r="N222" s="209"/>
      <c r="O222" s="172">
        <f t="shared" si="40"/>
        <v>0</v>
      </c>
      <c r="P222" s="166"/>
      <c r="Q222" s="173"/>
      <c r="R222" s="65"/>
      <c r="S222" s="173"/>
      <c r="T222" s="173"/>
      <c r="U222" s="166"/>
      <c r="V222" s="166"/>
      <c r="W222" s="65"/>
      <c r="X222" s="66"/>
      <c r="Y222" s="173"/>
      <c r="Z222" s="166"/>
      <c r="AA222" s="174"/>
      <c r="AB222" s="175"/>
      <c r="AC222" s="175"/>
      <c r="AD222" s="175"/>
      <c r="AE222" s="175"/>
      <c r="AF222" s="175"/>
      <c r="AG222" s="175"/>
      <c r="AH222" s="175"/>
      <c r="AI222" s="176"/>
      <c r="AJ222" s="177"/>
      <c r="AK222" s="178"/>
      <c r="AL222" s="178"/>
      <c r="AM222" s="178"/>
      <c r="AN222" s="178"/>
      <c r="AO222" s="179"/>
      <c r="AP222" s="64"/>
      <c r="AQ222" s="65"/>
      <c r="AR222" s="65"/>
      <c r="AS222" s="65"/>
      <c r="AT222" s="173"/>
      <c r="AU222" s="177"/>
      <c r="AV222" s="178"/>
      <c r="AW222" s="178"/>
      <c r="AX222" s="179"/>
      <c r="AZ222" s="166"/>
      <c r="BA222" s="177"/>
      <c r="BB222" s="178"/>
      <c r="BC222" s="178"/>
      <c r="BD222" s="178"/>
      <c r="BE222" s="178"/>
      <c r="BF222" s="178"/>
      <c r="BG222" s="178"/>
      <c r="BH222" s="178"/>
      <c r="BI222" s="179"/>
      <c r="BJ222" s="180"/>
      <c r="BK222" s="178"/>
      <c r="BL222" s="178"/>
      <c r="BM222" s="178"/>
      <c r="BN222" s="178"/>
      <c r="BO222" s="181"/>
      <c r="BP222" s="166"/>
      <c r="BQ222" s="177"/>
      <c r="BR222" s="178"/>
      <c r="BS222" s="179"/>
      <c r="BU222" s="166"/>
      <c r="BV222" s="166"/>
      <c r="BW222" s="166"/>
      <c r="BX222" s="166"/>
      <c r="BY222" s="166"/>
      <c r="BZ222" s="166"/>
      <c r="CA222" s="166"/>
      <c r="CB222" s="166"/>
      <c r="CC222" s="166"/>
      <c r="CD222" s="177"/>
      <c r="CE222" s="181"/>
      <c r="CF222" s="177"/>
      <c r="CG222" s="179"/>
      <c r="CH222" s="257"/>
      <c r="CI222" s="182"/>
      <c r="CJ222" s="177"/>
      <c r="CK222" s="182"/>
      <c r="CL222" s="177"/>
      <c r="CM222" s="182"/>
      <c r="CN222" s="177"/>
      <c r="CO222" s="182"/>
      <c r="CP222" s="177"/>
      <c r="CQ222" s="178"/>
      <c r="CR222" s="182"/>
      <c r="CS222" s="173"/>
      <c r="CT222" s="65"/>
      <c r="CU222" s="271"/>
    </row>
    <row r="223" ht="60.0" hidden="1" customHeight="1">
      <c r="A223" s="65"/>
      <c r="C223" s="167"/>
      <c r="D223" s="205"/>
      <c r="E223" s="262"/>
      <c r="F223" s="170"/>
      <c r="G223" s="170"/>
      <c r="H223" s="170"/>
      <c r="I223" s="170"/>
      <c r="J223" s="170"/>
      <c r="K223" s="171"/>
      <c r="L223" s="171"/>
      <c r="M223" s="171"/>
      <c r="N223" s="209"/>
      <c r="O223" s="172">
        <f t="shared" ref="O223:O226" si="41">IF(AND(M223&gt;=20,M223&lt;&gt;"m",RIGHT(K223,3)="Lec"),1,IF(AND(M223&gt;=20,M223&lt;&gt;"m",OR(RIGHT(K223,3)="Lab",RIGHT(K223,3)="Tut")),0.5,IF(AND(M223&gt;=20,M223&lt;&gt;"m",RIGHT(K223,2)="TL"),0.75,0)))</f>
        <v>0</v>
      </c>
      <c r="P223" s="166"/>
      <c r="Q223" s="173"/>
      <c r="R223" s="65"/>
      <c r="S223" s="173"/>
      <c r="T223" s="173"/>
      <c r="U223" s="166"/>
      <c r="V223" s="166"/>
      <c r="W223" s="65"/>
      <c r="X223" s="66"/>
      <c r="Y223" s="173"/>
      <c r="Z223" s="166"/>
      <c r="AA223" s="174"/>
      <c r="AB223" s="175"/>
      <c r="AC223" s="175"/>
      <c r="AD223" s="175"/>
      <c r="AE223" s="175"/>
      <c r="AF223" s="175"/>
      <c r="AG223" s="175"/>
      <c r="AH223" s="175"/>
      <c r="AI223" s="176"/>
      <c r="AJ223" s="177"/>
      <c r="AK223" s="178"/>
      <c r="AL223" s="178"/>
      <c r="AM223" s="178"/>
      <c r="AN223" s="178"/>
      <c r="AO223" s="179"/>
      <c r="AP223" s="64"/>
      <c r="AQ223" s="65"/>
      <c r="AR223" s="65"/>
      <c r="AS223" s="65"/>
      <c r="AT223" s="173"/>
      <c r="AU223" s="177"/>
      <c r="AV223" s="178"/>
      <c r="AW223" s="178"/>
      <c r="AX223" s="179"/>
      <c r="AZ223" s="166"/>
      <c r="BA223" s="177"/>
      <c r="BB223" s="178"/>
      <c r="BC223" s="178"/>
      <c r="BD223" s="178"/>
      <c r="BE223" s="178"/>
      <c r="BF223" s="178"/>
      <c r="BG223" s="178"/>
      <c r="BH223" s="178"/>
      <c r="BI223" s="179"/>
      <c r="BJ223" s="180"/>
      <c r="BK223" s="178"/>
      <c r="BL223" s="178"/>
      <c r="BM223" s="178"/>
      <c r="BN223" s="178"/>
      <c r="BO223" s="181"/>
      <c r="BP223" s="166"/>
      <c r="BQ223" s="177"/>
      <c r="BR223" s="178"/>
      <c r="BS223" s="179"/>
      <c r="BU223" s="166"/>
      <c r="BV223" s="166"/>
      <c r="BW223" s="166"/>
      <c r="BX223" s="166"/>
      <c r="BY223" s="166"/>
      <c r="BZ223" s="166"/>
      <c r="CA223" s="166"/>
      <c r="CB223" s="166"/>
      <c r="CC223" s="166"/>
      <c r="CD223" s="177"/>
      <c r="CE223" s="181"/>
      <c r="CF223" s="177"/>
      <c r="CG223" s="179"/>
      <c r="CH223" s="257"/>
      <c r="CI223" s="182"/>
      <c r="CJ223" s="177"/>
      <c r="CK223" s="182"/>
      <c r="CL223" s="177"/>
      <c r="CM223" s="182"/>
      <c r="CN223" s="177"/>
      <c r="CO223" s="182"/>
      <c r="CP223" s="177"/>
      <c r="CQ223" s="178"/>
      <c r="CR223" s="182"/>
      <c r="CS223" s="173"/>
      <c r="CT223" s="65"/>
      <c r="CU223" s="271"/>
    </row>
    <row r="224" ht="60.0" hidden="1" customHeight="1">
      <c r="A224" s="65"/>
      <c r="C224" s="167"/>
      <c r="D224" s="205"/>
      <c r="E224" s="262"/>
      <c r="F224" s="170"/>
      <c r="G224" s="170"/>
      <c r="H224" s="170"/>
      <c r="I224" s="170"/>
      <c r="J224" s="170"/>
      <c r="K224" s="171"/>
      <c r="L224" s="171"/>
      <c r="M224" s="171"/>
      <c r="N224" s="209"/>
      <c r="O224" s="172">
        <f t="shared" si="41"/>
        <v>0</v>
      </c>
      <c r="P224" s="166"/>
      <c r="Q224" s="173"/>
      <c r="R224" s="65"/>
      <c r="S224" s="173"/>
      <c r="T224" s="173"/>
      <c r="U224" s="166"/>
      <c r="V224" s="166"/>
      <c r="W224" s="65"/>
      <c r="X224" s="66"/>
      <c r="Y224" s="173"/>
      <c r="Z224" s="166"/>
      <c r="AA224" s="174"/>
      <c r="AB224" s="175"/>
      <c r="AC224" s="175"/>
      <c r="AD224" s="175"/>
      <c r="AE224" s="175"/>
      <c r="AF224" s="175"/>
      <c r="AG224" s="175"/>
      <c r="AH224" s="175"/>
      <c r="AI224" s="176"/>
      <c r="AJ224" s="177"/>
      <c r="AK224" s="178"/>
      <c r="AL224" s="178"/>
      <c r="AM224" s="178"/>
      <c r="AN224" s="178"/>
      <c r="AO224" s="179"/>
      <c r="AP224" s="64"/>
      <c r="AQ224" s="65"/>
      <c r="AR224" s="65"/>
      <c r="AS224" s="65"/>
      <c r="AT224" s="173"/>
      <c r="AU224" s="177"/>
      <c r="AV224" s="178"/>
      <c r="AW224" s="178"/>
      <c r="AX224" s="179"/>
      <c r="AZ224" s="166"/>
      <c r="BA224" s="177"/>
      <c r="BB224" s="178"/>
      <c r="BC224" s="178"/>
      <c r="BD224" s="178"/>
      <c r="BE224" s="178"/>
      <c r="BF224" s="178"/>
      <c r="BG224" s="178"/>
      <c r="BH224" s="178"/>
      <c r="BI224" s="179"/>
      <c r="BJ224" s="180"/>
      <c r="BK224" s="178"/>
      <c r="BL224" s="178"/>
      <c r="BM224" s="178"/>
      <c r="BN224" s="178"/>
      <c r="BO224" s="181"/>
      <c r="BP224" s="166"/>
      <c r="BQ224" s="177"/>
      <c r="BR224" s="178"/>
      <c r="BS224" s="179"/>
      <c r="BU224" s="166"/>
      <c r="BV224" s="166"/>
      <c r="BW224" s="166"/>
      <c r="BX224" s="166"/>
      <c r="BY224" s="166"/>
      <c r="BZ224" s="166"/>
      <c r="CA224" s="166"/>
      <c r="CB224" s="166"/>
      <c r="CC224" s="166"/>
      <c r="CD224" s="177"/>
      <c r="CE224" s="181"/>
      <c r="CF224" s="177"/>
      <c r="CG224" s="179"/>
      <c r="CH224" s="257"/>
      <c r="CI224" s="182"/>
      <c r="CJ224" s="177"/>
      <c r="CK224" s="182"/>
      <c r="CL224" s="177"/>
      <c r="CM224" s="182"/>
      <c r="CN224" s="177"/>
      <c r="CO224" s="182"/>
      <c r="CP224" s="177"/>
      <c r="CQ224" s="178"/>
      <c r="CR224" s="182"/>
      <c r="CS224" s="173"/>
      <c r="CT224" s="65"/>
      <c r="CU224" s="271"/>
    </row>
    <row r="225" ht="60.0" hidden="1" customHeight="1">
      <c r="A225" s="65"/>
      <c r="C225" s="167"/>
      <c r="D225" s="205"/>
      <c r="E225" s="262"/>
      <c r="F225" s="170"/>
      <c r="G225" s="170"/>
      <c r="H225" s="170"/>
      <c r="I225" s="170"/>
      <c r="J225" s="170"/>
      <c r="K225" s="171"/>
      <c r="L225" s="171"/>
      <c r="M225" s="171"/>
      <c r="N225" s="209"/>
      <c r="O225" s="172">
        <f t="shared" si="41"/>
        <v>0</v>
      </c>
      <c r="P225" s="166"/>
      <c r="Q225" s="173"/>
      <c r="R225" s="65"/>
      <c r="S225" s="173"/>
      <c r="T225" s="173"/>
      <c r="U225" s="166"/>
      <c r="V225" s="166"/>
      <c r="W225" s="65"/>
      <c r="X225" s="66"/>
      <c r="Y225" s="173"/>
      <c r="Z225" s="166"/>
      <c r="AA225" s="174"/>
      <c r="AB225" s="175"/>
      <c r="AC225" s="175"/>
      <c r="AD225" s="175"/>
      <c r="AE225" s="175"/>
      <c r="AF225" s="175"/>
      <c r="AG225" s="175"/>
      <c r="AH225" s="175"/>
      <c r="AI225" s="176"/>
      <c r="AJ225" s="177"/>
      <c r="AK225" s="178"/>
      <c r="AL225" s="178"/>
      <c r="AM225" s="178"/>
      <c r="AN225" s="178"/>
      <c r="AO225" s="179"/>
      <c r="AP225" s="64"/>
      <c r="AQ225" s="65"/>
      <c r="AR225" s="65"/>
      <c r="AS225" s="65"/>
      <c r="AT225" s="173"/>
      <c r="AU225" s="177"/>
      <c r="AV225" s="178"/>
      <c r="AW225" s="178"/>
      <c r="AX225" s="179"/>
      <c r="AZ225" s="166"/>
      <c r="BA225" s="177"/>
      <c r="BB225" s="178"/>
      <c r="BC225" s="178"/>
      <c r="BD225" s="178"/>
      <c r="BE225" s="178"/>
      <c r="BF225" s="178"/>
      <c r="BG225" s="178"/>
      <c r="BH225" s="178"/>
      <c r="BI225" s="179"/>
      <c r="BJ225" s="180"/>
      <c r="BK225" s="178"/>
      <c r="BL225" s="178"/>
      <c r="BM225" s="178"/>
      <c r="BN225" s="178"/>
      <c r="BO225" s="181"/>
      <c r="BP225" s="166"/>
      <c r="BQ225" s="177"/>
      <c r="BR225" s="178"/>
      <c r="BS225" s="179"/>
      <c r="BU225" s="166"/>
      <c r="BV225" s="166"/>
      <c r="BW225" s="166"/>
      <c r="BX225" s="166"/>
      <c r="BY225" s="166"/>
      <c r="BZ225" s="166"/>
      <c r="CA225" s="166"/>
      <c r="CB225" s="166"/>
      <c r="CC225" s="166"/>
      <c r="CD225" s="177"/>
      <c r="CE225" s="181"/>
      <c r="CF225" s="177"/>
      <c r="CG225" s="179"/>
      <c r="CH225" s="257"/>
      <c r="CI225" s="182"/>
      <c r="CJ225" s="177"/>
      <c r="CK225" s="182"/>
      <c r="CL225" s="177"/>
      <c r="CM225" s="182"/>
      <c r="CN225" s="177"/>
      <c r="CO225" s="182"/>
      <c r="CP225" s="177"/>
      <c r="CQ225" s="178"/>
      <c r="CR225" s="182"/>
      <c r="CS225" s="173"/>
      <c r="CT225" s="65"/>
      <c r="CU225" s="271"/>
    </row>
    <row r="226" ht="60.0" hidden="1" customHeight="1">
      <c r="A226" s="65"/>
      <c r="C226" s="167"/>
      <c r="D226" s="205"/>
      <c r="E226" s="262"/>
      <c r="F226" s="170"/>
      <c r="G226" s="170"/>
      <c r="H226" s="170"/>
      <c r="I226" s="170"/>
      <c r="J226" s="170"/>
      <c r="K226" s="171"/>
      <c r="L226" s="171"/>
      <c r="M226" s="171"/>
      <c r="N226" s="209"/>
      <c r="O226" s="172">
        <f t="shared" si="41"/>
        <v>0</v>
      </c>
      <c r="P226" s="166"/>
      <c r="Q226" s="173"/>
      <c r="R226" s="65"/>
      <c r="S226" s="173"/>
      <c r="T226" s="173"/>
      <c r="U226" s="166"/>
      <c r="V226" s="166"/>
      <c r="W226" s="65"/>
      <c r="X226" s="66"/>
      <c r="Y226" s="173"/>
      <c r="Z226" s="166"/>
      <c r="AA226" s="174"/>
      <c r="AB226" s="175"/>
      <c r="AC226" s="175"/>
      <c r="AD226" s="175"/>
      <c r="AE226" s="175"/>
      <c r="AF226" s="175"/>
      <c r="AG226" s="175"/>
      <c r="AH226" s="175"/>
      <c r="AI226" s="176"/>
      <c r="AJ226" s="177"/>
      <c r="AK226" s="178"/>
      <c r="AL226" s="178"/>
      <c r="AM226" s="178"/>
      <c r="AN226" s="178"/>
      <c r="AO226" s="179"/>
      <c r="AP226" s="64"/>
      <c r="AQ226" s="65"/>
      <c r="AR226" s="65"/>
      <c r="AS226" s="65"/>
      <c r="AT226" s="173"/>
      <c r="AU226" s="177"/>
      <c r="AV226" s="178"/>
      <c r="AW226" s="178"/>
      <c r="AX226" s="179"/>
      <c r="AZ226" s="166"/>
      <c r="BA226" s="177"/>
      <c r="BB226" s="178"/>
      <c r="BC226" s="178"/>
      <c r="BD226" s="178"/>
      <c r="BE226" s="178"/>
      <c r="BF226" s="178"/>
      <c r="BG226" s="178"/>
      <c r="BH226" s="178"/>
      <c r="BI226" s="179"/>
      <c r="BJ226" s="180"/>
      <c r="BK226" s="178"/>
      <c r="BL226" s="178"/>
      <c r="BM226" s="178"/>
      <c r="BN226" s="178"/>
      <c r="BO226" s="181"/>
      <c r="BP226" s="166"/>
      <c r="BQ226" s="177"/>
      <c r="BR226" s="178"/>
      <c r="BS226" s="179"/>
      <c r="BU226" s="166"/>
      <c r="BV226" s="166"/>
      <c r="BW226" s="166"/>
      <c r="BX226" s="166"/>
      <c r="BY226" s="166"/>
      <c r="BZ226" s="166"/>
      <c r="CA226" s="166"/>
      <c r="CB226" s="166"/>
      <c r="CC226" s="166"/>
      <c r="CD226" s="177"/>
      <c r="CE226" s="181"/>
      <c r="CF226" s="177"/>
      <c r="CG226" s="179"/>
      <c r="CH226" s="257"/>
      <c r="CI226" s="182"/>
      <c r="CJ226" s="177"/>
      <c r="CK226" s="182"/>
      <c r="CL226" s="177"/>
      <c r="CM226" s="182"/>
      <c r="CN226" s="177"/>
      <c r="CO226" s="182"/>
      <c r="CP226" s="177"/>
      <c r="CQ226" s="178"/>
      <c r="CR226" s="182"/>
      <c r="CS226" s="173"/>
      <c r="CT226" s="65"/>
      <c r="CU226" s="271"/>
    </row>
    <row r="227" ht="60.0" hidden="1" customHeight="1">
      <c r="A227" s="89"/>
      <c r="B227" s="6"/>
      <c r="C227" s="183"/>
      <c r="D227" s="210"/>
      <c r="E227" s="263"/>
      <c r="F227" s="186"/>
      <c r="G227" s="186"/>
      <c r="H227" s="186"/>
      <c r="I227" s="186"/>
      <c r="J227" s="186"/>
      <c r="K227" s="187"/>
      <c r="L227" s="187"/>
      <c r="M227" s="187"/>
      <c r="N227" s="214"/>
      <c r="O227" s="188">
        <f t="shared" ref="O227:O233" si="42">IF(AND(M227&lt;&gt;0,M227&lt;&gt;"m",M227&lt;&gt;"",RIGHT(K227,3)="Lec"),1,IF(AND(M227&lt;&gt;0,M227&lt;&gt;"m",M227&lt;&gt;"",OR(RIGHT(K227,3)="Lab",RIGHT(K227,3)="Tut")),0.5,IF(AND(M227&lt;&gt;0,M227&lt;&gt;"m",M227&lt;&gt;"",RIGHT(K227,2)="TL"),0.75,0)))</f>
        <v>0</v>
      </c>
      <c r="P227" s="63"/>
      <c r="Q227" s="69"/>
      <c r="R227" s="89"/>
      <c r="S227" s="69"/>
      <c r="T227" s="69"/>
      <c r="U227" s="63"/>
      <c r="V227" s="63"/>
      <c r="W227" s="89"/>
      <c r="X227" s="68"/>
      <c r="Y227" s="69"/>
      <c r="Z227" s="63"/>
      <c r="AA227" s="189"/>
      <c r="AB227" s="190"/>
      <c r="AC227" s="190"/>
      <c r="AD227" s="190"/>
      <c r="AE227" s="190"/>
      <c r="AF227" s="190"/>
      <c r="AG227" s="190"/>
      <c r="AH227" s="190"/>
      <c r="AI227" s="191"/>
      <c r="AJ227" s="192"/>
      <c r="AK227" s="193"/>
      <c r="AL227" s="193"/>
      <c r="AM227" s="193"/>
      <c r="AN227" s="193"/>
      <c r="AO227" s="194"/>
      <c r="AP227" s="103"/>
      <c r="AQ227" s="89"/>
      <c r="AR227" s="89"/>
      <c r="AS227" s="89"/>
      <c r="AT227" s="69"/>
      <c r="AU227" s="192"/>
      <c r="AV227" s="193"/>
      <c r="AW227" s="193"/>
      <c r="AX227" s="194"/>
      <c r="AY227" s="6"/>
      <c r="AZ227" s="63"/>
      <c r="BA227" s="192"/>
      <c r="BB227" s="193"/>
      <c r="BC227" s="193"/>
      <c r="BD227" s="193"/>
      <c r="BE227" s="193"/>
      <c r="BF227" s="193"/>
      <c r="BG227" s="193"/>
      <c r="BH227" s="193"/>
      <c r="BI227" s="194"/>
      <c r="BJ227" s="195"/>
      <c r="BK227" s="193"/>
      <c r="BL227" s="193"/>
      <c r="BM227" s="193"/>
      <c r="BN227" s="193"/>
      <c r="BO227" s="196"/>
      <c r="BP227" s="63"/>
      <c r="BQ227" s="192"/>
      <c r="BR227" s="193"/>
      <c r="BS227" s="194"/>
      <c r="BT227" s="6"/>
      <c r="BU227" s="63"/>
      <c r="BV227" s="63"/>
      <c r="BW227" s="63"/>
      <c r="BX227" s="63"/>
      <c r="BY227" s="63"/>
      <c r="BZ227" s="63"/>
      <c r="CA227" s="63"/>
      <c r="CB227" s="63"/>
      <c r="CC227" s="63"/>
      <c r="CD227" s="192"/>
      <c r="CE227" s="196"/>
      <c r="CF227" s="192"/>
      <c r="CG227" s="194"/>
      <c r="CH227" s="259"/>
      <c r="CI227" s="197"/>
      <c r="CJ227" s="192"/>
      <c r="CK227" s="197"/>
      <c r="CL227" s="192"/>
      <c r="CM227" s="197"/>
      <c r="CN227" s="192"/>
      <c r="CO227" s="197"/>
      <c r="CP227" s="192"/>
      <c r="CQ227" s="193"/>
      <c r="CR227" s="197"/>
      <c r="CS227" s="69"/>
      <c r="CT227" s="89"/>
      <c r="CU227" s="272"/>
    </row>
    <row r="228" ht="56.25" hidden="1" customHeight="1">
      <c r="A228" s="125">
        <v>21.0</v>
      </c>
      <c r="B228" s="274"/>
      <c r="C228" s="127"/>
      <c r="D228" s="128"/>
      <c r="E228" s="260"/>
      <c r="F228" s="261"/>
      <c r="G228" s="261"/>
      <c r="H228" s="261"/>
      <c r="I228" s="261"/>
      <c r="J228" s="170"/>
      <c r="K228" s="219"/>
      <c r="L228" s="219"/>
      <c r="M228" s="219"/>
      <c r="N228" s="220"/>
      <c r="O228" s="132">
        <f t="shared" si="42"/>
        <v>0</v>
      </c>
      <c r="P228" s="138">
        <f>COUNTIF(K228:K238,"TL")*0.75+COUNTIF(K228:K238,"Lec")*1+COUNTIF(K228:K238,"Lab")*0.5</f>
        <v>0</v>
      </c>
      <c r="Q228" s="135">
        <f>SUM((IF(LEFT(K228,1)="E",O228,0)),(IF(LEFT(K229,1)="E",O229,0)),(IF(LEFT(K230,1)="E",O230,0)),(IF(LEFT(K231,1)="E",O231,0)),(IF(LEFT(K232,1)="E",O232,0)),(IF(LEFT(K233,1)="E",O233,0)),(IF(LEFT(K234,1)="E",O234,0)),(IF(LEFT(K235,1)="E",O235,0)),(IF(LEFT(K236,1)="E",O236,0)),(IF(LEFT(K237,1)="E",O237,0)),(IF(LEFT(K238,1)="E",O238,0)))</f>
        <v>0</v>
      </c>
      <c r="R228" s="135">
        <f>SUM(IF(M234&lt;20,IF(K234="Plec",-1,IF(K234="PTL",-0.75,IF(K234="Plab",-0.5,0))),0),IF(M235&lt;20,IF(K235="Plec",-1,IF(K235="PTL",-0.75,IF(K235="Plab",-0.5,0))),0),IF(M236&lt;20,IF(K236="Plec",-1,IF(K236="PTL",-0.75,IF(K236="Plab",-0.5,0))),0),IF(M237&lt;20,IF(K237="Plec",-1,IF(K237="PTL",-0.75,IF(K237="Plab",-0.5,0))),0))</f>
        <v>0</v>
      </c>
      <c r="S228" s="135">
        <f>SUM(P228:R238)</f>
        <v>0</v>
      </c>
      <c r="T228" s="277">
        <f>SUM(IF(M228="M",IF(OR(K228="lec",K228="plec",K228="slec"),1,IF(OR(K228="lab",K228="plab",K228="slab",K228="tut",K228="ptut",K228="stut"),0.5,IF(OR(K228="TL",K228="pTL",K228="STL"),0.75,0))),0),IF(M229="M",IF(OR(K229="lec",K229="plec",K229="slec"),1,IF(OR(K229="lab",K229="plab",K229="slab",K229="tut",K229="ptut",K229="stut"),0.5,IF(OR(K229="TL",K229="pTL",K229="STL"),0.75,0))),0),IF(M230="M",IF(OR(K230="lec",K230="plec",K230="slec"),1,IF(OR(K230="lab",K230="plab",K230="slab",K230="tut",K230="ptut",K230="stut"),0.5,IF(OR(K230="TL",K230="pTL",K230="STL"),0.75,0))),0),IF(M231="M",IF(OR(K231="lec",K231="plec",K231="slec"),1,IF(OR(K231="lab",K231="plab",K231="slab",K231="tut",K231="ptut",K231="stut"),0.5,IF(OR(K231="TL",K231="pTL",K231="STL"),0.75,0))),0),IF(M232="M",IF(OR(K232="lec",K232="plec",K232="slec"),1,IF(OR(K232="lab",K232="plab",K232="slab",K232="tut",K232="ptut",K232="stut"),0.5,IF(OR(K232="TL",K232="pTL",K232="STL"),0.75,0))),0),IF(M233="M",IF(OR(K233="lec",K233="plec",K233="slec"),1,IF(OR(K233="lab",K233="plab",K233="slab",K233="tut",K233="ptut",K233="stut"),0.5,IF(OR(K233="TL",K233="pTL",K233="STL"),0.75,0))),0),IF(M234="M",IF(OR(K234="lec",K234="plec",K234="slec"),1,IF(OR(K234="lab",K234="plab",K234="slab",K234="tut",K234="ptut",K234="stut"),0.5,IF(OR(K234="TL",K234="pTL",K234="STL"),0.75,0))),0),IF(M235="M",IF(OR(K235="lec",K235="plec",K235="slec"),1,IF(OR(K235="lab",K235="plab",K235="slab",K235="tut",K235="ptut",K235="stut"),0.5,IF(OR(K235="TL",K235="pTL",K235="STL"),0.75,0))),0),IF(M236="M",IF(OR(K236="lec",K236="plec",K236="slec"),1,IF(OR(K236="lab",K236="plab",K236="slab",K236="tut",K236="ptut",K236="stut"),0.5,IF(OR(K236="TL",K236="pTL",K236="STL"),0.75,0))),0),IF(M237="M",IF(OR(K237="lec",K237="plec",K237="slec"),1,IF(OR(K237="lab",K237="plab",K237="slab",K237="tut",K237="ptut",K237="stut"),0.5,IF(OR(K237="TL",K237="pTL",K237="STL"),0.75,0))),0),IF(M238="M",IF(OR(K238="lec",K238="plec",K238="slec"),1,IF(OR(K238="lab",K238="plab",K238="slab",K238="tut",K238="ptut",K238="stut"),0.5,IF(OR(K238="TL",K238="pTL",K238="STL"),0.75,0))),0))</f>
        <v>0</v>
      </c>
      <c r="U228" s="278"/>
      <c r="V228" s="138"/>
      <c r="W228" s="138"/>
      <c r="X228" s="135">
        <f>S228-(T228+U228+V228+W228)</f>
        <v>0</v>
      </c>
      <c r="Y228" s="135" t="str">
        <f>CONCATENATE(SUM(O228:O238),"(",SUM(O228:O238)-X228,")")</f>
        <v>0(0)</v>
      </c>
      <c r="Z228" s="279"/>
      <c r="AA228" s="141"/>
      <c r="AB228" s="142"/>
      <c r="AC228" s="142"/>
      <c r="AD228" s="142"/>
      <c r="AE228" s="142"/>
      <c r="AF228" s="142"/>
      <c r="AG228" s="142"/>
      <c r="AH228" s="142"/>
      <c r="AI228" s="143"/>
      <c r="AJ228" s="144"/>
      <c r="AK228" s="145"/>
      <c r="AL228" s="145"/>
      <c r="AM228" s="145"/>
      <c r="AN228" s="145"/>
      <c r="AO228" s="146"/>
      <c r="AP228" s="280">
        <f>SUM(SUM(O228:O238),SUM(AI228:AI238)/2,AM228)</f>
        <v>0</v>
      </c>
      <c r="AQ228" s="148"/>
      <c r="AR228" s="148">
        <f>AP228*AQ228</f>
        <v>0</v>
      </c>
      <c r="AS228" s="148">
        <f>CT228</f>
        <v>0</v>
      </c>
      <c r="AT228" s="148">
        <f>AR228*0.75+AS228*0.25</f>
        <v>0</v>
      </c>
      <c r="AU228" s="150"/>
      <c r="AV228" s="151"/>
      <c r="AW228" s="151"/>
      <c r="AX228" s="152"/>
      <c r="AY228" s="279"/>
      <c r="AZ228" s="279"/>
      <c r="BA228" s="150"/>
      <c r="BB228" s="151"/>
      <c r="BC228" s="151"/>
      <c r="BD228" s="151"/>
      <c r="BE228" s="151"/>
      <c r="BF228" s="151"/>
      <c r="BG228" s="151"/>
      <c r="BH228" s="151"/>
      <c r="BI228" s="152"/>
      <c r="BJ228" s="150"/>
      <c r="BK228" s="151"/>
      <c r="BL228" s="151"/>
      <c r="BM228" s="151"/>
      <c r="BN228" s="151"/>
      <c r="BO228" s="152"/>
      <c r="BP228" s="279"/>
      <c r="BQ228" s="150"/>
      <c r="BR228" s="151"/>
      <c r="BS228" s="152"/>
      <c r="BT228" s="279"/>
      <c r="BU228" s="279"/>
      <c r="BV228" s="279"/>
      <c r="BW228" s="279"/>
      <c r="BX228" s="279"/>
      <c r="BY228" s="279"/>
      <c r="BZ228" s="279"/>
      <c r="CA228" s="279"/>
      <c r="CB228" s="279"/>
      <c r="CC228" s="279"/>
      <c r="CD228" s="150"/>
      <c r="CE228" s="152"/>
      <c r="CF228" s="150"/>
      <c r="CG228" s="152"/>
      <c r="CH228" s="159"/>
      <c r="CI228" s="281"/>
      <c r="CJ228" s="159"/>
      <c r="CK228" s="281"/>
      <c r="CL228" s="159"/>
      <c r="CM228" s="281"/>
      <c r="CN228" s="159"/>
      <c r="CO228" s="281"/>
      <c r="CP228" s="159"/>
      <c r="CQ228" s="162"/>
      <c r="CR228" s="281"/>
      <c r="CS228" s="163">
        <f>SUM(IF(AU228&lt;0,ABS(AU228),0),IF(AZ228&lt;0,ABS(AZ228),0),ABS(CI228),ABS(CK228),ABS(CM228),ABS(CO228),ABS(CQ228),ABS(CR228))</f>
        <v>0</v>
      </c>
      <c r="CT228" s="254">
        <f>SUM(AU228,AV228,AW228,AX228/400,AY228,AZ228,BG228,BH228*0.5,BI228*0.25,BJ228,BK228,BL228,BM228,BN228,BO228,BP228,BR228/20,BS228/100,BT228/60,BU228,BV228,BW228,BX228/4,SUM(BY228:CC238)/3,CE228,CG228/3,CI228,CK228,CM228,CO228,CQ228,CR228)</f>
        <v>0</v>
      </c>
      <c r="CU228" s="255"/>
    </row>
    <row r="229" ht="60.0" hidden="1" customHeight="1">
      <c r="A229" s="65"/>
      <c r="B229" s="65"/>
      <c r="C229" s="167"/>
      <c r="D229" s="205"/>
      <c r="E229" s="262"/>
      <c r="F229" s="170"/>
      <c r="G229" s="170"/>
      <c r="H229" s="170"/>
      <c r="I229" s="170"/>
      <c r="J229" s="170"/>
      <c r="K229" s="171"/>
      <c r="L229" s="171"/>
      <c r="M229" s="171"/>
      <c r="N229" s="209"/>
      <c r="O229" s="172">
        <f t="shared" si="42"/>
        <v>0</v>
      </c>
      <c r="P229" s="65"/>
      <c r="Q229" s="65"/>
      <c r="R229" s="65"/>
      <c r="S229" s="65"/>
      <c r="T229" s="65"/>
      <c r="U229" s="65"/>
      <c r="V229" s="65"/>
      <c r="W229" s="65"/>
      <c r="X229" s="65"/>
      <c r="Y229" s="65"/>
      <c r="Z229" s="65"/>
      <c r="AA229" s="174"/>
      <c r="AB229" s="175"/>
      <c r="AC229" s="175"/>
      <c r="AD229" s="175"/>
      <c r="AE229" s="175"/>
      <c r="AF229" s="175"/>
      <c r="AG229" s="175"/>
      <c r="AH229" s="175"/>
      <c r="AI229" s="176"/>
      <c r="AJ229" s="177"/>
      <c r="AK229" s="178"/>
      <c r="AL229" s="178"/>
      <c r="AM229" s="178"/>
      <c r="AN229" s="178"/>
      <c r="AO229" s="179"/>
      <c r="AP229" s="65"/>
      <c r="AQ229" s="65"/>
      <c r="AR229" s="65"/>
      <c r="AS229" s="65"/>
      <c r="AT229" s="65"/>
      <c r="AU229" s="177"/>
      <c r="AV229" s="178"/>
      <c r="AW229" s="178"/>
      <c r="AX229" s="179"/>
      <c r="AY229" s="65"/>
      <c r="AZ229" s="65"/>
      <c r="BA229" s="177"/>
      <c r="BB229" s="178"/>
      <c r="BC229" s="178"/>
      <c r="BD229" s="178"/>
      <c r="BE229" s="178"/>
      <c r="BF229" s="178"/>
      <c r="BG229" s="178"/>
      <c r="BH229" s="178"/>
      <c r="BI229" s="179"/>
      <c r="BJ229" s="177"/>
      <c r="BK229" s="178"/>
      <c r="BL229" s="178"/>
      <c r="BM229" s="178"/>
      <c r="BN229" s="178"/>
      <c r="BO229" s="179"/>
      <c r="BP229" s="65"/>
      <c r="BQ229" s="177"/>
      <c r="BR229" s="178"/>
      <c r="BS229" s="179"/>
      <c r="BT229" s="65"/>
      <c r="BU229" s="65"/>
      <c r="BV229" s="65"/>
      <c r="BW229" s="65"/>
      <c r="BX229" s="65"/>
      <c r="BY229" s="65"/>
      <c r="BZ229" s="65"/>
      <c r="CA229" s="65"/>
      <c r="CB229" s="65"/>
      <c r="CC229" s="65"/>
      <c r="CD229" s="177"/>
      <c r="CE229" s="179"/>
      <c r="CF229" s="177"/>
      <c r="CG229" s="179"/>
      <c r="CH229" s="177"/>
      <c r="CI229" s="179"/>
      <c r="CJ229" s="177"/>
      <c r="CK229" s="179"/>
      <c r="CL229" s="177"/>
      <c r="CM229" s="179"/>
      <c r="CN229" s="177"/>
      <c r="CO229" s="179"/>
      <c r="CP229" s="177"/>
      <c r="CQ229" s="178"/>
      <c r="CR229" s="179"/>
      <c r="CS229" s="65"/>
      <c r="CT229" s="65"/>
      <c r="CU229" s="271"/>
    </row>
    <row r="230" ht="60.0" hidden="1" customHeight="1">
      <c r="A230" s="65"/>
      <c r="B230" s="65"/>
      <c r="C230" s="167"/>
      <c r="D230" s="205"/>
      <c r="E230" s="262"/>
      <c r="F230" s="170"/>
      <c r="G230" s="170"/>
      <c r="H230" s="170"/>
      <c r="I230" s="170"/>
      <c r="J230" s="170"/>
      <c r="K230" s="171"/>
      <c r="L230" s="171"/>
      <c r="M230" s="171"/>
      <c r="N230" s="209"/>
      <c r="O230" s="172">
        <f t="shared" si="42"/>
        <v>0</v>
      </c>
      <c r="P230" s="65"/>
      <c r="Q230" s="65"/>
      <c r="R230" s="65"/>
      <c r="S230" s="65"/>
      <c r="T230" s="65"/>
      <c r="U230" s="65"/>
      <c r="V230" s="65"/>
      <c r="W230" s="65"/>
      <c r="X230" s="65"/>
      <c r="Y230" s="65"/>
      <c r="Z230" s="65"/>
      <c r="AA230" s="174"/>
      <c r="AB230" s="175"/>
      <c r="AC230" s="175"/>
      <c r="AD230" s="175"/>
      <c r="AE230" s="175"/>
      <c r="AF230" s="175"/>
      <c r="AG230" s="175"/>
      <c r="AH230" s="175"/>
      <c r="AI230" s="176"/>
      <c r="AJ230" s="177"/>
      <c r="AK230" s="178"/>
      <c r="AL230" s="178"/>
      <c r="AM230" s="178"/>
      <c r="AN230" s="178"/>
      <c r="AO230" s="179"/>
      <c r="AP230" s="65"/>
      <c r="AQ230" s="65"/>
      <c r="AR230" s="65"/>
      <c r="AS230" s="65"/>
      <c r="AT230" s="65"/>
      <c r="AU230" s="177"/>
      <c r="AV230" s="178"/>
      <c r="AW230" s="178"/>
      <c r="AX230" s="179"/>
      <c r="AY230" s="65"/>
      <c r="AZ230" s="65"/>
      <c r="BA230" s="177"/>
      <c r="BB230" s="178"/>
      <c r="BC230" s="178"/>
      <c r="BD230" s="178"/>
      <c r="BE230" s="178"/>
      <c r="BF230" s="178"/>
      <c r="BG230" s="178"/>
      <c r="BH230" s="178"/>
      <c r="BI230" s="179"/>
      <c r="BJ230" s="177"/>
      <c r="BK230" s="178"/>
      <c r="BL230" s="178"/>
      <c r="BM230" s="178"/>
      <c r="BN230" s="178"/>
      <c r="BO230" s="179"/>
      <c r="BP230" s="65"/>
      <c r="BQ230" s="177"/>
      <c r="BR230" s="178"/>
      <c r="BS230" s="179"/>
      <c r="BT230" s="65"/>
      <c r="BU230" s="65"/>
      <c r="BV230" s="65"/>
      <c r="BW230" s="65"/>
      <c r="BX230" s="65"/>
      <c r="BY230" s="65"/>
      <c r="BZ230" s="65"/>
      <c r="CA230" s="65"/>
      <c r="CB230" s="65"/>
      <c r="CC230" s="65"/>
      <c r="CD230" s="177"/>
      <c r="CE230" s="179"/>
      <c r="CF230" s="177"/>
      <c r="CG230" s="179"/>
      <c r="CH230" s="177"/>
      <c r="CI230" s="179"/>
      <c r="CJ230" s="177"/>
      <c r="CK230" s="179"/>
      <c r="CL230" s="177"/>
      <c r="CM230" s="179"/>
      <c r="CN230" s="177"/>
      <c r="CO230" s="179"/>
      <c r="CP230" s="177"/>
      <c r="CQ230" s="178"/>
      <c r="CR230" s="179"/>
      <c r="CS230" s="65"/>
      <c r="CT230" s="65"/>
      <c r="CU230" s="271"/>
    </row>
    <row r="231" ht="60.0" hidden="1" customHeight="1">
      <c r="A231" s="65"/>
      <c r="B231" s="65"/>
      <c r="C231" s="167"/>
      <c r="D231" s="205"/>
      <c r="E231" s="262"/>
      <c r="F231" s="170"/>
      <c r="G231" s="170"/>
      <c r="H231" s="170"/>
      <c r="I231" s="170"/>
      <c r="J231" s="170"/>
      <c r="K231" s="171"/>
      <c r="L231" s="171"/>
      <c r="M231" s="171"/>
      <c r="N231" s="209"/>
      <c r="O231" s="172">
        <f t="shared" si="42"/>
        <v>0</v>
      </c>
      <c r="P231" s="65"/>
      <c r="Q231" s="65"/>
      <c r="R231" s="65"/>
      <c r="S231" s="65"/>
      <c r="T231" s="65"/>
      <c r="U231" s="65"/>
      <c r="V231" s="65"/>
      <c r="W231" s="65"/>
      <c r="X231" s="65"/>
      <c r="Y231" s="65"/>
      <c r="Z231" s="65"/>
      <c r="AA231" s="174"/>
      <c r="AB231" s="175"/>
      <c r="AC231" s="175"/>
      <c r="AD231" s="175"/>
      <c r="AE231" s="175"/>
      <c r="AF231" s="175"/>
      <c r="AG231" s="175"/>
      <c r="AH231" s="175"/>
      <c r="AI231" s="176"/>
      <c r="AJ231" s="177"/>
      <c r="AK231" s="178"/>
      <c r="AL231" s="178"/>
      <c r="AM231" s="178"/>
      <c r="AN231" s="178"/>
      <c r="AO231" s="179"/>
      <c r="AP231" s="65"/>
      <c r="AQ231" s="65"/>
      <c r="AR231" s="65"/>
      <c r="AS231" s="65"/>
      <c r="AT231" s="65"/>
      <c r="AU231" s="177"/>
      <c r="AV231" s="178"/>
      <c r="AW231" s="178"/>
      <c r="AX231" s="179"/>
      <c r="AY231" s="65"/>
      <c r="AZ231" s="65"/>
      <c r="BA231" s="177"/>
      <c r="BB231" s="178"/>
      <c r="BC231" s="178"/>
      <c r="BD231" s="178"/>
      <c r="BE231" s="178"/>
      <c r="BF231" s="178"/>
      <c r="BG231" s="178"/>
      <c r="BH231" s="178"/>
      <c r="BI231" s="179"/>
      <c r="BJ231" s="177"/>
      <c r="BK231" s="178"/>
      <c r="BL231" s="178"/>
      <c r="BM231" s="178"/>
      <c r="BN231" s="178"/>
      <c r="BO231" s="179"/>
      <c r="BP231" s="65"/>
      <c r="BQ231" s="177"/>
      <c r="BR231" s="178"/>
      <c r="BS231" s="179"/>
      <c r="BT231" s="65"/>
      <c r="BU231" s="65"/>
      <c r="BV231" s="65"/>
      <c r="BW231" s="65"/>
      <c r="BX231" s="65"/>
      <c r="BY231" s="65"/>
      <c r="BZ231" s="65"/>
      <c r="CA231" s="65"/>
      <c r="CB231" s="65"/>
      <c r="CC231" s="65"/>
      <c r="CD231" s="177"/>
      <c r="CE231" s="179"/>
      <c r="CF231" s="177"/>
      <c r="CG231" s="179"/>
      <c r="CH231" s="177"/>
      <c r="CI231" s="179"/>
      <c r="CJ231" s="177"/>
      <c r="CK231" s="179"/>
      <c r="CL231" s="177"/>
      <c r="CM231" s="179"/>
      <c r="CN231" s="177"/>
      <c r="CO231" s="179"/>
      <c r="CP231" s="177"/>
      <c r="CQ231" s="178"/>
      <c r="CR231" s="179"/>
      <c r="CS231" s="65"/>
      <c r="CT231" s="65"/>
      <c r="CU231" s="271"/>
    </row>
    <row r="232" ht="60.0" hidden="1" customHeight="1">
      <c r="A232" s="65"/>
      <c r="B232" s="65"/>
      <c r="C232" s="167"/>
      <c r="D232" s="205"/>
      <c r="E232" s="262"/>
      <c r="F232" s="170"/>
      <c r="G232" s="170"/>
      <c r="H232" s="170"/>
      <c r="I232" s="170"/>
      <c r="J232" s="170"/>
      <c r="K232" s="171"/>
      <c r="L232" s="171"/>
      <c r="M232" s="171"/>
      <c r="N232" s="209"/>
      <c r="O232" s="172">
        <f t="shared" si="42"/>
        <v>0</v>
      </c>
      <c r="P232" s="65"/>
      <c r="Q232" s="65"/>
      <c r="R232" s="65"/>
      <c r="S232" s="65"/>
      <c r="T232" s="65"/>
      <c r="U232" s="65"/>
      <c r="V232" s="65"/>
      <c r="W232" s="65"/>
      <c r="X232" s="65"/>
      <c r="Y232" s="65"/>
      <c r="Z232" s="65"/>
      <c r="AA232" s="174"/>
      <c r="AB232" s="175"/>
      <c r="AC232" s="175"/>
      <c r="AD232" s="175"/>
      <c r="AE232" s="175"/>
      <c r="AF232" s="175"/>
      <c r="AG232" s="175"/>
      <c r="AH232" s="175"/>
      <c r="AI232" s="176"/>
      <c r="AJ232" s="177"/>
      <c r="AK232" s="178"/>
      <c r="AL232" s="178"/>
      <c r="AM232" s="178"/>
      <c r="AN232" s="178"/>
      <c r="AO232" s="179"/>
      <c r="AP232" s="65"/>
      <c r="AQ232" s="65"/>
      <c r="AR232" s="65"/>
      <c r="AS232" s="65"/>
      <c r="AT232" s="65"/>
      <c r="AU232" s="177"/>
      <c r="AV232" s="178"/>
      <c r="AW232" s="178"/>
      <c r="AX232" s="179"/>
      <c r="AY232" s="65"/>
      <c r="AZ232" s="65"/>
      <c r="BA232" s="177"/>
      <c r="BB232" s="178"/>
      <c r="BC232" s="178"/>
      <c r="BD232" s="178"/>
      <c r="BE232" s="178"/>
      <c r="BF232" s="178"/>
      <c r="BG232" s="178"/>
      <c r="BH232" s="178"/>
      <c r="BI232" s="179"/>
      <c r="BJ232" s="177"/>
      <c r="BK232" s="178"/>
      <c r="BL232" s="178"/>
      <c r="BM232" s="178"/>
      <c r="BN232" s="178"/>
      <c r="BO232" s="179"/>
      <c r="BP232" s="65"/>
      <c r="BQ232" s="177"/>
      <c r="BR232" s="178"/>
      <c r="BS232" s="179"/>
      <c r="BT232" s="65"/>
      <c r="BU232" s="65"/>
      <c r="BV232" s="65"/>
      <c r="BW232" s="65"/>
      <c r="BX232" s="65"/>
      <c r="BY232" s="65"/>
      <c r="BZ232" s="65"/>
      <c r="CA232" s="65"/>
      <c r="CB232" s="65"/>
      <c r="CC232" s="65"/>
      <c r="CD232" s="177"/>
      <c r="CE232" s="179"/>
      <c r="CF232" s="177"/>
      <c r="CG232" s="179"/>
      <c r="CH232" s="177"/>
      <c r="CI232" s="179"/>
      <c r="CJ232" s="177"/>
      <c r="CK232" s="179"/>
      <c r="CL232" s="177"/>
      <c r="CM232" s="179"/>
      <c r="CN232" s="177"/>
      <c r="CO232" s="179"/>
      <c r="CP232" s="177"/>
      <c r="CQ232" s="178"/>
      <c r="CR232" s="179"/>
      <c r="CS232" s="65"/>
      <c r="CT232" s="65"/>
      <c r="CU232" s="271"/>
    </row>
    <row r="233" ht="60.0" hidden="1" customHeight="1">
      <c r="A233" s="65"/>
      <c r="B233" s="65"/>
      <c r="C233" s="167"/>
      <c r="D233" s="205"/>
      <c r="E233" s="262"/>
      <c r="F233" s="170"/>
      <c r="G233" s="170"/>
      <c r="H233" s="170"/>
      <c r="I233" s="170"/>
      <c r="J233" s="170"/>
      <c r="K233" s="171"/>
      <c r="L233" s="171"/>
      <c r="M233" s="171"/>
      <c r="N233" s="209"/>
      <c r="O233" s="172">
        <f t="shared" si="42"/>
        <v>0</v>
      </c>
      <c r="P233" s="65"/>
      <c r="Q233" s="65"/>
      <c r="R233" s="65"/>
      <c r="S233" s="65"/>
      <c r="T233" s="65"/>
      <c r="U233" s="65"/>
      <c r="V233" s="65"/>
      <c r="W233" s="65"/>
      <c r="X233" s="65"/>
      <c r="Y233" s="65"/>
      <c r="Z233" s="65"/>
      <c r="AA233" s="174"/>
      <c r="AB233" s="175"/>
      <c r="AC233" s="175"/>
      <c r="AD233" s="175"/>
      <c r="AE233" s="175"/>
      <c r="AF233" s="175"/>
      <c r="AG233" s="175"/>
      <c r="AH233" s="175"/>
      <c r="AI233" s="176"/>
      <c r="AJ233" s="177"/>
      <c r="AK233" s="178"/>
      <c r="AL233" s="178"/>
      <c r="AM233" s="178"/>
      <c r="AN233" s="178"/>
      <c r="AO233" s="179"/>
      <c r="AP233" s="65"/>
      <c r="AQ233" s="65"/>
      <c r="AR233" s="65"/>
      <c r="AS233" s="65"/>
      <c r="AT233" s="65"/>
      <c r="AU233" s="177"/>
      <c r="AV233" s="178"/>
      <c r="AW233" s="178"/>
      <c r="AX233" s="179"/>
      <c r="AY233" s="65"/>
      <c r="AZ233" s="65"/>
      <c r="BA233" s="177"/>
      <c r="BB233" s="178"/>
      <c r="BC233" s="178"/>
      <c r="BD233" s="178"/>
      <c r="BE233" s="178"/>
      <c r="BF233" s="178"/>
      <c r="BG233" s="178"/>
      <c r="BH233" s="178"/>
      <c r="BI233" s="179"/>
      <c r="BJ233" s="177"/>
      <c r="BK233" s="178"/>
      <c r="BL233" s="178"/>
      <c r="BM233" s="178"/>
      <c r="BN233" s="178"/>
      <c r="BO233" s="179"/>
      <c r="BP233" s="65"/>
      <c r="BQ233" s="177"/>
      <c r="BR233" s="178"/>
      <c r="BS233" s="179"/>
      <c r="BT233" s="65"/>
      <c r="BU233" s="65"/>
      <c r="BV233" s="65"/>
      <c r="BW233" s="65"/>
      <c r="BX233" s="65"/>
      <c r="BY233" s="65"/>
      <c r="BZ233" s="65"/>
      <c r="CA233" s="65"/>
      <c r="CB233" s="65"/>
      <c r="CC233" s="65"/>
      <c r="CD233" s="177"/>
      <c r="CE233" s="179"/>
      <c r="CF233" s="177"/>
      <c r="CG233" s="179"/>
      <c r="CH233" s="177"/>
      <c r="CI233" s="179"/>
      <c r="CJ233" s="177"/>
      <c r="CK233" s="179"/>
      <c r="CL233" s="177"/>
      <c r="CM233" s="179"/>
      <c r="CN233" s="177"/>
      <c r="CO233" s="179"/>
      <c r="CP233" s="177"/>
      <c r="CQ233" s="178"/>
      <c r="CR233" s="179"/>
      <c r="CS233" s="65"/>
      <c r="CT233" s="65"/>
      <c r="CU233" s="271"/>
    </row>
    <row r="234" ht="60.0" hidden="1" customHeight="1">
      <c r="A234" s="65"/>
      <c r="B234" s="65"/>
      <c r="C234" s="167"/>
      <c r="D234" s="205"/>
      <c r="E234" s="262"/>
      <c r="F234" s="170"/>
      <c r="G234" s="170"/>
      <c r="H234" s="170"/>
      <c r="I234" s="170"/>
      <c r="J234" s="170"/>
      <c r="K234" s="171"/>
      <c r="L234" s="171"/>
      <c r="M234" s="171"/>
      <c r="N234" s="209"/>
      <c r="O234" s="172">
        <f t="shared" ref="O234:O237" si="43">IF(AND(M234&gt;=20,M234&lt;&gt;"m",RIGHT(K234,3)="Lec"),1,IF(AND(M234&gt;=20,M234&lt;&gt;"m",OR(RIGHT(K234,3)="Lab",RIGHT(K234,3)="Tut")),0.5,IF(AND(M234&gt;=20,M234&lt;&gt;"m",RIGHT(K234,2)="TL"),0.75,0)))</f>
        <v>0</v>
      </c>
      <c r="P234" s="65"/>
      <c r="Q234" s="65"/>
      <c r="R234" s="65"/>
      <c r="S234" s="65"/>
      <c r="T234" s="65"/>
      <c r="U234" s="65"/>
      <c r="V234" s="65"/>
      <c r="W234" s="65"/>
      <c r="X234" s="65"/>
      <c r="Y234" s="65"/>
      <c r="Z234" s="65"/>
      <c r="AA234" s="174"/>
      <c r="AB234" s="175"/>
      <c r="AC234" s="175"/>
      <c r="AD234" s="175"/>
      <c r="AE234" s="175"/>
      <c r="AF234" s="175"/>
      <c r="AG234" s="175"/>
      <c r="AH234" s="175"/>
      <c r="AI234" s="176"/>
      <c r="AJ234" s="177"/>
      <c r="AK234" s="178"/>
      <c r="AL234" s="178"/>
      <c r="AM234" s="178"/>
      <c r="AN234" s="178"/>
      <c r="AO234" s="179"/>
      <c r="AP234" s="65"/>
      <c r="AQ234" s="65"/>
      <c r="AR234" s="65"/>
      <c r="AS234" s="65"/>
      <c r="AT234" s="65"/>
      <c r="AU234" s="177"/>
      <c r="AV234" s="178"/>
      <c r="AW234" s="178"/>
      <c r="AX234" s="179"/>
      <c r="AY234" s="65"/>
      <c r="AZ234" s="65"/>
      <c r="BA234" s="177"/>
      <c r="BB234" s="178"/>
      <c r="BC234" s="178"/>
      <c r="BD234" s="178"/>
      <c r="BE234" s="178"/>
      <c r="BF234" s="178"/>
      <c r="BG234" s="178"/>
      <c r="BH234" s="178"/>
      <c r="BI234" s="179"/>
      <c r="BJ234" s="177"/>
      <c r="BK234" s="178"/>
      <c r="BL234" s="178"/>
      <c r="BM234" s="178"/>
      <c r="BN234" s="178"/>
      <c r="BO234" s="179"/>
      <c r="BP234" s="65"/>
      <c r="BQ234" s="177"/>
      <c r="BR234" s="178"/>
      <c r="BS234" s="179"/>
      <c r="BT234" s="65"/>
      <c r="BU234" s="65"/>
      <c r="BV234" s="65"/>
      <c r="BW234" s="65"/>
      <c r="BX234" s="65"/>
      <c r="BY234" s="65"/>
      <c r="BZ234" s="65"/>
      <c r="CA234" s="65"/>
      <c r="CB234" s="65"/>
      <c r="CC234" s="65"/>
      <c r="CD234" s="177"/>
      <c r="CE234" s="179"/>
      <c r="CF234" s="177"/>
      <c r="CG234" s="179"/>
      <c r="CH234" s="177"/>
      <c r="CI234" s="179"/>
      <c r="CJ234" s="177"/>
      <c r="CK234" s="179"/>
      <c r="CL234" s="177"/>
      <c r="CM234" s="179"/>
      <c r="CN234" s="177"/>
      <c r="CO234" s="179"/>
      <c r="CP234" s="177"/>
      <c r="CQ234" s="178"/>
      <c r="CR234" s="179"/>
      <c r="CS234" s="65"/>
      <c r="CT234" s="65"/>
      <c r="CU234" s="271"/>
    </row>
    <row r="235" ht="60.0" hidden="1" customHeight="1">
      <c r="A235" s="65"/>
      <c r="B235" s="65"/>
      <c r="C235" s="167"/>
      <c r="D235" s="205"/>
      <c r="E235" s="262"/>
      <c r="F235" s="170"/>
      <c r="G235" s="170"/>
      <c r="H235" s="170"/>
      <c r="I235" s="170"/>
      <c r="J235" s="170"/>
      <c r="K235" s="171"/>
      <c r="L235" s="171"/>
      <c r="M235" s="171"/>
      <c r="N235" s="209"/>
      <c r="O235" s="172">
        <f t="shared" si="43"/>
        <v>0</v>
      </c>
      <c r="P235" s="65"/>
      <c r="Q235" s="65"/>
      <c r="R235" s="65"/>
      <c r="S235" s="65"/>
      <c r="T235" s="65"/>
      <c r="U235" s="65"/>
      <c r="V235" s="65"/>
      <c r="W235" s="65"/>
      <c r="X235" s="65"/>
      <c r="Y235" s="65"/>
      <c r="Z235" s="65"/>
      <c r="AA235" s="174"/>
      <c r="AB235" s="175"/>
      <c r="AC235" s="175"/>
      <c r="AD235" s="175"/>
      <c r="AE235" s="175"/>
      <c r="AF235" s="175"/>
      <c r="AG235" s="175"/>
      <c r="AH235" s="175"/>
      <c r="AI235" s="176"/>
      <c r="AJ235" s="177"/>
      <c r="AK235" s="178"/>
      <c r="AL235" s="178"/>
      <c r="AM235" s="178"/>
      <c r="AN235" s="178"/>
      <c r="AO235" s="179"/>
      <c r="AP235" s="65"/>
      <c r="AQ235" s="65"/>
      <c r="AR235" s="65"/>
      <c r="AS235" s="65"/>
      <c r="AT235" s="65"/>
      <c r="AU235" s="177"/>
      <c r="AV235" s="178"/>
      <c r="AW235" s="178"/>
      <c r="AX235" s="179"/>
      <c r="AY235" s="65"/>
      <c r="AZ235" s="65"/>
      <c r="BA235" s="177"/>
      <c r="BB235" s="178"/>
      <c r="BC235" s="178"/>
      <c r="BD235" s="178"/>
      <c r="BE235" s="178"/>
      <c r="BF235" s="178"/>
      <c r="BG235" s="178"/>
      <c r="BH235" s="178"/>
      <c r="BI235" s="179"/>
      <c r="BJ235" s="177"/>
      <c r="BK235" s="178"/>
      <c r="BL235" s="178"/>
      <c r="BM235" s="178"/>
      <c r="BN235" s="178"/>
      <c r="BO235" s="179"/>
      <c r="BP235" s="65"/>
      <c r="BQ235" s="177"/>
      <c r="BR235" s="178"/>
      <c r="BS235" s="179"/>
      <c r="BT235" s="65"/>
      <c r="BU235" s="65"/>
      <c r="BV235" s="65"/>
      <c r="BW235" s="65"/>
      <c r="BX235" s="65"/>
      <c r="BY235" s="65"/>
      <c r="BZ235" s="65"/>
      <c r="CA235" s="65"/>
      <c r="CB235" s="65"/>
      <c r="CC235" s="65"/>
      <c r="CD235" s="177"/>
      <c r="CE235" s="179"/>
      <c r="CF235" s="177"/>
      <c r="CG235" s="179"/>
      <c r="CH235" s="177"/>
      <c r="CI235" s="179"/>
      <c r="CJ235" s="177"/>
      <c r="CK235" s="179"/>
      <c r="CL235" s="177"/>
      <c r="CM235" s="179"/>
      <c r="CN235" s="177"/>
      <c r="CO235" s="179"/>
      <c r="CP235" s="177"/>
      <c r="CQ235" s="178"/>
      <c r="CR235" s="179"/>
      <c r="CS235" s="65"/>
      <c r="CT235" s="65"/>
      <c r="CU235" s="271"/>
    </row>
    <row r="236" ht="60.0" hidden="1" customHeight="1">
      <c r="A236" s="65"/>
      <c r="B236" s="65"/>
      <c r="C236" s="167"/>
      <c r="D236" s="205"/>
      <c r="E236" s="262"/>
      <c r="F236" s="170"/>
      <c r="G236" s="170"/>
      <c r="H236" s="170"/>
      <c r="I236" s="170"/>
      <c r="J236" s="170"/>
      <c r="K236" s="171"/>
      <c r="L236" s="171"/>
      <c r="M236" s="171"/>
      <c r="N236" s="209"/>
      <c r="O236" s="172">
        <f t="shared" si="43"/>
        <v>0</v>
      </c>
      <c r="P236" s="65"/>
      <c r="Q236" s="65"/>
      <c r="R236" s="65"/>
      <c r="S236" s="65"/>
      <c r="T236" s="65"/>
      <c r="U236" s="65"/>
      <c r="V236" s="65"/>
      <c r="W236" s="65"/>
      <c r="X236" s="65"/>
      <c r="Y236" s="65"/>
      <c r="Z236" s="65"/>
      <c r="AA236" s="174"/>
      <c r="AB236" s="175"/>
      <c r="AC236" s="175"/>
      <c r="AD236" s="175"/>
      <c r="AE236" s="175"/>
      <c r="AF236" s="175"/>
      <c r="AG236" s="175"/>
      <c r="AH236" s="175"/>
      <c r="AI236" s="176"/>
      <c r="AJ236" s="177"/>
      <c r="AK236" s="178"/>
      <c r="AL236" s="178"/>
      <c r="AM236" s="178"/>
      <c r="AN236" s="178"/>
      <c r="AO236" s="179"/>
      <c r="AP236" s="65"/>
      <c r="AQ236" s="65"/>
      <c r="AR236" s="65"/>
      <c r="AS236" s="65"/>
      <c r="AT236" s="65"/>
      <c r="AU236" s="177"/>
      <c r="AV236" s="178"/>
      <c r="AW236" s="178"/>
      <c r="AX236" s="179"/>
      <c r="AY236" s="65"/>
      <c r="AZ236" s="65"/>
      <c r="BA236" s="177"/>
      <c r="BB236" s="178"/>
      <c r="BC236" s="178"/>
      <c r="BD236" s="178"/>
      <c r="BE236" s="178"/>
      <c r="BF236" s="178"/>
      <c r="BG236" s="178"/>
      <c r="BH236" s="178"/>
      <c r="BI236" s="179"/>
      <c r="BJ236" s="177"/>
      <c r="BK236" s="178"/>
      <c r="BL236" s="178"/>
      <c r="BM236" s="178"/>
      <c r="BN236" s="178"/>
      <c r="BO236" s="179"/>
      <c r="BP236" s="65"/>
      <c r="BQ236" s="177"/>
      <c r="BR236" s="178"/>
      <c r="BS236" s="179"/>
      <c r="BT236" s="65"/>
      <c r="BU236" s="65"/>
      <c r="BV236" s="65"/>
      <c r="BW236" s="65"/>
      <c r="BX236" s="65"/>
      <c r="BY236" s="65"/>
      <c r="BZ236" s="65"/>
      <c r="CA236" s="65"/>
      <c r="CB236" s="65"/>
      <c r="CC236" s="65"/>
      <c r="CD236" s="177"/>
      <c r="CE236" s="179"/>
      <c r="CF236" s="177"/>
      <c r="CG236" s="179"/>
      <c r="CH236" s="177"/>
      <c r="CI236" s="179"/>
      <c r="CJ236" s="177"/>
      <c r="CK236" s="179"/>
      <c r="CL236" s="177"/>
      <c r="CM236" s="179"/>
      <c r="CN236" s="177"/>
      <c r="CO236" s="179"/>
      <c r="CP236" s="177"/>
      <c r="CQ236" s="178"/>
      <c r="CR236" s="179"/>
      <c r="CS236" s="65"/>
      <c r="CT236" s="65"/>
      <c r="CU236" s="271"/>
    </row>
    <row r="237" ht="60.0" hidden="1" customHeight="1">
      <c r="A237" s="65"/>
      <c r="B237" s="65"/>
      <c r="C237" s="167"/>
      <c r="D237" s="205"/>
      <c r="E237" s="262"/>
      <c r="F237" s="170"/>
      <c r="G237" s="170"/>
      <c r="H237" s="170"/>
      <c r="I237" s="170"/>
      <c r="J237" s="170"/>
      <c r="K237" s="171"/>
      <c r="L237" s="171"/>
      <c r="M237" s="171"/>
      <c r="N237" s="209"/>
      <c r="O237" s="172">
        <f t="shared" si="43"/>
        <v>0</v>
      </c>
      <c r="P237" s="65"/>
      <c r="Q237" s="65"/>
      <c r="R237" s="65"/>
      <c r="S237" s="65"/>
      <c r="T237" s="65"/>
      <c r="U237" s="65"/>
      <c r="V237" s="65"/>
      <c r="W237" s="65"/>
      <c r="X237" s="65"/>
      <c r="Y237" s="65"/>
      <c r="Z237" s="65"/>
      <c r="AA237" s="174"/>
      <c r="AB237" s="175"/>
      <c r="AC237" s="175"/>
      <c r="AD237" s="175"/>
      <c r="AE237" s="175"/>
      <c r="AF237" s="175"/>
      <c r="AG237" s="175"/>
      <c r="AH237" s="175"/>
      <c r="AI237" s="176"/>
      <c r="AJ237" s="177"/>
      <c r="AK237" s="178"/>
      <c r="AL237" s="178"/>
      <c r="AM237" s="178"/>
      <c r="AN237" s="178"/>
      <c r="AO237" s="179"/>
      <c r="AP237" s="65"/>
      <c r="AQ237" s="65"/>
      <c r="AR237" s="65"/>
      <c r="AS237" s="65"/>
      <c r="AT237" s="65"/>
      <c r="AU237" s="177"/>
      <c r="AV237" s="178"/>
      <c r="AW237" s="178"/>
      <c r="AX237" s="179"/>
      <c r="AY237" s="65"/>
      <c r="AZ237" s="65"/>
      <c r="BA237" s="177"/>
      <c r="BB237" s="178"/>
      <c r="BC237" s="178"/>
      <c r="BD237" s="178"/>
      <c r="BE237" s="178"/>
      <c r="BF237" s="178"/>
      <c r="BG237" s="178"/>
      <c r="BH237" s="178"/>
      <c r="BI237" s="179"/>
      <c r="BJ237" s="177"/>
      <c r="BK237" s="178"/>
      <c r="BL237" s="178"/>
      <c r="BM237" s="178"/>
      <c r="BN237" s="178"/>
      <c r="BO237" s="179"/>
      <c r="BP237" s="65"/>
      <c r="BQ237" s="177"/>
      <c r="BR237" s="178"/>
      <c r="BS237" s="179"/>
      <c r="BT237" s="65"/>
      <c r="BU237" s="65"/>
      <c r="BV237" s="65"/>
      <c r="BW237" s="65"/>
      <c r="BX237" s="65"/>
      <c r="BY237" s="65"/>
      <c r="BZ237" s="65"/>
      <c r="CA237" s="65"/>
      <c r="CB237" s="65"/>
      <c r="CC237" s="65"/>
      <c r="CD237" s="177"/>
      <c r="CE237" s="179"/>
      <c r="CF237" s="177"/>
      <c r="CG237" s="179"/>
      <c r="CH237" s="177"/>
      <c r="CI237" s="179"/>
      <c r="CJ237" s="177"/>
      <c r="CK237" s="179"/>
      <c r="CL237" s="177"/>
      <c r="CM237" s="179"/>
      <c r="CN237" s="177"/>
      <c r="CO237" s="179"/>
      <c r="CP237" s="177"/>
      <c r="CQ237" s="178"/>
      <c r="CR237" s="179"/>
      <c r="CS237" s="65"/>
      <c r="CT237" s="65"/>
      <c r="CU237" s="271"/>
    </row>
    <row r="238" ht="60.0" hidden="1" customHeight="1">
      <c r="A238" s="89"/>
      <c r="B238" s="89"/>
      <c r="C238" s="183"/>
      <c r="D238" s="210"/>
      <c r="E238" s="263"/>
      <c r="F238" s="186"/>
      <c r="G238" s="186"/>
      <c r="H238" s="186"/>
      <c r="I238" s="186"/>
      <c r="J238" s="186"/>
      <c r="K238" s="187"/>
      <c r="L238" s="187"/>
      <c r="M238" s="187"/>
      <c r="N238" s="214"/>
      <c r="O238" s="188">
        <f t="shared" ref="O238:O244" si="44">IF(AND(M238&lt;&gt;0,M238&lt;&gt;"m",M238&lt;&gt;"",RIGHT(K238,3)="Lec"),1,IF(AND(M238&lt;&gt;0,M238&lt;&gt;"m",M238&lt;&gt;"",OR(RIGHT(K238,3)="Lab",RIGHT(K238,3)="Tut")),0.5,IF(AND(M238&lt;&gt;0,M238&lt;&gt;"m",M238&lt;&gt;"",RIGHT(K238,2)="TL"),0.75,0)))</f>
        <v>0</v>
      </c>
      <c r="P238" s="89"/>
      <c r="Q238" s="89"/>
      <c r="R238" s="89"/>
      <c r="S238" s="89"/>
      <c r="T238" s="89"/>
      <c r="U238" s="89"/>
      <c r="V238" s="89"/>
      <c r="W238" s="89"/>
      <c r="X238" s="89"/>
      <c r="Y238" s="89"/>
      <c r="Z238" s="89"/>
      <c r="AA238" s="189"/>
      <c r="AB238" s="190"/>
      <c r="AC238" s="190"/>
      <c r="AD238" s="190"/>
      <c r="AE238" s="190"/>
      <c r="AF238" s="190"/>
      <c r="AG238" s="190"/>
      <c r="AH238" s="190"/>
      <c r="AI238" s="191"/>
      <c r="AJ238" s="192"/>
      <c r="AK238" s="193"/>
      <c r="AL238" s="193"/>
      <c r="AM238" s="193"/>
      <c r="AN238" s="193"/>
      <c r="AO238" s="194"/>
      <c r="AP238" s="89"/>
      <c r="AQ238" s="89"/>
      <c r="AR238" s="89"/>
      <c r="AS238" s="89"/>
      <c r="AT238" s="89"/>
      <c r="AU238" s="192"/>
      <c r="AV238" s="193"/>
      <c r="AW238" s="193"/>
      <c r="AX238" s="194"/>
      <c r="AY238" s="89"/>
      <c r="AZ238" s="89"/>
      <c r="BA238" s="192"/>
      <c r="BB238" s="193"/>
      <c r="BC238" s="193"/>
      <c r="BD238" s="193"/>
      <c r="BE238" s="193"/>
      <c r="BF238" s="193"/>
      <c r="BG238" s="193"/>
      <c r="BH238" s="193"/>
      <c r="BI238" s="194"/>
      <c r="BJ238" s="192"/>
      <c r="BK238" s="193"/>
      <c r="BL238" s="193"/>
      <c r="BM238" s="193"/>
      <c r="BN238" s="193"/>
      <c r="BO238" s="194"/>
      <c r="BP238" s="89"/>
      <c r="BQ238" s="192"/>
      <c r="BR238" s="193"/>
      <c r="BS238" s="194"/>
      <c r="BT238" s="89"/>
      <c r="BU238" s="89"/>
      <c r="BV238" s="89"/>
      <c r="BW238" s="89"/>
      <c r="BX238" s="89"/>
      <c r="BY238" s="89"/>
      <c r="BZ238" s="89"/>
      <c r="CA238" s="89"/>
      <c r="CB238" s="89"/>
      <c r="CC238" s="89"/>
      <c r="CD238" s="192"/>
      <c r="CE238" s="194"/>
      <c r="CF238" s="192"/>
      <c r="CG238" s="194"/>
      <c r="CH238" s="192"/>
      <c r="CI238" s="194"/>
      <c r="CJ238" s="192"/>
      <c r="CK238" s="194"/>
      <c r="CL238" s="192"/>
      <c r="CM238" s="194"/>
      <c r="CN238" s="192"/>
      <c r="CO238" s="194"/>
      <c r="CP238" s="192"/>
      <c r="CQ238" s="193"/>
      <c r="CR238" s="194"/>
      <c r="CS238" s="89"/>
      <c r="CT238" s="89"/>
      <c r="CU238" s="272"/>
    </row>
    <row r="239" ht="56.25" hidden="1" customHeight="1">
      <c r="A239" s="125">
        <v>22.0</v>
      </c>
      <c r="B239" s="274"/>
      <c r="C239" s="127"/>
      <c r="D239" s="128"/>
      <c r="E239" s="260"/>
      <c r="F239" s="261"/>
      <c r="G239" s="261"/>
      <c r="H239" s="261"/>
      <c r="I239" s="261"/>
      <c r="J239" s="170"/>
      <c r="K239" s="219"/>
      <c r="L239" s="219"/>
      <c r="M239" s="219"/>
      <c r="N239" s="220"/>
      <c r="O239" s="132">
        <f t="shared" si="44"/>
        <v>0</v>
      </c>
      <c r="P239" s="138">
        <f>COUNTIF(K239:K249,"TL")*0.75+COUNTIF(K239:K249,"Lec")*1+COUNTIF(K239:K249,"Lab")*0.5</f>
        <v>0</v>
      </c>
      <c r="Q239" s="135">
        <f>SUM((IF(LEFT(K239,1)="E",O239,0)),(IF(LEFT(K240,1)="E",O240,0)),(IF(LEFT(K241,1)="E",O241,0)),(IF(LEFT(K242,1)="E",O242,0)),(IF(LEFT(K243,1)="E",O243,0)),(IF(LEFT(K244,1)="E",O244,0)),(IF(LEFT(K245,1)="E",O245,0)),(IF(LEFT(K246,1)="E",O246,0)),(IF(LEFT(K247,1)="E",O247,0)),(IF(LEFT(K248,1)="E",O248,0)),(IF(LEFT(K249,1)="E",O249,0)))</f>
        <v>0</v>
      </c>
      <c r="R239" s="135">
        <f>SUM(IF(M245&lt;20,IF(K245="Plec",-1,IF(K245="PTL",-0.75,IF(K245="Plab",-0.5,0))),0),IF(M246&lt;20,IF(K246="Plec",-1,IF(K246="PTL",-0.75,IF(K246="Plab",-0.5,0))),0),IF(M247&lt;20,IF(K247="Plec",-1,IF(K247="PTL",-0.75,IF(K247="Plab",-0.5,0))),0),IF(M248&lt;20,IF(K248="Plec",-1,IF(K248="PTL",-0.75,IF(K248="Plab",-0.5,0))),0))</f>
        <v>0</v>
      </c>
      <c r="S239" s="135">
        <f>SUM(P239:R249)</f>
        <v>0</v>
      </c>
      <c r="T239" s="277">
        <f>SUM(IF(M239="M",IF(OR(K239="lec",K239="plec",K239="slec"),1,IF(OR(K239="lab",K239="plab",K239="slab",K239="tut",K239="ptut",K239="stut"),0.5,IF(OR(K239="TL",K239="pTL",K239="STL"),0.75,0))),0),IF(M240="M",IF(OR(K240="lec",K240="plec",K240="slec"),1,IF(OR(K240="lab",K240="plab",K240="slab",K240="tut",K240="ptut",K240="stut"),0.5,IF(OR(K240="TL",K240="pTL",K240="STL"),0.75,0))),0),IF(M241="M",IF(OR(K241="lec",K241="plec",K241="slec"),1,IF(OR(K241="lab",K241="plab",K241="slab",K241="tut",K241="ptut",K241="stut"),0.5,IF(OR(K241="TL",K241="pTL",K241="STL"),0.75,0))),0),IF(M242="M",IF(OR(K242="lec",K242="plec",K242="slec"),1,IF(OR(K242="lab",K242="plab",K242="slab",K242="tut",K242="ptut",K242="stut"),0.5,IF(OR(K242="TL",K242="pTL",K242="STL"),0.75,0))),0),IF(M243="M",IF(OR(K243="lec",K243="plec",K243="slec"),1,IF(OR(K243="lab",K243="plab",K243="slab",K243="tut",K243="ptut",K243="stut"),0.5,IF(OR(K243="TL",K243="pTL",K243="STL"),0.75,0))),0),IF(M244="M",IF(OR(K244="lec",K244="plec",K244="slec"),1,IF(OR(K244="lab",K244="plab",K244="slab",K244="tut",K244="ptut",K244="stut"),0.5,IF(OR(K244="TL",K244="pTL",K244="STL"),0.75,0))),0),IF(M245="M",IF(OR(K245="lec",K245="plec",K245="slec"),1,IF(OR(K245="lab",K245="plab",K245="slab",K245="tut",K245="ptut",K245="stut"),0.5,IF(OR(K245="TL",K245="pTL",K245="STL"),0.75,0))),0),IF(M246="M",IF(OR(K246="lec",K246="plec",K246="slec"),1,IF(OR(K246="lab",K246="plab",K246="slab",K246="tut",K246="ptut",K246="stut"),0.5,IF(OR(K246="TL",K246="pTL",K246="STL"),0.75,0))),0),IF(M247="M",IF(OR(K247="lec",K247="plec",K247="slec"),1,IF(OR(K247="lab",K247="plab",K247="slab",K247="tut",K247="ptut",K247="stut"),0.5,IF(OR(K247="TL",K247="pTL",K247="STL"),0.75,0))),0),IF(M248="M",IF(OR(K248="lec",K248="plec",K248="slec"),1,IF(OR(K248="lab",K248="plab",K248="slab",K248="tut",K248="ptut",K248="stut"),0.5,IF(OR(K248="TL",K248="pTL",K248="STL"),0.75,0))),0),IF(M249="M",IF(OR(K249="lec",K249="plec",K249="slec"),1,IF(OR(K249="lab",K249="plab",K249="slab",K249="tut",K249="ptut",K249="stut"),0.5,IF(OR(K249="TL",K249="pTL",K249="STL"),0.75,0))),0))</f>
        <v>0</v>
      </c>
      <c r="U239" s="278"/>
      <c r="V239" s="138"/>
      <c r="W239" s="138"/>
      <c r="X239" s="135">
        <f>S239-(T239+U239+V239+W239)</f>
        <v>0</v>
      </c>
      <c r="Y239" s="135" t="str">
        <f>CONCATENATE(SUM(O239:O249),"(",SUM(O239:O249)-X239,")")</f>
        <v>0(0)</v>
      </c>
      <c r="Z239" s="279"/>
      <c r="AA239" s="141"/>
      <c r="AB239" s="142"/>
      <c r="AC239" s="142"/>
      <c r="AD239" s="142"/>
      <c r="AE239" s="142"/>
      <c r="AF239" s="142"/>
      <c r="AG239" s="142"/>
      <c r="AH239" s="142"/>
      <c r="AI239" s="143"/>
      <c r="AJ239" s="144"/>
      <c r="AK239" s="145"/>
      <c r="AL239" s="145"/>
      <c r="AM239" s="145"/>
      <c r="AN239" s="145"/>
      <c r="AO239" s="146"/>
      <c r="AP239" s="280">
        <f>SUM(SUM(O239:O249),SUM(AI239:AI249)/2,AM239)</f>
        <v>0</v>
      </c>
      <c r="AQ239" s="148"/>
      <c r="AR239" s="148">
        <f>AP239*AQ239</f>
        <v>0</v>
      </c>
      <c r="AS239" s="148">
        <f>CT239</f>
        <v>0</v>
      </c>
      <c r="AT239" s="148">
        <f>AR239*0.75+AS239*0.25</f>
        <v>0</v>
      </c>
      <c r="AU239" s="150"/>
      <c r="AV239" s="151"/>
      <c r="AW239" s="151"/>
      <c r="AX239" s="152"/>
      <c r="AY239" s="279"/>
      <c r="AZ239" s="279"/>
      <c r="BA239" s="150"/>
      <c r="BB239" s="151"/>
      <c r="BC239" s="151"/>
      <c r="BD239" s="151"/>
      <c r="BE239" s="151"/>
      <c r="BF239" s="151"/>
      <c r="BG239" s="151"/>
      <c r="BH239" s="151"/>
      <c r="BI239" s="152"/>
      <c r="BJ239" s="150"/>
      <c r="BK239" s="151"/>
      <c r="BL239" s="151"/>
      <c r="BM239" s="151"/>
      <c r="BN239" s="151"/>
      <c r="BO239" s="152"/>
      <c r="BP239" s="279"/>
      <c r="BQ239" s="150"/>
      <c r="BR239" s="151"/>
      <c r="BS239" s="152"/>
      <c r="BT239" s="279"/>
      <c r="BU239" s="279"/>
      <c r="BV239" s="279"/>
      <c r="BW239" s="279"/>
      <c r="BX239" s="279"/>
      <c r="BY239" s="279"/>
      <c r="BZ239" s="279"/>
      <c r="CA239" s="279"/>
      <c r="CB239" s="279"/>
      <c r="CC239" s="279"/>
      <c r="CD239" s="150"/>
      <c r="CE239" s="152"/>
      <c r="CF239" s="150"/>
      <c r="CG239" s="152"/>
      <c r="CH239" s="159"/>
      <c r="CI239" s="281"/>
      <c r="CJ239" s="159"/>
      <c r="CK239" s="281"/>
      <c r="CL239" s="159"/>
      <c r="CM239" s="281"/>
      <c r="CN239" s="159"/>
      <c r="CO239" s="281"/>
      <c r="CP239" s="159"/>
      <c r="CQ239" s="162"/>
      <c r="CR239" s="281"/>
      <c r="CS239" s="163">
        <f>SUM(IF(AU239&lt;0,ABS(AU239),0),IF(AZ239&lt;0,ABS(AZ239),0),ABS(CI239),ABS(CK239),ABS(CM239),ABS(CO239),ABS(CQ239),ABS(CR239))</f>
        <v>0</v>
      </c>
      <c r="CT239" s="254">
        <f>SUM(AU239,AV239,AW239,AX239/400,AY239,AZ239,BG239,BH239*0.5,BI239*0.25,BJ239,BK239,BL239,BM239,BN239,BO239,BP239,BR239/20,BS239/100,BT239/60,BU239,BV239,BW239,BX239/4,SUM(BY239:CC249)/3,CE239,CG239/3,CI239,CK239,CM239,CO239,CQ239,CR239)</f>
        <v>0</v>
      </c>
      <c r="CU239" s="255"/>
    </row>
    <row r="240" ht="60.0" hidden="1" customHeight="1">
      <c r="A240" s="65"/>
      <c r="B240" s="65"/>
      <c r="C240" s="167"/>
      <c r="D240" s="205"/>
      <c r="E240" s="262"/>
      <c r="F240" s="170"/>
      <c r="G240" s="170"/>
      <c r="H240" s="170"/>
      <c r="I240" s="170"/>
      <c r="J240" s="170"/>
      <c r="K240" s="171"/>
      <c r="L240" s="171"/>
      <c r="M240" s="171"/>
      <c r="N240" s="209"/>
      <c r="O240" s="172">
        <f t="shared" si="44"/>
        <v>0</v>
      </c>
      <c r="P240" s="65"/>
      <c r="Q240" s="65"/>
      <c r="R240" s="65"/>
      <c r="S240" s="65"/>
      <c r="T240" s="65"/>
      <c r="U240" s="65"/>
      <c r="V240" s="65"/>
      <c r="W240" s="65"/>
      <c r="X240" s="65"/>
      <c r="Y240" s="65"/>
      <c r="Z240" s="65"/>
      <c r="AA240" s="174"/>
      <c r="AB240" s="175"/>
      <c r="AC240" s="175"/>
      <c r="AD240" s="175"/>
      <c r="AE240" s="175"/>
      <c r="AF240" s="175"/>
      <c r="AG240" s="175"/>
      <c r="AH240" s="175"/>
      <c r="AI240" s="176"/>
      <c r="AJ240" s="177"/>
      <c r="AK240" s="178"/>
      <c r="AL240" s="178"/>
      <c r="AM240" s="178"/>
      <c r="AN240" s="178"/>
      <c r="AO240" s="179"/>
      <c r="AP240" s="65"/>
      <c r="AQ240" s="65"/>
      <c r="AR240" s="65"/>
      <c r="AS240" s="65"/>
      <c r="AT240" s="65"/>
      <c r="AU240" s="177"/>
      <c r="AV240" s="178"/>
      <c r="AW240" s="178"/>
      <c r="AX240" s="179"/>
      <c r="AY240" s="65"/>
      <c r="AZ240" s="65"/>
      <c r="BA240" s="177"/>
      <c r="BB240" s="178"/>
      <c r="BC240" s="178"/>
      <c r="BD240" s="178"/>
      <c r="BE240" s="178"/>
      <c r="BF240" s="178"/>
      <c r="BG240" s="178"/>
      <c r="BH240" s="178"/>
      <c r="BI240" s="179"/>
      <c r="BJ240" s="177"/>
      <c r="BK240" s="178"/>
      <c r="BL240" s="178"/>
      <c r="BM240" s="178"/>
      <c r="BN240" s="178"/>
      <c r="BO240" s="179"/>
      <c r="BP240" s="65"/>
      <c r="BQ240" s="177"/>
      <c r="BR240" s="178"/>
      <c r="BS240" s="179"/>
      <c r="BT240" s="65"/>
      <c r="BU240" s="65"/>
      <c r="BV240" s="65"/>
      <c r="BW240" s="65"/>
      <c r="BX240" s="65"/>
      <c r="BY240" s="65"/>
      <c r="BZ240" s="65"/>
      <c r="CA240" s="65"/>
      <c r="CB240" s="65"/>
      <c r="CC240" s="65"/>
      <c r="CD240" s="177"/>
      <c r="CE240" s="179"/>
      <c r="CF240" s="177"/>
      <c r="CG240" s="179"/>
      <c r="CH240" s="177"/>
      <c r="CI240" s="179"/>
      <c r="CJ240" s="177"/>
      <c r="CK240" s="179"/>
      <c r="CL240" s="177"/>
      <c r="CM240" s="179"/>
      <c r="CN240" s="177"/>
      <c r="CO240" s="179"/>
      <c r="CP240" s="177"/>
      <c r="CQ240" s="178"/>
      <c r="CR240" s="179"/>
      <c r="CS240" s="65"/>
      <c r="CT240" s="65"/>
      <c r="CU240" s="271"/>
    </row>
    <row r="241" ht="60.0" hidden="1" customHeight="1">
      <c r="A241" s="65"/>
      <c r="B241" s="65"/>
      <c r="C241" s="167"/>
      <c r="D241" s="205"/>
      <c r="E241" s="262"/>
      <c r="F241" s="170"/>
      <c r="G241" s="170"/>
      <c r="H241" s="170"/>
      <c r="I241" s="170"/>
      <c r="J241" s="170"/>
      <c r="K241" s="171"/>
      <c r="L241" s="171"/>
      <c r="M241" s="171"/>
      <c r="N241" s="209"/>
      <c r="O241" s="172">
        <f t="shared" si="44"/>
        <v>0</v>
      </c>
      <c r="P241" s="65"/>
      <c r="Q241" s="65"/>
      <c r="R241" s="65"/>
      <c r="S241" s="65"/>
      <c r="T241" s="65"/>
      <c r="U241" s="65"/>
      <c r="V241" s="65"/>
      <c r="W241" s="65"/>
      <c r="X241" s="65"/>
      <c r="Y241" s="65"/>
      <c r="Z241" s="65"/>
      <c r="AA241" s="174"/>
      <c r="AB241" s="175"/>
      <c r="AC241" s="175"/>
      <c r="AD241" s="175"/>
      <c r="AE241" s="175"/>
      <c r="AF241" s="175"/>
      <c r="AG241" s="175"/>
      <c r="AH241" s="175"/>
      <c r="AI241" s="176"/>
      <c r="AJ241" s="177"/>
      <c r="AK241" s="178"/>
      <c r="AL241" s="178"/>
      <c r="AM241" s="178"/>
      <c r="AN241" s="178"/>
      <c r="AO241" s="179"/>
      <c r="AP241" s="65"/>
      <c r="AQ241" s="65"/>
      <c r="AR241" s="65"/>
      <c r="AS241" s="65"/>
      <c r="AT241" s="65"/>
      <c r="AU241" s="177"/>
      <c r="AV241" s="178"/>
      <c r="AW241" s="178"/>
      <c r="AX241" s="179"/>
      <c r="AY241" s="65"/>
      <c r="AZ241" s="65"/>
      <c r="BA241" s="177"/>
      <c r="BB241" s="178"/>
      <c r="BC241" s="178"/>
      <c r="BD241" s="178"/>
      <c r="BE241" s="178"/>
      <c r="BF241" s="178"/>
      <c r="BG241" s="178"/>
      <c r="BH241" s="178"/>
      <c r="BI241" s="179"/>
      <c r="BJ241" s="177"/>
      <c r="BK241" s="178"/>
      <c r="BL241" s="178"/>
      <c r="BM241" s="178"/>
      <c r="BN241" s="178"/>
      <c r="BO241" s="179"/>
      <c r="BP241" s="65"/>
      <c r="BQ241" s="177"/>
      <c r="BR241" s="178"/>
      <c r="BS241" s="179"/>
      <c r="BT241" s="65"/>
      <c r="BU241" s="65"/>
      <c r="BV241" s="65"/>
      <c r="BW241" s="65"/>
      <c r="BX241" s="65"/>
      <c r="BY241" s="65"/>
      <c r="BZ241" s="65"/>
      <c r="CA241" s="65"/>
      <c r="CB241" s="65"/>
      <c r="CC241" s="65"/>
      <c r="CD241" s="177"/>
      <c r="CE241" s="179"/>
      <c r="CF241" s="177"/>
      <c r="CG241" s="179"/>
      <c r="CH241" s="177"/>
      <c r="CI241" s="179"/>
      <c r="CJ241" s="177"/>
      <c r="CK241" s="179"/>
      <c r="CL241" s="177"/>
      <c r="CM241" s="179"/>
      <c r="CN241" s="177"/>
      <c r="CO241" s="179"/>
      <c r="CP241" s="177"/>
      <c r="CQ241" s="178"/>
      <c r="CR241" s="179"/>
      <c r="CS241" s="65"/>
      <c r="CT241" s="65"/>
      <c r="CU241" s="271"/>
    </row>
    <row r="242" ht="60.0" hidden="1" customHeight="1">
      <c r="A242" s="65"/>
      <c r="B242" s="65"/>
      <c r="C242" s="167"/>
      <c r="D242" s="205"/>
      <c r="E242" s="262"/>
      <c r="F242" s="170"/>
      <c r="G242" s="170"/>
      <c r="H242" s="170"/>
      <c r="I242" s="170"/>
      <c r="J242" s="170"/>
      <c r="K242" s="171"/>
      <c r="L242" s="171"/>
      <c r="M242" s="171"/>
      <c r="N242" s="209"/>
      <c r="O242" s="172">
        <f t="shared" si="44"/>
        <v>0</v>
      </c>
      <c r="P242" s="65"/>
      <c r="Q242" s="65"/>
      <c r="R242" s="65"/>
      <c r="S242" s="65"/>
      <c r="T242" s="65"/>
      <c r="U242" s="65"/>
      <c r="V242" s="65"/>
      <c r="W242" s="65"/>
      <c r="X242" s="65"/>
      <c r="Y242" s="65"/>
      <c r="Z242" s="65"/>
      <c r="AA242" s="174"/>
      <c r="AB242" s="175"/>
      <c r="AC242" s="175"/>
      <c r="AD242" s="175"/>
      <c r="AE242" s="175"/>
      <c r="AF242" s="175"/>
      <c r="AG242" s="175"/>
      <c r="AH242" s="175"/>
      <c r="AI242" s="176"/>
      <c r="AJ242" s="177"/>
      <c r="AK242" s="178"/>
      <c r="AL242" s="178"/>
      <c r="AM242" s="178"/>
      <c r="AN242" s="178"/>
      <c r="AO242" s="179"/>
      <c r="AP242" s="65"/>
      <c r="AQ242" s="65"/>
      <c r="AR242" s="65"/>
      <c r="AS242" s="65"/>
      <c r="AT242" s="65"/>
      <c r="AU242" s="177"/>
      <c r="AV242" s="178"/>
      <c r="AW242" s="178"/>
      <c r="AX242" s="179"/>
      <c r="AY242" s="65"/>
      <c r="AZ242" s="65"/>
      <c r="BA242" s="177"/>
      <c r="BB242" s="178"/>
      <c r="BC242" s="178"/>
      <c r="BD242" s="178"/>
      <c r="BE242" s="178"/>
      <c r="BF242" s="178"/>
      <c r="BG242" s="178"/>
      <c r="BH242" s="178"/>
      <c r="BI242" s="179"/>
      <c r="BJ242" s="177"/>
      <c r="BK242" s="178"/>
      <c r="BL242" s="178"/>
      <c r="BM242" s="178"/>
      <c r="BN242" s="178"/>
      <c r="BO242" s="179"/>
      <c r="BP242" s="65"/>
      <c r="BQ242" s="177"/>
      <c r="BR242" s="178"/>
      <c r="BS242" s="179"/>
      <c r="BT242" s="65"/>
      <c r="BU242" s="65"/>
      <c r="BV242" s="65"/>
      <c r="BW242" s="65"/>
      <c r="BX242" s="65"/>
      <c r="BY242" s="65"/>
      <c r="BZ242" s="65"/>
      <c r="CA242" s="65"/>
      <c r="CB242" s="65"/>
      <c r="CC242" s="65"/>
      <c r="CD242" s="177"/>
      <c r="CE242" s="179"/>
      <c r="CF242" s="177"/>
      <c r="CG242" s="179"/>
      <c r="CH242" s="177"/>
      <c r="CI242" s="179"/>
      <c r="CJ242" s="177"/>
      <c r="CK242" s="179"/>
      <c r="CL242" s="177"/>
      <c r="CM242" s="179"/>
      <c r="CN242" s="177"/>
      <c r="CO242" s="179"/>
      <c r="CP242" s="177"/>
      <c r="CQ242" s="178"/>
      <c r="CR242" s="179"/>
      <c r="CS242" s="65"/>
      <c r="CT242" s="65"/>
      <c r="CU242" s="271"/>
    </row>
    <row r="243" ht="60.0" hidden="1" customHeight="1">
      <c r="A243" s="65"/>
      <c r="B243" s="65"/>
      <c r="C243" s="167"/>
      <c r="D243" s="205"/>
      <c r="E243" s="262"/>
      <c r="F243" s="170"/>
      <c r="G243" s="170"/>
      <c r="H243" s="170"/>
      <c r="I243" s="170"/>
      <c r="J243" s="170"/>
      <c r="K243" s="171"/>
      <c r="L243" s="171"/>
      <c r="M243" s="171"/>
      <c r="N243" s="209"/>
      <c r="O243" s="172">
        <f t="shared" si="44"/>
        <v>0</v>
      </c>
      <c r="P243" s="65"/>
      <c r="Q243" s="65"/>
      <c r="R243" s="65"/>
      <c r="S243" s="65"/>
      <c r="T243" s="65"/>
      <c r="U243" s="65"/>
      <c r="V243" s="65"/>
      <c r="W243" s="65"/>
      <c r="X243" s="65"/>
      <c r="Y243" s="65"/>
      <c r="Z243" s="65"/>
      <c r="AA243" s="174"/>
      <c r="AB243" s="175"/>
      <c r="AC243" s="175"/>
      <c r="AD243" s="175"/>
      <c r="AE243" s="175"/>
      <c r="AF243" s="175"/>
      <c r="AG243" s="175"/>
      <c r="AH243" s="175"/>
      <c r="AI243" s="176"/>
      <c r="AJ243" s="177"/>
      <c r="AK243" s="178"/>
      <c r="AL243" s="178"/>
      <c r="AM243" s="178"/>
      <c r="AN243" s="178"/>
      <c r="AO243" s="179"/>
      <c r="AP243" s="65"/>
      <c r="AQ243" s="65"/>
      <c r="AR243" s="65"/>
      <c r="AS243" s="65"/>
      <c r="AT243" s="65"/>
      <c r="AU243" s="177"/>
      <c r="AV243" s="178"/>
      <c r="AW243" s="178"/>
      <c r="AX243" s="179"/>
      <c r="AY243" s="65"/>
      <c r="AZ243" s="65"/>
      <c r="BA243" s="177"/>
      <c r="BB243" s="178"/>
      <c r="BC243" s="178"/>
      <c r="BD243" s="178"/>
      <c r="BE243" s="178"/>
      <c r="BF243" s="178"/>
      <c r="BG243" s="178"/>
      <c r="BH243" s="178"/>
      <c r="BI243" s="179"/>
      <c r="BJ243" s="177"/>
      <c r="BK243" s="178"/>
      <c r="BL243" s="178"/>
      <c r="BM243" s="178"/>
      <c r="BN243" s="178"/>
      <c r="BO243" s="179"/>
      <c r="BP243" s="65"/>
      <c r="BQ243" s="177"/>
      <c r="BR243" s="178"/>
      <c r="BS243" s="179"/>
      <c r="BT243" s="65"/>
      <c r="BU243" s="65"/>
      <c r="BV243" s="65"/>
      <c r="BW243" s="65"/>
      <c r="BX243" s="65"/>
      <c r="BY243" s="65"/>
      <c r="BZ243" s="65"/>
      <c r="CA243" s="65"/>
      <c r="CB243" s="65"/>
      <c r="CC243" s="65"/>
      <c r="CD243" s="177"/>
      <c r="CE243" s="179"/>
      <c r="CF243" s="177"/>
      <c r="CG243" s="179"/>
      <c r="CH243" s="177"/>
      <c r="CI243" s="179"/>
      <c r="CJ243" s="177"/>
      <c r="CK243" s="179"/>
      <c r="CL243" s="177"/>
      <c r="CM243" s="179"/>
      <c r="CN243" s="177"/>
      <c r="CO243" s="179"/>
      <c r="CP243" s="177"/>
      <c r="CQ243" s="178"/>
      <c r="CR243" s="179"/>
      <c r="CS243" s="65"/>
      <c r="CT243" s="65"/>
      <c r="CU243" s="271"/>
    </row>
    <row r="244" ht="60.0" hidden="1" customHeight="1">
      <c r="A244" s="65"/>
      <c r="B244" s="65"/>
      <c r="C244" s="167"/>
      <c r="D244" s="205"/>
      <c r="E244" s="262"/>
      <c r="F244" s="170"/>
      <c r="G244" s="170"/>
      <c r="H244" s="170"/>
      <c r="I244" s="170"/>
      <c r="J244" s="170"/>
      <c r="K244" s="171"/>
      <c r="L244" s="171"/>
      <c r="M244" s="171"/>
      <c r="N244" s="209"/>
      <c r="O244" s="172">
        <f t="shared" si="44"/>
        <v>0</v>
      </c>
      <c r="P244" s="65"/>
      <c r="Q244" s="65"/>
      <c r="R244" s="65"/>
      <c r="S244" s="65"/>
      <c r="T244" s="65"/>
      <c r="U244" s="65"/>
      <c r="V244" s="65"/>
      <c r="W244" s="65"/>
      <c r="X244" s="65"/>
      <c r="Y244" s="65"/>
      <c r="Z244" s="65"/>
      <c r="AA244" s="174"/>
      <c r="AB244" s="175"/>
      <c r="AC244" s="175"/>
      <c r="AD244" s="175"/>
      <c r="AE244" s="175"/>
      <c r="AF244" s="175"/>
      <c r="AG244" s="175"/>
      <c r="AH244" s="175"/>
      <c r="AI244" s="176"/>
      <c r="AJ244" s="177"/>
      <c r="AK244" s="178"/>
      <c r="AL244" s="178"/>
      <c r="AM244" s="178"/>
      <c r="AN244" s="178"/>
      <c r="AO244" s="179"/>
      <c r="AP244" s="65"/>
      <c r="AQ244" s="65"/>
      <c r="AR244" s="65"/>
      <c r="AS244" s="65"/>
      <c r="AT244" s="65"/>
      <c r="AU244" s="177"/>
      <c r="AV244" s="178"/>
      <c r="AW244" s="178"/>
      <c r="AX244" s="179"/>
      <c r="AY244" s="65"/>
      <c r="AZ244" s="65"/>
      <c r="BA244" s="177"/>
      <c r="BB244" s="178"/>
      <c r="BC244" s="178"/>
      <c r="BD244" s="178"/>
      <c r="BE244" s="178"/>
      <c r="BF244" s="178"/>
      <c r="BG244" s="178"/>
      <c r="BH244" s="178"/>
      <c r="BI244" s="179"/>
      <c r="BJ244" s="177"/>
      <c r="BK244" s="178"/>
      <c r="BL244" s="178"/>
      <c r="BM244" s="178"/>
      <c r="BN244" s="178"/>
      <c r="BO244" s="179"/>
      <c r="BP244" s="65"/>
      <c r="BQ244" s="177"/>
      <c r="BR244" s="178"/>
      <c r="BS244" s="179"/>
      <c r="BT244" s="65"/>
      <c r="BU244" s="65"/>
      <c r="BV244" s="65"/>
      <c r="BW244" s="65"/>
      <c r="BX244" s="65"/>
      <c r="BY244" s="65"/>
      <c r="BZ244" s="65"/>
      <c r="CA244" s="65"/>
      <c r="CB244" s="65"/>
      <c r="CC244" s="65"/>
      <c r="CD244" s="177"/>
      <c r="CE244" s="179"/>
      <c r="CF244" s="177"/>
      <c r="CG244" s="179"/>
      <c r="CH244" s="177"/>
      <c r="CI244" s="179"/>
      <c r="CJ244" s="177"/>
      <c r="CK244" s="179"/>
      <c r="CL244" s="177"/>
      <c r="CM244" s="179"/>
      <c r="CN244" s="177"/>
      <c r="CO244" s="179"/>
      <c r="CP244" s="177"/>
      <c r="CQ244" s="178"/>
      <c r="CR244" s="179"/>
      <c r="CS244" s="65"/>
      <c r="CT244" s="65"/>
      <c r="CU244" s="271"/>
    </row>
    <row r="245" ht="60.0" hidden="1" customHeight="1">
      <c r="A245" s="65"/>
      <c r="B245" s="65"/>
      <c r="C245" s="167"/>
      <c r="D245" s="205"/>
      <c r="E245" s="262"/>
      <c r="F245" s="170"/>
      <c r="G245" s="170"/>
      <c r="H245" s="170"/>
      <c r="I245" s="170"/>
      <c r="J245" s="170"/>
      <c r="K245" s="171"/>
      <c r="L245" s="171"/>
      <c r="M245" s="171"/>
      <c r="N245" s="209"/>
      <c r="O245" s="172">
        <f t="shared" ref="O245:O248" si="45">IF(AND(M245&gt;=20,M245&lt;&gt;"m",RIGHT(K245,3)="Lec"),1,IF(AND(M245&gt;=20,M245&lt;&gt;"m",OR(RIGHT(K245,3)="Lab",RIGHT(K245,3)="Tut")),0.5,IF(AND(M245&gt;=20,M245&lt;&gt;"m",RIGHT(K245,2)="TL"),0.75,0)))</f>
        <v>0</v>
      </c>
      <c r="P245" s="65"/>
      <c r="Q245" s="65"/>
      <c r="R245" s="65"/>
      <c r="S245" s="65"/>
      <c r="T245" s="65"/>
      <c r="U245" s="65"/>
      <c r="V245" s="65"/>
      <c r="W245" s="65"/>
      <c r="X245" s="65"/>
      <c r="Y245" s="65"/>
      <c r="Z245" s="65"/>
      <c r="AA245" s="174"/>
      <c r="AB245" s="175"/>
      <c r="AC245" s="175"/>
      <c r="AD245" s="175"/>
      <c r="AE245" s="175"/>
      <c r="AF245" s="175"/>
      <c r="AG245" s="175"/>
      <c r="AH245" s="175"/>
      <c r="AI245" s="176"/>
      <c r="AJ245" s="177"/>
      <c r="AK245" s="178"/>
      <c r="AL245" s="178"/>
      <c r="AM245" s="178"/>
      <c r="AN245" s="178"/>
      <c r="AO245" s="179"/>
      <c r="AP245" s="65"/>
      <c r="AQ245" s="65"/>
      <c r="AR245" s="65"/>
      <c r="AS245" s="65"/>
      <c r="AT245" s="65"/>
      <c r="AU245" s="177"/>
      <c r="AV245" s="178"/>
      <c r="AW245" s="178"/>
      <c r="AX245" s="179"/>
      <c r="AY245" s="65"/>
      <c r="AZ245" s="65"/>
      <c r="BA245" s="177"/>
      <c r="BB245" s="178"/>
      <c r="BC245" s="178"/>
      <c r="BD245" s="178"/>
      <c r="BE245" s="178"/>
      <c r="BF245" s="178"/>
      <c r="BG245" s="178"/>
      <c r="BH245" s="178"/>
      <c r="BI245" s="179"/>
      <c r="BJ245" s="177"/>
      <c r="BK245" s="178"/>
      <c r="BL245" s="178"/>
      <c r="BM245" s="178"/>
      <c r="BN245" s="178"/>
      <c r="BO245" s="179"/>
      <c r="BP245" s="65"/>
      <c r="BQ245" s="177"/>
      <c r="BR245" s="178"/>
      <c r="BS245" s="179"/>
      <c r="BT245" s="65"/>
      <c r="BU245" s="65"/>
      <c r="BV245" s="65"/>
      <c r="BW245" s="65"/>
      <c r="BX245" s="65"/>
      <c r="BY245" s="65"/>
      <c r="BZ245" s="65"/>
      <c r="CA245" s="65"/>
      <c r="CB245" s="65"/>
      <c r="CC245" s="65"/>
      <c r="CD245" s="177"/>
      <c r="CE245" s="179"/>
      <c r="CF245" s="177"/>
      <c r="CG245" s="179"/>
      <c r="CH245" s="177"/>
      <c r="CI245" s="179"/>
      <c r="CJ245" s="177"/>
      <c r="CK245" s="179"/>
      <c r="CL245" s="177"/>
      <c r="CM245" s="179"/>
      <c r="CN245" s="177"/>
      <c r="CO245" s="179"/>
      <c r="CP245" s="177"/>
      <c r="CQ245" s="178"/>
      <c r="CR245" s="179"/>
      <c r="CS245" s="65"/>
      <c r="CT245" s="65"/>
      <c r="CU245" s="271"/>
    </row>
    <row r="246" ht="60.0" hidden="1" customHeight="1">
      <c r="A246" s="65"/>
      <c r="B246" s="65"/>
      <c r="C246" s="167"/>
      <c r="D246" s="205"/>
      <c r="E246" s="262"/>
      <c r="F246" s="170"/>
      <c r="G246" s="170"/>
      <c r="H246" s="170"/>
      <c r="I246" s="170"/>
      <c r="J246" s="170"/>
      <c r="K246" s="171"/>
      <c r="L246" s="171"/>
      <c r="M246" s="171"/>
      <c r="N246" s="209"/>
      <c r="O246" s="172">
        <f t="shared" si="45"/>
        <v>0</v>
      </c>
      <c r="P246" s="65"/>
      <c r="Q246" s="65"/>
      <c r="R246" s="65"/>
      <c r="S246" s="65"/>
      <c r="T246" s="65"/>
      <c r="U246" s="65"/>
      <c r="V246" s="65"/>
      <c r="W246" s="65"/>
      <c r="X246" s="65"/>
      <c r="Y246" s="65"/>
      <c r="Z246" s="65"/>
      <c r="AA246" s="174"/>
      <c r="AB246" s="175"/>
      <c r="AC246" s="175"/>
      <c r="AD246" s="175"/>
      <c r="AE246" s="175"/>
      <c r="AF246" s="175"/>
      <c r="AG246" s="175"/>
      <c r="AH246" s="175"/>
      <c r="AI246" s="176"/>
      <c r="AJ246" s="177"/>
      <c r="AK246" s="178"/>
      <c r="AL246" s="178"/>
      <c r="AM246" s="178"/>
      <c r="AN246" s="178"/>
      <c r="AO246" s="179"/>
      <c r="AP246" s="65"/>
      <c r="AQ246" s="65"/>
      <c r="AR246" s="65"/>
      <c r="AS246" s="65"/>
      <c r="AT246" s="65"/>
      <c r="AU246" s="177"/>
      <c r="AV246" s="178"/>
      <c r="AW246" s="178"/>
      <c r="AX246" s="179"/>
      <c r="AY246" s="65"/>
      <c r="AZ246" s="65"/>
      <c r="BA246" s="177"/>
      <c r="BB246" s="178"/>
      <c r="BC246" s="178"/>
      <c r="BD246" s="178"/>
      <c r="BE246" s="178"/>
      <c r="BF246" s="178"/>
      <c r="BG246" s="178"/>
      <c r="BH246" s="178"/>
      <c r="BI246" s="179"/>
      <c r="BJ246" s="177"/>
      <c r="BK246" s="178"/>
      <c r="BL246" s="178"/>
      <c r="BM246" s="178"/>
      <c r="BN246" s="178"/>
      <c r="BO246" s="179"/>
      <c r="BP246" s="65"/>
      <c r="BQ246" s="177"/>
      <c r="BR246" s="178"/>
      <c r="BS246" s="179"/>
      <c r="BT246" s="65"/>
      <c r="BU246" s="65"/>
      <c r="BV246" s="65"/>
      <c r="BW246" s="65"/>
      <c r="BX246" s="65"/>
      <c r="BY246" s="65"/>
      <c r="BZ246" s="65"/>
      <c r="CA246" s="65"/>
      <c r="CB246" s="65"/>
      <c r="CC246" s="65"/>
      <c r="CD246" s="177"/>
      <c r="CE246" s="179"/>
      <c r="CF246" s="177"/>
      <c r="CG246" s="179"/>
      <c r="CH246" s="177"/>
      <c r="CI246" s="179"/>
      <c r="CJ246" s="177"/>
      <c r="CK246" s="179"/>
      <c r="CL246" s="177"/>
      <c r="CM246" s="179"/>
      <c r="CN246" s="177"/>
      <c r="CO246" s="179"/>
      <c r="CP246" s="177"/>
      <c r="CQ246" s="178"/>
      <c r="CR246" s="179"/>
      <c r="CS246" s="65"/>
      <c r="CT246" s="65"/>
      <c r="CU246" s="271"/>
    </row>
    <row r="247" ht="60.0" hidden="1" customHeight="1">
      <c r="A247" s="65"/>
      <c r="B247" s="65"/>
      <c r="C247" s="167"/>
      <c r="D247" s="205"/>
      <c r="E247" s="262"/>
      <c r="F247" s="170"/>
      <c r="G247" s="170"/>
      <c r="H247" s="170"/>
      <c r="I247" s="170"/>
      <c r="J247" s="170"/>
      <c r="K247" s="171"/>
      <c r="L247" s="171"/>
      <c r="M247" s="171"/>
      <c r="N247" s="209"/>
      <c r="O247" s="172">
        <f t="shared" si="45"/>
        <v>0</v>
      </c>
      <c r="P247" s="65"/>
      <c r="Q247" s="65"/>
      <c r="R247" s="65"/>
      <c r="S247" s="65"/>
      <c r="T247" s="65"/>
      <c r="U247" s="65"/>
      <c r="V247" s="65"/>
      <c r="W247" s="65"/>
      <c r="X247" s="65"/>
      <c r="Y247" s="65"/>
      <c r="Z247" s="65"/>
      <c r="AA247" s="174"/>
      <c r="AB247" s="175"/>
      <c r="AC247" s="175"/>
      <c r="AD247" s="175"/>
      <c r="AE247" s="175"/>
      <c r="AF247" s="175"/>
      <c r="AG247" s="175"/>
      <c r="AH247" s="175"/>
      <c r="AI247" s="176"/>
      <c r="AJ247" s="177"/>
      <c r="AK247" s="178"/>
      <c r="AL247" s="178"/>
      <c r="AM247" s="178"/>
      <c r="AN247" s="178"/>
      <c r="AO247" s="179"/>
      <c r="AP247" s="65"/>
      <c r="AQ247" s="65"/>
      <c r="AR247" s="65"/>
      <c r="AS247" s="65"/>
      <c r="AT247" s="65"/>
      <c r="AU247" s="177"/>
      <c r="AV247" s="178"/>
      <c r="AW247" s="178"/>
      <c r="AX247" s="179"/>
      <c r="AY247" s="65"/>
      <c r="AZ247" s="65"/>
      <c r="BA247" s="177"/>
      <c r="BB247" s="178"/>
      <c r="BC247" s="178"/>
      <c r="BD247" s="178"/>
      <c r="BE247" s="178"/>
      <c r="BF247" s="178"/>
      <c r="BG247" s="178"/>
      <c r="BH247" s="178"/>
      <c r="BI247" s="179"/>
      <c r="BJ247" s="177"/>
      <c r="BK247" s="178"/>
      <c r="BL247" s="178"/>
      <c r="BM247" s="178"/>
      <c r="BN247" s="178"/>
      <c r="BO247" s="179"/>
      <c r="BP247" s="65"/>
      <c r="BQ247" s="177"/>
      <c r="BR247" s="178"/>
      <c r="BS247" s="179"/>
      <c r="BT247" s="65"/>
      <c r="BU247" s="65"/>
      <c r="BV247" s="65"/>
      <c r="BW247" s="65"/>
      <c r="BX247" s="65"/>
      <c r="BY247" s="65"/>
      <c r="BZ247" s="65"/>
      <c r="CA247" s="65"/>
      <c r="CB247" s="65"/>
      <c r="CC247" s="65"/>
      <c r="CD247" s="177"/>
      <c r="CE247" s="179"/>
      <c r="CF247" s="177"/>
      <c r="CG247" s="179"/>
      <c r="CH247" s="177"/>
      <c r="CI247" s="179"/>
      <c r="CJ247" s="177"/>
      <c r="CK247" s="179"/>
      <c r="CL247" s="177"/>
      <c r="CM247" s="179"/>
      <c r="CN247" s="177"/>
      <c r="CO247" s="179"/>
      <c r="CP247" s="177"/>
      <c r="CQ247" s="178"/>
      <c r="CR247" s="179"/>
      <c r="CS247" s="65"/>
      <c r="CT247" s="65"/>
      <c r="CU247" s="271"/>
    </row>
    <row r="248" ht="60.0" hidden="1" customHeight="1">
      <c r="A248" s="65"/>
      <c r="B248" s="65"/>
      <c r="C248" s="167"/>
      <c r="D248" s="205"/>
      <c r="E248" s="262"/>
      <c r="F248" s="170"/>
      <c r="G248" s="170"/>
      <c r="H248" s="170"/>
      <c r="I248" s="170"/>
      <c r="J248" s="170"/>
      <c r="K248" s="171"/>
      <c r="L248" s="171"/>
      <c r="M248" s="171"/>
      <c r="N248" s="209"/>
      <c r="O248" s="172">
        <f t="shared" si="45"/>
        <v>0</v>
      </c>
      <c r="P248" s="65"/>
      <c r="Q248" s="65"/>
      <c r="R248" s="65"/>
      <c r="S248" s="65"/>
      <c r="T248" s="65"/>
      <c r="U248" s="65"/>
      <c r="V248" s="65"/>
      <c r="W248" s="65"/>
      <c r="X248" s="65"/>
      <c r="Y248" s="65"/>
      <c r="Z248" s="65"/>
      <c r="AA248" s="174"/>
      <c r="AB248" s="175"/>
      <c r="AC248" s="175"/>
      <c r="AD248" s="175"/>
      <c r="AE248" s="175"/>
      <c r="AF248" s="175"/>
      <c r="AG248" s="175"/>
      <c r="AH248" s="175"/>
      <c r="AI248" s="176"/>
      <c r="AJ248" s="177"/>
      <c r="AK248" s="178"/>
      <c r="AL248" s="178"/>
      <c r="AM248" s="178"/>
      <c r="AN248" s="178"/>
      <c r="AO248" s="179"/>
      <c r="AP248" s="65"/>
      <c r="AQ248" s="65"/>
      <c r="AR248" s="65"/>
      <c r="AS248" s="65"/>
      <c r="AT248" s="65"/>
      <c r="AU248" s="177"/>
      <c r="AV248" s="178"/>
      <c r="AW248" s="178"/>
      <c r="AX248" s="179"/>
      <c r="AY248" s="65"/>
      <c r="AZ248" s="65"/>
      <c r="BA248" s="177"/>
      <c r="BB248" s="178"/>
      <c r="BC248" s="178"/>
      <c r="BD248" s="178"/>
      <c r="BE248" s="178"/>
      <c r="BF248" s="178"/>
      <c r="BG248" s="178"/>
      <c r="BH248" s="178"/>
      <c r="BI248" s="179"/>
      <c r="BJ248" s="177"/>
      <c r="BK248" s="178"/>
      <c r="BL248" s="178"/>
      <c r="BM248" s="178"/>
      <c r="BN248" s="178"/>
      <c r="BO248" s="179"/>
      <c r="BP248" s="65"/>
      <c r="BQ248" s="177"/>
      <c r="BR248" s="178"/>
      <c r="BS248" s="179"/>
      <c r="BT248" s="65"/>
      <c r="BU248" s="65"/>
      <c r="BV248" s="65"/>
      <c r="BW248" s="65"/>
      <c r="BX248" s="65"/>
      <c r="BY248" s="65"/>
      <c r="BZ248" s="65"/>
      <c r="CA248" s="65"/>
      <c r="CB248" s="65"/>
      <c r="CC248" s="65"/>
      <c r="CD248" s="177"/>
      <c r="CE248" s="179"/>
      <c r="CF248" s="177"/>
      <c r="CG248" s="179"/>
      <c r="CH248" s="177"/>
      <c r="CI248" s="179"/>
      <c r="CJ248" s="177"/>
      <c r="CK248" s="179"/>
      <c r="CL248" s="177"/>
      <c r="CM248" s="179"/>
      <c r="CN248" s="177"/>
      <c r="CO248" s="179"/>
      <c r="CP248" s="177"/>
      <c r="CQ248" s="178"/>
      <c r="CR248" s="179"/>
      <c r="CS248" s="65"/>
      <c r="CT248" s="65"/>
      <c r="CU248" s="271"/>
    </row>
    <row r="249" ht="60.0" hidden="1" customHeight="1">
      <c r="A249" s="89"/>
      <c r="B249" s="89"/>
      <c r="C249" s="183"/>
      <c r="D249" s="210"/>
      <c r="E249" s="263"/>
      <c r="F249" s="186"/>
      <c r="G249" s="186"/>
      <c r="H249" s="186"/>
      <c r="I249" s="186"/>
      <c r="J249" s="186"/>
      <c r="K249" s="187"/>
      <c r="L249" s="187"/>
      <c r="M249" s="187"/>
      <c r="N249" s="214"/>
      <c r="O249" s="188">
        <f t="shared" ref="O249:O255" si="46">IF(AND(M249&lt;&gt;0,M249&lt;&gt;"m",M249&lt;&gt;"",RIGHT(K249,3)="Lec"),1,IF(AND(M249&lt;&gt;0,M249&lt;&gt;"m",M249&lt;&gt;"",OR(RIGHT(K249,3)="Lab",RIGHT(K249,3)="Tut")),0.5,IF(AND(M249&lt;&gt;0,M249&lt;&gt;"m",M249&lt;&gt;"",RIGHT(K249,2)="TL"),0.75,0)))</f>
        <v>0</v>
      </c>
      <c r="P249" s="89"/>
      <c r="Q249" s="89"/>
      <c r="R249" s="89"/>
      <c r="S249" s="89"/>
      <c r="T249" s="89"/>
      <c r="U249" s="89"/>
      <c r="V249" s="89"/>
      <c r="W249" s="89"/>
      <c r="X249" s="89"/>
      <c r="Y249" s="89"/>
      <c r="Z249" s="89"/>
      <c r="AA249" s="189"/>
      <c r="AB249" s="190"/>
      <c r="AC249" s="190"/>
      <c r="AD249" s="190"/>
      <c r="AE249" s="190"/>
      <c r="AF249" s="190"/>
      <c r="AG249" s="190"/>
      <c r="AH249" s="190"/>
      <c r="AI249" s="191"/>
      <c r="AJ249" s="192"/>
      <c r="AK249" s="193"/>
      <c r="AL249" s="193"/>
      <c r="AM249" s="193"/>
      <c r="AN249" s="193"/>
      <c r="AO249" s="194"/>
      <c r="AP249" s="89"/>
      <c r="AQ249" s="89"/>
      <c r="AR249" s="89"/>
      <c r="AS249" s="89"/>
      <c r="AT249" s="89"/>
      <c r="AU249" s="192"/>
      <c r="AV249" s="193"/>
      <c r="AW249" s="193"/>
      <c r="AX249" s="194"/>
      <c r="AY249" s="89"/>
      <c r="AZ249" s="89"/>
      <c r="BA249" s="192"/>
      <c r="BB249" s="193"/>
      <c r="BC249" s="193"/>
      <c r="BD249" s="193"/>
      <c r="BE249" s="193"/>
      <c r="BF249" s="193"/>
      <c r="BG249" s="193"/>
      <c r="BH249" s="193"/>
      <c r="BI249" s="194"/>
      <c r="BJ249" s="192"/>
      <c r="BK249" s="193"/>
      <c r="BL249" s="193"/>
      <c r="BM249" s="193"/>
      <c r="BN249" s="193"/>
      <c r="BO249" s="194"/>
      <c r="BP249" s="89"/>
      <c r="BQ249" s="192"/>
      <c r="BR249" s="193"/>
      <c r="BS249" s="194"/>
      <c r="BT249" s="89"/>
      <c r="BU249" s="89"/>
      <c r="BV249" s="89"/>
      <c r="BW249" s="89"/>
      <c r="BX249" s="89"/>
      <c r="BY249" s="89"/>
      <c r="BZ249" s="89"/>
      <c r="CA249" s="89"/>
      <c r="CB249" s="89"/>
      <c r="CC249" s="89"/>
      <c r="CD249" s="192"/>
      <c r="CE249" s="194"/>
      <c r="CF249" s="192"/>
      <c r="CG249" s="194"/>
      <c r="CH249" s="192"/>
      <c r="CI249" s="194"/>
      <c r="CJ249" s="192"/>
      <c r="CK249" s="194"/>
      <c r="CL249" s="192"/>
      <c r="CM249" s="194"/>
      <c r="CN249" s="192"/>
      <c r="CO249" s="194"/>
      <c r="CP249" s="192"/>
      <c r="CQ249" s="193"/>
      <c r="CR249" s="194"/>
      <c r="CS249" s="89"/>
      <c r="CT249" s="89"/>
      <c r="CU249" s="272"/>
    </row>
    <row r="250" ht="56.25" hidden="1" customHeight="1">
      <c r="A250" s="125">
        <v>23.0</v>
      </c>
      <c r="B250" s="274"/>
      <c r="C250" s="127"/>
      <c r="D250" s="128"/>
      <c r="E250" s="260"/>
      <c r="F250" s="261"/>
      <c r="G250" s="261"/>
      <c r="H250" s="261"/>
      <c r="I250" s="261"/>
      <c r="J250" s="170"/>
      <c r="K250" s="219"/>
      <c r="L250" s="219"/>
      <c r="M250" s="219"/>
      <c r="N250" s="220"/>
      <c r="O250" s="132">
        <f t="shared" si="46"/>
        <v>0</v>
      </c>
      <c r="P250" s="138">
        <f>COUNTIF(K250:K260,"TL")*0.75+COUNTIF(K250:K260,"Lec")*1+COUNTIF(K250:K260,"Lab")*0.5</f>
        <v>0</v>
      </c>
      <c r="Q250" s="135">
        <f>SUM((IF(LEFT(K250,1)="E",O250,0)),(IF(LEFT(K251,1)="E",O251,0)),(IF(LEFT(K252,1)="E",O252,0)),(IF(LEFT(K253,1)="E",O253,0)),(IF(LEFT(K254,1)="E",O254,0)),(IF(LEFT(K255,1)="E",O255,0)),(IF(LEFT(K256,1)="E",O256,0)),(IF(LEFT(K257,1)="E",O257,0)),(IF(LEFT(K258,1)="E",O258,0)),(IF(LEFT(K259,1)="E",O259,0)),(IF(LEFT(K260,1)="E",O260,0)))</f>
        <v>0</v>
      </c>
      <c r="R250" s="135">
        <f>SUM(IF(M256&lt;20,IF(K256="Plec",-1,IF(K256="PTL",-0.75,IF(K256="Plab",-0.5,0))),0),IF(M257&lt;20,IF(K257="Plec",-1,IF(K257="PTL",-0.75,IF(K257="Plab",-0.5,0))),0),IF(M258&lt;20,IF(K258="Plec",-1,IF(K258="PTL",-0.75,IF(K258="Plab",-0.5,0))),0),IF(M259&lt;20,IF(K259="Plec",-1,IF(K259="PTL",-0.75,IF(K259="Plab",-0.5,0))),0))</f>
        <v>0</v>
      </c>
      <c r="S250" s="135">
        <f>SUM(P250:R260)</f>
        <v>0</v>
      </c>
      <c r="T250" s="277">
        <f>SUM(IF(M250="M",IF(OR(K250="lec",K250="plec",K250="slec"),1,IF(OR(K250="lab",K250="plab",K250="slab",K250="tut",K250="ptut",K250="stut"),0.5,IF(OR(K250="TL",K250="pTL",K250="STL"),0.75,0))),0),IF(M251="M",IF(OR(K251="lec",K251="plec",K251="slec"),1,IF(OR(K251="lab",K251="plab",K251="slab",K251="tut",K251="ptut",K251="stut"),0.5,IF(OR(K251="TL",K251="pTL",K251="STL"),0.75,0))),0),IF(M252="M",IF(OR(K252="lec",K252="plec",K252="slec"),1,IF(OR(K252="lab",K252="plab",K252="slab",K252="tut",K252="ptut",K252="stut"),0.5,IF(OR(K252="TL",K252="pTL",K252="STL"),0.75,0))),0),IF(M253="M",IF(OR(K253="lec",K253="plec",K253="slec"),1,IF(OR(K253="lab",K253="plab",K253="slab",K253="tut",K253="ptut",K253="stut"),0.5,IF(OR(K253="TL",K253="pTL",K253="STL"),0.75,0))),0),IF(M254="M",IF(OR(K254="lec",K254="plec",K254="slec"),1,IF(OR(K254="lab",K254="plab",K254="slab",K254="tut",K254="ptut",K254="stut"),0.5,IF(OR(K254="TL",K254="pTL",K254="STL"),0.75,0))),0),IF(M255="M",IF(OR(K255="lec",K255="plec",K255="slec"),1,IF(OR(K255="lab",K255="plab",K255="slab",K255="tut",K255="ptut",K255="stut"),0.5,IF(OR(K255="TL",K255="pTL",K255="STL"),0.75,0))),0),IF(M256="M",IF(OR(K256="lec",K256="plec",K256="slec"),1,IF(OR(K256="lab",K256="plab",K256="slab",K256="tut",K256="ptut",K256="stut"),0.5,IF(OR(K256="TL",K256="pTL",K256="STL"),0.75,0))),0),IF(M257="M",IF(OR(K257="lec",K257="plec",K257="slec"),1,IF(OR(K257="lab",K257="plab",K257="slab",K257="tut",K257="ptut",K257="stut"),0.5,IF(OR(K257="TL",K257="pTL",K257="STL"),0.75,0))),0),IF(M258="M",IF(OR(K258="lec",K258="plec",K258="slec"),1,IF(OR(K258="lab",K258="plab",K258="slab",K258="tut",K258="ptut",K258="stut"),0.5,IF(OR(K258="TL",K258="pTL",K258="STL"),0.75,0))),0),IF(M259="M",IF(OR(K259="lec",K259="plec",K259="slec"),1,IF(OR(K259="lab",K259="plab",K259="slab",K259="tut",K259="ptut",K259="stut"),0.5,IF(OR(K259="TL",K259="pTL",K259="STL"),0.75,0))),0),IF(M260="M",IF(OR(K260="lec",K260="plec",K260="slec"),1,IF(OR(K260="lab",K260="plab",K260="slab",K260="tut",K260="ptut",K260="stut"),0.5,IF(OR(K260="TL",K260="pTL",K260="STL"),0.75,0))),0))</f>
        <v>0</v>
      </c>
      <c r="U250" s="278"/>
      <c r="V250" s="138"/>
      <c r="W250" s="138"/>
      <c r="X250" s="135">
        <f>S250-(T250+U250+V250+W250)</f>
        <v>0</v>
      </c>
      <c r="Y250" s="135" t="str">
        <f>CONCATENATE(SUM(O250:O260),"(",SUM(O250:O260)-X250,")")</f>
        <v>0(0)</v>
      </c>
      <c r="Z250" s="279"/>
      <c r="AA250" s="141"/>
      <c r="AB250" s="142"/>
      <c r="AC250" s="142"/>
      <c r="AD250" s="142"/>
      <c r="AE250" s="142"/>
      <c r="AF250" s="142"/>
      <c r="AG250" s="142"/>
      <c r="AH250" s="142"/>
      <c r="AI250" s="143"/>
      <c r="AJ250" s="144"/>
      <c r="AK250" s="145"/>
      <c r="AL250" s="145"/>
      <c r="AM250" s="145"/>
      <c r="AN250" s="145"/>
      <c r="AO250" s="146"/>
      <c r="AP250" s="280">
        <f>SUM(SUM(O250:O260),SUM(AI250:AI260)/2,AM250)</f>
        <v>0</v>
      </c>
      <c r="AQ250" s="148"/>
      <c r="AR250" s="148">
        <f>AP250*AQ250</f>
        <v>0</v>
      </c>
      <c r="AS250" s="148">
        <f>CT250</f>
        <v>0</v>
      </c>
      <c r="AT250" s="148">
        <f>AR250*0.75+AS250*0.25</f>
        <v>0</v>
      </c>
      <c r="AU250" s="150"/>
      <c r="AV250" s="151"/>
      <c r="AW250" s="151"/>
      <c r="AX250" s="152"/>
      <c r="AY250" s="279"/>
      <c r="AZ250" s="279"/>
      <c r="BA250" s="150"/>
      <c r="BB250" s="151"/>
      <c r="BC250" s="151"/>
      <c r="BD250" s="151"/>
      <c r="BE250" s="151"/>
      <c r="BF250" s="151"/>
      <c r="BG250" s="151"/>
      <c r="BH250" s="151"/>
      <c r="BI250" s="152"/>
      <c r="BJ250" s="150"/>
      <c r="BK250" s="151"/>
      <c r="BL250" s="151"/>
      <c r="BM250" s="151"/>
      <c r="BN250" s="151"/>
      <c r="BO250" s="152"/>
      <c r="BP250" s="279"/>
      <c r="BQ250" s="150"/>
      <c r="BR250" s="151"/>
      <c r="BS250" s="152"/>
      <c r="BT250" s="279"/>
      <c r="BU250" s="279"/>
      <c r="BV250" s="279"/>
      <c r="BW250" s="279"/>
      <c r="BX250" s="279"/>
      <c r="BY250" s="279"/>
      <c r="BZ250" s="279"/>
      <c r="CA250" s="279"/>
      <c r="CB250" s="279"/>
      <c r="CC250" s="279"/>
      <c r="CD250" s="150"/>
      <c r="CE250" s="152"/>
      <c r="CF250" s="150"/>
      <c r="CG250" s="152"/>
      <c r="CH250" s="159"/>
      <c r="CI250" s="281"/>
      <c r="CJ250" s="159"/>
      <c r="CK250" s="281"/>
      <c r="CL250" s="159"/>
      <c r="CM250" s="281"/>
      <c r="CN250" s="159"/>
      <c r="CO250" s="281"/>
      <c r="CP250" s="159"/>
      <c r="CQ250" s="162"/>
      <c r="CR250" s="281"/>
      <c r="CS250" s="163">
        <f>SUM(IF(AU250&lt;0,ABS(AU250),0),IF(AZ250&lt;0,ABS(AZ250),0),ABS(CI250),ABS(CK250),ABS(CM250),ABS(CO250),ABS(CQ250),ABS(CR250))</f>
        <v>0</v>
      </c>
      <c r="CT250" s="254">
        <f>SUM(AU250,AV250,AW250,AX250/400,AY250,AZ250,BG250,BH250*0.5,BI250*0.25,BJ250,BK250,BL250,BM250,BN250,BO250,BP250,BR250/20,BS250/100,BT250/60,BU250,BV250,BW250,BX250/4,SUM(BY250:CC260)/3,CE250,CG250/3,CI250,CK250,CM250,CO250,CQ250,CR250)</f>
        <v>0</v>
      </c>
      <c r="CU250" s="255"/>
    </row>
    <row r="251" ht="60.0" hidden="1" customHeight="1">
      <c r="A251" s="65"/>
      <c r="B251" s="65"/>
      <c r="C251" s="167"/>
      <c r="D251" s="205"/>
      <c r="E251" s="262"/>
      <c r="F251" s="170"/>
      <c r="G251" s="170"/>
      <c r="H251" s="170"/>
      <c r="I251" s="170"/>
      <c r="J251" s="170"/>
      <c r="K251" s="171"/>
      <c r="L251" s="171"/>
      <c r="M251" s="171"/>
      <c r="N251" s="209"/>
      <c r="O251" s="172">
        <f t="shared" si="46"/>
        <v>0</v>
      </c>
      <c r="P251" s="65"/>
      <c r="Q251" s="65"/>
      <c r="R251" s="65"/>
      <c r="S251" s="65"/>
      <c r="T251" s="65"/>
      <c r="U251" s="65"/>
      <c r="V251" s="65"/>
      <c r="W251" s="65"/>
      <c r="X251" s="65"/>
      <c r="Y251" s="65"/>
      <c r="Z251" s="65"/>
      <c r="AA251" s="174"/>
      <c r="AB251" s="175"/>
      <c r="AC251" s="175"/>
      <c r="AD251" s="175"/>
      <c r="AE251" s="175"/>
      <c r="AF251" s="175"/>
      <c r="AG251" s="175"/>
      <c r="AH251" s="175"/>
      <c r="AI251" s="176"/>
      <c r="AJ251" s="177"/>
      <c r="AK251" s="178"/>
      <c r="AL251" s="178"/>
      <c r="AM251" s="178"/>
      <c r="AN251" s="178"/>
      <c r="AO251" s="179"/>
      <c r="AP251" s="65"/>
      <c r="AQ251" s="65"/>
      <c r="AR251" s="65"/>
      <c r="AS251" s="65"/>
      <c r="AT251" s="65"/>
      <c r="AU251" s="177"/>
      <c r="AV251" s="178"/>
      <c r="AW251" s="178"/>
      <c r="AX251" s="179"/>
      <c r="AY251" s="65"/>
      <c r="AZ251" s="65"/>
      <c r="BA251" s="177"/>
      <c r="BB251" s="178"/>
      <c r="BC251" s="178"/>
      <c r="BD251" s="178"/>
      <c r="BE251" s="178"/>
      <c r="BF251" s="178"/>
      <c r="BG251" s="178"/>
      <c r="BH251" s="178"/>
      <c r="BI251" s="179"/>
      <c r="BJ251" s="177"/>
      <c r="BK251" s="178"/>
      <c r="BL251" s="178"/>
      <c r="BM251" s="178"/>
      <c r="BN251" s="178"/>
      <c r="BO251" s="179"/>
      <c r="BP251" s="65"/>
      <c r="BQ251" s="177"/>
      <c r="BR251" s="178"/>
      <c r="BS251" s="179"/>
      <c r="BT251" s="65"/>
      <c r="BU251" s="65"/>
      <c r="BV251" s="65"/>
      <c r="BW251" s="65"/>
      <c r="BX251" s="65"/>
      <c r="BY251" s="65"/>
      <c r="BZ251" s="65"/>
      <c r="CA251" s="65"/>
      <c r="CB251" s="65"/>
      <c r="CC251" s="65"/>
      <c r="CD251" s="177"/>
      <c r="CE251" s="179"/>
      <c r="CF251" s="177"/>
      <c r="CG251" s="179"/>
      <c r="CH251" s="177"/>
      <c r="CI251" s="179"/>
      <c r="CJ251" s="177"/>
      <c r="CK251" s="179"/>
      <c r="CL251" s="177"/>
      <c r="CM251" s="179"/>
      <c r="CN251" s="177"/>
      <c r="CO251" s="179"/>
      <c r="CP251" s="177"/>
      <c r="CQ251" s="178"/>
      <c r="CR251" s="179"/>
      <c r="CS251" s="65"/>
      <c r="CT251" s="65"/>
      <c r="CU251" s="271"/>
    </row>
    <row r="252" ht="60.0" hidden="1" customHeight="1">
      <c r="A252" s="65"/>
      <c r="B252" s="65"/>
      <c r="C252" s="167"/>
      <c r="D252" s="205"/>
      <c r="E252" s="262"/>
      <c r="F252" s="170"/>
      <c r="G252" s="170"/>
      <c r="H252" s="170"/>
      <c r="I252" s="170"/>
      <c r="J252" s="170"/>
      <c r="K252" s="171"/>
      <c r="L252" s="171"/>
      <c r="M252" s="171"/>
      <c r="N252" s="209"/>
      <c r="O252" s="172">
        <f t="shared" si="46"/>
        <v>0</v>
      </c>
      <c r="P252" s="65"/>
      <c r="Q252" s="65"/>
      <c r="R252" s="65"/>
      <c r="S252" s="65"/>
      <c r="T252" s="65"/>
      <c r="U252" s="65"/>
      <c r="V252" s="65"/>
      <c r="W252" s="65"/>
      <c r="X252" s="65"/>
      <c r="Y252" s="65"/>
      <c r="Z252" s="65"/>
      <c r="AA252" s="174"/>
      <c r="AB252" s="175"/>
      <c r="AC252" s="175"/>
      <c r="AD252" s="175"/>
      <c r="AE252" s="175"/>
      <c r="AF252" s="175"/>
      <c r="AG252" s="175"/>
      <c r="AH252" s="175"/>
      <c r="AI252" s="176"/>
      <c r="AJ252" s="177"/>
      <c r="AK252" s="178"/>
      <c r="AL252" s="178"/>
      <c r="AM252" s="178"/>
      <c r="AN252" s="178"/>
      <c r="AO252" s="179"/>
      <c r="AP252" s="65"/>
      <c r="AQ252" s="65"/>
      <c r="AR252" s="65"/>
      <c r="AS252" s="65"/>
      <c r="AT252" s="65"/>
      <c r="AU252" s="177"/>
      <c r="AV252" s="178"/>
      <c r="AW252" s="178"/>
      <c r="AX252" s="179"/>
      <c r="AY252" s="65"/>
      <c r="AZ252" s="65"/>
      <c r="BA252" s="177"/>
      <c r="BB252" s="178"/>
      <c r="BC252" s="178"/>
      <c r="BD252" s="178"/>
      <c r="BE252" s="178"/>
      <c r="BF252" s="178"/>
      <c r="BG252" s="178"/>
      <c r="BH252" s="178"/>
      <c r="BI252" s="179"/>
      <c r="BJ252" s="177"/>
      <c r="BK252" s="178"/>
      <c r="BL252" s="178"/>
      <c r="BM252" s="178"/>
      <c r="BN252" s="178"/>
      <c r="BO252" s="179"/>
      <c r="BP252" s="65"/>
      <c r="BQ252" s="177"/>
      <c r="BR252" s="178"/>
      <c r="BS252" s="179"/>
      <c r="BT252" s="65"/>
      <c r="BU252" s="65"/>
      <c r="BV252" s="65"/>
      <c r="BW252" s="65"/>
      <c r="BX252" s="65"/>
      <c r="BY252" s="65"/>
      <c r="BZ252" s="65"/>
      <c r="CA252" s="65"/>
      <c r="CB252" s="65"/>
      <c r="CC252" s="65"/>
      <c r="CD252" s="177"/>
      <c r="CE252" s="179"/>
      <c r="CF252" s="177"/>
      <c r="CG252" s="179"/>
      <c r="CH252" s="177"/>
      <c r="CI252" s="179"/>
      <c r="CJ252" s="177"/>
      <c r="CK252" s="179"/>
      <c r="CL252" s="177"/>
      <c r="CM252" s="179"/>
      <c r="CN252" s="177"/>
      <c r="CO252" s="179"/>
      <c r="CP252" s="177"/>
      <c r="CQ252" s="178"/>
      <c r="CR252" s="179"/>
      <c r="CS252" s="65"/>
      <c r="CT252" s="65"/>
      <c r="CU252" s="271"/>
    </row>
    <row r="253" ht="60.0" hidden="1" customHeight="1">
      <c r="A253" s="65"/>
      <c r="B253" s="65"/>
      <c r="C253" s="167"/>
      <c r="D253" s="205"/>
      <c r="E253" s="262"/>
      <c r="F253" s="170"/>
      <c r="G253" s="170"/>
      <c r="H253" s="170"/>
      <c r="I253" s="170"/>
      <c r="J253" s="170"/>
      <c r="K253" s="171"/>
      <c r="L253" s="171"/>
      <c r="M253" s="171"/>
      <c r="N253" s="209"/>
      <c r="O253" s="172">
        <f t="shared" si="46"/>
        <v>0</v>
      </c>
      <c r="P253" s="65"/>
      <c r="Q253" s="65"/>
      <c r="R253" s="65"/>
      <c r="S253" s="65"/>
      <c r="T253" s="65"/>
      <c r="U253" s="65"/>
      <c r="V253" s="65"/>
      <c r="W253" s="65"/>
      <c r="X253" s="65"/>
      <c r="Y253" s="65"/>
      <c r="Z253" s="65"/>
      <c r="AA253" s="174"/>
      <c r="AB253" s="175"/>
      <c r="AC253" s="175"/>
      <c r="AD253" s="175"/>
      <c r="AE253" s="175"/>
      <c r="AF253" s="175"/>
      <c r="AG253" s="175"/>
      <c r="AH253" s="175"/>
      <c r="AI253" s="176"/>
      <c r="AJ253" s="177"/>
      <c r="AK253" s="178"/>
      <c r="AL253" s="178"/>
      <c r="AM253" s="178"/>
      <c r="AN253" s="178"/>
      <c r="AO253" s="179"/>
      <c r="AP253" s="65"/>
      <c r="AQ253" s="65"/>
      <c r="AR253" s="65"/>
      <c r="AS253" s="65"/>
      <c r="AT253" s="65"/>
      <c r="AU253" s="177"/>
      <c r="AV253" s="178"/>
      <c r="AW253" s="178"/>
      <c r="AX253" s="179"/>
      <c r="AY253" s="65"/>
      <c r="AZ253" s="65"/>
      <c r="BA253" s="177"/>
      <c r="BB253" s="178"/>
      <c r="BC253" s="178"/>
      <c r="BD253" s="178"/>
      <c r="BE253" s="178"/>
      <c r="BF253" s="178"/>
      <c r="BG253" s="178"/>
      <c r="BH253" s="178"/>
      <c r="BI253" s="179"/>
      <c r="BJ253" s="177"/>
      <c r="BK253" s="178"/>
      <c r="BL253" s="178"/>
      <c r="BM253" s="178"/>
      <c r="BN253" s="178"/>
      <c r="BO253" s="179"/>
      <c r="BP253" s="65"/>
      <c r="BQ253" s="177"/>
      <c r="BR253" s="178"/>
      <c r="BS253" s="179"/>
      <c r="BT253" s="65"/>
      <c r="BU253" s="65"/>
      <c r="BV253" s="65"/>
      <c r="BW253" s="65"/>
      <c r="BX253" s="65"/>
      <c r="BY253" s="65"/>
      <c r="BZ253" s="65"/>
      <c r="CA253" s="65"/>
      <c r="CB253" s="65"/>
      <c r="CC253" s="65"/>
      <c r="CD253" s="177"/>
      <c r="CE253" s="179"/>
      <c r="CF253" s="177"/>
      <c r="CG253" s="179"/>
      <c r="CH253" s="177"/>
      <c r="CI253" s="179"/>
      <c r="CJ253" s="177"/>
      <c r="CK253" s="179"/>
      <c r="CL253" s="177"/>
      <c r="CM253" s="179"/>
      <c r="CN253" s="177"/>
      <c r="CO253" s="179"/>
      <c r="CP253" s="177"/>
      <c r="CQ253" s="178"/>
      <c r="CR253" s="179"/>
      <c r="CS253" s="65"/>
      <c r="CT253" s="65"/>
      <c r="CU253" s="271"/>
    </row>
    <row r="254" ht="60.0" hidden="1" customHeight="1">
      <c r="A254" s="65"/>
      <c r="B254" s="65"/>
      <c r="C254" s="167"/>
      <c r="D254" s="205"/>
      <c r="E254" s="262"/>
      <c r="F254" s="170"/>
      <c r="G254" s="170"/>
      <c r="H254" s="170"/>
      <c r="I254" s="170"/>
      <c r="J254" s="170"/>
      <c r="K254" s="171"/>
      <c r="L254" s="171"/>
      <c r="M254" s="171"/>
      <c r="N254" s="209"/>
      <c r="O254" s="172">
        <f t="shared" si="46"/>
        <v>0</v>
      </c>
      <c r="P254" s="65"/>
      <c r="Q254" s="65"/>
      <c r="R254" s="65"/>
      <c r="S254" s="65"/>
      <c r="T254" s="65"/>
      <c r="U254" s="65"/>
      <c r="V254" s="65"/>
      <c r="W254" s="65"/>
      <c r="X254" s="65"/>
      <c r="Y254" s="65"/>
      <c r="Z254" s="65"/>
      <c r="AA254" s="174"/>
      <c r="AB254" s="175"/>
      <c r="AC254" s="175"/>
      <c r="AD254" s="175"/>
      <c r="AE254" s="175"/>
      <c r="AF254" s="175"/>
      <c r="AG254" s="175"/>
      <c r="AH254" s="175"/>
      <c r="AI254" s="176"/>
      <c r="AJ254" s="177"/>
      <c r="AK254" s="178"/>
      <c r="AL254" s="178"/>
      <c r="AM254" s="178"/>
      <c r="AN254" s="178"/>
      <c r="AO254" s="179"/>
      <c r="AP254" s="65"/>
      <c r="AQ254" s="65"/>
      <c r="AR254" s="65"/>
      <c r="AS254" s="65"/>
      <c r="AT254" s="65"/>
      <c r="AU254" s="177"/>
      <c r="AV254" s="178"/>
      <c r="AW254" s="178"/>
      <c r="AX254" s="179"/>
      <c r="AY254" s="65"/>
      <c r="AZ254" s="65"/>
      <c r="BA254" s="177"/>
      <c r="BB254" s="178"/>
      <c r="BC254" s="178"/>
      <c r="BD254" s="178"/>
      <c r="BE254" s="178"/>
      <c r="BF254" s="178"/>
      <c r="BG254" s="178"/>
      <c r="BH254" s="178"/>
      <c r="BI254" s="179"/>
      <c r="BJ254" s="177"/>
      <c r="BK254" s="178"/>
      <c r="BL254" s="178"/>
      <c r="BM254" s="178"/>
      <c r="BN254" s="178"/>
      <c r="BO254" s="179"/>
      <c r="BP254" s="65"/>
      <c r="BQ254" s="177"/>
      <c r="BR254" s="178"/>
      <c r="BS254" s="179"/>
      <c r="BT254" s="65"/>
      <c r="BU254" s="65"/>
      <c r="BV254" s="65"/>
      <c r="BW254" s="65"/>
      <c r="BX254" s="65"/>
      <c r="BY254" s="65"/>
      <c r="BZ254" s="65"/>
      <c r="CA254" s="65"/>
      <c r="CB254" s="65"/>
      <c r="CC254" s="65"/>
      <c r="CD254" s="177"/>
      <c r="CE254" s="179"/>
      <c r="CF254" s="177"/>
      <c r="CG254" s="179"/>
      <c r="CH254" s="177"/>
      <c r="CI254" s="179"/>
      <c r="CJ254" s="177"/>
      <c r="CK254" s="179"/>
      <c r="CL254" s="177"/>
      <c r="CM254" s="179"/>
      <c r="CN254" s="177"/>
      <c r="CO254" s="179"/>
      <c r="CP254" s="177"/>
      <c r="CQ254" s="178"/>
      <c r="CR254" s="179"/>
      <c r="CS254" s="65"/>
      <c r="CT254" s="65"/>
      <c r="CU254" s="271"/>
    </row>
    <row r="255" ht="60.0" hidden="1" customHeight="1">
      <c r="A255" s="65"/>
      <c r="B255" s="65"/>
      <c r="C255" s="167"/>
      <c r="D255" s="205"/>
      <c r="E255" s="262"/>
      <c r="F255" s="170"/>
      <c r="G255" s="170"/>
      <c r="H255" s="170"/>
      <c r="I255" s="170"/>
      <c r="J255" s="170"/>
      <c r="K255" s="171"/>
      <c r="L255" s="171"/>
      <c r="M255" s="171"/>
      <c r="N255" s="209"/>
      <c r="O255" s="172">
        <f t="shared" si="46"/>
        <v>0</v>
      </c>
      <c r="P255" s="65"/>
      <c r="Q255" s="65"/>
      <c r="R255" s="65"/>
      <c r="S255" s="65"/>
      <c r="T255" s="65"/>
      <c r="U255" s="65"/>
      <c r="V255" s="65"/>
      <c r="W255" s="65"/>
      <c r="X255" s="65"/>
      <c r="Y255" s="65"/>
      <c r="Z255" s="65"/>
      <c r="AA255" s="174"/>
      <c r="AB255" s="175"/>
      <c r="AC255" s="175"/>
      <c r="AD255" s="175"/>
      <c r="AE255" s="175"/>
      <c r="AF255" s="175"/>
      <c r="AG255" s="175"/>
      <c r="AH255" s="175"/>
      <c r="AI255" s="176"/>
      <c r="AJ255" s="177"/>
      <c r="AK255" s="178"/>
      <c r="AL255" s="178"/>
      <c r="AM255" s="178"/>
      <c r="AN255" s="178"/>
      <c r="AO255" s="179"/>
      <c r="AP255" s="65"/>
      <c r="AQ255" s="65"/>
      <c r="AR255" s="65"/>
      <c r="AS255" s="65"/>
      <c r="AT255" s="65"/>
      <c r="AU255" s="177"/>
      <c r="AV255" s="178"/>
      <c r="AW255" s="178"/>
      <c r="AX255" s="179"/>
      <c r="AY255" s="65"/>
      <c r="AZ255" s="65"/>
      <c r="BA255" s="177"/>
      <c r="BB255" s="178"/>
      <c r="BC255" s="178"/>
      <c r="BD255" s="178"/>
      <c r="BE255" s="178"/>
      <c r="BF255" s="178"/>
      <c r="BG255" s="178"/>
      <c r="BH255" s="178"/>
      <c r="BI255" s="179"/>
      <c r="BJ255" s="177"/>
      <c r="BK255" s="178"/>
      <c r="BL255" s="178"/>
      <c r="BM255" s="178"/>
      <c r="BN255" s="178"/>
      <c r="BO255" s="179"/>
      <c r="BP255" s="65"/>
      <c r="BQ255" s="177"/>
      <c r="BR255" s="178"/>
      <c r="BS255" s="179"/>
      <c r="BT255" s="65"/>
      <c r="BU255" s="65"/>
      <c r="BV255" s="65"/>
      <c r="BW255" s="65"/>
      <c r="BX255" s="65"/>
      <c r="BY255" s="65"/>
      <c r="BZ255" s="65"/>
      <c r="CA255" s="65"/>
      <c r="CB255" s="65"/>
      <c r="CC255" s="65"/>
      <c r="CD255" s="177"/>
      <c r="CE255" s="179"/>
      <c r="CF255" s="177"/>
      <c r="CG255" s="179"/>
      <c r="CH255" s="177"/>
      <c r="CI255" s="179"/>
      <c r="CJ255" s="177"/>
      <c r="CK255" s="179"/>
      <c r="CL255" s="177"/>
      <c r="CM255" s="179"/>
      <c r="CN255" s="177"/>
      <c r="CO255" s="179"/>
      <c r="CP255" s="177"/>
      <c r="CQ255" s="178"/>
      <c r="CR255" s="179"/>
      <c r="CS255" s="65"/>
      <c r="CT255" s="65"/>
      <c r="CU255" s="271"/>
    </row>
    <row r="256" ht="60.0" hidden="1" customHeight="1">
      <c r="A256" s="65"/>
      <c r="B256" s="65"/>
      <c r="C256" s="167"/>
      <c r="D256" s="205"/>
      <c r="E256" s="262"/>
      <c r="F256" s="170"/>
      <c r="G256" s="170"/>
      <c r="H256" s="170"/>
      <c r="I256" s="170"/>
      <c r="J256" s="170"/>
      <c r="K256" s="171"/>
      <c r="L256" s="171"/>
      <c r="M256" s="171"/>
      <c r="N256" s="209"/>
      <c r="O256" s="172">
        <f t="shared" ref="O256:O259" si="47">IF(AND(M256&gt;=20,M256&lt;&gt;"m",RIGHT(K256,3)="Lec"),1,IF(AND(M256&gt;=20,M256&lt;&gt;"m",OR(RIGHT(K256,3)="Lab",RIGHT(K256,3)="Tut")),0.5,IF(AND(M256&gt;=20,M256&lt;&gt;"m",RIGHT(K256,2)="TL"),0.75,0)))</f>
        <v>0</v>
      </c>
      <c r="P256" s="65"/>
      <c r="Q256" s="65"/>
      <c r="R256" s="65"/>
      <c r="S256" s="65"/>
      <c r="T256" s="65"/>
      <c r="U256" s="65"/>
      <c r="V256" s="65"/>
      <c r="W256" s="65"/>
      <c r="X256" s="65"/>
      <c r="Y256" s="65"/>
      <c r="Z256" s="65"/>
      <c r="AA256" s="174"/>
      <c r="AB256" s="175"/>
      <c r="AC256" s="175"/>
      <c r="AD256" s="175"/>
      <c r="AE256" s="175"/>
      <c r="AF256" s="175"/>
      <c r="AG256" s="175"/>
      <c r="AH256" s="175"/>
      <c r="AI256" s="176"/>
      <c r="AJ256" s="177"/>
      <c r="AK256" s="178"/>
      <c r="AL256" s="178"/>
      <c r="AM256" s="178"/>
      <c r="AN256" s="178"/>
      <c r="AO256" s="179"/>
      <c r="AP256" s="65"/>
      <c r="AQ256" s="65"/>
      <c r="AR256" s="65"/>
      <c r="AS256" s="65"/>
      <c r="AT256" s="65"/>
      <c r="AU256" s="177"/>
      <c r="AV256" s="178"/>
      <c r="AW256" s="178"/>
      <c r="AX256" s="179"/>
      <c r="AY256" s="65"/>
      <c r="AZ256" s="65"/>
      <c r="BA256" s="177"/>
      <c r="BB256" s="178"/>
      <c r="BC256" s="178"/>
      <c r="BD256" s="178"/>
      <c r="BE256" s="178"/>
      <c r="BF256" s="178"/>
      <c r="BG256" s="178"/>
      <c r="BH256" s="178"/>
      <c r="BI256" s="179"/>
      <c r="BJ256" s="177"/>
      <c r="BK256" s="178"/>
      <c r="BL256" s="178"/>
      <c r="BM256" s="178"/>
      <c r="BN256" s="178"/>
      <c r="BO256" s="179"/>
      <c r="BP256" s="65"/>
      <c r="BQ256" s="177"/>
      <c r="BR256" s="178"/>
      <c r="BS256" s="179"/>
      <c r="BT256" s="65"/>
      <c r="BU256" s="65"/>
      <c r="BV256" s="65"/>
      <c r="BW256" s="65"/>
      <c r="BX256" s="65"/>
      <c r="BY256" s="65"/>
      <c r="BZ256" s="65"/>
      <c r="CA256" s="65"/>
      <c r="CB256" s="65"/>
      <c r="CC256" s="65"/>
      <c r="CD256" s="177"/>
      <c r="CE256" s="179"/>
      <c r="CF256" s="177"/>
      <c r="CG256" s="179"/>
      <c r="CH256" s="177"/>
      <c r="CI256" s="179"/>
      <c r="CJ256" s="177"/>
      <c r="CK256" s="179"/>
      <c r="CL256" s="177"/>
      <c r="CM256" s="179"/>
      <c r="CN256" s="177"/>
      <c r="CO256" s="179"/>
      <c r="CP256" s="177"/>
      <c r="CQ256" s="178"/>
      <c r="CR256" s="179"/>
      <c r="CS256" s="65"/>
      <c r="CT256" s="65"/>
      <c r="CU256" s="271"/>
    </row>
    <row r="257" ht="60.0" hidden="1" customHeight="1">
      <c r="A257" s="65"/>
      <c r="B257" s="65"/>
      <c r="C257" s="167"/>
      <c r="D257" s="205"/>
      <c r="E257" s="262"/>
      <c r="F257" s="170"/>
      <c r="G257" s="170"/>
      <c r="H257" s="170"/>
      <c r="I257" s="170"/>
      <c r="J257" s="170"/>
      <c r="K257" s="171"/>
      <c r="L257" s="171"/>
      <c r="M257" s="171"/>
      <c r="N257" s="209"/>
      <c r="O257" s="172">
        <f t="shared" si="47"/>
        <v>0</v>
      </c>
      <c r="P257" s="65"/>
      <c r="Q257" s="65"/>
      <c r="R257" s="65"/>
      <c r="S257" s="65"/>
      <c r="T257" s="65"/>
      <c r="U257" s="65"/>
      <c r="V257" s="65"/>
      <c r="W257" s="65"/>
      <c r="X257" s="65"/>
      <c r="Y257" s="65"/>
      <c r="Z257" s="65"/>
      <c r="AA257" s="174"/>
      <c r="AB257" s="175"/>
      <c r="AC257" s="175"/>
      <c r="AD257" s="175"/>
      <c r="AE257" s="175"/>
      <c r="AF257" s="175"/>
      <c r="AG257" s="175"/>
      <c r="AH257" s="175"/>
      <c r="AI257" s="176"/>
      <c r="AJ257" s="177"/>
      <c r="AK257" s="178"/>
      <c r="AL257" s="178"/>
      <c r="AM257" s="178"/>
      <c r="AN257" s="178"/>
      <c r="AO257" s="179"/>
      <c r="AP257" s="65"/>
      <c r="AQ257" s="65"/>
      <c r="AR257" s="65"/>
      <c r="AS257" s="65"/>
      <c r="AT257" s="65"/>
      <c r="AU257" s="177"/>
      <c r="AV257" s="178"/>
      <c r="AW257" s="178"/>
      <c r="AX257" s="179"/>
      <c r="AY257" s="65"/>
      <c r="AZ257" s="65"/>
      <c r="BA257" s="177"/>
      <c r="BB257" s="178"/>
      <c r="BC257" s="178"/>
      <c r="BD257" s="178"/>
      <c r="BE257" s="178"/>
      <c r="BF257" s="178"/>
      <c r="BG257" s="178"/>
      <c r="BH257" s="178"/>
      <c r="BI257" s="179"/>
      <c r="BJ257" s="177"/>
      <c r="BK257" s="178"/>
      <c r="BL257" s="178"/>
      <c r="BM257" s="178"/>
      <c r="BN257" s="178"/>
      <c r="BO257" s="179"/>
      <c r="BP257" s="65"/>
      <c r="BQ257" s="177"/>
      <c r="BR257" s="178"/>
      <c r="BS257" s="179"/>
      <c r="BT257" s="65"/>
      <c r="BU257" s="65"/>
      <c r="BV257" s="65"/>
      <c r="BW257" s="65"/>
      <c r="BX257" s="65"/>
      <c r="BY257" s="65"/>
      <c r="BZ257" s="65"/>
      <c r="CA257" s="65"/>
      <c r="CB257" s="65"/>
      <c r="CC257" s="65"/>
      <c r="CD257" s="177"/>
      <c r="CE257" s="179"/>
      <c r="CF257" s="177"/>
      <c r="CG257" s="179"/>
      <c r="CH257" s="177"/>
      <c r="CI257" s="179"/>
      <c r="CJ257" s="177"/>
      <c r="CK257" s="179"/>
      <c r="CL257" s="177"/>
      <c r="CM257" s="179"/>
      <c r="CN257" s="177"/>
      <c r="CO257" s="179"/>
      <c r="CP257" s="177"/>
      <c r="CQ257" s="178"/>
      <c r="CR257" s="179"/>
      <c r="CS257" s="65"/>
      <c r="CT257" s="65"/>
      <c r="CU257" s="271"/>
    </row>
    <row r="258" ht="60.0" hidden="1" customHeight="1">
      <c r="A258" s="65"/>
      <c r="B258" s="65"/>
      <c r="C258" s="167"/>
      <c r="D258" s="205"/>
      <c r="E258" s="262"/>
      <c r="F258" s="170"/>
      <c r="G258" s="170"/>
      <c r="H258" s="170"/>
      <c r="I258" s="170"/>
      <c r="J258" s="170"/>
      <c r="K258" s="171"/>
      <c r="L258" s="171"/>
      <c r="M258" s="171"/>
      <c r="N258" s="209"/>
      <c r="O258" s="172">
        <f t="shared" si="47"/>
        <v>0</v>
      </c>
      <c r="P258" s="65"/>
      <c r="Q258" s="65"/>
      <c r="R258" s="65"/>
      <c r="S258" s="65"/>
      <c r="T258" s="65"/>
      <c r="U258" s="65"/>
      <c r="V258" s="65"/>
      <c r="W258" s="65"/>
      <c r="X258" s="65"/>
      <c r="Y258" s="65"/>
      <c r="Z258" s="65"/>
      <c r="AA258" s="174"/>
      <c r="AB258" s="175"/>
      <c r="AC258" s="175"/>
      <c r="AD258" s="175"/>
      <c r="AE258" s="175"/>
      <c r="AF258" s="175"/>
      <c r="AG258" s="175"/>
      <c r="AH258" s="175"/>
      <c r="AI258" s="176"/>
      <c r="AJ258" s="177"/>
      <c r="AK258" s="178"/>
      <c r="AL258" s="178"/>
      <c r="AM258" s="178"/>
      <c r="AN258" s="178"/>
      <c r="AO258" s="179"/>
      <c r="AP258" s="65"/>
      <c r="AQ258" s="65"/>
      <c r="AR258" s="65"/>
      <c r="AS258" s="65"/>
      <c r="AT258" s="65"/>
      <c r="AU258" s="177"/>
      <c r="AV258" s="178"/>
      <c r="AW258" s="178"/>
      <c r="AX258" s="179"/>
      <c r="AY258" s="65"/>
      <c r="AZ258" s="65"/>
      <c r="BA258" s="177"/>
      <c r="BB258" s="178"/>
      <c r="BC258" s="178"/>
      <c r="BD258" s="178"/>
      <c r="BE258" s="178"/>
      <c r="BF258" s="178"/>
      <c r="BG258" s="178"/>
      <c r="BH258" s="178"/>
      <c r="BI258" s="179"/>
      <c r="BJ258" s="177"/>
      <c r="BK258" s="178"/>
      <c r="BL258" s="178"/>
      <c r="BM258" s="178"/>
      <c r="BN258" s="178"/>
      <c r="BO258" s="179"/>
      <c r="BP258" s="65"/>
      <c r="BQ258" s="177"/>
      <c r="BR258" s="178"/>
      <c r="BS258" s="179"/>
      <c r="BT258" s="65"/>
      <c r="BU258" s="65"/>
      <c r="BV258" s="65"/>
      <c r="BW258" s="65"/>
      <c r="BX258" s="65"/>
      <c r="BY258" s="65"/>
      <c r="BZ258" s="65"/>
      <c r="CA258" s="65"/>
      <c r="CB258" s="65"/>
      <c r="CC258" s="65"/>
      <c r="CD258" s="177"/>
      <c r="CE258" s="179"/>
      <c r="CF258" s="177"/>
      <c r="CG258" s="179"/>
      <c r="CH258" s="177"/>
      <c r="CI258" s="179"/>
      <c r="CJ258" s="177"/>
      <c r="CK258" s="179"/>
      <c r="CL258" s="177"/>
      <c r="CM258" s="179"/>
      <c r="CN258" s="177"/>
      <c r="CO258" s="179"/>
      <c r="CP258" s="177"/>
      <c r="CQ258" s="178"/>
      <c r="CR258" s="179"/>
      <c r="CS258" s="65"/>
      <c r="CT258" s="65"/>
      <c r="CU258" s="271"/>
    </row>
    <row r="259" ht="60.0" hidden="1" customHeight="1">
      <c r="A259" s="65"/>
      <c r="B259" s="65"/>
      <c r="C259" s="167"/>
      <c r="D259" s="205"/>
      <c r="E259" s="262"/>
      <c r="F259" s="170"/>
      <c r="G259" s="170"/>
      <c r="H259" s="170"/>
      <c r="I259" s="170"/>
      <c r="J259" s="170"/>
      <c r="K259" s="171"/>
      <c r="L259" s="171"/>
      <c r="M259" s="171"/>
      <c r="N259" s="209"/>
      <c r="O259" s="172">
        <f t="shared" si="47"/>
        <v>0</v>
      </c>
      <c r="P259" s="65"/>
      <c r="Q259" s="65"/>
      <c r="R259" s="65"/>
      <c r="S259" s="65"/>
      <c r="T259" s="65"/>
      <c r="U259" s="65"/>
      <c r="V259" s="65"/>
      <c r="W259" s="65"/>
      <c r="X259" s="65"/>
      <c r="Y259" s="65"/>
      <c r="Z259" s="65"/>
      <c r="AA259" s="174"/>
      <c r="AB259" s="175"/>
      <c r="AC259" s="175"/>
      <c r="AD259" s="175"/>
      <c r="AE259" s="175"/>
      <c r="AF259" s="175"/>
      <c r="AG259" s="175"/>
      <c r="AH259" s="175"/>
      <c r="AI259" s="176"/>
      <c r="AJ259" s="177"/>
      <c r="AK259" s="178"/>
      <c r="AL259" s="178"/>
      <c r="AM259" s="178"/>
      <c r="AN259" s="178"/>
      <c r="AO259" s="179"/>
      <c r="AP259" s="65"/>
      <c r="AQ259" s="65"/>
      <c r="AR259" s="65"/>
      <c r="AS259" s="65"/>
      <c r="AT259" s="65"/>
      <c r="AU259" s="177"/>
      <c r="AV259" s="178"/>
      <c r="AW259" s="178"/>
      <c r="AX259" s="179"/>
      <c r="AY259" s="65"/>
      <c r="AZ259" s="65"/>
      <c r="BA259" s="177"/>
      <c r="BB259" s="178"/>
      <c r="BC259" s="178"/>
      <c r="BD259" s="178"/>
      <c r="BE259" s="178"/>
      <c r="BF259" s="178"/>
      <c r="BG259" s="178"/>
      <c r="BH259" s="178"/>
      <c r="BI259" s="179"/>
      <c r="BJ259" s="177"/>
      <c r="BK259" s="178"/>
      <c r="BL259" s="178"/>
      <c r="BM259" s="178"/>
      <c r="BN259" s="178"/>
      <c r="BO259" s="179"/>
      <c r="BP259" s="65"/>
      <c r="BQ259" s="177"/>
      <c r="BR259" s="178"/>
      <c r="BS259" s="179"/>
      <c r="BT259" s="65"/>
      <c r="BU259" s="65"/>
      <c r="BV259" s="65"/>
      <c r="BW259" s="65"/>
      <c r="BX259" s="65"/>
      <c r="BY259" s="65"/>
      <c r="BZ259" s="65"/>
      <c r="CA259" s="65"/>
      <c r="CB259" s="65"/>
      <c r="CC259" s="65"/>
      <c r="CD259" s="177"/>
      <c r="CE259" s="179"/>
      <c r="CF259" s="177"/>
      <c r="CG259" s="179"/>
      <c r="CH259" s="177"/>
      <c r="CI259" s="179"/>
      <c r="CJ259" s="177"/>
      <c r="CK259" s="179"/>
      <c r="CL259" s="177"/>
      <c r="CM259" s="179"/>
      <c r="CN259" s="177"/>
      <c r="CO259" s="179"/>
      <c r="CP259" s="177"/>
      <c r="CQ259" s="178"/>
      <c r="CR259" s="179"/>
      <c r="CS259" s="65"/>
      <c r="CT259" s="65"/>
      <c r="CU259" s="271"/>
    </row>
    <row r="260" ht="60.0" hidden="1" customHeight="1">
      <c r="A260" s="89"/>
      <c r="B260" s="89"/>
      <c r="C260" s="183"/>
      <c r="D260" s="210"/>
      <c r="E260" s="263"/>
      <c r="F260" s="186"/>
      <c r="G260" s="186"/>
      <c r="H260" s="186"/>
      <c r="I260" s="186"/>
      <c r="J260" s="186"/>
      <c r="K260" s="187"/>
      <c r="L260" s="187"/>
      <c r="M260" s="187"/>
      <c r="N260" s="214"/>
      <c r="O260" s="188">
        <f t="shared" ref="O260:O266" si="48">IF(AND(M260&lt;&gt;0,M260&lt;&gt;"m",M260&lt;&gt;"",RIGHT(K260,3)="Lec"),1,IF(AND(M260&lt;&gt;0,M260&lt;&gt;"m",M260&lt;&gt;"",OR(RIGHT(K260,3)="Lab",RIGHT(K260,3)="Tut")),0.5,IF(AND(M260&lt;&gt;0,M260&lt;&gt;"m",M260&lt;&gt;"",RIGHT(K260,2)="TL"),0.75,0)))</f>
        <v>0</v>
      </c>
      <c r="P260" s="89"/>
      <c r="Q260" s="89"/>
      <c r="R260" s="89"/>
      <c r="S260" s="89"/>
      <c r="T260" s="89"/>
      <c r="U260" s="89"/>
      <c r="V260" s="89"/>
      <c r="W260" s="89"/>
      <c r="X260" s="89"/>
      <c r="Y260" s="89"/>
      <c r="Z260" s="89"/>
      <c r="AA260" s="189"/>
      <c r="AB260" s="190"/>
      <c r="AC260" s="190"/>
      <c r="AD260" s="190"/>
      <c r="AE260" s="190"/>
      <c r="AF260" s="190"/>
      <c r="AG260" s="190"/>
      <c r="AH260" s="190"/>
      <c r="AI260" s="191"/>
      <c r="AJ260" s="192"/>
      <c r="AK260" s="193"/>
      <c r="AL260" s="193"/>
      <c r="AM260" s="193"/>
      <c r="AN260" s="193"/>
      <c r="AO260" s="194"/>
      <c r="AP260" s="89"/>
      <c r="AQ260" s="89"/>
      <c r="AR260" s="89"/>
      <c r="AS260" s="89"/>
      <c r="AT260" s="89"/>
      <c r="AU260" s="192"/>
      <c r="AV260" s="193"/>
      <c r="AW260" s="193"/>
      <c r="AX260" s="194"/>
      <c r="AY260" s="89"/>
      <c r="AZ260" s="89"/>
      <c r="BA260" s="192"/>
      <c r="BB260" s="193"/>
      <c r="BC260" s="193"/>
      <c r="BD260" s="193"/>
      <c r="BE260" s="193"/>
      <c r="BF260" s="193"/>
      <c r="BG260" s="193"/>
      <c r="BH260" s="193"/>
      <c r="BI260" s="194"/>
      <c r="BJ260" s="192"/>
      <c r="BK260" s="193"/>
      <c r="BL260" s="193"/>
      <c r="BM260" s="193"/>
      <c r="BN260" s="193"/>
      <c r="BO260" s="194"/>
      <c r="BP260" s="89"/>
      <c r="BQ260" s="192"/>
      <c r="BR260" s="193"/>
      <c r="BS260" s="194"/>
      <c r="BT260" s="89"/>
      <c r="BU260" s="89"/>
      <c r="BV260" s="89"/>
      <c r="BW260" s="89"/>
      <c r="BX260" s="89"/>
      <c r="BY260" s="89"/>
      <c r="BZ260" s="89"/>
      <c r="CA260" s="89"/>
      <c r="CB260" s="89"/>
      <c r="CC260" s="89"/>
      <c r="CD260" s="192"/>
      <c r="CE260" s="194"/>
      <c r="CF260" s="192"/>
      <c r="CG260" s="194"/>
      <c r="CH260" s="192"/>
      <c r="CI260" s="194"/>
      <c r="CJ260" s="192"/>
      <c r="CK260" s="194"/>
      <c r="CL260" s="192"/>
      <c r="CM260" s="194"/>
      <c r="CN260" s="192"/>
      <c r="CO260" s="194"/>
      <c r="CP260" s="192"/>
      <c r="CQ260" s="193"/>
      <c r="CR260" s="194"/>
      <c r="CS260" s="89"/>
      <c r="CT260" s="89"/>
      <c r="CU260" s="272"/>
    </row>
    <row r="261" ht="56.25" hidden="1" customHeight="1">
      <c r="A261" s="125">
        <v>24.0</v>
      </c>
      <c r="B261" s="274"/>
      <c r="C261" s="127"/>
      <c r="D261" s="128"/>
      <c r="E261" s="260"/>
      <c r="F261" s="261"/>
      <c r="G261" s="261"/>
      <c r="H261" s="261"/>
      <c r="I261" s="261"/>
      <c r="J261" s="170"/>
      <c r="K261" s="219"/>
      <c r="L261" s="219"/>
      <c r="M261" s="219"/>
      <c r="N261" s="220"/>
      <c r="O261" s="132">
        <f t="shared" si="48"/>
        <v>0</v>
      </c>
      <c r="P261" s="138">
        <f>COUNTIF(K261:K271,"TL")*0.75+COUNTIF(K261:K271,"Lec")*1+COUNTIF(K261:K271,"Lab")*0.5</f>
        <v>0</v>
      </c>
      <c r="Q261" s="135">
        <f>SUM((IF(LEFT(K261,1)="E",O261,0)),(IF(LEFT(K262,1)="E",O262,0)),(IF(LEFT(K263,1)="E",O263,0)),(IF(LEFT(K264,1)="E",O264,0)),(IF(LEFT(K265,1)="E",O265,0)),(IF(LEFT(K266,1)="E",O266,0)),(IF(LEFT(K267,1)="E",O267,0)),(IF(LEFT(K268,1)="E",O268,0)),(IF(LEFT(K269,1)="E",O269,0)),(IF(LEFT(K270,1)="E",O270,0)),(IF(LEFT(K271,1)="E",O271,0)))</f>
        <v>0</v>
      </c>
      <c r="R261" s="135">
        <f>SUM(IF(M267&lt;20,IF(K267="Plec",-1,IF(K267="PTL",-0.75,IF(K267="Plab",-0.5,0))),0),IF(M268&lt;20,IF(K268="Plec",-1,IF(K268="PTL",-0.75,IF(K268="Plab",-0.5,0))),0),IF(M269&lt;20,IF(K269="Plec",-1,IF(K269="PTL",-0.75,IF(K269="Plab",-0.5,0))),0),IF(M270&lt;20,IF(K270="Plec",-1,IF(K270="PTL",-0.75,IF(K270="Plab",-0.5,0))),0))</f>
        <v>0</v>
      </c>
      <c r="S261" s="135">
        <f>SUM(P261:R271)</f>
        <v>0</v>
      </c>
      <c r="T261" s="277">
        <f>SUM(IF(M261="M",IF(OR(K261="lec",K261="plec",K261="slec"),1,IF(OR(K261="lab",K261="plab",K261="slab",K261="tut",K261="ptut",K261="stut"),0.5,IF(OR(K261="TL",K261="pTL",K261="STL"),0.75,0))),0),IF(M262="M",IF(OR(K262="lec",K262="plec",K262="slec"),1,IF(OR(K262="lab",K262="plab",K262="slab",K262="tut",K262="ptut",K262="stut"),0.5,IF(OR(K262="TL",K262="pTL",K262="STL"),0.75,0))),0),IF(M263="M",IF(OR(K263="lec",K263="plec",K263="slec"),1,IF(OR(K263="lab",K263="plab",K263="slab",K263="tut",K263="ptut",K263="stut"),0.5,IF(OR(K263="TL",K263="pTL",K263="STL"),0.75,0))),0),IF(M264="M",IF(OR(K264="lec",K264="plec",K264="slec"),1,IF(OR(K264="lab",K264="plab",K264="slab",K264="tut",K264="ptut",K264="stut"),0.5,IF(OR(K264="TL",K264="pTL",K264="STL"),0.75,0))),0),IF(M265="M",IF(OR(K265="lec",K265="plec",K265="slec"),1,IF(OR(K265="lab",K265="plab",K265="slab",K265="tut",K265="ptut",K265="stut"),0.5,IF(OR(K265="TL",K265="pTL",K265="STL"),0.75,0))),0),IF(M266="M",IF(OR(K266="lec",K266="plec",K266="slec"),1,IF(OR(K266="lab",K266="plab",K266="slab",K266="tut",K266="ptut",K266="stut"),0.5,IF(OR(K266="TL",K266="pTL",K266="STL"),0.75,0))),0),IF(M267="M",IF(OR(K267="lec",K267="plec",K267="slec"),1,IF(OR(K267="lab",K267="plab",K267="slab",K267="tut",K267="ptut",K267="stut"),0.5,IF(OR(K267="TL",K267="pTL",K267="STL"),0.75,0))),0),IF(M268="M",IF(OR(K268="lec",K268="plec",K268="slec"),1,IF(OR(K268="lab",K268="plab",K268="slab",K268="tut",K268="ptut",K268="stut"),0.5,IF(OR(K268="TL",K268="pTL",K268="STL"),0.75,0))),0),IF(M269="M",IF(OR(K269="lec",K269="plec",K269="slec"),1,IF(OR(K269="lab",K269="plab",K269="slab",K269="tut",K269="ptut",K269="stut"),0.5,IF(OR(K269="TL",K269="pTL",K269="STL"),0.75,0))),0),IF(M270="M",IF(OR(K270="lec",K270="plec",K270="slec"),1,IF(OR(K270="lab",K270="plab",K270="slab",K270="tut",K270="ptut",K270="stut"),0.5,IF(OR(K270="TL",K270="pTL",K270="STL"),0.75,0))),0),IF(M271="M",IF(OR(K271="lec",K271="plec",K271="slec"),1,IF(OR(K271="lab",K271="plab",K271="slab",K271="tut",K271="ptut",K271="stut"),0.5,IF(OR(K271="TL",K271="pTL",K271="STL"),0.75,0))),0))</f>
        <v>0</v>
      </c>
      <c r="U261" s="278"/>
      <c r="V261" s="138"/>
      <c r="W261" s="138"/>
      <c r="X261" s="135">
        <f>S261-(T261+U261+V261+W261)</f>
        <v>0</v>
      </c>
      <c r="Y261" s="135" t="str">
        <f>CONCATENATE(SUM(O261:O271),"(",SUM(O261:O271)-X261,")")</f>
        <v>0(0)</v>
      </c>
      <c r="Z261" s="279"/>
      <c r="AA261" s="141"/>
      <c r="AB261" s="142"/>
      <c r="AC261" s="142"/>
      <c r="AD261" s="142"/>
      <c r="AE261" s="142"/>
      <c r="AF261" s="142"/>
      <c r="AG261" s="142"/>
      <c r="AH261" s="142"/>
      <c r="AI261" s="143"/>
      <c r="AJ261" s="144"/>
      <c r="AK261" s="145"/>
      <c r="AL261" s="145"/>
      <c r="AM261" s="145"/>
      <c r="AN261" s="145"/>
      <c r="AO261" s="146"/>
      <c r="AP261" s="280">
        <f>SUM(SUM(O261:O271),SUM(AI261:AI271)/2,AM261)</f>
        <v>0</v>
      </c>
      <c r="AQ261" s="148"/>
      <c r="AR261" s="148">
        <f>AP261*AQ261</f>
        <v>0</v>
      </c>
      <c r="AS261" s="148">
        <f>CT261</f>
        <v>0</v>
      </c>
      <c r="AT261" s="148">
        <f>AR261*0.75+AS261*0.25</f>
        <v>0</v>
      </c>
      <c r="AU261" s="150"/>
      <c r="AV261" s="151"/>
      <c r="AW261" s="151"/>
      <c r="AX261" s="152"/>
      <c r="AY261" s="279"/>
      <c r="AZ261" s="279"/>
      <c r="BA261" s="150"/>
      <c r="BB261" s="151"/>
      <c r="BC261" s="151"/>
      <c r="BD261" s="151"/>
      <c r="BE261" s="151"/>
      <c r="BF261" s="151"/>
      <c r="BG261" s="151"/>
      <c r="BH261" s="151"/>
      <c r="BI261" s="152"/>
      <c r="BJ261" s="150"/>
      <c r="BK261" s="151"/>
      <c r="BL261" s="151"/>
      <c r="BM261" s="151"/>
      <c r="BN261" s="151"/>
      <c r="BO261" s="152"/>
      <c r="BP261" s="279"/>
      <c r="BQ261" s="150"/>
      <c r="BR261" s="151"/>
      <c r="BS261" s="152"/>
      <c r="BT261" s="279"/>
      <c r="BU261" s="279"/>
      <c r="BV261" s="279"/>
      <c r="BW261" s="279"/>
      <c r="BX261" s="279"/>
      <c r="BY261" s="279"/>
      <c r="BZ261" s="279"/>
      <c r="CA261" s="279"/>
      <c r="CB261" s="279"/>
      <c r="CC261" s="279"/>
      <c r="CD261" s="150"/>
      <c r="CE261" s="152"/>
      <c r="CF261" s="150"/>
      <c r="CG261" s="152"/>
      <c r="CH261" s="159"/>
      <c r="CI261" s="281"/>
      <c r="CJ261" s="159"/>
      <c r="CK261" s="281"/>
      <c r="CL261" s="159"/>
      <c r="CM261" s="281"/>
      <c r="CN261" s="159"/>
      <c r="CO261" s="281"/>
      <c r="CP261" s="159"/>
      <c r="CQ261" s="162"/>
      <c r="CR261" s="281"/>
      <c r="CS261" s="163">
        <f>SUM(IF(AU261&lt;0,ABS(AU261),0),IF(AZ261&lt;0,ABS(AZ261),0),ABS(CI261),ABS(CK261),ABS(CM261),ABS(CO261),ABS(CQ261),ABS(CR261))</f>
        <v>0</v>
      </c>
      <c r="CT261" s="254">
        <f>SUM(AU261,AV261,AW261,AX261/400,AY261,AZ261,BG261,BH261*0.5,BI261*0.25,BJ261,BK261,BL261,BM261,BN261,BO261,BP261,BR261/20,BS261/100,BT261/60,BU261,BV261,BW261,BX261/4,SUM(BY261:CC271)/3,CE261,CG261/3,CI261,CK261,CM261,CO261,CQ261,CR261)</f>
        <v>0</v>
      </c>
      <c r="CU261" s="255"/>
    </row>
    <row r="262" ht="60.0" hidden="1" customHeight="1">
      <c r="A262" s="65"/>
      <c r="B262" s="65"/>
      <c r="C262" s="167"/>
      <c r="D262" s="205"/>
      <c r="E262" s="262"/>
      <c r="F262" s="170"/>
      <c r="G262" s="170"/>
      <c r="H262" s="170"/>
      <c r="I262" s="170"/>
      <c r="J262" s="170"/>
      <c r="K262" s="171"/>
      <c r="L262" s="171"/>
      <c r="M262" s="171"/>
      <c r="N262" s="209"/>
      <c r="O262" s="172">
        <f t="shared" si="48"/>
        <v>0</v>
      </c>
      <c r="P262" s="65"/>
      <c r="Q262" s="65"/>
      <c r="R262" s="65"/>
      <c r="S262" s="65"/>
      <c r="T262" s="65"/>
      <c r="U262" s="65"/>
      <c r="V262" s="65"/>
      <c r="W262" s="65"/>
      <c r="X262" s="65"/>
      <c r="Y262" s="65"/>
      <c r="Z262" s="65"/>
      <c r="AA262" s="174"/>
      <c r="AB262" s="175"/>
      <c r="AC262" s="175"/>
      <c r="AD262" s="175"/>
      <c r="AE262" s="175"/>
      <c r="AF262" s="175"/>
      <c r="AG262" s="175"/>
      <c r="AH262" s="175"/>
      <c r="AI262" s="176"/>
      <c r="AJ262" s="177"/>
      <c r="AK262" s="178"/>
      <c r="AL262" s="178"/>
      <c r="AM262" s="178"/>
      <c r="AN262" s="178"/>
      <c r="AO262" s="179"/>
      <c r="AP262" s="65"/>
      <c r="AQ262" s="65"/>
      <c r="AR262" s="65"/>
      <c r="AS262" s="65"/>
      <c r="AT262" s="65"/>
      <c r="AU262" s="177"/>
      <c r="AV262" s="178"/>
      <c r="AW262" s="178"/>
      <c r="AX262" s="179"/>
      <c r="AY262" s="65"/>
      <c r="AZ262" s="65"/>
      <c r="BA262" s="177"/>
      <c r="BB262" s="178"/>
      <c r="BC262" s="178"/>
      <c r="BD262" s="178"/>
      <c r="BE262" s="178"/>
      <c r="BF262" s="178"/>
      <c r="BG262" s="178"/>
      <c r="BH262" s="178"/>
      <c r="BI262" s="179"/>
      <c r="BJ262" s="177"/>
      <c r="BK262" s="178"/>
      <c r="BL262" s="178"/>
      <c r="BM262" s="178"/>
      <c r="BN262" s="178"/>
      <c r="BO262" s="179"/>
      <c r="BP262" s="65"/>
      <c r="BQ262" s="177"/>
      <c r="BR262" s="178"/>
      <c r="BS262" s="179"/>
      <c r="BT262" s="65"/>
      <c r="BU262" s="65"/>
      <c r="BV262" s="65"/>
      <c r="BW262" s="65"/>
      <c r="BX262" s="65"/>
      <c r="BY262" s="65"/>
      <c r="BZ262" s="65"/>
      <c r="CA262" s="65"/>
      <c r="CB262" s="65"/>
      <c r="CC262" s="65"/>
      <c r="CD262" s="177"/>
      <c r="CE262" s="179"/>
      <c r="CF262" s="177"/>
      <c r="CG262" s="179"/>
      <c r="CH262" s="177"/>
      <c r="CI262" s="179"/>
      <c r="CJ262" s="177"/>
      <c r="CK262" s="179"/>
      <c r="CL262" s="177"/>
      <c r="CM262" s="179"/>
      <c r="CN262" s="177"/>
      <c r="CO262" s="179"/>
      <c r="CP262" s="177"/>
      <c r="CQ262" s="178"/>
      <c r="CR262" s="179"/>
      <c r="CS262" s="65"/>
      <c r="CT262" s="65"/>
      <c r="CU262" s="271"/>
    </row>
    <row r="263" ht="60.0" hidden="1" customHeight="1">
      <c r="A263" s="65"/>
      <c r="B263" s="65"/>
      <c r="C263" s="167"/>
      <c r="D263" s="205"/>
      <c r="E263" s="262"/>
      <c r="F263" s="170"/>
      <c r="G263" s="170"/>
      <c r="H263" s="170"/>
      <c r="I263" s="170"/>
      <c r="J263" s="170"/>
      <c r="K263" s="171"/>
      <c r="L263" s="171"/>
      <c r="M263" s="171"/>
      <c r="N263" s="209"/>
      <c r="O263" s="172">
        <f t="shared" si="48"/>
        <v>0</v>
      </c>
      <c r="P263" s="65"/>
      <c r="Q263" s="65"/>
      <c r="R263" s="65"/>
      <c r="S263" s="65"/>
      <c r="T263" s="65"/>
      <c r="U263" s="65"/>
      <c r="V263" s="65"/>
      <c r="W263" s="65"/>
      <c r="X263" s="65"/>
      <c r="Y263" s="65"/>
      <c r="Z263" s="65"/>
      <c r="AA263" s="174"/>
      <c r="AB263" s="175"/>
      <c r="AC263" s="175"/>
      <c r="AD263" s="175"/>
      <c r="AE263" s="175"/>
      <c r="AF263" s="175"/>
      <c r="AG263" s="175"/>
      <c r="AH263" s="175"/>
      <c r="AI263" s="176"/>
      <c r="AJ263" s="177"/>
      <c r="AK263" s="178"/>
      <c r="AL263" s="178"/>
      <c r="AM263" s="178"/>
      <c r="AN263" s="178"/>
      <c r="AO263" s="179"/>
      <c r="AP263" s="65"/>
      <c r="AQ263" s="65"/>
      <c r="AR263" s="65"/>
      <c r="AS263" s="65"/>
      <c r="AT263" s="65"/>
      <c r="AU263" s="177"/>
      <c r="AV263" s="178"/>
      <c r="AW263" s="178"/>
      <c r="AX263" s="179"/>
      <c r="AY263" s="65"/>
      <c r="AZ263" s="65"/>
      <c r="BA263" s="177"/>
      <c r="BB263" s="178"/>
      <c r="BC263" s="178"/>
      <c r="BD263" s="178"/>
      <c r="BE263" s="178"/>
      <c r="BF263" s="178"/>
      <c r="BG263" s="178"/>
      <c r="BH263" s="178"/>
      <c r="BI263" s="179"/>
      <c r="BJ263" s="177"/>
      <c r="BK263" s="178"/>
      <c r="BL263" s="178"/>
      <c r="BM263" s="178"/>
      <c r="BN263" s="178"/>
      <c r="BO263" s="179"/>
      <c r="BP263" s="65"/>
      <c r="BQ263" s="177"/>
      <c r="BR263" s="178"/>
      <c r="BS263" s="179"/>
      <c r="BT263" s="65"/>
      <c r="BU263" s="65"/>
      <c r="BV263" s="65"/>
      <c r="BW263" s="65"/>
      <c r="BX263" s="65"/>
      <c r="BY263" s="65"/>
      <c r="BZ263" s="65"/>
      <c r="CA263" s="65"/>
      <c r="CB263" s="65"/>
      <c r="CC263" s="65"/>
      <c r="CD263" s="177"/>
      <c r="CE263" s="179"/>
      <c r="CF263" s="177"/>
      <c r="CG263" s="179"/>
      <c r="CH263" s="177"/>
      <c r="CI263" s="179"/>
      <c r="CJ263" s="177"/>
      <c r="CK263" s="179"/>
      <c r="CL263" s="177"/>
      <c r="CM263" s="179"/>
      <c r="CN263" s="177"/>
      <c r="CO263" s="179"/>
      <c r="CP263" s="177"/>
      <c r="CQ263" s="178"/>
      <c r="CR263" s="179"/>
      <c r="CS263" s="65"/>
      <c r="CT263" s="65"/>
      <c r="CU263" s="271"/>
    </row>
    <row r="264" ht="60.0" hidden="1" customHeight="1">
      <c r="A264" s="65"/>
      <c r="B264" s="65"/>
      <c r="C264" s="167"/>
      <c r="D264" s="205"/>
      <c r="E264" s="262"/>
      <c r="F264" s="170"/>
      <c r="G264" s="170"/>
      <c r="H264" s="170"/>
      <c r="I264" s="170"/>
      <c r="J264" s="170"/>
      <c r="K264" s="171"/>
      <c r="L264" s="171"/>
      <c r="M264" s="171"/>
      <c r="N264" s="209"/>
      <c r="O264" s="172">
        <f t="shared" si="48"/>
        <v>0</v>
      </c>
      <c r="P264" s="65"/>
      <c r="Q264" s="65"/>
      <c r="R264" s="65"/>
      <c r="S264" s="65"/>
      <c r="T264" s="65"/>
      <c r="U264" s="65"/>
      <c r="V264" s="65"/>
      <c r="W264" s="65"/>
      <c r="X264" s="65"/>
      <c r="Y264" s="65"/>
      <c r="Z264" s="65"/>
      <c r="AA264" s="174"/>
      <c r="AB264" s="175"/>
      <c r="AC264" s="175"/>
      <c r="AD264" s="175"/>
      <c r="AE264" s="175"/>
      <c r="AF264" s="175"/>
      <c r="AG264" s="175"/>
      <c r="AH264" s="175"/>
      <c r="AI264" s="176"/>
      <c r="AJ264" s="177"/>
      <c r="AK264" s="178"/>
      <c r="AL264" s="178"/>
      <c r="AM264" s="178"/>
      <c r="AN264" s="178"/>
      <c r="AO264" s="179"/>
      <c r="AP264" s="65"/>
      <c r="AQ264" s="65"/>
      <c r="AR264" s="65"/>
      <c r="AS264" s="65"/>
      <c r="AT264" s="65"/>
      <c r="AU264" s="177"/>
      <c r="AV264" s="178"/>
      <c r="AW264" s="178"/>
      <c r="AX264" s="179"/>
      <c r="AY264" s="65"/>
      <c r="AZ264" s="65"/>
      <c r="BA264" s="177"/>
      <c r="BB264" s="178"/>
      <c r="BC264" s="178"/>
      <c r="BD264" s="178"/>
      <c r="BE264" s="178"/>
      <c r="BF264" s="178"/>
      <c r="BG264" s="178"/>
      <c r="BH264" s="178"/>
      <c r="BI264" s="179"/>
      <c r="BJ264" s="177"/>
      <c r="BK264" s="178"/>
      <c r="BL264" s="178"/>
      <c r="BM264" s="178"/>
      <c r="BN264" s="178"/>
      <c r="BO264" s="179"/>
      <c r="BP264" s="65"/>
      <c r="BQ264" s="177"/>
      <c r="BR264" s="178"/>
      <c r="BS264" s="179"/>
      <c r="BT264" s="65"/>
      <c r="BU264" s="65"/>
      <c r="BV264" s="65"/>
      <c r="BW264" s="65"/>
      <c r="BX264" s="65"/>
      <c r="BY264" s="65"/>
      <c r="BZ264" s="65"/>
      <c r="CA264" s="65"/>
      <c r="CB264" s="65"/>
      <c r="CC264" s="65"/>
      <c r="CD264" s="177"/>
      <c r="CE264" s="179"/>
      <c r="CF264" s="177"/>
      <c r="CG264" s="179"/>
      <c r="CH264" s="177"/>
      <c r="CI264" s="179"/>
      <c r="CJ264" s="177"/>
      <c r="CK264" s="179"/>
      <c r="CL264" s="177"/>
      <c r="CM264" s="179"/>
      <c r="CN264" s="177"/>
      <c r="CO264" s="179"/>
      <c r="CP264" s="177"/>
      <c r="CQ264" s="178"/>
      <c r="CR264" s="179"/>
      <c r="CS264" s="65"/>
      <c r="CT264" s="65"/>
      <c r="CU264" s="271"/>
    </row>
    <row r="265" ht="60.0" hidden="1" customHeight="1">
      <c r="A265" s="65"/>
      <c r="B265" s="65"/>
      <c r="C265" s="167"/>
      <c r="D265" s="205"/>
      <c r="E265" s="262"/>
      <c r="F265" s="170"/>
      <c r="G265" s="170"/>
      <c r="H265" s="170"/>
      <c r="I265" s="170"/>
      <c r="J265" s="170"/>
      <c r="K265" s="171"/>
      <c r="L265" s="171"/>
      <c r="M265" s="171"/>
      <c r="N265" s="209"/>
      <c r="O265" s="172">
        <f t="shared" si="48"/>
        <v>0</v>
      </c>
      <c r="P265" s="65"/>
      <c r="Q265" s="65"/>
      <c r="R265" s="65"/>
      <c r="S265" s="65"/>
      <c r="T265" s="65"/>
      <c r="U265" s="65"/>
      <c r="V265" s="65"/>
      <c r="W265" s="65"/>
      <c r="X265" s="65"/>
      <c r="Y265" s="65"/>
      <c r="Z265" s="65"/>
      <c r="AA265" s="174"/>
      <c r="AB265" s="175"/>
      <c r="AC265" s="175"/>
      <c r="AD265" s="175"/>
      <c r="AE265" s="175"/>
      <c r="AF265" s="175"/>
      <c r="AG265" s="175"/>
      <c r="AH265" s="175"/>
      <c r="AI265" s="176"/>
      <c r="AJ265" s="177"/>
      <c r="AK265" s="178"/>
      <c r="AL265" s="178"/>
      <c r="AM265" s="178"/>
      <c r="AN265" s="178"/>
      <c r="AO265" s="179"/>
      <c r="AP265" s="65"/>
      <c r="AQ265" s="65"/>
      <c r="AR265" s="65"/>
      <c r="AS265" s="65"/>
      <c r="AT265" s="65"/>
      <c r="AU265" s="177"/>
      <c r="AV265" s="178"/>
      <c r="AW265" s="178"/>
      <c r="AX265" s="179"/>
      <c r="AY265" s="65"/>
      <c r="AZ265" s="65"/>
      <c r="BA265" s="177"/>
      <c r="BB265" s="178"/>
      <c r="BC265" s="178"/>
      <c r="BD265" s="178"/>
      <c r="BE265" s="178"/>
      <c r="BF265" s="178"/>
      <c r="BG265" s="178"/>
      <c r="BH265" s="178"/>
      <c r="BI265" s="179"/>
      <c r="BJ265" s="177"/>
      <c r="BK265" s="178"/>
      <c r="BL265" s="178"/>
      <c r="BM265" s="178"/>
      <c r="BN265" s="178"/>
      <c r="BO265" s="179"/>
      <c r="BP265" s="65"/>
      <c r="BQ265" s="177"/>
      <c r="BR265" s="178"/>
      <c r="BS265" s="179"/>
      <c r="BT265" s="65"/>
      <c r="BU265" s="65"/>
      <c r="BV265" s="65"/>
      <c r="BW265" s="65"/>
      <c r="BX265" s="65"/>
      <c r="BY265" s="65"/>
      <c r="BZ265" s="65"/>
      <c r="CA265" s="65"/>
      <c r="CB265" s="65"/>
      <c r="CC265" s="65"/>
      <c r="CD265" s="177"/>
      <c r="CE265" s="179"/>
      <c r="CF265" s="177"/>
      <c r="CG265" s="179"/>
      <c r="CH265" s="177"/>
      <c r="CI265" s="179"/>
      <c r="CJ265" s="177"/>
      <c r="CK265" s="179"/>
      <c r="CL265" s="177"/>
      <c r="CM265" s="179"/>
      <c r="CN265" s="177"/>
      <c r="CO265" s="179"/>
      <c r="CP265" s="177"/>
      <c r="CQ265" s="178"/>
      <c r="CR265" s="179"/>
      <c r="CS265" s="65"/>
      <c r="CT265" s="65"/>
      <c r="CU265" s="271"/>
    </row>
    <row r="266" ht="60.0" hidden="1" customHeight="1">
      <c r="A266" s="65"/>
      <c r="B266" s="65"/>
      <c r="C266" s="167"/>
      <c r="D266" s="205"/>
      <c r="E266" s="262"/>
      <c r="F266" s="170"/>
      <c r="G266" s="170"/>
      <c r="H266" s="170"/>
      <c r="I266" s="170"/>
      <c r="J266" s="170"/>
      <c r="K266" s="171"/>
      <c r="L266" s="171"/>
      <c r="M266" s="171"/>
      <c r="N266" s="209"/>
      <c r="O266" s="172">
        <f t="shared" si="48"/>
        <v>0</v>
      </c>
      <c r="P266" s="65"/>
      <c r="Q266" s="65"/>
      <c r="R266" s="65"/>
      <c r="S266" s="65"/>
      <c r="T266" s="65"/>
      <c r="U266" s="65"/>
      <c r="V266" s="65"/>
      <c r="W266" s="65"/>
      <c r="X266" s="65"/>
      <c r="Y266" s="65"/>
      <c r="Z266" s="65"/>
      <c r="AA266" s="174"/>
      <c r="AB266" s="175"/>
      <c r="AC266" s="175"/>
      <c r="AD266" s="175"/>
      <c r="AE266" s="175"/>
      <c r="AF266" s="175"/>
      <c r="AG266" s="175"/>
      <c r="AH266" s="175"/>
      <c r="AI266" s="176"/>
      <c r="AJ266" s="177"/>
      <c r="AK266" s="178"/>
      <c r="AL266" s="178"/>
      <c r="AM266" s="178"/>
      <c r="AN266" s="178"/>
      <c r="AO266" s="179"/>
      <c r="AP266" s="65"/>
      <c r="AQ266" s="65"/>
      <c r="AR266" s="65"/>
      <c r="AS266" s="65"/>
      <c r="AT266" s="65"/>
      <c r="AU266" s="177"/>
      <c r="AV266" s="178"/>
      <c r="AW266" s="178"/>
      <c r="AX266" s="179"/>
      <c r="AY266" s="65"/>
      <c r="AZ266" s="65"/>
      <c r="BA266" s="177"/>
      <c r="BB266" s="178"/>
      <c r="BC266" s="178"/>
      <c r="BD266" s="178"/>
      <c r="BE266" s="178"/>
      <c r="BF266" s="178"/>
      <c r="BG266" s="178"/>
      <c r="BH266" s="178"/>
      <c r="BI266" s="179"/>
      <c r="BJ266" s="177"/>
      <c r="BK266" s="178"/>
      <c r="BL266" s="178"/>
      <c r="BM266" s="178"/>
      <c r="BN266" s="178"/>
      <c r="BO266" s="179"/>
      <c r="BP266" s="65"/>
      <c r="BQ266" s="177"/>
      <c r="BR266" s="178"/>
      <c r="BS266" s="179"/>
      <c r="BT266" s="65"/>
      <c r="BU266" s="65"/>
      <c r="BV266" s="65"/>
      <c r="BW266" s="65"/>
      <c r="BX266" s="65"/>
      <c r="BY266" s="65"/>
      <c r="BZ266" s="65"/>
      <c r="CA266" s="65"/>
      <c r="CB266" s="65"/>
      <c r="CC266" s="65"/>
      <c r="CD266" s="177"/>
      <c r="CE266" s="179"/>
      <c r="CF266" s="177"/>
      <c r="CG266" s="179"/>
      <c r="CH266" s="177"/>
      <c r="CI266" s="179"/>
      <c r="CJ266" s="177"/>
      <c r="CK266" s="179"/>
      <c r="CL266" s="177"/>
      <c r="CM266" s="179"/>
      <c r="CN266" s="177"/>
      <c r="CO266" s="179"/>
      <c r="CP266" s="177"/>
      <c r="CQ266" s="178"/>
      <c r="CR266" s="179"/>
      <c r="CS266" s="65"/>
      <c r="CT266" s="65"/>
      <c r="CU266" s="271"/>
    </row>
    <row r="267" ht="60.0" hidden="1" customHeight="1">
      <c r="A267" s="65"/>
      <c r="B267" s="65"/>
      <c r="C267" s="167"/>
      <c r="D267" s="205"/>
      <c r="E267" s="262"/>
      <c r="F267" s="170"/>
      <c r="G267" s="170"/>
      <c r="H267" s="170"/>
      <c r="I267" s="170"/>
      <c r="J267" s="170"/>
      <c r="K267" s="171"/>
      <c r="L267" s="171"/>
      <c r="M267" s="171"/>
      <c r="N267" s="209"/>
      <c r="O267" s="172">
        <f t="shared" ref="O267:O270" si="49">IF(AND(M267&gt;=20,M267&lt;&gt;"m",RIGHT(K267,3)="Lec"),1,IF(AND(M267&gt;=20,M267&lt;&gt;"m",OR(RIGHT(K267,3)="Lab",RIGHT(K267,3)="Tut")),0.5,IF(AND(M267&gt;=20,M267&lt;&gt;"m",RIGHT(K267,2)="TL"),0.75,0)))</f>
        <v>0</v>
      </c>
      <c r="P267" s="65"/>
      <c r="Q267" s="65"/>
      <c r="R267" s="65"/>
      <c r="S267" s="65"/>
      <c r="T267" s="65"/>
      <c r="U267" s="65"/>
      <c r="V267" s="65"/>
      <c r="W267" s="65"/>
      <c r="X267" s="65"/>
      <c r="Y267" s="65"/>
      <c r="Z267" s="65"/>
      <c r="AA267" s="174"/>
      <c r="AB267" s="175"/>
      <c r="AC267" s="175"/>
      <c r="AD267" s="175"/>
      <c r="AE267" s="175"/>
      <c r="AF267" s="175"/>
      <c r="AG267" s="175"/>
      <c r="AH267" s="175"/>
      <c r="AI267" s="176"/>
      <c r="AJ267" s="177"/>
      <c r="AK267" s="178"/>
      <c r="AL267" s="178"/>
      <c r="AM267" s="178"/>
      <c r="AN267" s="178"/>
      <c r="AO267" s="179"/>
      <c r="AP267" s="65"/>
      <c r="AQ267" s="65"/>
      <c r="AR267" s="65"/>
      <c r="AS267" s="65"/>
      <c r="AT267" s="65"/>
      <c r="AU267" s="177"/>
      <c r="AV267" s="178"/>
      <c r="AW267" s="178"/>
      <c r="AX267" s="179"/>
      <c r="AY267" s="65"/>
      <c r="AZ267" s="65"/>
      <c r="BA267" s="177"/>
      <c r="BB267" s="178"/>
      <c r="BC267" s="178"/>
      <c r="BD267" s="178"/>
      <c r="BE267" s="178"/>
      <c r="BF267" s="178"/>
      <c r="BG267" s="178"/>
      <c r="BH267" s="178"/>
      <c r="BI267" s="179"/>
      <c r="BJ267" s="177"/>
      <c r="BK267" s="178"/>
      <c r="BL267" s="178"/>
      <c r="BM267" s="178"/>
      <c r="BN267" s="178"/>
      <c r="BO267" s="179"/>
      <c r="BP267" s="65"/>
      <c r="BQ267" s="177"/>
      <c r="BR267" s="178"/>
      <c r="BS267" s="179"/>
      <c r="BT267" s="65"/>
      <c r="BU267" s="65"/>
      <c r="BV267" s="65"/>
      <c r="BW267" s="65"/>
      <c r="BX267" s="65"/>
      <c r="BY267" s="65"/>
      <c r="BZ267" s="65"/>
      <c r="CA267" s="65"/>
      <c r="CB267" s="65"/>
      <c r="CC267" s="65"/>
      <c r="CD267" s="177"/>
      <c r="CE267" s="179"/>
      <c r="CF267" s="177"/>
      <c r="CG267" s="179"/>
      <c r="CH267" s="177"/>
      <c r="CI267" s="179"/>
      <c r="CJ267" s="177"/>
      <c r="CK267" s="179"/>
      <c r="CL267" s="177"/>
      <c r="CM267" s="179"/>
      <c r="CN267" s="177"/>
      <c r="CO267" s="179"/>
      <c r="CP267" s="177"/>
      <c r="CQ267" s="178"/>
      <c r="CR267" s="179"/>
      <c r="CS267" s="65"/>
      <c r="CT267" s="65"/>
      <c r="CU267" s="271"/>
    </row>
    <row r="268" ht="60.0" hidden="1" customHeight="1">
      <c r="A268" s="65"/>
      <c r="B268" s="65"/>
      <c r="C268" s="167"/>
      <c r="D268" s="205"/>
      <c r="E268" s="262"/>
      <c r="F268" s="170"/>
      <c r="G268" s="170"/>
      <c r="H268" s="170"/>
      <c r="I268" s="170"/>
      <c r="J268" s="170"/>
      <c r="K268" s="171"/>
      <c r="L268" s="171"/>
      <c r="M268" s="171"/>
      <c r="N268" s="209"/>
      <c r="O268" s="172">
        <f t="shared" si="49"/>
        <v>0</v>
      </c>
      <c r="P268" s="65"/>
      <c r="Q268" s="65"/>
      <c r="R268" s="65"/>
      <c r="S268" s="65"/>
      <c r="T268" s="65"/>
      <c r="U268" s="65"/>
      <c r="V268" s="65"/>
      <c r="W268" s="65"/>
      <c r="X268" s="65"/>
      <c r="Y268" s="65"/>
      <c r="Z268" s="65"/>
      <c r="AA268" s="174"/>
      <c r="AB268" s="175"/>
      <c r="AC268" s="175"/>
      <c r="AD268" s="175"/>
      <c r="AE268" s="175"/>
      <c r="AF268" s="175"/>
      <c r="AG268" s="175"/>
      <c r="AH268" s="175"/>
      <c r="AI268" s="176"/>
      <c r="AJ268" s="177"/>
      <c r="AK268" s="178"/>
      <c r="AL268" s="178"/>
      <c r="AM268" s="178"/>
      <c r="AN268" s="178"/>
      <c r="AO268" s="179"/>
      <c r="AP268" s="65"/>
      <c r="AQ268" s="65"/>
      <c r="AR268" s="65"/>
      <c r="AS268" s="65"/>
      <c r="AT268" s="65"/>
      <c r="AU268" s="177"/>
      <c r="AV268" s="178"/>
      <c r="AW268" s="178"/>
      <c r="AX268" s="179"/>
      <c r="AY268" s="65"/>
      <c r="AZ268" s="65"/>
      <c r="BA268" s="177"/>
      <c r="BB268" s="178"/>
      <c r="BC268" s="178"/>
      <c r="BD268" s="178"/>
      <c r="BE268" s="178"/>
      <c r="BF268" s="178"/>
      <c r="BG268" s="178"/>
      <c r="BH268" s="178"/>
      <c r="BI268" s="179"/>
      <c r="BJ268" s="177"/>
      <c r="BK268" s="178"/>
      <c r="BL268" s="178"/>
      <c r="BM268" s="178"/>
      <c r="BN268" s="178"/>
      <c r="BO268" s="179"/>
      <c r="BP268" s="65"/>
      <c r="BQ268" s="177"/>
      <c r="BR268" s="178"/>
      <c r="BS268" s="179"/>
      <c r="BT268" s="65"/>
      <c r="BU268" s="65"/>
      <c r="BV268" s="65"/>
      <c r="BW268" s="65"/>
      <c r="BX268" s="65"/>
      <c r="BY268" s="65"/>
      <c r="BZ268" s="65"/>
      <c r="CA268" s="65"/>
      <c r="CB268" s="65"/>
      <c r="CC268" s="65"/>
      <c r="CD268" s="177"/>
      <c r="CE268" s="179"/>
      <c r="CF268" s="177"/>
      <c r="CG268" s="179"/>
      <c r="CH268" s="177"/>
      <c r="CI268" s="179"/>
      <c r="CJ268" s="177"/>
      <c r="CK268" s="179"/>
      <c r="CL268" s="177"/>
      <c r="CM268" s="179"/>
      <c r="CN268" s="177"/>
      <c r="CO268" s="179"/>
      <c r="CP268" s="177"/>
      <c r="CQ268" s="178"/>
      <c r="CR268" s="179"/>
      <c r="CS268" s="65"/>
      <c r="CT268" s="65"/>
      <c r="CU268" s="271"/>
    </row>
    <row r="269" ht="60.0" hidden="1" customHeight="1">
      <c r="A269" s="65"/>
      <c r="B269" s="65"/>
      <c r="C269" s="167"/>
      <c r="D269" s="205"/>
      <c r="E269" s="262"/>
      <c r="F269" s="170"/>
      <c r="G269" s="170"/>
      <c r="H269" s="170"/>
      <c r="I269" s="170"/>
      <c r="J269" s="170"/>
      <c r="K269" s="171"/>
      <c r="L269" s="171"/>
      <c r="M269" s="171"/>
      <c r="N269" s="209"/>
      <c r="O269" s="172">
        <f t="shared" si="49"/>
        <v>0</v>
      </c>
      <c r="P269" s="65"/>
      <c r="Q269" s="65"/>
      <c r="R269" s="65"/>
      <c r="S269" s="65"/>
      <c r="T269" s="65"/>
      <c r="U269" s="65"/>
      <c r="V269" s="65"/>
      <c r="W269" s="65"/>
      <c r="X269" s="65"/>
      <c r="Y269" s="65"/>
      <c r="Z269" s="65"/>
      <c r="AA269" s="174"/>
      <c r="AB269" s="175"/>
      <c r="AC269" s="175"/>
      <c r="AD269" s="175"/>
      <c r="AE269" s="175"/>
      <c r="AF269" s="175"/>
      <c r="AG269" s="175"/>
      <c r="AH269" s="175"/>
      <c r="AI269" s="176"/>
      <c r="AJ269" s="177"/>
      <c r="AK269" s="178"/>
      <c r="AL269" s="178"/>
      <c r="AM269" s="178"/>
      <c r="AN269" s="178"/>
      <c r="AO269" s="179"/>
      <c r="AP269" s="65"/>
      <c r="AQ269" s="65"/>
      <c r="AR269" s="65"/>
      <c r="AS269" s="65"/>
      <c r="AT269" s="65"/>
      <c r="AU269" s="177"/>
      <c r="AV269" s="178"/>
      <c r="AW269" s="178"/>
      <c r="AX269" s="179"/>
      <c r="AY269" s="65"/>
      <c r="AZ269" s="65"/>
      <c r="BA269" s="177"/>
      <c r="BB269" s="178"/>
      <c r="BC269" s="178"/>
      <c r="BD269" s="178"/>
      <c r="BE269" s="178"/>
      <c r="BF269" s="178"/>
      <c r="BG269" s="178"/>
      <c r="BH269" s="178"/>
      <c r="BI269" s="179"/>
      <c r="BJ269" s="177"/>
      <c r="BK269" s="178"/>
      <c r="BL269" s="178"/>
      <c r="BM269" s="178"/>
      <c r="BN269" s="178"/>
      <c r="BO269" s="179"/>
      <c r="BP269" s="65"/>
      <c r="BQ269" s="177"/>
      <c r="BR269" s="178"/>
      <c r="BS269" s="179"/>
      <c r="BT269" s="65"/>
      <c r="BU269" s="65"/>
      <c r="BV269" s="65"/>
      <c r="BW269" s="65"/>
      <c r="BX269" s="65"/>
      <c r="BY269" s="65"/>
      <c r="BZ269" s="65"/>
      <c r="CA269" s="65"/>
      <c r="CB269" s="65"/>
      <c r="CC269" s="65"/>
      <c r="CD269" s="177"/>
      <c r="CE269" s="179"/>
      <c r="CF269" s="177"/>
      <c r="CG269" s="179"/>
      <c r="CH269" s="177"/>
      <c r="CI269" s="179"/>
      <c r="CJ269" s="177"/>
      <c r="CK269" s="179"/>
      <c r="CL269" s="177"/>
      <c r="CM269" s="179"/>
      <c r="CN269" s="177"/>
      <c r="CO269" s="179"/>
      <c r="CP269" s="177"/>
      <c r="CQ269" s="178"/>
      <c r="CR269" s="179"/>
      <c r="CS269" s="65"/>
      <c r="CT269" s="65"/>
      <c r="CU269" s="271"/>
    </row>
    <row r="270" ht="60.0" hidden="1" customHeight="1">
      <c r="A270" s="65"/>
      <c r="B270" s="65"/>
      <c r="C270" s="167"/>
      <c r="D270" s="205"/>
      <c r="E270" s="262"/>
      <c r="F270" s="170"/>
      <c r="G270" s="170"/>
      <c r="H270" s="170"/>
      <c r="I270" s="170"/>
      <c r="J270" s="170"/>
      <c r="K270" s="171"/>
      <c r="L270" s="171"/>
      <c r="M270" s="171"/>
      <c r="N270" s="209"/>
      <c r="O270" s="172">
        <f t="shared" si="49"/>
        <v>0</v>
      </c>
      <c r="P270" s="65"/>
      <c r="Q270" s="65"/>
      <c r="R270" s="65"/>
      <c r="S270" s="65"/>
      <c r="T270" s="65"/>
      <c r="U270" s="65"/>
      <c r="V270" s="65"/>
      <c r="W270" s="65"/>
      <c r="X270" s="65"/>
      <c r="Y270" s="65"/>
      <c r="Z270" s="65"/>
      <c r="AA270" s="174"/>
      <c r="AB270" s="175"/>
      <c r="AC270" s="175"/>
      <c r="AD270" s="175"/>
      <c r="AE270" s="175"/>
      <c r="AF270" s="175"/>
      <c r="AG270" s="175"/>
      <c r="AH270" s="175"/>
      <c r="AI270" s="176"/>
      <c r="AJ270" s="177"/>
      <c r="AK270" s="178"/>
      <c r="AL270" s="178"/>
      <c r="AM270" s="178"/>
      <c r="AN270" s="178"/>
      <c r="AO270" s="179"/>
      <c r="AP270" s="65"/>
      <c r="AQ270" s="65"/>
      <c r="AR270" s="65"/>
      <c r="AS270" s="65"/>
      <c r="AT270" s="65"/>
      <c r="AU270" s="177"/>
      <c r="AV270" s="178"/>
      <c r="AW270" s="178"/>
      <c r="AX270" s="179"/>
      <c r="AY270" s="65"/>
      <c r="AZ270" s="65"/>
      <c r="BA270" s="177"/>
      <c r="BB270" s="178"/>
      <c r="BC270" s="178"/>
      <c r="BD270" s="178"/>
      <c r="BE270" s="178"/>
      <c r="BF270" s="178"/>
      <c r="BG270" s="178"/>
      <c r="BH270" s="178"/>
      <c r="BI270" s="179"/>
      <c r="BJ270" s="177"/>
      <c r="BK270" s="178"/>
      <c r="BL270" s="178"/>
      <c r="BM270" s="178"/>
      <c r="BN270" s="178"/>
      <c r="BO270" s="179"/>
      <c r="BP270" s="65"/>
      <c r="BQ270" s="177"/>
      <c r="BR270" s="178"/>
      <c r="BS270" s="179"/>
      <c r="BT270" s="65"/>
      <c r="BU270" s="65"/>
      <c r="BV270" s="65"/>
      <c r="BW270" s="65"/>
      <c r="BX270" s="65"/>
      <c r="BY270" s="65"/>
      <c r="BZ270" s="65"/>
      <c r="CA270" s="65"/>
      <c r="CB270" s="65"/>
      <c r="CC270" s="65"/>
      <c r="CD270" s="177"/>
      <c r="CE270" s="179"/>
      <c r="CF270" s="177"/>
      <c r="CG270" s="179"/>
      <c r="CH270" s="177"/>
      <c r="CI270" s="179"/>
      <c r="CJ270" s="177"/>
      <c r="CK270" s="179"/>
      <c r="CL270" s="177"/>
      <c r="CM270" s="179"/>
      <c r="CN270" s="177"/>
      <c r="CO270" s="179"/>
      <c r="CP270" s="177"/>
      <c r="CQ270" s="178"/>
      <c r="CR270" s="179"/>
      <c r="CS270" s="65"/>
      <c r="CT270" s="65"/>
      <c r="CU270" s="271"/>
    </row>
    <row r="271" ht="60.0" hidden="1" customHeight="1">
      <c r="A271" s="89"/>
      <c r="B271" s="89"/>
      <c r="C271" s="183"/>
      <c r="D271" s="210"/>
      <c r="E271" s="263"/>
      <c r="F271" s="186"/>
      <c r="G271" s="186"/>
      <c r="H271" s="186"/>
      <c r="I271" s="186"/>
      <c r="J271" s="186"/>
      <c r="K271" s="187"/>
      <c r="L271" s="187"/>
      <c r="M271" s="187"/>
      <c r="N271" s="214"/>
      <c r="O271" s="188">
        <f t="shared" ref="O271:O277" si="50">IF(AND(M271&lt;&gt;0,M271&lt;&gt;"m",M271&lt;&gt;"",RIGHT(K271,3)="Lec"),1,IF(AND(M271&lt;&gt;0,M271&lt;&gt;"m",M271&lt;&gt;"",OR(RIGHT(K271,3)="Lab",RIGHT(K271,3)="Tut")),0.5,IF(AND(M271&lt;&gt;0,M271&lt;&gt;"m",M271&lt;&gt;"",RIGHT(K271,2)="TL"),0.75,0)))</f>
        <v>0</v>
      </c>
      <c r="P271" s="89"/>
      <c r="Q271" s="89"/>
      <c r="R271" s="89"/>
      <c r="S271" s="89"/>
      <c r="T271" s="89"/>
      <c r="U271" s="89"/>
      <c r="V271" s="89"/>
      <c r="W271" s="89"/>
      <c r="X271" s="89"/>
      <c r="Y271" s="89"/>
      <c r="Z271" s="89"/>
      <c r="AA271" s="189"/>
      <c r="AB271" s="190"/>
      <c r="AC271" s="190"/>
      <c r="AD271" s="190"/>
      <c r="AE271" s="190"/>
      <c r="AF271" s="190"/>
      <c r="AG271" s="190"/>
      <c r="AH271" s="190"/>
      <c r="AI271" s="191"/>
      <c r="AJ271" s="192"/>
      <c r="AK271" s="193"/>
      <c r="AL271" s="193"/>
      <c r="AM271" s="193"/>
      <c r="AN271" s="193"/>
      <c r="AO271" s="194"/>
      <c r="AP271" s="89"/>
      <c r="AQ271" s="89"/>
      <c r="AR271" s="89"/>
      <c r="AS271" s="89"/>
      <c r="AT271" s="89"/>
      <c r="AU271" s="192"/>
      <c r="AV271" s="193"/>
      <c r="AW271" s="193"/>
      <c r="AX271" s="194"/>
      <c r="AY271" s="89"/>
      <c r="AZ271" s="89"/>
      <c r="BA271" s="192"/>
      <c r="BB271" s="193"/>
      <c r="BC271" s="193"/>
      <c r="BD271" s="193"/>
      <c r="BE271" s="193"/>
      <c r="BF271" s="193"/>
      <c r="BG271" s="193"/>
      <c r="BH271" s="193"/>
      <c r="BI271" s="194"/>
      <c r="BJ271" s="192"/>
      <c r="BK271" s="193"/>
      <c r="BL271" s="193"/>
      <c r="BM271" s="193"/>
      <c r="BN271" s="193"/>
      <c r="BO271" s="194"/>
      <c r="BP271" s="89"/>
      <c r="BQ271" s="192"/>
      <c r="BR271" s="193"/>
      <c r="BS271" s="194"/>
      <c r="BT271" s="89"/>
      <c r="BU271" s="89"/>
      <c r="BV271" s="89"/>
      <c r="BW271" s="89"/>
      <c r="BX271" s="89"/>
      <c r="BY271" s="89"/>
      <c r="BZ271" s="89"/>
      <c r="CA271" s="89"/>
      <c r="CB271" s="89"/>
      <c r="CC271" s="89"/>
      <c r="CD271" s="192"/>
      <c r="CE271" s="194"/>
      <c r="CF271" s="192"/>
      <c r="CG271" s="194"/>
      <c r="CH271" s="192"/>
      <c r="CI271" s="194"/>
      <c r="CJ271" s="192"/>
      <c r="CK271" s="194"/>
      <c r="CL271" s="192"/>
      <c r="CM271" s="194"/>
      <c r="CN271" s="192"/>
      <c r="CO271" s="194"/>
      <c r="CP271" s="192"/>
      <c r="CQ271" s="193"/>
      <c r="CR271" s="194"/>
      <c r="CS271" s="89"/>
      <c r="CT271" s="89"/>
      <c r="CU271" s="272"/>
    </row>
    <row r="272" ht="56.25" hidden="1" customHeight="1">
      <c r="A272" s="125">
        <v>25.0</v>
      </c>
      <c r="B272" s="274"/>
      <c r="C272" s="127"/>
      <c r="D272" s="128"/>
      <c r="E272" s="260"/>
      <c r="F272" s="261"/>
      <c r="G272" s="261"/>
      <c r="H272" s="261"/>
      <c r="I272" s="261"/>
      <c r="J272" s="170"/>
      <c r="K272" s="219"/>
      <c r="L272" s="219"/>
      <c r="M272" s="219"/>
      <c r="N272" s="220"/>
      <c r="O272" s="132">
        <f t="shared" si="50"/>
        <v>0</v>
      </c>
      <c r="P272" s="138">
        <f>COUNTIF(K272:K282,"TL")*0.75+COUNTIF(K272:K282,"Lec")*1+COUNTIF(K272:K282,"Lab")*0.5</f>
        <v>0</v>
      </c>
      <c r="Q272" s="135">
        <f>SUM((IF(LEFT(K272,1)="E",O272,0)),(IF(LEFT(K273,1)="E",O273,0)),(IF(LEFT(K274,1)="E",O274,0)),(IF(LEFT(K275,1)="E",O275,0)),(IF(LEFT(K276,1)="E",O276,0)),(IF(LEFT(K277,1)="E",O277,0)),(IF(LEFT(K278,1)="E",O278,0)),(IF(LEFT(K279,1)="E",O279,0)),(IF(LEFT(K280,1)="E",O280,0)),(IF(LEFT(K281,1)="E",O281,0)),(IF(LEFT(K282,1)="E",O282,0)))</f>
        <v>0</v>
      </c>
      <c r="R272" s="135">
        <f>SUM(IF(M278&lt;20,IF(K278="Plec",-1,IF(K278="PTL",-0.75,IF(K278="Plab",-0.5,0))),0),IF(M279&lt;20,IF(K279="Plec",-1,IF(K279="PTL",-0.75,IF(K279="Plab",-0.5,0))),0),IF(M280&lt;20,IF(K280="Plec",-1,IF(K280="PTL",-0.75,IF(K280="Plab",-0.5,0))),0),IF(M281&lt;20,IF(K281="Plec",-1,IF(K281="PTL",-0.75,IF(K281="Plab",-0.5,0))),0))</f>
        <v>0</v>
      </c>
      <c r="S272" s="135">
        <f>SUM(P272:R282)</f>
        <v>0</v>
      </c>
      <c r="T272" s="277">
        <f>SUM(IF(M272="M",IF(OR(K272="lec",K272="plec",K272="slec"),1,IF(OR(K272="lab",K272="plab",K272="slab",K272="tut",K272="ptut",K272="stut"),0.5,IF(OR(K272="TL",K272="pTL",K272="STL"),0.75,0))),0),IF(M273="M",IF(OR(K273="lec",K273="plec",K273="slec"),1,IF(OR(K273="lab",K273="plab",K273="slab",K273="tut",K273="ptut",K273="stut"),0.5,IF(OR(K273="TL",K273="pTL",K273="STL"),0.75,0))),0),IF(M274="M",IF(OR(K274="lec",K274="plec",K274="slec"),1,IF(OR(K274="lab",K274="plab",K274="slab",K274="tut",K274="ptut",K274="stut"),0.5,IF(OR(K274="TL",K274="pTL",K274="STL"),0.75,0))),0),IF(M275="M",IF(OR(K275="lec",K275="plec",K275="slec"),1,IF(OR(K275="lab",K275="plab",K275="slab",K275="tut",K275="ptut",K275="stut"),0.5,IF(OR(K275="TL",K275="pTL",K275="STL"),0.75,0))),0),IF(M276="M",IF(OR(K276="lec",K276="plec",K276="slec"),1,IF(OR(K276="lab",K276="plab",K276="slab",K276="tut",K276="ptut",K276="stut"),0.5,IF(OR(K276="TL",K276="pTL",K276="STL"),0.75,0))),0),IF(M277="M",IF(OR(K277="lec",K277="plec",K277="slec"),1,IF(OR(K277="lab",K277="plab",K277="slab",K277="tut",K277="ptut",K277="stut"),0.5,IF(OR(K277="TL",K277="pTL",K277="STL"),0.75,0))),0),IF(M278="M",IF(OR(K278="lec",K278="plec",K278="slec"),1,IF(OR(K278="lab",K278="plab",K278="slab",K278="tut",K278="ptut",K278="stut"),0.5,IF(OR(K278="TL",K278="pTL",K278="STL"),0.75,0))),0),IF(M279="M",IF(OR(K279="lec",K279="plec",K279="slec"),1,IF(OR(K279="lab",K279="plab",K279="slab",K279="tut",K279="ptut",K279="stut"),0.5,IF(OR(K279="TL",K279="pTL",K279="STL"),0.75,0))),0),IF(M280="M",IF(OR(K280="lec",K280="plec",K280="slec"),1,IF(OR(K280="lab",K280="plab",K280="slab",K280="tut",K280="ptut",K280="stut"),0.5,IF(OR(K280="TL",K280="pTL",K280="STL"),0.75,0))),0),IF(M281="M",IF(OR(K281="lec",K281="plec",K281="slec"),1,IF(OR(K281="lab",K281="plab",K281="slab",K281="tut",K281="ptut",K281="stut"),0.5,IF(OR(K281="TL",K281="pTL",K281="STL"),0.75,0))),0),IF(M282="M",IF(OR(K282="lec",K282="plec",K282="slec"),1,IF(OR(K282="lab",K282="plab",K282="slab",K282="tut",K282="ptut",K282="stut"),0.5,IF(OR(K282="TL",K282="pTL",K282="STL"),0.75,0))),0))</f>
        <v>0</v>
      </c>
      <c r="U272" s="278"/>
      <c r="V272" s="138"/>
      <c r="W272" s="138"/>
      <c r="X272" s="135">
        <f>S272-(T272+U272+V272+W272)</f>
        <v>0</v>
      </c>
      <c r="Y272" s="135" t="str">
        <f>CONCATENATE(SUM(O272:O282),"(",SUM(O272:O282)-X272,")")</f>
        <v>0(0)</v>
      </c>
      <c r="Z272" s="279"/>
      <c r="AA272" s="141"/>
      <c r="AB272" s="142"/>
      <c r="AC272" s="142"/>
      <c r="AD272" s="142"/>
      <c r="AE272" s="142"/>
      <c r="AF272" s="142"/>
      <c r="AG272" s="142"/>
      <c r="AH272" s="142"/>
      <c r="AI272" s="143"/>
      <c r="AJ272" s="144"/>
      <c r="AK272" s="145"/>
      <c r="AL272" s="145"/>
      <c r="AM272" s="145"/>
      <c r="AN272" s="145"/>
      <c r="AO272" s="146"/>
      <c r="AP272" s="280">
        <f>SUM(SUM(O272:O282),SUM(AI272:AI282)/2,AM272)</f>
        <v>0</v>
      </c>
      <c r="AQ272" s="148"/>
      <c r="AR272" s="148">
        <f>AP272*AQ272</f>
        <v>0</v>
      </c>
      <c r="AS272" s="148">
        <f>CT272</f>
        <v>0</v>
      </c>
      <c r="AT272" s="148">
        <f>AR272*0.75+AS272*0.25</f>
        <v>0</v>
      </c>
      <c r="AU272" s="150"/>
      <c r="AV272" s="151"/>
      <c r="AW272" s="151"/>
      <c r="AX272" s="152"/>
      <c r="AY272" s="279"/>
      <c r="AZ272" s="279"/>
      <c r="BA272" s="150"/>
      <c r="BB272" s="151"/>
      <c r="BC272" s="151"/>
      <c r="BD272" s="151"/>
      <c r="BE272" s="151"/>
      <c r="BF272" s="151"/>
      <c r="BG272" s="151"/>
      <c r="BH272" s="151"/>
      <c r="BI272" s="152"/>
      <c r="BJ272" s="150"/>
      <c r="BK272" s="151"/>
      <c r="BL272" s="151"/>
      <c r="BM272" s="151"/>
      <c r="BN272" s="151"/>
      <c r="BO272" s="152"/>
      <c r="BP272" s="279"/>
      <c r="BQ272" s="150"/>
      <c r="BR272" s="151"/>
      <c r="BS272" s="152"/>
      <c r="BT272" s="279"/>
      <c r="BU272" s="279"/>
      <c r="BV272" s="279"/>
      <c r="BW272" s="279"/>
      <c r="BX272" s="279"/>
      <c r="BY272" s="279"/>
      <c r="BZ272" s="279"/>
      <c r="CA272" s="279"/>
      <c r="CB272" s="279"/>
      <c r="CC272" s="279"/>
      <c r="CD272" s="150"/>
      <c r="CE272" s="152"/>
      <c r="CF272" s="150"/>
      <c r="CG272" s="152"/>
      <c r="CH272" s="159"/>
      <c r="CI272" s="281"/>
      <c r="CJ272" s="159"/>
      <c r="CK272" s="281"/>
      <c r="CL272" s="159"/>
      <c r="CM272" s="281"/>
      <c r="CN272" s="159"/>
      <c r="CO272" s="281"/>
      <c r="CP272" s="159"/>
      <c r="CQ272" s="162"/>
      <c r="CR272" s="281"/>
      <c r="CS272" s="163">
        <f>SUM(IF(AU272&lt;0,ABS(AU272),0),IF(AZ272&lt;0,ABS(AZ272),0),ABS(CI272),ABS(CK272),ABS(CM272),ABS(CO272),ABS(CQ272),ABS(CR272))</f>
        <v>0</v>
      </c>
      <c r="CT272" s="254">
        <f>SUM(AU272,AV272,AW272,AX272/400,AY272,AZ272,BG272,BH272*0.5,BI272*0.25,BJ272,BK272,BL272,BM272,BN272,BO272,BP272,BR272/20,BS272/100,BT272/60,BU272,BV272,BW272,BX272/5,SUM(BY272:CC282)/3,CE272,CG272/3,CI272,CK272,CM272,CO272,CQ272,CR272)</f>
        <v>0</v>
      </c>
      <c r="CU272" s="255"/>
    </row>
    <row r="273" ht="60.0" hidden="1" customHeight="1">
      <c r="A273" s="65"/>
      <c r="B273" s="65"/>
      <c r="C273" s="167"/>
      <c r="D273" s="205"/>
      <c r="E273" s="262"/>
      <c r="F273" s="170"/>
      <c r="G273" s="170"/>
      <c r="H273" s="170"/>
      <c r="I273" s="170"/>
      <c r="J273" s="170"/>
      <c r="K273" s="171"/>
      <c r="L273" s="171"/>
      <c r="M273" s="171"/>
      <c r="N273" s="209"/>
      <c r="O273" s="172">
        <f t="shared" si="50"/>
        <v>0</v>
      </c>
      <c r="P273" s="65"/>
      <c r="Q273" s="65"/>
      <c r="R273" s="65"/>
      <c r="S273" s="65"/>
      <c r="T273" s="65"/>
      <c r="U273" s="65"/>
      <c r="V273" s="65"/>
      <c r="W273" s="65"/>
      <c r="X273" s="65"/>
      <c r="Y273" s="65"/>
      <c r="Z273" s="65"/>
      <c r="AA273" s="174"/>
      <c r="AB273" s="175"/>
      <c r="AC273" s="175"/>
      <c r="AD273" s="175"/>
      <c r="AE273" s="175"/>
      <c r="AF273" s="175"/>
      <c r="AG273" s="175"/>
      <c r="AH273" s="175"/>
      <c r="AI273" s="176"/>
      <c r="AJ273" s="177"/>
      <c r="AK273" s="178"/>
      <c r="AL273" s="178"/>
      <c r="AM273" s="178"/>
      <c r="AN273" s="178"/>
      <c r="AO273" s="179"/>
      <c r="AP273" s="65"/>
      <c r="AQ273" s="65"/>
      <c r="AR273" s="65"/>
      <c r="AS273" s="65"/>
      <c r="AT273" s="65"/>
      <c r="AU273" s="177"/>
      <c r="AV273" s="178"/>
      <c r="AW273" s="178"/>
      <c r="AX273" s="179"/>
      <c r="AY273" s="65"/>
      <c r="AZ273" s="65"/>
      <c r="BA273" s="177"/>
      <c r="BB273" s="178"/>
      <c r="BC273" s="178"/>
      <c r="BD273" s="178"/>
      <c r="BE273" s="178"/>
      <c r="BF273" s="178"/>
      <c r="BG273" s="178"/>
      <c r="BH273" s="178"/>
      <c r="BI273" s="179"/>
      <c r="BJ273" s="177"/>
      <c r="BK273" s="178"/>
      <c r="BL273" s="178"/>
      <c r="BM273" s="178"/>
      <c r="BN273" s="178"/>
      <c r="BO273" s="179"/>
      <c r="BP273" s="65"/>
      <c r="BQ273" s="177"/>
      <c r="BR273" s="178"/>
      <c r="BS273" s="179"/>
      <c r="BT273" s="65"/>
      <c r="BU273" s="65"/>
      <c r="BV273" s="65"/>
      <c r="BW273" s="65"/>
      <c r="BX273" s="65"/>
      <c r="BY273" s="65"/>
      <c r="BZ273" s="65"/>
      <c r="CA273" s="65"/>
      <c r="CB273" s="65"/>
      <c r="CC273" s="65"/>
      <c r="CD273" s="177"/>
      <c r="CE273" s="179"/>
      <c r="CF273" s="177"/>
      <c r="CG273" s="179"/>
      <c r="CH273" s="177"/>
      <c r="CI273" s="179"/>
      <c r="CJ273" s="177"/>
      <c r="CK273" s="179"/>
      <c r="CL273" s="177"/>
      <c r="CM273" s="179"/>
      <c r="CN273" s="177"/>
      <c r="CO273" s="179"/>
      <c r="CP273" s="177"/>
      <c r="CQ273" s="178"/>
      <c r="CR273" s="179"/>
      <c r="CS273" s="65"/>
      <c r="CT273" s="65"/>
      <c r="CU273" s="271"/>
    </row>
    <row r="274" ht="60.0" hidden="1" customHeight="1">
      <c r="A274" s="65"/>
      <c r="B274" s="65"/>
      <c r="C274" s="167"/>
      <c r="D274" s="205"/>
      <c r="E274" s="262"/>
      <c r="F274" s="170"/>
      <c r="G274" s="170"/>
      <c r="H274" s="170"/>
      <c r="I274" s="170"/>
      <c r="J274" s="170"/>
      <c r="K274" s="171"/>
      <c r="L274" s="171"/>
      <c r="M274" s="171"/>
      <c r="N274" s="209"/>
      <c r="O274" s="172">
        <f t="shared" si="50"/>
        <v>0</v>
      </c>
      <c r="P274" s="65"/>
      <c r="Q274" s="65"/>
      <c r="R274" s="65"/>
      <c r="S274" s="65"/>
      <c r="T274" s="65"/>
      <c r="U274" s="65"/>
      <c r="V274" s="65"/>
      <c r="W274" s="65"/>
      <c r="X274" s="65"/>
      <c r="Y274" s="65"/>
      <c r="Z274" s="65"/>
      <c r="AA274" s="174"/>
      <c r="AB274" s="175"/>
      <c r="AC274" s="175"/>
      <c r="AD274" s="175"/>
      <c r="AE274" s="175"/>
      <c r="AF274" s="175"/>
      <c r="AG274" s="175"/>
      <c r="AH274" s="175"/>
      <c r="AI274" s="176"/>
      <c r="AJ274" s="177"/>
      <c r="AK274" s="178"/>
      <c r="AL274" s="178"/>
      <c r="AM274" s="178"/>
      <c r="AN274" s="178"/>
      <c r="AO274" s="179"/>
      <c r="AP274" s="65"/>
      <c r="AQ274" s="65"/>
      <c r="AR274" s="65"/>
      <c r="AS274" s="65"/>
      <c r="AT274" s="65"/>
      <c r="AU274" s="177"/>
      <c r="AV274" s="178"/>
      <c r="AW274" s="178"/>
      <c r="AX274" s="179"/>
      <c r="AY274" s="65"/>
      <c r="AZ274" s="65"/>
      <c r="BA274" s="177"/>
      <c r="BB274" s="178"/>
      <c r="BC274" s="178"/>
      <c r="BD274" s="178"/>
      <c r="BE274" s="178"/>
      <c r="BF274" s="178"/>
      <c r="BG274" s="178"/>
      <c r="BH274" s="178"/>
      <c r="BI274" s="179"/>
      <c r="BJ274" s="177"/>
      <c r="BK274" s="178"/>
      <c r="BL274" s="178"/>
      <c r="BM274" s="178"/>
      <c r="BN274" s="178"/>
      <c r="BO274" s="179"/>
      <c r="BP274" s="65"/>
      <c r="BQ274" s="177"/>
      <c r="BR274" s="178"/>
      <c r="BS274" s="179"/>
      <c r="BT274" s="65"/>
      <c r="BU274" s="65"/>
      <c r="BV274" s="65"/>
      <c r="BW274" s="65"/>
      <c r="BX274" s="65"/>
      <c r="BY274" s="65"/>
      <c r="BZ274" s="65"/>
      <c r="CA274" s="65"/>
      <c r="CB274" s="65"/>
      <c r="CC274" s="65"/>
      <c r="CD274" s="177"/>
      <c r="CE274" s="179"/>
      <c r="CF274" s="177"/>
      <c r="CG274" s="179"/>
      <c r="CH274" s="177"/>
      <c r="CI274" s="179"/>
      <c r="CJ274" s="177"/>
      <c r="CK274" s="179"/>
      <c r="CL274" s="177"/>
      <c r="CM274" s="179"/>
      <c r="CN274" s="177"/>
      <c r="CO274" s="179"/>
      <c r="CP274" s="177"/>
      <c r="CQ274" s="178"/>
      <c r="CR274" s="179"/>
      <c r="CS274" s="65"/>
      <c r="CT274" s="65"/>
      <c r="CU274" s="271"/>
    </row>
    <row r="275" ht="60.0" hidden="1" customHeight="1">
      <c r="A275" s="65"/>
      <c r="B275" s="65"/>
      <c r="C275" s="167"/>
      <c r="D275" s="205"/>
      <c r="E275" s="262"/>
      <c r="F275" s="170"/>
      <c r="G275" s="170"/>
      <c r="H275" s="170"/>
      <c r="I275" s="170"/>
      <c r="J275" s="170"/>
      <c r="K275" s="171"/>
      <c r="L275" s="171"/>
      <c r="M275" s="171"/>
      <c r="N275" s="209"/>
      <c r="O275" s="172">
        <f t="shared" si="50"/>
        <v>0</v>
      </c>
      <c r="P275" s="65"/>
      <c r="Q275" s="65"/>
      <c r="R275" s="65"/>
      <c r="S275" s="65"/>
      <c r="T275" s="65"/>
      <c r="U275" s="65"/>
      <c r="V275" s="65"/>
      <c r="W275" s="65"/>
      <c r="X275" s="65"/>
      <c r="Y275" s="65"/>
      <c r="Z275" s="65"/>
      <c r="AA275" s="174"/>
      <c r="AB275" s="175"/>
      <c r="AC275" s="175"/>
      <c r="AD275" s="175"/>
      <c r="AE275" s="175"/>
      <c r="AF275" s="175"/>
      <c r="AG275" s="175"/>
      <c r="AH275" s="175"/>
      <c r="AI275" s="176"/>
      <c r="AJ275" s="177"/>
      <c r="AK275" s="178"/>
      <c r="AL275" s="178"/>
      <c r="AM275" s="178"/>
      <c r="AN275" s="178"/>
      <c r="AO275" s="179"/>
      <c r="AP275" s="65"/>
      <c r="AQ275" s="65"/>
      <c r="AR275" s="65"/>
      <c r="AS275" s="65"/>
      <c r="AT275" s="65"/>
      <c r="AU275" s="177"/>
      <c r="AV275" s="178"/>
      <c r="AW275" s="178"/>
      <c r="AX275" s="179"/>
      <c r="AY275" s="65"/>
      <c r="AZ275" s="65"/>
      <c r="BA275" s="177"/>
      <c r="BB275" s="178"/>
      <c r="BC275" s="178"/>
      <c r="BD275" s="178"/>
      <c r="BE275" s="178"/>
      <c r="BF275" s="178"/>
      <c r="BG275" s="178"/>
      <c r="BH275" s="178"/>
      <c r="BI275" s="179"/>
      <c r="BJ275" s="177"/>
      <c r="BK275" s="178"/>
      <c r="BL275" s="178"/>
      <c r="BM275" s="178"/>
      <c r="BN275" s="178"/>
      <c r="BO275" s="179"/>
      <c r="BP275" s="65"/>
      <c r="BQ275" s="177"/>
      <c r="BR275" s="178"/>
      <c r="BS275" s="179"/>
      <c r="BT275" s="65"/>
      <c r="BU275" s="65"/>
      <c r="BV275" s="65"/>
      <c r="BW275" s="65"/>
      <c r="BX275" s="65"/>
      <c r="BY275" s="65"/>
      <c r="BZ275" s="65"/>
      <c r="CA275" s="65"/>
      <c r="CB275" s="65"/>
      <c r="CC275" s="65"/>
      <c r="CD275" s="177"/>
      <c r="CE275" s="179"/>
      <c r="CF275" s="177"/>
      <c r="CG275" s="179"/>
      <c r="CH275" s="177"/>
      <c r="CI275" s="179"/>
      <c r="CJ275" s="177"/>
      <c r="CK275" s="179"/>
      <c r="CL275" s="177"/>
      <c r="CM275" s="179"/>
      <c r="CN275" s="177"/>
      <c r="CO275" s="179"/>
      <c r="CP275" s="177"/>
      <c r="CQ275" s="178"/>
      <c r="CR275" s="179"/>
      <c r="CS275" s="65"/>
      <c r="CT275" s="65"/>
      <c r="CU275" s="271"/>
    </row>
    <row r="276" ht="60.0" hidden="1" customHeight="1">
      <c r="A276" s="65"/>
      <c r="B276" s="65"/>
      <c r="C276" s="167"/>
      <c r="D276" s="205"/>
      <c r="E276" s="262"/>
      <c r="F276" s="170"/>
      <c r="G276" s="170"/>
      <c r="H276" s="170"/>
      <c r="I276" s="170"/>
      <c r="J276" s="170"/>
      <c r="K276" s="171"/>
      <c r="L276" s="171"/>
      <c r="M276" s="171"/>
      <c r="N276" s="209"/>
      <c r="O276" s="172">
        <f t="shared" si="50"/>
        <v>0</v>
      </c>
      <c r="P276" s="65"/>
      <c r="Q276" s="65"/>
      <c r="R276" s="65"/>
      <c r="S276" s="65"/>
      <c r="T276" s="65"/>
      <c r="U276" s="65"/>
      <c r="V276" s="65"/>
      <c r="W276" s="65"/>
      <c r="X276" s="65"/>
      <c r="Y276" s="65"/>
      <c r="Z276" s="65"/>
      <c r="AA276" s="174"/>
      <c r="AB276" s="175"/>
      <c r="AC276" s="175"/>
      <c r="AD276" s="175"/>
      <c r="AE276" s="175"/>
      <c r="AF276" s="175"/>
      <c r="AG276" s="175"/>
      <c r="AH276" s="175"/>
      <c r="AI276" s="176"/>
      <c r="AJ276" s="177"/>
      <c r="AK276" s="178"/>
      <c r="AL276" s="178"/>
      <c r="AM276" s="178"/>
      <c r="AN276" s="178"/>
      <c r="AO276" s="179"/>
      <c r="AP276" s="65"/>
      <c r="AQ276" s="65"/>
      <c r="AR276" s="65"/>
      <c r="AS276" s="65"/>
      <c r="AT276" s="65"/>
      <c r="AU276" s="177"/>
      <c r="AV276" s="178"/>
      <c r="AW276" s="178"/>
      <c r="AX276" s="179"/>
      <c r="AY276" s="65"/>
      <c r="AZ276" s="65"/>
      <c r="BA276" s="177"/>
      <c r="BB276" s="178"/>
      <c r="BC276" s="178"/>
      <c r="BD276" s="178"/>
      <c r="BE276" s="178"/>
      <c r="BF276" s="178"/>
      <c r="BG276" s="178"/>
      <c r="BH276" s="178"/>
      <c r="BI276" s="179"/>
      <c r="BJ276" s="177"/>
      <c r="BK276" s="178"/>
      <c r="BL276" s="178"/>
      <c r="BM276" s="178"/>
      <c r="BN276" s="178"/>
      <c r="BO276" s="179"/>
      <c r="BP276" s="65"/>
      <c r="BQ276" s="177"/>
      <c r="BR276" s="178"/>
      <c r="BS276" s="179"/>
      <c r="BT276" s="65"/>
      <c r="BU276" s="65"/>
      <c r="BV276" s="65"/>
      <c r="BW276" s="65"/>
      <c r="BX276" s="65"/>
      <c r="BY276" s="65"/>
      <c r="BZ276" s="65"/>
      <c r="CA276" s="65"/>
      <c r="CB276" s="65"/>
      <c r="CC276" s="65"/>
      <c r="CD276" s="177"/>
      <c r="CE276" s="179"/>
      <c r="CF276" s="177"/>
      <c r="CG276" s="179"/>
      <c r="CH276" s="177"/>
      <c r="CI276" s="179"/>
      <c r="CJ276" s="177"/>
      <c r="CK276" s="179"/>
      <c r="CL276" s="177"/>
      <c r="CM276" s="179"/>
      <c r="CN276" s="177"/>
      <c r="CO276" s="179"/>
      <c r="CP276" s="177"/>
      <c r="CQ276" s="178"/>
      <c r="CR276" s="179"/>
      <c r="CS276" s="65"/>
      <c r="CT276" s="65"/>
      <c r="CU276" s="271"/>
    </row>
    <row r="277" ht="60.0" hidden="1" customHeight="1">
      <c r="A277" s="65"/>
      <c r="B277" s="65"/>
      <c r="C277" s="167"/>
      <c r="D277" s="205"/>
      <c r="E277" s="262"/>
      <c r="F277" s="170"/>
      <c r="G277" s="170"/>
      <c r="H277" s="170"/>
      <c r="I277" s="170"/>
      <c r="J277" s="170"/>
      <c r="K277" s="171"/>
      <c r="L277" s="171"/>
      <c r="M277" s="171"/>
      <c r="N277" s="209"/>
      <c r="O277" s="172">
        <f t="shared" si="50"/>
        <v>0</v>
      </c>
      <c r="P277" s="65"/>
      <c r="Q277" s="65"/>
      <c r="R277" s="65"/>
      <c r="S277" s="65"/>
      <c r="T277" s="65"/>
      <c r="U277" s="65"/>
      <c r="V277" s="65"/>
      <c r="W277" s="65"/>
      <c r="X277" s="65"/>
      <c r="Y277" s="65"/>
      <c r="Z277" s="65"/>
      <c r="AA277" s="174"/>
      <c r="AB277" s="175"/>
      <c r="AC277" s="175"/>
      <c r="AD277" s="175"/>
      <c r="AE277" s="175"/>
      <c r="AF277" s="175"/>
      <c r="AG277" s="175"/>
      <c r="AH277" s="175"/>
      <c r="AI277" s="176"/>
      <c r="AJ277" s="177"/>
      <c r="AK277" s="178"/>
      <c r="AL277" s="178"/>
      <c r="AM277" s="178"/>
      <c r="AN277" s="178"/>
      <c r="AO277" s="179"/>
      <c r="AP277" s="65"/>
      <c r="AQ277" s="65"/>
      <c r="AR277" s="65"/>
      <c r="AS277" s="65"/>
      <c r="AT277" s="65"/>
      <c r="AU277" s="177"/>
      <c r="AV277" s="178"/>
      <c r="AW277" s="178"/>
      <c r="AX277" s="179"/>
      <c r="AY277" s="65"/>
      <c r="AZ277" s="65"/>
      <c r="BA277" s="177"/>
      <c r="BB277" s="178"/>
      <c r="BC277" s="178"/>
      <c r="BD277" s="178"/>
      <c r="BE277" s="178"/>
      <c r="BF277" s="178"/>
      <c r="BG277" s="178"/>
      <c r="BH277" s="178"/>
      <c r="BI277" s="179"/>
      <c r="BJ277" s="177"/>
      <c r="BK277" s="178"/>
      <c r="BL277" s="178"/>
      <c r="BM277" s="178"/>
      <c r="BN277" s="178"/>
      <c r="BO277" s="179"/>
      <c r="BP277" s="65"/>
      <c r="BQ277" s="177"/>
      <c r="BR277" s="178"/>
      <c r="BS277" s="179"/>
      <c r="BT277" s="65"/>
      <c r="BU277" s="65"/>
      <c r="BV277" s="65"/>
      <c r="BW277" s="65"/>
      <c r="BX277" s="65"/>
      <c r="BY277" s="65"/>
      <c r="BZ277" s="65"/>
      <c r="CA277" s="65"/>
      <c r="CB277" s="65"/>
      <c r="CC277" s="65"/>
      <c r="CD277" s="177"/>
      <c r="CE277" s="179"/>
      <c r="CF277" s="177"/>
      <c r="CG277" s="179"/>
      <c r="CH277" s="177"/>
      <c r="CI277" s="179"/>
      <c r="CJ277" s="177"/>
      <c r="CK277" s="179"/>
      <c r="CL277" s="177"/>
      <c r="CM277" s="179"/>
      <c r="CN277" s="177"/>
      <c r="CO277" s="179"/>
      <c r="CP277" s="177"/>
      <c r="CQ277" s="178"/>
      <c r="CR277" s="179"/>
      <c r="CS277" s="65"/>
      <c r="CT277" s="65"/>
      <c r="CU277" s="271"/>
    </row>
    <row r="278" ht="60.0" hidden="1" customHeight="1">
      <c r="A278" s="65"/>
      <c r="B278" s="65"/>
      <c r="C278" s="167"/>
      <c r="D278" s="205"/>
      <c r="E278" s="262"/>
      <c r="F278" s="170"/>
      <c r="G278" s="170"/>
      <c r="H278" s="170"/>
      <c r="I278" s="170"/>
      <c r="J278" s="170"/>
      <c r="K278" s="171"/>
      <c r="L278" s="171"/>
      <c r="M278" s="171"/>
      <c r="N278" s="209"/>
      <c r="O278" s="172">
        <f t="shared" ref="O278:O281" si="51">IF(AND(M278&gt;=20,M278&lt;&gt;"m",RIGHT(K278,3)="Lec"),1,IF(AND(M278&gt;=20,M278&lt;&gt;"m",OR(RIGHT(K278,3)="Lab",RIGHT(K278,3)="Tut")),0.5,IF(AND(M278&gt;=20,M278&lt;&gt;"m",RIGHT(K278,2)="TL"),0.75,0)))</f>
        <v>0</v>
      </c>
      <c r="P278" s="65"/>
      <c r="Q278" s="65"/>
      <c r="R278" s="65"/>
      <c r="S278" s="65"/>
      <c r="T278" s="65"/>
      <c r="U278" s="65"/>
      <c r="V278" s="65"/>
      <c r="W278" s="65"/>
      <c r="X278" s="65"/>
      <c r="Y278" s="65"/>
      <c r="Z278" s="65"/>
      <c r="AA278" s="174"/>
      <c r="AB278" s="175"/>
      <c r="AC278" s="175"/>
      <c r="AD278" s="175"/>
      <c r="AE278" s="175"/>
      <c r="AF278" s="175"/>
      <c r="AG278" s="175"/>
      <c r="AH278" s="175"/>
      <c r="AI278" s="176"/>
      <c r="AJ278" s="177"/>
      <c r="AK278" s="178"/>
      <c r="AL278" s="178"/>
      <c r="AM278" s="178"/>
      <c r="AN278" s="178"/>
      <c r="AO278" s="179"/>
      <c r="AP278" s="65"/>
      <c r="AQ278" s="65"/>
      <c r="AR278" s="65"/>
      <c r="AS278" s="65"/>
      <c r="AT278" s="65"/>
      <c r="AU278" s="177"/>
      <c r="AV278" s="178"/>
      <c r="AW278" s="178"/>
      <c r="AX278" s="179"/>
      <c r="AY278" s="65"/>
      <c r="AZ278" s="65"/>
      <c r="BA278" s="177"/>
      <c r="BB278" s="178"/>
      <c r="BC278" s="178"/>
      <c r="BD278" s="178"/>
      <c r="BE278" s="178"/>
      <c r="BF278" s="178"/>
      <c r="BG278" s="178"/>
      <c r="BH278" s="178"/>
      <c r="BI278" s="179"/>
      <c r="BJ278" s="177"/>
      <c r="BK278" s="178"/>
      <c r="BL278" s="178"/>
      <c r="BM278" s="178"/>
      <c r="BN278" s="178"/>
      <c r="BO278" s="179"/>
      <c r="BP278" s="65"/>
      <c r="BQ278" s="177"/>
      <c r="BR278" s="178"/>
      <c r="BS278" s="179"/>
      <c r="BT278" s="65"/>
      <c r="BU278" s="65"/>
      <c r="BV278" s="65"/>
      <c r="BW278" s="65"/>
      <c r="BX278" s="65"/>
      <c r="BY278" s="65"/>
      <c r="BZ278" s="65"/>
      <c r="CA278" s="65"/>
      <c r="CB278" s="65"/>
      <c r="CC278" s="65"/>
      <c r="CD278" s="177"/>
      <c r="CE278" s="179"/>
      <c r="CF278" s="177"/>
      <c r="CG278" s="179"/>
      <c r="CH278" s="177"/>
      <c r="CI278" s="179"/>
      <c r="CJ278" s="177"/>
      <c r="CK278" s="179"/>
      <c r="CL278" s="177"/>
      <c r="CM278" s="179"/>
      <c r="CN278" s="177"/>
      <c r="CO278" s="179"/>
      <c r="CP278" s="177"/>
      <c r="CQ278" s="178"/>
      <c r="CR278" s="179"/>
      <c r="CS278" s="65"/>
      <c r="CT278" s="65"/>
      <c r="CU278" s="271"/>
    </row>
    <row r="279" ht="60.0" hidden="1" customHeight="1">
      <c r="A279" s="65"/>
      <c r="B279" s="65"/>
      <c r="C279" s="167"/>
      <c r="D279" s="205"/>
      <c r="E279" s="262"/>
      <c r="F279" s="170"/>
      <c r="G279" s="170"/>
      <c r="H279" s="170"/>
      <c r="I279" s="170"/>
      <c r="J279" s="170"/>
      <c r="K279" s="171"/>
      <c r="L279" s="171"/>
      <c r="M279" s="171"/>
      <c r="N279" s="209"/>
      <c r="O279" s="172">
        <f t="shared" si="51"/>
        <v>0</v>
      </c>
      <c r="P279" s="65"/>
      <c r="Q279" s="65"/>
      <c r="R279" s="65"/>
      <c r="S279" s="65"/>
      <c r="T279" s="65"/>
      <c r="U279" s="65"/>
      <c r="V279" s="65"/>
      <c r="W279" s="65"/>
      <c r="X279" s="65"/>
      <c r="Y279" s="65"/>
      <c r="Z279" s="65"/>
      <c r="AA279" s="174"/>
      <c r="AB279" s="175"/>
      <c r="AC279" s="175"/>
      <c r="AD279" s="175"/>
      <c r="AE279" s="175"/>
      <c r="AF279" s="175"/>
      <c r="AG279" s="175"/>
      <c r="AH279" s="175"/>
      <c r="AI279" s="176"/>
      <c r="AJ279" s="177"/>
      <c r="AK279" s="178"/>
      <c r="AL279" s="178"/>
      <c r="AM279" s="178"/>
      <c r="AN279" s="178"/>
      <c r="AO279" s="179"/>
      <c r="AP279" s="65"/>
      <c r="AQ279" s="65"/>
      <c r="AR279" s="65"/>
      <c r="AS279" s="65"/>
      <c r="AT279" s="65"/>
      <c r="AU279" s="177"/>
      <c r="AV279" s="178"/>
      <c r="AW279" s="178"/>
      <c r="AX279" s="179"/>
      <c r="AY279" s="65"/>
      <c r="AZ279" s="65"/>
      <c r="BA279" s="177"/>
      <c r="BB279" s="178"/>
      <c r="BC279" s="178"/>
      <c r="BD279" s="178"/>
      <c r="BE279" s="178"/>
      <c r="BF279" s="178"/>
      <c r="BG279" s="178"/>
      <c r="BH279" s="178"/>
      <c r="BI279" s="179"/>
      <c r="BJ279" s="177"/>
      <c r="BK279" s="178"/>
      <c r="BL279" s="178"/>
      <c r="BM279" s="178"/>
      <c r="BN279" s="178"/>
      <c r="BO279" s="179"/>
      <c r="BP279" s="65"/>
      <c r="BQ279" s="177"/>
      <c r="BR279" s="178"/>
      <c r="BS279" s="179"/>
      <c r="BT279" s="65"/>
      <c r="BU279" s="65"/>
      <c r="BV279" s="65"/>
      <c r="BW279" s="65"/>
      <c r="BX279" s="65"/>
      <c r="BY279" s="65"/>
      <c r="BZ279" s="65"/>
      <c r="CA279" s="65"/>
      <c r="CB279" s="65"/>
      <c r="CC279" s="65"/>
      <c r="CD279" s="177"/>
      <c r="CE279" s="179"/>
      <c r="CF279" s="177"/>
      <c r="CG279" s="179"/>
      <c r="CH279" s="177"/>
      <c r="CI279" s="179"/>
      <c r="CJ279" s="177"/>
      <c r="CK279" s="179"/>
      <c r="CL279" s="177"/>
      <c r="CM279" s="179"/>
      <c r="CN279" s="177"/>
      <c r="CO279" s="179"/>
      <c r="CP279" s="177"/>
      <c r="CQ279" s="178"/>
      <c r="CR279" s="179"/>
      <c r="CS279" s="65"/>
      <c r="CT279" s="65"/>
      <c r="CU279" s="271"/>
    </row>
    <row r="280" ht="60.0" hidden="1" customHeight="1">
      <c r="A280" s="65"/>
      <c r="B280" s="65"/>
      <c r="C280" s="167"/>
      <c r="D280" s="205"/>
      <c r="E280" s="262"/>
      <c r="F280" s="170"/>
      <c r="G280" s="170"/>
      <c r="H280" s="170"/>
      <c r="I280" s="170"/>
      <c r="J280" s="170"/>
      <c r="K280" s="171"/>
      <c r="L280" s="171"/>
      <c r="M280" s="171"/>
      <c r="N280" s="209"/>
      <c r="O280" s="172">
        <f t="shared" si="51"/>
        <v>0</v>
      </c>
      <c r="P280" s="65"/>
      <c r="Q280" s="65"/>
      <c r="R280" s="65"/>
      <c r="S280" s="65"/>
      <c r="T280" s="65"/>
      <c r="U280" s="65"/>
      <c r="V280" s="65"/>
      <c r="W280" s="65"/>
      <c r="X280" s="65"/>
      <c r="Y280" s="65"/>
      <c r="Z280" s="65"/>
      <c r="AA280" s="174"/>
      <c r="AB280" s="175"/>
      <c r="AC280" s="175"/>
      <c r="AD280" s="175"/>
      <c r="AE280" s="175"/>
      <c r="AF280" s="175"/>
      <c r="AG280" s="175"/>
      <c r="AH280" s="175"/>
      <c r="AI280" s="176"/>
      <c r="AJ280" s="177"/>
      <c r="AK280" s="178"/>
      <c r="AL280" s="178"/>
      <c r="AM280" s="178"/>
      <c r="AN280" s="178"/>
      <c r="AO280" s="179"/>
      <c r="AP280" s="65"/>
      <c r="AQ280" s="65"/>
      <c r="AR280" s="65"/>
      <c r="AS280" s="65"/>
      <c r="AT280" s="65"/>
      <c r="AU280" s="177"/>
      <c r="AV280" s="178"/>
      <c r="AW280" s="178"/>
      <c r="AX280" s="179"/>
      <c r="AY280" s="65"/>
      <c r="AZ280" s="65"/>
      <c r="BA280" s="177"/>
      <c r="BB280" s="178"/>
      <c r="BC280" s="178"/>
      <c r="BD280" s="178"/>
      <c r="BE280" s="178"/>
      <c r="BF280" s="178"/>
      <c r="BG280" s="178"/>
      <c r="BH280" s="178"/>
      <c r="BI280" s="179"/>
      <c r="BJ280" s="177"/>
      <c r="BK280" s="178"/>
      <c r="BL280" s="178"/>
      <c r="BM280" s="178"/>
      <c r="BN280" s="178"/>
      <c r="BO280" s="179"/>
      <c r="BP280" s="65"/>
      <c r="BQ280" s="177"/>
      <c r="BR280" s="178"/>
      <c r="BS280" s="179"/>
      <c r="BT280" s="65"/>
      <c r="BU280" s="65"/>
      <c r="BV280" s="65"/>
      <c r="BW280" s="65"/>
      <c r="BX280" s="65"/>
      <c r="BY280" s="65"/>
      <c r="BZ280" s="65"/>
      <c r="CA280" s="65"/>
      <c r="CB280" s="65"/>
      <c r="CC280" s="65"/>
      <c r="CD280" s="177"/>
      <c r="CE280" s="179"/>
      <c r="CF280" s="177"/>
      <c r="CG280" s="179"/>
      <c r="CH280" s="177"/>
      <c r="CI280" s="179"/>
      <c r="CJ280" s="177"/>
      <c r="CK280" s="179"/>
      <c r="CL280" s="177"/>
      <c r="CM280" s="179"/>
      <c r="CN280" s="177"/>
      <c r="CO280" s="179"/>
      <c r="CP280" s="177"/>
      <c r="CQ280" s="178"/>
      <c r="CR280" s="179"/>
      <c r="CS280" s="65"/>
      <c r="CT280" s="65"/>
      <c r="CU280" s="271"/>
    </row>
    <row r="281" ht="60.0" hidden="1" customHeight="1">
      <c r="A281" s="65"/>
      <c r="B281" s="65"/>
      <c r="C281" s="167"/>
      <c r="D281" s="205"/>
      <c r="E281" s="262"/>
      <c r="F281" s="170"/>
      <c r="G281" s="170"/>
      <c r="H281" s="170"/>
      <c r="I281" s="170"/>
      <c r="J281" s="170"/>
      <c r="K281" s="171"/>
      <c r="L281" s="171"/>
      <c r="M281" s="171"/>
      <c r="N281" s="209"/>
      <c r="O281" s="172">
        <f t="shared" si="51"/>
        <v>0</v>
      </c>
      <c r="P281" s="65"/>
      <c r="Q281" s="65"/>
      <c r="R281" s="65"/>
      <c r="S281" s="65"/>
      <c r="T281" s="65"/>
      <c r="U281" s="65"/>
      <c r="V281" s="65"/>
      <c r="W281" s="65"/>
      <c r="X281" s="65"/>
      <c r="Y281" s="65"/>
      <c r="Z281" s="65"/>
      <c r="AA281" s="174"/>
      <c r="AB281" s="175"/>
      <c r="AC281" s="175"/>
      <c r="AD281" s="175"/>
      <c r="AE281" s="175"/>
      <c r="AF281" s="175"/>
      <c r="AG281" s="175"/>
      <c r="AH281" s="175"/>
      <c r="AI281" s="176"/>
      <c r="AJ281" s="177"/>
      <c r="AK281" s="178"/>
      <c r="AL281" s="178"/>
      <c r="AM281" s="178"/>
      <c r="AN281" s="178"/>
      <c r="AO281" s="179"/>
      <c r="AP281" s="65"/>
      <c r="AQ281" s="65"/>
      <c r="AR281" s="65"/>
      <c r="AS281" s="65"/>
      <c r="AT281" s="65"/>
      <c r="AU281" s="177"/>
      <c r="AV281" s="178"/>
      <c r="AW281" s="178"/>
      <c r="AX281" s="179"/>
      <c r="AY281" s="65"/>
      <c r="AZ281" s="65"/>
      <c r="BA281" s="177"/>
      <c r="BB281" s="178"/>
      <c r="BC281" s="178"/>
      <c r="BD281" s="178"/>
      <c r="BE281" s="178"/>
      <c r="BF281" s="178"/>
      <c r="BG281" s="178"/>
      <c r="BH281" s="178"/>
      <c r="BI281" s="179"/>
      <c r="BJ281" s="177"/>
      <c r="BK281" s="178"/>
      <c r="BL281" s="178"/>
      <c r="BM281" s="178"/>
      <c r="BN281" s="178"/>
      <c r="BO281" s="179"/>
      <c r="BP281" s="65"/>
      <c r="BQ281" s="177"/>
      <c r="BR281" s="178"/>
      <c r="BS281" s="179"/>
      <c r="BT281" s="65"/>
      <c r="BU281" s="65"/>
      <c r="BV281" s="65"/>
      <c r="BW281" s="65"/>
      <c r="BX281" s="65"/>
      <c r="BY281" s="65"/>
      <c r="BZ281" s="65"/>
      <c r="CA281" s="65"/>
      <c r="CB281" s="65"/>
      <c r="CC281" s="65"/>
      <c r="CD281" s="177"/>
      <c r="CE281" s="179"/>
      <c r="CF281" s="177"/>
      <c r="CG281" s="179"/>
      <c r="CH281" s="177"/>
      <c r="CI281" s="179"/>
      <c r="CJ281" s="177"/>
      <c r="CK281" s="179"/>
      <c r="CL281" s="177"/>
      <c r="CM281" s="179"/>
      <c r="CN281" s="177"/>
      <c r="CO281" s="179"/>
      <c r="CP281" s="177"/>
      <c r="CQ281" s="178"/>
      <c r="CR281" s="179"/>
      <c r="CS281" s="65"/>
      <c r="CT281" s="65"/>
      <c r="CU281" s="271"/>
    </row>
    <row r="282" ht="60.0" hidden="1" customHeight="1">
      <c r="A282" s="89"/>
      <c r="B282" s="89"/>
      <c r="C282" s="183"/>
      <c r="D282" s="210"/>
      <c r="E282" s="263"/>
      <c r="F282" s="186"/>
      <c r="G282" s="186"/>
      <c r="H282" s="186"/>
      <c r="I282" s="186"/>
      <c r="J282" s="186"/>
      <c r="K282" s="187"/>
      <c r="L282" s="187"/>
      <c r="M282" s="187"/>
      <c r="N282" s="214"/>
      <c r="O282" s="188">
        <f t="shared" ref="O282:O288" si="52">IF(AND(M282&lt;&gt;0,M282&lt;&gt;"m",M282&lt;&gt;"",RIGHT(K282,3)="Lec"),1,IF(AND(M282&lt;&gt;0,M282&lt;&gt;"m",M282&lt;&gt;"",OR(RIGHT(K282,3)="Lab",RIGHT(K282,3)="Tut")),0.5,IF(AND(M282&lt;&gt;0,M282&lt;&gt;"m",M282&lt;&gt;"",RIGHT(K282,2)="TL"),0.75,0)))</f>
        <v>0</v>
      </c>
      <c r="P282" s="89"/>
      <c r="Q282" s="89"/>
      <c r="R282" s="89"/>
      <c r="S282" s="89"/>
      <c r="T282" s="89"/>
      <c r="U282" s="89"/>
      <c r="V282" s="89"/>
      <c r="W282" s="89"/>
      <c r="X282" s="89"/>
      <c r="Y282" s="89"/>
      <c r="Z282" s="89"/>
      <c r="AA282" s="189"/>
      <c r="AB282" s="190"/>
      <c r="AC282" s="190"/>
      <c r="AD282" s="190"/>
      <c r="AE282" s="190"/>
      <c r="AF282" s="190"/>
      <c r="AG282" s="190"/>
      <c r="AH282" s="190"/>
      <c r="AI282" s="191"/>
      <c r="AJ282" s="192"/>
      <c r="AK282" s="193"/>
      <c r="AL282" s="193"/>
      <c r="AM282" s="193"/>
      <c r="AN282" s="193"/>
      <c r="AO282" s="194"/>
      <c r="AP282" s="89"/>
      <c r="AQ282" s="89"/>
      <c r="AR282" s="89"/>
      <c r="AS282" s="89"/>
      <c r="AT282" s="89"/>
      <c r="AU282" s="192"/>
      <c r="AV282" s="193"/>
      <c r="AW282" s="193"/>
      <c r="AX282" s="194"/>
      <c r="AY282" s="89"/>
      <c r="AZ282" s="89"/>
      <c r="BA282" s="192"/>
      <c r="BB282" s="193"/>
      <c r="BC282" s="193"/>
      <c r="BD282" s="193"/>
      <c r="BE282" s="193"/>
      <c r="BF282" s="193"/>
      <c r="BG282" s="193"/>
      <c r="BH282" s="193"/>
      <c r="BI282" s="194"/>
      <c r="BJ282" s="192"/>
      <c r="BK282" s="193"/>
      <c r="BL282" s="193"/>
      <c r="BM282" s="193"/>
      <c r="BN282" s="193"/>
      <c r="BO282" s="194"/>
      <c r="BP282" s="89"/>
      <c r="BQ282" s="192"/>
      <c r="BR282" s="193"/>
      <c r="BS282" s="194"/>
      <c r="BT282" s="89"/>
      <c r="BU282" s="89"/>
      <c r="BV282" s="89"/>
      <c r="BW282" s="89"/>
      <c r="BX282" s="89"/>
      <c r="BY282" s="89"/>
      <c r="BZ282" s="89"/>
      <c r="CA282" s="89"/>
      <c r="CB282" s="89"/>
      <c r="CC282" s="89"/>
      <c r="CD282" s="192"/>
      <c r="CE282" s="194"/>
      <c r="CF282" s="192"/>
      <c r="CG282" s="194"/>
      <c r="CH282" s="192"/>
      <c r="CI282" s="194"/>
      <c r="CJ282" s="192"/>
      <c r="CK282" s="194"/>
      <c r="CL282" s="192"/>
      <c r="CM282" s="194"/>
      <c r="CN282" s="192"/>
      <c r="CO282" s="194"/>
      <c r="CP282" s="192"/>
      <c r="CQ282" s="193"/>
      <c r="CR282" s="194"/>
      <c r="CS282" s="89"/>
      <c r="CT282" s="89"/>
      <c r="CU282" s="272"/>
    </row>
    <row r="283" ht="56.25" hidden="1" customHeight="1">
      <c r="A283" s="125">
        <v>26.0</v>
      </c>
      <c r="B283" s="274"/>
      <c r="C283" s="127"/>
      <c r="D283" s="128"/>
      <c r="E283" s="260"/>
      <c r="F283" s="261"/>
      <c r="G283" s="261"/>
      <c r="H283" s="261"/>
      <c r="I283" s="261"/>
      <c r="J283" s="170"/>
      <c r="K283" s="219"/>
      <c r="L283" s="219"/>
      <c r="M283" s="219"/>
      <c r="N283" s="220"/>
      <c r="O283" s="132">
        <f t="shared" si="52"/>
        <v>0</v>
      </c>
      <c r="P283" s="138">
        <f>COUNTIF(K283:K293,"TL")*0.75+COUNTIF(K283:K293,"Lec")*1+COUNTIF(K283:K293,"Lab")*0.5</f>
        <v>0</v>
      </c>
      <c r="Q283" s="135">
        <f>SUM((IF(LEFT(K283,1)="E",O283,0)),(IF(LEFT(K284,1)="E",O284,0)),(IF(LEFT(K285,1)="E",O285,0)),(IF(LEFT(K286,1)="E",O286,0)),(IF(LEFT(K287,1)="E",O287,0)),(IF(LEFT(K288,1)="E",O288,0)),(IF(LEFT(K289,1)="E",O289,0)),(IF(LEFT(K290,1)="E",O290,0)),(IF(LEFT(K291,1)="E",O291,0)),(IF(LEFT(K292,1)="E",O292,0)),(IF(LEFT(K293,1)="E",O293,0)))</f>
        <v>0</v>
      </c>
      <c r="R283" s="135">
        <f>SUM(IF(M289&lt;20,IF(K289="Plec",-1,IF(K289="PTL",-0.75,IF(K289="Plab",-0.5,0))),0),IF(M290&lt;20,IF(K290="Plec",-1,IF(K290="PTL",-0.75,IF(K290="Plab",-0.5,0))),0),IF(M291&lt;20,IF(K291="Plec",-1,IF(K291="PTL",-0.75,IF(K291="Plab",-0.5,0))),0),IF(M292&lt;20,IF(K292="Plec",-1,IF(K292="PTL",-0.75,IF(K292="Plab",-0.5,0))),0))</f>
        <v>0</v>
      </c>
      <c r="S283" s="135">
        <f>SUM(P283:R293)</f>
        <v>0</v>
      </c>
      <c r="T283" s="277">
        <f>SUM(IF(M283="M",IF(OR(K283="lec",K283="plec",K283="slec"),1,IF(OR(K283="lab",K283="plab",K283="slab",K283="tut",K283="ptut",K283="stut"),0.5,IF(OR(K283="TL",K283="pTL",K283="STL"),0.75,0))),0),IF(M284="M",IF(OR(K284="lec",K284="plec",K284="slec"),1,IF(OR(K284="lab",K284="plab",K284="slab",K284="tut",K284="ptut",K284="stut"),0.5,IF(OR(K284="TL",K284="pTL",K284="STL"),0.75,0))),0),IF(M285="M",IF(OR(K285="lec",K285="plec",K285="slec"),1,IF(OR(K285="lab",K285="plab",K285="slab",K285="tut",K285="ptut",K285="stut"),0.5,IF(OR(K285="TL",K285="pTL",K285="STL"),0.75,0))),0),IF(M286="M",IF(OR(K286="lec",K286="plec",K286="slec"),1,IF(OR(K286="lab",K286="plab",K286="slab",K286="tut",K286="ptut",K286="stut"),0.5,IF(OR(K286="TL",K286="pTL",K286="STL"),0.75,0))),0),IF(M287="M",IF(OR(K287="lec",K287="plec",K287="slec"),1,IF(OR(K287="lab",K287="plab",K287="slab",K287="tut",K287="ptut",K287="stut"),0.5,IF(OR(K287="TL",K287="pTL",K287="STL"),0.75,0))),0),IF(M288="M",IF(OR(K288="lec",K288="plec",K288="slec"),1,IF(OR(K288="lab",K288="plab",K288="slab",K288="tut",K288="ptut",K288="stut"),0.5,IF(OR(K288="TL",K288="pTL",K288="STL"),0.75,0))),0),IF(M289="M",IF(OR(K289="lec",K289="plec",K289="slec"),1,IF(OR(K289="lab",K289="plab",K289="slab",K289="tut",K289="ptut",K289="stut"),0.5,IF(OR(K289="TL",K289="pTL",K289="STL"),0.75,0))),0),IF(M290="M",IF(OR(K290="lec",K290="plec",K290="slec"),1,IF(OR(K290="lab",K290="plab",K290="slab",K290="tut",K290="ptut",K290="stut"),0.5,IF(OR(K290="TL",K290="pTL",K290="STL"),0.75,0))),0),IF(M291="M",IF(OR(K291="lec",K291="plec",K291="slec"),1,IF(OR(K291="lab",K291="plab",K291="slab",K291="tut",K291="ptut",K291="stut"),0.5,IF(OR(K291="TL",K291="pTL",K291="STL"),0.75,0))),0),IF(M292="M",IF(OR(K292="lec",K292="plec",K292="slec"),1,IF(OR(K292="lab",K292="plab",K292="slab",K292="tut",K292="ptut",K292="stut"),0.5,IF(OR(K292="TL",K292="pTL",K292="STL"),0.75,0))),0),IF(M293="M",IF(OR(K293="lec",K293="plec",K293="slec"),1,IF(OR(K293="lab",K293="plab",K293="slab",K293="tut",K293="ptut",K293="stut"),0.5,IF(OR(K293="TL",K293="pTL",K293="STL"),0.75,0))),0))</f>
        <v>0</v>
      </c>
      <c r="U283" s="278"/>
      <c r="V283" s="138"/>
      <c r="W283" s="138"/>
      <c r="X283" s="135">
        <f>S283-(T283+U283+V283+W283)</f>
        <v>0</v>
      </c>
      <c r="Y283" s="135" t="str">
        <f>CONCATENATE(SUM(O283:O293),"(",SUM(O283:O293)-X283,")")</f>
        <v>0(0)</v>
      </c>
      <c r="Z283" s="279"/>
      <c r="AA283" s="141"/>
      <c r="AB283" s="142"/>
      <c r="AC283" s="142"/>
      <c r="AD283" s="142"/>
      <c r="AE283" s="142"/>
      <c r="AF283" s="142"/>
      <c r="AG283" s="142"/>
      <c r="AH283" s="142"/>
      <c r="AI283" s="143"/>
      <c r="AJ283" s="144"/>
      <c r="AK283" s="145"/>
      <c r="AL283" s="145"/>
      <c r="AM283" s="145"/>
      <c r="AN283" s="145"/>
      <c r="AO283" s="146"/>
      <c r="AP283" s="280">
        <f>SUM(SUM(O283:O293),SUM(AI283:AI293)/2,AM283)</f>
        <v>0</v>
      </c>
      <c r="AQ283" s="148"/>
      <c r="AR283" s="148">
        <f>AP283*AQ283</f>
        <v>0</v>
      </c>
      <c r="AS283" s="148">
        <f>CT283</f>
        <v>0</v>
      </c>
      <c r="AT283" s="148">
        <f>AR283*0.75+AS283*0.25</f>
        <v>0</v>
      </c>
      <c r="AU283" s="150"/>
      <c r="AV283" s="151"/>
      <c r="AW283" s="151"/>
      <c r="AX283" s="152"/>
      <c r="AY283" s="279"/>
      <c r="AZ283" s="279"/>
      <c r="BA283" s="150"/>
      <c r="BB283" s="151"/>
      <c r="BC283" s="151"/>
      <c r="BD283" s="151"/>
      <c r="BE283" s="151"/>
      <c r="BF283" s="151"/>
      <c r="BG283" s="151"/>
      <c r="BH283" s="151"/>
      <c r="BI283" s="152"/>
      <c r="BJ283" s="150"/>
      <c r="BK283" s="151"/>
      <c r="BL283" s="151"/>
      <c r="BM283" s="151"/>
      <c r="BN283" s="151"/>
      <c r="BO283" s="152"/>
      <c r="BP283" s="279"/>
      <c r="BQ283" s="150"/>
      <c r="BR283" s="151"/>
      <c r="BS283" s="152"/>
      <c r="BT283" s="279"/>
      <c r="BU283" s="279"/>
      <c r="BV283" s="279"/>
      <c r="BW283" s="279"/>
      <c r="BX283" s="279"/>
      <c r="BY283" s="279"/>
      <c r="BZ283" s="279"/>
      <c r="CA283" s="279"/>
      <c r="CB283" s="279"/>
      <c r="CC283" s="279"/>
      <c r="CD283" s="150"/>
      <c r="CE283" s="152"/>
      <c r="CF283" s="150"/>
      <c r="CG283" s="152"/>
      <c r="CH283" s="159"/>
      <c r="CI283" s="281"/>
      <c r="CJ283" s="159"/>
      <c r="CK283" s="281"/>
      <c r="CL283" s="159"/>
      <c r="CM283" s="281"/>
      <c r="CN283" s="159"/>
      <c r="CO283" s="281"/>
      <c r="CP283" s="159"/>
      <c r="CQ283" s="162"/>
      <c r="CR283" s="281"/>
      <c r="CS283" s="163">
        <f>SUM(IF(AU283&lt;0,ABS(AU283),0),IF(AZ283&lt;0,ABS(AZ283),0),ABS(CI283),ABS(CK283),ABS(CM283),ABS(CO283),ABS(CQ283),ABS(CR283))</f>
        <v>0</v>
      </c>
      <c r="CT283" s="254">
        <f>SUM(AU283,AV283,AW283,AX283/400,AY283,AZ283,BG283,BH283*0.5,BI283*0.25,BJ283,BK283,BL283,BM283,BN283,BO283,BP283,BR283/20,BS283/100,BT283/60,BU283,BV283,BW283,BX283/5,SUM(BY283:CC293)/3,CE283,CG283/3,CI283,CK283,CM283,CO283,CQ283,CR283)</f>
        <v>0</v>
      </c>
      <c r="CU283" s="255"/>
    </row>
    <row r="284" ht="60.0" hidden="1" customHeight="1">
      <c r="A284" s="65"/>
      <c r="B284" s="65"/>
      <c r="C284" s="167"/>
      <c r="D284" s="205"/>
      <c r="E284" s="262"/>
      <c r="F284" s="170"/>
      <c r="G284" s="170"/>
      <c r="H284" s="170"/>
      <c r="I284" s="170"/>
      <c r="J284" s="170"/>
      <c r="K284" s="171"/>
      <c r="L284" s="171"/>
      <c r="M284" s="171"/>
      <c r="N284" s="209"/>
      <c r="O284" s="172">
        <f t="shared" si="52"/>
        <v>0</v>
      </c>
      <c r="P284" s="65"/>
      <c r="Q284" s="65"/>
      <c r="R284" s="65"/>
      <c r="S284" s="65"/>
      <c r="T284" s="65"/>
      <c r="U284" s="65"/>
      <c r="V284" s="65"/>
      <c r="W284" s="65"/>
      <c r="X284" s="65"/>
      <c r="Y284" s="65"/>
      <c r="Z284" s="65"/>
      <c r="AA284" s="174"/>
      <c r="AB284" s="175"/>
      <c r="AC284" s="175"/>
      <c r="AD284" s="175"/>
      <c r="AE284" s="175"/>
      <c r="AF284" s="175"/>
      <c r="AG284" s="175"/>
      <c r="AH284" s="175"/>
      <c r="AI284" s="176"/>
      <c r="AJ284" s="177"/>
      <c r="AK284" s="178"/>
      <c r="AL284" s="178"/>
      <c r="AM284" s="178"/>
      <c r="AN284" s="178"/>
      <c r="AO284" s="179"/>
      <c r="AP284" s="65"/>
      <c r="AQ284" s="65"/>
      <c r="AR284" s="65"/>
      <c r="AS284" s="65"/>
      <c r="AT284" s="65"/>
      <c r="AU284" s="177"/>
      <c r="AV284" s="178"/>
      <c r="AW284" s="178"/>
      <c r="AX284" s="179"/>
      <c r="AY284" s="65"/>
      <c r="AZ284" s="65"/>
      <c r="BA284" s="177"/>
      <c r="BB284" s="178"/>
      <c r="BC284" s="178"/>
      <c r="BD284" s="178"/>
      <c r="BE284" s="178"/>
      <c r="BF284" s="178"/>
      <c r="BG284" s="178"/>
      <c r="BH284" s="178"/>
      <c r="BI284" s="179"/>
      <c r="BJ284" s="177"/>
      <c r="BK284" s="178"/>
      <c r="BL284" s="178"/>
      <c r="BM284" s="178"/>
      <c r="BN284" s="178"/>
      <c r="BO284" s="179"/>
      <c r="BP284" s="65"/>
      <c r="BQ284" s="177"/>
      <c r="BR284" s="178"/>
      <c r="BS284" s="179"/>
      <c r="BT284" s="65"/>
      <c r="BU284" s="65"/>
      <c r="BV284" s="65"/>
      <c r="BW284" s="65"/>
      <c r="BX284" s="65"/>
      <c r="BY284" s="65"/>
      <c r="BZ284" s="65"/>
      <c r="CA284" s="65"/>
      <c r="CB284" s="65"/>
      <c r="CC284" s="65"/>
      <c r="CD284" s="177"/>
      <c r="CE284" s="179"/>
      <c r="CF284" s="177"/>
      <c r="CG284" s="179"/>
      <c r="CH284" s="177"/>
      <c r="CI284" s="179"/>
      <c r="CJ284" s="177"/>
      <c r="CK284" s="179"/>
      <c r="CL284" s="177"/>
      <c r="CM284" s="179"/>
      <c r="CN284" s="177"/>
      <c r="CO284" s="179"/>
      <c r="CP284" s="177"/>
      <c r="CQ284" s="178"/>
      <c r="CR284" s="179"/>
      <c r="CS284" s="65"/>
      <c r="CT284" s="65"/>
      <c r="CU284" s="271"/>
    </row>
    <row r="285" ht="60.0" hidden="1" customHeight="1">
      <c r="A285" s="65"/>
      <c r="B285" s="65"/>
      <c r="C285" s="167"/>
      <c r="D285" s="205"/>
      <c r="E285" s="262"/>
      <c r="F285" s="170"/>
      <c r="G285" s="170"/>
      <c r="H285" s="170"/>
      <c r="I285" s="170"/>
      <c r="J285" s="170"/>
      <c r="K285" s="171"/>
      <c r="L285" s="171"/>
      <c r="M285" s="171"/>
      <c r="N285" s="209"/>
      <c r="O285" s="172">
        <f t="shared" si="52"/>
        <v>0</v>
      </c>
      <c r="P285" s="65"/>
      <c r="Q285" s="65"/>
      <c r="R285" s="65"/>
      <c r="S285" s="65"/>
      <c r="T285" s="65"/>
      <c r="U285" s="65"/>
      <c r="V285" s="65"/>
      <c r="W285" s="65"/>
      <c r="X285" s="65"/>
      <c r="Y285" s="65"/>
      <c r="Z285" s="65"/>
      <c r="AA285" s="174"/>
      <c r="AB285" s="175"/>
      <c r="AC285" s="175"/>
      <c r="AD285" s="175"/>
      <c r="AE285" s="175"/>
      <c r="AF285" s="175"/>
      <c r="AG285" s="175"/>
      <c r="AH285" s="175"/>
      <c r="AI285" s="176"/>
      <c r="AJ285" s="177"/>
      <c r="AK285" s="178"/>
      <c r="AL285" s="178"/>
      <c r="AM285" s="178"/>
      <c r="AN285" s="178"/>
      <c r="AO285" s="179"/>
      <c r="AP285" s="65"/>
      <c r="AQ285" s="65"/>
      <c r="AR285" s="65"/>
      <c r="AS285" s="65"/>
      <c r="AT285" s="65"/>
      <c r="AU285" s="177"/>
      <c r="AV285" s="178"/>
      <c r="AW285" s="178"/>
      <c r="AX285" s="179"/>
      <c r="AY285" s="65"/>
      <c r="AZ285" s="65"/>
      <c r="BA285" s="177"/>
      <c r="BB285" s="178"/>
      <c r="BC285" s="178"/>
      <c r="BD285" s="178"/>
      <c r="BE285" s="178"/>
      <c r="BF285" s="178"/>
      <c r="BG285" s="178"/>
      <c r="BH285" s="178"/>
      <c r="BI285" s="179"/>
      <c r="BJ285" s="177"/>
      <c r="BK285" s="178"/>
      <c r="BL285" s="178"/>
      <c r="BM285" s="178"/>
      <c r="BN285" s="178"/>
      <c r="BO285" s="179"/>
      <c r="BP285" s="65"/>
      <c r="BQ285" s="177"/>
      <c r="BR285" s="178"/>
      <c r="BS285" s="179"/>
      <c r="BT285" s="65"/>
      <c r="BU285" s="65"/>
      <c r="BV285" s="65"/>
      <c r="BW285" s="65"/>
      <c r="BX285" s="65"/>
      <c r="BY285" s="65"/>
      <c r="BZ285" s="65"/>
      <c r="CA285" s="65"/>
      <c r="CB285" s="65"/>
      <c r="CC285" s="65"/>
      <c r="CD285" s="177"/>
      <c r="CE285" s="179"/>
      <c r="CF285" s="177"/>
      <c r="CG285" s="179"/>
      <c r="CH285" s="177"/>
      <c r="CI285" s="179"/>
      <c r="CJ285" s="177"/>
      <c r="CK285" s="179"/>
      <c r="CL285" s="177"/>
      <c r="CM285" s="179"/>
      <c r="CN285" s="177"/>
      <c r="CO285" s="179"/>
      <c r="CP285" s="177"/>
      <c r="CQ285" s="178"/>
      <c r="CR285" s="179"/>
      <c r="CS285" s="65"/>
      <c r="CT285" s="65"/>
      <c r="CU285" s="271"/>
    </row>
    <row r="286" ht="60.0" hidden="1" customHeight="1">
      <c r="A286" s="65"/>
      <c r="B286" s="65"/>
      <c r="C286" s="167"/>
      <c r="D286" s="205"/>
      <c r="E286" s="262"/>
      <c r="F286" s="170"/>
      <c r="G286" s="170"/>
      <c r="H286" s="170"/>
      <c r="I286" s="170"/>
      <c r="J286" s="170"/>
      <c r="K286" s="171"/>
      <c r="L286" s="171"/>
      <c r="M286" s="171"/>
      <c r="N286" s="209"/>
      <c r="O286" s="172">
        <f t="shared" si="52"/>
        <v>0</v>
      </c>
      <c r="P286" s="65"/>
      <c r="Q286" s="65"/>
      <c r="R286" s="65"/>
      <c r="S286" s="65"/>
      <c r="T286" s="65"/>
      <c r="U286" s="65"/>
      <c r="V286" s="65"/>
      <c r="W286" s="65"/>
      <c r="X286" s="65"/>
      <c r="Y286" s="65"/>
      <c r="Z286" s="65"/>
      <c r="AA286" s="174"/>
      <c r="AB286" s="175"/>
      <c r="AC286" s="175"/>
      <c r="AD286" s="175"/>
      <c r="AE286" s="175"/>
      <c r="AF286" s="175"/>
      <c r="AG286" s="175"/>
      <c r="AH286" s="175"/>
      <c r="AI286" s="176"/>
      <c r="AJ286" s="177"/>
      <c r="AK286" s="178"/>
      <c r="AL286" s="178"/>
      <c r="AM286" s="178"/>
      <c r="AN286" s="178"/>
      <c r="AO286" s="179"/>
      <c r="AP286" s="65"/>
      <c r="AQ286" s="65"/>
      <c r="AR286" s="65"/>
      <c r="AS286" s="65"/>
      <c r="AT286" s="65"/>
      <c r="AU286" s="177"/>
      <c r="AV286" s="178"/>
      <c r="AW286" s="178"/>
      <c r="AX286" s="179"/>
      <c r="AY286" s="65"/>
      <c r="AZ286" s="65"/>
      <c r="BA286" s="177"/>
      <c r="BB286" s="178"/>
      <c r="BC286" s="178"/>
      <c r="BD286" s="178"/>
      <c r="BE286" s="178"/>
      <c r="BF286" s="178"/>
      <c r="BG286" s="178"/>
      <c r="BH286" s="178"/>
      <c r="BI286" s="179"/>
      <c r="BJ286" s="177"/>
      <c r="BK286" s="178"/>
      <c r="BL286" s="178"/>
      <c r="BM286" s="178"/>
      <c r="BN286" s="178"/>
      <c r="BO286" s="179"/>
      <c r="BP286" s="65"/>
      <c r="BQ286" s="177"/>
      <c r="BR286" s="178"/>
      <c r="BS286" s="179"/>
      <c r="BT286" s="65"/>
      <c r="BU286" s="65"/>
      <c r="BV286" s="65"/>
      <c r="BW286" s="65"/>
      <c r="BX286" s="65"/>
      <c r="BY286" s="65"/>
      <c r="BZ286" s="65"/>
      <c r="CA286" s="65"/>
      <c r="CB286" s="65"/>
      <c r="CC286" s="65"/>
      <c r="CD286" s="177"/>
      <c r="CE286" s="179"/>
      <c r="CF286" s="177"/>
      <c r="CG286" s="179"/>
      <c r="CH286" s="177"/>
      <c r="CI286" s="179"/>
      <c r="CJ286" s="177"/>
      <c r="CK286" s="179"/>
      <c r="CL286" s="177"/>
      <c r="CM286" s="179"/>
      <c r="CN286" s="177"/>
      <c r="CO286" s="179"/>
      <c r="CP286" s="177"/>
      <c r="CQ286" s="178"/>
      <c r="CR286" s="179"/>
      <c r="CS286" s="65"/>
      <c r="CT286" s="65"/>
      <c r="CU286" s="271"/>
    </row>
    <row r="287" ht="60.0" hidden="1" customHeight="1">
      <c r="A287" s="65"/>
      <c r="B287" s="65"/>
      <c r="C287" s="167"/>
      <c r="D287" s="205"/>
      <c r="E287" s="262"/>
      <c r="F287" s="170"/>
      <c r="G287" s="170"/>
      <c r="H287" s="170"/>
      <c r="I287" s="170"/>
      <c r="J287" s="170"/>
      <c r="K287" s="171"/>
      <c r="L287" s="171"/>
      <c r="M287" s="171"/>
      <c r="N287" s="209"/>
      <c r="O287" s="172">
        <f t="shared" si="52"/>
        <v>0</v>
      </c>
      <c r="P287" s="65"/>
      <c r="Q287" s="65"/>
      <c r="R287" s="65"/>
      <c r="S287" s="65"/>
      <c r="T287" s="65"/>
      <c r="U287" s="65"/>
      <c r="V287" s="65"/>
      <c r="W287" s="65"/>
      <c r="X287" s="65"/>
      <c r="Y287" s="65"/>
      <c r="Z287" s="65"/>
      <c r="AA287" s="174"/>
      <c r="AB287" s="175"/>
      <c r="AC287" s="175"/>
      <c r="AD287" s="175"/>
      <c r="AE287" s="175"/>
      <c r="AF287" s="175"/>
      <c r="AG287" s="175"/>
      <c r="AH287" s="175"/>
      <c r="AI287" s="176"/>
      <c r="AJ287" s="177"/>
      <c r="AK287" s="178"/>
      <c r="AL287" s="178"/>
      <c r="AM287" s="178"/>
      <c r="AN287" s="178"/>
      <c r="AO287" s="179"/>
      <c r="AP287" s="65"/>
      <c r="AQ287" s="65"/>
      <c r="AR287" s="65"/>
      <c r="AS287" s="65"/>
      <c r="AT287" s="65"/>
      <c r="AU287" s="177"/>
      <c r="AV287" s="178"/>
      <c r="AW287" s="178"/>
      <c r="AX287" s="179"/>
      <c r="AY287" s="65"/>
      <c r="AZ287" s="65"/>
      <c r="BA287" s="177"/>
      <c r="BB287" s="178"/>
      <c r="BC287" s="178"/>
      <c r="BD287" s="178"/>
      <c r="BE287" s="178"/>
      <c r="BF287" s="178"/>
      <c r="BG287" s="178"/>
      <c r="BH287" s="178"/>
      <c r="BI287" s="179"/>
      <c r="BJ287" s="177"/>
      <c r="BK287" s="178"/>
      <c r="BL287" s="178"/>
      <c r="BM287" s="178"/>
      <c r="BN287" s="178"/>
      <c r="BO287" s="179"/>
      <c r="BP287" s="65"/>
      <c r="BQ287" s="177"/>
      <c r="BR287" s="178"/>
      <c r="BS287" s="179"/>
      <c r="BT287" s="65"/>
      <c r="BU287" s="65"/>
      <c r="BV287" s="65"/>
      <c r="BW287" s="65"/>
      <c r="BX287" s="65"/>
      <c r="BY287" s="65"/>
      <c r="BZ287" s="65"/>
      <c r="CA287" s="65"/>
      <c r="CB287" s="65"/>
      <c r="CC287" s="65"/>
      <c r="CD287" s="177"/>
      <c r="CE287" s="179"/>
      <c r="CF287" s="177"/>
      <c r="CG287" s="179"/>
      <c r="CH287" s="177"/>
      <c r="CI287" s="179"/>
      <c r="CJ287" s="177"/>
      <c r="CK287" s="179"/>
      <c r="CL287" s="177"/>
      <c r="CM287" s="179"/>
      <c r="CN287" s="177"/>
      <c r="CO287" s="179"/>
      <c r="CP287" s="177"/>
      <c r="CQ287" s="178"/>
      <c r="CR287" s="179"/>
      <c r="CS287" s="65"/>
      <c r="CT287" s="65"/>
      <c r="CU287" s="271"/>
    </row>
    <row r="288" ht="60.0" hidden="1" customHeight="1">
      <c r="A288" s="65"/>
      <c r="B288" s="65"/>
      <c r="C288" s="167"/>
      <c r="D288" s="205"/>
      <c r="E288" s="262"/>
      <c r="F288" s="170"/>
      <c r="G288" s="170"/>
      <c r="H288" s="170"/>
      <c r="I288" s="170"/>
      <c r="J288" s="170"/>
      <c r="K288" s="171"/>
      <c r="L288" s="171"/>
      <c r="M288" s="171"/>
      <c r="N288" s="209"/>
      <c r="O288" s="172">
        <f t="shared" si="52"/>
        <v>0</v>
      </c>
      <c r="P288" s="65"/>
      <c r="Q288" s="65"/>
      <c r="R288" s="65"/>
      <c r="S288" s="65"/>
      <c r="T288" s="65"/>
      <c r="U288" s="65"/>
      <c r="V288" s="65"/>
      <c r="W288" s="65"/>
      <c r="X288" s="65"/>
      <c r="Y288" s="65"/>
      <c r="Z288" s="65"/>
      <c r="AA288" s="174"/>
      <c r="AB288" s="175"/>
      <c r="AC288" s="175"/>
      <c r="AD288" s="175"/>
      <c r="AE288" s="175"/>
      <c r="AF288" s="175"/>
      <c r="AG288" s="175"/>
      <c r="AH288" s="175"/>
      <c r="AI288" s="176"/>
      <c r="AJ288" s="177"/>
      <c r="AK288" s="178"/>
      <c r="AL288" s="178"/>
      <c r="AM288" s="178"/>
      <c r="AN288" s="178"/>
      <c r="AO288" s="179"/>
      <c r="AP288" s="65"/>
      <c r="AQ288" s="65"/>
      <c r="AR288" s="65"/>
      <c r="AS288" s="65"/>
      <c r="AT288" s="65"/>
      <c r="AU288" s="177"/>
      <c r="AV288" s="178"/>
      <c r="AW288" s="178"/>
      <c r="AX288" s="179"/>
      <c r="AY288" s="65"/>
      <c r="AZ288" s="65"/>
      <c r="BA288" s="177"/>
      <c r="BB288" s="178"/>
      <c r="BC288" s="178"/>
      <c r="BD288" s="178"/>
      <c r="BE288" s="178"/>
      <c r="BF288" s="178"/>
      <c r="BG288" s="178"/>
      <c r="BH288" s="178"/>
      <c r="BI288" s="179"/>
      <c r="BJ288" s="177"/>
      <c r="BK288" s="178"/>
      <c r="BL288" s="178"/>
      <c r="BM288" s="178"/>
      <c r="BN288" s="178"/>
      <c r="BO288" s="179"/>
      <c r="BP288" s="65"/>
      <c r="BQ288" s="177"/>
      <c r="BR288" s="178"/>
      <c r="BS288" s="179"/>
      <c r="BT288" s="65"/>
      <c r="BU288" s="65"/>
      <c r="BV288" s="65"/>
      <c r="BW288" s="65"/>
      <c r="BX288" s="65"/>
      <c r="BY288" s="65"/>
      <c r="BZ288" s="65"/>
      <c r="CA288" s="65"/>
      <c r="CB288" s="65"/>
      <c r="CC288" s="65"/>
      <c r="CD288" s="177"/>
      <c r="CE288" s="179"/>
      <c r="CF288" s="177"/>
      <c r="CG288" s="179"/>
      <c r="CH288" s="177"/>
      <c r="CI288" s="179"/>
      <c r="CJ288" s="177"/>
      <c r="CK288" s="179"/>
      <c r="CL288" s="177"/>
      <c r="CM288" s="179"/>
      <c r="CN288" s="177"/>
      <c r="CO288" s="179"/>
      <c r="CP288" s="177"/>
      <c r="CQ288" s="178"/>
      <c r="CR288" s="179"/>
      <c r="CS288" s="65"/>
      <c r="CT288" s="65"/>
      <c r="CU288" s="271"/>
    </row>
    <row r="289" ht="60.0" hidden="1" customHeight="1">
      <c r="A289" s="65"/>
      <c r="B289" s="65"/>
      <c r="C289" s="167"/>
      <c r="D289" s="205"/>
      <c r="E289" s="262"/>
      <c r="F289" s="170"/>
      <c r="G289" s="170"/>
      <c r="H289" s="170"/>
      <c r="I289" s="170"/>
      <c r="J289" s="170"/>
      <c r="K289" s="171"/>
      <c r="L289" s="171"/>
      <c r="M289" s="171"/>
      <c r="N289" s="209"/>
      <c r="O289" s="172">
        <f t="shared" ref="O289:O292" si="53">IF(AND(M289&gt;=20,M289&lt;&gt;"m",RIGHT(K289,3)="Lec"),1,IF(AND(M289&gt;=20,M289&lt;&gt;"m",OR(RIGHT(K289,3)="Lab",RIGHT(K289,3)="Tut")),0.5,IF(AND(M289&gt;=20,M289&lt;&gt;"m",RIGHT(K289,2)="TL"),0.75,0)))</f>
        <v>0</v>
      </c>
      <c r="P289" s="65"/>
      <c r="Q289" s="65"/>
      <c r="R289" s="65"/>
      <c r="S289" s="65"/>
      <c r="T289" s="65"/>
      <c r="U289" s="65"/>
      <c r="V289" s="65"/>
      <c r="W289" s="65"/>
      <c r="X289" s="65"/>
      <c r="Y289" s="65"/>
      <c r="Z289" s="65"/>
      <c r="AA289" s="174"/>
      <c r="AB289" s="175"/>
      <c r="AC289" s="175"/>
      <c r="AD289" s="175"/>
      <c r="AE289" s="175"/>
      <c r="AF289" s="175"/>
      <c r="AG289" s="175"/>
      <c r="AH289" s="175"/>
      <c r="AI289" s="176"/>
      <c r="AJ289" s="177"/>
      <c r="AK289" s="178"/>
      <c r="AL289" s="178"/>
      <c r="AM289" s="178"/>
      <c r="AN289" s="178"/>
      <c r="AO289" s="179"/>
      <c r="AP289" s="65"/>
      <c r="AQ289" s="65"/>
      <c r="AR289" s="65"/>
      <c r="AS289" s="65"/>
      <c r="AT289" s="65"/>
      <c r="AU289" s="177"/>
      <c r="AV289" s="178"/>
      <c r="AW289" s="178"/>
      <c r="AX289" s="179"/>
      <c r="AY289" s="65"/>
      <c r="AZ289" s="65"/>
      <c r="BA289" s="177"/>
      <c r="BB289" s="178"/>
      <c r="BC289" s="178"/>
      <c r="BD289" s="178"/>
      <c r="BE289" s="178"/>
      <c r="BF289" s="178"/>
      <c r="BG289" s="178"/>
      <c r="BH289" s="178"/>
      <c r="BI289" s="179"/>
      <c r="BJ289" s="177"/>
      <c r="BK289" s="178"/>
      <c r="BL289" s="178"/>
      <c r="BM289" s="178"/>
      <c r="BN289" s="178"/>
      <c r="BO289" s="179"/>
      <c r="BP289" s="65"/>
      <c r="BQ289" s="177"/>
      <c r="BR289" s="178"/>
      <c r="BS289" s="179"/>
      <c r="BT289" s="65"/>
      <c r="BU289" s="65"/>
      <c r="BV289" s="65"/>
      <c r="BW289" s="65"/>
      <c r="BX289" s="65"/>
      <c r="BY289" s="65"/>
      <c r="BZ289" s="65"/>
      <c r="CA289" s="65"/>
      <c r="CB289" s="65"/>
      <c r="CC289" s="65"/>
      <c r="CD289" s="177"/>
      <c r="CE289" s="179"/>
      <c r="CF289" s="177"/>
      <c r="CG289" s="179"/>
      <c r="CH289" s="177"/>
      <c r="CI289" s="179"/>
      <c r="CJ289" s="177"/>
      <c r="CK289" s="179"/>
      <c r="CL289" s="177"/>
      <c r="CM289" s="179"/>
      <c r="CN289" s="177"/>
      <c r="CO289" s="179"/>
      <c r="CP289" s="177"/>
      <c r="CQ289" s="178"/>
      <c r="CR289" s="179"/>
      <c r="CS289" s="65"/>
      <c r="CT289" s="65"/>
      <c r="CU289" s="271"/>
    </row>
    <row r="290" ht="60.0" hidden="1" customHeight="1">
      <c r="A290" s="65"/>
      <c r="B290" s="65"/>
      <c r="C290" s="167"/>
      <c r="D290" s="205"/>
      <c r="E290" s="262"/>
      <c r="F290" s="170"/>
      <c r="G290" s="170"/>
      <c r="H290" s="170"/>
      <c r="I290" s="170"/>
      <c r="J290" s="170"/>
      <c r="K290" s="171"/>
      <c r="L290" s="171"/>
      <c r="M290" s="171"/>
      <c r="N290" s="209"/>
      <c r="O290" s="172">
        <f t="shared" si="53"/>
        <v>0</v>
      </c>
      <c r="P290" s="65"/>
      <c r="Q290" s="65"/>
      <c r="R290" s="65"/>
      <c r="S290" s="65"/>
      <c r="T290" s="65"/>
      <c r="U290" s="65"/>
      <c r="V290" s="65"/>
      <c r="W290" s="65"/>
      <c r="X290" s="65"/>
      <c r="Y290" s="65"/>
      <c r="Z290" s="65"/>
      <c r="AA290" s="174"/>
      <c r="AB290" s="175"/>
      <c r="AC290" s="175"/>
      <c r="AD290" s="175"/>
      <c r="AE290" s="175"/>
      <c r="AF290" s="175"/>
      <c r="AG290" s="175"/>
      <c r="AH290" s="175"/>
      <c r="AI290" s="176"/>
      <c r="AJ290" s="177"/>
      <c r="AK290" s="178"/>
      <c r="AL290" s="178"/>
      <c r="AM290" s="178"/>
      <c r="AN290" s="178"/>
      <c r="AO290" s="179"/>
      <c r="AP290" s="65"/>
      <c r="AQ290" s="65"/>
      <c r="AR290" s="65"/>
      <c r="AS290" s="65"/>
      <c r="AT290" s="65"/>
      <c r="AU290" s="177"/>
      <c r="AV290" s="178"/>
      <c r="AW290" s="178"/>
      <c r="AX290" s="179"/>
      <c r="AY290" s="65"/>
      <c r="AZ290" s="65"/>
      <c r="BA290" s="177"/>
      <c r="BB290" s="178"/>
      <c r="BC290" s="178"/>
      <c r="BD290" s="178"/>
      <c r="BE290" s="178"/>
      <c r="BF290" s="178"/>
      <c r="BG290" s="178"/>
      <c r="BH290" s="178"/>
      <c r="BI290" s="179"/>
      <c r="BJ290" s="177"/>
      <c r="BK290" s="178"/>
      <c r="BL290" s="178"/>
      <c r="BM290" s="178"/>
      <c r="BN290" s="178"/>
      <c r="BO290" s="179"/>
      <c r="BP290" s="65"/>
      <c r="BQ290" s="177"/>
      <c r="BR290" s="178"/>
      <c r="BS290" s="179"/>
      <c r="BT290" s="65"/>
      <c r="BU290" s="65"/>
      <c r="BV290" s="65"/>
      <c r="BW290" s="65"/>
      <c r="BX290" s="65"/>
      <c r="BY290" s="65"/>
      <c r="BZ290" s="65"/>
      <c r="CA290" s="65"/>
      <c r="CB290" s="65"/>
      <c r="CC290" s="65"/>
      <c r="CD290" s="177"/>
      <c r="CE290" s="179"/>
      <c r="CF290" s="177"/>
      <c r="CG290" s="179"/>
      <c r="CH290" s="177"/>
      <c r="CI290" s="179"/>
      <c r="CJ290" s="177"/>
      <c r="CK290" s="179"/>
      <c r="CL290" s="177"/>
      <c r="CM290" s="179"/>
      <c r="CN290" s="177"/>
      <c r="CO290" s="179"/>
      <c r="CP290" s="177"/>
      <c r="CQ290" s="178"/>
      <c r="CR290" s="179"/>
      <c r="CS290" s="65"/>
      <c r="CT290" s="65"/>
      <c r="CU290" s="271"/>
    </row>
    <row r="291" ht="60.0" hidden="1" customHeight="1">
      <c r="A291" s="65"/>
      <c r="B291" s="65"/>
      <c r="C291" s="167"/>
      <c r="D291" s="205"/>
      <c r="E291" s="262"/>
      <c r="F291" s="170"/>
      <c r="G291" s="170"/>
      <c r="H291" s="170"/>
      <c r="I291" s="170"/>
      <c r="J291" s="170"/>
      <c r="K291" s="171"/>
      <c r="L291" s="171"/>
      <c r="M291" s="171"/>
      <c r="N291" s="209"/>
      <c r="O291" s="172">
        <f t="shared" si="53"/>
        <v>0</v>
      </c>
      <c r="P291" s="65"/>
      <c r="Q291" s="65"/>
      <c r="R291" s="65"/>
      <c r="S291" s="65"/>
      <c r="T291" s="65"/>
      <c r="U291" s="65"/>
      <c r="V291" s="65"/>
      <c r="W291" s="65"/>
      <c r="X291" s="65"/>
      <c r="Y291" s="65"/>
      <c r="Z291" s="65"/>
      <c r="AA291" s="174"/>
      <c r="AB291" s="175"/>
      <c r="AC291" s="175"/>
      <c r="AD291" s="175"/>
      <c r="AE291" s="175"/>
      <c r="AF291" s="175"/>
      <c r="AG291" s="175"/>
      <c r="AH291" s="175"/>
      <c r="AI291" s="176"/>
      <c r="AJ291" s="177"/>
      <c r="AK291" s="178"/>
      <c r="AL291" s="178"/>
      <c r="AM291" s="178"/>
      <c r="AN291" s="178"/>
      <c r="AO291" s="179"/>
      <c r="AP291" s="65"/>
      <c r="AQ291" s="65"/>
      <c r="AR291" s="65"/>
      <c r="AS291" s="65"/>
      <c r="AT291" s="65"/>
      <c r="AU291" s="177"/>
      <c r="AV291" s="178"/>
      <c r="AW291" s="178"/>
      <c r="AX291" s="179"/>
      <c r="AY291" s="65"/>
      <c r="AZ291" s="65"/>
      <c r="BA291" s="177"/>
      <c r="BB291" s="178"/>
      <c r="BC291" s="178"/>
      <c r="BD291" s="178"/>
      <c r="BE291" s="178"/>
      <c r="BF291" s="178"/>
      <c r="BG291" s="178"/>
      <c r="BH291" s="178"/>
      <c r="BI291" s="179"/>
      <c r="BJ291" s="177"/>
      <c r="BK291" s="178"/>
      <c r="BL291" s="178"/>
      <c r="BM291" s="178"/>
      <c r="BN291" s="178"/>
      <c r="BO291" s="179"/>
      <c r="BP291" s="65"/>
      <c r="BQ291" s="177"/>
      <c r="BR291" s="178"/>
      <c r="BS291" s="179"/>
      <c r="BT291" s="65"/>
      <c r="BU291" s="65"/>
      <c r="BV291" s="65"/>
      <c r="BW291" s="65"/>
      <c r="BX291" s="65"/>
      <c r="BY291" s="65"/>
      <c r="BZ291" s="65"/>
      <c r="CA291" s="65"/>
      <c r="CB291" s="65"/>
      <c r="CC291" s="65"/>
      <c r="CD291" s="177"/>
      <c r="CE291" s="179"/>
      <c r="CF291" s="177"/>
      <c r="CG291" s="179"/>
      <c r="CH291" s="177"/>
      <c r="CI291" s="179"/>
      <c r="CJ291" s="177"/>
      <c r="CK291" s="179"/>
      <c r="CL291" s="177"/>
      <c r="CM291" s="179"/>
      <c r="CN291" s="177"/>
      <c r="CO291" s="179"/>
      <c r="CP291" s="177"/>
      <c r="CQ291" s="178"/>
      <c r="CR291" s="179"/>
      <c r="CS291" s="65"/>
      <c r="CT291" s="65"/>
      <c r="CU291" s="271"/>
    </row>
    <row r="292" ht="60.0" hidden="1" customHeight="1">
      <c r="A292" s="65"/>
      <c r="B292" s="65"/>
      <c r="C292" s="167"/>
      <c r="D292" s="205"/>
      <c r="E292" s="262"/>
      <c r="F292" s="170"/>
      <c r="G292" s="170"/>
      <c r="H292" s="170"/>
      <c r="I292" s="170"/>
      <c r="J292" s="170"/>
      <c r="K292" s="171"/>
      <c r="L292" s="171"/>
      <c r="M292" s="171"/>
      <c r="N292" s="209"/>
      <c r="O292" s="172">
        <f t="shared" si="53"/>
        <v>0</v>
      </c>
      <c r="P292" s="65"/>
      <c r="Q292" s="65"/>
      <c r="R292" s="65"/>
      <c r="S292" s="65"/>
      <c r="T292" s="65"/>
      <c r="U292" s="65"/>
      <c r="V292" s="65"/>
      <c r="W292" s="65"/>
      <c r="X292" s="65"/>
      <c r="Y292" s="65"/>
      <c r="Z292" s="65"/>
      <c r="AA292" s="174"/>
      <c r="AB292" s="175"/>
      <c r="AC292" s="175"/>
      <c r="AD292" s="175"/>
      <c r="AE292" s="175"/>
      <c r="AF292" s="175"/>
      <c r="AG292" s="175"/>
      <c r="AH292" s="175"/>
      <c r="AI292" s="176"/>
      <c r="AJ292" s="177"/>
      <c r="AK292" s="178"/>
      <c r="AL292" s="178"/>
      <c r="AM292" s="178"/>
      <c r="AN292" s="178"/>
      <c r="AO292" s="179"/>
      <c r="AP292" s="65"/>
      <c r="AQ292" s="65"/>
      <c r="AR292" s="65"/>
      <c r="AS292" s="65"/>
      <c r="AT292" s="65"/>
      <c r="AU292" s="177"/>
      <c r="AV292" s="178"/>
      <c r="AW292" s="178"/>
      <c r="AX292" s="179"/>
      <c r="AY292" s="65"/>
      <c r="AZ292" s="65"/>
      <c r="BA292" s="177"/>
      <c r="BB292" s="178"/>
      <c r="BC292" s="178"/>
      <c r="BD292" s="178"/>
      <c r="BE292" s="178"/>
      <c r="BF292" s="178"/>
      <c r="BG292" s="178"/>
      <c r="BH292" s="178"/>
      <c r="BI292" s="179"/>
      <c r="BJ292" s="177"/>
      <c r="BK292" s="178"/>
      <c r="BL292" s="178"/>
      <c r="BM292" s="178"/>
      <c r="BN292" s="178"/>
      <c r="BO292" s="179"/>
      <c r="BP292" s="65"/>
      <c r="BQ292" s="177"/>
      <c r="BR292" s="178"/>
      <c r="BS292" s="179"/>
      <c r="BT292" s="65"/>
      <c r="BU292" s="65"/>
      <c r="BV292" s="65"/>
      <c r="BW292" s="65"/>
      <c r="BX292" s="65"/>
      <c r="BY292" s="65"/>
      <c r="BZ292" s="65"/>
      <c r="CA292" s="65"/>
      <c r="CB292" s="65"/>
      <c r="CC292" s="65"/>
      <c r="CD292" s="177"/>
      <c r="CE292" s="179"/>
      <c r="CF292" s="177"/>
      <c r="CG292" s="179"/>
      <c r="CH292" s="177"/>
      <c r="CI292" s="179"/>
      <c r="CJ292" s="177"/>
      <c r="CK292" s="179"/>
      <c r="CL292" s="177"/>
      <c r="CM292" s="179"/>
      <c r="CN292" s="177"/>
      <c r="CO292" s="179"/>
      <c r="CP292" s="177"/>
      <c r="CQ292" s="178"/>
      <c r="CR292" s="179"/>
      <c r="CS292" s="65"/>
      <c r="CT292" s="65"/>
      <c r="CU292" s="271"/>
    </row>
    <row r="293" ht="60.0" hidden="1" customHeight="1">
      <c r="A293" s="89"/>
      <c r="B293" s="89"/>
      <c r="C293" s="183"/>
      <c r="D293" s="210"/>
      <c r="E293" s="263"/>
      <c r="F293" s="186"/>
      <c r="G293" s="186"/>
      <c r="H293" s="186"/>
      <c r="I293" s="186"/>
      <c r="J293" s="186"/>
      <c r="K293" s="187"/>
      <c r="L293" s="187"/>
      <c r="M293" s="187"/>
      <c r="N293" s="214"/>
      <c r="O293" s="188">
        <f t="shared" ref="O293:O315" si="54">IF(AND(M293&lt;&gt;0,M293&lt;&gt;"m",M293&lt;&gt;"",RIGHT(K293,3)="Lec"),1,IF(AND(M293&lt;&gt;0,M293&lt;&gt;"m",M293&lt;&gt;"",OR(RIGHT(K293,3)="Lab",RIGHT(K293,3)="Tut")),0.5,IF(AND(M293&lt;&gt;0,M293&lt;&gt;"m",M293&lt;&gt;"",RIGHT(K293,2)="TL"),0.75,0)))</f>
        <v>0</v>
      </c>
      <c r="P293" s="89"/>
      <c r="Q293" s="89"/>
      <c r="R293" s="89"/>
      <c r="S293" s="89"/>
      <c r="T293" s="89"/>
      <c r="U293" s="89"/>
      <c r="V293" s="89"/>
      <c r="W293" s="89"/>
      <c r="X293" s="89"/>
      <c r="Y293" s="89"/>
      <c r="Z293" s="89"/>
      <c r="AA293" s="189"/>
      <c r="AB293" s="190"/>
      <c r="AC293" s="190"/>
      <c r="AD293" s="190"/>
      <c r="AE293" s="190"/>
      <c r="AF293" s="190"/>
      <c r="AG293" s="190"/>
      <c r="AH293" s="190"/>
      <c r="AI293" s="191"/>
      <c r="AJ293" s="192"/>
      <c r="AK293" s="193"/>
      <c r="AL293" s="193"/>
      <c r="AM293" s="193"/>
      <c r="AN293" s="193"/>
      <c r="AO293" s="194"/>
      <c r="AP293" s="89"/>
      <c r="AQ293" s="89"/>
      <c r="AR293" s="89"/>
      <c r="AS293" s="89"/>
      <c r="AT293" s="89"/>
      <c r="AU293" s="192"/>
      <c r="AV293" s="193"/>
      <c r="AW293" s="193"/>
      <c r="AX293" s="194"/>
      <c r="AY293" s="89"/>
      <c r="AZ293" s="89"/>
      <c r="BA293" s="192"/>
      <c r="BB293" s="193"/>
      <c r="BC293" s="193"/>
      <c r="BD293" s="193"/>
      <c r="BE293" s="193"/>
      <c r="BF293" s="193"/>
      <c r="BG293" s="193"/>
      <c r="BH293" s="193"/>
      <c r="BI293" s="194"/>
      <c r="BJ293" s="192"/>
      <c r="BK293" s="193"/>
      <c r="BL293" s="193"/>
      <c r="BM293" s="193"/>
      <c r="BN293" s="193"/>
      <c r="BO293" s="194"/>
      <c r="BP293" s="89"/>
      <c r="BQ293" s="192"/>
      <c r="BR293" s="193"/>
      <c r="BS293" s="194"/>
      <c r="BT293" s="89"/>
      <c r="BU293" s="89"/>
      <c r="BV293" s="89"/>
      <c r="BW293" s="89"/>
      <c r="BX293" s="89"/>
      <c r="BY293" s="89"/>
      <c r="BZ293" s="89"/>
      <c r="CA293" s="89"/>
      <c r="CB293" s="89"/>
      <c r="CC293" s="89"/>
      <c r="CD293" s="192"/>
      <c r="CE293" s="194"/>
      <c r="CF293" s="192"/>
      <c r="CG293" s="194"/>
      <c r="CH293" s="192"/>
      <c r="CI293" s="194"/>
      <c r="CJ293" s="192"/>
      <c r="CK293" s="194"/>
      <c r="CL293" s="192"/>
      <c r="CM293" s="194"/>
      <c r="CN293" s="192"/>
      <c r="CO293" s="194"/>
      <c r="CP293" s="192"/>
      <c r="CQ293" s="193"/>
      <c r="CR293" s="194"/>
      <c r="CS293" s="89"/>
      <c r="CT293" s="89"/>
      <c r="CU293" s="272"/>
    </row>
    <row r="294" ht="56.25" hidden="1" customHeight="1">
      <c r="A294" s="125">
        <v>27.0</v>
      </c>
      <c r="B294" s="274"/>
      <c r="C294" s="127"/>
      <c r="D294" s="128"/>
      <c r="E294" s="260"/>
      <c r="F294" s="261"/>
      <c r="G294" s="261"/>
      <c r="H294" s="261"/>
      <c r="I294" s="261"/>
      <c r="J294" s="170"/>
      <c r="K294" s="219"/>
      <c r="L294" s="219"/>
      <c r="M294" s="219"/>
      <c r="N294" s="220"/>
      <c r="O294" s="132">
        <f t="shared" si="54"/>
        <v>0</v>
      </c>
      <c r="P294" s="138">
        <f>COUNTIF(K294:K304,"TL")*0.75+COUNTIF(K294:K304,"Lec")*1+COUNTIF(K294:K304,"Lab")*0.5</f>
        <v>0</v>
      </c>
      <c r="Q294" s="135">
        <f>SUM((IF(LEFT(K294,1)="E",O294,0)),(IF(LEFT(K295,1)="E",O295,0)),(IF(LEFT(K296,1)="E",O296,0)),(IF(LEFT(K297,1)="E",O297,0)),(IF(LEFT(K298,1)="E",O298,0)),(IF(LEFT(K299,1)="E",O299,0)),(IF(LEFT(K300,1)="E",O300,0)),(IF(LEFT(K301,1)="E",O301,0)),(IF(LEFT(K302,1)="E",O302,0)),(IF(LEFT(K303,1)="E",O303,0)),(IF(LEFT(K304,1)="E",O304,0)))</f>
        <v>0</v>
      </c>
      <c r="R294" s="135">
        <f>SUM(IF(M300&lt;20,IF(K300="Plec",-1,IF(K300="PTL",-0.75,IF(K300="Plab",-0.5,0))),0),IF(M301&lt;20,IF(K301="Plec",-1,IF(K301="PTL",-0.75,IF(K301="Plab",-0.5,0))),0),IF(M302&lt;20,IF(K302="Plec",-1,IF(K302="PTL",-0.75,IF(K302="Plab",-0.5,0))),0),IF(M303&lt;20,IF(K303="Plec",-1,IF(K303="PTL",-0.75,IF(K303="Plab",-0.5,0))),0))</f>
        <v>0</v>
      </c>
      <c r="S294" s="135">
        <f>SUM(P294:R304)</f>
        <v>0</v>
      </c>
      <c r="T294" s="277">
        <f>SUM(IF(M294="M",IF(OR(K294="lec",K294="plec",K294="slec"),1,IF(OR(K294="lab",K294="plab",K294="slab",K294="tut",K294="ptut",K294="stut"),0.5,IF(OR(K294="TL",K294="pTL",K294="STL"),0.75,0))),0),IF(M295="M",IF(OR(K295="lec",K295="plec",K295="slec"),1,IF(OR(K295="lab",K295="plab",K295="slab",K295="tut",K295="ptut",K295="stut"),0.5,IF(OR(K295="TL",K295="pTL",K295="STL"),0.75,0))),0),IF(M296="M",IF(OR(K296="lec",K296="plec",K296="slec"),1,IF(OR(K296="lab",K296="plab",K296="slab",K296="tut",K296="ptut",K296="stut"),0.5,IF(OR(K296="TL",K296="pTL",K296="STL"),0.75,0))),0),IF(M297="M",IF(OR(K297="lec",K297="plec",K297="slec"),1,IF(OR(K297="lab",K297="plab",K297="slab",K297="tut",K297="ptut",K297="stut"),0.5,IF(OR(K297="TL",K297="pTL",K297="STL"),0.75,0))),0),IF(M298="M",IF(OR(K298="lec",K298="plec",K298="slec"),1,IF(OR(K298="lab",K298="plab",K298="slab",K298="tut",K298="ptut",K298="stut"),0.5,IF(OR(K298="TL",K298="pTL",K298="STL"),0.75,0))),0),IF(M299="M",IF(OR(K299="lec",K299="plec",K299="slec"),1,IF(OR(K299="lab",K299="plab",K299="slab",K299="tut",K299="ptut",K299="stut"),0.5,IF(OR(K299="TL",K299="pTL",K299="STL"),0.75,0))),0),IF(M300="M",IF(OR(K300="lec",K300="plec",K300="slec"),1,IF(OR(K300="lab",K300="plab",K300="slab",K300="tut",K300="ptut",K300="stut"),0.5,IF(OR(K300="TL",K300="pTL",K300="STL"),0.75,0))),0),IF(M301="M",IF(OR(K301="lec",K301="plec",K301="slec"),1,IF(OR(K301="lab",K301="plab",K301="slab",K301="tut",K301="ptut",K301="stut"),0.5,IF(OR(K301="TL",K301="pTL",K301="STL"),0.75,0))),0),IF(M302="M",IF(OR(K302="lec",K302="plec",K302="slec"),1,IF(OR(K302="lab",K302="plab",K302="slab",K302="tut",K302="ptut",K302="stut"),0.5,IF(OR(K302="TL",K302="pTL",K302="STL"),0.75,0))),0),IF(M303="M",IF(OR(K303="lec",K303="plec",K303="slec"),1,IF(OR(K303="lab",K303="plab",K303="slab",K303="tut",K303="ptut",K303="stut"),0.5,IF(OR(K303="TL",K303="pTL",K303="STL"),0.75,0))),0),IF(M304="M",IF(OR(K304="lec",K304="plec",K304="slec"),1,IF(OR(K304="lab",K304="plab",K304="slab",K304="tut",K304="ptut",K304="stut"),0.5,IF(OR(K304="TL",K304="pTL",K304="STL"),0.75,0))),0))</f>
        <v>0</v>
      </c>
      <c r="U294" s="278"/>
      <c r="V294" s="138"/>
      <c r="W294" s="138"/>
      <c r="X294" s="135">
        <f>S294-(T294+U294+V294+W294)</f>
        <v>0</v>
      </c>
      <c r="Y294" s="135" t="str">
        <f>CONCATENATE(SUM(O294:O304),"(",SUM(O294:O304)-X294,")")</f>
        <v>0(0)</v>
      </c>
      <c r="Z294" s="279"/>
      <c r="AA294" s="141"/>
      <c r="AB294" s="142"/>
      <c r="AC294" s="142"/>
      <c r="AD294" s="142"/>
      <c r="AE294" s="142"/>
      <c r="AF294" s="142"/>
      <c r="AG294" s="142"/>
      <c r="AH294" s="142"/>
      <c r="AI294" s="143"/>
      <c r="AJ294" s="144"/>
      <c r="AK294" s="145"/>
      <c r="AL294" s="145"/>
      <c r="AM294" s="145"/>
      <c r="AN294" s="145"/>
      <c r="AO294" s="146"/>
      <c r="AP294" s="280">
        <f>SUM(SUM(O294:O304),SUM(AI294:AI304)/2,AM294)</f>
        <v>0</v>
      </c>
      <c r="AQ294" s="148"/>
      <c r="AR294" s="148">
        <f>AP294*AQ294</f>
        <v>0</v>
      </c>
      <c r="AS294" s="148">
        <f>CT294</f>
        <v>0</v>
      </c>
      <c r="AT294" s="148">
        <f>AR294*0.75+AS294*0.25</f>
        <v>0</v>
      </c>
      <c r="AU294" s="150"/>
      <c r="AV294" s="151"/>
      <c r="AW294" s="151"/>
      <c r="AX294" s="152"/>
      <c r="AY294" s="279"/>
      <c r="AZ294" s="279"/>
      <c r="BA294" s="150"/>
      <c r="BB294" s="151"/>
      <c r="BC294" s="151"/>
      <c r="BD294" s="151"/>
      <c r="BE294" s="151"/>
      <c r="BF294" s="151"/>
      <c r="BG294" s="151"/>
      <c r="BH294" s="151"/>
      <c r="BI294" s="152"/>
      <c r="BJ294" s="150"/>
      <c r="BK294" s="151"/>
      <c r="BL294" s="151"/>
      <c r="BM294" s="151"/>
      <c r="BN294" s="151"/>
      <c r="BO294" s="152"/>
      <c r="BP294" s="279"/>
      <c r="BQ294" s="150"/>
      <c r="BR294" s="151"/>
      <c r="BS294" s="152"/>
      <c r="BT294" s="279"/>
      <c r="BU294" s="279"/>
      <c r="BV294" s="279"/>
      <c r="BW294" s="279"/>
      <c r="BX294" s="279"/>
      <c r="BY294" s="279"/>
      <c r="BZ294" s="279"/>
      <c r="CA294" s="279"/>
      <c r="CB294" s="279"/>
      <c r="CC294" s="279"/>
      <c r="CD294" s="150"/>
      <c r="CE294" s="152"/>
      <c r="CF294" s="150"/>
      <c r="CG294" s="152"/>
      <c r="CH294" s="159"/>
      <c r="CI294" s="281"/>
      <c r="CJ294" s="159"/>
      <c r="CK294" s="281"/>
      <c r="CL294" s="159"/>
      <c r="CM294" s="281"/>
      <c r="CN294" s="159"/>
      <c r="CO294" s="281"/>
      <c r="CP294" s="159"/>
      <c r="CQ294" s="162"/>
      <c r="CR294" s="281"/>
      <c r="CS294" s="163">
        <f>SUM(IF(AU294&lt;0,ABS(AU294),0),IF(AZ294&lt;0,ABS(AZ294),0),ABS(CI294),ABS(CK294),ABS(CM294),ABS(CO294),ABS(CQ294),ABS(CR294))</f>
        <v>0</v>
      </c>
      <c r="CT294" s="254">
        <f>SUM(AU294,AV294,AW294,AX294/400,AY294,AZ294,BG294,BH294*0.5,BI294*0.25,BJ294,BK294,BL294,BM294,BN294,BO294,BP294,BR294/20,BS294/100,BT294/60,BU294,BV294,BW294,BX294/5,SUM(BY294:CC304)/3,CE294,CG294/3,CI294,CK294,CM294,CO294,CQ294,CR294)</f>
        <v>0</v>
      </c>
      <c r="CU294" s="255"/>
    </row>
    <row r="295" ht="60.0" hidden="1" customHeight="1">
      <c r="A295" s="65"/>
      <c r="B295" s="65"/>
      <c r="C295" s="167"/>
      <c r="D295" s="205"/>
      <c r="E295" s="262"/>
      <c r="F295" s="170"/>
      <c r="G295" s="170"/>
      <c r="H295" s="170"/>
      <c r="I295" s="170"/>
      <c r="J295" s="170"/>
      <c r="K295" s="171"/>
      <c r="L295" s="171"/>
      <c r="M295" s="171"/>
      <c r="N295" s="209"/>
      <c r="O295" s="172">
        <f t="shared" si="54"/>
        <v>0</v>
      </c>
      <c r="P295" s="65"/>
      <c r="Q295" s="65"/>
      <c r="R295" s="65"/>
      <c r="S295" s="65"/>
      <c r="T295" s="65"/>
      <c r="U295" s="65"/>
      <c r="V295" s="65"/>
      <c r="W295" s="65"/>
      <c r="X295" s="65"/>
      <c r="Y295" s="65"/>
      <c r="Z295" s="65"/>
      <c r="AA295" s="174"/>
      <c r="AB295" s="175"/>
      <c r="AC295" s="175"/>
      <c r="AD295" s="175"/>
      <c r="AE295" s="175"/>
      <c r="AF295" s="175"/>
      <c r="AG295" s="175"/>
      <c r="AH295" s="175"/>
      <c r="AI295" s="176"/>
      <c r="AJ295" s="177"/>
      <c r="AK295" s="178"/>
      <c r="AL295" s="178"/>
      <c r="AM295" s="178"/>
      <c r="AN295" s="178"/>
      <c r="AO295" s="179"/>
      <c r="AP295" s="65"/>
      <c r="AQ295" s="65"/>
      <c r="AR295" s="65"/>
      <c r="AS295" s="65"/>
      <c r="AT295" s="65"/>
      <c r="AU295" s="177"/>
      <c r="AV295" s="178"/>
      <c r="AW295" s="178"/>
      <c r="AX295" s="179"/>
      <c r="AY295" s="65"/>
      <c r="AZ295" s="65"/>
      <c r="BA295" s="177"/>
      <c r="BB295" s="178"/>
      <c r="BC295" s="178"/>
      <c r="BD295" s="178"/>
      <c r="BE295" s="178"/>
      <c r="BF295" s="178"/>
      <c r="BG295" s="178"/>
      <c r="BH295" s="178"/>
      <c r="BI295" s="179"/>
      <c r="BJ295" s="177"/>
      <c r="BK295" s="178"/>
      <c r="BL295" s="178"/>
      <c r="BM295" s="178"/>
      <c r="BN295" s="178"/>
      <c r="BO295" s="179"/>
      <c r="BP295" s="65"/>
      <c r="BQ295" s="177"/>
      <c r="BR295" s="178"/>
      <c r="BS295" s="179"/>
      <c r="BT295" s="65"/>
      <c r="BU295" s="65"/>
      <c r="BV295" s="65"/>
      <c r="BW295" s="65"/>
      <c r="BX295" s="65"/>
      <c r="BY295" s="65"/>
      <c r="BZ295" s="65"/>
      <c r="CA295" s="65"/>
      <c r="CB295" s="65"/>
      <c r="CC295" s="65"/>
      <c r="CD295" s="177"/>
      <c r="CE295" s="179"/>
      <c r="CF295" s="177"/>
      <c r="CG295" s="179"/>
      <c r="CH295" s="177"/>
      <c r="CI295" s="179"/>
      <c r="CJ295" s="177"/>
      <c r="CK295" s="179"/>
      <c r="CL295" s="177"/>
      <c r="CM295" s="179"/>
      <c r="CN295" s="177"/>
      <c r="CO295" s="179"/>
      <c r="CP295" s="177"/>
      <c r="CQ295" s="178"/>
      <c r="CR295" s="179"/>
      <c r="CS295" s="65"/>
      <c r="CT295" s="65"/>
      <c r="CU295" s="271"/>
    </row>
    <row r="296" ht="60.0" hidden="1" customHeight="1">
      <c r="A296" s="65"/>
      <c r="B296" s="65"/>
      <c r="C296" s="167"/>
      <c r="D296" s="205"/>
      <c r="E296" s="262"/>
      <c r="F296" s="170"/>
      <c r="G296" s="170"/>
      <c r="H296" s="170"/>
      <c r="I296" s="170"/>
      <c r="J296" s="170"/>
      <c r="K296" s="171"/>
      <c r="L296" s="171"/>
      <c r="M296" s="171"/>
      <c r="N296" s="209"/>
      <c r="O296" s="172">
        <f t="shared" si="54"/>
        <v>0</v>
      </c>
      <c r="P296" s="65"/>
      <c r="Q296" s="65"/>
      <c r="R296" s="65"/>
      <c r="S296" s="65"/>
      <c r="T296" s="65"/>
      <c r="U296" s="65"/>
      <c r="V296" s="65"/>
      <c r="W296" s="65"/>
      <c r="X296" s="65"/>
      <c r="Y296" s="65"/>
      <c r="Z296" s="65"/>
      <c r="AA296" s="174"/>
      <c r="AB296" s="175"/>
      <c r="AC296" s="175"/>
      <c r="AD296" s="175"/>
      <c r="AE296" s="175"/>
      <c r="AF296" s="175"/>
      <c r="AG296" s="175"/>
      <c r="AH296" s="175"/>
      <c r="AI296" s="176"/>
      <c r="AJ296" s="177"/>
      <c r="AK296" s="178"/>
      <c r="AL296" s="178"/>
      <c r="AM296" s="178"/>
      <c r="AN296" s="178"/>
      <c r="AO296" s="179"/>
      <c r="AP296" s="65"/>
      <c r="AQ296" s="65"/>
      <c r="AR296" s="65"/>
      <c r="AS296" s="65"/>
      <c r="AT296" s="65"/>
      <c r="AU296" s="177"/>
      <c r="AV296" s="178"/>
      <c r="AW296" s="178"/>
      <c r="AX296" s="179"/>
      <c r="AY296" s="65"/>
      <c r="AZ296" s="65"/>
      <c r="BA296" s="177"/>
      <c r="BB296" s="178"/>
      <c r="BC296" s="178"/>
      <c r="BD296" s="178"/>
      <c r="BE296" s="178"/>
      <c r="BF296" s="178"/>
      <c r="BG296" s="178"/>
      <c r="BH296" s="178"/>
      <c r="BI296" s="179"/>
      <c r="BJ296" s="177"/>
      <c r="BK296" s="178"/>
      <c r="BL296" s="178"/>
      <c r="BM296" s="178"/>
      <c r="BN296" s="178"/>
      <c r="BO296" s="179"/>
      <c r="BP296" s="65"/>
      <c r="BQ296" s="177"/>
      <c r="BR296" s="178"/>
      <c r="BS296" s="179"/>
      <c r="BT296" s="65"/>
      <c r="BU296" s="65"/>
      <c r="BV296" s="65"/>
      <c r="BW296" s="65"/>
      <c r="BX296" s="65"/>
      <c r="BY296" s="65"/>
      <c r="BZ296" s="65"/>
      <c r="CA296" s="65"/>
      <c r="CB296" s="65"/>
      <c r="CC296" s="65"/>
      <c r="CD296" s="177"/>
      <c r="CE296" s="179"/>
      <c r="CF296" s="177"/>
      <c r="CG296" s="179"/>
      <c r="CH296" s="177"/>
      <c r="CI296" s="179"/>
      <c r="CJ296" s="177"/>
      <c r="CK296" s="179"/>
      <c r="CL296" s="177"/>
      <c r="CM296" s="179"/>
      <c r="CN296" s="177"/>
      <c r="CO296" s="179"/>
      <c r="CP296" s="177"/>
      <c r="CQ296" s="178"/>
      <c r="CR296" s="179"/>
      <c r="CS296" s="65"/>
      <c r="CT296" s="65"/>
      <c r="CU296" s="271"/>
    </row>
    <row r="297" ht="60.0" hidden="1" customHeight="1">
      <c r="A297" s="65"/>
      <c r="B297" s="65"/>
      <c r="C297" s="167"/>
      <c r="D297" s="205"/>
      <c r="E297" s="262"/>
      <c r="F297" s="170"/>
      <c r="G297" s="170"/>
      <c r="H297" s="170"/>
      <c r="I297" s="170"/>
      <c r="J297" s="170"/>
      <c r="K297" s="171"/>
      <c r="L297" s="171"/>
      <c r="M297" s="171"/>
      <c r="N297" s="209"/>
      <c r="O297" s="172">
        <f t="shared" si="54"/>
        <v>0</v>
      </c>
      <c r="P297" s="65"/>
      <c r="Q297" s="65"/>
      <c r="R297" s="65"/>
      <c r="S297" s="65"/>
      <c r="T297" s="65"/>
      <c r="U297" s="65"/>
      <c r="V297" s="65"/>
      <c r="W297" s="65"/>
      <c r="X297" s="65"/>
      <c r="Y297" s="65"/>
      <c r="Z297" s="65"/>
      <c r="AA297" s="174"/>
      <c r="AB297" s="175"/>
      <c r="AC297" s="175"/>
      <c r="AD297" s="175"/>
      <c r="AE297" s="175"/>
      <c r="AF297" s="175"/>
      <c r="AG297" s="175"/>
      <c r="AH297" s="175"/>
      <c r="AI297" s="176"/>
      <c r="AJ297" s="177"/>
      <c r="AK297" s="178"/>
      <c r="AL297" s="178"/>
      <c r="AM297" s="178"/>
      <c r="AN297" s="178"/>
      <c r="AO297" s="179"/>
      <c r="AP297" s="65"/>
      <c r="AQ297" s="65"/>
      <c r="AR297" s="65"/>
      <c r="AS297" s="65"/>
      <c r="AT297" s="65"/>
      <c r="AU297" s="177"/>
      <c r="AV297" s="178"/>
      <c r="AW297" s="178"/>
      <c r="AX297" s="179"/>
      <c r="AY297" s="65"/>
      <c r="AZ297" s="65"/>
      <c r="BA297" s="177"/>
      <c r="BB297" s="178"/>
      <c r="BC297" s="178"/>
      <c r="BD297" s="178"/>
      <c r="BE297" s="178"/>
      <c r="BF297" s="178"/>
      <c r="BG297" s="178"/>
      <c r="BH297" s="178"/>
      <c r="BI297" s="179"/>
      <c r="BJ297" s="177"/>
      <c r="BK297" s="178"/>
      <c r="BL297" s="178"/>
      <c r="BM297" s="178"/>
      <c r="BN297" s="178"/>
      <c r="BO297" s="179"/>
      <c r="BP297" s="65"/>
      <c r="BQ297" s="177"/>
      <c r="BR297" s="178"/>
      <c r="BS297" s="179"/>
      <c r="BT297" s="65"/>
      <c r="BU297" s="65"/>
      <c r="BV297" s="65"/>
      <c r="BW297" s="65"/>
      <c r="BX297" s="65"/>
      <c r="BY297" s="65"/>
      <c r="BZ297" s="65"/>
      <c r="CA297" s="65"/>
      <c r="CB297" s="65"/>
      <c r="CC297" s="65"/>
      <c r="CD297" s="177"/>
      <c r="CE297" s="179"/>
      <c r="CF297" s="177"/>
      <c r="CG297" s="179"/>
      <c r="CH297" s="177"/>
      <c r="CI297" s="179"/>
      <c r="CJ297" s="177"/>
      <c r="CK297" s="179"/>
      <c r="CL297" s="177"/>
      <c r="CM297" s="179"/>
      <c r="CN297" s="177"/>
      <c r="CO297" s="179"/>
      <c r="CP297" s="177"/>
      <c r="CQ297" s="178"/>
      <c r="CR297" s="179"/>
      <c r="CS297" s="65"/>
      <c r="CT297" s="65"/>
      <c r="CU297" s="271"/>
    </row>
    <row r="298" ht="60.0" hidden="1" customHeight="1">
      <c r="A298" s="65"/>
      <c r="B298" s="65"/>
      <c r="C298" s="167"/>
      <c r="D298" s="205"/>
      <c r="E298" s="262"/>
      <c r="F298" s="170"/>
      <c r="G298" s="170"/>
      <c r="H298" s="170"/>
      <c r="I298" s="170"/>
      <c r="J298" s="170"/>
      <c r="K298" s="171"/>
      <c r="L298" s="171"/>
      <c r="M298" s="171"/>
      <c r="N298" s="209"/>
      <c r="O298" s="172">
        <f t="shared" si="54"/>
        <v>0</v>
      </c>
      <c r="P298" s="65"/>
      <c r="Q298" s="65"/>
      <c r="R298" s="65"/>
      <c r="S298" s="65"/>
      <c r="T298" s="65"/>
      <c r="U298" s="65"/>
      <c r="V298" s="65"/>
      <c r="W298" s="65"/>
      <c r="X298" s="65"/>
      <c r="Y298" s="65"/>
      <c r="Z298" s="65"/>
      <c r="AA298" s="174"/>
      <c r="AB298" s="175"/>
      <c r="AC298" s="175"/>
      <c r="AD298" s="175"/>
      <c r="AE298" s="175"/>
      <c r="AF298" s="175"/>
      <c r="AG298" s="175"/>
      <c r="AH298" s="175"/>
      <c r="AI298" s="176"/>
      <c r="AJ298" s="177"/>
      <c r="AK298" s="178"/>
      <c r="AL298" s="178"/>
      <c r="AM298" s="178"/>
      <c r="AN298" s="178"/>
      <c r="AO298" s="179"/>
      <c r="AP298" s="65"/>
      <c r="AQ298" s="65"/>
      <c r="AR298" s="65"/>
      <c r="AS298" s="65"/>
      <c r="AT298" s="65"/>
      <c r="AU298" s="177"/>
      <c r="AV298" s="178"/>
      <c r="AW298" s="178"/>
      <c r="AX298" s="179"/>
      <c r="AY298" s="65"/>
      <c r="AZ298" s="65"/>
      <c r="BA298" s="177"/>
      <c r="BB298" s="178"/>
      <c r="BC298" s="178"/>
      <c r="BD298" s="178"/>
      <c r="BE298" s="178"/>
      <c r="BF298" s="178"/>
      <c r="BG298" s="178"/>
      <c r="BH298" s="178"/>
      <c r="BI298" s="179"/>
      <c r="BJ298" s="177"/>
      <c r="BK298" s="178"/>
      <c r="BL298" s="178"/>
      <c r="BM298" s="178"/>
      <c r="BN298" s="178"/>
      <c r="BO298" s="179"/>
      <c r="BP298" s="65"/>
      <c r="BQ298" s="177"/>
      <c r="BR298" s="178"/>
      <c r="BS298" s="179"/>
      <c r="BT298" s="65"/>
      <c r="BU298" s="65"/>
      <c r="BV298" s="65"/>
      <c r="BW298" s="65"/>
      <c r="BX298" s="65"/>
      <c r="BY298" s="65"/>
      <c r="BZ298" s="65"/>
      <c r="CA298" s="65"/>
      <c r="CB298" s="65"/>
      <c r="CC298" s="65"/>
      <c r="CD298" s="177"/>
      <c r="CE298" s="179"/>
      <c r="CF298" s="177"/>
      <c r="CG298" s="179"/>
      <c r="CH298" s="177"/>
      <c r="CI298" s="179"/>
      <c r="CJ298" s="177"/>
      <c r="CK298" s="179"/>
      <c r="CL298" s="177"/>
      <c r="CM298" s="179"/>
      <c r="CN298" s="177"/>
      <c r="CO298" s="179"/>
      <c r="CP298" s="177"/>
      <c r="CQ298" s="178"/>
      <c r="CR298" s="179"/>
      <c r="CS298" s="65"/>
      <c r="CT298" s="65"/>
      <c r="CU298" s="271"/>
    </row>
    <row r="299" ht="60.0" hidden="1" customHeight="1">
      <c r="A299" s="65"/>
      <c r="B299" s="65"/>
      <c r="C299" s="167"/>
      <c r="D299" s="205"/>
      <c r="E299" s="262"/>
      <c r="F299" s="170"/>
      <c r="G299" s="170"/>
      <c r="H299" s="170"/>
      <c r="I299" s="170"/>
      <c r="J299" s="170"/>
      <c r="K299" s="171"/>
      <c r="L299" s="171"/>
      <c r="M299" s="171"/>
      <c r="N299" s="209"/>
      <c r="O299" s="172">
        <f t="shared" si="54"/>
        <v>0</v>
      </c>
      <c r="P299" s="65"/>
      <c r="Q299" s="65"/>
      <c r="R299" s="65"/>
      <c r="S299" s="65"/>
      <c r="T299" s="65"/>
      <c r="U299" s="65"/>
      <c r="V299" s="65"/>
      <c r="W299" s="65"/>
      <c r="X299" s="65"/>
      <c r="Y299" s="65"/>
      <c r="Z299" s="65"/>
      <c r="AA299" s="174"/>
      <c r="AB299" s="175"/>
      <c r="AC299" s="175"/>
      <c r="AD299" s="175"/>
      <c r="AE299" s="175"/>
      <c r="AF299" s="175"/>
      <c r="AG299" s="175"/>
      <c r="AH299" s="175"/>
      <c r="AI299" s="176"/>
      <c r="AJ299" s="177"/>
      <c r="AK299" s="178"/>
      <c r="AL299" s="178"/>
      <c r="AM299" s="178"/>
      <c r="AN299" s="178"/>
      <c r="AO299" s="179"/>
      <c r="AP299" s="65"/>
      <c r="AQ299" s="65"/>
      <c r="AR299" s="65"/>
      <c r="AS299" s="65"/>
      <c r="AT299" s="65"/>
      <c r="AU299" s="177"/>
      <c r="AV299" s="178"/>
      <c r="AW299" s="178"/>
      <c r="AX299" s="179"/>
      <c r="AY299" s="65"/>
      <c r="AZ299" s="65"/>
      <c r="BA299" s="177"/>
      <c r="BB299" s="178"/>
      <c r="BC299" s="178"/>
      <c r="BD299" s="178"/>
      <c r="BE299" s="178"/>
      <c r="BF299" s="178"/>
      <c r="BG299" s="178"/>
      <c r="BH299" s="178"/>
      <c r="BI299" s="179"/>
      <c r="BJ299" s="177"/>
      <c r="BK299" s="178"/>
      <c r="BL299" s="178"/>
      <c r="BM299" s="178"/>
      <c r="BN299" s="178"/>
      <c r="BO299" s="179"/>
      <c r="BP299" s="65"/>
      <c r="BQ299" s="177"/>
      <c r="BR299" s="178"/>
      <c r="BS299" s="179"/>
      <c r="BT299" s="65"/>
      <c r="BU299" s="65"/>
      <c r="BV299" s="65"/>
      <c r="BW299" s="65"/>
      <c r="BX299" s="65"/>
      <c r="BY299" s="65"/>
      <c r="BZ299" s="65"/>
      <c r="CA299" s="65"/>
      <c r="CB299" s="65"/>
      <c r="CC299" s="65"/>
      <c r="CD299" s="177"/>
      <c r="CE299" s="179"/>
      <c r="CF299" s="177"/>
      <c r="CG299" s="179"/>
      <c r="CH299" s="177"/>
      <c r="CI299" s="179"/>
      <c r="CJ299" s="177"/>
      <c r="CK299" s="179"/>
      <c r="CL299" s="177"/>
      <c r="CM299" s="179"/>
      <c r="CN299" s="177"/>
      <c r="CO299" s="179"/>
      <c r="CP299" s="177"/>
      <c r="CQ299" s="178"/>
      <c r="CR299" s="179"/>
      <c r="CS299" s="65"/>
      <c r="CT299" s="65"/>
      <c r="CU299" s="271"/>
    </row>
    <row r="300" ht="60.0" hidden="1" customHeight="1">
      <c r="A300" s="65"/>
      <c r="B300" s="65"/>
      <c r="C300" s="167"/>
      <c r="D300" s="205"/>
      <c r="E300" s="262"/>
      <c r="F300" s="170"/>
      <c r="G300" s="170"/>
      <c r="H300" s="170"/>
      <c r="I300" s="170"/>
      <c r="J300" s="170"/>
      <c r="K300" s="171"/>
      <c r="L300" s="171"/>
      <c r="M300" s="171"/>
      <c r="N300" s="209"/>
      <c r="O300" s="172">
        <f t="shared" si="54"/>
        <v>0</v>
      </c>
      <c r="P300" s="65"/>
      <c r="Q300" s="65"/>
      <c r="R300" s="65"/>
      <c r="S300" s="65"/>
      <c r="T300" s="65"/>
      <c r="U300" s="65"/>
      <c r="V300" s="65"/>
      <c r="W300" s="65"/>
      <c r="X300" s="65"/>
      <c r="Y300" s="65"/>
      <c r="Z300" s="65"/>
      <c r="AA300" s="174"/>
      <c r="AB300" s="175"/>
      <c r="AC300" s="175"/>
      <c r="AD300" s="175"/>
      <c r="AE300" s="175"/>
      <c r="AF300" s="175"/>
      <c r="AG300" s="175"/>
      <c r="AH300" s="175"/>
      <c r="AI300" s="176"/>
      <c r="AJ300" s="177"/>
      <c r="AK300" s="178"/>
      <c r="AL300" s="178"/>
      <c r="AM300" s="178"/>
      <c r="AN300" s="178"/>
      <c r="AO300" s="179"/>
      <c r="AP300" s="65"/>
      <c r="AQ300" s="65"/>
      <c r="AR300" s="65"/>
      <c r="AS300" s="65"/>
      <c r="AT300" s="65"/>
      <c r="AU300" s="177"/>
      <c r="AV300" s="178"/>
      <c r="AW300" s="178"/>
      <c r="AX300" s="179"/>
      <c r="AY300" s="65"/>
      <c r="AZ300" s="65"/>
      <c r="BA300" s="177"/>
      <c r="BB300" s="178"/>
      <c r="BC300" s="178"/>
      <c r="BD300" s="178"/>
      <c r="BE300" s="178"/>
      <c r="BF300" s="178"/>
      <c r="BG300" s="178"/>
      <c r="BH300" s="178"/>
      <c r="BI300" s="179"/>
      <c r="BJ300" s="177"/>
      <c r="BK300" s="178"/>
      <c r="BL300" s="178"/>
      <c r="BM300" s="178"/>
      <c r="BN300" s="178"/>
      <c r="BO300" s="179"/>
      <c r="BP300" s="65"/>
      <c r="BQ300" s="177"/>
      <c r="BR300" s="178"/>
      <c r="BS300" s="179"/>
      <c r="BT300" s="65"/>
      <c r="BU300" s="65"/>
      <c r="BV300" s="65"/>
      <c r="BW300" s="65"/>
      <c r="BX300" s="65"/>
      <c r="BY300" s="65"/>
      <c r="BZ300" s="65"/>
      <c r="CA300" s="65"/>
      <c r="CB300" s="65"/>
      <c r="CC300" s="65"/>
      <c r="CD300" s="177"/>
      <c r="CE300" s="179"/>
      <c r="CF300" s="177"/>
      <c r="CG300" s="179"/>
      <c r="CH300" s="177"/>
      <c r="CI300" s="179"/>
      <c r="CJ300" s="177"/>
      <c r="CK300" s="179"/>
      <c r="CL300" s="177"/>
      <c r="CM300" s="179"/>
      <c r="CN300" s="177"/>
      <c r="CO300" s="179"/>
      <c r="CP300" s="177"/>
      <c r="CQ300" s="178"/>
      <c r="CR300" s="179"/>
      <c r="CS300" s="65"/>
      <c r="CT300" s="65"/>
      <c r="CU300" s="271"/>
    </row>
    <row r="301" ht="60.0" hidden="1" customHeight="1">
      <c r="A301" s="65"/>
      <c r="B301" s="65"/>
      <c r="C301" s="167"/>
      <c r="D301" s="205"/>
      <c r="E301" s="262"/>
      <c r="F301" s="170"/>
      <c r="G301" s="170"/>
      <c r="H301" s="170"/>
      <c r="I301" s="170"/>
      <c r="J301" s="170"/>
      <c r="K301" s="171"/>
      <c r="L301" s="171"/>
      <c r="M301" s="171"/>
      <c r="N301" s="209"/>
      <c r="O301" s="172">
        <f t="shared" si="54"/>
        <v>0</v>
      </c>
      <c r="P301" s="65"/>
      <c r="Q301" s="65"/>
      <c r="R301" s="65"/>
      <c r="S301" s="65"/>
      <c r="T301" s="65"/>
      <c r="U301" s="65"/>
      <c r="V301" s="65"/>
      <c r="W301" s="65"/>
      <c r="X301" s="65"/>
      <c r="Y301" s="65"/>
      <c r="Z301" s="65"/>
      <c r="AA301" s="174"/>
      <c r="AB301" s="175"/>
      <c r="AC301" s="175"/>
      <c r="AD301" s="175"/>
      <c r="AE301" s="175"/>
      <c r="AF301" s="175"/>
      <c r="AG301" s="175"/>
      <c r="AH301" s="175"/>
      <c r="AI301" s="176"/>
      <c r="AJ301" s="177"/>
      <c r="AK301" s="178"/>
      <c r="AL301" s="178"/>
      <c r="AM301" s="178"/>
      <c r="AN301" s="178"/>
      <c r="AO301" s="179"/>
      <c r="AP301" s="65"/>
      <c r="AQ301" s="65"/>
      <c r="AR301" s="65"/>
      <c r="AS301" s="65"/>
      <c r="AT301" s="65"/>
      <c r="AU301" s="177"/>
      <c r="AV301" s="178"/>
      <c r="AW301" s="178"/>
      <c r="AX301" s="179"/>
      <c r="AY301" s="65"/>
      <c r="AZ301" s="65"/>
      <c r="BA301" s="177"/>
      <c r="BB301" s="178"/>
      <c r="BC301" s="178"/>
      <c r="BD301" s="178"/>
      <c r="BE301" s="178"/>
      <c r="BF301" s="178"/>
      <c r="BG301" s="178"/>
      <c r="BH301" s="178"/>
      <c r="BI301" s="179"/>
      <c r="BJ301" s="177"/>
      <c r="BK301" s="178"/>
      <c r="BL301" s="178"/>
      <c r="BM301" s="178"/>
      <c r="BN301" s="178"/>
      <c r="BO301" s="179"/>
      <c r="BP301" s="65"/>
      <c r="BQ301" s="177"/>
      <c r="BR301" s="178"/>
      <c r="BS301" s="179"/>
      <c r="BT301" s="65"/>
      <c r="BU301" s="65"/>
      <c r="BV301" s="65"/>
      <c r="BW301" s="65"/>
      <c r="BX301" s="65"/>
      <c r="BY301" s="65"/>
      <c r="BZ301" s="65"/>
      <c r="CA301" s="65"/>
      <c r="CB301" s="65"/>
      <c r="CC301" s="65"/>
      <c r="CD301" s="177"/>
      <c r="CE301" s="179"/>
      <c r="CF301" s="177"/>
      <c r="CG301" s="179"/>
      <c r="CH301" s="177"/>
      <c r="CI301" s="179"/>
      <c r="CJ301" s="177"/>
      <c r="CK301" s="179"/>
      <c r="CL301" s="177"/>
      <c r="CM301" s="179"/>
      <c r="CN301" s="177"/>
      <c r="CO301" s="179"/>
      <c r="CP301" s="177"/>
      <c r="CQ301" s="178"/>
      <c r="CR301" s="179"/>
      <c r="CS301" s="65"/>
      <c r="CT301" s="65"/>
      <c r="CU301" s="271"/>
    </row>
    <row r="302" ht="60.0" hidden="1" customHeight="1">
      <c r="A302" s="65"/>
      <c r="B302" s="65"/>
      <c r="C302" s="167"/>
      <c r="D302" s="205"/>
      <c r="E302" s="262"/>
      <c r="F302" s="170"/>
      <c r="G302" s="170"/>
      <c r="H302" s="170"/>
      <c r="I302" s="170"/>
      <c r="J302" s="170"/>
      <c r="K302" s="171"/>
      <c r="L302" s="171"/>
      <c r="M302" s="171"/>
      <c r="N302" s="209"/>
      <c r="O302" s="172">
        <f t="shared" si="54"/>
        <v>0</v>
      </c>
      <c r="P302" s="65"/>
      <c r="Q302" s="65"/>
      <c r="R302" s="65"/>
      <c r="S302" s="65"/>
      <c r="T302" s="65"/>
      <c r="U302" s="65"/>
      <c r="V302" s="65"/>
      <c r="W302" s="65"/>
      <c r="X302" s="65"/>
      <c r="Y302" s="65"/>
      <c r="Z302" s="65"/>
      <c r="AA302" s="174"/>
      <c r="AB302" s="175"/>
      <c r="AC302" s="175"/>
      <c r="AD302" s="175"/>
      <c r="AE302" s="175"/>
      <c r="AF302" s="175"/>
      <c r="AG302" s="175"/>
      <c r="AH302" s="175"/>
      <c r="AI302" s="176"/>
      <c r="AJ302" s="177"/>
      <c r="AK302" s="178"/>
      <c r="AL302" s="178"/>
      <c r="AM302" s="178"/>
      <c r="AN302" s="178"/>
      <c r="AO302" s="179"/>
      <c r="AP302" s="65"/>
      <c r="AQ302" s="65"/>
      <c r="AR302" s="65"/>
      <c r="AS302" s="65"/>
      <c r="AT302" s="65"/>
      <c r="AU302" s="177"/>
      <c r="AV302" s="178"/>
      <c r="AW302" s="178"/>
      <c r="AX302" s="179"/>
      <c r="AY302" s="65"/>
      <c r="AZ302" s="65"/>
      <c r="BA302" s="177"/>
      <c r="BB302" s="178"/>
      <c r="BC302" s="178"/>
      <c r="BD302" s="178"/>
      <c r="BE302" s="178"/>
      <c r="BF302" s="178"/>
      <c r="BG302" s="178"/>
      <c r="BH302" s="178"/>
      <c r="BI302" s="179"/>
      <c r="BJ302" s="177"/>
      <c r="BK302" s="178"/>
      <c r="BL302" s="178"/>
      <c r="BM302" s="178"/>
      <c r="BN302" s="178"/>
      <c r="BO302" s="179"/>
      <c r="BP302" s="65"/>
      <c r="BQ302" s="177"/>
      <c r="BR302" s="178"/>
      <c r="BS302" s="179"/>
      <c r="BT302" s="65"/>
      <c r="BU302" s="65"/>
      <c r="BV302" s="65"/>
      <c r="BW302" s="65"/>
      <c r="BX302" s="65"/>
      <c r="BY302" s="65"/>
      <c r="BZ302" s="65"/>
      <c r="CA302" s="65"/>
      <c r="CB302" s="65"/>
      <c r="CC302" s="65"/>
      <c r="CD302" s="177"/>
      <c r="CE302" s="179"/>
      <c r="CF302" s="177"/>
      <c r="CG302" s="179"/>
      <c r="CH302" s="177"/>
      <c r="CI302" s="179"/>
      <c r="CJ302" s="177"/>
      <c r="CK302" s="179"/>
      <c r="CL302" s="177"/>
      <c r="CM302" s="179"/>
      <c r="CN302" s="177"/>
      <c r="CO302" s="179"/>
      <c r="CP302" s="177"/>
      <c r="CQ302" s="178"/>
      <c r="CR302" s="179"/>
      <c r="CS302" s="65"/>
      <c r="CT302" s="65"/>
      <c r="CU302" s="271"/>
    </row>
    <row r="303" ht="60.0" hidden="1" customHeight="1">
      <c r="A303" s="65"/>
      <c r="B303" s="65"/>
      <c r="C303" s="167"/>
      <c r="D303" s="205"/>
      <c r="E303" s="262"/>
      <c r="F303" s="170"/>
      <c r="G303" s="170"/>
      <c r="H303" s="170"/>
      <c r="I303" s="170"/>
      <c r="J303" s="170"/>
      <c r="K303" s="171"/>
      <c r="L303" s="171"/>
      <c r="M303" s="171"/>
      <c r="N303" s="209"/>
      <c r="O303" s="172">
        <f t="shared" si="54"/>
        <v>0</v>
      </c>
      <c r="P303" s="65"/>
      <c r="Q303" s="65"/>
      <c r="R303" s="65"/>
      <c r="S303" s="65"/>
      <c r="T303" s="65"/>
      <c r="U303" s="65"/>
      <c r="V303" s="65"/>
      <c r="W303" s="65"/>
      <c r="X303" s="65"/>
      <c r="Y303" s="65"/>
      <c r="Z303" s="65"/>
      <c r="AA303" s="174"/>
      <c r="AB303" s="175"/>
      <c r="AC303" s="175"/>
      <c r="AD303" s="175"/>
      <c r="AE303" s="175"/>
      <c r="AF303" s="175"/>
      <c r="AG303" s="175"/>
      <c r="AH303" s="175"/>
      <c r="AI303" s="176"/>
      <c r="AJ303" s="177"/>
      <c r="AK303" s="178"/>
      <c r="AL303" s="178"/>
      <c r="AM303" s="178"/>
      <c r="AN303" s="178"/>
      <c r="AO303" s="179"/>
      <c r="AP303" s="65"/>
      <c r="AQ303" s="65"/>
      <c r="AR303" s="65"/>
      <c r="AS303" s="65"/>
      <c r="AT303" s="65"/>
      <c r="AU303" s="177"/>
      <c r="AV303" s="178"/>
      <c r="AW303" s="178"/>
      <c r="AX303" s="179"/>
      <c r="AY303" s="65"/>
      <c r="AZ303" s="65"/>
      <c r="BA303" s="177"/>
      <c r="BB303" s="178"/>
      <c r="BC303" s="178"/>
      <c r="BD303" s="178"/>
      <c r="BE303" s="178"/>
      <c r="BF303" s="178"/>
      <c r="BG303" s="178"/>
      <c r="BH303" s="178"/>
      <c r="BI303" s="179"/>
      <c r="BJ303" s="177"/>
      <c r="BK303" s="178"/>
      <c r="BL303" s="178"/>
      <c r="BM303" s="178"/>
      <c r="BN303" s="178"/>
      <c r="BO303" s="179"/>
      <c r="BP303" s="65"/>
      <c r="BQ303" s="177"/>
      <c r="BR303" s="178"/>
      <c r="BS303" s="179"/>
      <c r="BT303" s="65"/>
      <c r="BU303" s="65"/>
      <c r="BV303" s="65"/>
      <c r="BW303" s="65"/>
      <c r="BX303" s="65"/>
      <c r="BY303" s="65"/>
      <c r="BZ303" s="65"/>
      <c r="CA303" s="65"/>
      <c r="CB303" s="65"/>
      <c r="CC303" s="65"/>
      <c r="CD303" s="177"/>
      <c r="CE303" s="179"/>
      <c r="CF303" s="177"/>
      <c r="CG303" s="179"/>
      <c r="CH303" s="177"/>
      <c r="CI303" s="179"/>
      <c r="CJ303" s="177"/>
      <c r="CK303" s="179"/>
      <c r="CL303" s="177"/>
      <c r="CM303" s="179"/>
      <c r="CN303" s="177"/>
      <c r="CO303" s="179"/>
      <c r="CP303" s="177"/>
      <c r="CQ303" s="178"/>
      <c r="CR303" s="179"/>
      <c r="CS303" s="65"/>
      <c r="CT303" s="65"/>
      <c r="CU303" s="271"/>
    </row>
    <row r="304" ht="60.0" hidden="1" customHeight="1">
      <c r="A304" s="89"/>
      <c r="B304" s="89"/>
      <c r="C304" s="183"/>
      <c r="D304" s="210"/>
      <c r="E304" s="263"/>
      <c r="F304" s="186"/>
      <c r="G304" s="186"/>
      <c r="H304" s="186"/>
      <c r="I304" s="186"/>
      <c r="J304" s="186"/>
      <c r="K304" s="187"/>
      <c r="L304" s="187"/>
      <c r="M304" s="187"/>
      <c r="N304" s="214"/>
      <c r="O304" s="188">
        <f t="shared" si="54"/>
        <v>0</v>
      </c>
      <c r="P304" s="89"/>
      <c r="Q304" s="89"/>
      <c r="R304" s="89"/>
      <c r="S304" s="89"/>
      <c r="T304" s="89"/>
      <c r="U304" s="89"/>
      <c r="V304" s="89"/>
      <c r="W304" s="89"/>
      <c r="X304" s="89"/>
      <c r="Y304" s="89"/>
      <c r="Z304" s="89"/>
      <c r="AA304" s="189"/>
      <c r="AB304" s="190"/>
      <c r="AC304" s="190"/>
      <c r="AD304" s="190"/>
      <c r="AE304" s="190"/>
      <c r="AF304" s="190"/>
      <c r="AG304" s="190"/>
      <c r="AH304" s="190"/>
      <c r="AI304" s="191"/>
      <c r="AJ304" s="192"/>
      <c r="AK304" s="193"/>
      <c r="AL304" s="193"/>
      <c r="AM304" s="193"/>
      <c r="AN304" s="193"/>
      <c r="AO304" s="194"/>
      <c r="AP304" s="89"/>
      <c r="AQ304" s="89"/>
      <c r="AR304" s="89"/>
      <c r="AS304" s="89"/>
      <c r="AT304" s="89"/>
      <c r="AU304" s="192"/>
      <c r="AV304" s="193"/>
      <c r="AW304" s="193"/>
      <c r="AX304" s="194"/>
      <c r="AY304" s="89"/>
      <c r="AZ304" s="89"/>
      <c r="BA304" s="192"/>
      <c r="BB304" s="193"/>
      <c r="BC304" s="193"/>
      <c r="BD304" s="193"/>
      <c r="BE304" s="193"/>
      <c r="BF304" s="193"/>
      <c r="BG304" s="193"/>
      <c r="BH304" s="193"/>
      <c r="BI304" s="194"/>
      <c r="BJ304" s="192"/>
      <c r="BK304" s="193"/>
      <c r="BL304" s="193"/>
      <c r="BM304" s="193"/>
      <c r="BN304" s="193"/>
      <c r="BO304" s="194"/>
      <c r="BP304" s="89"/>
      <c r="BQ304" s="192"/>
      <c r="BR304" s="193"/>
      <c r="BS304" s="194"/>
      <c r="BT304" s="89"/>
      <c r="BU304" s="89"/>
      <c r="BV304" s="89"/>
      <c r="BW304" s="89"/>
      <c r="BX304" s="89"/>
      <c r="BY304" s="89"/>
      <c r="BZ304" s="89"/>
      <c r="CA304" s="89"/>
      <c r="CB304" s="89"/>
      <c r="CC304" s="89"/>
      <c r="CD304" s="192"/>
      <c r="CE304" s="194"/>
      <c r="CF304" s="192"/>
      <c r="CG304" s="194"/>
      <c r="CH304" s="192"/>
      <c r="CI304" s="194"/>
      <c r="CJ304" s="192"/>
      <c r="CK304" s="194"/>
      <c r="CL304" s="192"/>
      <c r="CM304" s="194"/>
      <c r="CN304" s="192"/>
      <c r="CO304" s="194"/>
      <c r="CP304" s="192"/>
      <c r="CQ304" s="193"/>
      <c r="CR304" s="194"/>
      <c r="CS304" s="89"/>
      <c r="CT304" s="89"/>
      <c r="CU304" s="272"/>
    </row>
    <row r="305" ht="56.25" hidden="1" customHeight="1">
      <c r="A305" s="125">
        <v>28.0</v>
      </c>
      <c r="B305" s="274"/>
      <c r="C305" s="127"/>
      <c r="D305" s="128"/>
      <c r="E305" s="260"/>
      <c r="F305" s="261"/>
      <c r="G305" s="261"/>
      <c r="H305" s="261"/>
      <c r="I305" s="261"/>
      <c r="J305" s="170"/>
      <c r="K305" s="219"/>
      <c r="L305" s="219"/>
      <c r="M305" s="219"/>
      <c r="N305" s="220"/>
      <c r="O305" s="132">
        <f t="shared" si="54"/>
        <v>0</v>
      </c>
      <c r="P305" s="138">
        <f>COUNTIF(K305:K315,"TL")*0.75+COUNTIF(K305:K315,"Lec")*1+COUNTIF(K305:K315,"Lab")*0.5</f>
        <v>0</v>
      </c>
      <c r="Q305" s="135">
        <f>SUM((IF(LEFT(K305,1)="E",O305,0)),(IF(LEFT(K306,1)="E",O306,0)),(IF(LEFT(K307,1)="E",O307,0)),(IF(LEFT(K308,1)="E",O308,0)),(IF(LEFT(K309,1)="E",O309,0)),(IF(LEFT(K310,1)="E",O310,0)),(IF(LEFT(K311,1)="E",O311,0)),(IF(LEFT(K312,1)="E",O312,0)),(IF(LEFT(K313,1)="E",O313,0)),(IF(LEFT(K314,1)="E",O314,0)),(IF(LEFT(K315,1)="E",O315,0)))</f>
        <v>0</v>
      </c>
      <c r="R305" s="135">
        <f>SUM(IF(M311&lt;20,IF(K311="Plec",-1,IF(K311="PTL",-0.75,IF(K311="Plab",-0.5,0))),0),IF(M312&lt;20,IF(K312="Plec",-1,IF(K312="PTL",-0.75,IF(K312="Plab",-0.5,0))),0),IF(M313&lt;20,IF(K313="Plec",-1,IF(K313="PTL",-0.75,IF(K313="Plab",-0.5,0))),0),IF(M314&lt;20,IF(K314="Plec",-1,IF(K314="PTL",-0.75,IF(K314="Plab",-0.5,0))),0))</f>
        <v>0</v>
      </c>
      <c r="S305" s="135">
        <f>SUM(P305:R315)</f>
        <v>0</v>
      </c>
      <c r="T305" s="277">
        <f>SUM(IF(M305="M",IF(OR(K305="lec",K305="plec",K305="slec"),1,IF(OR(K305="lab",K305="plab",K305="slab",K305="tut",K305="ptut",K305="stut"),0.5,IF(OR(K305="TL",K305="pTL",K305="STL"),0.75,0))),0),IF(M306="M",IF(OR(K306="lec",K306="plec",K306="slec"),1,IF(OR(K306="lab",K306="plab",K306="slab",K306="tut",K306="ptut",K306="stut"),0.5,IF(OR(K306="TL",K306="pTL",K306="STL"),0.75,0))),0),IF(M307="M",IF(OR(K307="lec",K307="plec",K307="slec"),1,IF(OR(K307="lab",K307="plab",K307="slab",K307="tut",K307="ptut",K307="stut"),0.5,IF(OR(K307="TL",K307="pTL",K307="STL"),0.75,0))),0),IF(M308="M",IF(OR(K308="lec",K308="plec",K308="slec"),1,IF(OR(K308="lab",K308="plab",K308="slab",K308="tut",K308="ptut",K308="stut"),0.5,IF(OR(K308="TL",K308="pTL",K308="STL"),0.75,0))),0),IF(M309="M",IF(OR(K309="lec",K309="plec",K309="slec"),1,IF(OR(K309="lab",K309="plab",K309="slab",K309="tut",K309="ptut",K309="stut"),0.5,IF(OR(K309="TL",K309="pTL",K309="STL"),0.75,0))),0),IF(M310="M",IF(OR(K310="lec",K310="plec",K310="slec"),1,IF(OR(K310="lab",K310="plab",K310="slab",K310="tut",K310="ptut",K310="stut"),0.5,IF(OR(K310="TL",K310="pTL",K310="STL"),0.75,0))),0),IF(M311="M",IF(OR(K311="lec",K311="plec",K311="slec"),1,IF(OR(K311="lab",K311="plab",K311="slab",K311="tut",K311="ptut",K311="stut"),0.5,IF(OR(K311="TL",K311="pTL",K311="STL"),0.75,0))),0),IF(M312="M",IF(OR(K312="lec",K312="plec",K312="slec"),1,IF(OR(K312="lab",K312="plab",K312="slab",K312="tut",K312="ptut",K312="stut"),0.5,IF(OR(K312="TL",K312="pTL",K312="STL"),0.75,0))),0),IF(M313="M",IF(OR(K313="lec",K313="plec",K313="slec"),1,IF(OR(K313="lab",K313="plab",K313="slab",K313="tut",K313="ptut",K313="stut"),0.5,IF(OR(K313="TL",K313="pTL",K313="STL"),0.75,0))),0),IF(M314="M",IF(OR(K314="lec",K314="plec",K314="slec"),1,IF(OR(K314="lab",K314="plab",K314="slab",K314="tut",K314="ptut",K314="stut"),0.5,IF(OR(K314="TL",K314="pTL",K314="STL"),0.75,0))),0),IF(M315="M",IF(OR(K315="lec",K315="plec",K315="slec"),1,IF(OR(K315="lab",K315="plab",K315="slab",K315="tut",K315="ptut",K315="stut"),0.5,IF(OR(K315="TL",K315="pTL",K315="STL"),0.75,0))),0))</f>
        <v>0</v>
      </c>
      <c r="U305" s="278"/>
      <c r="V305" s="138"/>
      <c r="W305" s="138"/>
      <c r="X305" s="135">
        <f>S305-(T305+U305+V305+W305)</f>
        <v>0</v>
      </c>
      <c r="Y305" s="135" t="str">
        <f>CONCATENATE(SUM(O305:O315),"(",SUM(O305:O315)-X305,")")</f>
        <v>0(0)</v>
      </c>
      <c r="Z305" s="279"/>
      <c r="AA305" s="141"/>
      <c r="AB305" s="142"/>
      <c r="AC305" s="142"/>
      <c r="AD305" s="142"/>
      <c r="AE305" s="142"/>
      <c r="AF305" s="142"/>
      <c r="AG305" s="142"/>
      <c r="AH305" s="142"/>
      <c r="AI305" s="143"/>
      <c r="AJ305" s="144"/>
      <c r="AK305" s="145"/>
      <c r="AL305" s="145"/>
      <c r="AM305" s="145"/>
      <c r="AN305" s="145"/>
      <c r="AO305" s="146"/>
      <c r="AP305" s="280">
        <f>SUM(SUM(O305:O315),SUM(AI305:AI315)/2,AM305)</f>
        <v>0</v>
      </c>
      <c r="AQ305" s="148"/>
      <c r="AR305" s="148">
        <f>AP305*AQ305</f>
        <v>0</v>
      </c>
      <c r="AS305" s="148">
        <f>CT305</f>
        <v>0</v>
      </c>
      <c r="AT305" s="148">
        <f>AR305*0.75+AS305*0.25</f>
        <v>0</v>
      </c>
      <c r="AU305" s="150"/>
      <c r="AV305" s="151"/>
      <c r="AW305" s="151"/>
      <c r="AX305" s="152"/>
      <c r="AY305" s="279"/>
      <c r="AZ305" s="279"/>
      <c r="BA305" s="150"/>
      <c r="BB305" s="151"/>
      <c r="BC305" s="151"/>
      <c r="BD305" s="151"/>
      <c r="BE305" s="151"/>
      <c r="BF305" s="151"/>
      <c r="BG305" s="151"/>
      <c r="BH305" s="151"/>
      <c r="BI305" s="152"/>
      <c r="BJ305" s="150"/>
      <c r="BK305" s="151"/>
      <c r="BL305" s="151"/>
      <c r="BM305" s="151"/>
      <c r="BN305" s="151"/>
      <c r="BO305" s="152"/>
      <c r="BP305" s="279"/>
      <c r="BQ305" s="150"/>
      <c r="BR305" s="151"/>
      <c r="BS305" s="152"/>
      <c r="BT305" s="279"/>
      <c r="BU305" s="279"/>
      <c r="BV305" s="279"/>
      <c r="BW305" s="279"/>
      <c r="BX305" s="279"/>
      <c r="BY305" s="279"/>
      <c r="BZ305" s="279"/>
      <c r="CA305" s="279"/>
      <c r="CB305" s="279"/>
      <c r="CC305" s="279"/>
      <c r="CD305" s="150"/>
      <c r="CE305" s="152"/>
      <c r="CF305" s="150"/>
      <c r="CG305" s="152"/>
      <c r="CH305" s="159"/>
      <c r="CI305" s="281"/>
      <c r="CJ305" s="159"/>
      <c r="CK305" s="281"/>
      <c r="CL305" s="159"/>
      <c r="CM305" s="281"/>
      <c r="CN305" s="159"/>
      <c r="CO305" s="281"/>
      <c r="CP305" s="159"/>
      <c r="CQ305" s="162"/>
      <c r="CR305" s="281"/>
      <c r="CS305" s="163">
        <f>SUM(IF(AU305&lt;0,ABS(AU305),0),IF(AZ305&lt;0,ABS(AZ305),0),ABS(CI305),ABS(CK305),ABS(CM305),ABS(CO305),ABS(CQ305),ABS(CR305))</f>
        <v>0</v>
      </c>
      <c r="CT305" s="254">
        <f>SUM(AU305,AV305,AW305,AX305/400,AY305,AZ305,BG305,BH305*0.5,BI305*0.25,BJ305,BK305,BL305,BM305,BN305,BO305,BP305,BR305/20,BS305/100,BT305/60,BU305,BV305,BW305,BX305/5,SUM(BY305:CC315)/3,CE305,CG305/3,CI305,CK305,CM305,CO305,CQ305,CR305)</f>
        <v>0</v>
      </c>
      <c r="CU305" s="255"/>
    </row>
    <row r="306" ht="60.0" hidden="1" customHeight="1">
      <c r="A306" s="65"/>
      <c r="B306" s="65"/>
      <c r="C306" s="167"/>
      <c r="D306" s="205"/>
      <c r="E306" s="262"/>
      <c r="F306" s="170"/>
      <c r="G306" s="170"/>
      <c r="H306" s="170"/>
      <c r="I306" s="170"/>
      <c r="J306" s="170"/>
      <c r="K306" s="171"/>
      <c r="L306" s="171"/>
      <c r="M306" s="171"/>
      <c r="N306" s="209"/>
      <c r="O306" s="172">
        <f t="shared" si="54"/>
        <v>0</v>
      </c>
      <c r="P306" s="65"/>
      <c r="Q306" s="65"/>
      <c r="R306" s="65"/>
      <c r="S306" s="65"/>
      <c r="T306" s="65"/>
      <c r="U306" s="65"/>
      <c r="V306" s="65"/>
      <c r="W306" s="65"/>
      <c r="X306" s="65"/>
      <c r="Y306" s="65"/>
      <c r="Z306" s="65"/>
      <c r="AA306" s="174"/>
      <c r="AB306" s="175"/>
      <c r="AC306" s="175"/>
      <c r="AD306" s="175"/>
      <c r="AE306" s="175"/>
      <c r="AF306" s="175"/>
      <c r="AG306" s="175"/>
      <c r="AH306" s="175"/>
      <c r="AI306" s="176"/>
      <c r="AJ306" s="177"/>
      <c r="AK306" s="178"/>
      <c r="AL306" s="178"/>
      <c r="AM306" s="178"/>
      <c r="AN306" s="178"/>
      <c r="AO306" s="179"/>
      <c r="AP306" s="65"/>
      <c r="AQ306" s="65"/>
      <c r="AR306" s="65"/>
      <c r="AS306" s="65"/>
      <c r="AT306" s="65"/>
      <c r="AU306" s="177"/>
      <c r="AV306" s="178"/>
      <c r="AW306" s="178"/>
      <c r="AX306" s="179"/>
      <c r="AY306" s="65"/>
      <c r="AZ306" s="65"/>
      <c r="BA306" s="177"/>
      <c r="BB306" s="178"/>
      <c r="BC306" s="178"/>
      <c r="BD306" s="178"/>
      <c r="BE306" s="178"/>
      <c r="BF306" s="178"/>
      <c r="BG306" s="178"/>
      <c r="BH306" s="178"/>
      <c r="BI306" s="179"/>
      <c r="BJ306" s="177"/>
      <c r="BK306" s="178"/>
      <c r="BL306" s="178"/>
      <c r="BM306" s="178"/>
      <c r="BN306" s="178"/>
      <c r="BO306" s="179"/>
      <c r="BP306" s="65"/>
      <c r="BQ306" s="177"/>
      <c r="BR306" s="178"/>
      <c r="BS306" s="179"/>
      <c r="BT306" s="65"/>
      <c r="BU306" s="65"/>
      <c r="BV306" s="65"/>
      <c r="BW306" s="65"/>
      <c r="BX306" s="65"/>
      <c r="BY306" s="65"/>
      <c r="BZ306" s="65"/>
      <c r="CA306" s="65"/>
      <c r="CB306" s="65"/>
      <c r="CC306" s="65"/>
      <c r="CD306" s="177"/>
      <c r="CE306" s="179"/>
      <c r="CF306" s="177"/>
      <c r="CG306" s="179"/>
      <c r="CH306" s="177"/>
      <c r="CI306" s="179"/>
      <c r="CJ306" s="177"/>
      <c r="CK306" s="179"/>
      <c r="CL306" s="177"/>
      <c r="CM306" s="179"/>
      <c r="CN306" s="177"/>
      <c r="CO306" s="179"/>
      <c r="CP306" s="177"/>
      <c r="CQ306" s="178"/>
      <c r="CR306" s="179"/>
      <c r="CS306" s="65"/>
      <c r="CT306" s="65"/>
      <c r="CU306" s="271"/>
    </row>
    <row r="307" ht="60.0" hidden="1" customHeight="1">
      <c r="A307" s="65"/>
      <c r="B307" s="65"/>
      <c r="C307" s="167"/>
      <c r="D307" s="205"/>
      <c r="E307" s="262"/>
      <c r="F307" s="170"/>
      <c r="G307" s="170"/>
      <c r="H307" s="170"/>
      <c r="I307" s="170"/>
      <c r="J307" s="170"/>
      <c r="K307" s="171"/>
      <c r="L307" s="171"/>
      <c r="M307" s="171"/>
      <c r="N307" s="209"/>
      <c r="O307" s="172">
        <f t="shared" si="54"/>
        <v>0</v>
      </c>
      <c r="P307" s="65"/>
      <c r="Q307" s="65"/>
      <c r="R307" s="65"/>
      <c r="S307" s="65"/>
      <c r="T307" s="65"/>
      <c r="U307" s="65"/>
      <c r="V307" s="65"/>
      <c r="W307" s="65"/>
      <c r="X307" s="65"/>
      <c r="Y307" s="65"/>
      <c r="Z307" s="65"/>
      <c r="AA307" s="174"/>
      <c r="AB307" s="175"/>
      <c r="AC307" s="175"/>
      <c r="AD307" s="175"/>
      <c r="AE307" s="175"/>
      <c r="AF307" s="175"/>
      <c r="AG307" s="175"/>
      <c r="AH307" s="175"/>
      <c r="AI307" s="176"/>
      <c r="AJ307" s="177"/>
      <c r="AK307" s="178"/>
      <c r="AL307" s="178"/>
      <c r="AM307" s="178"/>
      <c r="AN307" s="178"/>
      <c r="AO307" s="179"/>
      <c r="AP307" s="65"/>
      <c r="AQ307" s="65"/>
      <c r="AR307" s="65"/>
      <c r="AS307" s="65"/>
      <c r="AT307" s="65"/>
      <c r="AU307" s="177"/>
      <c r="AV307" s="178"/>
      <c r="AW307" s="178"/>
      <c r="AX307" s="179"/>
      <c r="AY307" s="65"/>
      <c r="AZ307" s="65"/>
      <c r="BA307" s="177"/>
      <c r="BB307" s="178"/>
      <c r="BC307" s="178"/>
      <c r="BD307" s="178"/>
      <c r="BE307" s="178"/>
      <c r="BF307" s="178"/>
      <c r="BG307" s="178"/>
      <c r="BH307" s="178"/>
      <c r="BI307" s="179"/>
      <c r="BJ307" s="177"/>
      <c r="BK307" s="178"/>
      <c r="BL307" s="178"/>
      <c r="BM307" s="178"/>
      <c r="BN307" s="178"/>
      <c r="BO307" s="179"/>
      <c r="BP307" s="65"/>
      <c r="BQ307" s="177"/>
      <c r="BR307" s="178"/>
      <c r="BS307" s="179"/>
      <c r="BT307" s="65"/>
      <c r="BU307" s="65"/>
      <c r="BV307" s="65"/>
      <c r="BW307" s="65"/>
      <c r="BX307" s="65"/>
      <c r="BY307" s="65"/>
      <c r="BZ307" s="65"/>
      <c r="CA307" s="65"/>
      <c r="CB307" s="65"/>
      <c r="CC307" s="65"/>
      <c r="CD307" s="177"/>
      <c r="CE307" s="179"/>
      <c r="CF307" s="177"/>
      <c r="CG307" s="179"/>
      <c r="CH307" s="177"/>
      <c r="CI307" s="179"/>
      <c r="CJ307" s="177"/>
      <c r="CK307" s="179"/>
      <c r="CL307" s="177"/>
      <c r="CM307" s="179"/>
      <c r="CN307" s="177"/>
      <c r="CO307" s="179"/>
      <c r="CP307" s="177"/>
      <c r="CQ307" s="178"/>
      <c r="CR307" s="179"/>
      <c r="CS307" s="65"/>
      <c r="CT307" s="65"/>
      <c r="CU307" s="271"/>
    </row>
    <row r="308" ht="60.0" hidden="1" customHeight="1">
      <c r="A308" s="65"/>
      <c r="B308" s="65"/>
      <c r="C308" s="167"/>
      <c r="D308" s="205"/>
      <c r="E308" s="262"/>
      <c r="F308" s="170"/>
      <c r="G308" s="170"/>
      <c r="H308" s="170"/>
      <c r="I308" s="170"/>
      <c r="J308" s="170"/>
      <c r="K308" s="171"/>
      <c r="L308" s="171"/>
      <c r="M308" s="171"/>
      <c r="N308" s="209"/>
      <c r="O308" s="172">
        <f t="shared" si="54"/>
        <v>0</v>
      </c>
      <c r="P308" s="65"/>
      <c r="Q308" s="65"/>
      <c r="R308" s="65"/>
      <c r="S308" s="65"/>
      <c r="T308" s="65"/>
      <c r="U308" s="65"/>
      <c r="V308" s="65"/>
      <c r="W308" s="65"/>
      <c r="X308" s="65"/>
      <c r="Y308" s="65"/>
      <c r="Z308" s="65"/>
      <c r="AA308" s="174"/>
      <c r="AB308" s="175"/>
      <c r="AC308" s="175"/>
      <c r="AD308" s="175"/>
      <c r="AE308" s="175"/>
      <c r="AF308" s="175"/>
      <c r="AG308" s="175"/>
      <c r="AH308" s="175"/>
      <c r="AI308" s="176"/>
      <c r="AJ308" s="177"/>
      <c r="AK308" s="178"/>
      <c r="AL308" s="178"/>
      <c r="AM308" s="178"/>
      <c r="AN308" s="178"/>
      <c r="AO308" s="179"/>
      <c r="AP308" s="65"/>
      <c r="AQ308" s="65"/>
      <c r="AR308" s="65"/>
      <c r="AS308" s="65"/>
      <c r="AT308" s="65"/>
      <c r="AU308" s="177"/>
      <c r="AV308" s="178"/>
      <c r="AW308" s="178"/>
      <c r="AX308" s="179"/>
      <c r="AY308" s="65"/>
      <c r="AZ308" s="65"/>
      <c r="BA308" s="177"/>
      <c r="BB308" s="178"/>
      <c r="BC308" s="178"/>
      <c r="BD308" s="178"/>
      <c r="BE308" s="178"/>
      <c r="BF308" s="178"/>
      <c r="BG308" s="178"/>
      <c r="BH308" s="178"/>
      <c r="BI308" s="179"/>
      <c r="BJ308" s="177"/>
      <c r="BK308" s="178"/>
      <c r="BL308" s="178"/>
      <c r="BM308" s="178"/>
      <c r="BN308" s="178"/>
      <c r="BO308" s="179"/>
      <c r="BP308" s="65"/>
      <c r="BQ308" s="177"/>
      <c r="BR308" s="178"/>
      <c r="BS308" s="179"/>
      <c r="BT308" s="65"/>
      <c r="BU308" s="65"/>
      <c r="BV308" s="65"/>
      <c r="BW308" s="65"/>
      <c r="BX308" s="65"/>
      <c r="BY308" s="65"/>
      <c r="BZ308" s="65"/>
      <c r="CA308" s="65"/>
      <c r="CB308" s="65"/>
      <c r="CC308" s="65"/>
      <c r="CD308" s="177"/>
      <c r="CE308" s="179"/>
      <c r="CF308" s="177"/>
      <c r="CG308" s="179"/>
      <c r="CH308" s="177"/>
      <c r="CI308" s="179"/>
      <c r="CJ308" s="177"/>
      <c r="CK308" s="179"/>
      <c r="CL308" s="177"/>
      <c r="CM308" s="179"/>
      <c r="CN308" s="177"/>
      <c r="CO308" s="179"/>
      <c r="CP308" s="177"/>
      <c r="CQ308" s="178"/>
      <c r="CR308" s="179"/>
      <c r="CS308" s="65"/>
      <c r="CT308" s="65"/>
      <c r="CU308" s="271"/>
    </row>
    <row r="309" ht="60.0" hidden="1" customHeight="1">
      <c r="A309" s="65"/>
      <c r="B309" s="65"/>
      <c r="C309" s="167"/>
      <c r="D309" s="205"/>
      <c r="E309" s="262"/>
      <c r="F309" s="170"/>
      <c r="G309" s="170"/>
      <c r="H309" s="170"/>
      <c r="I309" s="170"/>
      <c r="J309" s="170"/>
      <c r="K309" s="171"/>
      <c r="L309" s="171"/>
      <c r="M309" s="171"/>
      <c r="N309" s="209"/>
      <c r="O309" s="172">
        <f t="shared" si="54"/>
        <v>0</v>
      </c>
      <c r="P309" s="65"/>
      <c r="Q309" s="65"/>
      <c r="R309" s="65"/>
      <c r="S309" s="65"/>
      <c r="T309" s="65"/>
      <c r="U309" s="65"/>
      <c r="V309" s="65"/>
      <c r="W309" s="65"/>
      <c r="X309" s="65"/>
      <c r="Y309" s="65"/>
      <c r="Z309" s="65"/>
      <c r="AA309" s="174"/>
      <c r="AB309" s="175"/>
      <c r="AC309" s="175"/>
      <c r="AD309" s="175"/>
      <c r="AE309" s="175"/>
      <c r="AF309" s="175"/>
      <c r="AG309" s="175"/>
      <c r="AH309" s="175"/>
      <c r="AI309" s="176"/>
      <c r="AJ309" s="177"/>
      <c r="AK309" s="178"/>
      <c r="AL309" s="178"/>
      <c r="AM309" s="178"/>
      <c r="AN309" s="178"/>
      <c r="AO309" s="179"/>
      <c r="AP309" s="65"/>
      <c r="AQ309" s="65"/>
      <c r="AR309" s="65"/>
      <c r="AS309" s="65"/>
      <c r="AT309" s="65"/>
      <c r="AU309" s="177"/>
      <c r="AV309" s="178"/>
      <c r="AW309" s="178"/>
      <c r="AX309" s="179"/>
      <c r="AY309" s="65"/>
      <c r="AZ309" s="65"/>
      <c r="BA309" s="177"/>
      <c r="BB309" s="178"/>
      <c r="BC309" s="178"/>
      <c r="BD309" s="178"/>
      <c r="BE309" s="178"/>
      <c r="BF309" s="178"/>
      <c r="BG309" s="178"/>
      <c r="BH309" s="178"/>
      <c r="BI309" s="179"/>
      <c r="BJ309" s="177"/>
      <c r="BK309" s="178"/>
      <c r="BL309" s="178"/>
      <c r="BM309" s="178"/>
      <c r="BN309" s="178"/>
      <c r="BO309" s="179"/>
      <c r="BP309" s="65"/>
      <c r="BQ309" s="177"/>
      <c r="BR309" s="178"/>
      <c r="BS309" s="179"/>
      <c r="BT309" s="65"/>
      <c r="BU309" s="65"/>
      <c r="BV309" s="65"/>
      <c r="BW309" s="65"/>
      <c r="BX309" s="65"/>
      <c r="BY309" s="65"/>
      <c r="BZ309" s="65"/>
      <c r="CA309" s="65"/>
      <c r="CB309" s="65"/>
      <c r="CC309" s="65"/>
      <c r="CD309" s="177"/>
      <c r="CE309" s="179"/>
      <c r="CF309" s="177"/>
      <c r="CG309" s="179"/>
      <c r="CH309" s="177"/>
      <c r="CI309" s="179"/>
      <c r="CJ309" s="177"/>
      <c r="CK309" s="179"/>
      <c r="CL309" s="177"/>
      <c r="CM309" s="179"/>
      <c r="CN309" s="177"/>
      <c r="CO309" s="179"/>
      <c r="CP309" s="177"/>
      <c r="CQ309" s="178"/>
      <c r="CR309" s="179"/>
      <c r="CS309" s="65"/>
      <c r="CT309" s="65"/>
      <c r="CU309" s="271"/>
    </row>
    <row r="310" ht="60.0" hidden="1" customHeight="1">
      <c r="A310" s="65"/>
      <c r="B310" s="65"/>
      <c r="C310" s="167"/>
      <c r="D310" s="205"/>
      <c r="E310" s="262"/>
      <c r="F310" s="170"/>
      <c r="G310" s="170"/>
      <c r="H310" s="170"/>
      <c r="I310" s="170"/>
      <c r="J310" s="170"/>
      <c r="K310" s="171"/>
      <c r="L310" s="171"/>
      <c r="M310" s="171"/>
      <c r="N310" s="209"/>
      <c r="O310" s="172">
        <f t="shared" si="54"/>
        <v>0</v>
      </c>
      <c r="P310" s="65"/>
      <c r="Q310" s="65"/>
      <c r="R310" s="65"/>
      <c r="S310" s="65"/>
      <c r="T310" s="65"/>
      <c r="U310" s="65"/>
      <c r="V310" s="65"/>
      <c r="W310" s="65"/>
      <c r="X310" s="65"/>
      <c r="Y310" s="65"/>
      <c r="Z310" s="65"/>
      <c r="AA310" s="174"/>
      <c r="AB310" s="175"/>
      <c r="AC310" s="175"/>
      <c r="AD310" s="175"/>
      <c r="AE310" s="175"/>
      <c r="AF310" s="175"/>
      <c r="AG310" s="175"/>
      <c r="AH310" s="175"/>
      <c r="AI310" s="176"/>
      <c r="AJ310" s="177"/>
      <c r="AK310" s="178"/>
      <c r="AL310" s="178"/>
      <c r="AM310" s="178"/>
      <c r="AN310" s="178"/>
      <c r="AO310" s="179"/>
      <c r="AP310" s="65"/>
      <c r="AQ310" s="65"/>
      <c r="AR310" s="65"/>
      <c r="AS310" s="65"/>
      <c r="AT310" s="65"/>
      <c r="AU310" s="177"/>
      <c r="AV310" s="178"/>
      <c r="AW310" s="178"/>
      <c r="AX310" s="179"/>
      <c r="AY310" s="65"/>
      <c r="AZ310" s="65"/>
      <c r="BA310" s="177"/>
      <c r="BB310" s="178"/>
      <c r="BC310" s="178"/>
      <c r="BD310" s="178"/>
      <c r="BE310" s="178"/>
      <c r="BF310" s="178"/>
      <c r="BG310" s="178"/>
      <c r="BH310" s="178"/>
      <c r="BI310" s="179"/>
      <c r="BJ310" s="177"/>
      <c r="BK310" s="178"/>
      <c r="BL310" s="178"/>
      <c r="BM310" s="178"/>
      <c r="BN310" s="178"/>
      <c r="BO310" s="179"/>
      <c r="BP310" s="65"/>
      <c r="BQ310" s="177"/>
      <c r="BR310" s="178"/>
      <c r="BS310" s="179"/>
      <c r="BT310" s="65"/>
      <c r="BU310" s="65"/>
      <c r="BV310" s="65"/>
      <c r="BW310" s="65"/>
      <c r="BX310" s="65"/>
      <c r="BY310" s="65"/>
      <c r="BZ310" s="65"/>
      <c r="CA310" s="65"/>
      <c r="CB310" s="65"/>
      <c r="CC310" s="65"/>
      <c r="CD310" s="177"/>
      <c r="CE310" s="179"/>
      <c r="CF310" s="177"/>
      <c r="CG310" s="179"/>
      <c r="CH310" s="177"/>
      <c r="CI310" s="179"/>
      <c r="CJ310" s="177"/>
      <c r="CK310" s="179"/>
      <c r="CL310" s="177"/>
      <c r="CM310" s="179"/>
      <c r="CN310" s="177"/>
      <c r="CO310" s="179"/>
      <c r="CP310" s="177"/>
      <c r="CQ310" s="178"/>
      <c r="CR310" s="179"/>
      <c r="CS310" s="65"/>
      <c r="CT310" s="65"/>
      <c r="CU310" s="271"/>
    </row>
    <row r="311" ht="60.0" hidden="1" customHeight="1">
      <c r="A311" s="65"/>
      <c r="B311" s="65"/>
      <c r="C311" s="167"/>
      <c r="D311" s="205"/>
      <c r="E311" s="262"/>
      <c r="F311" s="170"/>
      <c r="G311" s="170"/>
      <c r="H311" s="170"/>
      <c r="I311" s="170"/>
      <c r="J311" s="170"/>
      <c r="K311" s="171"/>
      <c r="L311" s="171"/>
      <c r="M311" s="171"/>
      <c r="N311" s="209"/>
      <c r="O311" s="172">
        <f t="shared" si="54"/>
        <v>0</v>
      </c>
      <c r="P311" s="65"/>
      <c r="Q311" s="65"/>
      <c r="R311" s="65"/>
      <c r="S311" s="65"/>
      <c r="T311" s="65"/>
      <c r="U311" s="65"/>
      <c r="V311" s="65"/>
      <c r="W311" s="65"/>
      <c r="X311" s="65"/>
      <c r="Y311" s="65"/>
      <c r="Z311" s="65"/>
      <c r="AA311" s="174"/>
      <c r="AB311" s="175"/>
      <c r="AC311" s="175"/>
      <c r="AD311" s="175"/>
      <c r="AE311" s="175"/>
      <c r="AF311" s="175"/>
      <c r="AG311" s="175"/>
      <c r="AH311" s="175"/>
      <c r="AI311" s="176"/>
      <c r="AJ311" s="177"/>
      <c r="AK311" s="178"/>
      <c r="AL311" s="178"/>
      <c r="AM311" s="178"/>
      <c r="AN311" s="178"/>
      <c r="AO311" s="179"/>
      <c r="AP311" s="65"/>
      <c r="AQ311" s="65"/>
      <c r="AR311" s="65"/>
      <c r="AS311" s="65"/>
      <c r="AT311" s="65"/>
      <c r="AU311" s="177"/>
      <c r="AV311" s="178"/>
      <c r="AW311" s="178"/>
      <c r="AX311" s="179"/>
      <c r="AY311" s="65"/>
      <c r="AZ311" s="65"/>
      <c r="BA311" s="177"/>
      <c r="BB311" s="178"/>
      <c r="BC311" s="178"/>
      <c r="BD311" s="178"/>
      <c r="BE311" s="178"/>
      <c r="BF311" s="178"/>
      <c r="BG311" s="178"/>
      <c r="BH311" s="178"/>
      <c r="BI311" s="179"/>
      <c r="BJ311" s="177"/>
      <c r="BK311" s="178"/>
      <c r="BL311" s="178"/>
      <c r="BM311" s="178"/>
      <c r="BN311" s="178"/>
      <c r="BO311" s="179"/>
      <c r="BP311" s="65"/>
      <c r="BQ311" s="177"/>
      <c r="BR311" s="178"/>
      <c r="BS311" s="179"/>
      <c r="BT311" s="65"/>
      <c r="BU311" s="65"/>
      <c r="BV311" s="65"/>
      <c r="BW311" s="65"/>
      <c r="BX311" s="65"/>
      <c r="BY311" s="65"/>
      <c r="BZ311" s="65"/>
      <c r="CA311" s="65"/>
      <c r="CB311" s="65"/>
      <c r="CC311" s="65"/>
      <c r="CD311" s="177"/>
      <c r="CE311" s="179"/>
      <c r="CF311" s="177"/>
      <c r="CG311" s="179"/>
      <c r="CH311" s="177"/>
      <c r="CI311" s="179"/>
      <c r="CJ311" s="177"/>
      <c r="CK311" s="179"/>
      <c r="CL311" s="177"/>
      <c r="CM311" s="179"/>
      <c r="CN311" s="177"/>
      <c r="CO311" s="179"/>
      <c r="CP311" s="177"/>
      <c r="CQ311" s="178"/>
      <c r="CR311" s="179"/>
      <c r="CS311" s="65"/>
      <c r="CT311" s="65"/>
      <c r="CU311" s="271"/>
    </row>
    <row r="312" ht="60.0" hidden="1" customHeight="1">
      <c r="A312" s="65"/>
      <c r="B312" s="65"/>
      <c r="C312" s="167"/>
      <c r="D312" s="205"/>
      <c r="E312" s="262"/>
      <c r="F312" s="170"/>
      <c r="G312" s="170"/>
      <c r="H312" s="170"/>
      <c r="I312" s="170"/>
      <c r="J312" s="170"/>
      <c r="K312" s="171"/>
      <c r="L312" s="171"/>
      <c r="M312" s="171"/>
      <c r="N312" s="209"/>
      <c r="O312" s="172">
        <f t="shared" si="54"/>
        <v>0</v>
      </c>
      <c r="P312" s="65"/>
      <c r="Q312" s="65"/>
      <c r="R312" s="65"/>
      <c r="S312" s="65"/>
      <c r="T312" s="65"/>
      <c r="U312" s="65"/>
      <c r="V312" s="65"/>
      <c r="W312" s="65"/>
      <c r="X312" s="65"/>
      <c r="Y312" s="65"/>
      <c r="Z312" s="65"/>
      <c r="AA312" s="174"/>
      <c r="AB312" s="175"/>
      <c r="AC312" s="175"/>
      <c r="AD312" s="175"/>
      <c r="AE312" s="175"/>
      <c r="AF312" s="175"/>
      <c r="AG312" s="175"/>
      <c r="AH312" s="175"/>
      <c r="AI312" s="176"/>
      <c r="AJ312" s="177"/>
      <c r="AK312" s="178"/>
      <c r="AL312" s="178"/>
      <c r="AM312" s="178"/>
      <c r="AN312" s="178"/>
      <c r="AO312" s="179"/>
      <c r="AP312" s="65"/>
      <c r="AQ312" s="65"/>
      <c r="AR312" s="65"/>
      <c r="AS312" s="65"/>
      <c r="AT312" s="65"/>
      <c r="AU312" s="177"/>
      <c r="AV312" s="178"/>
      <c r="AW312" s="178"/>
      <c r="AX312" s="179"/>
      <c r="AY312" s="65"/>
      <c r="AZ312" s="65"/>
      <c r="BA312" s="177"/>
      <c r="BB312" s="178"/>
      <c r="BC312" s="178"/>
      <c r="BD312" s="178"/>
      <c r="BE312" s="178"/>
      <c r="BF312" s="178"/>
      <c r="BG312" s="178"/>
      <c r="BH312" s="178"/>
      <c r="BI312" s="179"/>
      <c r="BJ312" s="177"/>
      <c r="BK312" s="178"/>
      <c r="BL312" s="178"/>
      <c r="BM312" s="178"/>
      <c r="BN312" s="178"/>
      <c r="BO312" s="179"/>
      <c r="BP312" s="65"/>
      <c r="BQ312" s="177"/>
      <c r="BR312" s="178"/>
      <c r="BS312" s="179"/>
      <c r="BT312" s="65"/>
      <c r="BU312" s="65"/>
      <c r="BV312" s="65"/>
      <c r="BW312" s="65"/>
      <c r="BX312" s="65"/>
      <c r="BY312" s="65"/>
      <c r="BZ312" s="65"/>
      <c r="CA312" s="65"/>
      <c r="CB312" s="65"/>
      <c r="CC312" s="65"/>
      <c r="CD312" s="177"/>
      <c r="CE312" s="179"/>
      <c r="CF312" s="177"/>
      <c r="CG312" s="179"/>
      <c r="CH312" s="177"/>
      <c r="CI312" s="179"/>
      <c r="CJ312" s="177"/>
      <c r="CK312" s="179"/>
      <c r="CL312" s="177"/>
      <c r="CM312" s="179"/>
      <c r="CN312" s="177"/>
      <c r="CO312" s="179"/>
      <c r="CP312" s="177"/>
      <c r="CQ312" s="178"/>
      <c r="CR312" s="179"/>
      <c r="CS312" s="65"/>
      <c r="CT312" s="65"/>
      <c r="CU312" s="271"/>
    </row>
    <row r="313" ht="60.0" hidden="1" customHeight="1">
      <c r="A313" s="65"/>
      <c r="B313" s="65"/>
      <c r="C313" s="167"/>
      <c r="D313" s="205"/>
      <c r="E313" s="262"/>
      <c r="F313" s="170"/>
      <c r="G313" s="170"/>
      <c r="H313" s="170"/>
      <c r="I313" s="170"/>
      <c r="J313" s="170"/>
      <c r="K313" s="171"/>
      <c r="L313" s="171"/>
      <c r="M313" s="171"/>
      <c r="N313" s="209"/>
      <c r="O313" s="172">
        <f t="shared" si="54"/>
        <v>0</v>
      </c>
      <c r="P313" s="65"/>
      <c r="Q313" s="65"/>
      <c r="R313" s="65"/>
      <c r="S313" s="65"/>
      <c r="T313" s="65"/>
      <c r="U313" s="65"/>
      <c r="V313" s="65"/>
      <c r="W313" s="65"/>
      <c r="X313" s="65"/>
      <c r="Y313" s="65"/>
      <c r="Z313" s="65"/>
      <c r="AA313" s="174"/>
      <c r="AB313" s="175"/>
      <c r="AC313" s="175"/>
      <c r="AD313" s="175"/>
      <c r="AE313" s="175"/>
      <c r="AF313" s="175"/>
      <c r="AG313" s="175"/>
      <c r="AH313" s="175"/>
      <c r="AI313" s="176"/>
      <c r="AJ313" s="177"/>
      <c r="AK313" s="178"/>
      <c r="AL313" s="178"/>
      <c r="AM313" s="178"/>
      <c r="AN313" s="178"/>
      <c r="AO313" s="179"/>
      <c r="AP313" s="65"/>
      <c r="AQ313" s="65"/>
      <c r="AR313" s="65"/>
      <c r="AS313" s="65"/>
      <c r="AT313" s="65"/>
      <c r="AU313" s="177"/>
      <c r="AV313" s="178"/>
      <c r="AW313" s="178"/>
      <c r="AX313" s="179"/>
      <c r="AY313" s="65"/>
      <c r="AZ313" s="65"/>
      <c r="BA313" s="177"/>
      <c r="BB313" s="178"/>
      <c r="BC313" s="178"/>
      <c r="BD313" s="178"/>
      <c r="BE313" s="178"/>
      <c r="BF313" s="178"/>
      <c r="BG313" s="178"/>
      <c r="BH313" s="178"/>
      <c r="BI313" s="179"/>
      <c r="BJ313" s="177"/>
      <c r="BK313" s="178"/>
      <c r="BL313" s="178"/>
      <c r="BM313" s="178"/>
      <c r="BN313" s="178"/>
      <c r="BO313" s="179"/>
      <c r="BP313" s="65"/>
      <c r="BQ313" s="177"/>
      <c r="BR313" s="178"/>
      <c r="BS313" s="179"/>
      <c r="BT313" s="65"/>
      <c r="BU313" s="65"/>
      <c r="BV313" s="65"/>
      <c r="BW313" s="65"/>
      <c r="BX313" s="65"/>
      <c r="BY313" s="65"/>
      <c r="BZ313" s="65"/>
      <c r="CA313" s="65"/>
      <c r="CB313" s="65"/>
      <c r="CC313" s="65"/>
      <c r="CD313" s="177"/>
      <c r="CE313" s="179"/>
      <c r="CF313" s="177"/>
      <c r="CG313" s="179"/>
      <c r="CH313" s="177"/>
      <c r="CI313" s="179"/>
      <c r="CJ313" s="177"/>
      <c r="CK313" s="179"/>
      <c r="CL313" s="177"/>
      <c r="CM313" s="179"/>
      <c r="CN313" s="177"/>
      <c r="CO313" s="179"/>
      <c r="CP313" s="177"/>
      <c r="CQ313" s="178"/>
      <c r="CR313" s="179"/>
      <c r="CS313" s="65"/>
      <c r="CT313" s="65"/>
      <c r="CU313" s="271"/>
    </row>
    <row r="314" ht="60.0" hidden="1" customHeight="1">
      <c r="A314" s="65"/>
      <c r="B314" s="65"/>
      <c r="C314" s="167"/>
      <c r="D314" s="205"/>
      <c r="E314" s="262"/>
      <c r="F314" s="170"/>
      <c r="G314" s="170"/>
      <c r="H314" s="170"/>
      <c r="I314" s="170"/>
      <c r="J314" s="170"/>
      <c r="K314" s="171"/>
      <c r="L314" s="171"/>
      <c r="M314" s="171"/>
      <c r="N314" s="209"/>
      <c r="O314" s="172">
        <f t="shared" si="54"/>
        <v>0</v>
      </c>
      <c r="P314" s="65"/>
      <c r="Q314" s="65"/>
      <c r="R314" s="65"/>
      <c r="S314" s="65"/>
      <c r="T314" s="65"/>
      <c r="U314" s="65"/>
      <c r="V314" s="65"/>
      <c r="W314" s="65"/>
      <c r="X314" s="65"/>
      <c r="Y314" s="65"/>
      <c r="Z314" s="65"/>
      <c r="AA314" s="174"/>
      <c r="AB314" s="175"/>
      <c r="AC314" s="175"/>
      <c r="AD314" s="175"/>
      <c r="AE314" s="175"/>
      <c r="AF314" s="175"/>
      <c r="AG314" s="175"/>
      <c r="AH314" s="175"/>
      <c r="AI314" s="176"/>
      <c r="AJ314" s="177"/>
      <c r="AK314" s="178"/>
      <c r="AL314" s="178"/>
      <c r="AM314" s="178"/>
      <c r="AN314" s="178"/>
      <c r="AO314" s="179"/>
      <c r="AP314" s="65"/>
      <c r="AQ314" s="65"/>
      <c r="AR314" s="65"/>
      <c r="AS314" s="65"/>
      <c r="AT314" s="65"/>
      <c r="AU314" s="177"/>
      <c r="AV314" s="178"/>
      <c r="AW314" s="178"/>
      <c r="AX314" s="179"/>
      <c r="AY314" s="65"/>
      <c r="AZ314" s="65"/>
      <c r="BA314" s="177"/>
      <c r="BB314" s="178"/>
      <c r="BC314" s="178"/>
      <c r="BD314" s="178"/>
      <c r="BE314" s="178"/>
      <c r="BF314" s="178"/>
      <c r="BG314" s="178"/>
      <c r="BH314" s="178"/>
      <c r="BI314" s="179"/>
      <c r="BJ314" s="177"/>
      <c r="BK314" s="178"/>
      <c r="BL314" s="178"/>
      <c r="BM314" s="178"/>
      <c r="BN314" s="178"/>
      <c r="BO314" s="179"/>
      <c r="BP314" s="65"/>
      <c r="BQ314" s="177"/>
      <c r="BR314" s="178"/>
      <c r="BS314" s="179"/>
      <c r="BT314" s="65"/>
      <c r="BU314" s="65"/>
      <c r="BV314" s="65"/>
      <c r="BW314" s="65"/>
      <c r="BX314" s="65"/>
      <c r="BY314" s="65"/>
      <c r="BZ314" s="65"/>
      <c r="CA314" s="65"/>
      <c r="CB314" s="65"/>
      <c r="CC314" s="65"/>
      <c r="CD314" s="177"/>
      <c r="CE314" s="179"/>
      <c r="CF314" s="177"/>
      <c r="CG314" s="179"/>
      <c r="CH314" s="177"/>
      <c r="CI314" s="179"/>
      <c r="CJ314" s="177"/>
      <c r="CK314" s="179"/>
      <c r="CL314" s="177"/>
      <c r="CM314" s="179"/>
      <c r="CN314" s="177"/>
      <c r="CO314" s="179"/>
      <c r="CP314" s="177"/>
      <c r="CQ314" s="178"/>
      <c r="CR314" s="179"/>
      <c r="CS314" s="65"/>
      <c r="CT314" s="65"/>
      <c r="CU314" s="271"/>
    </row>
    <row r="315" ht="60.0" hidden="1" customHeight="1">
      <c r="A315" s="89"/>
      <c r="B315" s="89"/>
      <c r="C315" s="183"/>
      <c r="D315" s="210"/>
      <c r="E315" s="264"/>
      <c r="F315" s="227"/>
      <c r="G315" s="227"/>
      <c r="H315" s="227"/>
      <c r="I315" s="227"/>
      <c r="J315" s="227"/>
      <c r="K315" s="228"/>
      <c r="L315" s="228"/>
      <c r="M315" s="228"/>
      <c r="N315" s="229"/>
      <c r="O315" s="188">
        <f t="shared" si="54"/>
        <v>0</v>
      </c>
      <c r="P315" s="89"/>
      <c r="Q315" s="89"/>
      <c r="R315" s="89"/>
      <c r="S315" s="89"/>
      <c r="T315" s="89"/>
      <c r="U315" s="89"/>
      <c r="V315" s="89"/>
      <c r="W315" s="89"/>
      <c r="X315" s="89"/>
      <c r="Y315" s="89"/>
      <c r="Z315" s="89"/>
      <c r="AA315" s="189"/>
      <c r="AB315" s="190"/>
      <c r="AC315" s="190"/>
      <c r="AD315" s="190"/>
      <c r="AE315" s="190"/>
      <c r="AF315" s="190"/>
      <c r="AG315" s="190"/>
      <c r="AH315" s="190"/>
      <c r="AI315" s="191"/>
      <c r="AJ315" s="192"/>
      <c r="AK315" s="193"/>
      <c r="AL315" s="193"/>
      <c r="AM315" s="193"/>
      <c r="AN315" s="193"/>
      <c r="AO315" s="194"/>
      <c r="AP315" s="89"/>
      <c r="AQ315" s="89"/>
      <c r="AR315" s="89"/>
      <c r="AS315" s="89"/>
      <c r="AT315" s="89"/>
      <c r="AU315" s="192"/>
      <c r="AV315" s="193"/>
      <c r="AW315" s="193"/>
      <c r="AX315" s="194"/>
      <c r="AY315" s="89"/>
      <c r="AZ315" s="89"/>
      <c r="BA315" s="192"/>
      <c r="BB315" s="193"/>
      <c r="BC315" s="193"/>
      <c r="BD315" s="193"/>
      <c r="BE315" s="193"/>
      <c r="BF315" s="193"/>
      <c r="BG315" s="193"/>
      <c r="BH315" s="193"/>
      <c r="BI315" s="194"/>
      <c r="BJ315" s="192"/>
      <c r="BK315" s="193"/>
      <c r="BL315" s="193"/>
      <c r="BM315" s="193"/>
      <c r="BN315" s="193"/>
      <c r="BO315" s="194"/>
      <c r="BP315" s="89"/>
      <c r="BQ315" s="192"/>
      <c r="BR315" s="193"/>
      <c r="BS315" s="194"/>
      <c r="BT315" s="89"/>
      <c r="BU315" s="89"/>
      <c r="BV315" s="89"/>
      <c r="BW315" s="89"/>
      <c r="BX315" s="89"/>
      <c r="BY315" s="89"/>
      <c r="BZ315" s="89"/>
      <c r="CA315" s="89"/>
      <c r="CB315" s="89"/>
      <c r="CC315" s="89"/>
      <c r="CD315" s="192"/>
      <c r="CE315" s="194"/>
      <c r="CF315" s="192"/>
      <c r="CG315" s="194"/>
      <c r="CH315" s="192"/>
      <c r="CI315" s="194"/>
      <c r="CJ315" s="192"/>
      <c r="CK315" s="194"/>
      <c r="CL315" s="192"/>
      <c r="CM315" s="194"/>
      <c r="CN315" s="192"/>
      <c r="CO315" s="194"/>
      <c r="CP315" s="192"/>
      <c r="CQ315" s="193"/>
      <c r="CR315" s="194"/>
      <c r="CS315" s="89"/>
      <c r="CT315" s="89"/>
      <c r="CU315" s="272"/>
    </row>
    <row r="316" ht="57.0" customHeight="1">
      <c r="A316" s="233"/>
      <c r="B316" s="235"/>
      <c r="C316" s="265"/>
      <c r="D316" s="265"/>
      <c r="E316" s="230"/>
      <c r="F316" s="231"/>
      <c r="G316" s="231"/>
      <c r="H316" s="231"/>
      <c r="I316" s="231"/>
      <c r="J316" s="231"/>
      <c r="K316" s="231"/>
      <c r="L316" s="231"/>
      <c r="M316" s="231"/>
      <c r="N316" s="237"/>
      <c r="O316" s="238">
        <f t="shared" ref="O316:X316" si="55">SUM(O8:O315)</f>
        <v>0</v>
      </c>
      <c r="P316" s="239">
        <f t="shared" si="55"/>
        <v>0</v>
      </c>
      <c r="Q316" s="239">
        <f t="shared" si="55"/>
        <v>0</v>
      </c>
      <c r="R316" s="239">
        <f t="shared" si="55"/>
        <v>0</v>
      </c>
      <c r="S316" s="239">
        <f t="shared" si="55"/>
        <v>0</v>
      </c>
      <c r="T316" s="239">
        <f t="shared" si="55"/>
        <v>0</v>
      </c>
      <c r="U316" s="239">
        <f t="shared" si="55"/>
        <v>0</v>
      </c>
      <c r="V316" s="239">
        <f t="shared" si="55"/>
        <v>0</v>
      </c>
      <c r="W316" s="239">
        <f t="shared" si="55"/>
        <v>0</v>
      </c>
      <c r="X316" s="239">
        <f t="shared" si="55"/>
        <v>0</v>
      </c>
      <c r="Y316" s="240">
        <f>SUM(SUM(O8:O18)-X8,SUM(O19:O29)-X19,SUM(O30:O40)-X30,SUM(O41:O51)-X41,SUM(O52:O62)-X52,SUM(O63:O73)-X63,SUM(O74:O84)-X74,SUM(O85:O95)-X85,SUM(O96:O106)-X96,SUM(O107:O117)-X107,SUM(O118:O128)-X118,SUM(O129:O139)-X129,SUM(O140:O150)-X140,SUM(O151:O161)-X151,SUM(O162:O172)-X162,SUM(O173:O183)-X173,SUM(O184:O194)-X184,SUM(O195:O205)-X195,SUM(O206:O216)-X206,SUM(O217:O227)-X217,SUM(O228:O238)-X228,SUM(O239:O249)-X239,SUM(O250:O260)-X250,SUM(O261:O271)-X261,SUM(O272:O282)-X272,SUM(O283:O293)-X283,SUM(O294:O304)-X294,SUM(O305:O315)-X305)</f>
        <v>0</v>
      </c>
      <c r="Z316" s="239">
        <f t="shared" ref="Z316:CT316" si="56">SUM(Z8:Z315)</f>
        <v>0</v>
      </c>
      <c r="AA316" s="239">
        <f t="shared" si="56"/>
        <v>0</v>
      </c>
      <c r="AB316" s="239">
        <f t="shared" si="56"/>
        <v>0</v>
      </c>
      <c r="AC316" s="239">
        <f t="shared" si="56"/>
        <v>0</v>
      </c>
      <c r="AD316" s="239">
        <f t="shared" si="56"/>
        <v>0</v>
      </c>
      <c r="AE316" s="239">
        <f t="shared" si="56"/>
        <v>0</v>
      </c>
      <c r="AF316" s="239">
        <f t="shared" si="56"/>
        <v>0</v>
      </c>
      <c r="AG316" s="239">
        <f t="shared" si="56"/>
        <v>0</v>
      </c>
      <c r="AH316" s="239">
        <f t="shared" si="56"/>
        <v>0</v>
      </c>
      <c r="AI316" s="239">
        <f t="shared" si="56"/>
        <v>0</v>
      </c>
      <c r="AJ316" s="239">
        <f t="shared" si="56"/>
        <v>0</v>
      </c>
      <c r="AK316" s="239">
        <f t="shared" si="56"/>
        <v>0</v>
      </c>
      <c r="AL316" s="239">
        <f t="shared" si="56"/>
        <v>0</v>
      </c>
      <c r="AM316" s="239">
        <f t="shared" si="56"/>
        <v>0</v>
      </c>
      <c r="AN316" s="239">
        <f t="shared" si="56"/>
        <v>0</v>
      </c>
      <c r="AO316" s="239">
        <f t="shared" si="56"/>
        <v>0</v>
      </c>
      <c r="AP316" s="239">
        <f t="shared" si="56"/>
        <v>0</v>
      </c>
      <c r="AQ316" s="239">
        <f t="shared" si="56"/>
        <v>0</v>
      </c>
      <c r="AR316" s="239">
        <f t="shared" si="56"/>
        <v>0</v>
      </c>
      <c r="AS316" s="239">
        <f t="shared" si="56"/>
        <v>33.34444444</v>
      </c>
      <c r="AT316" s="239">
        <f t="shared" si="56"/>
        <v>8.336111111</v>
      </c>
      <c r="AU316" s="239">
        <f t="shared" si="56"/>
        <v>0</v>
      </c>
      <c r="AV316" s="239">
        <f t="shared" si="56"/>
        <v>0</v>
      </c>
      <c r="AW316" s="239">
        <f t="shared" si="56"/>
        <v>0</v>
      </c>
      <c r="AX316" s="239">
        <f t="shared" si="56"/>
        <v>0</v>
      </c>
      <c r="AY316" s="239">
        <f t="shared" si="56"/>
        <v>0</v>
      </c>
      <c r="AZ316" s="239">
        <f t="shared" si="56"/>
        <v>0</v>
      </c>
      <c r="BA316" s="239">
        <f t="shared" si="56"/>
        <v>2</v>
      </c>
      <c r="BB316" s="239">
        <f t="shared" si="56"/>
        <v>0</v>
      </c>
      <c r="BC316" s="239">
        <f t="shared" si="56"/>
        <v>4</v>
      </c>
      <c r="BD316" s="239">
        <f t="shared" si="56"/>
        <v>301</v>
      </c>
      <c r="BE316" s="239">
        <f t="shared" si="56"/>
        <v>0</v>
      </c>
      <c r="BF316" s="239">
        <f t="shared" si="56"/>
        <v>0</v>
      </c>
      <c r="BG316" s="239">
        <f t="shared" si="56"/>
        <v>4</v>
      </c>
      <c r="BH316" s="239">
        <f t="shared" si="56"/>
        <v>0</v>
      </c>
      <c r="BI316" s="239">
        <f t="shared" si="56"/>
        <v>0</v>
      </c>
      <c r="BJ316" s="239">
        <f t="shared" si="56"/>
        <v>0</v>
      </c>
      <c r="BK316" s="239">
        <f t="shared" si="56"/>
        <v>0</v>
      </c>
      <c r="BL316" s="239">
        <f t="shared" si="56"/>
        <v>15.1</v>
      </c>
      <c r="BM316" s="239">
        <f t="shared" si="56"/>
        <v>6.2</v>
      </c>
      <c r="BN316" s="239">
        <f t="shared" si="56"/>
        <v>7.4</v>
      </c>
      <c r="BO316" s="239">
        <f t="shared" si="56"/>
        <v>0</v>
      </c>
      <c r="BP316" s="239">
        <f t="shared" si="56"/>
        <v>0</v>
      </c>
      <c r="BQ316" s="239">
        <f t="shared" si="56"/>
        <v>0</v>
      </c>
      <c r="BR316" s="239">
        <f t="shared" si="56"/>
        <v>4</v>
      </c>
      <c r="BS316" s="239">
        <f t="shared" si="56"/>
        <v>0</v>
      </c>
      <c r="BT316" s="239">
        <f t="shared" si="56"/>
        <v>0</v>
      </c>
      <c r="BU316" s="239">
        <f t="shared" si="56"/>
        <v>0</v>
      </c>
      <c r="BV316" s="239">
        <f t="shared" si="56"/>
        <v>0</v>
      </c>
      <c r="BW316" s="239">
        <f t="shared" si="56"/>
        <v>0</v>
      </c>
      <c r="BX316" s="239">
        <f t="shared" si="56"/>
        <v>0</v>
      </c>
      <c r="BY316" s="239">
        <f t="shared" si="56"/>
        <v>0</v>
      </c>
      <c r="BZ316" s="239">
        <f t="shared" si="56"/>
        <v>0</v>
      </c>
      <c r="CA316" s="239">
        <f t="shared" si="56"/>
        <v>0</v>
      </c>
      <c r="CB316" s="239">
        <f t="shared" si="56"/>
        <v>0</v>
      </c>
      <c r="CC316" s="239">
        <f t="shared" si="56"/>
        <v>0</v>
      </c>
      <c r="CD316" s="239">
        <f t="shared" si="56"/>
        <v>0</v>
      </c>
      <c r="CE316" s="239">
        <f t="shared" si="56"/>
        <v>0</v>
      </c>
      <c r="CF316" s="239">
        <f t="shared" si="56"/>
        <v>0</v>
      </c>
      <c r="CG316" s="239">
        <f t="shared" si="56"/>
        <v>1.333333333</v>
      </c>
      <c r="CH316" s="239">
        <f t="shared" si="56"/>
        <v>0</v>
      </c>
      <c r="CI316" s="239">
        <f t="shared" si="56"/>
        <v>0</v>
      </c>
      <c r="CJ316" s="239">
        <f t="shared" si="56"/>
        <v>0</v>
      </c>
      <c r="CK316" s="239">
        <f t="shared" si="56"/>
        <v>0</v>
      </c>
      <c r="CL316" s="239">
        <f t="shared" si="56"/>
        <v>0</v>
      </c>
      <c r="CM316" s="239">
        <f t="shared" si="56"/>
        <v>0</v>
      </c>
      <c r="CN316" s="239">
        <f t="shared" si="56"/>
        <v>0</v>
      </c>
      <c r="CO316" s="239">
        <f t="shared" si="56"/>
        <v>0</v>
      </c>
      <c r="CP316" s="239">
        <f t="shared" si="56"/>
        <v>0</v>
      </c>
      <c r="CQ316" s="239">
        <f t="shared" si="56"/>
        <v>0</v>
      </c>
      <c r="CR316" s="239">
        <f t="shared" si="56"/>
        <v>0</v>
      </c>
      <c r="CS316" s="239">
        <f t="shared" si="56"/>
        <v>0</v>
      </c>
      <c r="CT316" s="239">
        <f t="shared" si="56"/>
        <v>33.34444444</v>
      </c>
      <c r="CU316" s="236"/>
    </row>
  </sheetData>
  <mergeCells count="2183">
    <mergeCell ref="CN151:CN161"/>
    <mergeCell ref="CO151:CO161"/>
    <mergeCell ref="CP151:CP161"/>
    <mergeCell ref="CQ151:CQ161"/>
    <mergeCell ref="CR151:CR161"/>
    <mergeCell ref="CS151:CS161"/>
    <mergeCell ref="CT151:CT161"/>
    <mergeCell ref="CG151:CG161"/>
    <mergeCell ref="CH151:CH161"/>
    <mergeCell ref="CI151:CI161"/>
    <mergeCell ref="CJ151:CJ161"/>
    <mergeCell ref="CK151:CK161"/>
    <mergeCell ref="CL151:CL161"/>
    <mergeCell ref="CM151:CM161"/>
    <mergeCell ref="AQ151:AQ161"/>
    <mergeCell ref="AR151:AR161"/>
    <mergeCell ref="AS151:AS161"/>
    <mergeCell ref="AT151:AT161"/>
    <mergeCell ref="AU151:AU161"/>
    <mergeCell ref="AV151:AV161"/>
    <mergeCell ref="AW151:AW161"/>
    <mergeCell ref="AX151:AX161"/>
    <mergeCell ref="AY151:AY161"/>
    <mergeCell ref="AZ151:AZ161"/>
    <mergeCell ref="BA151:BA161"/>
    <mergeCell ref="BB151:BB161"/>
    <mergeCell ref="BC151:BC161"/>
    <mergeCell ref="BD151:BD161"/>
    <mergeCell ref="BE151:BE161"/>
    <mergeCell ref="BF151:BF161"/>
    <mergeCell ref="BG151:BG161"/>
    <mergeCell ref="BH151:BH161"/>
    <mergeCell ref="BI151:BI161"/>
    <mergeCell ref="BJ151:BJ161"/>
    <mergeCell ref="BK151:BK161"/>
    <mergeCell ref="BL151:BL161"/>
    <mergeCell ref="BM151:BM161"/>
    <mergeCell ref="BN151:BN161"/>
    <mergeCell ref="BO151:BO161"/>
    <mergeCell ref="BP151:BP161"/>
    <mergeCell ref="BQ151:BQ161"/>
    <mergeCell ref="BR151:BR161"/>
    <mergeCell ref="BS151:BS161"/>
    <mergeCell ref="BT151:BT161"/>
    <mergeCell ref="BU151:BU161"/>
    <mergeCell ref="BV151:BV161"/>
    <mergeCell ref="BW151:BW161"/>
    <mergeCell ref="BX151:BX161"/>
    <mergeCell ref="BY151:BY161"/>
    <mergeCell ref="BZ151:BZ161"/>
    <mergeCell ref="CA151:CA161"/>
    <mergeCell ref="CB151:CB161"/>
    <mergeCell ref="CC151:CC161"/>
    <mergeCell ref="CD151:CD161"/>
    <mergeCell ref="CE151:CE161"/>
    <mergeCell ref="CF151:CF161"/>
    <mergeCell ref="AJ151:AJ161"/>
    <mergeCell ref="AK151:AK161"/>
    <mergeCell ref="AL151:AL161"/>
    <mergeCell ref="AM151:AM161"/>
    <mergeCell ref="AN151:AN161"/>
    <mergeCell ref="AO151:AO161"/>
    <mergeCell ref="AP151:AP161"/>
    <mergeCell ref="CN96:CN106"/>
    <mergeCell ref="CO96:CO106"/>
    <mergeCell ref="CG96:CG106"/>
    <mergeCell ref="CH96:CH106"/>
    <mergeCell ref="CI96:CI106"/>
    <mergeCell ref="CJ96:CJ106"/>
    <mergeCell ref="CK96:CK106"/>
    <mergeCell ref="CL96:CL106"/>
    <mergeCell ref="CM96:CM106"/>
    <mergeCell ref="AQ96:AQ106"/>
    <mergeCell ref="AR96:AR106"/>
    <mergeCell ref="AS96:AS106"/>
    <mergeCell ref="AT96:AT106"/>
    <mergeCell ref="AU96:AU106"/>
    <mergeCell ref="AV96:AV106"/>
    <mergeCell ref="AW96:AW106"/>
    <mergeCell ref="AX96:AX106"/>
    <mergeCell ref="AY96:AY106"/>
    <mergeCell ref="AZ96:AZ106"/>
    <mergeCell ref="BA96:BA106"/>
    <mergeCell ref="BB96:BB106"/>
    <mergeCell ref="BC96:BC106"/>
    <mergeCell ref="BD96:BD106"/>
    <mergeCell ref="BE96:BE106"/>
    <mergeCell ref="BF96:BF106"/>
    <mergeCell ref="BG96:BG106"/>
    <mergeCell ref="BH96:BH106"/>
    <mergeCell ref="BI96:BI106"/>
    <mergeCell ref="BJ96:BJ106"/>
    <mergeCell ref="BK96:BK106"/>
    <mergeCell ref="BL96:BL106"/>
    <mergeCell ref="BM96:BM106"/>
    <mergeCell ref="BN96:BN106"/>
    <mergeCell ref="BO96:BO106"/>
    <mergeCell ref="BP96:BP106"/>
    <mergeCell ref="BQ96:BQ106"/>
    <mergeCell ref="BR96:BR106"/>
    <mergeCell ref="BS96:BS106"/>
    <mergeCell ref="BT96:BT106"/>
    <mergeCell ref="BU96:BU106"/>
    <mergeCell ref="BV96:BV106"/>
    <mergeCell ref="BW96:BW106"/>
    <mergeCell ref="BX96:BX106"/>
    <mergeCell ref="BY96:BY106"/>
    <mergeCell ref="BZ96:BZ106"/>
    <mergeCell ref="CA96:CA106"/>
    <mergeCell ref="CB96:CB106"/>
    <mergeCell ref="CC96:CC106"/>
    <mergeCell ref="CD96:CD106"/>
    <mergeCell ref="CE96:CE106"/>
    <mergeCell ref="CF96:CF106"/>
    <mergeCell ref="AJ96:AJ106"/>
    <mergeCell ref="AK96:AK106"/>
    <mergeCell ref="AL96:AL106"/>
    <mergeCell ref="AM96:AM106"/>
    <mergeCell ref="AN96:AN106"/>
    <mergeCell ref="AO96:AO106"/>
    <mergeCell ref="AP96:AP106"/>
    <mergeCell ref="CN107:CN117"/>
    <mergeCell ref="CO107:CO117"/>
    <mergeCell ref="CP107:CP117"/>
    <mergeCell ref="CQ107:CQ117"/>
    <mergeCell ref="CR107:CR117"/>
    <mergeCell ref="CS107:CS117"/>
    <mergeCell ref="CT107:CT117"/>
    <mergeCell ref="CG107:CG117"/>
    <mergeCell ref="CH107:CH117"/>
    <mergeCell ref="CI107:CI117"/>
    <mergeCell ref="CJ107:CJ117"/>
    <mergeCell ref="CK107:CK117"/>
    <mergeCell ref="CL107:CL117"/>
    <mergeCell ref="CM107:CM117"/>
    <mergeCell ref="AQ107:AQ117"/>
    <mergeCell ref="AR107:AR117"/>
    <mergeCell ref="AS107:AS117"/>
    <mergeCell ref="AT107:AT117"/>
    <mergeCell ref="AU107:AU117"/>
    <mergeCell ref="AV107:AV117"/>
    <mergeCell ref="AW107:AW117"/>
    <mergeCell ref="AX107:AX117"/>
    <mergeCell ref="AY107:AY117"/>
    <mergeCell ref="AZ107:AZ117"/>
    <mergeCell ref="BA107:BA117"/>
    <mergeCell ref="BB107:BB117"/>
    <mergeCell ref="BC107:BC117"/>
    <mergeCell ref="BD107:BD117"/>
    <mergeCell ref="BE107:BE117"/>
    <mergeCell ref="BF107:BF117"/>
    <mergeCell ref="BG107:BG117"/>
    <mergeCell ref="BH107:BH117"/>
    <mergeCell ref="BI107:BI117"/>
    <mergeCell ref="BJ107:BJ117"/>
    <mergeCell ref="BK107:BK117"/>
    <mergeCell ref="BL107:BL117"/>
    <mergeCell ref="BM107:BM117"/>
    <mergeCell ref="BN107:BN117"/>
    <mergeCell ref="BO107:BO117"/>
    <mergeCell ref="BP107:BP117"/>
    <mergeCell ref="BQ107:BQ117"/>
    <mergeCell ref="BR107:BR117"/>
    <mergeCell ref="BS107:BS117"/>
    <mergeCell ref="BT107:BT117"/>
    <mergeCell ref="BU107:BU117"/>
    <mergeCell ref="BV107:BV117"/>
    <mergeCell ref="BW107:BW117"/>
    <mergeCell ref="BX107:BX117"/>
    <mergeCell ref="BY107:BY117"/>
    <mergeCell ref="BZ107:BZ117"/>
    <mergeCell ref="CA107:CA117"/>
    <mergeCell ref="CB107:CB117"/>
    <mergeCell ref="CC107:CC117"/>
    <mergeCell ref="CD107:CD117"/>
    <mergeCell ref="CE107:CE117"/>
    <mergeCell ref="CF107:CF117"/>
    <mergeCell ref="AJ107:AJ117"/>
    <mergeCell ref="AK107:AK117"/>
    <mergeCell ref="AL107:AL117"/>
    <mergeCell ref="AM107:AM117"/>
    <mergeCell ref="AN107:AN117"/>
    <mergeCell ref="AO107:AO117"/>
    <mergeCell ref="AP107:AP117"/>
    <mergeCell ref="CN118:CN128"/>
    <mergeCell ref="CO118:CO128"/>
    <mergeCell ref="CP118:CP128"/>
    <mergeCell ref="CQ118:CQ128"/>
    <mergeCell ref="CR118:CR128"/>
    <mergeCell ref="CS118:CS128"/>
    <mergeCell ref="CT118:CT128"/>
    <mergeCell ref="CG118:CG128"/>
    <mergeCell ref="CH118:CH128"/>
    <mergeCell ref="CI118:CI128"/>
    <mergeCell ref="CJ118:CJ128"/>
    <mergeCell ref="CK118:CK128"/>
    <mergeCell ref="CL118:CL128"/>
    <mergeCell ref="CM118:CM128"/>
    <mergeCell ref="AQ118:AQ128"/>
    <mergeCell ref="AR118:AR128"/>
    <mergeCell ref="AS118:AS128"/>
    <mergeCell ref="AT118:AT128"/>
    <mergeCell ref="AU118:AU128"/>
    <mergeCell ref="AV118:AV128"/>
    <mergeCell ref="AW118:AW128"/>
    <mergeCell ref="AX118:AX128"/>
    <mergeCell ref="AY118:AY128"/>
    <mergeCell ref="AZ118:AZ128"/>
    <mergeCell ref="BA118:BA128"/>
    <mergeCell ref="BB118:BB128"/>
    <mergeCell ref="BC118:BC128"/>
    <mergeCell ref="BD118:BD128"/>
    <mergeCell ref="BE118:BE128"/>
    <mergeCell ref="BF118:BF128"/>
    <mergeCell ref="BG118:BG128"/>
    <mergeCell ref="BH118:BH128"/>
    <mergeCell ref="BI118:BI128"/>
    <mergeCell ref="BJ118:BJ128"/>
    <mergeCell ref="BK118:BK128"/>
    <mergeCell ref="BL118:BL128"/>
    <mergeCell ref="BM118:BM128"/>
    <mergeCell ref="BN118:BN128"/>
    <mergeCell ref="BO118:BO128"/>
    <mergeCell ref="BP118:BP128"/>
    <mergeCell ref="BQ118:BQ128"/>
    <mergeCell ref="BR118:BR128"/>
    <mergeCell ref="BS118:BS128"/>
    <mergeCell ref="BT118:BT128"/>
    <mergeCell ref="BU118:BU128"/>
    <mergeCell ref="BV118:BV128"/>
    <mergeCell ref="BW118:BW128"/>
    <mergeCell ref="BX118:BX128"/>
    <mergeCell ref="BY118:BY128"/>
    <mergeCell ref="BZ118:BZ128"/>
    <mergeCell ref="CA118:CA128"/>
    <mergeCell ref="CB118:CB128"/>
    <mergeCell ref="CC118:CC128"/>
    <mergeCell ref="CD118:CD128"/>
    <mergeCell ref="CE118:CE128"/>
    <mergeCell ref="CF118:CF128"/>
    <mergeCell ref="AJ118:AJ128"/>
    <mergeCell ref="AK118:AK128"/>
    <mergeCell ref="AL118:AL128"/>
    <mergeCell ref="AM118:AM128"/>
    <mergeCell ref="AN118:AN128"/>
    <mergeCell ref="AO118:AO128"/>
    <mergeCell ref="AP118:AP128"/>
    <mergeCell ref="CN162:CN172"/>
    <mergeCell ref="CO162:CO172"/>
    <mergeCell ref="CP162:CP172"/>
    <mergeCell ref="CQ162:CQ172"/>
    <mergeCell ref="CR162:CR172"/>
    <mergeCell ref="CS162:CS172"/>
    <mergeCell ref="CT162:CT172"/>
    <mergeCell ref="CG162:CG172"/>
    <mergeCell ref="CH162:CH172"/>
    <mergeCell ref="CI162:CI172"/>
    <mergeCell ref="CJ162:CJ172"/>
    <mergeCell ref="CK162:CK172"/>
    <mergeCell ref="CL162:CL172"/>
    <mergeCell ref="CM162:CM172"/>
    <mergeCell ref="AJ162:AJ172"/>
    <mergeCell ref="AK162:AK172"/>
    <mergeCell ref="AL162:AL172"/>
    <mergeCell ref="AM162:AM172"/>
    <mergeCell ref="AN162:AN172"/>
    <mergeCell ref="AO162:AO172"/>
    <mergeCell ref="AP162:AP172"/>
    <mergeCell ref="AQ162:AQ172"/>
    <mergeCell ref="AR162:AR172"/>
    <mergeCell ref="AS162:AS172"/>
    <mergeCell ref="AT162:AT172"/>
    <mergeCell ref="AU162:AU172"/>
    <mergeCell ref="AV162:AV172"/>
    <mergeCell ref="AW162:AW172"/>
    <mergeCell ref="AX162:AX172"/>
    <mergeCell ref="AY162:AY172"/>
    <mergeCell ref="AZ162:AZ172"/>
    <mergeCell ref="BA162:BA172"/>
    <mergeCell ref="BB162:BB172"/>
    <mergeCell ref="BC162:BC172"/>
    <mergeCell ref="BD162:BD172"/>
    <mergeCell ref="BE162:BE172"/>
    <mergeCell ref="BF162:BF172"/>
    <mergeCell ref="BG162:BG172"/>
    <mergeCell ref="BH162:BH172"/>
    <mergeCell ref="BI162:BI172"/>
    <mergeCell ref="BJ162:BJ172"/>
    <mergeCell ref="BK162:BK172"/>
    <mergeCell ref="BL162:BL172"/>
    <mergeCell ref="BM162:BM172"/>
    <mergeCell ref="BN162:BN172"/>
    <mergeCell ref="BO162:BO172"/>
    <mergeCell ref="BP162:BP172"/>
    <mergeCell ref="BQ162:BQ172"/>
    <mergeCell ref="BR162:BR172"/>
    <mergeCell ref="BS162:BS172"/>
    <mergeCell ref="BT162:BT172"/>
    <mergeCell ref="BU162:BU172"/>
    <mergeCell ref="BV162:BV172"/>
    <mergeCell ref="BW162:BW172"/>
    <mergeCell ref="BX162:BX172"/>
    <mergeCell ref="BY162:BY172"/>
    <mergeCell ref="BZ162:BZ172"/>
    <mergeCell ref="CA162:CA172"/>
    <mergeCell ref="CB162:CB172"/>
    <mergeCell ref="CC162:CC172"/>
    <mergeCell ref="CD162:CD172"/>
    <mergeCell ref="CE162:CE172"/>
    <mergeCell ref="CF162:CF172"/>
    <mergeCell ref="CN206:CN216"/>
    <mergeCell ref="CO206:CO216"/>
    <mergeCell ref="CP206:CP216"/>
    <mergeCell ref="CQ206:CQ216"/>
    <mergeCell ref="CR206:CR216"/>
    <mergeCell ref="CS206:CS216"/>
    <mergeCell ref="CT206:CT216"/>
    <mergeCell ref="CG206:CG216"/>
    <mergeCell ref="CH206:CH216"/>
    <mergeCell ref="CI206:CI216"/>
    <mergeCell ref="CJ206:CJ216"/>
    <mergeCell ref="CK206:CK216"/>
    <mergeCell ref="CL206:CL216"/>
    <mergeCell ref="CM206:CM216"/>
    <mergeCell ref="AQ206:AQ216"/>
    <mergeCell ref="AR206:AR216"/>
    <mergeCell ref="AS206:AS216"/>
    <mergeCell ref="AT206:AT216"/>
    <mergeCell ref="AU206:AU216"/>
    <mergeCell ref="AV206:AV216"/>
    <mergeCell ref="AW206:AW216"/>
    <mergeCell ref="AX206:AX216"/>
    <mergeCell ref="AY206:AY216"/>
    <mergeCell ref="AZ206:AZ216"/>
    <mergeCell ref="BA206:BA216"/>
    <mergeCell ref="BB206:BB216"/>
    <mergeCell ref="BC206:BC216"/>
    <mergeCell ref="BD206:BD216"/>
    <mergeCell ref="BE206:BE216"/>
    <mergeCell ref="BF206:BF216"/>
    <mergeCell ref="BG206:BG216"/>
    <mergeCell ref="BH206:BH216"/>
    <mergeCell ref="BI206:BI216"/>
    <mergeCell ref="BJ206:BJ216"/>
    <mergeCell ref="BK206:BK216"/>
    <mergeCell ref="BL206:BL216"/>
    <mergeCell ref="BM206:BM216"/>
    <mergeCell ref="BN206:BN216"/>
    <mergeCell ref="BO206:BO216"/>
    <mergeCell ref="BP206:BP216"/>
    <mergeCell ref="BQ206:BQ216"/>
    <mergeCell ref="BR206:BR216"/>
    <mergeCell ref="BS206:BS216"/>
    <mergeCell ref="BT206:BT216"/>
    <mergeCell ref="BU206:BU216"/>
    <mergeCell ref="BV206:BV216"/>
    <mergeCell ref="BW206:BW216"/>
    <mergeCell ref="BX206:BX216"/>
    <mergeCell ref="BY206:BY216"/>
    <mergeCell ref="BZ206:BZ216"/>
    <mergeCell ref="CA206:CA216"/>
    <mergeCell ref="CB206:CB216"/>
    <mergeCell ref="CC206:CC216"/>
    <mergeCell ref="CD206:CD216"/>
    <mergeCell ref="CE206:CE216"/>
    <mergeCell ref="CF206:CF216"/>
    <mergeCell ref="AJ206:AJ216"/>
    <mergeCell ref="AK206:AK216"/>
    <mergeCell ref="AL206:AL216"/>
    <mergeCell ref="AM206:AM216"/>
    <mergeCell ref="AN206:AN216"/>
    <mergeCell ref="AO206:AO216"/>
    <mergeCell ref="AP206:AP216"/>
    <mergeCell ref="CC173:CC183"/>
    <mergeCell ref="CD173:CD183"/>
    <mergeCell ref="CE173:CE183"/>
    <mergeCell ref="CF173:CF183"/>
    <mergeCell ref="CG173:CG183"/>
    <mergeCell ref="CH173:CH183"/>
    <mergeCell ref="CI173:CI183"/>
    <mergeCell ref="CQ173:CQ183"/>
    <mergeCell ref="CR173:CR183"/>
    <mergeCell ref="CS173:CS183"/>
    <mergeCell ref="CT173:CT183"/>
    <mergeCell ref="CJ173:CJ183"/>
    <mergeCell ref="CK173:CK183"/>
    <mergeCell ref="CL173:CL183"/>
    <mergeCell ref="CM173:CM183"/>
    <mergeCell ref="CN173:CN183"/>
    <mergeCell ref="CO173:CO183"/>
    <mergeCell ref="CP173:CP183"/>
    <mergeCell ref="W173:W183"/>
    <mergeCell ref="X173:X183"/>
    <mergeCell ref="Y173:Y183"/>
    <mergeCell ref="Z173:Z183"/>
    <mergeCell ref="AJ173:AJ183"/>
    <mergeCell ref="AK173:AK183"/>
    <mergeCell ref="AL173:AL183"/>
    <mergeCell ref="AT173:AT183"/>
    <mergeCell ref="AU173:AU183"/>
    <mergeCell ref="AV173:AV183"/>
    <mergeCell ref="AW173:AW183"/>
    <mergeCell ref="AX173:AX183"/>
    <mergeCell ref="AY173:AY183"/>
    <mergeCell ref="AZ173:AZ183"/>
    <mergeCell ref="BA173:BA183"/>
    <mergeCell ref="BB173:BB183"/>
    <mergeCell ref="BC173:BC183"/>
    <mergeCell ref="BD173:BD183"/>
    <mergeCell ref="BE173:BE183"/>
    <mergeCell ref="BF173:BF183"/>
    <mergeCell ref="BG173:BG183"/>
    <mergeCell ref="BH173:BH183"/>
    <mergeCell ref="BI173:BI183"/>
    <mergeCell ref="BJ173:BJ183"/>
    <mergeCell ref="BK173:BK183"/>
    <mergeCell ref="BL173:BL183"/>
    <mergeCell ref="BM173:BM183"/>
    <mergeCell ref="BN173:BN183"/>
    <mergeCell ref="BO173:BO183"/>
    <mergeCell ref="BP173:BP183"/>
    <mergeCell ref="BQ173:BQ183"/>
    <mergeCell ref="BR173:BR183"/>
    <mergeCell ref="BS173:BS183"/>
    <mergeCell ref="BT173:BT183"/>
    <mergeCell ref="BU173:BU183"/>
    <mergeCell ref="BV173:BV183"/>
    <mergeCell ref="BW173:BW183"/>
    <mergeCell ref="BX173:BX183"/>
    <mergeCell ref="BY173:BY183"/>
    <mergeCell ref="BZ173:BZ183"/>
    <mergeCell ref="CA173:CA183"/>
    <mergeCell ref="CB173:CB183"/>
    <mergeCell ref="AM173:AM183"/>
    <mergeCell ref="AN173:AN183"/>
    <mergeCell ref="AO173:AO183"/>
    <mergeCell ref="AP173:AP183"/>
    <mergeCell ref="AQ173:AQ183"/>
    <mergeCell ref="AR173:AR183"/>
    <mergeCell ref="AS173:AS183"/>
    <mergeCell ref="CN184:CN194"/>
    <mergeCell ref="CO184:CO194"/>
    <mergeCell ref="CP184:CP194"/>
    <mergeCell ref="CQ184:CQ194"/>
    <mergeCell ref="CR184:CR194"/>
    <mergeCell ref="CS184:CS194"/>
    <mergeCell ref="CT184:CT194"/>
    <mergeCell ref="CG184:CG194"/>
    <mergeCell ref="CH184:CH194"/>
    <mergeCell ref="CI184:CI194"/>
    <mergeCell ref="CJ184:CJ194"/>
    <mergeCell ref="CK184:CK194"/>
    <mergeCell ref="CL184:CL194"/>
    <mergeCell ref="CM184:CM194"/>
    <mergeCell ref="AQ184:AQ194"/>
    <mergeCell ref="AR184:AR194"/>
    <mergeCell ref="AS184:AS194"/>
    <mergeCell ref="AT184:AT194"/>
    <mergeCell ref="AU184:AU194"/>
    <mergeCell ref="AV184:AV194"/>
    <mergeCell ref="AW184:AW194"/>
    <mergeCell ref="AX184:AX194"/>
    <mergeCell ref="AY184:AY194"/>
    <mergeCell ref="AZ184:AZ194"/>
    <mergeCell ref="BA184:BA194"/>
    <mergeCell ref="BB184:BB194"/>
    <mergeCell ref="BC184:BC194"/>
    <mergeCell ref="BD184:BD194"/>
    <mergeCell ref="BE184:BE194"/>
    <mergeCell ref="BF184:BF194"/>
    <mergeCell ref="BG184:BG194"/>
    <mergeCell ref="BH184:BH194"/>
    <mergeCell ref="BI184:BI194"/>
    <mergeCell ref="BJ184:BJ194"/>
    <mergeCell ref="BK184:BK194"/>
    <mergeCell ref="BL184:BL194"/>
    <mergeCell ref="BM184:BM194"/>
    <mergeCell ref="BN184:BN194"/>
    <mergeCell ref="BO184:BO194"/>
    <mergeCell ref="BP184:BP194"/>
    <mergeCell ref="BQ184:BQ194"/>
    <mergeCell ref="BR184:BR194"/>
    <mergeCell ref="BS184:BS194"/>
    <mergeCell ref="BT184:BT194"/>
    <mergeCell ref="BU184:BU194"/>
    <mergeCell ref="BV184:BV194"/>
    <mergeCell ref="BW184:BW194"/>
    <mergeCell ref="BX184:BX194"/>
    <mergeCell ref="BY184:BY194"/>
    <mergeCell ref="BZ184:BZ194"/>
    <mergeCell ref="CA184:CA194"/>
    <mergeCell ref="CB184:CB194"/>
    <mergeCell ref="CC184:CC194"/>
    <mergeCell ref="CD184:CD194"/>
    <mergeCell ref="CE184:CE194"/>
    <mergeCell ref="CF184:CF194"/>
    <mergeCell ref="AJ184:AJ194"/>
    <mergeCell ref="AK184:AK194"/>
    <mergeCell ref="AL184:AL194"/>
    <mergeCell ref="AM184:AM194"/>
    <mergeCell ref="AN184:AN194"/>
    <mergeCell ref="AO184:AO194"/>
    <mergeCell ref="AP184:AP194"/>
    <mergeCell ref="CN195:CN205"/>
    <mergeCell ref="CO195:CO205"/>
    <mergeCell ref="CP195:CP205"/>
    <mergeCell ref="CQ195:CQ205"/>
    <mergeCell ref="CR195:CR205"/>
    <mergeCell ref="CS195:CS205"/>
    <mergeCell ref="CT195:CT205"/>
    <mergeCell ref="CG195:CG205"/>
    <mergeCell ref="CH195:CH205"/>
    <mergeCell ref="CI195:CI205"/>
    <mergeCell ref="CJ195:CJ205"/>
    <mergeCell ref="CK195:CK205"/>
    <mergeCell ref="CL195:CL205"/>
    <mergeCell ref="CM195:CM205"/>
    <mergeCell ref="AQ195:AQ205"/>
    <mergeCell ref="AR195:AR205"/>
    <mergeCell ref="AS195:AS205"/>
    <mergeCell ref="AT195:AT205"/>
    <mergeCell ref="AU195:AU205"/>
    <mergeCell ref="AV195:AV205"/>
    <mergeCell ref="AW195:AW205"/>
    <mergeCell ref="AX195:AX205"/>
    <mergeCell ref="AY195:AY205"/>
    <mergeCell ref="AZ195:AZ205"/>
    <mergeCell ref="BA195:BA205"/>
    <mergeCell ref="BB195:BB205"/>
    <mergeCell ref="BC195:BC205"/>
    <mergeCell ref="BD195:BD205"/>
    <mergeCell ref="BE195:BE205"/>
    <mergeCell ref="BF195:BF205"/>
    <mergeCell ref="BG195:BG205"/>
    <mergeCell ref="BH195:BH205"/>
    <mergeCell ref="BI195:BI205"/>
    <mergeCell ref="BJ195:BJ205"/>
    <mergeCell ref="BK195:BK205"/>
    <mergeCell ref="BL195:BL205"/>
    <mergeCell ref="BM195:BM205"/>
    <mergeCell ref="BN195:BN205"/>
    <mergeCell ref="BO195:BO205"/>
    <mergeCell ref="BP195:BP205"/>
    <mergeCell ref="BQ195:BQ205"/>
    <mergeCell ref="BR195:BR205"/>
    <mergeCell ref="BS195:BS205"/>
    <mergeCell ref="BT195:BT205"/>
    <mergeCell ref="BU195:BU205"/>
    <mergeCell ref="BV195:BV205"/>
    <mergeCell ref="BW195:BW205"/>
    <mergeCell ref="BX195:BX205"/>
    <mergeCell ref="BY195:BY205"/>
    <mergeCell ref="BZ195:BZ205"/>
    <mergeCell ref="CA195:CA205"/>
    <mergeCell ref="CB195:CB205"/>
    <mergeCell ref="CC195:CC205"/>
    <mergeCell ref="CD195:CD205"/>
    <mergeCell ref="CE195:CE205"/>
    <mergeCell ref="CF195:CF205"/>
    <mergeCell ref="AJ195:AJ205"/>
    <mergeCell ref="AK195:AK205"/>
    <mergeCell ref="AL195:AL205"/>
    <mergeCell ref="AM195:AM205"/>
    <mergeCell ref="AN195:AN205"/>
    <mergeCell ref="AO195:AO205"/>
    <mergeCell ref="AP195:AP205"/>
    <mergeCell ref="CN217:CN227"/>
    <mergeCell ref="CO217:CO227"/>
    <mergeCell ref="CP217:CP227"/>
    <mergeCell ref="CQ217:CQ227"/>
    <mergeCell ref="CR217:CR227"/>
    <mergeCell ref="CS217:CS227"/>
    <mergeCell ref="CT217:CT227"/>
    <mergeCell ref="CG217:CG227"/>
    <mergeCell ref="CH217:CH227"/>
    <mergeCell ref="CI217:CI227"/>
    <mergeCell ref="CJ217:CJ227"/>
    <mergeCell ref="CK217:CK227"/>
    <mergeCell ref="CL217:CL227"/>
    <mergeCell ref="CM217:CM227"/>
    <mergeCell ref="AJ217:AJ227"/>
    <mergeCell ref="AK217:AK227"/>
    <mergeCell ref="AL217:AL227"/>
    <mergeCell ref="AM217:AM227"/>
    <mergeCell ref="AN217:AN227"/>
    <mergeCell ref="AO217:AO227"/>
    <mergeCell ref="AP217:AP227"/>
    <mergeCell ref="AQ217:AQ227"/>
    <mergeCell ref="AR217:AR227"/>
    <mergeCell ref="AS217:AS227"/>
    <mergeCell ref="AT217:AT227"/>
    <mergeCell ref="AU217:AU227"/>
    <mergeCell ref="AV217:AV227"/>
    <mergeCell ref="AW217:AW227"/>
    <mergeCell ref="AX217:AX227"/>
    <mergeCell ref="AY217:AY227"/>
    <mergeCell ref="AZ217:AZ227"/>
    <mergeCell ref="BA217:BA227"/>
    <mergeCell ref="BB217:BB227"/>
    <mergeCell ref="BC217:BC227"/>
    <mergeCell ref="BD217:BD227"/>
    <mergeCell ref="BE217:BE227"/>
    <mergeCell ref="BF217:BF227"/>
    <mergeCell ref="BG217:BG227"/>
    <mergeCell ref="BH217:BH227"/>
    <mergeCell ref="BI217:BI227"/>
    <mergeCell ref="BJ217:BJ227"/>
    <mergeCell ref="BK217:BK227"/>
    <mergeCell ref="BL217:BL227"/>
    <mergeCell ref="BM217:BM227"/>
    <mergeCell ref="BN217:BN227"/>
    <mergeCell ref="BO217:BO227"/>
    <mergeCell ref="BP217:BP227"/>
    <mergeCell ref="BQ217:BQ227"/>
    <mergeCell ref="BR217:BR227"/>
    <mergeCell ref="BS217:BS227"/>
    <mergeCell ref="BT217:BT227"/>
    <mergeCell ref="BU217:BU227"/>
    <mergeCell ref="BV217:BV227"/>
    <mergeCell ref="BW217:BW227"/>
    <mergeCell ref="BX217:BX227"/>
    <mergeCell ref="BY217:BY227"/>
    <mergeCell ref="BZ217:BZ227"/>
    <mergeCell ref="CA217:CA227"/>
    <mergeCell ref="CB217:CB227"/>
    <mergeCell ref="CC217:CC227"/>
    <mergeCell ref="CD217:CD227"/>
    <mergeCell ref="CE217:CE227"/>
    <mergeCell ref="CF217:CF227"/>
    <mergeCell ref="CN261:CN271"/>
    <mergeCell ref="CO261:CO271"/>
    <mergeCell ref="CP261:CP271"/>
    <mergeCell ref="CQ261:CQ271"/>
    <mergeCell ref="CR261:CR271"/>
    <mergeCell ref="CS261:CS271"/>
    <mergeCell ref="CT261:CT271"/>
    <mergeCell ref="CG261:CG271"/>
    <mergeCell ref="CH261:CH271"/>
    <mergeCell ref="CI261:CI271"/>
    <mergeCell ref="CJ261:CJ271"/>
    <mergeCell ref="CK261:CK271"/>
    <mergeCell ref="CL261:CL271"/>
    <mergeCell ref="CM261:CM271"/>
    <mergeCell ref="AJ261:AJ271"/>
    <mergeCell ref="AK261:AK271"/>
    <mergeCell ref="AL261:AL271"/>
    <mergeCell ref="AM261:AM271"/>
    <mergeCell ref="AN261:AN271"/>
    <mergeCell ref="AO261:AO271"/>
    <mergeCell ref="AP261:AP271"/>
    <mergeCell ref="AQ261:AQ271"/>
    <mergeCell ref="AR261:AR271"/>
    <mergeCell ref="AS261:AS271"/>
    <mergeCell ref="AT261:AT271"/>
    <mergeCell ref="AU261:AU271"/>
    <mergeCell ref="AV261:AV271"/>
    <mergeCell ref="AW261:AW271"/>
    <mergeCell ref="AX261:AX271"/>
    <mergeCell ref="AY261:AY271"/>
    <mergeCell ref="AZ261:AZ271"/>
    <mergeCell ref="BA261:BA271"/>
    <mergeCell ref="BB261:BB271"/>
    <mergeCell ref="BC261:BC271"/>
    <mergeCell ref="BD261:BD271"/>
    <mergeCell ref="BE261:BE271"/>
    <mergeCell ref="BF261:BF271"/>
    <mergeCell ref="BG261:BG271"/>
    <mergeCell ref="BH261:BH271"/>
    <mergeCell ref="BI261:BI271"/>
    <mergeCell ref="BJ261:BJ271"/>
    <mergeCell ref="BK261:BK271"/>
    <mergeCell ref="BL261:BL271"/>
    <mergeCell ref="BM261:BM271"/>
    <mergeCell ref="BN261:BN271"/>
    <mergeCell ref="BO261:BO271"/>
    <mergeCell ref="BP261:BP271"/>
    <mergeCell ref="BQ261:BQ271"/>
    <mergeCell ref="BR261:BR271"/>
    <mergeCell ref="BS261:BS271"/>
    <mergeCell ref="BT261:BT271"/>
    <mergeCell ref="BU261:BU271"/>
    <mergeCell ref="BV261:BV271"/>
    <mergeCell ref="BW261:BW271"/>
    <mergeCell ref="BX261:BX271"/>
    <mergeCell ref="BY261:BY271"/>
    <mergeCell ref="BZ261:BZ271"/>
    <mergeCell ref="CA261:CA271"/>
    <mergeCell ref="CB261:CB271"/>
    <mergeCell ref="CC261:CC271"/>
    <mergeCell ref="CD261:CD271"/>
    <mergeCell ref="CE261:CE271"/>
    <mergeCell ref="CF261:CF271"/>
    <mergeCell ref="W184:W194"/>
    <mergeCell ref="X184:X194"/>
    <mergeCell ref="Y184:Y194"/>
    <mergeCell ref="Z184:Z194"/>
    <mergeCell ref="P184:P194"/>
    <mergeCell ref="Q184:Q194"/>
    <mergeCell ref="R184:R194"/>
    <mergeCell ref="S184:S194"/>
    <mergeCell ref="T184:T194"/>
    <mergeCell ref="U184:U194"/>
    <mergeCell ref="V184:V194"/>
    <mergeCell ref="W195:W205"/>
    <mergeCell ref="X195:X205"/>
    <mergeCell ref="Y195:Y205"/>
    <mergeCell ref="Z195:Z205"/>
    <mergeCell ref="P195:P205"/>
    <mergeCell ref="Q195:Q205"/>
    <mergeCell ref="R195:R205"/>
    <mergeCell ref="S195:S205"/>
    <mergeCell ref="T195:T205"/>
    <mergeCell ref="U195:U205"/>
    <mergeCell ref="V195:V205"/>
    <mergeCell ref="W206:W216"/>
    <mergeCell ref="X206:X216"/>
    <mergeCell ref="Y206:Y216"/>
    <mergeCell ref="Z206:Z216"/>
    <mergeCell ref="P206:P216"/>
    <mergeCell ref="Q206:Q216"/>
    <mergeCell ref="R206:R216"/>
    <mergeCell ref="S206:S216"/>
    <mergeCell ref="T206:T216"/>
    <mergeCell ref="U206:U216"/>
    <mergeCell ref="V206:V216"/>
    <mergeCell ref="W228:W238"/>
    <mergeCell ref="X228:X238"/>
    <mergeCell ref="Y228:Y238"/>
    <mergeCell ref="Z228:Z238"/>
    <mergeCell ref="P228:P238"/>
    <mergeCell ref="Q228:Q238"/>
    <mergeCell ref="R228:R238"/>
    <mergeCell ref="S228:S238"/>
    <mergeCell ref="T228:T238"/>
    <mergeCell ref="U228:U238"/>
    <mergeCell ref="V228:V238"/>
    <mergeCell ref="BV228:BV238"/>
    <mergeCell ref="BW228:BW238"/>
    <mergeCell ref="BX228:BX238"/>
    <mergeCell ref="BY228:BY238"/>
    <mergeCell ref="BZ228:BZ238"/>
    <mergeCell ref="CA228:CA238"/>
    <mergeCell ref="CB228:CB238"/>
    <mergeCell ref="CC228:CC238"/>
    <mergeCell ref="CD228:CD238"/>
    <mergeCell ref="CE228:CE238"/>
    <mergeCell ref="CF228:CF238"/>
    <mergeCell ref="CG228:CG238"/>
    <mergeCell ref="CH228:CH238"/>
    <mergeCell ref="CI228:CI238"/>
    <mergeCell ref="CQ228:CQ238"/>
    <mergeCell ref="CR228:CR238"/>
    <mergeCell ref="CS228:CS238"/>
    <mergeCell ref="CT228:CT238"/>
    <mergeCell ref="CJ228:CJ238"/>
    <mergeCell ref="CK228:CK238"/>
    <mergeCell ref="CL228:CL238"/>
    <mergeCell ref="CM228:CM238"/>
    <mergeCell ref="CN228:CN238"/>
    <mergeCell ref="CO228:CO238"/>
    <mergeCell ref="CP228:CP238"/>
    <mergeCell ref="P217:P227"/>
    <mergeCell ref="Q217:Q227"/>
    <mergeCell ref="R217:R227"/>
    <mergeCell ref="S217:S227"/>
    <mergeCell ref="T217:T227"/>
    <mergeCell ref="U217:U227"/>
    <mergeCell ref="V217:V227"/>
    <mergeCell ref="W217:W227"/>
    <mergeCell ref="X217:X227"/>
    <mergeCell ref="Y217:Y227"/>
    <mergeCell ref="Z217:Z227"/>
    <mergeCell ref="AJ228:AJ238"/>
    <mergeCell ref="AK228:AK238"/>
    <mergeCell ref="AL228:AL238"/>
    <mergeCell ref="AT228:AT238"/>
    <mergeCell ref="AU228:AU238"/>
    <mergeCell ref="AV228:AV238"/>
    <mergeCell ref="AW228:AW238"/>
    <mergeCell ref="AX228:AX238"/>
    <mergeCell ref="AY228:AY238"/>
    <mergeCell ref="AZ228:AZ238"/>
    <mergeCell ref="BA228:BA238"/>
    <mergeCell ref="BB228:BB238"/>
    <mergeCell ref="BC228:BC238"/>
    <mergeCell ref="BD228:BD238"/>
    <mergeCell ref="BE228:BE238"/>
    <mergeCell ref="BF228:BF238"/>
    <mergeCell ref="BG228:BG238"/>
    <mergeCell ref="BH228:BH238"/>
    <mergeCell ref="BI228:BI238"/>
    <mergeCell ref="BJ228:BJ238"/>
    <mergeCell ref="BK228:BK238"/>
    <mergeCell ref="BL228:BL238"/>
    <mergeCell ref="BM228:BM238"/>
    <mergeCell ref="BN228:BN238"/>
    <mergeCell ref="BO228:BO238"/>
    <mergeCell ref="BP228:BP238"/>
    <mergeCell ref="BQ228:BQ238"/>
    <mergeCell ref="BR228:BR238"/>
    <mergeCell ref="BS228:BS238"/>
    <mergeCell ref="BT228:BT238"/>
    <mergeCell ref="BU228:BU238"/>
    <mergeCell ref="AM228:AM238"/>
    <mergeCell ref="AN228:AN238"/>
    <mergeCell ref="AO228:AO238"/>
    <mergeCell ref="AP228:AP238"/>
    <mergeCell ref="AQ228:AQ238"/>
    <mergeCell ref="AR228:AR238"/>
    <mergeCell ref="AS228:AS238"/>
    <mergeCell ref="CN239:CN249"/>
    <mergeCell ref="CO239:CO249"/>
    <mergeCell ref="CP239:CP249"/>
    <mergeCell ref="CQ239:CQ249"/>
    <mergeCell ref="CR239:CR249"/>
    <mergeCell ref="CS239:CS249"/>
    <mergeCell ref="CT239:CT249"/>
    <mergeCell ref="CG239:CG249"/>
    <mergeCell ref="CH239:CH249"/>
    <mergeCell ref="CI239:CI249"/>
    <mergeCell ref="CJ239:CJ249"/>
    <mergeCell ref="CK239:CK249"/>
    <mergeCell ref="CL239:CL249"/>
    <mergeCell ref="CM239:CM249"/>
    <mergeCell ref="AQ239:AQ249"/>
    <mergeCell ref="AR239:AR249"/>
    <mergeCell ref="AS239:AS249"/>
    <mergeCell ref="AT239:AT249"/>
    <mergeCell ref="AU239:AU249"/>
    <mergeCell ref="AV239:AV249"/>
    <mergeCell ref="AW239:AW249"/>
    <mergeCell ref="AX239:AX249"/>
    <mergeCell ref="AY239:AY249"/>
    <mergeCell ref="AZ239:AZ249"/>
    <mergeCell ref="BA239:BA249"/>
    <mergeCell ref="BB239:BB249"/>
    <mergeCell ref="BC239:BC249"/>
    <mergeCell ref="BD239:BD249"/>
    <mergeCell ref="BE239:BE249"/>
    <mergeCell ref="BF239:BF249"/>
    <mergeCell ref="BG239:BG249"/>
    <mergeCell ref="BH239:BH249"/>
    <mergeCell ref="BI239:BI249"/>
    <mergeCell ref="BJ239:BJ249"/>
    <mergeCell ref="BK239:BK249"/>
    <mergeCell ref="BL239:BL249"/>
    <mergeCell ref="BM239:BM249"/>
    <mergeCell ref="BN239:BN249"/>
    <mergeCell ref="BO239:BO249"/>
    <mergeCell ref="BP239:BP249"/>
    <mergeCell ref="BQ239:BQ249"/>
    <mergeCell ref="BR239:BR249"/>
    <mergeCell ref="BS239:BS249"/>
    <mergeCell ref="BT239:BT249"/>
    <mergeCell ref="BU239:BU249"/>
    <mergeCell ref="BV239:BV249"/>
    <mergeCell ref="BW239:BW249"/>
    <mergeCell ref="BX239:BX249"/>
    <mergeCell ref="BY239:BY249"/>
    <mergeCell ref="BZ239:BZ249"/>
    <mergeCell ref="CA239:CA249"/>
    <mergeCell ref="CB239:CB249"/>
    <mergeCell ref="CC239:CC249"/>
    <mergeCell ref="CD239:CD249"/>
    <mergeCell ref="CE239:CE249"/>
    <mergeCell ref="CF239:CF249"/>
    <mergeCell ref="AJ239:AJ249"/>
    <mergeCell ref="AK239:AK249"/>
    <mergeCell ref="AL239:AL249"/>
    <mergeCell ref="AM239:AM249"/>
    <mergeCell ref="AN239:AN249"/>
    <mergeCell ref="AO239:AO249"/>
    <mergeCell ref="AP239:AP249"/>
    <mergeCell ref="CN250:CN260"/>
    <mergeCell ref="CO250:CO260"/>
    <mergeCell ref="CP250:CP260"/>
    <mergeCell ref="CQ250:CQ260"/>
    <mergeCell ref="CR250:CR260"/>
    <mergeCell ref="CS250:CS260"/>
    <mergeCell ref="CT250:CT260"/>
    <mergeCell ref="CG250:CG260"/>
    <mergeCell ref="CH250:CH260"/>
    <mergeCell ref="CI250:CI260"/>
    <mergeCell ref="CJ250:CJ260"/>
    <mergeCell ref="CK250:CK260"/>
    <mergeCell ref="CL250:CL260"/>
    <mergeCell ref="CM250:CM260"/>
    <mergeCell ref="AQ250:AQ260"/>
    <mergeCell ref="AR250:AR260"/>
    <mergeCell ref="AS250:AS260"/>
    <mergeCell ref="AT250:AT260"/>
    <mergeCell ref="AU250:AU260"/>
    <mergeCell ref="AV250:AV260"/>
    <mergeCell ref="AW250:AW260"/>
    <mergeCell ref="AX250:AX260"/>
    <mergeCell ref="AY250:AY260"/>
    <mergeCell ref="AZ250:AZ260"/>
    <mergeCell ref="BA250:BA260"/>
    <mergeCell ref="BB250:BB260"/>
    <mergeCell ref="BC250:BC260"/>
    <mergeCell ref="BD250:BD260"/>
    <mergeCell ref="BE250:BE260"/>
    <mergeCell ref="BF250:BF260"/>
    <mergeCell ref="BG250:BG260"/>
    <mergeCell ref="BH250:BH260"/>
    <mergeCell ref="BI250:BI260"/>
    <mergeCell ref="BJ250:BJ260"/>
    <mergeCell ref="BK250:BK260"/>
    <mergeCell ref="BL250:BL260"/>
    <mergeCell ref="BM250:BM260"/>
    <mergeCell ref="BN250:BN260"/>
    <mergeCell ref="BO250:BO260"/>
    <mergeCell ref="BP250:BP260"/>
    <mergeCell ref="BQ250:BQ260"/>
    <mergeCell ref="BR250:BR260"/>
    <mergeCell ref="BS250:BS260"/>
    <mergeCell ref="BT250:BT260"/>
    <mergeCell ref="BU250:BU260"/>
    <mergeCell ref="BV250:BV260"/>
    <mergeCell ref="BW250:BW260"/>
    <mergeCell ref="BX250:BX260"/>
    <mergeCell ref="BY250:BY260"/>
    <mergeCell ref="BZ250:BZ260"/>
    <mergeCell ref="CA250:CA260"/>
    <mergeCell ref="CB250:CB260"/>
    <mergeCell ref="CC250:CC260"/>
    <mergeCell ref="CD250:CD260"/>
    <mergeCell ref="CE250:CE260"/>
    <mergeCell ref="CF250:CF260"/>
    <mergeCell ref="AJ250:AJ260"/>
    <mergeCell ref="AK250:AK260"/>
    <mergeCell ref="AL250:AL260"/>
    <mergeCell ref="AM250:AM260"/>
    <mergeCell ref="AN250:AN260"/>
    <mergeCell ref="AO250:AO260"/>
    <mergeCell ref="AP250:AP260"/>
    <mergeCell ref="CN305:CN315"/>
    <mergeCell ref="CO305:CO315"/>
    <mergeCell ref="CP305:CP315"/>
    <mergeCell ref="CQ305:CQ315"/>
    <mergeCell ref="CR305:CR315"/>
    <mergeCell ref="CS305:CS315"/>
    <mergeCell ref="CT305:CT315"/>
    <mergeCell ref="CG305:CG315"/>
    <mergeCell ref="CH305:CH315"/>
    <mergeCell ref="CI305:CI315"/>
    <mergeCell ref="CJ305:CJ315"/>
    <mergeCell ref="CK305:CK315"/>
    <mergeCell ref="CL305:CL315"/>
    <mergeCell ref="CM305:CM315"/>
    <mergeCell ref="AJ305:AJ315"/>
    <mergeCell ref="AK305:AK315"/>
    <mergeCell ref="AL305:AL315"/>
    <mergeCell ref="AM305:AM315"/>
    <mergeCell ref="AN305:AN315"/>
    <mergeCell ref="AO305:AO315"/>
    <mergeCell ref="AP305:AP315"/>
    <mergeCell ref="AQ305:AQ315"/>
    <mergeCell ref="AR305:AR315"/>
    <mergeCell ref="AS305:AS315"/>
    <mergeCell ref="AT305:AT315"/>
    <mergeCell ref="AU305:AU315"/>
    <mergeCell ref="AV305:AV315"/>
    <mergeCell ref="AW305:AW315"/>
    <mergeCell ref="AX305:AX315"/>
    <mergeCell ref="AY305:AY315"/>
    <mergeCell ref="AZ305:AZ315"/>
    <mergeCell ref="BA305:BA315"/>
    <mergeCell ref="BB305:BB315"/>
    <mergeCell ref="BC305:BC315"/>
    <mergeCell ref="BD305:BD315"/>
    <mergeCell ref="BE305:BE315"/>
    <mergeCell ref="BF305:BF315"/>
    <mergeCell ref="BG305:BG315"/>
    <mergeCell ref="BH305:BH315"/>
    <mergeCell ref="BI305:BI315"/>
    <mergeCell ref="BJ305:BJ315"/>
    <mergeCell ref="BK305:BK315"/>
    <mergeCell ref="BL305:BL315"/>
    <mergeCell ref="BM305:BM315"/>
    <mergeCell ref="BN305:BN315"/>
    <mergeCell ref="BO305:BO315"/>
    <mergeCell ref="BP305:BP315"/>
    <mergeCell ref="BQ305:BQ315"/>
    <mergeCell ref="BR305:BR315"/>
    <mergeCell ref="BS305:BS315"/>
    <mergeCell ref="BT305:BT315"/>
    <mergeCell ref="BU305:BU315"/>
    <mergeCell ref="BV305:BV315"/>
    <mergeCell ref="BW305:BW315"/>
    <mergeCell ref="BX305:BX315"/>
    <mergeCell ref="BY305:BY315"/>
    <mergeCell ref="BZ305:BZ315"/>
    <mergeCell ref="CA305:CA315"/>
    <mergeCell ref="CB305:CB315"/>
    <mergeCell ref="CC305:CC315"/>
    <mergeCell ref="CD305:CD315"/>
    <mergeCell ref="CE305:CE315"/>
    <mergeCell ref="CF305:CF315"/>
    <mergeCell ref="W239:W249"/>
    <mergeCell ref="X239:X249"/>
    <mergeCell ref="Y239:Y249"/>
    <mergeCell ref="Z239:Z249"/>
    <mergeCell ref="P239:P249"/>
    <mergeCell ref="Q239:Q249"/>
    <mergeCell ref="R239:R249"/>
    <mergeCell ref="S239:S249"/>
    <mergeCell ref="T239:T249"/>
    <mergeCell ref="U239:U249"/>
    <mergeCell ref="V239:V249"/>
    <mergeCell ref="W250:W260"/>
    <mergeCell ref="X250:X260"/>
    <mergeCell ref="Y250:Y260"/>
    <mergeCell ref="Z250:Z260"/>
    <mergeCell ref="P250:P260"/>
    <mergeCell ref="Q250:Q260"/>
    <mergeCell ref="R250:R260"/>
    <mergeCell ref="S250:S260"/>
    <mergeCell ref="T250:T260"/>
    <mergeCell ref="U250:U260"/>
    <mergeCell ref="V250:V260"/>
    <mergeCell ref="W261:W271"/>
    <mergeCell ref="X261:X271"/>
    <mergeCell ref="Y261:Y271"/>
    <mergeCell ref="Z261:Z271"/>
    <mergeCell ref="P261:P271"/>
    <mergeCell ref="Q261:Q271"/>
    <mergeCell ref="R261:R271"/>
    <mergeCell ref="S261:S271"/>
    <mergeCell ref="T261:T271"/>
    <mergeCell ref="U261:U271"/>
    <mergeCell ref="V261:V271"/>
    <mergeCell ref="P272:P282"/>
    <mergeCell ref="Q272:Q282"/>
    <mergeCell ref="R272:R282"/>
    <mergeCell ref="S272:S282"/>
    <mergeCell ref="T272:T282"/>
    <mergeCell ref="U272:U282"/>
    <mergeCell ref="V272:V282"/>
    <mergeCell ref="CC272:CC282"/>
    <mergeCell ref="CD272:CD282"/>
    <mergeCell ref="CE272:CE282"/>
    <mergeCell ref="CF272:CF282"/>
    <mergeCell ref="CG272:CG282"/>
    <mergeCell ref="CH272:CH282"/>
    <mergeCell ref="CI272:CI282"/>
    <mergeCell ref="CQ272:CQ282"/>
    <mergeCell ref="CR272:CR282"/>
    <mergeCell ref="CS272:CS282"/>
    <mergeCell ref="CT272:CT282"/>
    <mergeCell ref="CJ272:CJ282"/>
    <mergeCell ref="CK272:CK282"/>
    <mergeCell ref="CL272:CL282"/>
    <mergeCell ref="CM272:CM282"/>
    <mergeCell ref="CN272:CN282"/>
    <mergeCell ref="CO272:CO282"/>
    <mergeCell ref="CP272:CP282"/>
    <mergeCell ref="W272:W282"/>
    <mergeCell ref="X272:X282"/>
    <mergeCell ref="Y272:Y282"/>
    <mergeCell ref="Z272:Z282"/>
    <mergeCell ref="AJ272:AJ282"/>
    <mergeCell ref="AK272:AK282"/>
    <mergeCell ref="AL272:AL282"/>
    <mergeCell ref="AT272:AT282"/>
    <mergeCell ref="AU272:AU282"/>
    <mergeCell ref="AV272:AV282"/>
    <mergeCell ref="AW272:AW282"/>
    <mergeCell ref="AX272:AX282"/>
    <mergeCell ref="AY272:AY282"/>
    <mergeCell ref="AZ272:AZ282"/>
    <mergeCell ref="BA272:BA282"/>
    <mergeCell ref="BB272:BB282"/>
    <mergeCell ref="BC272:BC282"/>
    <mergeCell ref="BD272:BD282"/>
    <mergeCell ref="BE272:BE282"/>
    <mergeCell ref="BF272:BF282"/>
    <mergeCell ref="BG272:BG282"/>
    <mergeCell ref="BH272:BH282"/>
    <mergeCell ref="BI272:BI282"/>
    <mergeCell ref="BJ272:BJ282"/>
    <mergeCell ref="BK272:BK282"/>
    <mergeCell ref="BL272:BL282"/>
    <mergeCell ref="BM272:BM282"/>
    <mergeCell ref="BN272:BN282"/>
    <mergeCell ref="BO272:BO282"/>
    <mergeCell ref="BP272:BP282"/>
    <mergeCell ref="BQ272:BQ282"/>
    <mergeCell ref="BR272:BR282"/>
    <mergeCell ref="BS272:BS282"/>
    <mergeCell ref="BT272:BT282"/>
    <mergeCell ref="BU272:BU282"/>
    <mergeCell ref="BV272:BV282"/>
    <mergeCell ref="BW272:BW282"/>
    <mergeCell ref="BX272:BX282"/>
    <mergeCell ref="BY272:BY282"/>
    <mergeCell ref="BZ272:BZ282"/>
    <mergeCell ref="CA272:CA282"/>
    <mergeCell ref="CB272:CB282"/>
    <mergeCell ref="AM272:AM282"/>
    <mergeCell ref="AN272:AN282"/>
    <mergeCell ref="AO272:AO282"/>
    <mergeCell ref="AP272:AP282"/>
    <mergeCell ref="AQ272:AQ282"/>
    <mergeCell ref="AR272:AR282"/>
    <mergeCell ref="AS272:AS282"/>
    <mergeCell ref="CN283:CN293"/>
    <mergeCell ref="CO283:CO293"/>
    <mergeCell ref="CP283:CP293"/>
    <mergeCell ref="CQ283:CQ293"/>
    <mergeCell ref="CR283:CR293"/>
    <mergeCell ref="CS283:CS293"/>
    <mergeCell ref="CT283:CT293"/>
    <mergeCell ref="CG283:CG293"/>
    <mergeCell ref="CH283:CH293"/>
    <mergeCell ref="CI283:CI293"/>
    <mergeCell ref="CJ283:CJ293"/>
    <mergeCell ref="CK283:CK293"/>
    <mergeCell ref="CL283:CL293"/>
    <mergeCell ref="CM283:CM293"/>
    <mergeCell ref="AQ283:AQ293"/>
    <mergeCell ref="AR283:AR293"/>
    <mergeCell ref="AS283:AS293"/>
    <mergeCell ref="AT283:AT293"/>
    <mergeCell ref="AU283:AU293"/>
    <mergeCell ref="AV283:AV293"/>
    <mergeCell ref="AW283:AW293"/>
    <mergeCell ref="AX283:AX293"/>
    <mergeCell ref="AY283:AY293"/>
    <mergeCell ref="AZ283:AZ293"/>
    <mergeCell ref="BA283:BA293"/>
    <mergeCell ref="BB283:BB293"/>
    <mergeCell ref="BC283:BC293"/>
    <mergeCell ref="BD283:BD293"/>
    <mergeCell ref="BE283:BE293"/>
    <mergeCell ref="BF283:BF293"/>
    <mergeCell ref="BG283:BG293"/>
    <mergeCell ref="BH283:BH293"/>
    <mergeCell ref="BI283:BI293"/>
    <mergeCell ref="BJ283:BJ293"/>
    <mergeCell ref="BK283:BK293"/>
    <mergeCell ref="BL283:BL293"/>
    <mergeCell ref="BM283:BM293"/>
    <mergeCell ref="BN283:BN293"/>
    <mergeCell ref="BO283:BO293"/>
    <mergeCell ref="BP283:BP293"/>
    <mergeCell ref="BQ283:BQ293"/>
    <mergeCell ref="BR283:BR293"/>
    <mergeCell ref="BS283:BS293"/>
    <mergeCell ref="BT283:BT293"/>
    <mergeCell ref="BU283:BU293"/>
    <mergeCell ref="BV283:BV293"/>
    <mergeCell ref="BW283:BW293"/>
    <mergeCell ref="BX283:BX293"/>
    <mergeCell ref="BY283:BY293"/>
    <mergeCell ref="BZ283:BZ293"/>
    <mergeCell ref="CA283:CA293"/>
    <mergeCell ref="CB283:CB293"/>
    <mergeCell ref="CC283:CC293"/>
    <mergeCell ref="CD283:CD293"/>
    <mergeCell ref="CE283:CE293"/>
    <mergeCell ref="CF283:CF293"/>
    <mergeCell ref="AJ283:AJ293"/>
    <mergeCell ref="AK283:AK293"/>
    <mergeCell ref="AL283:AL293"/>
    <mergeCell ref="AM283:AM293"/>
    <mergeCell ref="AN283:AN293"/>
    <mergeCell ref="AO283:AO293"/>
    <mergeCell ref="AP283:AP293"/>
    <mergeCell ref="CN294:CN304"/>
    <mergeCell ref="CO294:CO304"/>
    <mergeCell ref="CP294:CP304"/>
    <mergeCell ref="CQ294:CQ304"/>
    <mergeCell ref="CR294:CR304"/>
    <mergeCell ref="CS294:CS304"/>
    <mergeCell ref="CT294:CT304"/>
    <mergeCell ref="CG294:CG304"/>
    <mergeCell ref="CH294:CH304"/>
    <mergeCell ref="CI294:CI304"/>
    <mergeCell ref="CJ294:CJ304"/>
    <mergeCell ref="CK294:CK304"/>
    <mergeCell ref="CL294:CL304"/>
    <mergeCell ref="CM294:CM304"/>
    <mergeCell ref="AQ294:AQ304"/>
    <mergeCell ref="AR294:AR304"/>
    <mergeCell ref="AS294:AS304"/>
    <mergeCell ref="AT294:AT304"/>
    <mergeCell ref="AU294:AU304"/>
    <mergeCell ref="AV294:AV304"/>
    <mergeCell ref="AW294:AW304"/>
    <mergeCell ref="AX294:AX304"/>
    <mergeCell ref="AY294:AY304"/>
    <mergeCell ref="AZ294:AZ304"/>
    <mergeCell ref="BA294:BA304"/>
    <mergeCell ref="BB294:BB304"/>
    <mergeCell ref="BC294:BC304"/>
    <mergeCell ref="BD294:BD304"/>
    <mergeCell ref="BE294:BE304"/>
    <mergeCell ref="BF294:BF304"/>
    <mergeCell ref="BG294:BG304"/>
    <mergeCell ref="BH294:BH304"/>
    <mergeCell ref="BI294:BI304"/>
    <mergeCell ref="BJ294:BJ304"/>
    <mergeCell ref="BK294:BK304"/>
    <mergeCell ref="BL294:BL304"/>
    <mergeCell ref="BM294:BM304"/>
    <mergeCell ref="BN294:BN304"/>
    <mergeCell ref="BO294:BO304"/>
    <mergeCell ref="BP294:BP304"/>
    <mergeCell ref="BQ294:BQ304"/>
    <mergeCell ref="BR294:BR304"/>
    <mergeCell ref="BS294:BS304"/>
    <mergeCell ref="BT294:BT304"/>
    <mergeCell ref="BU294:BU304"/>
    <mergeCell ref="BV294:BV304"/>
    <mergeCell ref="BW294:BW304"/>
    <mergeCell ref="BX294:BX304"/>
    <mergeCell ref="BY294:BY304"/>
    <mergeCell ref="BZ294:BZ304"/>
    <mergeCell ref="CA294:CA304"/>
    <mergeCell ref="CB294:CB304"/>
    <mergeCell ref="CC294:CC304"/>
    <mergeCell ref="CD294:CD304"/>
    <mergeCell ref="CE294:CE304"/>
    <mergeCell ref="CF294:CF304"/>
    <mergeCell ref="AJ294:AJ304"/>
    <mergeCell ref="AK294:AK304"/>
    <mergeCell ref="AL294:AL304"/>
    <mergeCell ref="AM294:AM304"/>
    <mergeCell ref="AN294:AN304"/>
    <mergeCell ref="AO294:AO304"/>
    <mergeCell ref="AP294:AP304"/>
    <mergeCell ref="AR5:AR7"/>
    <mergeCell ref="AS5:AS7"/>
    <mergeCell ref="AT5:AT7"/>
    <mergeCell ref="AU5:AX5"/>
    <mergeCell ref="AY5:AY6"/>
    <mergeCell ref="AZ5:AZ6"/>
    <mergeCell ref="BA5:BO5"/>
    <mergeCell ref="BP5:BU5"/>
    <mergeCell ref="BV5:BW5"/>
    <mergeCell ref="BX5:CG5"/>
    <mergeCell ref="BV6:BV7"/>
    <mergeCell ref="BW6:BW7"/>
    <mergeCell ref="BX6:CE6"/>
    <mergeCell ref="CF6:CG6"/>
    <mergeCell ref="A6:A7"/>
    <mergeCell ref="B6:B7"/>
    <mergeCell ref="C6:C7"/>
    <mergeCell ref="D6:D7"/>
    <mergeCell ref="A1:AT1"/>
    <mergeCell ref="AU1:CT1"/>
    <mergeCell ref="A2:AT2"/>
    <mergeCell ref="AU2:CT2"/>
    <mergeCell ref="A3:AT3"/>
    <mergeCell ref="AU3:CT3"/>
    <mergeCell ref="A4:AR4"/>
    <mergeCell ref="CH6:CI6"/>
    <mergeCell ref="CJ6:CK6"/>
    <mergeCell ref="CL6:CM6"/>
    <mergeCell ref="CN6:CO6"/>
    <mergeCell ref="CP6:CP7"/>
    <mergeCell ref="CQ6:CQ7"/>
    <mergeCell ref="CR6:CR7"/>
    <mergeCell ref="CS6:CS7"/>
    <mergeCell ref="CT6:CT7"/>
    <mergeCell ref="AU4:CG4"/>
    <mergeCell ref="CH4:CS5"/>
    <mergeCell ref="A5:Z5"/>
    <mergeCell ref="AJ5:AO6"/>
    <mergeCell ref="AP5:AP7"/>
    <mergeCell ref="AQ5:AQ7"/>
    <mergeCell ref="N6:N7"/>
    <mergeCell ref="AW8:AW18"/>
    <mergeCell ref="AX8:AX18"/>
    <mergeCell ref="AP8:AP18"/>
    <mergeCell ref="AQ8:AQ18"/>
    <mergeCell ref="AR8:AR18"/>
    <mergeCell ref="AS8:AS18"/>
    <mergeCell ref="AT8:AT18"/>
    <mergeCell ref="AU8:AU18"/>
    <mergeCell ref="AV8:AV18"/>
    <mergeCell ref="BK8:BK18"/>
    <mergeCell ref="BL8:BL18"/>
    <mergeCell ref="BD8:BD18"/>
    <mergeCell ref="BE8:BE18"/>
    <mergeCell ref="BF8:BF18"/>
    <mergeCell ref="BG8:BG18"/>
    <mergeCell ref="BH8:BH18"/>
    <mergeCell ref="BI8:BI18"/>
    <mergeCell ref="BJ8:BJ18"/>
    <mergeCell ref="BP6:BP7"/>
    <mergeCell ref="BQ6:BS6"/>
    <mergeCell ref="BM8:BM18"/>
    <mergeCell ref="BN8:BN18"/>
    <mergeCell ref="BO8:BO18"/>
    <mergeCell ref="BP8:BP18"/>
    <mergeCell ref="BQ8:BQ18"/>
    <mergeCell ref="BR8:BR18"/>
    <mergeCell ref="BS8:BS18"/>
    <mergeCell ref="BT8:BT18"/>
    <mergeCell ref="BU8:BU18"/>
    <mergeCell ref="BV8:BV18"/>
    <mergeCell ref="BW8:BW18"/>
    <mergeCell ref="BX8:BX18"/>
    <mergeCell ref="CM8:CM18"/>
    <mergeCell ref="CN8:CN18"/>
    <mergeCell ref="CO8:CO18"/>
    <mergeCell ref="CP8:CP18"/>
    <mergeCell ref="CQ8:CQ18"/>
    <mergeCell ref="CR8:CR18"/>
    <mergeCell ref="CS8:CS18"/>
    <mergeCell ref="CT8:CT18"/>
    <mergeCell ref="CF8:CF18"/>
    <mergeCell ref="CG8:CG18"/>
    <mergeCell ref="CH8:CH18"/>
    <mergeCell ref="CI8:CI18"/>
    <mergeCell ref="CJ8:CJ18"/>
    <mergeCell ref="CK8:CK18"/>
    <mergeCell ref="CL8:CL18"/>
    <mergeCell ref="CM19:CM29"/>
    <mergeCell ref="CN19:CN29"/>
    <mergeCell ref="CO19:CO29"/>
    <mergeCell ref="CP19:CP29"/>
    <mergeCell ref="CQ19:CQ29"/>
    <mergeCell ref="CR19:CR29"/>
    <mergeCell ref="CS19:CS29"/>
    <mergeCell ref="CT19:CT29"/>
    <mergeCell ref="CF19:CF29"/>
    <mergeCell ref="CG19:CG29"/>
    <mergeCell ref="CH19:CH29"/>
    <mergeCell ref="CI19:CI29"/>
    <mergeCell ref="CJ19:CJ29"/>
    <mergeCell ref="CK19:CK29"/>
    <mergeCell ref="CL19:CL29"/>
    <mergeCell ref="BH19:BH29"/>
    <mergeCell ref="BI19:BI29"/>
    <mergeCell ref="BA19:BA29"/>
    <mergeCell ref="BB19:BB29"/>
    <mergeCell ref="BC19:BC29"/>
    <mergeCell ref="BD19:BD29"/>
    <mergeCell ref="BE19:BE29"/>
    <mergeCell ref="BF19:BF29"/>
    <mergeCell ref="BG19:BG29"/>
    <mergeCell ref="CQ52:CQ62"/>
    <mergeCell ref="CR52:CR62"/>
    <mergeCell ref="CJ52:CJ62"/>
    <mergeCell ref="CK52:CK62"/>
    <mergeCell ref="CL52:CL62"/>
    <mergeCell ref="CM52:CM62"/>
    <mergeCell ref="CN52:CN62"/>
    <mergeCell ref="CO52:CO62"/>
    <mergeCell ref="CP52:CP62"/>
    <mergeCell ref="AM52:AM62"/>
    <mergeCell ref="AN52:AN62"/>
    <mergeCell ref="AO52:AO62"/>
    <mergeCell ref="AP52:AP62"/>
    <mergeCell ref="AQ52:AQ62"/>
    <mergeCell ref="AR52:AR62"/>
    <mergeCell ref="AS52:AS62"/>
    <mergeCell ref="AT52:AT62"/>
    <mergeCell ref="AU52:AU62"/>
    <mergeCell ref="AV52:AV62"/>
    <mergeCell ref="AW52:AW62"/>
    <mergeCell ref="AX52:AX62"/>
    <mergeCell ref="AY52:AY62"/>
    <mergeCell ref="AZ52:AZ62"/>
    <mergeCell ref="BA52:BA62"/>
    <mergeCell ref="BB52:BB62"/>
    <mergeCell ref="BC52:BC62"/>
    <mergeCell ref="BD52:BD62"/>
    <mergeCell ref="BE52:BE62"/>
    <mergeCell ref="BF52:BF62"/>
    <mergeCell ref="BG52:BG62"/>
    <mergeCell ref="BH52:BH62"/>
    <mergeCell ref="BI52:BI62"/>
    <mergeCell ref="BJ52:BJ62"/>
    <mergeCell ref="BK52:BK62"/>
    <mergeCell ref="BL52:BL62"/>
    <mergeCell ref="BM52:BM62"/>
    <mergeCell ref="BN52:BN62"/>
    <mergeCell ref="BO52:BO62"/>
    <mergeCell ref="BP52:BP62"/>
    <mergeCell ref="BQ52:BQ62"/>
    <mergeCell ref="BR52:BR62"/>
    <mergeCell ref="BS52:BS62"/>
    <mergeCell ref="BT52:BT62"/>
    <mergeCell ref="BU52:BU62"/>
    <mergeCell ref="BV52:BV62"/>
    <mergeCell ref="BW52:BW62"/>
    <mergeCell ref="BX52:BX62"/>
    <mergeCell ref="BY52:BY62"/>
    <mergeCell ref="BZ52:BZ62"/>
    <mergeCell ref="CA52:CA62"/>
    <mergeCell ref="CB52:CB62"/>
    <mergeCell ref="CC52:CC62"/>
    <mergeCell ref="CD52:CD62"/>
    <mergeCell ref="CE52:CE62"/>
    <mergeCell ref="CF52:CF62"/>
    <mergeCell ref="CG52:CG62"/>
    <mergeCell ref="CH52:CH62"/>
    <mergeCell ref="CI52:CI62"/>
    <mergeCell ref="AU6:AU7"/>
    <mergeCell ref="AV6:AV7"/>
    <mergeCell ref="BA6:BI6"/>
    <mergeCell ref="BL6:BN6"/>
    <mergeCell ref="BT6:BT7"/>
    <mergeCell ref="BU6:BU7"/>
    <mergeCell ref="E6:L6"/>
    <mergeCell ref="M6:M7"/>
    <mergeCell ref="A8:A18"/>
    <mergeCell ref="B8:B18"/>
    <mergeCell ref="P8:P18"/>
    <mergeCell ref="Q8:Q18"/>
    <mergeCell ref="R8:R18"/>
    <mergeCell ref="AA5:AI6"/>
    <mergeCell ref="Z6:Z7"/>
    <mergeCell ref="AK8:AK18"/>
    <mergeCell ref="AL8:AL18"/>
    <mergeCell ref="AM8:AM18"/>
    <mergeCell ref="AN8:AN18"/>
    <mergeCell ref="AO8:AO18"/>
    <mergeCell ref="AW6:AW7"/>
    <mergeCell ref="AX6:AX7"/>
    <mergeCell ref="AY8:AY18"/>
    <mergeCell ref="AZ8:AZ18"/>
    <mergeCell ref="BA8:BA18"/>
    <mergeCell ref="BB8:BB18"/>
    <mergeCell ref="BC8:BC18"/>
    <mergeCell ref="BY8:BY18"/>
    <mergeCell ref="BZ8:BZ18"/>
    <mergeCell ref="CA8:CA18"/>
    <mergeCell ref="CB8:CB18"/>
    <mergeCell ref="CC8:CC18"/>
    <mergeCell ref="CD8:CD18"/>
    <mergeCell ref="CE8:CE18"/>
    <mergeCell ref="BJ19:BJ29"/>
    <mergeCell ref="BK19:BK29"/>
    <mergeCell ref="BL19:BL29"/>
    <mergeCell ref="BM19:BM29"/>
    <mergeCell ref="BN19:BN29"/>
    <mergeCell ref="BO19:BO29"/>
    <mergeCell ref="BP19:BP29"/>
    <mergeCell ref="BX19:BX29"/>
    <mergeCell ref="BY19:BY29"/>
    <mergeCell ref="BZ19:BZ29"/>
    <mergeCell ref="CA19:CA29"/>
    <mergeCell ref="CB19:CB29"/>
    <mergeCell ref="CC19:CC29"/>
    <mergeCell ref="CD19:CD29"/>
    <mergeCell ref="CE19:CE29"/>
    <mergeCell ref="BQ19:BQ29"/>
    <mergeCell ref="BR19:BR29"/>
    <mergeCell ref="BS19:BS29"/>
    <mergeCell ref="BT19:BT29"/>
    <mergeCell ref="BU19:BU29"/>
    <mergeCell ref="BV19:BV29"/>
    <mergeCell ref="BW19:BW29"/>
    <mergeCell ref="AQ30:AQ40"/>
    <mergeCell ref="AR30:AR40"/>
    <mergeCell ref="AS30:AS40"/>
    <mergeCell ref="AT30:AT40"/>
    <mergeCell ref="AU30:AU40"/>
    <mergeCell ref="AV30:AV40"/>
    <mergeCell ref="AW30:AW40"/>
    <mergeCell ref="AX30:AX40"/>
    <mergeCell ref="AY30:AY40"/>
    <mergeCell ref="BA30:BA40"/>
    <mergeCell ref="BB30:BB40"/>
    <mergeCell ref="BC30:BC40"/>
    <mergeCell ref="BD30:BD40"/>
    <mergeCell ref="BE30:BE40"/>
    <mergeCell ref="BF30:BF40"/>
    <mergeCell ref="BG30:BG40"/>
    <mergeCell ref="BH30:BH40"/>
    <mergeCell ref="BI30:BI40"/>
    <mergeCell ref="BJ30:BJ40"/>
    <mergeCell ref="BK30:BK40"/>
    <mergeCell ref="BL30:BL40"/>
    <mergeCell ref="BM30:BM40"/>
    <mergeCell ref="BN30:BN40"/>
    <mergeCell ref="BO30:BO40"/>
    <mergeCell ref="BP30:BP40"/>
    <mergeCell ref="BQ30:BQ40"/>
    <mergeCell ref="BR30:BR40"/>
    <mergeCell ref="BS30:BS40"/>
    <mergeCell ref="BT30:BT40"/>
    <mergeCell ref="BU30:BU40"/>
    <mergeCell ref="BV30:BV40"/>
    <mergeCell ref="BW30:BW40"/>
    <mergeCell ref="BX30:BX40"/>
    <mergeCell ref="BY30:BY40"/>
    <mergeCell ref="BZ30:BZ40"/>
    <mergeCell ref="CA30:CA40"/>
    <mergeCell ref="CB30:CB40"/>
    <mergeCell ref="CC30:CC40"/>
    <mergeCell ref="CD30:CD40"/>
    <mergeCell ref="CE30:CE40"/>
    <mergeCell ref="CF30:CF40"/>
    <mergeCell ref="CG30:CG40"/>
    <mergeCell ref="CO30:CO40"/>
    <mergeCell ref="CP30:CP40"/>
    <mergeCell ref="CQ30:CQ40"/>
    <mergeCell ref="CR30:CR40"/>
    <mergeCell ref="CS30:CS40"/>
    <mergeCell ref="CT30:CT40"/>
    <mergeCell ref="CH30:CH40"/>
    <mergeCell ref="CI30:CI40"/>
    <mergeCell ref="CJ30:CJ40"/>
    <mergeCell ref="CK30:CK40"/>
    <mergeCell ref="CL30:CL40"/>
    <mergeCell ref="CM30:CM40"/>
    <mergeCell ref="CN30:CN40"/>
    <mergeCell ref="Z8:Z18"/>
    <mergeCell ref="AJ8:AJ18"/>
    <mergeCell ref="A19:A29"/>
    <mergeCell ref="B19:B29"/>
    <mergeCell ref="A30:A40"/>
    <mergeCell ref="B30:B40"/>
    <mergeCell ref="S8:S18"/>
    <mergeCell ref="T8:T18"/>
    <mergeCell ref="U8:U18"/>
    <mergeCell ref="V8:V18"/>
    <mergeCell ref="W8:W18"/>
    <mergeCell ref="X8:X18"/>
    <mergeCell ref="Y8:Y18"/>
    <mergeCell ref="W19:W29"/>
    <mergeCell ref="X19:X29"/>
    <mergeCell ref="Y19:Y29"/>
    <mergeCell ref="Z19:Z29"/>
    <mergeCell ref="AJ19:AJ29"/>
    <mergeCell ref="AK19:AK29"/>
    <mergeCell ref="AL19:AL29"/>
    <mergeCell ref="AT19:AT29"/>
    <mergeCell ref="AU19:AU29"/>
    <mergeCell ref="AV19:AV29"/>
    <mergeCell ref="AW19:AW29"/>
    <mergeCell ref="AX19:AX29"/>
    <mergeCell ref="AY19:AY29"/>
    <mergeCell ref="AZ19:AZ29"/>
    <mergeCell ref="AZ30:AZ40"/>
    <mergeCell ref="P19:P29"/>
    <mergeCell ref="Q19:Q29"/>
    <mergeCell ref="R19:R29"/>
    <mergeCell ref="S19:S29"/>
    <mergeCell ref="T19:T29"/>
    <mergeCell ref="U19:U29"/>
    <mergeCell ref="V19:V29"/>
    <mergeCell ref="AM19:AM29"/>
    <mergeCell ref="AN19:AN29"/>
    <mergeCell ref="AO19:AO29"/>
    <mergeCell ref="AP19:AP29"/>
    <mergeCell ref="AQ19:AQ29"/>
    <mergeCell ref="AR19:AR29"/>
    <mergeCell ref="AS19:AS29"/>
    <mergeCell ref="BX41:BX51"/>
    <mergeCell ref="BY41:BY51"/>
    <mergeCell ref="BZ41:BZ51"/>
    <mergeCell ref="CA41:CA51"/>
    <mergeCell ref="CB41:CB51"/>
    <mergeCell ref="CC41:CC51"/>
    <mergeCell ref="CD41:CD51"/>
    <mergeCell ref="CE41:CE51"/>
    <mergeCell ref="CF41:CF51"/>
    <mergeCell ref="CG41:CG51"/>
    <mergeCell ref="CH41:CH51"/>
    <mergeCell ref="CI41:CI51"/>
    <mergeCell ref="CJ41:CJ51"/>
    <mergeCell ref="CK41:CK51"/>
    <mergeCell ref="CS41:CS51"/>
    <mergeCell ref="CT41:CT51"/>
    <mergeCell ref="CS52:CS62"/>
    <mergeCell ref="CT52:CT62"/>
    <mergeCell ref="CL41:CL51"/>
    <mergeCell ref="CM41:CM51"/>
    <mergeCell ref="CN41:CN51"/>
    <mergeCell ref="CO41:CO51"/>
    <mergeCell ref="CP41:CP51"/>
    <mergeCell ref="CQ41:CQ51"/>
    <mergeCell ref="CR41:CR51"/>
    <mergeCell ref="Y30:Y40"/>
    <mergeCell ref="Z30:Z40"/>
    <mergeCell ref="AJ30:AJ40"/>
    <mergeCell ref="AK30:AK40"/>
    <mergeCell ref="AL30:AL40"/>
    <mergeCell ref="AM30:AM40"/>
    <mergeCell ref="AN30:AN40"/>
    <mergeCell ref="AO30:AO40"/>
    <mergeCell ref="AP30:AP40"/>
    <mergeCell ref="AJ41:AJ51"/>
    <mergeCell ref="AK41:AK51"/>
    <mergeCell ref="AL41:AL51"/>
    <mergeCell ref="AM41:AM51"/>
    <mergeCell ref="AN41:AN51"/>
    <mergeCell ref="AO41:AO51"/>
    <mergeCell ref="AP41:AP51"/>
    <mergeCell ref="AQ41:AQ51"/>
    <mergeCell ref="AR41:AR51"/>
    <mergeCell ref="AS41:AS51"/>
    <mergeCell ref="AT41:AT51"/>
    <mergeCell ref="AU41:AU51"/>
    <mergeCell ref="AV41:AV51"/>
    <mergeCell ref="AW41:AW51"/>
    <mergeCell ref="AX41:AX51"/>
    <mergeCell ref="AY41:AY51"/>
    <mergeCell ref="AZ41:AZ51"/>
    <mergeCell ref="BA41:BA51"/>
    <mergeCell ref="BB41:BB51"/>
    <mergeCell ref="BC41:BC51"/>
    <mergeCell ref="BD41:BD51"/>
    <mergeCell ref="BE41:BE51"/>
    <mergeCell ref="BF41:BF51"/>
    <mergeCell ref="BG41:BG51"/>
    <mergeCell ref="BH41:BH51"/>
    <mergeCell ref="BI41:BI51"/>
    <mergeCell ref="BJ41:BJ51"/>
    <mergeCell ref="BK41:BK51"/>
    <mergeCell ref="BL41:BL51"/>
    <mergeCell ref="BM41:BM51"/>
    <mergeCell ref="BN41:BN51"/>
    <mergeCell ref="BO41:BO51"/>
    <mergeCell ref="BP41:BP51"/>
    <mergeCell ref="BQ41:BQ51"/>
    <mergeCell ref="BR41:BR51"/>
    <mergeCell ref="BS41:BS51"/>
    <mergeCell ref="BT41:BT51"/>
    <mergeCell ref="BU41:BU51"/>
    <mergeCell ref="BV41:BV51"/>
    <mergeCell ref="BW41:BW51"/>
    <mergeCell ref="CN63:CN73"/>
    <mergeCell ref="CO63:CO73"/>
    <mergeCell ref="CP63:CP73"/>
    <mergeCell ref="CQ63:CQ73"/>
    <mergeCell ref="CR63:CR73"/>
    <mergeCell ref="CS63:CS73"/>
    <mergeCell ref="CT63:CT73"/>
    <mergeCell ref="CG63:CG73"/>
    <mergeCell ref="CH63:CH73"/>
    <mergeCell ref="CI63:CI73"/>
    <mergeCell ref="CJ63:CJ73"/>
    <mergeCell ref="CK63:CK73"/>
    <mergeCell ref="CL63:CL73"/>
    <mergeCell ref="CM63:CM73"/>
    <mergeCell ref="AJ63:AJ73"/>
    <mergeCell ref="AK63:AK73"/>
    <mergeCell ref="AL63:AL73"/>
    <mergeCell ref="AM63:AM73"/>
    <mergeCell ref="AN63:AN73"/>
    <mergeCell ref="AO63:AO73"/>
    <mergeCell ref="AP63:AP73"/>
    <mergeCell ref="AQ63:AQ73"/>
    <mergeCell ref="AR63:AR73"/>
    <mergeCell ref="AS63:AS73"/>
    <mergeCell ref="AT63:AT73"/>
    <mergeCell ref="AU63:AU73"/>
    <mergeCell ref="AV63:AV73"/>
    <mergeCell ref="AW63:AW73"/>
    <mergeCell ref="AX63:AX73"/>
    <mergeCell ref="AY63:AY73"/>
    <mergeCell ref="AZ63:AZ73"/>
    <mergeCell ref="BA63:BA73"/>
    <mergeCell ref="BB63:BB73"/>
    <mergeCell ref="BC63:BC73"/>
    <mergeCell ref="BD63:BD73"/>
    <mergeCell ref="BE63:BE73"/>
    <mergeCell ref="BF63:BF73"/>
    <mergeCell ref="BG63:BG73"/>
    <mergeCell ref="BH63:BH73"/>
    <mergeCell ref="BI63:BI73"/>
    <mergeCell ref="BJ63:BJ73"/>
    <mergeCell ref="BK63:BK73"/>
    <mergeCell ref="BL63:BL73"/>
    <mergeCell ref="BM63:BM73"/>
    <mergeCell ref="BN63:BN73"/>
    <mergeCell ref="BO63:BO73"/>
    <mergeCell ref="BP63:BP73"/>
    <mergeCell ref="BQ63:BQ73"/>
    <mergeCell ref="BR63:BR73"/>
    <mergeCell ref="BS63:BS73"/>
    <mergeCell ref="BT63:BT73"/>
    <mergeCell ref="BU63:BU73"/>
    <mergeCell ref="BV63:BV73"/>
    <mergeCell ref="BW63:BW73"/>
    <mergeCell ref="BX63:BX73"/>
    <mergeCell ref="BY63:BY73"/>
    <mergeCell ref="BZ63:BZ73"/>
    <mergeCell ref="CA63:CA73"/>
    <mergeCell ref="CB63:CB73"/>
    <mergeCell ref="CC63:CC73"/>
    <mergeCell ref="CD63:CD73"/>
    <mergeCell ref="CE63:CE73"/>
    <mergeCell ref="CF63:CF73"/>
    <mergeCell ref="W63:W73"/>
    <mergeCell ref="X63:X73"/>
    <mergeCell ref="P63:P73"/>
    <mergeCell ref="Q63:Q73"/>
    <mergeCell ref="R63:R73"/>
    <mergeCell ref="S63:S73"/>
    <mergeCell ref="T63:T73"/>
    <mergeCell ref="U63:U73"/>
    <mergeCell ref="V63:V73"/>
    <mergeCell ref="CN74:CN84"/>
    <mergeCell ref="CO74:CO84"/>
    <mergeCell ref="CP74:CP84"/>
    <mergeCell ref="CQ74:CQ84"/>
    <mergeCell ref="CR74:CR84"/>
    <mergeCell ref="CS74:CS84"/>
    <mergeCell ref="CT74:CT84"/>
    <mergeCell ref="CG74:CG84"/>
    <mergeCell ref="CH74:CH84"/>
    <mergeCell ref="CI74:CI84"/>
    <mergeCell ref="CJ74:CJ84"/>
    <mergeCell ref="CK74:CK84"/>
    <mergeCell ref="CL74:CL84"/>
    <mergeCell ref="CM74:CM84"/>
    <mergeCell ref="AJ74:AJ84"/>
    <mergeCell ref="AK74:AK84"/>
    <mergeCell ref="AL74:AL84"/>
    <mergeCell ref="AM74:AM84"/>
    <mergeCell ref="AN74:AN84"/>
    <mergeCell ref="AO74:AO84"/>
    <mergeCell ref="AP74:AP84"/>
    <mergeCell ref="AQ74:AQ84"/>
    <mergeCell ref="AR74:AR84"/>
    <mergeCell ref="AS74:AS84"/>
    <mergeCell ref="AT74:AT84"/>
    <mergeCell ref="AU74:AU84"/>
    <mergeCell ref="AV74:AV84"/>
    <mergeCell ref="AW74:AW84"/>
    <mergeCell ref="AX74:AX84"/>
    <mergeCell ref="AY74:AY84"/>
    <mergeCell ref="AZ74:AZ84"/>
    <mergeCell ref="BA74:BA84"/>
    <mergeCell ref="BB74:BB84"/>
    <mergeCell ref="BC74:BC84"/>
    <mergeCell ref="BD74:BD84"/>
    <mergeCell ref="BE74:BE84"/>
    <mergeCell ref="BF74:BF84"/>
    <mergeCell ref="BG74:BG84"/>
    <mergeCell ref="BH74:BH84"/>
    <mergeCell ref="BI74:BI84"/>
    <mergeCell ref="BJ74:BJ84"/>
    <mergeCell ref="BK74:BK84"/>
    <mergeCell ref="BL74:BL84"/>
    <mergeCell ref="BM74:BM84"/>
    <mergeCell ref="BN74:BN84"/>
    <mergeCell ref="BO74:BO84"/>
    <mergeCell ref="BP74:BP84"/>
    <mergeCell ref="BQ74:BQ84"/>
    <mergeCell ref="BR74:BR84"/>
    <mergeCell ref="BS74:BS84"/>
    <mergeCell ref="BT74:BT84"/>
    <mergeCell ref="BU74:BU84"/>
    <mergeCell ref="BV74:BV84"/>
    <mergeCell ref="BW74:BW84"/>
    <mergeCell ref="BX74:BX84"/>
    <mergeCell ref="BY74:BY84"/>
    <mergeCell ref="BZ74:BZ84"/>
    <mergeCell ref="CA74:CA84"/>
    <mergeCell ref="CB74:CB84"/>
    <mergeCell ref="CC74:CC84"/>
    <mergeCell ref="CD74:CD84"/>
    <mergeCell ref="CE74:CE84"/>
    <mergeCell ref="CF74:CF84"/>
    <mergeCell ref="W52:W62"/>
    <mergeCell ref="X52:X62"/>
    <mergeCell ref="Y52:Y62"/>
    <mergeCell ref="Z52:Z62"/>
    <mergeCell ref="AJ52:AJ62"/>
    <mergeCell ref="AK52:AK62"/>
    <mergeCell ref="AL52:AL62"/>
    <mergeCell ref="P52:P62"/>
    <mergeCell ref="Q52:Q62"/>
    <mergeCell ref="R52:R62"/>
    <mergeCell ref="S52:S62"/>
    <mergeCell ref="T52:T62"/>
    <mergeCell ref="U52:U62"/>
    <mergeCell ref="V52:V62"/>
    <mergeCell ref="BX85:BX95"/>
    <mergeCell ref="BY85:BY95"/>
    <mergeCell ref="BZ85:BZ95"/>
    <mergeCell ref="CA85:CA95"/>
    <mergeCell ref="CB85:CB95"/>
    <mergeCell ref="CC85:CC95"/>
    <mergeCell ref="CD85:CD95"/>
    <mergeCell ref="CE85:CE95"/>
    <mergeCell ref="CF85:CF95"/>
    <mergeCell ref="CG85:CG95"/>
    <mergeCell ref="CH85:CH95"/>
    <mergeCell ref="CI85:CI95"/>
    <mergeCell ref="CJ85:CJ95"/>
    <mergeCell ref="CK85:CK95"/>
    <mergeCell ref="CS85:CS95"/>
    <mergeCell ref="CT85:CT95"/>
    <mergeCell ref="CP96:CP106"/>
    <mergeCell ref="CQ96:CQ106"/>
    <mergeCell ref="CR96:CR106"/>
    <mergeCell ref="CS96:CS106"/>
    <mergeCell ref="CT96:CT106"/>
    <mergeCell ref="CL85:CL95"/>
    <mergeCell ref="CM85:CM95"/>
    <mergeCell ref="CN85:CN95"/>
    <mergeCell ref="CO85:CO95"/>
    <mergeCell ref="CP85:CP95"/>
    <mergeCell ref="CQ85:CQ95"/>
    <mergeCell ref="CR85:CR95"/>
    <mergeCell ref="A74:A84"/>
    <mergeCell ref="A85:A95"/>
    <mergeCell ref="A96:A106"/>
    <mergeCell ref="A41:A51"/>
    <mergeCell ref="B41:B51"/>
    <mergeCell ref="A52:A62"/>
    <mergeCell ref="B52:B62"/>
    <mergeCell ref="A63:A73"/>
    <mergeCell ref="B63:B73"/>
    <mergeCell ref="B74:B84"/>
    <mergeCell ref="P74:P84"/>
    <mergeCell ref="Q74:Q84"/>
    <mergeCell ref="R74:R84"/>
    <mergeCell ref="S74:S84"/>
    <mergeCell ref="T74:T84"/>
    <mergeCell ref="U74:U84"/>
    <mergeCell ref="V74:V84"/>
    <mergeCell ref="W74:W84"/>
    <mergeCell ref="X74:X84"/>
    <mergeCell ref="AJ85:AJ95"/>
    <mergeCell ref="AK85:AK95"/>
    <mergeCell ref="AL85:AL95"/>
    <mergeCell ref="AM85:AM95"/>
    <mergeCell ref="AN85:AN95"/>
    <mergeCell ref="AV85:AV95"/>
    <mergeCell ref="AW85:AW95"/>
    <mergeCell ref="AX85:AX95"/>
    <mergeCell ref="AY85:AY95"/>
    <mergeCell ref="AZ85:AZ95"/>
    <mergeCell ref="BA85:BA95"/>
    <mergeCell ref="BB85:BB95"/>
    <mergeCell ref="BC85:BC95"/>
    <mergeCell ref="BD85:BD95"/>
    <mergeCell ref="BE85:BE95"/>
    <mergeCell ref="BF85:BF95"/>
    <mergeCell ref="BG85:BG95"/>
    <mergeCell ref="BH85:BH95"/>
    <mergeCell ref="BI85:BI95"/>
    <mergeCell ref="BJ85:BJ95"/>
    <mergeCell ref="BK85:BK95"/>
    <mergeCell ref="BL85:BL95"/>
    <mergeCell ref="BM85:BM95"/>
    <mergeCell ref="BN85:BN95"/>
    <mergeCell ref="BO85:BO95"/>
    <mergeCell ref="BP85:BP95"/>
    <mergeCell ref="BQ85:BQ95"/>
    <mergeCell ref="BR85:BR95"/>
    <mergeCell ref="BS85:BS95"/>
    <mergeCell ref="BT85:BT95"/>
    <mergeCell ref="BU85:BU95"/>
    <mergeCell ref="BV85:BV95"/>
    <mergeCell ref="BW85:BW95"/>
    <mergeCell ref="AO85:AO95"/>
    <mergeCell ref="AP85:AP95"/>
    <mergeCell ref="AQ85:AQ95"/>
    <mergeCell ref="AR85:AR95"/>
    <mergeCell ref="AS85:AS95"/>
    <mergeCell ref="AT85:AT95"/>
    <mergeCell ref="AU85:AU95"/>
    <mergeCell ref="CN129:CN139"/>
    <mergeCell ref="CO129:CO139"/>
    <mergeCell ref="CP129:CP139"/>
    <mergeCell ref="CQ129:CQ139"/>
    <mergeCell ref="CR129:CR139"/>
    <mergeCell ref="CS129:CS139"/>
    <mergeCell ref="CT129:CT139"/>
    <mergeCell ref="CG129:CG139"/>
    <mergeCell ref="CH129:CH139"/>
    <mergeCell ref="CI129:CI139"/>
    <mergeCell ref="CJ129:CJ139"/>
    <mergeCell ref="CK129:CK139"/>
    <mergeCell ref="CL129:CL139"/>
    <mergeCell ref="CM129:CM139"/>
    <mergeCell ref="AQ129:AQ139"/>
    <mergeCell ref="AR129:AR139"/>
    <mergeCell ref="AS129:AS139"/>
    <mergeCell ref="AT129:AT139"/>
    <mergeCell ref="AU129:AU139"/>
    <mergeCell ref="AV129:AV139"/>
    <mergeCell ref="AW129:AW139"/>
    <mergeCell ref="AX129:AX139"/>
    <mergeCell ref="AY129:AY139"/>
    <mergeCell ref="AZ129:AZ139"/>
    <mergeCell ref="BA129:BA139"/>
    <mergeCell ref="BB129:BB139"/>
    <mergeCell ref="BC129:BC139"/>
    <mergeCell ref="BD129:BD139"/>
    <mergeCell ref="BE129:BE139"/>
    <mergeCell ref="BF129:BF139"/>
    <mergeCell ref="BG129:BG139"/>
    <mergeCell ref="BH129:BH139"/>
    <mergeCell ref="BI129:BI139"/>
    <mergeCell ref="BJ129:BJ139"/>
    <mergeCell ref="BK129:BK139"/>
    <mergeCell ref="BL129:BL139"/>
    <mergeCell ref="BM129:BM139"/>
    <mergeCell ref="BN129:BN139"/>
    <mergeCell ref="BO129:BO139"/>
    <mergeCell ref="BP129:BP139"/>
    <mergeCell ref="BQ129:BQ139"/>
    <mergeCell ref="BR129:BR139"/>
    <mergeCell ref="BS129:BS139"/>
    <mergeCell ref="BT129:BT139"/>
    <mergeCell ref="BU129:BU139"/>
    <mergeCell ref="BV129:BV139"/>
    <mergeCell ref="BW129:BW139"/>
    <mergeCell ref="BX129:BX139"/>
    <mergeCell ref="BY129:BY139"/>
    <mergeCell ref="BZ129:BZ139"/>
    <mergeCell ref="CA129:CA139"/>
    <mergeCell ref="CB129:CB139"/>
    <mergeCell ref="CC129:CC139"/>
    <mergeCell ref="CD129:CD139"/>
    <mergeCell ref="CE129:CE139"/>
    <mergeCell ref="CF129:CF139"/>
    <mergeCell ref="AJ129:AJ139"/>
    <mergeCell ref="AK129:AK139"/>
    <mergeCell ref="AL129:AL139"/>
    <mergeCell ref="AM129:AM139"/>
    <mergeCell ref="AN129:AN139"/>
    <mergeCell ref="AO129:AO139"/>
    <mergeCell ref="AP129:AP139"/>
    <mergeCell ref="CN140:CN150"/>
    <mergeCell ref="CO140:CO150"/>
    <mergeCell ref="CP140:CP150"/>
    <mergeCell ref="CQ140:CQ150"/>
    <mergeCell ref="CR140:CR150"/>
    <mergeCell ref="CS140:CS150"/>
    <mergeCell ref="CT140:CT150"/>
    <mergeCell ref="CG140:CG150"/>
    <mergeCell ref="CH140:CH150"/>
    <mergeCell ref="CI140:CI150"/>
    <mergeCell ref="CJ140:CJ150"/>
    <mergeCell ref="CK140:CK150"/>
    <mergeCell ref="CL140:CL150"/>
    <mergeCell ref="CM140:CM150"/>
    <mergeCell ref="AQ140:AQ150"/>
    <mergeCell ref="AR140:AR150"/>
    <mergeCell ref="AS140:AS150"/>
    <mergeCell ref="AT140:AT150"/>
    <mergeCell ref="AU140:AU150"/>
    <mergeCell ref="AV140:AV150"/>
    <mergeCell ref="AW140:AW150"/>
    <mergeCell ref="AX140:AX150"/>
    <mergeCell ref="AY140:AY150"/>
    <mergeCell ref="AZ140:AZ150"/>
    <mergeCell ref="BA140:BA150"/>
    <mergeCell ref="BB140:BB150"/>
    <mergeCell ref="BC140:BC150"/>
    <mergeCell ref="BD140:BD150"/>
    <mergeCell ref="BE140:BE150"/>
    <mergeCell ref="BF140:BF150"/>
    <mergeCell ref="BG140:BG150"/>
    <mergeCell ref="BH140:BH150"/>
    <mergeCell ref="BI140:BI150"/>
    <mergeCell ref="BJ140:BJ150"/>
    <mergeCell ref="BK140:BK150"/>
    <mergeCell ref="BL140:BL150"/>
    <mergeCell ref="BM140:BM150"/>
    <mergeCell ref="BN140:BN150"/>
    <mergeCell ref="BO140:BO150"/>
    <mergeCell ref="BP140:BP150"/>
    <mergeCell ref="BQ140:BQ150"/>
    <mergeCell ref="BR140:BR150"/>
    <mergeCell ref="BS140:BS150"/>
    <mergeCell ref="BT140:BT150"/>
    <mergeCell ref="BU140:BU150"/>
    <mergeCell ref="BV140:BV150"/>
    <mergeCell ref="BW140:BW150"/>
    <mergeCell ref="BX140:BX150"/>
    <mergeCell ref="BY140:BY150"/>
    <mergeCell ref="BZ140:BZ150"/>
    <mergeCell ref="CA140:CA150"/>
    <mergeCell ref="CB140:CB150"/>
    <mergeCell ref="CC140:CC150"/>
    <mergeCell ref="CD140:CD150"/>
    <mergeCell ref="CE140:CE150"/>
    <mergeCell ref="CF140:CF150"/>
    <mergeCell ref="AJ140:AJ150"/>
    <mergeCell ref="AK140:AK150"/>
    <mergeCell ref="AL140:AL150"/>
    <mergeCell ref="AM140:AM150"/>
    <mergeCell ref="AN140:AN150"/>
    <mergeCell ref="AO140:AO150"/>
    <mergeCell ref="AP140:AP150"/>
    <mergeCell ref="W96:W106"/>
    <mergeCell ref="X96:X106"/>
    <mergeCell ref="P96:P106"/>
    <mergeCell ref="Q96:Q106"/>
    <mergeCell ref="R96:R106"/>
    <mergeCell ref="S96:S106"/>
    <mergeCell ref="T96:T106"/>
    <mergeCell ref="U96:U106"/>
    <mergeCell ref="V96:V106"/>
    <mergeCell ref="W107:W117"/>
    <mergeCell ref="X107:X117"/>
    <mergeCell ref="P107:P117"/>
    <mergeCell ref="Q107:Q117"/>
    <mergeCell ref="R107:R117"/>
    <mergeCell ref="S107:S117"/>
    <mergeCell ref="T107:T117"/>
    <mergeCell ref="U107:U117"/>
    <mergeCell ref="V107:V117"/>
    <mergeCell ref="W118:W128"/>
    <mergeCell ref="X118:X128"/>
    <mergeCell ref="P118:P128"/>
    <mergeCell ref="Q118:Q128"/>
    <mergeCell ref="R118:R128"/>
    <mergeCell ref="S118:S128"/>
    <mergeCell ref="T118:T128"/>
    <mergeCell ref="U118:U128"/>
    <mergeCell ref="V118:V128"/>
    <mergeCell ref="W85:W95"/>
    <mergeCell ref="X85:X95"/>
    <mergeCell ref="Y85:Y95"/>
    <mergeCell ref="Z85:Z95"/>
    <mergeCell ref="Y96:Y106"/>
    <mergeCell ref="Z96:Z106"/>
    <mergeCell ref="Z107:Z117"/>
    <mergeCell ref="P85:P95"/>
    <mergeCell ref="Q85:Q95"/>
    <mergeCell ref="R85:R95"/>
    <mergeCell ref="S85:S95"/>
    <mergeCell ref="T85:T95"/>
    <mergeCell ref="U85:U95"/>
    <mergeCell ref="V85:V95"/>
    <mergeCell ref="B85:B95"/>
    <mergeCell ref="B96:B106"/>
    <mergeCell ref="A107:A117"/>
    <mergeCell ref="B107:B117"/>
    <mergeCell ref="A118:A128"/>
    <mergeCell ref="B118:B128"/>
    <mergeCell ref="B129:B139"/>
    <mergeCell ref="A129:A139"/>
    <mergeCell ref="A140:A150"/>
    <mergeCell ref="A151:A161"/>
    <mergeCell ref="A162:A172"/>
    <mergeCell ref="A173:A183"/>
    <mergeCell ref="A184:A194"/>
    <mergeCell ref="A195:A205"/>
    <mergeCell ref="B140:B150"/>
    <mergeCell ref="B151:B161"/>
    <mergeCell ref="B162:B172"/>
    <mergeCell ref="B173:B183"/>
    <mergeCell ref="B184:B194"/>
    <mergeCell ref="B195:B205"/>
    <mergeCell ref="B206:B216"/>
    <mergeCell ref="A283:A293"/>
    <mergeCell ref="A294:A304"/>
    <mergeCell ref="A305:A315"/>
    <mergeCell ref="A206:A216"/>
    <mergeCell ref="A217:A227"/>
    <mergeCell ref="A228:A238"/>
    <mergeCell ref="A239:A249"/>
    <mergeCell ref="A250:A260"/>
    <mergeCell ref="A261:A271"/>
    <mergeCell ref="A272:A282"/>
    <mergeCell ref="B294:B304"/>
    <mergeCell ref="B305:B315"/>
    <mergeCell ref="B217:B227"/>
    <mergeCell ref="B228:B238"/>
    <mergeCell ref="B239:B249"/>
    <mergeCell ref="B250:B260"/>
    <mergeCell ref="B261:B271"/>
    <mergeCell ref="B272:B282"/>
    <mergeCell ref="B283:B293"/>
    <mergeCell ref="W30:W40"/>
    <mergeCell ref="X30:X40"/>
    <mergeCell ref="P30:P40"/>
    <mergeCell ref="Q30:Q40"/>
    <mergeCell ref="R30:R40"/>
    <mergeCell ref="S30:S40"/>
    <mergeCell ref="T30:T40"/>
    <mergeCell ref="U30:U40"/>
    <mergeCell ref="V30:V40"/>
    <mergeCell ref="W41:W51"/>
    <mergeCell ref="X41:X51"/>
    <mergeCell ref="Y41:Y51"/>
    <mergeCell ref="Z41:Z51"/>
    <mergeCell ref="Y63:Y73"/>
    <mergeCell ref="Z63:Z73"/>
    <mergeCell ref="Y74:Y84"/>
    <mergeCell ref="Z74:Z84"/>
    <mergeCell ref="P41:P51"/>
    <mergeCell ref="Q41:Q51"/>
    <mergeCell ref="R41:R51"/>
    <mergeCell ref="S41:S51"/>
    <mergeCell ref="T41:T51"/>
    <mergeCell ref="U41:U51"/>
    <mergeCell ref="V41:V51"/>
    <mergeCell ref="Y107:Y117"/>
    <mergeCell ref="Y118:Y128"/>
    <mergeCell ref="Z118:Z128"/>
    <mergeCell ref="W129:W139"/>
    <mergeCell ref="X129:X139"/>
    <mergeCell ref="Y129:Y139"/>
    <mergeCell ref="Z129:Z139"/>
    <mergeCell ref="P129:P139"/>
    <mergeCell ref="Q129:Q139"/>
    <mergeCell ref="R129:R139"/>
    <mergeCell ref="S129:S139"/>
    <mergeCell ref="T129:T139"/>
    <mergeCell ref="U129:U139"/>
    <mergeCell ref="V129:V139"/>
    <mergeCell ref="W283:W293"/>
    <mergeCell ref="X283:X293"/>
    <mergeCell ref="Y283:Y293"/>
    <mergeCell ref="Z283:Z293"/>
    <mergeCell ref="P283:P293"/>
    <mergeCell ref="Q283:Q293"/>
    <mergeCell ref="R283:R293"/>
    <mergeCell ref="S283:S293"/>
    <mergeCell ref="T283:T293"/>
    <mergeCell ref="U283:U293"/>
    <mergeCell ref="V283:V293"/>
    <mergeCell ref="W294:W304"/>
    <mergeCell ref="X294:X304"/>
    <mergeCell ref="Y294:Y304"/>
    <mergeCell ref="Z294:Z304"/>
    <mergeCell ref="P294:P304"/>
    <mergeCell ref="Q294:Q304"/>
    <mergeCell ref="R294:R304"/>
    <mergeCell ref="S294:S304"/>
    <mergeCell ref="T294:T304"/>
    <mergeCell ref="U294:U304"/>
    <mergeCell ref="V294:V304"/>
    <mergeCell ref="W305:W315"/>
    <mergeCell ref="X305:X315"/>
    <mergeCell ref="Y305:Y315"/>
    <mergeCell ref="Z305:Z315"/>
    <mergeCell ref="P305:P315"/>
    <mergeCell ref="Q305:Q315"/>
    <mergeCell ref="R305:R315"/>
    <mergeCell ref="S305:S315"/>
    <mergeCell ref="T305:T315"/>
    <mergeCell ref="U305:U315"/>
    <mergeCell ref="V305:V315"/>
    <mergeCell ref="W140:W150"/>
    <mergeCell ref="X140:X150"/>
    <mergeCell ref="Y140:Y150"/>
    <mergeCell ref="Z140:Z150"/>
    <mergeCell ref="P140:P150"/>
    <mergeCell ref="Q140:Q150"/>
    <mergeCell ref="R140:R150"/>
    <mergeCell ref="S140:S150"/>
    <mergeCell ref="T140:T150"/>
    <mergeCell ref="U140:U150"/>
    <mergeCell ref="V140:V150"/>
    <mergeCell ref="W151:W161"/>
    <mergeCell ref="X151:X161"/>
    <mergeCell ref="Y151:Y161"/>
    <mergeCell ref="Z151:Z161"/>
    <mergeCell ref="P151:P161"/>
    <mergeCell ref="Q151:Q161"/>
    <mergeCell ref="R151:R161"/>
    <mergeCell ref="S151:S161"/>
    <mergeCell ref="T151:T161"/>
    <mergeCell ref="U151:U161"/>
    <mergeCell ref="V151:V161"/>
    <mergeCell ref="W162:W172"/>
    <mergeCell ref="X162:X172"/>
    <mergeCell ref="Y162:Y172"/>
    <mergeCell ref="Z162:Z172"/>
    <mergeCell ref="P162:P172"/>
    <mergeCell ref="Q162:Q172"/>
    <mergeCell ref="R162:R172"/>
    <mergeCell ref="S162:S172"/>
    <mergeCell ref="T162:T172"/>
    <mergeCell ref="U162:U172"/>
    <mergeCell ref="V162:V172"/>
    <mergeCell ref="P173:P183"/>
    <mergeCell ref="Q173:Q183"/>
    <mergeCell ref="R173:R183"/>
    <mergeCell ref="S173:S183"/>
    <mergeCell ref="T173:T183"/>
    <mergeCell ref="U173:U183"/>
    <mergeCell ref="V173:V183"/>
  </mergeCells>
  <conditionalFormatting sqref="E228:N315">
    <cfRule type="expression" dxfId="0" priority="1">
      <formula>AND($F228&lt;&gt;"",OR($M228=0,$M228=""))</formula>
    </cfRule>
  </conditionalFormatting>
  <conditionalFormatting sqref="E228:N315">
    <cfRule type="expression" dxfId="1" priority="2">
      <formula>LEFT($K228,1)="E"</formula>
    </cfRule>
  </conditionalFormatting>
  <conditionalFormatting sqref="E228:N315">
    <cfRule type="expression" dxfId="2" priority="3">
      <formula>LEFT($K228,1)="P"</formula>
    </cfRule>
  </conditionalFormatting>
  <conditionalFormatting sqref="E228:N315">
    <cfRule type="expression" dxfId="3" priority="4">
      <formula>LEFT($K228,1)="S"</formula>
    </cfRule>
  </conditionalFormatting>
  <conditionalFormatting sqref="E162:N227">
    <cfRule type="expression" dxfId="0" priority="5">
      <formula>AND($F162&lt;&gt;"",OR($M162=0,$M162=""))</formula>
    </cfRule>
  </conditionalFormatting>
  <conditionalFormatting sqref="E162:N227">
    <cfRule type="expression" dxfId="1" priority="6">
      <formula>LEFT($K162,1)="E"</formula>
    </cfRule>
  </conditionalFormatting>
  <conditionalFormatting sqref="E162:N227">
    <cfRule type="expression" dxfId="2" priority="7">
      <formula>LEFT($K162,1)="P"</formula>
    </cfRule>
  </conditionalFormatting>
  <conditionalFormatting sqref="E162:N227">
    <cfRule type="expression" dxfId="3" priority="8">
      <formula>LEFT($K162,1)="S"</formula>
    </cfRule>
  </conditionalFormatting>
  <conditionalFormatting sqref="E8:N8">
    <cfRule type="expression" dxfId="0" priority="9">
      <formula>AND($F8&lt;&gt;"",OR($M8=0,$M8=""))</formula>
    </cfRule>
  </conditionalFormatting>
  <conditionalFormatting sqref="E8:N8">
    <cfRule type="expression" dxfId="1" priority="10">
      <formula>LEFT($K8,1)="E"</formula>
    </cfRule>
  </conditionalFormatting>
  <conditionalFormatting sqref="E8:N8">
    <cfRule type="expression" dxfId="2" priority="11">
      <formula>LEFT($K8,1)="P"</formula>
    </cfRule>
  </conditionalFormatting>
  <conditionalFormatting sqref="E8:N8">
    <cfRule type="expression" dxfId="3" priority="12">
      <formula>LEFT($K8,1)="S"</formula>
    </cfRule>
  </conditionalFormatting>
  <conditionalFormatting sqref="E9:N9">
    <cfRule type="expression" dxfId="0" priority="13">
      <formula>AND($F9&lt;&gt;"",OR($M9=0,$M9=""))</formula>
    </cfRule>
  </conditionalFormatting>
  <conditionalFormatting sqref="E9:N9">
    <cfRule type="expression" dxfId="1" priority="14">
      <formula>LEFT($K9,1)="E"</formula>
    </cfRule>
  </conditionalFormatting>
  <conditionalFormatting sqref="E9:N9">
    <cfRule type="expression" dxfId="2" priority="15">
      <formula>LEFT($K9,1)="P"</formula>
    </cfRule>
  </conditionalFormatting>
  <conditionalFormatting sqref="E9:N9">
    <cfRule type="expression" dxfId="3" priority="16">
      <formula>LEFT($K9,1)="S"</formula>
    </cfRule>
  </conditionalFormatting>
  <conditionalFormatting sqref="E10:N18">
    <cfRule type="expression" dxfId="0" priority="17">
      <formula>AND($F10&lt;&gt;"",OR($M10=0,$M10=""))</formula>
    </cfRule>
  </conditionalFormatting>
  <conditionalFormatting sqref="E10:N18">
    <cfRule type="expression" dxfId="1" priority="18">
      <formula>LEFT($K10,1)="E"</formula>
    </cfRule>
  </conditionalFormatting>
  <conditionalFormatting sqref="E10:N18">
    <cfRule type="expression" dxfId="2" priority="19">
      <formula>LEFT($K10,1)="P"</formula>
    </cfRule>
  </conditionalFormatting>
  <conditionalFormatting sqref="E10:N18">
    <cfRule type="expression" dxfId="3" priority="20">
      <formula>LEFT($K10,1)="S"</formula>
    </cfRule>
  </conditionalFormatting>
  <conditionalFormatting sqref="E10">
    <cfRule type="expression" dxfId="0" priority="21">
      <formula>AND($F10&lt;&gt;"",OR($M10=0,$M10=""))</formula>
    </cfRule>
  </conditionalFormatting>
  <conditionalFormatting sqref="E10">
    <cfRule type="expression" dxfId="1" priority="22">
      <formula>LEFT($K10,1)="E"</formula>
    </cfRule>
  </conditionalFormatting>
  <conditionalFormatting sqref="E10">
    <cfRule type="expression" dxfId="2" priority="23">
      <formula>LEFT($K10,1)="P"</formula>
    </cfRule>
  </conditionalFormatting>
  <conditionalFormatting sqref="E10">
    <cfRule type="expression" dxfId="3" priority="24">
      <formula>LEFT($K10,1)="S"</formula>
    </cfRule>
  </conditionalFormatting>
  <conditionalFormatting sqref="E11">
    <cfRule type="expression" dxfId="0" priority="25">
      <formula>AND($F11&lt;&gt;"",OR($M11=0,$M11=""))</formula>
    </cfRule>
  </conditionalFormatting>
  <conditionalFormatting sqref="E11">
    <cfRule type="expression" dxfId="1" priority="26">
      <formula>LEFT($K11,1)="E"</formula>
    </cfRule>
  </conditionalFormatting>
  <conditionalFormatting sqref="E11">
    <cfRule type="expression" dxfId="2" priority="27">
      <formula>LEFT($K11,1)="P"</formula>
    </cfRule>
  </conditionalFormatting>
  <conditionalFormatting sqref="E11">
    <cfRule type="expression" dxfId="3" priority="28">
      <formula>LEFT($K11,1)="S"</formula>
    </cfRule>
  </conditionalFormatting>
  <conditionalFormatting sqref="E8:N8">
    <cfRule type="expression" dxfId="0" priority="29">
      <formula>AND($F8&lt;&gt;"",OR($M8=0,$M8=""))</formula>
    </cfRule>
  </conditionalFormatting>
  <conditionalFormatting sqref="E8:N8">
    <cfRule type="expression" dxfId="1" priority="30">
      <formula>LEFT($K8,1)="E"</formula>
    </cfRule>
  </conditionalFormatting>
  <conditionalFormatting sqref="E8:N8">
    <cfRule type="expression" dxfId="2" priority="31">
      <formula>LEFT($K8,1)="P"</formula>
    </cfRule>
  </conditionalFormatting>
  <conditionalFormatting sqref="E8:N8">
    <cfRule type="expression" dxfId="3" priority="32">
      <formula>LEFT($K8,1)="S"</formula>
    </cfRule>
  </conditionalFormatting>
  <conditionalFormatting sqref="E9:N9">
    <cfRule type="expression" dxfId="0" priority="33">
      <formula>AND($F9&lt;&gt;"",OR($M9=0,$M9=""))</formula>
    </cfRule>
  </conditionalFormatting>
  <conditionalFormatting sqref="E9:N9">
    <cfRule type="expression" dxfId="1" priority="34">
      <formula>LEFT($K9,1)="E"</formula>
    </cfRule>
  </conditionalFormatting>
  <conditionalFormatting sqref="E9:N9">
    <cfRule type="expression" dxfId="2" priority="35">
      <formula>LEFT($K9,1)="P"</formula>
    </cfRule>
  </conditionalFormatting>
  <conditionalFormatting sqref="E9:N9">
    <cfRule type="expression" dxfId="3" priority="36">
      <formula>LEFT($K9,1)="S"</formula>
    </cfRule>
  </conditionalFormatting>
  <conditionalFormatting sqref="E10:N18">
    <cfRule type="expression" dxfId="0" priority="37">
      <formula>AND($F10&lt;&gt;"",OR($M10=0,$M10=""))</formula>
    </cfRule>
  </conditionalFormatting>
  <conditionalFormatting sqref="E10:N18">
    <cfRule type="expression" dxfId="1" priority="38">
      <formula>LEFT($K10,1)="E"</formula>
    </cfRule>
  </conditionalFormatting>
  <conditionalFormatting sqref="E10:N18">
    <cfRule type="expression" dxfId="2" priority="39">
      <formula>LEFT($K10,1)="P"</formula>
    </cfRule>
  </conditionalFormatting>
  <conditionalFormatting sqref="E10:N18">
    <cfRule type="expression" dxfId="3" priority="40">
      <formula>LEFT($K10,1)="S"</formula>
    </cfRule>
  </conditionalFormatting>
  <conditionalFormatting sqref="E10">
    <cfRule type="expression" dxfId="0" priority="41">
      <formula>AND($F10&lt;&gt;"",OR($M10=0,$M10=""))</formula>
    </cfRule>
  </conditionalFormatting>
  <conditionalFormatting sqref="E10">
    <cfRule type="expression" dxfId="1" priority="42">
      <formula>LEFT($K10,1)="E"</formula>
    </cfRule>
  </conditionalFormatting>
  <conditionalFormatting sqref="E10">
    <cfRule type="expression" dxfId="2" priority="43">
      <formula>LEFT($K10,1)="P"</formula>
    </cfRule>
  </conditionalFormatting>
  <conditionalFormatting sqref="E10">
    <cfRule type="expression" dxfId="3" priority="44">
      <formula>LEFT($K10,1)="S"</formula>
    </cfRule>
  </conditionalFormatting>
  <conditionalFormatting sqref="E11">
    <cfRule type="expression" dxfId="0" priority="45">
      <formula>AND($F11&lt;&gt;"",OR($M11=0,$M11=""))</formula>
    </cfRule>
  </conditionalFormatting>
  <conditionalFormatting sqref="E11">
    <cfRule type="expression" dxfId="1" priority="46">
      <formula>LEFT($K11,1)="E"</formula>
    </cfRule>
  </conditionalFormatting>
  <conditionalFormatting sqref="E11">
    <cfRule type="expression" dxfId="2" priority="47">
      <formula>LEFT($K11,1)="P"</formula>
    </cfRule>
  </conditionalFormatting>
  <conditionalFormatting sqref="E11">
    <cfRule type="expression" dxfId="3" priority="48">
      <formula>LEFT($K11,1)="S"</formula>
    </cfRule>
  </conditionalFormatting>
  <conditionalFormatting sqref="E19:N19 E30:N30 E41:N41 E52:N52 E63:N63 E74:N74 E85:N85 E96:N96 E107:N107 E118:N118 E129:N129 E140:N140 E151:N151">
    <cfRule type="expression" dxfId="0" priority="49">
      <formula>AND($F19&lt;&gt;"",OR($M19=0,$M19=""))</formula>
    </cfRule>
  </conditionalFormatting>
  <conditionalFormatting sqref="E19:N19 E30:N30 E41:N41 E52:N52 E63:N63 E74:N74 E85:N85 E96:N96 E107:N107 E118:N118 E129:N129 E140:N140 E151:N151">
    <cfRule type="expression" dxfId="1" priority="50">
      <formula>LEFT($K19,1)="E"</formula>
    </cfRule>
  </conditionalFormatting>
  <conditionalFormatting sqref="E19:N19 E30:N30 E41:N41 E52:N52 E63:N63 E74:N74 E85:N85 E96:N96 E107:N107 E118:N118 E129:N129 E140:N140 E151:N151">
    <cfRule type="expression" dxfId="2" priority="51">
      <formula>LEFT($K19,1)="P"</formula>
    </cfRule>
  </conditionalFormatting>
  <conditionalFormatting sqref="E19:N19 E30:N30 E41:N41 E52:N52 E63:N63 E74:N74 E85:N85 E96:N96 E107:N107 E118:N118 E129:N129 E140:N140 E151:N151">
    <cfRule type="expression" dxfId="3" priority="52">
      <formula>LEFT($K19,1)="S"</formula>
    </cfRule>
  </conditionalFormatting>
  <conditionalFormatting sqref="E20:N20 E31:N31 E42:N42 E53:N53 E64:N64 E75:N75 E86:N86 E97:N97 E108:N108 E119:N119 E130:N130 E141:N141 E152:N152">
    <cfRule type="expression" dxfId="0" priority="53">
      <formula>AND($F20&lt;&gt;"",OR($M20=0,$M20=""))</formula>
    </cfRule>
  </conditionalFormatting>
  <conditionalFormatting sqref="E20:N20 E31:N31 E42:N42 E53:N53 E64:N64 E75:N75 E86:N86 E97:N97 E108:N108 E119:N119 E130:N130 E141:N141 E152:N152">
    <cfRule type="expression" dxfId="1" priority="54">
      <formula>LEFT($K20,1)="E"</formula>
    </cfRule>
  </conditionalFormatting>
  <conditionalFormatting sqref="E20:N20 E31:N31 E42:N42 E53:N53 E64:N64 E75:N75 E86:N86 E97:N97 E108:N108 E119:N119 E130:N130 E141:N141 E152:N152">
    <cfRule type="expression" dxfId="2" priority="55">
      <formula>LEFT($K20,1)="P"</formula>
    </cfRule>
  </conditionalFormatting>
  <conditionalFormatting sqref="E20:N20 E31:N31 E42:N42 E53:N53 E64:N64 E75:N75 E86:N86 E97:N97 E108:N108 E119:N119 E130:N130 E141:N141 E152:N152">
    <cfRule type="expression" dxfId="3" priority="56">
      <formula>LEFT($K20,1)="S"</formula>
    </cfRule>
  </conditionalFormatting>
  <conditionalFormatting sqref="E21:N29 E32:N40 E43:N51 E54:N62 E65:N73 E76:N84 E87:N95 E98:N106 E109:N117 E120:N128 E131:N139 E142:N150 E153:N161">
    <cfRule type="expression" dxfId="0" priority="57">
      <formula>AND($F21&lt;&gt;"",OR($M21=0,$M21=""))</formula>
    </cfRule>
  </conditionalFormatting>
  <conditionalFormatting sqref="E21:N29 E32:N40 E43:N51 E54:N62 E65:N73 E76:N84 E87:N95 E98:N106 E109:N117 E120:N128 E131:N139 E142:N150 E153:N161">
    <cfRule type="expression" dxfId="1" priority="58">
      <formula>LEFT($K21,1)="E"</formula>
    </cfRule>
  </conditionalFormatting>
  <conditionalFormatting sqref="E21:N29 E32:N40 E43:N51 E54:N62 E65:N73 E76:N84 E87:N95 E98:N106 E109:N117 E120:N128 E131:N139 E142:N150 E153:N161">
    <cfRule type="expression" dxfId="2" priority="59">
      <formula>LEFT($K21,1)="P"</formula>
    </cfRule>
  </conditionalFormatting>
  <conditionalFormatting sqref="E21:N29 E32:N40 E43:N51 E54:N62 E65:N73 E76:N84 E87:N95 E98:N106 E109:N117 E120:N128 E131:N139 E142:N150 E153:N161">
    <cfRule type="expression" dxfId="3" priority="60">
      <formula>LEFT($K21,1)="S"</formula>
    </cfRule>
  </conditionalFormatting>
  <conditionalFormatting sqref="E21 E32 E43 E54 E65 E76 E87 E98 E109 E120 E131 E142 E153">
    <cfRule type="expression" dxfId="0" priority="61">
      <formula>AND($F21&lt;&gt;"",OR($M21=0,$M21=""))</formula>
    </cfRule>
  </conditionalFormatting>
  <conditionalFormatting sqref="E21 E32 E43 E54 E65 E76 E87 E98 E109 E120 E131 E142 E153">
    <cfRule type="expression" dxfId="1" priority="62">
      <formula>LEFT($K21,1)="E"</formula>
    </cfRule>
  </conditionalFormatting>
  <conditionalFormatting sqref="E21 E32 E43 E54 E65 E76 E87 E98 E109 E120 E131 E142 E153">
    <cfRule type="expression" dxfId="2" priority="63">
      <formula>LEFT($K21,1)="P"</formula>
    </cfRule>
  </conditionalFormatting>
  <conditionalFormatting sqref="E21 E32 E43 E54 E65 E76 E87 E98 E109 E120 E131 E142 E153">
    <cfRule type="expression" dxfId="3" priority="64">
      <formula>LEFT($K21,1)="S"</formula>
    </cfRule>
  </conditionalFormatting>
  <conditionalFormatting sqref="E22 E33 E44 E55 E66 E77 E88 E99 E110 E121 E132 E143 E154">
    <cfRule type="expression" dxfId="0" priority="65">
      <formula>AND($F22&lt;&gt;"",OR($M22=0,$M22=""))</formula>
    </cfRule>
  </conditionalFormatting>
  <conditionalFormatting sqref="E22 E33 E44 E55 E66 E77 E88 E99 E110 E121 E132 E143 E154">
    <cfRule type="expression" dxfId="1" priority="66">
      <formula>LEFT($K22,1)="E"</formula>
    </cfRule>
  </conditionalFormatting>
  <conditionalFormatting sqref="E22 E33 E44 E55 E66 E77 E88 E99 E110 E121 E132 E143 E154">
    <cfRule type="expression" dxfId="2" priority="67">
      <formula>LEFT($K22,1)="P"</formula>
    </cfRule>
  </conditionalFormatting>
  <conditionalFormatting sqref="E22 E33 E44 E55 E66 E77 E88 E99 E110 E121 E132 E143 E154">
    <cfRule type="expression" dxfId="3" priority="68">
      <formula>LEFT($K22,1)="S"</formula>
    </cfRule>
  </conditionalFormatting>
  <conditionalFormatting sqref="E19:N19 E30:N30 E41:N41 E52:N52 E63:N63 E74:N74 E85:N85 E96:N96 E107:N107 E118:N118 E129:N129 E140:N140 E151:N151">
    <cfRule type="expression" dxfId="0" priority="69">
      <formula>AND($F19&lt;&gt;"",OR($M19=0,$M19=""))</formula>
    </cfRule>
  </conditionalFormatting>
  <conditionalFormatting sqref="E19:N19 E30:N30 E41:N41 E52:N52 E63:N63 E74:N74 E85:N85 E96:N96 E107:N107 E118:N118 E129:N129 E140:N140 E151:N151">
    <cfRule type="expression" dxfId="1" priority="70">
      <formula>LEFT($K19,1)="E"</formula>
    </cfRule>
  </conditionalFormatting>
  <conditionalFormatting sqref="E19:N19 E30:N30 E41:N41 E52:N52 E63:N63 E74:N74 E85:N85 E96:N96 E107:N107 E118:N118 E129:N129 E140:N140 E151:N151">
    <cfRule type="expression" dxfId="2" priority="71">
      <formula>LEFT($K19,1)="P"</formula>
    </cfRule>
  </conditionalFormatting>
  <conditionalFormatting sqref="E19:N19 E30:N30 E41:N41 E52:N52 E63:N63 E74:N74 E85:N85 E96:N96 E107:N107 E118:N118 E129:N129 E140:N140 E151:N151">
    <cfRule type="expression" dxfId="3" priority="72">
      <formula>LEFT($K19,1)="S"</formula>
    </cfRule>
  </conditionalFormatting>
  <conditionalFormatting sqref="E20:N20 E31:N31 E42:N42 E53:N53 E64:N64 E75:N75 E86:N86 E97:N97 E108:N108 E119:N119 E130:N130 E141:N141 E152:N152">
    <cfRule type="expression" dxfId="0" priority="73">
      <formula>AND($F20&lt;&gt;"",OR($M20=0,$M20=""))</formula>
    </cfRule>
  </conditionalFormatting>
  <conditionalFormatting sqref="E20:N20 E31:N31 E42:N42 E53:N53 E64:N64 E75:N75 E86:N86 E97:N97 E108:N108 E119:N119 E130:N130 E141:N141 E152:N152">
    <cfRule type="expression" dxfId="1" priority="74">
      <formula>LEFT($K20,1)="E"</formula>
    </cfRule>
  </conditionalFormatting>
  <conditionalFormatting sqref="E20:N20 E31:N31 E42:N42 E53:N53 E64:N64 E75:N75 E86:N86 E97:N97 E108:N108 E119:N119 E130:N130 E141:N141 E152:N152">
    <cfRule type="expression" dxfId="2" priority="75">
      <formula>LEFT($K20,1)="P"</formula>
    </cfRule>
  </conditionalFormatting>
  <conditionalFormatting sqref="E20:N20 E31:N31 E42:N42 E53:N53 E64:N64 E75:N75 E86:N86 E97:N97 E108:N108 E119:N119 E130:N130 E141:N141 E152:N152">
    <cfRule type="expression" dxfId="3" priority="76">
      <formula>LEFT($K20,1)="S"</formula>
    </cfRule>
  </conditionalFormatting>
  <conditionalFormatting sqref="E21:N29 E32:N40 E43:N51 E54:N62 E65:N73 E76:N84 E87:N95 E98:N106 E109:N117 E120:N128 E131:N139 E142:N150 E153:N161">
    <cfRule type="expression" dxfId="0" priority="77">
      <formula>AND($F21&lt;&gt;"",OR($M21=0,$M21=""))</formula>
    </cfRule>
  </conditionalFormatting>
  <conditionalFormatting sqref="E21:N29 E32:N40 E43:N51 E54:N62 E65:N73 E76:N84 E87:N95 E98:N106 E109:N117 E120:N128 E131:N139 E142:N150 E153:N161">
    <cfRule type="expression" dxfId="1" priority="78">
      <formula>LEFT($K21,1)="E"</formula>
    </cfRule>
  </conditionalFormatting>
  <conditionalFormatting sqref="E21:N29 E32:N40 E43:N51 E54:N62 E65:N73 E76:N84 E87:N95 E98:N106 E109:N117 E120:N128 E131:N139 E142:N150 E153:N161">
    <cfRule type="expression" dxfId="2" priority="79">
      <formula>LEFT($K21,1)="P"</formula>
    </cfRule>
  </conditionalFormatting>
  <conditionalFormatting sqref="E21:N29 E32:N40 E43:N51 E54:N62 E65:N73 E76:N84 E87:N95 E98:N106 E109:N117 E120:N128 E131:N139 E142:N150 E153:N161">
    <cfRule type="expression" dxfId="3" priority="80">
      <formula>LEFT($K21,1)="S"</formula>
    </cfRule>
  </conditionalFormatting>
  <conditionalFormatting sqref="E21 E32 E43 E54 E65 E76 E87 E98 E109 E120 E131 E142 E153">
    <cfRule type="expression" dxfId="0" priority="81">
      <formula>AND($F21&lt;&gt;"",OR($M21=0,$M21=""))</formula>
    </cfRule>
  </conditionalFormatting>
  <conditionalFormatting sqref="E21 E32 E43 E54 E65 E76 E87 E98 E109 E120 E131 E142 E153">
    <cfRule type="expression" dxfId="1" priority="82">
      <formula>LEFT($K21,1)="E"</formula>
    </cfRule>
  </conditionalFormatting>
  <conditionalFormatting sqref="E21 E32 E43 E54 E65 E76 E87 E98 E109 E120 E131 E142 E153">
    <cfRule type="expression" dxfId="2" priority="83">
      <formula>LEFT($K21,1)="P"</formula>
    </cfRule>
  </conditionalFormatting>
  <conditionalFormatting sqref="E21 E32 E43 E54 E65 E76 E87 E98 E109 E120 E131 E142 E153">
    <cfRule type="expression" dxfId="3" priority="84">
      <formula>LEFT($K21,1)="S"</formula>
    </cfRule>
  </conditionalFormatting>
  <conditionalFormatting sqref="E22 E33 E44 E55 E66 E77 E88 E99 E110 E121 E132 E143 E154">
    <cfRule type="expression" dxfId="0" priority="85">
      <formula>AND($F22&lt;&gt;"",OR($M22=0,$M22=""))</formula>
    </cfRule>
  </conditionalFormatting>
  <conditionalFormatting sqref="E22 E33 E44 E55 E66 E77 E88 E99 E110 E121 E132 E143 E154">
    <cfRule type="expression" dxfId="1" priority="86">
      <formula>LEFT($K22,1)="E"</formula>
    </cfRule>
  </conditionalFormatting>
  <conditionalFormatting sqref="E22 E33 E44 E55 E66 E77 E88 E99 E110 E121 E132 E143 E154">
    <cfRule type="expression" dxfId="2" priority="87">
      <formula>LEFT($K22,1)="P"</formula>
    </cfRule>
  </conditionalFormatting>
  <conditionalFormatting sqref="E22 E33 E44 E55 E66 E77 E88 E99 E110 E121 E132 E143 E154">
    <cfRule type="expression" dxfId="3" priority="88">
      <formula>LEFT($K22,1)="S"</formula>
    </cfRule>
  </conditionalFormatting>
  <printOptions/>
  <pageMargins bottom="0.75" footer="0.0" header="0.0" left="0.7" right="0.7" top="0.75"/>
  <pageSetup paperSize="8" orientation="landscape"/>
  <colBreaks count="1" manualBreakCount="1">
    <brk id="44"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18.0"/>
    <col customWidth="1" min="2" max="2" width="48.43"/>
    <col customWidth="1" min="3" max="4" width="35.0"/>
    <col customWidth="1" min="5" max="6" width="31.86"/>
    <col customWidth="1" min="7" max="26" width="26.43"/>
    <col customWidth="1" min="27" max="35" width="25.86"/>
    <col customWidth="1" min="36" max="46" width="35.0"/>
    <col customWidth="1" min="47" max="67" width="28.43"/>
    <col customWidth="1" min="68" max="68" width="35.43"/>
    <col customWidth="1" min="69" max="83" width="28.43"/>
    <col customWidth="1" min="84" max="84" width="43.43"/>
    <col customWidth="1" min="85" max="98" width="28.43"/>
    <col customWidth="1" min="99" max="99" width="28.14"/>
  </cols>
  <sheetData>
    <row r="1" ht="79.5" customHeight="1">
      <c r="A1" s="1" t="str">
        <f>CONCATENATE("DAILY REPORT   DATE :  ",MID(CELL("filename",A1),FIND("]",CELL("filename",A1),1)+1,255))</f>
        <v>#VALUE!</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3"/>
      <c r="AU1" s="1" t="str">
        <f>A1</f>
        <v>#VALUE!</v>
      </c>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3"/>
      <c r="CU1" s="242"/>
    </row>
    <row r="2" ht="3.0" customHeight="1">
      <c r="A2" s="266"/>
      <c r="AT2" s="76"/>
      <c r="AU2" s="1"/>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3"/>
      <c r="CU2" s="242"/>
    </row>
    <row r="3">
      <c r="A3" s="8" t="s">
        <v>250</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11"/>
      <c r="AU3" s="1" t="str">
        <f>A3</f>
        <v>COLLEGE NAME : L.J. INSTITUTE OF ENGINEERING AND TECHNOLOGY                                 DEPARTMENT NAME :   SY4(CST CS&amp;IT)                      YEAR : 2024-25                              SEMESTER : III</v>
      </c>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3"/>
      <c r="CU3" s="242"/>
    </row>
    <row r="4" ht="61.5" customHeight="1">
      <c r="A4" s="12" t="s">
        <v>1</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4"/>
      <c r="AS4" s="15"/>
      <c r="AT4" s="16"/>
      <c r="AU4" s="17" t="s">
        <v>2</v>
      </c>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8"/>
      <c r="CH4" s="19" t="s">
        <v>3</v>
      </c>
      <c r="CI4" s="2"/>
      <c r="CJ4" s="2"/>
      <c r="CK4" s="2"/>
      <c r="CL4" s="2"/>
      <c r="CM4" s="2"/>
      <c r="CN4" s="2"/>
      <c r="CO4" s="2"/>
      <c r="CP4" s="2"/>
      <c r="CQ4" s="2"/>
      <c r="CR4" s="2"/>
      <c r="CS4" s="20"/>
      <c r="CT4" s="21"/>
      <c r="CU4" s="243"/>
    </row>
    <row r="5" ht="61.5" customHeight="1">
      <c r="A5" s="244" t="s">
        <v>4</v>
      </c>
      <c r="B5" s="24"/>
      <c r="C5" s="24"/>
      <c r="D5" s="24"/>
      <c r="E5" s="24"/>
      <c r="F5" s="24"/>
      <c r="G5" s="24"/>
      <c r="H5" s="24"/>
      <c r="I5" s="24"/>
      <c r="J5" s="24"/>
      <c r="K5" s="24"/>
      <c r="L5" s="24"/>
      <c r="M5" s="24"/>
      <c r="N5" s="24"/>
      <c r="O5" s="24"/>
      <c r="P5" s="24"/>
      <c r="Q5" s="24"/>
      <c r="R5" s="24"/>
      <c r="S5" s="24"/>
      <c r="T5" s="24"/>
      <c r="U5" s="24"/>
      <c r="V5" s="24"/>
      <c r="W5" s="24"/>
      <c r="X5" s="24"/>
      <c r="Y5" s="24"/>
      <c r="Z5" s="25"/>
      <c r="AA5" s="26" t="s">
        <v>5</v>
      </c>
      <c r="AB5" s="2"/>
      <c r="AC5" s="2"/>
      <c r="AD5" s="2"/>
      <c r="AE5" s="2"/>
      <c r="AF5" s="2"/>
      <c r="AG5" s="2"/>
      <c r="AH5" s="2"/>
      <c r="AI5" s="3"/>
      <c r="AJ5" s="27" t="s">
        <v>6</v>
      </c>
      <c r="AK5" s="28"/>
      <c r="AL5" s="28"/>
      <c r="AM5" s="28"/>
      <c r="AN5" s="28"/>
      <c r="AO5" s="29"/>
      <c r="AP5" s="30" t="s">
        <v>7</v>
      </c>
      <c r="AQ5" s="31" t="s">
        <v>8</v>
      </c>
      <c r="AR5" s="31" t="s">
        <v>9</v>
      </c>
      <c r="AS5" s="31" t="s">
        <v>276</v>
      </c>
      <c r="AT5" s="32" t="s">
        <v>11</v>
      </c>
      <c r="AU5" s="33" t="s">
        <v>12</v>
      </c>
      <c r="AV5" s="34"/>
      <c r="AW5" s="34"/>
      <c r="AX5" s="35"/>
      <c r="AY5" s="36" t="s">
        <v>13</v>
      </c>
      <c r="AZ5" s="37" t="s">
        <v>14</v>
      </c>
      <c r="BA5" s="38" t="s">
        <v>15</v>
      </c>
      <c r="BB5" s="24"/>
      <c r="BC5" s="24"/>
      <c r="BD5" s="24"/>
      <c r="BE5" s="24"/>
      <c r="BF5" s="24"/>
      <c r="BG5" s="24"/>
      <c r="BH5" s="24"/>
      <c r="BI5" s="24"/>
      <c r="BJ5" s="24"/>
      <c r="BK5" s="24"/>
      <c r="BL5" s="24"/>
      <c r="BM5" s="24"/>
      <c r="BN5" s="24"/>
      <c r="BO5" s="39"/>
      <c r="BP5" s="40" t="s">
        <v>16</v>
      </c>
      <c r="BQ5" s="24"/>
      <c r="BR5" s="24"/>
      <c r="BS5" s="24"/>
      <c r="BT5" s="24"/>
      <c r="BU5" s="41"/>
      <c r="BV5" s="42" t="s">
        <v>17</v>
      </c>
      <c r="BW5" s="14"/>
      <c r="BX5" s="43" t="s">
        <v>18</v>
      </c>
      <c r="BY5" s="34"/>
      <c r="BZ5" s="34"/>
      <c r="CA5" s="34"/>
      <c r="CB5" s="34"/>
      <c r="CC5" s="34"/>
      <c r="CD5" s="34"/>
      <c r="CE5" s="34"/>
      <c r="CF5" s="34"/>
      <c r="CG5" s="44"/>
      <c r="CH5" s="45"/>
      <c r="CI5" s="46"/>
      <c r="CJ5" s="46"/>
      <c r="CK5" s="46"/>
      <c r="CL5" s="46"/>
      <c r="CM5" s="46"/>
      <c r="CN5" s="46"/>
      <c r="CO5" s="46"/>
      <c r="CP5" s="46"/>
      <c r="CQ5" s="46"/>
      <c r="CR5" s="46"/>
      <c r="CS5" s="47"/>
      <c r="CT5" s="48"/>
      <c r="CU5" s="245"/>
    </row>
    <row r="6" ht="174.0" customHeight="1">
      <c r="A6" s="50" t="s">
        <v>19</v>
      </c>
      <c r="B6" s="50" t="s">
        <v>20</v>
      </c>
      <c r="C6" s="50" t="s">
        <v>21</v>
      </c>
      <c r="D6" s="51" t="s">
        <v>22</v>
      </c>
      <c r="E6" s="246" t="s">
        <v>23</v>
      </c>
      <c r="F6" s="9"/>
      <c r="G6" s="9"/>
      <c r="H6" s="9"/>
      <c r="I6" s="9"/>
      <c r="J6" s="9"/>
      <c r="K6" s="9"/>
      <c r="L6" s="11"/>
      <c r="M6" s="53" t="s">
        <v>24</v>
      </c>
      <c r="N6" s="247" t="s">
        <v>25</v>
      </c>
      <c r="O6" s="57" t="s">
        <v>26</v>
      </c>
      <c r="P6" s="56" t="s">
        <v>27</v>
      </c>
      <c r="Q6" s="57" t="s">
        <v>28</v>
      </c>
      <c r="R6" s="57" t="s">
        <v>29</v>
      </c>
      <c r="S6" s="57" t="s">
        <v>30</v>
      </c>
      <c r="T6" s="58" t="s">
        <v>31</v>
      </c>
      <c r="U6" s="59" t="s">
        <v>32</v>
      </c>
      <c r="V6" s="60" t="s">
        <v>33</v>
      </c>
      <c r="W6" s="61" t="s">
        <v>34</v>
      </c>
      <c r="X6" s="62" t="s">
        <v>35</v>
      </c>
      <c r="Y6" s="58" t="s">
        <v>36</v>
      </c>
      <c r="Z6" s="59" t="s">
        <v>37</v>
      </c>
      <c r="AA6" s="63"/>
      <c r="AB6" s="6"/>
      <c r="AC6" s="6"/>
      <c r="AD6" s="6"/>
      <c r="AE6" s="6"/>
      <c r="AF6" s="6"/>
      <c r="AG6" s="6"/>
      <c r="AH6" s="6"/>
      <c r="AI6" s="7"/>
      <c r="AJ6" s="63"/>
      <c r="AK6" s="6"/>
      <c r="AL6" s="6"/>
      <c r="AM6" s="6"/>
      <c r="AN6" s="6"/>
      <c r="AO6" s="7"/>
      <c r="AP6" s="64"/>
      <c r="AQ6" s="65"/>
      <c r="AR6" s="65"/>
      <c r="AS6" s="65"/>
      <c r="AT6" s="66"/>
      <c r="AU6" s="67" t="s">
        <v>38</v>
      </c>
      <c r="AV6" s="67" t="s">
        <v>39</v>
      </c>
      <c r="AW6" s="51" t="s">
        <v>40</v>
      </c>
      <c r="AX6" s="67" t="s">
        <v>41</v>
      </c>
      <c r="AY6" s="68"/>
      <c r="AZ6" s="69"/>
      <c r="BA6" s="70" t="s">
        <v>42</v>
      </c>
      <c r="BB6" s="46"/>
      <c r="BC6" s="46"/>
      <c r="BD6" s="46"/>
      <c r="BE6" s="46"/>
      <c r="BF6" s="46"/>
      <c r="BG6" s="46"/>
      <c r="BH6" s="46"/>
      <c r="BI6" s="71"/>
      <c r="BJ6" s="72" t="s">
        <v>43</v>
      </c>
      <c r="BK6" s="73" t="s">
        <v>44</v>
      </c>
      <c r="BL6" s="74" t="s">
        <v>45</v>
      </c>
      <c r="BM6" s="24"/>
      <c r="BN6" s="39"/>
      <c r="BO6" s="73" t="s">
        <v>46</v>
      </c>
      <c r="BP6" s="59" t="s">
        <v>47</v>
      </c>
      <c r="BQ6" s="75" t="s">
        <v>48</v>
      </c>
      <c r="BS6" s="76"/>
      <c r="BT6" s="75" t="s">
        <v>49</v>
      </c>
      <c r="BU6" s="75" t="s">
        <v>277</v>
      </c>
      <c r="BV6" s="51" t="s">
        <v>51</v>
      </c>
      <c r="BW6" s="51" t="s">
        <v>52</v>
      </c>
      <c r="BX6" s="77" t="s">
        <v>53</v>
      </c>
      <c r="BY6" s="9"/>
      <c r="BZ6" s="9"/>
      <c r="CA6" s="9"/>
      <c r="CB6" s="9"/>
      <c r="CC6" s="9"/>
      <c r="CD6" s="9"/>
      <c r="CE6" s="11"/>
      <c r="CF6" s="78" t="s">
        <v>54</v>
      </c>
      <c r="CG6" s="3"/>
      <c r="CH6" s="79" t="s">
        <v>55</v>
      </c>
      <c r="CI6" s="80"/>
      <c r="CJ6" s="81" t="s">
        <v>56</v>
      </c>
      <c r="CK6" s="82"/>
      <c r="CL6" s="81" t="s">
        <v>57</v>
      </c>
      <c r="CM6" s="82"/>
      <c r="CN6" s="81" t="s">
        <v>58</v>
      </c>
      <c r="CO6" s="82"/>
      <c r="CP6" s="83" t="s">
        <v>59</v>
      </c>
      <c r="CQ6" s="84" t="s">
        <v>278</v>
      </c>
      <c r="CR6" s="85" t="s">
        <v>279</v>
      </c>
      <c r="CS6" s="86" t="s">
        <v>62</v>
      </c>
      <c r="CT6" s="87" t="s">
        <v>63</v>
      </c>
      <c r="CU6" s="248"/>
    </row>
    <row r="7" ht="174.0" customHeight="1">
      <c r="A7" s="89"/>
      <c r="B7" s="89"/>
      <c r="C7" s="89"/>
      <c r="D7" s="89"/>
      <c r="E7" s="90" t="s">
        <v>64</v>
      </c>
      <c r="F7" s="91" t="s">
        <v>65</v>
      </c>
      <c r="G7" s="91" t="s">
        <v>280</v>
      </c>
      <c r="H7" s="91" t="s">
        <v>67</v>
      </c>
      <c r="I7" s="91" t="s">
        <v>68</v>
      </c>
      <c r="J7" s="92" t="s">
        <v>69</v>
      </c>
      <c r="K7" s="92" t="s">
        <v>70</v>
      </c>
      <c r="L7" s="249" t="s">
        <v>71</v>
      </c>
      <c r="M7" s="89"/>
      <c r="N7" s="7"/>
      <c r="O7" s="95" t="s">
        <v>72</v>
      </c>
      <c r="P7" s="78" t="s">
        <v>73</v>
      </c>
      <c r="Q7" s="95" t="s">
        <v>74</v>
      </c>
      <c r="R7" s="95" t="s">
        <v>75</v>
      </c>
      <c r="S7" s="95" t="s">
        <v>76</v>
      </c>
      <c r="T7" s="95" t="s">
        <v>77</v>
      </c>
      <c r="U7" s="78" t="s">
        <v>78</v>
      </c>
      <c r="V7" s="78" t="s">
        <v>79</v>
      </c>
      <c r="W7" s="67" t="s">
        <v>80</v>
      </c>
      <c r="X7" s="94" t="s">
        <v>81</v>
      </c>
      <c r="Y7" s="95" t="s">
        <v>82</v>
      </c>
      <c r="Z7" s="63"/>
      <c r="AA7" s="96" t="s">
        <v>83</v>
      </c>
      <c r="AB7" s="97" t="s">
        <v>84</v>
      </c>
      <c r="AC7" s="98" t="s">
        <v>85</v>
      </c>
      <c r="AD7" s="98" t="s">
        <v>86</v>
      </c>
      <c r="AE7" s="98" t="s">
        <v>87</v>
      </c>
      <c r="AF7" s="98" t="s">
        <v>88</v>
      </c>
      <c r="AG7" s="98" t="s">
        <v>89</v>
      </c>
      <c r="AH7" s="98" t="s">
        <v>281</v>
      </c>
      <c r="AI7" s="99" t="s">
        <v>282</v>
      </c>
      <c r="AJ7" s="100" t="s">
        <v>92</v>
      </c>
      <c r="AK7" s="101" t="s">
        <v>93</v>
      </c>
      <c r="AL7" s="101" t="s">
        <v>94</v>
      </c>
      <c r="AM7" s="101" t="s">
        <v>95</v>
      </c>
      <c r="AN7" s="101" t="s">
        <v>96</v>
      </c>
      <c r="AO7" s="102" t="s">
        <v>97</v>
      </c>
      <c r="AP7" s="103"/>
      <c r="AQ7" s="89"/>
      <c r="AR7" s="89"/>
      <c r="AS7" s="89"/>
      <c r="AT7" s="68"/>
      <c r="AU7" s="89"/>
      <c r="AV7" s="89"/>
      <c r="AW7" s="89"/>
      <c r="AX7" s="89"/>
      <c r="AY7" s="104" t="s">
        <v>98</v>
      </c>
      <c r="AZ7" s="105" t="s">
        <v>99</v>
      </c>
      <c r="BA7" s="106" t="s">
        <v>100</v>
      </c>
      <c r="BB7" s="107" t="s">
        <v>101</v>
      </c>
      <c r="BC7" s="107" t="s">
        <v>102</v>
      </c>
      <c r="BD7" s="107" t="s">
        <v>103</v>
      </c>
      <c r="BE7" s="107" t="s">
        <v>104</v>
      </c>
      <c r="BF7" s="107" t="s">
        <v>105</v>
      </c>
      <c r="BG7" s="107" t="s">
        <v>106</v>
      </c>
      <c r="BH7" s="107" t="s">
        <v>107</v>
      </c>
      <c r="BI7" s="108" t="s">
        <v>108</v>
      </c>
      <c r="BJ7" s="109" t="s">
        <v>109</v>
      </c>
      <c r="BK7" s="110" t="s">
        <v>110</v>
      </c>
      <c r="BL7" s="111" t="s">
        <v>283</v>
      </c>
      <c r="BM7" s="111" t="s">
        <v>284</v>
      </c>
      <c r="BN7" s="112" t="s">
        <v>285</v>
      </c>
      <c r="BO7" s="113" t="s">
        <v>114</v>
      </c>
      <c r="BP7" s="63"/>
      <c r="BQ7" s="90" t="s">
        <v>115</v>
      </c>
      <c r="BR7" s="114" t="s">
        <v>116</v>
      </c>
      <c r="BS7" s="115" t="s">
        <v>117</v>
      </c>
      <c r="BT7" s="63"/>
      <c r="BU7" s="63"/>
      <c r="BV7" s="89"/>
      <c r="BW7" s="89"/>
      <c r="BX7" s="116" t="s">
        <v>118</v>
      </c>
      <c r="BY7" s="101" t="s">
        <v>119</v>
      </c>
      <c r="BZ7" s="101" t="s">
        <v>120</v>
      </c>
      <c r="CA7" s="101" t="s">
        <v>121</v>
      </c>
      <c r="CB7" s="101" t="s">
        <v>122</v>
      </c>
      <c r="CC7" s="117" t="s">
        <v>123</v>
      </c>
      <c r="CD7" s="111" t="s">
        <v>124</v>
      </c>
      <c r="CE7" s="113" t="s">
        <v>125</v>
      </c>
      <c r="CF7" s="118" t="s">
        <v>126</v>
      </c>
      <c r="CG7" s="119" t="s">
        <v>127</v>
      </c>
      <c r="CH7" s="120" t="s">
        <v>128</v>
      </c>
      <c r="CI7" s="121" t="s">
        <v>286</v>
      </c>
      <c r="CJ7" s="122" t="s">
        <v>130</v>
      </c>
      <c r="CK7" s="123" t="s">
        <v>287</v>
      </c>
      <c r="CL7" s="122" t="s">
        <v>132</v>
      </c>
      <c r="CM7" s="123" t="s">
        <v>288</v>
      </c>
      <c r="CN7" s="122" t="s">
        <v>134</v>
      </c>
      <c r="CO7" s="123" t="s">
        <v>289</v>
      </c>
      <c r="CP7" s="89"/>
      <c r="CQ7" s="69"/>
      <c r="CR7" s="69"/>
      <c r="CS7" s="69"/>
      <c r="CT7" s="89"/>
      <c r="CU7" s="248"/>
    </row>
    <row r="8" ht="55.5" customHeight="1">
      <c r="A8" s="125">
        <v>1.0</v>
      </c>
      <c r="B8" s="199" t="s">
        <v>136</v>
      </c>
      <c r="C8" s="127">
        <v>1.0</v>
      </c>
      <c r="D8" s="168" t="s">
        <v>137</v>
      </c>
      <c r="E8" s="129"/>
      <c r="F8" s="130"/>
      <c r="G8" s="130"/>
      <c r="H8" s="130"/>
      <c r="I8" s="201"/>
      <c r="J8" s="130"/>
      <c r="K8" s="131"/>
      <c r="L8" s="131"/>
      <c r="M8" s="131"/>
      <c r="N8" s="275"/>
      <c r="O8" s="250">
        <f t="shared" ref="O8:O13" si="1">IF(AND(M8&lt;&gt;0,M8&lt;&gt;"m",M8&lt;&gt;"",RIGHT(K8,3)="Lec"),1,IF(AND(M8&lt;&gt;0,M8&lt;&gt;"m",M8&lt;&gt;"",OR(RIGHT(K8,3)="Lab",RIGHT(K8,3)="Tut")),0.5,IF(AND(M8&lt;&gt;0,M8&lt;&gt;"m",M8&lt;&gt;"",RIGHT(K8,2)="TL"),0.75,0)))</f>
        <v>0</v>
      </c>
      <c r="P8" s="251">
        <f>COUNTIF(K8:K18,"TL")*0.75+COUNTIF(K8:K18,"Lec")*1+COUNTIF(K8:K18,"Lab")*0.5</f>
        <v>0</v>
      </c>
      <c r="Q8" s="134">
        <f>SUM((IF(LEFT(K8,1)="E",O8,0)),(IF(LEFT(K9,1)="E",O9,0)),(IF(LEFT(K10,1)="E",O10,0)),(IF(LEFT(K11,1)="E",O11,0)),(IF(LEFT(K12,1)="E",O12,0)),(IF(LEFT(K13,1)="E",O13,0)),(IF(LEFT(K14,1)="E",O14,0)),(IF(LEFT(K15,1)="E",O15,0)),(IF(LEFT(K16,1)="E",O16,0)),(IF(LEFT(K17,1)="E",O17,0)),(IF(LEFT(K18,1)="E",O18,0)))</f>
        <v>0</v>
      </c>
      <c r="R8" s="135">
        <f>SUM(IF(M14&lt;20,IF(K14="Plec",-1,IF(K14="PTL",-0.75,IF(K14="Plab",-0.5,0))),0),IF(M15&lt;20,IF(K15="Plec",-1,IF(K15="PTL",-0.75,IF(K15="Plab",-0.5,0))),0),IF(M16&lt;20,IF(K16="Plec",-1,IF(K16="PTL",-0.75,IF(K16="Plab",-0.5,0))),0),IF(M17&lt;20,IF(K17="Plec",-1,IF(K17="PTL",-0.75,IF(K17="Plab",-0.5,0))),0))</f>
        <v>0</v>
      </c>
      <c r="S8" s="134">
        <f>SUM(P8:R18)</f>
        <v>0</v>
      </c>
      <c r="T8" s="136">
        <f>SUM(IF(M8="M",IF(OR(K8="lec",K8="plec",K8="slec"),1,IF(OR(K8="lab",K8="plab",K8="slab",K8="tut",K8="ptut",K8="stut"),0.5,IF(OR(K8="TL",K8="pTL",K8="STL"),0.75,0))),0),IF(M9="M",IF(OR(K9="lec",K9="plec",K9="slec"),1,IF(OR(K9="lab",K9="plab",K9="slab",K9="tut",K9="ptut",K9="stut"),0.5,IF(OR(K9="TL",K9="pTL",K9="STL"),0.75,0))),0),IF(M10="M",IF(OR(K10="lec",K10="plec",K10="slec"),1,IF(OR(K10="lab",K10="plab",K10="slab",K10="tut",K10="ptut",K10="stut"),0.5,IF(OR(K10="TL",K10="pTL",K10="STL"),0.75,0))),0),IF(M11="M",IF(OR(K11="lec",K11="plec",K11="slec"),1,IF(OR(K11="lab",K11="plab",K11="slab",K11="tut",K11="ptut",K11="stut"),0.5,IF(OR(K11="TL",K11="pTL",K11="STL"),0.75,0))),0),IF(M12="M",IF(OR(K12="lec",K12="plec",K12="slec"),1,IF(OR(K12="lab",K12="plab",K12="slab",K12="tut",K12="ptut",K12="stut"),0.5,IF(OR(K12="TL",K12="pTL",K12="STL"),0.75,0))),0),IF(M13="M",IF(OR(K13="lec",K13="plec",K13="slec"),1,IF(OR(K13="lab",K13="plab",K13="slab",K13="tut",K13="ptut",K13="stut"),0.5,IF(OR(K13="TL",K13="pTL",K13="STL"),0.75,0))),0),IF(M14="M",IF(OR(K14="lec",K14="plec",K14="slec"),1,IF(OR(K14="lab",K14="plab",K14="slab",K14="tut",K14="ptut",K14="stut"),0.5,IF(OR(K14="TL",K14="pTL",K14="STL"),0.75,0))),0),IF(M15="M",IF(OR(K15="lec",K15="plec",K15="slec"),1,IF(OR(K15="lab",K15="plab",K15="slab",K15="tut",K15="ptut",K15="stut"),0.5,IF(OR(K15="TL",K15="pTL",K15="STL"),0.75,0))),0),IF(M16="M",IF(OR(K16="lec",K16="plec",K16="slec"),1,IF(OR(K16="lab",K16="plab",K16="slab",K16="tut",K16="ptut",K16="stut"),0.5,IF(OR(K16="TL",K16="pTL",K16="STL"),0.75,0))),0),IF(M17="M",IF(OR(K17="lec",K17="plec",K17="slec"),1,IF(OR(K17="lab",K17="plab",K17="slab",K17="tut",K17="ptut",K17="stut"),0.5,IF(OR(K17="TL",K17="pTL",K17="STL"),0.75,0))),0),IF(M18="M",IF(OR(K18="lec",K18="plec",K18="slec"),1,IF(OR(K18="lab",K18="plab",K18="slab",K18="tut",K18="ptut",K18="stut"),0.5,IF(OR(K18="TL",K18="pTL",K18="STL"),0.75,0))),0))</f>
        <v>0</v>
      </c>
      <c r="U8" s="137"/>
      <c r="V8" s="133"/>
      <c r="W8" s="138"/>
      <c r="X8" s="139">
        <f>S8-(T8+U8+V8+W8)</f>
        <v>0</v>
      </c>
      <c r="Y8" s="134" t="str">
        <f>CONCATENATE(SUM(O8:O18),"(",SUM(O8:O18)-X8,")")</f>
        <v>0(0)</v>
      </c>
      <c r="Z8" s="140"/>
      <c r="AA8" s="141"/>
      <c r="AB8" s="142"/>
      <c r="AC8" s="142"/>
      <c r="AD8" s="142"/>
      <c r="AE8" s="142"/>
      <c r="AF8" s="142"/>
      <c r="AG8" s="142"/>
      <c r="AH8" s="142"/>
      <c r="AI8" s="143"/>
      <c r="AJ8" s="144"/>
      <c r="AK8" s="145"/>
      <c r="AL8" s="145"/>
      <c r="AM8" s="145"/>
      <c r="AN8" s="145"/>
      <c r="AO8" s="146"/>
      <c r="AP8" s="147">
        <f>SUM(SUM(O8:O18),SUM(AI8:AI18)/2,AM8)</f>
        <v>0</v>
      </c>
      <c r="AQ8" s="148"/>
      <c r="AR8" s="148">
        <f>AP8*AQ8</f>
        <v>0</v>
      </c>
      <c r="AS8" s="148">
        <f>CT8</f>
        <v>0</v>
      </c>
      <c r="AT8" s="149">
        <f>AR8*0.75+AS8*0.25</f>
        <v>0</v>
      </c>
      <c r="AU8" s="150"/>
      <c r="AV8" s="151"/>
      <c r="AW8" s="151"/>
      <c r="AX8" s="152"/>
      <c r="AY8" s="153"/>
      <c r="AZ8" s="140"/>
      <c r="BA8" s="150"/>
      <c r="BB8" s="151"/>
      <c r="BC8" s="151"/>
      <c r="BD8" s="151"/>
      <c r="BE8" s="151"/>
      <c r="BF8" s="151"/>
      <c r="BG8" s="151"/>
      <c r="BH8" s="151"/>
      <c r="BI8" s="152"/>
      <c r="BJ8" s="154"/>
      <c r="BK8" s="151"/>
      <c r="BL8" s="151"/>
      <c r="BM8" s="151"/>
      <c r="BN8" s="151"/>
      <c r="BO8" s="155"/>
      <c r="BP8" s="140"/>
      <c r="BQ8" s="156"/>
      <c r="BR8" s="157"/>
      <c r="BS8" s="158"/>
      <c r="BT8" s="153"/>
      <c r="BU8" s="140"/>
      <c r="BV8" s="140"/>
      <c r="BW8" s="140"/>
      <c r="BX8" s="140"/>
      <c r="BY8" s="140"/>
      <c r="BZ8" s="140"/>
      <c r="CA8" s="140"/>
      <c r="CB8" s="140"/>
      <c r="CC8" s="140"/>
      <c r="CD8" s="150"/>
      <c r="CE8" s="155"/>
      <c r="CF8" s="150"/>
      <c r="CG8" s="152"/>
      <c r="CH8" s="252"/>
      <c r="CI8" s="160"/>
      <c r="CJ8" s="159"/>
      <c r="CK8" s="160"/>
      <c r="CL8" s="159"/>
      <c r="CM8" s="160"/>
      <c r="CN8" s="159"/>
      <c r="CO8" s="160"/>
      <c r="CP8" s="159"/>
      <c r="CQ8" s="162"/>
      <c r="CR8" s="160"/>
      <c r="CS8" s="253">
        <f>SUM(CS19:CS305)</f>
        <v>0</v>
      </c>
      <c r="CT8" s="254">
        <f>SUM(AU8,AV8,AW8,AX8/400,AY8,AZ8,BG8,BH8*0.5,BI8*0.25,BJ8,BK8,BL8,BM8,BN8,BO8,BP8,BR8/20,BS8/100,BT8/60,BU8,BV8,BW8,BX8/4,SUM(BY8:CC18)/3,CE8,CG8/3,CI8,CK8,CM8,CO8,CQ8,CR8)</f>
        <v>0</v>
      </c>
      <c r="CU8" s="255" t="str">
        <f t="shared" ref="CU8:CU315" si="2">D8</f>
        <v>STS</v>
      </c>
    </row>
    <row r="9" ht="60.0" customHeight="1">
      <c r="A9" s="65"/>
      <c r="C9" s="167">
        <v>2.0</v>
      </c>
      <c r="D9" s="168" t="s">
        <v>137</v>
      </c>
      <c r="E9" s="169"/>
      <c r="F9" s="170"/>
      <c r="G9" s="170"/>
      <c r="H9" s="170"/>
      <c r="I9" s="207"/>
      <c r="J9" s="170"/>
      <c r="K9" s="171"/>
      <c r="L9" s="171"/>
      <c r="M9" s="171"/>
      <c r="N9" s="276"/>
      <c r="O9" s="256">
        <f t="shared" si="1"/>
        <v>0</v>
      </c>
      <c r="Q9" s="173"/>
      <c r="R9" s="65"/>
      <c r="S9" s="173"/>
      <c r="T9" s="173"/>
      <c r="U9" s="166"/>
      <c r="V9" s="166"/>
      <c r="W9" s="65"/>
      <c r="X9" s="66"/>
      <c r="Y9" s="173"/>
      <c r="Z9" s="166"/>
      <c r="AA9" s="174"/>
      <c r="AB9" s="175"/>
      <c r="AC9" s="175"/>
      <c r="AD9" s="175"/>
      <c r="AE9" s="175"/>
      <c r="AF9" s="175"/>
      <c r="AG9" s="175"/>
      <c r="AH9" s="175"/>
      <c r="AI9" s="176"/>
      <c r="AJ9" s="177"/>
      <c r="AK9" s="178"/>
      <c r="AL9" s="178"/>
      <c r="AM9" s="178"/>
      <c r="AN9" s="178"/>
      <c r="AO9" s="179"/>
      <c r="AP9" s="64"/>
      <c r="AQ9" s="65"/>
      <c r="AR9" s="65"/>
      <c r="AS9" s="65"/>
      <c r="AT9" s="173"/>
      <c r="AU9" s="177"/>
      <c r="AV9" s="178"/>
      <c r="AW9" s="178"/>
      <c r="AX9" s="179"/>
      <c r="AZ9" s="166"/>
      <c r="BA9" s="177"/>
      <c r="BB9" s="178"/>
      <c r="BC9" s="178"/>
      <c r="BD9" s="178"/>
      <c r="BE9" s="178"/>
      <c r="BF9" s="178"/>
      <c r="BG9" s="178"/>
      <c r="BH9" s="178"/>
      <c r="BI9" s="179"/>
      <c r="BJ9" s="180"/>
      <c r="BK9" s="178"/>
      <c r="BL9" s="178"/>
      <c r="BM9" s="178"/>
      <c r="BN9" s="178"/>
      <c r="BO9" s="181"/>
      <c r="BP9" s="166"/>
      <c r="BQ9" s="177"/>
      <c r="BR9" s="178"/>
      <c r="BS9" s="179"/>
      <c r="BU9" s="166"/>
      <c r="BV9" s="166"/>
      <c r="BW9" s="166"/>
      <c r="BX9" s="166"/>
      <c r="BY9" s="166"/>
      <c r="BZ9" s="166"/>
      <c r="CA9" s="166"/>
      <c r="CB9" s="166"/>
      <c r="CC9" s="166"/>
      <c r="CD9" s="177"/>
      <c r="CE9" s="181"/>
      <c r="CF9" s="177"/>
      <c r="CG9" s="179"/>
      <c r="CH9" s="257"/>
      <c r="CI9" s="182"/>
      <c r="CJ9" s="177"/>
      <c r="CK9" s="182"/>
      <c r="CL9" s="177"/>
      <c r="CM9" s="182"/>
      <c r="CN9" s="177"/>
      <c r="CO9" s="182"/>
      <c r="CP9" s="177"/>
      <c r="CQ9" s="178"/>
      <c r="CR9" s="182"/>
      <c r="CS9" s="173"/>
      <c r="CT9" s="65"/>
      <c r="CU9" s="255" t="str">
        <f t="shared" si="2"/>
        <v>STS</v>
      </c>
    </row>
    <row r="10" ht="60.0" customHeight="1">
      <c r="A10" s="65"/>
      <c r="C10" s="167">
        <v>3.0</v>
      </c>
      <c r="D10" s="168" t="s">
        <v>137</v>
      </c>
      <c r="E10" s="169"/>
      <c r="F10" s="170"/>
      <c r="G10" s="170"/>
      <c r="H10" s="170"/>
      <c r="I10" s="207"/>
      <c r="J10" s="170"/>
      <c r="K10" s="171"/>
      <c r="L10" s="171"/>
      <c r="M10" s="171"/>
      <c r="N10" s="276"/>
      <c r="O10" s="256">
        <f t="shared" si="1"/>
        <v>0</v>
      </c>
      <c r="Q10" s="173"/>
      <c r="R10" s="65"/>
      <c r="S10" s="173"/>
      <c r="T10" s="173"/>
      <c r="U10" s="166"/>
      <c r="V10" s="166"/>
      <c r="W10" s="65"/>
      <c r="X10" s="66"/>
      <c r="Y10" s="173"/>
      <c r="Z10" s="166"/>
      <c r="AA10" s="174"/>
      <c r="AB10" s="175"/>
      <c r="AC10" s="175"/>
      <c r="AD10" s="175"/>
      <c r="AE10" s="175"/>
      <c r="AF10" s="175"/>
      <c r="AG10" s="175"/>
      <c r="AH10" s="175"/>
      <c r="AI10" s="176"/>
      <c r="AJ10" s="177"/>
      <c r="AK10" s="178"/>
      <c r="AL10" s="178"/>
      <c r="AM10" s="178"/>
      <c r="AN10" s="178"/>
      <c r="AO10" s="179"/>
      <c r="AP10" s="64"/>
      <c r="AQ10" s="65"/>
      <c r="AR10" s="65"/>
      <c r="AS10" s="65"/>
      <c r="AT10" s="173"/>
      <c r="AU10" s="177"/>
      <c r="AV10" s="178"/>
      <c r="AW10" s="178"/>
      <c r="AX10" s="179"/>
      <c r="AZ10" s="166"/>
      <c r="BA10" s="177"/>
      <c r="BB10" s="178"/>
      <c r="BC10" s="178"/>
      <c r="BD10" s="178"/>
      <c r="BE10" s="178"/>
      <c r="BF10" s="178"/>
      <c r="BG10" s="178"/>
      <c r="BH10" s="178"/>
      <c r="BI10" s="179"/>
      <c r="BJ10" s="180"/>
      <c r="BK10" s="178"/>
      <c r="BL10" s="178"/>
      <c r="BM10" s="178"/>
      <c r="BN10" s="178"/>
      <c r="BO10" s="181"/>
      <c r="BP10" s="166"/>
      <c r="BQ10" s="177"/>
      <c r="BR10" s="178"/>
      <c r="BS10" s="179"/>
      <c r="BU10" s="166"/>
      <c r="BV10" s="166"/>
      <c r="BW10" s="166"/>
      <c r="BX10" s="166"/>
      <c r="BY10" s="166"/>
      <c r="BZ10" s="166"/>
      <c r="CA10" s="166"/>
      <c r="CB10" s="166"/>
      <c r="CC10" s="166"/>
      <c r="CD10" s="177"/>
      <c r="CE10" s="181"/>
      <c r="CF10" s="177"/>
      <c r="CG10" s="179"/>
      <c r="CH10" s="257"/>
      <c r="CI10" s="182"/>
      <c r="CJ10" s="177"/>
      <c r="CK10" s="182"/>
      <c r="CL10" s="177"/>
      <c r="CM10" s="182"/>
      <c r="CN10" s="177"/>
      <c r="CO10" s="182"/>
      <c r="CP10" s="177"/>
      <c r="CQ10" s="178"/>
      <c r="CR10" s="182"/>
      <c r="CS10" s="173"/>
      <c r="CT10" s="65"/>
      <c r="CU10" s="255" t="str">
        <f t="shared" si="2"/>
        <v>STS</v>
      </c>
    </row>
    <row r="11" ht="60.0" customHeight="1">
      <c r="A11" s="65"/>
      <c r="C11" s="167">
        <v>4.0</v>
      </c>
      <c r="D11" s="168" t="s">
        <v>137</v>
      </c>
      <c r="E11" s="169"/>
      <c r="F11" s="170"/>
      <c r="G11" s="170"/>
      <c r="H11" s="170"/>
      <c r="I11" s="207"/>
      <c r="J11" s="170"/>
      <c r="K11" s="171"/>
      <c r="L11" s="171"/>
      <c r="M11" s="171"/>
      <c r="N11" s="276"/>
      <c r="O11" s="256">
        <f t="shared" si="1"/>
        <v>0</v>
      </c>
      <c r="Q11" s="173"/>
      <c r="R11" s="65"/>
      <c r="S11" s="173"/>
      <c r="T11" s="173"/>
      <c r="U11" s="166"/>
      <c r="V11" s="166"/>
      <c r="W11" s="65"/>
      <c r="X11" s="66"/>
      <c r="Y11" s="173"/>
      <c r="Z11" s="166"/>
      <c r="AA11" s="174"/>
      <c r="AB11" s="175"/>
      <c r="AC11" s="175"/>
      <c r="AD11" s="175"/>
      <c r="AE11" s="175"/>
      <c r="AF11" s="175"/>
      <c r="AG11" s="175"/>
      <c r="AH11" s="175"/>
      <c r="AI11" s="176"/>
      <c r="AJ11" s="177"/>
      <c r="AK11" s="178"/>
      <c r="AL11" s="178"/>
      <c r="AM11" s="178"/>
      <c r="AN11" s="178"/>
      <c r="AO11" s="179"/>
      <c r="AP11" s="64"/>
      <c r="AQ11" s="65"/>
      <c r="AR11" s="65"/>
      <c r="AS11" s="65"/>
      <c r="AT11" s="173"/>
      <c r="AU11" s="177"/>
      <c r="AV11" s="178"/>
      <c r="AW11" s="178"/>
      <c r="AX11" s="179"/>
      <c r="AZ11" s="166"/>
      <c r="BA11" s="177"/>
      <c r="BB11" s="178"/>
      <c r="BC11" s="178"/>
      <c r="BD11" s="178"/>
      <c r="BE11" s="178"/>
      <c r="BF11" s="178"/>
      <c r="BG11" s="178"/>
      <c r="BH11" s="178"/>
      <c r="BI11" s="179"/>
      <c r="BJ11" s="180"/>
      <c r="BK11" s="178"/>
      <c r="BL11" s="178"/>
      <c r="BM11" s="178"/>
      <c r="BN11" s="178"/>
      <c r="BO11" s="181"/>
      <c r="BP11" s="166"/>
      <c r="BQ11" s="177"/>
      <c r="BR11" s="178"/>
      <c r="BS11" s="179"/>
      <c r="BU11" s="166"/>
      <c r="BV11" s="166"/>
      <c r="BW11" s="166"/>
      <c r="BX11" s="166"/>
      <c r="BY11" s="166"/>
      <c r="BZ11" s="166"/>
      <c r="CA11" s="166"/>
      <c r="CB11" s="166"/>
      <c r="CC11" s="166"/>
      <c r="CD11" s="177"/>
      <c r="CE11" s="181"/>
      <c r="CF11" s="177"/>
      <c r="CG11" s="179"/>
      <c r="CH11" s="257"/>
      <c r="CI11" s="182"/>
      <c r="CJ11" s="177"/>
      <c r="CK11" s="182"/>
      <c r="CL11" s="177"/>
      <c r="CM11" s="182"/>
      <c r="CN11" s="177"/>
      <c r="CO11" s="182"/>
      <c r="CP11" s="177"/>
      <c r="CQ11" s="178"/>
      <c r="CR11" s="182"/>
      <c r="CS11" s="173"/>
      <c r="CT11" s="65"/>
      <c r="CU11" s="255" t="str">
        <f t="shared" si="2"/>
        <v>STS</v>
      </c>
    </row>
    <row r="12" ht="60.0" customHeight="1">
      <c r="A12" s="65"/>
      <c r="C12" s="167">
        <v>5.0</v>
      </c>
      <c r="D12" s="168" t="s">
        <v>137</v>
      </c>
      <c r="E12" s="169"/>
      <c r="F12" s="170"/>
      <c r="G12" s="170"/>
      <c r="H12" s="170"/>
      <c r="I12" s="207"/>
      <c r="J12" s="170"/>
      <c r="K12" s="171"/>
      <c r="L12" s="171"/>
      <c r="M12" s="171"/>
      <c r="N12" s="276"/>
      <c r="O12" s="256">
        <f t="shared" si="1"/>
        <v>0</v>
      </c>
      <c r="Q12" s="173"/>
      <c r="R12" s="65"/>
      <c r="S12" s="173"/>
      <c r="T12" s="173"/>
      <c r="U12" s="166"/>
      <c r="V12" s="166"/>
      <c r="W12" s="65"/>
      <c r="X12" s="66"/>
      <c r="Y12" s="173"/>
      <c r="Z12" s="166"/>
      <c r="AA12" s="174"/>
      <c r="AB12" s="175"/>
      <c r="AC12" s="175"/>
      <c r="AD12" s="175"/>
      <c r="AE12" s="175"/>
      <c r="AF12" s="175"/>
      <c r="AG12" s="175"/>
      <c r="AH12" s="175"/>
      <c r="AI12" s="176"/>
      <c r="AJ12" s="177"/>
      <c r="AK12" s="178"/>
      <c r="AL12" s="178"/>
      <c r="AM12" s="178"/>
      <c r="AN12" s="178"/>
      <c r="AO12" s="179"/>
      <c r="AP12" s="64"/>
      <c r="AQ12" s="65"/>
      <c r="AR12" s="65"/>
      <c r="AS12" s="65"/>
      <c r="AT12" s="173"/>
      <c r="AU12" s="177"/>
      <c r="AV12" s="178"/>
      <c r="AW12" s="178"/>
      <c r="AX12" s="179"/>
      <c r="AZ12" s="166"/>
      <c r="BA12" s="177"/>
      <c r="BB12" s="178"/>
      <c r="BC12" s="178"/>
      <c r="BD12" s="178"/>
      <c r="BE12" s="178"/>
      <c r="BF12" s="178"/>
      <c r="BG12" s="178"/>
      <c r="BH12" s="178"/>
      <c r="BI12" s="179"/>
      <c r="BJ12" s="180"/>
      <c r="BK12" s="178"/>
      <c r="BL12" s="178"/>
      <c r="BM12" s="178"/>
      <c r="BN12" s="178"/>
      <c r="BO12" s="181"/>
      <c r="BP12" s="166"/>
      <c r="BQ12" s="177"/>
      <c r="BR12" s="178"/>
      <c r="BS12" s="179"/>
      <c r="BU12" s="166"/>
      <c r="BV12" s="166"/>
      <c r="BW12" s="166"/>
      <c r="BX12" s="166"/>
      <c r="BY12" s="166"/>
      <c r="BZ12" s="166"/>
      <c r="CA12" s="166"/>
      <c r="CB12" s="166"/>
      <c r="CC12" s="166"/>
      <c r="CD12" s="177"/>
      <c r="CE12" s="181"/>
      <c r="CF12" s="177"/>
      <c r="CG12" s="179"/>
      <c r="CH12" s="257"/>
      <c r="CI12" s="182"/>
      <c r="CJ12" s="177"/>
      <c r="CK12" s="182"/>
      <c r="CL12" s="177"/>
      <c r="CM12" s="182"/>
      <c r="CN12" s="177"/>
      <c r="CO12" s="182"/>
      <c r="CP12" s="177"/>
      <c r="CQ12" s="178"/>
      <c r="CR12" s="182"/>
      <c r="CS12" s="173"/>
      <c r="CT12" s="65"/>
      <c r="CU12" s="255" t="str">
        <f t="shared" si="2"/>
        <v>STS</v>
      </c>
    </row>
    <row r="13" ht="60.0" customHeight="1">
      <c r="A13" s="65"/>
      <c r="C13" s="167">
        <v>6.0</v>
      </c>
      <c r="D13" s="168" t="s">
        <v>137</v>
      </c>
      <c r="E13" s="169"/>
      <c r="F13" s="170"/>
      <c r="G13" s="170"/>
      <c r="H13" s="170"/>
      <c r="I13" s="207"/>
      <c r="J13" s="170"/>
      <c r="K13" s="171"/>
      <c r="L13" s="171"/>
      <c r="M13" s="171"/>
      <c r="N13" s="276"/>
      <c r="O13" s="256">
        <f t="shared" si="1"/>
        <v>0</v>
      </c>
      <c r="Q13" s="173"/>
      <c r="R13" s="65"/>
      <c r="S13" s="173"/>
      <c r="T13" s="173"/>
      <c r="U13" s="166"/>
      <c r="V13" s="166"/>
      <c r="W13" s="65"/>
      <c r="X13" s="66"/>
      <c r="Y13" s="173"/>
      <c r="Z13" s="166"/>
      <c r="AA13" s="174"/>
      <c r="AB13" s="175"/>
      <c r="AC13" s="175"/>
      <c r="AD13" s="175"/>
      <c r="AE13" s="175"/>
      <c r="AF13" s="175"/>
      <c r="AG13" s="175"/>
      <c r="AH13" s="175"/>
      <c r="AI13" s="176"/>
      <c r="AJ13" s="177"/>
      <c r="AK13" s="178"/>
      <c r="AL13" s="178"/>
      <c r="AM13" s="178"/>
      <c r="AN13" s="178"/>
      <c r="AO13" s="179"/>
      <c r="AP13" s="64"/>
      <c r="AQ13" s="65"/>
      <c r="AR13" s="65"/>
      <c r="AS13" s="65"/>
      <c r="AT13" s="173"/>
      <c r="AU13" s="177"/>
      <c r="AV13" s="178"/>
      <c r="AW13" s="178"/>
      <c r="AX13" s="179"/>
      <c r="AZ13" s="166"/>
      <c r="BA13" s="177"/>
      <c r="BB13" s="178"/>
      <c r="BC13" s="178"/>
      <c r="BD13" s="178"/>
      <c r="BE13" s="178"/>
      <c r="BF13" s="178"/>
      <c r="BG13" s="178"/>
      <c r="BH13" s="178"/>
      <c r="BI13" s="179"/>
      <c r="BJ13" s="180"/>
      <c r="BK13" s="178"/>
      <c r="BL13" s="178"/>
      <c r="BM13" s="178"/>
      <c r="BN13" s="178"/>
      <c r="BO13" s="181"/>
      <c r="BP13" s="166"/>
      <c r="BQ13" s="177"/>
      <c r="BR13" s="178"/>
      <c r="BS13" s="179"/>
      <c r="BU13" s="166"/>
      <c r="BV13" s="166"/>
      <c r="BW13" s="166"/>
      <c r="BX13" s="166"/>
      <c r="BY13" s="166"/>
      <c r="BZ13" s="166"/>
      <c r="CA13" s="166"/>
      <c r="CB13" s="166"/>
      <c r="CC13" s="166"/>
      <c r="CD13" s="177"/>
      <c r="CE13" s="181"/>
      <c r="CF13" s="177"/>
      <c r="CG13" s="179"/>
      <c r="CH13" s="257"/>
      <c r="CI13" s="182"/>
      <c r="CJ13" s="177"/>
      <c r="CK13" s="182"/>
      <c r="CL13" s="177"/>
      <c r="CM13" s="182"/>
      <c r="CN13" s="177"/>
      <c r="CO13" s="182"/>
      <c r="CP13" s="177"/>
      <c r="CQ13" s="178"/>
      <c r="CR13" s="182"/>
      <c r="CS13" s="173"/>
      <c r="CT13" s="65"/>
      <c r="CU13" s="255" t="str">
        <f t="shared" si="2"/>
        <v>STS</v>
      </c>
    </row>
    <row r="14" ht="60.0" customHeight="1">
      <c r="A14" s="65"/>
      <c r="C14" s="167">
        <v>7.0</v>
      </c>
      <c r="D14" s="168" t="s">
        <v>137</v>
      </c>
      <c r="E14" s="169"/>
      <c r="F14" s="170"/>
      <c r="G14" s="170"/>
      <c r="H14" s="170"/>
      <c r="I14" s="207"/>
      <c r="J14" s="170"/>
      <c r="K14" s="171"/>
      <c r="L14" s="171"/>
      <c r="M14" s="171"/>
      <c r="N14" s="276"/>
      <c r="O14" s="256">
        <f t="shared" ref="O14:O17" si="3">IF(AND(M14&gt;=20,M14&lt;&gt;"m",RIGHT(K14,3)="Lec"),1,IF(AND(M14&gt;=20,M14&lt;&gt;"m",OR(RIGHT(K14,3)="Lab",RIGHT(K14,3)="Tut")),0.5,IF(AND(M14&gt;=20,M14&lt;&gt;"m",RIGHT(K14,2)="TL"),0.75,0)))</f>
        <v>0</v>
      </c>
      <c r="Q14" s="173"/>
      <c r="R14" s="65"/>
      <c r="S14" s="173"/>
      <c r="T14" s="173"/>
      <c r="U14" s="166"/>
      <c r="V14" s="166"/>
      <c r="W14" s="65"/>
      <c r="X14" s="66"/>
      <c r="Y14" s="173"/>
      <c r="Z14" s="166"/>
      <c r="AA14" s="174"/>
      <c r="AB14" s="175"/>
      <c r="AC14" s="175"/>
      <c r="AD14" s="175"/>
      <c r="AE14" s="175"/>
      <c r="AF14" s="175"/>
      <c r="AG14" s="175"/>
      <c r="AH14" s="175"/>
      <c r="AI14" s="176"/>
      <c r="AJ14" s="177"/>
      <c r="AK14" s="178"/>
      <c r="AL14" s="178"/>
      <c r="AM14" s="178"/>
      <c r="AN14" s="178"/>
      <c r="AO14" s="179"/>
      <c r="AP14" s="64"/>
      <c r="AQ14" s="65"/>
      <c r="AR14" s="65"/>
      <c r="AS14" s="65"/>
      <c r="AT14" s="173"/>
      <c r="AU14" s="177"/>
      <c r="AV14" s="178"/>
      <c r="AW14" s="178"/>
      <c r="AX14" s="179"/>
      <c r="AZ14" s="166"/>
      <c r="BA14" s="177"/>
      <c r="BB14" s="178"/>
      <c r="BC14" s="178"/>
      <c r="BD14" s="178"/>
      <c r="BE14" s="178"/>
      <c r="BF14" s="178"/>
      <c r="BG14" s="178"/>
      <c r="BH14" s="178"/>
      <c r="BI14" s="179"/>
      <c r="BJ14" s="180"/>
      <c r="BK14" s="178"/>
      <c r="BL14" s="178"/>
      <c r="BM14" s="178"/>
      <c r="BN14" s="178"/>
      <c r="BO14" s="181"/>
      <c r="BP14" s="166"/>
      <c r="BQ14" s="177"/>
      <c r="BR14" s="178"/>
      <c r="BS14" s="179"/>
      <c r="BU14" s="166"/>
      <c r="BV14" s="166"/>
      <c r="BW14" s="166"/>
      <c r="BX14" s="166"/>
      <c r="BY14" s="166"/>
      <c r="BZ14" s="166"/>
      <c r="CA14" s="166"/>
      <c r="CB14" s="166"/>
      <c r="CC14" s="166"/>
      <c r="CD14" s="177"/>
      <c r="CE14" s="181"/>
      <c r="CF14" s="177"/>
      <c r="CG14" s="179"/>
      <c r="CH14" s="257"/>
      <c r="CI14" s="182"/>
      <c r="CJ14" s="177"/>
      <c r="CK14" s="182"/>
      <c r="CL14" s="177"/>
      <c r="CM14" s="182"/>
      <c r="CN14" s="177"/>
      <c r="CO14" s="182"/>
      <c r="CP14" s="177"/>
      <c r="CQ14" s="178"/>
      <c r="CR14" s="182"/>
      <c r="CS14" s="173"/>
      <c r="CT14" s="65"/>
      <c r="CU14" s="255" t="str">
        <f t="shared" si="2"/>
        <v>STS</v>
      </c>
    </row>
    <row r="15" ht="60.0" customHeight="1">
      <c r="A15" s="65"/>
      <c r="C15" s="167">
        <v>8.0</v>
      </c>
      <c r="D15" s="168" t="s">
        <v>137</v>
      </c>
      <c r="E15" s="169"/>
      <c r="F15" s="170"/>
      <c r="G15" s="170"/>
      <c r="H15" s="170"/>
      <c r="I15" s="207"/>
      <c r="J15" s="170"/>
      <c r="K15" s="171"/>
      <c r="L15" s="171"/>
      <c r="M15" s="171"/>
      <c r="N15" s="276"/>
      <c r="O15" s="256">
        <f t="shared" si="3"/>
        <v>0</v>
      </c>
      <c r="Q15" s="173"/>
      <c r="R15" s="65"/>
      <c r="S15" s="173"/>
      <c r="T15" s="173"/>
      <c r="U15" s="166"/>
      <c r="V15" s="166"/>
      <c r="W15" s="65"/>
      <c r="X15" s="66"/>
      <c r="Y15" s="173"/>
      <c r="Z15" s="166"/>
      <c r="AA15" s="174"/>
      <c r="AB15" s="175"/>
      <c r="AC15" s="175"/>
      <c r="AD15" s="175"/>
      <c r="AE15" s="175"/>
      <c r="AF15" s="175"/>
      <c r="AG15" s="175"/>
      <c r="AH15" s="175"/>
      <c r="AI15" s="176"/>
      <c r="AJ15" s="177"/>
      <c r="AK15" s="178"/>
      <c r="AL15" s="178"/>
      <c r="AM15" s="178"/>
      <c r="AN15" s="178"/>
      <c r="AO15" s="179"/>
      <c r="AP15" s="64"/>
      <c r="AQ15" s="65"/>
      <c r="AR15" s="65"/>
      <c r="AS15" s="65"/>
      <c r="AT15" s="173"/>
      <c r="AU15" s="177"/>
      <c r="AV15" s="178"/>
      <c r="AW15" s="178"/>
      <c r="AX15" s="179"/>
      <c r="AZ15" s="166"/>
      <c r="BA15" s="177"/>
      <c r="BB15" s="178"/>
      <c r="BC15" s="178"/>
      <c r="BD15" s="178"/>
      <c r="BE15" s="178"/>
      <c r="BF15" s="178"/>
      <c r="BG15" s="178"/>
      <c r="BH15" s="178"/>
      <c r="BI15" s="179"/>
      <c r="BJ15" s="180"/>
      <c r="BK15" s="178"/>
      <c r="BL15" s="178"/>
      <c r="BM15" s="178"/>
      <c r="BN15" s="178"/>
      <c r="BO15" s="181"/>
      <c r="BP15" s="166"/>
      <c r="BQ15" s="177"/>
      <c r="BR15" s="178"/>
      <c r="BS15" s="179"/>
      <c r="BU15" s="166"/>
      <c r="BV15" s="166"/>
      <c r="BW15" s="166"/>
      <c r="BX15" s="166"/>
      <c r="BY15" s="166"/>
      <c r="BZ15" s="166"/>
      <c r="CA15" s="166"/>
      <c r="CB15" s="166"/>
      <c r="CC15" s="166"/>
      <c r="CD15" s="177"/>
      <c r="CE15" s="181"/>
      <c r="CF15" s="177"/>
      <c r="CG15" s="179"/>
      <c r="CH15" s="257"/>
      <c r="CI15" s="182"/>
      <c r="CJ15" s="177"/>
      <c r="CK15" s="182"/>
      <c r="CL15" s="177"/>
      <c r="CM15" s="182"/>
      <c r="CN15" s="177"/>
      <c r="CO15" s="182"/>
      <c r="CP15" s="177"/>
      <c r="CQ15" s="178"/>
      <c r="CR15" s="182"/>
      <c r="CS15" s="173"/>
      <c r="CT15" s="65"/>
      <c r="CU15" s="255" t="str">
        <f t="shared" si="2"/>
        <v>STS</v>
      </c>
    </row>
    <row r="16" ht="60.0" customHeight="1">
      <c r="A16" s="65"/>
      <c r="C16" s="167">
        <v>9.0</v>
      </c>
      <c r="D16" s="168" t="s">
        <v>137</v>
      </c>
      <c r="E16" s="169"/>
      <c r="F16" s="170"/>
      <c r="G16" s="170"/>
      <c r="H16" s="170"/>
      <c r="I16" s="207"/>
      <c r="J16" s="170"/>
      <c r="K16" s="171"/>
      <c r="L16" s="171"/>
      <c r="M16" s="171"/>
      <c r="N16" s="276"/>
      <c r="O16" s="256">
        <f t="shared" si="3"/>
        <v>0</v>
      </c>
      <c r="Q16" s="173"/>
      <c r="R16" s="65"/>
      <c r="S16" s="173"/>
      <c r="T16" s="173"/>
      <c r="U16" s="166"/>
      <c r="V16" s="166"/>
      <c r="W16" s="65"/>
      <c r="X16" s="66"/>
      <c r="Y16" s="173"/>
      <c r="Z16" s="166"/>
      <c r="AA16" s="174"/>
      <c r="AB16" s="175"/>
      <c r="AC16" s="175"/>
      <c r="AD16" s="175"/>
      <c r="AE16" s="175"/>
      <c r="AF16" s="175"/>
      <c r="AG16" s="175"/>
      <c r="AH16" s="175"/>
      <c r="AI16" s="176"/>
      <c r="AJ16" s="177"/>
      <c r="AK16" s="178"/>
      <c r="AL16" s="178"/>
      <c r="AM16" s="178"/>
      <c r="AN16" s="178"/>
      <c r="AO16" s="179"/>
      <c r="AP16" s="64"/>
      <c r="AQ16" s="65"/>
      <c r="AR16" s="65"/>
      <c r="AS16" s="65"/>
      <c r="AT16" s="173"/>
      <c r="AU16" s="177"/>
      <c r="AV16" s="178"/>
      <c r="AW16" s="178"/>
      <c r="AX16" s="179"/>
      <c r="AZ16" s="166"/>
      <c r="BA16" s="177"/>
      <c r="BB16" s="178"/>
      <c r="BC16" s="178"/>
      <c r="BD16" s="178"/>
      <c r="BE16" s="178"/>
      <c r="BF16" s="178"/>
      <c r="BG16" s="178"/>
      <c r="BH16" s="178"/>
      <c r="BI16" s="179"/>
      <c r="BJ16" s="180"/>
      <c r="BK16" s="178"/>
      <c r="BL16" s="178"/>
      <c r="BM16" s="178"/>
      <c r="BN16" s="178"/>
      <c r="BO16" s="181"/>
      <c r="BP16" s="166"/>
      <c r="BQ16" s="177"/>
      <c r="BR16" s="178"/>
      <c r="BS16" s="179"/>
      <c r="BU16" s="166"/>
      <c r="BV16" s="166"/>
      <c r="BW16" s="166"/>
      <c r="BX16" s="166"/>
      <c r="BY16" s="166"/>
      <c r="BZ16" s="166"/>
      <c r="CA16" s="166"/>
      <c r="CB16" s="166"/>
      <c r="CC16" s="166"/>
      <c r="CD16" s="177"/>
      <c r="CE16" s="181"/>
      <c r="CF16" s="177"/>
      <c r="CG16" s="179"/>
      <c r="CH16" s="257"/>
      <c r="CI16" s="182"/>
      <c r="CJ16" s="177"/>
      <c r="CK16" s="182"/>
      <c r="CL16" s="177"/>
      <c r="CM16" s="182"/>
      <c r="CN16" s="177"/>
      <c r="CO16" s="182"/>
      <c r="CP16" s="177"/>
      <c r="CQ16" s="178"/>
      <c r="CR16" s="182"/>
      <c r="CS16" s="173"/>
      <c r="CT16" s="65"/>
      <c r="CU16" s="255" t="str">
        <f t="shared" si="2"/>
        <v>STS</v>
      </c>
    </row>
    <row r="17" ht="60.0" customHeight="1">
      <c r="A17" s="65"/>
      <c r="C17" s="167">
        <v>10.0</v>
      </c>
      <c r="D17" s="168" t="s">
        <v>137</v>
      </c>
      <c r="E17" s="169"/>
      <c r="F17" s="170"/>
      <c r="G17" s="170"/>
      <c r="H17" s="170"/>
      <c r="I17" s="207"/>
      <c r="J17" s="170"/>
      <c r="K17" s="171"/>
      <c r="L17" s="171"/>
      <c r="M17" s="171"/>
      <c r="N17" s="276"/>
      <c r="O17" s="256">
        <f t="shared" si="3"/>
        <v>0</v>
      </c>
      <c r="Q17" s="173"/>
      <c r="R17" s="65"/>
      <c r="S17" s="173"/>
      <c r="T17" s="173"/>
      <c r="U17" s="166"/>
      <c r="V17" s="166"/>
      <c r="W17" s="65"/>
      <c r="X17" s="66"/>
      <c r="Y17" s="173"/>
      <c r="Z17" s="166"/>
      <c r="AA17" s="174"/>
      <c r="AB17" s="175"/>
      <c r="AC17" s="175"/>
      <c r="AD17" s="175"/>
      <c r="AE17" s="175"/>
      <c r="AF17" s="175"/>
      <c r="AG17" s="175"/>
      <c r="AH17" s="175"/>
      <c r="AI17" s="176"/>
      <c r="AJ17" s="177"/>
      <c r="AK17" s="178"/>
      <c r="AL17" s="178"/>
      <c r="AM17" s="178"/>
      <c r="AN17" s="178"/>
      <c r="AO17" s="179"/>
      <c r="AP17" s="64"/>
      <c r="AQ17" s="65"/>
      <c r="AR17" s="65"/>
      <c r="AS17" s="65"/>
      <c r="AT17" s="173"/>
      <c r="AU17" s="177"/>
      <c r="AV17" s="178"/>
      <c r="AW17" s="178"/>
      <c r="AX17" s="179"/>
      <c r="AZ17" s="166"/>
      <c r="BA17" s="177"/>
      <c r="BB17" s="178"/>
      <c r="BC17" s="178"/>
      <c r="BD17" s="178"/>
      <c r="BE17" s="178"/>
      <c r="BF17" s="178"/>
      <c r="BG17" s="178"/>
      <c r="BH17" s="178"/>
      <c r="BI17" s="179"/>
      <c r="BJ17" s="180"/>
      <c r="BK17" s="178"/>
      <c r="BL17" s="178"/>
      <c r="BM17" s="178"/>
      <c r="BN17" s="178"/>
      <c r="BO17" s="181"/>
      <c r="BP17" s="166"/>
      <c r="BQ17" s="177"/>
      <c r="BR17" s="178"/>
      <c r="BS17" s="179"/>
      <c r="BU17" s="166"/>
      <c r="BV17" s="166"/>
      <c r="BW17" s="166"/>
      <c r="BX17" s="166"/>
      <c r="BY17" s="166"/>
      <c r="BZ17" s="166"/>
      <c r="CA17" s="166"/>
      <c r="CB17" s="166"/>
      <c r="CC17" s="166"/>
      <c r="CD17" s="177"/>
      <c r="CE17" s="181"/>
      <c r="CF17" s="177"/>
      <c r="CG17" s="179"/>
      <c r="CH17" s="257"/>
      <c r="CI17" s="182"/>
      <c r="CJ17" s="177"/>
      <c r="CK17" s="182"/>
      <c r="CL17" s="177"/>
      <c r="CM17" s="182"/>
      <c r="CN17" s="177"/>
      <c r="CO17" s="182"/>
      <c r="CP17" s="177"/>
      <c r="CQ17" s="178"/>
      <c r="CR17" s="182"/>
      <c r="CS17" s="173"/>
      <c r="CT17" s="65"/>
      <c r="CU17" s="255" t="str">
        <f t="shared" si="2"/>
        <v>STS</v>
      </c>
    </row>
    <row r="18" ht="60.0" customHeight="1">
      <c r="A18" s="89"/>
      <c r="C18" s="183">
        <v>11.0</v>
      </c>
      <c r="D18" s="210" t="s">
        <v>137</v>
      </c>
      <c r="E18" s="185"/>
      <c r="F18" s="186"/>
      <c r="G18" s="186"/>
      <c r="H18" s="186"/>
      <c r="I18" s="212"/>
      <c r="J18" s="186"/>
      <c r="K18" s="187"/>
      <c r="L18" s="187"/>
      <c r="M18" s="187"/>
      <c r="N18" s="214"/>
      <c r="O18" s="258">
        <f t="shared" ref="O18:O24" si="4">IF(AND(M18&lt;&gt;0,M18&lt;&gt;"m",M18&lt;&gt;"",RIGHT(K18,3)="Lec"),1,IF(AND(M18&lt;&gt;0,M18&lt;&gt;"m",M18&lt;&gt;"",OR(RIGHT(K18,3)="Lab",RIGHT(K18,3)="Tut")),0.5,IF(AND(M18&lt;&gt;0,M18&lt;&gt;"m",M18&lt;&gt;"",RIGHT(K18,2)="TL"),0.75,0)))</f>
        <v>0</v>
      </c>
      <c r="P18" s="6"/>
      <c r="Q18" s="69"/>
      <c r="R18" s="89"/>
      <c r="S18" s="69"/>
      <c r="T18" s="69"/>
      <c r="U18" s="63"/>
      <c r="V18" s="63"/>
      <c r="W18" s="89"/>
      <c r="X18" s="68"/>
      <c r="Y18" s="69"/>
      <c r="Z18" s="63"/>
      <c r="AA18" s="189"/>
      <c r="AB18" s="190"/>
      <c r="AC18" s="190"/>
      <c r="AD18" s="190"/>
      <c r="AE18" s="190"/>
      <c r="AF18" s="190"/>
      <c r="AG18" s="190"/>
      <c r="AH18" s="190"/>
      <c r="AI18" s="191"/>
      <c r="AJ18" s="192"/>
      <c r="AK18" s="193"/>
      <c r="AL18" s="193"/>
      <c r="AM18" s="193"/>
      <c r="AN18" s="193"/>
      <c r="AO18" s="194"/>
      <c r="AP18" s="103"/>
      <c r="AQ18" s="89"/>
      <c r="AR18" s="89"/>
      <c r="AS18" s="89"/>
      <c r="AT18" s="69"/>
      <c r="AU18" s="192"/>
      <c r="AV18" s="193"/>
      <c r="AW18" s="193"/>
      <c r="AX18" s="194"/>
      <c r="AY18" s="6"/>
      <c r="AZ18" s="63"/>
      <c r="BA18" s="192"/>
      <c r="BB18" s="193"/>
      <c r="BC18" s="193"/>
      <c r="BD18" s="193"/>
      <c r="BE18" s="193"/>
      <c r="BF18" s="193"/>
      <c r="BG18" s="193"/>
      <c r="BH18" s="193"/>
      <c r="BI18" s="194"/>
      <c r="BJ18" s="195"/>
      <c r="BK18" s="193"/>
      <c r="BL18" s="193"/>
      <c r="BM18" s="193"/>
      <c r="BN18" s="193"/>
      <c r="BO18" s="196"/>
      <c r="BP18" s="63"/>
      <c r="BQ18" s="192"/>
      <c r="BR18" s="193"/>
      <c r="BS18" s="194"/>
      <c r="BT18" s="6"/>
      <c r="BU18" s="63"/>
      <c r="BV18" s="63"/>
      <c r="BW18" s="63"/>
      <c r="BX18" s="63"/>
      <c r="BY18" s="63"/>
      <c r="BZ18" s="63"/>
      <c r="CA18" s="63"/>
      <c r="CB18" s="63"/>
      <c r="CC18" s="63"/>
      <c r="CD18" s="192"/>
      <c r="CE18" s="196"/>
      <c r="CF18" s="192"/>
      <c r="CG18" s="194"/>
      <c r="CH18" s="259"/>
      <c r="CI18" s="197"/>
      <c r="CJ18" s="192"/>
      <c r="CK18" s="197"/>
      <c r="CL18" s="192"/>
      <c r="CM18" s="197"/>
      <c r="CN18" s="192"/>
      <c r="CO18" s="197"/>
      <c r="CP18" s="192"/>
      <c r="CQ18" s="193"/>
      <c r="CR18" s="197"/>
      <c r="CS18" s="69"/>
      <c r="CT18" s="89"/>
      <c r="CU18" s="255" t="str">
        <f t="shared" si="2"/>
        <v>STS</v>
      </c>
    </row>
    <row r="19" ht="55.5" customHeight="1">
      <c r="A19" s="125">
        <v>2.0</v>
      </c>
      <c r="B19" s="199" t="s">
        <v>146</v>
      </c>
      <c r="C19" s="127">
        <v>1.0</v>
      </c>
      <c r="D19" s="168" t="s">
        <v>147</v>
      </c>
      <c r="E19" s="129"/>
      <c r="F19" s="130"/>
      <c r="G19" s="130"/>
      <c r="H19" s="130"/>
      <c r="I19" s="201"/>
      <c r="J19" s="130"/>
      <c r="K19" s="131"/>
      <c r="L19" s="131"/>
      <c r="M19" s="131"/>
      <c r="N19" s="275"/>
      <c r="O19" s="250">
        <f t="shared" si="4"/>
        <v>0</v>
      </c>
      <c r="P19" s="251">
        <f>COUNTIF(K19:K29,"TL")*0.75+COUNTIF(K19:K29,"Lec")*1+COUNTIF(K19:K29,"Lab")*0.5</f>
        <v>0</v>
      </c>
      <c r="Q19" s="134">
        <f>SUM((IF(LEFT(K19,1)="E",O19,0)),(IF(LEFT(K20,1)="E",O20,0)),(IF(LEFT(K21,1)="E",O21,0)),(IF(LEFT(K22,1)="E",O22,0)),(IF(LEFT(K23,1)="E",O23,0)),(IF(LEFT(K24,1)="E",O24,0)),(IF(LEFT(K25,1)="E",O25,0)),(IF(LEFT(K26,1)="E",O26,0)),(IF(LEFT(K27,1)="E",O27,0)),(IF(LEFT(K28,1)="E",O28,0)),(IF(LEFT(K29,1)="E",O29,0)))</f>
        <v>0</v>
      </c>
      <c r="R19" s="135">
        <f>SUM(IF(M25&lt;20,IF(K25="Plec",-1,IF(K25="PTL",-0.75,IF(K25="Plab",-0.5,0))),0),IF(M26&lt;20,IF(K26="Plec",-1,IF(K26="PTL",-0.75,IF(K26="Plab",-0.5,0))),0),IF(M27&lt;20,IF(K27="Plec",-1,IF(K27="PTL",-0.75,IF(K27="Plab",-0.5,0))),0),IF(M28&lt;20,IF(K28="Plec",-1,IF(K28="PTL",-0.75,IF(K28="Plab",-0.5,0))),0))</f>
        <v>0</v>
      </c>
      <c r="S19" s="134">
        <f>SUM(P19:R29)</f>
        <v>0</v>
      </c>
      <c r="T19" s="136">
        <f>SUM(IF(M19="M",IF(OR(K19="lec",K19="plec",K19="slec"),1,IF(OR(K19="lab",K19="plab",K19="slab",K19="tut",K19="ptut",K19="stut"),0.5,IF(OR(K19="TL",K19="pTL",K19="STL"),0.75,0))),0),IF(M20="M",IF(OR(K20="lec",K20="plec",K20="slec"),1,IF(OR(K20="lab",K20="plab",K20="slab",K20="tut",K20="ptut",K20="stut"),0.5,IF(OR(K20="TL",K20="pTL",K20="STL"),0.75,0))),0),IF(M21="M",IF(OR(K21="lec",K21="plec",K21="slec"),1,IF(OR(K21="lab",K21="plab",K21="slab",K21="tut",K21="ptut",K21="stut"),0.5,IF(OR(K21="TL",K21="pTL",K21="STL"),0.75,0))),0),IF(M22="M",IF(OR(K22="lec",K22="plec",K22="slec"),1,IF(OR(K22="lab",K22="plab",K22="slab",K22="tut",K22="ptut",K22="stut"),0.5,IF(OR(K22="TL",K22="pTL",K22="STL"),0.75,0))),0),IF(M23="M",IF(OR(K23="lec",K23="plec",K23="slec"),1,IF(OR(K23="lab",K23="plab",K23="slab",K23="tut",K23="ptut",K23="stut"),0.5,IF(OR(K23="TL",K23="pTL",K23="STL"),0.75,0))),0),IF(M24="M",IF(OR(K24="lec",K24="plec",K24="slec"),1,IF(OR(K24="lab",K24="plab",K24="slab",K24="tut",K24="ptut",K24="stut"),0.5,IF(OR(K24="TL",K24="pTL",K24="STL"),0.75,0))),0),IF(M25="M",IF(OR(K25="lec",K25="plec",K25="slec"),1,IF(OR(K25="lab",K25="plab",K25="slab",K25="tut",K25="ptut",K25="stut"),0.5,IF(OR(K25="TL",K25="pTL",K25="STL"),0.75,0))),0),IF(M26="M",IF(OR(K26="lec",K26="plec",K26="slec"),1,IF(OR(K26="lab",K26="plab",K26="slab",K26="tut",K26="ptut",K26="stut"),0.5,IF(OR(K26="TL",K26="pTL",K26="STL"),0.75,0))),0),IF(M27="M",IF(OR(K27="lec",K27="plec",K27="slec"),1,IF(OR(K27="lab",K27="plab",K27="slab",K27="tut",K27="ptut",K27="stut"),0.5,IF(OR(K27="TL",K27="pTL",K27="STL"),0.75,0))),0),IF(M28="M",IF(OR(K28="lec",K28="plec",K28="slec"),1,IF(OR(K28="lab",K28="plab",K28="slab",K28="tut",K28="ptut",K28="stut"),0.5,IF(OR(K28="TL",K28="pTL",K28="STL"),0.75,0))),0),IF(M29="M",IF(OR(K29="lec",K29="plec",K29="slec"),1,IF(OR(K29="lab",K29="plab",K29="slab",K29="tut",K29="ptut",K29="stut"),0.5,IF(OR(K29="TL",K29="pTL",K29="STL"),0.75,0))),0))</f>
        <v>0</v>
      </c>
      <c r="U19" s="137"/>
      <c r="V19" s="133"/>
      <c r="W19" s="138"/>
      <c r="X19" s="139">
        <f>S19-(T19+U19+V19+W19)</f>
        <v>0</v>
      </c>
      <c r="Y19" s="134" t="str">
        <f>CONCATENATE(SUM(O19:O29),"(",SUM(O19:O29)-X19,")")</f>
        <v>0(0)</v>
      </c>
      <c r="Z19" s="140"/>
      <c r="AA19" s="141"/>
      <c r="AB19" s="142"/>
      <c r="AC19" s="142"/>
      <c r="AD19" s="142"/>
      <c r="AE19" s="142"/>
      <c r="AF19" s="142"/>
      <c r="AG19" s="142"/>
      <c r="AH19" s="142"/>
      <c r="AI19" s="143"/>
      <c r="AJ19" s="144"/>
      <c r="AK19" s="145"/>
      <c r="AL19" s="145"/>
      <c r="AM19" s="145"/>
      <c r="AN19" s="145"/>
      <c r="AO19" s="146"/>
      <c r="AP19" s="147">
        <f>SUM(SUM(O19:O29),SUM(AI19:AI29)/2,AM19)</f>
        <v>0</v>
      </c>
      <c r="AQ19" s="148"/>
      <c r="AR19" s="148">
        <f>AP19*AQ19</f>
        <v>0</v>
      </c>
      <c r="AS19" s="148">
        <f>CT19</f>
        <v>0</v>
      </c>
      <c r="AT19" s="149">
        <f>AR19*0.75+AS19*0.25</f>
        <v>0</v>
      </c>
      <c r="AU19" s="150"/>
      <c r="AV19" s="151"/>
      <c r="AW19" s="151"/>
      <c r="AX19" s="152"/>
      <c r="AY19" s="153"/>
      <c r="AZ19" s="140"/>
      <c r="BA19" s="150"/>
      <c r="BB19" s="151"/>
      <c r="BC19" s="151"/>
      <c r="BD19" s="151"/>
      <c r="BE19" s="151"/>
      <c r="BF19" s="151"/>
      <c r="BG19" s="151"/>
      <c r="BH19" s="151"/>
      <c r="BI19" s="152"/>
      <c r="BJ19" s="154"/>
      <c r="BK19" s="151"/>
      <c r="BL19" s="151"/>
      <c r="BM19" s="151"/>
      <c r="BN19" s="151"/>
      <c r="BO19" s="155"/>
      <c r="BP19" s="140"/>
      <c r="BQ19" s="156"/>
      <c r="BR19" s="157"/>
      <c r="BS19" s="158"/>
      <c r="BT19" s="153"/>
      <c r="BU19" s="140"/>
      <c r="BV19" s="140"/>
      <c r="BW19" s="140"/>
      <c r="BX19" s="140"/>
      <c r="BY19" s="140"/>
      <c r="BZ19" s="140"/>
      <c r="CA19" s="140"/>
      <c r="CB19" s="140"/>
      <c r="CC19" s="140"/>
      <c r="CD19" s="150"/>
      <c r="CE19" s="155"/>
      <c r="CF19" s="150"/>
      <c r="CG19" s="152"/>
      <c r="CH19" s="252"/>
      <c r="CI19" s="160"/>
      <c r="CJ19" s="159"/>
      <c r="CK19" s="160"/>
      <c r="CL19" s="159"/>
      <c r="CM19" s="160"/>
      <c r="CN19" s="159"/>
      <c r="CO19" s="160"/>
      <c r="CP19" s="159"/>
      <c r="CQ19" s="162"/>
      <c r="CR19" s="160"/>
      <c r="CS19" s="253">
        <f>SUM(IF(AU19&lt;0,ABS(AU19),0),IF(AZ19&lt;0,ABS(AZ19),0),ABS(CI19),ABS(CK19),ABS(CM19),ABS(CO19),ABS(CQ19),ABS(CR19))</f>
        <v>0</v>
      </c>
      <c r="CT19" s="254">
        <f>SUM(AU19,AV19,AW19,AX19/400,AY19,AZ19,BG19,BH19*0.5,BI19*0.25,BJ19,BK19,BL19,BM19,BN19,BO19,BP19,BR19/20,BS19/100,BT19/60,BU19,BV19,BW19,BX19/4,SUM(BY19:CC29)/3,CE19,CG19/3,CI19,CK19,CM19,CO19,CQ19,CR19)</f>
        <v>0</v>
      </c>
      <c r="CU19" s="255" t="str">
        <f t="shared" si="2"/>
        <v>DVB</v>
      </c>
    </row>
    <row r="20" ht="60.0" customHeight="1">
      <c r="A20" s="65"/>
      <c r="C20" s="167">
        <v>2.0</v>
      </c>
      <c r="D20" s="168" t="s">
        <v>147</v>
      </c>
      <c r="E20" s="169"/>
      <c r="F20" s="170"/>
      <c r="G20" s="170"/>
      <c r="H20" s="170"/>
      <c r="I20" s="207"/>
      <c r="J20" s="170"/>
      <c r="K20" s="171"/>
      <c r="L20" s="171"/>
      <c r="M20" s="171"/>
      <c r="N20" s="276"/>
      <c r="O20" s="256">
        <f t="shared" si="4"/>
        <v>0</v>
      </c>
      <c r="Q20" s="173"/>
      <c r="R20" s="65"/>
      <c r="S20" s="173"/>
      <c r="T20" s="173"/>
      <c r="U20" s="166"/>
      <c r="V20" s="166"/>
      <c r="W20" s="65"/>
      <c r="X20" s="66"/>
      <c r="Y20" s="173"/>
      <c r="Z20" s="166"/>
      <c r="AA20" s="174"/>
      <c r="AB20" s="175"/>
      <c r="AC20" s="175"/>
      <c r="AD20" s="175"/>
      <c r="AE20" s="175"/>
      <c r="AF20" s="175"/>
      <c r="AG20" s="175"/>
      <c r="AH20" s="175"/>
      <c r="AI20" s="176"/>
      <c r="AJ20" s="177"/>
      <c r="AK20" s="178"/>
      <c r="AL20" s="178"/>
      <c r="AM20" s="178"/>
      <c r="AN20" s="178"/>
      <c r="AO20" s="179"/>
      <c r="AP20" s="64"/>
      <c r="AQ20" s="65"/>
      <c r="AR20" s="65"/>
      <c r="AS20" s="65"/>
      <c r="AT20" s="173"/>
      <c r="AU20" s="177"/>
      <c r="AV20" s="178"/>
      <c r="AW20" s="178"/>
      <c r="AX20" s="179"/>
      <c r="AZ20" s="166"/>
      <c r="BA20" s="177"/>
      <c r="BB20" s="178"/>
      <c r="BC20" s="178"/>
      <c r="BD20" s="178"/>
      <c r="BE20" s="178"/>
      <c r="BF20" s="178"/>
      <c r="BG20" s="178"/>
      <c r="BH20" s="178"/>
      <c r="BI20" s="179"/>
      <c r="BJ20" s="180"/>
      <c r="BK20" s="178"/>
      <c r="BL20" s="178"/>
      <c r="BM20" s="178"/>
      <c r="BN20" s="178"/>
      <c r="BO20" s="181"/>
      <c r="BP20" s="166"/>
      <c r="BQ20" s="177"/>
      <c r="BR20" s="178"/>
      <c r="BS20" s="179"/>
      <c r="BU20" s="166"/>
      <c r="BV20" s="166"/>
      <c r="BW20" s="166"/>
      <c r="BX20" s="166"/>
      <c r="BY20" s="166"/>
      <c r="BZ20" s="166"/>
      <c r="CA20" s="166"/>
      <c r="CB20" s="166"/>
      <c r="CC20" s="166"/>
      <c r="CD20" s="177"/>
      <c r="CE20" s="181"/>
      <c r="CF20" s="177"/>
      <c r="CG20" s="179"/>
      <c r="CH20" s="257"/>
      <c r="CI20" s="182"/>
      <c r="CJ20" s="177"/>
      <c r="CK20" s="182"/>
      <c r="CL20" s="177"/>
      <c r="CM20" s="182"/>
      <c r="CN20" s="177"/>
      <c r="CO20" s="182"/>
      <c r="CP20" s="177"/>
      <c r="CQ20" s="178"/>
      <c r="CR20" s="182"/>
      <c r="CS20" s="173"/>
      <c r="CT20" s="65"/>
      <c r="CU20" s="255" t="str">
        <f t="shared" si="2"/>
        <v>DVB</v>
      </c>
    </row>
    <row r="21" ht="60.0" customHeight="1">
      <c r="A21" s="65"/>
      <c r="C21" s="167">
        <v>3.0</v>
      </c>
      <c r="D21" s="168" t="s">
        <v>147</v>
      </c>
      <c r="E21" s="169"/>
      <c r="F21" s="170"/>
      <c r="G21" s="170"/>
      <c r="H21" s="170"/>
      <c r="I21" s="207"/>
      <c r="J21" s="170"/>
      <c r="K21" s="171"/>
      <c r="L21" s="171"/>
      <c r="M21" s="171"/>
      <c r="N21" s="276"/>
      <c r="O21" s="256">
        <f t="shared" si="4"/>
        <v>0</v>
      </c>
      <c r="Q21" s="173"/>
      <c r="R21" s="65"/>
      <c r="S21" s="173"/>
      <c r="T21" s="173"/>
      <c r="U21" s="166"/>
      <c r="V21" s="166"/>
      <c r="W21" s="65"/>
      <c r="X21" s="66"/>
      <c r="Y21" s="173"/>
      <c r="Z21" s="166"/>
      <c r="AA21" s="174"/>
      <c r="AB21" s="175"/>
      <c r="AC21" s="175"/>
      <c r="AD21" s="175"/>
      <c r="AE21" s="175"/>
      <c r="AF21" s="175"/>
      <c r="AG21" s="175"/>
      <c r="AH21" s="175"/>
      <c r="AI21" s="176"/>
      <c r="AJ21" s="177"/>
      <c r="AK21" s="178"/>
      <c r="AL21" s="178"/>
      <c r="AM21" s="178"/>
      <c r="AN21" s="178"/>
      <c r="AO21" s="179"/>
      <c r="AP21" s="64"/>
      <c r="AQ21" s="65"/>
      <c r="AR21" s="65"/>
      <c r="AS21" s="65"/>
      <c r="AT21" s="173"/>
      <c r="AU21" s="177"/>
      <c r="AV21" s="178"/>
      <c r="AW21" s="178"/>
      <c r="AX21" s="179"/>
      <c r="AZ21" s="166"/>
      <c r="BA21" s="177"/>
      <c r="BB21" s="178"/>
      <c r="BC21" s="178"/>
      <c r="BD21" s="178"/>
      <c r="BE21" s="178"/>
      <c r="BF21" s="178"/>
      <c r="BG21" s="178"/>
      <c r="BH21" s="178"/>
      <c r="BI21" s="179"/>
      <c r="BJ21" s="180"/>
      <c r="BK21" s="178"/>
      <c r="BL21" s="178"/>
      <c r="BM21" s="178"/>
      <c r="BN21" s="178"/>
      <c r="BO21" s="181"/>
      <c r="BP21" s="166"/>
      <c r="BQ21" s="177"/>
      <c r="BR21" s="178"/>
      <c r="BS21" s="179"/>
      <c r="BU21" s="166"/>
      <c r="BV21" s="166"/>
      <c r="BW21" s="166"/>
      <c r="BX21" s="166"/>
      <c r="BY21" s="166"/>
      <c r="BZ21" s="166"/>
      <c r="CA21" s="166"/>
      <c r="CB21" s="166"/>
      <c r="CC21" s="166"/>
      <c r="CD21" s="177"/>
      <c r="CE21" s="181"/>
      <c r="CF21" s="177"/>
      <c r="CG21" s="179"/>
      <c r="CH21" s="257"/>
      <c r="CI21" s="182"/>
      <c r="CJ21" s="177"/>
      <c r="CK21" s="182"/>
      <c r="CL21" s="177"/>
      <c r="CM21" s="182"/>
      <c r="CN21" s="177"/>
      <c r="CO21" s="182"/>
      <c r="CP21" s="177"/>
      <c r="CQ21" s="178"/>
      <c r="CR21" s="182"/>
      <c r="CS21" s="173"/>
      <c r="CT21" s="65"/>
      <c r="CU21" s="255" t="str">
        <f t="shared" si="2"/>
        <v>DVB</v>
      </c>
    </row>
    <row r="22" ht="60.0" customHeight="1">
      <c r="A22" s="65"/>
      <c r="C22" s="167">
        <v>4.0</v>
      </c>
      <c r="D22" s="168" t="s">
        <v>147</v>
      </c>
      <c r="E22" s="169"/>
      <c r="F22" s="170"/>
      <c r="G22" s="170"/>
      <c r="H22" s="170"/>
      <c r="I22" s="207"/>
      <c r="J22" s="170"/>
      <c r="K22" s="171"/>
      <c r="L22" s="171"/>
      <c r="M22" s="171"/>
      <c r="N22" s="276"/>
      <c r="O22" s="256">
        <f t="shared" si="4"/>
        <v>0</v>
      </c>
      <c r="Q22" s="173"/>
      <c r="R22" s="65"/>
      <c r="S22" s="173"/>
      <c r="T22" s="173"/>
      <c r="U22" s="166"/>
      <c r="V22" s="166"/>
      <c r="W22" s="65"/>
      <c r="X22" s="66"/>
      <c r="Y22" s="173"/>
      <c r="Z22" s="166"/>
      <c r="AA22" s="174"/>
      <c r="AB22" s="175"/>
      <c r="AC22" s="175"/>
      <c r="AD22" s="175"/>
      <c r="AE22" s="175"/>
      <c r="AF22" s="175"/>
      <c r="AG22" s="175"/>
      <c r="AH22" s="175"/>
      <c r="AI22" s="176"/>
      <c r="AJ22" s="177"/>
      <c r="AK22" s="178"/>
      <c r="AL22" s="178"/>
      <c r="AM22" s="178"/>
      <c r="AN22" s="178"/>
      <c r="AO22" s="179"/>
      <c r="AP22" s="64"/>
      <c r="AQ22" s="65"/>
      <c r="AR22" s="65"/>
      <c r="AS22" s="65"/>
      <c r="AT22" s="173"/>
      <c r="AU22" s="177"/>
      <c r="AV22" s="178"/>
      <c r="AW22" s="178"/>
      <c r="AX22" s="179"/>
      <c r="AZ22" s="166"/>
      <c r="BA22" s="177"/>
      <c r="BB22" s="178"/>
      <c r="BC22" s="178"/>
      <c r="BD22" s="178"/>
      <c r="BE22" s="178"/>
      <c r="BF22" s="178"/>
      <c r="BG22" s="178"/>
      <c r="BH22" s="178"/>
      <c r="BI22" s="179"/>
      <c r="BJ22" s="180"/>
      <c r="BK22" s="178"/>
      <c r="BL22" s="178"/>
      <c r="BM22" s="178"/>
      <c r="BN22" s="178"/>
      <c r="BO22" s="181"/>
      <c r="BP22" s="166"/>
      <c r="BQ22" s="177"/>
      <c r="BR22" s="178"/>
      <c r="BS22" s="179"/>
      <c r="BU22" s="166"/>
      <c r="BV22" s="166"/>
      <c r="BW22" s="166"/>
      <c r="BX22" s="166"/>
      <c r="BY22" s="166"/>
      <c r="BZ22" s="166"/>
      <c r="CA22" s="166"/>
      <c r="CB22" s="166"/>
      <c r="CC22" s="166"/>
      <c r="CD22" s="177"/>
      <c r="CE22" s="181"/>
      <c r="CF22" s="177"/>
      <c r="CG22" s="179"/>
      <c r="CH22" s="257"/>
      <c r="CI22" s="182"/>
      <c r="CJ22" s="177"/>
      <c r="CK22" s="182"/>
      <c r="CL22" s="177"/>
      <c r="CM22" s="182"/>
      <c r="CN22" s="177"/>
      <c r="CO22" s="182"/>
      <c r="CP22" s="177"/>
      <c r="CQ22" s="178"/>
      <c r="CR22" s="182"/>
      <c r="CS22" s="173"/>
      <c r="CT22" s="65"/>
      <c r="CU22" s="255" t="str">
        <f t="shared" si="2"/>
        <v>DVB</v>
      </c>
    </row>
    <row r="23" ht="60.0" customHeight="1">
      <c r="A23" s="65"/>
      <c r="C23" s="167">
        <v>5.0</v>
      </c>
      <c r="D23" s="168" t="s">
        <v>147</v>
      </c>
      <c r="E23" s="169"/>
      <c r="F23" s="170"/>
      <c r="G23" s="170"/>
      <c r="H23" s="170"/>
      <c r="I23" s="207"/>
      <c r="J23" s="170"/>
      <c r="K23" s="171"/>
      <c r="L23" s="171"/>
      <c r="M23" s="171"/>
      <c r="N23" s="276"/>
      <c r="O23" s="256">
        <f t="shared" si="4"/>
        <v>0</v>
      </c>
      <c r="Q23" s="173"/>
      <c r="R23" s="65"/>
      <c r="S23" s="173"/>
      <c r="T23" s="173"/>
      <c r="U23" s="166"/>
      <c r="V23" s="166"/>
      <c r="W23" s="65"/>
      <c r="X23" s="66"/>
      <c r="Y23" s="173"/>
      <c r="Z23" s="166"/>
      <c r="AA23" s="174"/>
      <c r="AB23" s="175"/>
      <c r="AC23" s="175"/>
      <c r="AD23" s="175"/>
      <c r="AE23" s="175"/>
      <c r="AF23" s="175"/>
      <c r="AG23" s="175"/>
      <c r="AH23" s="175"/>
      <c r="AI23" s="176"/>
      <c r="AJ23" s="177"/>
      <c r="AK23" s="178"/>
      <c r="AL23" s="178"/>
      <c r="AM23" s="178"/>
      <c r="AN23" s="178"/>
      <c r="AO23" s="179"/>
      <c r="AP23" s="64"/>
      <c r="AQ23" s="65"/>
      <c r="AR23" s="65"/>
      <c r="AS23" s="65"/>
      <c r="AT23" s="173"/>
      <c r="AU23" s="177"/>
      <c r="AV23" s="178"/>
      <c r="AW23" s="178"/>
      <c r="AX23" s="179"/>
      <c r="AZ23" s="166"/>
      <c r="BA23" s="177"/>
      <c r="BB23" s="178"/>
      <c r="BC23" s="178"/>
      <c r="BD23" s="178"/>
      <c r="BE23" s="178"/>
      <c r="BF23" s="178"/>
      <c r="BG23" s="178"/>
      <c r="BH23" s="178"/>
      <c r="BI23" s="179"/>
      <c r="BJ23" s="180"/>
      <c r="BK23" s="178"/>
      <c r="BL23" s="178"/>
      <c r="BM23" s="178"/>
      <c r="BN23" s="178"/>
      <c r="BO23" s="181"/>
      <c r="BP23" s="166"/>
      <c r="BQ23" s="177"/>
      <c r="BR23" s="178"/>
      <c r="BS23" s="179"/>
      <c r="BU23" s="166"/>
      <c r="BV23" s="166"/>
      <c r="BW23" s="166"/>
      <c r="BX23" s="166"/>
      <c r="BY23" s="166"/>
      <c r="BZ23" s="166"/>
      <c r="CA23" s="166"/>
      <c r="CB23" s="166"/>
      <c r="CC23" s="166"/>
      <c r="CD23" s="177"/>
      <c r="CE23" s="181"/>
      <c r="CF23" s="177"/>
      <c r="CG23" s="179"/>
      <c r="CH23" s="257"/>
      <c r="CI23" s="182"/>
      <c r="CJ23" s="177"/>
      <c r="CK23" s="182"/>
      <c r="CL23" s="177"/>
      <c r="CM23" s="182"/>
      <c r="CN23" s="177"/>
      <c r="CO23" s="182"/>
      <c r="CP23" s="177"/>
      <c r="CQ23" s="178"/>
      <c r="CR23" s="182"/>
      <c r="CS23" s="173"/>
      <c r="CT23" s="65"/>
      <c r="CU23" s="255" t="str">
        <f t="shared" si="2"/>
        <v>DVB</v>
      </c>
    </row>
    <row r="24" ht="60.0" customHeight="1">
      <c r="A24" s="65"/>
      <c r="C24" s="167">
        <v>6.0</v>
      </c>
      <c r="D24" s="168" t="s">
        <v>147</v>
      </c>
      <c r="E24" s="169"/>
      <c r="F24" s="170"/>
      <c r="G24" s="170"/>
      <c r="H24" s="170"/>
      <c r="I24" s="207"/>
      <c r="J24" s="170"/>
      <c r="K24" s="171"/>
      <c r="L24" s="171"/>
      <c r="M24" s="171"/>
      <c r="N24" s="276"/>
      <c r="O24" s="256">
        <f t="shared" si="4"/>
        <v>0</v>
      </c>
      <c r="Q24" s="173"/>
      <c r="R24" s="65"/>
      <c r="S24" s="173"/>
      <c r="T24" s="173"/>
      <c r="U24" s="166"/>
      <c r="V24" s="166"/>
      <c r="W24" s="65"/>
      <c r="X24" s="66"/>
      <c r="Y24" s="173"/>
      <c r="Z24" s="166"/>
      <c r="AA24" s="174"/>
      <c r="AB24" s="175"/>
      <c r="AC24" s="175"/>
      <c r="AD24" s="175"/>
      <c r="AE24" s="175"/>
      <c r="AF24" s="175"/>
      <c r="AG24" s="175"/>
      <c r="AH24" s="175"/>
      <c r="AI24" s="176"/>
      <c r="AJ24" s="177"/>
      <c r="AK24" s="178"/>
      <c r="AL24" s="178"/>
      <c r="AM24" s="178"/>
      <c r="AN24" s="178"/>
      <c r="AO24" s="179"/>
      <c r="AP24" s="64"/>
      <c r="AQ24" s="65"/>
      <c r="AR24" s="65"/>
      <c r="AS24" s="65"/>
      <c r="AT24" s="173"/>
      <c r="AU24" s="177"/>
      <c r="AV24" s="178"/>
      <c r="AW24" s="178"/>
      <c r="AX24" s="179"/>
      <c r="AZ24" s="166"/>
      <c r="BA24" s="177"/>
      <c r="BB24" s="178"/>
      <c r="BC24" s="178"/>
      <c r="BD24" s="178"/>
      <c r="BE24" s="178"/>
      <c r="BF24" s="178"/>
      <c r="BG24" s="178"/>
      <c r="BH24" s="178"/>
      <c r="BI24" s="179"/>
      <c r="BJ24" s="180"/>
      <c r="BK24" s="178"/>
      <c r="BL24" s="178"/>
      <c r="BM24" s="178"/>
      <c r="BN24" s="178"/>
      <c r="BO24" s="181"/>
      <c r="BP24" s="166"/>
      <c r="BQ24" s="177"/>
      <c r="BR24" s="178"/>
      <c r="BS24" s="179"/>
      <c r="BU24" s="166"/>
      <c r="BV24" s="166"/>
      <c r="BW24" s="166"/>
      <c r="BX24" s="166"/>
      <c r="BY24" s="166"/>
      <c r="BZ24" s="166"/>
      <c r="CA24" s="166"/>
      <c r="CB24" s="166"/>
      <c r="CC24" s="166"/>
      <c r="CD24" s="177"/>
      <c r="CE24" s="181"/>
      <c r="CF24" s="177"/>
      <c r="CG24" s="179"/>
      <c r="CH24" s="257"/>
      <c r="CI24" s="182"/>
      <c r="CJ24" s="177"/>
      <c r="CK24" s="182"/>
      <c r="CL24" s="177"/>
      <c r="CM24" s="182"/>
      <c r="CN24" s="177"/>
      <c r="CO24" s="182"/>
      <c r="CP24" s="177"/>
      <c r="CQ24" s="178"/>
      <c r="CR24" s="182"/>
      <c r="CS24" s="173"/>
      <c r="CT24" s="65"/>
      <c r="CU24" s="255" t="str">
        <f t="shared" si="2"/>
        <v>DVB</v>
      </c>
    </row>
    <row r="25" ht="60.0" customHeight="1">
      <c r="A25" s="65"/>
      <c r="C25" s="167">
        <v>7.0</v>
      </c>
      <c r="D25" s="168" t="s">
        <v>147</v>
      </c>
      <c r="E25" s="169"/>
      <c r="F25" s="170"/>
      <c r="G25" s="170"/>
      <c r="H25" s="170"/>
      <c r="I25" s="207"/>
      <c r="J25" s="170"/>
      <c r="K25" s="171"/>
      <c r="L25" s="171"/>
      <c r="M25" s="171"/>
      <c r="N25" s="276"/>
      <c r="O25" s="256">
        <f t="shared" ref="O25:O28" si="5">IF(AND(M25&gt;=20,M25&lt;&gt;"m",RIGHT(K25,3)="Lec"),1,IF(AND(M25&gt;=20,M25&lt;&gt;"m",OR(RIGHT(K25,3)="Lab",RIGHT(K25,3)="Tut")),0.5,IF(AND(M25&gt;=20,M25&lt;&gt;"m",RIGHT(K25,2)="TL"),0.75,0)))</f>
        <v>0</v>
      </c>
      <c r="Q25" s="173"/>
      <c r="R25" s="65"/>
      <c r="S25" s="173"/>
      <c r="T25" s="173"/>
      <c r="U25" s="166"/>
      <c r="V25" s="166"/>
      <c r="W25" s="65"/>
      <c r="X25" s="66"/>
      <c r="Y25" s="173"/>
      <c r="Z25" s="166"/>
      <c r="AA25" s="174"/>
      <c r="AB25" s="175"/>
      <c r="AC25" s="175"/>
      <c r="AD25" s="175"/>
      <c r="AE25" s="175"/>
      <c r="AF25" s="175"/>
      <c r="AG25" s="175"/>
      <c r="AH25" s="175"/>
      <c r="AI25" s="176"/>
      <c r="AJ25" s="177"/>
      <c r="AK25" s="178"/>
      <c r="AL25" s="178"/>
      <c r="AM25" s="178"/>
      <c r="AN25" s="178"/>
      <c r="AO25" s="179"/>
      <c r="AP25" s="64"/>
      <c r="AQ25" s="65"/>
      <c r="AR25" s="65"/>
      <c r="AS25" s="65"/>
      <c r="AT25" s="173"/>
      <c r="AU25" s="177"/>
      <c r="AV25" s="178"/>
      <c r="AW25" s="178"/>
      <c r="AX25" s="179"/>
      <c r="AZ25" s="166"/>
      <c r="BA25" s="177"/>
      <c r="BB25" s="178"/>
      <c r="BC25" s="178"/>
      <c r="BD25" s="178"/>
      <c r="BE25" s="178"/>
      <c r="BF25" s="178"/>
      <c r="BG25" s="178"/>
      <c r="BH25" s="178"/>
      <c r="BI25" s="179"/>
      <c r="BJ25" s="180"/>
      <c r="BK25" s="178"/>
      <c r="BL25" s="178"/>
      <c r="BM25" s="178"/>
      <c r="BN25" s="178"/>
      <c r="BO25" s="181"/>
      <c r="BP25" s="166"/>
      <c r="BQ25" s="177"/>
      <c r="BR25" s="178"/>
      <c r="BS25" s="179"/>
      <c r="BU25" s="166"/>
      <c r="BV25" s="166"/>
      <c r="BW25" s="166"/>
      <c r="BX25" s="166"/>
      <c r="BY25" s="166"/>
      <c r="BZ25" s="166"/>
      <c r="CA25" s="166"/>
      <c r="CB25" s="166"/>
      <c r="CC25" s="166"/>
      <c r="CD25" s="177"/>
      <c r="CE25" s="181"/>
      <c r="CF25" s="177"/>
      <c r="CG25" s="179"/>
      <c r="CH25" s="257"/>
      <c r="CI25" s="182"/>
      <c r="CJ25" s="177"/>
      <c r="CK25" s="182"/>
      <c r="CL25" s="177"/>
      <c r="CM25" s="182"/>
      <c r="CN25" s="177"/>
      <c r="CO25" s="182"/>
      <c r="CP25" s="177"/>
      <c r="CQ25" s="178"/>
      <c r="CR25" s="182"/>
      <c r="CS25" s="173"/>
      <c r="CT25" s="65"/>
      <c r="CU25" s="255" t="str">
        <f t="shared" si="2"/>
        <v>DVB</v>
      </c>
    </row>
    <row r="26" ht="60.0" customHeight="1">
      <c r="A26" s="65"/>
      <c r="C26" s="167">
        <v>8.0</v>
      </c>
      <c r="D26" s="168" t="s">
        <v>147</v>
      </c>
      <c r="E26" s="169"/>
      <c r="F26" s="170"/>
      <c r="G26" s="170"/>
      <c r="H26" s="170"/>
      <c r="I26" s="207"/>
      <c r="J26" s="170"/>
      <c r="K26" s="171"/>
      <c r="L26" s="171"/>
      <c r="M26" s="171"/>
      <c r="N26" s="276"/>
      <c r="O26" s="256">
        <f t="shared" si="5"/>
        <v>0</v>
      </c>
      <c r="Q26" s="173"/>
      <c r="R26" s="65"/>
      <c r="S26" s="173"/>
      <c r="T26" s="173"/>
      <c r="U26" s="166"/>
      <c r="V26" s="166"/>
      <c r="W26" s="65"/>
      <c r="X26" s="66"/>
      <c r="Y26" s="173"/>
      <c r="Z26" s="166"/>
      <c r="AA26" s="174"/>
      <c r="AB26" s="175"/>
      <c r="AC26" s="175"/>
      <c r="AD26" s="175"/>
      <c r="AE26" s="175"/>
      <c r="AF26" s="175"/>
      <c r="AG26" s="175"/>
      <c r="AH26" s="175"/>
      <c r="AI26" s="176"/>
      <c r="AJ26" s="177"/>
      <c r="AK26" s="178"/>
      <c r="AL26" s="178"/>
      <c r="AM26" s="178"/>
      <c r="AN26" s="178"/>
      <c r="AO26" s="179"/>
      <c r="AP26" s="64"/>
      <c r="AQ26" s="65"/>
      <c r="AR26" s="65"/>
      <c r="AS26" s="65"/>
      <c r="AT26" s="173"/>
      <c r="AU26" s="177"/>
      <c r="AV26" s="178"/>
      <c r="AW26" s="178"/>
      <c r="AX26" s="179"/>
      <c r="AZ26" s="166"/>
      <c r="BA26" s="177"/>
      <c r="BB26" s="178"/>
      <c r="BC26" s="178"/>
      <c r="BD26" s="178"/>
      <c r="BE26" s="178"/>
      <c r="BF26" s="178"/>
      <c r="BG26" s="178"/>
      <c r="BH26" s="178"/>
      <c r="BI26" s="179"/>
      <c r="BJ26" s="180"/>
      <c r="BK26" s="178"/>
      <c r="BL26" s="178"/>
      <c r="BM26" s="178"/>
      <c r="BN26" s="178"/>
      <c r="BO26" s="181"/>
      <c r="BP26" s="166"/>
      <c r="BQ26" s="177"/>
      <c r="BR26" s="178"/>
      <c r="BS26" s="179"/>
      <c r="BU26" s="166"/>
      <c r="BV26" s="166"/>
      <c r="BW26" s="166"/>
      <c r="BX26" s="166"/>
      <c r="BY26" s="166"/>
      <c r="BZ26" s="166"/>
      <c r="CA26" s="166"/>
      <c r="CB26" s="166"/>
      <c r="CC26" s="166"/>
      <c r="CD26" s="177"/>
      <c r="CE26" s="181"/>
      <c r="CF26" s="177"/>
      <c r="CG26" s="179"/>
      <c r="CH26" s="257"/>
      <c r="CI26" s="182"/>
      <c r="CJ26" s="177"/>
      <c r="CK26" s="182"/>
      <c r="CL26" s="177"/>
      <c r="CM26" s="182"/>
      <c r="CN26" s="177"/>
      <c r="CO26" s="182"/>
      <c r="CP26" s="177"/>
      <c r="CQ26" s="178"/>
      <c r="CR26" s="182"/>
      <c r="CS26" s="173"/>
      <c r="CT26" s="65"/>
      <c r="CU26" s="255" t="str">
        <f t="shared" si="2"/>
        <v>DVB</v>
      </c>
    </row>
    <row r="27" ht="60.0" customHeight="1">
      <c r="A27" s="65"/>
      <c r="C27" s="167">
        <v>9.0</v>
      </c>
      <c r="D27" s="168" t="s">
        <v>147</v>
      </c>
      <c r="E27" s="169"/>
      <c r="F27" s="170"/>
      <c r="G27" s="170"/>
      <c r="H27" s="170"/>
      <c r="I27" s="207"/>
      <c r="J27" s="170"/>
      <c r="K27" s="171"/>
      <c r="L27" s="171"/>
      <c r="M27" s="171"/>
      <c r="N27" s="276"/>
      <c r="O27" s="256">
        <f t="shared" si="5"/>
        <v>0</v>
      </c>
      <c r="Q27" s="173"/>
      <c r="R27" s="65"/>
      <c r="S27" s="173"/>
      <c r="T27" s="173"/>
      <c r="U27" s="166"/>
      <c r="V27" s="166"/>
      <c r="W27" s="65"/>
      <c r="X27" s="66"/>
      <c r="Y27" s="173"/>
      <c r="Z27" s="166"/>
      <c r="AA27" s="174"/>
      <c r="AB27" s="175"/>
      <c r="AC27" s="175"/>
      <c r="AD27" s="175"/>
      <c r="AE27" s="175"/>
      <c r="AF27" s="175"/>
      <c r="AG27" s="175"/>
      <c r="AH27" s="175"/>
      <c r="AI27" s="176"/>
      <c r="AJ27" s="177"/>
      <c r="AK27" s="178"/>
      <c r="AL27" s="178"/>
      <c r="AM27" s="178"/>
      <c r="AN27" s="178"/>
      <c r="AO27" s="179"/>
      <c r="AP27" s="64"/>
      <c r="AQ27" s="65"/>
      <c r="AR27" s="65"/>
      <c r="AS27" s="65"/>
      <c r="AT27" s="173"/>
      <c r="AU27" s="177"/>
      <c r="AV27" s="178"/>
      <c r="AW27" s="178"/>
      <c r="AX27" s="179"/>
      <c r="AZ27" s="166"/>
      <c r="BA27" s="177"/>
      <c r="BB27" s="178"/>
      <c r="BC27" s="178"/>
      <c r="BD27" s="178"/>
      <c r="BE27" s="178"/>
      <c r="BF27" s="178"/>
      <c r="BG27" s="178"/>
      <c r="BH27" s="178"/>
      <c r="BI27" s="179"/>
      <c r="BJ27" s="180"/>
      <c r="BK27" s="178"/>
      <c r="BL27" s="178"/>
      <c r="BM27" s="178"/>
      <c r="BN27" s="178"/>
      <c r="BO27" s="181"/>
      <c r="BP27" s="166"/>
      <c r="BQ27" s="177"/>
      <c r="BR27" s="178"/>
      <c r="BS27" s="179"/>
      <c r="BU27" s="166"/>
      <c r="BV27" s="166"/>
      <c r="BW27" s="166"/>
      <c r="BX27" s="166"/>
      <c r="BY27" s="166"/>
      <c r="BZ27" s="166"/>
      <c r="CA27" s="166"/>
      <c r="CB27" s="166"/>
      <c r="CC27" s="166"/>
      <c r="CD27" s="177"/>
      <c r="CE27" s="181"/>
      <c r="CF27" s="177"/>
      <c r="CG27" s="179"/>
      <c r="CH27" s="257"/>
      <c r="CI27" s="182"/>
      <c r="CJ27" s="177"/>
      <c r="CK27" s="182"/>
      <c r="CL27" s="177"/>
      <c r="CM27" s="182"/>
      <c r="CN27" s="177"/>
      <c r="CO27" s="182"/>
      <c r="CP27" s="177"/>
      <c r="CQ27" s="178"/>
      <c r="CR27" s="182"/>
      <c r="CS27" s="173"/>
      <c r="CT27" s="65"/>
      <c r="CU27" s="255" t="str">
        <f t="shared" si="2"/>
        <v>DVB</v>
      </c>
    </row>
    <row r="28" ht="60.0" customHeight="1">
      <c r="A28" s="65"/>
      <c r="C28" s="167">
        <v>10.0</v>
      </c>
      <c r="D28" s="168" t="s">
        <v>147</v>
      </c>
      <c r="E28" s="169"/>
      <c r="F28" s="170"/>
      <c r="G28" s="170"/>
      <c r="H28" s="170"/>
      <c r="I28" s="207"/>
      <c r="J28" s="170"/>
      <c r="K28" s="171"/>
      <c r="L28" s="171"/>
      <c r="M28" s="171"/>
      <c r="N28" s="276"/>
      <c r="O28" s="256">
        <f t="shared" si="5"/>
        <v>0</v>
      </c>
      <c r="Q28" s="173"/>
      <c r="R28" s="65"/>
      <c r="S28" s="173"/>
      <c r="T28" s="173"/>
      <c r="U28" s="166"/>
      <c r="V28" s="166"/>
      <c r="W28" s="65"/>
      <c r="X28" s="66"/>
      <c r="Y28" s="173"/>
      <c r="Z28" s="166"/>
      <c r="AA28" s="174"/>
      <c r="AB28" s="175"/>
      <c r="AC28" s="175"/>
      <c r="AD28" s="175"/>
      <c r="AE28" s="175"/>
      <c r="AF28" s="175"/>
      <c r="AG28" s="175"/>
      <c r="AH28" s="175"/>
      <c r="AI28" s="176"/>
      <c r="AJ28" s="177"/>
      <c r="AK28" s="178"/>
      <c r="AL28" s="178"/>
      <c r="AM28" s="178"/>
      <c r="AN28" s="178"/>
      <c r="AO28" s="179"/>
      <c r="AP28" s="64"/>
      <c r="AQ28" s="65"/>
      <c r="AR28" s="65"/>
      <c r="AS28" s="65"/>
      <c r="AT28" s="173"/>
      <c r="AU28" s="177"/>
      <c r="AV28" s="178"/>
      <c r="AW28" s="178"/>
      <c r="AX28" s="179"/>
      <c r="AZ28" s="166"/>
      <c r="BA28" s="177"/>
      <c r="BB28" s="178"/>
      <c r="BC28" s="178"/>
      <c r="BD28" s="178"/>
      <c r="BE28" s="178"/>
      <c r="BF28" s="178"/>
      <c r="BG28" s="178"/>
      <c r="BH28" s="178"/>
      <c r="BI28" s="179"/>
      <c r="BJ28" s="180"/>
      <c r="BK28" s="178"/>
      <c r="BL28" s="178"/>
      <c r="BM28" s="178"/>
      <c r="BN28" s="178"/>
      <c r="BO28" s="181"/>
      <c r="BP28" s="166"/>
      <c r="BQ28" s="177"/>
      <c r="BR28" s="178"/>
      <c r="BS28" s="179"/>
      <c r="BU28" s="166"/>
      <c r="BV28" s="166"/>
      <c r="BW28" s="166"/>
      <c r="BX28" s="166"/>
      <c r="BY28" s="166"/>
      <c r="BZ28" s="166"/>
      <c r="CA28" s="166"/>
      <c r="CB28" s="166"/>
      <c r="CC28" s="166"/>
      <c r="CD28" s="177"/>
      <c r="CE28" s="181"/>
      <c r="CF28" s="177"/>
      <c r="CG28" s="179"/>
      <c r="CH28" s="257"/>
      <c r="CI28" s="182"/>
      <c r="CJ28" s="177"/>
      <c r="CK28" s="182"/>
      <c r="CL28" s="177"/>
      <c r="CM28" s="182"/>
      <c r="CN28" s="177"/>
      <c r="CO28" s="182"/>
      <c r="CP28" s="177"/>
      <c r="CQ28" s="178"/>
      <c r="CR28" s="182"/>
      <c r="CS28" s="173"/>
      <c r="CT28" s="65"/>
      <c r="CU28" s="255" t="str">
        <f t="shared" si="2"/>
        <v>DVB</v>
      </c>
    </row>
    <row r="29" ht="60.0" customHeight="1">
      <c r="A29" s="89"/>
      <c r="C29" s="183">
        <v>11.0</v>
      </c>
      <c r="D29" s="210" t="s">
        <v>147</v>
      </c>
      <c r="E29" s="185"/>
      <c r="F29" s="186"/>
      <c r="G29" s="186"/>
      <c r="H29" s="186"/>
      <c r="I29" s="212"/>
      <c r="J29" s="186"/>
      <c r="K29" s="187"/>
      <c r="L29" s="187"/>
      <c r="M29" s="187"/>
      <c r="N29" s="214"/>
      <c r="O29" s="258">
        <f t="shared" ref="O29:O35" si="6">IF(AND(M29&lt;&gt;0,M29&lt;&gt;"m",M29&lt;&gt;"",RIGHT(K29,3)="Lec"),1,IF(AND(M29&lt;&gt;0,M29&lt;&gt;"m",M29&lt;&gt;"",OR(RIGHT(K29,3)="Lab",RIGHT(K29,3)="Tut")),0.5,IF(AND(M29&lt;&gt;0,M29&lt;&gt;"m",M29&lt;&gt;"",RIGHT(K29,2)="TL"),0.75,0)))</f>
        <v>0</v>
      </c>
      <c r="P29" s="6"/>
      <c r="Q29" s="69"/>
      <c r="R29" s="89"/>
      <c r="S29" s="69"/>
      <c r="T29" s="69"/>
      <c r="U29" s="63"/>
      <c r="V29" s="63"/>
      <c r="W29" s="89"/>
      <c r="X29" s="68"/>
      <c r="Y29" s="69"/>
      <c r="Z29" s="63"/>
      <c r="AA29" s="189"/>
      <c r="AB29" s="190"/>
      <c r="AC29" s="190"/>
      <c r="AD29" s="190"/>
      <c r="AE29" s="190"/>
      <c r="AF29" s="190"/>
      <c r="AG29" s="190"/>
      <c r="AH29" s="190"/>
      <c r="AI29" s="191"/>
      <c r="AJ29" s="192"/>
      <c r="AK29" s="193"/>
      <c r="AL29" s="193"/>
      <c r="AM29" s="193"/>
      <c r="AN29" s="193"/>
      <c r="AO29" s="194"/>
      <c r="AP29" s="103"/>
      <c r="AQ29" s="89"/>
      <c r="AR29" s="89"/>
      <c r="AS29" s="89"/>
      <c r="AT29" s="69"/>
      <c r="AU29" s="192"/>
      <c r="AV29" s="193"/>
      <c r="AW29" s="193"/>
      <c r="AX29" s="194"/>
      <c r="AY29" s="6"/>
      <c r="AZ29" s="63"/>
      <c r="BA29" s="192"/>
      <c r="BB29" s="193"/>
      <c r="BC29" s="193"/>
      <c r="BD29" s="193"/>
      <c r="BE29" s="193"/>
      <c r="BF29" s="193"/>
      <c r="BG29" s="193"/>
      <c r="BH29" s="193"/>
      <c r="BI29" s="194"/>
      <c r="BJ29" s="195"/>
      <c r="BK29" s="193"/>
      <c r="BL29" s="193"/>
      <c r="BM29" s="193"/>
      <c r="BN29" s="193"/>
      <c r="BO29" s="196"/>
      <c r="BP29" s="63"/>
      <c r="BQ29" s="192"/>
      <c r="BR29" s="193"/>
      <c r="BS29" s="194"/>
      <c r="BT29" s="6"/>
      <c r="BU29" s="63"/>
      <c r="BV29" s="63"/>
      <c r="BW29" s="63"/>
      <c r="BX29" s="63"/>
      <c r="BY29" s="63"/>
      <c r="BZ29" s="63"/>
      <c r="CA29" s="63"/>
      <c r="CB29" s="63"/>
      <c r="CC29" s="63"/>
      <c r="CD29" s="192"/>
      <c r="CE29" s="196"/>
      <c r="CF29" s="192"/>
      <c r="CG29" s="194"/>
      <c r="CH29" s="259"/>
      <c r="CI29" s="197"/>
      <c r="CJ29" s="192"/>
      <c r="CK29" s="197"/>
      <c r="CL29" s="192"/>
      <c r="CM29" s="197"/>
      <c r="CN29" s="192"/>
      <c r="CO29" s="197"/>
      <c r="CP29" s="192"/>
      <c r="CQ29" s="193"/>
      <c r="CR29" s="197"/>
      <c r="CS29" s="69"/>
      <c r="CT29" s="89"/>
      <c r="CU29" s="255" t="str">
        <f t="shared" si="2"/>
        <v>DVB</v>
      </c>
    </row>
    <row r="30" ht="55.5" customHeight="1">
      <c r="A30" s="125">
        <v>3.0</v>
      </c>
      <c r="B30" s="199" t="s">
        <v>153</v>
      </c>
      <c r="C30" s="127">
        <v>1.0</v>
      </c>
      <c r="D30" s="168" t="s">
        <v>154</v>
      </c>
      <c r="E30" s="129"/>
      <c r="F30" s="130"/>
      <c r="G30" s="130"/>
      <c r="H30" s="130"/>
      <c r="I30" s="201"/>
      <c r="J30" s="130"/>
      <c r="K30" s="131"/>
      <c r="L30" s="131"/>
      <c r="M30" s="131"/>
      <c r="N30" s="275"/>
      <c r="O30" s="250">
        <f t="shared" si="6"/>
        <v>0</v>
      </c>
      <c r="P30" s="251">
        <f>COUNTIF(K30:K40,"TL")*0.75+COUNTIF(K30:K40,"Lec")*1+COUNTIF(K30:K40,"Lab")*0.5</f>
        <v>0</v>
      </c>
      <c r="Q30" s="134">
        <f>SUM((IF(LEFT(K30,1)="E",O30,0)),(IF(LEFT(K31,1)="E",O31,0)),(IF(LEFT(K32,1)="E",O32,0)),(IF(LEFT(K33,1)="E",O33,0)),(IF(LEFT(K34,1)="E",O34,0)),(IF(LEFT(K35,1)="E",O35,0)),(IF(LEFT(K36,1)="E",O36,0)),(IF(LEFT(K37,1)="E",O37,0)),(IF(LEFT(K38,1)="E",O38,0)),(IF(LEFT(K39,1)="E",O39,0)),(IF(LEFT(K40,1)="E",O40,0)))</f>
        <v>0</v>
      </c>
      <c r="R30" s="135">
        <f>SUM(IF(M36&lt;20,IF(K36="Plec",-1,IF(K36="PTL",-0.75,IF(K36="Plab",-0.5,0))),0),IF(M37&lt;20,IF(K37="Plec",-1,IF(K37="PTL",-0.75,IF(K37="Plab",-0.5,0))),0),IF(M38&lt;20,IF(K38="Plec",-1,IF(K38="PTL",-0.75,IF(K38="Plab",-0.5,0))),0),IF(M39&lt;20,IF(K39="Plec",-1,IF(K39="PTL",-0.75,IF(K39="Plab",-0.5,0))),0))</f>
        <v>0</v>
      </c>
      <c r="S30" s="134">
        <f>SUM(P30:R40)</f>
        <v>0</v>
      </c>
      <c r="T30" s="136">
        <f>SUM(IF(M30="M",IF(OR(K30="lec",K30="plec",K30="slec"),1,IF(OR(K30="lab",K30="plab",K30="slab",K30="tut",K30="ptut",K30="stut"),0.5,IF(OR(K30="TL",K30="pTL",K30="STL"),0.75,0))),0),IF(M31="M",IF(OR(K31="lec",K31="plec",K31="slec"),1,IF(OR(K31="lab",K31="plab",K31="slab",K31="tut",K31="ptut",K31="stut"),0.5,IF(OR(K31="TL",K31="pTL",K31="STL"),0.75,0))),0),IF(M32="M",IF(OR(K32="lec",K32="plec",K32="slec"),1,IF(OR(K32="lab",K32="plab",K32="slab",K32="tut",K32="ptut",K32="stut"),0.5,IF(OR(K32="TL",K32="pTL",K32="STL"),0.75,0))),0),IF(M33="M",IF(OR(K33="lec",K33="plec",K33="slec"),1,IF(OR(K33="lab",K33="plab",K33="slab",K33="tut",K33="ptut",K33="stut"),0.5,IF(OR(K33="TL",K33="pTL",K33="STL"),0.75,0))),0),IF(M34="M",IF(OR(K34="lec",K34="plec",K34="slec"),1,IF(OR(K34="lab",K34="plab",K34="slab",K34="tut",K34="ptut",K34="stut"),0.5,IF(OR(K34="TL",K34="pTL",K34="STL"),0.75,0))),0),IF(M35="M",IF(OR(K35="lec",K35="plec",K35="slec"),1,IF(OR(K35="lab",K35="plab",K35="slab",K35="tut",K35="ptut",K35="stut"),0.5,IF(OR(K35="TL",K35="pTL",K35="STL"),0.75,0))),0),IF(M36="M",IF(OR(K36="lec",K36="plec",K36="slec"),1,IF(OR(K36="lab",K36="plab",K36="slab",K36="tut",K36="ptut",K36="stut"),0.5,IF(OR(K36="TL",K36="pTL",K36="STL"),0.75,0))),0),IF(M37="M",IF(OR(K37="lec",K37="plec",K37="slec"),1,IF(OR(K37="lab",K37="plab",K37="slab",K37="tut",K37="ptut",K37="stut"),0.5,IF(OR(K37="TL",K37="pTL",K37="STL"),0.75,0))),0),IF(M38="M",IF(OR(K38="lec",K38="plec",K38="slec"),1,IF(OR(K38="lab",K38="plab",K38="slab",K38="tut",K38="ptut",K38="stut"),0.5,IF(OR(K38="TL",K38="pTL",K38="STL"),0.75,0))),0),IF(M39="M",IF(OR(K39="lec",K39="plec",K39="slec"),1,IF(OR(K39="lab",K39="plab",K39="slab",K39="tut",K39="ptut",K39="stut"),0.5,IF(OR(K39="TL",K39="pTL",K39="STL"),0.75,0))),0),IF(M40="M",IF(OR(K40="lec",K40="plec",K40="slec"),1,IF(OR(K40="lab",K40="plab",K40="slab",K40="tut",K40="ptut",K40="stut"),0.5,IF(OR(K40="TL",K40="pTL",K40="STL"),0.75,0))),0))</f>
        <v>0</v>
      </c>
      <c r="U30" s="137"/>
      <c r="V30" s="133"/>
      <c r="W30" s="138"/>
      <c r="X30" s="139">
        <f>S30-(T30+U30+V30+W30)</f>
        <v>0</v>
      </c>
      <c r="Y30" s="134" t="str">
        <f>CONCATENATE(SUM(O30:O40),"(",SUM(O30:O40)-X30,")")</f>
        <v>0(0)</v>
      </c>
      <c r="Z30" s="140"/>
      <c r="AA30" s="141"/>
      <c r="AB30" s="142"/>
      <c r="AC30" s="142"/>
      <c r="AD30" s="142"/>
      <c r="AE30" s="142"/>
      <c r="AF30" s="142"/>
      <c r="AG30" s="142"/>
      <c r="AH30" s="142"/>
      <c r="AI30" s="143"/>
      <c r="AJ30" s="144"/>
      <c r="AK30" s="145"/>
      <c r="AL30" s="145"/>
      <c r="AM30" s="145"/>
      <c r="AN30" s="145"/>
      <c r="AO30" s="146"/>
      <c r="AP30" s="147">
        <f>SUM(SUM(O30:O40),SUM(AI30:AI40)/2,AM30)</f>
        <v>0</v>
      </c>
      <c r="AQ30" s="148"/>
      <c r="AR30" s="148">
        <f>AP30*AQ30</f>
        <v>0</v>
      </c>
      <c r="AS30" s="148">
        <f>CT30</f>
        <v>0</v>
      </c>
      <c r="AT30" s="149">
        <f>AR30*0.75+AS30*0.25</f>
        <v>0</v>
      </c>
      <c r="AU30" s="150"/>
      <c r="AV30" s="151"/>
      <c r="AW30" s="151"/>
      <c r="AX30" s="152"/>
      <c r="AY30" s="153"/>
      <c r="AZ30" s="140"/>
      <c r="BA30" s="150"/>
      <c r="BB30" s="151"/>
      <c r="BC30" s="151"/>
      <c r="BD30" s="151"/>
      <c r="BE30" s="151"/>
      <c r="BF30" s="151"/>
      <c r="BG30" s="151"/>
      <c r="BH30" s="151"/>
      <c r="BI30" s="152"/>
      <c r="BJ30" s="154"/>
      <c r="BK30" s="151"/>
      <c r="BL30" s="151"/>
      <c r="BM30" s="151"/>
      <c r="BN30" s="151"/>
      <c r="BO30" s="155"/>
      <c r="BP30" s="140"/>
      <c r="BQ30" s="156"/>
      <c r="BR30" s="157"/>
      <c r="BS30" s="158"/>
      <c r="BT30" s="153"/>
      <c r="BU30" s="140"/>
      <c r="BV30" s="140"/>
      <c r="BW30" s="140"/>
      <c r="BX30" s="140"/>
      <c r="BY30" s="140"/>
      <c r="BZ30" s="140"/>
      <c r="CA30" s="140"/>
      <c r="CB30" s="140"/>
      <c r="CC30" s="140"/>
      <c r="CD30" s="150"/>
      <c r="CE30" s="155"/>
      <c r="CF30" s="150"/>
      <c r="CG30" s="152"/>
      <c r="CH30" s="252"/>
      <c r="CI30" s="160"/>
      <c r="CJ30" s="159"/>
      <c r="CK30" s="160"/>
      <c r="CL30" s="159"/>
      <c r="CM30" s="160"/>
      <c r="CN30" s="159"/>
      <c r="CO30" s="160"/>
      <c r="CP30" s="159"/>
      <c r="CQ30" s="162"/>
      <c r="CR30" s="160"/>
      <c r="CS30" s="253">
        <f>SUM(IF(AU30&lt;0,ABS(AU30),0),IF(AZ30&lt;0,ABS(AZ30),0),ABS(CI30),ABS(CK30),ABS(CM30),ABS(CO30),ABS(CQ30),ABS(CR30))</f>
        <v>0</v>
      </c>
      <c r="CT30" s="254">
        <f>SUM(AU30,AV30,AW30,AX30/400,AY30,AZ30,BG30,BH30*0.5,BI30*0.25,BJ30,BK30,BL30,BM30,BN30,BO30,BP30,BR30/20,BS30/100,BT30/60,BU30,BV30,BW30,BX30/4,SUM(BY30:CC40)/3,CE30,CG30/3,CI30,CK30,CM30,CO30,CQ30,CR30)</f>
        <v>0</v>
      </c>
      <c r="CU30" s="255" t="str">
        <f t="shared" si="2"/>
        <v>MPH</v>
      </c>
    </row>
    <row r="31" ht="60.0" customHeight="1">
      <c r="A31" s="65"/>
      <c r="C31" s="167">
        <v>2.0</v>
      </c>
      <c r="D31" s="168" t="s">
        <v>154</v>
      </c>
      <c r="E31" s="169"/>
      <c r="F31" s="170"/>
      <c r="G31" s="170"/>
      <c r="H31" s="170"/>
      <c r="I31" s="207"/>
      <c r="J31" s="170"/>
      <c r="K31" s="171"/>
      <c r="L31" s="171"/>
      <c r="M31" s="171"/>
      <c r="N31" s="276"/>
      <c r="O31" s="256">
        <f t="shared" si="6"/>
        <v>0</v>
      </c>
      <c r="Q31" s="173"/>
      <c r="R31" s="65"/>
      <c r="S31" s="173"/>
      <c r="T31" s="173"/>
      <c r="U31" s="166"/>
      <c r="V31" s="166"/>
      <c r="W31" s="65"/>
      <c r="X31" s="66"/>
      <c r="Y31" s="173"/>
      <c r="Z31" s="166"/>
      <c r="AA31" s="174"/>
      <c r="AB31" s="175"/>
      <c r="AC31" s="175"/>
      <c r="AD31" s="175"/>
      <c r="AE31" s="175"/>
      <c r="AF31" s="175"/>
      <c r="AG31" s="175"/>
      <c r="AH31" s="175"/>
      <c r="AI31" s="176"/>
      <c r="AJ31" s="177"/>
      <c r="AK31" s="178"/>
      <c r="AL31" s="178"/>
      <c r="AM31" s="178"/>
      <c r="AN31" s="178"/>
      <c r="AO31" s="179"/>
      <c r="AP31" s="64"/>
      <c r="AQ31" s="65"/>
      <c r="AR31" s="65"/>
      <c r="AS31" s="65"/>
      <c r="AT31" s="173"/>
      <c r="AU31" s="177"/>
      <c r="AV31" s="178"/>
      <c r="AW31" s="178"/>
      <c r="AX31" s="179"/>
      <c r="AZ31" s="166"/>
      <c r="BA31" s="177"/>
      <c r="BB31" s="178"/>
      <c r="BC31" s="178"/>
      <c r="BD31" s="178"/>
      <c r="BE31" s="178"/>
      <c r="BF31" s="178"/>
      <c r="BG31" s="178"/>
      <c r="BH31" s="178"/>
      <c r="BI31" s="179"/>
      <c r="BJ31" s="180"/>
      <c r="BK31" s="178"/>
      <c r="BL31" s="178"/>
      <c r="BM31" s="178"/>
      <c r="BN31" s="178"/>
      <c r="BO31" s="181"/>
      <c r="BP31" s="166"/>
      <c r="BQ31" s="177"/>
      <c r="BR31" s="178"/>
      <c r="BS31" s="179"/>
      <c r="BU31" s="166"/>
      <c r="BV31" s="166"/>
      <c r="BW31" s="166"/>
      <c r="BX31" s="166"/>
      <c r="BY31" s="166"/>
      <c r="BZ31" s="166"/>
      <c r="CA31" s="166"/>
      <c r="CB31" s="166"/>
      <c r="CC31" s="166"/>
      <c r="CD31" s="177"/>
      <c r="CE31" s="181"/>
      <c r="CF31" s="177"/>
      <c r="CG31" s="179"/>
      <c r="CH31" s="257"/>
      <c r="CI31" s="182"/>
      <c r="CJ31" s="177"/>
      <c r="CK31" s="182"/>
      <c r="CL31" s="177"/>
      <c r="CM31" s="182"/>
      <c r="CN31" s="177"/>
      <c r="CO31" s="182"/>
      <c r="CP31" s="177"/>
      <c r="CQ31" s="178"/>
      <c r="CR31" s="182"/>
      <c r="CS31" s="173"/>
      <c r="CT31" s="65"/>
      <c r="CU31" s="255" t="str">
        <f t="shared" si="2"/>
        <v>MPH</v>
      </c>
    </row>
    <row r="32" ht="60.0" customHeight="1">
      <c r="A32" s="65"/>
      <c r="C32" s="167">
        <v>3.0</v>
      </c>
      <c r="D32" s="168" t="s">
        <v>154</v>
      </c>
      <c r="E32" s="169"/>
      <c r="F32" s="170"/>
      <c r="G32" s="170"/>
      <c r="H32" s="170"/>
      <c r="I32" s="207"/>
      <c r="J32" s="170"/>
      <c r="K32" s="171"/>
      <c r="L32" s="171"/>
      <c r="M32" s="171"/>
      <c r="N32" s="276"/>
      <c r="O32" s="256">
        <f t="shared" si="6"/>
        <v>0</v>
      </c>
      <c r="Q32" s="173"/>
      <c r="R32" s="65"/>
      <c r="S32" s="173"/>
      <c r="T32" s="173"/>
      <c r="U32" s="166"/>
      <c r="V32" s="166"/>
      <c r="W32" s="65"/>
      <c r="X32" s="66"/>
      <c r="Y32" s="173"/>
      <c r="Z32" s="166"/>
      <c r="AA32" s="174"/>
      <c r="AB32" s="175"/>
      <c r="AC32" s="175"/>
      <c r="AD32" s="175"/>
      <c r="AE32" s="175"/>
      <c r="AF32" s="175"/>
      <c r="AG32" s="175"/>
      <c r="AH32" s="175"/>
      <c r="AI32" s="176"/>
      <c r="AJ32" s="177"/>
      <c r="AK32" s="178"/>
      <c r="AL32" s="178"/>
      <c r="AM32" s="178"/>
      <c r="AN32" s="178"/>
      <c r="AO32" s="179"/>
      <c r="AP32" s="64"/>
      <c r="AQ32" s="65"/>
      <c r="AR32" s="65"/>
      <c r="AS32" s="65"/>
      <c r="AT32" s="173"/>
      <c r="AU32" s="177"/>
      <c r="AV32" s="178"/>
      <c r="AW32" s="178"/>
      <c r="AX32" s="179"/>
      <c r="AZ32" s="166"/>
      <c r="BA32" s="177"/>
      <c r="BB32" s="178"/>
      <c r="BC32" s="178"/>
      <c r="BD32" s="178"/>
      <c r="BE32" s="178"/>
      <c r="BF32" s="178"/>
      <c r="BG32" s="178"/>
      <c r="BH32" s="178"/>
      <c r="BI32" s="179"/>
      <c r="BJ32" s="180"/>
      <c r="BK32" s="178"/>
      <c r="BL32" s="178"/>
      <c r="BM32" s="178"/>
      <c r="BN32" s="178"/>
      <c r="BO32" s="181"/>
      <c r="BP32" s="166"/>
      <c r="BQ32" s="177"/>
      <c r="BR32" s="178"/>
      <c r="BS32" s="179"/>
      <c r="BU32" s="166"/>
      <c r="BV32" s="166"/>
      <c r="BW32" s="166"/>
      <c r="BX32" s="166"/>
      <c r="BY32" s="166"/>
      <c r="BZ32" s="166"/>
      <c r="CA32" s="166"/>
      <c r="CB32" s="166"/>
      <c r="CC32" s="166"/>
      <c r="CD32" s="177"/>
      <c r="CE32" s="181"/>
      <c r="CF32" s="177"/>
      <c r="CG32" s="179"/>
      <c r="CH32" s="257"/>
      <c r="CI32" s="182"/>
      <c r="CJ32" s="177"/>
      <c r="CK32" s="182"/>
      <c r="CL32" s="177"/>
      <c r="CM32" s="182"/>
      <c r="CN32" s="177"/>
      <c r="CO32" s="182"/>
      <c r="CP32" s="177"/>
      <c r="CQ32" s="178"/>
      <c r="CR32" s="182"/>
      <c r="CS32" s="173"/>
      <c r="CT32" s="65"/>
      <c r="CU32" s="255" t="str">
        <f t="shared" si="2"/>
        <v>MPH</v>
      </c>
    </row>
    <row r="33" ht="60.0" customHeight="1">
      <c r="A33" s="65"/>
      <c r="C33" s="167">
        <v>4.0</v>
      </c>
      <c r="D33" s="168" t="s">
        <v>154</v>
      </c>
      <c r="E33" s="169"/>
      <c r="F33" s="170"/>
      <c r="G33" s="170"/>
      <c r="H33" s="170"/>
      <c r="I33" s="207"/>
      <c r="J33" s="170"/>
      <c r="K33" s="171"/>
      <c r="L33" s="171"/>
      <c r="M33" s="171"/>
      <c r="N33" s="276"/>
      <c r="O33" s="256">
        <f t="shared" si="6"/>
        <v>0</v>
      </c>
      <c r="Q33" s="173"/>
      <c r="R33" s="65"/>
      <c r="S33" s="173"/>
      <c r="T33" s="173"/>
      <c r="U33" s="166"/>
      <c r="V33" s="166"/>
      <c r="W33" s="65"/>
      <c r="X33" s="66"/>
      <c r="Y33" s="173"/>
      <c r="Z33" s="166"/>
      <c r="AA33" s="174"/>
      <c r="AB33" s="175"/>
      <c r="AC33" s="175"/>
      <c r="AD33" s="175"/>
      <c r="AE33" s="175"/>
      <c r="AF33" s="175"/>
      <c r="AG33" s="175"/>
      <c r="AH33" s="175"/>
      <c r="AI33" s="176"/>
      <c r="AJ33" s="177"/>
      <c r="AK33" s="178"/>
      <c r="AL33" s="178"/>
      <c r="AM33" s="178"/>
      <c r="AN33" s="178"/>
      <c r="AO33" s="179"/>
      <c r="AP33" s="64"/>
      <c r="AQ33" s="65"/>
      <c r="AR33" s="65"/>
      <c r="AS33" s="65"/>
      <c r="AT33" s="173"/>
      <c r="AU33" s="177"/>
      <c r="AV33" s="178"/>
      <c r="AW33" s="178"/>
      <c r="AX33" s="179"/>
      <c r="AZ33" s="166"/>
      <c r="BA33" s="177"/>
      <c r="BB33" s="178"/>
      <c r="BC33" s="178"/>
      <c r="BD33" s="178"/>
      <c r="BE33" s="178"/>
      <c r="BF33" s="178"/>
      <c r="BG33" s="178"/>
      <c r="BH33" s="178"/>
      <c r="BI33" s="179"/>
      <c r="BJ33" s="180"/>
      <c r="BK33" s="178"/>
      <c r="BL33" s="178"/>
      <c r="BM33" s="178"/>
      <c r="BN33" s="178"/>
      <c r="BO33" s="181"/>
      <c r="BP33" s="166"/>
      <c r="BQ33" s="177"/>
      <c r="BR33" s="178"/>
      <c r="BS33" s="179"/>
      <c r="BU33" s="166"/>
      <c r="BV33" s="166"/>
      <c r="BW33" s="166"/>
      <c r="BX33" s="166"/>
      <c r="BY33" s="166"/>
      <c r="BZ33" s="166"/>
      <c r="CA33" s="166"/>
      <c r="CB33" s="166"/>
      <c r="CC33" s="166"/>
      <c r="CD33" s="177"/>
      <c r="CE33" s="181"/>
      <c r="CF33" s="177"/>
      <c r="CG33" s="179"/>
      <c r="CH33" s="257"/>
      <c r="CI33" s="182"/>
      <c r="CJ33" s="177"/>
      <c r="CK33" s="182"/>
      <c r="CL33" s="177"/>
      <c r="CM33" s="182"/>
      <c r="CN33" s="177"/>
      <c r="CO33" s="182"/>
      <c r="CP33" s="177"/>
      <c r="CQ33" s="178"/>
      <c r="CR33" s="182"/>
      <c r="CS33" s="173"/>
      <c r="CT33" s="65"/>
      <c r="CU33" s="255" t="str">
        <f t="shared" si="2"/>
        <v>MPH</v>
      </c>
    </row>
    <row r="34" ht="60.0" customHeight="1">
      <c r="A34" s="65"/>
      <c r="C34" s="167">
        <v>5.0</v>
      </c>
      <c r="D34" s="168" t="s">
        <v>154</v>
      </c>
      <c r="E34" s="169"/>
      <c r="F34" s="170"/>
      <c r="G34" s="170"/>
      <c r="H34" s="170"/>
      <c r="I34" s="207"/>
      <c r="J34" s="170"/>
      <c r="K34" s="171"/>
      <c r="L34" s="171"/>
      <c r="M34" s="171"/>
      <c r="N34" s="276"/>
      <c r="O34" s="256">
        <f t="shared" si="6"/>
        <v>0</v>
      </c>
      <c r="Q34" s="173"/>
      <c r="R34" s="65"/>
      <c r="S34" s="173"/>
      <c r="T34" s="173"/>
      <c r="U34" s="166"/>
      <c r="V34" s="166"/>
      <c r="W34" s="65"/>
      <c r="X34" s="66"/>
      <c r="Y34" s="173"/>
      <c r="Z34" s="166"/>
      <c r="AA34" s="174"/>
      <c r="AB34" s="175"/>
      <c r="AC34" s="175"/>
      <c r="AD34" s="175"/>
      <c r="AE34" s="175"/>
      <c r="AF34" s="175"/>
      <c r="AG34" s="175"/>
      <c r="AH34" s="175"/>
      <c r="AI34" s="176"/>
      <c r="AJ34" s="177"/>
      <c r="AK34" s="178"/>
      <c r="AL34" s="178"/>
      <c r="AM34" s="178"/>
      <c r="AN34" s="178"/>
      <c r="AO34" s="179"/>
      <c r="AP34" s="64"/>
      <c r="AQ34" s="65"/>
      <c r="AR34" s="65"/>
      <c r="AS34" s="65"/>
      <c r="AT34" s="173"/>
      <c r="AU34" s="177"/>
      <c r="AV34" s="178"/>
      <c r="AW34" s="178"/>
      <c r="AX34" s="179"/>
      <c r="AZ34" s="166"/>
      <c r="BA34" s="177"/>
      <c r="BB34" s="178"/>
      <c r="BC34" s="178"/>
      <c r="BD34" s="178"/>
      <c r="BE34" s="178"/>
      <c r="BF34" s="178"/>
      <c r="BG34" s="178"/>
      <c r="BH34" s="178"/>
      <c r="BI34" s="179"/>
      <c r="BJ34" s="180"/>
      <c r="BK34" s="178"/>
      <c r="BL34" s="178"/>
      <c r="BM34" s="178"/>
      <c r="BN34" s="178"/>
      <c r="BO34" s="181"/>
      <c r="BP34" s="166"/>
      <c r="BQ34" s="177"/>
      <c r="BR34" s="178"/>
      <c r="BS34" s="179"/>
      <c r="BU34" s="166"/>
      <c r="BV34" s="166"/>
      <c r="BW34" s="166"/>
      <c r="BX34" s="166"/>
      <c r="BY34" s="166"/>
      <c r="BZ34" s="166"/>
      <c r="CA34" s="166"/>
      <c r="CB34" s="166"/>
      <c r="CC34" s="166"/>
      <c r="CD34" s="177"/>
      <c r="CE34" s="181"/>
      <c r="CF34" s="177"/>
      <c r="CG34" s="179"/>
      <c r="CH34" s="257"/>
      <c r="CI34" s="182"/>
      <c r="CJ34" s="177"/>
      <c r="CK34" s="182"/>
      <c r="CL34" s="177"/>
      <c r="CM34" s="182"/>
      <c r="CN34" s="177"/>
      <c r="CO34" s="182"/>
      <c r="CP34" s="177"/>
      <c r="CQ34" s="178"/>
      <c r="CR34" s="182"/>
      <c r="CS34" s="173"/>
      <c r="CT34" s="65"/>
      <c r="CU34" s="255" t="str">
        <f t="shared" si="2"/>
        <v>MPH</v>
      </c>
    </row>
    <row r="35" ht="60.0" customHeight="1">
      <c r="A35" s="65"/>
      <c r="C35" s="167">
        <v>6.0</v>
      </c>
      <c r="D35" s="168" t="s">
        <v>154</v>
      </c>
      <c r="E35" s="169"/>
      <c r="F35" s="170"/>
      <c r="G35" s="170"/>
      <c r="H35" s="170"/>
      <c r="I35" s="207"/>
      <c r="J35" s="170"/>
      <c r="K35" s="171"/>
      <c r="L35" s="171"/>
      <c r="M35" s="171"/>
      <c r="N35" s="276"/>
      <c r="O35" s="256">
        <f t="shared" si="6"/>
        <v>0</v>
      </c>
      <c r="Q35" s="173"/>
      <c r="R35" s="65"/>
      <c r="S35" s="173"/>
      <c r="T35" s="173"/>
      <c r="U35" s="166"/>
      <c r="V35" s="166"/>
      <c r="W35" s="65"/>
      <c r="X35" s="66"/>
      <c r="Y35" s="173"/>
      <c r="Z35" s="166"/>
      <c r="AA35" s="174"/>
      <c r="AB35" s="175"/>
      <c r="AC35" s="175"/>
      <c r="AD35" s="175"/>
      <c r="AE35" s="175"/>
      <c r="AF35" s="175"/>
      <c r="AG35" s="175"/>
      <c r="AH35" s="175"/>
      <c r="AI35" s="176"/>
      <c r="AJ35" s="177"/>
      <c r="AK35" s="178"/>
      <c r="AL35" s="178"/>
      <c r="AM35" s="178"/>
      <c r="AN35" s="178"/>
      <c r="AO35" s="179"/>
      <c r="AP35" s="64"/>
      <c r="AQ35" s="65"/>
      <c r="AR35" s="65"/>
      <c r="AS35" s="65"/>
      <c r="AT35" s="173"/>
      <c r="AU35" s="177"/>
      <c r="AV35" s="178"/>
      <c r="AW35" s="178"/>
      <c r="AX35" s="179"/>
      <c r="AZ35" s="166"/>
      <c r="BA35" s="177"/>
      <c r="BB35" s="178"/>
      <c r="BC35" s="178"/>
      <c r="BD35" s="178"/>
      <c r="BE35" s="178"/>
      <c r="BF35" s="178"/>
      <c r="BG35" s="178"/>
      <c r="BH35" s="178"/>
      <c r="BI35" s="179"/>
      <c r="BJ35" s="180"/>
      <c r="BK35" s="178"/>
      <c r="BL35" s="178"/>
      <c r="BM35" s="178"/>
      <c r="BN35" s="178"/>
      <c r="BO35" s="181"/>
      <c r="BP35" s="166"/>
      <c r="BQ35" s="177"/>
      <c r="BR35" s="178"/>
      <c r="BS35" s="179"/>
      <c r="BU35" s="166"/>
      <c r="BV35" s="166"/>
      <c r="BW35" s="166"/>
      <c r="BX35" s="166"/>
      <c r="BY35" s="166"/>
      <c r="BZ35" s="166"/>
      <c r="CA35" s="166"/>
      <c r="CB35" s="166"/>
      <c r="CC35" s="166"/>
      <c r="CD35" s="177"/>
      <c r="CE35" s="181"/>
      <c r="CF35" s="177"/>
      <c r="CG35" s="179"/>
      <c r="CH35" s="257"/>
      <c r="CI35" s="182"/>
      <c r="CJ35" s="177"/>
      <c r="CK35" s="182"/>
      <c r="CL35" s="177"/>
      <c r="CM35" s="182"/>
      <c r="CN35" s="177"/>
      <c r="CO35" s="182"/>
      <c r="CP35" s="177"/>
      <c r="CQ35" s="178"/>
      <c r="CR35" s="182"/>
      <c r="CS35" s="173"/>
      <c r="CT35" s="65"/>
      <c r="CU35" s="255" t="str">
        <f t="shared" si="2"/>
        <v>MPH</v>
      </c>
    </row>
    <row r="36" ht="60.0" customHeight="1">
      <c r="A36" s="65"/>
      <c r="C36" s="167">
        <v>7.0</v>
      </c>
      <c r="D36" s="168" t="s">
        <v>154</v>
      </c>
      <c r="E36" s="169"/>
      <c r="F36" s="170"/>
      <c r="G36" s="170"/>
      <c r="H36" s="170"/>
      <c r="I36" s="207"/>
      <c r="J36" s="170"/>
      <c r="K36" s="171"/>
      <c r="L36" s="171"/>
      <c r="M36" s="171"/>
      <c r="N36" s="276"/>
      <c r="O36" s="256">
        <f t="shared" ref="O36:O39" si="7">IF(AND(M36&gt;=20,M36&lt;&gt;"m",RIGHT(K36,3)="Lec"),1,IF(AND(M36&gt;=20,M36&lt;&gt;"m",OR(RIGHT(K36,3)="Lab",RIGHT(K36,3)="Tut")),0.5,IF(AND(M36&gt;=20,M36&lt;&gt;"m",RIGHT(K36,2)="TL"),0.75,0)))</f>
        <v>0</v>
      </c>
      <c r="Q36" s="173"/>
      <c r="R36" s="65"/>
      <c r="S36" s="173"/>
      <c r="T36" s="173"/>
      <c r="U36" s="166"/>
      <c r="V36" s="166"/>
      <c r="W36" s="65"/>
      <c r="X36" s="66"/>
      <c r="Y36" s="173"/>
      <c r="Z36" s="166"/>
      <c r="AA36" s="174"/>
      <c r="AB36" s="175"/>
      <c r="AC36" s="175"/>
      <c r="AD36" s="175"/>
      <c r="AE36" s="175"/>
      <c r="AF36" s="175"/>
      <c r="AG36" s="175"/>
      <c r="AH36" s="175"/>
      <c r="AI36" s="176"/>
      <c r="AJ36" s="177"/>
      <c r="AK36" s="178"/>
      <c r="AL36" s="178"/>
      <c r="AM36" s="178"/>
      <c r="AN36" s="178"/>
      <c r="AO36" s="179"/>
      <c r="AP36" s="64"/>
      <c r="AQ36" s="65"/>
      <c r="AR36" s="65"/>
      <c r="AS36" s="65"/>
      <c r="AT36" s="173"/>
      <c r="AU36" s="177"/>
      <c r="AV36" s="178"/>
      <c r="AW36" s="178"/>
      <c r="AX36" s="179"/>
      <c r="AZ36" s="166"/>
      <c r="BA36" s="177"/>
      <c r="BB36" s="178"/>
      <c r="BC36" s="178"/>
      <c r="BD36" s="178"/>
      <c r="BE36" s="178"/>
      <c r="BF36" s="178"/>
      <c r="BG36" s="178"/>
      <c r="BH36" s="178"/>
      <c r="BI36" s="179"/>
      <c r="BJ36" s="180"/>
      <c r="BK36" s="178"/>
      <c r="BL36" s="178"/>
      <c r="BM36" s="178"/>
      <c r="BN36" s="178"/>
      <c r="BO36" s="181"/>
      <c r="BP36" s="166"/>
      <c r="BQ36" s="177"/>
      <c r="BR36" s="178"/>
      <c r="BS36" s="179"/>
      <c r="BU36" s="166"/>
      <c r="BV36" s="166"/>
      <c r="BW36" s="166"/>
      <c r="BX36" s="166"/>
      <c r="BY36" s="166"/>
      <c r="BZ36" s="166"/>
      <c r="CA36" s="166"/>
      <c r="CB36" s="166"/>
      <c r="CC36" s="166"/>
      <c r="CD36" s="177"/>
      <c r="CE36" s="181"/>
      <c r="CF36" s="177"/>
      <c r="CG36" s="179"/>
      <c r="CH36" s="257"/>
      <c r="CI36" s="182"/>
      <c r="CJ36" s="177"/>
      <c r="CK36" s="182"/>
      <c r="CL36" s="177"/>
      <c r="CM36" s="182"/>
      <c r="CN36" s="177"/>
      <c r="CO36" s="182"/>
      <c r="CP36" s="177"/>
      <c r="CQ36" s="178"/>
      <c r="CR36" s="182"/>
      <c r="CS36" s="173"/>
      <c r="CT36" s="65"/>
      <c r="CU36" s="255" t="str">
        <f t="shared" si="2"/>
        <v>MPH</v>
      </c>
    </row>
    <row r="37" ht="60.0" customHeight="1">
      <c r="A37" s="65"/>
      <c r="C37" s="167">
        <v>8.0</v>
      </c>
      <c r="D37" s="168" t="s">
        <v>154</v>
      </c>
      <c r="E37" s="169"/>
      <c r="F37" s="170"/>
      <c r="G37" s="170"/>
      <c r="H37" s="170"/>
      <c r="I37" s="207"/>
      <c r="J37" s="170"/>
      <c r="K37" s="171"/>
      <c r="L37" s="171"/>
      <c r="M37" s="171"/>
      <c r="N37" s="276"/>
      <c r="O37" s="256">
        <f t="shared" si="7"/>
        <v>0</v>
      </c>
      <c r="Q37" s="173"/>
      <c r="R37" s="65"/>
      <c r="S37" s="173"/>
      <c r="T37" s="173"/>
      <c r="U37" s="166"/>
      <c r="V37" s="166"/>
      <c r="W37" s="65"/>
      <c r="X37" s="66"/>
      <c r="Y37" s="173"/>
      <c r="Z37" s="166"/>
      <c r="AA37" s="174"/>
      <c r="AB37" s="175"/>
      <c r="AC37" s="175"/>
      <c r="AD37" s="175"/>
      <c r="AE37" s="175"/>
      <c r="AF37" s="175"/>
      <c r="AG37" s="175"/>
      <c r="AH37" s="175"/>
      <c r="AI37" s="176"/>
      <c r="AJ37" s="177"/>
      <c r="AK37" s="178"/>
      <c r="AL37" s="178"/>
      <c r="AM37" s="178"/>
      <c r="AN37" s="178"/>
      <c r="AO37" s="179"/>
      <c r="AP37" s="64"/>
      <c r="AQ37" s="65"/>
      <c r="AR37" s="65"/>
      <c r="AS37" s="65"/>
      <c r="AT37" s="173"/>
      <c r="AU37" s="177"/>
      <c r="AV37" s="178"/>
      <c r="AW37" s="178"/>
      <c r="AX37" s="179"/>
      <c r="AZ37" s="166"/>
      <c r="BA37" s="177"/>
      <c r="BB37" s="178"/>
      <c r="BC37" s="178"/>
      <c r="BD37" s="178"/>
      <c r="BE37" s="178"/>
      <c r="BF37" s="178"/>
      <c r="BG37" s="178"/>
      <c r="BH37" s="178"/>
      <c r="BI37" s="179"/>
      <c r="BJ37" s="180"/>
      <c r="BK37" s="178"/>
      <c r="BL37" s="178"/>
      <c r="BM37" s="178"/>
      <c r="BN37" s="178"/>
      <c r="BO37" s="181"/>
      <c r="BP37" s="166"/>
      <c r="BQ37" s="177"/>
      <c r="BR37" s="178"/>
      <c r="BS37" s="179"/>
      <c r="BU37" s="166"/>
      <c r="BV37" s="166"/>
      <c r="BW37" s="166"/>
      <c r="BX37" s="166"/>
      <c r="BY37" s="166"/>
      <c r="BZ37" s="166"/>
      <c r="CA37" s="166"/>
      <c r="CB37" s="166"/>
      <c r="CC37" s="166"/>
      <c r="CD37" s="177"/>
      <c r="CE37" s="181"/>
      <c r="CF37" s="177"/>
      <c r="CG37" s="179"/>
      <c r="CH37" s="257"/>
      <c r="CI37" s="182"/>
      <c r="CJ37" s="177"/>
      <c r="CK37" s="182"/>
      <c r="CL37" s="177"/>
      <c r="CM37" s="182"/>
      <c r="CN37" s="177"/>
      <c r="CO37" s="182"/>
      <c r="CP37" s="177"/>
      <c r="CQ37" s="178"/>
      <c r="CR37" s="182"/>
      <c r="CS37" s="173"/>
      <c r="CT37" s="65"/>
      <c r="CU37" s="255" t="str">
        <f t="shared" si="2"/>
        <v>MPH</v>
      </c>
    </row>
    <row r="38" ht="60.0" customHeight="1">
      <c r="A38" s="65"/>
      <c r="C38" s="167">
        <v>9.0</v>
      </c>
      <c r="D38" s="168" t="s">
        <v>154</v>
      </c>
      <c r="E38" s="169"/>
      <c r="F38" s="170"/>
      <c r="G38" s="170"/>
      <c r="H38" s="170"/>
      <c r="I38" s="207"/>
      <c r="J38" s="170"/>
      <c r="K38" s="171"/>
      <c r="L38" s="171"/>
      <c r="M38" s="171"/>
      <c r="N38" s="276"/>
      <c r="O38" s="256">
        <f t="shared" si="7"/>
        <v>0</v>
      </c>
      <c r="Q38" s="173"/>
      <c r="R38" s="65"/>
      <c r="S38" s="173"/>
      <c r="T38" s="173"/>
      <c r="U38" s="166"/>
      <c r="V38" s="166"/>
      <c r="W38" s="65"/>
      <c r="X38" s="66"/>
      <c r="Y38" s="173"/>
      <c r="Z38" s="166"/>
      <c r="AA38" s="174"/>
      <c r="AB38" s="175"/>
      <c r="AC38" s="175"/>
      <c r="AD38" s="175"/>
      <c r="AE38" s="175"/>
      <c r="AF38" s="175"/>
      <c r="AG38" s="175"/>
      <c r="AH38" s="175"/>
      <c r="AI38" s="176"/>
      <c r="AJ38" s="177"/>
      <c r="AK38" s="178"/>
      <c r="AL38" s="178"/>
      <c r="AM38" s="178"/>
      <c r="AN38" s="178"/>
      <c r="AO38" s="179"/>
      <c r="AP38" s="64"/>
      <c r="AQ38" s="65"/>
      <c r="AR38" s="65"/>
      <c r="AS38" s="65"/>
      <c r="AT38" s="173"/>
      <c r="AU38" s="177"/>
      <c r="AV38" s="178"/>
      <c r="AW38" s="178"/>
      <c r="AX38" s="179"/>
      <c r="AZ38" s="166"/>
      <c r="BA38" s="177"/>
      <c r="BB38" s="178"/>
      <c r="BC38" s="178"/>
      <c r="BD38" s="178"/>
      <c r="BE38" s="178"/>
      <c r="BF38" s="178"/>
      <c r="BG38" s="178"/>
      <c r="BH38" s="178"/>
      <c r="BI38" s="179"/>
      <c r="BJ38" s="180"/>
      <c r="BK38" s="178"/>
      <c r="BL38" s="178"/>
      <c r="BM38" s="178"/>
      <c r="BN38" s="178"/>
      <c r="BO38" s="181"/>
      <c r="BP38" s="166"/>
      <c r="BQ38" s="177"/>
      <c r="BR38" s="178"/>
      <c r="BS38" s="179"/>
      <c r="BU38" s="166"/>
      <c r="BV38" s="166"/>
      <c r="BW38" s="166"/>
      <c r="BX38" s="166"/>
      <c r="BY38" s="166"/>
      <c r="BZ38" s="166"/>
      <c r="CA38" s="166"/>
      <c r="CB38" s="166"/>
      <c r="CC38" s="166"/>
      <c r="CD38" s="177"/>
      <c r="CE38" s="181"/>
      <c r="CF38" s="177"/>
      <c r="CG38" s="179"/>
      <c r="CH38" s="257"/>
      <c r="CI38" s="182"/>
      <c r="CJ38" s="177"/>
      <c r="CK38" s="182"/>
      <c r="CL38" s="177"/>
      <c r="CM38" s="182"/>
      <c r="CN38" s="177"/>
      <c r="CO38" s="182"/>
      <c r="CP38" s="177"/>
      <c r="CQ38" s="178"/>
      <c r="CR38" s="182"/>
      <c r="CS38" s="173"/>
      <c r="CT38" s="65"/>
      <c r="CU38" s="255" t="str">
        <f t="shared" si="2"/>
        <v>MPH</v>
      </c>
    </row>
    <row r="39" ht="60.0" customHeight="1">
      <c r="A39" s="65"/>
      <c r="C39" s="167">
        <v>10.0</v>
      </c>
      <c r="D39" s="168" t="s">
        <v>154</v>
      </c>
      <c r="E39" s="169"/>
      <c r="F39" s="170"/>
      <c r="G39" s="170"/>
      <c r="H39" s="170"/>
      <c r="I39" s="207"/>
      <c r="J39" s="170"/>
      <c r="K39" s="171"/>
      <c r="L39" s="171"/>
      <c r="M39" s="171"/>
      <c r="N39" s="276"/>
      <c r="O39" s="256">
        <f t="shared" si="7"/>
        <v>0</v>
      </c>
      <c r="Q39" s="173"/>
      <c r="R39" s="65"/>
      <c r="S39" s="173"/>
      <c r="T39" s="173"/>
      <c r="U39" s="166"/>
      <c r="V39" s="166"/>
      <c r="W39" s="65"/>
      <c r="X39" s="66"/>
      <c r="Y39" s="173"/>
      <c r="Z39" s="166"/>
      <c r="AA39" s="174"/>
      <c r="AB39" s="175"/>
      <c r="AC39" s="175"/>
      <c r="AD39" s="175"/>
      <c r="AE39" s="175"/>
      <c r="AF39" s="175"/>
      <c r="AG39" s="175"/>
      <c r="AH39" s="175"/>
      <c r="AI39" s="176"/>
      <c r="AJ39" s="177"/>
      <c r="AK39" s="178"/>
      <c r="AL39" s="178"/>
      <c r="AM39" s="178"/>
      <c r="AN39" s="178"/>
      <c r="AO39" s="179"/>
      <c r="AP39" s="64"/>
      <c r="AQ39" s="65"/>
      <c r="AR39" s="65"/>
      <c r="AS39" s="65"/>
      <c r="AT39" s="173"/>
      <c r="AU39" s="177"/>
      <c r="AV39" s="178"/>
      <c r="AW39" s="178"/>
      <c r="AX39" s="179"/>
      <c r="AZ39" s="166"/>
      <c r="BA39" s="177"/>
      <c r="BB39" s="178"/>
      <c r="BC39" s="178"/>
      <c r="BD39" s="178"/>
      <c r="BE39" s="178"/>
      <c r="BF39" s="178"/>
      <c r="BG39" s="178"/>
      <c r="BH39" s="178"/>
      <c r="BI39" s="179"/>
      <c r="BJ39" s="180"/>
      <c r="BK39" s="178"/>
      <c r="BL39" s="178"/>
      <c r="BM39" s="178"/>
      <c r="BN39" s="178"/>
      <c r="BO39" s="181"/>
      <c r="BP39" s="166"/>
      <c r="BQ39" s="177"/>
      <c r="BR39" s="178"/>
      <c r="BS39" s="179"/>
      <c r="BU39" s="166"/>
      <c r="BV39" s="166"/>
      <c r="BW39" s="166"/>
      <c r="BX39" s="166"/>
      <c r="BY39" s="166"/>
      <c r="BZ39" s="166"/>
      <c r="CA39" s="166"/>
      <c r="CB39" s="166"/>
      <c r="CC39" s="166"/>
      <c r="CD39" s="177"/>
      <c r="CE39" s="181"/>
      <c r="CF39" s="177"/>
      <c r="CG39" s="179"/>
      <c r="CH39" s="257"/>
      <c r="CI39" s="182"/>
      <c r="CJ39" s="177"/>
      <c r="CK39" s="182"/>
      <c r="CL39" s="177"/>
      <c r="CM39" s="182"/>
      <c r="CN39" s="177"/>
      <c r="CO39" s="182"/>
      <c r="CP39" s="177"/>
      <c r="CQ39" s="178"/>
      <c r="CR39" s="182"/>
      <c r="CS39" s="173"/>
      <c r="CT39" s="65"/>
      <c r="CU39" s="255" t="str">
        <f t="shared" si="2"/>
        <v>MPH</v>
      </c>
    </row>
    <row r="40" ht="60.0" customHeight="1">
      <c r="A40" s="89"/>
      <c r="C40" s="183">
        <v>11.0</v>
      </c>
      <c r="D40" s="210" t="s">
        <v>154</v>
      </c>
      <c r="E40" s="185"/>
      <c r="F40" s="186"/>
      <c r="G40" s="186"/>
      <c r="H40" s="186"/>
      <c r="I40" s="212"/>
      <c r="J40" s="186"/>
      <c r="K40" s="187"/>
      <c r="L40" s="187"/>
      <c r="M40" s="187"/>
      <c r="N40" s="214"/>
      <c r="O40" s="258">
        <f t="shared" ref="O40:O46" si="8">IF(AND(M40&lt;&gt;0,M40&lt;&gt;"m",M40&lt;&gt;"",RIGHT(K40,3)="Lec"),1,IF(AND(M40&lt;&gt;0,M40&lt;&gt;"m",M40&lt;&gt;"",OR(RIGHT(K40,3)="Lab",RIGHT(K40,3)="Tut")),0.5,IF(AND(M40&lt;&gt;0,M40&lt;&gt;"m",M40&lt;&gt;"",RIGHT(K40,2)="TL"),0.75,0)))</f>
        <v>0</v>
      </c>
      <c r="P40" s="6"/>
      <c r="Q40" s="69"/>
      <c r="R40" s="89"/>
      <c r="S40" s="69"/>
      <c r="T40" s="69"/>
      <c r="U40" s="63"/>
      <c r="V40" s="63"/>
      <c r="W40" s="89"/>
      <c r="X40" s="68"/>
      <c r="Y40" s="69"/>
      <c r="Z40" s="63"/>
      <c r="AA40" s="189"/>
      <c r="AB40" s="190"/>
      <c r="AC40" s="190"/>
      <c r="AD40" s="190"/>
      <c r="AE40" s="190"/>
      <c r="AF40" s="190"/>
      <c r="AG40" s="190"/>
      <c r="AH40" s="190"/>
      <c r="AI40" s="191"/>
      <c r="AJ40" s="192"/>
      <c r="AK40" s="193"/>
      <c r="AL40" s="193"/>
      <c r="AM40" s="193"/>
      <c r="AN40" s="193"/>
      <c r="AO40" s="194"/>
      <c r="AP40" s="103"/>
      <c r="AQ40" s="89"/>
      <c r="AR40" s="89"/>
      <c r="AS40" s="89"/>
      <c r="AT40" s="69"/>
      <c r="AU40" s="192"/>
      <c r="AV40" s="193"/>
      <c r="AW40" s="193"/>
      <c r="AX40" s="194"/>
      <c r="AY40" s="6"/>
      <c r="AZ40" s="63"/>
      <c r="BA40" s="192"/>
      <c r="BB40" s="193"/>
      <c r="BC40" s="193"/>
      <c r="BD40" s="193"/>
      <c r="BE40" s="193"/>
      <c r="BF40" s="193"/>
      <c r="BG40" s="193"/>
      <c r="BH40" s="193"/>
      <c r="BI40" s="194"/>
      <c r="BJ40" s="195"/>
      <c r="BK40" s="193"/>
      <c r="BL40" s="193"/>
      <c r="BM40" s="193"/>
      <c r="BN40" s="193"/>
      <c r="BO40" s="196"/>
      <c r="BP40" s="63"/>
      <c r="BQ40" s="192"/>
      <c r="BR40" s="193"/>
      <c r="BS40" s="194"/>
      <c r="BT40" s="6"/>
      <c r="BU40" s="63"/>
      <c r="BV40" s="63"/>
      <c r="BW40" s="63"/>
      <c r="BX40" s="63"/>
      <c r="BY40" s="63"/>
      <c r="BZ40" s="63"/>
      <c r="CA40" s="63"/>
      <c r="CB40" s="63"/>
      <c r="CC40" s="63"/>
      <c r="CD40" s="192"/>
      <c r="CE40" s="196"/>
      <c r="CF40" s="192"/>
      <c r="CG40" s="194"/>
      <c r="CH40" s="259"/>
      <c r="CI40" s="197"/>
      <c r="CJ40" s="192"/>
      <c r="CK40" s="197"/>
      <c r="CL40" s="192"/>
      <c r="CM40" s="197"/>
      <c r="CN40" s="192"/>
      <c r="CO40" s="197"/>
      <c r="CP40" s="192"/>
      <c r="CQ40" s="193"/>
      <c r="CR40" s="197"/>
      <c r="CS40" s="69"/>
      <c r="CT40" s="89"/>
      <c r="CU40" s="255" t="str">
        <f t="shared" si="2"/>
        <v>MPH</v>
      </c>
    </row>
    <row r="41" ht="55.5" customHeight="1">
      <c r="A41" s="125">
        <v>4.0</v>
      </c>
      <c r="B41" s="199" t="s">
        <v>157</v>
      </c>
      <c r="C41" s="127">
        <v>1.0</v>
      </c>
      <c r="D41" s="168" t="s">
        <v>158</v>
      </c>
      <c r="E41" s="129"/>
      <c r="F41" s="130"/>
      <c r="G41" s="130"/>
      <c r="H41" s="130"/>
      <c r="I41" s="201"/>
      <c r="J41" s="130"/>
      <c r="K41" s="131"/>
      <c r="L41" s="131"/>
      <c r="M41" s="131"/>
      <c r="N41" s="275"/>
      <c r="O41" s="250">
        <f t="shared" si="8"/>
        <v>0</v>
      </c>
      <c r="P41" s="251">
        <f>COUNTIF(K41:K51,"TL")*0.75+COUNTIF(K41:K51,"Lec")*1+COUNTIF(K41:K51,"Lab")*0.5</f>
        <v>0</v>
      </c>
      <c r="Q41" s="134">
        <f>SUM((IF(LEFT(K41,1)="E",O41,0)),(IF(LEFT(K42,1)="E",O42,0)),(IF(LEFT(K43,1)="E",O43,0)),(IF(LEFT(K44,1)="E",O44,0)),(IF(LEFT(K45,1)="E",O45,0)),(IF(LEFT(K46,1)="E",O46,0)),(IF(LEFT(K47,1)="E",O47,0)),(IF(LEFT(K48,1)="E",O48,0)),(IF(LEFT(K49,1)="E",O49,0)),(IF(LEFT(K50,1)="E",O50,0)),(IF(LEFT(K51,1)="E",O51,0)))</f>
        <v>0</v>
      </c>
      <c r="R41" s="135">
        <f>SUM(IF(M47&lt;20,IF(K47="Plec",-1,IF(K47="PTL",-0.75,IF(K47="Plab",-0.5,0))),0),IF(M48&lt;20,IF(K48="Plec",-1,IF(K48="PTL",-0.75,IF(K48="Plab",-0.5,0))),0),IF(M49&lt;20,IF(K49="Plec",-1,IF(K49="PTL",-0.75,IF(K49="Plab",-0.5,0))),0),IF(M50&lt;20,IF(K50="Plec",-1,IF(K50="PTL",-0.75,IF(K50="Plab",-0.5,0))),0))</f>
        <v>0</v>
      </c>
      <c r="S41" s="134">
        <f>SUM(P41:R51)</f>
        <v>0</v>
      </c>
      <c r="T41" s="136">
        <f>SUM(IF(M41="M",IF(OR(K41="lec",K41="plec",K41="slec"),1,IF(OR(K41="lab",K41="plab",K41="slab",K41="tut",K41="ptut",K41="stut"),0.5,IF(OR(K41="TL",K41="pTL",K41="STL"),0.75,0))),0),IF(M42="M",IF(OR(K42="lec",K42="plec",K42="slec"),1,IF(OR(K42="lab",K42="plab",K42="slab",K42="tut",K42="ptut",K42="stut"),0.5,IF(OR(K42="TL",K42="pTL",K42="STL"),0.75,0))),0),IF(M43="M",IF(OR(K43="lec",K43="plec",K43="slec"),1,IF(OR(K43="lab",K43="plab",K43="slab",K43="tut",K43="ptut",K43="stut"),0.5,IF(OR(K43="TL",K43="pTL",K43="STL"),0.75,0))),0),IF(M44="M",IF(OR(K44="lec",K44="plec",K44="slec"),1,IF(OR(K44="lab",K44="plab",K44="slab",K44="tut",K44="ptut",K44="stut"),0.5,IF(OR(K44="TL",K44="pTL",K44="STL"),0.75,0))),0),IF(M45="M",IF(OR(K45="lec",K45="plec",K45="slec"),1,IF(OR(K45="lab",K45="plab",K45="slab",K45="tut",K45="ptut",K45="stut"),0.5,IF(OR(K45="TL",K45="pTL",K45="STL"),0.75,0))),0),IF(M46="M",IF(OR(K46="lec",K46="plec",K46="slec"),1,IF(OR(K46="lab",K46="plab",K46="slab",K46="tut",K46="ptut",K46="stut"),0.5,IF(OR(K46="TL",K46="pTL",K46="STL"),0.75,0))),0),IF(M47="M",IF(OR(K47="lec",K47="plec",K47="slec"),1,IF(OR(K47="lab",K47="plab",K47="slab",K47="tut",K47="ptut",K47="stut"),0.5,IF(OR(K47="TL",K47="pTL",K47="STL"),0.75,0))),0),IF(M48="M",IF(OR(K48="lec",K48="plec",K48="slec"),1,IF(OR(K48="lab",K48="plab",K48="slab",K48="tut",K48="ptut",K48="stut"),0.5,IF(OR(K48="TL",K48="pTL",K48="STL"),0.75,0))),0),IF(M49="M",IF(OR(K49="lec",K49="plec",K49="slec"),1,IF(OR(K49="lab",K49="plab",K49="slab",K49="tut",K49="ptut",K49="stut"),0.5,IF(OR(K49="TL",K49="pTL",K49="STL"),0.75,0))),0),IF(M50="M",IF(OR(K50="lec",K50="plec",K50="slec"),1,IF(OR(K50="lab",K50="plab",K50="slab",K50="tut",K50="ptut",K50="stut"),0.5,IF(OR(K50="TL",K50="pTL",K50="STL"),0.75,0))),0),IF(M51="M",IF(OR(K51="lec",K51="plec",K51="slec"),1,IF(OR(K51="lab",K51="plab",K51="slab",K51="tut",K51="ptut",K51="stut"),0.5,IF(OR(K51="TL",K51="pTL",K51="STL"),0.75,0))),0))</f>
        <v>0</v>
      </c>
      <c r="U41" s="137"/>
      <c r="V41" s="133"/>
      <c r="W41" s="138"/>
      <c r="X41" s="139">
        <f>S41-(T41+U41+V41+W41)</f>
        <v>0</v>
      </c>
      <c r="Y41" s="134" t="str">
        <f>CONCATENATE(SUM(O41:O51),"(",SUM(O41:O51)-X41,")")</f>
        <v>0(0)</v>
      </c>
      <c r="Z41" s="140"/>
      <c r="AA41" s="141"/>
      <c r="AB41" s="142"/>
      <c r="AC41" s="142"/>
      <c r="AD41" s="142"/>
      <c r="AE41" s="142"/>
      <c r="AF41" s="142"/>
      <c r="AG41" s="142"/>
      <c r="AH41" s="142"/>
      <c r="AI41" s="143"/>
      <c r="AJ41" s="144"/>
      <c r="AK41" s="145"/>
      <c r="AL41" s="145"/>
      <c r="AM41" s="145"/>
      <c r="AN41" s="145"/>
      <c r="AO41" s="146"/>
      <c r="AP41" s="147">
        <f>SUM(SUM(O41:O51),SUM(AI41:AI51)/2,AM41)</f>
        <v>0</v>
      </c>
      <c r="AQ41" s="148"/>
      <c r="AR41" s="148">
        <f>AP41*AQ41</f>
        <v>0</v>
      </c>
      <c r="AS41" s="148">
        <f>CT41</f>
        <v>0</v>
      </c>
      <c r="AT41" s="149">
        <f>AR41*0.75+AS41*0.25</f>
        <v>0</v>
      </c>
      <c r="AU41" s="150"/>
      <c r="AV41" s="151"/>
      <c r="AW41" s="151"/>
      <c r="AX41" s="152"/>
      <c r="AY41" s="153"/>
      <c r="AZ41" s="140"/>
      <c r="BA41" s="150"/>
      <c r="BB41" s="151"/>
      <c r="BC41" s="151"/>
      <c r="BD41" s="151"/>
      <c r="BE41" s="151"/>
      <c r="BF41" s="151"/>
      <c r="BG41" s="151"/>
      <c r="BH41" s="151"/>
      <c r="BI41" s="152"/>
      <c r="BJ41" s="154"/>
      <c r="BK41" s="151"/>
      <c r="BL41" s="151"/>
      <c r="BM41" s="151"/>
      <c r="BN41" s="151"/>
      <c r="BO41" s="155"/>
      <c r="BP41" s="140"/>
      <c r="BQ41" s="156"/>
      <c r="BR41" s="157"/>
      <c r="BS41" s="158"/>
      <c r="BT41" s="153"/>
      <c r="BU41" s="140"/>
      <c r="BV41" s="140"/>
      <c r="BW41" s="140"/>
      <c r="BX41" s="140"/>
      <c r="BY41" s="140"/>
      <c r="BZ41" s="140"/>
      <c r="CA41" s="140"/>
      <c r="CB41" s="140"/>
      <c r="CC41" s="140"/>
      <c r="CD41" s="150"/>
      <c r="CE41" s="155"/>
      <c r="CF41" s="150"/>
      <c r="CG41" s="152"/>
      <c r="CH41" s="252"/>
      <c r="CI41" s="160"/>
      <c r="CJ41" s="159"/>
      <c r="CK41" s="160"/>
      <c r="CL41" s="159"/>
      <c r="CM41" s="160"/>
      <c r="CN41" s="159"/>
      <c r="CO41" s="160"/>
      <c r="CP41" s="159"/>
      <c r="CQ41" s="162"/>
      <c r="CR41" s="160"/>
      <c r="CS41" s="253">
        <f>SUM(IF(AU41&lt;0,ABS(AU41),0),IF(AZ41&lt;0,ABS(AZ41),0),ABS(CI41),ABS(CK41),ABS(CM41),ABS(CO41),ABS(CQ41),ABS(CR41))</f>
        <v>0</v>
      </c>
      <c r="CT41" s="254">
        <f>SUM(AU41,AV41,AW41,AX41/400,AY41,AZ41,BG41,BH41*0.5,BI41*0.25,BJ41,BK41,BL41,BM41,BN41,BO41,BP41,BR41/20,BS41/100,BT41/60,BU41,BV41,BW41,BX41/4,SUM(BY41:CC51)/3,CE41,CG41/3,CI41,CK41,CM41,CO41,CQ41,CR41)</f>
        <v>0</v>
      </c>
      <c r="CU41" s="255" t="str">
        <f t="shared" si="2"/>
        <v>MVK</v>
      </c>
    </row>
    <row r="42" ht="60.0" customHeight="1">
      <c r="A42" s="65"/>
      <c r="C42" s="167">
        <v>2.0</v>
      </c>
      <c r="D42" s="168" t="s">
        <v>158</v>
      </c>
      <c r="E42" s="169"/>
      <c r="F42" s="170"/>
      <c r="G42" s="170"/>
      <c r="H42" s="170"/>
      <c r="I42" s="207"/>
      <c r="J42" s="170"/>
      <c r="K42" s="171"/>
      <c r="L42" s="171"/>
      <c r="M42" s="171"/>
      <c r="N42" s="276"/>
      <c r="O42" s="256">
        <f t="shared" si="8"/>
        <v>0</v>
      </c>
      <c r="Q42" s="173"/>
      <c r="R42" s="65"/>
      <c r="S42" s="173"/>
      <c r="T42" s="173"/>
      <c r="U42" s="166"/>
      <c r="V42" s="166"/>
      <c r="W42" s="65"/>
      <c r="X42" s="66"/>
      <c r="Y42" s="173"/>
      <c r="Z42" s="166"/>
      <c r="AA42" s="174"/>
      <c r="AB42" s="175"/>
      <c r="AC42" s="175"/>
      <c r="AD42" s="175"/>
      <c r="AE42" s="175"/>
      <c r="AF42" s="175"/>
      <c r="AG42" s="175"/>
      <c r="AH42" s="175"/>
      <c r="AI42" s="176"/>
      <c r="AJ42" s="177"/>
      <c r="AK42" s="178"/>
      <c r="AL42" s="178"/>
      <c r="AM42" s="178"/>
      <c r="AN42" s="178"/>
      <c r="AO42" s="179"/>
      <c r="AP42" s="64"/>
      <c r="AQ42" s="65"/>
      <c r="AR42" s="65"/>
      <c r="AS42" s="65"/>
      <c r="AT42" s="173"/>
      <c r="AU42" s="177"/>
      <c r="AV42" s="178"/>
      <c r="AW42" s="178"/>
      <c r="AX42" s="179"/>
      <c r="AZ42" s="166"/>
      <c r="BA42" s="177"/>
      <c r="BB42" s="178"/>
      <c r="BC42" s="178"/>
      <c r="BD42" s="178"/>
      <c r="BE42" s="178"/>
      <c r="BF42" s="178"/>
      <c r="BG42" s="178"/>
      <c r="BH42" s="178"/>
      <c r="BI42" s="179"/>
      <c r="BJ42" s="180"/>
      <c r="BK42" s="178"/>
      <c r="BL42" s="178"/>
      <c r="BM42" s="178"/>
      <c r="BN42" s="178"/>
      <c r="BO42" s="181"/>
      <c r="BP42" s="166"/>
      <c r="BQ42" s="177"/>
      <c r="BR42" s="178"/>
      <c r="BS42" s="179"/>
      <c r="BU42" s="166"/>
      <c r="BV42" s="166"/>
      <c r="BW42" s="166"/>
      <c r="BX42" s="166"/>
      <c r="BY42" s="166"/>
      <c r="BZ42" s="166"/>
      <c r="CA42" s="166"/>
      <c r="CB42" s="166"/>
      <c r="CC42" s="166"/>
      <c r="CD42" s="177"/>
      <c r="CE42" s="181"/>
      <c r="CF42" s="177"/>
      <c r="CG42" s="179"/>
      <c r="CH42" s="257"/>
      <c r="CI42" s="182"/>
      <c r="CJ42" s="177"/>
      <c r="CK42" s="182"/>
      <c r="CL42" s="177"/>
      <c r="CM42" s="182"/>
      <c r="CN42" s="177"/>
      <c r="CO42" s="182"/>
      <c r="CP42" s="177"/>
      <c r="CQ42" s="178"/>
      <c r="CR42" s="182"/>
      <c r="CS42" s="173"/>
      <c r="CT42" s="65"/>
      <c r="CU42" s="255" t="str">
        <f t="shared" si="2"/>
        <v>MVK</v>
      </c>
    </row>
    <row r="43" ht="60.0" customHeight="1">
      <c r="A43" s="65"/>
      <c r="C43" s="167">
        <v>3.0</v>
      </c>
      <c r="D43" s="168" t="s">
        <v>158</v>
      </c>
      <c r="E43" s="169"/>
      <c r="F43" s="170"/>
      <c r="G43" s="170"/>
      <c r="H43" s="170"/>
      <c r="I43" s="207"/>
      <c r="J43" s="170"/>
      <c r="K43" s="171"/>
      <c r="L43" s="171"/>
      <c r="M43" s="171"/>
      <c r="N43" s="276"/>
      <c r="O43" s="256">
        <f t="shared" si="8"/>
        <v>0</v>
      </c>
      <c r="Q43" s="173"/>
      <c r="R43" s="65"/>
      <c r="S43" s="173"/>
      <c r="T43" s="173"/>
      <c r="U43" s="166"/>
      <c r="V43" s="166"/>
      <c r="W43" s="65"/>
      <c r="X43" s="66"/>
      <c r="Y43" s="173"/>
      <c r="Z43" s="166"/>
      <c r="AA43" s="174"/>
      <c r="AB43" s="175"/>
      <c r="AC43" s="175"/>
      <c r="AD43" s="175"/>
      <c r="AE43" s="175"/>
      <c r="AF43" s="175"/>
      <c r="AG43" s="175"/>
      <c r="AH43" s="175"/>
      <c r="AI43" s="176"/>
      <c r="AJ43" s="177"/>
      <c r="AK43" s="178"/>
      <c r="AL43" s="178"/>
      <c r="AM43" s="178"/>
      <c r="AN43" s="178"/>
      <c r="AO43" s="179"/>
      <c r="AP43" s="64"/>
      <c r="AQ43" s="65"/>
      <c r="AR43" s="65"/>
      <c r="AS43" s="65"/>
      <c r="AT43" s="173"/>
      <c r="AU43" s="177"/>
      <c r="AV43" s="178"/>
      <c r="AW43" s="178"/>
      <c r="AX43" s="179"/>
      <c r="AZ43" s="166"/>
      <c r="BA43" s="177"/>
      <c r="BB43" s="178"/>
      <c r="BC43" s="178"/>
      <c r="BD43" s="178"/>
      <c r="BE43" s="178"/>
      <c r="BF43" s="178"/>
      <c r="BG43" s="178"/>
      <c r="BH43" s="178"/>
      <c r="BI43" s="179"/>
      <c r="BJ43" s="180"/>
      <c r="BK43" s="178"/>
      <c r="BL43" s="178"/>
      <c r="BM43" s="178"/>
      <c r="BN43" s="178"/>
      <c r="BO43" s="181"/>
      <c r="BP43" s="166"/>
      <c r="BQ43" s="177"/>
      <c r="BR43" s="178"/>
      <c r="BS43" s="179"/>
      <c r="BU43" s="166"/>
      <c r="BV43" s="166"/>
      <c r="BW43" s="166"/>
      <c r="BX43" s="166"/>
      <c r="BY43" s="166"/>
      <c r="BZ43" s="166"/>
      <c r="CA43" s="166"/>
      <c r="CB43" s="166"/>
      <c r="CC43" s="166"/>
      <c r="CD43" s="177"/>
      <c r="CE43" s="181"/>
      <c r="CF43" s="177"/>
      <c r="CG43" s="179"/>
      <c r="CH43" s="257"/>
      <c r="CI43" s="182"/>
      <c r="CJ43" s="177"/>
      <c r="CK43" s="182"/>
      <c r="CL43" s="177"/>
      <c r="CM43" s="182"/>
      <c r="CN43" s="177"/>
      <c r="CO43" s="182"/>
      <c r="CP43" s="177"/>
      <c r="CQ43" s="178"/>
      <c r="CR43" s="182"/>
      <c r="CS43" s="173"/>
      <c r="CT43" s="65"/>
      <c r="CU43" s="255" t="str">
        <f t="shared" si="2"/>
        <v>MVK</v>
      </c>
    </row>
    <row r="44" ht="60.0" customHeight="1">
      <c r="A44" s="65"/>
      <c r="C44" s="167">
        <v>4.0</v>
      </c>
      <c r="D44" s="168" t="s">
        <v>158</v>
      </c>
      <c r="E44" s="169"/>
      <c r="F44" s="170"/>
      <c r="G44" s="170"/>
      <c r="H44" s="170"/>
      <c r="I44" s="207"/>
      <c r="J44" s="170"/>
      <c r="K44" s="171"/>
      <c r="L44" s="171"/>
      <c r="M44" s="171"/>
      <c r="N44" s="276"/>
      <c r="O44" s="256">
        <f t="shared" si="8"/>
        <v>0</v>
      </c>
      <c r="Q44" s="173"/>
      <c r="R44" s="65"/>
      <c r="S44" s="173"/>
      <c r="T44" s="173"/>
      <c r="U44" s="166"/>
      <c r="V44" s="166"/>
      <c r="W44" s="65"/>
      <c r="X44" s="66"/>
      <c r="Y44" s="173"/>
      <c r="Z44" s="166"/>
      <c r="AA44" s="174"/>
      <c r="AB44" s="175"/>
      <c r="AC44" s="175"/>
      <c r="AD44" s="175"/>
      <c r="AE44" s="175"/>
      <c r="AF44" s="175"/>
      <c r="AG44" s="175"/>
      <c r="AH44" s="175"/>
      <c r="AI44" s="176"/>
      <c r="AJ44" s="177"/>
      <c r="AK44" s="178"/>
      <c r="AL44" s="178"/>
      <c r="AM44" s="178"/>
      <c r="AN44" s="178"/>
      <c r="AO44" s="179"/>
      <c r="AP44" s="64"/>
      <c r="AQ44" s="65"/>
      <c r="AR44" s="65"/>
      <c r="AS44" s="65"/>
      <c r="AT44" s="173"/>
      <c r="AU44" s="177"/>
      <c r="AV44" s="178"/>
      <c r="AW44" s="178"/>
      <c r="AX44" s="179"/>
      <c r="AZ44" s="166"/>
      <c r="BA44" s="177"/>
      <c r="BB44" s="178"/>
      <c r="BC44" s="178"/>
      <c r="BD44" s="178"/>
      <c r="BE44" s="178"/>
      <c r="BF44" s="178"/>
      <c r="BG44" s="178"/>
      <c r="BH44" s="178"/>
      <c r="BI44" s="179"/>
      <c r="BJ44" s="180"/>
      <c r="BK44" s="178"/>
      <c r="BL44" s="178"/>
      <c r="BM44" s="178"/>
      <c r="BN44" s="178"/>
      <c r="BO44" s="181"/>
      <c r="BP44" s="166"/>
      <c r="BQ44" s="177"/>
      <c r="BR44" s="178"/>
      <c r="BS44" s="179"/>
      <c r="BU44" s="166"/>
      <c r="BV44" s="166"/>
      <c r="BW44" s="166"/>
      <c r="BX44" s="166"/>
      <c r="BY44" s="166"/>
      <c r="BZ44" s="166"/>
      <c r="CA44" s="166"/>
      <c r="CB44" s="166"/>
      <c r="CC44" s="166"/>
      <c r="CD44" s="177"/>
      <c r="CE44" s="181"/>
      <c r="CF44" s="177"/>
      <c r="CG44" s="179"/>
      <c r="CH44" s="257"/>
      <c r="CI44" s="182"/>
      <c r="CJ44" s="177"/>
      <c r="CK44" s="182"/>
      <c r="CL44" s="177"/>
      <c r="CM44" s="182"/>
      <c r="CN44" s="177"/>
      <c r="CO44" s="182"/>
      <c r="CP44" s="177"/>
      <c r="CQ44" s="178"/>
      <c r="CR44" s="182"/>
      <c r="CS44" s="173"/>
      <c r="CT44" s="65"/>
      <c r="CU44" s="255" t="str">
        <f t="shared" si="2"/>
        <v>MVK</v>
      </c>
    </row>
    <row r="45" ht="60.0" customHeight="1">
      <c r="A45" s="65"/>
      <c r="C45" s="167">
        <v>5.0</v>
      </c>
      <c r="D45" s="168" t="s">
        <v>158</v>
      </c>
      <c r="E45" s="169"/>
      <c r="F45" s="170"/>
      <c r="G45" s="170"/>
      <c r="H45" s="170"/>
      <c r="I45" s="207"/>
      <c r="J45" s="170"/>
      <c r="K45" s="171"/>
      <c r="L45" s="171"/>
      <c r="M45" s="171"/>
      <c r="N45" s="276"/>
      <c r="O45" s="256">
        <f t="shared" si="8"/>
        <v>0</v>
      </c>
      <c r="Q45" s="173"/>
      <c r="R45" s="65"/>
      <c r="S45" s="173"/>
      <c r="T45" s="173"/>
      <c r="U45" s="166"/>
      <c r="V45" s="166"/>
      <c r="W45" s="65"/>
      <c r="X45" s="66"/>
      <c r="Y45" s="173"/>
      <c r="Z45" s="166"/>
      <c r="AA45" s="174"/>
      <c r="AB45" s="175"/>
      <c r="AC45" s="175"/>
      <c r="AD45" s="175"/>
      <c r="AE45" s="175"/>
      <c r="AF45" s="175"/>
      <c r="AG45" s="175"/>
      <c r="AH45" s="175"/>
      <c r="AI45" s="176"/>
      <c r="AJ45" s="177"/>
      <c r="AK45" s="178"/>
      <c r="AL45" s="178"/>
      <c r="AM45" s="178"/>
      <c r="AN45" s="178"/>
      <c r="AO45" s="179"/>
      <c r="AP45" s="64"/>
      <c r="AQ45" s="65"/>
      <c r="AR45" s="65"/>
      <c r="AS45" s="65"/>
      <c r="AT45" s="173"/>
      <c r="AU45" s="177"/>
      <c r="AV45" s="178"/>
      <c r="AW45" s="178"/>
      <c r="AX45" s="179"/>
      <c r="AZ45" s="166"/>
      <c r="BA45" s="177"/>
      <c r="BB45" s="178"/>
      <c r="BC45" s="178"/>
      <c r="BD45" s="178"/>
      <c r="BE45" s="178"/>
      <c r="BF45" s="178"/>
      <c r="BG45" s="178"/>
      <c r="BH45" s="178"/>
      <c r="BI45" s="179"/>
      <c r="BJ45" s="180"/>
      <c r="BK45" s="178"/>
      <c r="BL45" s="178"/>
      <c r="BM45" s="178"/>
      <c r="BN45" s="178"/>
      <c r="BO45" s="181"/>
      <c r="BP45" s="166"/>
      <c r="BQ45" s="177"/>
      <c r="BR45" s="178"/>
      <c r="BS45" s="179"/>
      <c r="BU45" s="166"/>
      <c r="BV45" s="166"/>
      <c r="BW45" s="166"/>
      <c r="BX45" s="166"/>
      <c r="BY45" s="166"/>
      <c r="BZ45" s="166"/>
      <c r="CA45" s="166"/>
      <c r="CB45" s="166"/>
      <c r="CC45" s="166"/>
      <c r="CD45" s="177"/>
      <c r="CE45" s="181"/>
      <c r="CF45" s="177"/>
      <c r="CG45" s="179"/>
      <c r="CH45" s="257"/>
      <c r="CI45" s="182"/>
      <c r="CJ45" s="177"/>
      <c r="CK45" s="182"/>
      <c r="CL45" s="177"/>
      <c r="CM45" s="182"/>
      <c r="CN45" s="177"/>
      <c r="CO45" s="182"/>
      <c r="CP45" s="177"/>
      <c r="CQ45" s="178"/>
      <c r="CR45" s="182"/>
      <c r="CS45" s="173"/>
      <c r="CT45" s="65"/>
      <c r="CU45" s="255" t="str">
        <f t="shared" si="2"/>
        <v>MVK</v>
      </c>
    </row>
    <row r="46" ht="60.0" customHeight="1">
      <c r="A46" s="65"/>
      <c r="C46" s="167">
        <v>6.0</v>
      </c>
      <c r="D46" s="168" t="s">
        <v>158</v>
      </c>
      <c r="E46" s="169"/>
      <c r="F46" s="170"/>
      <c r="G46" s="170"/>
      <c r="H46" s="170"/>
      <c r="I46" s="207"/>
      <c r="J46" s="170"/>
      <c r="K46" s="171"/>
      <c r="L46" s="171"/>
      <c r="M46" s="171"/>
      <c r="N46" s="276"/>
      <c r="O46" s="256">
        <f t="shared" si="8"/>
        <v>0</v>
      </c>
      <c r="Q46" s="173"/>
      <c r="R46" s="65"/>
      <c r="S46" s="173"/>
      <c r="T46" s="173"/>
      <c r="U46" s="166"/>
      <c r="V46" s="166"/>
      <c r="W46" s="65"/>
      <c r="X46" s="66"/>
      <c r="Y46" s="173"/>
      <c r="Z46" s="166"/>
      <c r="AA46" s="174"/>
      <c r="AB46" s="175"/>
      <c r="AC46" s="175"/>
      <c r="AD46" s="175"/>
      <c r="AE46" s="175"/>
      <c r="AF46" s="175"/>
      <c r="AG46" s="175"/>
      <c r="AH46" s="175"/>
      <c r="AI46" s="176"/>
      <c r="AJ46" s="177"/>
      <c r="AK46" s="178"/>
      <c r="AL46" s="178"/>
      <c r="AM46" s="178"/>
      <c r="AN46" s="178"/>
      <c r="AO46" s="179"/>
      <c r="AP46" s="64"/>
      <c r="AQ46" s="65"/>
      <c r="AR46" s="65"/>
      <c r="AS46" s="65"/>
      <c r="AT46" s="173"/>
      <c r="AU46" s="177"/>
      <c r="AV46" s="178"/>
      <c r="AW46" s="178"/>
      <c r="AX46" s="179"/>
      <c r="AZ46" s="166"/>
      <c r="BA46" s="177"/>
      <c r="BB46" s="178"/>
      <c r="BC46" s="178"/>
      <c r="BD46" s="178"/>
      <c r="BE46" s="178"/>
      <c r="BF46" s="178"/>
      <c r="BG46" s="178"/>
      <c r="BH46" s="178"/>
      <c r="BI46" s="179"/>
      <c r="BJ46" s="180"/>
      <c r="BK46" s="178"/>
      <c r="BL46" s="178"/>
      <c r="BM46" s="178"/>
      <c r="BN46" s="178"/>
      <c r="BO46" s="181"/>
      <c r="BP46" s="166"/>
      <c r="BQ46" s="177"/>
      <c r="BR46" s="178"/>
      <c r="BS46" s="179"/>
      <c r="BU46" s="166"/>
      <c r="BV46" s="166"/>
      <c r="BW46" s="166"/>
      <c r="BX46" s="166"/>
      <c r="BY46" s="166"/>
      <c r="BZ46" s="166"/>
      <c r="CA46" s="166"/>
      <c r="CB46" s="166"/>
      <c r="CC46" s="166"/>
      <c r="CD46" s="177"/>
      <c r="CE46" s="181"/>
      <c r="CF46" s="177"/>
      <c r="CG46" s="179"/>
      <c r="CH46" s="257"/>
      <c r="CI46" s="182"/>
      <c r="CJ46" s="177"/>
      <c r="CK46" s="182"/>
      <c r="CL46" s="177"/>
      <c r="CM46" s="182"/>
      <c r="CN46" s="177"/>
      <c r="CO46" s="182"/>
      <c r="CP46" s="177"/>
      <c r="CQ46" s="178"/>
      <c r="CR46" s="182"/>
      <c r="CS46" s="173"/>
      <c r="CT46" s="65"/>
      <c r="CU46" s="255" t="str">
        <f t="shared" si="2"/>
        <v>MVK</v>
      </c>
    </row>
    <row r="47" ht="60.0" customHeight="1">
      <c r="A47" s="65"/>
      <c r="C47" s="167">
        <v>7.0</v>
      </c>
      <c r="D47" s="168" t="s">
        <v>158</v>
      </c>
      <c r="E47" s="169"/>
      <c r="F47" s="170"/>
      <c r="G47" s="170"/>
      <c r="H47" s="170"/>
      <c r="I47" s="207"/>
      <c r="J47" s="170"/>
      <c r="K47" s="171"/>
      <c r="L47" s="171"/>
      <c r="M47" s="171"/>
      <c r="N47" s="276"/>
      <c r="O47" s="256">
        <f t="shared" ref="O47:O50" si="9">IF(AND(M47&gt;=20,M47&lt;&gt;"m",RIGHT(K47,3)="Lec"),1,IF(AND(M47&gt;=20,M47&lt;&gt;"m",OR(RIGHT(K47,3)="Lab",RIGHT(K47,3)="Tut")),0.5,IF(AND(M47&gt;=20,M47&lt;&gt;"m",RIGHT(K47,2)="TL"),0.75,0)))</f>
        <v>0</v>
      </c>
      <c r="Q47" s="173"/>
      <c r="R47" s="65"/>
      <c r="S47" s="173"/>
      <c r="T47" s="173"/>
      <c r="U47" s="166"/>
      <c r="V47" s="166"/>
      <c r="W47" s="65"/>
      <c r="X47" s="66"/>
      <c r="Y47" s="173"/>
      <c r="Z47" s="166"/>
      <c r="AA47" s="174"/>
      <c r="AB47" s="175"/>
      <c r="AC47" s="175"/>
      <c r="AD47" s="175"/>
      <c r="AE47" s="175"/>
      <c r="AF47" s="175"/>
      <c r="AG47" s="175"/>
      <c r="AH47" s="175"/>
      <c r="AI47" s="176"/>
      <c r="AJ47" s="177"/>
      <c r="AK47" s="178"/>
      <c r="AL47" s="178"/>
      <c r="AM47" s="178"/>
      <c r="AN47" s="178"/>
      <c r="AO47" s="179"/>
      <c r="AP47" s="64"/>
      <c r="AQ47" s="65"/>
      <c r="AR47" s="65"/>
      <c r="AS47" s="65"/>
      <c r="AT47" s="173"/>
      <c r="AU47" s="177"/>
      <c r="AV47" s="178"/>
      <c r="AW47" s="178"/>
      <c r="AX47" s="179"/>
      <c r="AZ47" s="166"/>
      <c r="BA47" s="177"/>
      <c r="BB47" s="178"/>
      <c r="BC47" s="178"/>
      <c r="BD47" s="178"/>
      <c r="BE47" s="178"/>
      <c r="BF47" s="178"/>
      <c r="BG47" s="178"/>
      <c r="BH47" s="178"/>
      <c r="BI47" s="179"/>
      <c r="BJ47" s="180"/>
      <c r="BK47" s="178"/>
      <c r="BL47" s="178"/>
      <c r="BM47" s="178"/>
      <c r="BN47" s="178"/>
      <c r="BO47" s="181"/>
      <c r="BP47" s="166"/>
      <c r="BQ47" s="177"/>
      <c r="BR47" s="178"/>
      <c r="BS47" s="179"/>
      <c r="BU47" s="166"/>
      <c r="BV47" s="166"/>
      <c r="BW47" s="166"/>
      <c r="BX47" s="166"/>
      <c r="BY47" s="166"/>
      <c r="BZ47" s="166"/>
      <c r="CA47" s="166"/>
      <c r="CB47" s="166"/>
      <c r="CC47" s="166"/>
      <c r="CD47" s="177"/>
      <c r="CE47" s="181"/>
      <c r="CF47" s="177"/>
      <c r="CG47" s="179"/>
      <c r="CH47" s="257"/>
      <c r="CI47" s="182"/>
      <c r="CJ47" s="177"/>
      <c r="CK47" s="182"/>
      <c r="CL47" s="177"/>
      <c r="CM47" s="182"/>
      <c r="CN47" s="177"/>
      <c r="CO47" s="182"/>
      <c r="CP47" s="177"/>
      <c r="CQ47" s="178"/>
      <c r="CR47" s="182"/>
      <c r="CS47" s="173"/>
      <c r="CT47" s="65"/>
      <c r="CU47" s="255" t="str">
        <f t="shared" si="2"/>
        <v>MVK</v>
      </c>
    </row>
    <row r="48" ht="60.0" customHeight="1">
      <c r="A48" s="65"/>
      <c r="C48" s="167">
        <v>8.0</v>
      </c>
      <c r="D48" s="168" t="s">
        <v>158</v>
      </c>
      <c r="E48" s="169"/>
      <c r="F48" s="170"/>
      <c r="G48" s="170"/>
      <c r="H48" s="170"/>
      <c r="I48" s="207"/>
      <c r="J48" s="170"/>
      <c r="K48" s="171"/>
      <c r="L48" s="171"/>
      <c r="M48" s="171"/>
      <c r="N48" s="276"/>
      <c r="O48" s="256">
        <f t="shared" si="9"/>
        <v>0</v>
      </c>
      <c r="Q48" s="173"/>
      <c r="R48" s="65"/>
      <c r="S48" s="173"/>
      <c r="T48" s="173"/>
      <c r="U48" s="166"/>
      <c r="V48" s="166"/>
      <c r="W48" s="65"/>
      <c r="X48" s="66"/>
      <c r="Y48" s="173"/>
      <c r="Z48" s="166"/>
      <c r="AA48" s="174"/>
      <c r="AB48" s="175"/>
      <c r="AC48" s="175"/>
      <c r="AD48" s="175"/>
      <c r="AE48" s="175"/>
      <c r="AF48" s="175"/>
      <c r="AG48" s="175"/>
      <c r="AH48" s="175"/>
      <c r="AI48" s="176"/>
      <c r="AJ48" s="177"/>
      <c r="AK48" s="178"/>
      <c r="AL48" s="178"/>
      <c r="AM48" s="178"/>
      <c r="AN48" s="178"/>
      <c r="AO48" s="179"/>
      <c r="AP48" s="64"/>
      <c r="AQ48" s="65"/>
      <c r="AR48" s="65"/>
      <c r="AS48" s="65"/>
      <c r="AT48" s="173"/>
      <c r="AU48" s="177"/>
      <c r="AV48" s="178"/>
      <c r="AW48" s="178"/>
      <c r="AX48" s="179"/>
      <c r="AZ48" s="166"/>
      <c r="BA48" s="177"/>
      <c r="BB48" s="178"/>
      <c r="BC48" s="178"/>
      <c r="BD48" s="178"/>
      <c r="BE48" s="178"/>
      <c r="BF48" s="178"/>
      <c r="BG48" s="178"/>
      <c r="BH48" s="178"/>
      <c r="BI48" s="179"/>
      <c r="BJ48" s="180"/>
      <c r="BK48" s="178"/>
      <c r="BL48" s="178"/>
      <c r="BM48" s="178"/>
      <c r="BN48" s="178"/>
      <c r="BO48" s="181"/>
      <c r="BP48" s="166"/>
      <c r="BQ48" s="177"/>
      <c r="BR48" s="178"/>
      <c r="BS48" s="179"/>
      <c r="BU48" s="166"/>
      <c r="BV48" s="166"/>
      <c r="BW48" s="166"/>
      <c r="BX48" s="166"/>
      <c r="BY48" s="166"/>
      <c r="BZ48" s="166"/>
      <c r="CA48" s="166"/>
      <c r="CB48" s="166"/>
      <c r="CC48" s="166"/>
      <c r="CD48" s="177"/>
      <c r="CE48" s="181"/>
      <c r="CF48" s="177"/>
      <c r="CG48" s="179"/>
      <c r="CH48" s="257"/>
      <c r="CI48" s="182"/>
      <c r="CJ48" s="177"/>
      <c r="CK48" s="182"/>
      <c r="CL48" s="177"/>
      <c r="CM48" s="182"/>
      <c r="CN48" s="177"/>
      <c r="CO48" s="182"/>
      <c r="CP48" s="177"/>
      <c r="CQ48" s="178"/>
      <c r="CR48" s="182"/>
      <c r="CS48" s="173"/>
      <c r="CT48" s="65"/>
      <c r="CU48" s="255" t="str">
        <f t="shared" si="2"/>
        <v>MVK</v>
      </c>
    </row>
    <row r="49" ht="60.0" customHeight="1">
      <c r="A49" s="65"/>
      <c r="C49" s="167">
        <v>9.0</v>
      </c>
      <c r="D49" s="168" t="s">
        <v>158</v>
      </c>
      <c r="E49" s="169"/>
      <c r="F49" s="170"/>
      <c r="G49" s="170"/>
      <c r="H49" s="170"/>
      <c r="I49" s="207"/>
      <c r="J49" s="170"/>
      <c r="K49" s="171"/>
      <c r="L49" s="171"/>
      <c r="M49" s="171"/>
      <c r="N49" s="276"/>
      <c r="O49" s="256">
        <f t="shared" si="9"/>
        <v>0</v>
      </c>
      <c r="Q49" s="173"/>
      <c r="R49" s="65"/>
      <c r="S49" s="173"/>
      <c r="T49" s="173"/>
      <c r="U49" s="166"/>
      <c r="V49" s="166"/>
      <c r="W49" s="65"/>
      <c r="X49" s="66"/>
      <c r="Y49" s="173"/>
      <c r="Z49" s="166"/>
      <c r="AA49" s="174"/>
      <c r="AB49" s="175"/>
      <c r="AC49" s="175"/>
      <c r="AD49" s="175"/>
      <c r="AE49" s="175"/>
      <c r="AF49" s="175"/>
      <c r="AG49" s="175"/>
      <c r="AH49" s="175"/>
      <c r="AI49" s="176"/>
      <c r="AJ49" s="177"/>
      <c r="AK49" s="178"/>
      <c r="AL49" s="178"/>
      <c r="AM49" s="178"/>
      <c r="AN49" s="178"/>
      <c r="AO49" s="179"/>
      <c r="AP49" s="64"/>
      <c r="AQ49" s="65"/>
      <c r="AR49" s="65"/>
      <c r="AS49" s="65"/>
      <c r="AT49" s="173"/>
      <c r="AU49" s="177"/>
      <c r="AV49" s="178"/>
      <c r="AW49" s="178"/>
      <c r="AX49" s="179"/>
      <c r="AZ49" s="166"/>
      <c r="BA49" s="177"/>
      <c r="BB49" s="178"/>
      <c r="BC49" s="178"/>
      <c r="BD49" s="178"/>
      <c r="BE49" s="178"/>
      <c r="BF49" s="178"/>
      <c r="BG49" s="178"/>
      <c r="BH49" s="178"/>
      <c r="BI49" s="179"/>
      <c r="BJ49" s="180"/>
      <c r="BK49" s="178"/>
      <c r="BL49" s="178"/>
      <c r="BM49" s="178"/>
      <c r="BN49" s="178"/>
      <c r="BO49" s="181"/>
      <c r="BP49" s="166"/>
      <c r="BQ49" s="177"/>
      <c r="BR49" s="178"/>
      <c r="BS49" s="179"/>
      <c r="BU49" s="166"/>
      <c r="BV49" s="166"/>
      <c r="BW49" s="166"/>
      <c r="BX49" s="166"/>
      <c r="BY49" s="166"/>
      <c r="BZ49" s="166"/>
      <c r="CA49" s="166"/>
      <c r="CB49" s="166"/>
      <c r="CC49" s="166"/>
      <c r="CD49" s="177"/>
      <c r="CE49" s="181"/>
      <c r="CF49" s="177"/>
      <c r="CG49" s="179"/>
      <c r="CH49" s="257"/>
      <c r="CI49" s="182"/>
      <c r="CJ49" s="177"/>
      <c r="CK49" s="182"/>
      <c r="CL49" s="177"/>
      <c r="CM49" s="182"/>
      <c r="CN49" s="177"/>
      <c r="CO49" s="182"/>
      <c r="CP49" s="177"/>
      <c r="CQ49" s="178"/>
      <c r="CR49" s="182"/>
      <c r="CS49" s="173"/>
      <c r="CT49" s="65"/>
      <c r="CU49" s="255" t="str">
        <f t="shared" si="2"/>
        <v>MVK</v>
      </c>
    </row>
    <row r="50" ht="60.0" customHeight="1">
      <c r="A50" s="65"/>
      <c r="C50" s="167">
        <v>10.0</v>
      </c>
      <c r="D50" s="168" t="s">
        <v>158</v>
      </c>
      <c r="E50" s="169"/>
      <c r="F50" s="170"/>
      <c r="G50" s="170"/>
      <c r="H50" s="170"/>
      <c r="I50" s="207"/>
      <c r="J50" s="170"/>
      <c r="K50" s="171"/>
      <c r="L50" s="171"/>
      <c r="M50" s="171"/>
      <c r="N50" s="276"/>
      <c r="O50" s="256">
        <f t="shared" si="9"/>
        <v>0</v>
      </c>
      <c r="Q50" s="173"/>
      <c r="R50" s="65"/>
      <c r="S50" s="173"/>
      <c r="T50" s="173"/>
      <c r="U50" s="166"/>
      <c r="V50" s="166"/>
      <c r="W50" s="65"/>
      <c r="X50" s="66"/>
      <c r="Y50" s="173"/>
      <c r="Z50" s="166"/>
      <c r="AA50" s="174"/>
      <c r="AB50" s="175"/>
      <c r="AC50" s="175"/>
      <c r="AD50" s="175"/>
      <c r="AE50" s="175"/>
      <c r="AF50" s="175"/>
      <c r="AG50" s="175"/>
      <c r="AH50" s="175"/>
      <c r="AI50" s="176"/>
      <c r="AJ50" s="177"/>
      <c r="AK50" s="178"/>
      <c r="AL50" s="178"/>
      <c r="AM50" s="178"/>
      <c r="AN50" s="178"/>
      <c r="AO50" s="179"/>
      <c r="AP50" s="64"/>
      <c r="AQ50" s="65"/>
      <c r="AR50" s="65"/>
      <c r="AS50" s="65"/>
      <c r="AT50" s="173"/>
      <c r="AU50" s="177"/>
      <c r="AV50" s="178"/>
      <c r="AW50" s="178"/>
      <c r="AX50" s="179"/>
      <c r="AZ50" s="166"/>
      <c r="BA50" s="177"/>
      <c r="BB50" s="178"/>
      <c r="BC50" s="178"/>
      <c r="BD50" s="178"/>
      <c r="BE50" s="178"/>
      <c r="BF50" s="178"/>
      <c r="BG50" s="178"/>
      <c r="BH50" s="178"/>
      <c r="BI50" s="179"/>
      <c r="BJ50" s="180"/>
      <c r="BK50" s="178"/>
      <c r="BL50" s="178"/>
      <c r="BM50" s="178"/>
      <c r="BN50" s="178"/>
      <c r="BO50" s="181"/>
      <c r="BP50" s="166"/>
      <c r="BQ50" s="177"/>
      <c r="BR50" s="178"/>
      <c r="BS50" s="179"/>
      <c r="BU50" s="166"/>
      <c r="BV50" s="166"/>
      <c r="BW50" s="166"/>
      <c r="BX50" s="166"/>
      <c r="BY50" s="166"/>
      <c r="BZ50" s="166"/>
      <c r="CA50" s="166"/>
      <c r="CB50" s="166"/>
      <c r="CC50" s="166"/>
      <c r="CD50" s="177"/>
      <c r="CE50" s="181"/>
      <c r="CF50" s="177"/>
      <c r="CG50" s="179"/>
      <c r="CH50" s="257"/>
      <c r="CI50" s="182"/>
      <c r="CJ50" s="177"/>
      <c r="CK50" s="182"/>
      <c r="CL50" s="177"/>
      <c r="CM50" s="182"/>
      <c r="CN50" s="177"/>
      <c r="CO50" s="182"/>
      <c r="CP50" s="177"/>
      <c r="CQ50" s="178"/>
      <c r="CR50" s="182"/>
      <c r="CS50" s="173"/>
      <c r="CT50" s="65"/>
      <c r="CU50" s="255" t="str">
        <f t="shared" si="2"/>
        <v>MVK</v>
      </c>
    </row>
    <row r="51" ht="60.0" customHeight="1">
      <c r="A51" s="89"/>
      <c r="C51" s="183">
        <v>11.0</v>
      </c>
      <c r="D51" s="210" t="s">
        <v>158</v>
      </c>
      <c r="E51" s="185"/>
      <c r="F51" s="186"/>
      <c r="G51" s="186"/>
      <c r="H51" s="186"/>
      <c r="I51" s="212"/>
      <c r="J51" s="186"/>
      <c r="K51" s="187"/>
      <c r="L51" s="187"/>
      <c r="M51" s="187"/>
      <c r="N51" s="214"/>
      <c r="O51" s="258">
        <f t="shared" ref="O51:O57" si="10">IF(AND(M51&lt;&gt;0,M51&lt;&gt;"m",M51&lt;&gt;"",RIGHT(K51,3)="Lec"),1,IF(AND(M51&lt;&gt;0,M51&lt;&gt;"m",M51&lt;&gt;"",OR(RIGHT(K51,3)="Lab",RIGHT(K51,3)="Tut")),0.5,IF(AND(M51&lt;&gt;0,M51&lt;&gt;"m",M51&lt;&gt;"",RIGHT(K51,2)="TL"),0.75,0)))</f>
        <v>0</v>
      </c>
      <c r="P51" s="6"/>
      <c r="Q51" s="69"/>
      <c r="R51" s="89"/>
      <c r="S51" s="69"/>
      <c r="T51" s="69"/>
      <c r="U51" s="63"/>
      <c r="V51" s="63"/>
      <c r="W51" s="89"/>
      <c r="X51" s="68"/>
      <c r="Y51" s="69"/>
      <c r="Z51" s="63"/>
      <c r="AA51" s="189"/>
      <c r="AB51" s="190"/>
      <c r="AC51" s="190"/>
      <c r="AD51" s="190"/>
      <c r="AE51" s="190"/>
      <c r="AF51" s="190"/>
      <c r="AG51" s="190"/>
      <c r="AH51" s="190"/>
      <c r="AI51" s="191"/>
      <c r="AJ51" s="192"/>
      <c r="AK51" s="193"/>
      <c r="AL51" s="193"/>
      <c r="AM51" s="193"/>
      <c r="AN51" s="193"/>
      <c r="AO51" s="194"/>
      <c r="AP51" s="103"/>
      <c r="AQ51" s="89"/>
      <c r="AR51" s="89"/>
      <c r="AS51" s="89"/>
      <c r="AT51" s="69"/>
      <c r="AU51" s="192"/>
      <c r="AV51" s="193"/>
      <c r="AW51" s="193"/>
      <c r="AX51" s="194"/>
      <c r="AY51" s="6"/>
      <c r="AZ51" s="63"/>
      <c r="BA51" s="192"/>
      <c r="BB51" s="193"/>
      <c r="BC51" s="193"/>
      <c r="BD51" s="193"/>
      <c r="BE51" s="193"/>
      <c r="BF51" s="193"/>
      <c r="BG51" s="193"/>
      <c r="BH51" s="193"/>
      <c r="BI51" s="194"/>
      <c r="BJ51" s="195"/>
      <c r="BK51" s="193"/>
      <c r="BL51" s="193"/>
      <c r="BM51" s="193"/>
      <c r="BN51" s="193"/>
      <c r="BO51" s="196"/>
      <c r="BP51" s="63"/>
      <c r="BQ51" s="192"/>
      <c r="BR51" s="193"/>
      <c r="BS51" s="194"/>
      <c r="BT51" s="6"/>
      <c r="BU51" s="63"/>
      <c r="BV51" s="63"/>
      <c r="BW51" s="63"/>
      <c r="BX51" s="63"/>
      <c r="BY51" s="63"/>
      <c r="BZ51" s="63"/>
      <c r="CA51" s="63"/>
      <c r="CB51" s="63"/>
      <c r="CC51" s="63"/>
      <c r="CD51" s="192"/>
      <c r="CE51" s="196"/>
      <c r="CF51" s="192"/>
      <c r="CG51" s="194"/>
      <c r="CH51" s="259"/>
      <c r="CI51" s="197"/>
      <c r="CJ51" s="192"/>
      <c r="CK51" s="197"/>
      <c r="CL51" s="192"/>
      <c r="CM51" s="197"/>
      <c r="CN51" s="192"/>
      <c r="CO51" s="197"/>
      <c r="CP51" s="192"/>
      <c r="CQ51" s="193"/>
      <c r="CR51" s="197"/>
      <c r="CS51" s="69"/>
      <c r="CT51" s="89"/>
      <c r="CU51" s="255" t="str">
        <f t="shared" si="2"/>
        <v>MVK</v>
      </c>
    </row>
    <row r="52" ht="55.5" customHeight="1">
      <c r="A52" s="125">
        <v>5.0</v>
      </c>
      <c r="B52" s="199" t="s">
        <v>161</v>
      </c>
      <c r="C52" s="127">
        <v>1.0</v>
      </c>
      <c r="D52" s="168" t="s">
        <v>162</v>
      </c>
      <c r="E52" s="129"/>
      <c r="F52" s="130"/>
      <c r="G52" s="130"/>
      <c r="H52" s="130"/>
      <c r="I52" s="201"/>
      <c r="J52" s="130"/>
      <c r="K52" s="131"/>
      <c r="L52" s="131"/>
      <c r="M52" s="131"/>
      <c r="N52" s="275"/>
      <c r="O52" s="250">
        <f t="shared" si="10"/>
        <v>0</v>
      </c>
      <c r="P52" s="251">
        <f>COUNTIF(K52:K62,"TL")*0.75+COUNTIF(K52:K62,"Lec")*1+COUNTIF(K52:K62,"Lab")*0.5</f>
        <v>0</v>
      </c>
      <c r="Q52" s="134">
        <f>SUM((IF(LEFT(K52,1)="E",O52,0)),(IF(LEFT(K53,1)="E",O53,0)),(IF(LEFT(K54,1)="E",O54,0)),(IF(LEFT(K55,1)="E",O55,0)),(IF(LEFT(K56,1)="E",O56,0)),(IF(LEFT(K57,1)="E",O57,0)),(IF(LEFT(K58,1)="E",O58,0)),(IF(LEFT(K59,1)="E",O59,0)),(IF(LEFT(K60,1)="E",O60,0)),(IF(LEFT(K61,1)="E",O61,0)),(IF(LEFT(K62,1)="E",O62,0)))</f>
        <v>0</v>
      </c>
      <c r="R52" s="135">
        <f>SUM(IF(M58&lt;20,IF(K58="Plec",-1,IF(K58="PTL",-0.75,IF(K58="Plab",-0.5,0))),0),IF(M59&lt;20,IF(K59="Plec",-1,IF(K59="PTL",-0.75,IF(K59="Plab",-0.5,0))),0),IF(M60&lt;20,IF(K60="Plec",-1,IF(K60="PTL",-0.75,IF(K60="Plab",-0.5,0))),0),IF(M61&lt;20,IF(K61="Plec",-1,IF(K61="PTL",-0.75,IF(K61="Plab",-0.5,0))),0))</f>
        <v>0</v>
      </c>
      <c r="S52" s="134">
        <f>SUM(P52:R62)</f>
        <v>0</v>
      </c>
      <c r="T52" s="136">
        <f>SUM(IF(M52="M",IF(OR(K52="lec",K52="plec",K52="slec"),1,IF(OR(K52="lab",K52="plab",K52="slab",K52="tut",K52="ptut",K52="stut"),0.5,IF(OR(K52="TL",K52="pTL",K52="STL"),0.75,0))),0),IF(M53="M",IF(OR(K53="lec",K53="plec",K53="slec"),1,IF(OR(K53="lab",K53="plab",K53="slab",K53="tut",K53="ptut",K53="stut"),0.5,IF(OR(K53="TL",K53="pTL",K53="STL"),0.75,0))),0),IF(M54="M",IF(OR(K54="lec",K54="plec",K54="slec"),1,IF(OR(K54="lab",K54="plab",K54="slab",K54="tut",K54="ptut",K54="stut"),0.5,IF(OR(K54="TL",K54="pTL",K54="STL"),0.75,0))),0),IF(M55="M",IF(OR(K55="lec",K55="plec",K55="slec"),1,IF(OR(K55="lab",K55="plab",K55="slab",K55="tut",K55="ptut",K55="stut"),0.5,IF(OR(K55="TL",K55="pTL",K55="STL"),0.75,0))),0),IF(M56="M",IF(OR(K56="lec",K56="plec",K56="slec"),1,IF(OR(K56="lab",K56="plab",K56="slab",K56="tut",K56="ptut",K56="stut"),0.5,IF(OR(K56="TL",K56="pTL",K56="STL"),0.75,0))),0),IF(M57="M",IF(OR(K57="lec",K57="plec",K57="slec"),1,IF(OR(K57="lab",K57="plab",K57="slab",K57="tut",K57="ptut",K57="stut"),0.5,IF(OR(K57="TL",K57="pTL",K57="STL"),0.75,0))),0),IF(M58="M",IF(OR(K58="lec",K58="plec",K58="slec"),1,IF(OR(K58="lab",K58="plab",K58="slab",K58="tut",K58="ptut",K58="stut"),0.5,IF(OR(K58="TL",K58="pTL",K58="STL"),0.75,0))),0),IF(M59="M",IF(OR(K59="lec",K59="plec",K59="slec"),1,IF(OR(K59="lab",K59="plab",K59="slab",K59="tut",K59="ptut",K59="stut"),0.5,IF(OR(K59="TL",K59="pTL",K59="STL"),0.75,0))),0),IF(M60="M",IF(OR(K60="lec",K60="plec",K60="slec"),1,IF(OR(K60="lab",K60="plab",K60="slab",K60="tut",K60="ptut",K60="stut"),0.5,IF(OR(K60="TL",K60="pTL",K60="STL"),0.75,0))),0),IF(M61="M",IF(OR(K61="lec",K61="plec",K61="slec"),1,IF(OR(K61="lab",K61="plab",K61="slab",K61="tut",K61="ptut",K61="stut"),0.5,IF(OR(K61="TL",K61="pTL",K61="STL"),0.75,0))),0),IF(M62="M",IF(OR(K62="lec",K62="plec",K62="slec"),1,IF(OR(K62="lab",K62="plab",K62="slab",K62="tut",K62="ptut",K62="stut"),0.5,IF(OR(K62="TL",K62="pTL",K62="STL"),0.75,0))),0))</f>
        <v>0</v>
      </c>
      <c r="U52" s="137"/>
      <c r="V52" s="133"/>
      <c r="W52" s="138"/>
      <c r="X52" s="139">
        <f>S52-(T52+U52+V52+W52)</f>
        <v>0</v>
      </c>
      <c r="Y52" s="134" t="str">
        <f>CONCATENATE(SUM(O52:O62),"(",SUM(O52:O62)-X52,")")</f>
        <v>0(0)</v>
      </c>
      <c r="Z52" s="140"/>
      <c r="AA52" s="141"/>
      <c r="AB52" s="142"/>
      <c r="AC52" s="142"/>
      <c r="AD52" s="142"/>
      <c r="AE52" s="142"/>
      <c r="AF52" s="142"/>
      <c r="AG52" s="142"/>
      <c r="AH52" s="142"/>
      <c r="AI52" s="143"/>
      <c r="AJ52" s="144"/>
      <c r="AK52" s="145"/>
      <c r="AL52" s="145"/>
      <c r="AM52" s="145"/>
      <c r="AN52" s="145"/>
      <c r="AO52" s="146"/>
      <c r="AP52" s="147">
        <f>SUM(SUM(O52:O62),SUM(AI52:AI62)/2,AM52)</f>
        <v>0</v>
      </c>
      <c r="AQ52" s="148"/>
      <c r="AR52" s="148">
        <f>AP52*AQ52</f>
        <v>0</v>
      </c>
      <c r="AS52" s="148">
        <f>CT52</f>
        <v>0</v>
      </c>
      <c r="AT52" s="149">
        <f>AR52*0.75+AS52*0.25</f>
        <v>0</v>
      </c>
      <c r="AU52" s="150"/>
      <c r="AV52" s="151"/>
      <c r="AW52" s="151"/>
      <c r="AX52" s="152"/>
      <c r="AY52" s="153"/>
      <c r="AZ52" s="140"/>
      <c r="BA52" s="150"/>
      <c r="BB52" s="151"/>
      <c r="BC52" s="151"/>
      <c r="BD52" s="151"/>
      <c r="BE52" s="151"/>
      <c r="BF52" s="151"/>
      <c r="BG52" s="151"/>
      <c r="BH52" s="151"/>
      <c r="BI52" s="152"/>
      <c r="BJ52" s="154"/>
      <c r="BK52" s="151"/>
      <c r="BL52" s="151"/>
      <c r="BM52" s="151"/>
      <c r="BN52" s="151"/>
      <c r="BO52" s="155"/>
      <c r="BP52" s="140"/>
      <c r="BQ52" s="156"/>
      <c r="BR52" s="157"/>
      <c r="BS52" s="158"/>
      <c r="BT52" s="153"/>
      <c r="BU52" s="140"/>
      <c r="BV52" s="140"/>
      <c r="BW52" s="140"/>
      <c r="BX52" s="140"/>
      <c r="BY52" s="140"/>
      <c r="BZ52" s="140"/>
      <c r="CA52" s="140"/>
      <c r="CB52" s="140"/>
      <c r="CC52" s="140"/>
      <c r="CD52" s="150"/>
      <c r="CE52" s="155"/>
      <c r="CF52" s="150"/>
      <c r="CG52" s="152"/>
      <c r="CH52" s="252"/>
      <c r="CI52" s="160"/>
      <c r="CJ52" s="159"/>
      <c r="CK52" s="160"/>
      <c r="CL52" s="159"/>
      <c r="CM52" s="160"/>
      <c r="CN52" s="159"/>
      <c r="CO52" s="160"/>
      <c r="CP52" s="159"/>
      <c r="CQ52" s="162"/>
      <c r="CR52" s="160"/>
      <c r="CS52" s="253">
        <f>SUM(IF(AU52&lt;0,ABS(AU52),0),IF(AZ52&lt;0,ABS(AZ52),0),ABS(CI52),ABS(CK52),ABS(CM52),ABS(CO52),ABS(CQ52),ABS(CR52))</f>
        <v>0</v>
      </c>
      <c r="CT52" s="254">
        <f>SUM(AU52,AV52,AW52,AX52/400,AY52,AZ52,BG52,BH52*0.5,BI52*0.25,BJ52,BK52,BL52,BM52,BN52,BO52,BP52,BR52/20,BS52/100,BT52/60,BU52,BV52,BW52,BX52/4,SUM(BY52:CC62)/3,CE52,CG52/3,CI52,CK52,CM52,CO52,CQ52,CR52)</f>
        <v>0</v>
      </c>
      <c r="CU52" s="255" t="str">
        <f t="shared" si="2"/>
        <v>PCS</v>
      </c>
    </row>
    <row r="53" ht="60.0" customHeight="1">
      <c r="A53" s="65"/>
      <c r="C53" s="167">
        <v>2.0</v>
      </c>
      <c r="D53" s="168" t="s">
        <v>162</v>
      </c>
      <c r="E53" s="169"/>
      <c r="F53" s="170"/>
      <c r="G53" s="170"/>
      <c r="H53" s="170"/>
      <c r="I53" s="207"/>
      <c r="J53" s="170"/>
      <c r="K53" s="171"/>
      <c r="L53" s="171"/>
      <c r="M53" s="171"/>
      <c r="N53" s="276"/>
      <c r="O53" s="256">
        <f t="shared" si="10"/>
        <v>0</v>
      </c>
      <c r="Q53" s="173"/>
      <c r="R53" s="65"/>
      <c r="S53" s="173"/>
      <c r="T53" s="173"/>
      <c r="U53" s="166"/>
      <c r="V53" s="166"/>
      <c r="W53" s="65"/>
      <c r="X53" s="66"/>
      <c r="Y53" s="173"/>
      <c r="Z53" s="166"/>
      <c r="AA53" s="174"/>
      <c r="AB53" s="175"/>
      <c r="AC53" s="175"/>
      <c r="AD53" s="175"/>
      <c r="AE53" s="175"/>
      <c r="AF53" s="175"/>
      <c r="AG53" s="175"/>
      <c r="AH53" s="175"/>
      <c r="AI53" s="176"/>
      <c r="AJ53" s="177"/>
      <c r="AK53" s="178"/>
      <c r="AL53" s="178"/>
      <c r="AM53" s="178"/>
      <c r="AN53" s="178"/>
      <c r="AO53" s="179"/>
      <c r="AP53" s="64"/>
      <c r="AQ53" s="65"/>
      <c r="AR53" s="65"/>
      <c r="AS53" s="65"/>
      <c r="AT53" s="173"/>
      <c r="AU53" s="177"/>
      <c r="AV53" s="178"/>
      <c r="AW53" s="178"/>
      <c r="AX53" s="179"/>
      <c r="AZ53" s="166"/>
      <c r="BA53" s="177"/>
      <c r="BB53" s="178"/>
      <c r="BC53" s="178"/>
      <c r="BD53" s="178"/>
      <c r="BE53" s="178"/>
      <c r="BF53" s="178"/>
      <c r="BG53" s="178"/>
      <c r="BH53" s="178"/>
      <c r="BI53" s="179"/>
      <c r="BJ53" s="180"/>
      <c r="BK53" s="178"/>
      <c r="BL53" s="178"/>
      <c r="BM53" s="178"/>
      <c r="BN53" s="178"/>
      <c r="BO53" s="181"/>
      <c r="BP53" s="166"/>
      <c r="BQ53" s="177"/>
      <c r="BR53" s="178"/>
      <c r="BS53" s="179"/>
      <c r="BU53" s="166"/>
      <c r="BV53" s="166"/>
      <c r="BW53" s="166"/>
      <c r="BX53" s="166"/>
      <c r="BY53" s="166"/>
      <c r="BZ53" s="166"/>
      <c r="CA53" s="166"/>
      <c r="CB53" s="166"/>
      <c r="CC53" s="166"/>
      <c r="CD53" s="177"/>
      <c r="CE53" s="181"/>
      <c r="CF53" s="177"/>
      <c r="CG53" s="179"/>
      <c r="CH53" s="257"/>
      <c r="CI53" s="182"/>
      <c r="CJ53" s="177"/>
      <c r="CK53" s="182"/>
      <c r="CL53" s="177"/>
      <c r="CM53" s="182"/>
      <c r="CN53" s="177"/>
      <c r="CO53" s="182"/>
      <c r="CP53" s="177"/>
      <c r="CQ53" s="178"/>
      <c r="CR53" s="182"/>
      <c r="CS53" s="173"/>
      <c r="CT53" s="65"/>
      <c r="CU53" s="255" t="str">
        <f t="shared" si="2"/>
        <v>PCS</v>
      </c>
    </row>
    <row r="54" ht="60.0" customHeight="1">
      <c r="A54" s="65"/>
      <c r="C54" s="167">
        <v>3.0</v>
      </c>
      <c r="D54" s="168" t="s">
        <v>162</v>
      </c>
      <c r="E54" s="169"/>
      <c r="F54" s="170"/>
      <c r="G54" s="170"/>
      <c r="H54" s="170"/>
      <c r="I54" s="207"/>
      <c r="J54" s="170"/>
      <c r="K54" s="171"/>
      <c r="L54" s="171"/>
      <c r="M54" s="171"/>
      <c r="N54" s="276"/>
      <c r="O54" s="256">
        <f t="shared" si="10"/>
        <v>0</v>
      </c>
      <c r="Q54" s="173"/>
      <c r="R54" s="65"/>
      <c r="S54" s="173"/>
      <c r="T54" s="173"/>
      <c r="U54" s="166"/>
      <c r="V54" s="166"/>
      <c r="W54" s="65"/>
      <c r="X54" s="66"/>
      <c r="Y54" s="173"/>
      <c r="Z54" s="166"/>
      <c r="AA54" s="174"/>
      <c r="AB54" s="175"/>
      <c r="AC54" s="175"/>
      <c r="AD54" s="175"/>
      <c r="AE54" s="175"/>
      <c r="AF54" s="175"/>
      <c r="AG54" s="175"/>
      <c r="AH54" s="175"/>
      <c r="AI54" s="176"/>
      <c r="AJ54" s="177"/>
      <c r="AK54" s="178"/>
      <c r="AL54" s="178"/>
      <c r="AM54" s="178"/>
      <c r="AN54" s="178"/>
      <c r="AO54" s="179"/>
      <c r="AP54" s="64"/>
      <c r="AQ54" s="65"/>
      <c r="AR54" s="65"/>
      <c r="AS54" s="65"/>
      <c r="AT54" s="173"/>
      <c r="AU54" s="177"/>
      <c r="AV54" s="178"/>
      <c r="AW54" s="178"/>
      <c r="AX54" s="179"/>
      <c r="AZ54" s="166"/>
      <c r="BA54" s="177"/>
      <c r="BB54" s="178"/>
      <c r="BC54" s="178"/>
      <c r="BD54" s="178"/>
      <c r="BE54" s="178"/>
      <c r="BF54" s="178"/>
      <c r="BG54" s="178"/>
      <c r="BH54" s="178"/>
      <c r="BI54" s="179"/>
      <c r="BJ54" s="180"/>
      <c r="BK54" s="178"/>
      <c r="BL54" s="178"/>
      <c r="BM54" s="178"/>
      <c r="BN54" s="178"/>
      <c r="BO54" s="181"/>
      <c r="BP54" s="166"/>
      <c r="BQ54" s="177"/>
      <c r="BR54" s="178"/>
      <c r="BS54" s="179"/>
      <c r="BU54" s="166"/>
      <c r="BV54" s="166"/>
      <c r="BW54" s="166"/>
      <c r="BX54" s="166"/>
      <c r="BY54" s="166"/>
      <c r="BZ54" s="166"/>
      <c r="CA54" s="166"/>
      <c r="CB54" s="166"/>
      <c r="CC54" s="166"/>
      <c r="CD54" s="177"/>
      <c r="CE54" s="181"/>
      <c r="CF54" s="177"/>
      <c r="CG54" s="179"/>
      <c r="CH54" s="257"/>
      <c r="CI54" s="182"/>
      <c r="CJ54" s="177"/>
      <c r="CK54" s="182"/>
      <c r="CL54" s="177"/>
      <c r="CM54" s="182"/>
      <c r="CN54" s="177"/>
      <c r="CO54" s="182"/>
      <c r="CP54" s="177"/>
      <c r="CQ54" s="178"/>
      <c r="CR54" s="182"/>
      <c r="CS54" s="173"/>
      <c r="CT54" s="65"/>
      <c r="CU54" s="255" t="str">
        <f t="shared" si="2"/>
        <v>PCS</v>
      </c>
    </row>
    <row r="55" ht="60.0" customHeight="1">
      <c r="A55" s="65"/>
      <c r="C55" s="167">
        <v>4.0</v>
      </c>
      <c r="D55" s="168" t="s">
        <v>162</v>
      </c>
      <c r="E55" s="169"/>
      <c r="F55" s="170"/>
      <c r="G55" s="170"/>
      <c r="H55" s="170"/>
      <c r="I55" s="207"/>
      <c r="J55" s="170"/>
      <c r="K55" s="171"/>
      <c r="L55" s="171"/>
      <c r="M55" s="171"/>
      <c r="N55" s="276"/>
      <c r="O55" s="256">
        <f t="shared" si="10"/>
        <v>0</v>
      </c>
      <c r="Q55" s="173"/>
      <c r="R55" s="65"/>
      <c r="S55" s="173"/>
      <c r="T55" s="173"/>
      <c r="U55" s="166"/>
      <c r="V55" s="166"/>
      <c r="W55" s="65"/>
      <c r="X55" s="66"/>
      <c r="Y55" s="173"/>
      <c r="Z55" s="166"/>
      <c r="AA55" s="174"/>
      <c r="AB55" s="175"/>
      <c r="AC55" s="175"/>
      <c r="AD55" s="175"/>
      <c r="AE55" s="175"/>
      <c r="AF55" s="175"/>
      <c r="AG55" s="175"/>
      <c r="AH55" s="175"/>
      <c r="AI55" s="176"/>
      <c r="AJ55" s="177"/>
      <c r="AK55" s="178"/>
      <c r="AL55" s="178"/>
      <c r="AM55" s="178"/>
      <c r="AN55" s="178"/>
      <c r="AO55" s="179"/>
      <c r="AP55" s="64"/>
      <c r="AQ55" s="65"/>
      <c r="AR55" s="65"/>
      <c r="AS55" s="65"/>
      <c r="AT55" s="173"/>
      <c r="AU55" s="177"/>
      <c r="AV55" s="178"/>
      <c r="AW55" s="178"/>
      <c r="AX55" s="179"/>
      <c r="AZ55" s="166"/>
      <c r="BA55" s="177"/>
      <c r="BB55" s="178"/>
      <c r="BC55" s="178"/>
      <c r="BD55" s="178"/>
      <c r="BE55" s="178"/>
      <c r="BF55" s="178"/>
      <c r="BG55" s="178"/>
      <c r="BH55" s="178"/>
      <c r="BI55" s="179"/>
      <c r="BJ55" s="180"/>
      <c r="BK55" s="178"/>
      <c r="BL55" s="178"/>
      <c r="BM55" s="178"/>
      <c r="BN55" s="178"/>
      <c r="BO55" s="181"/>
      <c r="BP55" s="166"/>
      <c r="BQ55" s="177"/>
      <c r="BR55" s="178"/>
      <c r="BS55" s="179"/>
      <c r="BU55" s="166"/>
      <c r="BV55" s="166"/>
      <c r="BW55" s="166"/>
      <c r="BX55" s="166"/>
      <c r="BY55" s="166"/>
      <c r="BZ55" s="166"/>
      <c r="CA55" s="166"/>
      <c r="CB55" s="166"/>
      <c r="CC55" s="166"/>
      <c r="CD55" s="177"/>
      <c r="CE55" s="181"/>
      <c r="CF55" s="177"/>
      <c r="CG55" s="179"/>
      <c r="CH55" s="257"/>
      <c r="CI55" s="182"/>
      <c r="CJ55" s="177"/>
      <c r="CK55" s="182"/>
      <c r="CL55" s="177"/>
      <c r="CM55" s="182"/>
      <c r="CN55" s="177"/>
      <c r="CO55" s="182"/>
      <c r="CP55" s="177"/>
      <c r="CQ55" s="178"/>
      <c r="CR55" s="182"/>
      <c r="CS55" s="173"/>
      <c r="CT55" s="65"/>
      <c r="CU55" s="255" t="str">
        <f t="shared" si="2"/>
        <v>PCS</v>
      </c>
    </row>
    <row r="56" ht="60.0" customHeight="1">
      <c r="A56" s="65"/>
      <c r="C56" s="167">
        <v>5.0</v>
      </c>
      <c r="D56" s="168" t="s">
        <v>162</v>
      </c>
      <c r="E56" s="169"/>
      <c r="F56" s="170"/>
      <c r="G56" s="170"/>
      <c r="H56" s="170"/>
      <c r="I56" s="207"/>
      <c r="J56" s="170"/>
      <c r="K56" s="171"/>
      <c r="L56" s="171"/>
      <c r="M56" s="171"/>
      <c r="N56" s="276"/>
      <c r="O56" s="256">
        <f t="shared" si="10"/>
        <v>0</v>
      </c>
      <c r="Q56" s="173"/>
      <c r="R56" s="65"/>
      <c r="S56" s="173"/>
      <c r="T56" s="173"/>
      <c r="U56" s="166"/>
      <c r="V56" s="166"/>
      <c r="W56" s="65"/>
      <c r="X56" s="66"/>
      <c r="Y56" s="173"/>
      <c r="Z56" s="166"/>
      <c r="AA56" s="174"/>
      <c r="AB56" s="175"/>
      <c r="AC56" s="175"/>
      <c r="AD56" s="175"/>
      <c r="AE56" s="175"/>
      <c r="AF56" s="175"/>
      <c r="AG56" s="175"/>
      <c r="AH56" s="175"/>
      <c r="AI56" s="176"/>
      <c r="AJ56" s="177"/>
      <c r="AK56" s="178"/>
      <c r="AL56" s="178"/>
      <c r="AM56" s="178"/>
      <c r="AN56" s="178"/>
      <c r="AO56" s="179"/>
      <c r="AP56" s="64"/>
      <c r="AQ56" s="65"/>
      <c r="AR56" s="65"/>
      <c r="AS56" s="65"/>
      <c r="AT56" s="173"/>
      <c r="AU56" s="177"/>
      <c r="AV56" s="178"/>
      <c r="AW56" s="178"/>
      <c r="AX56" s="179"/>
      <c r="AZ56" s="166"/>
      <c r="BA56" s="177"/>
      <c r="BB56" s="178"/>
      <c r="BC56" s="178"/>
      <c r="BD56" s="178"/>
      <c r="BE56" s="178"/>
      <c r="BF56" s="178"/>
      <c r="BG56" s="178"/>
      <c r="BH56" s="178"/>
      <c r="BI56" s="179"/>
      <c r="BJ56" s="180"/>
      <c r="BK56" s="178"/>
      <c r="BL56" s="178"/>
      <c r="BM56" s="178"/>
      <c r="BN56" s="178"/>
      <c r="BO56" s="181"/>
      <c r="BP56" s="166"/>
      <c r="BQ56" s="177"/>
      <c r="BR56" s="178"/>
      <c r="BS56" s="179"/>
      <c r="BU56" s="166"/>
      <c r="BV56" s="166"/>
      <c r="BW56" s="166"/>
      <c r="BX56" s="166"/>
      <c r="BY56" s="166"/>
      <c r="BZ56" s="166"/>
      <c r="CA56" s="166"/>
      <c r="CB56" s="166"/>
      <c r="CC56" s="166"/>
      <c r="CD56" s="177"/>
      <c r="CE56" s="181"/>
      <c r="CF56" s="177"/>
      <c r="CG56" s="179"/>
      <c r="CH56" s="257"/>
      <c r="CI56" s="182"/>
      <c r="CJ56" s="177"/>
      <c r="CK56" s="182"/>
      <c r="CL56" s="177"/>
      <c r="CM56" s="182"/>
      <c r="CN56" s="177"/>
      <c r="CO56" s="182"/>
      <c r="CP56" s="177"/>
      <c r="CQ56" s="178"/>
      <c r="CR56" s="182"/>
      <c r="CS56" s="173"/>
      <c r="CT56" s="65"/>
      <c r="CU56" s="255" t="str">
        <f t="shared" si="2"/>
        <v>PCS</v>
      </c>
    </row>
    <row r="57" ht="60.0" customHeight="1">
      <c r="A57" s="65"/>
      <c r="C57" s="167">
        <v>6.0</v>
      </c>
      <c r="D57" s="168" t="s">
        <v>162</v>
      </c>
      <c r="E57" s="169"/>
      <c r="F57" s="170"/>
      <c r="G57" s="170"/>
      <c r="H57" s="170"/>
      <c r="I57" s="207"/>
      <c r="J57" s="170"/>
      <c r="K57" s="171"/>
      <c r="L57" s="171"/>
      <c r="M57" s="171"/>
      <c r="N57" s="276"/>
      <c r="O57" s="256">
        <f t="shared" si="10"/>
        <v>0</v>
      </c>
      <c r="Q57" s="173"/>
      <c r="R57" s="65"/>
      <c r="S57" s="173"/>
      <c r="T57" s="173"/>
      <c r="U57" s="166"/>
      <c r="V57" s="166"/>
      <c r="W57" s="65"/>
      <c r="X57" s="66"/>
      <c r="Y57" s="173"/>
      <c r="Z57" s="166"/>
      <c r="AA57" s="174"/>
      <c r="AB57" s="175"/>
      <c r="AC57" s="175"/>
      <c r="AD57" s="175"/>
      <c r="AE57" s="175"/>
      <c r="AF57" s="175"/>
      <c r="AG57" s="175"/>
      <c r="AH57" s="175"/>
      <c r="AI57" s="176"/>
      <c r="AJ57" s="177"/>
      <c r="AK57" s="178"/>
      <c r="AL57" s="178"/>
      <c r="AM57" s="178"/>
      <c r="AN57" s="178"/>
      <c r="AO57" s="179"/>
      <c r="AP57" s="64"/>
      <c r="AQ57" s="65"/>
      <c r="AR57" s="65"/>
      <c r="AS57" s="65"/>
      <c r="AT57" s="173"/>
      <c r="AU57" s="177"/>
      <c r="AV57" s="178"/>
      <c r="AW57" s="178"/>
      <c r="AX57" s="179"/>
      <c r="AZ57" s="166"/>
      <c r="BA57" s="177"/>
      <c r="BB57" s="178"/>
      <c r="BC57" s="178"/>
      <c r="BD57" s="178"/>
      <c r="BE57" s="178"/>
      <c r="BF57" s="178"/>
      <c r="BG57" s="178"/>
      <c r="BH57" s="178"/>
      <c r="BI57" s="179"/>
      <c r="BJ57" s="180"/>
      <c r="BK57" s="178"/>
      <c r="BL57" s="178"/>
      <c r="BM57" s="178"/>
      <c r="BN57" s="178"/>
      <c r="BO57" s="181"/>
      <c r="BP57" s="166"/>
      <c r="BQ57" s="177"/>
      <c r="BR57" s="178"/>
      <c r="BS57" s="179"/>
      <c r="BU57" s="166"/>
      <c r="BV57" s="166"/>
      <c r="BW57" s="166"/>
      <c r="BX57" s="166"/>
      <c r="BY57" s="166"/>
      <c r="BZ57" s="166"/>
      <c r="CA57" s="166"/>
      <c r="CB57" s="166"/>
      <c r="CC57" s="166"/>
      <c r="CD57" s="177"/>
      <c r="CE57" s="181"/>
      <c r="CF57" s="177"/>
      <c r="CG57" s="179"/>
      <c r="CH57" s="257"/>
      <c r="CI57" s="182"/>
      <c r="CJ57" s="177"/>
      <c r="CK57" s="182"/>
      <c r="CL57" s="177"/>
      <c r="CM57" s="182"/>
      <c r="CN57" s="177"/>
      <c r="CO57" s="182"/>
      <c r="CP57" s="177"/>
      <c r="CQ57" s="178"/>
      <c r="CR57" s="182"/>
      <c r="CS57" s="173"/>
      <c r="CT57" s="65"/>
      <c r="CU57" s="255" t="str">
        <f t="shared" si="2"/>
        <v>PCS</v>
      </c>
    </row>
    <row r="58" ht="60.0" customHeight="1">
      <c r="A58" s="65"/>
      <c r="C58" s="167">
        <v>7.0</v>
      </c>
      <c r="D58" s="168" t="s">
        <v>162</v>
      </c>
      <c r="E58" s="169"/>
      <c r="F58" s="170"/>
      <c r="G58" s="170"/>
      <c r="H58" s="170"/>
      <c r="I58" s="207"/>
      <c r="J58" s="170"/>
      <c r="K58" s="171"/>
      <c r="L58" s="171"/>
      <c r="M58" s="171"/>
      <c r="N58" s="276"/>
      <c r="O58" s="256">
        <f t="shared" ref="O58:O61" si="11">IF(AND(M58&gt;=20,M58&lt;&gt;"m",RIGHT(K58,3)="Lec"),1,IF(AND(M58&gt;=20,M58&lt;&gt;"m",OR(RIGHT(K58,3)="Lab",RIGHT(K58,3)="Tut")),0.5,IF(AND(M58&gt;=20,M58&lt;&gt;"m",RIGHT(K58,2)="TL"),0.75,0)))</f>
        <v>0</v>
      </c>
      <c r="Q58" s="173"/>
      <c r="R58" s="65"/>
      <c r="S58" s="173"/>
      <c r="T58" s="173"/>
      <c r="U58" s="166"/>
      <c r="V58" s="166"/>
      <c r="W58" s="65"/>
      <c r="X58" s="66"/>
      <c r="Y58" s="173"/>
      <c r="Z58" s="166"/>
      <c r="AA58" s="174"/>
      <c r="AB58" s="175"/>
      <c r="AC58" s="175"/>
      <c r="AD58" s="175"/>
      <c r="AE58" s="175"/>
      <c r="AF58" s="175"/>
      <c r="AG58" s="175"/>
      <c r="AH58" s="175"/>
      <c r="AI58" s="176"/>
      <c r="AJ58" s="177"/>
      <c r="AK58" s="178"/>
      <c r="AL58" s="178"/>
      <c r="AM58" s="178"/>
      <c r="AN58" s="178"/>
      <c r="AO58" s="179"/>
      <c r="AP58" s="64"/>
      <c r="AQ58" s="65"/>
      <c r="AR58" s="65"/>
      <c r="AS58" s="65"/>
      <c r="AT58" s="173"/>
      <c r="AU58" s="177"/>
      <c r="AV58" s="178"/>
      <c r="AW58" s="178"/>
      <c r="AX58" s="179"/>
      <c r="AZ58" s="166"/>
      <c r="BA58" s="177"/>
      <c r="BB58" s="178"/>
      <c r="BC58" s="178"/>
      <c r="BD58" s="178"/>
      <c r="BE58" s="178"/>
      <c r="BF58" s="178"/>
      <c r="BG58" s="178"/>
      <c r="BH58" s="178"/>
      <c r="BI58" s="179"/>
      <c r="BJ58" s="180"/>
      <c r="BK58" s="178"/>
      <c r="BL58" s="178"/>
      <c r="BM58" s="178"/>
      <c r="BN58" s="178"/>
      <c r="BO58" s="181"/>
      <c r="BP58" s="166"/>
      <c r="BQ58" s="177"/>
      <c r="BR58" s="178"/>
      <c r="BS58" s="179"/>
      <c r="BU58" s="166"/>
      <c r="BV58" s="166"/>
      <c r="BW58" s="166"/>
      <c r="BX58" s="166"/>
      <c r="BY58" s="166"/>
      <c r="BZ58" s="166"/>
      <c r="CA58" s="166"/>
      <c r="CB58" s="166"/>
      <c r="CC58" s="166"/>
      <c r="CD58" s="177"/>
      <c r="CE58" s="181"/>
      <c r="CF58" s="177"/>
      <c r="CG58" s="179"/>
      <c r="CH58" s="257"/>
      <c r="CI58" s="182"/>
      <c r="CJ58" s="177"/>
      <c r="CK58" s="182"/>
      <c r="CL58" s="177"/>
      <c r="CM58" s="182"/>
      <c r="CN58" s="177"/>
      <c r="CO58" s="182"/>
      <c r="CP58" s="177"/>
      <c r="CQ58" s="178"/>
      <c r="CR58" s="182"/>
      <c r="CS58" s="173"/>
      <c r="CT58" s="65"/>
      <c r="CU58" s="255" t="str">
        <f t="shared" si="2"/>
        <v>PCS</v>
      </c>
    </row>
    <row r="59" ht="60.0" customHeight="1">
      <c r="A59" s="65"/>
      <c r="C59" s="167">
        <v>8.0</v>
      </c>
      <c r="D59" s="168" t="s">
        <v>162</v>
      </c>
      <c r="E59" s="169"/>
      <c r="F59" s="170"/>
      <c r="G59" s="170"/>
      <c r="H59" s="170"/>
      <c r="I59" s="207"/>
      <c r="J59" s="170"/>
      <c r="K59" s="171"/>
      <c r="L59" s="171"/>
      <c r="M59" s="171"/>
      <c r="N59" s="276"/>
      <c r="O59" s="256">
        <f t="shared" si="11"/>
        <v>0</v>
      </c>
      <c r="Q59" s="173"/>
      <c r="R59" s="65"/>
      <c r="S59" s="173"/>
      <c r="T59" s="173"/>
      <c r="U59" s="166"/>
      <c r="V59" s="166"/>
      <c r="W59" s="65"/>
      <c r="X59" s="66"/>
      <c r="Y59" s="173"/>
      <c r="Z59" s="166"/>
      <c r="AA59" s="174"/>
      <c r="AB59" s="175"/>
      <c r="AC59" s="175"/>
      <c r="AD59" s="175"/>
      <c r="AE59" s="175"/>
      <c r="AF59" s="175"/>
      <c r="AG59" s="175"/>
      <c r="AH59" s="175"/>
      <c r="AI59" s="176"/>
      <c r="AJ59" s="177"/>
      <c r="AK59" s="178"/>
      <c r="AL59" s="178"/>
      <c r="AM59" s="178"/>
      <c r="AN59" s="178"/>
      <c r="AO59" s="179"/>
      <c r="AP59" s="64"/>
      <c r="AQ59" s="65"/>
      <c r="AR59" s="65"/>
      <c r="AS59" s="65"/>
      <c r="AT59" s="173"/>
      <c r="AU59" s="177"/>
      <c r="AV59" s="178"/>
      <c r="AW59" s="178"/>
      <c r="AX59" s="179"/>
      <c r="AZ59" s="166"/>
      <c r="BA59" s="177"/>
      <c r="BB59" s="178"/>
      <c r="BC59" s="178"/>
      <c r="BD59" s="178"/>
      <c r="BE59" s="178"/>
      <c r="BF59" s="178"/>
      <c r="BG59" s="178"/>
      <c r="BH59" s="178"/>
      <c r="BI59" s="179"/>
      <c r="BJ59" s="180"/>
      <c r="BK59" s="178"/>
      <c r="BL59" s="178"/>
      <c r="BM59" s="178"/>
      <c r="BN59" s="178"/>
      <c r="BO59" s="181"/>
      <c r="BP59" s="166"/>
      <c r="BQ59" s="177"/>
      <c r="BR59" s="178"/>
      <c r="BS59" s="179"/>
      <c r="BU59" s="166"/>
      <c r="BV59" s="166"/>
      <c r="BW59" s="166"/>
      <c r="BX59" s="166"/>
      <c r="BY59" s="166"/>
      <c r="BZ59" s="166"/>
      <c r="CA59" s="166"/>
      <c r="CB59" s="166"/>
      <c r="CC59" s="166"/>
      <c r="CD59" s="177"/>
      <c r="CE59" s="181"/>
      <c r="CF59" s="177"/>
      <c r="CG59" s="179"/>
      <c r="CH59" s="257"/>
      <c r="CI59" s="182"/>
      <c r="CJ59" s="177"/>
      <c r="CK59" s="182"/>
      <c r="CL59" s="177"/>
      <c r="CM59" s="182"/>
      <c r="CN59" s="177"/>
      <c r="CO59" s="182"/>
      <c r="CP59" s="177"/>
      <c r="CQ59" s="178"/>
      <c r="CR59" s="182"/>
      <c r="CS59" s="173"/>
      <c r="CT59" s="65"/>
      <c r="CU59" s="255" t="str">
        <f t="shared" si="2"/>
        <v>PCS</v>
      </c>
    </row>
    <row r="60" ht="60.0" customHeight="1">
      <c r="A60" s="65"/>
      <c r="C60" s="167">
        <v>9.0</v>
      </c>
      <c r="D60" s="168" t="s">
        <v>162</v>
      </c>
      <c r="E60" s="169"/>
      <c r="F60" s="170"/>
      <c r="G60" s="170"/>
      <c r="H60" s="170"/>
      <c r="I60" s="207"/>
      <c r="J60" s="170"/>
      <c r="K60" s="171"/>
      <c r="L60" s="171"/>
      <c r="M60" s="171"/>
      <c r="N60" s="276"/>
      <c r="O60" s="256">
        <f t="shared" si="11"/>
        <v>0</v>
      </c>
      <c r="Q60" s="173"/>
      <c r="R60" s="65"/>
      <c r="S60" s="173"/>
      <c r="T60" s="173"/>
      <c r="U60" s="166"/>
      <c r="V60" s="166"/>
      <c r="W60" s="65"/>
      <c r="X60" s="66"/>
      <c r="Y60" s="173"/>
      <c r="Z60" s="166"/>
      <c r="AA60" s="174"/>
      <c r="AB60" s="175"/>
      <c r="AC60" s="175"/>
      <c r="AD60" s="175"/>
      <c r="AE60" s="175"/>
      <c r="AF60" s="175"/>
      <c r="AG60" s="175"/>
      <c r="AH60" s="175"/>
      <c r="AI60" s="176"/>
      <c r="AJ60" s="177"/>
      <c r="AK60" s="178"/>
      <c r="AL60" s="178"/>
      <c r="AM60" s="178"/>
      <c r="AN60" s="178"/>
      <c r="AO60" s="179"/>
      <c r="AP60" s="64"/>
      <c r="AQ60" s="65"/>
      <c r="AR60" s="65"/>
      <c r="AS60" s="65"/>
      <c r="AT60" s="173"/>
      <c r="AU60" s="177"/>
      <c r="AV60" s="178"/>
      <c r="AW60" s="178"/>
      <c r="AX60" s="179"/>
      <c r="AZ60" s="166"/>
      <c r="BA60" s="177"/>
      <c r="BB60" s="178"/>
      <c r="BC60" s="178"/>
      <c r="BD60" s="178"/>
      <c r="BE60" s="178"/>
      <c r="BF60" s="178"/>
      <c r="BG60" s="178"/>
      <c r="BH60" s="178"/>
      <c r="BI60" s="179"/>
      <c r="BJ60" s="180"/>
      <c r="BK60" s="178"/>
      <c r="BL60" s="178"/>
      <c r="BM60" s="178"/>
      <c r="BN60" s="178"/>
      <c r="BO60" s="181"/>
      <c r="BP60" s="166"/>
      <c r="BQ60" s="177"/>
      <c r="BR60" s="178"/>
      <c r="BS60" s="179"/>
      <c r="BU60" s="166"/>
      <c r="BV60" s="166"/>
      <c r="BW60" s="166"/>
      <c r="BX60" s="166"/>
      <c r="BY60" s="166"/>
      <c r="BZ60" s="166"/>
      <c r="CA60" s="166"/>
      <c r="CB60" s="166"/>
      <c r="CC60" s="166"/>
      <c r="CD60" s="177"/>
      <c r="CE60" s="181"/>
      <c r="CF60" s="177"/>
      <c r="CG60" s="179"/>
      <c r="CH60" s="257"/>
      <c r="CI60" s="182"/>
      <c r="CJ60" s="177"/>
      <c r="CK60" s="182"/>
      <c r="CL60" s="177"/>
      <c r="CM60" s="182"/>
      <c r="CN60" s="177"/>
      <c r="CO60" s="182"/>
      <c r="CP60" s="177"/>
      <c r="CQ60" s="178"/>
      <c r="CR60" s="182"/>
      <c r="CS60" s="173"/>
      <c r="CT60" s="65"/>
      <c r="CU60" s="255" t="str">
        <f t="shared" si="2"/>
        <v>PCS</v>
      </c>
    </row>
    <row r="61" ht="60.0" customHeight="1">
      <c r="A61" s="65"/>
      <c r="C61" s="167">
        <v>10.0</v>
      </c>
      <c r="D61" s="168" t="s">
        <v>162</v>
      </c>
      <c r="E61" s="169"/>
      <c r="F61" s="170"/>
      <c r="G61" s="170"/>
      <c r="H61" s="170"/>
      <c r="I61" s="207"/>
      <c r="J61" s="170"/>
      <c r="K61" s="171"/>
      <c r="L61" s="171"/>
      <c r="M61" s="171"/>
      <c r="N61" s="276"/>
      <c r="O61" s="256">
        <f t="shared" si="11"/>
        <v>0</v>
      </c>
      <c r="Q61" s="173"/>
      <c r="R61" s="65"/>
      <c r="S61" s="173"/>
      <c r="T61" s="173"/>
      <c r="U61" s="166"/>
      <c r="V61" s="166"/>
      <c r="W61" s="65"/>
      <c r="X61" s="66"/>
      <c r="Y61" s="173"/>
      <c r="Z61" s="166"/>
      <c r="AA61" s="174"/>
      <c r="AB61" s="175"/>
      <c r="AC61" s="175"/>
      <c r="AD61" s="175"/>
      <c r="AE61" s="175"/>
      <c r="AF61" s="175"/>
      <c r="AG61" s="175"/>
      <c r="AH61" s="175"/>
      <c r="AI61" s="176"/>
      <c r="AJ61" s="177"/>
      <c r="AK61" s="178"/>
      <c r="AL61" s="178"/>
      <c r="AM61" s="178"/>
      <c r="AN61" s="178"/>
      <c r="AO61" s="179"/>
      <c r="AP61" s="64"/>
      <c r="AQ61" s="65"/>
      <c r="AR61" s="65"/>
      <c r="AS61" s="65"/>
      <c r="AT61" s="173"/>
      <c r="AU61" s="177"/>
      <c r="AV61" s="178"/>
      <c r="AW61" s="178"/>
      <c r="AX61" s="179"/>
      <c r="AZ61" s="166"/>
      <c r="BA61" s="177"/>
      <c r="BB61" s="178"/>
      <c r="BC61" s="178"/>
      <c r="BD61" s="178"/>
      <c r="BE61" s="178"/>
      <c r="BF61" s="178"/>
      <c r="BG61" s="178"/>
      <c r="BH61" s="178"/>
      <c r="BI61" s="179"/>
      <c r="BJ61" s="180"/>
      <c r="BK61" s="178"/>
      <c r="BL61" s="178"/>
      <c r="BM61" s="178"/>
      <c r="BN61" s="178"/>
      <c r="BO61" s="181"/>
      <c r="BP61" s="166"/>
      <c r="BQ61" s="177"/>
      <c r="BR61" s="178"/>
      <c r="BS61" s="179"/>
      <c r="BU61" s="166"/>
      <c r="BV61" s="166"/>
      <c r="BW61" s="166"/>
      <c r="BX61" s="166"/>
      <c r="BY61" s="166"/>
      <c r="BZ61" s="166"/>
      <c r="CA61" s="166"/>
      <c r="CB61" s="166"/>
      <c r="CC61" s="166"/>
      <c r="CD61" s="177"/>
      <c r="CE61" s="181"/>
      <c r="CF61" s="177"/>
      <c r="CG61" s="179"/>
      <c r="CH61" s="257"/>
      <c r="CI61" s="182"/>
      <c r="CJ61" s="177"/>
      <c r="CK61" s="182"/>
      <c r="CL61" s="177"/>
      <c r="CM61" s="182"/>
      <c r="CN61" s="177"/>
      <c r="CO61" s="182"/>
      <c r="CP61" s="177"/>
      <c r="CQ61" s="178"/>
      <c r="CR61" s="182"/>
      <c r="CS61" s="173"/>
      <c r="CT61" s="65"/>
      <c r="CU61" s="255" t="str">
        <f t="shared" si="2"/>
        <v>PCS</v>
      </c>
    </row>
    <row r="62" ht="60.0" customHeight="1">
      <c r="A62" s="89"/>
      <c r="C62" s="183">
        <v>11.0</v>
      </c>
      <c r="D62" s="210" t="s">
        <v>162</v>
      </c>
      <c r="E62" s="185"/>
      <c r="F62" s="186"/>
      <c r="G62" s="186"/>
      <c r="H62" s="186"/>
      <c r="I62" s="212"/>
      <c r="J62" s="186"/>
      <c r="K62" s="187"/>
      <c r="L62" s="187"/>
      <c r="M62" s="187"/>
      <c r="N62" s="214"/>
      <c r="O62" s="258">
        <f t="shared" ref="O62:O68" si="12">IF(AND(M62&lt;&gt;0,M62&lt;&gt;"m",M62&lt;&gt;"",RIGHT(K62,3)="Lec"),1,IF(AND(M62&lt;&gt;0,M62&lt;&gt;"m",M62&lt;&gt;"",OR(RIGHT(K62,3)="Lab",RIGHT(K62,3)="Tut")),0.5,IF(AND(M62&lt;&gt;0,M62&lt;&gt;"m",M62&lt;&gt;"",RIGHT(K62,2)="TL"),0.75,0)))</f>
        <v>0</v>
      </c>
      <c r="P62" s="6"/>
      <c r="Q62" s="69"/>
      <c r="R62" s="89"/>
      <c r="S62" s="69"/>
      <c r="T62" s="69"/>
      <c r="U62" s="63"/>
      <c r="V62" s="63"/>
      <c r="W62" s="89"/>
      <c r="X62" s="68"/>
      <c r="Y62" s="69"/>
      <c r="Z62" s="63"/>
      <c r="AA62" s="189"/>
      <c r="AB62" s="190"/>
      <c r="AC62" s="190"/>
      <c r="AD62" s="190"/>
      <c r="AE62" s="190"/>
      <c r="AF62" s="190"/>
      <c r="AG62" s="190"/>
      <c r="AH62" s="190"/>
      <c r="AI62" s="191"/>
      <c r="AJ62" s="192"/>
      <c r="AK62" s="193"/>
      <c r="AL62" s="193"/>
      <c r="AM62" s="193"/>
      <c r="AN62" s="193"/>
      <c r="AO62" s="194"/>
      <c r="AP62" s="103"/>
      <c r="AQ62" s="89"/>
      <c r="AR62" s="89"/>
      <c r="AS62" s="89"/>
      <c r="AT62" s="69"/>
      <c r="AU62" s="192"/>
      <c r="AV62" s="193"/>
      <c r="AW62" s="193"/>
      <c r="AX62" s="194"/>
      <c r="AY62" s="6"/>
      <c r="AZ62" s="63"/>
      <c r="BA62" s="192"/>
      <c r="BB62" s="193"/>
      <c r="BC62" s="193"/>
      <c r="BD62" s="193"/>
      <c r="BE62" s="193"/>
      <c r="BF62" s="193"/>
      <c r="BG62" s="193"/>
      <c r="BH62" s="193"/>
      <c r="BI62" s="194"/>
      <c r="BJ62" s="195"/>
      <c r="BK62" s="193"/>
      <c r="BL62" s="193"/>
      <c r="BM62" s="193"/>
      <c r="BN62" s="193"/>
      <c r="BO62" s="196"/>
      <c r="BP62" s="63"/>
      <c r="BQ62" s="192"/>
      <c r="BR62" s="193"/>
      <c r="BS62" s="194"/>
      <c r="BT62" s="6"/>
      <c r="BU62" s="63"/>
      <c r="BV62" s="63"/>
      <c r="BW62" s="63"/>
      <c r="BX62" s="63"/>
      <c r="BY62" s="63"/>
      <c r="BZ62" s="63"/>
      <c r="CA62" s="63"/>
      <c r="CB62" s="63"/>
      <c r="CC62" s="63"/>
      <c r="CD62" s="192"/>
      <c r="CE62" s="196"/>
      <c r="CF62" s="192"/>
      <c r="CG62" s="194"/>
      <c r="CH62" s="259"/>
      <c r="CI62" s="197"/>
      <c r="CJ62" s="192"/>
      <c r="CK62" s="197"/>
      <c r="CL62" s="192"/>
      <c r="CM62" s="197"/>
      <c r="CN62" s="192"/>
      <c r="CO62" s="197"/>
      <c r="CP62" s="192"/>
      <c r="CQ62" s="193"/>
      <c r="CR62" s="197"/>
      <c r="CS62" s="69"/>
      <c r="CT62" s="89"/>
      <c r="CU62" s="255" t="str">
        <f t="shared" si="2"/>
        <v>PCS</v>
      </c>
    </row>
    <row r="63" ht="55.5" customHeight="1">
      <c r="A63" s="125">
        <v>6.0</v>
      </c>
      <c r="B63" s="199" t="s">
        <v>164</v>
      </c>
      <c r="C63" s="127">
        <v>1.0</v>
      </c>
      <c r="D63" s="168" t="s">
        <v>165</v>
      </c>
      <c r="E63" s="129"/>
      <c r="F63" s="130"/>
      <c r="G63" s="130"/>
      <c r="H63" s="130"/>
      <c r="I63" s="201"/>
      <c r="J63" s="130"/>
      <c r="K63" s="131"/>
      <c r="L63" s="131"/>
      <c r="M63" s="131"/>
      <c r="N63" s="275"/>
      <c r="O63" s="250">
        <f t="shared" si="12"/>
        <v>0</v>
      </c>
      <c r="P63" s="251">
        <f>COUNTIF(K63:K73,"TL")*0.75+COUNTIF(K63:K73,"Lec")*1+COUNTIF(K63:K73,"Lab")*0.5</f>
        <v>0</v>
      </c>
      <c r="Q63" s="134">
        <f>SUM((IF(LEFT(K63,1)="E",O63,0)),(IF(LEFT(K64,1)="E",O64,0)),(IF(LEFT(K65,1)="E",O65,0)),(IF(LEFT(K66,1)="E",O66,0)),(IF(LEFT(K67,1)="E",O67,0)),(IF(LEFT(K68,1)="E",O68,0)),(IF(LEFT(K69,1)="E",O69,0)),(IF(LEFT(K70,1)="E",O70,0)),(IF(LEFT(K71,1)="E",O71,0)),(IF(LEFT(K72,1)="E",O72,0)),(IF(LEFT(K73,1)="E",O73,0)))</f>
        <v>0</v>
      </c>
      <c r="R63" s="135">
        <f>SUM(IF(M69&lt;20,IF(K69="Plec",-1,IF(K69="PTL",-0.75,IF(K69="Plab",-0.5,0))),0),IF(M70&lt;20,IF(K70="Plec",-1,IF(K70="PTL",-0.75,IF(K70="Plab",-0.5,0))),0),IF(M71&lt;20,IF(K71="Plec",-1,IF(K71="PTL",-0.75,IF(K71="Plab",-0.5,0))),0),IF(M72&lt;20,IF(K72="Plec",-1,IF(K72="PTL",-0.75,IF(K72="Plab",-0.5,0))),0))</f>
        <v>0</v>
      </c>
      <c r="S63" s="134">
        <f>SUM(P63:R73)</f>
        <v>0</v>
      </c>
      <c r="T63" s="136">
        <f>SUM(IF(M63="M",IF(OR(K63="lec",K63="plec",K63="slec"),1,IF(OR(K63="lab",K63="plab",K63="slab",K63="tut",K63="ptut",K63="stut"),0.5,IF(OR(K63="TL",K63="pTL",K63="STL"),0.75,0))),0),IF(M64="M",IF(OR(K64="lec",K64="plec",K64="slec"),1,IF(OR(K64="lab",K64="plab",K64="slab",K64="tut",K64="ptut",K64="stut"),0.5,IF(OR(K64="TL",K64="pTL",K64="STL"),0.75,0))),0),IF(M65="M",IF(OR(K65="lec",K65="plec",K65="slec"),1,IF(OR(K65="lab",K65="plab",K65="slab",K65="tut",K65="ptut",K65="stut"),0.5,IF(OR(K65="TL",K65="pTL",K65="STL"),0.75,0))),0),IF(M66="M",IF(OR(K66="lec",K66="plec",K66="slec"),1,IF(OR(K66="lab",K66="plab",K66="slab",K66="tut",K66="ptut",K66="stut"),0.5,IF(OR(K66="TL",K66="pTL",K66="STL"),0.75,0))),0),IF(M67="M",IF(OR(K67="lec",K67="plec",K67="slec"),1,IF(OR(K67="lab",K67="plab",K67="slab",K67="tut",K67="ptut",K67="stut"),0.5,IF(OR(K67="TL",K67="pTL",K67="STL"),0.75,0))),0),IF(M68="M",IF(OR(K68="lec",K68="plec",K68="slec"),1,IF(OR(K68="lab",K68="plab",K68="slab",K68="tut",K68="ptut",K68="stut"),0.5,IF(OR(K68="TL",K68="pTL",K68="STL"),0.75,0))),0),IF(M69="M",IF(OR(K69="lec",K69="plec",K69="slec"),1,IF(OR(K69="lab",K69="plab",K69="slab",K69="tut",K69="ptut",K69="stut"),0.5,IF(OR(K69="TL",K69="pTL",K69="STL"),0.75,0))),0),IF(M70="M",IF(OR(K70="lec",K70="plec",K70="slec"),1,IF(OR(K70="lab",K70="plab",K70="slab",K70="tut",K70="ptut",K70="stut"),0.5,IF(OR(K70="TL",K70="pTL",K70="STL"),0.75,0))),0),IF(M71="M",IF(OR(K71="lec",K71="plec",K71="slec"),1,IF(OR(K71="lab",K71="plab",K71="slab",K71="tut",K71="ptut",K71="stut"),0.5,IF(OR(K71="TL",K71="pTL",K71="STL"),0.75,0))),0),IF(M72="M",IF(OR(K72="lec",K72="plec",K72="slec"),1,IF(OR(K72="lab",K72="plab",K72="slab",K72="tut",K72="ptut",K72="stut"),0.5,IF(OR(K72="TL",K72="pTL",K72="STL"),0.75,0))),0),IF(M73="M",IF(OR(K73="lec",K73="plec",K73="slec"),1,IF(OR(K73="lab",K73="plab",K73="slab",K73="tut",K73="ptut",K73="stut"),0.5,IF(OR(K73="TL",K73="pTL",K73="STL"),0.75,0))),0))</f>
        <v>0</v>
      </c>
      <c r="U63" s="137"/>
      <c r="V63" s="133"/>
      <c r="W63" s="138"/>
      <c r="X63" s="139">
        <f>S63-(T63+U63+V63+W63)</f>
        <v>0</v>
      </c>
      <c r="Y63" s="134" t="str">
        <f>CONCATENATE(SUM(O63:O73),"(",SUM(O63:O73)-X63,")")</f>
        <v>0(0)</v>
      </c>
      <c r="Z63" s="140"/>
      <c r="AA63" s="141"/>
      <c r="AB63" s="142"/>
      <c r="AC63" s="142"/>
      <c r="AD63" s="142"/>
      <c r="AE63" s="142"/>
      <c r="AF63" s="142"/>
      <c r="AG63" s="142"/>
      <c r="AH63" s="142"/>
      <c r="AI63" s="143"/>
      <c r="AJ63" s="144"/>
      <c r="AK63" s="145"/>
      <c r="AL63" s="145"/>
      <c r="AM63" s="145"/>
      <c r="AN63" s="145"/>
      <c r="AO63" s="146"/>
      <c r="AP63" s="147">
        <f>SUM(SUM(O63:O73),SUM(AI63:AI73)/2,AM63)</f>
        <v>0</v>
      </c>
      <c r="AQ63" s="148"/>
      <c r="AR63" s="148">
        <f>AP63*AQ63</f>
        <v>0</v>
      </c>
      <c r="AS63" s="148">
        <f>CT63</f>
        <v>0</v>
      </c>
      <c r="AT63" s="149">
        <f>AR63*0.75+AS63*0.25</f>
        <v>0</v>
      </c>
      <c r="AU63" s="150"/>
      <c r="AV63" s="151"/>
      <c r="AW63" s="151"/>
      <c r="AX63" s="152"/>
      <c r="AY63" s="153"/>
      <c r="AZ63" s="140"/>
      <c r="BA63" s="150"/>
      <c r="BB63" s="151"/>
      <c r="BC63" s="151"/>
      <c r="BD63" s="151"/>
      <c r="BE63" s="151"/>
      <c r="BF63" s="151"/>
      <c r="BG63" s="151"/>
      <c r="BH63" s="151"/>
      <c r="BI63" s="152"/>
      <c r="BJ63" s="154"/>
      <c r="BK63" s="151"/>
      <c r="BL63" s="151"/>
      <c r="BM63" s="151"/>
      <c r="BN63" s="151"/>
      <c r="BO63" s="155"/>
      <c r="BP63" s="140"/>
      <c r="BQ63" s="156"/>
      <c r="BR63" s="157"/>
      <c r="BS63" s="158"/>
      <c r="BT63" s="153"/>
      <c r="BU63" s="140"/>
      <c r="BV63" s="140"/>
      <c r="BW63" s="140"/>
      <c r="BX63" s="140"/>
      <c r="BY63" s="140"/>
      <c r="BZ63" s="140"/>
      <c r="CA63" s="140"/>
      <c r="CB63" s="140"/>
      <c r="CC63" s="140"/>
      <c r="CD63" s="150"/>
      <c r="CE63" s="155"/>
      <c r="CF63" s="150"/>
      <c r="CG63" s="152"/>
      <c r="CH63" s="252"/>
      <c r="CI63" s="160"/>
      <c r="CJ63" s="159"/>
      <c r="CK63" s="160"/>
      <c r="CL63" s="159"/>
      <c r="CM63" s="160"/>
      <c r="CN63" s="159"/>
      <c r="CO63" s="160"/>
      <c r="CP63" s="159"/>
      <c r="CQ63" s="162"/>
      <c r="CR63" s="160"/>
      <c r="CS63" s="253">
        <f>SUM(IF(AU63&lt;0,ABS(AU63),0),IF(AZ63&lt;0,ABS(AZ63),0),ABS(CI63),ABS(CK63),ABS(CM63),ABS(CO63),ABS(CQ63),ABS(CR63))</f>
        <v>0</v>
      </c>
      <c r="CT63" s="254">
        <f>SUM(AU63,AV63,AW63,AX63/400,AY63,AZ63,BG63,BH63*0.5,BI63*0.25,BJ63,BK63,BL63,BM63,BN63,BO63,BP63,BR63/20,BS63/100,BT63/60,BU63,BV63,BW63,BX63/4,SUM(BY63:CC73)/3,CE63,CG63/3,CI63,CK63,CM63,CO63,CQ63,CR63)</f>
        <v>0</v>
      </c>
      <c r="CU63" s="255" t="str">
        <f t="shared" si="2"/>
        <v>PKP</v>
      </c>
    </row>
    <row r="64" ht="60.0" customHeight="1">
      <c r="A64" s="65"/>
      <c r="C64" s="167">
        <v>2.0</v>
      </c>
      <c r="D64" s="168" t="s">
        <v>165</v>
      </c>
      <c r="E64" s="169"/>
      <c r="F64" s="170"/>
      <c r="G64" s="170"/>
      <c r="H64" s="170"/>
      <c r="I64" s="207"/>
      <c r="J64" s="170"/>
      <c r="K64" s="171"/>
      <c r="L64" s="171"/>
      <c r="M64" s="171"/>
      <c r="N64" s="276"/>
      <c r="O64" s="256">
        <f t="shared" si="12"/>
        <v>0</v>
      </c>
      <c r="Q64" s="173"/>
      <c r="R64" s="65"/>
      <c r="S64" s="173"/>
      <c r="T64" s="173"/>
      <c r="U64" s="166"/>
      <c r="V64" s="166"/>
      <c r="W64" s="65"/>
      <c r="X64" s="66"/>
      <c r="Y64" s="173"/>
      <c r="Z64" s="166"/>
      <c r="AA64" s="174"/>
      <c r="AB64" s="175"/>
      <c r="AC64" s="175"/>
      <c r="AD64" s="175"/>
      <c r="AE64" s="175"/>
      <c r="AF64" s="175"/>
      <c r="AG64" s="175"/>
      <c r="AH64" s="175"/>
      <c r="AI64" s="176"/>
      <c r="AJ64" s="177"/>
      <c r="AK64" s="178"/>
      <c r="AL64" s="178"/>
      <c r="AM64" s="178"/>
      <c r="AN64" s="178"/>
      <c r="AO64" s="179"/>
      <c r="AP64" s="64"/>
      <c r="AQ64" s="65"/>
      <c r="AR64" s="65"/>
      <c r="AS64" s="65"/>
      <c r="AT64" s="173"/>
      <c r="AU64" s="177"/>
      <c r="AV64" s="178"/>
      <c r="AW64" s="178"/>
      <c r="AX64" s="179"/>
      <c r="AZ64" s="166"/>
      <c r="BA64" s="177"/>
      <c r="BB64" s="178"/>
      <c r="BC64" s="178"/>
      <c r="BD64" s="178"/>
      <c r="BE64" s="178"/>
      <c r="BF64" s="178"/>
      <c r="BG64" s="178"/>
      <c r="BH64" s="178"/>
      <c r="BI64" s="179"/>
      <c r="BJ64" s="180"/>
      <c r="BK64" s="178"/>
      <c r="BL64" s="178"/>
      <c r="BM64" s="178"/>
      <c r="BN64" s="178"/>
      <c r="BO64" s="181"/>
      <c r="BP64" s="166"/>
      <c r="BQ64" s="177"/>
      <c r="BR64" s="178"/>
      <c r="BS64" s="179"/>
      <c r="BU64" s="166"/>
      <c r="BV64" s="166"/>
      <c r="BW64" s="166"/>
      <c r="BX64" s="166"/>
      <c r="BY64" s="166"/>
      <c r="BZ64" s="166"/>
      <c r="CA64" s="166"/>
      <c r="CB64" s="166"/>
      <c r="CC64" s="166"/>
      <c r="CD64" s="177"/>
      <c r="CE64" s="181"/>
      <c r="CF64" s="177"/>
      <c r="CG64" s="179"/>
      <c r="CH64" s="257"/>
      <c r="CI64" s="182"/>
      <c r="CJ64" s="177"/>
      <c r="CK64" s="182"/>
      <c r="CL64" s="177"/>
      <c r="CM64" s="182"/>
      <c r="CN64" s="177"/>
      <c r="CO64" s="182"/>
      <c r="CP64" s="177"/>
      <c r="CQ64" s="178"/>
      <c r="CR64" s="182"/>
      <c r="CS64" s="173"/>
      <c r="CT64" s="65"/>
      <c r="CU64" s="255" t="str">
        <f t="shared" si="2"/>
        <v>PKP</v>
      </c>
    </row>
    <row r="65" ht="60.0" customHeight="1">
      <c r="A65" s="65"/>
      <c r="C65" s="167">
        <v>3.0</v>
      </c>
      <c r="D65" s="168" t="s">
        <v>165</v>
      </c>
      <c r="E65" s="169"/>
      <c r="F65" s="170"/>
      <c r="G65" s="170"/>
      <c r="H65" s="170"/>
      <c r="I65" s="207"/>
      <c r="J65" s="170"/>
      <c r="K65" s="171"/>
      <c r="L65" s="171"/>
      <c r="M65" s="171"/>
      <c r="N65" s="276"/>
      <c r="O65" s="256">
        <f t="shared" si="12"/>
        <v>0</v>
      </c>
      <c r="Q65" s="173"/>
      <c r="R65" s="65"/>
      <c r="S65" s="173"/>
      <c r="T65" s="173"/>
      <c r="U65" s="166"/>
      <c r="V65" s="166"/>
      <c r="W65" s="65"/>
      <c r="X65" s="66"/>
      <c r="Y65" s="173"/>
      <c r="Z65" s="166"/>
      <c r="AA65" s="174"/>
      <c r="AB65" s="175"/>
      <c r="AC65" s="175"/>
      <c r="AD65" s="175"/>
      <c r="AE65" s="175"/>
      <c r="AF65" s="175"/>
      <c r="AG65" s="175"/>
      <c r="AH65" s="175"/>
      <c r="AI65" s="176"/>
      <c r="AJ65" s="177"/>
      <c r="AK65" s="178"/>
      <c r="AL65" s="178"/>
      <c r="AM65" s="178"/>
      <c r="AN65" s="178"/>
      <c r="AO65" s="179"/>
      <c r="AP65" s="64"/>
      <c r="AQ65" s="65"/>
      <c r="AR65" s="65"/>
      <c r="AS65" s="65"/>
      <c r="AT65" s="173"/>
      <c r="AU65" s="177"/>
      <c r="AV65" s="178"/>
      <c r="AW65" s="178"/>
      <c r="AX65" s="179"/>
      <c r="AZ65" s="166"/>
      <c r="BA65" s="177"/>
      <c r="BB65" s="178"/>
      <c r="BC65" s="178"/>
      <c r="BD65" s="178"/>
      <c r="BE65" s="178"/>
      <c r="BF65" s="178"/>
      <c r="BG65" s="178"/>
      <c r="BH65" s="178"/>
      <c r="BI65" s="179"/>
      <c r="BJ65" s="180"/>
      <c r="BK65" s="178"/>
      <c r="BL65" s="178"/>
      <c r="BM65" s="178"/>
      <c r="BN65" s="178"/>
      <c r="BO65" s="181"/>
      <c r="BP65" s="166"/>
      <c r="BQ65" s="177"/>
      <c r="BR65" s="178"/>
      <c r="BS65" s="179"/>
      <c r="BU65" s="166"/>
      <c r="BV65" s="166"/>
      <c r="BW65" s="166"/>
      <c r="BX65" s="166"/>
      <c r="BY65" s="166"/>
      <c r="BZ65" s="166"/>
      <c r="CA65" s="166"/>
      <c r="CB65" s="166"/>
      <c r="CC65" s="166"/>
      <c r="CD65" s="177"/>
      <c r="CE65" s="181"/>
      <c r="CF65" s="177"/>
      <c r="CG65" s="179"/>
      <c r="CH65" s="257"/>
      <c r="CI65" s="182"/>
      <c r="CJ65" s="177"/>
      <c r="CK65" s="182"/>
      <c r="CL65" s="177"/>
      <c r="CM65" s="182"/>
      <c r="CN65" s="177"/>
      <c r="CO65" s="182"/>
      <c r="CP65" s="177"/>
      <c r="CQ65" s="178"/>
      <c r="CR65" s="182"/>
      <c r="CS65" s="173"/>
      <c r="CT65" s="65"/>
      <c r="CU65" s="255" t="str">
        <f t="shared" si="2"/>
        <v>PKP</v>
      </c>
    </row>
    <row r="66" ht="60.0" customHeight="1">
      <c r="A66" s="65"/>
      <c r="C66" s="167">
        <v>4.0</v>
      </c>
      <c r="D66" s="168" t="s">
        <v>165</v>
      </c>
      <c r="E66" s="169"/>
      <c r="F66" s="170"/>
      <c r="G66" s="170"/>
      <c r="H66" s="170"/>
      <c r="I66" s="207"/>
      <c r="J66" s="170"/>
      <c r="K66" s="171"/>
      <c r="L66" s="171"/>
      <c r="M66" s="171"/>
      <c r="N66" s="276"/>
      <c r="O66" s="256">
        <f t="shared" si="12"/>
        <v>0</v>
      </c>
      <c r="Q66" s="173"/>
      <c r="R66" s="65"/>
      <c r="S66" s="173"/>
      <c r="T66" s="173"/>
      <c r="U66" s="166"/>
      <c r="V66" s="166"/>
      <c r="W66" s="65"/>
      <c r="X66" s="66"/>
      <c r="Y66" s="173"/>
      <c r="Z66" s="166"/>
      <c r="AA66" s="174"/>
      <c r="AB66" s="175"/>
      <c r="AC66" s="175"/>
      <c r="AD66" s="175"/>
      <c r="AE66" s="175"/>
      <c r="AF66" s="175"/>
      <c r="AG66" s="175"/>
      <c r="AH66" s="175"/>
      <c r="AI66" s="176"/>
      <c r="AJ66" s="177"/>
      <c r="AK66" s="178"/>
      <c r="AL66" s="178"/>
      <c r="AM66" s="178"/>
      <c r="AN66" s="178"/>
      <c r="AO66" s="179"/>
      <c r="AP66" s="64"/>
      <c r="AQ66" s="65"/>
      <c r="AR66" s="65"/>
      <c r="AS66" s="65"/>
      <c r="AT66" s="173"/>
      <c r="AU66" s="177"/>
      <c r="AV66" s="178"/>
      <c r="AW66" s="178"/>
      <c r="AX66" s="179"/>
      <c r="AZ66" s="166"/>
      <c r="BA66" s="177"/>
      <c r="BB66" s="178"/>
      <c r="BC66" s="178"/>
      <c r="BD66" s="178"/>
      <c r="BE66" s="178"/>
      <c r="BF66" s="178"/>
      <c r="BG66" s="178"/>
      <c r="BH66" s="178"/>
      <c r="BI66" s="179"/>
      <c r="BJ66" s="180"/>
      <c r="BK66" s="178"/>
      <c r="BL66" s="178"/>
      <c r="BM66" s="178"/>
      <c r="BN66" s="178"/>
      <c r="BO66" s="181"/>
      <c r="BP66" s="166"/>
      <c r="BQ66" s="177"/>
      <c r="BR66" s="178"/>
      <c r="BS66" s="179"/>
      <c r="BU66" s="166"/>
      <c r="BV66" s="166"/>
      <c r="BW66" s="166"/>
      <c r="BX66" s="166"/>
      <c r="BY66" s="166"/>
      <c r="BZ66" s="166"/>
      <c r="CA66" s="166"/>
      <c r="CB66" s="166"/>
      <c r="CC66" s="166"/>
      <c r="CD66" s="177"/>
      <c r="CE66" s="181"/>
      <c r="CF66" s="177"/>
      <c r="CG66" s="179"/>
      <c r="CH66" s="257"/>
      <c r="CI66" s="182"/>
      <c r="CJ66" s="177"/>
      <c r="CK66" s="182"/>
      <c r="CL66" s="177"/>
      <c r="CM66" s="182"/>
      <c r="CN66" s="177"/>
      <c r="CO66" s="182"/>
      <c r="CP66" s="177"/>
      <c r="CQ66" s="178"/>
      <c r="CR66" s="182"/>
      <c r="CS66" s="173"/>
      <c r="CT66" s="65"/>
      <c r="CU66" s="255" t="str">
        <f t="shared" si="2"/>
        <v>PKP</v>
      </c>
    </row>
    <row r="67" ht="60.0" customHeight="1">
      <c r="A67" s="65"/>
      <c r="C67" s="167">
        <v>5.0</v>
      </c>
      <c r="D67" s="168" t="s">
        <v>165</v>
      </c>
      <c r="E67" s="169"/>
      <c r="F67" s="170"/>
      <c r="G67" s="170"/>
      <c r="H67" s="170"/>
      <c r="I67" s="207"/>
      <c r="J67" s="170"/>
      <c r="K67" s="171"/>
      <c r="L67" s="171"/>
      <c r="M67" s="171"/>
      <c r="N67" s="276"/>
      <c r="O67" s="256">
        <f t="shared" si="12"/>
        <v>0</v>
      </c>
      <c r="Q67" s="173"/>
      <c r="R67" s="65"/>
      <c r="S67" s="173"/>
      <c r="T67" s="173"/>
      <c r="U67" s="166"/>
      <c r="V67" s="166"/>
      <c r="W67" s="65"/>
      <c r="X67" s="66"/>
      <c r="Y67" s="173"/>
      <c r="Z67" s="166"/>
      <c r="AA67" s="174"/>
      <c r="AB67" s="175"/>
      <c r="AC67" s="175"/>
      <c r="AD67" s="175"/>
      <c r="AE67" s="175"/>
      <c r="AF67" s="175"/>
      <c r="AG67" s="175"/>
      <c r="AH67" s="175"/>
      <c r="AI67" s="176"/>
      <c r="AJ67" s="177"/>
      <c r="AK67" s="178"/>
      <c r="AL67" s="178"/>
      <c r="AM67" s="178"/>
      <c r="AN67" s="178"/>
      <c r="AO67" s="179"/>
      <c r="AP67" s="64"/>
      <c r="AQ67" s="65"/>
      <c r="AR67" s="65"/>
      <c r="AS67" s="65"/>
      <c r="AT67" s="173"/>
      <c r="AU67" s="177"/>
      <c r="AV67" s="178"/>
      <c r="AW67" s="178"/>
      <c r="AX67" s="179"/>
      <c r="AZ67" s="166"/>
      <c r="BA67" s="177"/>
      <c r="BB67" s="178"/>
      <c r="BC67" s="178"/>
      <c r="BD67" s="178"/>
      <c r="BE67" s="178"/>
      <c r="BF67" s="178"/>
      <c r="BG67" s="178"/>
      <c r="BH67" s="178"/>
      <c r="BI67" s="179"/>
      <c r="BJ67" s="180"/>
      <c r="BK67" s="178"/>
      <c r="BL67" s="178"/>
      <c r="BM67" s="178"/>
      <c r="BN67" s="178"/>
      <c r="BO67" s="181"/>
      <c r="BP67" s="166"/>
      <c r="BQ67" s="177"/>
      <c r="BR67" s="178"/>
      <c r="BS67" s="179"/>
      <c r="BU67" s="166"/>
      <c r="BV67" s="166"/>
      <c r="BW67" s="166"/>
      <c r="BX67" s="166"/>
      <c r="BY67" s="166"/>
      <c r="BZ67" s="166"/>
      <c r="CA67" s="166"/>
      <c r="CB67" s="166"/>
      <c r="CC67" s="166"/>
      <c r="CD67" s="177"/>
      <c r="CE67" s="181"/>
      <c r="CF67" s="177"/>
      <c r="CG67" s="179"/>
      <c r="CH67" s="257"/>
      <c r="CI67" s="182"/>
      <c r="CJ67" s="177"/>
      <c r="CK67" s="182"/>
      <c r="CL67" s="177"/>
      <c r="CM67" s="182"/>
      <c r="CN67" s="177"/>
      <c r="CO67" s="182"/>
      <c r="CP67" s="177"/>
      <c r="CQ67" s="178"/>
      <c r="CR67" s="182"/>
      <c r="CS67" s="173"/>
      <c r="CT67" s="65"/>
      <c r="CU67" s="255" t="str">
        <f t="shared" si="2"/>
        <v>PKP</v>
      </c>
    </row>
    <row r="68" ht="60.0" customHeight="1">
      <c r="A68" s="65"/>
      <c r="C68" s="167">
        <v>6.0</v>
      </c>
      <c r="D68" s="168" t="s">
        <v>165</v>
      </c>
      <c r="E68" s="169"/>
      <c r="F68" s="170"/>
      <c r="G68" s="170"/>
      <c r="H68" s="170"/>
      <c r="I68" s="207"/>
      <c r="J68" s="170"/>
      <c r="K68" s="171"/>
      <c r="L68" s="171"/>
      <c r="M68" s="171"/>
      <c r="N68" s="276"/>
      <c r="O68" s="256">
        <f t="shared" si="12"/>
        <v>0</v>
      </c>
      <c r="Q68" s="173"/>
      <c r="R68" s="65"/>
      <c r="S68" s="173"/>
      <c r="T68" s="173"/>
      <c r="U68" s="166"/>
      <c r="V68" s="166"/>
      <c r="W68" s="65"/>
      <c r="X68" s="66"/>
      <c r="Y68" s="173"/>
      <c r="Z68" s="166"/>
      <c r="AA68" s="174"/>
      <c r="AB68" s="175"/>
      <c r="AC68" s="175"/>
      <c r="AD68" s="175"/>
      <c r="AE68" s="175"/>
      <c r="AF68" s="175"/>
      <c r="AG68" s="175"/>
      <c r="AH68" s="175"/>
      <c r="AI68" s="176"/>
      <c r="AJ68" s="177"/>
      <c r="AK68" s="178"/>
      <c r="AL68" s="178"/>
      <c r="AM68" s="178"/>
      <c r="AN68" s="178"/>
      <c r="AO68" s="179"/>
      <c r="AP68" s="64"/>
      <c r="AQ68" s="65"/>
      <c r="AR68" s="65"/>
      <c r="AS68" s="65"/>
      <c r="AT68" s="173"/>
      <c r="AU68" s="177"/>
      <c r="AV68" s="178"/>
      <c r="AW68" s="178"/>
      <c r="AX68" s="179"/>
      <c r="AZ68" s="166"/>
      <c r="BA68" s="177"/>
      <c r="BB68" s="178"/>
      <c r="BC68" s="178"/>
      <c r="BD68" s="178"/>
      <c r="BE68" s="178"/>
      <c r="BF68" s="178"/>
      <c r="BG68" s="178"/>
      <c r="BH68" s="178"/>
      <c r="BI68" s="179"/>
      <c r="BJ68" s="180"/>
      <c r="BK68" s="178"/>
      <c r="BL68" s="178"/>
      <c r="BM68" s="178"/>
      <c r="BN68" s="178"/>
      <c r="BO68" s="181"/>
      <c r="BP68" s="166"/>
      <c r="BQ68" s="177"/>
      <c r="BR68" s="178"/>
      <c r="BS68" s="179"/>
      <c r="BU68" s="166"/>
      <c r="BV68" s="166"/>
      <c r="BW68" s="166"/>
      <c r="BX68" s="166"/>
      <c r="BY68" s="166"/>
      <c r="BZ68" s="166"/>
      <c r="CA68" s="166"/>
      <c r="CB68" s="166"/>
      <c r="CC68" s="166"/>
      <c r="CD68" s="177"/>
      <c r="CE68" s="181"/>
      <c r="CF68" s="177"/>
      <c r="CG68" s="179"/>
      <c r="CH68" s="257"/>
      <c r="CI68" s="182"/>
      <c r="CJ68" s="177"/>
      <c r="CK68" s="182"/>
      <c r="CL68" s="177"/>
      <c r="CM68" s="182"/>
      <c r="CN68" s="177"/>
      <c r="CO68" s="182"/>
      <c r="CP68" s="177"/>
      <c r="CQ68" s="178"/>
      <c r="CR68" s="182"/>
      <c r="CS68" s="173"/>
      <c r="CT68" s="65"/>
      <c r="CU68" s="255" t="str">
        <f t="shared" si="2"/>
        <v>PKP</v>
      </c>
    </row>
    <row r="69" ht="60.0" customHeight="1">
      <c r="A69" s="65"/>
      <c r="C69" s="167">
        <v>7.0</v>
      </c>
      <c r="D69" s="168" t="s">
        <v>165</v>
      </c>
      <c r="E69" s="169"/>
      <c r="F69" s="170"/>
      <c r="G69" s="170"/>
      <c r="H69" s="170"/>
      <c r="I69" s="207"/>
      <c r="J69" s="170"/>
      <c r="K69" s="171"/>
      <c r="L69" s="171"/>
      <c r="M69" s="171"/>
      <c r="N69" s="276"/>
      <c r="O69" s="256">
        <f t="shared" ref="O69:O72" si="13">IF(AND(M69&gt;=20,M69&lt;&gt;"m",RIGHT(K69,3)="Lec"),1,IF(AND(M69&gt;=20,M69&lt;&gt;"m",OR(RIGHT(K69,3)="Lab",RIGHT(K69,3)="Tut")),0.5,IF(AND(M69&gt;=20,M69&lt;&gt;"m",RIGHT(K69,2)="TL"),0.75,0)))</f>
        <v>0</v>
      </c>
      <c r="Q69" s="173"/>
      <c r="R69" s="65"/>
      <c r="S69" s="173"/>
      <c r="T69" s="173"/>
      <c r="U69" s="166"/>
      <c r="V69" s="166"/>
      <c r="W69" s="65"/>
      <c r="X69" s="66"/>
      <c r="Y69" s="173"/>
      <c r="Z69" s="166"/>
      <c r="AA69" s="174"/>
      <c r="AB69" s="175"/>
      <c r="AC69" s="175"/>
      <c r="AD69" s="175"/>
      <c r="AE69" s="175"/>
      <c r="AF69" s="175"/>
      <c r="AG69" s="175"/>
      <c r="AH69" s="175"/>
      <c r="AI69" s="176"/>
      <c r="AJ69" s="177"/>
      <c r="AK69" s="178"/>
      <c r="AL69" s="178"/>
      <c r="AM69" s="178"/>
      <c r="AN69" s="178"/>
      <c r="AO69" s="179"/>
      <c r="AP69" s="64"/>
      <c r="AQ69" s="65"/>
      <c r="AR69" s="65"/>
      <c r="AS69" s="65"/>
      <c r="AT69" s="173"/>
      <c r="AU69" s="177"/>
      <c r="AV69" s="178"/>
      <c r="AW69" s="178"/>
      <c r="AX69" s="179"/>
      <c r="AZ69" s="166"/>
      <c r="BA69" s="177"/>
      <c r="BB69" s="178"/>
      <c r="BC69" s="178"/>
      <c r="BD69" s="178"/>
      <c r="BE69" s="178"/>
      <c r="BF69" s="178"/>
      <c r="BG69" s="178"/>
      <c r="BH69" s="178"/>
      <c r="BI69" s="179"/>
      <c r="BJ69" s="180"/>
      <c r="BK69" s="178"/>
      <c r="BL69" s="178"/>
      <c r="BM69" s="178"/>
      <c r="BN69" s="178"/>
      <c r="BO69" s="181"/>
      <c r="BP69" s="166"/>
      <c r="BQ69" s="177"/>
      <c r="BR69" s="178"/>
      <c r="BS69" s="179"/>
      <c r="BU69" s="166"/>
      <c r="BV69" s="166"/>
      <c r="BW69" s="166"/>
      <c r="BX69" s="166"/>
      <c r="BY69" s="166"/>
      <c r="BZ69" s="166"/>
      <c r="CA69" s="166"/>
      <c r="CB69" s="166"/>
      <c r="CC69" s="166"/>
      <c r="CD69" s="177"/>
      <c r="CE69" s="181"/>
      <c r="CF69" s="177"/>
      <c r="CG69" s="179"/>
      <c r="CH69" s="257"/>
      <c r="CI69" s="182"/>
      <c r="CJ69" s="177"/>
      <c r="CK69" s="182"/>
      <c r="CL69" s="177"/>
      <c r="CM69" s="182"/>
      <c r="CN69" s="177"/>
      <c r="CO69" s="182"/>
      <c r="CP69" s="177"/>
      <c r="CQ69" s="178"/>
      <c r="CR69" s="182"/>
      <c r="CS69" s="173"/>
      <c r="CT69" s="65"/>
      <c r="CU69" s="255" t="str">
        <f t="shared" si="2"/>
        <v>PKP</v>
      </c>
    </row>
    <row r="70" ht="60.0" customHeight="1">
      <c r="A70" s="65"/>
      <c r="C70" s="167">
        <v>8.0</v>
      </c>
      <c r="D70" s="168" t="s">
        <v>165</v>
      </c>
      <c r="E70" s="169"/>
      <c r="F70" s="170"/>
      <c r="G70" s="170"/>
      <c r="H70" s="170"/>
      <c r="I70" s="207"/>
      <c r="J70" s="170"/>
      <c r="K70" s="171"/>
      <c r="L70" s="171"/>
      <c r="M70" s="171"/>
      <c r="N70" s="276"/>
      <c r="O70" s="256">
        <f t="shared" si="13"/>
        <v>0</v>
      </c>
      <c r="Q70" s="173"/>
      <c r="R70" s="65"/>
      <c r="S70" s="173"/>
      <c r="T70" s="173"/>
      <c r="U70" s="166"/>
      <c r="V70" s="166"/>
      <c r="W70" s="65"/>
      <c r="X70" s="66"/>
      <c r="Y70" s="173"/>
      <c r="Z70" s="166"/>
      <c r="AA70" s="174"/>
      <c r="AB70" s="175"/>
      <c r="AC70" s="175"/>
      <c r="AD70" s="175"/>
      <c r="AE70" s="175"/>
      <c r="AF70" s="175"/>
      <c r="AG70" s="175"/>
      <c r="AH70" s="175"/>
      <c r="AI70" s="176"/>
      <c r="AJ70" s="177"/>
      <c r="AK70" s="178"/>
      <c r="AL70" s="178"/>
      <c r="AM70" s="178"/>
      <c r="AN70" s="178"/>
      <c r="AO70" s="179"/>
      <c r="AP70" s="64"/>
      <c r="AQ70" s="65"/>
      <c r="AR70" s="65"/>
      <c r="AS70" s="65"/>
      <c r="AT70" s="173"/>
      <c r="AU70" s="177"/>
      <c r="AV70" s="178"/>
      <c r="AW70" s="178"/>
      <c r="AX70" s="179"/>
      <c r="AZ70" s="166"/>
      <c r="BA70" s="177"/>
      <c r="BB70" s="178"/>
      <c r="BC70" s="178"/>
      <c r="BD70" s="178"/>
      <c r="BE70" s="178"/>
      <c r="BF70" s="178"/>
      <c r="BG70" s="178"/>
      <c r="BH70" s="178"/>
      <c r="BI70" s="179"/>
      <c r="BJ70" s="180"/>
      <c r="BK70" s="178"/>
      <c r="BL70" s="178"/>
      <c r="BM70" s="178"/>
      <c r="BN70" s="178"/>
      <c r="BO70" s="181"/>
      <c r="BP70" s="166"/>
      <c r="BQ70" s="177"/>
      <c r="BR70" s="178"/>
      <c r="BS70" s="179"/>
      <c r="BU70" s="166"/>
      <c r="BV70" s="166"/>
      <c r="BW70" s="166"/>
      <c r="BX70" s="166"/>
      <c r="BY70" s="166"/>
      <c r="BZ70" s="166"/>
      <c r="CA70" s="166"/>
      <c r="CB70" s="166"/>
      <c r="CC70" s="166"/>
      <c r="CD70" s="177"/>
      <c r="CE70" s="181"/>
      <c r="CF70" s="177"/>
      <c r="CG70" s="179"/>
      <c r="CH70" s="257"/>
      <c r="CI70" s="182"/>
      <c r="CJ70" s="177"/>
      <c r="CK70" s="182"/>
      <c r="CL70" s="177"/>
      <c r="CM70" s="182"/>
      <c r="CN70" s="177"/>
      <c r="CO70" s="182"/>
      <c r="CP70" s="177"/>
      <c r="CQ70" s="178"/>
      <c r="CR70" s="182"/>
      <c r="CS70" s="173"/>
      <c r="CT70" s="65"/>
      <c r="CU70" s="255" t="str">
        <f t="shared" si="2"/>
        <v>PKP</v>
      </c>
    </row>
    <row r="71" ht="60.0" customHeight="1">
      <c r="A71" s="65"/>
      <c r="C71" s="167">
        <v>9.0</v>
      </c>
      <c r="D71" s="168" t="s">
        <v>165</v>
      </c>
      <c r="E71" s="169"/>
      <c r="F71" s="170"/>
      <c r="G71" s="170"/>
      <c r="H71" s="170"/>
      <c r="I71" s="207"/>
      <c r="J71" s="170"/>
      <c r="K71" s="171"/>
      <c r="L71" s="171"/>
      <c r="M71" s="171"/>
      <c r="N71" s="276"/>
      <c r="O71" s="256">
        <f t="shared" si="13"/>
        <v>0</v>
      </c>
      <c r="Q71" s="173"/>
      <c r="R71" s="65"/>
      <c r="S71" s="173"/>
      <c r="T71" s="173"/>
      <c r="U71" s="166"/>
      <c r="V71" s="166"/>
      <c r="W71" s="65"/>
      <c r="X71" s="66"/>
      <c r="Y71" s="173"/>
      <c r="Z71" s="166"/>
      <c r="AA71" s="174"/>
      <c r="AB71" s="175"/>
      <c r="AC71" s="175"/>
      <c r="AD71" s="175"/>
      <c r="AE71" s="175"/>
      <c r="AF71" s="175"/>
      <c r="AG71" s="175"/>
      <c r="AH71" s="175"/>
      <c r="AI71" s="176"/>
      <c r="AJ71" s="177"/>
      <c r="AK71" s="178"/>
      <c r="AL71" s="178"/>
      <c r="AM71" s="178"/>
      <c r="AN71" s="178"/>
      <c r="AO71" s="179"/>
      <c r="AP71" s="64"/>
      <c r="AQ71" s="65"/>
      <c r="AR71" s="65"/>
      <c r="AS71" s="65"/>
      <c r="AT71" s="173"/>
      <c r="AU71" s="177"/>
      <c r="AV71" s="178"/>
      <c r="AW71" s="178"/>
      <c r="AX71" s="179"/>
      <c r="AZ71" s="166"/>
      <c r="BA71" s="177"/>
      <c r="BB71" s="178"/>
      <c r="BC71" s="178"/>
      <c r="BD71" s="178"/>
      <c r="BE71" s="178"/>
      <c r="BF71" s="178"/>
      <c r="BG71" s="178"/>
      <c r="BH71" s="178"/>
      <c r="BI71" s="179"/>
      <c r="BJ71" s="180"/>
      <c r="BK71" s="178"/>
      <c r="BL71" s="178"/>
      <c r="BM71" s="178"/>
      <c r="BN71" s="178"/>
      <c r="BO71" s="181"/>
      <c r="BP71" s="166"/>
      <c r="BQ71" s="177"/>
      <c r="BR71" s="178"/>
      <c r="BS71" s="179"/>
      <c r="BU71" s="166"/>
      <c r="BV71" s="166"/>
      <c r="BW71" s="166"/>
      <c r="BX71" s="166"/>
      <c r="BY71" s="166"/>
      <c r="BZ71" s="166"/>
      <c r="CA71" s="166"/>
      <c r="CB71" s="166"/>
      <c r="CC71" s="166"/>
      <c r="CD71" s="177"/>
      <c r="CE71" s="181"/>
      <c r="CF71" s="177"/>
      <c r="CG71" s="179"/>
      <c r="CH71" s="257"/>
      <c r="CI71" s="182"/>
      <c r="CJ71" s="177"/>
      <c r="CK71" s="182"/>
      <c r="CL71" s="177"/>
      <c r="CM71" s="182"/>
      <c r="CN71" s="177"/>
      <c r="CO71" s="182"/>
      <c r="CP71" s="177"/>
      <c r="CQ71" s="178"/>
      <c r="CR71" s="182"/>
      <c r="CS71" s="173"/>
      <c r="CT71" s="65"/>
      <c r="CU71" s="255" t="str">
        <f t="shared" si="2"/>
        <v>PKP</v>
      </c>
    </row>
    <row r="72" ht="60.0" customHeight="1">
      <c r="A72" s="65"/>
      <c r="C72" s="167">
        <v>10.0</v>
      </c>
      <c r="D72" s="168" t="s">
        <v>165</v>
      </c>
      <c r="E72" s="169"/>
      <c r="F72" s="170"/>
      <c r="G72" s="170"/>
      <c r="H72" s="170"/>
      <c r="I72" s="207"/>
      <c r="J72" s="170"/>
      <c r="K72" s="171"/>
      <c r="L72" s="171"/>
      <c r="M72" s="171"/>
      <c r="N72" s="276"/>
      <c r="O72" s="256">
        <f t="shared" si="13"/>
        <v>0</v>
      </c>
      <c r="Q72" s="173"/>
      <c r="R72" s="65"/>
      <c r="S72" s="173"/>
      <c r="T72" s="173"/>
      <c r="U72" s="166"/>
      <c r="V72" s="166"/>
      <c r="W72" s="65"/>
      <c r="X72" s="66"/>
      <c r="Y72" s="173"/>
      <c r="Z72" s="166"/>
      <c r="AA72" s="174"/>
      <c r="AB72" s="175"/>
      <c r="AC72" s="175"/>
      <c r="AD72" s="175"/>
      <c r="AE72" s="175"/>
      <c r="AF72" s="175"/>
      <c r="AG72" s="175"/>
      <c r="AH72" s="175"/>
      <c r="AI72" s="176"/>
      <c r="AJ72" s="177"/>
      <c r="AK72" s="178"/>
      <c r="AL72" s="178"/>
      <c r="AM72" s="178"/>
      <c r="AN72" s="178"/>
      <c r="AO72" s="179"/>
      <c r="AP72" s="64"/>
      <c r="AQ72" s="65"/>
      <c r="AR72" s="65"/>
      <c r="AS72" s="65"/>
      <c r="AT72" s="173"/>
      <c r="AU72" s="177"/>
      <c r="AV72" s="178"/>
      <c r="AW72" s="178"/>
      <c r="AX72" s="179"/>
      <c r="AZ72" s="166"/>
      <c r="BA72" s="177"/>
      <c r="BB72" s="178"/>
      <c r="BC72" s="178"/>
      <c r="BD72" s="178"/>
      <c r="BE72" s="178"/>
      <c r="BF72" s="178"/>
      <c r="BG72" s="178"/>
      <c r="BH72" s="178"/>
      <c r="BI72" s="179"/>
      <c r="BJ72" s="180"/>
      <c r="BK72" s="178"/>
      <c r="BL72" s="178"/>
      <c r="BM72" s="178"/>
      <c r="BN72" s="178"/>
      <c r="BO72" s="181"/>
      <c r="BP72" s="166"/>
      <c r="BQ72" s="177"/>
      <c r="BR72" s="178"/>
      <c r="BS72" s="179"/>
      <c r="BU72" s="166"/>
      <c r="BV72" s="166"/>
      <c r="BW72" s="166"/>
      <c r="BX72" s="166"/>
      <c r="BY72" s="166"/>
      <c r="BZ72" s="166"/>
      <c r="CA72" s="166"/>
      <c r="CB72" s="166"/>
      <c r="CC72" s="166"/>
      <c r="CD72" s="177"/>
      <c r="CE72" s="181"/>
      <c r="CF72" s="177"/>
      <c r="CG72" s="179"/>
      <c r="CH72" s="257"/>
      <c r="CI72" s="182"/>
      <c r="CJ72" s="177"/>
      <c r="CK72" s="182"/>
      <c r="CL72" s="177"/>
      <c r="CM72" s="182"/>
      <c r="CN72" s="177"/>
      <c r="CO72" s="182"/>
      <c r="CP72" s="177"/>
      <c r="CQ72" s="178"/>
      <c r="CR72" s="182"/>
      <c r="CS72" s="173"/>
      <c r="CT72" s="65"/>
      <c r="CU72" s="255" t="str">
        <f t="shared" si="2"/>
        <v>PKP</v>
      </c>
    </row>
    <row r="73" ht="60.0" customHeight="1">
      <c r="A73" s="89"/>
      <c r="C73" s="183">
        <v>11.0</v>
      </c>
      <c r="D73" s="210" t="s">
        <v>165</v>
      </c>
      <c r="E73" s="185"/>
      <c r="F73" s="186"/>
      <c r="G73" s="186"/>
      <c r="H73" s="186"/>
      <c r="I73" s="212"/>
      <c r="J73" s="186"/>
      <c r="K73" s="187"/>
      <c r="L73" s="187"/>
      <c r="M73" s="187"/>
      <c r="N73" s="214"/>
      <c r="O73" s="258">
        <f t="shared" ref="O73:O79" si="14">IF(AND(M73&lt;&gt;0,M73&lt;&gt;"m",M73&lt;&gt;"",RIGHT(K73,3)="Lec"),1,IF(AND(M73&lt;&gt;0,M73&lt;&gt;"m",M73&lt;&gt;"",OR(RIGHT(K73,3)="Lab",RIGHT(K73,3)="Tut")),0.5,IF(AND(M73&lt;&gt;0,M73&lt;&gt;"m",M73&lt;&gt;"",RIGHT(K73,2)="TL"),0.75,0)))</f>
        <v>0</v>
      </c>
      <c r="P73" s="6"/>
      <c r="Q73" s="69"/>
      <c r="R73" s="89"/>
      <c r="S73" s="69"/>
      <c r="T73" s="69"/>
      <c r="U73" s="63"/>
      <c r="V73" s="63"/>
      <c r="W73" s="89"/>
      <c r="X73" s="68"/>
      <c r="Y73" s="69"/>
      <c r="Z73" s="63"/>
      <c r="AA73" s="189"/>
      <c r="AB73" s="190"/>
      <c r="AC73" s="190"/>
      <c r="AD73" s="190"/>
      <c r="AE73" s="190"/>
      <c r="AF73" s="190"/>
      <c r="AG73" s="190"/>
      <c r="AH73" s="190"/>
      <c r="AI73" s="191"/>
      <c r="AJ73" s="192"/>
      <c r="AK73" s="193"/>
      <c r="AL73" s="193"/>
      <c r="AM73" s="193"/>
      <c r="AN73" s="193"/>
      <c r="AO73" s="194"/>
      <c r="AP73" s="103"/>
      <c r="AQ73" s="89"/>
      <c r="AR73" s="89"/>
      <c r="AS73" s="89"/>
      <c r="AT73" s="69"/>
      <c r="AU73" s="192"/>
      <c r="AV73" s="193"/>
      <c r="AW73" s="193"/>
      <c r="AX73" s="194"/>
      <c r="AY73" s="6"/>
      <c r="AZ73" s="63"/>
      <c r="BA73" s="192"/>
      <c r="BB73" s="193"/>
      <c r="BC73" s="193"/>
      <c r="BD73" s="193"/>
      <c r="BE73" s="193"/>
      <c r="BF73" s="193"/>
      <c r="BG73" s="193"/>
      <c r="BH73" s="193"/>
      <c r="BI73" s="194"/>
      <c r="BJ73" s="195"/>
      <c r="BK73" s="193"/>
      <c r="BL73" s="193"/>
      <c r="BM73" s="193"/>
      <c r="BN73" s="193"/>
      <c r="BO73" s="196"/>
      <c r="BP73" s="63"/>
      <c r="BQ73" s="192"/>
      <c r="BR73" s="193"/>
      <c r="BS73" s="194"/>
      <c r="BT73" s="6"/>
      <c r="BU73" s="63"/>
      <c r="BV73" s="63"/>
      <c r="BW73" s="63"/>
      <c r="BX73" s="63"/>
      <c r="BY73" s="63"/>
      <c r="BZ73" s="63"/>
      <c r="CA73" s="63"/>
      <c r="CB73" s="63"/>
      <c r="CC73" s="63"/>
      <c r="CD73" s="192"/>
      <c r="CE73" s="196"/>
      <c r="CF73" s="192"/>
      <c r="CG73" s="194"/>
      <c r="CH73" s="259"/>
      <c r="CI73" s="197"/>
      <c r="CJ73" s="192"/>
      <c r="CK73" s="197"/>
      <c r="CL73" s="192"/>
      <c r="CM73" s="197"/>
      <c r="CN73" s="192"/>
      <c r="CO73" s="197"/>
      <c r="CP73" s="192"/>
      <c r="CQ73" s="193"/>
      <c r="CR73" s="197"/>
      <c r="CS73" s="69"/>
      <c r="CT73" s="89"/>
      <c r="CU73" s="255" t="str">
        <f t="shared" si="2"/>
        <v>PKP</v>
      </c>
    </row>
    <row r="74" ht="55.5" customHeight="1">
      <c r="A74" s="125">
        <v>7.0</v>
      </c>
      <c r="B74" s="199" t="s">
        <v>169</v>
      </c>
      <c r="C74" s="127">
        <v>1.0</v>
      </c>
      <c r="D74" s="168" t="s">
        <v>170</v>
      </c>
      <c r="E74" s="129"/>
      <c r="F74" s="130"/>
      <c r="G74" s="130"/>
      <c r="H74" s="130"/>
      <c r="I74" s="201"/>
      <c r="J74" s="130"/>
      <c r="K74" s="131"/>
      <c r="L74" s="131"/>
      <c r="M74" s="131"/>
      <c r="N74" s="275"/>
      <c r="O74" s="250">
        <f t="shared" si="14"/>
        <v>0</v>
      </c>
      <c r="P74" s="251">
        <f>COUNTIF(K74:K84,"TL")*0.75+COUNTIF(K74:K84,"Lec")*1+COUNTIF(K74:K84,"Lab")*0.5</f>
        <v>0</v>
      </c>
      <c r="Q74" s="134">
        <f>SUM((IF(LEFT(K74,1)="E",O74,0)),(IF(LEFT(K75,1)="E",O75,0)),(IF(LEFT(K76,1)="E",O76,0)),(IF(LEFT(K77,1)="E",O77,0)),(IF(LEFT(K78,1)="E",O78,0)),(IF(LEFT(K79,1)="E",O79,0)),(IF(LEFT(K80,1)="E",O80,0)),(IF(LEFT(K81,1)="E",O81,0)),(IF(LEFT(K82,1)="E",O82,0)),(IF(LEFT(K83,1)="E",O83,0)),(IF(LEFT(K84,1)="E",O84,0)))</f>
        <v>0</v>
      </c>
      <c r="R74" s="135">
        <f>SUM(IF(M80&lt;20,IF(K80="Plec",-1,IF(K80="PTL",-0.75,IF(K80="Plab",-0.5,0))),0),IF(M81&lt;20,IF(K81="Plec",-1,IF(K81="PTL",-0.75,IF(K81="Plab",-0.5,0))),0),IF(M82&lt;20,IF(K82="Plec",-1,IF(K82="PTL",-0.75,IF(K82="Plab",-0.5,0))),0),IF(M83&lt;20,IF(K83="Plec",-1,IF(K83="PTL",-0.75,IF(K83="Plab",-0.5,0))),0))</f>
        <v>0</v>
      </c>
      <c r="S74" s="134">
        <f>SUM(P74:R84)</f>
        <v>0</v>
      </c>
      <c r="T74" s="136">
        <f>SUM(IF(M74="M",IF(OR(K74="lec",K74="plec",K74="slec"),1,IF(OR(K74="lab",K74="plab",K74="slab",K74="tut",K74="ptut",K74="stut"),0.5,IF(OR(K74="TL",K74="pTL",K74="STL"),0.75,0))),0),IF(M75="M",IF(OR(K75="lec",K75="plec",K75="slec"),1,IF(OR(K75="lab",K75="plab",K75="slab",K75="tut",K75="ptut",K75="stut"),0.5,IF(OR(K75="TL",K75="pTL",K75="STL"),0.75,0))),0),IF(M76="M",IF(OR(K76="lec",K76="plec",K76="slec"),1,IF(OR(K76="lab",K76="plab",K76="slab",K76="tut",K76="ptut",K76="stut"),0.5,IF(OR(K76="TL",K76="pTL",K76="STL"),0.75,0))),0),IF(M77="M",IF(OR(K77="lec",K77="plec",K77="slec"),1,IF(OR(K77="lab",K77="plab",K77="slab",K77="tut",K77="ptut",K77="stut"),0.5,IF(OR(K77="TL",K77="pTL",K77="STL"),0.75,0))),0),IF(M78="M",IF(OR(K78="lec",K78="plec",K78="slec"),1,IF(OR(K78="lab",K78="plab",K78="slab",K78="tut",K78="ptut",K78="stut"),0.5,IF(OR(K78="TL",K78="pTL",K78="STL"),0.75,0))),0),IF(M79="M",IF(OR(K79="lec",K79="plec",K79="slec"),1,IF(OR(K79="lab",K79="plab",K79="slab",K79="tut",K79="ptut",K79="stut"),0.5,IF(OR(K79="TL",K79="pTL",K79="STL"),0.75,0))),0),IF(M80="M",IF(OR(K80="lec",K80="plec",K80="slec"),1,IF(OR(K80="lab",K80="plab",K80="slab",K80="tut",K80="ptut",K80="stut"),0.5,IF(OR(K80="TL",K80="pTL",K80="STL"),0.75,0))),0),IF(M81="M",IF(OR(K81="lec",K81="plec",K81="slec"),1,IF(OR(K81="lab",K81="plab",K81="slab",K81="tut",K81="ptut",K81="stut"),0.5,IF(OR(K81="TL",K81="pTL",K81="STL"),0.75,0))),0),IF(M82="M",IF(OR(K82="lec",K82="plec",K82="slec"),1,IF(OR(K82="lab",K82="plab",K82="slab",K82="tut",K82="ptut",K82="stut"),0.5,IF(OR(K82="TL",K82="pTL",K82="STL"),0.75,0))),0),IF(M83="M",IF(OR(K83="lec",K83="plec",K83="slec"),1,IF(OR(K83="lab",K83="plab",K83="slab",K83="tut",K83="ptut",K83="stut"),0.5,IF(OR(K83="TL",K83="pTL",K83="STL"),0.75,0))),0),IF(M84="M",IF(OR(K84="lec",K84="plec",K84="slec"),1,IF(OR(K84="lab",K84="plab",K84="slab",K84="tut",K84="ptut",K84="stut"),0.5,IF(OR(K84="TL",K84="pTL",K84="STL"),0.75,0))),0))</f>
        <v>0</v>
      </c>
      <c r="U74" s="137"/>
      <c r="V74" s="133"/>
      <c r="W74" s="138"/>
      <c r="X74" s="139">
        <f>S74-(T74+U74+V74+W74)</f>
        <v>0</v>
      </c>
      <c r="Y74" s="134" t="str">
        <f>CONCATENATE(SUM(O74:O84),"(",SUM(O74:O84)-X74,")")</f>
        <v>0(0)</v>
      </c>
      <c r="Z74" s="140"/>
      <c r="AA74" s="141"/>
      <c r="AB74" s="142"/>
      <c r="AC74" s="142"/>
      <c r="AD74" s="142"/>
      <c r="AE74" s="142"/>
      <c r="AF74" s="142"/>
      <c r="AG74" s="142"/>
      <c r="AH74" s="142"/>
      <c r="AI74" s="143"/>
      <c r="AJ74" s="144"/>
      <c r="AK74" s="145"/>
      <c r="AL74" s="145"/>
      <c r="AM74" s="145"/>
      <c r="AN74" s="145"/>
      <c r="AO74" s="146"/>
      <c r="AP74" s="147">
        <f>SUM(SUM(O74:O84),SUM(AI74:AI84)/2,AM74)</f>
        <v>0</v>
      </c>
      <c r="AQ74" s="148"/>
      <c r="AR74" s="148">
        <f>AP74*AQ74</f>
        <v>0</v>
      </c>
      <c r="AS74" s="148">
        <f>CT74</f>
        <v>0.8333333333</v>
      </c>
      <c r="AT74" s="149">
        <f>AR74*0.75+AS74*0.25</f>
        <v>0.2083333333</v>
      </c>
      <c r="AU74" s="150"/>
      <c r="AV74" s="151"/>
      <c r="AW74" s="151"/>
      <c r="AX74" s="152"/>
      <c r="AY74" s="153"/>
      <c r="AZ74" s="140"/>
      <c r="BA74" s="150"/>
      <c r="BB74" s="151"/>
      <c r="BC74" s="151"/>
      <c r="BD74" s="151"/>
      <c r="BE74" s="151"/>
      <c r="BF74" s="151"/>
      <c r="BG74" s="151"/>
      <c r="BH74" s="151"/>
      <c r="BI74" s="152"/>
      <c r="BJ74" s="154"/>
      <c r="BK74" s="151"/>
      <c r="BL74" s="151"/>
      <c r="BM74" s="151"/>
      <c r="BN74" s="151"/>
      <c r="BO74" s="155"/>
      <c r="BP74" s="140"/>
      <c r="BQ74" s="156"/>
      <c r="BR74" s="157"/>
      <c r="BS74" s="158"/>
      <c r="BT74" s="153"/>
      <c r="BU74" s="140"/>
      <c r="BV74" s="140"/>
      <c r="BW74" s="140"/>
      <c r="BX74" s="140"/>
      <c r="BY74" s="140"/>
      <c r="BZ74" s="140"/>
      <c r="CA74" s="140"/>
      <c r="CB74" s="140"/>
      <c r="CC74" s="140"/>
      <c r="CD74" s="150"/>
      <c r="CE74" s="155"/>
      <c r="CF74" s="150" t="s">
        <v>290</v>
      </c>
      <c r="CG74" s="152">
        <f>150/60</f>
        <v>2.5</v>
      </c>
      <c r="CH74" s="252"/>
      <c r="CI74" s="160"/>
      <c r="CJ74" s="159"/>
      <c r="CK74" s="160"/>
      <c r="CL74" s="159"/>
      <c r="CM74" s="160"/>
      <c r="CN74" s="159"/>
      <c r="CO74" s="160"/>
      <c r="CP74" s="159"/>
      <c r="CQ74" s="162"/>
      <c r="CR74" s="160"/>
      <c r="CS74" s="253">
        <f>SUM(IF(AU74&lt;0,ABS(AU74),0),IF(AZ74&lt;0,ABS(AZ74),0),ABS(CI74),ABS(CK74),ABS(CM74),ABS(CO74),ABS(CQ74),ABS(CR74))</f>
        <v>0</v>
      </c>
      <c r="CT74" s="254">
        <f>SUM(AU74,AV74,AW74,AX74/400,AY74,AZ74,BG74,BH74*0.5,BI74*0.25,BJ74,BK74,BL74,BM74,BN74,BO74,BP74,BR74/20,BS74/100,BT74/60,BU74,BV74,BW74,BX74/4,SUM(BY74:CC84)/3,CE74,CG74/3,CI74,CK74,CM74,CO74,CQ74,CR74)</f>
        <v>0.8333333333</v>
      </c>
      <c r="CU74" s="255" t="str">
        <f t="shared" si="2"/>
        <v>SDP</v>
      </c>
    </row>
    <row r="75" ht="60.0" customHeight="1">
      <c r="A75" s="65"/>
      <c r="C75" s="167">
        <v>2.0</v>
      </c>
      <c r="D75" s="168" t="s">
        <v>170</v>
      </c>
      <c r="E75" s="169"/>
      <c r="F75" s="170"/>
      <c r="G75" s="170"/>
      <c r="H75" s="170"/>
      <c r="I75" s="207"/>
      <c r="J75" s="170"/>
      <c r="K75" s="171"/>
      <c r="L75" s="171"/>
      <c r="M75" s="171"/>
      <c r="N75" s="276"/>
      <c r="O75" s="256">
        <f t="shared" si="14"/>
        <v>0</v>
      </c>
      <c r="Q75" s="173"/>
      <c r="R75" s="65"/>
      <c r="S75" s="173"/>
      <c r="T75" s="173"/>
      <c r="U75" s="166"/>
      <c r="V75" s="166"/>
      <c r="W75" s="65"/>
      <c r="X75" s="66"/>
      <c r="Y75" s="173"/>
      <c r="Z75" s="166"/>
      <c r="AA75" s="174"/>
      <c r="AB75" s="175"/>
      <c r="AC75" s="175"/>
      <c r="AD75" s="175"/>
      <c r="AE75" s="175"/>
      <c r="AF75" s="175"/>
      <c r="AG75" s="175"/>
      <c r="AH75" s="175"/>
      <c r="AI75" s="176"/>
      <c r="AJ75" s="177"/>
      <c r="AK75" s="178"/>
      <c r="AL75" s="178"/>
      <c r="AM75" s="178"/>
      <c r="AN75" s="178"/>
      <c r="AO75" s="179"/>
      <c r="AP75" s="64"/>
      <c r="AQ75" s="65"/>
      <c r="AR75" s="65"/>
      <c r="AS75" s="65"/>
      <c r="AT75" s="173"/>
      <c r="AU75" s="177"/>
      <c r="AV75" s="178"/>
      <c r="AW75" s="178"/>
      <c r="AX75" s="179"/>
      <c r="AZ75" s="166"/>
      <c r="BA75" s="177"/>
      <c r="BB75" s="178"/>
      <c r="BC75" s="178"/>
      <c r="BD75" s="178"/>
      <c r="BE75" s="178"/>
      <c r="BF75" s="178"/>
      <c r="BG75" s="178"/>
      <c r="BH75" s="178"/>
      <c r="BI75" s="179"/>
      <c r="BJ75" s="180"/>
      <c r="BK75" s="178"/>
      <c r="BL75" s="178"/>
      <c r="BM75" s="178"/>
      <c r="BN75" s="178"/>
      <c r="BO75" s="181"/>
      <c r="BP75" s="166"/>
      <c r="BQ75" s="177"/>
      <c r="BR75" s="178"/>
      <c r="BS75" s="179"/>
      <c r="BU75" s="166"/>
      <c r="BV75" s="166"/>
      <c r="BW75" s="166"/>
      <c r="BX75" s="166"/>
      <c r="BY75" s="166"/>
      <c r="BZ75" s="166"/>
      <c r="CA75" s="166"/>
      <c r="CB75" s="166"/>
      <c r="CC75" s="166"/>
      <c r="CD75" s="177"/>
      <c r="CE75" s="181"/>
      <c r="CF75" s="177"/>
      <c r="CG75" s="179"/>
      <c r="CH75" s="257"/>
      <c r="CI75" s="182"/>
      <c r="CJ75" s="177"/>
      <c r="CK75" s="182"/>
      <c r="CL75" s="177"/>
      <c r="CM75" s="182"/>
      <c r="CN75" s="177"/>
      <c r="CO75" s="182"/>
      <c r="CP75" s="177"/>
      <c r="CQ75" s="178"/>
      <c r="CR75" s="182"/>
      <c r="CS75" s="173"/>
      <c r="CT75" s="65"/>
      <c r="CU75" s="255" t="str">
        <f t="shared" si="2"/>
        <v>SDP</v>
      </c>
    </row>
    <row r="76" ht="60.0" customHeight="1">
      <c r="A76" s="65"/>
      <c r="C76" s="167">
        <v>3.0</v>
      </c>
      <c r="D76" s="168" t="s">
        <v>170</v>
      </c>
      <c r="E76" s="169"/>
      <c r="F76" s="170"/>
      <c r="G76" s="170"/>
      <c r="H76" s="170"/>
      <c r="I76" s="207"/>
      <c r="J76" s="170"/>
      <c r="K76" s="171"/>
      <c r="L76" s="171"/>
      <c r="M76" s="171"/>
      <c r="N76" s="276"/>
      <c r="O76" s="256">
        <f t="shared" si="14"/>
        <v>0</v>
      </c>
      <c r="Q76" s="173"/>
      <c r="R76" s="65"/>
      <c r="S76" s="173"/>
      <c r="T76" s="173"/>
      <c r="U76" s="166"/>
      <c r="V76" s="166"/>
      <c r="W76" s="65"/>
      <c r="X76" s="66"/>
      <c r="Y76" s="173"/>
      <c r="Z76" s="166"/>
      <c r="AA76" s="174"/>
      <c r="AB76" s="175"/>
      <c r="AC76" s="175"/>
      <c r="AD76" s="175"/>
      <c r="AE76" s="175"/>
      <c r="AF76" s="175"/>
      <c r="AG76" s="175"/>
      <c r="AH76" s="175"/>
      <c r="AI76" s="176"/>
      <c r="AJ76" s="177"/>
      <c r="AK76" s="178"/>
      <c r="AL76" s="178"/>
      <c r="AM76" s="178"/>
      <c r="AN76" s="178"/>
      <c r="AO76" s="179"/>
      <c r="AP76" s="64"/>
      <c r="AQ76" s="65"/>
      <c r="AR76" s="65"/>
      <c r="AS76" s="65"/>
      <c r="AT76" s="173"/>
      <c r="AU76" s="177"/>
      <c r="AV76" s="178"/>
      <c r="AW76" s="178"/>
      <c r="AX76" s="179"/>
      <c r="AZ76" s="166"/>
      <c r="BA76" s="177"/>
      <c r="BB76" s="178"/>
      <c r="BC76" s="178"/>
      <c r="BD76" s="178"/>
      <c r="BE76" s="178"/>
      <c r="BF76" s="178"/>
      <c r="BG76" s="178"/>
      <c r="BH76" s="178"/>
      <c r="BI76" s="179"/>
      <c r="BJ76" s="180"/>
      <c r="BK76" s="178"/>
      <c r="BL76" s="178"/>
      <c r="BM76" s="178"/>
      <c r="BN76" s="178"/>
      <c r="BO76" s="181"/>
      <c r="BP76" s="166"/>
      <c r="BQ76" s="177"/>
      <c r="BR76" s="178"/>
      <c r="BS76" s="179"/>
      <c r="BU76" s="166"/>
      <c r="BV76" s="166"/>
      <c r="BW76" s="166"/>
      <c r="BX76" s="166"/>
      <c r="BY76" s="166"/>
      <c r="BZ76" s="166"/>
      <c r="CA76" s="166"/>
      <c r="CB76" s="166"/>
      <c r="CC76" s="166"/>
      <c r="CD76" s="177"/>
      <c r="CE76" s="181"/>
      <c r="CF76" s="177"/>
      <c r="CG76" s="179"/>
      <c r="CH76" s="257"/>
      <c r="CI76" s="182"/>
      <c r="CJ76" s="177"/>
      <c r="CK76" s="182"/>
      <c r="CL76" s="177"/>
      <c r="CM76" s="182"/>
      <c r="CN76" s="177"/>
      <c r="CO76" s="182"/>
      <c r="CP76" s="177"/>
      <c r="CQ76" s="178"/>
      <c r="CR76" s="182"/>
      <c r="CS76" s="173"/>
      <c r="CT76" s="65"/>
      <c r="CU76" s="255" t="str">
        <f t="shared" si="2"/>
        <v>SDP</v>
      </c>
    </row>
    <row r="77" ht="60.0" customHeight="1">
      <c r="A77" s="65"/>
      <c r="C77" s="167">
        <v>4.0</v>
      </c>
      <c r="D77" s="168" t="s">
        <v>170</v>
      </c>
      <c r="E77" s="169"/>
      <c r="F77" s="170"/>
      <c r="G77" s="170"/>
      <c r="H77" s="170"/>
      <c r="I77" s="207"/>
      <c r="J77" s="170"/>
      <c r="K77" s="171"/>
      <c r="L77" s="171"/>
      <c r="M77" s="171"/>
      <c r="N77" s="276"/>
      <c r="O77" s="256">
        <f t="shared" si="14"/>
        <v>0</v>
      </c>
      <c r="Q77" s="173"/>
      <c r="R77" s="65"/>
      <c r="S77" s="173"/>
      <c r="T77" s="173"/>
      <c r="U77" s="166"/>
      <c r="V77" s="166"/>
      <c r="W77" s="65"/>
      <c r="X77" s="66"/>
      <c r="Y77" s="173"/>
      <c r="Z77" s="166"/>
      <c r="AA77" s="174"/>
      <c r="AB77" s="175"/>
      <c r="AC77" s="175"/>
      <c r="AD77" s="175"/>
      <c r="AE77" s="175"/>
      <c r="AF77" s="175"/>
      <c r="AG77" s="175"/>
      <c r="AH77" s="175"/>
      <c r="AI77" s="176"/>
      <c r="AJ77" s="177"/>
      <c r="AK77" s="178"/>
      <c r="AL77" s="178"/>
      <c r="AM77" s="178"/>
      <c r="AN77" s="178"/>
      <c r="AO77" s="179"/>
      <c r="AP77" s="64"/>
      <c r="AQ77" s="65"/>
      <c r="AR77" s="65"/>
      <c r="AS77" s="65"/>
      <c r="AT77" s="173"/>
      <c r="AU77" s="177"/>
      <c r="AV77" s="178"/>
      <c r="AW77" s="178"/>
      <c r="AX77" s="179"/>
      <c r="AZ77" s="166"/>
      <c r="BA77" s="177"/>
      <c r="BB77" s="178"/>
      <c r="BC77" s="178"/>
      <c r="BD77" s="178"/>
      <c r="BE77" s="178"/>
      <c r="BF77" s="178"/>
      <c r="BG77" s="178"/>
      <c r="BH77" s="178"/>
      <c r="BI77" s="179"/>
      <c r="BJ77" s="180"/>
      <c r="BK77" s="178"/>
      <c r="BL77" s="178"/>
      <c r="BM77" s="178"/>
      <c r="BN77" s="178"/>
      <c r="BO77" s="181"/>
      <c r="BP77" s="166"/>
      <c r="BQ77" s="177"/>
      <c r="BR77" s="178"/>
      <c r="BS77" s="179"/>
      <c r="BU77" s="166"/>
      <c r="BV77" s="166"/>
      <c r="BW77" s="166"/>
      <c r="BX77" s="166"/>
      <c r="BY77" s="166"/>
      <c r="BZ77" s="166"/>
      <c r="CA77" s="166"/>
      <c r="CB77" s="166"/>
      <c r="CC77" s="166"/>
      <c r="CD77" s="177"/>
      <c r="CE77" s="181"/>
      <c r="CF77" s="177"/>
      <c r="CG77" s="179"/>
      <c r="CH77" s="257"/>
      <c r="CI77" s="182"/>
      <c r="CJ77" s="177"/>
      <c r="CK77" s="182"/>
      <c r="CL77" s="177"/>
      <c r="CM77" s="182"/>
      <c r="CN77" s="177"/>
      <c r="CO77" s="182"/>
      <c r="CP77" s="177"/>
      <c r="CQ77" s="178"/>
      <c r="CR77" s="182"/>
      <c r="CS77" s="173"/>
      <c r="CT77" s="65"/>
      <c r="CU77" s="255" t="str">
        <f t="shared" si="2"/>
        <v>SDP</v>
      </c>
    </row>
    <row r="78" ht="60.0" customHeight="1">
      <c r="A78" s="65"/>
      <c r="C78" s="167">
        <v>5.0</v>
      </c>
      <c r="D78" s="168" t="s">
        <v>170</v>
      </c>
      <c r="E78" s="169"/>
      <c r="F78" s="170"/>
      <c r="G78" s="170"/>
      <c r="H78" s="170"/>
      <c r="I78" s="207"/>
      <c r="J78" s="170"/>
      <c r="K78" s="171"/>
      <c r="L78" s="171"/>
      <c r="M78" s="171"/>
      <c r="N78" s="276"/>
      <c r="O78" s="256">
        <f t="shared" si="14"/>
        <v>0</v>
      </c>
      <c r="Q78" s="173"/>
      <c r="R78" s="65"/>
      <c r="S78" s="173"/>
      <c r="T78" s="173"/>
      <c r="U78" s="166"/>
      <c r="V78" s="166"/>
      <c r="W78" s="65"/>
      <c r="X78" s="66"/>
      <c r="Y78" s="173"/>
      <c r="Z78" s="166"/>
      <c r="AA78" s="174"/>
      <c r="AB78" s="175"/>
      <c r="AC78" s="175"/>
      <c r="AD78" s="175"/>
      <c r="AE78" s="175"/>
      <c r="AF78" s="175"/>
      <c r="AG78" s="175"/>
      <c r="AH78" s="175"/>
      <c r="AI78" s="176"/>
      <c r="AJ78" s="177"/>
      <c r="AK78" s="178"/>
      <c r="AL78" s="178"/>
      <c r="AM78" s="178"/>
      <c r="AN78" s="178"/>
      <c r="AO78" s="179"/>
      <c r="AP78" s="64"/>
      <c r="AQ78" s="65"/>
      <c r="AR78" s="65"/>
      <c r="AS78" s="65"/>
      <c r="AT78" s="173"/>
      <c r="AU78" s="177"/>
      <c r="AV78" s="178"/>
      <c r="AW78" s="178"/>
      <c r="AX78" s="179"/>
      <c r="AZ78" s="166"/>
      <c r="BA78" s="177"/>
      <c r="BB78" s="178"/>
      <c r="BC78" s="178"/>
      <c r="BD78" s="178"/>
      <c r="BE78" s="178"/>
      <c r="BF78" s="178"/>
      <c r="BG78" s="178"/>
      <c r="BH78" s="178"/>
      <c r="BI78" s="179"/>
      <c r="BJ78" s="180"/>
      <c r="BK78" s="178"/>
      <c r="BL78" s="178"/>
      <c r="BM78" s="178"/>
      <c r="BN78" s="178"/>
      <c r="BO78" s="181"/>
      <c r="BP78" s="166"/>
      <c r="BQ78" s="177"/>
      <c r="BR78" s="178"/>
      <c r="BS78" s="179"/>
      <c r="BU78" s="166"/>
      <c r="BV78" s="166"/>
      <c r="BW78" s="166"/>
      <c r="BX78" s="166"/>
      <c r="BY78" s="166"/>
      <c r="BZ78" s="166"/>
      <c r="CA78" s="166"/>
      <c r="CB78" s="166"/>
      <c r="CC78" s="166"/>
      <c r="CD78" s="177"/>
      <c r="CE78" s="181"/>
      <c r="CF78" s="177"/>
      <c r="CG78" s="179"/>
      <c r="CH78" s="257"/>
      <c r="CI78" s="182"/>
      <c r="CJ78" s="177"/>
      <c r="CK78" s="182"/>
      <c r="CL78" s="177"/>
      <c r="CM78" s="182"/>
      <c r="CN78" s="177"/>
      <c r="CO78" s="182"/>
      <c r="CP78" s="177"/>
      <c r="CQ78" s="178"/>
      <c r="CR78" s="182"/>
      <c r="CS78" s="173"/>
      <c r="CT78" s="65"/>
      <c r="CU78" s="255" t="str">
        <f t="shared" si="2"/>
        <v>SDP</v>
      </c>
    </row>
    <row r="79" ht="60.0" customHeight="1">
      <c r="A79" s="65"/>
      <c r="C79" s="167">
        <v>6.0</v>
      </c>
      <c r="D79" s="168" t="s">
        <v>170</v>
      </c>
      <c r="E79" s="169"/>
      <c r="F79" s="170"/>
      <c r="G79" s="170"/>
      <c r="H79" s="170"/>
      <c r="I79" s="207"/>
      <c r="J79" s="170"/>
      <c r="K79" s="171"/>
      <c r="L79" s="171"/>
      <c r="M79" s="171"/>
      <c r="N79" s="276"/>
      <c r="O79" s="256">
        <f t="shared" si="14"/>
        <v>0</v>
      </c>
      <c r="Q79" s="173"/>
      <c r="R79" s="65"/>
      <c r="S79" s="173"/>
      <c r="T79" s="173"/>
      <c r="U79" s="166"/>
      <c r="V79" s="166"/>
      <c r="W79" s="65"/>
      <c r="X79" s="66"/>
      <c r="Y79" s="173"/>
      <c r="Z79" s="166"/>
      <c r="AA79" s="174"/>
      <c r="AB79" s="175"/>
      <c r="AC79" s="175"/>
      <c r="AD79" s="175"/>
      <c r="AE79" s="175"/>
      <c r="AF79" s="175"/>
      <c r="AG79" s="175"/>
      <c r="AH79" s="175"/>
      <c r="AI79" s="176"/>
      <c r="AJ79" s="177"/>
      <c r="AK79" s="178"/>
      <c r="AL79" s="178"/>
      <c r="AM79" s="178"/>
      <c r="AN79" s="178"/>
      <c r="AO79" s="179"/>
      <c r="AP79" s="64"/>
      <c r="AQ79" s="65"/>
      <c r="AR79" s="65"/>
      <c r="AS79" s="65"/>
      <c r="AT79" s="173"/>
      <c r="AU79" s="177"/>
      <c r="AV79" s="178"/>
      <c r="AW79" s="178"/>
      <c r="AX79" s="179"/>
      <c r="AZ79" s="166"/>
      <c r="BA79" s="177"/>
      <c r="BB79" s="178"/>
      <c r="BC79" s="178"/>
      <c r="BD79" s="178"/>
      <c r="BE79" s="178"/>
      <c r="BF79" s="178"/>
      <c r="BG79" s="178"/>
      <c r="BH79" s="178"/>
      <c r="BI79" s="179"/>
      <c r="BJ79" s="180"/>
      <c r="BK79" s="178"/>
      <c r="BL79" s="178"/>
      <c r="BM79" s="178"/>
      <c r="BN79" s="178"/>
      <c r="BO79" s="181"/>
      <c r="BP79" s="166"/>
      <c r="BQ79" s="177"/>
      <c r="BR79" s="178"/>
      <c r="BS79" s="179"/>
      <c r="BU79" s="166"/>
      <c r="BV79" s="166"/>
      <c r="BW79" s="166"/>
      <c r="BX79" s="166"/>
      <c r="BY79" s="166"/>
      <c r="BZ79" s="166"/>
      <c r="CA79" s="166"/>
      <c r="CB79" s="166"/>
      <c r="CC79" s="166"/>
      <c r="CD79" s="177"/>
      <c r="CE79" s="181"/>
      <c r="CF79" s="177"/>
      <c r="CG79" s="179"/>
      <c r="CH79" s="257"/>
      <c r="CI79" s="182"/>
      <c r="CJ79" s="177"/>
      <c r="CK79" s="182"/>
      <c r="CL79" s="177"/>
      <c r="CM79" s="182"/>
      <c r="CN79" s="177"/>
      <c r="CO79" s="182"/>
      <c r="CP79" s="177"/>
      <c r="CQ79" s="178"/>
      <c r="CR79" s="182"/>
      <c r="CS79" s="173"/>
      <c r="CT79" s="65"/>
      <c r="CU79" s="255" t="str">
        <f t="shared" si="2"/>
        <v>SDP</v>
      </c>
    </row>
    <row r="80" ht="60.0" customHeight="1">
      <c r="A80" s="65"/>
      <c r="C80" s="167">
        <v>7.0</v>
      </c>
      <c r="D80" s="168" t="s">
        <v>170</v>
      </c>
      <c r="E80" s="169"/>
      <c r="F80" s="170"/>
      <c r="G80" s="170"/>
      <c r="H80" s="170"/>
      <c r="I80" s="207"/>
      <c r="J80" s="170"/>
      <c r="K80" s="171"/>
      <c r="L80" s="171"/>
      <c r="M80" s="171"/>
      <c r="N80" s="276"/>
      <c r="O80" s="256">
        <f t="shared" ref="O80:O83" si="15">IF(AND(M80&gt;=20,M80&lt;&gt;"m",RIGHT(K80,3)="Lec"),1,IF(AND(M80&gt;=20,M80&lt;&gt;"m",OR(RIGHT(K80,3)="Lab",RIGHT(K80,3)="Tut")),0.5,IF(AND(M80&gt;=20,M80&lt;&gt;"m",RIGHT(K80,2)="TL"),0.75,0)))</f>
        <v>0</v>
      </c>
      <c r="Q80" s="173"/>
      <c r="R80" s="65"/>
      <c r="S80" s="173"/>
      <c r="T80" s="173"/>
      <c r="U80" s="166"/>
      <c r="V80" s="166"/>
      <c r="W80" s="65"/>
      <c r="X80" s="66"/>
      <c r="Y80" s="173"/>
      <c r="Z80" s="166"/>
      <c r="AA80" s="174"/>
      <c r="AB80" s="175"/>
      <c r="AC80" s="175"/>
      <c r="AD80" s="175"/>
      <c r="AE80" s="175"/>
      <c r="AF80" s="175"/>
      <c r="AG80" s="175"/>
      <c r="AH80" s="175"/>
      <c r="AI80" s="176"/>
      <c r="AJ80" s="177"/>
      <c r="AK80" s="178"/>
      <c r="AL80" s="178"/>
      <c r="AM80" s="178"/>
      <c r="AN80" s="178"/>
      <c r="AO80" s="179"/>
      <c r="AP80" s="64"/>
      <c r="AQ80" s="65"/>
      <c r="AR80" s="65"/>
      <c r="AS80" s="65"/>
      <c r="AT80" s="173"/>
      <c r="AU80" s="177"/>
      <c r="AV80" s="178"/>
      <c r="AW80" s="178"/>
      <c r="AX80" s="179"/>
      <c r="AZ80" s="166"/>
      <c r="BA80" s="177"/>
      <c r="BB80" s="178"/>
      <c r="BC80" s="178"/>
      <c r="BD80" s="178"/>
      <c r="BE80" s="178"/>
      <c r="BF80" s="178"/>
      <c r="BG80" s="178"/>
      <c r="BH80" s="178"/>
      <c r="BI80" s="179"/>
      <c r="BJ80" s="180"/>
      <c r="BK80" s="178"/>
      <c r="BL80" s="178"/>
      <c r="BM80" s="178"/>
      <c r="BN80" s="178"/>
      <c r="BO80" s="181"/>
      <c r="BP80" s="166"/>
      <c r="BQ80" s="177"/>
      <c r="BR80" s="178"/>
      <c r="BS80" s="179"/>
      <c r="BU80" s="166"/>
      <c r="BV80" s="166"/>
      <c r="BW80" s="166"/>
      <c r="BX80" s="166"/>
      <c r="BY80" s="166"/>
      <c r="BZ80" s="166"/>
      <c r="CA80" s="166"/>
      <c r="CB80" s="166"/>
      <c r="CC80" s="166"/>
      <c r="CD80" s="177"/>
      <c r="CE80" s="181"/>
      <c r="CF80" s="177"/>
      <c r="CG80" s="179"/>
      <c r="CH80" s="257"/>
      <c r="CI80" s="182"/>
      <c r="CJ80" s="177"/>
      <c r="CK80" s="182"/>
      <c r="CL80" s="177"/>
      <c r="CM80" s="182"/>
      <c r="CN80" s="177"/>
      <c r="CO80" s="182"/>
      <c r="CP80" s="177"/>
      <c r="CQ80" s="178"/>
      <c r="CR80" s="182"/>
      <c r="CS80" s="173"/>
      <c r="CT80" s="65"/>
      <c r="CU80" s="255" t="str">
        <f t="shared" si="2"/>
        <v>SDP</v>
      </c>
    </row>
    <row r="81" ht="60.0" customHeight="1">
      <c r="A81" s="65"/>
      <c r="C81" s="167">
        <v>8.0</v>
      </c>
      <c r="D81" s="168" t="s">
        <v>170</v>
      </c>
      <c r="E81" s="169"/>
      <c r="F81" s="170"/>
      <c r="G81" s="170"/>
      <c r="H81" s="170"/>
      <c r="I81" s="207"/>
      <c r="J81" s="170"/>
      <c r="K81" s="171"/>
      <c r="L81" s="171"/>
      <c r="M81" s="171"/>
      <c r="N81" s="276"/>
      <c r="O81" s="256">
        <f t="shared" si="15"/>
        <v>0</v>
      </c>
      <c r="Q81" s="173"/>
      <c r="R81" s="65"/>
      <c r="S81" s="173"/>
      <c r="T81" s="173"/>
      <c r="U81" s="166"/>
      <c r="V81" s="166"/>
      <c r="W81" s="65"/>
      <c r="X81" s="66"/>
      <c r="Y81" s="173"/>
      <c r="Z81" s="166"/>
      <c r="AA81" s="174"/>
      <c r="AB81" s="175"/>
      <c r="AC81" s="175"/>
      <c r="AD81" s="175"/>
      <c r="AE81" s="175"/>
      <c r="AF81" s="175"/>
      <c r="AG81" s="175"/>
      <c r="AH81" s="175"/>
      <c r="AI81" s="176"/>
      <c r="AJ81" s="177"/>
      <c r="AK81" s="178"/>
      <c r="AL81" s="178"/>
      <c r="AM81" s="178"/>
      <c r="AN81" s="178"/>
      <c r="AO81" s="179"/>
      <c r="AP81" s="64"/>
      <c r="AQ81" s="65"/>
      <c r="AR81" s="65"/>
      <c r="AS81" s="65"/>
      <c r="AT81" s="173"/>
      <c r="AU81" s="177"/>
      <c r="AV81" s="178"/>
      <c r="AW81" s="178"/>
      <c r="AX81" s="179"/>
      <c r="AZ81" s="166"/>
      <c r="BA81" s="177"/>
      <c r="BB81" s="178"/>
      <c r="BC81" s="178"/>
      <c r="BD81" s="178"/>
      <c r="BE81" s="178"/>
      <c r="BF81" s="178"/>
      <c r="BG81" s="178"/>
      <c r="BH81" s="178"/>
      <c r="BI81" s="179"/>
      <c r="BJ81" s="180"/>
      <c r="BK81" s="178"/>
      <c r="BL81" s="178"/>
      <c r="BM81" s="178"/>
      <c r="BN81" s="178"/>
      <c r="BO81" s="181"/>
      <c r="BP81" s="166"/>
      <c r="BQ81" s="177"/>
      <c r="BR81" s="178"/>
      <c r="BS81" s="179"/>
      <c r="BU81" s="166"/>
      <c r="BV81" s="166"/>
      <c r="BW81" s="166"/>
      <c r="BX81" s="166"/>
      <c r="BY81" s="166"/>
      <c r="BZ81" s="166"/>
      <c r="CA81" s="166"/>
      <c r="CB81" s="166"/>
      <c r="CC81" s="166"/>
      <c r="CD81" s="177"/>
      <c r="CE81" s="181"/>
      <c r="CF81" s="177"/>
      <c r="CG81" s="179"/>
      <c r="CH81" s="257"/>
      <c r="CI81" s="182"/>
      <c r="CJ81" s="177"/>
      <c r="CK81" s="182"/>
      <c r="CL81" s="177"/>
      <c r="CM81" s="182"/>
      <c r="CN81" s="177"/>
      <c r="CO81" s="182"/>
      <c r="CP81" s="177"/>
      <c r="CQ81" s="178"/>
      <c r="CR81" s="182"/>
      <c r="CS81" s="173"/>
      <c r="CT81" s="65"/>
      <c r="CU81" s="255" t="str">
        <f t="shared" si="2"/>
        <v>SDP</v>
      </c>
    </row>
    <row r="82" ht="60.0" customHeight="1">
      <c r="A82" s="65"/>
      <c r="C82" s="167">
        <v>9.0</v>
      </c>
      <c r="D82" s="168" t="s">
        <v>170</v>
      </c>
      <c r="E82" s="169"/>
      <c r="F82" s="170"/>
      <c r="G82" s="170"/>
      <c r="H82" s="170"/>
      <c r="I82" s="207"/>
      <c r="J82" s="170"/>
      <c r="K82" s="171"/>
      <c r="L82" s="171"/>
      <c r="M82" s="171"/>
      <c r="N82" s="276"/>
      <c r="O82" s="256">
        <f t="shared" si="15"/>
        <v>0</v>
      </c>
      <c r="Q82" s="173"/>
      <c r="R82" s="65"/>
      <c r="S82" s="173"/>
      <c r="T82" s="173"/>
      <c r="U82" s="166"/>
      <c r="V82" s="166"/>
      <c r="W82" s="65"/>
      <c r="X82" s="66"/>
      <c r="Y82" s="173"/>
      <c r="Z82" s="166"/>
      <c r="AA82" s="174"/>
      <c r="AB82" s="175"/>
      <c r="AC82" s="175"/>
      <c r="AD82" s="175"/>
      <c r="AE82" s="175"/>
      <c r="AF82" s="175"/>
      <c r="AG82" s="175"/>
      <c r="AH82" s="175"/>
      <c r="AI82" s="176"/>
      <c r="AJ82" s="177"/>
      <c r="AK82" s="178"/>
      <c r="AL82" s="178"/>
      <c r="AM82" s="178"/>
      <c r="AN82" s="178"/>
      <c r="AO82" s="179"/>
      <c r="AP82" s="64"/>
      <c r="AQ82" s="65"/>
      <c r="AR82" s="65"/>
      <c r="AS82" s="65"/>
      <c r="AT82" s="173"/>
      <c r="AU82" s="177"/>
      <c r="AV82" s="178"/>
      <c r="AW82" s="178"/>
      <c r="AX82" s="179"/>
      <c r="AZ82" s="166"/>
      <c r="BA82" s="177"/>
      <c r="BB82" s="178"/>
      <c r="BC82" s="178"/>
      <c r="BD82" s="178"/>
      <c r="BE82" s="178"/>
      <c r="BF82" s="178"/>
      <c r="BG82" s="178"/>
      <c r="BH82" s="178"/>
      <c r="BI82" s="179"/>
      <c r="BJ82" s="180"/>
      <c r="BK82" s="178"/>
      <c r="BL82" s="178"/>
      <c r="BM82" s="178"/>
      <c r="BN82" s="178"/>
      <c r="BO82" s="181"/>
      <c r="BP82" s="166"/>
      <c r="BQ82" s="177"/>
      <c r="BR82" s="178"/>
      <c r="BS82" s="179"/>
      <c r="BU82" s="166"/>
      <c r="BV82" s="166"/>
      <c r="BW82" s="166"/>
      <c r="BX82" s="166"/>
      <c r="BY82" s="166"/>
      <c r="BZ82" s="166"/>
      <c r="CA82" s="166"/>
      <c r="CB82" s="166"/>
      <c r="CC82" s="166"/>
      <c r="CD82" s="177"/>
      <c r="CE82" s="181"/>
      <c r="CF82" s="177"/>
      <c r="CG82" s="179"/>
      <c r="CH82" s="257"/>
      <c r="CI82" s="182"/>
      <c r="CJ82" s="177"/>
      <c r="CK82" s="182"/>
      <c r="CL82" s="177"/>
      <c r="CM82" s="182"/>
      <c r="CN82" s="177"/>
      <c r="CO82" s="182"/>
      <c r="CP82" s="177"/>
      <c r="CQ82" s="178"/>
      <c r="CR82" s="182"/>
      <c r="CS82" s="173"/>
      <c r="CT82" s="65"/>
      <c r="CU82" s="255" t="str">
        <f t="shared" si="2"/>
        <v>SDP</v>
      </c>
    </row>
    <row r="83" ht="60.0" customHeight="1">
      <c r="A83" s="65"/>
      <c r="C83" s="167">
        <v>10.0</v>
      </c>
      <c r="D83" s="168" t="s">
        <v>170</v>
      </c>
      <c r="E83" s="169"/>
      <c r="F83" s="170"/>
      <c r="G83" s="170"/>
      <c r="H83" s="170"/>
      <c r="I83" s="207"/>
      <c r="J83" s="170"/>
      <c r="K83" s="171"/>
      <c r="L83" s="171"/>
      <c r="M83" s="171"/>
      <c r="N83" s="276"/>
      <c r="O83" s="256">
        <f t="shared" si="15"/>
        <v>0</v>
      </c>
      <c r="Q83" s="173"/>
      <c r="R83" s="65"/>
      <c r="S83" s="173"/>
      <c r="T83" s="173"/>
      <c r="U83" s="166"/>
      <c r="V83" s="166"/>
      <c r="W83" s="65"/>
      <c r="X83" s="66"/>
      <c r="Y83" s="173"/>
      <c r="Z83" s="166"/>
      <c r="AA83" s="174"/>
      <c r="AB83" s="175"/>
      <c r="AC83" s="175"/>
      <c r="AD83" s="175"/>
      <c r="AE83" s="175"/>
      <c r="AF83" s="175"/>
      <c r="AG83" s="175"/>
      <c r="AH83" s="175"/>
      <c r="AI83" s="176"/>
      <c r="AJ83" s="177"/>
      <c r="AK83" s="178"/>
      <c r="AL83" s="178"/>
      <c r="AM83" s="178"/>
      <c r="AN83" s="178"/>
      <c r="AO83" s="179"/>
      <c r="AP83" s="64"/>
      <c r="AQ83" s="65"/>
      <c r="AR83" s="65"/>
      <c r="AS83" s="65"/>
      <c r="AT83" s="173"/>
      <c r="AU83" s="177"/>
      <c r="AV83" s="178"/>
      <c r="AW83" s="178"/>
      <c r="AX83" s="179"/>
      <c r="AZ83" s="166"/>
      <c r="BA83" s="177"/>
      <c r="BB83" s="178"/>
      <c r="BC83" s="178"/>
      <c r="BD83" s="178"/>
      <c r="BE83" s="178"/>
      <c r="BF83" s="178"/>
      <c r="BG83" s="178"/>
      <c r="BH83" s="178"/>
      <c r="BI83" s="179"/>
      <c r="BJ83" s="180"/>
      <c r="BK83" s="178"/>
      <c r="BL83" s="178"/>
      <c r="BM83" s="178"/>
      <c r="BN83" s="178"/>
      <c r="BO83" s="181"/>
      <c r="BP83" s="166"/>
      <c r="BQ83" s="177"/>
      <c r="BR83" s="178"/>
      <c r="BS83" s="179"/>
      <c r="BU83" s="166"/>
      <c r="BV83" s="166"/>
      <c r="BW83" s="166"/>
      <c r="BX83" s="166"/>
      <c r="BY83" s="166"/>
      <c r="BZ83" s="166"/>
      <c r="CA83" s="166"/>
      <c r="CB83" s="166"/>
      <c r="CC83" s="166"/>
      <c r="CD83" s="177"/>
      <c r="CE83" s="181"/>
      <c r="CF83" s="177"/>
      <c r="CG83" s="179"/>
      <c r="CH83" s="257"/>
      <c r="CI83" s="182"/>
      <c r="CJ83" s="177"/>
      <c r="CK83" s="182"/>
      <c r="CL83" s="177"/>
      <c r="CM83" s="182"/>
      <c r="CN83" s="177"/>
      <c r="CO83" s="182"/>
      <c r="CP83" s="177"/>
      <c r="CQ83" s="178"/>
      <c r="CR83" s="182"/>
      <c r="CS83" s="173"/>
      <c r="CT83" s="65"/>
      <c r="CU83" s="255" t="str">
        <f t="shared" si="2"/>
        <v>SDP</v>
      </c>
    </row>
    <row r="84" ht="60.0" customHeight="1">
      <c r="A84" s="89"/>
      <c r="C84" s="183">
        <v>11.0</v>
      </c>
      <c r="D84" s="210" t="s">
        <v>170</v>
      </c>
      <c r="E84" s="185"/>
      <c r="F84" s="186"/>
      <c r="G84" s="186"/>
      <c r="H84" s="186"/>
      <c r="I84" s="212"/>
      <c r="J84" s="186"/>
      <c r="K84" s="187"/>
      <c r="L84" s="187"/>
      <c r="M84" s="187"/>
      <c r="N84" s="214"/>
      <c r="O84" s="258">
        <f t="shared" ref="O84:O90" si="16">IF(AND(M84&lt;&gt;0,M84&lt;&gt;"m",M84&lt;&gt;"",RIGHT(K84,3)="Lec"),1,IF(AND(M84&lt;&gt;0,M84&lt;&gt;"m",M84&lt;&gt;"",OR(RIGHT(K84,3)="Lab",RIGHT(K84,3)="Tut")),0.5,IF(AND(M84&lt;&gt;0,M84&lt;&gt;"m",M84&lt;&gt;"",RIGHT(K84,2)="TL"),0.75,0)))</f>
        <v>0</v>
      </c>
      <c r="P84" s="6"/>
      <c r="Q84" s="69"/>
      <c r="R84" s="89"/>
      <c r="S84" s="69"/>
      <c r="T84" s="69"/>
      <c r="U84" s="63"/>
      <c r="V84" s="63"/>
      <c r="W84" s="89"/>
      <c r="X84" s="68"/>
      <c r="Y84" s="69"/>
      <c r="Z84" s="63"/>
      <c r="AA84" s="189"/>
      <c r="AB84" s="190"/>
      <c r="AC84" s="190"/>
      <c r="AD84" s="190"/>
      <c r="AE84" s="190"/>
      <c r="AF84" s="190"/>
      <c r="AG84" s="190"/>
      <c r="AH84" s="190"/>
      <c r="AI84" s="191"/>
      <c r="AJ84" s="192"/>
      <c r="AK84" s="193"/>
      <c r="AL84" s="193"/>
      <c r="AM84" s="193"/>
      <c r="AN84" s="193"/>
      <c r="AO84" s="194"/>
      <c r="AP84" s="103"/>
      <c r="AQ84" s="89"/>
      <c r="AR84" s="89"/>
      <c r="AS84" s="89"/>
      <c r="AT84" s="69"/>
      <c r="AU84" s="192"/>
      <c r="AV84" s="193"/>
      <c r="AW84" s="193"/>
      <c r="AX84" s="194"/>
      <c r="AY84" s="6"/>
      <c r="AZ84" s="63"/>
      <c r="BA84" s="192"/>
      <c r="BB84" s="193"/>
      <c r="BC84" s="193"/>
      <c r="BD84" s="193"/>
      <c r="BE84" s="193"/>
      <c r="BF84" s="193"/>
      <c r="BG84" s="193"/>
      <c r="BH84" s="193"/>
      <c r="BI84" s="194"/>
      <c r="BJ84" s="195"/>
      <c r="BK84" s="193"/>
      <c r="BL84" s="193"/>
      <c r="BM84" s="193"/>
      <c r="BN84" s="193"/>
      <c r="BO84" s="196"/>
      <c r="BP84" s="63"/>
      <c r="BQ84" s="192"/>
      <c r="BR84" s="193"/>
      <c r="BS84" s="194"/>
      <c r="BT84" s="6"/>
      <c r="BU84" s="63"/>
      <c r="BV84" s="63"/>
      <c r="BW84" s="63"/>
      <c r="BX84" s="63"/>
      <c r="BY84" s="63"/>
      <c r="BZ84" s="63"/>
      <c r="CA84" s="63"/>
      <c r="CB84" s="63"/>
      <c r="CC84" s="63"/>
      <c r="CD84" s="192"/>
      <c r="CE84" s="196"/>
      <c r="CF84" s="192"/>
      <c r="CG84" s="194"/>
      <c r="CH84" s="259"/>
      <c r="CI84" s="197"/>
      <c r="CJ84" s="192"/>
      <c r="CK84" s="197"/>
      <c r="CL84" s="192"/>
      <c r="CM84" s="197"/>
      <c r="CN84" s="192"/>
      <c r="CO84" s="197"/>
      <c r="CP84" s="192"/>
      <c r="CQ84" s="193"/>
      <c r="CR84" s="197"/>
      <c r="CS84" s="69"/>
      <c r="CT84" s="89"/>
      <c r="CU84" s="255" t="str">
        <f t="shared" si="2"/>
        <v>SDP</v>
      </c>
    </row>
    <row r="85" ht="55.5" customHeight="1">
      <c r="A85" s="125">
        <v>8.0</v>
      </c>
      <c r="B85" s="199" t="s">
        <v>174</v>
      </c>
      <c r="C85" s="127">
        <v>1.0</v>
      </c>
      <c r="D85" s="168" t="s">
        <v>175</v>
      </c>
      <c r="E85" s="129"/>
      <c r="F85" s="130"/>
      <c r="G85" s="130"/>
      <c r="H85" s="130"/>
      <c r="I85" s="201"/>
      <c r="J85" s="130"/>
      <c r="K85" s="131"/>
      <c r="L85" s="131"/>
      <c r="M85" s="131"/>
      <c r="N85" s="275"/>
      <c r="O85" s="250">
        <f t="shared" si="16"/>
        <v>0</v>
      </c>
      <c r="P85" s="251">
        <f>COUNTIF(K85:K95,"TL")*0.75+COUNTIF(K85:K95,"Lec")*1+COUNTIF(K85:K95,"Lab")*0.5</f>
        <v>0</v>
      </c>
      <c r="Q85" s="134">
        <f>SUM((IF(LEFT(K85,1)="E",O85,0)),(IF(LEFT(K86,1)="E",O86,0)),(IF(LEFT(K87,1)="E",O87,0)),(IF(LEFT(K88,1)="E",O88,0)),(IF(LEFT(K89,1)="E",O89,0)),(IF(LEFT(K90,1)="E",O90,0)),(IF(LEFT(K91,1)="E",O91,0)),(IF(LEFT(K92,1)="E",O92,0)),(IF(LEFT(K93,1)="E",O93,0)),(IF(LEFT(K94,1)="E",O94,0)),(IF(LEFT(K95,1)="E",O95,0)))</f>
        <v>0</v>
      </c>
      <c r="R85" s="135">
        <f>SUM(IF(M91&lt;20,IF(K91="Plec",-1,IF(K91="PTL",-0.75,IF(K91="Plab",-0.5,0))),0),IF(M92&lt;20,IF(K92="Plec",-1,IF(K92="PTL",-0.75,IF(K92="Plab",-0.5,0))),0),IF(M93&lt;20,IF(K93="Plec",-1,IF(K93="PTL",-0.75,IF(K93="Plab",-0.5,0))),0),IF(M94&lt;20,IF(K94="Plec",-1,IF(K94="PTL",-0.75,IF(K94="Plab",-0.5,0))),0))</f>
        <v>0</v>
      </c>
      <c r="S85" s="134">
        <f>SUM(P85:R95)</f>
        <v>0</v>
      </c>
      <c r="T85" s="136">
        <f>SUM(IF(M85="M",IF(OR(K85="lec",K85="plec",K85="slec"),1,IF(OR(K85="lab",K85="plab",K85="slab",K85="tut",K85="ptut",K85="stut"),0.5,IF(OR(K85="TL",K85="pTL",K85="STL"),0.75,0))),0),IF(M86="M",IF(OR(K86="lec",K86="plec",K86="slec"),1,IF(OR(K86="lab",K86="plab",K86="slab",K86="tut",K86="ptut",K86="stut"),0.5,IF(OR(K86="TL",K86="pTL",K86="STL"),0.75,0))),0),IF(M87="M",IF(OR(K87="lec",K87="plec",K87="slec"),1,IF(OR(K87="lab",K87="plab",K87="slab",K87="tut",K87="ptut",K87="stut"),0.5,IF(OR(K87="TL",K87="pTL",K87="STL"),0.75,0))),0),IF(M88="M",IF(OR(K88="lec",K88="plec",K88="slec"),1,IF(OR(K88="lab",K88="plab",K88="slab",K88="tut",K88="ptut",K88="stut"),0.5,IF(OR(K88="TL",K88="pTL",K88="STL"),0.75,0))),0),IF(M89="M",IF(OR(K89="lec",K89="plec",K89="slec"),1,IF(OR(K89="lab",K89="plab",K89="slab",K89="tut",K89="ptut",K89="stut"),0.5,IF(OR(K89="TL",K89="pTL",K89="STL"),0.75,0))),0),IF(M90="M",IF(OR(K90="lec",K90="plec",K90="slec"),1,IF(OR(K90="lab",K90="plab",K90="slab",K90="tut",K90="ptut",K90="stut"),0.5,IF(OR(K90="TL",K90="pTL",K90="STL"),0.75,0))),0),IF(M91="M",IF(OR(K91="lec",K91="plec",K91="slec"),1,IF(OR(K91="lab",K91="plab",K91="slab",K91="tut",K91="ptut",K91="stut"),0.5,IF(OR(K91="TL",K91="pTL",K91="STL"),0.75,0))),0),IF(M92="M",IF(OR(K92="lec",K92="plec",K92="slec"),1,IF(OR(K92="lab",K92="plab",K92="slab",K92="tut",K92="ptut",K92="stut"),0.5,IF(OR(K92="TL",K92="pTL",K92="STL"),0.75,0))),0),IF(M93="M",IF(OR(K93="lec",K93="plec",K93="slec"),1,IF(OR(K93="lab",K93="plab",K93="slab",K93="tut",K93="ptut",K93="stut"),0.5,IF(OR(K93="TL",K93="pTL",K93="STL"),0.75,0))),0),IF(M94="M",IF(OR(K94="lec",K94="plec",K94="slec"),1,IF(OR(K94="lab",K94="plab",K94="slab",K94="tut",K94="ptut",K94="stut"),0.5,IF(OR(K94="TL",K94="pTL",K94="STL"),0.75,0))),0),IF(M95="M",IF(OR(K95="lec",K95="plec",K95="slec"),1,IF(OR(K95="lab",K95="plab",K95="slab",K95="tut",K95="ptut",K95="stut"),0.5,IF(OR(K95="TL",K95="pTL",K95="STL"),0.75,0))),0))</f>
        <v>0</v>
      </c>
      <c r="U85" s="137"/>
      <c r="V85" s="133"/>
      <c r="W85" s="138"/>
      <c r="X85" s="139">
        <f>S85-(T85+U85+V85+W85)</f>
        <v>0</v>
      </c>
      <c r="Y85" s="134" t="str">
        <f>CONCATENATE(SUM(O85:O95),"(",SUM(O85:O95)-X85,")")</f>
        <v>0(0)</v>
      </c>
      <c r="Z85" s="140"/>
      <c r="AA85" s="141"/>
      <c r="AB85" s="142"/>
      <c r="AC85" s="142"/>
      <c r="AD85" s="142"/>
      <c r="AE85" s="142"/>
      <c r="AF85" s="142"/>
      <c r="AG85" s="142"/>
      <c r="AH85" s="142"/>
      <c r="AI85" s="143"/>
      <c r="AJ85" s="144"/>
      <c r="AK85" s="145"/>
      <c r="AL85" s="145"/>
      <c r="AM85" s="145"/>
      <c r="AN85" s="145"/>
      <c r="AO85" s="146"/>
      <c r="AP85" s="147">
        <f>SUM(SUM(O85:O95),SUM(AI85:AI95)/2,AM85)</f>
        <v>0</v>
      </c>
      <c r="AQ85" s="148"/>
      <c r="AR85" s="148">
        <f>AP85*AQ85</f>
        <v>0</v>
      </c>
      <c r="AS85" s="148">
        <f>CT85</f>
        <v>0</v>
      </c>
      <c r="AT85" s="149">
        <f>AR85*0.75+AS85*0.25</f>
        <v>0</v>
      </c>
      <c r="AU85" s="150"/>
      <c r="AV85" s="151"/>
      <c r="AW85" s="151"/>
      <c r="AX85" s="152"/>
      <c r="AY85" s="153"/>
      <c r="AZ85" s="140"/>
      <c r="BA85" s="150"/>
      <c r="BB85" s="151"/>
      <c r="BC85" s="151"/>
      <c r="BD85" s="151"/>
      <c r="BE85" s="151"/>
      <c r="BF85" s="151"/>
      <c r="BG85" s="151"/>
      <c r="BH85" s="151"/>
      <c r="BI85" s="152"/>
      <c r="BJ85" s="154"/>
      <c r="BK85" s="151"/>
      <c r="BL85" s="151"/>
      <c r="BM85" s="151"/>
      <c r="BN85" s="151"/>
      <c r="BO85" s="155"/>
      <c r="BP85" s="140"/>
      <c r="BQ85" s="156"/>
      <c r="BR85" s="157"/>
      <c r="BS85" s="158"/>
      <c r="BT85" s="153"/>
      <c r="BU85" s="140"/>
      <c r="BV85" s="140"/>
      <c r="BW85" s="140"/>
      <c r="BX85" s="140"/>
      <c r="BY85" s="140"/>
      <c r="BZ85" s="140"/>
      <c r="CA85" s="140"/>
      <c r="CB85" s="140"/>
      <c r="CC85" s="140"/>
      <c r="CD85" s="150"/>
      <c r="CE85" s="155"/>
      <c r="CF85" s="150"/>
      <c r="CG85" s="152"/>
      <c r="CH85" s="252"/>
      <c r="CI85" s="160"/>
      <c r="CJ85" s="159"/>
      <c r="CK85" s="160"/>
      <c r="CL85" s="159"/>
      <c r="CM85" s="160"/>
      <c r="CN85" s="159"/>
      <c r="CO85" s="160"/>
      <c r="CP85" s="159"/>
      <c r="CQ85" s="162"/>
      <c r="CR85" s="160"/>
      <c r="CS85" s="253">
        <f>SUM(IF(AU85&lt;0,ABS(AU85),0),IF(AZ85&lt;0,ABS(AZ85),0),ABS(CI85),ABS(CK85),ABS(CM85),ABS(CO85),ABS(CQ85),ABS(CR85))</f>
        <v>0</v>
      </c>
      <c r="CT85" s="254">
        <f>SUM(AU85,AV85,AW85,AX85/400,AY85,AZ85,BG85,BH85*0.5,BI85*0.25,BJ85,BK85,BL85,BM85,BN85,BO85,BP85,BR85/20,BS85/100,BT85/60,BU85,BV85,BW85,BX85/4,SUM(BY85:CC95)/3,CE85,CG85/3,CI85,CK85,CM85,CO85,CQ85,CR85)</f>
        <v>0</v>
      </c>
      <c r="CU85" s="255" t="str">
        <f t="shared" si="2"/>
        <v>SHP</v>
      </c>
    </row>
    <row r="86" ht="60.0" customHeight="1">
      <c r="A86" s="65"/>
      <c r="C86" s="167">
        <v>2.0</v>
      </c>
      <c r="D86" s="168" t="s">
        <v>175</v>
      </c>
      <c r="E86" s="169"/>
      <c r="F86" s="170"/>
      <c r="G86" s="170"/>
      <c r="H86" s="170"/>
      <c r="I86" s="207"/>
      <c r="J86" s="170"/>
      <c r="K86" s="171"/>
      <c r="L86" s="171"/>
      <c r="M86" s="171"/>
      <c r="N86" s="276"/>
      <c r="O86" s="256">
        <f t="shared" si="16"/>
        <v>0</v>
      </c>
      <c r="Q86" s="173"/>
      <c r="R86" s="65"/>
      <c r="S86" s="173"/>
      <c r="T86" s="173"/>
      <c r="U86" s="166"/>
      <c r="V86" s="166"/>
      <c r="W86" s="65"/>
      <c r="X86" s="66"/>
      <c r="Y86" s="173"/>
      <c r="Z86" s="166"/>
      <c r="AA86" s="174"/>
      <c r="AB86" s="175"/>
      <c r="AC86" s="175"/>
      <c r="AD86" s="175"/>
      <c r="AE86" s="175"/>
      <c r="AF86" s="175"/>
      <c r="AG86" s="175"/>
      <c r="AH86" s="175"/>
      <c r="AI86" s="176"/>
      <c r="AJ86" s="177"/>
      <c r="AK86" s="178"/>
      <c r="AL86" s="178"/>
      <c r="AM86" s="178"/>
      <c r="AN86" s="178"/>
      <c r="AO86" s="179"/>
      <c r="AP86" s="64"/>
      <c r="AQ86" s="65"/>
      <c r="AR86" s="65"/>
      <c r="AS86" s="65"/>
      <c r="AT86" s="173"/>
      <c r="AU86" s="177"/>
      <c r="AV86" s="178"/>
      <c r="AW86" s="178"/>
      <c r="AX86" s="179"/>
      <c r="AZ86" s="166"/>
      <c r="BA86" s="177"/>
      <c r="BB86" s="178"/>
      <c r="BC86" s="178"/>
      <c r="BD86" s="178"/>
      <c r="BE86" s="178"/>
      <c r="BF86" s="178"/>
      <c r="BG86" s="178"/>
      <c r="BH86" s="178"/>
      <c r="BI86" s="179"/>
      <c r="BJ86" s="180"/>
      <c r="BK86" s="178"/>
      <c r="BL86" s="178"/>
      <c r="BM86" s="178"/>
      <c r="BN86" s="178"/>
      <c r="BO86" s="181"/>
      <c r="BP86" s="166"/>
      <c r="BQ86" s="177"/>
      <c r="BR86" s="178"/>
      <c r="BS86" s="179"/>
      <c r="BU86" s="166"/>
      <c r="BV86" s="166"/>
      <c r="BW86" s="166"/>
      <c r="BX86" s="166"/>
      <c r="BY86" s="166"/>
      <c r="BZ86" s="166"/>
      <c r="CA86" s="166"/>
      <c r="CB86" s="166"/>
      <c r="CC86" s="166"/>
      <c r="CD86" s="177"/>
      <c r="CE86" s="181"/>
      <c r="CF86" s="177"/>
      <c r="CG86" s="179"/>
      <c r="CH86" s="257"/>
      <c r="CI86" s="182"/>
      <c r="CJ86" s="177"/>
      <c r="CK86" s="182"/>
      <c r="CL86" s="177"/>
      <c r="CM86" s="182"/>
      <c r="CN86" s="177"/>
      <c r="CO86" s="182"/>
      <c r="CP86" s="177"/>
      <c r="CQ86" s="178"/>
      <c r="CR86" s="182"/>
      <c r="CS86" s="173"/>
      <c r="CT86" s="65"/>
      <c r="CU86" s="255" t="str">
        <f t="shared" si="2"/>
        <v>SHP</v>
      </c>
    </row>
    <row r="87" ht="60.0" customHeight="1">
      <c r="A87" s="65"/>
      <c r="C87" s="167">
        <v>3.0</v>
      </c>
      <c r="D87" s="168" t="s">
        <v>175</v>
      </c>
      <c r="E87" s="169"/>
      <c r="F87" s="170"/>
      <c r="G87" s="170"/>
      <c r="H87" s="170"/>
      <c r="I87" s="207"/>
      <c r="J87" s="170"/>
      <c r="K87" s="171"/>
      <c r="L87" s="171"/>
      <c r="M87" s="171"/>
      <c r="N87" s="276"/>
      <c r="O87" s="256">
        <f t="shared" si="16"/>
        <v>0</v>
      </c>
      <c r="Q87" s="173"/>
      <c r="R87" s="65"/>
      <c r="S87" s="173"/>
      <c r="T87" s="173"/>
      <c r="U87" s="166"/>
      <c r="V87" s="166"/>
      <c r="W87" s="65"/>
      <c r="X87" s="66"/>
      <c r="Y87" s="173"/>
      <c r="Z87" s="166"/>
      <c r="AA87" s="174"/>
      <c r="AB87" s="175"/>
      <c r="AC87" s="175"/>
      <c r="AD87" s="175"/>
      <c r="AE87" s="175"/>
      <c r="AF87" s="175"/>
      <c r="AG87" s="175"/>
      <c r="AH87" s="175"/>
      <c r="AI87" s="176"/>
      <c r="AJ87" s="177"/>
      <c r="AK87" s="178"/>
      <c r="AL87" s="178"/>
      <c r="AM87" s="178"/>
      <c r="AN87" s="178"/>
      <c r="AO87" s="179"/>
      <c r="AP87" s="64"/>
      <c r="AQ87" s="65"/>
      <c r="AR87" s="65"/>
      <c r="AS87" s="65"/>
      <c r="AT87" s="173"/>
      <c r="AU87" s="177"/>
      <c r="AV87" s="178"/>
      <c r="AW87" s="178"/>
      <c r="AX87" s="179"/>
      <c r="AZ87" s="166"/>
      <c r="BA87" s="177"/>
      <c r="BB87" s="178"/>
      <c r="BC87" s="178"/>
      <c r="BD87" s="178"/>
      <c r="BE87" s="178"/>
      <c r="BF87" s="178"/>
      <c r="BG87" s="178"/>
      <c r="BH87" s="178"/>
      <c r="BI87" s="179"/>
      <c r="BJ87" s="180"/>
      <c r="BK87" s="178"/>
      <c r="BL87" s="178"/>
      <c r="BM87" s="178"/>
      <c r="BN87" s="178"/>
      <c r="BO87" s="181"/>
      <c r="BP87" s="166"/>
      <c r="BQ87" s="177"/>
      <c r="BR87" s="178"/>
      <c r="BS87" s="179"/>
      <c r="BU87" s="166"/>
      <c r="BV87" s="166"/>
      <c r="BW87" s="166"/>
      <c r="BX87" s="166"/>
      <c r="BY87" s="166"/>
      <c r="BZ87" s="166"/>
      <c r="CA87" s="166"/>
      <c r="CB87" s="166"/>
      <c r="CC87" s="166"/>
      <c r="CD87" s="177"/>
      <c r="CE87" s="181"/>
      <c r="CF87" s="177"/>
      <c r="CG87" s="179"/>
      <c r="CH87" s="257"/>
      <c r="CI87" s="182"/>
      <c r="CJ87" s="177"/>
      <c r="CK87" s="182"/>
      <c r="CL87" s="177"/>
      <c r="CM87" s="182"/>
      <c r="CN87" s="177"/>
      <c r="CO87" s="182"/>
      <c r="CP87" s="177"/>
      <c r="CQ87" s="178"/>
      <c r="CR87" s="182"/>
      <c r="CS87" s="173"/>
      <c r="CT87" s="65"/>
      <c r="CU87" s="255" t="str">
        <f t="shared" si="2"/>
        <v>SHP</v>
      </c>
    </row>
    <row r="88" ht="60.0" customHeight="1">
      <c r="A88" s="65"/>
      <c r="C88" s="167">
        <v>4.0</v>
      </c>
      <c r="D88" s="168" t="s">
        <v>175</v>
      </c>
      <c r="E88" s="169"/>
      <c r="F88" s="170"/>
      <c r="G88" s="170"/>
      <c r="H88" s="170"/>
      <c r="I88" s="207"/>
      <c r="J88" s="170"/>
      <c r="K88" s="171"/>
      <c r="L88" s="171"/>
      <c r="M88" s="171"/>
      <c r="N88" s="276"/>
      <c r="O88" s="256">
        <f t="shared" si="16"/>
        <v>0</v>
      </c>
      <c r="Q88" s="173"/>
      <c r="R88" s="65"/>
      <c r="S88" s="173"/>
      <c r="T88" s="173"/>
      <c r="U88" s="166"/>
      <c r="V88" s="166"/>
      <c r="W88" s="65"/>
      <c r="X88" s="66"/>
      <c r="Y88" s="173"/>
      <c r="Z88" s="166"/>
      <c r="AA88" s="174"/>
      <c r="AB88" s="175"/>
      <c r="AC88" s="175"/>
      <c r="AD88" s="175"/>
      <c r="AE88" s="175"/>
      <c r="AF88" s="175"/>
      <c r="AG88" s="175"/>
      <c r="AH88" s="175"/>
      <c r="AI88" s="176"/>
      <c r="AJ88" s="177"/>
      <c r="AK88" s="178"/>
      <c r="AL88" s="178"/>
      <c r="AM88" s="178"/>
      <c r="AN88" s="178"/>
      <c r="AO88" s="179"/>
      <c r="AP88" s="64"/>
      <c r="AQ88" s="65"/>
      <c r="AR88" s="65"/>
      <c r="AS88" s="65"/>
      <c r="AT88" s="173"/>
      <c r="AU88" s="177"/>
      <c r="AV88" s="178"/>
      <c r="AW88" s="178"/>
      <c r="AX88" s="179"/>
      <c r="AZ88" s="166"/>
      <c r="BA88" s="177"/>
      <c r="BB88" s="178"/>
      <c r="BC88" s="178"/>
      <c r="BD88" s="178"/>
      <c r="BE88" s="178"/>
      <c r="BF88" s="178"/>
      <c r="BG88" s="178"/>
      <c r="BH88" s="178"/>
      <c r="BI88" s="179"/>
      <c r="BJ88" s="180"/>
      <c r="BK88" s="178"/>
      <c r="BL88" s="178"/>
      <c r="BM88" s="178"/>
      <c r="BN88" s="178"/>
      <c r="BO88" s="181"/>
      <c r="BP88" s="166"/>
      <c r="BQ88" s="177"/>
      <c r="BR88" s="178"/>
      <c r="BS88" s="179"/>
      <c r="BU88" s="166"/>
      <c r="BV88" s="166"/>
      <c r="BW88" s="166"/>
      <c r="BX88" s="166"/>
      <c r="BY88" s="166"/>
      <c r="BZ88" s="166"/>
      <c r="CA88" s="166"/>
      <c r="CB88" s="166"/>
      <c r="CC88" s="166"/>
      <c r="CD88" s="177"/>
      <c r="CE88" s="181"/>
      <c r="CF88" s="177"/>
      <c r="CG88" s="179"/>
      <c r="CH88" s="257"/>
      <c r="CI88" s="182"/>
      <c r="CJ88" s="177"/>
      <c r="CK88" s="182"/>
      <c r="CL88" s="177"/>
      <c r="CM88" s="182"/>
      <c r="CN88" s="177"/>
      <c r="CO88" s="182"/>
      <c r="CP88" s="177"/>
      <c r="CQ88" s="178"/>
      <c r="CR88" s="182"/>
      <c r="CS88" s="173"/>
      <c r="CT88" s="65"/>
      <c r="CU88" s="255" t="str">
        <f t="shared" si="2"/>
        <v>SHP</v>
      </c>
    </row>
    <row r="89" ht="60.0" customHeight="1">
      <c r="A89" s="65"/>
      <c r="C89" s="167">
        <v>5.0</v>
      </c>
      <c r="D89" s="168" t="s">
        <v>175</v>
      </c>
      <c r="E89" s="169"/>
      <c r="F89" s="170"/>
      <c r="G89" s="170"/>
      <c r="H89" s="170"/>
      <c r="I89" s="207"/>
      <c r="J89" s="170"/>
      <c r="K89" s="171"/>
      <c r="L89" s="171"/>
      <c r="M89" s="171"/>
      <c r="N89" s="276"/>
      <c r="O89" s="256">
        <f t="shared" si="16"/>
        <v>0</v>
      </c>
      <c r="Q89" s="173"/>
      <c r="R89" s="65"/>
      <c r="S89" s="173"/>
      <c r="T89" s="173"/>
      <c r="U89" s="166"/>
      <c r="V89" s="166"/>
      <c r="W89" s="65"/>
      <c r="X89" s="66"/>
      <c r="Y89" s="173"/>
      <c r="Z89" s="166"/>
      <c r="AA89" s="174"/>
      <c r="AB89" s="175"/>
      <c r="AC89" s="175"/>
      <c r="AD89" s="175"/>
      <c r="AE89" s="175"/>
      <c r="AF89" s="175"/>
      <c r="AG89" s="175"/>
      <c r="AH89" s="175"/>
      <c r="AI89" s="176"/>
      <c r="AJ89" s="177"/>
      <c r="AK89" s="178"/>
      <c r="AL89" s="178"/>
      <c r="AM89" s="178"/>
      <c r="AN89" s="178"/>
      <c r="AO89" s="179"/>
      <c r="AP89" s="64"/>
      <c r="AQ89" s="65"/>
      <c r="AR89" s="65"/>
      <c r="AS89" s="65"/>
      <c r="AT89" s="173"/>
      <c r="AU89" s="177"/>
      <c r="AV89" s="178"/>
      <c r="AW89" s="178"/>
      <c r="AX89" s="179"/>
      <c r="AZ89" s="166"/>
      <c r="BA89" s="177"/>
      <c r="BB89" s="178"/>
      <c r="BC89" s="178"/>
      <c r="BD89" s="178"/>
      <c r="BE89" s="178"/>
      <c r="BF89" s="178"/>
      <c r="BG89" s="178"/>
      <c r="BH89" s="178"/>
      <c r="BI89" s="179"/>
      <c r="BJ89" s="180"/>
      <c r="BK89" s="178"/>
      <c r="BL89" s="178"/>
      <c r="BM89" s="178"/>
      <c r="BN89" s="178"/>
      <c r="BO89" s="181"/>
      <c r="BP89" s="166"/>
      <c r="BQ89" s="177"/>
      <c r="BR89" s="178"/>
      <c r="BS89" s="179"/>
      <c r="BU89" s="166"/>
      <c r="BV89" s="166"/>
      <c r="BW89" s="166"/>
      <c r="BX89" s="166"/>
      <c r="BY89" s="166"/>
      <c r="BZ89" s="166"/>
      <c r="CA89" s="166"/>
      <c r="CB89" s="166"/>
      <c r="CC89" s="166"/>
      <c r="CD89" s="177"/>
      <c r="CE89" s="181"/>
      <c r="CF89" s="177"/>
      <c r="CG89" s="179"/>
      <c r="CH89" s="257"/>
      <c r="CI89" s="182"/>
      <c r="CJ89" s="177"/>
      <c r="CK89" s="182"/>
      <c r="CL89" s="177"/>
      <c r="CM89" s="182"/>
      <c r="CN89" s="177"/>
      <c r="CO89" s="182"/>
      <c r="CP89" s="177"/>
      <c r="CQ89" s="178"/>
      <c r="CR89" s="182"/>
      <c r="CS89" s="173"/>
      <c r="CT89" s="65"/>
      <c r="CU89" s="255" t="str">
        <f t="shared" si="2"/>
        <v>SHP</v>
      </c>
    </row>
    <row r="90" ht="60.0" customHeight="1">
      <c r="A90" s="65"/>
      <c r="C90" s="167">
        <v>6.0</v>
      </c>
      <c r="D90" s="168" t="s">
        <v>175</v>
      </c>
      <c r="E90" s="169"/>
      <c r="F90" s="170"/>
      <c r="G90" s="170"/>
      <c r="H90" s="170"/>
      <c r="I90" s="207"/>
      <c r="J90" s="170"/>
      <c r="K90" s="171"/>
      <c r="L90" s="171"/>
      <c r="M90" s="171"/>
      <c r="N90" s="276"/>
      <c r="O90" s="256">
        <f t="shared" si="16"/>
        <v>0</v>
      </c>
      <c r="Q90" s="173"/>
      <c r="R90" s="65"/>
      <c r="S90" s="173"/>
      <c r="T90" s="173"/>
      <c r="U90" s="166"/>
      <c r="V90" s="166"/>
      <c r="W90" s="65"/>
      <c r="X90" s="66"/>
      <c r="Y90" s="173"/>
      <c r="Z90" s="166"/>
      <c r="AA90" s="174"/>
      <c r="AB90" s="175"/>
      <c r="AC90" s="175"/>
      <c r="AD90" s="175"/>
      <c r="AE90" s="175"/>
      <c r="AF90" s="175"/>
      <c r="AG90" s="175"/>
      <c r="AH90" s="175"/>
      <c r="AI90" s="176"/>
      <c r="AJ90" s="177"/>
      <c r="AK90" s="178"/>
      <c r="AL90" s="178"/>
      <c r="AM90" s="178"/>
      <c r="AN90" s="178"/>
      <c r="AO90" s="179"/>
      <c r="AP90" s="64"/>
      <c r="AQ90" s="65"/>
      <c r="AR90" s="65"/>
      <c r="AS90" s="65"/>
      <c r="AT90" s="173"/>
      <c r="AU90" s="177"/>
      <c r="AV90" s="178"/>
      <c r="AW90" s="178"/>
      <c r="AX90" s="179"/>
      <c r="AZ90" s="166"/>
      <c r="BA90" s="177"/>
      <c r="BB90" s="178"/>
      <c r="BC90" s="178"/>
      <c r="BD90" s="178"/>
      <c r="BE90" s="178"/>
      <c r="BF90" s="178"/>
      <c r="BG90" s="178"/>
      <c r="BH90" s="178"/>
      <c r="BI90" s="179"/>
      <c r="BJ90" s="180"/>
      <c r="BK90" s="178"/>
      <c r="BL90" s="178"/>
      <c r="BM90" s="178"/>
      <c r="BN90" s="178"/>
      <c r="BO90" s="181"/>
      <c r="BP90" s="166"/>
      <c r="BQ90" s="177"/>
      <c r="BR90" s="178"/>
      <c r="BS90" s="179"/>
      <c r="BU90" s="166"/>
      <c r="BV90" s="166"/>
      <c r="BW90" s="166"/>
      <c r="BX90" s="166"/>
      <c r="BY90" s="166"/>
      <c r="BZ90" s="166"/>
      <c r="CA90" s="166"/>
      <c r="CB90" s="166"/>
      <c r="CC90" s="166"/>
      <c r="CD90" s="177"/>
      <c r="CE90" s="181"/>
      <c r="CF90" s="177"/>
      <c r="CG90" s="179"/>
      <c r="CH90" s="257"/>
      <c r="CI90" s="182"/>
      <c r="CJ90" s="177"/>
      <c r="CK90" s="182"/>
      <c r="CL90" s="177"/>
      <c r="CM90" s="182"/>
      <c r="CN90" s="177"/>
      <c r="CO90" s="182"/>
      <c r="CP90" s="177"/>
      <c r="CQ90" s="178"/>
      <c r="CR90" s="182"/>
      <c r="CS90" s="173"/>
      <c r="CT90" s="65"/>
      <c r="CU90" s="255" t="str">
        <f t="shared" si="2"/>
        <v>SHP</v>
      </c>
    </row>
    <row r="91" ht="60.0" customHeight="1">
      <c r="A91" s="65"/>
      <c r="C91" s="167">
        <v>7.0</v>
      </c>
      <c r="D91" s="168" t="s">
        <v>175</v>
      </c>
      <c r="E91" s="169"/>
      <c r="F91" s="170"/>
      <c r="G91" s="170"/>
      <c r="H91" s="170"/>
      <c r="I91" s="207"/>
      <c r="J91" s="170"/>
      <c r="K91" s="171"/>
      <c r="L91" s="171"/>
      <c r="M91" s="171"/>
      <c r="N91" s="276"/>
      <c r="O91" s="256">
        <f t="shared" ref="O91:O94" si="17">IF(AND(M91&gt;=20,M91&lt;&gt;"m",RIGHT(K91,3)="Lec"),1,IF(AND(M91&gt;=20,M91&lt;&gt;"m",OR(RIGHT(K91,3)="Lab",RIGHT(K91,3)="Tut")),0.5,IF(AND(M91&gt;=20,M91&lt;&gt;"m",RIGHT(K91,2)="TL"),0.75,0)))</f>
        <v>0</v>
      </c>
      <c r="Q91" s="173"/>
      <c r="R91" s="65"/>
      <c r="S91" s="173"/>
      <c r="T91" s="173"/>
      <c r="U91" s="166"/>
      <c r="V91" s="166"/>
      <c r="W91" s="65"/>
      <c r="X91" s="66"/>
      <c r="Y91" s="173"/>
      <c r="Z91" s="166"/>
      <c r="AA91" s="174"/>
      <c r="AB91" s="175"/>
      <c r="AC91" s="175"/>
      <c r="AD91" s="175"/>
      <c r="AE91" s="175"/>
      <c r="AF91" s="175"/>
      <c r="AG91" s="175"/>
      <c r="AH91" s="175"/>
      <c r="AI91" s="176"/>
      <c r="AJ91" s="177"/>
      <c r="AK91" s="178"/>
      <c r="AL91" s="178"/>
      <c r="AM91" s="178"/>
      <c r="AN91" s="178"/>
      <c r="AO91" s="179"/>
      <c r="AP91" s="64"/>
      <c r="AQ91" s="65"/>
      <c r="AR91" s="65"/>
      <c r="AS91" s="65"/>
      <c r="AT91" s="173"/>
      <c r="AU91" s="177"/>
      <c r="AV91" s="178"/>
      <c r="AW91" s="178"/>
      <c r="AX91" s="179"/>
      <c r="AZ91" s="166"/>
      <c r="BA91" s="177"/>
      <c r="BB91" s="178"/>
      <c r="BC91" s="178"/>
      <c r="BD91" s="178"/>
      <c r="BE91" s="178"/>
      <c r="BF91" s="178"/>
      <c r="BG91" s="178"/>
      <c r="BH91" s="178"/>
      <c r="BI91" s="179"/>
      <c r="BJ91" s="180"/>
      <c r="BK91" s="178"/>
      <c r="BL91" s="178"/>
      <c r="BM91" s="178"/>
      <c r="BN91" s="178"/>
      <c r="BO91" s="181"/>
      <c r="BP91" s="166"/>
      <c r="BQ91" s="177"/>
      <c r="BR91" s="178"/>
      <c r="BS91" s="179"/>
      <c r="BU91" s="166"/>
      <c r="BV91" s="166"/>
      <c r="BW91" s="166"/>
      <c r="BX91" s="166"/>
      <c r="BY91" s="166"/>
      <c r="BZ91" s="166"/>
      <c r="CA91" s="166"/>
      <c r="CB91" s="166"/>
      <c r="CC91" s="166"/>
      <c r="CD91" s="177"/>
      <c r="CE91" s="181"/>
      <c r="CF91" s="177"/>
      <c r="CG91" s="179"/>
      <c r="CH91" s="257"/>
      <c r="CI91" s="182"/>
      <c r="CJ91" s="177"/>
      <c r="CK91" s="182"/>
      <c r="CL91" s="177"/>
      <c r="CM91" s="182"/>
      <c r="CN91" s="177"/>
      <c r="CO91" s="182"/>
      <c r="CP91" s="177"/>
      <c r="CQ91" s="178"/>
      <c r="CR91" s="182"/>
      <c r="CS91" s="173"/>
      <c r="CT91" s="65"/>
      <c r="CU91" s="255" t="str">
        <f t="shared" si="2"/>
        <v>SHP</v>
      </c>
    </row>
    <row r="92" ht="60.0" customHeight="1">
      <c r="A92" s="65"/>
      <c r="C92" s="167">
        <v>8.0</v>
      </c>
      <c r="D92" s="168" t="s">
        <v>175</v>
      </c>
      <c r="E92" s="169"/>
      <c r="F92" s="170"/>
      <c r="G92" s="170"/>
      <c r="H92" s="170"/>
      <c r="I92" s="207"/>
      <c r="J92" s="170"/>
      <c r="K92" s="171"/>
      <c r="L92" s="171"/>
      <c r="M92" s="171"/>
      <c r="N92" s="276"/>
      <c r="O92" s="256">
        <f t="shared" si="17"/>
        <v>0</v>
      </c>
      <c r="Q92" s="173"/>
      <c r="R92" s="65"/>
      <c r="S92" s="173"/>
      <c r="T92" s="173"/>
      <c r="U92" s="166"/>
      <c r="V92" s="166"/>
      <c r="W92" s="65"/>
      <c r="X92" s="66"/>
      <c r="Y92" s="173"/>
      <c r="Z92" s="166"/>
      <c r="AA92" s="174"/>
      <c r="AB92" s="175"/>
      <c r="AC92" s="175"/>
      <c r="AD92" s="175"/>
      <c r="AE92" s="175"/>
      <c r="AF92" s="175"/>
      <c r="AG92" s="175"/>
      <c r="AH92" s="175"/>
      <c r="AI92" s="176"/>
      <c r="AJ92" s="177"/>
      <c r="AK92" s="178"/>
      <c r="AL92" s="178"/>
      <c r="AM92" s="178"/>
      <c r="AN92" s="178"/>
      <c r="AO92" s="179"/>
      <c r="AP92" s="64"/>
      <c r="AQ92" s="65"/>
      <c r="AR92" s="65"/>
      <c r="AS92" s="65"/>
      <c r="AT92" s="173"/>
      <c r="AU92" s="177"/>
      <c r="AV92" s="178"/>
      <c r="AW92" s="178"/>
      <c r="AX92" s="179"/>
      <c r="AZ92" s="166"/>
      <c r="BA92" s="177"/>
      <c r="BB92" s="178"/>
      <c r="BC92" s="178"/>
      <c r="BD92" s="178"/>
      <c r="BE92" s="178"/>
      <c r="BF92" s="178"/>
      <c r="BG92" s="178"/>
      <c r="BH92" s="178"/>
      <c r="BI92" s="179"/>
      <c r="BJ92" s="180"/>
      <c r="BK92" s="178"/>
      <c r="BL92" s="178"/>
      <c r="BM92" s="178"/>
      <c r="BN92" s="178"/>
      <c r="BO92" s="181"/>
      <c r="BP92" s="166"/>
      <c r="BQ92" s="177"/>
      <c r="BR92" s="178"/>
      <c r="BS92" s="179"/>
      <c r="BU92" s="166"/>
      <c r="BV92" s="166"/>
      <c r="BW92" s="166"/>
      <c r="BX92" s="166"/>
      <c r="BY92" s="166"/>
      <c r="BZ92" s="166"/>
      <c r="CA92" s="166"/>
      <c r="CB92" s="166"/>
      <c r="CC92" s="166"/>
      <c r="CD92" s="177"/>
      <c r="CE92" s="181"/>
      <c r="CF92" s="177"/>
      <c r="CG92" s="179"/>
      <c r="CH92" s="257"/>
      <c r="CI92" s="182"/>
      <c r="CJ92" s="177"/>
      <c r="CK92" s="182"/>
      <c r="CL92" s="177"/>
      <c r="CM92" s="182"/>
      <c r="CN92" s="177"/>
      <c r="CO92" s="182"/>
      <c r="CP92" s="177"/>
      <c r="CQ92" s="178"/>
      <c r="CR92" s="182"/>
      <c r="CS92" s="173"/>
      <c r="CT92" s="65"/>
      <c r="CU92" s="255" t="str">
        <f t="shared" si="2"/>
        <v>SHP</v>
      </c>
    </row>
    <row r="93" ht="60.0" customHeight="1">
      <c r="A93" s="65"/>
      <c r="C93" s="167">
        <v>9.0</v>
      </c>
      <c r="D93" s="168" t="s">
        <v>175</v>
      </c>
      <c r="E93" s="169"/>
      <c r="F93" s="170"/>
      <c r="G93" s="170"/>
      <c r="H93" s="170"/>
      <c r="I93" s="207"/>
      <c r="J93" s="170"/>
      <c r="K93" s="171"/>
      <c r="L93" s="171"/>
      <c r="M93" s="171"/>
      <c r="N93" s="276"/>
      <c r="O93" s="256">
        <f t="shared" si="17"/>
        <v>0</v>
      </c>
      <c r="Q93" s="173"/>
      <c r="R93" s="65"/>
      <c r="S93" s="173"/>
      <c r="T93" s="173"/>
      <c r="U93" s="166"/>
      <c r="V93" s="166"/>
      <c r="W93" s="65"/>
      <c r="X93" s="66"/>
      <c r="Y93" s="173"/>
      <c r="Z93" s="166"/>
      <c r="AA93" s="174"/>
      <c r="AB93" s="175"/>
      <c r="AC93" s="175"/>
      <c r="AD93" s="175"/>
      <c r="AE93" s="175"/>
      <c r="AF93" s="175"/>
      <c r="AG93" s="175"/>
      <c r="AH93" s="175"/>
      <c r="AI93" s="176"/>
      <c r="AJ93" s="177"/>
      <c r="AK93" s="178"/>
      <c r="AL93" s="178"/>
      <c r="AM93" s="178"/>
      <c r="AN93" s="178"/>
      <c r="AO93" s="179"/>
      <c r="AP93" s="64"/>
      <c r="AQ93" s="65"/>
      <c r="AR93" s="65"/>
      <c r="AS93" s="65"/>
      <c r="AT93" s="173"/>
      <c r="AU93" s="177"/>
      <c r="AV93" s="178"/>
      <c r="AW93" s="178"/>
      <c r="AX93" s="179"/>
      <c r="AZ93" s="166"/>
      <c r="BA93" s="177"/>
      <c r="BB93" s="178"/>
      <c r="BC93" s="178"/>
      <c r="BD93" s="178"/>
      <c r="BE93" s="178"/>
      <c r="BF93" s="178"/>
      <c r="BG93" s="178"/>
      <c r="BH93" s="178"/>
      <c r="BI93" s="179"/>
      <c r="BJ93" s="180"/>
      <c r="BK93" s="178"/>
      <c r="BL93" s="178"/>
      <c r="BM93" s="178"/>
      <c r="BN93" s="178"/>
      <c r="BO93" s="181"/>
      <c r="BP93" s="166"/>
      <c r="BQ93" s="177"/>
      <c r="BR93" s="178"/>
      <c r="BS93" s="179"/>
      <c r="BU93" s="166"/>
      <c r="BV93" s="166"/>
      <c r="BW93" s="166"/>
      <c r="BX93" s="166"/>
      <c r="BY93" s="166"/>
      <c r="BZ93" s="166"/>
      <c r="CA93" s="166"/>
      <c r="CB93" s="166"/>
      <c r="CC93" s="166"/>
      <c r="CD93" s="177"/>
      <c r="CE93" s="181"/>
      <c r="CF93" s="177"/>
      <c r="CG93" s="179"/>
      <c r="CH93" s="257"/>
      <c r="CI93" s="182"/>
      <c r="CJ93" s="177"/>
      <c r="CK93" s="182"/>
      <c r="CL93" s="177"/>
      <c r="CM93" s="182"/>
      <c r="CN93" s="177"/>
      <c r="CO93" s="182"/>
      <c r="CP93" s="177"/>
      <c r="CQ93" s="178"/>
      <c r="CR93" s="182"/>
      <c r="CS93" s="173"/>
      <c r="CT93" s="65"/>
      <c r="CU93" s="255" t="str">
        <f t="shared" si="2"/>
        <v>SHP</v>
      </c>
    </row>
    <row r="94" ht="60.0" customHeight="1">
      <c r="A94" s="65"/>
      <c r="C94" s="167">
        <v>10.0</v>
      </c>
      <c r="D94" s="168" t="s">
        <v>175</v>
      </c>
      <c r="E94" s="169"/>
      <c r="F94" s="170"/>
      <c r="G94" s="170"/>
      <c r="H94" s="170"/>
      <c r="I94" s="207"/>
      <c r="J94" s="170"/>
      <c r="K94" s="171"/>
      <c r="L94" s="171"/>
      <c r="M94" s="171"/>
      <c r="N94" s="276"/>
      <c r="O94" s="256">
        <f t="shared" si="17"/>
        <v>0</v>
      </c>
      <c r="Q94" s="173"/>
      <c r="R94" s="65"/>
      <c r="S94" s="173"/>
      <c r="T94" s="173"/>
      <c r="U94" s="166"/>
      <c r="V94" s="166"/>
      <c r="W94" s="65"/>
      <c r="X94" s="66"/>
      <c r="Y94" s="173"/>
      <c r="Z94" s="166"/>
      <c r="AA94" s="174"/>
      <c r="AB94" s="175"/>
      <c r="AC94" s="175"/>
      <c r="AD94" s="175"/>
      <c r="AE94" s="175"/>
      <c r="AF94" s="175"/>
      <c r="AG94" s="175"/>
      <c r="AH94" s="175"/>
      <c r="AI94" s="176"/>
      <c r="AJ94" s="177"/>
      <c r="AK94" s="178"/>
      <c r="AL94" s="178"/>
      <c r="AM94" s="178"/>
      <c r="AN94" s="178"/>
      <c r="AO94" s="179"/>
      <c r="AP94" s="64"/>
      <c r="AQ94" s="65"/>
      <c r="AR94" s="65"/>
      <c r="AS94" s="65"/>
      <c r="AT94" s="173"/>
      <c r="AU94" s="177"/>
      <c r="AV94" s="178"/>
      <c r="AW94" s="178"/>
      <c r="AX94" s="179"/>
      <c r="AZ94" s="166"/>
      <c r="BA94" s="177"/>
      <c r="BB94" s="178"/>
      <c r="BC94" s="178"/>
      <c r="BD94" s="178"/>
      <c r="BE94" s="178"/>
      <c r="BF94" s="178"/>
      <c r="BG94" s="178"/>
      <c r="BH94" s="178"/>
      <c r="BI94" s="179"/>
      <c r="BJ94" s="180"/>
      <c r="BK94" s="178"/>
      <c r="BL94" s="178"/>
      <c r="BM94" s="178"/>
      <c r="BN94" s="178"/>
      <c r="BO94" s="181"/>
      <c r="BP94" s="166"/>
      <c r="BQ94" s="177"/>
      <c r="BR94" s="178"/>
      <c r="BS94" s="179"/>
      <c r="BU94" s="166"/>
      <c r="BV94" s="166"/>
      <c r="BW94" s="166"/>
      <c r="BX94" s="166"/>
      <c r="BY94" s="166"/>
      <c r="BZ94" s="166"/>
      <c r="CA94" s="166"/>
      <c r="CB94" s="166"/>
      <c r="CC94" s="166"/>
      <c r="CD94" s="177"/>
      <c r="CE94" s="181"/>
      <c r="CF94" s="177"/>
      <c r="CG94" s="179"/>
      <c r="CH94" s="257"/>
      <c r="CI94" s="182"/>
      <c r="CJ94" s="177"/>
      <c r="CK94" s="182"/>
      <c r="CL94" s="177"/>
      <c r="CM94" s="182"/>
      <c r="CN94" s="177"/>
      <c r="CO94" s="182"/>
      <c r="CP94" s="177"/>
      <c r="CQ94" s="178"/>
      <c r="CR94" s="182"/>
      <c r="CS94" s="173"/>
      <c r="CT94" s="65"/>
      <c r="CU94" s="255" t="str">
        <f t="shared" si="2"/>
        <v>SHP</v>
      </c>
    </row>
    <row r="95" ht="60.0" customHeight="1">
      <c r="A95" s="89"/>
      <c r="C95" s="183">
        <v>11.0</v>
      </c>
      <c r="D95" s="210" t="s">
        <v>175</v>
      </c>
      <c r="E95" s="185"/>
      <c r="F95" s="186"/>
      <c r="G95" s="186"/>
      <c r="H95" s="186"/>
      <c r="I95" s="212"/>
      <c r="J95" s="186"/>
      <c r="K95" s="187"/>
      <c r="L95" s="187"/>
      <c r="M95" s="187"/>
      <c r="N95" s="214"/>
      <c r="O95" s="258">
        <f t="shared" ref="O95:O101" si="18">IF(AND(M95&lt;&gt;0,M95&lt;&gt;"m",M95&lt;&gt;"",RIGHT(K95,3)="Lec"),1,IF(AND(M95&lt;&gt;0,M95&lt;&gt;"m",M95&lt;&gt;"",OR(RIGHT(K95,3)="Lab",RIGHT(K95,3)="Tut")),0.5,IF(AND(M95&lt;&gt;0,M95&lt;&gt;"m",M95&lt;&gt;"",RIGHT(K95,2)="TL"),0.75,0)))</f>
        <v>0</v>
      </c>
      <c r="P95" s="6"/>
      <c r="Q95" s="69"/>
      <c r="R95" s="89"/>
      <c r="S95" s="69"/>
      <c r="T95" s="69"/>
      <c r="U95" s="63"/>
      <c r="V95" s="63"/>
      <c r="W95" s="89"/>
      <c r="X95" s="68"/>
      <c r="Y95" s="69"/>
      <c r="Z95" s="63"/>
      <c r="AA95" s="189"/>
      <c r="AB95" s="190"/>
      <c r="AC95" s="190"/>
      <c r="AD95" s="190"/>
      <c r="AE95" s="190"/>
      <c r="AF95" s="190"/>
      <c r="AG95" s="190"/>
      <c r="AH95" s="190"/>
      <c r="AI95" s="191"/>
      <c r="AJ95" s="192"/>
      <c r="AK95" s="193"/>
      <c r="AL95" s="193"/>
      <c r="AM95" s="193"/>
      <c r="AN95" s="193"/>
      <c r="AO95" s="194"/>
      <c r="AP95" s="103"/>
      <c r="AQ95" s="89"/>
      <c r="AR95" s="89"/>
      <c r="AS95" s="89"/>
      <c r="AT95" s="69"/>
      <c r="AU95" s="192"/>
      <c r="AV95" s="193"/>
      <c r="AW95" s="193"/>
      <c r="AX95" s="194"/>
      <c r="AY95" s="6"/>
      <c r="AZ95" s="63"/>
      <c r="BA95" s="192"/>
      <c r="BB95" s="193"/>
      <c r="BC95" s="193"/>
      <c r="BD95" s="193"/>
      <c r="BE95" s="193"/>
      <c r="BF95" s="193"/>
      <c r="BG95" s="193"/>
      <c r="BH95" s="193"/>
      <c r="BI95" s="194"/>
      <c r="BJ95" s="195"/>
      <c r="BK95" s="193"/>
      <c r="BL95" s="193"/>
      <c r="BM95" s="193"/>
      <c r="BN95" s="193"/>
      <c r="BO95" s="196"/>
      <c r="BP95" s="63"/>
      <c r="BQ95" s="192"/>
      <c r="BR95" s="193"/>
      <c r="BS95" s="194"/>
      <c r="BT95" s="6"/>
      <c r="BU95" s="63"/>
      <c r="BV95" s="63"/>
      <c r="BW95" s="63"/>
      <c r="BX95" s="63"/>
      <c r="BY95" s="63"/>
      <c r="BZ95" s="63"/>
      <c r="CA95" s="63"/>
      <c r="CB95" s="63"/>
      <c r="CC95" s="63"/>
      <c r="CD95" s="192"/>
      <c r="CE95" s="196"/>
      <c r="CF95" s="192"/>
      <c r="CG95" s="194"/>
      <c r="CH95" s="259"/>
      <c r="CI95" s="197"/>
      <c r="CJ95" s="192"/>
      <c r="CK95" s="197"/>
      <c r="CL95" s="192"/>
      <c r="CM95" s="197"/>
      <c r="CN95" s="192"/>
      <c r="CO95" s="197"/>
      <c r="CP95" s="192"/>
      <c r="CQ95" s="193"/>
      <c r="CR95" s="197"/>
      <c r="CS95" s="69"/>
      <c r="CT95" s="89"/>
      <c r="CU95" s="255" t="str">
        <f t="shared" si="2"/>
        <v>SHP</v>
      </c>
    </row>
    <row r="96" ht="55.5" customHeight="1">
      <c r="A96" s="125">
        <v>9.0</v>
      </c>
      <c r="B96" s="199" t="s">
        <v>179</v>
      </c>
      <c r="C96" s="127">
        <v>1.0</v>
      </c>
      <c r="D96" s="168" t="s">
        <v>180</v>
      </c>
      <c r="E96" s="129"/>
      <c r="F96" s="130"/>
      <c r="G96" s="130"/>
      <c r="H96" s="130"/>
      <c r="I96" s="201"/>
      <c r="J96" s="130"/>
      <c r="K96" s="131"/>
      <c r="L96" s="131"/>
      <c r="M96" s="131"/>
      <c r="N96" s="275"/>
      <c r="O96" s="250">
        <f t="shared" si="18"/>
        <v>0</v>
      </c>
      <c r="P96" s="251">
        <f>COUNTIF(K96:K106,"TL")*0.75+COUNTIF(K96:K106,"Lec")*1+COUNTIF(K96:K106,"Lab")*0.5</f>
        <v>0</v>
      </c>
      <c r="Q96" s="134">
        <f>SUM((IF(LEFT(K96,1)="E",O96,0)),(IF(LEFT(K97,1)="E",O97,0)),(IF(LEFT(K98,1)="E",O98,0)),(IF(LEFT(K99,1)="E",O99,0)),(IF(LEFT(K100,1)="E",O100,0)),(IF(LEFT(K101,1)="E",O101,0)),(IF(LEFT(K102,1)="E",O102,0)),(IF(LEFT(K103,1)="E",O103,0)),(IF(LEFT(K104,1)="E",O104,0)),(IF(LEFT(K105,1)="E",O105,0)),(IF(LEFT(K106,1)="E",O106,0)))</f>
        <v>0</v>
      </c>
      <c r="R96" s="135">
        <f>SUM(IF(M102&lt;20,IF(K102="Plec",-1,IF(K102="PTL",-0.75,IF(K102="Plab",-0.5,0))),0),IF(M103&lt;20,IF(K103="Plec",-1,IF(K103="PTL",-0.75,IF(K103="Plab",-0.5,0))),0),IF(M104&lt;20,IF(K104="Plec",-1,IF(K104="PTL",-0.75,IF(K104="Plab",-0.5,0))),0),IF(M105&lt;20,IF(K105="Plec",-1,IF(K105="PTL",-0.75,IF(K105="Plab",-0.5,0))),0))</f>
        <v>0</v>
      </c>
      <c r="S96" s="134">
        <f>SUM(P96:R106)</f>
        <v>0</v>
      </c>
      <c r="T96" s="136">
        <f>SUM(IF(M96="M",IF(OR(K96="lec",K96="plec",K96="slec"),1,IF(OR(K96="lab",K96="plab",K96="slab",K96="tut",K96="ptut",K96="stut"),0.5,IF(OR(K96="TL",K96="pTL",K96="STL"),0.75,0))),0),IF(M97="M",IF(OR(K97="lec",K97="plec",K97="slec"),1,IF(OR(K97="lab",K97="plab",K97="slab",K97="tut",K97="ptut",K97="stut"),0.5,IF(OR(K97="TL",K97="pTL",K97="STL"),0.75,0))),0),IF(M98="M",IF(OR(K98="lec",K98="plec",K98="slec"),1,IF(OR(K98="lab",K98="plab",K98="slab",K98="tut",K98="ptut",K98="stut"),0.5,IF(OR(K98="TL",K98="pTL",K98="STL"),0.75,0))),0),IF(M99="M",IF(OR(K99="lec",K99="plec",K99="slec"),1,IF(OR(K99="lab",K99="plab",K99="slab",K99="tut",K99="ptut",K99="stut"),0.5,IF(OR(K99="TL",K99="pTL",K99="STL"),0.75,0))),0),IF(M100="M",IF(OR(K100="lec",K100="plec",K100="slec"),1,IF(OR(K100="lab",K100="plab",K100="slab",K100="tut",K100="ptut",K100="stut"),0.5,IF(OR(K100="TL",K100="pTL",K100="STL"),0.75,0))),0),IF(M101="M",IF(OR(K101="lec",K101="plec",K101="slec"),1,IF(OR(K101="lab",K101="plab",K101="slab",K101="tut",K101="ptut",K101="stut"),0.5,IF(OR(K101="TL",K101="pTL",K101="STL"),0.75,0))),0),IF(M102="M",IF(OR(K102="lec",K102="plec",K102="slec"),1,IF(OR(K102="lab",K102="plab",K102="slab",K102="tut",K102="ptut",K102="stut"),0.5,IF(OR(K102="TL",K102="pTL",K102="STL"),0.75,0))),0),IF(M103="M",IF(OR(K103="lec",K103="plec",K103="slec"),1,IF(OR(K103="lab",K103="plab",K103="slab",K103="tut",K103="ptut",K103="stut"),0.5,IF(OR(K103="TL",K103="pTL",K103="STL"),0.75,0))),0),IF(M104="M",IF(OR(K104="lec",K104="plec",K104="slec"),1,IF(OR(K104="lab",K104="plab",K104="slab",K104="tut",K104="ptut",K104="stut"),0.5,IF(OR(K104="TL",K104="pTL",K104="STL"),0.75,0))),0),IF(M105="M",IF(OR(K105="lec",K105="plec",K105="slec"),1,IF(OR(K105="lab",K105="plab",K105="slab",K105="tut",K105="ptut",K105="stut"),0.5,IF(OR(K105="TL",K105="pTL",K105="STL"),0.75,0))),0),IF(M106="M",IF(OR(K106="lec",K106="plec",K106="slec"),1,IF(OR(K106="lab",K106="plab",K106="slab",K106="tut",K106="ptut",K106="stut"),0.5,IF(OR(K106="TL",K106="pTL",K106="STL"),0.75,0))),0))</f>
        <v>0</v>
      </c>
      <c r="U96" s="137"/>
      <c r="V96" s="133"/>
      <c r="W96" s="138"/>
      <c r="X96" s="139">
        <f>S96-(T96+U96+V96+W96)</f>
        <v>0</v>
      </c>
      <c r="Y96" s="134" t="str">
        <f>CONCATENATE(SUM(O96:O106),"(",SUM(O96:O106)-X96,")")</f>
        <v>0(0)</v>
      </c>
      <c r="Z96" s="140"/>
      <c r="AA96" s="141"/>
      <c r="AB96" s="142"/>
      <c r="AC96" s="142"/>
      <c r="AD96" s="142"/>
      <c r="AE96" s="142"/>
      <c r="AF96" s="142"/>
      <c r="AG96" s="142"/>
      <c r="AH96" s="142"/>
      <c r="AI96" s="143"/>
      <c r="AJ96" s="144"/>
      <c r="AK96" s="145"/>
      <c r="AL96" s="145"/>
      <c r="AM96" s="145"/>
      <c r="AN96" s="145"/>
      <c r="AO96" s="146"/>
      <c r="AP96" s="147">
        <f>SUM(SUM(O96:O106),SUM(AI96:AI106)/2,AM96)</f>
        <v>0</v>
      </c>
      <c r="AQ96" s="148"/>
      <c r="AR96" s="148">
        <f>AP96*AQ96</f>
        <v>0</v>
      </c>
      <c r="AS96" s="148">
        <f>CT96</f>
        <v>0</v>
      </c>
      <c r="AT96" s="149">
        <f>AR96*0.75+AS96*0.25</f>
        <v>0</v>
      </c>
      <c r="AU96" s="150"/>
      <c r="AV96" s="151"/>
      <c r="AW96" s="151"/>
      <c r="AX96" s="152"/>
      <c r="AY96" s="153"/>
      <c r="AZ96" s="140"/>
      <c r="BA96" s="150"/>
      <c r="BB96" s="151"/>
      <c r="BC96" s="151"/>
      <c r="BD96" s="151"/>
      <c r="BE96" s="151"/>
      <c r="BF96" s="151"/>
      <c r="BG96" s="151"/>
      <c r="BH96" s="151"/>
      <c r="BI96" s="152"/>
      <c r="BJ96" s="154"/>
      <c r="BK96" s="151"/>
      <c r="BL96" s="151"/>
      <c r="BM96" s="151"/>
      <c r="BN96" s="151"/>
      <c r="BO96" s="155"/>
      <c r="BP96" s="140"/>
      <c r="BQ96" s="156"/>
      <c r="BR96" s="157"/>
      <c r="BS96" s="158"/>
      <c r="BT96" s="153"/>
      <c r="BU96" s="140"/>
      <c r="BV96" s="140"/>
      <c r="BW96" s="140"/>
      <c r="BX96" s="140"/>
      <c r="BY96" s="140"/>
      <c r="BZ96" s="140"/>
      <c r="CA96" s="140"/>
      <c r="CB96" s="140"/>
      <c r="CC96" s="140"/>
      <c r="CD96" s="150"/>
      <c r="CE96" s="155"/>
      <c r="CF96" s="150"/>
      <c r="CG96" s="152"/>
      <c r="CH96" s="252"/>
      <c r="CI96" s="160"/>
      <c r="CJ96" s="159"/>
      <c r="CK96" s="160"/>
      <c r="CL96" s="159"/>
      <c r="CM96" s="160"/>
      <c r="CN96" s="159"/>
      <c r="CO96" s="160"/>
      <c r="CP96" s="159"/>
      <c r="CQ96" s="162"/>
      <c r="CR96" s="160"/>
      <c r="CS96" s="253">
        <f>SUM(IF(AU96&lt;0,ABS(AU96),0),IF(AZ96&lt;0,ABS(AZ96),0),ABS(CI96),ABS(CK96),ABS(CM96),ABS(CO96),ABS(CQ96),ABS(CR96))</f>
        <v>0</v>
      </c>
      <c r="CT96" s="254">
        <f>SUM(AU96,AV96,AW96,AX96/400,AY96,AZ96,BG96,BH96*0.5,BI96*0.25,BJ96,BK96,BL96,BM96,BN96,BO96,BP96,BR96/20,BS96/100,BT96/60,BU96,BV96,BW96,BX96/4,SUM(BY96:CC106)/3,CE96,CG96/3,CI96,CK96,CM96,CO96,CQ96,CR96)</f>
        <v>0</v>
      </c>
      <c r="CU96" s="255" t="str">
        <f t="shared" si="2"/>
        <v>ZMP</v>
      </c>
    </row>
    <row r="97" ht="60.0" customHeight="1">
      <c r="A97" s="65"/>
      <c r="C97" s="167">
        <v>2.0</v>
      </c>
      <c r="D97" s="168" t="s">
        <v>180</v>
      </c>
      <c r="E97" s="169"/>
      <c r="F97" s="170"/>
      <c r="G97" s="170"/>
      <c r="H97" s="170"/>
      <c r="I97" s="207"/>
      <c r="J97" s="170"/>
      <c r="K97" s="171"/>
      <c r="L97" s="171"/>
      <c r="M97" s="171"/>
      <c r="N97" s="276"/>
      <c r="O97" s="256">
        <f t="shared" si="18"/>
        <v>0</v>
      </c>
      <c r="Q97" s="173"/>
      <c r="R97" s="65"/>
      <c r="S97" s="173"/>
      <c r="T97" s="173"/>
      <c r="U97" s="166"/>
      <c r="V97" s="166"/>
      <c r="W97" s="65"/>
      <c r="X97" s="66"/>
      <c r="Y97" s="173"/>
      <c r="Z97" s="166"/>
      <c r="AA97" s="174"/>
      <c r="AB97" s="175"/>
      <c r="AC97" s="175"/>
      <c r="AD97" s="175"/>
      <c r="AE97" s="175"/>
      <c r="AF97" s="175"/>
      <c r="AG97" s="175"/>
      <c r="AH97" s="175"/>
      <c r="AI97" s="176"/>
      <c r="AJ97" s="177"/>
      <c r="AK97" s="178"/>
      <c r="AL97" s="178"/>
      <c r="AM97" s="178"/>
      <c r="AN97" s="178"/>
      <c r="AO97" s="179"/>
      <c r="AP97" s="64"/>
      <c r="AQ97" s="65"/>
      <c r="AR97" s="65"/>
      <c r="AS97" s="65"/>
      <c r="AT97" s="173"/>
      <c r="AU97" s="177"/>
      <c r="AV97" s="178"/>
      <c r="AW97" s="178"/>
      <c r="AX97" s="179"/>
      <c r="AZ97" s="166"/>
      <c r="BA97" s="177"/>
      <c r="BB97" s="178"/>
      <c r="BC97" s="178"/>
      <c r="BD97" s="178"/>
      <c r="BE97" s="178"/>
      <c r="BF97" s="178"/>
      <c r="BG97" s="178"/>
      <c r="BH97" s="178"/>
      <c r="BI97" s="179"/>
      <c r="BJ97" s="180"/>
      <c r="BK97" s="178"/>
      <c r="BL97" s="178"/>
      <c r="BM97" s="178"/>
      <c r="BN97" s="178"/>
      <c r="BO97" s="181"/>
      <c r="BP97" s="166"/>
      <c r="BQ97" s="177"/>
      <c r="BR97" s="178"/>
      <c r="BS97" s="179"/>
      <c r="BU97" s="166"/>
      <c r="BV97" s="166"/>
      <c r="BW97" s="166"/>
      <c r="BX97" s="166"/>
      <c r="BY97" s="166"/>
      <c r="BZ97" s="166"/>
      <c r="CA97" s="166"/>
      <c r="CB97" s="166"/>
      <c r="CC97" s="166"/>
      <c r="CD97" s="177"/>
      <c r="CE97" s="181"/>
      <c r="CF97" s="177"/>
      <c r="CG97" s="179"/>
      <c r="CH97" s="257"/>
      <c r="CI97" s="182"/>
      <c r="CJ97" s="177"/>
      <c r="CK97" s="182"/>
      <c r="CL97" s="177"/>
      <c r="CM97" s="182"/>
      <c r="CN97" s="177"/>
      <c r="CO97" s="182"/>
      <c r="CP97" s="177"/>
      <c r="CQ97" s="178"/>
      <c r="CR97" s="182"/>
      <c r="CS97" s="173"/>
      <c r="CT97" s="65"/>
      <c r="CU97" s="255" t="str">
        <f t="shared" si="2"/>
        <v>ZMP</v>
      </c>
    </row>
    <row r="98" ht="60.0" customHeight="1">
      <c r="A98" s="65"/>
      <c r="C98" s="167">
        <v>3.0</v>
      </c>
      <c r="D98" s="168" t="s">
        <v>180</v>
      </c>
      <c r="E98" s="169"/>
      <c r="F98" s="170"/>
      <c r="G98" s="170"/>
      <c r="H98" s="170"/>
      <c r="I98" s="207"/>
      <c r="J98" s="170"/>
      <c r="K98" s="171"/>
      <c r="L98" s="171"/>
      <c r="M98" s="171"/>
      <c r="N98" s="276"/>
      <c r="O98" s="256">
        <f t="shared" si="18"/>
        <v>0</v>
      </c>
      <c r="Q98" s="173"/>
      <c r="R98" s="65"/>
      <c r="S98" s="173"/>
      <c r="T98" s="173"/>
      <c r="U98" s="166"/>
      <c r="V98" s="166"/>
      <c r="W98" s="65"/>
      <c r="X98" s="66"/>
      <c r="Y98" s="173"/>
      <c r="Z98" s="166"/>
      <c r="AA98" s="174"/>
      <c r="AB98" s="175"/>
      <c r="AC98" s="175"/>
      <c r="AD98" s="175"/>
      <c r="AE98" s="175"/>
      <c r="AF98" s="175"/>
      <c r="AG98" s="175"/>
      <c r="AH98" s="175"/>
      <c r="AI98" s="176"/>
      <c r="AJ98" s="177"/>
      <c r="AK98" s="178"/>
      <c r="AL98" s="178"/>
      <c r="AM98" s="178"/>
      <c r="AN98" s="178"/>
      <c r="AO98" s="179"/>
      <c r="AP98" s="64"/>
      <c r="AQ98" s="65"/>
      <c r="AR98" s="65"/>
      <c r="AS98" s="65"/>
      <c r="AT98" s="173"/>
      <c r="AU98" s="177"/>
      <c r="AV98" s="178"/>
      <c r="AW98" s="178"/>
      <c r="AX98" s="179"/>
      <c r="AZ98" s="166"/>
      <c r="BA98" s="177"/>
      <c r="BB98" s="178"/>
      <c r="BC98" s="178"/>
      <c r="BD98" s="178"/>
      <c r="BE98" s="178"/>
      <c r="BF98" s="178"/>
      <c r="BG98" s="178"/>
      <c r="BH98" s="178"/>
      <c r="BI98" s="179"/>
      <c r="BJ98" s="180"/>
      <c r="BK98" s="178"/>
      <c r="BL98" s="178"/>
      <c r="BM98" s="178"/>
      <c r="BN98" s="178"/>
      <c r="BO98" s="181"/>
      <c r="BP98" s="166"/>
      <c r="BQ98" s="177"/>
      <c r="BR98" s="178"/>
      <c r="BS98" s="179"/>
      <c r="BU98" s="166"/>
      <c r="BV98" s="166"/>
      <c r="BW98" s="166"/>
      <c r="BX98" s="166"/>
      <c r="BY98" s="166"/>
      <c r="BZ98" s="166"/>
      <c r="CA98" s="166"/>
      <c r="CB98" s="166"/>
      <c r="CC98" s="166"/>
      <c r="CD98" s="177"/>
      <c r="CE98" s="181"/>
      <c r="CF98" s="177"/>
      <c r="CG98" s="179"/>
      <c r="CH98" s="257"/>
      <c r="CI98" s="182"/>
      <c r="CJ98" s="177"/>
      <c r="CK98" s="182"/>
      <c r="CL98" s="177"/>
      <c r="CM98" s="182"/>
      <c r="CN98" s="177"/>
      <c r="CO98" s="182"/>
      <c r="CP98" s="177"/>
      <c r="CQ98" s="178"/>
      <c r="CR98" s="182"/>
      <c r="CS98" s="173"/>
      <c r="CT98" s="65"/>
      <c r="CU98" s="255" t="str">
        <f t="shared" si="2"/>
        <v>ZMP</v>
      </c>
    </row>
    <row r="99" ht="60.0" customHeight="1">
      <c r="A99" s="65"/>
      <c r="C99" s="167">
        <v>4.0</v>
      </c>
      <c r="D99" s="168" t="s">
        <v>180</v>
      </c>
      <c r="E99" s="169"/>
      <c r="F99" s="170"/>
      <c r="G99" s="170"/>
      <c r="H99" s="170"/>
      <c r="I99" s="207"/>
      <c r="J99" s="170"/>
      <c r="K99" s="171"/>
      <c r="L99" s="171"/>
      <c r="M99" s="171"/>
      <c r="N99" s="276"/>
      <c r="O99" s="256">
        <f t="shared" si="18"/>
        <v>0</v>
      </c>
      <c r="Q99" s="173"/>
      <c r="R99" s="65"/>
      <c r="S99" s="173"/>
      <c r="T99" s="173"/>
      <c r="U99" s="166"/>
      <c r="V99" s="166"/>
      <c r="W99" s="65"/>
      <c r="X99" s="66"/>
      <c r="Y99" s="173"/>
      <c r="Z99" s="166"/>
      <c r="AA99" s="174"/>
      <c r="AB99" s="175"/>
      <c r="AC99" s="175"/>
      <c r="AD99" s="175"/>
      <c r="AE99" s="175"/>
      <c r="AF99" s="175"/>
      <c r="AG99" s="175"/>
      <c r="AH99" s="175"/>
      <c r="AI99" s="176"/>
      <c r="AJ99" s="177"/>
      <c r="AK99" s="178"/>
      <c r="AL99" s="178"/>
      <c r="AM99" s="178"/>
      <c r="AN99" s="178"/>
      <c r="AO99" s="179"/>
      <c r="AP99" s="64"/>
      <c r="AQ99" s="65"/>
      <c r="AR99" s="65"/>
      <c r="AS99" s="65"/>
      <c r="AT99" s="173"/>
      <c r="AU99" s="177"/>
      <c r="AV99" s="178"/>
      <c r="AW99" s="178"/>
      <c r="AX99" s="179"/>
      <c r="AZ99" s="166"/>
      <c r="BA99" s="177"/>
      <c r="BB99" s="178"/>
      <c r="BC99" s="178"/>
      <c r="BD99" s="178"/>
      <c r="BE99" s="178"/>
      <c r="BF99" s="178"/>
      <c r="BG99" s="178"/>
      <c r="BH99" s="178"/>
      <c r="BI99" s="179"/>
      <c r="BJ99" s="180"/>
      <c r="BK99" s="178"/>
      <c r="BL99" s="178"/>
      <c r="BM99" s="178"/>
      <c r="BN99" s="178"/>
      <c r="BO99" s="181"/>
      <c r="BP99" s="166"/>
      <c r="BQ99" s="177"/>
      <c r="BR99" s="178"/>
      <c r="BS99" s="179"/>
      <c r="BU99" s="166"/>
      <c r="BV99" s="166"/>
      <c r="BW99" s="166"/>
      <c r="BX99" s="166"/>
      <c r="BY99" s="166"/>
      <c r="BZ99" s="166"/>
      <c r="CA99" s="166"/>
      <c r="CB99" s="166"/>
      <c r="CC99" s="166"/>
      <c r="CD99" s="177"/>
      <c r="CE99" s="181"/>
      <c r="CF99" s="177"/>
      <c r="CG99" s="179"/>
      <c r="CH99" s="257"/>
      <c r="CI99" s="182"/>
      <c r="CJ99" s="177"/>
      <c r="CK99" s="182"/>
      <c r="CL99" s="177"/>
      <c r="CM99" s="182"/>
      <c r="CN99" s="177"/>
      <c r="CO99" s="182"/>
      <c r="CP99" s="177"/>
      <c r="CQ99" s="178"/>
      <c r="CR99" s="182"/>
      <c r="CS99" s="173"/>
      <c r="CT99" s="65"/>
      <c r="CU99" s="255" t="str">
        <f t="shared" si="2"/>
        <v>ZMP</v>
      </c>
    </row>
    <row r="100" ht="60.0" customHeight="1">
      <c r="A100" s="65"/>
      <c r="C100" s="167">
        <v>5.0</v>
      </c>
      <c r="D100" s="168" t="s">
        <v>180</v>
      </c>
      <c r="E100" s="169"/>
      <c r="F100" s="170"/>
      <c r="G100" s="170"/>
      <c r="H100" s="170"/>
      <c r="I100" s="207"/>
      <c r="J100" s="170"/>
      <c r="K100" s="171"/>
      <c r="L100" s="171"/>
      <c r="M100" s="171"/>
      <c r="N100" s="276"/>
      <c r="O100" s="256">
        <f t="shared" si="18"/>
        <v>0</v>
      </c>
      <c r="Q100" s="173"/>
      <c r="R100" s="65"/>
      <c r="S100" s="173"/>
      <c r="T100" s="173"/>
      <c r="U100" s="166"/>
      <c r="V100" s="166"/>
      <c r="W100" s="65"/>
      <c r="X100" s="66"/>
      <c r="Y100" s="173"/>
      <c r="Z100" s="166"/>
      <c r="AA100" s="174"/>
      <c r="AB100" s="175"/>
      <c r="AC100" s="175"/>
      <c r="AD100" s="175"/>
      <c r="AE100" s="175"/>
      <c r="AF100" s="175"/>
      <c r="AG100" s="175"/>
      <c r="AH100" s="175"/>
      <c r="AI100" s="176"/>
      <c r="AJ100" s="177"/>
      <c r="AK100" s="178"/>
      <c r="AL100" s="178"/>
      <c r="AM100" s="178"/>
      <c r="AN100" s="178"/>
      <c r="AO100" s="179"/>
      <c r="AP100" s="64"/>
      <c r="AQ100" s="65"/>
      <c r="AR100" s="65"/>
      <c r="AS100" s="65"/>
      <c r="AT100" s="173"/>
      <c r="AU100" s="177"/>
      <c r="AV100" s="178"/>
      <c r="AW100" s="178"/>
      <c r="AX100" s="179"/>
      <c r="AZ100" s="166"/>
      <c r="BA100" s="177"/>
      <c r="BB100" s="178"/>
      <c r="BC100" s="178"/>
      <c r="BD100" s="178"/>
      <c r="BE100" s="178"/>
      <c r="BF100" s="178"/>
      <c r="BG100" s="178"/>
      <c r="BH100" s="178"/>
      <c r="BI100" s="179"/>
      <c r="BJ100" s="180"/>
      <c r="BK100" s="178"/>
      <c r="BL100" s="178"/>
      <c r="BM100" s="178"/>
      <c r="BN100" s="178"/>
      <c r="BO100" s="181"/>
      <c r="BP100" s="166"/>
      <c r="BQ100" s="177"/>
      <c r="BR100" s="178"/>
      <c r="BS100" s="179"/>
      <c r="BU100" s="166"/>
      <c r="BV100" s="166"/>
      <c r="BW100" s="166"/>
      <c r="BX100" s="166"/>
      <c r="BY100" s="166"/>
      <c r="BZ100" s="166"/>
      <c r="CA100" s="166"/>
      <c r="CB100" s="166"/>
      <c r="CC100" s="166"/>
      <c r="CD100" s="177"/>
      <c r="CE100" s="181"/>
      <c r="CF100" s="177"/>
      <c r="CG100" s="179"/>
      <c r="CH100" s="257"/>
      <c r="CI100" s="182"/>
      <c r="CJ100" s="177"/>
      <c r="CK100" s="182"/>
      <c r="CL100" s="177"/>
      <c r="CM100" s="182"/>
      <c r="CN100" s="177"/>
      <c r="CO100" s="182"/>
      <c r="CP100" s="177"/>
      <c r="CQ100" s="178"/>
      <c r="CR100" s="182"/>
      <c r="CS100" s="173"/>
      <c r="CT100" s="65"/>
      <c r="CU100" s="255" t="str">
        <f t="shared" si="2"/>
        <v>ZMP</v>
      </c>
    </row>
    <row r="101" ht="60.0" customHeight="1">
      <c r="A101" s="65"/>
      <c r="C101" s="167">
        <v>6.0</v>
      </c>
      <c r="D101" s="168" t="s">
        <v>180</v>
      </c>
      <c r="E101" s="169"/>
      <c r="F101" s="170"/>
      <c r="G101" s="170"/>
      <c r="H101" s="170"/>
      <c r="I101" s="207"/>
      <c r="J101" s="170"/>
      <c r="K101" s="171"/>
      <c r="L101" s="171"/>
      <c r="M101" s="171"/>
      <c r="N101" s="276"/>
      <c r="O101" s="256">
        <f t="shared" si="18"/>
        <v>0</v>
      </c>
      <c r="Q101" s="173"/>
      <c r="R101" s="65"/>
      <c r="S101" s="173"/>
      <c r="T101" s="173"/>
      <c r="U101" s="166"/>
      <c r="V101" s="166"/>
      <c r="W101" s="65"/>
      <c r="X101" s="66"/>
      <c r="Y101" s="173"/>
      <c r="Z101" s="166"/>
      <c r="AA101" s="174"/>
      <c r="AB101" s="175"/>
      <c r="AC101" s="175"/>
      <c r="AD101" s="175"/>
      <c r="AE101" s="175"/>
      <c r="AF101" s="175"/>
      <c r="AG101" s="175"/>
      <c r="AH101" s="175"/>
      <c r="AI101" s="176"/>
      <c r="AJ101" s="177"/>
      <c r="AK101" s="178"/>
      <c r="AL101" s="178"/>
      <c r="AM101" s="178"/>
      <c r="AN101" s="178"/>
      <c r="AO101" s="179"/>
      <c r="AP101" s="64"/>
      <c r="AQ101" s="65"/>
      <c r="AR101" s="65"/>
      <c r="AS101" s="65"/>
      <c r="AT101" s="173"/>
      <c r="AU101" s="177"/>
      <c r="AV101" s="178"/>
      <c r="AW101" s="178"/>
      <c r="AX101" s="179"/>
      <c r="AZ101" s="166"/>
      <c r="BA101" s="177"/>
      <c r="BB101" s="178"/>
      <c r="BC101" s="178"/>
      <c r="BD101" s="178"/>
      <c r="BE101" s="178"/>
      <c r="BF101" s="178"/>
      <c r="BG101" s="178"/>
      <c r="BH101" s="178"/>
      <c r="BI101" s="179"/>
      <c r="BJ101" s="180"/>
      <c r="BK101" s="178"/>
      <c r="BL101" s="178"/>
      <c r="BM101" s="178"/>
      <c r="BN101" s="178"/>
      <c r="BO101" s="181"/>
      <c r="BP101" s="166"/>
      <c r="BQ101" s="177"/>
      <c r="BR101" s="178"/>
      <c r="BS101" s="179"/>
      <c r="BU101" s="166"/>
      <c r="BV101" s="166"/>
      <c r="BW101" s="166"/>
      <c r="BX101" s="166"/>
      <c r="BY101" s="166"/>
      <c r="BZ101" s="166"/>
      <c r="CA101" s="166"/>
      <c r="CB101" s="166"/>
      <c r="CC101" s="166"/>
      <c r="CD101" s="177"/>
      <c r="CE101" s="181"/>
      <c r="CF101" s="177"/>
      <c r="CG101" s="179"/>
      <c r="CH101" s="257"/>
      <c r="CI101" s="182"/>
      <c r="CJ101" s="177"/>
      <c r="CK101" s="182"/>
      <c r="CL101" s="177"/>
      <c r="CM101" s="182"/>
      <c r="CN101" s="177"/>
      <c r="CO101" s="182"/>
      <c r="CP101" s="177"/>
      <c r="CQ101" s="178"/>
      <c r="CR101" s="182"/>
      <c r="CS101" s="173"/>
      <c r="CT101" s="65"/>
      <c r="CU101" s="255" t="str">
        <f t="shared" si="2"/>
        <v>ZMP</v>
      </c>
    </row>
    <row r="102" ht="60.0" customHeight="1">
      <c r="A102" s="65"/>
      <c r="C102" s="167">
        <v>7.0</v>
      </c>
      <c r="D102" s="168" t="s">
        <v>180</v>
      </c>
      <c r="E102" s="169"/>
      <c r="F102" s="170"/>
      <c r="G102" s="170"/>
      <c r="H102" s="170"/>
      <c r="I102" s="207"/>
      <c r="J102" s="170"/>
      <c r="K102" s="171"/>
      <c r="L102" s="171"/>
      <c r="M102" s="171"/>
      <c r="N102" s="276"/>
      <c r="O102" s="256">
        <f t="shared" ref="O102:O105" si="19">IF(AND(M102&gt;=20,M102&lt;&gt;"m",RIGHT(K102,3)="Lec"),1,IF(AND(M102&gt;=20,M102&lt;&gt;"m",OR(RIGHT(K102,3)="Lab",RIGHT(K102,3)="Tut")),0.5,IF(AND(M102&gt;=20,M102&lt;&gt;"m",RIGHT(K102,2)="TL"),0.75,0)))</f>
        <v>0</v>
      </c>
      <c r="Q102" s="173"/>
      <c r="R102" s="65"/>
      <c r="S102" s="173"/>
      <c r="T102" s="173"/>
      <c r="U102" s="166"/>
      <c r="V102" s="166"/>
      <c r="W102" s="65"/>
      <c r="X102" s="66"/>
      <c r="Y102" s="173"/>
      <c r="Z102" s="166"/>
      <c r="AA102" s="174"/>
      <c r="AB102" s="175"/>
      <c r="AC102" s="175"/>
      <c r="AD102" s="175"/>
      <c r="AE102" s="175"/>
      <c r="AF102" s="175"/>
      <c r="AG102" s="175"/>
      <c r="AH102" s="175"/>
      <c r="AI102" s="176"/>
      <c r="AJ102" s="177"/>
      <c r="AK102" s="178"/>
      <c r="AL102" s="178"/>
      <c r="AM102" s="178"/>
      <c r="AN102" s="178"/>
      <c r="AO102" s="179"/>
      <c r="AP102" s="64"/>
      <c r="AQ102" s="65"/>
      <c r="AR102" s="65"/>
      <c r="AS102" s="65"/>
      <c r="AT102" s="173"/>
      <c r="AU102" s="177"/>
      <c r="AV102" s="178"/>
      <c r="AW102" s="178"/>
      <c r="AX102" s="179"/>
      <c r="AZ102" s="166"/>
      <c r="BA102" s="177"/>
      <c r="BB102" s="178"/>
      <c r="BC102" s="178"/>
      <c r="BD102" s="178"/>
      <c r="BE102" s="178"/>
      <c r="BF102" s="178"/>
      <c r="BG102" s="178"/>
      <c r="BH102" s="178"/>
      <c r="BI102" s="179"/>
      <c r="BJ102" s="180"/>
      <c r="BK102" s="178"/>
      <c r="BL102" s="178"/>
      <c r="BM102" s="178"/>
      <c r="BN102" s="178"/>
      <c r="BO102" s="181"/>
      <c r="BP102" s="166"/>
      <c r="BQ102" s="177"/>
      <c r="BR102" s="178"/>
      <c r="BS102" s="179"/>
      <c r="BU102" s="166"/>
      <c r="BV102" s="166"/>
      <c r="BW102" s="166"/>
      <c r="BX102" s="166"/>
      <c r="BY102" s="166"/>
      <c r="BZ102" s="166"/>
      <c r="CA102" s="166"/>
      <c r="CB102" s="166"/>
      <c r="CC102" s="166"/>
      <c r="CD102" s="177"/>
      <c r="CE102" s="181"/>
      <c r="CF102" s="177"/>
      <c r="CG102" s="179"/>
      <c r="CH102" s="257"/>
      <c r="CI102" s="182"/>
      <c r="CJ102" s="177"/>
      <c r="CK102" s="182"/>
      <c r="CL102" s="177"/>
      <c r="CM102" s="182"/>
      <c r="CN102" s="177"/>
      <c r="CO102" s="182"/>
      <c r="CP102" s="177"/>
      <c r="CQ102" s="178"/>
      <c r="CR102" s="182"/>
      <c r="CS102" s="173"/>
      <c r="CT102" s="65"/>
      <c r="CU102" s="255" t="str">
        <f t="shared" si="2"/>
        <v>ZMP</v>
      </c>
    </row>
    <row r="103" ht="60.0" customHeight="1">
      <c r="A103" s="65"/>
      <c r="C103" s="167">
        <v>8.0</v>
      </c>
      <c r="D103" s="168" t="s">
        <v>180</v>
      </c>
      <c r="E103" s="169"/>
      <c r="F103" s="170"/>
      <c r="G103" s="170"/>
      <c r="H103" s="170"/>
      <c r="I103" s="207"/>
      <c r="J103" s="170"/>
      <c r="K103" s="171"/>
      <c r="L103" s="171"/>
      <c r="M103" s="171"/>
      <c r="N103" s="276"/>
      <c r="O103" s="256">
        <f t="shared" si="19"/>
        <v>0</v>
      </c>
      <c r="Q103" s="173"/>
      <c r="R103" s="65"/>
      <c r="S103" s="173"/>
      <c r="T103" s="173"/>
      <c r="U103" s="166"/>
      <c r="V103" s="166"/>
      <c r="W103" s="65"/>
      <c r="X103" s="66"/>
      <c r="Y103" s="173"/>
      <c r="Z103" s="166"/>
      <c r="AA103" s="174"/>
      <c r="AB103" s="175"/>
      <c r="AC103" s="175"/>
      <c r="AD103" s="175"/>
      <c r="AE103" s="175"/>
      <c r="AF103" s="175"/>
      <c r="AG103" s="175"/>
      <c r="AH103" s="175"/>
      <c r="AI103" s="176"/>
      <c r="AJ103" s="177"/>
      <c r="AK103" s="178"/>
      <c r="AL103" s="178"/>
      <c r="AM103" s="178"/>
      <c r="AN103" s="178"/>
      <c r="AO103" s="179"/>
      <c r="AP103" s="64"/>
      <c r="AQ103" s="65"/>
      <c r="AR103" s="65"/>
      <c r="AS103" s="65"/>
      <c r="AT103" s="173"/>
      <c r="AU103" s="177"/>
      <c r="AV103" s="178"/>
      <c r="AW103" s="178"/>
      <c r="AX103" s="179"/>
      <c r="AZ103" s="166"/>
      <c r="BA103" s="177"/>
      <c r="BB103" s="178"/>
      <c r="BC103" s="178"/>
      <c r="BD103" s="178"/>
      <c r="BE103" s="178"/>
      <c r="BF103" s="178"/>
      <c r="BG103" s="178"/>
      <c r="BH103" s="178"/>
      <c r="BI103" s="179"/>
      <c r="BJ103" s="180"/>
      <c r="BK103" s="178"/>
      <c r="BL103" s="178"/>
      <c r="BM103" s="178"/>
      <c r="BN103" s="178"/>
      <c r="BO103" s="181"/>
      <c r="BP103" s="166"/>
      <c r="BQ103" s="177"/>
      <c r="BR103" s="178"/>
      <c r="BS103" s="179"/>
      <c r="BU103" s="166"/>
      <c r="BV103" s="166"/>
      <c r="BW103" s="166"/>
      <c r="BX103" s="166"/>
      <c r="BY103" s="166"/>
      <c r="BZ103" s="166"/>
      <c r="CA103" s="166"/>
      <c r="CB103" s="166"/>
      <c r="CC103" s="166"/>
      <c r="CD103" s="177"/>
      <c r="CE103" s="181"/>
      <c r="CF103" s="177"/>
      <c r="CG103" s="179"/>
      <c r="CH103" s="257"/>
      <c r="CI103" s="182"/>
      <c r="CJ103" s="177"/>
      <c r="CK103" s="182"/>
      <c r="CL103" s="177"/>
      <c r="CM103" s="182"/>
      <c r="CN103" s="177"/>
      <c r="CO103" s="182"/>
      <c r="CP103" s="177"/>
      <c r="CQ103" s="178"/>
      <c r="CR103" s="182"/>
      <c r="CS103" s="173"/>
      <c r="CT103" s="65"/>
      <c r="CU103" s="255" t="str">
        <f t="shared" si="2"/>
        <v>ZMP</v>
      </c>
    </row>
    <row r="104" ht="60.0" customHeight="1">
      <c r="A104" s="65"/>
      <c r="C104" s="167">
        <v>9.0</v>
      </c>
      <c r="D104" s="168" t="s">
        <v>180</v>
      </c>
      <c r="E104" s="169"/>
      <c r="F104" s="170"/>
      <c r="G104" s="170"/>
      <c r="H104" s="170"/>
      <c r="I104" s="207"/>
      <c r="J104" s="170"/>
      <c r="K104" s="171"/>
      <c r="L104" s="171"/>
      <c r="M104" s="171"/>
      <c r="N104" s="276"/>
      <c r="O104" s="256">
        <f t="shared" si="19"/>
        <v>0</v>
      </c>
      <c r="Q104" s="173"/>
      <c r="R104" s="65"/>
      <c r="S104" s="173"/>
      <c r="T104" s="173"/>
      <c r="U104" s="166"/>
      <c r="V104" s="166"/>
      <c r="W104" s="65"/>
      <c r="X104" s="66"/>
      <c r="Y104" s="173"/>
      <c r="Z104" s="166"/>
      <c r="AA104" s="174"/>
      <c r="AB104" s="175"/>
      <c r="AC104" s="175"/>
      <c r="AD104" s="175"/>
      <c r="AE104" s="175"/>
      <c r="AF104" s="175"/>
      <c r="AG104" s="175"/>
      <c r="AH104" s="175"/>
      <c r="AI104" s="176"/>
      <c r="AJ104" s="177"/>
      <c r="AK104" s="178"/>
      <c r="AL104" s="178"/>
      <c r="AM104" s="178"/>
      <c r="AN104" s="178"/>
      <c r="AO104" s="179"/>
      <c r="AP104" s="64"/>
      <c r="AQ104" s="65"/>
      <c r="AR104" s="65"/>
      <c r="AS104" s="65"/>
      <c r="AT104" s="173"/>
      <c r="AU104" s="177"/>
      <c r="AV104" s="178"/>
      <c r="AW104" s="178"/>
      <c r="AX104" s="179"/>
      <c r="AZ104" s="166"/>
      <c r="BA104" s="177"/>
      <c r="BB104" s="178"/>
      <c r="BC104" s="178"/>
      <c r="BD104" s="178"/>
      <c r="BE104" s="178"/>
      <c r="BF104" s="178"/>
      <c r="BG104" s="178"/>
      <c r="BH104" s="178"/>
      <c r="BI104" s="179"/>
      <c r="BJ104" s="180"/>
      <c r="BK104" s="178"/>
      <c r="BL104" s="178"/>
      <c r="BM104" s="178"/>
      <c r="BN104" s="178"/>
      <c r="BO104" s="181"/>
      <c r="BP104" s="166"/>
      <c r="BQ104" s="177"/>
      <c r="BR104" s="178"/>
      <c r="BS104" s="179"/>
      <c r="BU104" s="166"/>
      <c r="BV104" s="166"/>
      <c r="BW104" s="166"/>
      <c r="BX104" s="166"/>
      <c r="BY104" s="166"/>
      <c r="BZ104" s="166"/>
      <c r="CA104" s="166"/>
      <c r="CB104" s="166"/>
      <c r="CC104" s="166"/>
      <c r="CD104" s="177"/>
      <c r="CE104" s="181"/>
      <c r="CF104" s="177"/>
      <c r="CG104" s="179"/>
      <c r="CH104" s="257"/>
      <c r="CI104" s="182"/>
      <c r="CJ104" s="177"/>
      <c r="CK104" s="182"/>
      <c r="CL104" s="177"/>
      <c r="CM104" s="182"/>
      <c r="CN104" s="177"/>
      <c r="CO104" s="182"/>
      <c r="CP104" s="177"/>
      <c r="CQ104" s="178"/>
      <c r="CR104" s="182"/>
      <c r="CS104" s="173"/>
      <c r="CT104" s="65"/>
      <c r="CU104" s="255" t="str">
        <f t="shared" si="2"/>
        <v>ZMP</v>
      </c>
    </row>
    <row r="105" ht="60.0" customHeight="1">
      <c r="A105" s="65"/>
      <c r="C105" s="167">
        <v>10.0</v>
      </c>
      <c r="D105" s="168" t="s">
        <v>180</v>
      </c>
      <c r="E105" s="169"/>
      <c r="F105" s="170"/>
      <c r="G105" s="170"/>
      <c r="H105" s="170"/>
      <c r="I105" s="207"/>
      <c r="J105" s="170"/>
      <c r="K105" s="171"/>
      <c r="L105" s="171"/>
      <c r="M105" s="171"/>
      <c r="N105" s="276"/>
      <c r="O105" s="256">
        <f t="shared" si="19"/>
        <v>0</v>
      </c>
      <c r="Q105" s="173"/>
      <c r="R105" s="65"/>
      <c r="S105" s="173"/>
      <c r="T105" s="173"/>
      <c r="U105" s="166"/>
      <c r="V105" s="166"/>
      <c r="W105" s="65"/>
      <c r="X105" s="66"/>
      <c r="Y105" s="173"/>
      <c r="Z105" s="166"/>
      <c r="AA105" s="174"/>
      <c r="AB105" s="175"/>
      <c r="AC105" s="175"/>
      <c r="AD105" s="175"/>
      <c r="AE105" s="175"/>
      <c r="AF105" s="175"/>
      <c r="AG105" s="175"/>
      <c r="AH105" s="175"/>
      <c r="AI105" s="176"/>
      <c r="AJ105" s="177"/>
      <c r="AK105" s="178"/>
      <c r="AL105" s="178"/>
      <c r="AM105" s="178"/>
      <c r="AN105" s="178"/>
      <c r="AO105" s="179"/>
      <c r="AP105" s="64"/>
      <c r="AQ105" s="65"/>
      <c r="AR105" s="65"/>
      <c r="AS105" s="65"/>
      <c r="AT105" s="173"/>
      <c r="AU105" s="177"/>
      <c r="AV105" s="178"/>
      <c r="AW105" s="178"/>
      <c r="AX105" s="179"/>
      <c r="AZ105" s="166"/>
      <c r="BA105" s="177"/>
      <c r="BB105" s="178"/>
      <c r="BC105" s="178"/>
      <c r="BD105" s="178"/>
      <c r="BE105" s="178"/>
      <c r="BF105" s="178"/>
      <c r="BG105" s="178"/>
      <c r="BH105" s="178"/>
      <c r="BI105" s="179"/>
      <c r="BJ105" s="180"/>
      <c r="BK105" s="178"/>
      <c r="BL105" s="178"/>
      <c r="BM105" s="178"/>
      <c r="BN105" s="178"/>
      <c r="BO105" s="181"/>
      <c r="BP105" s="166"/>
      <c r="BQ105" s="177"/>
      <c r="BR105" s="178"/>
      <c r="BS105" s="179"/>
      <c r="BU105" s="166"/>
      <c r="BV105" s="166"/>
      <c r="BW105" s="166"/>
      <c r="BX105" s="166"/>
      <c r="BY105" s="166"/>
      <c r="BZ105" s="166"/>
      <c r="CA105" s="166"/>
      <c r="CB105" s="166"/>
      <c r="CC105" s="166"/>
      <c r="CD105" s="177"/>
      <c r="CE105" s="181"/>
      <c r="CF105" s="177"/>
      <c r="CG105" s="179"/>
      <c r="CH105" s="257"/>
      <c r="CI105" s="182"/>
      <c r="CJ105" s="177"/>
      <c r="CK105" s="182"/>
      <c r="CL105" s="177"/>
      <c r="CM105" s="182"/>
      <c r="CN105" s="177"/>
      <c r="CO105" s="182"/>
      <c r="CP105" s="177"/>
      <c r="CQ105" s="178"/>
      <c r="CR105" s="182"/>
      <c r="CS105" s="173"/>
      <c r="CT105" s="65"/>
      <c r="CU105" s="255" t="str">
        <f t="shared" si="2"/>
        <v>ZMP</v>
      </c>
    </row>
    <row r="106" ht="60.0" customHeight="1">
      <c r="A106" s="89"/>
      <c r="C106" s="183">
        <v>11.0</v>
      </c>
      <c r="D106" s="210" t="s">
        <v>180</v>
      </c>
      <c r="E106" s="185"/>
      <c r="F106" s="186"/>
      <c r="G106" s="186"/>
      <c r="H106" s="186"/>
      <c r="I106" s="212"/>
      <c r="J106" s="186"/>
      <c r="K106" s="187"/>
      <c r="L106" s="187"/>
      <c r="M106" s="187"/>
      <c r="N106" s="214"/>
      <c r="O106" s="258">
        <f t="shared" ref="O106:O112" si="20">IF(AND(M106&lt;&gt;0,M106&lt;&gt;"m",M106&lt;&gt;"",RIGHT(K106,3)="Lec"),1,IF(AND(M106&lt;&gt;0,M106&lt;&gt;"m",M106&lt;&gt;"",OR(RIGHT(K106,3)="Lab",RIGHT(K106,3)="Tut")),0.5,IF(AND(M106&lt;&gt;0,M106&lt;&gt;"m",M106&lt;&gt;"",RIGHT(K106,2)="TL"),0.75,0)))</f>
        <v>0</v>
      </c>
      <c r="P106" s="6"/>
      <c r="Q106" s="69"/>
      <c r="R106" s="89"/>
      <c r="S106" s="69"/>
      <c r="T106" s="69"/>
      <c r="U106" s="63"/>
      <c r="V106" s="63"/>
      <c r="W106" s="89"/>
      <c r="X106" s="68"/>
      <c r="Y106" s="69"/>
      <c r="Z106" s="63"/>
      <c r="AA106" s="189"/>
      <c r="AB106" s="190"/>
      <c r="AC106" s="190"/>
      <c r="AD106" s="190"/>
      <c r="AE106" s="190"/>
      <c r="AF106" s="190"/>
      <c r="AG106" s="190"/>
      <c r="AH106" s="190"/>
      <c r="AI106" s="191"/>
      <c r="AJ106" s="192"/>
      <c r="AK106" s="193"/>
      <c r="AL106" s="193"/>
      <c r="AM106" s="193"/>
      <c r="AN106" s="193"/>
      <c r="AO106" s="194"/>
      <c r="AP106" s="103"/>
      <c r="AQ106" s="89"/>
      <c r="AR106" s="89"/>
      <c r="AS106" s="89"/>
      <c r="AT106" s="69"/>
      <c r="AU106" s="192"/>
      <c r="AV106" s="193"/>
      <c r="AW106" s="193"/>
      <c r="AX106" s="194"/>
      <c r="AY106" s="6"/>
      <c r="AZ106" s="63"/>
      <c r="BA106" s="192"/>
      <c r="BB106" s="193"/>
      <c r="BC106" s="193"/>
      <c r="BD106" s="193"/>
      <c r="BE106" s="193"/>
      <c r="BF106" s="193"/>
      <c r="BG106" s="193"/>
      <c r="BH106" s="193"/>
      <c r="BI106" s="194"/>
      <c r="BJ106" s="195"/>
      <c r="BK106" s="193"/>
      <c r="BL106" s="193"/>
      <c r="BM106" s="193"/>
      <c r="BN106" s="193"/>
      <c r="BO106" s="196"/>
      <c r="BP106" s="63"/>
      <c r="BQ106" s="192"/>
      <c r="BR106" s="193"/>
      <c r="BS106" s="194"/>
      <c r="BT106" s="6"/>
      <c r="BU106" s="63"/>
      <c r="BV106" s="63"/>
      <c r="BW106" s="63"/>
      <c r="BX106" s="63"/>
      <c r="BY106" s="63"/>
      <c r="BZ106" s="63"/>
      <c r="CA106" s="63"/>
      <c r="CB106" s="63"/>
      <c r="CC106" s="63"/>
      <c r="CD106" s="192"/>
      <c r="CE106" s="196"/>
      <c r="CF106" s="192"/>
      <c r="CG106" s="194"/>
      <c r="CH106" s="259"/>
      <c r="CI106" s="197"/>
      <c r="CJ106" s="192"/>
      <c r="CK106" s="197"/>
      <c r="CL106" s="192"/>
      <c r="CM106" s="197"/>
      <c r="CN106" s="192"/>
      <c r="CO106" s="197"/>
      <c r="CP106" s="192"/>
      <c r="CQ106" s="193"/>
      <c r="CR106" s="197"/>
      <c r="CS106" s="69"/>
      <c r="CT106" s="89"/>
      <c r="CU106" s="255" t="str">
        <f t="shared" si="2"/>
        <v>ZMP</v>
      </c>
    </row>
    <row r="107" ht="55.5" customHeight="1">
      <c r="A107" s="125">
        <v>10.0</v>
      </c>
      <c r="B107" s="199" t="s">
        <v>184</v>
      </c>
      <c r="C107" s="127">
        <v>1.0</v>
      </c>
      <c r="D107" s="168" t="s">
        <v>185</v>
      </c>
      <c r="E107" s="129"/>
      <c r="F107" s="130"/>
      <c r="G107" s="130"/>
      <c r="H107" s="130"/>
      <c r="I107" s="201"/>
      <c r="J107" s="130"/>
      <c r="K107" s="131"/>
      <c r="L107" s="131"/>
      <c r="M107" s="131"/>
      <c r="N107" s="275"/>
      <c r="O107" s="250">
        <f t="shared" si="20"/>
        <v>0</v>
      </c>
      <c r="P107" s="251">
        <f>COUNTIF(K107:K117,"TL")*0.75+COUNTIF(K107:K117,"Lec")*1+COUNTIF(K107:K117,"Lab")*0.5</f>
        <v>0</v>
      </c>
      <c r="Q107" s="134">
        <f>SUM((IF(LEFT(K107,1)="E",O107,0)),(IF(LEFT(K108,1)="E",O108,0)),(IF(LEFT(K109,1)="E",O109,0)),(IF(LEFT(K110,1)="E",O110,0)),(IF(LEFT(K111,1)="E",O111,0)),(IF(LEFT(K112,1)="E",O112,0)),(IF(LEFT(K113,1)="E",O113,0)),(IF(LEFT(K114,1)="E",O114,0)),(IF(LEFT(K115,1)="E",O115,0)),(IF(LEFT(K116,1)="E",O116,0)),(IF(LEFT(K117,1)="E",O117,0)))</f>
        <v>0</v>
      </c>
      <c r="R107" s="135">
        <f>SUM(IF(M113&lt;20,IF(K113="Plec",-1,IF(K113="PTL",-0.75,IF(K113="Plab",-0.5,0))),0),IF(M114&lt;20,IF(K114="Plec",-1,IF(K114="PTL",-0.75,IF(K114="Plab",-0.5,0))),0),IF(M115&lt;20,IF(K115="Plec",-1,IF(K115="PTL",-0.75,IF(K115="Plab",-0.5,0))),0),IF(M116&lt;20,IF(K116="Plec",-1,IF(K116="PTL",-0.75,IF(K116="Plab",-0.5,0))),0))</f>
        <v>0</v>
      </c>
      <c r="S107" s="134">
        <f>SUM(P107:R117)</f>
        <v>0</v>
      </c>
      <c r="T107" s="136">
        <f>SUM(IF(M107="M",IF(OR(K107="lec",K107="plec",K107="slec"),1,IF(OR(K107="lab",K107="plab",K107="slab",K107="tut",K107="ptut",K107="stut"),0.5,IF(OR(K107="TL",K107="pTL",K107="STL"),0.75,0))),0),IF(M108="M",IF(OR(K108="lec",K108="plec",K108="slec"),1,IF(OR(K108="lab",K108="plab",K108="slab",K108="tut",K108="ptut",K108="stut"),0.5,IF(OR(K108="TL",K108="pTL",K108="STL"),0.75,0))),0),IF(M109="M",IF(OR(K109="lec",K109="plec",K109="slec"),1,IF(OR(K109="lab",K109="plab",K109="slab",K109="tut",K109="ptut",K109="stut"),0.5,IF(OR(K109="TL",K109="pTL",K109="STL"),0.75,0))),0),IF(M110="M",IF(OR(K110="lec",K110="plec",K110="slec"),1,IF(OR(K110="lab",K110="plab",K110="slab",K110="tut",K110="ptut",K110="stut"),0.5,IF(OR(K110="TL",K110="pTL",K110="STL"),0.75,0))),0),IF(M111="M",IF(OR(K111="lec",K111="plec",K111="slec"),1,IF(OR(K111="lab",K111="plab",K111="slab",K111="tut",K111="ptut",K111="stut"),0.5,IF(OR(K111="TL",K111="pTL",K111="STL"),0.75,0))),0),IF(M112="M",IF(OR(K112="lec",K112="plec",K112="slec"),1,IF(OR(K112="lab",K112="plab",K112="slab",K112="tut",K112="ptut",K112="stut"),0.5,IF(OR(K112="TL",K112="pTL",K112="STL"),0.75,0))),0),IF(M113="M",IF(OR(K113="lec",K113="plec",K113="slec"),1,IF(OR(K113="lab",K113="plab",K113="slab",K113="tut",K113="ptut",K113="stut"),0.5,IF(OR(K113="TL",K113="pTL",K113="STL"),0.75,0))),0),IF(M114="M",IF(OR(K114="lec",K114="plec",K114="slec"),1,IF(OR(K114="lab",K114="plab",K114="slab",K114="tut",K114="ptut",K114="stut"),0.5,IF(OR(K114="TL",K114="pTL",K114="STL"),0.75,0))),0),IF(M115="M",IF(OR(K115="lec",K115="plec",K115="slec"),1,IF(OR(K115="lab",K115="plab",K115="slab",K115="tut",K115="ptut",K115="stut"),0.5,IF(OR(K115="TL",K115="pTL",K115="STL"),0.75,0))),0),IF(M116="M",IF(OR(K116="lec",K116="plec",K116="slec"),1,IF(OR(K116="lab",K116="plab",K116="slab",K116="tut",K116="ptut",K116="stut"),0.5,IF(OR(K116="TL",K116="pTL",K116="STL"),0.75,0))),0),IF(M117="M",IF(OR(K117="lec",K117="plec",K117="slec"),1,IF(OR(K117="lab",K117="plab",K117="slab",K117="tut",K117="ptut",K117="stut"),0.5,IF(OR(K117="TL",K117="pTL",K117="STL"),0.75,0))),0))</f>
        <v>0</v>
      </c>
      <c r="U107" s="137"/>
      <c r="V107" s="133"/>
      <c r="W107" s="138"/>
      <c r="X107" s="139">
        <f>S107-(T107+U107+V107+W107)</f>
        <v>0</v>
      </c>
      <c r="Y107" s="134" t="str">
        <f>CONCATENATE(SUM(O107:O117),"(",SUM(O107:O117)-X107,")")</f>
        <v>0(0)</v>
      </c>
      <c r="Z107" s="140"/>
      <c r="AA107" s="141"/>
      <c r="AB107" s="142"/>
      <c r="AC107" s="142"/>
      <c r="AD107" s="142"/>
      <c r="AE107" s="142"/>
      <c r="AF107" s="142"/>
      <c r="AG107" s="142"/>
      <c r="AH107" s="142"/>
      <c r="AI107" s="143"/>
      <c r="AJ107" s="144"/>
      <c r="AK107" s="145"/>
      <c r="AL107" s="145"/>
      <c r="AM107" s="145"/>
      <c r="AN107" s="145"/>
      <c r="AO107" s="146"/>
      <c r="AP107" s="147">
        <f>SUM(SUM(O107:O117),SUM(AI107:AI117)/2,AM107)</f>
        <v>0</v>
      </c>
      <c r="AQ107" s="148"/>
      <c r="AR107" s="148">
        <f>AP107*AQ107</f>
        <v>0</v>
      </c>
      <c r="AS107" s="148">
        <f>CT107</f>
        <v>0</v>
      </c>
      <c r="AT107" s="149">
        <f>AR107*0.75+AS107*0.25</f>
        <v>0</v>
      </c>
      <c r="AU107" s="150"/>
      <c r="AV107" s="151"/>
      <c r="AW107" s="151"/>
      <c r="AX107" s="152"/>
      <c r="AY107" s="153"/>
      <c r="AZ107" s="140"/>
      <c r="BA107" s="150"/>
      <c r="BB107" s="151"/>
      <c r="BC107" s="151"/>
      <c r="BD107" s="151"/>
      <c r="BE107" s="151"/>
      <c r="BF107" s="151"/>
      <c r="BG107" s="151"/>
      <c r="BH107" s="151"/>
      <c r="BI107" s="152"/>
      <c r="BJ107" s="154"/>
      <c r="BK107" s="151"/>
      <c r="BL107" s="151"/>
      <c r="BM107" s="151"/>
      <c r="BN107" s="151"/>
      <c r="BO107" s="155"/>
      <c r="BP107" s="140"/>
      <c r="BQ107" s="156"/>
      <c r="BR107" s="157"/>
      <c r="BS107" s="158"/>
      <c r="BT107" s="153"/>
      <c r="BU107" s="140"/>
      <c r="BV107" s="140"/>
      <c r="BW107" s="140"/>
      <c r="BX107" s="140"/>
      <c r="BY107" s="140"/>
      <c r="BZ107" s="140"/>
      <c r="CA107" s="140"/>
      <c r="CB107" s="140"/>
      <c r="CC107" s="140"/>
      <c r="CD107" s="150"/>
      <c r="CE107" s="155"/>
      <c r="CF107" s="150"/>
      <c r="CG107" s="152"/>
      <c r="CH107" s="252"/>
      <c r="CI107" s="160"/>
      <c r="CJ107" s="159"/>
      <c r="CK107" s="160"/>
      <c r="CL107" s="159"/>
      <c r="CM107" s="160"/>
      <c r="CN107" s="159"/>
      <c r="CO107" s="160"/>
      <c r="CP107" s="159"/>
      <c r="CQ107" s="162"/>
      <c r="CR107" s="160"/>
      <c r="CS107" s="253">
        <f>SUM(IF(AU107&lt;0,ABS(AU107),0),IF(AZ107&lt;0,ABS(AZ107),0),ABS(CI107),ABS(CK107),ABS(CM107),ABS(CO107),ABS(CQ107),ABS(CR107))</f>
        <v>0</v>
      </c>
      <c r="CT107" s="254">
        <f>SUM(AU107,AV107,AW107,AX107/400,AY107,AZ107,BG107,BH107*0.5,BI107*0.25,BJ107,BK107,BL107,BM107,BN107,BO107,BP107,BR107/20,BS107/100,BT107/60,BU107,BV107,BW107,BX107/4,SUM(BY107:CC117)/3,CE107,CG107/3,CI107,CK107,CM107,CO107,CQ107,CR107)</f>
        <v>0</v>
      </c>
      <c r="CU107" s="255" t="str">
        <f t="shared" si="2"/>
        <v>ZPB</v>
      </c>
    </row>
    <row r="108" ht="60.0" customHeight="1">
      <c r="A108" s="65"/>
      <c r="C108" s="167">
        <v>2.0</v>
      </c>
      <c r="D108" s="168" t="s">
        <v>185</v>
      </c>
      <c r="E108" s="169"/>
      <c r="F108" s="170"/>
      <c r="G108" s="170"/>
      <c r="H108" s="170"/>
      <c r="I108" s="207"/>
      <c r="J108" s="170"/>
      <c r="K108" s="171"/>
      <c r="L108" s="171"/>
      <c r="M108" s="171"/>
      <c r="N108" s="276"/>
      <c r="O108" s="256">
        <f t="shared" si="20"/>
        <v>0</v>
      </c>
      <c r="Q108" s="173"/>
      <c r="R108" s="65"/>
      <c r="S108" s="173"/>
      <c r="T108" s="173"/>
      <c r="U108" s="166"/>
      <c r="V108" s="166"/>
      <c r="W108" s="65"/>
      <c r="X108" s="66"/>
      <c r="Y108" s="173"/>
      <c r="Z108" s="166"/>
      <c r="AA108" s="174"/>
      <c r="AB108" s="175"/>
      <c r="AC108" s="175"/>
      <c r="AD108" s="175"/>
      <c r="AE108" s="175"/>
      <c r="AF108" s="175"/>
      <c r="AG108" s="175"/>
      <c r="AH108" s="175"/>
      <c r="AI108" s="176"/>
      <c r="AJ108" s="177"/>
      <c r="AK108" s="178"/>
      <c r="AL108" s="178"/>
      <c r="AM108" s="178"/>
      <c r="AN108" s="178"/>
      <c r="AO108" s="179"/>
      <c r="AP108" s="64"/>
      <c r="AQ108" s="65"/>
      <c r="AR108" s="65"/>
      <c r="AS108" s="65"/>
      <c r="AT108" s="173"/>
      <c r="AU108" s="177"/>
      <c r="AV108" s="178"/>
      <c r="AW108" s="178"/>
      <c r="AX108" s="179"/>
      <c r="AZ108" s="166"/>
      <c r="BA108" s="177"/>
      <c r="BB108" s="178"/>
      <c r="BC108" s="178"/>
      <c r="BD108" s="178"/>
      <c r="BE108" s="178"/>
      <c r="BF108" s="178"/>
      <c r="BG108" s="178"/>
      <c r="BH108" s="178"/>
      <c r="BI108" s="179"/>
      <c r="BJ108" s="180"/>
      <c r="BK108" s="178"/>
      <c r="BL108" s="178"/>
      <c r="BM108" s="178"/>
      <c r="BN108" s="178"/>
      <c r="BO108" s="181"/>
      <c r="BP108" s="166"/>
      <c r="BQ108" s="177"/>
      <c r="BR108" s="178"/>
      <c r="BS108" s="179"/>
      <c r="BU108" s="166"/>
      <c r="BV108" s="166"/>
      <c r="BW108" s="166"/>
      <c r="BX108" s="166"/>
      <c r="BY108" s="166"/>
      <c r="BZ108" s="166"/>
      <c r="CA108" s="166"/>
      <c r="CB108" s="166"/>
      <c r="CC108" s="166"/>
      <c r="CD108" s="177"/>
      <c r="CE108" s="181"/>
      <c r="CF108" s="177"/>
      <c r="CG108" s="179"/>
      <c r="CH108" s="257"/>
      <c r="CI108" s="182"/>
      <c r="CJ108" s="177"/>
      <c r="CK108" s="182"/>
      <c r="CL108" s="177"/>
      <c r="CM108" s="182"/>
      <c r="CN108" s="177"/>
      <c r="CO108" s="182"/>
      <c r="CP108" s="177"/>
      <c r="CQ108" s="178"/>
      <c r="CR108" s="182"/>
      <c r="CS108" s="173"/>
      <c r="CT108" s="65"/>
      <c r="CU108" s="255" t="str">
        <f t="shared" si="2"/>
        <v>ZPB</v>
      </c>
    </row>
    <row r="109" ht="60.0" customHeight="1">
      <c r="A109" s="65"/>
      <c r="C109" s="167">
        <v>3.0</v>
      </c>
      <c r="D109" s="168" t="s">
        <v>185</v>
      </c>
      <c r="E109" s="169"/>
      <c r="F109" s="170"/>
      <c r="G109" s="170"/>
      <c r="H109" s="170"/>
      <c r="I109" s="207"/>
      <c r="J109" s="170"/>
      <c r="K109" s="171"/>
      <c r="L109" s="171"/>
      <c r="M109" s="171"/>
      <c r="N109" s="276"/>
      <c r="O109" s="256">
        <f t="shared" si="20"/>
        <v>0</v>
      </c>
      <c r="Q109" s="173"/>
      <c r="R109" s="65"/>
      <c r="S109" s="173"/>
      <c r="T109" s="173"/>
      <c r="U109" s="166"/>
      <c r="V109" s="166"/>
      <c r="W109" s="65"/>
      <c r="X109" s="66"/>
      <c r="Y109" s="173"/>
      <c r="Z109" s="166"/>
      <c r="AA109" s="174"/>
      <c r="AB109" s="175"/>
      <c r="AC109" s="175"/>
      <c r="AD109" s="175"/>
      <c r="AE109" s="175"/>
      <c r="AF109" s="175"/>
      <c r="AG109" s="175"/>
      <c r="AH109" s="175"/>
      <c r="AI109" s="176"/>
      <c r="AJ109" s="177"/>
      <c r="AK109" s="178"/>
      <c r="AL109" s="178"/>
      <c r="AM109" s="178"/>
      <c r="AN109" s="178"/>
      <c r="AO109" s="179"/>
      <c r="AP109" s="64"/>
      <c r="AQ109" s="65"/>
      <c r="AR109" s="65"/>
      <c r="AS109" s="65"/>
      <c r="AT109" s="173"/>
      <c r="AU109" s="177"/>
      <c r="AV109" s="178"/>
      <c r="AW109" s="178"/>
      <c r="AX109" s="179"/>
      <c r="AZ109" s="166"/>
      <c r="BA109" s="177"/>
      <c r="BB109" s="178"/>
      <c r="BC109" s="178"/>
      <c r="BD109" s="178"/>
      <c r="BE109" s="178"/>
      <c r="BF109" s="178"/>
      <c r="BG109" s="178"/>
      <c r="BH109" s="178"/>
      <c r="BI109" s="179"/>
      <c r="BJ109" s="180"/>
      <c r="BK109" s="178"/>
      <c r="BL109" s="178"/>
      <c r="BM109" s="178"/>
      <c r="BN109" s="178"/>
      <c r="BO109" s="181"/>
      <c r="BP109" s="166"/>
      <c r="BQ109" s="177"/>
      <c r="BR109" s="178"/>
      <c r="BS109" s="179"/>
      <c r="BU109" s="166"/>
      <c r="BV109" s="166"/>
      <c r="BW109" s="166"/>
      <c r="BX109" s="166"/>
      <c r="BY109" s="166"/>
      <c r="BZ109" s="166"/>
      <c r="CA109" s="166"/>
      <c r="CB109" s="166"/>
      <c r="CC109" s="166"/>
      <c r="CD109" s="177"/>
      <c r="CE109" s="181"/>
      <c r="CF109" s="177"/>
      <c r="CG109" s="179"/>
      <c r="CH109" s="257"/>
      <c r="CI109" s="182"/>
      <c r="CJ109" s="177"/>
      <c r="CK109" s="182"/>
      <c r="CL109" s="177"/>
      <c r="CM109" s="182"/>
      <c r="CN109" s="177"/>
      <c r="CO109" s="182"/>
      <c r="CP109" s="177"/>
      <c r="CQ109" s="178"/>
      <c r="CR109" s="182"/>
      <c r="CS109" s="173"/>
      <c r="CT109" s="65"/>
      <c r="CU109" s="255" t="str">
        <f t="shared" si="2"/>
        <v>ZPB</v>
      </c>
    </row>
    <row r="110" ht="60.0" customHeight="1">
      <c r="A110" s="65"/>
      <c r="C110" s="167">
        <v>4.0</v>
      </c>
      <c r="D110" s="168" t="s">
        <v>185</v>
      </c>
      <c r="E110" s="169"/>
      <c r="F110" s="170"/>
      <c r="G110" s="170"/>
      <c r="H110" s="170"/>
      <c r="I110" s="207"/>
      <c r="J110" s="170"/>
      <c r="K110" s="171"/>
      <c r="L110" s="171"/>
      <c r="M110" s="171"/>
      <c r="N110" s="276"/>
      <c r="O110" s="256">
        <f t="shared" si="20"/>
        <v>0</v>
      </c>
      <c r="Q110" s="173"/>
      <c r="R110" s="65"/>
      <c r="S110" s="173"/>
      <c r="T110" s="173"/>
      <c r="U110" s="166"/>
      <c r="V110" s="166"/>
      <c r="W110" s="65"/>
      <c r="X110" s="66"/>
      <c r="Y110" s="173"/>
      <c r="Z110" s="166"/>
      <c r="AA110" s="174"/>
      <c r="AB110" s="175"/>
      <c r="AC110" s="175"/>
      <c r="AD110" s="175"/>
      <c r="AE110" s="175"/>
      <c r="AF110" s="175"/>
      <c r="AG110" s="175"/>
      <c r="AH110" s="175"/>
      <c r="AI110" s="176"/>
      <c r="AJ110" s="177"/>
      <c r="AK110" s="178"/>
      <c r="AL110" s="178"/>
      <c r="AM110" s="178"/>
      <c r="AN110" s="178"/>
      <c r="AO110" s="179"/>
      <c r="AP110" s="64"/>
      <c r="AQ110" s="65"/>
      <c r="AR110" s="65"/>
      <c r="AS110" s="65"/>
      <c r="AT110" s="173"/>
      <c r="AU110" s="177"/>
      <c r="AV110" s="178"/>
      <c r="AW110" s="178"/>
      <c r="AX110" s="179"/>
      <c r="AZ110" s="166"/>
      <c r="BA110" s="177"/>
      <c r="BB110" s="178"/>
      <c r="BC110" s="178"/>
      <c r="BD110" s="178"/>
      <c r="BE110" s="178"/>
      <c r="BF110" s="178"/>
      <c r="BG110" s="178"/>
      <c r="BH110" s="178"/>
      <c r="BI110" s="179"/>
      <c r="BJ110" s="180"/>
      <c r="BK110" s="178"/>
      <c r="BL110" s="178"/>
      <c r="BM110" s="178"/>
      <c r="BN110" s="178"/>
      <c r="BO110" s="181"/>
      <c r="BP110" s="166"/>
      <c r="BQ110" s="177"/>
      <c r="BR110" s="178"/>
      <c r="BS110" s="179"/>
      <c r="BU110" s="166"/>
      <c r="BV110" s="166"/>
      <c r="BW110" s="166"/>
      <c r="BX110" s="166"/>
      <c r="BY110" s="166"/>
      <c r="BZ110" s="166"/>
      <c r="CA110" s="166"/>
      <c r="CB110" s="166"/>
      <c r="CC110" s="166"/>
      <c r="CD110" s="177"/>
      <c r="CE110" s="181"/>
      <c r="CF110" s="177"/>
      <c r="CG110" s="179"/>
      <c r="CH110" s="257"/>
      <c r="CI110" s="182"/>
      <c r="CJ110" s="177"/>
      <c r="CK110" s="182"/>
      <c r="CL110" s="177"/>
      <c r="CM110" s="182"/>
      <c r="CN110" s="177"/>
      <c r="CO110" s="182"/>
      <c r="CP110" s="177"/>
      <c r="CQ110" s="178"/>
      <c r="CR110" s="182"/>
      <c r="CS110" s="173"/>
      <c r="CT110" s="65"/>
      <c r="CU110" s="255" t="str">
        <f t="shared" si="2"/>
        <v>ZPB</v>
      </c>
    </row>
    <row r="111" ht="60.0" customHeight="1">
      <c r="A111" s="65"/>
      <c r="C111" s="167">
        <v>5.0</v>
      </c>
      <c r="D111" s="168" t="s">
        <v>185</v>
      </c>
      <c r="E111" s="169"/>
      <c r="F111" s="170"/>
      <c r="G111" s="170"/>
      <c r="H111" s="170"/>
      <c r="I111" s="207"/>
      <c r="J111" s="170"/>
      <c r="K111" s="171"/>
      <c r="L111" s="171"/>
      <c r="M111" s="171"/>
      <c r="N111" s="276"/>
      <c r="O111" s="256">
        <f t="shared" si="20"/>
        <v>0</v>
      </c>
      <c r="Q111" s="173"/>
      <c r="R111" s="65"/>
      <c r="S111" s="173"/>
      <c r="T111" s="173"/>
      <c r="U111" s="166"/>
      <c r="V111" s="166"/>
      <c r="W111" s="65"/>
      <c r="X111" s="66"/>
      <c r="Y111" s="173"/>
      <c r="Z111" s="166"/>
      <c r="AA111" s="174"/>
      <c r="AB111" s="175"/>
      <c r="AC111" s="175"/>
      <c r="AD111" s="175"/>
      <c r="AE111" s="175"/>
      <c r="AF111" s="175"/>
      <c r="AG111" s="175"/>
      <c r="AH111" s="175"/>
      <c r="AI111" s="176"/>
      <c r="AJ111" s="177"/>
      <c r="AK111" s="178"/>
      <c r="AL111" s="178"/>
      <c r="AM111" s="178"/>
      <c r="AN111" s="178"/>
      <c r="AO111" s="179"/>
      <c r="AP111" s="64"/>
      <c r="AQ111" s="65"/>
      <c r="AR111" s="65"/>
      <c r="AS111" s="65"/>
      <c r="AT111" s="173"/>
      <c r="AU111" s="177"/>
      <c r="AV111" s="178"/>
      <c r="AW111" s="178"/>
      <c r="AX111" s="179"/>
      <c r="AZ111" s="166"/>
      <c r="BA111" s="177"/>
      <c r="BB111" s="178"/>
      <c r="BC111" s="178"/>
      <c r="BD111" s="178"/>
      <c r="BE111" s="178"/>
      <c r="BF111" s="178"/>
      <c r="BG111" s="178"/>
      <c r="BH111" s="178"/>
      <c r="BI111" s="179"/>
      <c r="BJ111" s="180"/>
      <c r="BK111" s="178"/>
      <c r="BL111" s="178"/>
      <c r="BM111" s="178"/>
      <c r="BN111" s="178"/>
      <c r="BO111" s="181"/>
      <c r="BP111" s="166"/>
      <c r="BQ111" s="177"/>
      <c r="BR111" s="178"/>
      <c r="BS111" s="179"/>
      <c r="BU111" s="166"/>
      <c r="BV111" s="166"/>
      <c r="BW111" s="166"/>
      <c r="BX111" s="166"/>
      <c r="BY111" s="166"/>
      <c r="BZ111" s="166"/>
      <c r="CA111" s="166"/>
      <c r="CB111" s="166"/>
      <c r="CC111" s="166"/>
      <c r="CD111" s="177"/>
      <c r="CE111" s="181"/>
      <c r="CF111" s="177"/>
      <c r="CG111" s="179"/>
      <c r="CH111" s="257"/>
      <c r="CI111" s="182"/>
      <c r="CJ111" s="177"/>
      <c r="CK111" s="182"/>
      <c r="CL111" s="177"/>
      <c r="CM111" s="182"/>
      <c r="CN111" s="177"/>
      <c r="CO111" s="182"/>
      <c r="CP111" s="177"/>
      <c r="CQ111" s="178"/>
      <c r="CR111" s="182"/>
      <c r="CS111" s="173"/>
      <c r="CT111" s="65"/>
      <c r="CU111" s="255" t="str">
        <f t="shared" si="2"/>
        <v>ZPB</v>
      </c>
    </row>
    <row r="112" ht="60.0" customHeight="1">
      <c r="A112" s="65"/>
      <c r="C112" s="167">
        <v>6.0</v>
      </c>
      <c r="D112" s="168" t="s">
        <v>185</v>
      </c>
      <c r="E112" s="169"/>
      <c r="F112" s="170"/>
      <c r="G112" s="170"/>
      <c r="H112" s="170"/>
      <c r="I112" s="207"/>
      <c r="J112" s="170"/>
      <c r="K112" s="171"/>
      <c r="L112" s="171"/>
      <c r="M112" s="171"/>
      <c r="N112" s="276"/>
      <c r="O112" s="256">
        <f t="shared" si="20"/>
        <v>0</v>
      </c>
      <c r="Q112" s="173"/>
      <c r="R112" s="65"/>
      <c r="S112" s="173"/>
      <c r="T112" s="173"/>
      <c r="U112" s="166"/>
      <c r="V112" s="166"/>
      <c r="W112" s="65"/>
      <c r="X112" s="66"/>
      <c r="Y112" s="173"/>
      <c r="Z112" s="166"/>
      <c r="AA112" s="174"/>
      <c r="AB112" s="175"/>
      <c r="AC112" s="175"/>
      <c r="AD112" s="175"/>
      <c r="AE112" s="175"/>
      <c r="AF112" s="175"/>
      <c r="AG112" s="175"/>
      <c r="AH112" s="175"/>
      <c r="AI112" s="176"/>
      <c r="AJ112" s="177"/>
      <c r="AK112" s="178"/>
      <c r="AL112" s="178"/>
      <c r="AM112" s="178"/>
      <c r="AN112" s="178"/>
      <c r="AO112" s="179"/>
      <c r="AP112" s="64"/>
      <c r="AQ112" s="65"/>
      <c r="AR112" s="65"/>
      <c r="AS112" s="65"/>
      <c r="AT112" s="173"/>
      <c r="AU112" s="177"/>
      <c r="AV112" s="178"/>
      <c r="AW112" s="178"/>
      <c r="AX112" s="179"/>
      <c r="AZ112" s="166"/>
      <c r="BA112" s="177"/>
      <c r="BB112" s="178"/>
      <c r="BC112" s="178"/>
      <c r="BD112" s="178"/>
      <c r="BE112" s="178"/>
      <c r="BF112" s="178"/>
      <c r="BG112" s="178"/>
      <c r="BH112" s="178"/>
      <c r="BI112" s="179"/>
      <c r="BJ112" s="180"/>
      <c r="BK112" s="178"/>
      <c r="BL112" s="178"/>
      <c r="BM112" s="178"/>
      <c r="BN112" s="178"/>
      <c r="BO112" s="181"/>
      <c r="BP112" s="166"/>
      <c r="BQ112" s="177"/>
      <c r="BR112" s="178"/>
      <c r="BS112" s="179"/>
      <c r="BU112" s="166"/>
      <c r="BV112" s="166"/>
      <c r="BW112" s="166"/>
      <c r="BX112" s="166"/>
      <c r="BY112" s="166"/>
      <c r="BZ112" s="166"/>
      <c r="CA112" s="166"/>
      <c r="CB112" s="166"/>
      <c r="CC112" s="166"/>
      <c r="CD112" s="177"/>
      <c r="CE112" s="181"/>
      <c r="CF112" s="177"/>
      <c r="CG112" s="179"/>
      <c r="CH112" s="257"/>
      <c r="CI112" s="182"/>
      <c r="CJ112" s="177"/>
      <c r="CK112" s="182"/>
      <c r="CL112" s="177"/>
      <c r="CM112" s="182"/>
      <c r="CN112" s="177"/>
      <c r="CO112" s="182"/>
      <c r="CP112" s="177"/>
      <c r="CQ112" s="178"/>
      <c r="CR112" s="182"/>
      <c r="CS112" s="173"/>
      <c r="CT112" s="65"/>
      <c r="CU112" s="255" t="str">
        <f t="shared" si="2"/>
        <v>ZPB</v>
      </c>
    </row>
    <row r="113" ht="60.0" customHeight="1">
      <c r="A113" s="65"/>
      <c r="C113" s="167">
        <v>7.0</v>
      </c>
      <c r="D113" s="168" t="s">
        <v>185</v>
      </c>
      <c r="E113" s="169"/>
      <c r="F113" s="170"/>
      <c r="G113" s="170"/>
      <c r="H113" s="170"/>
      <c r="I113" s="207"/>
      <c r="J113" s="170"/>
      <c r="K113" s="171"/>
      <c r="L113" s="171"/>
      <c r="M113" s="171"/>
      <c r="N113" s="276"/>
      <c r="O113" s="256">
        <f t="shared" ref="O113:O116" si="21">IF(AND(M113&gt;=20,M113&lt;&gt;"m",RIGHT(K113,3)="Lec"),1,IF(AND(M113&gt;=20,M113&lt;&gt;"m",OR(RIGHT(K113,3)="Lab",RIGHT(K113,3)="Tut")),0.5,IF(AND(M113&gt;=20,M113&lt;&gt;"m",RIGHT(K113,2)="TL"),0.75,0)))</f>
        <v>0</v>
      </c>
      <c r="Q113" s="173"/>
      <c r="R113" s="65"/>
      <c r="S113" s="173"/>
      <c r="T113" s="173"/>
      <c r="U113" s="166"/>
      <c r="V113" s="166"/>
      <c r="W113" s="65"/>
      <c r="X113" s="66"/>
      <c r="Y113" s="173"/>
      <c r="Z113" s="166"/>
      <c r="AA113" s="174"/>
      <c r="AB113" s="175"/>
      <c r="AC113" s="175"/>
      <c r="AD113" s="175"/>
      <c r="AE113" s="175"/>
      <c r="AF113" s="175"/>
      <c r="AG113" s="175"/>
      <c r="AH113" s="175"/>
      <c r="AI113" s="176"/>
      <c r="AJ113" s="177"/>
      <c r="AK113" s="178"/>
      <c r="AL113" s="178"/>
      <c r="AM113" s="178"/>
      <c r="AN113" s="178"/>
      <c r="AO113" s="179"/>
      <c r="AP113" s="64"/>
      <c r="AQ113" s="65"/>
      <c r="AR113" s="65"/>
      <c r="AS113" s="65"/>
      <c r="AT113" s="173"/>
      <c r="AU113" s="177"/>
      <c r="AV113" s="178"/>
      <c r="AW113" s="178"/>
      <c r="AX113" s="179"/>
      <c r="AZ113" s="166"/>
      <c r="BA113" s="177"/>
      <c r="BB113" s="178"/>
      <c r="BC113" s="178"/>
      <c r="BD113" s="178"/>
      <c r="BE113" s="178"/>
      <c r="BF113" s="178"/>
      <c r="BG113" s="178"/>
      <c r="BH113" s="178"/>
      <c r="BI113" s="179"/>
      <c r="BJ113" s="180"/>
      <c r="BK113" s="178"/>
      <c r="BL113" s="178"/>
      <c r="BM113" s="178"/>
      <c r="BN113" s="178"/>
      <c r="BO113" s="181"/>
      <c r="BP113" s="166"/>
      <c r="BQ113" s="177"/>
      <c r="BR113" s="178"/>
      <c r="BS113" s="179"/>
      <c r="BU113" s="166"/>
      <c r="BV113" s="166"/>
      <c r="BW113" s="166"/>
      <c r="BX113" s="166"/>
      <c r="BY113" s="166"/>
      <c r="BZ113" s="166"/>
      <c r="CA113" s="166"/>
      <c r="CB113" s="166"/>
      <c r="CC113" s="166"/>
      <c r="CD113" s="177"/>
      <c r="CE113" s="181"/>
      <c r="CF113" s="177"/>
      <c r="CG113" s="179"/>
      <c r="CH113" s="257"/>
      <c r="CI113" s="182"/>
      <c r="CJ113" s="177"/>
      <c r="CK113" s="182"/>
      <c r="CL113" s="177"/>
      <c r="CM113" s="182"/>
      <c r="CN113" s="177"/>
      <c r="CO113" s="182"/>
      <c r="CP113" s="177"/>
      <c r="CQ113" s="178"/>
      <c r="CR113" s="182"/>
      <c r="CS113" s="173"/>
      <c r="CT113" s="65"/>
      <c r="CU113" s="255" t="str">
        <f t="shared" si="2"/>
        <v>ZPB</v>
      </c>
    </row>
    <row r="114" ht="60.0" customHeight="1">
      <c r="A114" s="65"/>
      <c r="C114" s="167">
        <v>8.0</v>
      </c>
      <c r="D114" s="168" t="s">
        <v>185</v>
      </c>
      <c r="E114" s="169"/>
      <c r="F114" s="170"/>
      <c r="G114" s="170"/>
      <c r="H114" s="170"/>
      <c r="I114" s="207"/>
      <c r="J114" s="170"/>
      <c r="K114" s="171"/>
      <c r="L114" s="171"/>
      <c r="M114" s="171"/>
      <c r="N114" s="276"/>
      <c r="O114" s="256">
        <f t="shared" si="21"/>
        <v>0</v>
      </c>
      <c r="Q114" s="173"/>
      <c r="R114" s="65"/>
      <c r="S114" s="173"/>
      <c r="T114" s="173"/>
      <c r="U114" s="166"/>
      <c r="V114" s="166"/>
      <c r="W114" s="65"/>
      <c r="X114" s="66"/>
      <c r="Y114" s="173"/>
      <c r="Z114" s="166"/>
      <c r="AA114" s="174"/>
      <c r="AB114" s="175"/>
      <c r="AC114" s="175"/>
      <c r="AD114" s="175"/>
      <c r="AE114" s="175"/>
      <c r="AF114" s="175"/>
      <c r="AG114" s="175"/>
      <c r="AH114" s="175"/>
      <c r="AI114" s="176"/>
      <c r="AJ114" s="177"/>
      <c r="AK114" s="178"/>
      <c r="AL114" s="178"/>
      <c r="AM114" s="178"/>
      <c r="AN114" s="178"/>
      <c r="AO114" s="179"/>
      <c r="AP114" s="64"/>
      <c r="AQ114" s="65"/>
      <c r="AR114" s="65"/>
      <c r="AS114" s="65"/>
      <c r="AT114" s="173"/>
      <c r="AU114" s="177"/>
      <c r="AV114" s="178"/>
      <c r="AW114" s="178"/>
      <c r="AX114" s="179"/>
      <c r="AZ114" s="166"/>
      <c r="BA114" s="177"/>
      <c r="BB114" s="178"/>
      <c r="BC114" s="178"/>
      <c r="BD114" s="178"/>
      <c r="BE114" s="178"/>
      <c r="BF114" s="178"/>
      <c r="BG114" s="178"/>
      <c r="BH114" s="178"/>
      <c r="BI114" s="179"/>
      <c r="BJ114" s="180"/>
      <c r="BK114" s="178"/>
      <c r="BL114" s="178"/>
      <c r="BM114" s="178"/>
      <c r="BN114" s="178"/>
      <c r="BO114" s="181"/>
      <c r="BP114" s="166"/>
      <c r="BQ114" s="177"/>
      <c r="BR114" s="178"/>
      <c r="BS114" s="179"/>
      <c r="BU114" s="166"/>
      <c r="BV114" s="166"/>
      <c r="BW114" s="166"/>
      <c r="BX114" s="166"/>
      <c r="BY114" s="166"/>
      <c r="BZ114" s="166"/>
      <c r="CA114" s="166"/>
      <c r="CB114" s="166"/>
      <c r="CC114" s="166"/>
      <c r="CD114" s="177"/>
      <c r="CE114" s="181"/>
      <c r="CF114" s="177"/>
      <c r="CG114" s="179"/>
      <c r="CH114" s="257"/>
      <c r="CI114" s="182"/>
      <c r="CJ114" s="177"/>
      <c r="CK114" s="182"/>
      <c r="CL114" s="177"/>
      <c r="CM114" s="182"/>
      <c r="CN114" s="177"/>
      <c r="CO114" s="182"/>
      <c r="CP114" s="177"/>
      <c r="CQ114" s="178"/>
      <c r="CR114" s="182"/>
      <c r="CS114" s="173"/>
      <c r="CT114" s="65"/>
      <c r="CU114" s="255" t="str">
        <f t="shared" si="2"/>
        <v>ZPB</v>
      </c>
    </row>
    <row r="115" ht="60.0" customHeight="1">
      <c r="A115" s="65"/>
      <c r="C115" s="167">
        <v>9.0</v>
      </c>
      <c r="D115" s="168" t="s">
        <v>185</v>
      </c>
      <c r="E115" s="169"/>
      <c r="F115" s="170"/>
      <c r="G115" s="170"/>
      <c r="H115" s="170"/>
      <c r="I115" s="207"/>
      <c r="J115" s="170"/>
      <c r="K115" s="171"/>
      <c r="L115" s="171"/>
      <c r="M115" s="171"/>
      <c r="N115" s="276"/>
      <c r="O115" s="256">
        <f t="shared" si="21"/>
        <v>0</v>
      </c>
      <c r="Q115" s="173"/>
      <c r="R115" s="65"/>
      <c r="S115" s="173"/>
      <c r="T115" s="173"/>
      <c r="U115" s="166"/>
      <c r="V115" s="166"/>
      <c r="W115" s="65"/>
      <c r="X115" s="66"/>
      <c r="Y115" s="173"/>
      <c r="Z115" s="166"/>
      <c r="AA115" s="174"/>
      <c r="AB115" s="175"/>
      <c r="AC115" s="175"/>
      <c r="AD115" s="175"/>
      <c r="AE115" s="175"/>
      <c r="AF115" s="175"/>
      <c r="AG115" s="175"/>
      <c r="AH115" s="175"/>
      <c r="AI115" s="176"/>
      <c r="AJ115" s="177"/>
      <c r="AK115" s="178"/>
      <c r="AL115" s="178"/>
      <c r="AM115" s="178"/>
      <c r="AN115" s="178"/>
      <c r="AO115" s="179"/>
      <c r="AP115" s="64"/>
      <c r="AQ115" s="65"/>
      <c r="AR115" s="65"/>
      <c r="AS115" s="65"/>
      <c r="AT115" s="173"/>
      <c r="AU115" s="177"/>
      <c r="AV115" s="178"/>
      <c r="AW115" s="178"/>
      <c r="AX115" s="179"/>
      <c r="AZ115" s="166"/>
      <c r="BA115" s="177"/>
      <c r="BB115" s="178"/>
      <c r="BC115" s="178"/>
      <c r="BD115" s="178"/>
      <c r="BE115" s="178"/>
      <c r="BF115" s="178"/>
      <c r="BG115" s="178"/>
      <c r="BH115" s="178"/>
      <c r="BI115" s="179"/>
      <c r="BJ115" s="180"/>
      <c r="BK115" s="178"/>
      <c r="BL115" s="178"/>
      <c r="BM115" s="178"/>
      <c r="BN115" s="178"/>
      <c r="BO115" s="181"/>
      <c r="BP115" s="166"/>
      <c r="BQ115" s="177"/>
      <c r="BR115" s="178"/>
      <c r="BS115" s="179"/>
      <c r="BU115" s="166"/>
      <c r="BV115" s="166"/>
      <c r="BW115" s="166"/>
      <c r="BX115" s="166"/>
      <c r="BY115" s="166"/>
      <c r="BZ115" s="166"/>
      <c r="CA115" s="166"/>
      <c r="CB115" s="166"/>
      <c r="CC115" s="166"/>
      <c r="CD115" s="177"/>
      <c r="CE115" s="181"/>
      <c r="CF115" s="177"/>
      <c r="CG115" s="179"/>
      <c r="CH115" s="257"/>
      <c r="CI115" s="182"/>
      <c r="CJ115" s="177"/>
      <c r="CK115" s="182"/>
      <c r="CL115" s="177"/>
      <c r="CM115" s="182"/>
      <c r="CN115" s="177"/>
      <c r="CO115" s="182"/>
      <c r="CP115" s="177"/>
      <c r="CQ115" s="178"/>
      <c r="CR115" s="182"/>
      <c r="CS115" s="173"/>
      <c r="CT115" s="65"/>
      <c r="CU115" s="255" t="str">
        <f t="shared" si="2"/>
        <v>ZPB</v>
      </c>
    </row>
    <row r="116" ht="60.0" customHeight="1">
      <c r="A116" s="65"/>
      <c r="C116" s="167">
        <v>10.0</v>
      </c>
      <c r="D116" s="168" t="s">
        <v>185</v>
      </c>
      <c r="E116" s="169"/>
      <c r="F116" s="170"/>
      <c r="G116" s="170"/>
      <c r="H116" s="170"/>
      <c r="I116" s="207"/>
      <c r="J116" s="170"/>
      <c r="K116" s="171"/>
      <c r="L116" s="171"/>
      <c r="M116" s="171"/>
      <c r="N116" s="276"/>
      <c r="O116" s="256">
        <f t="shared" si="21"/>
        <v>0</v>
      </c>
      <c r="Q116" s="173"/>
      <c r="R116" s="65"/>
      <c r="S116" s="173"/>
      <c r="T116" s="173"/>
      <c r="U116" s="166"/>
      <c r="V116" s="166"/>
      <c r="W116" s="65"/>
      <c r="X116" s="66"/>
      <c r="Y116" s="173"/>
      <c r="Z116" s="166"/>
      <c r="AA116" s="174"/>
      <c r="AB116" s="175"/>
      <c r="AC116" s="175"/>
      <c r="AD116" s="175"/>
      <c r="AE116" s="175"/>
      <c r="AF116" s="175"/>
      <c r="AG116" s="175"/>
      <c r="AH116" s="175"/>
      <c r="AI116" s="176"/>
      <c r="AJ116" s="177"/>
      <c r="AK116" s="178"/>
      <c r="AL116" s="178"/>
      <c r="AM116" s="178"/>
      <c r="AN116" s="178"/>
      <c r="AO116" s="179"/>
      <c r="AP116" s="64"/>
      <c r="AQ116" s="65"/>
      <c r="AR116" s="65"/>
      <c r="AS116" s="65"/>
      <c r="AT116" s="173"/>
      <c r="AU116" s="177"/>
      <c r="AV116" s="178"/>
      <c r="AW116" s="178"/>
      <c r="AX116" s="179"/>
      <c r="AZ116" s="166"/>
      <c r="BA116" s="177"/>
      <c r="BB116" s="178"/>
      <c r="BC116" s="178"/>
      <c r="BD116" s="178"/>
      <c r="BE116" s="178"/>
      <c r="BF116" s="178"/>
      <c r="BG116" s="178"/>
      <c r="BH116" s="178"/>
      <c r="BI116" s="179"/>
      <c r="BJ116" s="180"/>
      <c r="BK116" s="178"/>
      <c r="BL116" s="178"/>
      <c r="BM116" s="178"/>
      <c r="BN116" s="178"/>
      <c r="BO116" s="181"/>
      <c r="BP116" s="166"/>
      <c r="BQ116" s="177"/>
      <c r="BR116" s="178"/>
      <c r="BS116" s="179"/>
      <c r="BU116" s="166"/>
      <c r="BV116" s="166"/>
      <c r="BW116" s="166"/>
      <c r="BX116" s="166"/>
      <c r="BY116" s="166"/>
      <c r="BZ116" s="166"/>
      <c r="CA116" s="166"/>
      <c r="CB116" s="166"/>
      <c r="CC116" s="166"/>
      <c r="CD116" s="177"/>
      <c r="CE116" s="181"/>
      <c r="CF116" s="177"/>
      <c r="CG116" s="179"/>
      <c r="CH116" s="257"/>
      <c r="CI116" s="182"/>
      <c r="CJ116" s="177"/>
      <c r="CK116" s="182"/>
      <c r="CL116" s="177"/>
      <c r="CM116" s="182"/>
      <c r="CN116" s="177"/>
      <c r="CO116" s="182"/>
      <c r="CP116" s="177"/>
      <c r="CQ116" s="178"/>
      <c r="CR116" s="182"/>
      <c r="CS116" s="173"/>
      <c r="CT116" s="65"/>
      <c r="CU116" s="255" t="str">
        <f t="shared" si="2"/>
        <v>ZPB</v>
      </c>
    </row>
    <row r="117" ht="60.0" customHeight="1">
      <c r="A117" s="89"/>
      <c r="C117" s="183">
        <v>11.0</v>
      </c>
      <c r="D117" s="210" t="s">
        <v>185</v>
      </c>
      <c r="E117" s="185"/>
      <c r="F117" s="186"/>
      <c r="G117" s="186"/>
      <c r="H117" s="186"/>
      <c r="I117" s="212"/>
      <c r="J117" s="186"/>
      <c r="K117" s="187"/>
      <c r="L117" s="187"/>
      <c r="M117" s="187"/>
      <c r="N117" s="214"/>
      <c r="O117" s="258">
        <f t="shared" ref="O117:O123" si="22">IF(AND(M117&lt;&gt;0,M117&lt;&gt;"m",M117&lt;&gt;"",RIGHT(K117,3)="Lec"),1,IF(AND(M117&lt;&gt;0,M117&lt;&gt;"m",M117&lt;&gt;"",OR(RIGHT(K117,3)="Lab",RIGHT(K117,3)="Tut")),0.5,IF(AND(M117&lt;&gt;0,M117&lt;&gt;"m",M117&lt;&gt;"",RIGHT(K117,2)="TL"),0.75,0)))</f>
        <v>0</v>
      </c>
      <c r="P117" s="6"/>
      <c r="Q117" s="69"/>
      <c r="R117" s="89"/>
      <c r="S117" s="69"/>
      <c r="T117" s="69"/>
      <c r="U117" s="63"/>
      <c r="V117" s="63"/>
      <c r="W117" s="89"/>
      <c r="X117" s="68"/>
      <c r="Y117" s="69"/>
      <c r="Z117" s="63"/>
      <c r="AA117" s="189"/>
      <c r="AB117" s="190"/>
      <c r="AC117" s="190"/>
      <c r="AD117" s="190"/>
      <c r="AE117" s="190"/>
      <c r="AF117" s="190"/>
      <c r="AG117" s="190"/>
      <c r="AH117" s="190"/>
      <c r="AI117" s="191"/>
      <c r="AJ117" s="192"/>
      <c r="AK117" s="193"/>
      <c r="AL117" s="193"/>
      <c r="AM117" s="193"/>
      <c r="AN117" s="193"/>
      <c r="AO117" s="194"/>
      <c r="AP117" s="103"/>
      <c r="AQ117" s="89"/>
      <c r="AR117" s="89"/>
      <c r="AS117" s="89"/>
      <c r="AT117" s="69"/>
      <c r="AU117" s="192"/>
      <c r="AV117" s="193"/>
      <c r="AW117" s="193"/>
      <c r="AX117" s="194"/>
      <c r="AY117" s="6"/>
      <c r="AZ117" s="63"/>
      <c r="BA117" s="192"/>
      <c r="BB117" s="193"/>
      <c r="BC117" s="193"/>
      <c r="BD117" s="193"/>
      <c r="BE117" s="193"/>
      <c r="BF117" s="193"/>
      <c r="BG117" s="193"/>
      <c r="BH117" s="193"/>
      <c r="BI117" s="194"/>
      <c r="BJ117" s="195"/>
      <c r="BK117" s="193"/>
      <c r="BL117" s="193"/>
      <c r="BM117" s="193"/>
      <c r="BN117" s="193"/>
      <c r="BO117" s="196"/>
      <c r="BP117" s="63"/>
      <c r="BQ117" s="192"/>
      <c r="BR117" s="193"/>
      <c r="BS117" s="194"/>
      <c r="BT117" s="6"/>
      <c r="BU117" s="63"/>
      <c r="BV117" s="63"/>
      <c r="BW117" s="63"/>
      <c r="BX117" s="63"/>
      <c r="BY117" s="63"/>
      <c r="BZ117" s="63"/>
      <c r="CA117" s="63"/>
      <c r="CB117" s="63"/>
      <c r="CC117" s="63"/>
      <c r="CD117" s="192"/>
      <c r="CE117" s="196"/>
      <c r="CF117" s="192"/>
      <c r="CG117" s="194"/>
      <c r="CH117" s="259"/>
      <c r="CI117" s="197"/>
      <c r="CJ117" s="192"/>
      <c r="CK117" s="197"/>
      <c r="CL117" s="192"/>
      <c r="CM117" s="197"/>
      <c r="CN117" s="192"/>
      <c r="CO117" s="197"/>
      <c r="CP117" s="192"/>
      <c r="CQ117" s="193"/>
      <c r="CR117" s="197"/>
      <c r="CS117" s="69"/>
      <c r="CT117" s="89"/>
      <c r="CU117" s="255" t="str">
        <f t="shared" si="2"/>
        <v>ZPB</v>
      </c>
    </row>
    <row r="118" ht="55.5" customHeight="1">
      <c r="A118" s="125">
        <v>11.0</v>
      </c>
      <c r="B118" s="199" t="s">
        <v>194</v>
      </c>
      <c r="C118" s="127">
        <v>1.0</v>
      </c>
      <c r="D118" s="168" t="s">
        <v>195</v>
      </c>
      <c r="E118" s="129"/>
      <c r="F118" s="130"/>
      <c r="G118" s="130"/>
      <c r="H118" s="130"/>
      <c r="I118" s="201"/>
      <c r="J118" s="130"/>
      <c r="K118" s="131"/>
      <c r="L118" s="131"/>
      <c r="M118" s="131"/>
      <c r="N118" s="275"/>
      <c r="O118" s="250">
        <f t="shared" si="22"/>
        <v>0</v>
      </c>
      <c r="P118" s="251">
        <f>COUNTIF(K118:K128,"TL")*0.75+COUNTIF(K118:K128,"Lec")*1+COUNTIF(K118:K128,"Lab")*0.5</f>
        <v>0</v>
      </c>
      <c r="Q118" s="134">
        <f>SUM((IF(LEFT(K118,1)="E",O118,0)),(IF(LEFT(K119,1)="E",O119,0)),(IF(LEFT(K120,1)="E",O120,0)),(IF(LEFT(K121,1)="E",O121,0)),(IF(LEFT(K122,1)="E",O122,0)),(IF(LEFT(K123,1)="E",O123,0)),(IF(LEFT(K124,1)="E",O124,0)),(IF(LEFT(K125,1)="E",O125,0)),(IF(LEFT(K126,1)="E",O126,0)),(IF(LEFT(K127,1)="E",O127,0)),(IF(LEFT(K128,1)="E",O128,0)))</f>
        <v>0</v>
      </c>
      <c r="R118" s="135">
        <f>SUM(IF(M124&lt;20,IF(K124="Plec",-1,IF(K124="PTL",-0.75,IF(K124="Plab",-0.5,0))),0),IF(M125&lt;20,IF(K125="Plec",-1,IF(K125="PTL",-0.75,IF(K125="Plab",-0.5,0))),0),IF(M126&lt;20,IF(K126="Plec",-1,IF(K126="PTL",-0.75,IF(K126="Plab",-0.5,0))),0),IF(M127&lt;20,IF(K127="Plec",-1,IF(K127="PTL",-0.75,IF(K127="Plab",-0.5,0))),0))</f>
        <v>0</v>
      </c>
      <c r="S118" s="134">
        <f>SUM(P118:R128)</f>
        <v>0</v>
      </c>
      <c r="T118" s="136">
        <f>SUM(IF(M118="M",IF(OR(K118="lec",K118="plec",K118="slec"),1,IF(OR(K118="lab",K118="plab",K118="slab",K118="tut",K118="ptut",K118="stut"),0.5,IF(OR(K118="TL",K118="pTL",K118="STL"),0.75,0))),0),IF(M119="M",IF(OR(K119="lec",K119="plec",K119="slec"),1,IF(OR(K119="lab",K119="plab",K119="slab",K119="tut",K119="ptut",K119="stut"),0.5,IF(OR(K119="TL",K119="pTL",K119="STL"),0.75,0))),0),IF(M120="M",IF(OR(K120="lec",K120="plec",K120="slec"),1,IF(OR(K120="lab",K120="plab",K120="slab",K120="tut",K120="ptut",K120="stut"),0.5,IF(OR(K120="TL",K120="pTL",K120="STL"),0.75,0))),0),IF(M121="M",IF(OR(K121="lec",K121="plec",K121="slec"),1,IF(OR(K121="lab",K121="plab",K121="slab",K121="tut",K121="ptut",K121="stut"),0.5,IF(OR(K121="TL",K121="pTL",K121="STL"),0.75,0))),0),IF(M122="M",IF(OR(K122="lec",K122="plec",K122="slec"),1,IF(OR(K122="lab",K122="plab",K122="slab",K122="tut",K122="ptut",K122="stut"),0.5,IF(OR(K122="TL",K122="pTL",K122="STL"),0.75,0))),0),IF(M123="M",IF(OR(K123="lec",K123="plec",K123="slec"),1,IF(OR(K123="lab",K123="plab",K123="slab",K123="tut",K123="ptut",K123="stut"),0.5,IF(OR(K123="TL",K123="pTL",K123="STL"),0.75,0))),0),IF(M124="M",IF(OR(K124="lec",K124="plec",K124="slec"),1,IF(OR(K124="lab",K124="plab",K124="slab",K124="tut",K124="ptut",K124="stut"),0.5,IF(OR(K124="TL",K124="pTL",K124="STL"),0.75,0))),0),IF(M125="M",IF(OR(K125="lec",K125="plec",K125="slec"),1,IF(OR(K125="lab",K125="plab",K125="slab",K125="tut",K125="ptut",K125="stut"),0.5,IF(OR(K125="TL",K125="pTL",K125="STL"),0.75,0))),0),IF(M126="M",IF(OR(K126="lec",K126="plec",K126="slec"),1,IF(OR(K126="lab",K126="plab",K126="slab",K126="tut",K126="ptut",K126="stut"),0.5,IF(OR(K126="TL",K126="pTL",K126="STL"),0.75,0))),0),IF(M127="M",IF(OR(K127="lec",K127="plec",K127="slec"),1,IF(OR(K127="lab",K127="plab",K127="slab",K127="tut",K127="ptut",K127="stut"),0.5,IF(OR(K127="TL",K127="pTL",K127="STL"),0.75,0))),0),IF(M128="M",IF(OR(K128="lec",K128="plec",K128="slec"),1,IF(OR(K128="lab",K128="plab",K128="slab",K128="tut",K128="ptut",K128="stut"),0.5,IF(OR(K128="TL",K128="pTL",K128="STL"),0.75,0))),0))</f>
        <v>0</v>
      </c>
      <c r="U118" s="137"/>
      <c r="V118" s="133"/>
      <c r="W118" s="138"/>
      <c r="X118" s="139">
        <f>S118-(T118+U118+V118+W118)</f>
        <v>0</v>
      </c>
      <c r="Y118" s="134" t="str">
        <f>CONCATENATE(SUM(O118:O128),"(",SUM(O118:O128)-X118,")")</f>
        <v>0(0)</v>
      </c>
      <c r="Z118" s="140"/>
      <c r="AA118" s="141"/>
      <c r="AB118" s="142"/>
      <c r="AC118" s="142"/>
      <c r="AD118" s="142"/>
      <c r="AE118" s="142"/>
      <c r="AF118" s="142"/>
      <c r="AG118" s="142"/>
      <c r="AH118" s="142"/>
      <c r="AI118" s="143"/>
      <c r="AJ118" s="144"/>
      <c r="AK118" s="145"/>
      <c r="AL118" s="145"/>
      <c r="AM118" s="145"/>
      <c r="AN118" s="145"/>
      <c r="AO118" s="146"/>
      <c r="AP118" s="147">
        <f>SUM(SUM(O118:O128),SUM(AI118:AI128)/2,AM118)</f>
        <v>0</v>
      </c>
      <c r="AQ118" s="148"/>
      <c r="AR118" s="148">
        <f>AP118*AQ118</f>
        <v>0</v>
      </c>
      <c r="AS118" s="148">
        <f>CT118</f>
        <v>0</v>
      </c>
      <c r="AT118" s="149">
        <f>AR118*0.75+AS118*0.25</f>
        <v>0</v>
      </c>
      <c r="AU118" s="150"/>
      <c r="AV118" s="151"/>
      <c r="AW118" s="151"/>
      <c r="AX118" s="152"/>
      <c r="AY118" s="153"/>
      <c r="AZ118" s="140"/>
      <c r="BA118" s="150"/>
      <c r="BB118" s="151"/>
      <c r="BC118" s="151"/>
      <c r="BD118" s="151"/>
      <c r="BE118" s="151"/>
      <c r="BF118" s="151"/>
      <c r="BG118" s="151"/>
      <c r="BH118" s="151"/>
      <c r="BI118" s="152"/>
      <c r="BJ118" s="154"/>
      <c r="BK118" s="151"/>
      <c r="BL118" s="151"/>
      <c r="BM118" s="151"/>
      <c r="BN118" s="151"/>
      <c r="BO118" s="155"/>
      <c r="BP118" s="140"/>
      <c r="BQ118" s="156"/>
      <c r="BR118" s="157"/>
      <c r="BS118" s="158"/>
      <c r="BT118" s="153"/>
      <c r="BU118" s="140"/>
      <c r="BV118" s="140"/>
      <c r="BW118" s="140"/>
      <c r="BX118" s="140"/>
      <c r="BY118" s="140"/>
      <c r="BZ118" s="140"/>
      <c r="CA118" s="140"/>
      <c r="CB118" s="140"/>
      <c r="CC118" s="140"/>
      <c r="CD118" s="150"/>
      <c r="CE118" s="155"/>
      <c r="CF118" s="150"/>
      <c r="CG118" s="152"/>
      <c r="CH118" s="252"/>
      <c r="CI118" s="160"/>
      <c r="CJ118" s="159"/>
      <c r="CK118" s="160"/>
      <c r="CL118" s="159"/>
      <c r="CM118" s="160"/>
      <c r="CN118" s="159"/>
      <c r="CO118" s="160"/>
      <c r="CP118" s="159"/>
      <c r="CQ118" s="162"/>
      <c r="CR118" s="160"/>
      <c r="CS118" s="253">
        <f>SUM(IF(AU118&lt;0,ABS(AU118),0),IF(AZ118&lt;0,ABS(AZ118),0),ABS(CI118),ABS(CK118),ABS(CM118),ABS(CO118),ABS(CQ118),ABS(CR118))</f>
        <v>0</v>
      </c>
      <c r="CT118" s="254">
        <f>SUM(AU118,AV118,AW118,AX118/400,AY118,AZ118,BG118,BH118*0.5,BI118*0.25,BJ118,BK118,BL118,BM118,BN118,BO118,BP118,BR118/20,BS118/100,BT118/60,BU118,BV118,BW118,BX118/4,SUM(BY118:CC128)/3,CE118,CG118/3,CI118,CK118,CM118,CO118,CQ118,CR118)</f>
        <v>0</v>
      </c>
      <c r="CU118" s="255" t="str">
        <f t="shared" si="2"/>
        <v>DPS</v>
      </c>
    </row>
    <row r="119" ht="60.0" customHeight="1">
      <c r="A119" s="65"/>
      <c r="C119" s="167">
        <v>2.0</v>
      </c>
      <c r="D119" s="168" t="s">
        <v>195</v>
      </c>
      <c r="E119" s="169"/>
      <c r="F119" s="170"/>
      <c r="G119" s="170"/>
      <c r="H119" s="170"/>
      <c r="I119" s="207"/>
      <c r="J119" s="170"/>
      <c r="K119" s="171"/>
      <c r="L119" s="171"/>
      <c r="M119" s="171"/>
      <c r="N119" s="276"/>
      <c r="O119" s="256">
        <f t="shared" si="22"/>
        <v>0</v>
      </c>
      <c r="Q119" s="173"/>
      <c r="R119" s="65"/>
      <c r="S119" s="173"/>
      <c r="T119" s="173"/>
      <c r="U119" s="166"/>
      <c r="V119" s="166"/>
      <c r="W119" s="65"/>
      <c r="X119" s="66"/>
      <c r="Y119" s="173"/>
      <c r="Z119" s="166"/>
      <c r="AA119" s="174"/>
      <c r="AB119" s="175"/>
      <c r="AC119" s="175"/>
      <c r="AD119" s="175"/>
      <c r="AE119" s="175"/>
      <c r="AF119" s="175"/>
      <c r="AG119" s="175"/>
      <c r="AH119" s="175"/>
      <c r="AI119" s="176"/>
      <c r="AJ119" s="177"/>
      <c r="AK119" s="178"/>
      <c r="AL119" s="178"/>
      <c r="AM119" s="178"/>
      <c r="AN119" s="178"/>
      <c r="AO119" s="179"/>
      <c r="AP119" s="64"/>
      <c r="AQ119" s="65"/>
      <c r="AR119" s="65"/>
      <c r="AS119" s="65"/>
      <c r="AT119" s="173"/>
      <c r="AU119" s="177"/>
      <c r="AV119" s="178"/>
      <c r="AW119" s="178"/>
      <c r="AX119" s="179"/>
      <c r="AZ119" s="166"/>
      <c r="BA119" s="177"/>
      <c r="BB119" s="178"/>
      <c r="BC119" s="178"/>
      <c r="BD119" s="178"/>
      <c r="BE119" s="178"/>
      <c r="BF119" s="178"/>
      <c r="BG119" s="178"/>
      <c r="BH119" s="178"/>
      <c r="BI119" s="179"/>
      <c r="BJ119" s="180"/>
      <c r="BK119" s="178"/>
      <c r="BL119" s="178"/>
      <c r="BM119" s="178"/>
      <c r="BN119" s="178"/>
      <c r="BO119" s="181"/>
      <c r="BP119" s="166"/>
      <c r="BQ119" s="177"/>
      <c r="BR119" s="178"/>
      <c r="BS119" s="179"/>
      <c r="BU119" s="166"/>
      <c r="BV119" s="166"/>
      <c r="BW119" s="166"/>
      <c r="BX119" s="166"/>
      <c r="BY119" s="166"/>
      <c r="BZ119" s="166"/>
      <c r="CA119" s="166"/>
      <c r="CB119" s="166"/>
      <c r="CC119" s="166"/>
      <c r="CD119" s="177"/>
      <c r="CE119" s="181"/>
      <c r="CF119" s="177"/>
      <c r="CG119" s="179"/>
      <c r="CH119" s="257"/>
      <c r="CI119" s="182"/>
      <c r="CJ119" s="177"/>
      <c r="CK119" s="182"/>
      <c r="CL119" s="177"/>
      <c r="CM119" s="182"/>
      <c r="CN119" s="177"/>
      <c r="CO119" s="182"/>
      <c r="CP119" s="177"/>
      <c r="CQ119" s="178"/>
      <c r="CR119" s="182"/>
      <c r="CS119" s="173"/>
      <c r="CT119" s="65"/>
      <c r="CU119" s="255" t="str">
        <f t="shared" si="2"/>
        <v>DPS</v>
      </c>
    </row>
    <row r="120" ht="60.0" customHeight="1">
      <c r="A120" s="65"/>
      <c r="C120" s="167">
        <v>3.0</v>
      </c>
      <c r="D120" s="168" t="s">
        <v>195</v>
      </c>
      <c r="E120" s="169"/>
      <c r="F120" s="170"/>
      <c r="G120" s="170"/>
      <c r="H120" s="170"/>
      <c r="I120" s="207"/>
      <c r="J120" s="170"/>
      <c r="K120" s="171"/>
      <c r="L120" s="171"/>
      <c r="M120" s="171"/>
      <c r="N120" s="276"/>
      <c r="O120" s="256">
        <f t="shared" si="22"/>
        <v>0</v>
      </c>
      <c r="Q120" s="173"/>
      <c r="R120" s="65"/>
      <c r="S120" s="173"/>
      <c r="T120" s="173"/>
      <c r="U120" s="166"/>
      <c r="V120" s="166"/>
      <c r="W120" s="65"/>
      <c r="X120" s="66"/>
      <c r="Y120" s="173"/>
      <c r="Z120" s="166"/>
      <c r="AA120" s="174"/>
      <c r="AB120" s="175"/>
      <c r="AC120" s="175"/>
      <c r="AD120" s="175"/>
      <c r="AE120" s="175"/>
      <c r="AF120" s="175"/>
      <c r="AG120" s="175"/>
      <c r="AH120" s="175"/>
      <c r="AI120" s="176"/>
      <c r="AJ120" s="177"/>
      <c r="AK120" s="178"/>
      <c r="AL120" s="178"/>
      <c r="AM120" s="178"/>
      <c r="AN120" s="178"/>
      <c r="AO120" s="179"/>
      <c r="AP120" s="64"/>
      <c r="AQ120" s="65"/>
      <c r="AR120" s="65"/>
      <c r="AS120" s="65"/>
      <c r="AT120" s="173"/>
      <c r="AU120" s="177"/>
      <c r="AV120" s="178"/>
      <c r="AW120" s="178"/>
      <c r="AX120" s="179"/>
      <c r="AZ120" s="166"/>
      <c r="BA120" s="177"/>
      <c r="BB120" s="178"/>
      <c r="BC120" s="178"/>
      <c r="BD120" s="178"/>
      <c r="BE120" s="178"/>
      <c r="BF120" s="178"/>
      <c r="BG120" s="178"/>
      <c r="BH120" s="178"/>
      <c r="BI120" s="179"/>
      <c r="BJ120" s="180"/>
      <c r="BK120" s="178"/>
      <c r="BL120" s="178"/>
      <c r="BM120" s="178"/>
      <c r="BN120" s="178"/>
      <c r="BO120" s="181"/>
      <c r="BP120" s="166"/>
      <c r="BQ120" s="177"/>
      <c r="BR120" s="178"/>
      <c r="BS120" s="179"/>
      <c r="BU120" s="166"/>
      <c r="BV120" s="166"/>
      <c r="BW120" s="166"/>
      <c r="BX120" s="166"/>
      <c r="BY120" s="166"/>
      <c r="BZ120" s="166"/>
      <c r="CA120" s="166"/>
      <c r="CB120" s="166"/>
      <c r="CC120" s="166"/>
      <c r="CD120" s="177"/>
      <c r="CE120" s="181"/>
      <c r="CF120" s="177"/>
      <c r="CG120" s="179"/>
      <c r="CH120" s="257"/>
      <c r="CI120" s="182"/>
      <c r="CJ120" s="177"/>
      <c r="CK120" s="182"/>
      <c r="CL120" s="177"/>
      <c r="CM120" s="182"/>
      <c r="CN120" s="177"/>
      <c r="CO120" s="182"/>
      <c r="CP120" s="177"/>
      <c r="CQ120" s="178"/>
      <c r="CR120" s="182"/>
      <c r="CS120" s="173"/>
      <c r="CT120" s="65"/>
      <c r="CU120" s="255" t="str">
        <f t="shared" si="2"/>
        <v>DPS</v>
      </c>
    </row>
    <row r="121" ht="60.0" customHeight="1">
      <c r="A121" s="65"/>
      <c r="C121" s="167">
        <v>4.0</v>
      </c>
      <c r="D121" s="168" t="s">
        <v>195</v>
      </c>
      <c r="E121" s="169"/>
      <c r="F121" s="170"/>
      <c r="G121" s="170"/>
      <c r="H121" s="170"/>
      <c r="I121" s="207"/>
      <c r="J121" s="170"/>
      <c r="K121" s="171"/>
      <c r="L121" s="171"/>
      <c r="M121" s="171"/>
      <c r="N121" s="276"/>
      <c r="O121" s="256">
        <f t="shared" si="22"/>
        <v>0</v>
      </c>
      <c r="Q121" s="173"/>
      <c r="R121" s="65"/>
      <c r="S121" s="173"/>
      <c r="T121" s="173"/>
      <c r="U121" s="166"/>
      <c r="V121" s="166"/>
      <c r="W121" s="65"/>
      <c r="X121" s="66"/>
      <c r="Y121" s="173"/>
      <c r="Z121" s="166"/>
      <c r="AA121" s="174"/>
      <c r="AB121" s="175"/>
      <c r="AC121" s="175"/>
      <c r="AD121" s="175"/>
      <c r="AE121" s="175"/>
      <c r="AF121" s="175"/>
      <c r="AG121" s="175"/>
      <c r="AH121" s="175"/>
      <c r="AI121" s="176"/>
      <c r="AJ121" s="177"/>
      <c r="AK121" s="178"/>
      <c r="AL121" s="178"/>
      <c r="AM121" s="178"/>
      <c r="AN121" s="178"/>
      <c r="AO121" s="179"/>
      <c r="AP121" s="64"/>
      <c r="AQ121" s="65"/>
      <c r="AR121" s="65"/>
      <c r="AS121" s="65"/>
      <c r="AT121" s="173"/>
      <c r="AU121" s="177"/>
      <c r="AV121" s="178"/>
      <c r="AW121" s="178"/>
      <c r="AX121" s="179"/>
      <c r="AZ121" s="166"/>
      <c r="BA121" s="177"/>
      <c r="BB121" s="178"/>
      <c r="BC121" s="178"/>
      <c r="BD121" s="178"/>
      <c r="BE121" s="178"/>
      <c r="BF121" s="178"/>
      <c r="BG121" s="178"/>
      <c r="BH121" s="178"/>
      <c r="BI121" s="179"/>
      <c r="BJ121" s="180"/>
      <c r="BK121" s="178"/>
      <c r="BL121" s="178"/>
      <c r="BM121" s="178"/>
      <c r="BN121" s="178"/>
      <c r="BO121" s="181"/>
      <c r="BP121" s="166"/>
      <c r="BQ121" s="177"/>
      <c r="BR121" s="178"/>
      <c r="BS121" s="179"/>
      <c r="BU121" s="166"/>
      <c r="BV121" s="166"/>
      <c r="BW121" s="166"/>
      <c r="BX121" s="166"/>
      <c r="BY121" s="166"/>
      <c r="BZ121" s="166"/>
      <c r="CA121" s="166"/>
      <c r="CB121" s="166"/>
      <c r="CC121" s="166"/>
      <c r="CD121" s="177"/>
      <c r="CE121" s="181"/>
      <c r="CF121" s="177"/>
      <c r="CG121" s="179"/>
      <c r="CH121" s="257"/>
      <c r="CI121" s="182"/>
      <c r="CJ121" s="177"/>
      <c r="CK121" s="182"/>
      <c r="CL121" s="177"/>
      <c r="CM121" s="182"/>
      <c r="CN121" s="177"/>
      <c r="CO121" s="182"/>
      <c r="CP121" s="177"/>
      <c r="CQ121" s="178"/>
      <c r="CR121" s="182"/>
      <c r="CS121" s="173"/>
      <c r="CT121" s="65"/>
      <c r="CU121" s="255" t="str">
        <f t="shared" si="2"/>
        <v>DPS</v>
      </c>
    </row>
    <row r="122" ht="60.0" customHeight="1">
      <c r="A122" s="65"/>
      <c r="C122" s="167">
        <v>5.0</v>
      </c>
      <c r="D122" s="168" t="s">
        <v>195</v>
      </c>
      <c r="E122" s="169"/>
      <c r="F122" s="170"/>
      <c r="G122" s="170"/>
      <c r="H122" s="170"/>
      <c r="I122" s="207"/>
      <c r="J122" s="170"/>
      <c r="K122" s="171"/>
      <c r="L122" s="171"/>
      <c r="M122" s="171"/>
      <c r="N122" s="276"/>
      <c r="O122" s="256">
        <f t="shared" si="22"/>
        <v>0</v>
      </c>
      <c r="Q122" s="173"/>
      <c r="R122" s="65"/>
      <c r="S122" s="173"/>
      <c r="T122" s="173"/>
      <c r="U122" s="166"/>
      <c r="V122" s="166"/>
      <c r="W122" s="65"/>
      <c r="X122" s="66"/>
      <c r="Y122" s="173"/>
      <c r="Z122" s="166"/>
      <c r="AA122" s="174"/>
      <c r="AB122" s="175"/>
      <c r="AC122" s="175"/>
      <c r="AD122" s="175"/>
      <c r="AE122" s="175"/>
      <c r="AF122" s="175"/>
      <c r="AG122" s="175"/>
      <c r="AH122" s="175"/>
      <c r="AI122" s="176"/>
      <c r="AJ122" s="177"/>
      <c r="AK122" s="178"/>
      <c r="AL122" s="178"/>
      <c r="AM122" s="178"/>
      <c r="AN122" s="178"/>
      <c r="AO122" s="179"/>
      <c r="AP122" s="64"/>
      <c r="AQ122" s="65"/>
      <c r="AR122" s="65"/>
      <c r="AS122" s="65"/>
      <c r="AT122" s="173"/>
      <c r="AU122" s="177"/>
      <c r="AV122" s="178"/>
      <c r="AW122" s="178"/>
      <c r="AX122" s="179"/>
      <c r="AZ122" s="166"/>
      <c r="BA122" s="177"/>
      <c r="BB122" s="178"/>
      <c r="BC122" s="178"/>
      <c r="BD122" s="178"/>
      <c r="BE122" s="178"/>
      <c r="BF122" s="178"/>
      <c r="BG122" s="178"/>
      <c r="BH122" s="178"/>
      <c r="BI122" s="179"/>
      <c r="BJ122" s="180"/>
      <c r="BK122" s="178"/>
      <c r="BL122" s="178"/>
      <c r="BM122" s="178"/>
      <c r="BN122" s="178"/>
      <c r="BO122" s="181"/>
      <c r="BP122" s="166"/>
      <c r="BQ122" s="177"/>
      <c r="BR122" s="178"/>
      <c r="BS122" s="179"/>
      <c r="BU122" s="166"/>
      <c r="BV122" s="166"/>
      <c r="BW122" s="166"/>
      <c r="BX122" s="166"/>
      <c r="BY122" s="166"/>
      <c r="BZ122" s="166"/>
      <c r="CA122" s="166"/>
      <c r="CB122" s="166"/>
      <c r="CC122" s="166"/>
      <c r="CD122" s="177"/>
      <c r="CE122" s="181"/>
      <c r="CF122" s="177"/>
      <c r="CG122" s="179"/>
      <c r="CH122" s="257"/>
      <c r="CI122" s="182"/>
      <c r="CJ122" s="177"/>
      <c r="CK122" s="182"/>
      <c r="CL122" s="177"/>
      <c r="CM122" s="182"/>
      <c r="CN122" s="177"/>
      <c r="CO122" s="182"/>
      <c r="CP122" s="177"/>
      <c r="CQ122" s="178"/>
      <c r="CR122" s="182"/>
      <c r="CS122" s="173"/>
      <c r="CT122" s="65"/>
      <c r="CU122" s="255" t="str">
        <f t="shared" si="2"/>
        <v>DPS</v>
      </c>
    </row>
    <row r="123" ht="60.0" customHeight="1">
      <c r="A123" s="65"/>
      <c r="C123" s="167">
        <v>6.0</v>
      </c>
      <c r="D123" s="168" t="s">
        <v>195</v>
      </c>
      <c r="E123" s="169"/>
      <c r="F123" s="170"/>
      <c r="G123" s="170"/>
      <c r="H123" s="170"/>
      <c r="I123" s="207"/>
      <c r="J123" s="170"/>
      <c r="K123" s="171"/>
      <c r="L123" s="171"/>
      <c r="M123" s="171"/>
      <c r="N123" s="276"/>
      <c r="O123" s="256">
        <f t="shared" si="22"/>
        <v>0</v>
      </c>
      <c r="Q123" s="173"/>
      <c r="R123" s="65"/>
      <c r="S123" s="173"/>
      <c r="T123" s="173"/>
      <c r="U123" s="166"/>
      <c r="V123" s="166"/>
      <c r="W123" s="65"/>
      <c r="X123" s="66"/>
      <c r="Y123" s="173"/>
      <c r="Z123" s="166"/>
      <c r="AA123" s="174"/>
      <c r="AB123" s="175"/>
      <c r="AC123" s="175"/>
      <c r="AD123" s="175"/>
      <c r="AE123" s="175"/>
      <c r="AF123" s="175"/>
      <c r="AG123" s="175"/>
      <c r="AH123" s="175"/>
      <c r="AI123" s="176"/>
      <c r="AJ123" s="177"/>
      <c r="AK123" s="178"/>
      <c r="AL123" s="178"/>
      <c r="AM123" s="178"/>
      <c r="AN123" s="178"/>
      <c r="AO123" s="179"/>
      <c r="AP123" s="64"/>
      <c r="AQ123" s="65"/>
      <c r="AR123" s="65"/>
      <c r="AS123" s="65"/>
      <c r="AT123" s="173"/>
      <c r="AU123" s="177"/>
      <c r="AV123" s="178"/>
      <c r="AW123" s="178"/>
      <c r="AX123" s="179"/>
      <c r="AZ123" s="166"/>
      <c r="BA123" s="177"/>
      <c r="BB123" s="178"/>
      <c r="BC123" s="178"/>
      <c r="BD123" s="178"/>
      <c r="BE123" s="178"/>
      <c r="BF123" s="178"/>
      <c r="BG123" s="178"/>
      <c r="BH123" s="178"/>
      <c r="BI123" s="179"/>
      <c r="BJ123" s="180"/>
      <c r="BK123" s="178"/>
      <c r="BL123" s="178"/>
      <c r="BM123" s="178"/>
      <c r="BN123" s="178"/>
      <c r="BO123" s="181"/>
      <c r="BP123" s="166"/>
      <c r="BQ123" s="177"/>
      <c r="BR123" s="178"/>
      <c r="BS123" s="179"/>
      <c r="BU123" s="166"/>
      <c r="BV123" s="166"/>
      <c r="BW123" s="166"/>
      <c r="BX123" s="166"/>
      <c r="BY123" s="166"/>
      <c r="BZ123" s="166"/>
      <c r="CA123" s="166"/>
      <c r="CB123" s="166"/>
      <c r="CC123" s="166"/>
      <c r="CD123" s="177"/>
      <c r="CE123" s="181"/>
      <c r="CF123" s="177"/>
      <c r="CG123" s="179"/>
      <c r="CH123" s="257"/>
      <c r="CI123" s="182"/>
      <c r="CJ123" s="177"/>
      <c r="CK123" s="182"/>
      <c r="CL123" s="177"/>
      <c r="CM123" s="182"/>
      <c r="CN123" s="177"/>
      <c r="CO123" s="182"/>
      <c r="CP123" s="177"/>
      <c r="CQ123" s="178"/>
      <c r="CR123" s="182"/>
      <c r="CS123" s="173"/>
      <c r="CT123" s="65"/>
      <c r="CU123" s="255" t="str">
        <f t="shared" si="2"/>
        <v>DPS</v>
      </c>
    </row>
    <row r="124" ht="60.0" customHeight="1">
      <c r="A124" s="65"/>
      <c r="C124" s="167">
        <v>7.0</v>
      </c>
      <c r="D124" s="168" t="s">
        <v>195</v>
      </c>
      <c r="E124" s="169"/>
      <c r="F124" s="170"/>
      <c r="G124" s="170"/>
      <c r="H124" s="170"/>
      <c r="I124" s="207"/>
      <c r="J124" s="170"/>
      <c r="K124" s="171"/>
      <c r="L124" s="171"/>
      <c r="M124" s="171"/>
      <c r="N124" s="276"/>
      <c r="O124" s="256">
        <f t="shared" ref="O124:O127" si="23">IF(AND(M124&gt;=20,M124&lt;&gt;"m",RIGHT(K124,3)="Lec"),1,IF(AND(M124&gt;=20,M124&lt;&gt;"m",OR(RIGHT(K124,3)="Lab",RIGHT(K124,3)="Tut")),0.5,IF(AND(M124&gt;=20,M124&lt;&gt;"m",RIGHT(K124,2)="TL"),0.75,0)))</f>
        <v>0</v>
      </c>
      <c r="Q124" s="173"/>
      <c r="R124" s="65"/>
      <c r="S124" s="173"/>
      <c r="T124" s="173"/>
      <c r="U124" s="166"/>
      <c r="V124" s="166"/>
      <c r="W124" s="65"/>
      <c r="X124" s="66"/>
      <c r="Y124" s="173"/>
      <c r="Z124" s="166"/>
      <c r="AA124" s="174"/>
      <c r="AB124" s="175"/>
      <c r="AC124" s="175"/>
      <c r="AD124" s="175"/>
      <c r="AE124" s="175"/>
      <c r="AF124" s="175"/>
      <c r="AG124" s="175"/>
      <c r="AH124" s="175"/>
      <c r="AI124" s="176"/>
      <c r="AJ124" s="177"/>
      <c r="AK124" s="178"/>
      <c r="AL124" s="178"/>
      <c r="AM124" s="178"/>
      <c r="AN124" s="178"/>
      <c r="AO124" s="179"/>
      <c r="AP124" s="64"/>
      <c r="AQ124" s="65"/>
      <c r="AR124" s="65"/>
      <c r="AS124" s="65"/>
      <c r="AT124" s="173"/>
      <c r="AU124" s="177"/>
      <c r="AV124" s="178"/>
      <c r="AW124" s="178"/>
      <c r="AX124" s="179"/>
      <c r="AZ124" s="166"/>
      <c r="BA124" s="177"/>
      <c r="BB124" s="178"/>
      <c r="BC124" s="178"/>
      <c r="BD124" s="178"/>
      <c r="BE124" s="178"/>
      <c r="BF124" s="178"/>
      <c r="BG124" s="178"/>
      <c r="BH124" s="178"/>
      <c r="BI124" s="179"/>
      <c r="BJ124" s="180"/>
      <c r="BK124" s="178"/>
      <c r="BL124" s="178"/>
      <c r="BM124" s="178"/>
      <c r="BN124" s="178"/>
      <c r="BO124" s="181"/>
      <c r="BP124" s="166"/>
      <c r="BQ124" s="177"/>
      <c r="BR124" s="178"/>
      <c r="BS124" s="179"/>
      <c r="BU124" s="166"/>
      <c r="BV124" s="166"/>
      <c r="BW124" s="166"/>
      <c r="BX124" s="166"/>
      <c r="BY124" s="166"/>
      <c r="BZ124" s="166"/>
      <c r="CA124" s="166"/>
      <c r="CB124" s="166"/>
      <c r="CC124" s="166"/>
      <c r="CD124" s="177"/>
      <c r="CE124" s="181"/>
      <c r="CF124" s="177"/>
      <c r="CG124" s="179"/>
      <c r="CH124" s="257"/>
      <c r="CI124" s="182"/>
      <c r="CJ124" s="177"/>
      <c r="CK124" s="182"/>
      <c r="CL124" s="177"/>
      <c r="CM124" s="182"/>
      <c r="CN124" s="177"/>
      <c r="CO124" s="182"/>
      <c r="CP124" s="177"/>
      <c r="CQ124" s="178"/>
      <c r="CR124" s="182"/>
      <c r="CS124" s="173"/>
      <c r="CT124" s="65"/>
      <c r="CU124" s="255" t="str">
        <f t="shared" si="2"/>
        <v>DPS</v>
      </c>
    </row>
    <row r="125" ht="60.0" customHeight="1">
      <c r="A125" s="65"/>
      <c r="C125" s="167">
        <v>8.0</v>
      </c>
      <c r="D125" s="168" t="s">
        <v>195</v>
      </c>
      <c r="E125" s="169"/>
      <c r="F125" s="170"/>
      <c r="G125" s="170"/>
      <c r="H125" s="170"/>
      <c r="I125" s="207"/>
      <c r="J125" s="170"/>
      <c r="K125" s="171"/>
      <c r="L125" s="171"/>
      <c r="M125" s="171"/>
      <c r="N125" s="276"/>
      <c r="O125" s="256">
        <f t="shared" si="23"/>
        <v>0</v>
      </c>
      <c r="Q125" s="173"/>
      <c r="R125" s="65"/>
      <c r="S125" s="173"/>
      <c r="T125" s="173"/>
      <c r="U125" s="166"/>
      <c r="V125" s="166"/>
      <c r="W125" s="65"/>
      <c r="X125" s="66"/>
      <c r="Y125" s="173"/>
      <c r="Z125" s="166"/>
      <c r="AA125" s="174"/>
      <c r="AB125" s="175"/>
      <c r="AC125" s="175"/>
      <c r="AD125" s="175"/>
      <c r="AE125" s="175"/>
      <c r="AF125" s="175"/>
      <c r="AG125" s="175"/>
      <c r="AH125" s="175"/>
      <c r="AI125" s="176"/>
      <c r="AJ125" s="177"/>
      <c r="AK125" s="178"/>
      <c r="AL125" s="178"/>
      <c r="AM125" s="178"/>
      <c r="AN125" s="178"/>
      <c r="AO125" s="179"/>
      <c r="AP125" s="64"/>
      <c r="AQ125" s="65"/>
      <c r="AR125" s="65"/>
      <c r="AS125" s="65"/>
      <c r="AT125" s="173"/>
      <c r="AU125" s="177"/>
      <c r="AV125" s="178"/>
      <c r="AW125" s="178"/>
      <c r="AX125" s="179"/>
      <c r="AZ125" s="166"/>
      <c r="BA125" s="177"/>
      <c r="BB125" s="178"/>
      <c r="BC125" s="178"/>
      <c r="BD125" s="178"/>
      <c r="BE125" s="178"/>
      <c r="BF125" s="178"/>
      <c r="BG125" s="178"/>
      <c r="BH125" s="178"/>
      <c r="BI125" s="179"/>
      <c r="BJ125" s="180"/>
      <c r="BK125" s="178"/>
      <c r="BL125" s="178"/>
      <c r="BM125" s="178"/>
      <c r="BN125" s="178"/>
      <c r="BO125" s="181"/>
      <c r="BP125" s="166"/>
      <c r="BQ125" s="177"/>
      <c r="BR125" s="178"/>
      <c r="BS125" s="179"/>
      <c r="BU125" s="166"/>
      <c r="BV125" s="166"/>
      <c r="BW125" s="166"/>
      <c r="BX125" s="166"/>
      <c r="BY125" s="166"/>
      <c r="BZ125" s="166"/>
      <c r="CA125" s="166"/>
      <c r="CB125" s="166"/>
      <c r="CC125" s="166"/>
      <c r="CD125" s="177"/>
      <c r="CE125" s="181"/>
      <c r="CF125" s="177"/>
      <c r="CG125" s="179"/>
      <c r="CH125" s="257"/>
      <c r="CI125" s="182"/>
      <c r="CJ125" s="177"/>
      <c r="CK125" s="182"/>
      <c r="CL125" s="177"/>
      <c r="CM125" s="182"/>
      <c r="CN125" s="177"/>
      <c r="CO125" s="182"/>
      <c r="CP125" s="177"/>
      <c r="CQ125" s="178"/>
      <c r="CR125" s="182"/>
      <c r="CS125" s="173"/>
      <c r="CT125" s="65"/>
      <c r="CU125" s="255" t="str">
        <f t="shared" si="2"/>
        <v>DPS</v>
      </c>
    </row>
    <row r="126" ht="60.0" customHeight="1">
      <c r="A126" s="65"/>
      <c r="C126" s="167">
        <v>9.0</v>
      </c>
      <c r="D126" s="168" t="s">
        <v>195</v>
      </c>
      <c r="E126" s="169"/>
      <c r="F126" s="170"/>
      <c r="G126" s="170"/>
      <c r="H126" s="170"/>
      <c r="I126" s="207"/>
      <c r="J126" s="170"/>
      <c r="K126" s="171"/>
      <c r="L126" s="171"/>
      <c r="M126" s="171"/>
      <c r="N126" s="276"/>
      <c r="O126" s="256">
        <f t="shared" si="23"/>
        <v>0</v>
      </c>
      <c r="Q126" s="173"/>
      <c r="R126" s="65"/>
      <c r="S126" s="173"/>
      <c r="T126" s="173"/>
      <c r="U126" s="166"/>
      <c r="V126" s="166"/>
      <c r="W126" s="65"/>
      <c r="X126" s="66"/>
      <c r="Y126" s="173"/>
      <c r="Z126" s="166"/>
      <c r="AA126" s="174"/>
      <c r="AB126" s="175"/>
      <c r="AC126" s="175"/>
      <c r="AD126" s="175"/>
      <c r="AE126" s="175"/>
      <c r="AF126" s="175"/>
      <c r="AG126" s="175"/>
      <c r="AH126" s="175"/>
      <c r="AI126" s="176"/>
      <c r="AJ126" s="177"/>
      <c r="AK126" s="178"/>
      <c r="AL126" s="178"/>
      <c r="AM126" s="178"/>
      <c r="AN126" s="178"/>
      <c r="AO126" s="179"/>
      <c r="AP126" s="64"/>
      <c r="AQ126" s="65"/>
      <c r="AR126" s="65"/>
      <c r="AS126" s="65"/>
      <c r="AT126" s="173"/>
      <c r="AU126" s="177"/>
      <c r="AV126" s="178"/>
      <c r="AW126" s="178"/>
      <c r="AX126" s="179"/>
      <c r="AZ126" s="166"/>
      <c r="BA126" s="177"/>
      <c r="BB126" s="178"/>
      <c r="BC126" s="178"/>
      <c r="BD126" s="178"/>
      <c r="BE126" s="178"/>
      <c r="BF126" s="178"/>
      <c r="BG126" s="178"/>
      <c r="BH126" s="178"/>
      <c r="BI126" s="179"/>
      <c r="BJ126" s="180"/>
      <c r="BK126" s="178"/>
      <c r="BL126" s="178"/>
      <c r="BM126" s="178"/>
      <c r="BN126" s="178"/>
      <c r="BO126" s="181"/>
      <c r="BP126" s="166"/>
      <c r="BQ126" s="177"/>
      <c r="BR126" s="178"/>
      <c r="BS126" s="179"/>
      <c r="BU126" s="166"/>
      <c r="BV126" s="166"/>
      <c r="BW126" s="166"/>
      <c r="BX126" s="166"/>
      <c r="BY126" s="166"/>
      <c r="BZ126" s="166"/>
      <c r="CA126" s="166"/>
      <c r="CB126" s="166"/>
      <c r="CC126" s="166"/>
      <c r="CD126" s="177"/>
      <c r="CE126" s="181"/>
      <c r="CF126" s="177"/>
      <c r="CG126" s="179"/>
      <c r="CH126" s="257"/>
      <c r="CI126" s="182"/>
      <c r="CJ126" s="177"/>
      <c r="CK126" s="182"/>
      <c r="CL126" s="177"/>
      <c r="CM126" s="182"/>
      <c r="CN126" s="177"/>
      <c r="CO126" s="182"/>
      <c r="CP126" s="177"/>
      <c r="CQ126" s="178"/>
      <c r="CR126" s="182"/>
      <c r="CS126" s="173"/>
      <c r="CT126" s="65"/>
      <c r="CU126" s="255" t="str">
        <f t="shared" si="2"/>
        <v>DPS</v>
      </c>
    </row>
    <row r="127" ht="60.0" customHeight="1">
      <c r="A127" s="65"/>
      <c r="C127" s="167">
        <v>10.0</v>
      </c>
      <c r="D127" s="168" t="s">
        <v>195</v>
      </c>
      <c r="E127" s="169"/>
      <c r="F127" s="170"/>
      <c r="G127" s="170"/>
      <c r="H127" s="170"/>
      <c r="I127" s="207"/>
      <c r="J127" s="170"/>
      <c r="K127" s="171"/>
      <c r="L127" s="171"/>
      <c r="M127" s="171"/>
      <c r="N127" s="276"/>
      <c r="O127" s="256">
        <f t="shared" si="23"/>
        <v>0</v>
      </c>
      <c r="Q127" s="173"/>
      <c r="R127" s="65"/>
      <c r="S127" s="173"/>
      <c r="T127" s="173"/>
      <c r="U127" s="166"/>
      <c r="V127" s="166"/>
      <c r="W127" s="65"/>
      <c r="X127" s="66"/>
      <c r="Y127" s="173"/>
      <c r="Z127" s="166"/>
      <c r="AA127" s="174"/>
      <c r="AB127" s="175"/>
      <c r="AC127" s="175"/>
      <c r="AD127" s="175"/>
      <c r="AE127" s="175"/>
      <c r="AF127" s="175"/>
      <c r="AG127" s="175"/>
      <c r="AH127" s="175"/>
      <c r="AI127" s="176"/>
      <c r="AJ127" s="177"/>
      <c r="AK127" s="178"/>
      <c r="AL127" s="178"/>
      <c r="AM127" s="178"/>
      <c r="AN127" s="178"/>
      <c r="AO127" s="179"/>
      <c r="AP127" s="64"/>
      <c r="AQ127" s="65"/>
      <c r="AR127" s="65"/>
      <c r="AS127" s="65"/>
      <c r="AT127" s="173"/>
      <c r="AU127" s="177"/>
      <c r="AV127" s="178"/>
      <c r="AW127" s="178"/>
      <c r="AX127" s="179"/>
      <c r="AZ127" s="166"/>
      <c r="BA127" s="177"/>
      <c r="BB127" s="178"/>
      <c r="BC127" s="178"/>
      <c r="BD127" s="178"/>
      <c r="BE127" s="178"/>
      <c r="BF127" s="178"/>
      <c r="BG127" s="178"/>
      <c r="BH127" s="178"/>
      <c r="BI127" s="179"/>
      <c r="BJ127" s="180"/>
      <c r="BK127" s="178"/>
      <c r="BL127" s="178"/>
      <c r="BM127" s="178"/>
      <c r="BN127" s="178"/>
      <c r="BO127" s="181"/>
      <c r="BP127" s="166"/>
      <c r="BQ127" s="177"/>
      <c r="BR127" s="178"/>
      <c r="BS127" s="179"/>
      <c r="BU127" s="166"/>
      <c r="BV127" s="166"/>
      <c r="BW127" s="166"/>
      <c r="BX127" s="166"/>
      <c r="BY127" s="166"/>
      <c r="BZ127" s="166"/>
      <c r="CA127" s="166"/>
      <c r="CB127" s="166"/>
      <c r="CC127" s="166"/>
      <c r="CD127" s="177"/>
      <c r="CE127" s="181"/>
      <c r="CF127" s="177"/>
      <c r="CG127" s="179"/>
      <c r="CH127" s="257"/>
      <c r="CI127" s="182"/>
      <c r="CJ127" s="177"/>
      <c r="CK127" s="182"/>
      <c r="CL127" s="177"/>
      <c r="CM127" s="182"/>
      <c r="CN127" s="177"/>
      <c r="CO127" s="182"/>
      <c r="CP127" s="177"/>
      <c r="CQ127" s="178"/>
      <c r="CR127" s="182"/>
      <c r="CS127" s="173"/>
      <c r="CT127" s="65"/>
      <c r="CU127" s="255" t="str">
        <f t="shared" si="2"/>
        <v>DPS</v>
      </c>
    </row>
    <row r="128" ht="60.0" customHeight="1">
      <c r="A128" s="89"/>
      <c r="C128" s="183">
        <v>11.0</v>
      </c>
      <c r="D128" s="210" t="s">
        <v>195</v>
      </c>
      <c r="E128" s="185"/>
      <c r="F128" s="186"/>
      <c r="G128" s="186"/>
      <c r="H128" s="186"/>
      <c r="I128" s="212"/>
      <c r="J128" s="186"/>
      <c r="K128" s="187"/>
      <c r="L128" s="187"/>
      <c r="M128" s="187"/>
      <c r="N128" s="214"/>
      <c r="O128" s="258">
        <f t="shared" ref="O128:O134" si="24">IF(AND(M128&lt;&gt;0,M128&lt;&gt;"m",M128&lt;&gt;"",RIGHT(K128,3)="Lec"),1,IF(AND(M128&lt;&gt;0,M128&lt;&gt;"m",M128&lt;&gt;"",OR(RIGHT(K128,3)="Lab",RIGHT(K128,3)="Tut")),0.5,IF(AND(M128&lt;&gt;0,M128&lt;&gt;"m",M128&lt;&gt;"",RIGHT(K128,2)="TL"),0.75,0)))</f>
        <v>0</v>
      </c>
      <c r="P128" s="6"/>
      <c r="Q128" s="69"/>
      <c r="R128" s="89"/>
      <c r="S128" s="69"/>
      <c r="T128" s="69"/>
      <c r="U128" s="63"/>
      <c r="V128" s="63"/>
      <c r="W128" s="89"/>
      <c r="X128" s="68"/>
      <c r="Y128" s="69"/>
      <c r="Z128" s="63"/>
      <c r="AA128" s="189"/>
      <c r="AB128" s="190"/>
      <c r="AC128" s="190"/>
      <c r="AD128" s="190"/>
      <c r="AE128" s="190"/>
      <c r="AF128" s="190"/>
      <c r="AG128" s="190"/>
      <c r="AH128" s="190"/>
      <c r="AI128" s="191"/>
      <c r="AJ128" s="192"/>
      <c r="AK128" s="193"/>
      <c r="AL128" s="193"/>
      <c r="AM128" s="193"/>
      <c r="AN128" s="193"/>
      <c r="AO128" s="194"/>
      <c r="AP128" s="103"/>
      <c r="AQ128" s="89"/>
      <c r="AR128" s="89"/>
      <c r="AS128" s="89"/>
      <c r="AT128" s="69"/>
      <c r="AU128" s="192"/>
      <c r="AV128" s="193"/>
      <c r="AW128" s="193"/>
      <c r="AX128" s="194"/>
      <c r="AY128" s="6"/>
      <c r="AZ128" s="63"/>
      <c r="BA128" s="192"/>
      <c r="BB128" s="193"/>
      <c r="BC128" s="193"/>
      <c r="BD128" s="193"/>
      <c r="BE128" s="193"/>
      <c r="BF128" s="193"/>
      <c r="BG128" s="193"/>
      <c r="BH128" s="193"/>
      <c r="BI128" s="194"/>
      <c r="BJ128" s="195"/>
      <c r="BK128" s="193"/>
      <c r="BL128" s="193"/>
      <c r="BM128" s="193"/>
      <c r="BN128" s="193"/>
      <c r="BO128" s="196"/>
      <c r="BP128" s="63"/>
      <c r="BQ128" s="192"/>
      <c r="BR128" s="193"/>
      <c r="BS128" s="194"/>
      <c r="BT128" s="6"/>
      <c r="BU128" s="63"/>
      <c r="BV128" s="63"/>
      <c r="BW128" s="63"/>
      <c r="BX128" s="63"/>
      <c r="BY128" s="63"/>
      <c r="BZ128" s="63"/>
      <c r="CA128" s="63"/>
      <c r="CB128" s="63"/>
      <c r="CC128" s="63"/>
      <c r="CD128" s="192"/>
      <c r="CE128" s="196"/>
      <c r="CF128" s="192"/>
      <c r="CG128" s="194"/>
      <c r="CH128" s="259"/>
      <c r="CI128" s="197"/>
      <c r="CJ128" s="192"/>
      <c r="CK128" s="197"/>
      <c r="CL128" s="192"/>
      <c r="CM128" s="197"/>
      <c r="CN128" s="192"/>
      <c r="CO128" s="197"/>
      <c r="CP128" s="192"/>
      <c r="CQ128" s="193"/>
      <c r="CR128" s="197"/>
      <c r="CS128" s="69"/>
      <c r="CT128" s="89"/>
      <c r="CU128" s="255" t="str">
        <f t="shared" si="2"/>
        <v>DPS</v>
      </c>
    </row>
    <row r="129" ht="55.5" customHeight="1">
      <c r="A129" s="125">
        <v>12.0</v>
      </c>
      <c r="B129" s="199" t="s">
        <v>196</v>
      </c>
      <c r="C129" s="127">
        <v>1.0</v>
      </c>
      <c r="D129" s="168" t="s">
        <v>197</v>
      </c>
      <c r="E129" s="129"/>
      <c r="F129" s="130"/>
      <c r="G129" s="130"/>
      <c r="H129" s="130"/>
      <c r="I129" s="201"/>
      <c r="J129" s="130"/>
      <c r="K129" s="131"/>
      <c r="L129" s="131"/>
      <c r="M129" s="131"/>
      <c r="N129" s="275"/>
      <c r="O129" s="250">
        <f t="shared" si="24"/>
        <v>0</v>
      </c>
      <c r="P129" s="251">
        <f>COUNTIF(K129:K139,"TL")*0.75+COUNTIF(K129:K139,"Lec")*1+COUNTIF(K129:K139,"Lab")*0.5</f>
        <v>0</v>
      </c>
      <c r="Q129" s="134">
        <f>SUM((IF(LEFT(K129,1)="E",O129,0)),(IF(LEFT(K130,1)="E",O130,0)),(IF(LEFT(K131,1)="E",O131,0)),(IF(LEFT(K132,1)="E",O132,0)),(IF(LEFT(K133,1)="E",O133,0)),(IF(LEFT(K134,1)="E",O134,0)),(IF(LEFT(K135,1)="E",O135,0)),(IF(LEFT(K136,1)="E",O136,0)),(IF(LEFT(K137,1)="E",O137,0)),(IF(LEFT(K138,1)="E",O138,0)),(IF(LEFT(K139,1)="E",O139,0)))</f>
        <v>0</v>
      </c>
      <c r="R129" s="135">
        <f>SUM(IF(M135&lt;20,IF(K135="Plec",-1,IF(K135="PTL",-0.75,IF(K135="Plab",-0.5,0))),0),IF(M136&lt;20,IF(K136="Plec",-1,IF(K136="PTL",-0.75,IF(K136="Plab",-0.5,0))),0),IF(M137&lt;20,IF(K137="Plec",-1,IF(K137="PTL",-0.75,IF(K137="Plab",-0.5,0))),0),IF(M138&lt;20,IF(K138="Plec",-1,IF(K138="PTL",-0.75,IF(K138="Plab",-0.5,0))),0))</f>
        <v>0</v>
      </c>
      <c r="S129" s="134">
        <f>SUM(P129:R139)</f>
        <v>0</v>
      </c>
      <c r="T129" s="136">
        <f>SUM(IF(M129="M",IF(OR(K129="lec",K129="plec",K129="slec"),1,IF(OR(K129="lab",K129="plab",K129="slab",K129="tut",K129="ptut",K129="stut"),0.5,IF(OR(K129="TL",K129="pTL",K129="STL"),0.75,0))),0),IF(M130="M",IF(OR(K130="lec",K130="plec",K130="slec"),1,IF(OR(K130="lab",K130="plab",K130="slab",K130="tut",K130="ptut",K130="stut"),0.5,IF(OR(K130="TL",K130="pTL",K130="STL"),0.75,0))),0),IF(M131="M",IF(OR(K131="lec",K131="plec",K131="slec"),1,IF(OR(K131="lab",K131="plab",K131="slab",K131="tut",K131="ptut",K131="stut"),0.5,IF(OR(K131="TL",K131="pTL",K131="STL"),0.75,0))),0),IF(M132="M",IF(OR(K132="lec",K132="plec",K132="slec"),1,IF(OR(K132="lab",K132="plab",K132="slab",K132="tut",K132="ptut",K132="stut"),0.5,IF(OR(K132="TL",K132="pTL",K132="STL"),0.75,0))),0),IF(M133="M",IF(OR(K133="lec",K133="plec",K133="slec"),1,IF(OR(K133="lab",K133="plab",K133="slab",K133="tut",K133="ptut",K133="stut"),0.5,IF(OR(K133="TL",K133="pTL",K133="STL"),0.75,0))),0),IF(M134="M",IF(OR(K134="lec",K134="plec",K134="slec"),1,IF(OR(K134="lab",K134="plab",K134="slab",K134="tut",K134="ptut",K134="stut"),0.5,IF(OR(K134="TL",K134="pTL",K134="STL"),0.75,0))),0),IF(M135="M",IF(OR(K135="lec",K135="plec",K135="slec"),1,IF(OR(K135="lab",K135="plab",K135="slab",K135="tut",K135="ptut",K135="stut"),0.5,IF(OR(K135="TL",K135="pTL",K135="STL"),0.75,0))),0),IF(M136="M",IF(OR(K136="lec",K136="plec",K136="slec"),1,IF(OR(K136="lab",K136="plab",K136="slab",K136="tut",K136="ptut",K136="stut"),0.5,IF(OR(K136="TL",K136="pTL",K136="STL"),0.75,0))),0),IF(M137="M",IF(OR(K137="lec",K137="plec",K137="slec"),1,IF(OR(K137="lab",K137="plab",K137="slab",K137="tut",K137="ptut",K137="stut"),0.5,IF(OR(K137="TL",K137="pTL",K137="STL"),0.75,0))),0),IF(M138="M",IF(OR(K138="lec",K138="plec",K138="slec"),1,IF(OR(K138="lab",K138="plab",K138="slab",K138="tut",K138="ptut",K138="stut"),0.5,IF(OR(K138="TL",K138="pTL",K138="STL"),0.75,0))),0),IF(M139="M",IF(OR(K139="lec",K139="plec",K139="slec"),1,IF(OR(K139="lab",K139="plab",K139="slab",K139="tut",K139="ptut",K139="stut"),0.5,IF(OR(K139="TL",K139="pTL",K139="STL"),0.75,0))),0))</f>
        <v>0</v>
      </c>
      <c r="U129" s="137"/>
      <c r="V129" s="133"/>
      <c r="W129" s="138"/>
      <c r="X129" s="139">
        <f>S129-(T129+U129+V129+W129)</f>
        <v>0</v>
      </c>
      <c r="Y129" s="134" t="str">
        <f>CONCATENATE(SUM(O129:O139),"(",SUM(O129:O139)-X129,")")</f>
        <v>0(0)</v>
      </c>
      <c r="Z129" s="140"/>
      <c r="AA129" s="141"/>
      <c r="AB129" s="142"/>
      <c r="AC129" s="142"/>
      <c r="AD129" s="142"/>
      <c r="AE129" s="142"/>
      <c r="AF129" s="142"/>
      <c r="AG129" s="142"/>
      <c r="AH129" s="142"/>
      <c r="AI129" s="143"/>
      <c r="AJ129" s="144"/>
      <c r="AK129" s="145"/>
      <c r="AL129" s="145"/>
      <c r="AM129" s="145"/>
      <c r="AN129" s="145"/>
      <c r="AO129" s="146"/>
      <c r="AP129" s="147">
        <f>SUM(SUM(O129:O139),SUM(AI129:AI139)/2,AM129)</f>
        <v>0</v>
      </c>
      <c r="AQ129" s="148"/>
      <c r="AR129" s="148">
        <f>AP129*AQ129</f>
        <v>0</v>
      </c>
      <c r="AS129" s="148">
        <f>CT129</f>
        <v>0</v>
      </c>
      <c r="AT129" s="149">
        <f>AR129*0.75+AS129*0.25</f>
        <v>0</v>
      </c>
      <c r="AU129" s="150"/>
      <c r="AV129" s="151"/>
      <c r="AW129" s="151"/>
      <c r="AX129" s="152"/>
      <c r="AY129" s="153"/>
      <c r="AZ129" s="140"/>
      <c r="BA129" s="150"/>
      <c r="BB129" s="151"/>
      <c r="BC129" s="151"/>
      <c r="BD129" s="151"/>
      <c r="BE129" s="151"/>
      <c r="BF129" s="151"/>
      <c r="BG129" s="151"/>
      <c r="BH129" s="151"/>
      <c r="BI129" s="152"/>
      <c r="BJ129" s="154"/>
      <c r="BK129" s="151"/>
      <c r="BL129" s="151"/>
      <c r="BM129" s="151"/>
      <c r="BN129" s="151"/>
      <c r="BO129" s="155"/>
      <c r="BP129" s="140"/>
      <c r="BQ129" s="156"/>
      <c r="BR129" s="157"/>
      <c r="BS129" s="158"/>
      <c r="BT129" s="153"/>
      <c r="BU129" s="140"/>
      <c r="BV129" s="140"/>
      <c r="BW129" s="140"/>
      <c r="BX129" s="140"/>
      <c r="BY129" s="140"/>
      <c r="BZ129" s="140"/>
      <c r="CA129" s="140"/>
      <c r="CB129" s="140"/>
      <c r="CC129" s="140"/>
      <c r="CD129" s="150"/>
      <c r="CE129" s="155"/>
      <c r="CF129" s="150"/>
      <c r="CG129" s="152"/>
      <c r="CH129" s="252"/>
      <c r="CI129" s="160"/>
      <c r="CJ129" s="159"/>
      <c r="CK129" s="160"/>
      <c r="CL129" s="159"/>
      <c r="CM129" s="160"/>
      <c r="CN129" s="159"/>
      <c r="CO129" s="160"/>
      <c r="CP129" s="159"/>
      <c r="CQ129" s="162"/>
      <c r="CR129" s="160"/>
      <c r="CS129" s="253">
        <f>SUM(IF(AU129&lt;0,ABS(AU129),0),IF(AZ129&lt;0,ABS(AZ129),0),ABS(CI129),ABS(CK129),ABS(CM129),ABS(CO129),ABS(CQ129),ABS(CR129))</f>
        <v>0</v>
      </c>
      <c r="CT129" s="254">
        <f>SUM(AU129,AV129,AW129,AX129/400,AY129,AZ129,BG129,BH129*0.5,BI129*0.25,BJ129,BK129,BL129,BM129,BN129,BO129,BP129,BR129/20,BS129/100,BT129/60,BU129,BV129,BW129,BX129/4,SUM(BY129:CC139)/3,CE129,CG129/3,CI129,CK129,CM129,CO129,CQ129,CR129)</f>
        <v>0</v>
      </c>
      <c r="CU129" s="255" t="str">
        <f t="shared" si="2"/>
        <v>MSS</v>
      </c>
    </row>
    <row r="130" ht="60.0" customHeight="1">
      <c r="A130" s="65"/>
      <c r="C130" s="167">
        <v>2.0</v>
      </c>
      <c r="D130" s="168" t="s">
        <v>197</v>
      </c>
      <c r="E130" s="169"/>
      <c r="F130" s="170"/>
      <c r="G130" s="170"/>
      <c r="H130" s="170"/>
      <c r="I130" s="207"/>
      <c r="J130" s="170"/>
      <c r="K130" s="171"/>
      <c r="L130" s="171"/>
      <c r="M130" s="171"/>
      <c r="N130" s="276"/>
      <c r="O130" s="256">
        <f t="shared" si="24"/>
        <v>0</v>
      </c>
      <c r="Q130" s="173"/>
      <c r="R130" s="65"/>
      <c r="S130" s="173"/>
      <c r="T130" s="173"/>
      <c r="U130" s="166"/>
      <c r="V130" s="166"/>
      <c r="W130" s="65"/>
      <c r="X130" s="66"/>
      <c r="Y130" s="173"/>
      <c r="Z130" s="166"/>
      <c r="AA130" s="174"/>
      <c r="AB130" s="175"/>
      <c r="AC130" s="175"/>
      <c r="AD130" s="175"/>
      <c r="AE130" s="175"/>
      <c r="AF130" s="175"/>
      <c r="AG130" s="175"/>
      <c r="AH130" s="175"/>
      <c r="AI130" s="176"/>
      <c r="AJ130" s="177"/>
      <c r="AK130" s="178"/>
      <c r="AL130" s="178"/>
      <c r="AM130" s="178"/>
      <c r="AN130" s="178"/>
      <c r="AO130" s="179"/>
      <c r="AP130" s="64"/>
      <c r="AQ130" s="65"/>
      <c r="AR130" s="65"/>
      <c r="AS130" s="65"/>
      <c r="AT130" s="173"/>
      <c r="AU130" s="177"/>
      <c r="AV130" s="178"/>
      <c r="AW130" s="178"/>
      <c r="AX130" s="179"/>
      <c r="AZ130" s="166"/>
      <c r="BA130" s="177"/>
      <c r="BB130" s="178"/>
      <c r="BC130" s="178"/>
      <c r="BD130" s="178"/>
      <c r="BE130" s="178"/>
      <c r="BF130" s="178"/>
      <c r="BG130" s="178"/>
      <c r="BH130" s="178"/>
      <c r="BI130" s="179"/>
      <c r="BJ130" s="180"/>
      <c r="BK130" s="178"/>
      <c r="BL130" s="178"/>
      <c r="BM130" s="178"/>
      <c r="BN130" s="178"/>
      <c r="BO130" s="181"/>
      <c r="BP130" s="166"/>
      <c r="BQ130" s="177"/>
      <c r="BR130" s="178"/>
      <c r="BS130" s="179"/>
      <c r="BU130" s="166"/>
      <c r="BV130" s="166"/>
      <c r="BW130" s="166"/>
      <c r="BX130" s="166"/>
      <c r="BY130" s="166"/>
      <c r="BZ130" s="166"/>
      <c r="CA130" s="166"/>
      <c r="CB130" s="166"/>
      <c r="CC130" s="166"/>
      <c r="CD130" s="177"/>
      <c r="CE130" s="181"/>
      <c r="CF130" s="177"/>
      <c r="CG130" s="179"/>
      <c r="CH130" s="257"/>
      <c r="CI130" s="182"/>
      <c r="CJ130" s="177"/>
      <c r="CK130" s="182"/>
      <c r="CL130" s="177"/>
      <c r="CM130" s="182"/>
      <c r="CN130" s="177"/>
      <c r="CO130" s="182"/>
      <c r="CP130" s="177"/>
      <c r="CQ130" s="178"/>
      <c r="CR130" s="182"/>
      <c r="CS130" s="173"/>
      <c r="CT130" s="65"/>
      <c r="CU130" s="255" t="str">
        <f t="shared" si="2"/>
        <v>MSS</v>
      </c>
    </row>
    <row r="131" ht="60.0" customHeight="1">
      <c r="A131" s="65"/>
      <c r="C131" s="167">
        <v>3.0</v>
      </c>
      <c r="D131" s="168" t="s">
        <v>197</v>
      </c>
      <c r="E131" s="169"/>
      <c r="F131" s="170"/>
      <c r="G131" s="170"/>
      <c r="H131" s="170"/>
      <c r="I131" s="207"/>
      <c r="J131" s="170"/>
      <c r="K131" s="171"/>
      <c r="L131" s="171"/>
      <c r="M131" s="171"/>
      <c r="N131" s="276"/>
      <c r="O131" s="256">
        <f t="shared" si="24"/>
        <v>0</v>
      </c>
      <c r="Q131" s="173"/>
      <c r="R131" s="65"/>
      <c r="S131" s="173"/>
      <c r="T131" s="173"/>
      <c r="U131" s="166"/>
      <c r="V131" s="166"/>
      <c r="W131" s="65"/>
      <c r="X131" s="66"/>
      <c r="Y131" s="173"/>
      <c r="Z131" s="166"/>
      <c r="AA131" s="174"/>
      <c r="AB131" s="175"/>
      <c r="AC131" s="175"/>
      <c r="AD131" s="175"/>
      <c r="AE131" s="175"/>
      <c r="AF131" s="175"/>
      <c r="AG131" s="175"/>
      <c r="AH131" s="175"/>
      <c r="AI131" s="176"/>
      <c r="AJ131" s="177"/>
      <c r="AK131" s="178"/>
      <c r="AL131" s="178"/>
      <c r="AM131" s="178"/>
      <c r="AN131" s="178"/>
      <c r="AO131" s="179"/>
      <c r="AP131" s="64"/>
      <c r="AQ131" s="65"/>
      <c r="AR131" s="65"/>
      <c r="AS131" s="65"/>
      <c r="AT131" s="173"/>
      <c r="AU131" s="177"/>
      <c r="AV131" s="178"/>
      <c r="AW131" s="178"/>
      <c r="AX131" s="179"/>
      <c r="AZ131" s="166"/>
      <c r="BA131" s="177"/>
      <c r="BB131" s="178"/>
      <c r="BC131" s="178"/>
      <c r="BD131" s="178"/>
      <c r="BE131" s="178"/>
      <c r="BF131" s="178"/>
      <c r="BG131" s="178"/>
      <c r="BH131" s="178"/>
      <c r="BI131" s="179"/>
      <c r="BJ131" s="180"/>
      <c r="BK131" s="178"/>
      <c r="BL131" s="178"/>
      <c r="BM131" s="178"/>
      <c r="BN131" s="178"/>
      <c r="BO131" s="181"/>
      <c r="BP131" s="166"/>
      <c r="BQ131" s="177"/>
      <c r="BR131" s="178"/>
      <c r="BS131" s="179"/>
      <c r="BU131" s="166"/>
      <c r="BV131" s="166"/>
      <c r="BW131" s="166"/>
      <c r="BX131" s="166"/>
      <c r="BY131" s="166"/>
      <c r="BZ131" s="166"/>
      <c r="CA131" s="166"/>
      <c r="CB131" s="166"/>
      <c r="CC131" s="166"/>
      <c r="CD131" s="177"/>
      <c r="CE131" s="181"/>
      <c r="CF131" s="177"/>
      <c r="CG131" s="179"/>
      <c r="CH131" s="257"/>
      <c r="CI131" s="182"/>
      <c r="CJ131" s="177"/>
      <c r="CK131" s="182"/>
      <c r="CL131" s="177"/>
      <c r="CM131" s="182"/>
      <c r="CN131" s="177"/>
      <c r="CO131" s="182"/>
      <c r="CP131" s="177"/>
      <c r="CQ131" s="178"/>
      <c r="CR131" s="182"/>
      <c r="CS131" s="173"/>
      <c r="CT131" s="65"/>
      <c r="CU131" s="255" t="str">
        <f t="shared" si="2"/>
        <v>MSS</v>
      </c>
    </row>
    <row r="132" ht="60.0" customHeight="1">
      <c r="A132" s="65"/>
      <c r="C132" s="167">
        <v>4.0</v>
      </c>
      <c r="D132" s="168" t="s">
        <v>197</v>
      </c>
      <c r="E132" s="169"/>
      <c r="F132" s="170"/>
      <c r="G132" s="170"/>
      <c r="H132" s="170"/>
      <c r="I132" s="207"/>
      <c r="J132" s="170"/>
      <c r="K132" s="171"/>
      <c r="L132" s="171"/>
      <c r="M132" s="171"/>
      <c r="N132" s="276"/>
      <c r="O132" s="256">
        <f t="shared" si="24"/>
        <v>0</v>
      </c>
      <c r="Q132" s="173"/>
      <c r="R132" s="65"/>
      <c r="S132" s="173"/>
      <c r="T132" s="173"/>
      <c r="U132" s="166"/>
      <c r="V132" s="166"/>
      <c r="W132" s="65"/>
      <c r="X132" s="66"/>
      <c r="Y132" s="173"/>
      <c r="Z132" s="166"/>
      <c r="AA132" s="174"/>
      <c r="AB132" s="175"/>
      <c r="AC132" s="175"/>
      <c r="AD132" s="175"/>
      <c r="AE132" s="175"/>
      <c r="AF132" s="175"/>
      <c r="AG132" s="175"/>
      <c r="AH132" s="175"/>
      <c r="AI132" s="176"/>
      <c r="AJ132" s="177"/>
      <c r="AK132" s="178"/>
      <c r="AL132" s="178"/>
      <c r="AM132" s="178"/>
      <c r="AN132" s="178"/>
      <c r="AO132" s="179"/>
      <c r="AP132" s="64"/>
      <c r="AQ132" s="65"/>
      <c r="AR132" s="65"/>
      <c r="AS132" s="65"/>
      <c r="AT132" s="173"/>
      <c r="AU132" s="177"/>
      <c r="AV132" s="178"/>
      <c r="AW132" s="178"/>
      <c r="AX132" s="179"/>
      <c r="AZ132" s="166"/>
      <c r="BA132" s="177"/>
      <c r="BB132" s="178"/>
      <c r="BC132" s="178"/>
      <c r="BD132" s="178"/>
      <c r="BE132" s="178"/>
      <c r="BF132" s="178"/>
      <c r="BG132" s="178"/>
      <c r="BH132" s="178"/>
      <c r="BI132" s="179"/>
      <c r="BJ132" s="180"/>
      <c r="BK132" s="178"/>
      <c r="BL132" s="178"/>
      <c r="BM132" s="178"/>
      <c r="BN132" s="178"/>
      <c r="BO132" s="181"/>
      <c r="BP132" s="166"/>
      <c r="BQ132" s="177"/>
      <c r="BR132" s="178"/>
      <c r="BS132" s="179"/>
      <c r="BU132" s="166"/>
      <c r="BV132" s="166"/>
      <c r="BW132" s="166"/>
      <c r="BX132" s="166"/>
      <c r="BY132" s="166"/>
      <c r="BZ132" s="166"/>
      <c r="CA132" s="166"/>
      <c r="CB132" s="166"/>
      <c r="CC132" s="166"/>
      <c r="CD132" s="177"/>
      <c r="CE132" s="181"/>
      <c r="CF132" s="177"/>
      <c r="CG132" s="179"/>
      <c r="CH132" s="257"/>
      <c r="CI132" s="182"/>
      <c r="CJ132" s="177"/>
      <c r="CK132" s="182"/>
      <c r="CL132" s="177"/>
      <c r="CM132" s="182"/>
      <c r="CN132" s="177"/>
      <c r="CO132" s="182"/>
      <c r="CP132" s="177"/>
      <c r="CQ132" s="178"/>
      <c r="CR132" s="182"/>
      <c r="CS132" s="173"/>
      <c r="CT132" s="65"/>
      <c r="CU132" s="255" t="str">
        <f t="shared" si="2"/>
        <v>MSS</v>
      </c>
    </row>
    <row r="133" ht="60.0" customHeight="1">
      <c r="A133" s="65"/>
      <c r="C133" s="167">
        <v>5.0</v>
      </c>
      <c r="D133" s="168" t="s">
        <v>197</v>
      </c>
      <c r="E133" s="169"/>
      <c r="F133" s="170"/>
      <c r="G133" s="170"/>
      <c r="H133" s="170"/>
      <c r="I133" s="207"/>
      <c r="J133" s="170"/>
      <c r="K133" s="171"/>
      <c r="L133" s="171"/>
      <c r="M133" s="171"/>
      <c r="N133" s="276"/>
      <c r="O133" s="256">
        <f t="shared" si="24"/>
        <v>0</v>
      </c>
      <c r="Q133" s="173"/>
      <c r="R133" s="65"/>
      <c r="S133" s="173"/>
      <c r="T133" s="173"/>
      <c r="U133" s="166"/>
      <c r="V133" s="166"/>
      <c r="W133" s="65"/>
      <c r="X133" s="66"/>
      <c r="Y133" s="173"/>
      <c r="Z133" s="166"/>
      <c r="AA133" s="174"/>
      <c r="AB133" s="175"/>
      <c r="AC133" s="175"/>
      <c r="AD133" s="175"/>
      <c r="AE133" s="175"/>
      <c r="AF133" s="175"/>
      <c r="AG133" s="175"/>
      <c r="AH133" s="175"/>
      <c r="AI133" s="176"/>
      <c r="AJ133" s="177"/>
      <c r="AK133" s="178"/>
      <c r="AL133" s="178"/>
      <c r="AM133" s="178"/>
      <c r="AN133" s="178"/>
      <c r="AO133" s="179"/>
      <c r="AP133" s="64"/>
      <c r="AQ133" s="65"/>
      <c r="AR133" s="65"/>
      <c r="AS133" s="65"/>
      <c r="AT133" s="173"/>
      <c r="AU133" s="177"/>
      <c r="AV133" s="178"/>
      <c r="AW133" s="178"/>
      <c r="AX133" s="179"/>
      <c r="AZ133" s="166"/>
      <c r="BA133" s="177"/>
      <c r="BB133" s="178"/>
      <c r="BC133" s="178"/>
      <c r="BD133" s="178"/>
      <c r="BE133" s="178"/>
      <c r="BF133" s="178"/>
      <c r="BG133" s="178"/>
      <c r="BH133" s="178"/>
      <c r="BI133" s="179"/>
      <c r="BJ133" s="180"/>
      <c r="BK133" s="178"/>
      <c r="BL133" s="178"/>
      <c r="BM133" s="178"/>
      <c r="BN133" s="178"/>
      <c r="BO133" s="181"/>
      <c r="BP133" s="166"/>
      <c r="BQ133" s="177"/>
      <c r="BR133" s="178"/>
      <c r="BS133" s="179"/>
      <c r="BU133" s="166"/>
      <c r="BV133" s="166"/>
      <c r="BW133" s="166"/>
      <c r="BX133" s="166"/>
      <c r="BY133" s="166"/>
      <c r="BZ133" s="166"/>
      <c r="CA133" s="166"/>
      <c r="CB133" s="166"/>
      <c r="CC133" s="166"/>
      <c r="CD133" s="177"/>
      <c r="CE133" s="181"/>
      <c r="CF133" s="177"/>
      <c r="CG133" s="179"/>
      <c r="CH133" s="257"/>
      <c r="CI133" s="182"/>
      <c r="CJ133" s="177"/>
      <c r="CK133" s="182"/>
      <c r="CL133" s="177"/>
      <c r="CM133" s="182"/>
      <c r="CN133" s="177"/>
      <c r="CO133" s="182"/>
      <c r="CP133" s="177"/>
      <c r="CQ133" s="178"/>
      <c r="CR133" s="182"/>
      <c r="CS133" s="173"/>
      <c r="CT133" s="65"/>
      <c r="CU133" s="255" t="str">
        <f t="shared" si="2"/>
        <v>MSS</v>
      </c>
    </row>
    <row r="134" ht="60.0" customHeight="1">
      <c r="A134" s="65"/>
      <c r="C134" s="167">
        <v>6.0</v>
      </c>
      <c r="D134" s="168" t="s">
        <v>197</v>
      </c>
      <c r="E134" s="169"/>
      <c r="F134" s="170"/>
      <c r="G134" s="170"/>
      <c r="H134" s="170"/>
      <c r="I134" s="207"/>
      <c r="J134" s="170"/>
      <c r="K134" s="171"/>
      <c r="L134" s="171"/>
      <c r="M134" s="171"/>
      <c r="N134" s="276"/>
      <c r="O134" s="256">
        <f t="shared" si="24"/>
        <v>0</v>
      </c>
      <c r="Q134" s="173"/>
      <c r="R134" s="65"/>
      <c r="S134" s="173"/>
      <c r="T134" s="173"/>
      <c r="U134" s="166"/>
      <c r="V134" s="166"/>
      <c r="W134" s="65"/>
      <c r="X134" s="66"/>
      <c r="Y134" s="173"/>
      <c r="Z134" s="166"/>
      <c r="AA134" s="174"/>
      <c r="AB134" s="175"/>
      <c r="AC134" s="175"/>
      <c r="AD134" s="175"/>
      <c r="AE134" s="175"/>
      <c r="AF134" s="175"/>
      <c r="AG134" s="175"/>
      <c r="AH134" s="175"/>
      <c r="AI134" s="176"/>
      <c r="AJ134" s="177"/>
      <c r="AK134" s="178"/>
      <c r="AL134" s="178"/>
      <c r="AM134" s="178"/>
      <c r="AN134" s="178"/>
      <c r="AO134" s="179"/>
      <c r="AP134" s="64"/>
      <c r="AQ134" s="65"/>
      <c r="AR134" s="65"/>
      <c r="AS134" s="65"/>
      <c r="AT134" s="173"/>
      <c r="AU134" s="177"/>
      <c r="AV134" s="178"/>
      <c r="AW134" s="178"/>
      <c r="AX134" s="179"/>
      <c r="AZ134" s="166"/>
      <c r="BA134" s="177"/>
      <c r="BB134" s="178"/>
      <c r="BC134" s="178"/>
      <c r="BD134" s="178"/>
      <c r="BE134" s="178"/>
      <c r="BF134" s="178"/>
      <c r="BG134" s="178"/>
      <c r="BH134" s="178"/>
      <c r="BI134" s="179"/>
      <c r="BJ134" s="180"/>
      <c r="BK134" s="178"/>
      <c r="BL134" s="178"/>
      <c r="BM134" s="178"/>
      <c r="BN134" s="178"/>
      <c r="BO134" s="181"/>
      <c r="BP134" s="166"/>
      <c r="BQ134" s="177"/>
      <c r="BR134" s="178"/>
      <c r="BS134" s="179"/>
      <c r="BU134" s="166"/>
      <c r="BV134" s="166"/>
      <c r="BW134" s="166"/>
      <c r="BX134" s="166"/>
      <c r="BY134" s="166"/>
      <c r="BZ134" s="166"/>
      <c r="CA134" s="166"/>
      <c r="CB134" s="166"/>
      <c r="CC134" s="166"/>
      <c r="CD134" s="177"/>
      <c r="CE134" s="181"/>
      <c r="CF134" s="177"/>
      <c r="CG134" s="179"/>
      <c r="CH134" s="257"/>
      <c r="CI134" s="182"/>
      <c r="CJ134" s="177"/>
      <c r="CK134" s="182"/>
      <c r="CL134" s="177"/>
      <c r="CM134" s="182"/>
      <c r="CN134" s="177"/>
      <c r="CO134" s="182"/>
      <c r="CP134" s="177"/>
      <c r="CQ134" s="178"/>
      <c r="CR134" s="182"/>
      <c r="CS134" s="173"/>
      <c r="CT134" s="65"/>
      <c r="CU134" s="255" t="str">
        <f t="shared" si="2"/>
        <v>MSS</v>
      </c>
    </row>
    <row r="135" ht="60.0" customHeight="1">
      <c r="A135" s="65"/>
      <c r="C135" s="167">
        <v>7.0</v>
      </c>
      <c r="D135" s="168" t="s">
        <v>197</v>
      </c>
      <c r="E135" s="169"/>
      <c r="F135" s="170"/>
      <c r="G135" s="170"/>
      <c r="H135" s="170"/>
      <c r="I135" s="207"/>
      <c r="J135" s="170"/>
      <c r="K135" s="171"/>
      <c r="L135" s="171"/>
      <c r="M135" s="171"/>
      <c r="N135" s="276"/>
      <c r="O135" s="256">
        <f t="shared" ref="O135:O138" si="25">IF(AND(M135&gt;=20,M135&lt;&gt;"m",RIGHT(K135,3)="Lec"),1,IF(AND(M135&gt;=20,M135&lt;&gt;"m",OR(RIGHT(K135,3)="Lab",RIGHT(K135,3)="Tut")),0.5,IF(AND(M135&gt;=20,M135&lt;&gt;"m",RIGHT(K135,2)="TL"),0.75,0)))</f>
        <v>0</v>
      </c>
      <c r="Q135" s="173"/>
      <c r="R135" s="65"/>
      <c r="S135" s="173"/>
      <c r="T135" s="173"/>
      <c r="U135" s="166"/>
      <c r="V135" s="166"/>
      <c r="W135" s="65"/>
      <c r="X135" s="66"/>
      <c r="Y135" s="173"/>
      <c r="Z135" s="166"/>
      <c r="AA135" s="174"/>
      <c r="AB135" s="175"/>
      <c r="AC135" s="175"/>
      <c r="AD135" s="175"/>
      <c r="AE135" s="175"/>
      <c r="AF135" s="175"/>
      <c r="AG135" s="175"/>
      <c r="AH135" s="175"/>
      <c r="AI135" s="176"/>
      <c r="AJ135" s="177"/>
      <c r="AK135" s="178"/>
      <c r="AL135" s="178"/>
      <c r="AM135" s="178"/>
      <c r="AN135" s="178"/>
      <c r="AO135" s="179"/>
      <c r="AP135" s="64"/>
      <c r="AQ135" s="65"/>
      <c r="AR135" s="65"/>
      <c r="AS135" s="65"/>
      <c r="AT135" s="173"/>
      <c r="AU135" s="177"/>
      <c r="AV135" s="178"/>
      <c r="AW135" s="178"/>
      <c r="AX135" s="179"/>
      <c r="AZ135" s="166"/>
      <c r="BA135" s="177"/>
      <c r="BB135" s="178"/>
      <c r="BC135" s="178"/>
      <c r="BD135" s="178"/>
      <c r="BE135" s="178"/>
      <c r="BF135" s="178"/>
      <c r="BG135" s="178"/>
      <c r="BH135" s="178"/>
      <c r="BI135" s="179"/>
      <c r="BJ135" s="180"/>
      <c r="BK135" s="178"/>
      <c r="BL135" s="178"/>
      <c r="BM135" s="178"/>
      <c r="BN135" s="178"/>
      <c r="BO135" s="181"/>
      <c r="BP135" s="166"/>
      <c r="BQ135" s="177"/>
      <c r="BR135" s="178"/>
      <c r="BS135" s="179"/>
      <c r="BU135" s="166"/>
      <c r="BV135" s="166"/>
      <c r="BW135" s="166"/>
      <c r="BX135" s="166"/>
      <c r="BY135" s="166"/>
      <c r="BZ135" s="166"/>
      <c r="CA135" s="166"/>
      <c r="CB135" s="166"/>
      <c r="CC135" s="166"/>
      <c r="CD135" s="177"/>
      <c r="CE135" s="181"/>
      <c r="CF135" s="177"/>
      <c r="CG135" s="179"/>
      <c r="CH135" s="257"/>
      <c r="CI135" s="182"/>
      <c r="CJ135" s="177"/>
      <c r="CK135" s="182"/>
      <c r="CL135" s="177"/>
      <c r="CM135" s="182"/>
      <c r="CN135" s="177"/>
      <c r="CO135" s="182"/>
      <c r="CP135" s="177"/>
      <c r="CQ135" s="178"/>
      <c r="CR135" s="182"/>
      <c r="CS135" s="173"/>
      <c r="CT135" s="65"/>
      <c r="CU135" s="255" t="str">
        <f t="shared" si="2"/>
        <v>MSS</v>
      </c>
    </row>
    <row r="136" ht="60.0" customHeight="1">
      <c r="A136" s="65"/>
      <c r="C136" s="167">
        <v>8.0</v>
      </c>
      <c r="D136" s="168" t="s">
        <v>197</v>
      </c>
      <c r="E136" s="169"/>
      <c r="F136" s="170"/>
      <c r="G136" s="170"/>
      <c r="H136" s="170"/>
      <c r="I136" s="207"/>
      <c r="J136" s="170"/>
      <c r="K136" s="171"/>
      <c r="L136" s="171"/>
      <c r="M136" s="171"/>
      <c r="N136" s="276"/>
      <c r="O136" s="256">
        <f t="shared" si="25"/>
        <v>0</v>
      </c>
      <c r="Q136" s="173"/>
      <c r="R136" s="65"/>
      <c r="S136" s="173"/>
      <c r="T136" s="173"/>
      <c r="U136" s="166"/>
      <c r="V136" s="166"/>
      <c r="W136" s="65"/>
      <c r="X136" s="66"/>
      <c r="Y136" s="173"/>
      <c r="Z136" s="166"/>
      <c r="AA136" s="174"/>
      <c r="AB136" s="175"/>
      <c r="AC136" s="175"/>
      <c r="AD136" s="175"/>
      <c r="AE136" s="175"/>
      <c r="AF136" s="175"/>
      <c r="AG136" s="175"/>
      <c r="AH136" s="175"/>
      <c r="AI136" s="176"/>
      <c r="AJ136" s="177"/>
      <c r="AK136" s="178"/>
      <c r="AL136" s="178"/>
      <c r="AM136" s="178"/>
      <c r="AN136" s="178"/>
      <c r="AO136" s="179"/>
      <c r="AP136" s="64"/>
      <c r="AQ136" s="65"/>
      <c r="AR136" s="65"/>
      <c r="AS136" s="65"/>
      <c r="AT136" s="173"/>
      <c r="AU136" s="177"/>
      <c r="AV136" s="178"/>
      <c r="AW136" s="178"/>
      <c r="AX136" s="179"/>
      <c r="AZ136" s="166"/>
      <c r="BA136" s="177"/>
      <c r="BB136" s="178"/>
      <c r="BC136" s="178"/>
      <c r="BD136" s="178"/>
      <c r="BE136" s="178"/>
      <c r="BF136" s="178"/>
      <c r="BG136" s="178"/>
      <c r="BH136" s="178"/>
      <c r="BI136" s="179"/>
      <c r="BJ136" s="180"/>
      <c r="BK136" s="178"/>
      <c r="BL136" s="178"/>
      <c r="BM136" s="178"/>
      <c r="BN136" s="178"/>
      <c r="BO136" s="181"/>
      <c r="BP136" s="166"/>
      <c r="BQ136" s="177"/>
      <c r="BR136" s="178"/>
      <c r="BS136" s="179"/>
      <c r="BU136" s="166"/>
      <c r="BV136" s="166"/>
      <c r="BW136" s="166"/>
      <c r="BX136" s="166"/>
      <c r="BY136" s="166"/>
      <c r="BZ136" s="166"/>
      <c r="CA136" s="166"/>
      <c r="CB136" s="166"/>
      <c r="CC136" s="166"/>
      <c r="CD136" s="177"/>
      <c r="CE136" s="181"/>
      <c r="CF136" s="177"/>
      <c r="CG136" s="179"/>
      <c r="CH136" s="257"/>
      <c r="CI136" s="182"/>
      <c r="CJ136" s="177"/>
      <c r="CK136" s="182"/>
      <c r="CL136" s="177"/>
      <c r="CM136" s="182"/>
      <c r="CN136" s="177"/>
      <c r="CO136" s="182"/>
      <c r="CP136" s="177"/>
      <c r="CQ136" s="178"/>
      <c r="CR136" s="182"/>
      <c r="CS136" s="173"/>
      <c r="CT136" s="65"/>
      <c r="CU136" s="255" t="str">
        <f t="shared" si="2"/>
        <v>MSS</v>
      </c>
    </row>
    <row r="137" ht="60.0" customHeight="1">
      <c r="A137" s="65"/>
      <c r="C137" s="167">
        <v>9.0</v>
      </c>
      <c r="D137" s="168" t="s">
        <v>197</v>
      </c>
      <c r="E137" s="169"/>
      <c r="F137" s="170"/>
      <c r="G137" s="170"/>
      <c r="H137" s="170"/>
      <c r="I137" s="207"/>
      <c r="J137" s="170"/>
      <c r="K137" s="171"/>
      <c r="L137" s="171"/>
      <c r="M137" s="171"/>
      <c r="N137" s="276"/>
      <c r="O137" s="256">
        <f t="shared" si="25"/>
        <v>0</v>
      </c>
      <c r="Q137" s="173"/>
      <c r="R137" s="65"/>
      <c r="S137" s="173"/>
      <c r="T137" s="173"/>
      <c r="U137" s="166"/>
      <c r="V137" s="166"/>
      <c r="W137" s="65"/>
      <c r="X137" s="66"/>
      <c r="Y137" s="173"/>
      <c r="Z137" s="166"/>
      <c r="AA137" s="174"/>
      <c r="AB137" s="175"/>
      <c r="AC137" s="175"/>
      <c r="AD137" s="175"/>
      <c r="AE137" s="175"/>
      <c r="AF137" s="175"/>
      <c r="AG137" s="175"/>
      <c r="AH137" s="175"/>
      <c r="AI137" s="176"/>
      <c r="AJ137" s="177"/>
      <c r="AK137" s="178"/>
      <c r="AL137" s="178"/>
      <c r="AM137" s="178"/>
      <c r="AN137" s="178"/>
      <c r="AO137" s="179"/>
      <c r="AP137" s="64"/>
      <c r="AQ137" s="65"/>
      <c r="AR137" s="65"/>
      <c r="AS137" s="65"/>
      <c r="AT137" s="173"/>
      <c r="AU137" s="177"/>
      <c r="AV137" s="178"/>
      <c r="AW137" s="178"/>
      <c r="AX137" s="179"/>
      <c r="AZ137" s="166"/>
      <c r="BA137" s="177"/>
      <c r="BB137" s="178"/>
      <c r="BC137" s="178"/>
      <c r="BD137" s="178"/>
      <c r="BE137" s="178"/>
      <c r="BF137" s="178"/>
      <c r="BG137" s="178"/>
      <c r="BH137" s="178"/>
      <c r="BI137" s="179"/>
      <c r="BJ137" s="180"/>
      <c r="BK137" s="178"/>
      <c r="BL137" s="178"/>
      <c r="BM137" s="178"/>
      <c r="BN137" s="178"/>
      <c r="BO137" s="181"/>
      <c r="BP137" s="166"/>
      <c r="BQ137" s="177"/>
      <c r="BR137" s="178"/>
      <c r="BS137" s="179"/>
      <c r="BU137" s="166"/>
      <c r="BV137" s="166"/>
      <c r="BW137" s="166"/>
      <c r="BX137" s="166"/>
      <c r="BY137" s="166"/>
      <c r="BZ137" s="166"/>
      <c r="CA137" s="166"/>
      <c r="CB137" s="166"/>
      <c r="CC137" s="166"/>
      <c r="CD137" s="177"/>
      <c r="CE137" s="181"/>
      <c r="CF137" s="177"/>
      <c r="CG137" s="179"/>
      <c r="CH137" s="257"/>
      <c r="CI137" s="182"/>
      <c r="CJ137" s="177"/>
      <c r="CK137" s="182"/>
      <c r="CL137" s="177"/>
      <c r="CM137" s="182"/>
      <c r="CN137" s="177"/>
      <c r="CO137" s="182"/>
      <c r="CP137" s="177"/>
      <c r="CQ137" s="178"/>
      <c r="CR137" s="182"/>
      <c r="CS137" s="173"/>
      <c r="CT137" s="65"/>
      <c r="CU137" s="255" t="str">
        <f t="shared" si="2"/>
        <v>MSS</v>
      </c>
    </row>
    <row r="138" ht="60.0" customHeight="1">
      <c r="A138" s="65"/>
      <c r="C138" s="167">
        <v>10.0</v>
      </c>
      <c r="D138" s="168" t="s">
        <v>197</v>
      </c>
      <c r="E138" s="169"/>
      <c r="F138" s="170"/>
      <c r="G138" s="170"/>
      <c r="H138" s="170"/>
      <c r="I138" s="207"/>
      <c r="J138" s="170"/>
      <c r="K138" s="171"/>
      <c r="L138" s="171"/>
      <c r="M138" s="171"/>
      <c r="N138" s="276"/>
      <c r="O138" s="256">
        <f t="shared" si="25"/>
        <v>0</v>
      </c>
      <c r="Q138" s="173"/>
      <c r="R138" s="65"/>
      <c r="S138" s="173"/>
      <c r="T138" s="173"/>
      <c r="U138" s="166"/>
      <c r="V138" s="166"/>
      <c r="W138" s="65"/>
      <c r="X138" s="66"/>
      <c r="Y138" s="173"/>
      <c r="Z138" s="166"/>
      <c r="AA138" s="174"/>
      <c r="AB138" s="175"/>
      <c r="AC138" s="175"/>
      <c r="AD138" s="175"/>
      <c r="AE138" s="175"/>
      <c r="AF138" s="175"/>
      <c r="AG138" s="175"/>
      <c r="AH138" s="175"/>
      <c r="AI138" s="176"/>
      <c r="AJ138" s="177"/>
      <c r="AK138" s="178"/>
      <c r="AL138" s="178"/>
      <c r="AM138" s="178"/>
      <c r="AN138" s="178"/>
      <c r="AO138" s="179"/>
      <c r="AP138" s="64"/>
      <c r="AQ138" s="65"/>
      <c r="AR138" s="65"/>
      <c r="AS138" s="65"/>
      <c r="AT138" s="173"/>
      <c r="AU138" s="177"/>
      <c r="AV138" s="178"/>
      <c r="AW138" s="178"/>
      <c r="AX138" s="179"/>
      <c r="AZ138" s="166"/>
      <c r="BA138" s="177"/>
      <c r="BB138" s="178"/>
      <c r="BC138" s="178"/>
      <c r="BD138" s="178"/>
      <c r="BE138" s="178"/>
      <c r="BF138" s="178"/>
      <c r="BG138" s="178"/>
      <c r="BH138" s="178"/>
      <c r="BI138" s="179"/>
      <c r="BJ138" s="180"/>
      <c r="BK138" s="178"/>
      <c r="BL138" s="178"/>
      <c r="BM138" s="178"/>
      <c r="BN138" s="178"/>
      <c r="BO138" s="181"/>
      <c r="BP138" s="166"/>
      <c r="BQ138" s="177"/>
      <c r="BR138" s="178"/>
      <c r="BS138" s="179"/>
      <c r="BU138" s="166"/>
      <c r="BV138" s="166"/>
      <c r="BW138" s="166"/>
      <c r="BX138" s="166"/>
      <c r="BY138" s="166"/>
      <c r="BZ138" s="166"/>
      <c r="CA138" s="166"/>
      <c r="CB138" s="166"/>
      <c r="CC138" s="166"/>
      <c r="CD138" s="177"/>
      <c r="CE138" s="181"/>
      <c r="CF138" s="177"/>
      <c r="CG138" s="179"/>
      <c r="CH138" s="257"/>
      <c r="CI138" s="182"/>
      <c r="CJ138" s="177"/>
      <c r="CK138" s="182"/>
      <c r="CL138" s="177"/>
      <c r="CM138" s="182"/>
      <c r="CN138" s="177"/>
      <c r="CO138" s="182"/>
      <c r="CP138" s="177"/>
      <c r="CQ138" s="178"/>
      <c r="CR138" s="182"/>
      <c r="CS138" s="173"/>
      <c r="CT138" s="65"/>
      <c r="CU138" s="255" t="str">
        <f t="shared" si="2"/>
        <v>MSS</v>
      </c>
    </row>
    <row r="139" ht="60.0" customHeight="1">
      <c r="A139" s="89"/>
      <c r="C139" s="183">
        <v>11.0</v>
      </c>
      <c r="D139" s="210" t="s">
        <v>197</v>
      </c>
      <c r="E139" s="185"/>
      <c r="F139" s="186"/>
      <c r="G139" s="186"/>
      <c r="H139" s="186"/>
      <c r="I139" s="212"/>
      <c r="J139" s="186"/>
      <c r="K139" s="187"/>
      <c r="L139" s="187"/>
      <c r="M139" s="187"/>
      <c r="N139" s="214"/>
      <c r="O139" s="258">
        <f t="shared" ref="O139:O145" si="26">IF(AND(M139&lt;&gt;0,M139&lt;&gt;"m",M139&lt;&gt;"",RIGHT(K139,3)="Lec"),1,IF(AND(M139&lt;&gt;0,M139&lt;&gt;"m",M139&lt;&gt;"",OR(RIGHT(K139,3)="Lab",RIGHT(K139,3)="Tut")),0.5,IF(AND(M139&lt;&gt;0,M139&lt;&gt;"m",M139&lt;&gt;"",RIGHT(K139,2)="TL"),0.75,0)))</f>
        <v>0</v>
      </c>
      <c r="P139" s="6"/>
      <c r="Q139" s="69"/>
      <c r="R139" s="89"/>
      <c r="S139" s="69"/>
      <c r="T139" s="69"/>
      <c r="U139" s="63"/>
      <c r="V139" s="63"/>
      <c r="W139" s="89"/>
      <c r="X139" s="68"/>
      <c r="Y139" s="69"/>
      <c r="Z139" s="63"/>
      <c r="AA139" s="189"/>
      <c r="AB139" s="190"/>
      <c r="AC139" s="190"/>
      <c r="AD139" s="190"/>
      <c r="AE139" s="190"/>
      <c r="AF139" s="190"/>
      <c r="AG139" s="190"/>
      <c r="AH139" s="190"/>
      <c r="AI139" s="191"/>
      <c r="AJ139" s="192"/>
      <c r="AK139" s="193"/>
      <c r="AL139" s="193"/>
      <c r="AM139" s="193"/>
      <c r="AN139" s="193"/>
      <c r="AO139" s="194"/>
      <c r="AP139" s="103"/>
      <c r="AQ139" s="89"/>
      <c r="AR139" s="89"/>
      <c r="AS139" s="89"/>
      <c r="AT139" s="69"/>
      <c r="AU139" s="192"/>
      <c r="AV139" s="193"/>
      <c r="AW139" s="193"/>
      <c r="AX139" s="194"/>
      <c r="AY139" s="6"/>
      <c r="AZ139" s="63"/>
      <c r="BA139" s="192"/>
      <c r="BB139" s="193"/>
      <c r="BC139" s="193"/>
      <c r="BD139" s="193"/>
      <c r="BE139" s="193"/>
      <c r="BF139" s="193"/>
      <c r="BG139" s="193"/>
      <c r="BH139" s="193"/>
      <c r="BI139" s="194"/>
      <c r="BJ139" s="195"/>
      <c r="BK139" s="193"/>
      <c r="BL139" s="193"/>
      <c r="BM139" s="193"/>
      <c r="BN139" s="193"/>
      <c r="BO139" s="196"/>
      <c r="BP139" s="63"/>
      <c r="BQ139" s="192"/>
      <c r="BR139" s="193"/>
      <c r="BS139" s="194"/>
      <c r="BT139" s="6"/>
      <c r="BU139" s="63"/>
      <c r="BV139" s="63"/>
      <c r="BW139" s="63"/>
      <c r="BX139" s="63"/>
      <c r="BY139" s="63"/>
      <c r="BZ139" s="63"/>
      <c r="CA139" s="63"/>
      <c r="CB139" s="63"/>
      <c r="CC139" s="63"/>
      <c r="CD139" s="192"/>
      <c r="CE139" s="196"/>
      <c r="CF139" s="192"/>
      <c r="CG139" s="194"/>
      <c r="CH139" s="259"/>
      <c r="CI139" s="197"/>
      <c r="CJ139" s="192"/>
      <c r="CK139" s="197"/>
      <c r="CL139" s="192"/>
      <c r="CM139" s="197"/>
      <c r="CN139" s="192"/>
      <c r="CO139" s="197"/>
      <c r="CP139" s="192"/>
      <c r="CQ139" s="193"/>
      <c r="CR139" s="197"/>
      <c r="CS139" s="69"/>
      <c r="CT139" s="89"/>
      <c r="CU139" s="255" t="str">
        <f t="shared" si="2"/>
        <v>MSS</v>
      </c>
    </row>
    <row r="140" ht="55.5" customHeight="1">
      <c r="A140" s="125">
        <v>13.0</v>
      </c>
      <c r="B140" s="199" t="s">
        <v>199</v>
      </c>
      <c r="C140" s="127">
        <v>1.0</v>
      </c>
      <c r="D140" s="168" t="s">
        <v>200</v>
      </c>
      <c r="E140" s="129"/>
      <c r="F140" s="130"/>
      <c r="G140" s="130"/>
      <c r="H140" s="130"/>
      <c r="I140" s="201"/>
      <c r="J140" s="130"/>
      <c r="K140" s="131"/>
      <c r="L140" s="131"/>
      <c r="M140" s="131"/>
      <c r="N140" s="275"/>
      <c r="O140" s="250">
        <f t="shared" si="26"/>
        <v>0</v>
      </c>
      <c r="P140" s="251">
        <f>COUNTIF(K140:K150,"TL")*0.75+COUNTIF(K140:K150,"Lec")*1+COUNTIF(K140:K150,"Lab")*0.5</f>
        <v>0</v>
      </c>
      <c r="Q140" s="134">
        <f>SUM((IF(LEFT(K140,1)="E",O140,0)),(IF(LEFT(K141,1)="E",O141,0)),(IF(LEFT(K142,1)="E",O142,0)),(IF(LEFT(K143,1)="E",O143,0)),(IF(LEFT(K144,1)="E",O144,0)),(IF(LEFT(K145,1)="E",O145,0)),(IF(LEFT(K146,1)="E",O146,0)),(IF(LEFT(K147,1)="E",O147,0)),(IF(LEFT(K148,1)="E",O148,0)),(IF(LEFT(K149,1)="E",O149,0)),(IF(LEFT(K150,1)="E",O150,0)))</f>
        <v>0</v>
      </c>
      <c r="R140" s="135">
        <f>SUM(IF(M146&lt;20,IF(K146="Plec",-1,IF(K146="PTL",-0.75,IF(K146="Plab",-0.5,0))),0),IF(M147&lt;20,IF(K147="Plec",-1,IF(K147="PTL",-0.75,IF(K147="Plab",-0.5,0))),0),IF(M148&lt;20,IF(K148="Plec",-1,IF(K148="PTL",-0.75,IF(K148="Plab",-0.5,0))),0),IF(M149&lt;20,IF(K149="Plec",-1,IF(K149="PTL",-0.75,IF(K149="Plab",-0.5,0))),0))</f>
        <v>0</v>
      </c>
      <c r="S140" s="134">
        <f>SUM(P140:R150)</f>
        <v>0</v>
      </c>
      <c r="T140" s="136">
        <f>SUM(IF(M140="M",IF(OR(K140="lec",K140="plec",K140="slec"),1,IF(OR(K140="lab",K140="plab",K140="slab",K140="tut",K140="ptut",K140="stut"),0.5,IF(OR(K140="TL",K140="pTL",K140="STL"),0.75,0))),0),IF(M141="M",IF(OR(K141="lec",K141="plec",K141="slec"),1,IF(OR(K141="lab",K141="plab",K141="slab",K141="tut",K141="ptut",K141="stut"),0.5,IF(OR(K141="TL",K141="pTL",K141="STL"),0.75,0))),0),IF(M142="M",IF(OR(K142="lec",K142="plec",K142="slec"),1,IF(OR(K142="lab",K142="plab",K142="slab",K142="tut",K142="ptut",K142="stut"),0.5,IF(OR(K142="TL",K142="pTL",K142="STL"),0.75,0))),0),IF(M143="M",IF(OR(K143="lec",K143="plec",K143="slec"),1,IF(OR(K143="lab",K143="plab",K143="slab",K143="tut",K143="ptut",K143="stut"),0.5,IF(OR(K143="TL",K143="pTL",K143="STL"),0.75,0))),0),IF(M144="M",IF(OR(K144="lec",K144="plec",K144="slec"),1,IF(OR(K144="lab",K144="plab",K144="slab",K144="tut",K144="ptut",K144="stut"),0.5,IF(OR(K144="TL",K144="pTL",K144="STL"),0.75,0))),0),IF(M145="M",IF(OR(K145="lec",K145="plec",K145="slec"),1,IF(OR(K145="lab",K145="plab",K145="slab",K145="tut",K145="ptut",K145="stut"),0.5,IF(OR(K145="TL",K145="pTL",K145="STL"),0.75,0))),0),IF(M146="M",IF(OR(K146="lec",K146="plec",K146="slec"),1,IF(OR(K146="lab",K146="plab",K146="slab",K146="tut",K146="ptut",K146="stut"),0.5,IF(OR(K146="TL",K146="pTL",K146="STL"),0.75,0))),0),IF(M147="M",IF(OR(K147="lec",K147="plec",K147="slec"),1,IF(OR(K147="lab",K147="plab",K147="slab",K147="tut",K147="ptut",K147="stut"),0.5,IF(OR(K147="TL",K147="pTL",K147="STL"),0.75,0))),0),IF(M148="M",IF(OR(K148="lec",K148="plec",K148="slec"),1,IF(OR(K148="lab",K148="plab",K148="slab",K148="tut",K148="ptut",K148="stut"),0.5,IF(OR(K148="TL",K148="pTL",K148="STL"),0.75,0))),0),IF(M149="M",IF(OR(K149="lec",K149="plec",K149="slec"),1,IF(OR(K149="lab",K149="plab",K149="slab",K149="tut",K149="ptut",K149="stut"),0.5,IF(OR(K149="TL",K149="pTL",K149="STL"),0.75,0))),0),IF(M150="M",IF(OR(K150="lec",K150="plec",K150="slec"),1,IF(OR(K150="lab",K150="plab",K150="slab",K150="tut",K150="ptut",K150="stut"),0.5,IF(OR(K150="TL",K150="pTL",K150="STL"),0.75,0))),0))</f>
        <v>0</v>
      </c>
      <c r="U140" s="137"/>
      <c r="V140" s="133"/>
      <c r="W140" s="138"/>
      <c r="X140" s="139">
        <f>S140-(T140+U140+V140+W140)</f>
        <v>0</v>
      </c>
      <c r="Y140" s="134" t="str">
        <f>CONCATENATE(SUM(O140:O150),"(",SUM(O140:O150)-X140,")")</f>
        <v>0(0)</v>
      </c>
      <c r="Z140" s="140"/>
      <c r="AA140" s="141"/>
      <c r="AB140" s="142"/>
      <c r="AC140" s="142"/>
      <c r="AD140" s="142"/>
      <c r="AE140" s="142"/>
      <c r="AF140" s="142"/>
      <c r="AG140" s="142"/>
      <c r="AH140" s="142"/>
      <c r="AI140" s="143"/>
      <c r="AJ140" s="144"/>
      <c r="AK140" s="145"/>
      <c r="AL140" s="145"/>
      <c r="AM140" s="145"/>
      <c r="AN140" s="145"/>
      <c r="AO140" s="146"/>
      <c r="AP140" s="147">
        <f>SUM(SUM(O140:O150),SUM(AI140:AI150)/2,AM140)</f>
        <v>0</v>
      </c>
      <c r="AQ140" s="148"/>
      <c r="AR140" s="148">
        <f>AP140*AQ140</f>
        <v>0</v>
      </c>
      <c r="AS140" s="148">
        <f>CT140</f>
        <v>0</v>
      </c>
      <c r="AT140" s="149">
        <f>AR140*0.75+AS140*0.25</f>
        <v>0</v>
      </c>
      <c r="AU140" s="150"/>
      <c r="AV140" s="151"/>
      <c r="AW140" s="151"/>
      <c r="AX140" s="152"/>
      <c r="AY140" s="153"/>
      <c r="AZ140" s="140"/>
      <c r="BA140" s="150"/>
      <c r="BB140" s="151"/>
      <c r="BC140" s="151"/>
      <c r="BD140" s="151"/>
      <c r="BE140" s="151"/>
      <c r="BF140" s="151"/>
      <c r="BG140" s="151"/>
      <c r="BH140" s="151"/>
      <c r="BI140" s="152"/>
      <c r="BJ140" s="154"/>
      <c r="BK140" s="151"/>
      <c r="BL140" s="151"/>
      <c r="BM140" s="151"/>
      <c r="BN140" s="151"/>
      <c r="BO140" s="155"/>
      <c r="BP140" s="140"/>
      <c r="BQ140" s="156"/>
      <c r="BR140" s="157"/>
      <c r="BS140" s="158"/>
      <c r="BT140" s="153"/>
      <c r="BU140" s="140"/>
      <c r="BV140" s="140"/>
      <c r="BW140" s="140"/>
      <c r="BX140" s="140"/>
      <c r="BY140" s="140"/>
      <c r="BZ140" s="140"/>
      <c r="CA140" s="140"/>
      <c r="CB140" s="140"/>
      <c r="CC140" s="140"/>
      <c r="CD140" s="150"/>
      <c r="CE140" s="155"/>
      <c r="CF140" s="150"/>
      <c r="CG140" s="152"/>
      <c r="CH140" s="252"/>
      <c r="CI140" s="160"/>
      <c r="CJ140" s="159"/>
      <c r="CK140" s="160"/>
      <c r="CL140" s="159"/>
      <c r="CM140" s="160"/>
      <c r="CN140" s="159"/>
      <c r="CO140" s="160"/>
      <c r="CP140" s="159"/>
      <c r="CQ140" s="162"/>
      <c r="CR140" s="160"/>
      <c r="CS140" s="253">
        <f>SUM(IF(AU140&lt;0,ABS(AU140),0),IF(AZ140&lt;0,ABS(AZ140),0),ABS(CI140),ABS(CK140),ABS(CM140),ABS(CO140),ABS(CQ140),ABS(CR140))</f>
        <v>0</v>
      </c>
      <c r="CT140" s="254">
        <f>SUM(AU140,AV140,AW140,AX140/400,AY140,AZ140,BG140,BH140*0.5,BI140*0.25,BJ140,BK140,BL140,BM140,BN140,BO140,BP140,BR140/20,BS140/100,BT140/60,BU140,BV140,BW140,BX140/4,SUM(BY140:CC150)/3,CE140,CG140/3,CI140,CK140,CM140,CO140,CQ140,CR140)</f>
        <v>0</v>
      </c>
      <c r="CU140" s="255" t="str">
        <f t="shared" si="2"/>
        <v>MSP</v>
      </c>
    </row>
    <row r="141" ht="60.0" customHeight="1">
      <c r="A141" s="65"/>
      <c r="C141" s="167">
        <v>2.0</v>
      </c>
      <c r="D141" s="168" t="s">
        <v>200</v>
      </c>
      <c r="E141" s="169"/>
      <c r="F141" s="170"/>
      <c r="G141" s="170"/>
      <c r="H141" s="170"/>
      <c r="I141" s="207"/>
      <c r="J141" s="170"/>
      <c r="K141" s="171"/>
      <c r="L141" s="171"/>
      <c r="M141" s="171"/>
      <c r="N141" s="276"/>
      <c r="O141" s="256">
        <f t="shared" si="26"/>
        <v>0</v>
      </c>
      <c r="Q141" s="173"/>
      <c r="R141" s="65"/>
      <c r="S141" s="173"/>
      <c r="T141" s="173"/>
      <c r="U141" s="166"/>
      <c r="V141" s="166"/>
      <c r="W141" s="65"/>
      <c r="X141" s="66"/>
      <c r="Y141" s="173"/>
      <c r="Z141" s="166"/>
      <c r="AA141" s="174"/>
      <c r="AB141" s="175"/>
      <c r="AC141" s="175"/>
      <c r="AD141" s="175"/>
      <c r="AE141" s="175"/>
      <c r="AF141" s="175"/>
      <c r="AG141" s="175"/>
      <c r="AH141" s="175"/>
      <c r="AI141" s="176"/>
      <c r="AJ141" s="177"/>
      <c r="AK141" s="178"/>
      <c r="AL141" s="178"/>
      <c r="AM141" s="178"/>
      <c r="AN141" s="178"/>
      <c r="AO141" s="179"/>
      <c r="AP141" s="64"/>
      <c r="AQ141" s="65"/>
      <c r="AR141" s="65"/>
      <c r="AS141" s="65"/>
      <c r="AT141" s="173"/>
      <c r="AU141" s="177"/>
      <c r="AV141" s="178"/>
      <c r="AW141" s="178"/>
      <c r="AX141" s="179"/>
      <c r="AZ141" s="166"/>
      <c r="BA141" s="177"/>
      <c r="BB141" s="178"/>
      <c r="BC141" s="178"/>
      <c r="BD141" s="178"/>
      <c r="BE141" s="178"/>
      <c r="BF141" s="178"/>
      <c r="BG141" s="178"/>
      <c r="BH141" s="178"/>
      <c r="BI141" s="179"/>
      <c r="BJ141" s="180"/>
      <c r="BK141" s="178"/>
      <c r="BL141" s="178"/>
      <c r="BM141" s="178"/>
      <c r="BN141" s="178"/>
      <c r="BO141" s="181"/>
      <c r="BP141" s="166"/>
      <c r="BQ141" s="177"/>
      <c r="BR141" s="178"/>
      <c r="BS141" s="179"/>
      <c r="BU141" s="166"/>
      <c r="BV141" s="166"/>
      <c r="BW141" s="166"/>
      <c r="BX141" s="166"/>
      <c r="BY141" s="166"/>
      <c r="BZ141" s="166"/>
      <c r="CA141" s="166"/>
      <c r="CB141" s="166"/>
      <c r="CC141" s="166"/>
      <c r="CD141" s="177"/>
      <c r="CE141" s="181"/>
      <c r="CF141" s="177"/>
      <c r="CG141" s="179"/>
      <c r="CH141" s="257"/>
      <c r="CI141" s="182"/>
      <c r="CJ141" s="177"/>
      <c r="CK141" s="182"/>
      <c r="CL141" s="177"/>
      <c r="CM141" s="182"/>
      <c r="CN141" s="177"/>
      <c r="CO141" s="182"/>
      <c r="CP141" s="177"/>
      <c r="CQ141" s="178"/>
      <c r="CR141" s="182"/>
      <c r="CS141" s="173"/>
      <c r="CT141" s="65"/>
      <c r="CU141" s="255" t="str">
        <f t="shared" si="2"/>
        <v>MSP</v>
      </c>
    </row>
    <row r="142" ht="60.0" customHeight="1">
      <c r="A142" s="65"/>
      <c r="C142" s="167">
        <v>3.0</v>
      </c>
      <c r="D142" s="168" t="s">
        <v>200</v>
      </c>
      <c r="E142" s="169"/>
      <c r="F142" s="170"/>
      <c r="G142" s="170"/>
      <c r="H142" s="170"/>
      <c r="I142" s="207"/>
      <c r="J142" s="170"/>
      <c r="K142" s="171"/>
      <c r="L142" s="171"/>
      <c r="M142" s="171"/>
      <c r="N142" s="276"/>
      <c r="O142" s="256">
        <f t="shared" si="26"/>
        <v>0</v>
      </c>
      <c r="Q142" s="173"/>
      <c r="R142" s="65"/>
      <c r="S142" s="173"/>
      <c r="T142" s="173"/>
      <c r="U142" s="166"/>
      <c r="V142" s="166"/>
      <c r="W142" s="65"/>
      <c r="X142" s="66"/>
      <c r="Y142" s="173"/>
      <c r="Z142" s="166"/>
      <c r="AA142" s="174"/>
      <c r="AB142" s="175"/>
      <c r="AC142" s="175"/>
      <c r="AD142" s="175"/>
      <c r="AE142" s="175"/>
      <c r="AF142" s="175"/>
      <c r="AG142" s="175"/>
      <c r="AH142" s="175"/>
      <c r="AI142" s="176"/>
      <c r="AJ142" s="177"/>
      <c r="AK142" s="178"/>
      <c r="AL142" s="178"/>
      <c r="AM142" s="178"/>
      <c r="AN142" s="178"/>
      <c r="AO142" s="179"/>
      <c r="AP142" s="64"/>
      <c r="AQ142" s="65"/>
      <c r="AR142" s="65"/>
      <c r="AS142" s="65"/>
      <c r="AT142" s="173"/>
      <c r="AU142" s="177"/>
      <c r="AV142" s="178"/>
      <c r="AW142" s="178"/>
      <c r="AX142" s="179"/>
      <c r="AZ142" s="166"/>
      <c r="BA142" s="177"/>
      <c r="BB142" s="178"/>
      <c r="BC142" s="178"/>
      <c r="BD142" s="178"/>
      <c r="BE142" s="178"/>
      <c r="BF142" s="178"/>
      <c r="BG142" s="178"/>
      <c r="BH142" s="178"/>
      <c r="BI142" s="179"/>
      <c r="BJ142" s="180"/>
      <c r="BK142" s="178"/>
      <c r="BL142" s="178"/>
      <c r="BM142" s="178"/>
      <c r="BN142" s="178"/>
      <c r="BO142" s="181"/>
      <c r="BP142" s="166"/>
      <c r="BQ142" s="177"/>
      <c r="BR142" s="178"/>
      <c r="BS142" s="179"/>
      <c r="BU142" s="166"/>
      <c r="BV142" s="166"/>
      <c r="BW142" s="166"/>
      <c r="BX142" s="166"/>
      <c r="BY142" s="166"/>
      <c r="BZ142" s="166"/>
      <c r="CA142" s="166"/>
      <c r="CB142" s="166"/>
      <c r="CC142" s="166"/>
      <c r="CD142" s="177"/>
      <c r="CE142" s="181"/>
      <c r="CF142" s="177"/>
      <c r="CG142" s="179"/>
      <c r="CH142" s="257"/>
      <c r="CI142" s="182"/>
      <c r="CJ142" s="177"/>
      <c r="CK142" s="182"/>
      <c r="CL142" s="177"/>
      <c r="CM142" s="182"/>
      <c r="CN142" s="177"/>
      <c r="CO142" s="182"/>
      <c r="CP142" s="177"/>
      <c r="CQ142" s="178"/>
      <c r="CR142" s="182"/>
      <c r="CS142" s="173"/>
      <c r="CT142" s="65"/>
      <c r="CU142" s="255" t="str">
        <f t="shared" si="2"/>
        <v>MSP</v>
      </c>
    </row>
    <row r="143" ht="60.0" customHeight="1">
      <c r="A143" s="65"/>
      <c r="C143" s="167">
        <v>4.0</v>
      </c>
      <c r="D143" s="168" t="s">
        <v>200</v>
      </c>
      <c r="E143" s="169"/>
      <c r="F143" s="170"/>
      <c r="G143" s="170"/>
      <c r="H143" s="170"/>
      <c r="I143" s="207"/>
      <c r="J143" s="170"/>
      <c r="K143" s="171"/>
      <c r="L143" s="171"/>
      <c r="M143" s="171"/>
      <c r="N143" s="276"/>
      <c r="O143" s="256">
        <f t="shared" si="26"/>
        <v>0</v>
      </c>
      <c r="Q143" s="173"/>
      <c r="R143" s="65"/>
      <c r="S143" s="173"/>
      <c r="T143" s="173"/>
      <c r="U143" s="166"/>
      <c r="V143" s="166"/>
      <c r="W143" s="65"/>
      <c r="X143" s="66"/>
      <c r="Y143" s="173"/>
      <c r="Z143" s="166"/>
      <c r="AA143" s="174"/>
      <c r="AB143" s="175"/>
      <c r="AC143" s="175"/>
      <c r="AD143" s="175"/>
      <c r="AE143" s="175"/>
      <c r="AF143" s="175"/>
      <c r="AG143" s="175"/>
      <c r="AH143" s="175"/>
      <c r="AI143" s="176"/>
      <c r="AJ143" s="177"/>
      <c r="AK143" s="178"/>
      <c r="AL143" s="178"/>
      <c r="AM143" s="178"/>
      <c r="AN143" s="178"/>
      <c r="AO143" s="179"/>
      <c r="AP143" s="64"/>
      <c r="AQ143" s="65"/>
      <c r="AR143" s="65"/>
      <c r="AS143" s="65"/>
      <c r="AT143" s="173"/>
      <c r="AU143" s="177"/>
      <c r="AV143" s="178"/>
      <c r="AW143" s="178"/>
      <c r="AX143" s="179"/>
      <c r="AZ143" s="166"/>
      <c r="BA143" s="177"/>
      <c r="BB143" s="178"/>
      <c r="BC143" s="178"/>
      <c r="BD143" s="178"/>
      <c r="BE143" s="178"/>
      <c r="BF143" s="178"/>
      <c r="BG143" s="178"/>
      <c r="BH143" s="178"/>
      <c r="BI143" s="179"/>
      <c r="BJ143" s="180"/>
      <c r="BK143" s="178"/>
      <c r="BL143" s="178"/>
      <c r="BM143" s="178"/>
      <c r="BN143" s="178"/>
      <c r="BO143" s="181"/>
      <c r="BP143" s="166"/>
      <c r="BQ143" s="177"/>
      <c r="BR143" s="178"/>
      <c r="BS143" s="179"/>
      <c r="BU143" s="166"/>
      <c r="BV143" s="166"/>
      <c r="BW143" s="166"/>
      <c r="BX143" s="166"/>
      <c r="BY143" s="166"/>
      <c r="BZ143" s="166"/>
      <c r="CA143" s="166"/>
      <c r="CB143" s="166"/>
      <c r="CC143" s="166"/>
      <c r="CD143" s="177"/>
      <c r="CE143" s="181"/>
      <c r="CF143" s="177"/>
      <c r="CG143" s="179"/>
      <c r="CH143" s="257"/>
      <c r="CI143" s="182"/>
      <c r="CJ143" s="177"/>
      <c r="CK143" s="182"/>
      <c r="CL143" s="177"/>
      <c r="CM143" s="182"/>
      <c r="CN143" s="177"/>
      <c r="CO143" s="182"/>
      <c r="CP143" s="177"/>
      <c r="CQ143" s="178"/>
      <c r="CR143" s="182"/>
      <c r="CS143" s="173"/>
      <c r="CT143" s="65"/>
      <c r="CU143" s="255" t="str">
        <f t="shared" si="2"/>
        <v>MSP</v>
      </c>
    </row>
    <row r="144" ht="60.0" customHeight="1">
      <c r="A144" s="65"/>
      <c r="C144" s="167">
        <v>5.0</v>
      </c>
      <c r="D144" s="168" t="s">
        <v>200</v>
      </c>
      <c r="E144" s="169"/>
      <c r="F144" s="170"/>
      <c r="G144" s="170"/>
      <c r="H144" s="170"/>
      <c r="I144" s="207"/>
      <c r="J144" s="170"/>
      <c r="K144" s="171"/>
      <c r="L144" s="171"/>
      <c r="M144" s="171"/>
      <c r="N144" s="276"/>
      <c r="O144" s="256">
        <f t="shared" si="26"/>
        <v>0</v>
      </c>
      <c r="Q144" s="173"/>
      <c r="R144" s="65"/>
      <c r="S144" s="173"/>
      <c r="T144" s="173"/>
      <c r="U144" s="166"/>
      <c r="V144" s="166"/>
      <c r="W144" s="65"/>
      <c r="X144" s="66"/>
      <c r="Y144" s="173"/>
      <c r="Z144" s="166"/>
      <c r="AA144" s="174"/>
      <c r="AB144" s="175"/>
      <c r="AC144" s="175"/>
      <c r="AD144" s="175"/>
      <c r="AE144" s="175"/>
      <c r="AF144" s="175"/>
      <c r="AG144" s="175"/>
      <c r="AH144" s="175"/>
      <c r="AI144" s="176"/>
      <c r="AJ144" s="177"/>
      <c r="AK144" s="178"/>
      <c r="AL144" s="178"/>
      <c r="AM144" s="178"/>
      <c r="AN144" s="178"/>
      <c r="AO144" s="179"/>
      <c r="AP144" s="64"/>
      <c r="AQ144" s="65"/>
      <c r="AR144" s="65"/>
      <c r="AS144" s="65"/>
      <c r="AT144" s="173"/>
      <c r="AU144" s="177"/>
      <c r="AV144" s="178"/>
      <c r="AW144" s="178"/>
      <c r="AX144" s="179"/>
      <c r="AZ144" s="166"/>
      <c r="BA144" s="177"/>
      <c r="BB144" s="178"/>
      <c r="BC144" s="178"/>
      <c r="BD144" s="178"/>
      <c r="BE144" s="178"/>
      <c r="BF144" s="178"/>
      <c r="BG144" s="178"/>
      <c r="BH144" s="178"/>
      <c r="BI144" s="179"/>
      <c r="BJ144" s="180"/>
      <c r="BK144" s="178"/>
      <c r="BL144" s="178"/>
      <c r="BM144" s="178"/>
      <c r="BN144" s="178"/>
      <c r="BO144" s="181"/>
      <c r="BP144" s="166"/>
      <c r="BQ144" s="177"/>
      <c r="BR144" s="178"/>
      <c r="BS144" s="179"/>
      <c r="BU144" s="166"/>
      <c r="BV144" s="166"/>
      <c r="BW144" s="166"/>
      <c r="BX144" s="166"/>
      <c r="BY144" s="166"/>
      <c r="BZ144" s="166"/>
      <c r="CA144" s="166"/>
      <c r="CB144" s="166"/>
      <c r="CC144" s="166"/>
      <c r="CD144" s="177"/>
      <c r="CE144" s="181"/>
      <c r="CF144" s="177"/>
      <c r="CG144" s="179"/>
      <c r="CH144" s="257"/>
      <c r="CI144" s="182"/>
      <c r="CJ144" s="177"/>
      <c r="CK144" s="182"/>
      <c r="CL144" s="177"/>
      <c r="CM144" s="182"/>
      <c r="CN144" s="177"/>
      <c r="CO144" s="182"/>
      <c r="CP144" s="177"/>
      <c r="CQ144" s="178"/>
      <c r="CR144" s="182"/>
      <c r="CS144" s="173"/>
      <c r="CT144" s="65"/>
      <c r="CU144" s="255" t="str">
        <f t="shared" si="2"/>
        <v>MSP</v>
      </c>
    </row>
    <row r="145" ht="60.0" customHeight="1">
      <c r="A145" s="65"/>
      <c r="C145" s="167">
        <v>6.0</v>
      </c>
      <c r="D145" s="168" t="s">
        <v>200</v>
      </c>
      <c r="E145" s="169"/>
      <c r="F145" s="170"/>
      <c r="G145" s="170"/>
      <c r="H145" s="170"/>
      <c r="I145" s="207"/>
      <c r="J145" s="170"/>
      <c r="K145" s="171"/>
      <c r="L145" s="171"/>
      <c r="M145" s="171"/>
      <c r="N145" s="276"/>
      <c r="O145" s="256">
        <f t="shared" si="26"/>
        <v>0</v>
      </c>
      <c r="Q145" s="173"/>
      <c r="R145" s="65"/>
      <c r="S145" s="173"/>
      <c r="T145" s="173"/>
      <c r="U145" s="166"/>
      <c r="V145" s="166"/>
      <c r="W145" s="65"/>
      <c r="X145" s="66"/>
      <c r="Y145" s="173"/>
      <c r="Z145" s="166"/>
      <c r="AA145" s="174"/>
      <c r="AB145" s="175"/>
      <c r="AC145" s="175"/>
      <c r="AD145" s="175"/>
      <c r="AE145" s="175"/>
      <c r="AF145" s="175"/>
      <c r="AG145" s="175"/>
      <c r="AH145" s="175"/>
      <c r="AI145" s="176"/>
      <c r="AJ145" s="177"/>
      <c r="AK145" s="178"/>
      <c r="AL145" s="178"/>
      <c r="AM145" s="178"/>
      <c r="AN145" s="178"/>
      <c r="AO145" s="179"/>
      <c r="AP145" s="64"/>
      <c r="AQ145" s="65"/>
      <c r="AR145" s="65"/>
      <c r="AS145" s="65"/>
      <c r="AT145" s="173"/>
      <c r="AU145" s="177"/>
      <c r="AV145" s="178"/>
      <c r="AW145" s="178"/>
      <c r="AX145" s="179"/>
      <c r="AZ145" s="166"/>
      <c r="BA145" s="177"/>
      <c r="BB145" s="178"/>
      <c r="BC145" s="178"/>
      <c r="BD145" s="178"/>
      <c r="BE145" s="178"/>
      <c r="BF145" s="178"/>
      <c r="BG145" s="178"/>
      <c r="BH145" s="178"/>
      <c r="BI145" s="179"/>
      <c r="BJ145" s="180"/>
      <c r="BK145" s="178"/>
      <c r="BL145" s="178"/>
      <c r="BM145" s="178"/>
      <c r="BN145" s="178"/>
      <c r="BO145" s="181"/>
      <c r="BP145" s="166"/>
      <c r="BQ145" s="177"/>
      <c r="BR145" s="178"/>
      <c r="BS145" s="179"/>
      <c r="BU145" s="166"/>
      <c r="BV145" s="166"/>
      <c r="BW145" s="166"/>
      <c r="BX145" s="166"/>
      <c r="BY145" s="166"/>
      <c r="BZ145" s="166"/>
      <c r="CA145" s="166"/>
      <c r="CB145" s="166"/>
      <c r="CC145" s="166"/>
      <c r="CD145" s="177"/>
      <c r="CE145" s="181"/>
      <c r="CF145" s="177"/>
      <c r="CG145" s="179"/>
      <c r="CH145" s="257"/>
      <c r="CI145" s="182"/>
      <c r="CJ145" s="177"/>
      <c r="CK145" s="182"/>
      <c r="CL145" s="177"/>
      <c r="CM145" s="182"/>
      <c r="CN145" s="177"/>
      <c r="CO145" s="182"/>
      <c r="CP145" s="177"/>
      <c r="CQ145" s="178"/>
      <c r="CR145" s="182"/>
      <c r="CS145" s="173"/>
      <c r="CT145" s="65"/>
      <c r="CU145" s="255" t="str">
        <f t="shared" si="2"/>
        <v>MSP</v>
      </c>
    </row>
    <row r="146" ht="60.0" customHeight="1">
      <c r="A146" s="65"/>
      <c r="C146" s="167">
        <v>7.0</v>
      </c>
      <c r="D146" s="168" t="s">
        <v>200</v>
      </c>
      <c r="E146" s="169"/>
      <c r="F146" s="170"/>
      <c r="G146" s="170"/>
      <c r="H146" s="170"/>
      <c r="I146" s="207"/>
      <c r="J146" s="170"/>
      <c r="K146" s="171"/>
      <c r="L146" s="171"/>
      <c r="M146" s="171"/>
      <c r="N146" s="276"/>
      <c r="O146" s="256">
        <f t="shared" ref="O146:O149" si="27">IF(AND(M146&gt;=20,M146&lt;&gt;"m",RIGHT(K146,3)="Lec"),1,IF(AND(M146&gt;=20,M146&lt;&gt;"m",OR(RIGHT(K146,3)="Lab",RIGHT(K146,3)="Tut")),0.5,IF(AND(M146&gt;=20,M146&lt;&gt;"m",RIGHT(K146,2)="TL"),0.75,0)))</f>
        <v>0</v>
      </c>
      <c r="Q146" s="173"/>
      <c r="R146" s="65"/>
      <c r="S146" s="173"/>
      <c r="T146" s="173"/>
      <c r="U146" s="166"/>
      <c r="V146" s="166"/>
      <c r="W146" s="65"/>
      <c r="X146" s="66"/>
      <c r="Y146" s="173"/>
      <c r="Z146" s="166"/>
      <c r="AA146" s="174"/>
      <c r="AB146" s="175"/>
      <c r="AC146" s="175"/>
      <c r="AD146" s="175"/>
      <c r="AE146" s="175"/>
      <c r="AF146" s="175"/>
      <c r="AG146" s="175"/>
      <c r="AH146" s="175"/>
      <c r="AI146" s="176"/>
      <c r="AJ146" s="177"/>
      <c r="AK146" s="178"/>
      <c r="AL146" s="178"/>
      <c r="AM146" s="178"/>
      <c r="AN146" s="178"/>
      <c r="AO146" s="179"/>
      <c r="AP146" s="64"/>
      <c r="AQ146" s="65"/>
      <c r="AR146" s="65"/>
      <c r="AS146" s="65"/>
      <c r="AT146" s="173"/>
      <c r="AU146" s="177"/>
      <c r="AV146" s="178"/>
      <c r="AW146" s="178"/>
      <c r="AX146" s="179"/>
      <c r="AZ146" s="166"/>
      <c r="BA146" s="177"/>
      <c r="BB146" s="178"/>
      <c r="BC146" s="178"/>
      <c r="BD146" s="178"/>
      <c r="BE146" s="178"/>
      <c r="BF146" s="178"/>
      <c r="BG146" s="178"/>
      <c r="BH146" s="178"/>
      <c r="BI146" s="179"/>
      <c r="BJ146" s="180"/>
      <c r="BK146" s="178"/>
      <c r="BL146" s="178"/>
      <c r="BM146" s="178"/>
      <c r="BN146" s="178"/>
      <c r="BO146" s="181"/>
      <c r="BP146" s="166"/>
      <c r="BQ146" s="177"/>
      <c r="BR146" s="178"/>
      <c r="BS146" s="179"/>
      <c r="BU146" s="166"/>
      <c r="BV146" s="166"/>
      <c r="BW146" s="166"/>
      <c r="BX146" s="166"/>
      <c r="BY146" s="166"/>
      <c r="BZ146" s="166"/>
      <c r="CA146" s="166"/>
      <c r="CB146" s="166"/>
      <c r="CC146" s="166"/>
      <c r="CD146" s="177"/>
      <c r="CE146" s="181"/>
      <c r="CF146" s="177"/>
      <c r="CG146" s="179"/>
      <c r="CH146" s="257"/>
      <c r="CI146" s="182"/>
      <c r="CJ146" s="177"/>
      <c r="CK146" s="182"/>
      <c r="CL146" s="177"/>
      <c r="CM146" s="182"/>
      <c r="CN146" s="177"/>
      <c r="CO146" s="182"/>
      <c r="CP146" s="177"/>
      <c r="CQ146" s="178"/>
      <c r="CR146" s="182"/>
      <c r="CS146" s="173"/>
      <c r="CT146" s="65"/>
      <c r="CU146" s="255" t="str">
        <f t="shared" si="2"/>
        <v>MSP</v>
      </c>
    </row>
    <row r="147" ht="60.0" customHeight="1">
      <c r="A147" s="65"/>
      <c r="C147" s="167">
        <v>8.0</v>
      </c>
      <c r="D147" s="168" t="s">
        <v>200</v>
      </c>
      <c r="E147" s="169"/>
      <c r="F147" s="170"/>
      <c r="G147" s="170"/>
      <c r="H147" s="170"/>
      <c r="I147" s="207"/>
      <c r="J147" s="170"/>
      <c r="K147" s="171"/>
      <c r="L147" s="171"/>
      <c r="M147" s="171"/>
      <c r="N147" s="276"/>
      <c r="O147" s="256">
        <f t="shared" si="27"/>
        <v>0</v>
      </c>
      <c r="Q147" s="173"/>
      <c r="R147" s="65"/>
      <c r="S147" s="173"/>
      <c r="T147" s="173"/>
      <c r="U147" s="166"/>
      <c r="V147" s="166"/>
      <c r="W147" s="65"/>
      <c r="X147" s="66"/>
      <c r="Y147" s="173"/>
      <c r="Z147" s="166"/>
      <c r="AA147" s="174"/>
      <c r="AB147" s="175"/>
      <c r="AC147" s="175"/>
      <c r="AD147" s="175"/>
      <c r="AE147" s="175"/>
      <c r="AF147" s="175"/>
      <c r="AG147" s="175"/>
      <c r="AH147" s="175"/>
      <c r="AI147" s="176"/>
      <c r="AJ147" s="177"/>
      <c r="AK147" s="178"/>
      <c r="AL147" s="178"/>
      <c r="AM147" s="178"/>
      <c r="AN147" s="178"/>
      <c r="AO147" s="179"/>
      <c r="AP147" s="64"/>
      <c r="AQ147" s="65"/>
      <c r="AR147" s="65"/>
      <c r="AS147" s="65"/>
      <c r="AT147" s="173"/>
      <c r="AU147" s="177"/>
      <c r="AV147" s="178"/>
      <c r="AW147" s="178"/>
      <c r="AX147" s="179"/>
      <c r="AZ147" s="166"/>
      <c r="BA147" s="177"/>
      <c r="BB147" s="178"/>
      <c r="BC147" s="178"/>
      <c r="BD147" s="178"/>
      <c r="BE147" s="178"/>
      <c r="BF147" s="178"/>
      <c r="BG147" s="178"/>
      <c r="BH147" s="178"/>
      <c r="BI147" s="179"/>
      <c r="BJ147" s="180"/>
      <c r="BK147" s="178"/>
      <c r="BL147" s="178"/>
      <c r="BM147" s="178"/>
      <c r="BN147" s="178"/>
      <c r="BO147" s="181"/>
      <c r="BP147" s="166"/>
      <c r="BQ147" s="177"/>
      <c r="BR147" s="178"/>
      <c r="BS147" s="179"/>
      <c r="BU147" s="166"/>
      <c r="BV147" s="166"/>
      <c r="BW147" s="166"/>
      <c r="BX147" s="166"/>
      <c r="BY147" s="166"/>
      <c r="BZ147" s="166"/>
      <c r="CA147" s="166"/>
      <c r="CB147" s="166"/>
      <c r="CC147" s="166"/>
      <c r="CD147" s="177"/>
      <c r="CE147" s="181"/>
      <c r="CF147" s="177"/>
      <c r="CG147" s="179"/>
      <c r="CH147" s="257"/>
      <c r="CI147" s="182"/>
      <c r="CJ147" s="177"/>
      <c r="CK147" s="182"/>
      <c r="CL147" s="177"/>
      <c r="CM147" s="182"/>
      <c r="CN147" s="177"/>
      <c r="CO147" s="182"/>
      <c r="CP147" s="177"/>
      <c r="CQ147" s="178"/>
      <c r="CR147" s="182"/>
      <c r="CS147" s="173"/>
      <c r="CT147" s="65"/>
      <c r="CU147" s="255" t="str">
        <f t="shared" si="2"/>
        <v>MSP</v>
      </c>
    </row>
    <row r="148" ht="60.0" customHeight="1">
      <c r="A148" s="65"/>
      <c r="C148" s="167">
        <v>9.0</v>
      </c>
      <c r="D148" s="168" t="s">
        <v>200</v>
      </c>
      <c r="E148" s="169"/>
      <c r="F148" s="170"/>
      <c r="G148" s="170"/>
      <c r="H148" s="170"/>
      <c r="I148" s="207"/>
      <c r="J148" s="170"/>
      <c r="K148" s="171"/>
      <c r="L148" s="171"/>
      <c r="M148" s="171"/>
      <c r="N148" s="276"/>
      <c r="O148" s="256">
        <f t="shared" si="27"/>
        <v>0</v>
      </c>
      <c r="Q148" s="173"/>
      <c r="R148" s="65"/>
      <c r="S148" s="173"/>
      <c r="T148" s="173"/>
      <c r="U148" s="166"/>
      <c r="V148" s="166"/>
      <c r="W148" s="65"/>
      <c r="X148" s="66"/>
      <c r="Y148" s="173"/>
      <c r="Z148" s="166"/>
      <c r="AA148" s="174"/>
      <c r="AB148" s="175"/>
      <c r="AC148" s="175"/>
      <c r="AD148" s="175"/>
      <c r="AE148" s="175"/>
      <c r="AF148" s="175"/>
      <c r="AG148" s="175"/>
      <c r="AH148" s="175"/>
      <c r="AI148" s="176"/>
      <c r="AJ148" s="177"/>
      <c r="AK148" s="178"/>
      <c r="AL148" s="178"/>
      <c r="AM148" s="178"/>
      <c r="AN148" s="178"/>
      <c r="AO148" s="179"/>
      <c r="AP148" s="64"/>
      <c r="AQ148" s="65"/>
      <c r="AR148" s="65"/>
      <c r="AS148" s="65"/>
      <c r="AT148" s="173"/>
      <c r="AU148" s="177"/>
      <c r="AV148" s="178"/>
      <c r="AW148" s="178"/>
      <c r="AX148" s="179"/>
      <c r="AZ148" s="166"/>
      <c r="BA148" s="177"/>
      <c r="BB148" s="178"/>
      <c r="BC148" s="178"/>
      <c r="BD148" s="178"/>
      <c r="BE148" s="178"/>
      <c r="BF148" s="178"/>
      <c r="BG148" s="178"/>
      <c r="BH148" s="178"/>
      <c r="BI148" s="179"/>
      <c r="BJ148" s="180"/>
      <c r="BK148" s="178"/>
      <c r="BL148" s="178"/>
      <c r="BM148" s="178"/>
      <c r="BN148" s="178"/>
      <c r="BO148" s="181"/>
      <c r="BP148" s="166"/>
      <c r="BQ148" s="177"/>
      <c r="BR148" s="178"/>
      <c r="BS148" s="179"/>
      <c r="BU148" s="166"/>
      <c r="BV148" s="166"/>
      <c r="BW148" s="166"/>
      <c r="BX148" s="166"/>
      <c r="BY148" s="166"/>
      <c r="BZ148" s="166"/>
      <c r="CA148" s="166"/>
      <c r="CB148" s="166"/>
      <c r="CC148" s="166"/>
      <c r="CD148" s="177"/>
      <c r="CE148" s="181"/>
      <c r="CF148" s="177"/>
      <c r="CG148" s="179"/>
      <c r="CH148" s="257"/>
      <c r="CI148" s="182"/>
      <c r="CJ148" s="177"/>
      <c r="CK148" s="182"/>
      <c r="CL148" s="177"/>
      <c r="CM148" s="182"/>
      <c r="CN148" s="177"/>
      <c r="CO148" s="182"/>
      <c r="CP148" s="177"/>
      <c r="CQ148" s="178"/>
      <c r="CR148" s="182"/>
      <c r="CS148" s="173"/>
      <c r="CT148" s="65"/>
      <c r="CU148" s="255" t="str">
        <f t="shared" si="2"/>
        <v>MSP</v>
      </c>
    </row>
    <row r="149" ht="60.0" customHeight="1">
      <c r="A149" s="65"/>
      <c r="C149" s="167">
        <v>10.0</v>
      </c>
      <c r="D149" s="168" t="s">
        <v>200</v>
      </c>
      <c r="E149" s="169"/>
      <c r="F149" s="170"/>
      <c r="G149" s="170"/>
      <c r="H149" s="170"/>
      <c r="I149" s="207"/>
      <c r="J149" s="170"/>
      <c r="K149" s="171"/>
      <c r="L149" s="171"/>
      <c r="M149" s="171"/>
      <c r="N149" s="276"/>
      <c r="O149" s="256">
        <f t="shared" si="27"/>
        <v>0</v>
      </c>
      <c r="Q149" s="173"/>
      <c r="R149" s="65"/>
      <c r="S149" s="173"/>
      <c r="T149" s="173"/>
      <c r="U149" s="166"/>
      <c r="V149" s="166"/>
      <c r="W149" s="65"/>
      <c r="X149" s="66"/>
      <c r="Y149" s="173"/>
      <c r="Z149" s="166"/>
      <c r="AA149" s="174"/>
      <c r="AB149" s="175"/>
      <c r="AC149" s="175"/>
      <c r="AD149" s="175"/>
      <c r="AE149" s="175"/>
      <c r="AF149" s="175"/>
      <c r="AG149" s="175"/>
      <c r="AH149" s="175"/>
      <c r="AI149" s="176"/>
      <c r="AJ149" s="177"/>
      <c r="AK149" s="178"/>
      <c r="AL149" s="178"/>
      <c r="AM149" s="178"/>
      <c r="AN149" s="178"/>
      <c r="AO149" s="179"/>
      <c r="AP149" s="64"/>
      <c r="AQ149" s="65"/>
      <c r="AR149" s="65"/>
      <c r="AS149" s="65"/>
      <c r="AT149" s="173"/>
      <c r="AU149" s="177"/>
      <c r="AV149" s="178"/>
      <c r="AW149" s="178"/>
      <c r="AX149" s="179"/>
      <c r="AZ149" s="166"/>
      <c r="BA149" s="177"/>
      <c r="BB149" s="178"/>
      <c r="BC149" s="178"/>
      <c r="BD149" s="178"/>
      <c r="BE149" s="178"/>
      <c r="BF149" s="178"/>
      <c r="BG149" s="178"/>
      <c r="BH149" s="178"/>
      <c r="BI149" s="179"/>
      <c r="BJ149" s="180"/>
      <c r="BK149" s="178"/>
      <c r="BL149" s="178"/>
      <c r="BM149" s="178"/>
      <c r="BN149" s="178"/>
      <c r="BO149" s="181"/>
      <c r="BP149" s="166"/>
      <c r="BQ149" s="177"/>
      <c r="BR149" s="178"/>
      <c r="BS149" s="179"/>
      <c r="BU149" s="166"/>
      <c r="BV149" s="166"/>
      <c r="BW149" s="166"/>
      <c r="BX149" s="166"/>
      <c r="BY149" s="166"/>
      <c r="BZ149" s="166"/>
      <c r="CA149" s="166"/>
      <c r="CB149" s="166"/>
      <c r="CC149" s="166"/>
      <c r="CD149" s="177"/>
      <c r="CE149" s="181"/>
      <c r="CF149" s="177"/>
      <c r="CG149" s="179"/>
      <c r="CH149" s="257"/>
      <c r="CI149" s="182"/>
      <c r="CJ149" s="177"/>
      <c r="CK149" s="182"/>
      <c r="CL149" s="177"/>
      <c r="CM149" s="182"/>
      <c r="CN149" s="177"/>
      <c r="CO149" s="182"/>
      <c r="CP149" s="177"/>
      <c r="CQ149" s="178"/>
      <c r="CR149" s="182"/>
      <c r="CS149" s="173"/>
      <c r="CT149" s="65"/>
      <c r="CU149" s="255" t="str">
        <f t="shared" si="2"/>
        <v>MSP</v>
      </c>
    </row>
    <row r="150" ht="60.0" customHeight="1">
      <c r="A150" s="89"/>
      <c r="C150" s="183">
        <v>11.0</v>
      </c>
      <c r="D150" s="210" t="s">
        <v>200</v>
      </c>
      <c r="E150" s="185"/>
      <c r="F150" s="186"/>
      <c r="G150" s="186"/>
      <c r="H150" s="186"/>
      <c r="I150" s="212"/>
      <c r="J150" s="186"/>
      <c r="K150" s="187"/>
      <c r="L150" s="187"/>
      <c r="M150" s="187"/>
      <c r="N150" s="214"/>
      <c r="O150" s="258">
        <f t="shared" ref="O150:O156" si="28">IF(AND(M150&lt;&gt;0,M150&lt;&gt;"m",M150&lt;&gt;"",RIGHT(K150,3)="Lec"),1,IF(AND(M150&lt;&gt;0,M150&lt;&gt;"m",M150&lt;&gt;"",OR(RIGHT(K150,3)="Lab",RIGHT(K150,3)="Tut")),0.5,IF(AND(M150&lt;&gt;0,M150&lt;&gt;"m",M150&lt;&gt;"",RIGHT(K150,2)="TL"),0.75,0)))</f>
        <v>0</v>
      </c>
      <c r="P150" s="6"/>
      <c r="Q150" s="69"/>
      <c r="R150" s="89"/>
      <c r="S150" s="69"/>
      <c r="T150" s="69"/>
      <c r="U150" s="63"/>
      <c r="V150" s="63"/>
      <c r="W150" s="89"/>
      <c r="X150" s="68"/>
      <c r="Y150" s="69"/>
      <c r="Z150" s="63"/>
      <c r="AA150" s="189"/>
      <c r="AB150" s="190"/>
      <c r="AC150" s="190"/>
      <c r="AD150" s="190"/>
      <c r="AE150" s="190"/>
      <c r="AF150" s="190"/>
      <c r="AG150" s="190"/>
      <c r="AH150" s="190"/>
      <c r="AI150" s="191"/>
      <c r="AJ150" s="192"/>
      <c r="AK150" s="193"/>
      <c r="AL150" s="193"/>
      <c r="AM150" s="193"/>
      <c r="AN150" s="193"/>
      <c r="AO150" s="194"/>
      <c r="AP150" s="103"/>
      <c r="AQ150" s="89"/>
      <c r="AR150" s="89"/>
      <c r="AS150" s="89"/>
      <c r="AT150" s="69"/>
      <c r="AU150" s="192"/>
      <c r="AV150" s="193"/>
      <c r="AW150" s="193"/>
      <c r="AX150" s="194"/>
      <c r="AY150" s="6"/>
      <c r="AZ150" s="63"/>
      <c r="BA150" s="192"/>
      <c r="BB150" s="193"/>
      <c r="BC150" s="193"/>
      <c r="BD150" s="193"/>
      <c r="BE150" s="193"/>
      <c r="BF150" s="193"/>
      <c r="BG150" s="193"/>
      <c r="BH150" s="193"/>
      <c r="BI150" s="194"/>
      <c r="BJ150" s="195"/>
      <c r="BK150" s="193"/>
      <c r="BL150" s="193"/>
      <c r="BM150" s="193"/>
      <c r="BN150" s="193"/>
      <c r="BO150" s="196"/>
      <c r="BP150" s="63"/>
      <c r="BQ150" s="192"/>
      <c r="BR150" s="193"/>
      <c r="BS150" s="194"/>
      <c r="BT150" s="6"/>
      <c r="BU150" s="63"/>
      <c r="BV150" s="63"/>
      <c r="BW150" s="63"/>
      <c r="BX150" s="63"/>
      <c r="BY150" s="63"/>
      <c r="BZ150" s="63"/>
      <c r="CA150" s="63"/>
      <c r="CB150" s="63"/>
      <c r="CC150" s="63"/>
      <c r="CD150" s="192"/>
      <c r="CE150" s="196"/>
      <c r="CF150" s="192"/>
      <c r="CG150" s="194"/>
      <c r="CH150" s="259"/>
      <c r="CI150" s="197"/>
      <c r="CJ150" s="192"/>
      <c r="CK150" s="197"/>
      <c r="CL150" s="192"/>
      <c r="CM150" s="197"/>
      <c r="CN150" s="192"/>
      <c r="CO150" s="197"/>
      <c r="CP150" s="192"/>
      <c r="CQ150" s="193"/>
      <c r="CR150" s="197"/>
      <c r="CS150" s="69"/>
      <c r="CT150" s="89"/>
      <c r="CU150" s="255" t="str">
        <f t="shared" si="2"/>
        <v>MSP</v>
      </c>
    </row>
    <row r="151" ht="55.5" customHeight="1">
      <c r="A151" s="125">
        <v>14.0</v>
      </c>
      <c r="B151" s="199" t="s">
        <v>204</v>
      </c>
      <c r="C151" s="127">
        <v>1.0</v>
      </c>
      <c r="D151" s="168" t="s">
        <v>205</v>
      </c>
      <c r="E151" s="129"/>
      <c r="F151" s="130"/>
      <c r="G151" s="130"/>
      <c r="H151" s="130"/>
      <c r="I151" s="201"/>
      <c r="J151" s="130"/>
      <c r="K151" s="131"/>
      <c r="L151" s="131"/>
      <c r="M151" s="131"/>
      <c r="N151" s="275"/>
      <c r="O151" s="250">
        <f t="shared" si="28"/>
        <v>0</v>
      </c>
      <c r="P151" s="251">
        <f>COUNTIF(K151:K161,"TL")*0.75+COUNTIF(K151:K161,"Lec")*1+COUNTIF(K151:K161,"Lab")*0.5</f>
        <v>0</v>
      </c>
      <c r="Q151" s="134">
        <f>SUM((IF(LEFT(K151,1)="E",O151,0)),(IF(LEFT(K152,1)="E",O152,0)),(IF(LEFT(K153,1)="E",O153,0)),(IF(LEFT(K154,1)="E",O154,0)),(IF(LEFT(K155,1)="E",O155,0)),(IF(LEFT(K156,1)="E",O156,0)),(IF(LEFT(K157,1)="E",O157,0)),(IF(LEFT(K158,1)="E",O158,0)),(IF(LEFT(K159,1)="E",O159,0)),(IF(LEFT(K160,1)="E",O160,0)),(IF(LEFT(K161,1)="E",O161,0)))</f>
        <v>0</v>
      </c>
      <c r="R151" s="135">
        <f>SUM(IF(M157&lt;20,IF(K157="Plec",-1,IF(K157="PTL",-0.75,IF(K157="Plab",-0.5,0))),0),IF(M158&lt;20,IF(K158="Plec",-1,IF(K158="PTL",-0.75,IF(K158="Plab",-0.5,0))),0),IF(M159&lt;20,IF(K159="Plec",-1,IF(K159="PTL",-0.75,IF(K159="Plab",-0.5,0))),0),IF(M160&lt;20,IF(K160="Plec",-1,IF(K160="PTL",-0.75,IF(K160="Plab",-0.5,0))),0))</f>
        <v>0</v>
      </c>
      <c r="S151" s="134">
        <f>SUM(P151:R161)</f>
        <v>0</v>
      </c>
      <c r="T151" s="136">
        <f>SUM(IF(M151="M",IF(OR(K151="lec",K151="plec",K151="slec"),1,IF(OR(K151="lab",K151="plab",K151="slab",K151="tut",K151="ptut",K151="stut"),0.5,IF(OR(K151="TL",K151="pTL",K151="STL"),0.75,0))),0),IF(M152="M",IF(OR(K152="lec",K152="plec",K152="slec"),1,IF(OR(K152="lab",K152="plab",K152="slab",K152="tut",K152="ptut",K152="stut"),0.5,IF(OR(K152="TL",K152="pTL",K152="STL"),0.75,0))),0),IF(M153="M",IF(OR(K153="lec",K153="plec",K153="slec"),1,IF(OR(K153="lab",K153="plab",K153="slab",K153="tut",K153="ptut",K153="stut"),0.5,IF(OR(K153="TL",K153="pTL",K153="STL"),0.75,0))),0),IF(M154="M",IF(OR(K154="lec",K154="plec",K154="slec"),1,IF(OR(K154="lab",K154="plab",K154="slab",K154="tut",K154="ptut",K154="stut"),0.5,IF(OR(K154="TL",K154="pTL",K154="STL"),0.75,0))),0),IF(M155="M",IF(OR(K155="lec",K155="plec",K155="slec"),1,IF(OR(K155="lab",K155="plab",K155="slab",K155="tut",K155="ptut",K155="stut"),0.5,IF(OR(K155="TL",K155="pTL",K155="STL"),0.75,0))),0),IF(M156="M",IF(OR(K156="lec",K156="plec",K156="slec"),1,IF(OR(K156="lab",K156="plab",K156="slab",K156="tut",K156="ptut",K156="stut"),0.5,IF(OR(K156="TL",K156="pTL",K156="STL"),0.75,0))),0),IF(M157="M",IF(OR(K157="lec",K157="plec",K157="slec"),1,IF(OR(K157="lab",K157="plab",K157="slab",K157="tut",K157="ptut",K157="stut"),0.5,IF(OR(K157="TL",K157="pTL",K157="STL"),0.75,0))),0),IF(M158="M",IF(OR(K158="lec",K158="plec",K158="slec"),1,IF(OR(K158="lab",K158="plab",K158="slab",K158="tut",K158="ptut",K158="stut"),0.5,IF(OR(K158="TL",K158="pTL",K158="STL"),0.75,0))),0),IF(M159="M",IF(OR(K159="lec",K159="plec",K159="slec"),1,IF(OR(K159="lab",K159="plab",K159="slab",K159="tut",K159="ptut",K159="stut"),0.5,IF(OR(K159="TL",K159="pTL",K159="STL"),0.75,0))),0),IF(M160="M",IF(OR(K160="lec",K160="plec",K160="slec"),1,IF(OR(K160="lab",K160="plab",K160="slab",K160="tut",K160="ptut",K160="stut"),0.5,IF(OR(K160="TL",K160="pTL",K160="STL"),0.75,0))),0),IF(M161="M",IF(OR(K161="lec",K161="plec",K161="slec"),1,IF(OR(K161="lab",K161="plab",K161="slab",K161="tut",K161="ptut",K161="stut"),0.5,IF(OR(K161="TL",K161="pTL",K161="STL"),0.75,0))),0))</f>
        <v>0</v>
      </c>
      <c r="U151" s="137"/>
      <c r="V151" s="133"/>
      <c r="W151" s="138"/>
      <c r="X151" s="139">
        <f>S151-(T151+U151+V151+W151)</f>
        <v>0</v>
      </c>
      <c r="Y151" s="134" t="str">
        <f>CONCATENATE(SUM(O151:O161),"(",SUM(O151:O161)-X151,")")</f>
        <v>0(0)</v>
      </c>
      <c r="Z151" s="140"/>
      <c r="AA151" s="141"/>
      <c r="AB151" s="142"/>
      <c r="AC151" s="142"/>
      <c r="AD151" s="142"/>
      <c r="AE151" s="142"/>
      <c r="AF151" s="142"/>
      <c r="AG151" s="142"/>
      <c r="AH151" s="142"/>
      <c r="AI151" s="143"/>
      <c r="AJ151" s="144"/>
      <c r="AK151" s="145"/>
      <c r="AL151" s="145"/>
      <c r="AM151" s="145"/>
      <c r="AN151" s="145"/>
      <c r="AO151" s="146"/>
      <c r="AP151" s="147">
        <f>SUM(SUM(O151:O161),SUM(AI151:AI161)/2,AM151)</f>
        <v>0</v>
      </c>
      <c r="AQ151" s="148"/>
      <c r="AR151" s="148">
        <f>AP151*AQ151</f>
        <v>0</v>
      </c>
      <c r="AS151" s="148">
        <f>CT151</f>
        <v>0</v>
      </c>
      <c r="AT151" s="149">
        <f>AR151*0.75+AS151*0.25</f>
        <v>0</v>
      </c>
      <c r="AU151" s="150"/>
      <c r="AV151" s="151"/>
      <c r="AW151" s="151"/>
      <c r="AX151" s="152"/>
      <c r="AY151" s="153"/>
      <c r="AZ151" s="140"/>
      <c r="BA151" s="150"/>
      <c r="BB151" s="151"/>
      <c r="BC151" s="151"/>
      <c r="BD151" s="151"/>
      <c r="BE151" s="151"/>
      <c r="BF151" s="151"/>
      <c r="BG151" s="151"/>
      <c r="BH151" s="151"/>
      <c r="BI151" s="152"/>
      <c r="BJ151" s="154"/>
      <c r="BK151" s="151"/>
      <c r="BL151" s="151"/>
      <c r="BM151" s="151"/>
      <c r="BN151" s="151"/>
      <c r="BO151" s="155"/>
      <c r="BP151" s="140"/>
      <c r="BQ151" s="156"/>
      <c r="BR151" s="157"/>
      <c r="BS151" s="158"/>
      <c r="BT151" s="153"/>
      <c r="BU151" s="140"/>
      <c r="BV151" s="140"/>
      <c r="BW151" s="140"/>
      <c r="BX151" s="140"/>
      <c r="BY151" s="140"/>
      <c r="BZ151" s="140"/>
      <c r="CA151" s="140"/>
      <c r="CB151" s="140"/>
      <c r="CC151" s="140"/>
      <c r="CD151" s="150"/>
      <c r="CE151" s="155"/>
      <c r="CF151" s="150"/>
      <c r="CG151" s="152"/>
      <c r="CH151" s="252"/>
      <c r="CI151" s="160"/>
      <c r="CJ151" s="159"/>
      <c r="CK151" s="160"/>
      <c r="CL151" s="159"/>
      <c r="CM151" s="160"/>
      <c r="CN151" s="159"/>
      <c r="CO151" s="160"/>
      <c r="CP151" s="159"/>
      <c r="CQ151" s="162"/>
      <c r="CR151" s="160"/>
      <c r="CS151" s="253">
        <f>SUM(IF(AU151&lt;0,ABS(AU151),0),IF(AZ151&lt;0,ABS(AZ151),0),ABS(CI151),ABS(CK151),ABS(CM151),ABS(CO151),ABS(CQ151),ABS(CR151))</f>
        <v>0</v>
      </c>
      <c r="CT151" s="254">
        <f>SUM(AU151,AV151,AW151,AX151/400,AY151,AZ151,BG151,BH151*0.5,BI151*0.25,BJ151,BK151,BL151,BM151,BN151,BO151,BP151,BR151/20,BS151/100,BT151/60,BU151,BV151,BW151,BX151/4,SUM(BY151:CC161)/3,CE151,CG151/3,CI151,CK151,CM151,CO151,CQ151,CR151)</f>
        <v>0</v>
      </c>
      <c r="CU151" s="255" t="str">
        <f t="shared" si="2"/>
        <v>AJK</v>
      </c>
    </row>
    <row r="152" ht="60.0" customHeight="1">
      <c r="A152" s="65"/>
      <c r="C152" s="167">
        <v>2.0</v>
      </c>
      <c r="D152" s="168" t="s">
        <v>205</v>
      </c>
      <c r="E152" s="169"/>
      <c r="F152" s="170"/>
      <c r="G152" s="170"/>
      <c r="H152" s="170"/>
      <c r="I152" s="207"/>
      <c r="J152" s="170"/>
      <c r="K152" s="171"/>
      <c r="L152" s="171"/>
      <c r="M152" s="171"/>
      <c r="N152" s="276"/>
      <c r="O152" s="256">
        <f t="shared" si="28"/>
        <v>0</v>
      </c>
      <c r="Q152" s="173"/>
      <c r="R152" s="65"/>
      <c r="S152" s="173"/>
      <c r="T152" s="173"/>
      <c r="U152" s="166"/>
      <c r="V152" s="166"/>
      <c r="W152" s="65"/>
      <c r="X152" s="66"/>
      <c r="Y152" s="173"/>
      <c r="Z152" s="166"/>
      <c r="AA152" s="174"/>
      <c r="AB152" s="175"/>
      <c r="AC152" s="175"/>
      <c r="AD152" s="175"/>
      <c r="AE152" s="175"/>
      <c r="AF152" s="175"/>
      <c r="AG152" s="175"/>
      <c r="AH152" s="175"/>
      <c r="AI152" s="176"/>
      <c r="AJ152" s="177"/>
      <c r="AK152" s="178"/>
      <c r="AL152" s="178"/>
      <c r="AM152" s="178"/>
      <c r="AN152" s="178"/>
      <c r="AO152" s="179"/>
      <c r="AP152" s="64"/>
      <c r="AQ152" s="65"/>
      <c r="AR152" s="65"/>
      <c r="AS152" s="65"/>
      <c r="AT152" s="173"/>
      <c r="AU152" s="177"/>
      <c r="AV152" s="178"/>
      <c r="AW152" s="178"/>
      <c r="AX152" s="179"/>
      <c r="AZ152" s="166"/>
      <c r="BA152" s="177"/>
      <c r="BB152" s="178"/>
      <c r="BC152" s="178"/>
      <c r="BD152" s="178"/>
      <c r="BE152" s="178"/>
      <c r="BF152" s="178"/>
      <c r="BG152" s="178"/>
      <c r="BH152" s="178"/>
      <c r="BI152" s="179"/>
      <c r="BJ152" s="180"/>
      <c r="BK152" s="178"/>
      <c r="BL152" s="178"/>
      <c r="BM152" s="178"/>
      <c r="BN152" s="178"/>
      <c r="BO152" s="181"/>
      <c r="BP152" s="166"/>
      <c r="BQ152" s="177"/>
      <c r="BR152" s="178"/>
      <c r="BS152" s="179"/>
      <c r="BU152" s="166"/>
      <c r="BV152" s="166"/>
      <c r="BW152" s="166"/>
      <c r="BX152" s="166"/>
      <c r="BY152" s="166"/>
      <c r="BZ152" s="166"/>
      <c r="CA152" s="166"/>
      <c r="CB152" s="166"/>
      <c r="CC152" s="166"/>
      <c r="CD152" s="177"/>
      <c r="CE152" s="181"/>
      <c r="CF152" s="177"/>
      <c r="CG152" s="179"/>
      <c r="CH152" s="257"/>
      <c r="CI152" s="182"/>
      <c r="CJ152" s="177"/>
      <c r="CK152" s="182"/>
      <c r="CL152" s="177"/>
      <c r="CM152" s="182"/>
      <c r="CN152" s="177"/>
      <c r="CO152" s="182"/>
      <c r="CP152" s="177"/>
      <c r="CQ152" s="178"/>
      <c r="CR152" s="182"/>
      <c r="CS152" s="173"/>
      <c r="CT152" s="65"/>
      <c r="CU152" s="255" t="str">
        <f t="shared" si="2"/>
        <v>AJK</v>
      </c>
    </row>
    <row r="153" ht="60.0" customHeight="1">
      <c r="A153" s="65"/>
      <c r="C153" s="167">
        <v>3.0</v>
      </c>
      <c r="D153" s="168" t="s">
        <v>205</v>
      </c>
      <c r="E153" s="169"/>
      <c r="F153" s="170"/>
      <c r="G153" s="170"/>
      <c r="H153" s="170"/>
      <c r="I153" s="207"/>
      <c r="J153" s="170"/>
      <c r="K153" s="171"/>
      <c r="L153" s="171"/>
      <c r="M153" s="171"/>
      <c r="N153" s="276"/>
      <c r="O153" s="256">
        <f t="shared" si="28"/>
        <v>0</v>
      </c>
      <c r="Q153" s="173"/>
      <c r="R153" s="65"/>
      <c r="S153" s="173"/>
      <c r="T153" s="173"/>
      <c r="U153" s="166"/>
      <c r="V153" s="166"/>
      <c r="W153" s="65"/>
      <c r="X153" s="66"/>
      <c r="Y153" s="173"/>
      <c r="Z153" s="166"/>
      <c r="AA153" s="174"/>
      <c r="AB153" s="175"/>
      <c r="AC153" s="175"/>
      <c r="AD153" s="175"/>
      <c r="AE153" s="175"/>
      <c r="AF153" s="175"/>
      <c r="AG153" s="175"/>
      <c r="AH153" s="175"/>
      <c r="AI153" s="176"/>
      <c r="AJ153" s="177"/>
      <c r="AK153" s="178"/>
      <c r="AL153" s="178"/>
      <c r="AM153" s="178"/>
      <c r="AN153" s="178"/>
      <c r="AO153" s="179"/>
      <c r="AP153" s="64"/>
      <c r="AQ153" s="65"/>
      <c r="AR153" s="65"/>
      <c r="AS153" s="65"/>
      <c r="AT153" s="173"/>
      <c r="AU153" s="177"/>
      <c r="AV153" s="178"/>
      <c r="AW153" s="178"/>
      <c r="AX153" s="179"/>
      <c r="AZ153" s="166"/>
      <c r="BA153" s="177"/>
      <c r="BB153" s="178"/>
      <c r="BC153" s="178"/>
      <c r="BD153" s="178"/>
      <c r="BE153" s="178"/>
      <c r="BF153" s="178"/>
      <c r="BG153" s="178"/>
      <c r="BH153" s="178"/>
      <c r="BI153" s="179"/>
      <c r="BJ153" s="180"/>
      <c r="BK153" s="178"/>
      <c r="BL153" s="178"/>
      <c r="BM153" s="178"/>
      <c r="BN153" s="178"/>
      <c r="BO153" s="181"/>
      <c r="BP153" s="166"/>
      <c r="BQ153" s="177"/>
      <c r="BR153" s="178"/>
      <c r="BS153" s="179"/>
      <c r="BU153" s="166"/>
      <c r="BV153" s="166"/>
      <c r="BW153" s="166"/>
      <c r="BX153" s="166"/>
      <c r="BY153" s="166"/>
      <c r="BZ153" s="166"/>
      <c r="CA153" s="166"/>
      <c r="CB153" s="166"/>
      <c r="CC153" s="166"/>
      <c r="CD153" s="177"/>
      <c r="CE153" s="181"/>
      <c r="CF153" s="177"/>
      <c r="CG153" s="179"/>
      <c r="CH153" s="257"/>
      <c r="CI153" s="182"/>
      <c r="CJ153" s="177"/>
      <c r="CK153" s="182"/>
      <c r="CL153" s="177"/>
      <c r="CM153" s="182"/>
      <c r="CN153" s="177"/>
      <c r="CO153" s="182"/>
      <c r="CP153" s="177"/>
      <c r="CQ153" s="178"/>
      <c r="CR153" s="182"/>
      <c r="CS153" s="173"/>
      <c r="CT153" s="65"/>
      <c r="CU153" s="255" t="str">
        <f t="shared" si="2"/>
        <v>AJK</v>
      </c>
    </row>
    <row r="154" ht="60.0" customHeight="1">
      <c r="A154" s="65"/>
      <c r="C154" s="167">
        <v>4.0</v>
      </c>
      <c r="D154" s="168" t="s">
        <v>205</v>
      </c>
      <c r="E154" s="169"/>
      <c r="F154" s="170"/>
      <c r="G154" s="170"/>
      <c r="H154" s="170"/>
      <c r="I154" s="207"/>
      <c r="J154" s="170"/>
      <c r="K154" s="171"/>
      <c r="L154" s="171"/>
      <c r="M154" s="171"/>
      <c r="N154" s="276"/>
      <c r="O154" s="256">
        <f t="shared" si="28"/>
        <v>0</v>
      </c>
      <c r="Q154" s="173"/>
      <c r="R154" s="65"/>
      <c r="S154" s="173"/>
      <c r="T154" s="173"/>
      <c r="U154" s="166"/>
      <c r="V154" s="166"/>
      <c r="W154" s="65"/>
      <c r="X154" s="66"/>
      <c r="Y154" s="173"/>
      <c r="Z154" s="166"/>
      <c r="AA154" s="174"/>
      <c r="AB154" s="175"/>
      <c r="AC154" s="175"/>
      <c r="AD154" s="175"/>
      <c r="AE154" s="175"/>
      <c r="AF154" s="175"/>
      <c r="AG154" s="175"/>
      <c r="AH154" s="175"/>
      <c r="AI154" s="176"/>
      <c r="AJ154" s="177"/>
      <c r="AK154" s="178"/>
      <c r="AL154" s="178"/>
      <c r="AM154" s="178"/>
      <c r="AN154" s="178"/>
      <c r="AO154" s="179"/>
      <c r="AP154" s="64"/>
      <c r="AQ154" s="65"/>
      <c r="AR154" s="65"/>
      <c r="AS154" s="65"/>
      <c r="AT154" s="173"/>
      <c r="AU154" s="177"/>
      <c r="AV154" s="178"/>
      <c r="AW154" s="178"/>
      <c r="AX154" s="179"/>
      <c r="AZ154" s="166"/>
      <c r="BA154" s="177"/>
      <c r="BB154" s="178"/>
      <c r="BC154" s="178"/>
      <c r="BD154" s="178"/>
      <c r="BE154" s="178"/>
      <c r="BF154" s="178"/>
      <c r="BG154" s="178"/>
      <c r="BH154" s="178"/>
      <c r="BI154" s="179"/>
      <c r="BJ154" s="180"/>
      <c r="BK154" s="178"/>
      <c r="BL154" s="178"/>
      <c r="BM154" s="178"/>
      <c r="BN154" s="178"/>
      <c r="BO154" s="181"/>
      <c r="BP154" s="166"/>
      <c r="BQ154" s="177"/>
      <c r="BR154" s="178"/>
      <c r="BS154" s="179"/>
      <c r="BU154" s="166"/>
      <c r="BV154" s="166"/>
      <c r="BW154" s="166"/>
      <c r="BX154" s="166"/>
      <c r="BY154" s="166"/>
      <c r="BZ154" s="166"/>
      <c r="CA154" s="166"/>
      <c r="CB154" s="166"/>
      <c r="CC154" s="166"/>
      <c r="CD154" s="177"/>
      <c r="CE154" s="181"/>
      <c r="CF154" s="177"/>
      <c r="CG154" s="179"/>
      <c r="CH154" s="257"/>
      <c r="CI154" s="182"/>
      <c r="CJ154" s="177"/>
      <c r="CK154" s="182"/>
      <c r="CL154" s="177"/>
      <c r="CM154" s="182"/>
      <c r="CN154" s="177"/>
      <c r="CO154" s="182"/>
      <c r="CP154" s="177"/>
      <c r="CQ154" s="178"/>
      <c r="CR154" s="182"/>
      <c r="CS154" s="173"/>
      <c r="CT154" s="65"/>
      <c r="CU154" s="255" t="str">
        <f t="shared" si="2"/>
        <v>AJK</v>
      </c>
    </row>
    <row r="155" ht="60.0" customHeight="1">
      <c r="A155" s="65"/>
      <c r="C155" s="167">
        <v>5.0</v>
      </c>
      <c r="D155" s="168" t="s">
        <v>205</v>
      </c>
      <c r="E155" s="169"/>
      <c r="F155" s="170"/>
      <c r="G155" s="170"/>
      <c r="H155" s="170"/>
      <c r="I155" s="207"/>
      <c r="J155" s="170"/>
      <c r="K155" s="171"/>
      <c r="L155" s="171"/>
      <c r="M155" s="171"/>
      <c r="N155" s="276"/>
      <c r="O155" s="256">
        <f t="shared" si="28"/>
        <v>0</v>
      </c>
      <c r="Q155" s="173"/>
      <c r="R155" s="65"/>
      <c r="S155" s="173"/>
      <c r="T155" s="173"/>
      <c r="U155" s="166"/>
      <c r="V155" s="166"/>
      <c r="W155" s="65"/>
      <c r="X155" s="66"/>
      <c r="Y155" s="173"/>
      <c r="Z155" s="166"/>
      <c r="AA155" s="174"/>
      <c r="AB155" s="175"/>
      <c r="AC155" s="175"/>
      <c r="AD155" s="175"/>
      <c r="AE155" s="175"/>
      <c r="AF155" s="175"/>
      <c r="AG155" s="175"/>
      <c r="AH155" s="175"/>
      <c r="AI155" s="176"/>
      <c r="AJ155" s="177"/>
      <c r="AK155" s="178"/>
      <c r="AL155" s="178"/>
      <c r="AM155" s="178"/>
      <c r="AN155" s="178"/>
      <c r="AO155" s="179"/>
      <c r="AP155" s="64"/>
      <c r="AQ155" s="65"/>
      <c r="AR155" s="65"/>
      <c r="AS155" s="65"/>
      <c r="AT155" s="173"/>
      <c r="AU155" s="177"/>
      <c r="AV155" s="178"/>
      <c r="AW155" s="178"/>
      <c r="AX155" s="179"/>
      <c r="AZ155" s="166"/>
      <c r="BA155" s="177"/>
      <c r="BB155" s="178"/>
      <c r="BC155" s="178"/>
      <c r="BD155" s="178"/>
      <c r="BE155" s="178"/>
      <c r="BF155" s="178"/>
      <c r="BG155" s="178"/>
      <c r="BH155" s="178"/>
      <c r="BI155" s="179"/>
      <c r="BJ155" s="180"/>
      <c r="BK155" s="178"/>
      <c r="BL155" s="178"/>
      <c r="BM155" s="178"/>
      <c r="BN155" s="178"/>
      <c r="BO155" s="181"/>
      <c r="BP155" s="166"/>
      <c r="BQ155" s="177"/>
      <c r="BR155" s="178"/>
      <c r="BS155" s="179"/>
      <c r="BU155" s="166"/>
      <c r="BV155" s="166"/>
      <c r="BW155" s="166"/>
      <c r="BX155" s="166"/>
      <c r="BY155" s="166"/>
      <c r="BZ155" s="166"/>
      <c r="CA155" s="166"/>
      <c r="CB155" s="166"/>
      <c r="CC155" s="166"/>
      <c r="CD155" s="177"/>
      <c r="CE155" s="181"/>
      <c r="CF155" s="177"/>
      <c r="CG155" s="179"/>
      <c r="CH155" s="257"/>
      <c r="CI155" s="182"/>
      <c r="CJ155" s="177"/>
      <c r="CK155" s="182"/>
      <c r="CL155" s="177"/>
      <c r="CM155" s="182"/>
      <c r="CN155" s="177"/>
      <c r="CO155" s="182"/>
      <c r="CP155" s="177"/>
      <c r="CQ155" s="178"/>
      <c r="CR155" s="182"/>
      <c r="CS155" s="173"/>
      <c r="CT155" s="65"/>
      <c r="CU155" s="255" t="str">
        <f t="shared" si="2"/>
        <v>AJK</v>
      </c>
    </row>
    <row r="156" ht="60.0" customHeight="1">
      <c r="A156" s="65"/>
      <c r="C156" s="167">
        <v>6.0</v>
      </c>
      <c r="D156" s="168" t="s">
        <v>205</v>
      </c>
      <c r="E156" s="169"/>
      <c r="F156" s="170"/>
      <c r="G156" s="170"/>
      <c r="H156" s="170"/>
      <c r="I156" s="207"/>
      <c r="J156" s="170"/>
      <c r="K156" s="171"/>
      <c r="L156" s="171"/>
      <c r="M156" s="171"/>
      <c r="N156" s="276"/>
      <c r="O156" s="256">
        <f t="shared" si="28"/>
        <v>0</v>
      </c>
      <c r="Q156" s="173"/>
      <c r="R156" s="65"/>
      <c r="S156" s="173"/>
      <c r="T156" s="173"/>
      <c r="U156" s="166"/>
      <c r="V156" s="166"/>
      <c r="W156" s="65"/>
      <c r="X156" s="66"/>
      <c r="Y156" s="173"/>
      <c r="Z156" s="166"/>
      <c r="AA156" s="174"/>
      <c r="AB156" s="175"/>
      <c r="AC156" s="175"/>
      <c r="AD156" s="175"/>
      <c r="AE156" s="175"/>
      <c r="AF156" s="175"/>
      <c r="AG156" s="175"/>
      <c r="AH156" s="175"/>
      <c r="AI156" s="176"/>
      <c r="AJ156" s="177"/>
      <c r="AK156" s="178"/>
      <c r="AL156" s="178"/>
      <c r="AM156" s="178"/>
      <c r="AN156" s="178"/>
      <c r="AO156" s="179"/>
      <c r="AP156" s="64"/>
      <c r="AQ156" s="65"/>
      <c r="AR156" s="65"/>
      <c r="AS156" s="65"/>
      <c r="AT156" s="173"/>
      <c r="AU156" s="177"/>
      <c r="AV156" s="178"/>
      <c r="AW156" s="178"/>
      <c r="AX156" s="179"/>
      <c r="AZ156" s="166"/>
      <c r="BA156" s="177"/>
      <c r="BB156" s="178"/>
      <c r="BC156" s="178"/>
      <c r="BD156" s="178"/>
      <c r="BE156" s="178"/>
      <c r="BF156" s="178"/>
      <c r="BG156" s="178"/>
      <c r="BH156" s="178"/>
      <c r="BI156" s="179"/>
      <c r="BJ156" s="180"/>
      <c r="BK156" s="178"/>
      <c r="BL156" s="178"/>
      <c r="BM156" s="178"/>
      <c r="BN156" s="178"/>
      <c r="BO156" s="181"/>
      <c r="BP156" s="166"/>
      <c r="BQ156" s="177"/>
      <c r="BR156" s="178"/>
      <c r="BS156" s="179"/>
      <c r="BU156" s="166"/>
      <c r="BV156" s="166"/>
      <c r="BW156" s="166"/>
      <c r="BX156" s="166"/>
      <c r="BY156" s="166"/>
      <c r="BZ156" s="166"/>
      <c r="CA156" s="166"/>
      <c r="CB156" s="166"/>
      <c r="CC156" s="166"/>
      <c r="CD156" s="177"/>
      <c r="CE156" s="181"/>
      <c r="CF156" s="177"/>
      <c r="CG156" s="179"/>
      <c r="CH156" s="257"/>
      <c r="CI156" s="182"/>
      <c r="CJ156" s="177"/>
      <c r="CK156" s="182"/>
      <c r="CL156" s="177"/>
      <c r="CM156" s="182"/>
      <c r="CN156" s="177"/>
      <c r="CO156" s="182"/>
      <c r="CP156" s="177"/>
      <c r="CQ156" s="178"/>
      <c r="CR156" s="182"/>
      <c r="CS156" s="173"/>
      <c r="CT156" s="65"/>
      <c r="CU156" s="255" t="str">
        <f t="shared" si="2"/>
        <v>AJK</v>
      </c>
    </row>
    <row r="157" ht="60.0" customHeight="1">
      <c r="A157" s="65"/>
      <c r="C157" s="167">
        <v>7.0</v>
      </c>
      <c r="D157" s="168" t="s">
        <v>205</v>
      </c>
      <c r="E157" s="169"/>
      <c r="F157" s="170"/>
      <c r="G157" s="170"/>
      <c r="H157" s="170"/>
      <c r="I157" s="207"/>
      <c r="J157" s="170"/>
      <c r="K157" s="171"/>
      <c r="L157" s="171"/>
      <c r="M157" s="171"/>
      <c r="N157" s="276"/>
      <c r="O157" s="256">
        <f t="shared" ref="O157:O160" si="29">IF(AND(M157&gt;=20,M157&lt;&gt;"m",RIGHT(K157,3)="Lec"),1,IF(AND(M157&gt;=20,M157&lt;&gt;"m",OR(RIGHT(K157,3)="Lab",RIGHT(K157,3)="Tut")),0.5,IF(AND(M157&gt;=20,M157&lt;&gt;"m",RIGHT(K157,2)="TL"),0.75,0)))</f>
        <v>0</v>
      </c>
      <c r="Q157" s="173"/>
      <c r="R157" s="65"/>
      <c r="S157" s="173"/>
      <c r="T157" s="173"/>
      <c r="U157" s="166"/>
      <c r="V157" s="166"/>
      <c r="W157" s="65"/>
      <c r="X157" s="66"/>
      <c r="Y157" s="173"/>
      <c r="Z157" s="166"/>
      <c r="AA157" s="174"/>
      <c r="AB157" s="175"/>
      <c r="AC157" s="175"/>
      <c r="AD157" s="175"/>
      <c r="AE157" s="175"/>
      <c r="AF157" s="175"/>
      <c r="AG157" s="175"/>
      <c r="AH157" s="175"/>
      <c r="AI157" s="176"/>
      <c r="AJ157" s="177"/>
      <c r="AK157" s="178"/>
      <c r="AL157" s="178"/>
      <c r="AM157" s="178"/>
      <c r="AN157" s="178"/>
      <c r="AO157" s="179"/>
      <c r="AP157" s="64"/>
      <c r="AQ157" s="65"/>
      <c r="AR157" s="65"/>
      <c r="AS157" s="65"/>
      <c r="AT157" s="173"/>
      <c r="AU157" s="177"/>
      <c r="AV157" s="178"/>
      <c r="AW157" s="178"/>
      <c r="AX157" s="179"/>
      <c r="AZ157" s="166"/>
      <c r="BA157" s="177"/>
      <c r="BB157" s="178"/>
      <c r="BC157" s="178"/>
      <c r="BD157" s="178"/>
      <c r="BE157" s="178"/>
      <c r="BF157" s="178"/>
      <c r="BG157" s="178"/>
      <c r="BH157" s="178"/>
      <c r="BI157" s="179"/>
      <c r="BJ157" s="180"/>
      <c r="BK157" s="178"/>
      <c r="BL157" s="178"/>
      <c r="BM157" s="178"/>
      <c r="BN157" s="178"/>
      <c r="BO157" s="181"/>
      <c r="BP157" s="166"/>
      <c r="BQ157" s="177"/>
      <c r="BR157" s="178"/>
      <c r="BS157" s="179"/>
      <c r="BU157" s="166"/>
      <c r="BV157" s="166"/>
      <c r="BW157" s="166"/>
      <c r="BX157" s="166"/>
      <c r="BY157" s="166"/>
      <c r="BZ157" s="166"/>
      <c r="CA157" s="166"/>
      <c r="CB157" s="166"/>
      <c r="CC157" s="166"/>
      <c r="CD157" s="177"/>
      <c r="CE157" s="181"/>
      <c r="CF157" s="177"/>
      <c r="CG157" s="179"/>
      <c r="CH157" s="257"/>
      <c r="CI157" s="182"/>
      <c r="CJ157" s="177"/>
      <c r="CK157" s="182"/>
      <c r="CL157" s="177"/>
      <c r="CM157" s="182"/>
      <c r="CN157" s="177"/>
      <c r="CO157" s="182"/>
      <c r="CP157" s="177"/>
      <c r="CQ157" s="178"/>
      <c r="CR157" s="182"/>
      <c r="CS157" s="173"/>
      <c r="CT157" s="65"/>
      <c r="CU157" s="255" t="str">
        <f t="shared" si="2"/>
        <v>AJK</v>
      </c>
    </row>
    <row r="158" ht="60.0" customHeight="1">
      <c r="A158" s="65"/>
      <c r="C158" s="167">
        <v>8.0</v>
      </c>
      <c r="D158" s="168" t="s">
        <v>205</v>
      </c>
      <c r="E158" s="169"/>
      <c r="F158" s="170"/>
      <c r="G158" s="170"/>
      <c r="H158" s="170"/>
      <c r="I158" s="207"/>
      <c r="J158" s="170"/>
      <c r="K158" s="171"/>
      <c r="L158" s="171"/>
      <c r="M158" s="171"/>
      <c r="N158" s="276"/>
      <c r="O158" s="256">
        <f t="shared" si="29"/>
        <v>0</v>
      </c>
      <c r="Q158" s="173"/>
      <c r="R158" s="65"/>
      <c r="S158" s="173"/>
      <c r="T158" s="173"/>
      <c r="U158" s="166"/>
      <c r="V158" s="166"/>
      <c r="W158" s="65"/>
      <c r="X158" s="66"/>
      <c r="Y158" s="173"/>
      <c r="Z158" s="166"/>
      <c r="AA158" s="174"/>
      <c r="AB158" s="175"/>
      <c r="AC158" s="175"/>
      <c r="AD158" s="175"/>
      <c r="AE158" s="175"/>
      <c r="AF158" s="175"/>
      <c r="AG158" s="175"/>
      <c r="AH158" s="175"/>
      <c r="AI158" s="176"/>
      <c r="AJ158" s="177"/>
      <c r="AK158" s="178"/>
      <c r="AL158" s="178"/>
      <c r="AM158" s="178"/>
      <c r="AN158" s="178"/>
      <c r="AO158" s="179"/>
      <c r="AP158" s="64"/>
      <c r="AQ158" s="65"/>
      <c r="AR158" s="65"/>
      <c r="AS158" s="65"/>
      <c r="AT158" s="173"/>
      <c r="AU158" s="177"/>
      <c r="AV158" s="178"/>
      <c r="AW158" s="178"/>
      <c r="AX158" s="179"/>
      <c r="AZ158" s="166"/>
      <c r="BA158" s="177"/>
      <c r="BB158" s="178"/>
      <c r="BC158" s="178"/>
      <c r="BD158" s="178"/>
      <c r="BE158" s="178"/>
      <c r="BF158" s="178"/>
      <c r="BG158" s="178"/>
      <c r="BH158" s="178"/>
      <c r="BI158" s="179"/>
      <c r="BJ158" s="180"/>
      <c r="BK158" s="178"/>
      <c r="BL158" s="178"/>
      <c r="BM158" s="178"/>
      <c r="BN158" s="178"/>
      <c r="BO158" s="181"/>
      <c r="BP158" s="166"/>
      <c r="BQ158" s="177"/>
      <c r="BR158" s="178"/>
      <c r="BS158" s="179"/>
      <c r="BU158" s="166"/>
      <c r="BV158" s="166"/>
      <c r="BW158" s="166"/>
      <c r="BX158" s="166"/>
      <c r="BY158" s="166"/>
      <c r="BZ158" s="166"/>
      <c r="CA158" s="166"/>
      <c r="CB158" s="166"/>
      <c r="CC158" s="166"/>
      <c r="CD158" s="177"/>
      <c r="CE158" s="181"/>
      <c r="CF158" s="177"/>
      <c r="CG158" s="179"/>
      <c r="CH158" s="257"/>
      <c r="CI158" s="182"/>
      <c r="CJ158" s="177"/>
      <c r="CK158" s="182"/>
      <c r="CL158" s="177"/>
      <c r="CM158" s="182"/>
      <c r="CN158" s="177"/>
      <c r="CO158" s="182"/>
      <c r="CP158" s="177"/>
      <c r="CQ158" s="178"/>
      <c r="CR158" s="182"/>
      <c r="CS158" s="173"/>
      <c r="CT158" s="65"/>
      <c r="CU158" s="255" t="str">
        <f t="shared" si="2"/>
        <v>AJK</v>
      </c>
    </row>
    <row r="159" ht="60.0" customHeight="1">
      <c r="A159" s="65"/>
      <c r="C159" s="167">
        <v>9.0</v>
      </c>
      <c r="D159" s="168" t="s">
        <v>205</v>
      </c>
      <c r="E159" s="169"/>
      <c r="F159" s="170"/>
      <c r="G159" s="170"/>
      <c r="H159" s="170"/>
      <c r="I159" s="207"/>
      <c r="J159" s="170"/>
      <c r="K159" s="171"/>
      <c r="L159" s="171"/>
      <c r="M159" s="171"/>
      <c r="N159" s="276"/>
      <c r="O159" s="256">
        <f t="shared" si="29"/>
        <v>0</v>
      </c>
      <c r="Q159" s="173"/>
      <c r="R159" s="65"/>
      <c r="S159" s="173"/>
      <c r="T159" s="173"/>
      <c r="U159" s="166"/>
      <c r="V159" s="166"/>
      <c r="W159" s="65"/>
      <c r="X159" s="66"/>
      <c r="Y159" s="173"/>
      <c r="Z159" s="166"/>
      <c r="AA159" s="174"/>
      <c r="AB159" s="175"/>
      <c r="AC159" s="175"/>
      <c r="AD159" s="175"/>
      <c r="AE159" s="175"/>
      <c r="AF159" s="175"/>
      <c r="AG159" s="175"/>
      <c r="AH159" s="175"/>
      <c r="AI159" s="176"/>
      <c r="AJ159" s="177"/>
      <c r="AK159" s="178"/>
      <c r="AL159" s="178"/>
      <c r="AM159" s="178"/>
      <c r="AN159" s="178"/>
      <c r="AO159" s="179"/>
      <c r="AP159" s="64"/>
      <c r="AQ159" s="65"/>
      <c r="AR159" s="65"/>
      <c r="AS159" s="65"/>
      <c r="AT159" s="173"/>
      <c r="AU159" s="177"/>
      <c r="AV159" s="178"/>
      <c r="AW159" s="178"/>
      <c r="AX159" s="179"/>
      <c r="AZ159" s="166"/>
      <c r="BA159" s="177"/>
      <c r="BB159" s="178"/>
      <c r="BC159" s="178"/>
      <c r="BD159" s="178"/>
      <c r="BE159" s="178"/>
      <c r="BF159" s="178"/>
      <c r="BG159" s="178"/>
      <c r="BH159" s="178"/>
      <c r="BI159" s="179"/>
      <c r="BJ159" s="180"/>
      <c r="BK159" s="178"/>
      <c r="BL159" s="178"/>
      <c r="BM159" s="178"/>
      <c r="BN159" s="178"/>
      <c r="BO159" s="181"/>
      <c r="BP159" s="166"/>
      <c r="BQ159" s="177"/>
      <c r="BR159" s="178"/>
      <c r="BS159" s="179"/>
      <c r="BU159" s="166"/>
      <c r="BV159" s="166"/>
      <c r="BW159" s="166"/>
      <c r="BX159" s="166"/>
      <c r="BY159" s="166"/>
      <c r="BZ159" s="166"/>
      <c r="CA159" s="166"/>
      <c r="CB159" s="166"/>
      <c r="CC159" s="166"/>
      <c r="CD159" s="177"/>
      <c r="CE159" s="181"/>
      <c r="CF159" s="177"/>
      <c r="CG159" s="179"/>
      <c r="CH159" s="257"/>
      <c r="CI159" s="182"/>
      <c r="CJ159" s="177"/>
      <c r="CK159" s="182"/>
      <c r="CL159" s="177"/>
      <c r="CM159" s="182"/>
      <c r="CN159" s="177"/>
      <c r="CO159" s="182"/>
      <c r="CP159" s="177"/>
      <c r="CQ159" s="178"/>
      <c r="CR159" s="182"/>
      <c r="CS159" s="173"/>
      <c r="CT159" s="65"/>
      <c r="CU159" s="255" t="str">
        <f t="shared" si="2"/>
        <v>AJK</v>
      </c>
    </row>
    <row r="160" ht="60.0" customHeight="1">
      <c r="A160" s="65"/>
      <c r="C160" s="167">
        <v>10.0</v>
      </c>
      <c r="D160" s="168" t="s">
        <v>205</v>
      </c>
      <c r="E160" s="169"/>
      <c r="F160" s="170"/>
      <c r="G160" s="170"/>
      <c r="H160" s="170"/>
      <c r="I160" s="207"/>
      <c r="J160" s="170"/>
      <c r="K160" s="171"/>
      <c r="L160" s="171"/>
      <c r="M160" s="171"/>
      <c r="N160" s="276"/>
      <c r="O160" s="256">
        <f t="shared" si="29"/>
        <v>0</v>
      </c>
      <c r="Q160" s="173"/>
      <c r="R160" s="65"/>
      <c r="S160" s="173"/>
      <c r="T160" s="173"/>
      <c r="U160" s="166"/>
      <c r="V160" s="166"/>
      <c r="W160" s="65"/>
      <c r="X160" s="66"/>
      <c r="Y160" s="173"/>
      <c r="Z160" s="166"/>
      <c r="AA160" s="174"/>
      <c r="AB160" s="175"/>
      <c r="AC160" s="175"/>
      <c r="AD160" s="175"/>
      <c r="AE160" s="175"/>
      <c r="AF160" s="175"/>
      <c r="AG160" s="175"/>
      <c r="AH160" s="175"/>
      <c r="AI160" s="176"/>
      <c r="AJ160" s="177"/>
      <c r="AK160" s="178"/>
      <c r="AL160" s="178"/>
      <c r="AM160" s="178"/>
      <c r="AN160" s="178"/>
      <c r="AO160" s="179"/>
      <c r="AP160" s="64"/>
      <c r="AQ160" s="65"/>
      <c r="AR160" s="65"/>
      <c r="AS160" s="65"/>
      <c r="AT160" s="173"/>
      <c r="AU160" s="177"/>
      <c r="AV160" s="178"/>
      <c r="AW160" s="178"/>
      <c r="AX160" s="179"/>
      <c r="AZ160" s="166"/>
      <c r="BA160" s="177"/>
      <c r="BB160" s="178"/>
      <c r="BC160" s="178"/>
      <c r="BD160" s="178"/>
      <c r="BE160" s="178"/>
      <c r="BF160" s="178"/>
      <c r="BG160" s="178"/>
      <c r="BH160" s="178"/>
      <c r="BI160" s="179"/>
      <c r="BJ160" s="180"/>
      <c r="BK160" s="178"/>
      <c r="BL160" s="178"/>
      <c r="BM160" s="178"/>
      <c r="BN160" s="178"/>
      <c r="BO160" s="181"/>
      <c r="BP160" s="166"/>
      <c r="BQ160" s="177"/>
      <c r="BR160" s="178"/>
      <c r="BS160" s="179"/>
      <c r="BU160" s="166"/>
      <c r="BV160" s="166"/>
      <c r="BW160" s="166"/>
      <c r="BX160" s="166"/>
      <c r="BY160" s="166"/>
      <c r="BZ160" s="166"/>
      <c r="CA160" s="166"/>
      <c r="CB160" s="166"/>
      <c r="CC160" s="166"/>
      <c r="CD160" s="177"/>
      <c r="CE160" s="181"/>
      <c r="CF160" s="177"/>
      <c r="CG160" s="179"/>
      <c r="CH160" s="257"/>
      <c r="CI160" s="182"/>
      <c r="CJ160" s="177"/>
      <c r="CK160" s="182"/>
      <c r="CL160" s="177"/>
      <c r="CM160" s="182"/>
      <c r="CN160" s="177"/>
      <c r="CO160" s="182"/>
      <c r="CP160" s="177"/>
      <c r="CQ160" s="178"/>
      <c r="CR160" s="182"/>
      <c r="CS160" s="173"/>
      <c r="CT160" s="65"/>
      <c r="CU160" s="255" t="str">
        <f t="shared" si="2"/>
        <v>AJK</v>
      </c>
    </row>
    <row r="161" ht="60.0" customHeight="1">
      <c r="A161" s="89"/>
      <c r="C161" s="183">
        <v>11.0</v>
      </c>
      <c r="D161" s="210" t="s">
        <v>205</v>
      </c>
      <c r="E161" s="185"/>
      <c r="F161" s="186"/>
      <c r="G161" s="186"/>
      <c r="H161" s="186"/>
      <c r="I161" s="212"/>
      <c r="J161" s="186"/>
      <c r="K161" s="187"/>
      <c r="L161" s="187"/>
      <c r="M161" s="187"/>
      <c r="N161" s="214"/>
      <c r="O161" s="258">
        <f t="shared" ref="O161:O167" si="30">IF(AND(M161&lt;&gt;0,M161&lt;&gt;"m",M161&lt;&gt;"",RIGHT(K161,3)="Lec"),1,IF(AND(M161&lt;&gt;0,M161&lt;&gt;"m",M161&lt;&gt;"",OR(RIGHT(K161,3)="Lab",RIGHT(K161,3)="Tut")),0.5,IF(AND(M161&lt;&gt;0,M161&lt;&gt;"m",M161&lt;&gt;"",RIGHT(K161,2)="TL"),0.75,0)))</f>
        <v>0</v>
      </c>
      <c r="P161" s="6"/>
      <c r="Q161" s="69"/>
      <c r="R161" s="89"/>
      <c r="S161" s="69"/>
      <c r="T161" s="69"/>
      <c r="U161" s="63"/>
      <c r="V161" s="63"/>
      <c r="W161" s="89"/>
      <c r="X161" s="68"/>
      <c r="Y161" s="69"/>
      <c r="Z161" s="63"/>
      <c r="AA161" s="189"/>
      <c r="AB161" s="190"/>
      <c r="AC161" s="190"/>
      <c r="AD161" s="190"/>
      <c r="AE161" s="190"/>
      <c r="AF161" s="190"/>
      <c r="AG161" s="190"/>
      <c r="AH161" s="190"/>
      <c r="AI161" s="191"/>
      <c r="AJ161" s="192"/>
      <c r="AK161" s="193"/>
      <c r="AL161" s="193"/>
      <c r="AM161" s="193"/>
      <c r="AN161" s="193"/>
      <c r="AO161" s="194"/>
      <c r="AP161" s="103"/>
      <c r="AQ161" s="89"/>
      <c r="AR161" s="89"/>
      <c r="AS161" s="89"/>
      <c r="AT161" s="69"/>
      <c r="AU161" s="192"/>
      <c r="AV161" s="193"/>
      <c r="AW161" s="193"/>
      <c r="AX161" s="194"/>
      <c r="AY161" s="6"/>
      <c r="AZ161" s="63"/>
      <c r="BA161" s="192"/>
      <c r="BB161" s="193"/>
      <c r="BC161" s="193"/>
      <c r="BD161" s="193"/>
      <c r="BE161" s="193"/>
      <c r="BF161" s="193"/>
      <c r="BG161" s="193"/>
      <c r="BH161" s="193"/>
      <c r="BI161" s="194"/>
      <c r="BJ161" s="195"/>
      <c r="BK161" s="193"/>
      <c r="BL161" s="193"/>
      <c r="BM161" s="193"/>
      <c r="BN161" s="193"/>
      <c r="BO161" s="196"/>
      <c r="BP161" s="63"/>
      <c r="BQ161" s="192"/>
      <c r="BR161" s="193"/>
      <c r="BS161" s="194"/>
      <c r="BT161" s="6"/>
      <c r="BU161" s="63"/>
      <c r="BV161" s="63"/>
      <c r="BW161" s="63"/>
      <c r="BX161" s="63"/>
      <c r="BY161" s="63"/>
      <c r="BZ161" s="63"/>
      <c r="CA161" s="63"/>
      <c r="CB161" s="63"/>
      <c r="CC161" s="63"/>
      <c r="CD161" s="192"/>
      <c r="CE161" s="196"/>
      <c r="CF161" s="192"/>
      <c r="CG161" s="194"/>
      <c r="CH161" s="259"/>
      <c r="CI161" s="197"/>
      <c r="CJ161" s="192"/>
      <c r="CK161" s="197"/>
      <c r="CL161" s="192"/>
      <c r="CM161" s="197"/>
      <c r="CN161" s="192"/>
      <c r="CO161" s="197"/>
      <c r="CP161" s="192"/>
      <c r="CQ161" s="193"/>
      <c r="CR161" s="197"/>
      <c r="CS161" s="69"/>
      <c r="CT161" s="89"/>
      <c r="CU161" s="255" t="str">
        <f t="shared" si="2"/>
        <v>AJK</v>
      </c>
    </row>
    <row r="162" ht="55.5" hidden="1" customHeight="1">
      <c r="A162" s="125"/>
      <c r="B162" s="199"/>
      <c r="C162" s="127"/>
      <c r="D162" s="128"/>
      <c r="E162" s="260"/>
      <c r="F162" s="261"/>
      <c r="G162" s="261"/>
      <c r="H162" s="261"/>
      <c r="I162" s="261"/>
      <c r="J162" s="170"/>
      <c r="K162" s="219"/>
      <c r="L162" s="219"/>
      <c r="M162" s="219"/>
      <c r="N162" s="220"/>
      <c r="O162" s="132">
        <f t="shared" si="30"/>
        <v>0</v>
      </c>
      <c r="P162" s="133">
        <f>COUNTIF(K162:K172,"TL")*0.75+COUNTIF(K162:K172,"Lec")*1+COUNTIF(K162:K172,"Lab")*0.5</f>
        <v>0</v>
      </c>
      <c r="Q162" s="134">
        <f>SUM((IF(LEFT(K162,1)="E",O162,0)),(IF(LEFT(K163,1)="E",O163,0)),(IF(LEFT(K164,1)="E",O164,0)),(IF(LEFT(K165,1)="E",O165,0)),(IF(LEFT(K166,1)="E",O166,0)),(IF(LEFT(K167,1)="E",O167,0)),(IF(LEFT(K168,1)="E",O168,0)),(IF(LEFT(K169,1)="E",O169,0)),(IF(LEFT(K170,1)="E",O170,0)),(IF(LEFT(K171,1)="E",O171,0)),(IF(LEFT(K172,1)="E",O172,0)))</f>
        <v>0</v>
      </c>
      <c r="R162" s="135">
        <f>SUM(IF(M168&lt;20,IF(K168="Plec",-1,IF(K168="PTL",-0.75,IF(K168="Plab",-0.5,0))),0),IF(M169&lt;20,IF(K169="Plec",-1,IF(K169="PTL",-0.75,IF(K169="Plab",-0.5,0))),0),IF(M170&lt;20,IF(K170="Plec",-1,IF(K170="PTL",-0.75,IF(K170="Plab",-0.5,0))),0),IF(M171&lt;20,IF(K171="Plec",-1,IF(K171="PTL",-0.75,IF(K171="Plab",-0.5,0))),0))</f>
        <v>0</v>
      </c>
      <c r="S162" s="134">
        <f>SUM(P162:R172)</f>
        <v>0</v>
      </c>
      <c r="T162" s="136">
        <f>SUM(IF(M162="M",IF(OR(K162="lec",K162="plec",K162="slec"),1,IF(OR(K162="lab",K162="plab",K162="slab",K162="tut",K162="ptut",K162="stut"),0.5,IF(OR(K162="TL",K162="pTL",K162="STL"),0.75,0))),0),IF(M163="M",IF(OR(K163="lec",K163="plec",K163="slec"),1,IF(OR(K163="lab",K163="plab",K163="slab",K163="tut",K163="ptut",K163="stut"),0.5,IF(OR(K163="TL",K163="pTL",K163="STL"),0.75,0))),0),IF(M164="M",IF(OR(K164="lec",K164="plec",K164="slec"),1,IF(OR(K164="lab",K164="plab",K164="slab",K164="tut",K164="ptut",K164="stut"),0.5,IF(OR(K164="TL",K164="pTL",K164="STL"),0.75,0))),0),IF(M165="M",IF(OR(K165="lec",K165="plec",K165="slec"),1,IF(OR(K165="lab",K165="plab",K165="slab",K165="tut",K165="ptut",K165="stut"),0.5,IF(OR(K165="TL",K165="pTL",K165="STL"),0.75,0))),0),IF(M166="M",IF(OR(K166="lec",K166="plec",K166="slec"),1,IF(OR(K166="lab",K166="plab",K166="slab",K166="tut",K166="ptut",K166="stut"),0.5,IF(OR(K166="TL",K166="pTL",K166="STL"),0.75,0))),0),IF(M167="M",IF(OR(K167="lec",K167="plec",K167="slec"),1,IF(OR(K167="lab",K167="plab",K167="slab",K167="tut",K167="ptut",K167="stut"),0.5,IF(OR(K167="TL",K167="pTL",K167="STL"),0.75,0))),0),IF(M168="M",IF(OR(K168="lec",K168="plec",K168="slec"),1,IF(OR(K168="lab",K168="plab",K168="slab",K168="tut",K168="ptut",K168="stut"),0.5,IF(OR(K168="TL",K168="pTL",K168="STL"),0.75,0))),0),IF(M169="M",IF(OR(K169="lec",K169="plec",K169="slec"),1,IF(OR(K169="lab",K169="plab",K169="slab",K169="tut",K169="ptut",K169="stut"),0.5,IF(OR(K169="TL",K169="pTL",K169="STL"),0.75,0))),0),IF(M170="M",IF(OR(K170="lec",K170="plec",K170="slec"),1,IF(OR(K170="lab",K170="plab",K170="slab",K170="tut",K170="ptut",K170="stut"),0.5,IF(OR(K170="TL",K170="pTL",K170="STL"),0.75,0))),0),IF(M171="M",IF(OR(K171="lec",K171="plec",K171="slec"),1,IF(OR(K171="lab",K171="plab",K171="slab",K171="tut",K171="ptut",K171="stut"),0.5,IF(OR(K171="TL",K171="pTL",K171="STL"),0.75,0))),0),IF(M172="M",IF(OR(K172="lec",K172="plec",K172="slec"),1,IF(OR(K172="lab",K172="plab",K172="slab",K172="tut",K172="ptut",K172="stut"),0.5,IF(OR(K172="TL",K172="pTL",K172="STL"),0.75,0))),0))</f>
        <v>0</v>
      </c>
      <c r="U162" s="137"/>
      <c r="V162" s="133"/>
      <c r="W162" s="138"/>
      <c r="X162" s="139">
        <f>S162-(T162+U162+V162+W162)</f>
        <v>0</v>
      </c>
      <c r="Y162" s="134" t="str">
        <f>CONCATENATE(SUM(O162:O172),"(",SUM(O162:O172)-X162,")")</f>
        <v>0(0)</v>
      </c>
      <c r="Z162" s="140"/>
      <c r="AA162" s="141"/>
      <c r="AB162" s="142"/>
      <c r="AC162" s="142"/>
      <c r="AD162" s="142"/>
      <c r="AE162" s="142"/>
      <c r="AF162" s="142"/>
      <c r="AG162" s="142"/>
      <c r="AH162" s="142"/>
      <c r="AI162" s="143"/>
      <c r="AJ162" s="144"/>
      <c r="AK162" s="145"/>
      <c r="AL162" s="145"/>
      <c r="AM162" s="145"/>
      <c r="AN162" s="145"/>
      <c r="AO162" s="146"/>
      <c r="AP162" s="147">
        <f>SUM(SUM(O162:O172),SUM(AI162:AI172)/2,AM162)</f>
        <v>0</v>
      </c>
      <c r="AQ162" s="148"/>
      <c r="AR162" s="148">
        <f>AP162*AQ162</f>
        <v>0</v>
      </c>
      <c r="AS162" s="148">
        <f>CT162</f>
        <v>0</v>
      </c>
      <c r="AT162" s="149">
        <f>AR162*0.75+AS162*0.25</f>
        <v>0</v>
      </c>
      <c r="AU162" s="150"/>
      <c r="AV162" s="151"/>
      <c r="AW162" s="151"/>
      <c r="AX162" s="152"/>
      <c r="AY162" s="153"/>
      <c r="AZ162" s="140"/>
      <c r="BA162" s="150"/>
      <c r="BB162" s="151"/>
      <c r="BC162" s="151"/>
      <c r="BD162" s="151"/>
      <c r="BE162" s="151"/>
      <c r="BF162" s="151"/>
      <c r="BG162" s="151"/>
      <c r="BH162" s="151"/>
      <c r="BI162" s="152"/>
      <c r="BJ162" s="154"/>
      <c r="BK162" s="151"/>
      <c r="BL162" s="151"/>
      <c r="BM162" s="151"/>
      <c r="BN162" s="151"/>
      <c r="BO162" s="155"/>
      <c r="BP162" s="140"/>
      <c r="BQ162" s="156"/>
      <c r="BR162" s="157"/>
      <c r="BS162" s="158"/>
      <c r="BT162" s="153"/>
      <c r="BU162" s="140"/>
      <c r="BV162" s="140"/>
      <c r="BW162" s="140"/>
      <c r="BX162" s="140"/>
      <c r="BY162" s="140"/>
      <c r="BZ162" s="140"/>
      <c r="CA162" s="140"/>
      <c r="CB162" s="140"/>
      <c r="CC162" s="140"/>
      <c r="CD162" s="150"/>
      <c r="CE162" s="155"/>
      <c r="CF162" s="150"/>
      <c r="CG162" s="152"/>
      <c r="CH162" s="252"/>
      <c r="CI162" s="160"/>
      <c r="CJ162" s="159"/>
      <c r="CK162" s="160"/>
      <c r="CL162" s="159"/>
      <c r="CM162" s="160"/>
      <c r="CN162" s="159"/>
      <c r="CO162" s="160"/>
      <c r="CP162" s="159"/>
      <c r="CQ162" s="162"/>
      <c r="CR162" s="160"/>
      <c r="CS162" s="253">
        <f>SUM(IF(AU162&lt;0,ABS(AU162),0),IF(AZ162&lt;0,ABS(AZ162),0),ABS(CI162),ABS(CK162),ABS(CM162),ABS(CO162),ABS(CQ162),ABS(CR162))</f>
        <v>0</v>
      </c>
      <c r="CT162" s="254">
        <f>SUM(AU162,AV162,AW162,AX162/400,AY162,AZ162,BG162,BH162*0.5,BI162*0.25,BJ162,BK162,BL162,BM162,BN162,BO162,BP162,BR162/20,BS162/100,BT162/60,BU162,BV162,BW162,BX162/4,SUM(BY162:CC172)/3,CE162,CG162/3,CI162,CK162,CM162,CO162,CQ162,CR162)</f>
        <v>0</v>
      </c>
      <c r="CU162" s="255" t="str">
        <f t="shared" si="2"/>
        <v/>
      </c>
    </row>
    <row r="163" ht="60.0" hidden="1" customHeight="1">
      <c r="A163" s="65"/>
      <c r="C163" s="167"/>
      <c r="D163" s="205"/>
      <c r="E163" s="262"/>
      <c r="F163" s="170"/>
      <c r="G163" s="170"/>
      <c r="H163" s="170"/>
      <c r="I163" s="170"/>
      <c r="J163" s="170"/>
      <c r="K163" s="171"/>
      <c r="L163" s="171"/>
      <c r="M163" s="171"/>
      <c r="N163" s="209"/>
      <c r="O163" s="172">
        <f t="shared" si="30"/>
        <v>0</v>
      </c>
      <c r="P163" s="166"/>
      <c r="Q163" s="173"/>
      <c r="R163" s="65"/>
      <c r="S163" s="173"/>
      <c r="T163" s="173"/>
      <c r="U163" s="166"/>
      <c r="V163" s="166"/>
      <c r="W163" s="65"/>
      <c r="X163" s="66"/>
      <c r="Y163" s="173"/>
      <c r="Z163" s="166"/>
      <c r="AA163" s="174"/>
      <c r="AB163" s="175"/>
      <c r="AC163" s="175"/>
      <c r="AD163" s="175"/>
      <c r="AE163" s="175"/>
      <c r="AF163" s="175"/>
      <c r="AG163" s="175"/>
      <c r="AH163" s="175"/>
      <c r="AI163" s="176"/>
      <c r="AJ163" s="177"/>
      <c r="AK163" s="178"/>
      <c r="AL163" s="178"/>
      <c r="AM163" s="178"/>
      <c r="AN163" s="178"/>
      <c r="AO163" s="179"/>
      <c r="AP163" s="64"/>
      <c r="AQ163" s="65"/>
      <c r="AR163" s="65"/>
      <c r="AS163" s="65"/>
      <c r="AT163" s="173"/>
      <c r="AU163" s="177"/>
      <c r="AV163" s="178"/>
      <c r="AW163" s="178"/>
      <c r="AX163" s="179"/>
      <c r="AZ163" s="166"/>
      <c r="BA163" s="177"/>
      <c r="BB163" s="178"/>
      <c r="BC163" s="178"/>
      <c r="BD163" s="178"/>
      <c r="BE163" s="178"/>
      <c r="BF163" s="178"/>
      <c r="BG163" s="178"/>
      <c r="BH163" s="178"/>
      <c r="BI163" s="179"/>
      <c r="BJ163" s="180"/>
      <c r="BK163" s="178"/>
      <c r="BL163" s="178"/>
      <c r="BM163" s="178"/>
      <c r="BN163" s="178"/>
      <c r="BO163" s="181"/>
      <c r="BP163" s="166"/>
      <c r="BQ163" s="177"/>
      <c r="BR163" s="178"/>
      <c r="BS163" s="179"/>
      <c r="BU163" s="166"/>
      <c r="BV163" s="166"/>
      <c r="BW163" s="166"/>
      <c r="BX163" s="166"/>
      <c r="BY163" s="166"/>
      <c r="BZ163" s="166"/>
      <c r="CA163" s="166"/>
      <c r="CB163" s="166"/>
      <c r="CC163" s="166"/>
      <c r="CD163" s="177"/>
      <c r="CE163" s="181"/>
      <c r="CF163" s="177"/>
      <c r="CG163" s="179"/>
      <c r="CH163" s="257"/>
      <c r="CI163" s="182"/>
      <c r="CJ163" s="177"/>
      <c r="CK163" s="182"/>
      <c r="CL163" s="177"/>
      <c r="CM163" s="182"/>
      <c r="CN163" s="177"/>
      <c r="CO163" s="182"/>
      <c r="CP163" s="177"/>
      <c r="CQ163" s="178"/>
      <c r="CR163" s="182"/>
      <c r="CS163" s="173"/>
      <c r="CT163" s="65"/>
      <c r="CU163" s="255" t="str">
        <f t="shared" si="2"/>
        <v/>
      </c>
    </row>
    <row r="164" ht="60.0" hidden="1" customHeight="1">
      <c r="A164" s="65"/>
      <c r="C164" s="167"/>
      <c r="D164" s="205"/>
      <c r="E164" s="262"/>
      <c r="F164" s="170"/>
      <c r="G164" s="170"/>
      <c r="H164" s="170"/>
      <c r="I164" s="170"/>
      <c r="J164" s="170"/>
      <c r="K164" s="171"/>
      <c r="L164" s="171"/>
      <c r="M164" s="171"/>
      <c r="N164" s="209"/>
      <c r="O164" s="172">
        <f t="shared" si="30"/>
        <v>0</v>
      </c>
      <c r="P164" s="166"/>
      <c r="Q164" s="173"/>
      <c r="R164" s="65"/>
      <c r="S164" s="173"/>
      <c r="T164" s="173"/>
      <c r="U164" s="166"/>
      <c r="V164" s="166"/>
      <c r="W164" s="65"/>
      <c r="X164" s="66"/>
      <c r="Y164" s="173"/>
      <c r="Z164" s="166"/>
      <c r="AA164" s="174"/>
      <c r="AB164" s="175"/>
      <c r="AC164" s="175"/>
      <c r="AD164" s="175"/>
      <c r="AE164" s="175"/>
      <c r="AF164" s="175"/>
      <c r="AG164" s="175"/>
      <c r="AH164" s="175"/>
      <c r="AI164" s="176"/>
      <c r="AJ164" s="177"/>
      <c r="AK164" s="178"/>
      <c r="AL164" s="178"/>
      <c r="AM164" s="178"/>
      <c r="AN164" s="178"/>
      <c r="AO164" s="179"/>
      <c r="AP164" s="64"/>
      <c r="AQ164" s="65"/>
      <c r="AR164" s="65"/>
      <c r="AS164" s="65"/>
      <c r="AT164" s="173"/>
      <c r="AU164" s="177"/>
      <c r="AV164" s="178"/>
      <c r="AW164" s="178"/>
      <c r="AX164" s="179"/>
      <c r="AZ164" s="166"/>
      <c r="BA164" s="177"/>
      <c r="BB164" s="178"/>
      <c r="BC164" s="178"/>
      <c r="BD164" s="178"/>
      <c r="BE164" s="178"/>
      <c r="BF164" s="178"/>
      <c r="BG164" s="178"/>
      <c r="BH164" s="178"/>
      <c r="BI164" s="179"/>
      <c r="BJ164" s="180"/>
      <c r="BK164" s="178"/>
      <c r="BL164" s="178"/>
      <c r="BM164" s="178"/>
      <c r="BN164" s="178"/>
      <c r="BO164" s="181"/>
      <c r="BP164" s="166"/>
      <c r="BQ164" s="177"/>
      <c r="BR164" s="178"/>
      <c r="BS164" s="179"/>
      <c r="BU164" s="166"/>
      <c r="BV164" s="166"/>
      <c r="BW164" s="166"/>
      <c r="BX164" s="166"/>
      <c r="BY164" s="166"/>
      <c r="BZ164" s="166"/>
      <c r="CA164" s="166"/>
      <c r="CB164" s="166"/>
      <c r="CC164" s="166"/>
      <c r="CD164" s="177"/>
      <c r="CE164" s="181"/>
      <c r="CF164" s="177"/>
      <c r="CG164" s="179"/>
      <c r="CH164" s="257"/>
      <c r="CI164" s="182"/>
      <c r="CJ164" s="177"/>
      <c r="CK164" s="182"/>
      <c r="CL164" s="177"/>
      <c r="CM164" s="182"/>
      <c r="CN164" s="177"/>
      <c r="CO164" s="182"/>
      <c r="CP164" s="177"/>
      <c r="CQ164" s="178"/>
      <c r="CR164" s="182"/>
      <c r="CS164" s="173"/>
      <c r="CT164" s="65"/>
      <c r="CU164" s="255" t="str">
        <f t="shared" si="2"/>
        <v/>
      </c>
    </row>
    <row r="165" ht="60.0" hidden="1" customHeight="1">
      <c r="A165" s="65"/>
      <c r="C165" s="167"/>
      <c r="D165" s="205"/>
      <c r="E165" s="262"/>
      <c r="F165" s="170"/>
      <c r="G165" s="170"/>
      <c r="H165" s="170"/>
      <c r="I165" s="170"/>
      <c r="J165" s="170"/>
      <c r="K165" s="171"/>
      <c r="L165" s="171"/>
      <c r="M165" s="171"/>
      <c r="N165" s="209"/>
      <c r="O165" s="172">
        <f t="shared" si="30"/>
        <v>0</v>
      </c>
      <c r="P165" s="166"/>
      <c r="Q165" s="173"/>
      <c r="R165" s="65"/>
      <c r="S165" s="173"/>
      <c r="T165" s="173"/>
      <c r="U165" s="166"/>
      <c r="V165" s="166"/>
      <c r="W165" s="65"/>
      <c r="X165" s="66"/>
      <c r="Y165" s="173"/>
      <c r="Z165" s="166"/>
      <c r="AA165" s="174"/>
      <c r="AB165" s="175"/>
      <c r="AC165" s="175"/>
      <c r="AD165" s="175"/>
      <c r="AE165" s="175"/>
      <c r="AF165" s="175"/>
      <c r="AG165" s="175"/>
      <c r="AH165" s="175"/>
      <c r="AI165" s="176"/>
      <c r="AJ165" s="177"/>
      <c r="AK165" s="178"/>
      <c r="AL165" s="178"/>
      <c r="AM165" s="178"/>
      <c r="AN165" s="178"/>
      <c r="AO165" s="179"/>
      <c r="AP165" s="64"/>
      <c r="AQ165" s="65"/>
      <c r="AR165" s="65"/>
      <c r="AS165" s="65"/>
      <c r="AT165" s="173"/>
      <c r="AU165" s="177"/>
      <c r="AV165" s="178"/>
      <c r="AW165" s="178"/>
      <c r="AX165" s="179"/>
      <c r="AZ165" s="166"/>
      <c r="BA165" s="177"/>
      <c r="BB165" s="178"/>
      <c r="BC165" s="178"/>
      <c r="BD165" s="178"/>
      <c r="BE165" s="178"/>
      <c r="BF165" s="178"/>
      <c r="BG165" s="178"/>
      <c r="BH165" s="178"/>
      <c r="BI165" s="179"/>
      <c r="BJ165" s="180"/>
      <c r="BK165" s="178"/>
      <c r="BL165" s="178"/>
      <c r="BM165" s="178"/>
      <c r="BN165" s="178"/>
      <c r="BO165" s="181"/>
      <c r="BP165" s="166"/>
      <c r="BQ165" s="177"/>
      <c r="BR165" s="178"/>
      <c r="BS165" s="179"/>
      <c r="BU165" s="166"/>
      <c r="BV165" s="166"/>
      <c r="BW165" s="166"/>
      <c r="BX165" s="166"/>
      <c r="BY165" s="166"/>
      <c r="BZ165" s="166"/>
      <c r="CA165" s="166"/>
      <c r="CB165" s="166"/>
      <c r="CC165" s="166"/>
      <c r="CD165" s="177"/>
      <c r="CE165" s="181"/>
      <c r="CF165" s="177"/>
      <c r="CG165" s="179"/>
      <c r="CH165" s="257"/>
      <c r="CI165" s="182"/>
      <c r="CJ165" s="177"/>
      <c r="CK165" s="182"/>
      <c r="CL165" s="177"/>
      <c r="CM165" s="182"/>
      <c r="CN165" s="177"/>
      <c r="CO165" s="182"/>
      <c r="CP165" s="177"/>
      <c r="CQ165" s="178"/>
      <c r="CR165" s="182"/>
      <c r="CS165" s="173"/>
      <c r="CT165" s="65"/>
      <c r="CU165" s="255" t="str">
        <f t="shared" si="2"/>
        <v/>
      </c>
    </row>
    <row r="166" ht="60.0" hidden="1" customHeight="1">
      <c r="A166" s="65"/>
      <c r="C166" s="167"/>
      <c r="D166" s="205"/>
      <c r="E166" s="262"/>
      <c r="F166" s="170"/>
      <c r="G166" s="170"/>
      <c r="H166" s="170"/>
      <c r="I166" s="170"/>
      <c r="J166" s="170"/>
      <c r="K166" s="171"/>
      <c r="L166" s="171"/>
      <c r="M166" s="171"/>
      <c r="N166" s="209"/>
      <c r="O166" s="172">
        <f t="shared" si="30"/>
        <v>0</v>
      </c>
      <c r="P166" s="166"/>
      <c r="Q166" s="173"/>
      <c r="R166" s="65"/>
      <c r="S166" s="173"/>
      <c r="T166" s="173"/>
      <c r="U166" s="166"/>
      <c r="V166" s="166"/>
      <c r="W166" s="65"/>
      <c r="X166" s="66"/>
      <c r="Y166" s="173"/>
      <c r="Z166" s="166"/>
      <c r="AA166" s="174"/>
      <c r="AB166" s="175"/>
      <c r="AC166" s="175"/>
      <c r="AD166" s="175"/>
      <c r="AE166" s="175"/>
      <c r="AF166" s="175"/>
      <c r="AG166" s="175"/>
      <c r="AH166" s="175"/>
      <c r="AI166" s="176"/>
      <c r="AJ166" s="177"/>
      <c r="AK166" s="178"/>
      <c r="AL166" s="178"/>
      <c r="AM166" s="178"/>
      <c r="AN166" s="178"/>
      <c r="AO166" s="179"/>
      <c r="AP166" s="64"/>
      <c r="AQ166" s="65"/>
      <c r="AR166" s="65"/>
      <c r="AS166" s="65"/>
      <c r="AT166" s="173"/>
      <c r="AU166" s="177"/>
      <c r="AV166" s="178"/>
      <c r="AW166" s="178"/>
      <c r="AX166" s="179"/>
      <c r="AZ166" s="166"/>
      <c r="BA166" s="177"/>
      <c r="BB166" s="178"/>
      <c r="BC166" s="178"/>
      <c r="BD166" s="178"/>
      <c r="BE166" s="178"/>
      <c r="BF166" s="178"/>
      <c r="BG166" s="178"/>
      <c r="BH166" s="178"/>
      <c r="BI166" s="179"/>
      <c r="BJ166" s="180"/>
      <c r="BK166" s="178"/>
      <c r="BL166" s="178"/>
      <c r="BM166" s="178"/>
      <c r="BN166" s="178"/>
      <c r="BO166" s="181"/>
      <c r="BP166" s="166"/>
      <c r="BQ166" s="177"/>
      <c r="BR166" s="178"/>
      <c r="BS166" s="179"/>
      <c r="BU166" s="166"/>
      <c r="BV166" s="166"/>
      <c r="BW166" s="166"/>
      <c r="BX166" s="166"/>
      <c r="BY166" s="166"/>
      <c r="BZ166" s="166"/>
      <c r="CA166" s="166"/>
      <c r="CB166" s="166"/>
      <c r="CC166" s="166"/>
      <c r="CD166" s="177"/>
      <c r="CE166" s="181"/>
      <c r="CF166" s="177"/>
      <c r="CG166" s="179"/>
      <c r="CH166" s="257"/>
      <c r="CI166" s="182"/>
      <c r="CJ166" s="177"/>
      <c r="CK166" s="182"/>
      <c r="CL166" s="177"/>
      <c r="CM166" s="182"/>
      <c r="CN166" s="177"/>
      <c r="CO166" s="182"/>
      <c r="CP166" s="177"/>
      <c r="CQ166" s="178"/>
      <c r="CR166" s="182"/>
      <c r="CS166" s="173"/>
      <c r="CT166" s="65"/>
      <c r="CU166" s="255" t="str">
        <f t="shared" si="2"/>
        <v/>
      </c>
    </row>
    <row r="167" ht="60.0" hidden="1" customHeight="1">
      <c r="A167" s="65"/>
      <c r="C167" s="167"/>
      <c r="D167" s="205"/>
      <c r="E167" s="262"/>
      <c r="F167" s="170"/>
      <c r="G167" s="170"/>
      <c r="H167" s="170"/>
      <c r="I167" s="170"/>
      <c r="J167" s="170"/>
      <c r="K167" s="171"/>
      <c r="L167" s="171"/>
      <c r="M167" s="171"/>
      <c r="N167" s="209"/>
      <c r="O167" s="172">
        <f t="shared" si="30"/>
        <v>0</v>
      </c>
      <c r="P167" s="166"/>
      <c r="Q167" s="173"/>
      <c r="R167" s="65"/>
      <c r="S167" s="173"/>
      <c r="T167" s="173"/>
      <c r="U167" s="166"/>
      <c r="V167" s="166"/>
      <c r="W167" s="65"/>
      <c r="X167" s="66"/>
      <c r="Y167" s="173"/>
      <c r="Z167" s="166"/>
      <c r="AA167" s="174"/>
      <c r="AB167" s="175"/>
      <c r="AC167" s="175"/>
      <c r="AD167" s="175"/>
      <c r="AE167" s="175"/>
      <c r="AF167" s="175"/>
      <c r="AG167" s="175"/>
      <c r="AH167" s="175"/>
      <c r="AI167" s="176"/>
      <c r="AJ167" s="177"/>
      <c r="AK167" s="178"/>
      <c r="AL167" s="178"/>
      <c r="AM167" s="178"/>
      <c r="AN167" s="178"/>
      <c r="AO167" s="179"/>
      <c r="AP167" s="64"/>
      <c r="AQ167" s="65"/>
      <c r="AR167" s="65"/>
      <c r="AS167" s="65"/>
      <c r="AT167" s="173"/>
      <c r="AU167" s="177"/>
      <c r="AV167" s="178"/>
      <c r="AW167" s="178"/>
      <c r="AX167" s="179"/>
      <c r="AZ167" s="166"/>
      <c r="BA167" s="177"/>
      <c r="BB167" s="178"/>
      <c r="BC167" s="178"/>
      <c r="BD167" s="178"/>
      <c r="BE167" s="178"/>
      <c r="BF167" s="178"/>
      <c r="BG167" s="178"/>
      <c r="BH167" s="178"/>
      <c r="BI167" s="179"/>
      <c r="BJ167" s="180"/>
      <c r="BK167" s="178"/>
      <c r="BL167" s="178"/>
      <c r="BM167" s="178"/>
      <c r="BN167" s="178"/>
      <c r="BO167" s="181"/>
      <c r="BP167" s="166"/>
      <c r="BQ167" s="177"/>
      <c r="BR167" s="178"/>
      <c r="BS167" s="179"/>
      <c r="BU167" s="166"/>
      <c r="BV167" s="166"/>
      <c r="BW167" s="166"/>
      <c r="BX167" s="166"/>
      <c r="BY167" s="166"/>
      <c r="BZ167" s="166"/>
      <c r="CA167" s="166"/>
      <c r="CB167" s="166"/>
      <c r="CC167" s="166"/>
      <c r="CD167" s="177"/>
      <c r="CE167" s="181"/>
      <c r="CF167" s="177"/>
      <c r="CG167" s="179"/>
      <c r="CH167" s="257"/>
      <c r="CI167" s="182"/>
      <c r="CJ167" s="177"/>
      <c r="CK167" s="182"/>
      <c r="CL167" s="177"/>
      <c r="CM167" s="182"/>
      <c r="CN167" s="177"/>
      <c r="CO167" s="182"/>
      <c r="CP167" s="177"/>
      <c r="CQ167" s="178"/>
      <c r="CR167" s="182"/>
      <c r="CS167" s="173"/>
      <c r="CT167" s="65"/>
      <c r="CU167" s="255" t="str">
        <f t="shared" si="2"/>
        <v/>
      </c>
    </row>
    <row r="168" ht="60.0" hidden="1" customHeight="1">
      <c r="A168" s="65"/>
      <c r="C168" s="167"/>
      <c r="D168" s="205"/>
      <c r="E168" s="262"/>
      <c r="F168" s="170"/>
      <c r="G168" s="170"/>
      <c r="H168" s="170"/>
      <c r="I168" s="170"/>
      <c r="J168" s="170"/>
      <c r="K168" s="171"/>
      <c r="L168" s="171"/>
      <c r="M168" s="171"/>
      <c r="N168" s="209"/>
      <c r="O168" s="172">
        <f t="shared" ref="O168:O171" si="31">IF(AND(M168&gt;=20,M168&lt;&gt;"m",RIGHT(K168,3)="Lec"),1,IF(AND(M168&gt;=20,M168&lt;&gt;"m",OR(RIGHT(K168,3)="Lab",RIGHT(K168,3)="Tut")),0.5,IF(AND(M168&gt;=20,M168&lt;&gt;"m",RIGHT(K168,2)="TL"),0.75,0)))</f>
        <v>0</v>
      </c>
      <c r="P168" s="166"/>
      <c r="Q168" s="173"/>
      <c r="R168" s="65"/>
      <c r="S168" s="173"/>
      <c r="T168" s="173"/>
      <c r="U168" s="166"/>
      <c r="V168" s="166"/>
      <c r="W168" s="65"/>
      <c r="X168" s="66"/>
      <c r="Y168" s="173"/>
      <c r="Z168" s="166"/>
      <c r="AA168" s="174"/>
      <c r="AB168" s="175"/>
      <c r="AC168" s="175"/>
      <c r="AD168" s="175"/>
      <c r="AE168" s="175"/>
      <c r="AF168" s="175"/>
      <c r="AG168" s="175"/>
      <c r="AH168" s="175"/>
      <c r="AI168" s="176"/>
      <c r="AJ168" s="177"/>
      <c r="AK168" s="178"/>
      <c r="AL168" s="178"/>
      <c r="AM168" s="178"/>
      <c r="AN168" s="178"/>
      <c r="AO168" s="179"/>
      <c r="AP168" s="64"/>
      <c r="AQ168" s="65"/>
      <c r="AR168" s="65"/>
      <c r="AS168" s="65"/>
      <c r="AT168" s="173"/>
      <c r="AU168" s="177"/>
      <c r="AV168" s="178"/>
      <c r="AW168" s="178"/>
      <c r="AX168" s="179"/>
      <c r="AZ168" s="166"/>
      <c r="BA168" s="177"/>
      <c r="BB168" s="178"/>
      <c r="BC168" s="178"/>
      <c r="BD168" s="178"/>
      <c r="BE168" s="178"/>
      <c r="BF168" s="178"/>
      <c r="BG168" s="178"/>
      <c r="BH168" s="178"/>
      <c r="BI168" s="179"/>
      <c r="BJ168" s="180"/>
      <c r="BK168" s="178"/>
      <c r="BL168" s="178"/>
      <c r="BM168" s="178"/>
      <c r="BN168" s="178"/>
      <c r="BO168" s="181"/>
      <c r="BP168" s="166"/>
      <c r="BQ168" s="177"/>
      <c r="BR168" s="178"/>
      <c r="BS168" s="179"/>
      <c r="BU168" s="166"/>
      <c r="BV168" s="166"/>
      <c r="BW168" s="166"/>
      <c r="BX168" s="166"/>
      <c r="BY168" s="166"/>
      <c r="BZ168" s="166"/>
      <c r="CA168" s="166"/>
      <c r="CB168" s="166"/>
      <c r="CC168" s="166"/>
      <c r="CD168" s="177"/>
      <c r="CE168" s="181"/>
      <c r="CF168" s="177"/>
      <c r="CG168" s="179"/>
      <c r="CH168" s="257"/>
      <c r="CI168" s="182"/>
      <c r="CJ168" s="177"/>
      <c r="CK168" s="182"/>
      <c r="CL168" s="177"/>
      <c r="CM168" s="182"/>
      <c r="CN168" s="177"/>
      <c r="CO168" s="182"/>
      <c r="CP168" s="177"/>
      <c r="CQ168" s="178"/>
      <c r="CR168" s="182"/>
      <c r="CS168" s="173"/>
      <c r="CT168" s="65"/>
      <c r="CU168" s="255" t="str">
        <f t="shared" si="2"/>
        <v/>
      </c>
    </row>
    <row r="169" ht="60.0" hidden="1" customHeight="1">
      <c r="A169" s="65"/>
      <c r="C169" s="167"/>
      <c r="D169" s="205"/>
      <c r="E169" s="262"/>
      <c r="F169" s="170"/>
      <c r="G169" s="170"/>
      <c r="H169" s="170"/>
      <c r="I169" s="170"/>
      <c r="J169" s="170"/>
      <c r="K169" s="171"/>
      <c r="L169" s="171"/>
      <c r="M169" s="171"/>
      <c r="N169" s="209"/>
      <c r="O169" s="172">
        <f t="shared" si="31"/>
        <v>0</v>
      </c>
      <c r="P169" s="166"/>
      <c r="Q169" s="173"/>
      <c r="R169" s="65"/>
      <c r="S169" s="173"/>
      <c r="T169" s="173"/>
      <c r="U169" s="166"/>
      <c r="V169" s="166"/>
      <c r="W169" s="65"/>
      <c r="X169" s="66"/>
      <c r="Y169" s="173"/>
      <c r="Z169" s="166"/>
      <c r="AA169" s="174"/>
      <c r="AB169" s="175"/>
      <c r="AC169" s="175"/>
      <c r="AD169" s="175"/>
      <c r="AE169" s="175"/>
      <c r="AF169" s="175"/>
      <c r="AG169" s="175"/>
      <c r="AH169" s="175"/>
      <c r="AI169" s="176"/>
      <c r="AJ169" s="177"/>
      <c r="AK169" s="178"/>
      <c r="AL169" s="178"/>
      <c r="AM169" s="178"/>
      <c r="AN169" s="178"/>
      <c r="AO169" s="179"/>
      <c r="AP169" s="64"/>
      <c r="AQ169" s="65"/>
      <c r="AR169" s="65"/>
      <c r="AS169" s="65"/>
      <c r="AT169" s="173"/>
      <c r="AU169" s="177"/>
      <c r="AV169" s="178"/>
      <c r="AW169" s="178"/>
      <c r="AX169" s="179"/>
      <c r="AZ169" s="166"/>
      <c r="BA169" s="177"/>
      <c r="BB169" s="178"/>
      <c r="BC169" s="178"/>
      <c r="BD169" s="178"/>
      <c r="BE169" s="178"/>
      <c r="BF169" s="178"/>
      <c r="BG169" s="178"/>
      <c r="BH169" s="178"/>
      <c r="BI169" s="179"/>
      <c r="BJ169" s="180"/>
      <c r="BK169" s="178"/>
      <c r="BL169" s="178"/>
      <c r="BM169" s="178"/>
      <c r="BN169" s="178"/>
      <c r="BO169" s="181"/>
      <c r="BP169" s="166"/>
      <c r="BQ169" s="177"/>
      <c r="BR169" s="178"/>
      <c r="BS169" s="179"/>
      <c r="BU169" s="166"/>
      <c r="BV169" s="166"/>
      <c r="BW169" s="166"/>
      <c r="BX169" s="166"/>
      <c r="BY169" s="166"/>
      <c r="BZ169" s="166"/>
      <c r="CA169" s="166"/>
      <c r="CB169" s="166"/>
      <c r="CC169" s="166"/>
      <c r="CD169" s="177"/>
      <c r="CE169" s="181"/>
      <c r="CF169" s="177"/>
      <c r="CG169" s="179"/>
      <c r="CH169" s="257"/>
      <c r="CI169" s="182"/>
      <c r="CJ169" s="177"/>
      <c r="CK169" s="182"/>
      <c r="CL169" s="177"/>
      <c r="CM169" s="182"/>
      <c r="CN169" s="177"/>
      <c r="CO169" s="182"/>
      <c r="CP169" s="177"/>
      <c r="CQ169" s="178"/>
      <c r="CR169" s="182"/>
      <c r="CS169" s="173"/>
      <c r="CT169" s="65"/>
      <c r="CU169" s="255" t="str">
        <f t="shared" si="2"/>
        <v/>
      </c>
    </row>
    <row r="170" ht="60.0" hidden="1" customHeight="1">
      <c r="A170" s="65"/>
      <c r="C170" s="167"/>
      <c r="D170" s="205"/>
      <c r="E170" s="262"/>
      <c r="F170" s="170"/>
      <c r="G170" s="170"/>
      <c r="H170" s="170"/>
      <c r="I170" s="170"/>
      <c r="J170" s="170"/>
      <c r="K170" s="171"/>
      <c r="L170" s="171"/>
      <c r="M170" s="171"/>
      <c r="N170" s="209"/>
      <c r="O170" s="172">
        <f t="shared" si="31"/>
        <v>0</v>
      </c>
      <c r="P170" s="166"/>
      <c r="Q170" s="173"/>
      <c r="R170" s="65"/>
      <c r="S170" s="173"/>
      <c r="T170" s="173"/>
      <c r="U170" s="166"/>
      <c r="V170" s="166"/>
      <c r="W170" s="65"/>
      <c r="X170" s="66"/>
      <c r="Y170" s="173"/>
      <c r="Z170" s="166"/>
      <c r="AA170" s="174"/>
      <c r="AB170" s="175"/>
      <c r="AC170" s="175"/>
      <c r="AD170" s="175"/>
      <c r="AE170" s="175"/>
      <c r="AF170" s="175"/>
      <c r="AG170" s="175"/>
      <c r="AH170" s="175"/>
      <c r="AI170" s="176"/>
      <c r="AJ170" s="177"/>
      <c r="AK170" s="178"/>
      <c r="AL170" s="178"/>
      <c r="AM170" s="178"/>
      <c r="AN170" s="178"/>
      <c r="AO170" s="179"/>
      <c r="AP170" s="64"/>
      <c r="AQ170" s="65"/>
      <c r="AR170" s="65"/>
      <c r="AS170" s="65"/>
      <c r="AT170" s="173"/>
      <c r="AU170" s="177"/>
      <c r="AV170" s="178"/>
      <c r="AW170" s="178"/>
      <c r="AX170" s="179"/>
      <c r="AZ170" s="166"/>
      <c r="BA170" s="177"/>
      <c r="BB170" s="178"/>
      <c r="BC170" s="178"/>
      <c r="BD170" s="178"/>
      <c r="BE170" s="178"/>
      <c r="BF170" s="178"/>
      <c r="BG170" s="178"/>
      <c r="BH170" s="178"/>
      <c r="BI170" s="179"/>
      <c r="BJ170" s="180"/>
      <c r="BK170" s="178"/>
      <c r="BL170" s="178"/>
      <c r="BM170" s="178"/>
      <c r="BN170" s="178"/>
      <c r="BO170" s="181"/>
      <c r="BP170" s="166"/>
      <c r="BQ170" s="177"/>
      <c r="BR170" s="178"/>
      <c r="BS170" s="179"/>
      <c r="BU170" s="166"/>
      <c r="BV170" s="166"/>
      <c r="BW170" s="166"/>
      <c r="BX170" s="166"/>
      <c r="BY170" s="166"/>
      <c r="BZ170" s="166"/>
      <c r="CA170" s="166"/>
      <c r="CB170" s="166"/>
      <c r="CC170" s="166"/>
      <c r="CD170" s="177"/>
      <c r="CE170" s="181"/>
      <c r="CF170" s="177"/>
      <c r="CG170" s="179"/>
      <c r="CH170" s="257"/>
      <c r="CI170" s="182"/>
      <c r="CJ170" s="177"/>
      <c r="CK170" s="182"/>
      <c r="CL170" s="177"/>
      <c r="CM170" s="182"/>
      <c r="CN170" s="177"/>
      <c r="CO170" s="182"/>
      <c r="CP170" s="177"/>
      <c r="CQ170" s="178"/>
      <c r="CR170" s="182"/>
      <c r="CS170" s="173"/>
      <c r="CT170" s="65"/>
      <c r="CU170" s="255" t="str">
        <f t="shared" si="2"/>
        <v/>
      </c>
    </row>
    <row r="171" ht="60.0" hidden="1" customHeight="1">
      <c r="A171" s="65"/>
      <c r="C171" s="167"/>
      <c r="D171" s="205"/>
      <c r="E171" s="262"/>
      <c r="F171" s="170"/>
      <c r="G171" s="170"/>
      <c r="H171" s="170"/>
      <c r="I171" s="170"/>
      <c r="J171" s="170"/>
      <c r="K171" s="171"/>
      <c r="L171" s="171"/>
      <c r="M171" s="171"/>
      <c r="N171" s="209"/>
      <c r="O171" s="172">
        <f t="shared" si="31"/>
        <v>0</v>
      </c>
      <c r="P171" s="166"/>
      <c r="Q171" s="173"/>
      <c r="R171" s="65"/>
      <c r="S171" s="173"/>
      <c r="T171" s="173"/>
      <c r="U171" s="166"/>
      <c r="V171" s="166"/>
      <c r="W171" s="65"/>
      <c r="X171" s="66"/>
      <c r="Y171" s="173"/>
      <c r="Z171" s="166"/>
      <c r="AA171" s="174"/>
      <c r="AB171" s="175"/>
      <c r="AC171" s="175"/>
      <c r="AD171" s="175"/>
      <c r="AE171" s="175"/>
      <c r="AF171" s="175"/>
      <c r="AG171" s="175"/>
      <c r="AH171" s="175"/>
      <c r="AI171" s="176"/>
      <c r="AJ171" s="177"/>
      <c r="AK171" s="178"/>
      <c r="AL171" s="178"/>
      <c r="AM171" s="178"/>
      <c r="AN171" s="178"/>
      <c r="AO171" s="179"/>
      <c r="AP171" s="64"/>
      <c r="AQ171" s="65"/>
      <c r="AR171" s="65"/>
      <c r="AS171" s="65"/>
      <c r="AT171" s="173"/>
      <c r="AU171" s="177"/>
      <c r="AV171" s="178"/>
      <c r="AW171" s="178"/>
      <c r="AX171" s="179"/>
      <c r="AZ171" s="166"/>
      <c r="BA171" s="177"/>
      <c r="BB171" s="178"/>
      <c r="BC171" s="178"/>
      <c r="BD171" s="178"/>
      <c r="BE171" s="178"/>
      <c r="BF171" s="178"/>
      <c r="BG171" s="178"/>
      <c r="BH171" s="178"/>
      <c r="BI171" s="179"/>
      <c r="BJ171" s="180"/>
      <c r="BK171" s="178"/>
      <c r="BL171" s="178"/>
      <c r="BM171" s="178"/>
      <c r="BN171" s="178"/>
      <c r="BO171" s="181"/>
      <c r="BP171" s="166"/>
      <c r="BQ171" s="177"/>
      <c r="BR171" s="178"/>
      <c r="BS171" s="179"/>
      <c r="BU171" s="166"/>
      <c r="BV171" s="166"/>
      <c r="BW171" s="166"/>
      <c r="BX171" s="166"/>
      <c r="BY171" s="166"/>
      <c r="BZ171" s="166"/>
      <c r="CA171" s="166"/>
      <c r="CB171" s="166"/>
      <c r="CC171" s="166"/>
      <c r="CD171" s="177"/>
      <c r="CE171" s="181"/>
      <c r="CF171" s="177"/>
      <c r="CG171" s="179"/>
      <c r="CH171" s="257"/>
      <c r="CI171" s="182"/>
      <c r="CJ171" s="177"/>
      <c r="CK171" s="182"/>
      <c r="CL171" s="177"/>
      <c r="CM171" s="182"/>
      <c r="CN171" s="177"/>
      <c r="CO171" s="182"/>
      <c r="CP171" s="177"/>
      <c r="CQ171" s="178"/>
      <c r="CR171" s="182"/>
      <c r="CS171" s="173"/>
      <c r="CT171" s="65"/>
      <c r="CU171" s="255" t="str">
        <f t="shared" si="2"/>
        <v/>
      </c>
    </row>
    <row r="172" ht="60.0" hidden="1" customHeight="1">
      <c r="A172" s="89"/>
      <c r="B172" s="6"/>
      <c r="C172" s="183"/>
      <c r="D172" s="210"/>
      <c r="E172" s="263"/>
      <c r="F172" s="186"/>
      <c r="G172" s="186"/>
      <c r="H172" s="186"/>
      <c r="I172" s="186"/>
      <c r="J172" s="186"/>
      <c r="K172" s="187"/>
      <c r="L172" s="187"/>
      <c r="M172" s="187"/>
      <c r="N172" s="214"/>
      <c r="O172" s="188">
        <f t="shared" ref="O172:O178" si="32">IF(AND(M172&lt;&gt;0,M172&lt;&gt;"m",M172&lt;&gt;"",RIGHT(K172,3)="Lec"),1,IF(AND(M172&lt;&gt;0,M172&lt;&gt;"m",M172&lt;&gt;"",OR(RIGHT(K172,3)="Lab",RIGHT(K172,3)="Tut")),0.5,IF(AND(M172&lt;&gt;0,M172&lt;&gt;"m",M172&lt;&gt;"",RIGHT(K172,2)="TL"),0.75,0)))</f>
        <v>0</v>
      </c>
      <c r="P172" s="63"/>
      <c r="Q172" s="69"/>
      <c r="R172" s="89"/>
      <c r="S172" s="69"/>
      <c r="T172" s="69"/>
      <c r="U172" s="63"/>
      <c r="V172" s="63"/>
      <c r="W172" s="89"/>
      <c r="X172" s="68"/>
      <c r="Y172" s="69"/>
      <c r="Z172" s="63"/>
      <c r="AA172" s="189"/>
      <c r="AB172" s="190"/>
      <c r="AC172" s="190"/>
      <c r="AD172" s="190"/>
      <c r="AE172" s="190"/>
      <c r="AF172" s="190"/>
      <c r="AG172" s="190"/>
      <c r="AH172" s="190"/>
      <c r="AI172" s="191"/>
      <c r="AJ172" s="192"/>
      <c r="AK172" s="193"/>
      <c r="AL172" s="193"/>
      <c r="AM172" s="193"/>
      <c r="AN172" s="193"/>
      <c r="AO172" s="194"/>
      <c r="AP172" s="103"/>
      <c r="AQ172" s="89"/>
      <c r="AR172" s="89"/>
      <c r="AS172" s="89"/>
      <c r="AT172" s="69"/>
      <c r="AU172" s="192"/>
      <c r="AV172" s="193"/>
      <c r="AW172" s="193"/>
      <c r="AX172" s="194"/>
      <c r="AY172" s="6"/>
      <c r="AZ172" s="63"/>
      <c r="BA172" s="192"/>
      <c r="BB172" s="193"/>
      <c r="BC172" s="193"/>
      <c r="BD172" s="193"/>
      <c r="BE172" s="193"/>
      <c r="BF172" s="193"/>
      <c r="BG172" s="193"/>
      <c r="BH172" s="193"/>
      <c r="BI172" s="194"/>
      <c r="BJ172" s="195"/>
      <c r="BK172" s="193"/>
      <c r="BL172" s="193"/>
      <c r="BM172" s="193"/>
      <c r="BN172" s="193"/>
      <c r="BO172" s="196"/>
      <c r="BP172" s="63"/>
      <c r="BQ172" s="192"/>
      <c r="BR172" s="193"/>
      <c r="BS172" s="194"/>
      <c r="BT172" s="6"/>
      <c r="BU172" s="63"/>
      <c r="BV172" s="63"/>
      <c r="BW172" s="63"/>
      <c r="BX172" s="63"/>
      <c r="BY172" s="63"/>
      <c r="BZ172" s="63"/>
      <c r="CA172" s="63"/>
      <c r="CB172" s="63"/>
      <c r="CC172" s="63"/>
      <c r="CD172" s="192"/>
      <c r="CE172" s="196"/>
      <c r="CF172" s="192"/>
      <c r="CG172" s="194"/>
      <c r="CH172" s="259"/>
      <c r="CI172" s="197"/>
      <c r="CJ172" s="192"/>
      <c r="CK172" s="197"/>
      <c r="CL172" s="192"/>
      <c r="CM172" s="197"/>
      <c r="CN172" s="192"/>
      <c r="CO172" s="197"/>
      <c r="CP172" s="192"/>
      <c r="CQ172" s="193"/>
      <c r="CR172" s="197"/>
      <c r="CS172" s="69"/>
      <c r="CT172" s="89"/>
      <c r="CU172" s="255" t="str">
        <f t="shared" si="2"/>
        <v/>
      </c>
    </row>
    <row r="173" ht="55.5" hidden="1" customHeight="1">
      <c r="A173" s="125">
        <v>16.0</v>
      </c>
      <c r="B173" s="199"/>
      <c r="C173" s="127"/>
      <c r="D173" s="128"/>
      <c r="E173" s="260"/>
      <c r="F173" s="261"/>
      <c r="G173" s="261"/>
      <c r="H173" s="261"/>
      <c r="I173" s="261"/>
      <c r="J173" s="170"/>
      <c r="K173" s="219"/>
      <c r="L173" s="219"/>
      <c r="M173" s="219"/>
      <c r="N173" s="220"/>
      <c r="O173" s="132">
        <f t="shared" si="32"/>
        <v>0</v>
      </c>
      <c r="P173" s="133">
        <f>COUNTIF(K173:K183,"TL")*0.75+COUNTIF(K173:K183,"Lec")*1+COUNTIF(K173:K183,"Lab")*0.5</f>
        <v>0</v>
      </c>
      <c r="Q173" s="134">
        <f>SUM((IF(LEFT(K173,1)="E",O173,0)),(IF(LEFT(K174,1)="E",O174,0)),(IF(LEFT(K175,1)="E",O175,0)),(IF(LEFT(K176,1)="E",O176,0)),(IF(LEFT(K177,1)="E",O177,0)),(IF(LEFT(K178,1)="E",O178,0)),(IF(LEFT(K179,1)="E",O179,0)),(IF(LEFT(K180,1)="E",O180,0)),(IF(LEFT(K181,1)="E",O181,0)),(IF(LEFT(K182,1)="E",O182,0)),(IF(LEFT(K183,1)="E",O183,0)))</f>
        <v>0</v>
      </c>
      <c r="R173" s="135">
        <f>SUM(IF(M179&lt;20,IF(K179="Plec",-1,IF(K179="PTL",-0.75,IF(K179="Plab",-0.5,0))),0),IF(M180&lt;20,IF(K180="Plec",-1,IF(K180="PTL",-0.75,IF(K180="Plab",-0.5,0))),0),IF(M181&lt;20,IF(K181="Plec",-1,IF(K181="PTL",-0.75,IF(K181="Plab",-0.5,0))),0),IF(M182&lt;20,IF(K182="Plec",-1,IF(K182="PTL",-0.75,IF(K182="Plab",-0.5,0))),0))</f>
        <v>0</v>
      </c>
      <c r="S173" s="134">
        <f>SUM(P173:R183)</f>
        <v>0</v>
      </c>
      <c r="T173" s="136">
        <f>SUM(IF(M173="M",IF(OR(K173="lec",K173="plec",K173="slec"),1,IF(OR(K173="lab",K173="plab",K173="slab",K173="tut",K173="ptut",K173="stut"),0.5,IF(OR(K173="TL",K173="pTL",K173="STL"),0.75,0))),0),IF(M174="M",IF(OR(K174="lec",K174="plec",K174="slec"),1,IF(OR(K174="lab",K174="plab",K174="slab",K174="tut",K174="ptut",K174="stut"),0.5,IF(OR(K174="TL",K174="pTL",K174="STL"),0.75,0))),0),IF(M175="M",IF(OR(K175="lec",K175="plec",K175="slec"),1,IF(OR(K175="lab",K175="plab",K175="slab",K175="tut",K175="ptut",K175="stut"),0.5,IF(OR(K175="TL",K175="pTL",K175="STL"),0.75,0))),0),IF(M176="M",IF(OR(K176="lec",K176="plec",K176="slec"),1,IF(OR(K176="lab",K176="plab",K176="slab",K176="tut",K176="ptut",K176="stut"),0.5,IF(OR(K176="TL",K176="pTL",K176="STL"),0.75,0))),0),IF(M177="M",IF(OR(K177="lec",K177="plec",K177="slec"),1,IF(OR(K177="lab",K177="plab",K177="slab",K177="tut",K177="ptut",K177="stut"),0.5,IF(OR(K177="TL",K177="pTL",K177="STL"),0.75,0))),0),IF(M178="M",IF(OR(K178="lec",K178="plec",K178="slec"),1,IF(OR(K178="lab",K178="plab",K178="slab",K178="tut",K178="ptut",K178="stut"),0.5,IF(OR(K178="TL",K178="pTL",K178="STL"),0.75,0))),0),IF(M179="M",IF(OR(K179="lec",K179="plec",K179="slec"),1,IF(OR(K179="lab",K179="plab",K179="slab",K179="tut",K179="ptut",K179="stut"),0.5,IF(OR(K179="TL",K179="pTL",K179="STL"),0.75,0))),0),IF(M180="M",IF(OR(K180="lec",K180="plec",K180="slec"),1,IF(OR(K180="lab",K180="plab",K180="slab",K180="tut",K180="ptut",K180="stut"),0.5,IF(OR(K180="TL",K180="pTL",K180="STL"),0.75,0))),0),IF(M181="M",IF(OR(K181="lec",K181="plec",K181="slec"),1,IF(OR(K181="lab",K181="plab",K181="slab",K181="tut",K181="ptut",K181="stut"),0.5,IF(OR(K181="TL",K181="pTL",K181="STL"),0.75,0))),0),IF(M182="M",IF(OR(K182="lec",K182="plec",K182="slec"),1,IF(OR(K182="lab",K182="plab",K182="slab",K182="tut",K182="ptut",K182="stut"),0.5,IF(OR(K182="TL",K182="pTL",K182="STL"),0.75,0))),0),IF(M183="M",IF(OR(K183="lec",K183="plec",K183="slec"),1,IF(OR(K183="lab",K183="plab",K183="slab",K183="tut",K183="ptut",K183="stut"),0.5,IF(OR(K183="TL",K183="pTL",K183="STL"),0.75,0))),0))</f>
        <v>0</v>
      </c>
      <c r="U173" s="137"/>
      <c r="V173" s="133"/>
      <c r="W173" s="138"/>
      <c r="X173" s="139">
        <f>S173-(T173+U173+V173+W173)</f>
        <v>0</v>
      </c>
      <c r="Y173" s="134" t="str">
        <f>CONCATENATE(SUM(O173:O183),"(",SUM(O173:O183)-X173,")")</f>
        <v>0(0)</v>
      </c>
      <c r="Z173" s="140"/>
      <c r="AA173" s="141"/>
      <c r="AB173" s="142"/>
      <c r="AC173" s="142"/>
      <c r="AD173" s="142"/>
      <c r="AE173" s="142"/>
      <c r="AF173" s="142"/>
      <c r="AG173" s="142"/>
      <c r="AH173" s="142"/>
      <c r="AI173" s="143"/>
      <c r="AJ173" s="144"/>
      <c r="AK173" s="145"/>
      <c r="AL173" s="145"/>
      <c r="AM173" s="145"/>
      <c r="AN173" s="145"/>
      <c r="AO173" s="146"/>
      <c r="AP173" s="147">
        <f>SUM(SUM(O173:O183),SUM(AI173:AI183)/2,AM173)</f>
        <v>0</v>
      </c>
      <c r="AQ173" s="148"/>
      <c r="AR173" s="148">
        <f>AP173*AQ173</f>
        <v>0</v>
      </c>
      <c r="AS173" s="148">
        <f>CT173</f>
        <v>0</v>
      </c>
      <c r="AT173" s="149">
        <f>AR173*0.75+AS173*0.25</f>
        <v>0</v>
      </c>
      <c r="AU173" s="150"/>
      <c r="AV173" s="151"/>
      <c r="AW173" s="151"/>
      <c r="AX173" s="152"/>
      <c r="AY173" s="153"/>
      <c r="AZ173" s="140"/>
      <c r="BA173" s="150"/>
      <c r="BB173" s="151"/>
      <c r="BC173" s="151"/>
      <c r="BD173" s="151"/>
      <c r="BE173" s="151"/>
      <c r="BF173" s="151"/>
      <c r="BG173" s="151"/>
      <c r="BH173" s="151"/>
      <c r="BI173" s="152"/>
      <c r="BJ173" s="154"/>
      <c r="BK173" s="151"/>
      <c r="BL173" s="151"/>
      <c r="BM173" s="151"/>
      <c r="BN173" s="151"/>
      <c r="BO173" s="155"/>
      <c r="BP173" s="140"/>
      <c r="BQ173" s="156"/>
      <c r="BR173" s="157"/>
      <c r="BS173" s="158"/>
      <c r="BT173" s="153"/>
      <c r="BU173" s="140"/>
      <c r="BV173" s="140"/>
      <c r="BW173" s="140"/>
      <c r="BX173" s="140"/>
      <c r="BY173" s="140"/>
      <c r="BZ173" s="140"/>
      <c r="CA173" s="140"/>
      <c r="CB173" s="140"/>
      <c r="CC173" s="140"/>
      <c r="CD173" s="150"/>
      <c r="CE173" s="155"/>
      <c r="CF173" s="150"/>
      <c r="CG173" s="152"/>
      <c r="CH173" s="252"/>
      <c r="CI173" s="160"/>
      <c r="CJ173" s="159"/>
      <c r="CK173" s="160"/>
      <c r="CL173" s="159"/>
      <c r="CM173" s="160"/>
      <c r="CN173" s="159"/>
      <c r="CO173" s="160"/>
      <c r="CP173" s="159"/>
      <c r="CQ173" s="162"/>
      <c r="CR173" s="160"/>
      <c r="CS173" s="253">
        <f>SUM(IF(AU173&lt;0,ABS(AU173),0),IF(AZ173&lt;0,ABS(AZ173),0),ABS(CI173),ABS(CK173),ABS(CM173),ABS(CO173),ABS(CQ173),ABS(CR173))</f>
        <v>0</v>
      </c>
      <c r="CT173" s="254">
        <f>SUM(AU173,AV173,AW173,AX173/400,AY173,AZ173,BG173,BH173*0.5,BI173*0.25,BJ173,BK173,BL173,BM173,BN173,BO173,BP173,BR173/20,BS173/100,BT173/60,BU173,BV173,BW173,BX173/4,SUM(BY173:CC183)/3,CE173,CG173/3,CI173,CK173,CM173,CO173,CQ173,CR173)</f>
        <v>0</v>
      </c>
      <c r="CU173" s="255" t="str">
        <f t="shared" si="2"/>
        <v/>
      </c>
    </row>
    <row r="174" ht="60.0" hidden="1" customHeight="1">
      <c r="A174" s="65"/>
      <c r="C174" s="167"/>
      <c r="D174" s="205"/>
      <c r="E174" s="262"/>
      <c r="F174" s="170"/>
      <c r="G174" s="170"/>
      <c r="H174" s="170"/>
      <c r="I174" s="170"/>
      <c r="J174" s="170"/>
      <c r="K174" s="171"/>
      <c r="L174" s="171"/>
      <c r="M174" s="171"/>
      <c r="N174" s="209"/>
      <c r="O174" s="172">
        <f t="shared" si="32"/>
        <v>0</v>
      </c>
      <c r="P174" s="166"/>
      <c r="Q174" s="173"/>
      <c r="R174" s="65"/>
      <c r="S174" s="173"/>
      <c r="T174" s="173"/>
      <c r="U174" s="166"/>
      <c r="V174" s="166"/>
      <c r="W174" s="65"/>
      <c r="X174" s="66"/>
      <c r="Y174" s="173"/>
      <c r="Z174" s="166"/>
      <c r="AA174" s="174"/>
      <c r="AB174" s="175"/>
      <c r="AC174" s="175"/>
      <c r="AD174" s="175"/>
      <c r="AE174" s="175"/>
      <c r="AF174" s="175"/>
      <c r="AG174" s="175"/>
      <c r="AH174" s="175"/>
      <c r="AI174" s="176"/>
      <c r="AJ174" s="177"/>
      <c r="AK174" s="178"/>
      <c r="AL174" s="178"/>
      <c r="AM174" s="178"/>
      <c r="AN174" s="178"/>
      <c r="AO174" s="179"/>
      <c r="AP174" s="64"/>
      <c r="AQ174" s="65"/>
      <c r="AR174" s="65"/>
      <c r="AS174" s="65"/>
      <c r="AT174" s="173"/>
      <c r="AU174" s="177"/>
      <c r="AV174" s="178"/>
      <c r="AW174" s="178"/>
      <c r="AX174" s="179"/>
      <c r="AZ174" s="166"/>
      <c r="BA174" s="177"/>
      <c r="BB174" s="178"/>
      <c r="BC174" s="178"/>
      <c r="BD174" s="178"/>
      <c r="BE174" s="178"/>
      <c r="BF174" s="178"/>
      <c r="BG174" s="178"/>
      <c r="BH174" s="178"/>
      <c r="BI174" s="179"/>
      <c r="BJ174" s="180"/>
      <c r="BK174" s="178"/>
      <c r="BL174" s="178"/>
      <c r="BM174" s="178"/>
      <c r="BN174" s="178"/>
      <c r="BO174" s="181"/>
      <c r="BP174" s="166"/>
      <c r="BQ174" s="177"/>
      <c r="BR174" s="178"/>
      <c r="BS174" s="179"/>
      <c r="BU174" s="166"/>
      <c r="BV174" s="166"/>
      <c r="BW174" s="166"/>
      <c r="BX174" s="166"/>
      <c r="BY174" s="166"/>
      <c r="BZ174" s="166"/>
      <c r="CA174" s="166"/>
      <c r="CB174" s="166"/>
      <c r="CC174" s="166"/>
      <c r="CD174" s="177"/>
      <c r="CE174" s="181"/>
      <c r="CF174" s="177"/>
      <c r="CG174" s="179"/>
      <c r="CH174" s="257"/>
      <c r="CI174" s="182"/>
      <c r="CJ174" s="177"/>
      <c r="CK174" s="182"/>
      <c r="CL174" s="177"/>
      <c r="CM174" s="182"/>
      <c r="CN174" s="177"/>
      <c r="CO174" s="182"/>
      <c r="CP174" s="177"/>
      <c r="CQ174" s="178"/>
      <c r="CR174" s="182"/>
      <c r="CS174" s="173"/>
      <c r="CT174" s="65"/>
      <c r="CU174" s="255" t="str">
        <f t="shared" si="2"/>
        <v/>
      </c>
    </row>
    <row r="175" ht="60.0" hidden="1" customHeight="1">
      <c r="A175" s="65"/>
      <c r="C175" s="167"/>
      <c r="D175" s="205"/>
      <c r="E175" s="262"/>
      <c r="F175" s="170"/>
      <c r="G175" s="170"/>
      <c r="H175" s="170"/>
      <c r="I175" s="170"/>
      <c r="J175" s="170"/>
      <c r="K175" s="171"/>
      <c r="L175" s="171"/>
      <c r="M175" s="171"/>
      <c r="N175" s="209"/>
      <c r="O175" s="172">
        <f t="shared" si="32"/>
        <v>0</v>
      </c>
      <c r="P175" s="166"/>
      <c r="Q175" s="173"/>
      <c r="R175" s="65"/>
      <c r="S175" s="173"/>
      <c r="T175" s="173"/>
      <c r="U175" s="166"/>
      <c r="V175" s="166"/>
      <c r="W175" s="65"/>
      <c r="X175" s="66"/>
      <c r="Y175" s="173"/>
      <c r="Z175" s="166"/>
      <c r="AA175" s="174"/>
      <c r="AB175" s="175"/>
      <c r="AC175" s="175"/>
      <c r="AD175" s="175"/>
      <c r="AE175" s="175"/>
      <c r="AF175" s="175"/>
      <c r="AG175" s="175"/>
      <c r="AH175" s="175"/>
      <c r="AI175" s="176"/>
      <c r="AJ175" s="177"/>
      <c r="AK175" s="178"/>
      <c r="AL175" s="178"/>
      <c r="AM175" s="178"/>
      <c r="AN175" s="178"/>
      <c r="AO175" s="179"/>
      <c r="AP175" s="64"/>
      <c r="AQ175" s="65"/>
      <c r="AR175" s="65"/>
      <c r="AS175" s="65"/>
      <c r="AT175" s="173"/>
      <c r="AU175" s="177"/>
      <c r="AV175" s="178"/>
      <c r="AW175" s="178"/>
      <c r="AX175" s="179"/>
      <c r="AZ175" s="166"/>
      <c r="BA175" s="177"/>
      <c r="BB175" s="178"/>
      <c r="BC175" s="178"/>
      <c r="BD175" s="178"/>
      <c r="BE175" s="178"/>
      <c r="BF175" s="178"/>
      <c r="BG175" s="178"/>
      <c r="BH175" s="178"/>
      <c r="BI175" s="179"/>
      <c r="BJ175" s="180"/>
      <c r="BK175" s="178"/>
      <c r="BL175" s="178"/>
      <c r="BM175" s="178"/>
      <c r="BN175" s="178"/>
      <c r="BO175" s="181"/>
      <c r="BP175" s="166"/>
      <c r="BQ175" s="177"/>
      <c r="BR175" s="178"/>
      <c r="BS175" s="179"/>
      <c r="BU175" s="166"/>
      <c r="BV175" s="166"/>
      <c r="BW175" s="166"/>
      <c r="BX175" s="166"/>
      <c r="BY175" s="166"/>
      <c r="BZ175" s="166"/>
      <c r="CA175" s="166"/>
      <c r="CB175" s="166"/>
      <c r="CC175" s="166"/>
      <c r="CD175" s="177"/>
      <c r="CE175" s="181"/>
      <c r="CF175" s="177"/>
      <c r="CG175" s="179"/>
      <c r="CH175" s="257"/>
      <c r="CI175" s="182"/>
      <c r="CJ175" s="177"/>
      <c r="CK175" s="182"/>
      <c r="CL175" s="177"/>
      <c r="CM175" s="182"/>
      <c r="CN175" s="177"/>
      <c r="CO175" s="182"/>
      <c r="CP175" s="177"/>
      <c r="CQ175" s="178"/>
      <c r="CR175" s="182"/>
      <c r="CS175" s="173"/>
      <c r="CT175" s="65"/>
      <c r="CU175" s="255" t="str">
        <f t="shared" si="2"/>
        <v/>
      </c>
    </row>
    <row r="176" ht="60.0" hidden="1" customHeight="1">
      <c r="A176" s="65"/>
      <c r="C176" s="167"/>
      <c r="D176" s="205"/>
      <c r="E176" s="262"/>
      <c r="F176" s="170"/>
      <c r="G176" s="170"/>
      <c r="H176" s="170"/>
      <c r="I176" s="170"/>
      <c r="J176" s="170"/>
      <c r="K176" s="171"/>
      <c r="L176" s="171"/>
      <c r="M176" s="171"/>
      <c r="N176" s="209"/>
      <c r="O176" s="172">
        <f t="shared" si="32"/>
        <v>0</v>
      </c>
      <c r="P176" s="166"/>
      <c r="Q176" s="173"/>
      <c r="R176" s="65"/>
      <c r="S176" s="173"/>
      <c r="T176" s="173"/>
      <c r="U176" s="166"/>
      <c r="V176" s="166"/>
      <c r="W176" s="65"/>
      <c r="X176" s="66"/>
      <c r="Y176" s="173"/>
      <c r="Z176" s="166"/>
      <c r="AA176" s="174"/>
      <c r="AB176" s="175"/>
      <c r="AC176" s="175"/>
      <c r="AD176" s="175"/>
      <c r="AE176" s="175"/>
      <c r="AF176" s="175"/>
      <c r="AG176" s="175"/>
      <c r="AH176" s="175"/>
      <c r="AI176" s="176"/>
      <c r="AJ176" s="177"/>
      <c r="AK176" s="178"/>
      <c r="AL176" s="178"/>
      <c r="AM176" s="178"/>
      <c r="AN176" s="178"/>
      <c r="AO176" s="179"/>
      <c r="AP176" s="64"/>
      <c r="AQ176" s="65"/>
      <c r="AR176" s="65"/>
      <c r="AS176" s="65"/>
      <c r="AT176" s="173"/>
      <c r="AU176" s="177"/>
      <c r="AV176" s="178"/>
      <c r="AW176" s="178"/>
      <c r="AX176" s="179"/>
      <c r="AZ176" s="166"/>
      <c r="BA176" s="177"/>
      <c r="BB176" s="178"/>
      <c r="BC176" s="178"/>
      <c r="BD176" s="178"/>
      <c r="BE176" s="178"/>
      <c r="BF176" s="178"/>
      <c r="BG176" s="178"/>
      <c r="BH176" s="178"/>
      <c r="BI176" s="179"/>
      <c r="BJ176" s="180"/>
      <c r="BK176" s="178"/>
      <c r="BL176" s="178"/>
      <c r="BM176" s="178"/>
      <c r="BN176" s="178"/>
      <c r="BO176" s="181"/>
      <c r="BP176" s="166"/>
      <c r="BQ176" s="177"/>
      <c r="BR176" s="178"/>
      <c r="BS176" s="179"/>
      <c r="BU176" s="166"/>
      <c r="BV176" s="166"/>
      <c r="BW176" s="166"/>
      <c r="BX176" s="166"/>
      <c r="BY176" s="166"/>
      <c r="BZ176" s="166"/>
      <c r="CA176" s="166"/>
      <c r="CB176" s="166"/>
      <c r="CC176" s="166"/>
      <c r="CD176" s="177"/>
      <c r="CE176" s="181"/>
      <c r="CF176" s="177"/>
      <c r="CG176" s="179"/>
      <c r="CH176" s="257"/>
      <c r="CI176" s="182"/>
      <c r="CJ176" s="177"/>
      <c r="CK176" s="182"/>
      <c r="CL176" s="177"/>
      <c r="CM176" s="182"/>
      <c r="CN176" s="177"/>
      <c r="CO176" s="182"/>
      <c r="CP176" s="177"/>
      <c r="CQ176" s="178"/>
      <c r="CR176" s="182"/>
      <c r="CS176" s="173"/>
      <c r="CT176" s="65"/>
      <c r="CU176" s="255" t="str">
        <f t="shared" si="2"/>
        <v/>
      </c>
    </row>
    <row r="177" ht="60.0" hidden="1" customHeight="1">
      <c r="A177" s="65"/>
      <c r="C177" s="167"/>
      <c r="D177" s="205"/>
      <c r="E177" s="262"/>
      <c r="F177" s="170"/>
      <c r="G177" s="170"/>
      <c r="H177" s="170"/>
      <c r="I177" s="170"/>
      <c r="J177" s="170"/>
      <c r="K177" s="171"/>
      <c r="L177" s="171"/>
      <c r="M177" s="171"/>
      <c r="N177" s="209"/>
      <c r="O177" s="172">
        <f t="shared" si="32"/>
        <v>0</v>
      </c>
      <c r="P177" s="166"/>
      <c r="Q177" s="173"/>
      <c r="R177" s="65"/>
      <c r="S177" s="173"/>
      <c r="T177" s="173"/>
      <c r="U177" s="166"/>
      <c r="V177" s="166"/>
      <c r="W177" s="65"/>
      <c r="X177" s="66"/>
      <c r="Y177" s="173"/>
      <c r="Z177" s="166"/>
      <c r="AA177" s="174"/>
      <c r="AB177" s="175"/>
      <c r="AC177" s="175"/>
      <c r="AD177" s="175"/>
      <c r="AE177" s="175"/>
      <c r="AF177" s="175"/>
      <c r="AG177" s="175"/>
      <c r="AH177" s="175"/>
      <c r="AI177" s="176"/>
      <c r="AJ177" s="177"/>
      <c r="AK177" s="178"/>
      <c r="AL177" s="178"/>
      <c r="AM177" s="178"/>
      <c r="AN177" s="178"/>
      <c r="AO177" s="179"/>
      <c r="AP177" s="64"/>
      <c r="AQ177" s="65"/>
      <c r="AR177" s="65"/>
      <c r="AS177" s="65"/>
      <c r="AT177" s="173"/>
      <c r="AU177" s="177"/>
      <c r="AV177" s="178"/>
      <c r="AW177" s="178"/>
      <c r="AX177" s="179"/>
      <c r="AZ177" s="166"/>
      <c r="BA177" s="177"/>
      <c r="BB177" s="178"/>
      <c r="BC177" s="178"/>
      <c r="BD177" s="178"/>
      <c r="BE177" s="178"/>
      <c r="BF177" s="178"/>
      <c r="BG177" s="178"/>
      <c r="BH177" s="178"/>
      <c r="BI177" s="179"/>
      <c r="BJ177" s="180"/>
      <c r="BK177" s="178"/>
      <c r="BL177" s="178"/>
      <c r="BM177" s="178"/>
      <c r="BN177" s="178"/>
      <c r="BO177" s="181"/>
      <c r="BP177" s="166"/>
      <c r="BQ177" s="177"/>
      <c r="BR177" s="178"/>
      <c r="BS177" s="179"/>
      <c r="BU177" s="166"/>
      <c r="BV177" s="166"/>
      <c r="BW177" s="166"/>
      <c r="BX177" s="166"/>
      <c r="BY177" s="166"/>
      <c r="BZ177" s="166"/>
      <c r="CA177" s="166"/>
      <c r="CB177" s="166"/>
      <c r="CC177" s="166"/>
      <c r="CD177" s="177"/>
      <c r="CE177" s="181"/>
      <c r="CF177" s="177"/>
      <c r="CG177" s="179"/>
      <c r="CH177" s="257"/>
      <c r="CI177" s="182"/>
      <c r="CJ177" s="177"/>
      <c r="CK177" s="182"/>
      <c r="CL177" s="177"/>
      <c r="CM177" s="182"/>
      <c r="CN177" s="177"/>
      <c r="CO177" s="182"/>
      <c r="CP177" s="177"/>
      <c r="CQ177" s="178"/>
      <c r="CR177" s="182"/>
      <c r="CS177" s="173"/>
      <c r="CT177" s="65"/>
      <c r="CU177" s="255" t="str">
        <f t="shared" si="2"/>
        <v/>
      </c>
    </row>
    <row r="178" ht="60.0" hidden="1" customHeight="1">
      <c r="A178" s="65"/>
      <c r="C178" s="167"/>
      <c r="D178" s="205"/>
      <c r="E178" s="262"/>
      <c r="F178" s="170"/>
      <c r="G178" s="170"/>
      <c r="H178" s="170"/>
      <c r="I178" s="170"/>
      <c r="J178" s="170"/>
      <c r="K178" s="171"/>
      <c r="L178" s="171"/>
      <c r="M178" s="171"/>
      <c r="N178" s="209"/>
      <c r="O178" s="172">
        <f t="shared" si="32"/>
        <v>0</v>
      </c>
      <c r="P178" s="166"/>
      <c r="Q178" s="173"/>
      <c r="R178" s="65"/>
      <c r="S178" s="173"/>
      <c r="T178" s="173"/>
      <c r="U178" s="166"/>
      <c r="V178" s="166"/>
      <c r="W178" s="65"/>
      <c r="X178" s="66"/>
      <c r="Y178" s="173"/>
      <c r="Z178" s="166"/>
      <c r="AA178" s="174"/>
      <c r="AB178" s="175"/>
      <c r="AC178" s="175"/>
      <c r="AD178" s="175"/>
      <c r="AE178" s="175"/>
      <c r="AF178" s="175"/>
      <c r="AG178" s="175"/>
      <c r="AH178" s="175"/>
      <c r="AI178" s="176"/>
      <c r="AJ178" s="177"/>
      <c r="AK178" s="178"/>
      <c r="AL178" s="178"/>
      <c r="AM178" s="178"/>
      <c r="AN178" s="178"/>
      <c r="AO178" s="179"/>
      <c r="AP178" s="64"/>
      <c r="AQ178" s="65"/>
      <c r="AR178" s="65"/>
      <c r="AS178" s="65"/>
      <c r="AT178" s="173"/>
      <c r="AU178" s="177"/>
      <c r="AV178" s="178"/>
      <c r="AW178" s="178"/>
      <c r="AX178" s="179"/>
      <c r="AZ178" s="166"/>
      <c r="BA178" s="177"/>
      <c r="BB178" s="178"/>
      <c r="BC178" s="178"/>
      <c r="BD178" s="178"/>
      <c r="BE178" s="178"/>
      <c r="BF178" s="178"/>
      <c r="BG178" s="178"/>
      <c r="BH178" s="178"/>
      <c r="BI178" s="179"/>
      <c r="BJ178" s="180"/>
      <c r="BK178" s="178"/>
      <c r="BL178" s="178"/>
      <c r="BM178" s="178"/>
      <c r="BN178" s="178"/>
      <c r="BO178" s="181"/>
      <c r="BP178" s="166"/>
      <c r="BQ178" s="177"/>
      <c r="BR178" s="178"/>
      <c r="BS178" s="179"/>
      <c r="BU178" s="166"/>
      <c r="BV178" s="166"/>
      <c r="BW178" s="166"/>
      <c r="BX178" s="166"/>
      <c r="BY178" s="166"/>
      <c r="BZ178" s="166"/>
      <c r="CA178" s="166"/>
      <c r="CB178" s="166"/>
      <c r="CC178" s="166"/>
      <c r="CD178" s="177"/>
      <c r="CE178" s="181"/>
      <c r="CF178" s="177"/>
      <c r="CG178" s="179"/>
      <c r="CH178" s="257"/>
      <c r="CI178" s="182"/>
      <c r="CJ178" s="177"/>
      <c r="CK178" s="182"/>
      <c r="CL178" s="177"/>
      <c r="CM178" s="182"/>
      <c r="CN178" s="177"/>
      <c r="CO178" s="182"/>
      <c r="CP178" s="177"/>
      <c r="CQ178" s="178"/>
      <c r="CR178" s="182"/>
      <c r="CS178" s="173"/>
      <c r="CT178" s="65"/>
      <c r="CU178" s="255" t="str">
        <f t="shared" si="2"/>
        <v/>
      </c>
    </row>
    <row r="179" ht="60.0" hidden="1" customHeight="1">
      <c r="A179" s="65"/>
      <c r="C179" s="167"/>
      <c r="D179" s="205"/>
      <c r="E179" s="262"/>
      <c r="F179" s="170"/>
      <c r="G179" s="170"/>
      <c r="H179" s="170"/>
      <c r="I179" s="170"/>
      <c r="J179" s="170"/>
      <c r="K179" s="171"/>
      <c r="L179" s="171"/>
      <c r="M179" s="171"/>
      <c r="N179" s="209"/>
      <c r="O179" s="172">
        <f t="shared" ref="O179:O182" si="33">IF(AND(M179&gt;=20,M179&lt;&gt;"m",RIGHT(K179,3)="Lec"),1,IF(AND(M179&gt;=20,M179&lt;&gt;"m",OR(RIGHT(K179,3)="Lab",RIGHT(K179,3)="Tut")),0.5,IF(AND(M179&gt;=20,M179&lt;&gt;"m",RIGHT(K179,2)="TL"),0.75,0)))</f>
        <v>0</v>
      </c>
      <c r="P179" s="166"/>
      <c r="Q179" s="173"/>
      <c r="R179" s="65"/>
      <c r="S179" s="173"/>
      <c r="T179" s="173"/>
      <c r="U179" s="166"/>
      <c r="V179" s="166"/>
      <c r="W179" s="65"/>
      <c r="X179" s="66"/>
      <c r="Y179" s="173"/>
      <c r="Z179" s="166"/>
      <c r="AA179" s="174"/>
      <c r="AB179" s="175"/>
      <c r="AC179" s="175"/>
      <c r="AD179" s="175"/>
      <c r="AE179" s="175"/>
      <c r="AF179" s="175"/>
      <c r="AG179" s="175"/>
      <c r="AH179" s="175"/>
      <c r="AI179" s="176"/>
      <c r="AJ179" s="177"/>
      <c r="AK179" s="178"/>
      <c r="AL179" s="178"/>
      <c r="AM179" s="178"/>
      <c r="AN179" s="178"/>
      <c r="AO179" s="179"/>
      <c r="AP179" s="64"/>
      <c r="AQ179" s="65"/>
      <c r="AR179" s="65"/>
      <c r="AS179" s="65"/>
      <c r="AT179" s="173"/>
      <c r="AU179" s="177"/>
      <c r="AV179" s="178"/>
      <c r="AW179" s="178"/>
      <c r="AX179" s="179"/>
      <c r="AZ179" s="166"/>
      <c r="BA179" s="177"/>
      <c r="BB179" s="178"/>
      <c r="BC179" s="178"/>
      <c r="BD179" s="178"/>
      <c r="BE179" s="178"/>
      <c r="BF179" s="178"/>
      <c r="BG179" s="178"/>
      <c r="BH179" s="178"/>
      <c r="BI179" s="179"/>
      <c r="BJ179" s="180"/>
      <c r="BK179" s="178"/>
      <c r="BL179" s="178"/>
      <c r="BM179" s="178"/>
      <c r="BN179" s="178"/>
      <c r="BO179" s="181"/>
      <c r="BP179" s="166"/>
      <c r="BQ179" s="177"/>
      <c r="BR179" s="178"/>
      <c r="BS179" s="179"/>
      <c r="BU179" s="166"/>
      <c r="BV179" s="166"/>
      <c r="BW179" s="166"/>
      <c r="BX179" s="166"/>
      <c r="BY179" s="166"/>
      <c r="BZ179" s="166"/>
      <c r="CA179" s="166"/>
      <c r="CB179" s="166"/>
      <c r="CC179" s="166"/>
      <c r="CD179" s="177"/>
      <c r="CE179" s="181"/>
      <c r="CF179" s="177"/>
      <c r="CG179" s="179"/>
      <c r="CH179" s="257"/>
      <c r="CI179" s="182"/>
      <c r="CJ179" s="177"/>
      <c r="CK179" s="182"/>
      <c r="CL179" s="177"/>
      <c r="CM179" s="182"/>
      <c r="CN179" s="177"/>
      <c r="CO179" s="182"/>
      <c r="CP179" s="177"/>
      <c r="CQ179" s="178"/>
      <c r="CR179" s="182"/>
      <c r="CS179" s="173"/>
      <c r="CT179" s="65"/>
      <c r="CU179" s="255" t="str">
        <f t="shared" si="2"/>
        <v/>
      </c>
    </row>
    <row r="180" ht="60.0" hidden="1" customHeight="1">
      <c r="A180" s="65"/>
      <c r="C180" s="167"/>
      <c r="D180" s="205"/>
      <c r="E180" s="262"/>
      <c r="F180" s="170"/>
      <c r="G180" s="170"/>
      <c r="H180" s="170"/>
      <c r="I180" s="170"/>
      <c r="J180" s="170"/>
      <c r="K180" s="171"/>
      <c r="L180" s="171"/>
      <c r="M180" s="171"/>
      <c r="N180" s="209"/>
      <c r="O180" s="172">
        <f t="shared" si="33"/>
        <v>0</v>
      </c>
      <c r="P180" s="166"/>
      <c r="Q180" s="173"/>
      <c r="R180" s="65"/>
      <c r="S180" s="173"/>
      <c r="T180" s="173"/>
      <c r="U180" s="166"/>
      <c r="V180" s="166"/>
      <c r="W180" s="65"/>
      <c r="X180" s="66"/>
      <c r="Y180" s="173"/>
      <c r="Z180" s="166"/>
      <c r="AA180" s="174"/>
      <c r="AB180" s="175"/>
      <c r="AC180" s="175"/>
      <c r="AD180" s="175"/>
      <c r="AE180" s="175"/>
      <c r="AF180" s="175"/>
      <c r="AG180" s="175"/>
      <c r="AH180" s="175"/>
      <c r="AI180" s="176"/>
      <c r="AJ180" s="177"/>
      <c r="AK180" s="178"/>
      <c r="AL180" s="178"/>
      <c r="AM180" s="178"/>
      <c r="AN180" s="178"/>
      <c r="AO180" s="179"/>
      <c r="AP180" s="64"/>
      <c r="AQ180" s="65"/>
      <c r="AR180" s="65"/>
      <c r="AS180" s="65"/>
      <c r="AT180" s="173"/>
      <c r="AU180" s="177"/>
      <c r="AV180" s="178"/>
      <c r="AW180" s="178"/>
      <c r="AX180" s="179"/>
      <c r="AZ180" s="166"/>
      <c r="BA180" s="177"/>
      <c r="BB180" s="178"/>
      <c r="BC180" s="178"/>
      <c r="BD180" s="178"/>
      <c r="BE180" s="178"/>
      <c r="BF180" s="178"/>
      <c r="BG180" s="178"/>
      <c r="BH180" s="178"/>
      <c r="BI180" s="179"/>
      <c r="BJ180" s="180"/>
      <c r="BK180" s="178"/>
      <c r="BL180" s="178"/>
      <c r="BM180" s="178"/>
      <c r="BN180" s="178"/>
      <c r="BO180" s="181"/>
      <c r="BP180" s="166"/>
      <c r="BQ180" s="177"/>
      <c r="BR180" s="178"/>
      <c r="BS180" s="179"/>
      <c r="BU180" s="166"/>
      <c r="BV180" s="166"/>
      <c r="BW180" s="166"/>
      <c r="BX180" s="166"/>
      <c r="BY180" s="166"/>
      <c r="BZ180" s="166"/>
      <c r="CA180" s="166"/>
      <c r="CB180" s="166"/>
      <c r="CC180" s="166"/>
      <c r="CD180" s="177"/>
      <c r="CE180" s="181"/>
      <c r="CF180" s="177"/>
      <c r="CG180" s="179"/>
      <c r="CH180" s="257"/>
      <c r="CI180" s="182"/>
      <c r="CJ180" s="177"/>
      <c r="CK180" s="182"/>
      <c r="CL180" s="177"/>
      <c r="CM180" s="182"/>
      <c r="CN180" s="177"/>
      <c r="CO180" s="182"/>
      <c r="CP180" s="177"/>
      <c r="CQ180" s="178"/>
      <c r="CR180" s="182"/>
      <c r="CS180" s="173"/>
      <c r="CT180" s="65"/>
      <c r="CU180" s="255" t="str">
        <f t="shared" si="2"/>
        <v/>
      </c>
    </row>
    <row r="181" ht="60.0" hidden="1" customHeight="1">
      <c r="A181" s="65"/>
      <c r="C181" s="167"/>
      <c r="D181" s="205"/>
      <c r="E181" s="262"/>
      <c r="F181" s="170"/>
      <c r="G181" s="170"/>
      <c r="H181" s="170"/>
      <c r="I181" s="170"/>
      <c r="J181" s="170"/>
      <c r="K181" s="171"/>
      <c r="L181" s="171"/>
      <c r="M181" s="171"/>
      <c r="N181" s="209"/>
      <c r="O181" s="172">
        <f t="shared" si="33"/>
        <v>0</v>
      </c>
      <c r="P181" s="166"/>
      <c r="Q181" s="173"/>
      <c r="R181" s="65"/>
      <c r="S181" s="173"/>
      <c r="T181" s="173"/>
      <c r="U181" s="166"/>
      <c r="V181" s="166"/>
      <c r="W181" s="65"/>
      <c r="X181" s="66"/>
      <c r="Y181" s="173"/>
      <c r="Z181" s="166"/>
      <c r="AA181" s="174"/>
      <c r="AB181" s="175"/>
      <c r="AC181" s="175"/>
      <c r="AD181" s="175"/>
      <c r="AE181" s="175"/>
      <c r="AF181" s="175"/>
      <c r="AG181" s="175"/>
      <c r="AH181" s="175"/>
      <c r="AI181" s="176"/>
      <c r="AJ181" s="177"/>
      <c r="AK181" s="178"/>
      <c r="AL181" s="178"/>
      <c r="AM181" s="178"/>
      <c r="AN181" s="178"/>
      <c r="AO181" s="179"/>
      <c r="AP181" s="64"/>
      <c r="AQ181" s="65"/>
      <c r="AR181" s="65"/>
      <c r="AS181" s="65"/>
      <c r="AT181" s="173"/>
      <c r="AU181" s="177"/>
      <c r="AV181" s="178"/>
      <c r="AW181" s="178"/>
      <c r="AX181" s="179"/>
      <c r="AZ181" s="166"/>
      <c r="BA181" s="177"/>
      <c r="BB181" s="178"/>
      <c r="BC181" s="178"/>
      <c r="BD181" s="178"/>
      <c r="BE181" s="178"/>
      <c r="BF181" s="178"/>
      <c r="BG181" s="178"/>
      <c r="BH181" s="178"/>
      <c r="BI181" s="179"/>
      <c r="BJ181" s="180"/>
      <c r="BK181" s="178"/>
      <c r="BL181" s="178"/>
      <c r="BM181" s="178"/>
      <c r="BN181" s="178"/>
      <c r="BO181" s="181"/>
      <c r="BP181" s="166"/>
      <c r="BQ181" s="177"/>
      <c r="BR181" s="178"/>
      <c r="BS181" s="179"/>
      <c r="BU181" s="166"/>
      <c r="BV181" s="166"/>
      <c r="BW181" s="166"/>
      <c r="BX181" s="166"/>
      <c r="BY181" s="166"/>
      <c r="BZ181" s="166"/>
      <c r="CA181" s="166"/>
      <c r="CB181" s="166"/>
      <c r="CC181" s="166"/>
      <c r="CD181" s="177"/>
      <c r="CE181" s="181"/>
      <c r="CF181" s="177"/>
      <c r="CG181" s="179"/>
      <c r="CH181" s="257"/>
      <c r="CI181" s="182"/>
      <c r="CJ181" s="177"/>
      <c r="CK181" s="182"/>
      <c r="CL181" s="177"/>
      <c r="CM181" s="182"/>
      <c r="CN181" s="177"/>
      <c r="CO181" s="182"/>
      <c r="CP181" s="177"/>
      <c r="CQ181" s="178"/>
      <c r="CR181" s="182"/>
      <c r="CS181" s="173"/>
      <c r="CT181" s="65"/>
      <c r="CU181" s="255" t="str">
        <f t="shared" si="2"/>
        <v/>
      </c>
    </row>
    <row r="182" ht="60.0" hidden="1" customHeight="1">
      <c r="A182" s="65"/>
      <c r="C182" s="167"/>
      <c r="D182" s="205"/>
      <c r="E182" s="262"/>
      <c r="F182" s="170"/>
      <c r="G182" s="170"/>
      <c r="H182" s="170"/>
      <c r="I182" s="170"/>
      <c r="J182" s="170"/>
      <c r="K182" s="171"/>
      <c r="L182" s="171"/>
      <c r="M182" s="171"/>
      <c r="N182" s="209"/>
      <c r="O182" s="172">
        <f t="shared" si="33"/>
        <v>0</v>
      </c>
      <c r="P182" s="166"/>
      <c r="Q182" s="173"/>
      <c r="R182" s="65"/>
      <c r="S182" s="173"/>
      <c r="T182" s="173"/>
      <c r="U182" s="166"/>
      <c r="V182" s="166"/>
      <c r="W182" s="65"/>
      <c r="X182" s="66"/>
      <c r="Y182" s="173"/>
      <c r="Z182" s="166"/>
      <c r="AA182" s="174"/>
      <c r="AB182" s="175"/>
      <c r="AC182" s="175"/>
      <c r="AD182" s="175"/>
      <c r="AE182" s="175"/>
      <c r="AF182" s="175"/>
      <c r="AG182" s="175"/>
      <c r="AH182" s="175"/>
      <c r="AI182" s="176"/>
      <c r="AJ182" s="177"/>
      <c r="AK182" s="178"/>
      <c r="AL182" s="178"/>
      <c r="AM182" s="178"/>
      <c r="AN182" s="178"/>
      <c r="AO182" s="179"/>
      <c r="AP182" s="64"/>
      <c r="AQ182" s="65"/>
      <c r="AR182" s="65"/>
      <c r="AS182" s="65"/>
      <c r="AT182" s="173"/>
      <c r="AU182" s="177"/>
      <c r="AV182" s="178"/>
      <c r="AW182" s="178"/>
      <c r="AX182" s="179"/>
      <c r="AZ182" s="166"/>
      <c r="BA182" s="177"/>
      <c r="BB182" s="178"/>
      <c r="BC182" s="178"/>
      <c r="BD182" s="178"/>
      <c r="BE182" s="178"/>
      <c r="BF182" s="178"/>
      <c r="BG182" s="178"/>
      <c r="BH182" s="178"/>
      <c r="BI182" s="179"/>
      <c r="BJ182" s="180"/>
      <c r="BK182" s="178"/>
      <c r="BL182" s="178"/>
      <c r="BM182" s="178"/>
      <c r="BN182" s="178"/>
      <c r="BO182" s="181"/>
      <c r="BP182" s="166"/>
      <c r="BQ182" s="177"/>
      <c r="BR182" s="178"/>
      <c r="BS182" s="179"/>
      <c r="BU182" s="166"/>
      <c r="BV182" s="166"/>
      <c r="BW182" s="166"/>
      <c r="BX182" s="166"/>
      <c r="BY182" s="166"/>
      <c r="BZ182" s="166"/>
      <c r="CA182" s="166"/>
      <c r="CB182" s="166"/>
      <c r="CC182" s="166"/>
      <c r="CD182" s="177"/>
      <c r="CE182" s="181"/>
      <c r="CF182" s="177"/>
      <c r="CG182" s="179"/>
      <c r="CH182" s="257"/>
      <c r="CI182" s="182"/>
      <c r="CJ182" s="177"/>
      <c r="CK182" s="182"/>
      <c r="CL182" s="177"/>
      <c r="CM182" s="182"/>
      <c r="CN182" s="177"/>
      <c r="CO182" s="182"/>
      <c r="CP182" s="177"/>
      <c r="CQ182" s="178"/>
      <c r="CR182" s="182"/>
      <c r="CS182" s="173"/>
      <c r="CT182" s="65"/>
      <c r="CU182" s="255" t="str">
        <f t="shared" si="2"/>
        <v/>
      </c>
    </row>
    <row r="183" ht="60.0" hidden="1" customHeight="1">
      <c r="A183" s="89"/>
      <c r="B183" s="6"/>
      <c r="C183" s="183"/>
      <c r="D183" s="210"/>
      <c r="E183" s="263"/>
      <c r="F183" s="186"/>
      <c r="G183" s="186"/>
      <c r="H183" s="186"/>
      <c r="I183" s="186"/>
      <c r="J183" s="186"/>
      <c r="K183" s="187"/>
      <c r="L183" s="187"/>
      <c r="M183" s="187"/>
      <c r="N183" s="214"/>
      <c r="O183" s="188">
        <f t="shared" ref="O183:O189" si="34">IF(AND(M183&lt;&gt;0,M183&lt;&gt;"m",M183&lt;&gt;"",RIGHT(K183,3)="Lec"),1,IF(AND(M183&lt;&gt;0,M183&lt;&gt;"m",M183&lt;&gt;"",OR(RIGHT(K183,3)="Lab",RIGHT(K183,3)="Tut")),0.5,IF(AND(M183&lt;&gt;0,M183&lt;&gt;"m",M183&lt;&gt;"",RIGHT(K183,2)="TL"),0.75,0)))</f>
        <v>0</v>
      </c>
      <c r="P183" s="63"/>
      <c r="Q183" s="69"/>
      <c r="R183" s="89"/>
      <c r="S183" s="69"/>
      <c r="T183" s="69"/>
      <c r="U183" s="63"/>
      <c r="V183" s="63"/>
      <c r="W183" s="89"/>
      <c r="X183" s="68"/>
      <c r="Y183" s="69"/>
      <c r="Z183" s="63"/>
      <c r="AA183" s="189"/>
      <c r="AB183" s="190"/>
      <c r="AC183" s="190"/>
      <c r="AD183" s="190"/>
      <c r="AE183" s="190"/>
      <c r="AF183" s="190"/>
      <c r="AG183" s="190"/>
      <c r="AH183" s="190"/>
      <c r="AI183" s="191"/>
      <c r="AJ183" s="192"/>
      <c r="AK183" s="193"/>
      <c r="AL183" s="193"/>
      <c r="AM183" s="193"/>
      <c r="AN183" s="193"/>
      <c r="AO183" s="194"/>
      <c r="AP183" s="103"/>
      <c r="AQ183" s="89"/>
      <c r="AR183" s="89"/>
      <c r="AS183" s="89"/>
      <c r="AT183" s="69"/>
      <c r="AU183" s="192"/>
      <c r="AV183" s="193"/>
      <c r="AW183" s="193"/>
      <c r="AX183" s="194"/>
      <c r="AY183" s="6"/>
      <c r="AZ183" s="63"/>
      <c r="BA183" s="192"/>
      <c r="BB183" s="193"/>
      <c r="BC183" s="193"/>
      <c r="BD183" s="193"/>
      <c r="BE183" s="193"/>
      <c r="BF183" s="193"/>
      <c r="BG183" s="193"/>
      <c r="BH183" s="193"/>
      <c r="BI183" s="194"/>
      <c r="BJ183" s="195"/>
      <c r="BK183" s="193"/>
      <c r="BL183" s="193"/>
      <c r="BM183" s="193"/>
      <c r="BN183" s="193"/>
      <c r="BO183" s="196"/>
      <c r="BP183" s="63"/>
      <c r="BQ183" s="192"/>
      <c r="BR183" s="193"/>
      <c r="BS183" s="194"/>
      <c r="BT183" s="6"/>
      <c r="BU183" s="63"/>
      <c r="BV183" s="63"/>
      <c r="BW183" s="63"/>
      <c r="BX183" s="63"/>
      <c r="BY183" s="63"/>
      <c r="BZ183" s="63"/>
      <c r="CA183" s="63"/>
      <c r="CB183" s="63"/>
      <c r="CC183" s="63"/>
      <c r="CD183" s="192"/>
      <c r="CE183" s="196"/>
      <c r="CF183" s="192"/>
      <c r="CG183" s="194"/>
      <c r="CH183" s="259"/>
      <c r="CI183" s="197"/>
      <c r="CJ183" s="192"/>
      <c r="CK183" s="197"/>
      <c r="CL183" s="192"/>
      <c r="CM183" s="197"/>
      <c r="CN183" s="192"/>
      <c r="CO183" s="197"/>
      <c r="CP183" s="192"/>
      <c r="CQ183" s="193"/>
      <c r="CR183" s="197"/>
      <c r="CS183" s="69"/>
      <c r="CT183" s="89"/>
      <c r="CU183" s="255" t="str">
        <f t="shared" si="2"/>
        <v/>
      </c>
    </row>
    <row r="184" ht="55.5" hidden="1" customHeight="1">
      <c r="A184" s="125">
        <v>17.0</v>
      </c>
      <c r="B184" s="199"/>
      <c r="C184" s="127"/>
      <c r="D184" s="128"/>
      <c r="E184" s="260"/>
      <c r="F184" s="261"/>
      <c r="G184" s="261"/>
      <c r="H184" s="261"/>
      <c r="I184" s="261"/>
      <c r="J184" s="170"/>
      <c r="K184" s="219"/>
      <c r="L184" s="219"/>
      <c r="M184" s="219"/>
      <c r="N184" s="220"/>
      <c r="O184" s="132">
        <f t="shared" si="34"/>
        <v>0</v>
      </c>
      <c r="P184" s="133">
        <f>COUNTIF(K184:K194,"TL")*0.75+COUNTIF(K184:K194,"Lec")*1+COUNTIF(K184:K194,"Lab")*0.5</f>
        <v>0</v>
      </c>
      <c r="Q184" s="134">
        <f>SUM((IF(LEFT(K184,1)="E",O184,0)),(IF(LEFT(K185,1)="E",O185,0)),(IF(LEFT(K186,1)="E",O186,0)),(IF(LEFT(K187,1)="E",O187,0)),(IF(LEFT(K188,1)="E",O188,0)),(IF(LEFT(K189,1)="E",O189,0)),(IF(LEFT(K190,1)="E",O190,0)),(IF(LEFT(K191,1)="E",O191,0)),(IF(LEFT(K192,1)="E",O192,0)),(IF(LEFT(K193,1)="E",O193,0)),(IF(LEFT(K194,1)="E",O194,0)))</f>
        <v>0</v>
      </c>
      <c r="R184" s="135">
        <f>SUM(IF(M190&lt;20,IF(K190="Plec",-1,IF(K190="PTL",-0.75,IF(K190="Plab",-0.5,0))),0),IF(M191&lt;20,IF(K191="Plec",-1,IF(K191="PTL",-0.75,IF(K191="Plab",-0.5,0))),0),IF(M192&lt;20,IF(K192="Plec",-1,IF(K192="PTL",-0.75,IF(K192="Plab",-0.5,0))),0),IF(M193&lt;20,IF(K193="Plec",-1,IF(K193="PTL",-0.75,IF(K193="Plab",-0.5,0))),0))</f>
        <v>0</v>
      </c>
      <c r="S184" s="134">
        <f>SUM(P184:R194)</f>
        <v>0</v>
      </c>
      <c r="T184" s="136">
        <f>SUM(IF(M184="M",IF(OR(K184="lec",K184="plec",K184="slec"),1,IF(OR(K184="lab",K184="plab",K184="slab",K184="tut",K184="ptut",K184="stut"),0.5,IF(OR(K184="TL",K184="pTL",K184="STL"),0.75,0))),0),IF(M185="M",IF(OR(K185="lec",K185="plec",K185="slec"),1,IF(OR(K185="lab",K185="plab",K185="slab",K185="tut",K185="ptut",K185="stut"),0.5,IF(OR(K185="TL",K185="pTL",K185="STL"),0.75,0))),0),IF(M186="M",IF(OR(K186="lec",K186="plec",K186="slec"),1,IF(OR(K186="lab",K186="plab",K186="slab",K186="tut",K186="ptut",K186="stut"),0.5,IF(OR(K186="TL",K186="pTL",K186="STL"),0.75,0))),0),IF(M187="M",IF(OR(K187="lec",K187="plec",K187="slec"),1,IF(OR(K187="lab",K187="plab",K187="slab",K187="tut",K187="ptut",K187="stut"),0.5,IF(OR(K187="TL",K187="pTL",K187="STL"),0.75,0))),0),IF(M188="M",IF(OR(K188="lec",K188="plec",K188="slec"),1,IF(OR(K188="lab",K188="plab",K188="slab",K188="tut",K188="ptut",K188="stut"),0.5,IF(OR(K188="TL",K188="pTL",K188="STL"),0.75,0))),0),IF(M189="M",IF(OR(K189="lec",K189="plec",K189="slec"),1,IF(OR(K189="lab",K189="plab",K189="slab",K189="tut",K189="ptut",K189="stut"),0.5,IF(OR(K189="TL",K189="pTL",K189="STL"),0.75,0))),0),IF(M190="M",IF(OR(K190="lec",K190="plec",K190="slec"),1,IF(OR(K190="lab",K190="plab",K190="slab",K190="tut",K190="ptut",K190="stut"),0.5,IF(OR(K190="TL",K190="pTL",K190="STL"),0.75,0))),0),IF(M191="M",IF(OR(K191="lec",K191="plec",K191="slec"),1,IF(OR(K191="lab",K191="plab",K191="slab",K191="tut",K191="ptut",K191="stut"),0.5,IF(OR(K191="TL",K191="pTL",K191="STL"),0.75,0))),0),IF(M192="M",IF(OR(K192="lec",K192="plec",K192="slec"),1,IF(OR(K192="lab",K192="plab",K192="slab",K192="tut",K192="ptut",K192="stut"),0.5,IF(OR(K192="TL",K192="pTL",K192="STL"),0.75,0))),0),IF(M193="M",IF(OR(K193="lec",K193="plec",K193="slec"),1,IF(OR(K193="lab",K193="plab",K193="slab",K193="tut",K193="ptut",K193="stut"),0.5,IF(OR(K193="TL",K193="pTL",K193="STL"),0.75,0))),0),IF(M194="M",IF(OR(K194="lec",K194="plec",K194="slec"),1,IF(OR(K194="lab",K194="plab",K194="slab",K194="tut",K194="ptut",K194="stut"),0.5,IF(OR(K194="TL",K194="pTL",K194="STL"),0.75,0))),0))</f>
        <v>0</v>
      </c>
      <c r="U184" s="137"/>
      <c r="V184" s="133"/>
      <c r="W184" s="138"/>
      <c r="X184" s="139">
        <f>S184-(T184+U184+V184+W184)</f>
        <v>0</v>
      </c>
      <c r="Y184" s="134" t="str">
        <f>CONCATENATE(SUM(O184:O194),"(",SUM(O184:O194)-X184,")")</f>
        <v>0(0)</v>
      </c>
      <c r="Z184" s="140"/>
      <c r="AA184" s="141"/>
      <c r="AB184" s="142"/>
      <c r="AC184" s="142"/>
      <c r="AD184" s="142"/>
      <c r="AE184" s="142"/>
      <c r="AF184" s="142"/>
      <c r="AG184" s="142"/>
      <c r="AH184" s="142"/>
      <c r="AI184" s="143"/>
      <c r="AJ184" s="144"/>
      <c r="AK184" s="145"/>
      <c r="AL184" s="145"/>
      <c r="AM184" s="145"/>
      <c r="AN184" s="145"/>
      <c r="AO184" s="146"/>
      <c r="AP184" s="147">
        <f>SUM(SUM(O184:O194),SUM(AI184:AI194)/2,AM184)</f>
        <v>0</v>
      </c>
      <c r="AQ184" s="148"/>
      <c r="AR184" s="148">
        <f>AP184*AQ184</f>
        <v>0</v>
      </c>
      <c r="AS184" s="148">
        <f>CT184</f>
        <v>0</v>
      </c>
      <c r="AT184" s="149">
        <f>AR184*0.75+AS184*0.25</f>
        <v>0</v>
      </c>
      <c r="AU184" s="150"/>
      <c r="AV184" s="151"/>
      <c r="AW184" s="151"/>
      <c r="AX184" s="152"/>
      <c r="AY184" s="153"/>
      <c r="AZ184" s="140"/>
      <c r="BA184" s="150"/>
      <c r="BB184" s="151"/>
      <c r="BC184" s="151"/>
      <c r="BD184" s="151"/>
      <c r="BE184" s="151"/>
      <c r="BF184" s="151"/>
      <c r="BG184" s="151"/>
      <c r="BH184" s="151"/>
      <c r="BI184" s="152"/>
      <c r="BJ184" s="154"/>
      <c r="BK184" s="151"/>
      <c r="BL184" s="151"/>
      <c r="BM184" s="151"/>
      <c r="BN184" s="151"/>
      <c r="BO184" s="155"/>
      <c r="BP184" s="140"/>
      <c r="BQ184" s="156"/>
      <c r="BR184" s="157"/>
      <c r="BS184" s="158"/>
      <c r="BT184" s="153"/>
      <c r="BU184" s="140"/>
      <c r="BV184" s="140"/>
      <c r="BW184" s="140"/>
      <c r="BX184" s="140"/>
      <c r="BY184" s="140"/>
      <c r="BZ184" s="140"/>
      <c r="CA184" s="140"/>
      <c r="CB184" s="140"/>
      <c r="CC184" s="140"/>
      <c r="CD184" s="150"/>
      <c r="CE184" s="155"/>
      <c r="CF184" s="150"/>
      <c r="CG184" s="152"/>
      <c r="CH184" s="252"/>
      <c r="CI184" s="160"/>
      <c r="CJ184" s="159"/>
      <c r="CK184" s="160"/>
      <c r="CL184" s="159"/>
      <c r="CM184" s="160"/>
      <c r="CN184" s="159"/>
      <c r="CO184" s="160"/>
      <c r="CP184" s="159"/>
      <c r="CQ184" s="162"/>
      <c r="CR184" s="160"/>
      <c r="CS184" s="253">
        <f>SUM(IF(AU184&lt;0,ABS(AU184),0),IF(AZ184&lt;0,ABS(AZ184),0),ABS(CI184),ABS(CK184),ABS(CM184),ABS(CO184),ABS(CQ184),ABS(CR184))</f>
        <v>0</v>
      </c>
      <c r="CT184" s="254">
        <f>SUM(AU184,AV184,AW184,AX184/400,AY184,AZ184,BG184,BH184*0.5,BI184*0.25,BJ184,BK184,BL184,BM184,BN184,BO184,BP184,BR184/20,BS184/100,BT184/60,BU184,BV184,BW184,BX184/4,SUM(BY184:CC194)/3,CE184,CG184/3,CI184,CK184,CM184,CO184,CQ184,CR184)</f>
        <v>0</v>
      </c>
      <c r="CU184" s="255" t="str">
        <f t="shared" si="2"/>
        <v/>
      </c>
    </row>
    <row r="185" ht="60.0" hidden="1" customHeight="1">
      <c r="A185" s="65"/>
      <c r="C185" s="167"/>
      <c r="D185" s="205"/>
      <c r="E185" s="262"/>
      <c r="F185" s="170"/>
      <c r="G185" s="170"/>
      <c r="H185" s="170"/>
      <c r="I185" s="170"/>
      <c r="J185" s="170"/>
      <c r="K185" s="171"/>
      <c r="L185" s="171"/>
      <c r="M185" s="171"/>
      <c r="N185" s="209"/>
      <c r="O185" s="172">
        <f t="shared" si="34"/>
        <v>0</v>
      </c>
      <c r="P185" s="166"/>
      <c r="Q185" s="173"/>
      <c r="R185" s="65"/>
      <c r="S185" s="173"/>
      <c r="T185" s="173"/>
      <c r="U185" s="166"/>
      <c r="V185" s="166"/>
      <c r="W185" s="65"/>
      <c r="X185" s="66"/>
      <c r="Y185" s="173"/>
      <c r="Z185" s="166"/>
      <c r="AA185" s="174"/>
      <c r="AB185" s="175"/>
      <c r="AC185" s="175"/>
      <c r="AD185" s="175"/>
      <c r="AE185" s="175"/>
      <c r="AF185" s="175"/>
      <c r="AG185" s="175"/>
      <c r="AH185" s="175"/>
      <c r="AI185" s="176"/>
      <c r="AJ185" s="177"/>
      <c r="AK185" s="178"/>
      <c r="AL185" s="178"/>
      <c r="AM185" s="178"/>
      <c r="AN185" s="178"/>
      <c r="AO185" s="179"/>
      <c r="AP185" s="64"/>
      <c r="AQ185" s="65"/>
      <c r="AR185" s="65"/>
      <c r="AS185" s="65"/>
      <c r="AT185" s="173"/>
      <c r="AU185" s="177"/>
      <c r="AV185" s="178"/>
      <c r="AW185" s="178"/>
      <c r="AX185" s="179"/>
      <c r="AZ185" s="166"/>
      <c r="BA185" s="177"/>
      <c r="BB185" s="178"/>
      <c r="BC185" s="178"/>
      <c r="BD185" s="178"/>
      <c r="BE185" s="178"/>
      <c r="BF185" s="178"/>
      <c r="BG185" s="178"/>
      <c r="BH185" s="178"/>
      <c r="BI185" s="179"/>
      <c r="BJ185" s="180"/>
      <c r="BK185" s="178"/>
      <c r="BL185" s="178"/>
      <c r="BM185" s="178"/>
      <c r="BN185" s="178"/>
      <c r="BO185" s="181"/>
      <c r="BP185" s="166"/>
      <c r="BQ185" s="177"/>
      <c r="BR185" s="178"/>
      <c r="BS185" s="179"/>
      <c r="BU185" s="166"/>
      <c r="BV185" s="166"/>
      <c r="BW185" s="166"/>
      <c r="BX185" s="166"/>
      <c r="BY185" s="166"/>
      <c r="BZ185" s="166"/>
      <c r="CA185" s="166"/>
      <c r="CB185" s="166"/>
      <c r="CC185" s="166"/>
      <c r="CD185" s="177"/>
      <c r="CE185" s="181"/>
      <c r="CF185" s="177"/>
      <c r="CG185" s="179"/>
      <c r="CH185" s="257"/>
      <c r="CI185" s="182"/>
      <c r="CJ185" s="177"/>
      <c r="CK185" s="182"/>
      <c r="CL185" s="177"/>
      <c r="CM185" s="182"/>
      <c r="CN185" s="177"/>
      <c r="CO185" s="182"/>
      <c r="CP185" s="177"/>
      <c r="CQ185" s="178"/>
      <c r="CR185" s="182"/>
      <c r="CS185" s="173"/>
      <c r="CT185" s="65"/>
      <c r="CU185" s="255" t="str">
        <f t="shared" si="2"/>
        <v/>
      </c>
    </row>
    <row r="186" ht="60.0" hidden="1" customHeight="1">
      <c r="A186" s="65"/>
      <c r="C186" s="167"/>
      <c r="D186" s="205"/>
      <c r="E186" s="262"/>
      <c r="F186" s="170"/>
      <c r="G186" s="170"/>
      <c r="H186" s="170"/>
      <c r="I186" s="170"/>
      <c r="J186" s="170"/>
      <c r="K186" s="171"/>
      <c r="L186" s="171"/>
      <c r="M186" s="171"/>
      <c r="N186" s="209"/>
      <c r="O186" s="172">
        <f t="shared" si="34"/>
        <v>0</v>
      </c>
      <c r="P186" s="166"/>
      <c r="Q186" s="173"/>
      <c r="R186" s="65"/>
      <c r="S186" s="173"/>
      <c r="T186" s="173"/>
      <c r="U186" s="166"/>
      <c r="V186" s="166"/>
      <c r="W186" s="65"/>
      <c r="X186" s="66"/>
      <c r="Y186" s="173"/>
      <c r="Z186" s="166"/>
      <c r="AA186" s="174"/>
      <c r="AB186" s="175"/>
      <c r="AC186" s="175"/>
      <c r="AD186" s="175"/>
      <c r="AE186" s="175"/>
      <c r="AF186" s="175"/>
      <c r="AG186" s="175"/>
      <c r="AH186" s="175"/>
      <c r="AI186" s="176"/>
      <c r="AJ186" s="177"/>
      <c r="AK186" s="178"/>
      <c r="AL186" s="178"/>
      <c r="AM186" s="178"/>
      <c r="AN186" s="178"/>
      <c r="AO186" s="179"/>
      <c r="AP186" s="64"/>
      <c r="AQ186" s="65"/>
      <c r="AR186" s="65"/>
      <c r="AS186" s="65"/>
      <c r="AT186" s="173"/>
      <c r="AU186" s="177"/>
      <c r="AV186" s="178"/>
      <c r="AW186" s="178"/>
      <c r="AX186" s="179"/>
      <c r="AZ186" s="166"/>
      <c r="BA186" s="177"/>
      <c r="BB186" s="178"/>
      <c r="BC186" s="178"/>
      <c r="BD186" s="178"/>
      <c r="BE186" s="178"/>
      <c r="BF186" s="178"/>
      <c r="BG186" s="178"/>
      <c r="BH186" s="178"/>
      <c r="BI186" s="179"/>
      <c r="BJ186" s="180"/>
      <c r="BK186" s="178"/>
      <c r="BL186" s="178"/>
      <c r="BM186" s="178"/>
      <c r="BN186" s="178"/>
      <c r="BO186" s="181"/>
      <c r="BP186" s="166"/>
      <c r="BQ186" s="177"/>
      <c r="BR186" s="178"/>
      <c r="BS186" s="179"/>
      <c r="BU186" s="166"/>
      <c r="BV186" s="166"/>
      <c r="BW186" s="166"/>
      <c r="BX186" s="166"/>
      <c r="BY186" s="166"/>
      <c r="BZ186" s="166"/>
      <c r="CA186" s="166"/>
      <c r="CB186" s="166"/>
      <c r="CC186" s="166"/>
      <c r="CD186" s="177"/>
      <c r="CE186" s="181"/>
      <c r="CF186" s="177"/>
      <c r="CG186" s="179"/>
      <c r="CH186" s="257"/>
      <c r="CI186" s="182"/>
      <c r="CJ186" s="177"/>
      <c r="CK186" s="182"/>
      <c r="CL186" s="177"/>
      <c r="CM186" s="182"/>
      <c r="CN186" s="177"/>
      <c r="CO186" s="182"/>
      <c r="CP186" s="177"/>
      <c r="CQ186" s="178"/>
      <c r="CR186" s="182"/>
      <c r="CS186" s="173"/>
      <c r="CT186" s="65"/>
      <c r="CU186" s="255" t="str">
        <f t="shared" si="2"/>
        <v/>
      </c>
    </row>
    <row r="187" ht="60.0" hidden="1" customHeight="1">
      <c r="A187" s="65"/>
      <c r="C187" s="167"/>
      <c r="D187" s="205"/>
      <c r="E187" s="262"/>
      <c r="F187" s="170"/>
      <c r="G187" s="170"/>
      <c r="H187" s="170"/>
      <c r="I187" s="170"/>
      <c r="J187" s="170"/>
      <c r="K187" s="171"/>
      <c r="L187" s="171"/>
      <c r="M187" s="171"/>
      <c r="N187" s="209"/>
      <c r="O187" s="172">
        <f t="shared" si="34"/>
        <v>0</v>
      </c>
      <c r="P187" s="166"/>
      <c r="Q187" s="173"/>
      <c r="R187" s="65"/>
      <c r="S187" s="173"/>
      <c r="T187" s="173"/>
      <c r="U187" s="166"/>
      <c r="V187" s="166"/>
      <c r="W187" s="65"/>
      <c r="X187" s="66"/>
      <c r="Y187" s="173"/>
      <c r="Z187" s="166"/>
      <c r="AA187" s="174"/>
      <c r="AB187" s="175"/>
      <c r="AC187" s="175"/>
      <c r="AD187" s="175"/>
      <c r="AE187" s="175"/>
      <c r="AF187" s="175"/>
      <c r="AG187" s="175"/>
      <c r="AH187" s="175"/>
      <c r="AI187" s="176"/>
      <c r="AJ187" s="177"/>
      <c r="AK187" s="178"/>
      <c r="AL187" s="178"/>
      <c r="AM187" s="178"/>
      <c r="AN187" s="178"/>
      <c r="AO187" s="179"/>
      <c r="AP187" s="64"/>
      <c r="AQ187" s="65"/>
      <c r="AR187" s="65"/>
      <c r="AS187" s="65"/>
      <c r="AT187" s="173"/>
      <c r="AU187" s="177"/>
      <c r="AV187" s="178"/>
      <c r="AW187" s="178"/>
      <c r="AX187" s="179"/>
      <c r="AZ187" s="166"/>
      <c r="BA187" s="177"/>
      <c r="BB187" s="178"/>
      <c r="BC187" s="178"/>
      <c r="BD187" s="178"/>
      <c r="BE187" s="178"/>
      <c r="BF187" s="178"/>
      <c r="BG187" s="178"/>
      <c r="BH187" s="178"/>
      <c r="BI187" s="179"/>
      <c r="BJ187" s="180"/>
      <c r="BK187" s="178"/>
      <c r="BL187" s="178"/>
      <c r="BM187" s="178"/>
      <c r="BN187" s="178"/>
      <c r="BO187" s="181"/>
      <c r="BP187" s="166"/>
      <c r="BQ187" s="177"/>
      <c r="BR187" s="178"/>
      <c r="BS187" s="179"/>
      <c r="BU187" s="166"/>
      <c r="BV187" s="166"/>
      <c r="BW187" s="166"/>
      <c r="BX187" s="166"/>
      <c r="BY187" s="166"/>
      <c r="BZ187" s="166"/>
      <c r="CA187" s="166"/>
      <c r="CB187" s="166"/>
      <c r="CC187" s="166"/>
      <c r="CD187" s="177"/>
      <c r="CE187" s="181"/>
      <c r="CF187" s="177"/>
      <c r="CG187" s="179"/>
      <c r="CH187" s="257"/>
      <c r="CI187" s="182"/>
      <c r="CJ187" s="177"/>
      <c r="CK187" s="182"/>
      <c r="CL187" s="177"/>
      <c r="CM187" s="182"/>
      <c r="CN187" s="177"/>
      <c r="CO187" s="182"/>
      <c r="CP187" s="177"/>
      <c r="CQ187" s="178"/>
      <c r="CR187" s="182"/>
      <c r="CS187" s="173"/>
      <c r="CT187" s="65"/>
      <c r="CU187" s="255" t="str">
        <f t="shared" si="2"/>
        <v/>
      </c>
    </row>
    <row r="188" ht="60.0" hidden="1" customHeight="1">
      <c r="A188" s="65"/>
      <c r="C188" s="167"/>
      <c r="D188" s="205"/>
      <c r="E188" s="262"/>
      <c r="F188" s="170"/>
      <c r="G188" s="170"/>
      <c r="H188" s="170"/>
      <c r="I188" s="170"/>
      <c r="J188" s="170"/>
      <c r="K188" s="171"/>
      <c r="L188" s="171"/>
      <c r="M188" s="171"/>
      <c r="N188" s="209"/>
      <c r="O188" s="172">
        <f t="shared" si="34"/>
        <v>0</v>
      </c>
      <c r="P188" s="166"/>
      <c r="Q188" s="173"/>
      <c r="R188" s="65"/>
      <c r="S188" s="173"/>
      <c r="T188" s="173"/>
      <c r="U188" s="166"/>
      <c r="V188" s="166"/>
      <c r="W188" s="65"/>
      <c r="X188" s="66"/>
      <c r="Y188" s="173"/>
      <c r="Z188" s="166"/>
      <c r="AA188" s="174"/>
      <c r="AB188" s="175"/>
      <c r="AC188" s="175"/>
      <c r="AD188" s="175"/>
      <c r="AE188" s="175"/>
      <c r="AF188" s="175"/>
      <c r="AG188" s="175"/>
      <c r="AH188" s="175"/>
      <c r="AI188" s="176"/>
      <c r="AJ188" s="177"/>
      <c r="AK188" s="178"/>
      <c r="AL188" s="178"/>
      <c r="AM188" s="178"/>
      <c r="AN188" s="178"/>
      <c r="AO188" s="179"/>
      <c r="AP188" s="64"/>
      <c r="AQ188" s="65"/>
      <c r="AR188" s="65"/>
      <c r="AS188" s="65"/>
      <c r="AT188" s="173"/>
      <c r="AU188" s="177"/>
      <c r="AV188" s="178"/>
      <c r="AW188" s="178"/>
      <c r="AX188" s="179"/>
      <c r="AZ188" s="166"/>
      <c r="BA188" s="177"/>
      <c r="BB188" s="178"/>
      <c r="BC188" s="178"/>
      <c r="BD188" s="178"/>
      <c r="BE188" s="178"/>
      <c r="BF188" s="178"/>
      <c r="BG188" s="178"/>
      <c r="BH188" s="178"/>
      <c r="BI188" s="179"/>
      <c r="BJ188" s="180"/>
      <c r="BK188" s="178"/>
      <c r="BL188" s="178"/>
      <c r="BM188" s="178"/>
      <c r="BN188" s="178"/>
      <c r="BO188" s="181"/>
      <c r="BP188" s="166"/>
      <c r="BQ188" s="177"/>
      <c r="BR188" s="178"/>
      <c r="BS188" s="179"/>
      <c r="BU188" s="166"/>
      <c r="BV188" s="166"/>
      <c r="BW188" s="166"/>
      <c r="BX188" s="166"/>
      <c r="BY188" s="166"/>
      <c r="BZ188" s="166"/>
      <c r="CA188" s="166"/>
      <c r="CB188" s="166"/>
      <c r="CC188" s="166"/>
      <c r="CD188" s="177"/>
      <c r="CE188" s="181"/>
      <c r="CF188" s="177"/>
      <c r="CG188" s="179"/>
      <c r="CH188" s="257"/>
      <c r="CI188" s="182"/>
      <c r="CJ188" s="177"/>
      <c r="CK188" s="182"/>
      <c r="CL188" s="177"/>
      <c r="CM188" s="182"/>
      <c r="CN188" s="177"/>
      <c r="CO188" s="182"/>
      <c r="CP188" s="177"/>
      <c r="CQ188" s="178"/>
      <c r="CR188" s="182"/>
      <c r="CS188" s="173"/>
      <c r="CT188" s="65"/>
      <c r="CU188" s="255" t="str">
        <f t="shared" si="2"/>
        <v/>
      </c>
    </row>
    <row r="189" ht="60.0" hidden="1" customHeight="1">
      <c r="A189" s="65"/>
      <c r="C189" s="167"/>
      <c r="D189" s="205"/>
      <c r="E189" s="262"/>
      <c r="F189" s="170"/>
      <c r="G189" s="170"/>
      <c r="H189" s="170"/>
      <c r="I189" s="170"/>
      <c r="J189" s="170"/>
      <c r="K189" s="171"/>
      <c r="L189" s="171"/>
      <c r="M189" s="171"/>
      <c r="N189" s="209"/>
      <c r="O189" s="172">
        <f t="shared" si="34"/>
        <v>0</v>
      </c>
      <c r="P189" s="166"/>
      <c r="Q189" s="173"/>
      <c r="R189" s="65"/>
      <c r="S189" s="173"/>
      <c r="T189" s="173"/>
      <c r="U189" s="166"/>
      <c r="V189" s="166"/>
      <c r="W189" s="65"/>
      <c r="X189" s="66"/>
      <c r="Y189" s="173"/>
      <c r="Z189" s="166"/>
      <c r="AA189" s="174"/>
      <c r="AB189" s="175"/>
      <c r="AC189" s="175"/>
      <c r="AD189" s="175"/>
      <c r="AE189" s="175"/>
      <c r="AF189" s="175"/>
      <c r="AG189" s="175"/>
      <c r="AH189" s="175"/>
      <c r="AI189" s="176"/>
      <c r="AJ189" s="177"/>
      <c r="AK189" s="178"/>
      <c r="AL189" s="178"/>
      <c r="AM189" s="178"/>
      <c r="AN189" s="178"/>
      <c r="AO189" s="179"/>
      <c r="AP189" s="64"/>
      <c r="AQ189" s="65"/>
      <c r="AR189" s="65"/>
      <c r="AS189" s="65"/>
      <c r="AT189" s="173"/>
      <c r="AU189" s="177"/>
      <c r="AV189" s="178"/>
      <c r="AW189" s="178"/>
      <c r="AX189" s="179"/>
      <c r="AZ189" s="166"/>
      <c r="BA189" s="177"/>
      <c r="BB189" s="178"/>
      <c r="BC189" s="178"/>
      <c r="BD189" s="178"/>
      <c r="BE189" s="178"/>
      <c r="BF189" s="178"/>
      <c r="BG189" s="178"/>
      <c r="BH189" s="178"/>
      <c r="BI189" s="179"/>
      <c r="BJ189" s="180"/>
      <c r="BK189" s="178"/>
      <c r="BL189" s="178"/>
      <c r="BM189" s="178"/>
      <c r="BN189" s="178"/>
      <c r="BO189" s="181"/>
      <c r="BP189" s="166"/>
      <c r="BQ189" s="177"/>
      <c r="BR189" s="178"/>
      <c r="BS189" s="179"/>
      <c r="BU189" s="166"/>
      <c r="BV189" s="166"/>
      <c r="BW189" s="166"/>
      <c r="BX189" s="166"/>
      <c r="BY189" s="166"/>
      <c r="BZ189" s="166"/>
      <c r="CA189" s="166"/>
      <c r="CB189" s="166"/>
      <c r="CC189" s="166"/>
      <c r="CD189" s="177"/>
      <c r="CE189" s="181"/>
      <c r="CF189" s="177"/>
      <c r="CG189" s="179"/>
      <c r="CH189" s="257"/>
      <c r="CI189" s="182"/>
      <c r="CJ189" s="177"/>
      <c r="CK189" s="182"/>
      <c r="CL189" s="177"/>
      <c r="CM189" s="182"/>
      <c r="CN189" s="177"/>
      <c r="CO189" s="182"/>
      <c r="CP189" s="177"/>
      <c r="CQ189" s="178"/>
      <c r="CR189" s="182"/>
      <c r="CS189" s="173"/>
      <c r="CT189" s="65"/>
      <c r="CU189" s="255" t="str">
        <f t="shared" si="2"/>
        <v/>
      </c>
    </row>
    <row r="190" ht="60.0" hidden="1" customHeight="1">
      <c r="A190" s="65"/>
      <c r="C190" s="167"/>
      <c r="D190" s="205"/>
      <c r="E190" s="262"/>
      <c r="F190" s="170"/>
      <c r="G190" s="170"/>
      <c r="H190" s="170"/>
      <c r="I190" s="170"/>
      <c r="J190" s="170"/>
      <c r="K190" s="171"/>
      <c r="L190" s="171"/>
      <c r="M190" s="171"/>
      <c r="N190" s="209"/>
      <c r="O190" s="172">
        <f t="shared" ref="O190:O193" si="35">IF(AND(M190&gt;=20,M190&lt;&gt;"m",RIGHT(K190,3)="Lec"),1,IF(AND(M190&gt;=20,M190&lt;&gt;"m",OR(RIGHT(K190,3)="Lab",RIGHT(K190,3)="Tut")),0.5,IF(AND(M190&gt;=20,M190&lt;&gt;"m",RIGHT(K190,2)="TL"),0.75,0)))</f>
        <v>0</v>
      </c>
      <c r="P190" s="166"/>
      <c r="Q190" s="173"/>
      <c r="R190" s="65"/>
      <c r="S190" s="173"/>
      <c r="T190" s="173"/>
      <c r="U190" s="166"/>
      <c r="V190" s="166"/>
      <c r="W190" s="65"/>
      <c r="X190" s="66"/>
      <c r="Y190" s="173"/>
      <c r="Z190" s="166"/>
      <c r="AA190" s="174"/>
      <c r="AB190" s="175"/>
      <c r="AC190" s="175"/>
      <c r="AD190" s="175"/>
      <c r="AE190" s="175"/>
      <c r="AF190" s="175"/>
      <c r="AG190" s="175"/>
      <c r="AH190" s="175"/>
      <c r="AI190" s="176"/>
      <c r="AJ190" s="177"/>
      <c r="AK190" s="178"/>
      <c r="AL190" s="178"/>
      <c r="AM190" s="178"/>
      <c r="AN190" s="178"/>
      <c r="AO190" s="179"/>
      <c r="AP190" s="64"/>
      <c r="AQ190" s="65"/>
      <c r="AR190" s="65"/>
      <c r="AS190" s="65"/>
      <c r="AT190" s="173"/>
      <c r="AU190" s="177"/>
      <c r="AV190" s="178"/>
      <c r="AW190" s="178"/>
      <c r="AX190" s="179"/>
      <c r="AZ190" s="166"/>
      <c r="BA190" s="177"/>
      <c r="BB190" s="178"/>
      <c r="BC190" s="178"/>
      <c r="BD190" s="178"/>
      <c r="BE190" s="178"/>
      <c r="BF190" s="178"/>
      <c r="BG190" s="178"/>
      <c r="BH190" s="178"/>
      <c r="BI190" s="179"/>
      <c r="BJ190" s="180"/>
      <c r="BK190" s="178"/>
      <c r="BL190" s="178"/>
      <c r="BM190" s="178"/>
      <c r="BN190" s="178"/>
      <c r="BO190" s="181"/>
      <c r="BP190" s="166"/>
      <c r="BQ190" s="177"/>
      <c r="BR190" s="178"/>
      <c r="BS190" s="179"/>
      <c r="BU190" s="166"/>
      <c r="BV190" s="166"/>
      <c r="BW190" s="166"/>
      <c r="BX190" s="166"/>
      <c r="BY190" s="166"/>
      <c r="BZ190" s="166"/>
      <c r="CA190" s="166"/>
      <c r="CB190" s="166"/>
      <c r="CC190" s="166"/>
      <c r="CD190" s="177"/>
      <c r="CE190" s="181"/>
      <c r="CF190" s="177"/>
      <c r="CG190" s="179"/>
      <c r="CH190" s="257"/>
      <c r="CI190" s="182"/>
      <c r="CJ190" s="177"/>
      <c r="CK190" s="182"/>
      <c r="CL190" s="177"/>
      <c r="CM190" s="182"/>
      <c r="CN190" s="177"/>
      <c r="CO190" s="182"/>
      <c r="CP190" s="177"/>
      <c r="CQ190" s="178"/>
      <c r="CR190" s="182"/>
      <c r="CS190" s="173"/>
      <c r="CT190" s="65"/>
      <c r="CU190" s="255" t="str">
        <f t="shared" si="2"/>
        <v/>
      </c>
    </row>
    <row r="191" ht="60.0" hidden="1" customHeight="1">
      <c r="A191" s="65"/>
      <c r="C191" s="167"/>
      <c r="D191" s="205"/>
      <c r="E191" s="262"/>
      <c r="F191" s="170"/>
      <c r="G191" s="170"/>
      <c r="H191" s="170"/>
      <c r="I191" s="170"/>
      <c r="J191" s="170"/>
      <c r="K191" s="171"/>
      <c r="L191" s="171"/>
      <c r="M191" s="171"/>
      <c r="N191" s="209"/>
      <c r="O191" s="172">
        <f t="shared" si="35"/>
        <v>0</v>
      </c>
      <c r="P191" s="166"/>
      <c r="Q191" s="173"/>
      <c r="R191" s="65"/>
      <c r="S191" s="173"/>
      <c r="T191" s="173"/>
      <c r="U191" s="166"/>
      <c r="V191" s="166"/>
      <c r="W191" s="65"/>
      <c r="X191" s="66"/>
      <c r="Y191" s="173"/>
      <c r="Z191" s="166"/>
      <c r="AA191" s="174"/>
      <c r="AB191" s="175"/>
      <c r="AC191" s="175"/>
      <c r="AD191" s="175"/>
      <c r="AE191" s="175"/>
      <c r="AF191" s="175"/>
      <c r="AG191" s="175"/>
      <c r="AH191" s="175"/>
      <c r="AI191" s="176"/>
      <c r="AJ191" s="177"/>
      <c r="AK191" s="178"/>
      <c r="AL191" s="178"/>
      <c r="AM191" s="178"/>
      <c r="AN191" s="178"/>
      <c r="AO191" s="179"/>
      <c r="AP191" s="64"/>
      <c r="AQ191" s="65"/>
      <c r="AR191" s="65"/>
      <c r="AS191" s="65"/>
      <c r="AT191" s="173"/>
      <c r="AU191" s="177"/>
      <c r="AV191" s="178"/>
      <c r="AW191" s="178"/>
      <c r="AX191" s="179"/>
      <c r="AZ191" s="166"/>
      <c r="BA191" s="177"/>
      <c r="BB191" s="178"/>
      <c r="BC191" s="178"/>
      <c r="BD191" s="178"/>
      <c r="BE191" s="178"/>
      <c r="BF191" s="178"/>
      <c r="BG191" s="178"/>
      <c r="BH191" s="178"/>
      <c r="BI191" s="179"/>
      <c r="BJ191" s="180"/>
      <c r="BK191" s="178"/>
      <c r="BL191" s="178"/>
      <c r="BM191" s="178"/>
      <c r="BN191" s="178"/>
      <c r="BO191" s="181"/>
      <c r="BP191" s="166"/>
      <c r="BQ191" s="177"/>
      <c r="BR191" s="178"/>
      <c r="BS191" s="179"/>
      <c r="BU191" s="166"/>
      <c r="BV191" s="166"/>
      <c r="BW191" s="166"/>
      <c r="BX191" s="166"/>
      <c r="BY191" s="166"/>
      <c r="BZ191" s="166"/>
      <c r="CA191" s="166"/>
      <c r="CB191" s="166"/>
      <c r="CC191" s="166"/>
      <c r="CD191" s="177"/>
      <c r="CE191" s="181"/>
      <c r="CF191" s="177"/>
      <c r="CG191" s="179"/>
      <c r="CH191" s="257"/>
      <c r="CI191" s="182"/>
      <c r="CJ191" s="177"/>
      <c r="CK191" s="182"/>
      <c r="CL191" s="177"/>
      <c r="CM191" s="182"/>
      <c r="CN191" s="177"/>
      <c r="CO191" s="182"/>
      <c r="CP191" s="177"/>
      <c r="CQ191" s="178"/>
      <c r="CR191" s="182"/>
      <c r="CS191" s="173"/>
      <c r="CT191" s="65"/>
      <c r="CU191" s="255" t="str">
        <f t="shared" si="2"/>
        <v/>
      </c>
    </row>
    <row r="192" ht="60.0" hidden="1" customHeight="1">
      <c r="A192" s="65"/>
      <c r="C192" s="167"/>
      <c r="D192" s="205"/>
      <c r="E192" s="262"/>
      <c r="F192" s="170"/>
      <c r="G192" s="170"/>
      <c r="H192" s="170"/>
      <c r="I192" s="170"/>
      <c r="J192" s="170"/>
      <c r="K192" s="171"/>
      <c r="L192" s="171"/>
      <c r="M192" s="171"/>
      <c r="N192" s="209"/>
      <c r="O192" s="172">
        <f t="shared" si="35"/>
        <v>0</v>
      </c>
      <c r="P192" s="166"/>
      <c r="Q192" s="173"/>
      <c r="R192" s="65"/>
      <c r="S192" s="173"/>
      <c r="T192" s="173"/>
      <c r="U192" s="166"/>
      <c r="V192" s="166"/>
      <c r="W192" s="65"/>
      <c r="X192" s="66"/>
      <c r="Y192" s="173"/>
      <c r="Z192" s="166"/>
      <c r="AA192" s="174"/>
      <c r="AB192" s="175"/>
      <c r="AC192" s="175"/>
      <c r="AD192" s="175"/>
      <c r="AE192" s="175"/>
      <c r="AF192" s="175"/>
      <c r="AG192" s="175"/>
      <c r="AH192" s="175"/>
      <c r="AI192" s="176"/>
      <c r="AJ192" s="177"/>
      <c r="AK192" s="178"/>
      <c r="AL192" s="178"/>
      <c r="AM192" s="178"/>
      <c r="AN192" s="178"/>
      <c r="AO192" s="179"/>
      <c r="AP192" s="64"/>
      <c r="AQ192" s="65"/>
      <c r="AR192" s="65"/>
      <c r="AS192" s="65"/>
      <c r="AT192" s="173"/>
      <c r="AU192" s="177"/>
      <c r="AV192" s="178"/>
      <c r="AW192" s="178"/>
      <c r="AX192" s="179"/>
      <c r="AZ192" s="166"/>
      <c r="BA192" s="177"/>
      <c r="BB192" s="178"/>
      <c r="BC192" s="178"/>
      <c r="BD192" s="178"/>
      <c r="BE192" s="178"/>
      <c r="BF192" s="178"/>
      <c r="BG192" s="178"/>
      <c r="BH192" s="178"/>
      <c r="BI192" s="179"/>
      <c r="BJ192" s="180"/>
      <c r="BK192" s="178"/>
      <c r="BL192" s="178"/>
      <c r="BM192" s="178"/>
      <c r="BN192" s="178"/>
      <c r="BO192" s="181"/>
      <c r="BP192" s="166"/>
      <c r="BQ192" s="177"/>
      <c r="BR192" s="178"/>
      <c r="BS192" s="179"/>
      <c r="BU192" s="166"/>
      <c r="BV192" s="166"/>
      <c r="BW192" s="166"/>
      <c r="BX192" s="166"/>
      <c r="BY192" s="166"/>
      <c r="BZ192" s="166"/>
      <c r="CA192" s="166"/>
      <c r="CB192" s="166"/>
      <c r="CC192" s="166"/>
      <c r="CD192" s="177"/>
      <c r="CE192" s="181"/>
      <c r="CF192" s="177"/>
      <c r="CG192" s="179"/>
      <c r="CH192" s="257"/>
      <c r="CI192" s="182"/>
      <c r="CJ192" s="177"/>
      <c r="CK192" s="182"/>
      <c r="CL192" s="177"/>
      <c r="CM192" s="182"/>
      <c r="CN192" s="177"/>
      <c r="CO192" s="182"/>
      <c r="CP192" s="177"/>
      <c r="CQ192" s="178"/>
      <c r="CR192" s="182"/>
      <c r="CS192" s="173"/>
      <c r="CT192" s="65"/>
      <c r="CU192" s="255" t="str">
        <f t="shared" si="2"/>
        <v/>
      </c>
    </row>
    <row r="193" ht="60.0" hidden="1" customHeight="1">
      <c r="A193" s="65"/>
      <c r="C193" s="167"/>
      <c r="D193" s="205"/>
      <c r="E193" s="262"/>
      <c r="F193" s="170"/>
      <c r="G193" s="170"/>
      <c r="H193" s="170"/>
      <c r="I193" s="170"/>
      <c r="J193" s="170"/>
      <c r="K193" s="171"/>
      <c r="L193" s="171"/>
      <c r="M193" s="171"/>
      <c r="N193" s="209"/>
      <c r="O193" s="172">
        <f t="shared" si="35"/>
        <v>0</v>
      </c>
      <c r="P193" s="166"/>
      <c r="Q193" s="173"/>
      <c r="R193" s="65"/>
      <c r="S193" s="173"/>
      <c r="T193" s="173"/>
      <c r="U193" s="166"/>
      <c r="V193" s="166"/>
      <c r="W193" s="65"/>
      <c r="X193" s="66"/>
      <c r="Y193" s="173"/>
      <c r="Z193" s="166"/>
      <c r="AA193" s="174"/>
      <c r="AB193" s="175"/>
      <c r="AC193" s="175"/>
      <c r="AD193" s="175"/>
      <c r="AE193" s="175"/>
      <c r="AF193" s="175"/>
      <c r="AG193" s="175"/>
      <c r="AH193" s="175"/>
      <c r="AI193" s="176"/>
      <c r="AJ193" s="177"/>
      <c r="AK193" s="178"/>
      <c r="AL193" s="178"/>
      <c r="AM193" s="178"/>
      <c r="AN193" s="178"/>
      <c r="AO193" s="179"/>
      <c r="AP193" s="64"/>
      <c r="AQ193" s="65"/>
      <c r="AR193" s="65"/>
      <c r="AS193" s="65"/>
      <c r="AT193" s="173"/>
      <c r="AU193" s="177"/>
      <c r="AV193" s="178"/>
      <c r="AW193" s="178"/>
      <c r="AX193" s="179"/>
      <c r="AZ193" s="166"/>
      <c r="BA193" s="177"/>
      <c r="BB193" s="178"/>
      <c r="BC193" s="178"/>
      <c r="BD193" s="178"/>
      <c r="BE193" s="178"/>
      <c r="BF193" s="178"/>
      <c r="BG193" s="178"/>
      <c r="BH193" s="178"/>
      <c r="BI193" s="179"/>
      <c r="BJ193" s="180"/>
      <c r="BK193" s="178"/>
      <c r="BL193" s="178"/>
      <c r="BM193" s="178"/>
      <c r="BN193" s="178"/>
      <c r="BO193" s="181"/>
      <c r="BP193" s="166"/>
      <c r="BQ193" s="177"/>
      <c r="BR193" s="178"/>
      <c r="BS193" s="179"/>
      <c r="BU193" s="166"/>
      <c r="BV193" s="166"/>
      <c r="BW193" s="166"/>
      <c r="BX193" s="166"/>
      <c r="BY193" s="166"/>
      <c r="BZ193" s="166"/>
      <c r="CA193" s="166"/>
      <c r="CB193" s="166"/>
      <c r="CC193" s="166"/>
      <c r="CD193" s="177"/>
      <c r="CE193" s="181"/>
      <c r="CF193" s="177"/>
      <c r="CG193" s="179"/>
      <c r="CH193" s="257"/>
      <c r="CI193" s="182"/>
      <c r="CJ193" s="177"/>
      <c r="CK193" s="182"/>
      <c r="CL193" s="177"/>
      <c r="CM193" s="182"/>
      <c r="CN193" s="177"/>
      <c r="CO193" s="182"/>
      <c r="CP193" s="177"/>
      <c r="CQ193" s="178"/>
      <c r="CR193" s="182"/>
      <c r="CS193" s="173"/>
      <c r="CT193" s="65"/>
      <c r="CU193" s="255" t="str">
        <f t="shared" si="2"/>
        <v/>
      </c>
    </row>
    <row r="194" ht="60.0" hidden="1" customHeight="1">
      <c r="A194" s="89"/>
      <c r="B194" s="6"/>
      <c r="C194" s="183"/>
      <c r="D194" s="210"/>
      <c r="E194" s="263"/>
      <c r="F194" s="186"/>
      <c r="G194" s="186"/>
      <c r="H194" s="186"/>
      <c r="I194" s="186"/>
      <c r="J194" s="186"/>
      <c r="K194" s="187"/>
      <c r="L194" s="187"/>
      <c r="M194" s="187"/>
      <c r="N194" s="214"/>
      <c r="O194" s="188">
        <f t="shared" ref="O194:O200" si="36">IF(AND(M194&lt;&gt;0,M194&lt;&gt;"m",M194&lt;&gt;"",RIGHT(K194,3)="Lec"),1,IF(AND(M194&lt;&gt;0,M194&lt;&gt;"m",M194&lt;&gt;"",OR(RIGHT(K194,3)="Lab",RIGHT(K194,3)="Tut")),0.5,IF(AND(M194&lt;&gt;0,M194&lt;&gt;"m",M194&lt;&gt;"",RIGHT(K194,2)="TL"),0.75,0)))</f>
        <v>0</v>
      </c>
      <c r="P194" s="63"/>
      <c r="Q194" s="69"/>
      <c r="R194" s="89"/>
      <c r="S194" s="69"/>
      <c r="T194" s="69"/>
      <c r="U194" s="63"/>
      <c r="V194" s="63"/>
      <c r="W194" s="89"/>
      <c r="X194" s="68"/>
      <c r="Y194" s="69"/>
      <c r="Z194" s="63"/>
      <c r="AA194" s="189"/>
      <c r="AB194" s="190"/>
      <c r="AC194" s="190"/>
      <c r="AD194" s="190"/>
      <c r="AE194" s="190"/>
      <c r="AF194" s="190"/>
      <c r="AG194" s="190"/>
      <c r="AH194" s="190"/>
      <c r="AI194" s="191"/>
      <c r="AJ194" s="192"/>
      <c r="AK194" s="193"/>
      <c r="AL194" s="193"/>
      <c r="AM194" s="193"/>
      <c r="AN194" s="193"/>
      <c r="AO194" s="194"/>
      <c r="AP194" s="103"/>
      <c r="AQ194" s="89"/>
      <c r="AR194" s="89"/>
      <c r="AS194" s="89"/>
      <c r="AT194" s="69"/>
      <c r="AU194" s="192"/>
      <c r="AV194" s="193"/>
      <c r="AW194" s="193"/>
      <c r="AX194" s="194"/>
      <c r="AY194" s="6"/>
      <c r="AZ194" s="63"/>
      <c r="BA194" s="192"/>
      <c r="BB194" s="193"/>
      <c r="BC194" s="193"/>
      <c r="BD194" s="193"/>
      <c r="BE194" s="193"/>
      <c r="BF194" s="193"/>
      <c r="BG194" s="193"/>
      <c r="BH194" s="193"/>
      <c r="BI194" s="194"/>
      <c r="BJ194" s="195"/>
      <c r="BK194" s="193"/>
      <c r="BL194" s="193"/>
      <c r="BM194" s="193"/>
      <c r="BN194" s="193"/>
      <c r="BO194" s="196"/>
      <c r="BP194" s="63"/>
      <c r="BQ194" s="192"/>
      <c r="BR194" s="193"/>
      <c r="BS194" s="194"/>
      <c r="BT194" s="6"/>
      <c r="BU194" s="63"/>
      <c r="BV194" s="63"/>
      <c r="BW194" s="63"/>
      <c r="BX194" s="63"/>
      <c r="BY194" s="63"/>
      <c r="BZ194" s="63"/>
      <c r="CA194" s="63"/>
      <c r="CB194" s="63"/>
      <c r="CC194" s="63"/>
      <c r="CD194" s="192"/>
      <c r="CE194" s="196"/>
      <c r="CF194" s="192"/>
      <c r="CG194" s="194"/>
      <c r="CH194" s="259"/>
      <c r="CI194" s="197"/>
      <c r="CJ194" s="192"/>
      <c r="CK194" s="197"/>
      <c r="CL194" s="192"/>
      <c r="CM194" s="197"/>
      <c r="CN194" s="192"/>
      <c r="CO194" s="197"/>
      <c r="CP194" s="192"/>
      <c r="CQ194" s="193"/>
      <c r="CR194" s="197"/>
      <c r="CS194" s="69"/>
      <c r="CT194" s="89"/>
      <c r="CU194" s="255" t="str">
        <f t="shared" si="2"/>
        <v/>
      </c>
    </row>
    <row r="195" ht="55.5" hidden="1" customHeight="1">
      <c r="A195" s="125">
        <v>18.0</v>
      </c>
      <c r="B195" s="199"/>
      <c r="C195" s="127"/>
      <c r="D195" s="128"/>
      <c r="E195" s="260"/>
      <c r="F195" s="261"/>
      <c r="G195" s="261"/>
      <c r="H195" s="261"/>
      <c r="I195" s="261"/>
      <c r="J195" s="170"/>
      <c r="K195" s="219"/>
      <c r="L195" s="219"/>
      <c r="M195" s="219"/>
      <c r="N195" s="220"/>
      <c r="O195" s="132">
        <f t="shared" si="36"/>
        <v>0</v>
      </c>
      <c r="P195" s="133">
        <f>COUNTIF(K195:K205,"TL")*0.75+COUNTIF(K195:K205,"Lec")*1+COUNTIF(K195:K205,"Lab")*0.5</f>
        <v>0</v>
      </c>
      <c r="Q195" s="134">
        <f>SUM((IF(LEFT(K195,1)="E",O195,0)),(IF(LEFT(K196,1)="E",O196,0)),(IF(LEFT(K197,1)="E",O197,0)),(IF(LEFT(K198,1)="E",O198,0)),(IF(LEFT(K199,1)="E",O199,0)),(IF(LEFT(K200,1)="E",O200,0)),(IF(LEFT(K201,1)="E",O201,0)),(IF(LEFT(K202,1)="E",O202,0)),(IF(LEFT(K203,1)="E",O203,0)),(IF(LEFT(K204,1)="E",O204,0)),(IF(LEFT(K205,1)="E",O205,0)))</f>
        <v>0</v>
      </c>
      <c r="R195" s="135">
        <f>SUM(IF(M201&lt;20,IF(K201="Plec",-1,IF(K201="PTL",-0.75,IF(K201="Plab",-0.5,0))),0),IF(M202&lt;20,IF(K202="Plec",-1,IF(K202="PTL",-0.75,IF(K202="Plab",-0.5,0))),0),IF(M203&lt;20,IF(K203="Plec",-1,IF(K203="PTL",-0.75,IF(K203="Plab",-0.5,0))),0),IF(M204&lt;20,IF(K204="Plec",-1,IF(K204="PTL",-0.75,IF(K204="Plab",-0.5,0))),0))</f>
        <v>0</v>
      </c>
      <c r="S195" s="134">
        <f>SUM(P195:R205)</f>
        <v>0</v>
      </c>
      <c r="T195" s="136">
        <f>SUM(IF(M195="M",IF(OR(K195="lec",K195="plec",K195="slec"),1,IF(OR(K195="lab",K195="plab",K195="slab",K195="tut",K195="ptut",K195="stut"),0.5,IF(OR(K195="TL",K195="pTL",K195="STL"),0.75,0))),0),IF(M196="M",IF(OR(K196="lec",K196="plec",K196="slec"),1,IF(OR(K196="lab",K196="plab",K196="slab",K196="tut",K196="ptut",K196="stut"),0.5,IF(OR(K196="TL",K196="pTL",K196="STL"),0.75,0))),0),IF(M197="M",IF(OR(K197="lec",K197="plec",K197="slec"),1,IF(OR(K197="lab",K197="plab",K197="slab",K197="tut",K197="ptut",K197="stut"),0.5,IF(OR(K197="TL",K197="pTL",K197="STL"),0.75,0))),0),IF(M198="M",IF(OR(K198="lec",K198="plec",K198="slec"),1,IF(OR(K198="lab",K198="plab",K198="slab",K198="tut",K198="ptut",K198="stut"),0.5,IF(OR(K198="TL",K198="pTL",K198="STL"),0.75,0))),0),IF(M199="M",IF(OR(K199="lec",K199="plec",K199="slec"),1,IF(OR(K199="lab",K199="plab",K199="slab",K199="tut",K199="ptut",K199="stut"),0.5,IF(OR(K199="TL",K199="pTL",K199="STL"),0.75,0))),0),IF(M200="M",IF(OR(K200="lec",K200="plec",K200="slec"),1,IF(OR(K200="lab",K200="plab",K200="slab",K200="tut",K200="ptut",K200="stut"),0.5,IF(OR(K200="TL",K200="pTL",K200="STL"),0.75,0))),0),IF(M201="M",IF(OR(K201="lec",K201="plec",K201="slec"),1,IF(OR(K201="lab",K201="plab",K201="slab",K201="tut",K201="ptut",K201="stut"),0.5,IF(OR(K201="TL",K201="pTL",K201="STL"),0.75,0))),0),IF(M202="M",IF(OR(K202="lec",K202="plec",K202="slec"),1,IF(OR(K202="lab",K202="plab",K202="slab",K202="tut",K202="ptut",K202="stut"),0.5,IF(OR(K202="TL",K202="pTL",K202="STL"),0.75,0))),0),IF(M203="M",IF(OR(K203="lec",K203="plec",K203="slec"),1,IF(OR(K203="lab",K203="plab",K203="slab",K203="tut",K203="ptut",K203="stut"),0.5,IF(OR(K203="TL",K203="pTL",K203="STL"),0.75,0))),0),IF(M204="M",IF(OR(K204="lec",K204="plec",K204="slec"),1,IF(OR(K204="lab",K204="plab",K204="slab",K204="tut",K204="ptut",K204="stut"),0.5,IF(OR(K204="TL",K204="pTL",K204="STL"),0.75,0))),0),IF(M205="M",IF(OR(K205="lec",K205="plec",K205="slec"),1,IF(OR(K205="lab",K205="plab",K205="slab",K205="tut",K205="ptut",K205="stut"),0.5,IF(OR(K205="TL",K205="pTL",K205="STL"),0.75,0))),0))</f>
        <v>0</v>
      </c>
      <c r="U195" s="137"/>
      <c r="V195" s="133"/>
      <c r="W195" s="138"/>
      <c r="X195" s="139">
        <f>S195-(T195+U195+V195+W195)</f>
        <v>0</v>
      </c>
      <c r="Y195" s="134" t="str">
        <f>CONCATENATE(SUM(O195:O205),"(",SUM(O195:O205)-X195,")")</f>
        <v>0(0)</v>
      </c>
      <c r="Z195" s="140"/>
      <c r="AA195" s="141"/>
      <c r="AB195" s="142"/>
      <c r="AC195" s="142"/>
      <c r="AD195" s="142"/>
      <c r="AE195" s="142"/>
      <c r="AF195" s="142"/>
      <c r="AG195" s="142"/>
      <c r="AH195" s="142"/>
      <c r="AI195" s="143"/>
      <c r="AJ195" s="144"/>
      <c r="AK195" s="145"/>
      <c r="AL195" s="145"/>
      <c r="AM195" s="145"/>
      <c r="AN195" s="145"/>
      <c r="AO195" s="146"/>
      <c r="AP195" s="147">
        <f>SUM(SUM(O195:O205),SUM(AI195:AI205)/2,AM195)</f>
        <v>0</v>
      </c>
      <c r="AQ195" s="148"/>
      <c r="AR195" s="148">
        <f>AP195*AQ195</f>
        <v>0</v>
      </c>
      <c r="AS195" s="148">
        <f>CT195</f>
        <v>0</v>
      </c>
      <c r="AT195" s="149">
        <f>AR195*0.75+AS195*0.25</f>
        <v>0</v>
      </c>
      <c r="AU195" s="150"/>
      <c r="AV195" s="151"/>
      <c r="AW195" s="151"/>
      <c r="AX195" s="152"/>
      <c r="AY195" s="153"/>
      <c r="AZ195" s="140"/>
      <c r="BA195" s="150"/>
      <c r="BB195" s="151"/>
      <c r="BC195" s="151"/>
      <c r="BD195" s="151"/>
      <c r="BE195" s="151"/>
      <c r="BF195" s="151"/>
      <c r="BG195" s="151"/>
      <c r="BH195" s="151"/>
      <c r="BI195" s="152"/>
      <c r="BJ195" s="154"/>
      <c r="BK195" s="151"/>
      <c r="BL195" s="151"/>
      <c r="BM195" s="151"/>
      <c r="BN195" s="151"/>
      <c r="BO195" s="155"/>
      <c r="BP195" s="140"/>
      <c r="BQ195" s="156"/>
      <c r="BR195" s="157"/>
      <c r="BS195" s="158"/>
      <c r="BT195" s="153"/>
      <c r="BU195" s="140"/>
      <c r="BV195" s="140"/>
      <c r="BW195" s="140"/>
      <c r="BX195" s="140"/>
      <c r="BY195" s="140"/>
      <c r="BZ195" s="140"/>
      <c r="CA195" s="140"/>
      <c r="CB195" s="140"/>
      <c r="CC195" s="140"/>
      <c r="CD195" s="150"/>
      <c r="CE195" s="155"/>
      <c r="CF195" s="150"/>
      <c r="CG195" s="152"/>
      <c r="CH195" s="252"/>
      <c r="CI195" s="160"/>
      <c r="CJ195" s="159"/>
      <c r="CK195" s="160"/>
      <c r="CL195" s="159"/>
      <c r="CM195" s="160"/>
      <c r="CN195" s="159"/>
      <c r="CO195" s="160"/>
      <c r="CP195" s="159"/>
      <c r="CQ195" s="162"/>
      <c r="CR195" s="160"/>
      <c r="CS195" s="253">
        <f>SUM(IF(AU195&lt;0,ABS(AU195),0),IF(AZ195&lt;0,ABS(AZ195),0),ABS(CI195),ABS(CK195),ABS(CM195),ABS(CO195),ABS(CQ195),ABS(CR195))</f>
        <v>0</v>
      </c>
      <c r="CT195" s="254">
        <f>SUM(AU195,AV195,AW195,AX195/400,AY195,AZ195,BG195,BH195*0.5,BI195*0.25,BJ195,BK195,BL195,BM195,BN195,BO195,BP195,BR195/20,BS195/100,BT195/60,BU195,BV195,BW195,BX195/4,SUM(BY195:CC205)/3,CE195,CG195/3,CI195,CK195,CM195,CO195,CQ195,CR195)</f>
        <v>0</v>
      </c>
      <c r="CU195" s="255" t="str">
        <f t="shared" si="2"/>
        <v/>
      </c>
    </row>
    <row r="196" ht="60.0" hidden="1" customHeight="1">
      <c r="A196" s="65"/>
      <c r="C196" s="167"/>
      <c r="D196" s="205"/>
      <c r="E196" s="262"/>
      <c r="F196" s="170"/>
      <c r="G196" s="170"/>
      <c r="H196" s="170"/>
      <c r="I196" s="170"/>
      <c r="J196" s="170"/>
      <c r="K196" s="171"/>
      <c r="L196" s="171"/>
      <c r="M196" s="171"/>
      <c r="N196" s="209"/>
      <c r="O196" s="172">
        <f t="shared" si="36"/>
        <v>0</v>
      </c>
      <c r="P196" s="166"/>
      <c r="Q196" s="173"/>
      <c r="R196" s="65"/>
      <c r="S196" s="173"/>
      <c r="T196" s="173"/>
      <c r="U196" s="166"/>
      <c r="V196" s="166"/>
      <c r="W196" s="65"/>
      <c r="X196" s="66"/>
      <c r="Y196" s="173"/>
      <c r="Z196" s="166"/>
      <c r="AA196" s="174"/>
      <c r="AB196" s="175"/>
      <c r="AC196" s="175"/>
      <c r="AD196" s="175"/>
      <c r="AE196" s="175"/>
      <c r="AF196" s="175"/>
      <c r="AG196" s="175"/>
      <c r="AH196" s="175"/>
      <c r="AI196" s="176"/>
      <c r="AJ196" s="177"/>
      <c r="AK196" s="178"/>
      <c r="AL196" s="178"/>
      <c r="AM196" s="178"/>
      <c r="AN196" s="178"/>
      <c r="AO196" s="179"/>
      <c r="AP196" s="64"/>
      <c r="AQ196" s="65"/>
      <c r="AR196" s="65"/>
      <c r="AS196" s="65"/>
      <c r="AT196" s="173"/>
      <c r="AU196" s="177"/>
      <c r="AV196" s="178"/>
      <c r="AW196" s="178"/>
      <c r="AX196" s="179"/>
      <c r="AZ196" s="166"/>
      <c r="BA196" s="177"/>
      <c r="BB196" s="178"/>
      <c r="BC196" s="178"/>
      <c r="BD196" s="178"/>
      <c r="BE196" s="178"/>
      <c r="BF196" s="178"/>
      <c r="BG196" s="178"/>
      <c r="BH196" s="178"/>
      <c r="BI196" s="179"/>
      <c r="BJ196" s="180"/>
      <c r="BK196" s="178"/>
      <c r="BL196" s="178"/>
      <c r="BM196" s="178"/>
      <c r="BN196" s="178"/>
      <c r="BO196" s="181"/>
      <c r="BP196" s="166"/>
      <c r="BQ196" s="177"/>
      <c r="BR196" s="178"/>
      <c r="BS196" s="179"/>
      <c r="BU196" s="166"/>
      <c r="BV196" s="166"/>
      <c r="BW196" s="166"/>
      <c r="BX196" s="166"/>
      <c r="BY196" s="166"/>
      <c r="BZ196" s="166"/>
      <c r="CA196" s="166"/>
      <c r="CB196" s="166"/>
      <c r="CC196" s="166"/>
      <c r="CD196" s="177"/>
      <c r="CE196" s="181"/>
      <c r="CF196" s="177"/>
      <c r="CG196" s="179"/>
      <c r="CH196" s="257"/>
      <c r="CI196" s="182"/>
      <c r="CJ196" s="177"/>
      <c r="CK196" s="182"/>
      <c r="CL196" s="177"/>
      <c r="CM196" s="182"/>
      <c r="CN196" s="177"/>
      <c r="CO196" s="182"/>
      <c r="CP196" s="177"/>
      <c r="CQ196" s="178"/>
      <c r="CR196" s="182"/>
      <c r="CS196" s="173"/>
      <c r="CT196" s="65"/>
      <c r="CU196" s="255" t="str">
        <f t="shared" si="2"/>
        <v/>
      </c>
    </row>
    <row r="197" ht="60.0" hidden="1" customHeight="1">
      <c r="A197" s="65"/>
      <c r="C197" s="167"/>
      <c r="D197" s="205"/>
      <c r="E197" s="262"/>
      <c r="F197" s="170"/>
      <c r="G197" s="170"/>
      <c r="H197" s="170"/>
      <c r="I197" s="170"/>
      <c r="J197" s="170"/>
      <c r="K197" s="171"/>
      <c r="L197" s="171"/>
      <c r="M197" s="171"/>
      <c r="N197" s="209"/>
      <c r="O197" s="172">
        <f t="shared" si="36"/>
        <v>0</v>
      </c>
      <c r="P197" s="166"/>
      <c r="Q197" s="173"/>
      <c r="R197" s="65"/>
      <c r="S197" s="173"/>
      <c r="T197" s="173"/>
      <c r="U197" s="166"/>
      <c r="V197" s="166"/>
      <c r="W197" s="65"/>
      <c r="X197" s="66"/>
      <c r="Y197" s="173"/>
      <c r="Z197" s="166"/>
      <c r="AA197" s="174"/>
      <c r="AB197" s="175"/>
      <c r="AC197" s="175"/>
      <c r="AD197" s="175"/>
      <c r="AE197" s="175"/>
      <c r="AF197" s="175"/>
      <c r="AG197" s="175"/>
      <c r="AH197" s="175"/>
      <c r="AI197" s="176"/>
      <c r="AJ197" s="177"/>
      <c r="AK197" s="178"/>
      <c r="AL197" s="178"/>
      <c r="AM197" s="178"/>
      <c r="AN197" s="178"/>
      <c r="AO197" s="179"/>
      <c r="AP197" s="64"/>
      <c r="AQ197" s="65"/>
      <c r="AR197" s="65"/>
      <c r="AS197" s="65"/>
      <c r="AT197" s="173"/>
      <c r="AU197" s="177"/>
      <c r="AV197" s="178"/>
      <c r="AW197" s="178"/>
      <c r="AX197" s="179"/>
      <c r="AZ197" s="166"/>
      <c r="BA197" s="177"/>
      <c r="BB197" s="178"/>
      <c r="BC197" s="178"/>
      <c r="BD197" s="178"/>
      <c r="BE197" s="178"/>
      <c r="BF197" s="178"/>
      <c r="BG197" s="178"/>
      <c r="BH197" s="178"/>
      <c r="BI197" s="179"/>
      <c r="BJ197" s="180"/>
      <c r="BK197" s="178"/>
      <c r="BL197" s="178"/>
      <c r="BM197" s="178"/>
      <c r="BN197" s="178"/>
      <c r="BO197" s="181"/>
      <c r="BP197" s="166"/>
      <c r="BQ197" s="177"/>
      <c r="BR197" s="178"/>
      <c r="BS197" s="179"/>
      <c r="BU197" s="166"/>
      <c r="BV197" s="166"/>
      <c r="BW197" s="166"/>
      <c r="BX197" s="166"/>
      <c r="BY197" s="166"/>
      <c r="BZ197" s="166"/>
      <c r="CA197" s="166"/>
      <c r="CB197" s="166"/>
      <c r="CC197" s="166"/>
      <c r="CD197" s="177"/>
      <c r="CE197" s="181"/>
      <c r="CF197" s="177"/>
      <c r="CG197" s="179"/>
      <c r="CH197" s="257"/>
      <c r="CI197" s="182"/>
      <c r="CJ197" s="177"/>
      <c r="CK197" s="182"/>
      <c r="CL197" s="177"/>
      <c r="CM197" s="182"/>
      <c r="CN197" s="177"/>
      <c r="CO197" s="182"/>
      <c r="CP197" s="177"/>
      <c r="CQ197" s="178"/>
      <c r="CR197" s="182"/>
      <c r="CS197" s="173"/>
      <c r="CT197" s="65"/>
      <c r="CU197" s="255" t="str">
        <f t="shared" si="2"/>
        <v/>
      </c>
    </row>
    <row r="198" ht="60.0" hidden="1" customHeight="1">
      <c r="A198" s="65"/>
      <c r="C198" s="167"/>
      <c r="D198" s="205"/>
      <c r="E198" s="262"/>
      <c r="F198" s="170"/>
      <c r="G198" s="170"/>
      <c r="H198" s="170"/>
      <c r="I198" s="170"/>
      <c r="J198" s="170"/>
      <c r="K198" s="171"/>
      <c r="L198" s="171"/>
      <c r="M198" s="171"/>
      <c r="N198" s="209"/>
      <c r="O198" s="172">
        <f t="shared" si="36"/>
        <v>0</v>
      </c>
      <c r="P198" s="166"/>
      <c r="Q198" s="173"/>
      <c r="R198" s="65"/>
      <c r="S198" s="173"/>
      <c r="T198" s="173"/>
      <c r="U198" s="166"/>
      <c r="V198" s="166"/>
      <c r="W198" s="65"/>
      <c r="X198" s="66"/>
      <c r="Y198" s="173"/>
      <c r="Z198" s="166"/>
      <c r="AA198" s="174"/>
      <c r="AB198" s="175"/>
      <c r="AC198" s="175"/>
      <c r="AD198" s="175"/>
      <c r="AE198" s="175"/>
      <c r="AF198" s="175"/>
      <c r="AG198" s="175"/>
      <c r="AH198" s="175"/>
      <c r="AI198" s="176"/>
      <c r="AJ198" s="177"/>
      <c r="AK198" s="178"/>
      <c r="AL198" s="178"/>
      <c r="AM198" s="178"/>
      <c r="AN198" s="178"/>
      <c r="AO198" s="179"/>
      <c r="AP198" s="64"/>
      <c r="AQ198" s="65"/>
      <c r="AR198" s="65"/>
      <c r="AS198" s="65"/>
      <c r="AT198" s="173"/>
      <c r="AU198" s="177"/>
      <c r="AV198" s="178"/>
      <c r="AW198" s="178"/>
      <c r="AX198" s="179"/>
      <c r="AZ198" s="166"/>
      <c r="BA198" s="177"/>
      <c r="BB198" s="178"/>
      <c r="BC198" s="178"/>
      <c r="BD198" s="178"/>
      <c r="BE198" s="178"/>
      <c r="BF198" s="178"/>
      <c r="BG198" s="178"/>
      <c r="BH198" s="178"/>
      <c r="BI198" s="179"/>
      <c r="BJ198" s="180"/>
      <c r="BK198" s="178"/>
      <c r="BL198" s="178"/>
      <c r="BM198" s="178"/>
      <c r="BN198" s="178"/>
      <c r="BO198" s="181"/>
      <c r="BP198" s="166"/>
      <c r="BQ198" s="177"/>
      <c r="BR198" s="178"/>
      <c r="BS198" s="179"/>
      <c r="BU198" s="166"/>
      <c r="BV198" s="166"/>
      <c r="BW198" s="166"/>
      <c r="BX198" s="166"/>
      <c r="BY198" s="166"/>
      <c r="BZ198" s="166"/>
      <c r="CA198" s="166"/>
      <c r="CB198" s="166"/>
      <c r="CC198" s="166"/>
      <c r="CD198" s="177"/>
      <c r="CE198" s="181"/>
      <c r="CF198" s="177"/>
      <c r="CG198" s="179"/>
      <c r="CH198" s="257"/>
      <c r="CI198" s="182"/>
      <c r="CJ198" s="177"/>
      <c r="CK198" s="182"/>
      <c r="CL198" s="177"/>
      <c r="CM198" s="182"/>
      <c r="CN198" s="177"/>
      <c r="CO198" s="182"/>
      <c r="CP198" s="177"/>
      <c r="CQ198" s="178"/>
      <c r="CR198" s="182"/>
      <c r="CS198" s="173"/>
      <c r="CT198" s="65"/>
      <c r="CU198" s="255" t="str">
        <f t="shared" si="2"/>
        <v/>
      </c>
    </row>
    <row r="199" ht="60.0" hidden="1" customHeight="1">
      <c r="A199" s="65"/>
      <c r="C199" s="167"/>
      <c r="D199" s="205"/>
      <c r="E199" s="262"/>
      <c r="F199" s="170"/>
      <c r="G199" s="170"/>
      <c r="H199" s="170"/>
      <c r="I199" s="170"/>
      <c r="J199" s="170"/>
      <c r="K199" s="171"/>
      <c r="L199" s="171"/>
      <c r="M199" s="171"/>
      <c r="N199" s="209"/>
      <c r="O199" s="172">
        <f t="shared" si="36"/>
        <v>0</v>
      </c>
      <c r="P199" s="166"/>
      <c r="Q199" s="173"/>
      <c r="R199" s="65"/>
      <c r="S199" s="173"/>
      <c r="T199" s="173"/>
      <c r="U199" s="166"/>
      <c r="V199" s="166"/>
      <c r="W199" s="65"/>
      <c r="X199" s="66"/>
      <c r="Y199" s="173"/>
      <c r="Z199" s="166"/>
      <c r="AA199" s="174"/>
      <c r="AB199" s="175"/>
      <c r="AC199" s="175"/>
      <c r="AD199" s="175"/>
      <c r="AE199" s="175"/>
      <c r="AF199" s="175"/>
      <c r="AG199" s="175"/>
      <c r="AH199" s="175"/>
      <c r="AI199" s="176"/>
      <c r="AJ199" s="177"/>
      <c r="AK199" s="178"/>
      <c r="AL199" s="178"/>
      <c r="AM199" s="178"/>
      <c r="AN199" s="178"/>
      <c r="AO199" s="179"/>
      <c r="AP199" s="64"/>
      <c r="AQ199" s="65"/>
      <c r="AR199" s="65"/>
      <c r="AS199" s="65"/>
      <c r="AT199" s="173"/>
      <c r="AU199" s="177"/>
      <c r="AV199" s="178"/>
      <c r="AW199" s="178"/>
      <c r="AX199" s="179"/>
      <c r="AZ199" s="166"/>
      <c r="BA199" s="177"/>
      <c r="BB199" s="178"/>
      <c r="BC199" s="178"/>
      <c r="BD199" s="178"/>
      <c r="BE199" s="178"/>
      <c r="BF199" s="178"/>
      <c r="BG199" s="178"/>
      <c r="BH199" s="178"/>
      <c r="BI199" s="179"/>
      <c r="BJ199" s="180"/>
      <c r="BK199" s="178"/>
      <c r="BL199" s="178"/>
      <c r="BM199" s="178"/>
      <c r="BN199" s="178"/>
      <c r="BO199" s="181"/>
      <c r="BP199" s="166"/>
      <c r="BQ199" s="177"/>
      <c r="BR199" s="178"/>
      <c r="BS199" s="179"/>
      <c r="BU199" s="166"/>
      <c r="BV199" s="166"/>
      <c r="BW199" s="166"/>
      <c r="BX199" s="166"/>
      <c r="BY199" s="166"/>
      <c r="BZ199" s="166"/>
      <c r="CA199" s="166"/>
      <c r="CB199" s="166"/>
      <c r="CC199" s="166"/>
      <c r="CD199" s="177"/>
      <c r="CE199" s="181"/>
      <c r="CF199" s="177"/>
      <c r="CG199" s="179"/>
      <c r="CH199" s="257"/>
      <c r="CI199" s="182"/>
      <c r="CJ199" s="177"/>
      <c r="CK199" s="182"/>
      <c r="CL199" s="177"/>
      <c r="CM199" s="182"/>
      <c r="CN199" s="177"/>
      <c r="CO199" s="182"/>
      <c r="CP199" s="177"/>
      <c r="CQ199" s="178"/>
      <c r="CR199" s="182"/>
      <c r="CS199" s="173"/>
      <c r="CT199" s="65"/>
      <c r="CU199" s="255" t="str">
        <f t="shared" si="2"/>
        <v/>
      </c>
    </row>
    <row r="200" ht="60.0" hidden="1" customHeight="1">
      <c r="A200" s="65"/>
      <c r="C200" s="167"/>
      <c r="D200" s="205"/>
      <c r="E200" s="262"/>
      <c r="F200" s="170"/>
      <c r="G200" s="170"/>
      <c r="H200" s="170"/>
      <c r="I200" s="170"/>
      <c r="J200" s="170"/>
      <c r="K200" s="171"/>
      <c r="L200" s="171"/>
      <c r="M200" s="171"/>
      <c r="N200" s="209"/>
      <c r="O200" s="172">
        <f t="shared" si="36"/>
        <v>0</v>
      </c>
      <c r="P200" s="166"/>
      <c r="Q200" s="173"/>
      <c r="R200" s="65"/>
      <c r="S200" s="173"/>
      <c r="T200" s="173"/>
      <c r="U200" s="166"/>
      <c r="V200" s="166"/>
      <c r="W200" s="65"/>
      <c r="X200" s="66"/>
      <c r="Y200" s="173"/>
      <c r="Z200" s="166"/>
      <c r="AA200" s="174"/>
      <c r="AB200" s="175"/>
      <c r="AC200" s="175"/>
      <c r="AD200" s="175"/>
      <c r="AE200" s="175"/>
      <c r="AF200" s="175"/>
      <c r="AG200" s="175"/>
      <c r="AH200" s="175"/>
      <c r="AI200" s="176"/>
      <c r="AJ200" s="177"/>
      <c r="AK200" s="178"/>
      <c r="AL200" s="178"/>
      <c r="AM200" s="178"/>
      <c r="AN200" s="178"/>
      <c r="AO200" s="179"/>
      <c r="AP200" s="64"/>
      <c r="AQ200" s="65"/>
      <c r="AR200" s="65"/>
      <c r="AS200" s="65"/>
      <c r="AT200" s="173"/>
      <c r="AU200" s="177"/>
      <c r="AV200" s="178"/>
      <c r="AW200" s="178"/>
      <c r="AX200" s="179"/>
      <c r="AZ200" s="166"/>
      <c r="BA200" s="177"/>
      <c r="BB200" s="178"/>
      <c r="BC200" s="178"/>
      <c r="BD200" s="178"/>
      <c r="BE200" s="178"/>
      <c r="BF200" s="178"/>
      <c r="BG200" s="178"/>
      <c r="BH200" s="178"/>
      <c r="BI200" s="179"/>
      <c r="BJ200" s="180"/>
      <c r="BK200" s="178"/>
      <c r="BL200" s="178"/>
      <c r="BM200" s="178"/>
      <c r="BN200" s="178"/>
      <c r="BO200" s="181"/>
      <c r="BP200" s="166"/>
      <c r="BQ200" s="177"/>
      <c r="BR200" s="178"/>
      <c r="BS200" s="179"/>
      <c r="BU200" s="166"/>
      <c r="BV200" s="166"/>
      <c r="BW200" s="166"/>
      <c r="BX200" s="166"/>
      <c r="BY200" s="166"/>
      <c r="BZ200" s="166"/>
      <c r="CA200" s="166"/>
      <c r="CB200" s="166"/>
      <c r="CC200" s="166"/>
      <c r="CD200" s="177"/>
      <c r="CE200" s="181"/>
      <c r="CF200" s="177"/>
      <c r="CG200" s="179"/>
      <c r="CH200" s="257"/>
      <c r="CI200" s="182"/>
      <c r="CJ200" s="177"/>
      <c r="CK200" s="182"/>
      <c r="CL200" s="177"/>
      <c r="CM200" s="182"/>
      <c r="CN200" s="177"/>
      <c r="CO200" s="182"/>
      <c r="CP200" s="177"/>
      <c r="CQ200" s="178"/>
      <c r="CR200" s="182"/>
      <c r="CS200" s="173"/>
      <c r="CT200" s="65"/>
      <c r="CU200" s="255" t="str">
        <f t="shared" si="2"/>
        <v/>
      </c>
    </row>
    <row r="201" ht="60.0" hidden="1" customHeight="1">
      <c r="A201" s="65"/>
      <c r="C201" s="167"/>
      <c r="D201" s="205"/>
      <c r="E201" s="262"/>
      <c r="F201" s="170"/>
      <c r="G201" s="170"/>
      <c r="H201" s="170"/>
      <c r="I201" s="170"/>
      <c r="J201" s="170"/>
      <c r="K201" s="171"/>
      <c r="L201" s="171"/>
      <c r="M201" s="171"/>
      <c r="N201" s="209"/>
      <c r="O201" s="172">
        <f t="shared" ref="O201:O204" si="37">IF(AND(M201&gt;=20,M201&lt;&gt;"m",RIGHT(K201,3)="Lec"),1,IF(AND(M201&gt;=20,M201&lt;&gt;"m",OR(RIGHT(K201,3)="Lab",RIGHT(K201,3)="Tut")),0.5,IF(AND(M201&gt;=20,M201&lt;&gt;"m",RIGHT(K201,2)="TL"),0.75,0)))</f>
        <v>0</v>
      </c>
      <c r="P201" s="166"/>
      <c r="Q201" s="173"/>
      <c r="R201" s="65"/>
      <c r="S201" s="173"/>
      <c r="T201" s="173"/>
      <c r="U201" s="166"/>
      <c r="V201" s="166"/>
      <c r="W201" s="65"/>
      <c r="X201" s="66"/>
      <c r="Y201" s="173"/>
      <c r="Z201" s="166"/>
      <c r="AA201" s="174"/>
      <c r="AB201" s="175"/>
      <c r="AC201" s="175"/>
      <c r="AD201" s="175"/>
      <c r="AE201" s="175"/>
      <c r="AF201" s="175"/>
      <c r="AG201" s="175"/>
      <c r="AH201" s="175"/>
      <c r="AI201" s="176"/>
      <c r="AJ201" s="177"/>
      <c r="AK201" s="178"/>
      <c r="AL201" s="178"/>
      <c r="AM201" s="178"/>
      <c r="AN201" s="178"/>
      <c r="AO201" s="179"/>
      <c r="AP201" s="64"/>
      <c r="AQ201" s="65"/>
      <c r="AR201" s="65"/>
      <c r="AS201" s="65"/>
      <c r="AT201" s="173"/>
      <c r="AU201" s="177"/>
      <c r="AV201" s="178"/>
      <c r="AW201" s="178"/>
      <c r="AX201" s="179"/>
      <c r="AZ201" s="166"/>
      <c r="BA201" s="177"/>
      <c r="BB201" s="178"/>
      <c r="BC201" s="178"/>
      <c r="BD201" s="178"/>
      <c r="BE201" s="178"/>
      <c r="BF201" s="178"/>
      <c r="BG201" s="178"/>
      <c r="BH201" s="178"/>
      <c r="BI201" s="179"/>
      <c r="BJ201" s="180"/>
      <c r="BK201" s="178"/>
      <c r="BL201" s="178"/>
      <c r="BM201" s="178"/>
      <c r="BN201" s="178"/>
      <c r="BO201" s="181"/>
      <c r="BP201" s="166"/>
      <c r="BQ201" s="177"/>
      <c r="BR201" s="178"/>
      <c r="BS201" s="179"/>
      <c r="BU201" s="166"/>
      <c r="BV201" s="166"/>
      <c r="BW201" s="166"/>
      <c r="BX201" s="166"/>
      <c r="BY201" s="166"/>
      <c r="BZ201" s="166"/>
      <c r="CA201" s="166"/>
      <c r="CB201" s="166"/>
      <c r="CC201" s="166"/>
      <c r="CD201" s="177"/>
      <c r="CE201" s="181"/>
      <c r="CF201" s="177"/>
      <c r="CG201" s="179"/>
      <c r="CH201" s="257"/>
      <c r="CI201" s="182"/>
      <c r="CJ201" s="177"/>
      <c r="CK201" s="182"/>
      <c r="CL201" s="177"/>
      <c r="CM201" s="182"/>
      <c r="CN201" s="177"/>
      <c r="CO201" s="182"/>
      <c r="CP201" s="177"/>
      <c r="CQ201" s="178"/>
      <c r="CR201" s="182"/>
      <c r="CS201" s="173"/>
      <c r="CT201" s="65"/>
      <c r="CU201" s="255" t="str">
        <f t="shared" si="2"/>
        <v/>
      </c>
    </row>
    <row r="202" ht="60.0" hidden="1" customHeight="1">
      <c r="A202" s="65"/>
      <c r="C202" s="167"/>
      <c r="D202" s="205"/>
      <c r="E202" s="262"/>
      <c r="F202" s="170"/>
      <c r="G202" s="170"/>
      <c r="H202" s="170"/>
      <c r="I202" s="170"/>
      <c r="J202" s="170"/>
      <c r="K202" s="171"/>
      <c r="L202" s="171"/>
      <c r="M202" s="171"/>
      <c r="N202" s="209"/>
      <c r="O202" s="172">
        <f t="shared" si="37"/>
        <v>0</v>
      </c>
      <c r="P202" s="166"/>
      <c r="Q202" s="173"/>
      <c r="R202" s="65"/>
      <c r="S202" s="173"/>
      <c r="T202" s="173"/>
      <c r="U202" s="166"/>
      <c r="V202" s="166"/>
      <c r="W202" s="65"/>
      <c r="X202" s="66"/>
      <c r="Y202" s="173"/>
      <c r="Z202" s="166"/>
      <c r="AA202" s="174"/>
      <c r="AB202" s="175"/>
      <c r="AC202" s="175"/>
      <c r="AD202" s="175"/>
      <c r="AE202" s="175"/>
      <c r="AF202" s="175"/>
      <c r="AG202" s="175"/>
      <c r="AH202" s="175"/>
      <c r="AI202" s="176"/>
      <c r="AJ202" s="177"/>
      <c r="AK202" s="178"/>
      <c r="AL202" s="178"/>
      <c r="AM202" s="178"/>
      <c r="AN202" s="178"/>
      <c r="AO202" s="179"/>
      <c r="AP202" s="64"/>
      <c r="AQ202" s="65"/>
      <c r="AR202" s="65"/>
      <c r="AS202" s="65"/>
      <c r="AT202" s="173"/>
      <c r="AU202" s="177"/>
      <c r="AV202" s="178"/>
      <c r="AW202" s="178"/>
      <c r="AX202" s="179"/>
      <c r="AZ202" s="166"/>
      <c r="BA202" s="177"/>
      <c r="BB202" s="178"/>
      <c r="BC202" s="178"/>
      <c r="BD202" s="178"/>
      <c r="BE202" s="178"/>
      <c r="BF202" s="178"/>
      <c r="BG202" s="178"/>
      <c r="BH202" s="178"/>
      <c r="BI202" s="179"/>
      <c r="BJ202" s="180"/>
      <c r="BK202" s="178"/>
      <c r="BL202" s="178"/>
      <c r="BM202" s="178"/>
      <c r="BN202" s="178"/>
      <c r="BO202" s="181"/>
      <c r="BP202" s="166"/>
      <c r="BQ202" s="177"/>
      <c r="BR202" s="178"/>
      <c r="BS202" s="179"/>
      <c r="BU202" s="166"/>
      <c r="BV202" s="166"/>
      <c r="BW202" s="166"/>
      <c r="BX202" s="166"/>
      <c r="BY202" s="166"/>
      <c r="BZ202" s="166"/>
      <c r="CA202" s="166"/>
      <c r="CB202" s="166"/>
      <c r="CC202" s="166"/>
      <c r="CD202" s="177"/>
      <c r="CE202" s="181"/>
      <c r="CF202" s="177"/>
      <c r="CG202" s="179"/>
      <c r="CH202" s="257"/>
      <c r="CI202" s="182"/>
      <c r="CJ202" s="177"/>
      <c r="CK202" s="182"/>
      <c r="CL202" s="177"/>
      <c r="CM202" s="182"/>
      <c r="CN202" s="177"/>
      <c r="CO202" s="182"/>
      <c r="CP202" s="177"/>
      <c r="CQ202" s="178"/>
      <c r="CR202" s="182"/>
      <c r="CS202" s="173"/>
      <c r="CT202" s="65"/>
      <c r="CU202" s="255" t="str">
        <f t="shared" si="2"/>
        <v/>
      </c>
    </row>
    <row r="203" ht="60.0" hidden="1" customHeight="1">
      <c r="A203" s="65"/>
      <c r="C203" s="167"/>
      <c r="D203" s="205"/>
      <c r="E203" s="262"/>
      <c r="F203" s="170"/>
      <c r="G203" s="170"/>
      <c r="H203" s="170"/>
      <c r="I203" s="170"/>
      <c r="J203" s="170"/>
      <c r="K203" s="171"/>
      <c r="L203" s="171"/>
      <c r="M203" s="171"/>
      <c r="N203" s="209"/>
      <c r="O203" s="172">
        <f t="shared" si="37"/>
        <v>0</v>
      </c>
      <c r="P203" s="166"/>
      <c r="Q203" s="173"/>
      <c r="R203" s="65"/>
      <c r="S203" s="173"/>
      <c r="T203" s="173"/>
      <c r="U203" s="166"/>
      <c r="V203" s="166"/>
      <c r="W203" s="65"/>
      <c r="X203" s="66"/>
      <c r="Y203" s="173"/>
      <c r="Z203" s="166"/>
      <c r="AA203" s="174"/>
      <c r="AB203" s="175"/>
      <c r="AC203" s="175"/>
      <c r="AD203" s="175"/>
      <c r="AE203" s="175"/>
      <c r="AF203" s="175"/>
      <c r="AG203" s="175"/>
      <c r="AH203" s="175"/>
      <c r="AI203" s="176"/>
      <c r="AJ203" s="177"/>
      <c r="AK203" s="178"/>
      <c r="AL203" s="178"/>
      <c r="AM203" s="178"/>
      <c r="AN203" s="178"/>
      <c r="AO203" s="179"/>
      <c r="AP203" s="64"/>
      <c r="AQ203" s="65"/>
      <c r="AR203" s="65"/>
      <c r="AS203" s="65"/>
      <c r="AT203" s="173"/>
      <c r="AU203" s="177"/>
      <c r="AV203" s="178"/>
      <c r="AW203" s="178"/>
      <c r="AX203" s="179"/>
      <c r="AZ203" s="166"/>
      <c r="BA203" s="177"/>
      <c r="BB203" s="178"/>
      <c r="BC203" s="178"/>
      <c r="BD203" s="178"/>
      <c r="BE203" s="178"/>
      <c r="BF203" s="178"/>
      <c r="BG203" s="178"/>
      <c r="BH203" s="178"/>
      <c r="BI203" s="179"/>
      <c r="BJ203" s="180"/>
      <c r="BK203" s="178"/>
      <c r="BL203" s="178"/>
      <c r="BM203" s="178"/>
      <c r="BN203" s="178"/>
      <c r="BO203" s="181"/>
      <c r="BP203" s="166"/>
      <c r="BQ203" s="177"/>
      <c r="BR203" s="178"/>
      <c r="BS203" s="179"/>
      <c r="BU203" s="166"/>
      <c r="BV203" s="166"/>
      <c r="BW203" s="166"/>
      <c r="BX203" s="166"/>
      <c r="BY203" s="166"/>
      <c r="BZ203" s="166"/>
      <c r="CA203" s="166"/>
      <c r="CB203" s="166"/>
      <c r="CC203" s="166"/>
      <c r="CD203" s="177"/>
      <c r="CE203" s="181"/>
      <c r="CF203" s="177"/>
      <c r="CG203" s="179"/>
      <c r="CH203" s="257"/>
      <c r="CI203" s="182"/>
      <c r="CJ203" s="177"/>
      <c r="CK203" s="182"/>
      <c r="CL203" s="177"/>
      <c r="CM203" s="182"/>
      <c r="CN203" s="177"/>
      <c r="CO203" s="182"/>
      <c r="CP203" s="177"/>
      <c r="CQ203" s="178"/>
      <c r="CR203" s="182"/>
      <c r="CS203" s="173"/>
      <c r="CT203" s="65"/>
      <c r="CU203" s="255" t="str">
        <f t="shared" si="2"/>
        <v/>
      </c>
    </row>
    <row r="204" ht="60.0" hidden="1" customHeight="1">
      <c r="A204" s="65"/>
      <c r="C204" s="167"/>
      <c r="D204" s="205"/>
      <c r="E204" s="262"/>
      <c r="F204" s="170"/>
      <c r="G204" s="170"/>
      <c r="H204" s="170"/>
      <c r="I204" s="170"/>
      <c r="J204" s="170"/>
      <c r="K204" s="171"/>
      <c r="L204" s="171"/>
      <c r="M204" s="171"/>
      <c r="N204" s="209"/>
      <c r="O204" s="172">
        <f t="shared" si="37"/>
        <v>0</v>
      </c>
      <c r="P204" s="166"/>
      <c r="Q204" s="173"/>
      <c r="R204" s="65"/>
      <c r="S204" s="173"/>
      <c r="T204" s="173"/>
      <c r="U204" s="166"/>
      <c r="V204" s="166"/>
      <c r="W204" s="65"/>
      <c r="X204" s="66"/>
      <c r="Y204" s="173"/>
      <c r="Z204" s="166"/>
      <c r="AA204" s="174"/>
      <c r="AB204" s="175"/>
      <c r="AC204" s="175"/>
      <c r="AD204" s="175"/>
      <c r="AE204" s="175"/>
      <c r="AF204" s="175"/>
      <c r="AG204" s="175"/>
      <c r="AH204" s="175"/>
      <c r="AI204" s="176"/>
      <c r="AJ204" s="177"/>
      <c r="AK204" s="178"/>
      <c r="AL204" s="178"/>
      <c r="AM204" s="178"/>
      <c r="AN204" s="178"/>
      <c r="AO204" s="179"/>
      <c r="AP204" s="64"/>
      <c r="AQ204" s="65"/>
      <c r="AR204" s="65"/>
      <c r="AS204" s="65"/>
      <c r="AT204" s="173"/>
      <c r="AU204" s="177"/>
      <c r="AV204" s="178"/>
      <c r="AW204" s="178"/>
      <c r="AX204" s="179"/>
      <c r="AZ204" s="166"/>
      <c r="BA204" s="177"/>
      <c r="BB204" s="178"/>
      <c r="BC204" s="178"/>
      <c r="BD204" s="178"/>
      <c r="BE204" s="178"/>
      <c r="BF204" s="178"/>
      <c r="BG204" s="178"/>
      <c r="BH204" s="178"/>
      <c r="BI204" s="179"/>
      <c r="BJ204" s="180"/>
      <c r="BK204" s="178"/>
      <c r="BL204" s="178"/>
      <c r="BM204" s="178"/>
      <c r="BN204" s="178"/>
      <c r="BO204" s="181"/>
      <c r="BP204" s="166"/>
      <c r="BQ204" s="177"/>
      <c r="BR204" s="178"/>
      <c r="BS204" s="179"/>
      <c r="BU204" s="166"/>
      <c r="BV204" s="166"/>
      <c r="BW204" s="166"/>
      <c r="BX204" s="166"/>
      <c r="BY204" s="166"/>
      <c r="BZ204" s="166"/>
      <c r="CA204" s="166"/>
      <c r="CB204" s="166"/>
      <c r="CC204" s="166"/>
      <c r="CD204" s="177"/>
      <c r="CE204" s="181"/>
      <c r="CF204" s="177"/>
      <c r="CG204" s="179"/>
      <c r="CH204" s="257"/>
      <c r="CI204" s="182"/>
      <c r="CJ204" s="177"/>
      <c r="CK204" s="182"/>
      <c r="CL204" s="177"/>
      <c r="CM204" s="182"/>
      <c r="CN204" s="177"/>
      <c r="CO204" s="182"/>
      <c r="CP204" s="177"/>
      <c r="CQ204" s="178"/>
      <c r="CR204" s="182"/>
      <c r="CS204" s="173"/>
      <c r="CT204" s="65"/>
      <c r="CU204" s="255" t="str">
        <f t="shared" si="2"/>
        <v/>
      </c>
    </row>
    <row r="205" ht="60.0" hidden="1" customHeight="1">
      <c r="A205" s="89"/>
      <c r="B205" s="6"/>
      <c r="C205" s="183"/>
      <c r="D205" s="210"/>
      <c r="E205" s="263"/>
      <c r="F205" s="186"/>
      <c r="G205" s="186"/>
      <c r="H205" s="186"/>
      <c r="I205" s="186"/>
      <c r="J205" s="186"/>
      <c r="K205" s="187"/>
      <c r="L205" s="187"/>
      <c r="M205" s="187"/>
      <c r="N205" s="214"/>
      <c r="O205" s="188">
        <f t="shared" ref="O205:O211" si="38">IF(AND(M205&lt;&gt;0,M205&lt;&gt;"m",M205&lt;&gt;"",RIGHT(K205,3)="Lec"),1,IF(AND(M205&lt;&gt;0,M205&lt;&gt;"m",M205&lt;&gt;"",OR(RIGHT(K205,3)="Lab",RIGHT(K205,3)="Tut")),0.5,IF(AND(M205&lt;&gt;0,M205&lt;&gt;"m",M205&lt;&gt;"",RIGHT(K205,2)="TL"),0.75,0)))</f>
        <v>0</v>
      </c>
      <c r="P205" s="63"/>
      <c r="Q205" s="69"/>
      <c r="R205" s="89"/>
      <c r="S205" s="69"/>
      <c r="T205" s="69"/>
      <c r="U205" s="63"/>
      <c r="V205" s="63"/>
      <c r="W205" s="89"/>
      <c r="X205" s="68"/>
      <c r="Y205" s="69"/>
      <c r="Z205" s="63"/>
      <c r="AA205" s="189"/>
      <c r="AB205" s="190"/>
      <c r="AC205" s="190"/>
      <c r="AD205" s="190"/>
      <c r="AE205" s="190"/>
      <c r="AF205" s="190"/>
      <c r="AG205" s="190"/>
      <c r="AH205" s="190"/>
      <c r="AI205" s="191"/>
      <c r="AJ205" s="192"/>
      <c r="AK205" s="193"/>
      <c r="AL205" s="193"/>
      <c r="AM205" s="193"/>
      <c r="AN205" s="193"/>
      <c r="AO205" s="194"/>
      <c r="AP205" s="103"/>
      <c r="AQ205" s="89"/>
      <c r="AR205" s="89"/>
      <c r="AS205" s="89"/>
      <c r="AT205" s="69"/>
      <c r="AU205" s="192"/>
      <c r="AV205" s="193"/>
      <c r="AW205" s="193"/>
      <c r="AX205" s="194"/>
      <c r="AY205" s="6"/>
      <c r="AZ205" s="63"/>
      <c r="BA205" s="192"/>
      <c r="BB205" s="193"/>
      <c r="BC205" s="193"/>
      <c r="BD205" s="193"/>
      <c r="BE205" s="193"/>
      <c r="BF205" s="193"/>
      <c r="BG205" s="193"/>
      <c r="BH205" s="193"/>
      <c r="BI205" s="194"/>
      <c r="BJ205" s="195"/>
      <c r="BK205" s="193"/>
      <c r="BL205" s="193"/>
      <c r="BM205" s="193"/>
      <c r="BN205" s="193"/>
      <c r="BO205" s="196"/>
      <c r="BP205" s="63"/>
      <c r="BQ205" s="192"/>
      <c r="BR205" s="193"/>
      <c r="BS205" s="194"/>
      <c r="BT205" s="6"/>
      <c r="BU205" s="63"/>
      <c r="BV205" s="63"/>
      <c r="BW205" s="63"/>
      <c r="BX205" s="63"/>
      <c r="BY205" s="63"/>
      <c r="BZ205" s="63"/>
      <c r="CA205" s="63"/>
      <c r="CB205" s="63"/>
      <c r="CC205" s="63"/>
      <c r="CD205" s="192"/>
      <c r="CE205" s="196"/>
      <c r="CF205" s="192"/>
      <c r="CG205" s="194"/>
      <c r="CH205" s="259"/>
      <c r="CI205" s="197"/>
      <c r="CJ205" s="192"/>
      <c r="CK205" s="197"/>
      <c r="CL205" s="192"/>
      <c r="CM205" s="197"/>
      <c r="CN205" s="192"/>
      <c r="CO205" s="197"/>
      <c r="CP205" s="192"/>
      <c r="CQ205" s="193"/>
      <c r="CR205" s="197"/>
      <c r="CS205" s="69"/>
      <c r="CT205" s="89"/>
      <c r="CU205" s="255" t="str">
        <f t="shared" si="2"/>
        <v/>
      </c>
    </row>
    <row r="206" ht="55.5" hidden="1" customHeight="1">
      <c r="A206" s="125">
        <v>19.0</v>
      </c>
      <c r="B206" s="199"/>
      <c r="C206" s="127"/>
      <c r="D206" s="128"/>
      <c r="E206" s="260"/>
      <c r="F206" s="261"/>
      <c r="G206" s="261"/>
      <c r="H206" s="261"/>
      <c r="I206" s="261"/>
      <c r="J206" s="170"/>
      <c r="K206" s="219"/>
      <c r="L206" s="219"/>
      <c r="M206" s="219"/>
      <c r="N206" s="220"/>
      <c r="O206" s="132">
        <f t="shared" si="38"/>
        <v>0</v>
      </c>
      <c r="P206" s="133">
        <f>COUNTIF(K206:K216,"TL")*0.75+COUNTIF(K206:K216,"Lec")*1+COUNTIF(K206:K216,"Lab")*0.5</f>
        <v>0</v>
      </c>
      <c r="Q206" s="134">
        <f>SUM((IF(LEFT(K206,1)="E",O206,0)),(IF(LEFT(K207,1)="E",O207,0)),(IF(LEFT(K208,1)="E",O208,0)),(IF(LEFT(K209,1)="E",O209,0)),(IF(LEFT(K210,1)="E",O210,0)),(IF(LEFT(K211,1)="E",O211,0)),(IF(LEFT(K212,1)="E",O212,0)),(IF(LEFT(K213,1)="E",O213,0)),(IF(LEFT(K214,1)="E",O214,0)),(IF(LEFT(K215,1)="E",O215,0)),(IF(LEFT(K216,1)="E",O216,0)))</f>
        <v>0</v>
      </c>
      <c r="R206" s="135">
        <f>SUM(IF(M212&lt;20,IF(K212="Plec",-1,IF(K212="PTL",-0.75,IF(K212="Plab",-0.5,0))),0),IF(M213&lt;20,IF(K213="Plec",-1,IF(K213="PTL",-0.75,IF(K213="Plab",-0.5,0))),0),IF(M214&lt;20,IF(K214="Plec",-1,IF(K214="PTL",-0.75,IF(K214="Plab",-0.5,0))),0),IF(M215&lt;20,IF(K215="Plec",-1,IF(K215="PTL",-0.75,IF(K215="Plab",-0.5,0))),0))</f>
        <v>0</v>
      </c>
      <c r="S206" s="134">
        <f>SUM(P206:R216)</f>
        <v>0</v>
      </c>
      <c r="T206" s="136">
        <f>SUM(IF(M206="M",IF(OR(K206="lec",K206="plec",K206="slec"),1,IF(OR(K206="lab",K206="plab",K206="slab",K206="tut",K206="ptut",K206="stut"),0.5,IF(OR(K206="TL",K206="pTL",K206="STL"),0.75,0))),0),IF(M207="M",IF(OR(K207="lec",K207="plec",K207="slec"),1,IF(OR(K207="lab",K207="plab",K207="slab",K207="tut",K207="ptut",K207="stut"),0.5,IF(OR(K207="TL",K207="pTL",K207="STL"),0.75,0))),0),IF(M208="M",IF(OR(K208="lec",K208="plec",K208="slec"),1,IF(OR(K208="lab",K208="plab",K208="slab",K208="tut",K208="ptut",K208="stut"),0.5,IF(OR(K208="TL",K208="pTL",K208="STL"),0.75,0))),0),IF(M209="M",IF(OR(K209="lec",K209="plec",K209="slec"),1,IF(OR(K209="lab",K209="plab",K209="slab",K209="tut",K209="ptut",K209="stut"),0.5,IF(OR(K209="TL",K209="pTL",K209="STL"),0.75,0))),0),IF(M210="M",IF(OR(K210="lec",K210="plec",K210="slec"),1,IF(OR(K210="lab",K210="plab",K210="slab",K210="tut",K210="ptut",K210="stut"),0.5,IF(OR(K210="TL",K210="pTL",K210="STL"),0.75,0))),0),IF(M211="M",IF(OR(K211="lec",K211="plec",K211="slec"),1,IF(OR(K211="lab",K211="plab",K211="slab",K211="tut",K211="ptut",K211="stut"),0.5,IF(OR(K211="TL",K211="pTL",K211="STL"),0.75,0))),0),IF(M212="M",IF(OR(K212="lec",K212="plec",K212="slec"),1,IF(OR(K212="lab",K212="plab",K212="slab",K212="tut",K212="ptut",K212="stut"),0.5,IF(OR(K212="TL",K212="pTL",K212="STL"),0.75,0))),0),IF(M213="M",IF(OR(K213="lec",K213="plec",K213="slec"),1,IF(OR(K213="lab",K213="plab",K213="slab",K213="tut",K213="ptut",K213="stut"),0.5,IF(OR(K213="TL",K213="pTL",K213="STL"),0.75,0))),0),IF(M214="M",IF(OR(K214="lec",K214="plec",K214="slec"),1,IF(OR(K214="lab",K214="plab",K214="slab",K214="tut",K214="ptut",K214="stut"),0.5,IF(OR(K214="TL",K214="pTL",K214="STL"),0.75,0))),0),IF(M215="M",IF(OR(K215="lec",K215="plec",K215="slec"),1,IF(OR(K215="lab",K215="plab",K215="slab",K215="tut",K215="ptut",K215="stut"),0.5,IF(OR(K215="TL",K215="pTL",K215="STL"),0.75,0))),0),IF(M216="M",IF(OR(K216="lec",K216="plec",K216="slec"),1,IF(OR(K216="lab",K216="plab",K216="slab",K216="tut",K216="ptut",K216="stut"),0.5,IF(OR(K216="TL",K216="pTL",K216="STL"),0.75,0))),0))</f>
        <v>0</v>
      </c>
      <c r="U206" s="137"/>
      <c r="V206" s="133"/>
      <c r="W206" s="138"/>
      <c r="X206" s="139">
        <f>S206-(T206+U206+V206+W206)</f>
        <v>0</v>
      </c>
      <c r="Y206" s="134" t="str">
        <f>CONCATENATE(SUM(O206:O216),"(",SUM(O206:O216)-X206,")")</f>
        <v>0(0)</v>
      </c>
      <c r="Z206" s="140"/>
      <c r="AA206" s="141"/>
      <c r="AB206" s="142"/>
      <c r="AC206" s="142"/>
      <c r="AD206" s="142"/>
      <c r="AE206" s="142"/>
      <c r="AF206" s="142"/>
      <c r="AG206" s="142"/>
      <c r="AH206" s="142"/>
      <c r="AI206" s="143"/>
      <c r="AJ206" s="144"/>
      <c r="AK206" s="145"/>
      <c r="AL206" s="145"/>
      <c r="AM206" s="145"/>
      <c r="AN206" s="145"/>
      <c r="AO206" s="146"/>
      <c r="AP206" s="147">
        <f>SUM(SUM(O206:O216),SUM(AI206:AI216)/2,AM206)</f>
        <v>0</v>
      </c>
      <c r="AQ206" s="148"/>
      <c r="AR206" s="148">
        <f>AP206*AQ206</f>
        <v>0</v>
      </c>
      <c r="AS206" s="148">
        <f>CT206</f>
        <v>0</v>
      </c>
      <c r="AT206" s="149">
        <f>AR206*0.75+AS206*0.25</f>
        <v>0</v>
      </c>
      <c r="AU206" s="150"/>
      <c r="AV206" s="151"/>
      <c r="AW206" s="151"/>
      <c r="AX206" s="152"/>
      <c r="AY206" s="153"/>
      <c r="AZ206" s="140"/>
      <c r="BA206" s="150"/>
      <c r="BB206" s="151"/>
      <c r="BC206" s="151"/>
      <c r="BD206" s="151"/>
      <c r="BE206" s="151"/>
      <c r="BF206" s="151"/>
      <c r="BG206" s="151"/>
      <c r="BH206" s="151"/>
      <c r="BI206" s="152"/>
      <c r="BJ206" s="154"/>
      <c r="BK206" s="151"/>
      <c r="BL206" s="151"/>
      <c r="BM206" s="151"/>
      <c r="BN206" s="151"/>
      <c r="BO206" s="155"/>
      <c r="BP206" s="140"/>
      <c r="BQ206" s="156"/>
      <c r="BR206" s="157"/>
      <c r="BS206" s="158"/>
      <c r="BT206" s="153"/>
      <c r="BU206" s="140"/>
      <c r="BV206" s="140"/>
      <c r="BW206" s="140"/>
      <c r="BX206" s="140"/>
      <c r="BY206" s="140"/>
      <c r="BZ206" s="140"/>
      <c r="CA206" s="140"/>
      <c r="CB206" s="140"/>
      <c r="CC206" s="140"/>
      <c r="CD206" s="150"/>
      <c r="CE206" s="155"/>
      <c r="CF206" s="150"/>
      <c r="CG206" s="152"/>
      <c r="CH206" s="252"/>
      <c r="CI206" s="160"/>
      <c r="CJ206" s="159"/>
      <c r="CK206" s="160"/>
      <c r="CL206" s="159"/>
      <c r="CM206" s="160"/>
      <c r="CN206" s="159"/>
      <c r="CO206" s="160"/>
      <c r="CP206" s="159"/>
      <c r="CQ206" s="162"/>
      <c r="CR206" s="160"/>
      <c r="CS206" s="253">
        <f>SUM(IF(AU206&lt;0,ABS(AU206),0),IF(AZ206&lt;0,ABS(AZ206),0),ABS(CI206),ABS(CK206),ABS(CM206),ABS(CO206),ABS(CQ206),ABS(CR206))</f>
        <v>0</v>
      </c>
      <c r="CT206" s="254">
        <f>SUM(AU206,AV206,AW206,AX206/400,AY206,AZ206,BG206,BH206*0.5,BI206*0.25,BJ206,BK206,BL206,BM206,BN206,BO206,BP206,BR206/20,BS206/100,BT206/60,BU206,BV206,BW206,BX206/4,SUM(BY206:CC216)/3,CE206,CG206/3,CI206,CK206,CM206,CO206,CQ206,CR206)</f>
        <v>0</v>
      </c>
      <c r="CU206" s="255" t="str">
        <f t="shared" si="2"/>
        <v/>
      </c>
    </row>
    <row r="207" ht="60.0" hidden="1" customHeight="1">
      <c r="A207" s="65"/>
      <c r="C207" s="167"/>
      <c r="D207" s="205"/>
      <c r="E207" s="262"/>
      <c r="F207" s="170"/>
      <c r="G207" s="170"/>
      <c r="H207" s="170"/>
      <c r="I207" s="170"/>
      <c r="J207" s="170"/>
      <c r="K207" s="171"/>
      <c r="L207" s="171"/>
      <c r="M207" s="171"/>
      <c r="N207" s="209"/>
      <c r="O207" s="172">
        <f t="shared" si="38"/>
        <v>0</v>
      </c>
      <c r="P207" s="166"/>
      <c r="Q207" s="173"/>
      <c r="R207" s="65"/>
      <c r="S207" s="173"/>
      <c r="T207" s="173"/>
      <c r="U207" s="166"/>
      <c r="V207" s="166"/>
      <c r="W207" s="65"/>
      <c r="X207" s="66"/>
      <c r="Y207" s="173"/>
      <c r="Z207" s="166"/>
      <c r="AA207" s="174"/>
      <c r="AB207" s="175"/>
      <c r="AC207" s="175"/>
      <c r="AD207" s="175"/>
      <c r="AE207" s="175"/>
      <c r="AF207" s="175"/>
      <c r="AG207" s="175"/>
      <c r="AH207" s="175"/>
      <c r="AI207" s="176"/>
      <c r="AJ207" s="177"/>
      <c r="AK207" s="178"/>
      <c r="AL207" s="178"/>
      <c r="AM207" s="178"/>
      <c r="AN207" s="178"/>
      <c r="AO207" s="179"/>
      <c r="AP207" s="64"/>
      <c r="AQ207" s="65"/>
      <c r="AR207" s="65"/>
      <c r="AS207" s="65"/>
      <c r="AT207" s="173"/>
      <c r="AU207" s="177"/>
      <c r="AV207" s="178"/>
      <c r="AW207" s="178"/>
      <c r="AX207" s="179"/>
      <c r="AZ207" s="166"/>
      <c r="BA207" s="177"/>
      <c r="BB207" s="178"/>
      <c r="BC207" s="178"/>
      <c r="BD207" s="178"/>
      <c r="BE207" s="178"/>
      <c r="BF207" s="178"/>
      <c r="BG207" s="178"/>
      <c r="BH207" s="178"/>
      <c r="BI207" s="179"/>
      <c r="BJ207" s="180"/>
      <c r="BK207" s="178"/>
      <c r="BL207" s="178"/>
      <c r="BM207" s="178"/>
      <c r="BN207" s="178"/>
      <c r="BO207" s="181"/>
      <c r="BP207" s="166"/>
      <c r="BQ207" s="177"/>
      <c r="BR207" s="178"/>
      <c r="BS207" s="179"/>
      <c r="BU207" s="166"/>
      <c r="BV207" s="166"/>
      <c r="BW207" s="166"/>
      <c r="BX207" s="166"/>
      <c r="BY207" s="166"/>
      <c r="BZ207" s="166"/>
      <c r="CA207" s="166"/>
      <c r="CB207" s="166"/>
      <c r="CC207" s="166"/>
      <c r="CD207" s="177"/>
      <c r="CE207" s="181"/>
      <c r="CF207" s="177"/>
      <c r="CG207" s="179"/>
      <c r="CH207" s="257"/>
      <c r="CI207" s="182"/>
      <c r="CJ207" s="177"/>
      <c r="CK207" s="182"/>
      <c r="CL207" s="177"/>
      <c r="CM207" s="182"/>
      <c r="CN207" s="177"/>
      <c r="CO207" s="182"/>
      <c r="CP207" s="177"/>
      <c r="CQ207" s="178"/>
      <c r="CR207" s="182"/>
      <c r="CS207" s="173"/>
      <c r="CT207" s="65"/>
      <c r="CU207" s="255" t="str">
        <f t="shared" si="2"/>
        <v/>
      </c>
    </row>
    <row r="208" ht="60.0" hidden="1" customHeight="1">
      <c r="A208" s="65"/>
      <c r="C208" s="167"/>
      <c r="D208" s="205"/>
      <c r="E208" s="262"/>
      <c r="F208" s="170"/>
      <c r="G208" s="170"/>
      <c r="H208" s="170"/>
      <c r="I208" s="170"/>
      <c r="J208" s="170"/>
      <c r="K208" s="171"/>
      <c r="L208" s="171"/>
      <c r="M208" s="171"/>
      <c r="N208" s="209"/>
      <c r="O208" s="172">
        <f t="shared" si="38"/>
        <v>0</v>
      </c>
      <c r="P208" s="166"/>
      <c r="Q208" s="173"/>
      <c r="R208" s="65"/>
      <c r="S208" s="173"/>
      <c r="T208" s="173"/>
      <c r="U208" s="166"/>
      <c r="V208" s="166"/>
      <c r="W208" s="65"/>
      <c r="X208" s="66"/>
      <c r="Y208" s="173"/>
      <c r="Z208" s="166"/>
      <c r="AA208" s="174"/>
      <c r="AB208" s="175"/>
      <c r="AC208" s="175"/>
      <c r="AD208" s="175"/>
      <c r="AE208" s="175"/>
      <c r="AF208" s="175"/>
      <c r="AG208" s="175"/>
      <c r="AH208" s="175"/>
      <c r="AI208" s="176"/>
      <c r="AJ208" s="177"/>
      <c r="AK208" s="178"/>
      <c r="AL208" s="178"/>
      <c r="AM208" s="178"/>
      <c r="AN208" s="178"/>
      <c r="AO208" s="179"/>
      <c r="AP208" s="64"/>
      <c r="AQ208" s="65"/>
      <c r="AR208" s="65"/>
      <c r="AS208" s="65"/>
      <c r="AT208" s="173"/>
      <c r="AU208" s="177"/>
      <c r="AV208" s="178"/>
      <c r="AW208" s="178"/>
      <c r="AX208" s="179"/>
      <c r="AZ208" s="166"/>
      <c r="BA208" s="177"/>
      <c r="BB208" s="178"/>
      <c r="BC208" s="178"/>
      <c r="BD208" s="178"/>
      <c r="BE208" s="178"/>
      <c r="BF208" s="178"/>
      <c r="BG208" s="178"/>
      <c r="BH208" s="178"/>
      <c r="BI208" s="179"/>
      <c r="BJ208" s="180"/>
      <c r="BK208" s="178"/>
      <c r="BL208" s="178"/>
      <c r="BM208" s="178"/>
      <c r="BN208" s="178"/>
      <c r="BO208" s="181"/>
      <c r="BP208" s="166"/>
      <c r="BQ208" s="177"/>
      <c r="BR208" s="178"/>
      <c r="BS208" s="179"/>
      <c r="BU208" s="166"/>
      <c r="BV208" s="166"/>
      <c r="BW208" s="166"/>
      <c r="BX208" s="166"/>
      <c r="BY208" s="166"/>
      <c r="BZ208" s="166"/>
      <c r="CA208" s="166"/>
      <c r="CB208" s="166"/>
      <c r="CC208" s="166"/>
      <c r="CD208" s="177"/>
      <c r="CE208" s="181"/>
      <c r="CF208" s="177"/>
      <c r="CG208" s="179"/>
      <c r="CH208" s="257"/>
      <c r="CI208" s="182"/>
      <c r="CJ208" s="177"/>
      <c r="CK208" s="182"/>
      <c r="CL208" s="177"/>
      <c r="CM208" s="182"/>
      <c r="CN208" s="177"/>
      <c r="CO208" s="182"/>
      <c r="CP208" s="177"/>
      <c r="CQ208" s="178"/>
      <c r="CR208" s="182"/>
      <c r="CS208" s="173"/>
      <c r="CT208" s="65"/>
      <c r="CU208" s="255" t="str">
        <f t="shared" si="2"/>
        <v/>
      </c>
    </row>
    <row r="209" ht="60.0" hidden="1" customHeight="1">
      <c r="A209" s="65"/>
      <c r="C209" s="167"/>
      <c r="D209" s="205"/>
      <c r="E209" s="262"/>
      <c r="F209" s="170"/>
      <c r="G209" s="170"/>
      <c r="H209" s="170"/>
      <c r="I209" s="170"/>
      <c r="J209" s="170"/>
      <c r="K209" s="171"/>
      <c r="L209" s="171"/>
      <c r="M209" s="171"/>
      <c r="N209" s="209"/>
      <c r="O209" s="172">
        <f t="shared" si="38"/>
        <v>0</v>
      </c>
      <c r="P209" s="166"/>
      <c r="Q209" s="173"/>
      <c r="R209" s="65"/>
      <c r="S209" s="173"/>
      <c r="T209" s="173"/>
      <c r="U209" s="166"/>
      <c r="V209" s="166"/>
      <c r="W209" s="65"/>
      <c r="X209" s="66"/>
      <c r="Y209" s="173"/>
      <c r="Z209" s="166"/>
      <c r="AA209" s="174"/>
      <c r="AB209" s="175"/>
      <c r="AC209" s="175"/>
      <c r="AD209" s="175"/>
      <c r="AE209" s="175"/>
      <c r="AF209" s="175"/>
      <c r="AG209" s="175"/>
      <c r="AH209" s="175"/>
      <c r="AI209" s="176"/>
      <c r="AJ209" s="177"/>
      <c r="AK209" s="178"/>
      <c r="AL209" s="178"/>
      <c r="AM209" s="178"/>
      <c r="AN209" s="178"/>
      <c r="AO209" s="179"/>
      <c r="AP209" s="64"/>
      <c r="AQ209" s="65"/>
      <c r="AR209" s="65"/>
      <c r="AS209" s="65"/>
      <c r="AT209" s="173"/>
      <c r="AU209" s="177"/>
      <c r="AV209" s="178"/>
      <c r="AW209" s="178"/>
      <c r="AX209" s="179"/>
      <c r="AZ209" s="166"/>
      <c r="BA209" s="177"/>
      <c r="BB209" s="178"/>
      <c r="BC209" s="178"/>
      <c r="BD209" s="178"/>
      <c r="BE209" s="178"/>
      <c r="BF209" s="178"/>
      <c r="BG209" s="178"/>
      <c r="BH209" s="178"/>
      <c r="BI209" s="179"/>
      <c r="BJ209" s="180"/>
      <c r="BK209" s="178"/>
      <c r="BL209" s="178"/>
      <c r="BM209" s="178"/>
      <c r="BN209" s="178"/>
      <c r="BO209" s="181"/>
      <c r="BP209" s="166"/>
      <c r="BQ209" s="177"/>
      <c r="BR209" s="178"/>
      <c r="BS209" s="179"/>
      <c r="BU209" s="166"/>
      <c r="BV209" s="166"/>
      <c r="BW209" s="166"/>
      <c r="BX209" s="166"/>
      <c r="BY209" s="166"/>
      <c r="BZ209" s="166"/>
      <c r="CA209" s="166"/>
      <c r="CB209" s="166"/>
      <c r="CC209" s="166"/>
      <c r="CD209" s="177"/>
      <c r="CE209" s="181"/>
      <c r="CF209" s="177"/>
      <c r="CG209" s="179"/>
      <c r="CH209" s="257"/>
      <c r="CI209" s="182"/>
      <c r="CJ209" s="177"/>
      <c r="CK209" s="182"/>
      <c r="CL209" s="177"/>
      <c r="CM209" s="182"/>
      <c r="CN209" s="177"/>
      <c r="CO209" s="182"/>
      <c r="CP209" s="177"/>
      <c r="CQ209" s="178"/>
      <c r="CR209" s="182"/>
      <c r="CS209" s="173"/>
      <c r="CT209" s="65"/>
      <c r="CU209" s="255" t="str">
        <f t="shared" si="2"/>
        <v/>
      </c>
    </row>
    <row r="210" ht="60.0" hidden="1" customHeight="1">
      <c r="A210" s="65"/>
      <c r="C210" s="167"/>
      <c r="D210" s="205"/>
      <c r="E210" s="262"/>
      <c r="F210" s="170"/>
      <c r="G210" s="170"/>
      <c r="H210" s="170"/>
      <c r="I210" s="170"/>
      <c r="J210" s="170"/>
      <c r="K210" s="171"/>
      <c r="L210" s="171"/>
      <c r="M210" s="171"/>
      <c r="N210" s="209"/>
      <c r="O210" s="172">
        <f t="shared" si="38"/>
        <v>0</v>
      </c>
      <c r="P210" s="166"/>
      <c r="Q210" s="173"/>
      <c r="R210" s="65"/>
      <c r="S210" s="173"/>
      <c r="T210" s="173"/>
      <c r="U210" s="166"/>
      <c r="V210" s="166"/>
      <c r="W210" s="65"/>
      <c r="X210" s="66"/>
      <c r="Y210" s="173"/>
      <c r="Z210" s="166"/>
      <c r="AA210" s="174"/>
      <c r="AB210" s="175"/>
      <c r="AC210" s="175"/>
      <c r="AD210" s="175"/>
      <c r="AE210" s="175"/>
      <c r="AF210" s="175"/>
      <c r="AG210" s="175"/>
      <c r="AH210" s="175"/>
      <c r="AI210" s="176"/>
      <c r="AJ210" s="177"/>
      <c r="AK210" s="178"/>
      <c r="AL210" s="178"/>
      <c r="AM210" s="178"/>
      <c r="AN210" s="178"/>
      <c r="AO210" s="179"/>
      <c r="AP210" s="64"/>
      <c r="AQ210" s="65"/>
      <c r="AR210" s="65"/>
      <c r="AS210" s="65"/>
      <c r="AT210" s="173"/>
      <c r="AU210" s="177"/>
      <c r="AV210" s="178"/>
      <c r="AW210" s="178"/>
      <c r="AX210" s="179"/>
      <c r="AZ210" s="166"/>
      <c r="BA210" s="177"/>
      <c r="BB210" s="178"/>
      <c r="BC210" s="178"/>
      <c r="BD210" s="178"/>
      <c r="BE210" s="178"/>
      <c r="BF210" s="178"/>
      <c r="BG210" s="178"/>
      <c r="BH210" s="178"/>
      <c r="BI210" s="179"/>
      <c r="BJ210" s="180"/>
      <c r="BK210" s="178"/>
      <c r="BL210" s="178"/>
      <c r="BM210" s="178"/>
      <c r="BN210" s="178"/>
      <c r="BO210" s="181"/>
      <c r="BP210" s="166"/>
      <c r="BQ210" s="177"/>
      <c r="BR210" s="178"/>
      <c r="BS210" s="179"/>
      <c r="BU210" s="166"/>
      <c r="BV210" s="166"/>
      <c r="BW210" s="166"/>
      <c r="BX210" s="166"/>
      <c r="BY210" s="166"/>
      <c r="BZ210" s="166"/>
      <c r="CA210" s="166"/>
      <c r="CB210" s="166"/>
      <c r="CC210" s="166"/>
      <c r="CD210" s="177"/>
      <c r="CE210" s="181"/>
      <c r="CF210" s="177"/>
      <c r="CG210" s="179"/>
      <c r="CH210" s="257"/>
      <c r="CI210" s="182"/>
      <c r="CJ210" s="177"/>
      <c r="CK210" s="182"/>
      <c r="CL210" s="177"/>
      <c r="CM210" s="182"/>
      <c r="CN210" s="177"/>
      <c r="CO210" s="182"/>
      <c r="CP210" s="177"/>
      <c r="CQ210" s="178"/>
      <c r="CR210" s="182"/>
      <c r="CS210" s="173"/>
      <c r="CT210" s="65"/>
      <c r="CU210" s="255" t="str">
        <f t="shared" si="2"/>
        <v/>
      </c>
    </row>
    <row r="211" ht="60.0" hidden="1" customHeight="1">
      <c r="A211" s="65"/>
      <c r="C211" s="167"/>
      <c r="D211" s="205"/>
      <c r="E211" s="262"/>
      <c r="F211" s="170"/>
      <c r="G211" s="170"/>
      <c r="H211" s="170"/>
      <c r="I211" s="170"/>
      <c r="J211" s="170"/>
      <c r="K211" s="171"/>
      <c r="L211" s="171"/>
      <c r="M211" s="171"/>
      <c r="N211" s="209"/>
      <c r="O211" s="172">
        <f t="shared" si="38"/>
        <v>0</v>
      </c>
      <c r="P211" s="166"/>
      <c r="Q211" s="173"/>
      <c r="R211" s="65"/>
      <c r="S211" s="173"/>
      <c r="T211" s="173"/>
      <c r="U211" s="166"/>
      <c r="V211" s="166"/>
      <c r="W211" s="65"/>
      <c r="X211" s="66"/>
      <c r="Y211" s="173"/>
      <c r="Z211" s="166"/>
      <c r="AA211" s="174"/>
      <c r="AB211" s="175"/>
      <c r="AC211" s="175"/>
      <c r="AD211" s="175"/>
      <c r="AE211" s="175"/>
      <c r="AF211" s="175"/>
      <c r="AG211" s="175"/>
      <c r="AH211" s="175"/>
      <c r="AI211" s="176"/>
      <c r="AJ211" s="177"/>
      <c r="AK211" s="178"/>
      <c r="AL211" s="178"/>
      <c r="AM211" s="178"/>
      <c r="AN211" s="178"/>
      <c r="AO211" s="179"/>
      <c r="AP211" s="64"/>
      <c r="AQ211" s="65"/>
      <c r="AR211" s="65"/>
      <c r="AS211" s="65"/>
      <c r="AT211" s="173"/>
      <c r="AU211" s="177"/>
      <c r="AV211" s="178"/>
      <c r="AW211" s="178"/>
      <c r="AX211" s="179"/>
      <c r="AZ211" s="166"/>
      <c r="BA211" s="177"/>
      <c r="BB211" s="178"/>
      <c r="BC211" s="178"/>
      <c r="BD211" s="178"/>
      <c r="BE211" s="178"/>
      <c r="BF211" s="178"/>
      <c r="BG211" s="178"/>
      <c r="BH211" s="178"/>
      <c r="BI211" s="179"/>
      <c r="BJ211" s="180"/>
      <c r="BK211" s="178"/>
      <c r="BL211" s="178"/>
      <c r="BM211" s="178"/>
      <c r="BN211" s="178"/>
      <c r="BO211" s="181"/>
      <c r="BP211" s="166"/>
      <c r="BQ211" s="177"/>
      <c r="BR211" s="178"/>
      <c r="BS211" s="179"/>
      <c r="BU211" s="166"/>
      <c r="BV211" s="166"/>
      <c r="BW211" s="166"/>
      <c r="BX211" s="166"/>
      <c r="BY211" s="166"/>
      <c r="BZ211" s="166"/>
      <c r="CA211" s="166"/>
      <c r="CB211" s="166"/>
      <c r="CC211" s="166"/>
      <c r="CD211" s="177"/>
      <c r="CE211" s="181"/>
      <c r="CF211" s="177"/>
      <c r="CG211" s="179"/>
      <c r="CH211" s="257"/>
      <c r="CI211" s="182"/>
      <c r="CJ211" s="177"/>
      <c r="CK211" s="182"/>
      <c r="CL211" s="177"/>
      <c r="CM211" s="182"/>
      <c r="CN211" s="177"/>
      <c r="CO211" s="182"/>
      <c r="CP211" s="177"/>
      <c r="CQ211" s="178"/>
      <c r="CR211" s="182"/>
      <c r="CS211" s="173"/>
      <c r="CT211" s="65"/>
      <c r="CU211" s="255" t="str">
        <f t="shared" si="2"/>
        <v/>
      </c>
    </row>
    <row r="212" ht="60.0" hidden="1" customHeight="1">
      <c r="A212" s="65"/>
      <c r="C212" s="167"/>
      <c r="D212" s="205"/>
      <c r="E212" s="262"/>
      <c r="F212" s="170"/>
      <c r="G212" s="170"/>
      <c r="H212" s="170"/>
      <c r="I212" s="170"/>
      <c r="J212" s="170"/>
      <c r="K212" s="171"/>
      <c r="L212" s="171"/>
      <c r="M212" s="171"/>
      <c r="N212" s="209"/>
      <c r="O212" s="172">
        <f t="shared" ref="O212:O215" si="39">IF(AND(M212&gt;=20,M212&lt;&gt;"m",RIGHT(K212,3)="Lec"),1,IF(AND(M212&gt;=20,M212&lt;&gt;"m",OR(RIGHT(K212,3)="Lab",RIGHT(K212,3)="Tut")),0.5,IF(AND(M212&gt;=20,M212&lt;&gt;"m",RIGHT(K212,2)="TL"),0.75,0)))</f>
        <v>0</v>
      </c>
      <c r="P212" s="166"/>
      <c r="Q212" s="173"/>
      <c r="R212" s="65"/>
      <c r="S212" s="173"/>
      <c r="T212" s="173"/>
      <c r="U212" s="166"/>
      <c r="V212" s="166"/>
      <c r="W212" s="65"/>
      <c r="X212" s="66"/>
      <c r="Y212" s="173"/>
      <c r="Z212" s="166"/>
      <c r="AA212" s="174"/>
      <c r="AB212" s="175"/>
      <c r="AC212" s="175"/>
      <c r="AD212" s="175"/>
      <c r="AE212" s="175"/>
      <c r="AF212" s="175"/>
      <c r="AG212" s="175"/>
      <c r="AH212" s="175"/>
      <c r="AI212" s="176"/>
      <c r="AJ212" s="177"/>
      <c r="AK212" s="178"/>
      <c r="AL212" s="178"/>
      <c r="AM212" s="178"/>
      <c r="AN212" s="178"/>
      <c r="AO212" s="179"/>
      <c r="AP212" s="64"/>
      <c r="AQ212" s="65"/>
      <c r="AR212" s="65"/>
      <c r="AS212" s="65"/>
      <c r="AT212" s="173"/>
      <c r="AU212" s="177"/>
      <c r="AV212" s="178"/>
      <c r="AW212" s="178"/>
      <c r="AX212" s="179"/>
      <c r="AZ212" s="166"/>
      <c r="BA212" s="177"/>
      <c r="BB212" s="178"/>
      <c r="BC212" s="178"/>
      <c r="BD212" s="178"/>
      <c r="BE212" s="178"/>
      <c r="BF212" s="178"/>
      <c r="BG212" s="178"/>
      <c r="BH212" s="178"/>
      <c r="BI212" s="179"/>
      <c r="BJ212" s="180"/>
      <c r="BK212" s="178"/>
      <c r="BL212" s="178"/>
      <c r="BM212" s="178"/>
      <c r="BN212" s="178"/>
      <c r="BO212" s="181"/>
      <c r="BP212" s="166"/>
      <c r="BQ212" s="177"/>
      <c r="BR212" s="178"/>
      <c r="BS212" s="179"/>
      <c r="BU212" s="166"/>
      <c r="BV212" s="166"/>
      <c r="BW212" s="166"/>
      <c r="BX212" s="166"/>
      <c r="BY212" s="166"/>
      <c r="BZ212" s="166"/>
      <c r="CA212" s="166"/>
      <c r="CB212" s="166"/>
      <c r="CC212" s="166"/>
      <c r="CD212" s="177"/>
      <c r="CE212" s="181"/>
      <c r="CF212" s="177"/>
      <c r="CG212" s="179"/>
      <c r="CH212" s="257"/>
      <c r="CI212" s="182"/>
      <c r="CJ212" s="177"/>
      <c r="CK212" s="182"/>
      <c r="CL212" s="177"/>
      <c r="CM212" s="182"/>
      <c r="CN212" s="177"/>
      <c r="CO212" s="182"/>
      <c r="CP212" s="177"/>
      <c r="CQ212" s="178"/>
      <c r="CR212" s="182"/>
      <c r="CS212" s="173"/>
      <c r="CT212" s="65"/>
      <c r="CU212" s="255" t="str">
        <f t="shared" si="2"/>
        <v/>
      </c>
    </row>
    <row r="213" ht="60.0" hidden="1" customHeight="1">
      <c r="A213" s="65"/>
      <c r="C213" s="167"/>
      <c r="D213" s="205"/>
      <c r="E213" s="262"/>
      <c r="F213" s="170"/>
      <c r="G213" s="170"/>
      <c r="H213" s="170"/>
      <c r="I213" s="170"/>
      <c r="J213" s="170"/>
      <c r="K213" s="171"/>
      <c r="L213" s="171"/>
      <c r="M213" s="171"/>
      <c r="N213" s="209"/>
      <c r="O213" s="172">
        <f t="shared" si="39"/>
        <v>0</v>
      </c>
      <c r="P213" s="166"/>
      <c r="Q213" s="173"/>
      <c r="R213" s="65"/>
      <c r="S213" s="173"/>
      <c r="T213" s="173"/>
      <c r="U213" s="166"/>
      <c r="V213" s="166"/>
      <c r="W213" s="65"/>
      <c r="X213" s="66"/>
      <c r="Y213" s="173"/>
      <c r="Z213" s="166"/>
      <c r="AA213" s="174"/>
      <c r="AB213" s="175"/>
      <c r="AC213" s="175"/>
      <c r="AD213" s="175"/>
      <c r="AE213" s="175"/>
      <c r="AF213" s="175"/>
      <c r="AG213" s="175"/>
      <c r="AH213" s="175"/>
      <c r="AI213" s="176"/>
      <c r="AJ213" s="177"/>
      <c r="AK213" s="178"/>
      <c r="AL213" s="178"/>
      <c r="AM213" s="178"/>
      <c r="AN213" s="178"/>
      <c r="AO213" s="179"/>
      <c r="AP213" s="64"/>
      <c r="AQ213" s="65"/>
      <c r="AR213" s="65"/>
      <c r="AS213" s="65"/>
      <c r="AT213" s="173"/>
      <c r="AU213" s="177"/>
      <c r="AV213" s="178"/>
      <c r="AW213" s="178"/>
      <c r="AX213" s="179"/>
      <c r="AZ213" s="166"/>
      <c r="BA213" s="177"/>
      <c r="BB213" s="178"/>
      <c r="BC213" s="178"/>
      <c r="BD213" s="178"/>
      <c r="BE213" s="178"/>
      <c r="BF213" s="178"/>
      <c r="BG213" s="178"/>
      <c r="BH213" s="178"/>
      <c r="BI213" s="179"/>
      <c r="BJ213" s="180"/>
      <c r="BK213" s="178"/>
      <c r="BL213" s="178"/>
      <c r="BM213" s="178"/>
      <c r="BN213" s="178"/>
      <c r="BO213" s="181"/>
      <c r="BP213" s="166"/>
      <c r="BQ213" s="177"/>
      <c r="BR213" s="178"/>
      <c r="BS213" s="179"/>
      <c r="BU213" s="166"/>
      <c r="BV213" s="166"/>
      <c r="BW213" s="166"/>
      <c r="BX213" s="166"/>
      <c r="BY213" s="166"/>
      <c r="BZ213" s="166"/>
      <c r="CA213" s="166"/>
      <c r="CB213" s="166"/>
      <c r="CC213" s="166"/>
      <c r="CD213" s="177"/>
      <c r="CE213" s="181"/>
      <c r="CF213" s="177"/>
      <c r="CG213" s="179"/>
      <c r="CH213" s="257"/>
      <c r="CI213" s="182"/>
      <c r="CJ213" s="177"/>
      <c r="CK213" s="182"/>
      <c r="CL213" s="177"/>
      <c r="CM213" s="182"/>
      <c r="CN213" s="177"/>
      <c r="CO213" s="182"/>
      <c r="CP213" s="177"/>
      <c r="CQ213" s="178"/>
      <c r="CR213" s="182"/>
      <c r="CS213" s="173"/>
      <c r="CT213" s="65"/>
      <c r="CU213" s="255" t="str">
        <f t="shared" si="2"/>
        <v/>
      </c>
    </row>
    <row r="214" ht="60.0" hidden="1" customHeight="1">
      <c r="A214" s="65"/>
      <c r="C214" s="167"/>
      <c r="D214" s="205"/>
      <c r="E214" s="262"/>
      <c r="F214" s="170"/>
      <c r="G214" s="170"/>
      <c r="H214" s="170"/>
      <c r="I214" s="170"/>
      <c r="J214" s="170"/>
      <c r="K214" s="171"/>
      <c r="L214" s="171"/>
      <c r="M214" s="171"/>
      <c r="N214" s="209"/>
      <c r="O214" s="172">
        <f t="shared" si="39"/>
        <v>0</v>
      </c>
      <c r="P214" s="166"/>
      <c r="Q214" s="173"/>
      <c r="R214" s="65"/>
      <c r="S214" s="173"/>
      <c r="T214" s="173"/>
      <c r="U214" s="166"/>
      <c r="V214" s="166"/>
      <c r="W214" s="65"/>
      <c r="X214" s="66"/>
      <c r="Y214" s="173"/>
      <c r="Z214" s="166"/>
      <c r="AA214" s="174"/>
      <c r="AB214" s="175"/>
      <c r="AC214" s="175"/>
      <c r="AD214" s="175"/>
      <c r="AE214" s="175"/>
      <c r="AF214" s="175"/>
      <c r="AG214" s="175"/>
      <c r="AH214" s="175"/>
      <c r="AI214" s="176"/>
      <c r="AJ214" s="177"/>
      <c r="AK214" s="178"/>
      <c r="AL214" s="178"/>
      <c r="AM214" s="178"/>
      <c r="AN214" s="178"/>
      <c r="AO214" s="179"/>
      <c r="AP214" s="64"/>
      <c r="AQ214" s="65"/>
      <c r="AR214" s="65"/>
      <c r="AS214" s="65"/>
      <c r="AT214" s="173"/>
      <c r="AU214" s="177"/>
      <c r="AV214" s="178"/>
      <c r="AW214" s="178"/>
      <c r="AX214" s="179"/>
      <c r="AZ214" s="166"/>
      <c r="BA214" s="177"/>
      <c r="BB214" s="178"/>
      <c r="BC214" s="178"/>
      <c r="BD214" s="178"/>
      <c r="BE214" s="178"/>
      <c r="BF214" s="178"/>
      <c r="BG214" s="178"/>
      <c r="BH214" s="178"/>
      <c r="BI214" s="179"/>
      <c r="BJ214" s="180"/>
      <c r="BK214" s="178"/>
      <c r="BL214" s="178"/>
      <c r="BM214" s="178"/>
      <c r="BN214" s="178"/>
      <c r="BO214" s="181"/>
      <c r="BP214" s="166"/>
      <c r="BQ214" s="177"/>
      <c r="BR214" s="178"/>
      <c r="BS214" s="179"/>
      <c r="BU214" s="166"/>
      <c r="BV214" s="166"/>
      <c r="BW214" s="166"/>
      <c r="BX214" s="166"/>
      <c r="BY214" s="166"/>
      <c r="BZ214" s="166"/>
      <c r="CA214" s="166"/>
      <c r="CB214" s="166"/>
      <c r="CC214" s="166"/>
      <c r="CD214" s="177"/>
      <c r="CE214" s="181"/>
      <c r="CF214" s="177"/>
      <c r="CG214" s="179"/>
      <c r="CH214" s="257"/>
      <c r="CI214" s="182"/>
      <c r="CJ214" s="177"/>
      <c r="CK214" s="182"/>
      <c r="CL214" s="177"/>
      <c r="CM214" s="182"/>
      <c r="CN214" s="177"/>
      <c r="CO214" s="182"/>
      <c r="CP214" s="177"/>
      <c r="CQ214" s="178"/>
      <c r="CR214" s="182"/>
      <c r="CS214" s="173"/>
      <c r="CT214" s="65"/>
      <c r="CU214" s="255" t="str">
        <f t="shared" si="2"/>
        <v/>
      </c>
    </row>
    <row r="215" ht="60.0" hidden="1" customHeight="1">
      <c r="A215" s="65"/>
      <c r="C215" s="167"/>
      <c r="D215" s="205"/>
      <c r="E215" s="262"/>
      <c r="F215" s="170"/>
      <c r="G215" s="170"/>
      <c r="H215" s="170"/>
      <c r="I215" s="170"/>
      <c r="J215" s="170"/>
      <c r="K215" s="171"/>
      <c r="L215" s="171"/>
      <c r="M215" s="171"/>
      <c r="N215" s="209"/>
      <c r="O215" s="172">
        <f t="shared" si="39"/>
        <v>0</v>
      </c>
      <c r="P215" s="166"/>
      <c r="Q215" s="173"/>
      <c r="R215" s="65"/>
      <c r="S215" s="173"/>
      <c r="T215" s="173"/>
      <c r="U215" s="166"/>
      <c r="V215" s="166"/>
      <c r="W215" s="65"/>
      <c r="X215" s="66"/>
      <c r="Y215" s="173"/>
      <c r="Z215" s="166"/>
      <c r="AA215" s="174"/>
      <c r="AB215" s="175"/>
      <c r="AC215" s="175"/>
      <c r="AD215" s="175"/>
      <c r="AE215" s="175"/>
      <c r="AF215" s="175"/>
      <c r="AG215" s="175"/>
      <c r="AH215" s="175"/>
      <c r="AI215" s="176"/>
      <c r="AJ215" s="177"/>
      <c r="AK215" s="178"/>
      <c r="AL215" s="178"/>
      <c r="AM215" s="178"/>
      <c r="AN215" s="178"/>
      <c r="AO215" s="179"/>
      <c r="AP215" s="64"/>
      <c r="AQ215" s="65"/>
      <c r="AR215" s="65"/>
      <c r="AS215" s="65"/>
      <c r="AT215" s="173"/>
      <c r="AU215" s="177"/>
      <c r="AV215" s="178"/>
      <c r="AW215" s="178"/>
      <c r="AX215" s="179"/>
      <c r="AZ215" s="166"/>
      <c r="BA215" s="177"/>
      <c r="BB215" s="178"/>
      <c r="BC215" s="178"/>
      <c r="BD215" s="178"/>
      <c r="BE215" s="178"/>
      <c r="BF215" s="178"/>
      <c r="BG215" s="178"/>
      <c r="BH215" s="178"/>
      <c r="BI215" s="179"/>
      <c r="BJ215" s="180"/>
      <c r="BK215" s="178"/>
      <c r="BL215" s="178"/>
      <c r="BM215" s="178"/>
      <c r="BN215" s="178"/>
      <c r="BO215" s="181"/>
      <c r="BP215" s="166"/>
      <c r="BQ215" s="177"/>
      <c r="BR215" s="178"/>
      <c r="BS215" s="179"/>
      <c r="BU215" s="166"/>
      <c r="BV215" s="166"/>
      <c r="BW215" s="166"/>
      <c r="BX215" s="166"/>
      <c r="BY215" s="166"/>
      <c r="BZ215" s="166"/>
      <c r="CA215" s="166"/>
      <c r="CB215" s="166"/>
      <c r="CC215" s="166"/>
      <c r="CD215" s="177"/>
      <c r="CE215" s="181"/>
      <c r="CF215" s="177"/>
      <c r="CG215" s="179"/>
      <c r="CH215" s="257"/>
      <c r="CI215" s="182"/>
      <c r="CJ215" s="177"/>
      <c r="CK215" s="182"/>
      <c r="CL215" s="177"/>
      <c r="CM215" s="182"/>
      <c r="CN215" s="177"/>
      <c r="CO215" s="182"/>
      <c r="CP215" s="177"/>
      <c r="CQ215" s="178"/>
      <c r="CR215" s="182"/>
      <c r="CS215" s="173"/>
      <c r="CT215" s="65"/>
      <c r="CU215" s="255" t="str">
        <f t="shared" si="2"/>
        <v/>
      </c>
    </row>
    <row r="216" ht="60.0" hidden="1" customHeight="1">
      <c r="A216" s="89"/>
      <c r="B216" s="6"/>
      <c r="C216" s="183"/>
      <c r="D216" s="210"/>
      <c r="E216" s="263"/>
      <c r="F216" s="186"/>
      <c r="G216" s="186"/>
      <c r="H216" s="186"/>
      <c r="I216" s="186"/>
      <c r="J216" s="186"/>
      <c r="K216" s="187"/>
      <c r="L216" s="187"/>
      <c r="M216" s="187"/>
      <c r="N216" s="214"/>
      <c r="O216" s="188">
        <f t="shared" ref="O216:O222" si="40">IF(AND(M216&lt;&gt;0,M216&lt;&gt;"m",M216&lt;&gt;"",RIGHT(K216,3)="Lec"),1,IF(AND(M216&lt;&gt;0,M216&lt;&gt;"m",M216&lt;&gt;"",OR(RIGHT(K216,3)="Lab",RIGHT(K216,3)="Tut")),0.5,IF(AND(M216&lt;&gt;0,M216&lt;&gt;"m",M216&lt;&gt;"",RIGHT(K216,2)="TL"),0.75,0)))</f>
        <v>0</v>
      </c>
      <c r="P216" s="63"/>
      <c r="Q216" s="69"/>
      <c r="R216" s="89"/>
      <c r="S216" s="69"/>
      <c r="T216" s="69"/>
      <c r="U216" s="63"/>
      <c r="V216" s="63"/>
      <c r="W216" s="89"/>
      <c r="X216" s="68"/>
      <c r="Y216" s="69"/>
      <c r="Z216" s="63"/>
      <c r="AA216" s="189"/>
      <c r="AB216" s="190"/>
      <c r="AC216" s="190"/>
      <c r="AD216" s="190"/>
      <c r="AE216" s="190"/>
      <c r="AF216" s="190"/>
      <c r="AG216" s="190"/>
      <c r="AH216" s="190"/>
      <c r="AI216" s="191"/>
      <c r="AJ216" s="192"/>
      <c r="AK216" s="193"/>
      <c r="AL216" s="193"/>
      <c r="AM216" s="193"/>
      <c r="AN216" s="193"/>
      <c r="AO216" s="194"/>
      <c r="AP216" s="103"/>
      <c r="AQ216" s="89"/>
      <c r="AR216" s="89"/>
      <c r="AS216" s="89"/>
      <c r="AT216" s="69"/>
      <c r="AU216" s="192"/>
      <c r="AV216" s="193"/>
      <c r="AW216" s="193"/>
      <c r="AX216" s="194"/>
      <c r="AY216" s="6"/>
      <c r="AZ216" s="63"/>
      <c r="BA216" s="192"/>
      <c r="BB216" s="193"/>
      <c r="BC216" s="193"/>
      <c r="BD216" s="193"/>
      <c r="BE216" s="193"/>
      <c r="BF216" s="193"/>
      <c r="BG216" s="193"/>
      <c r="BH216" s="193"/>
      <c r="BI216" s="194"/>
      <c r="BJ216" s="195"/>
      <c r="BK216" s="193"/>
      <c r="BL216" s="193"/>
      <c r="BM216" s="193"/>
      <c r="BN216" s="193"/>
      <c r="BO216" s="196"/>
      <c r="BP216" s="63"/>
      <c r="BQ216" s="192"/>
      <c r="BR216" s="193"/>
      <c r="BS216" s="194"/>
      <c r="BT216" s="6"/>
      <c r="BU216" s="63"/>
      <c r="BV216" s="63"/>
      <c r="BW216" s="63"/>
      <c r="BX216" s="63"/>
      <c r="BY216" s="63"/>
      <c r="BZ216" s="63"/>
      <c r="CA216" s="63"/>
      <c r="CB216" s="63"/>
      <c r="CC216" s="63"/>
      <c r="CD216" s="192"/>
      <c r="CE216" s="196"/>
      <c r="CF216" s="192"/>
      <c r="CG216" s="194"/>
      <c r="CH216" s="259"/>
      <c r="CI216" s="197"/>
      <c r="CJ216" s="192"/>
      <c r="CK216" s="197"/>
      <c r="CL216" s="192"/>
      <c r="CM216" s="197"/>
      <c r="CN216" s="192"/>
      <c r="CO216" s="197"/>
      <c r="CP216" s="192"/>
      <c r="CQ216" s="193"/>
      <c r="CR216" s="197"/>
      <c r="CS216" s="69"/>
      <c r="CT216" s="89"/>
      <c r="CU216" s="255" t="str">
        <f t="shared" si="2"/>
        <v/>
      </c>
    </row>
    <row r="217" ht="55.5" hidden="1" customHeight="1">
      <c r="A217" s="125">
        <v>20.0</v>
      </c>
      <c r="B217" s="199"/>
      <c r="C217" s="127"/>
      <c r="D217" s="128"/>
      <c r="E217" s="260"/>
      <c r="F217" s="261"/>
      <c r="G217" s="261"/>
      <c r="H217" s="261"/>
      <c r="I217" s="261"/>
      <c r="J217" s="170"/>
      <c r="K217" s="219"/>
      <c r="L217" s="219"/>
      <c r="M217" s="219"/>
      <c r="N217" s="220"/>
      <c r="O217" s="132">
        <f t="shared" si="40"/>
        <v>0</v>
      </c>
      <c r="P217" s="133">
        <f>COUNTIF(K217:K227,"TL")*0.75+COUNTIF(K217:K227,"Lec")*1+COUNTIF(K217:K227,"Lab")*0.5</f>
        <v>0</v>
      </c>
      <c r="Q217" s="134">
        <f>SUM((IF(LEFT(K217,1)="E",O217,0)),(IF(LEFT(K218,1)="E",O218,0)),(IF(LEFT(K219,1)="E",O219,0)),(IF(LEFT(K220,1)="E",O220,0)),(IF(LEFT(K221,1)="E",O221,0)),(IF(LEFT(K222,1)="E",O222,0)),(IF(LEFT(K223,1)="E",O223,0)),(IF(LEFT(K224,1)="E",O224,0)),(IF(LEFT(K225,1)="E",O225,0)),(IF(LEFT(K226,1)="E",O226,0)),(IF(LEFT(K227,1)="E",O227,0)))</f>
        <v>0</v>
      </c>
      <c r="R217" s="135">
        <f>SUM(IF(M223&lt;20,IF(K223="Plec",-1,IF(K223="PTL",-0.75,IF(K223="Plab",-0.5,0))),0),IF(M224&lt;20,IF(K224="Plec",-1,IF(K224="PTL",-0.75,IF(K224="Plab",-0.5,0))),0),IF(M225&lt;20,IF(K225="Plec",-1,IF(K225="PTL",-0.75,IF(K225="Plab",-0.5,0))),0),IF(M226&lt;20,IF(K226="Plec",-1,IF(K226="PTL",-0.75,IF(K226="Plab",-0.5,0))),0))</f>
        <v>0</v>
      </c>
      <c r="S217" s="134">
        <f>SUM(P217:R227)</f>
        <v>0</v>
      </c>
      <c r="T217" s="136">
        <f>SUM(IF(M217="M",IF(OR(K217="lec",K217="plec",K217="slec"),1,IF(OR(K217="lab",K217="plab",K217="slab",K217="tut",K217="ptut",K217="stut"),0.5,IF(OR(K217="TL",K217="pTL",K217="STL"),0.75,0))),0),IF(M218="M",IF(OR(K218="lec",K218="plec",K218="slec"),1,IF(OR(K218="lab",K218="plab",K218="slab",K218="tut",K218="ptut",K218="stut"),0.5,IF(OR(K218="TL",K218="pTL",K218="STL"),0.75,0))),0),IF(M219="M",IF(OR(K219="lec",K219="plec",K219="slec"),1,IF(OR(K219="lab",K219="plab",K219="slab",K219="tut",K219="ptut",K219="stut"),0.5,IF(OR(K219="TL",K219="pTL",K219="STL"),0.75,0))),0),IF(M220="M",IF(OR(K220="lec",K220="plec",K220="slec"),1,IF(OR(K220="lab",K220="plab",K220="slab",K220="tut",K220="ptut",K220="stut"),0.5,IF(OR(K220="TL",K220="pTL",K220="STL"),0.75,0))),0),IF(M221="M",IF(OR(K221="lec",K221="plec",K221="slec"),1,IF(OR(K221="lab",K221="plab",K221="slab",K221="tut",K221="ptut",K221="stut"),0.5,IF(OR(K221="TL",K221="pTL",K221="STL"),0.75,0))),0),IF(M222="M",IF(OR(K222="lec",K222="plec",K222="slec"),1,IF(OR(K222="lab",K222="plab",K222="slab",K222="tut",K222="ptut",K222="stut"),0.5,IF(OR(K222="TL",K222="pTL",K222="STL"),0.75,0))),0),IF(M223="M",IF(OR(K223="lec",K223="plec",K223="slec"),1,IF(OR(K223="lab",K223="plab",K223="slab",K223="tut",K223="ptut",K223="stut"),0.5,IF(OR(K223="TL",K223="pTL",K223="STL"),0.75,0))),0),IF(M224="M",IF(OR(K224="lec",K224="plec",K224="slec"),1,IF(OR(K224="lab",K224="plab",K224="slab",K224="tut",K224="ptut",K224="stut"),0.5,IF(OR(K224="TL",K224="pTL",K224="STL"),0.75,0))),0),IF(M225="M",IF(OR(K225="lec",K225="plec",K225="slec"),1,IF(OR(K225="lab",K225="plab",K225="slab",K225="tut",K225="ptut",K225="stut"),0.5,IF(OR(K225="TL",K225="pTL",K225="STL"),0.75,0))),0),IF(M226="M",IF(OR(K226="lec",K226="plec",K226="slec"),1,IF(OR(K226="lab",K226="plab",K226="slab",K226="tut",K226="ptut",K226="stut"),0.5,IF(OR(K226="TL",K226="pTL",K226="STL"),0.75,0))),0),IF(M227="M",IF(OR(K227="lec",K227="plec",K227="slec"),1,IF(OR(K227="lab",K227="plab",K227="slab",K227="tut",K227="ptut",K227="stut"),0.5,IF(OR(K227="TL",K227="pTL",K227="STL"),0.75,0))),0))</f>
        <v>0</v>
      </c>
      <c r="U217" s="137"/>
      <c r="V217" s="133"/>
      <c r="W217" s="138"/>
      <c r="X217" s="139">
        <f>S217-(T217+U217+V217+W217)</f>
        <v>0</v>
      </c>
      <c r="Y217" s="134" t="str">
        <f>CONCATENATE(SUM(O217:O227),"(",SUM(O217:O227)-X217,")")</f>
        <v>0(0)</v>
      </c>
      <c r="Z217" s="140"/>
      <c r="AA217" s="141"/>
      <c r="AB217" s="142"/>
      <c r="AC217" s="142"/>
      <c r="AD217" s="142"/>
      <c r="AE217" s="142"/>
      <c r="AF217" s="142"/>
      <c r="AG217" s="142"/>
      <c r="AH217" s="142"/>
      <c r="AI217" s="143"/>
      <c r="AJ217" s="144"/>
      <c r="AK217" s="145"/>
      <c r="AL217" s="145"/>
      <c r="AM217" s="145"/>
      <c r="AN217" s="145"/>
      <c r="AO217" s="146"/>
      <c r="AP217" s="147">
        <f>SUM(SUM(O217:O227),SUM(AI217:AI227)/2,AM217)</f>
        <v>0</v>
      </c>
      <c r="AQ217" s="148"/>
      <c r="AR217" s="148">
        <f>AP217*AQ217</f>
        <v>0</v>
      </c>
      <c r="AS217" s="148">
        <f>CT217</f>
        <v>0</v>
      </c>
      <c r="AT217" s="149">
        <f>AR217*0.75+AS217*0.25</f>
        <v>0</v>
      </c>
      <c r="AU217" s="150"/>
      <c r="AV217" s="151"/>
      <c r="AW217" s="151"/>
      <c r="AX217" s="152"/>
      <c r="AY217" s="153"/>
      <c r="AZ217" s="140"/>
      <c r="BA217" s="150"/>
      <c r="BB217" s="151"/>
      <c r="BC217" s="151"/>
      <c r="BD217" s="151"/>
      <c r="BE217" s="151"/>
      <c r="BF217" s="151"/>
      <c r="BG217" s="151"/>
      <c r="BH217" s="151"/>
      <c r="BI217" s="152"/>
      <c r="BJ217" s="154"/>
      <c r="BK217" s="151"/>
      <c r="BL217" s="151"/>
      <c r="BM217" s="151"/>
      <c r="BN217" s="151"/>
      <c r="BO217" s="155"/>
      <c r="BP217" s="140"/>
      <c r="BQ217" s="156"/>
      <c r="BR217" s="157"/>
      <c r="BS217" s="158"/>
      <c r="BT217" s="153"/>
      <c r="BU217" s="140"/>
      <c r="BV217" s="140"/>
      <c r="BW217" s="140"/>
      <c r="BX217" s="140"/>
      <c r="BY217" s="140"/>
      <c r="BZ217" s="140"/>
      <c r="CA217" s="140"/>
      <c r="CB217" s="140"/>
      <c r="CC217" s="140"/>
      <c r="CD217" s="150"/>
      <c r="CE217" s="155"/>
      <c r="CF217" s="150"/>
      <c r="CG217" s="152"/>
      <c r="CH217" s="252"/>
      <c r="CI217" s="160"/>
      <c r="CJ217" s="159"/>
      <c r="CK217" s="160"/>
      <c r="CL217" s="159"/>
      <c r="CM217" s="160"/>
      <c r="CN217" s="159"/>
      <c r="CO217" s="160"/>
      <c r="CP217" s="159"/>
      <c r="CQ217" s="162"/>
      <c r="CR217" s="160"/>
      <c r="CS217" s="253">
        <f>SUM(IF(AU217&lt;0,ABS(AU217),0),IF(AZ217&lt;0,ABS(AZ217),0),ABS(CI217),ABS(CK217),ABS(CM217),ABS(CO217),ABS(CQ217),ABS(CR217))</f>
        <v>0</v>
      </c>
      <c r="CT217" s="254">
        <f>SUM(AU217,AV217,AW217,AX217/400,AY217,AZ217,BG217,BH217*0.5,BI217*0.25,BJ217,BK217,BL217,BM217,BN217,BO217,BP217,BR217/20,BS217/100,BT217/60,BU217,BV217,BW217,BX217/4,SUM(BY217:CC227)/3,CE217,CG217/3,CI217,CK217,CM217,CO217,CQ217,CR217)</f>
        <v>0</v>
      </c>
      <c r="CU217" s="255" t="str">
        <f t="shared" si="2"/>
        <v/>
      </c>
    </row>
    <row r="218" ht="60.0" hidden="1" customHeight="1">
      <c r="A218" s="65"/>
      <c r="C218" s="167"/>
      <c r="D218" s="205"/>
      <c r="E218" s="262"/>
      <c r="F218" s="170"/>
      <c r="G218" s="170"/>
      <c r="H218" s="170"/>
      <c r="I218" s="170"/>
      <c r="J218" s="170"/>
      <c r="K218" s="171"/>
      <c r="L218" s="171"/>
      <c r="M218" s="171"/>
      <c r="N218" s="209"/>
      <c r="O218" s="172">
        <f t="shared" si="40"/>
        <v>0</v>
      </c>
      <c r="P218" s="166"/>
      <c r="Q218" s="173"/>
      <c r="R218" s="65"/>
      <c r="S218" s="173"/>
      <c r="T218" s="173"/>
      <c r="U218" s="166"/>
      <c r="V218" s="166"/>
      <c r="W218" s="65"/>
      <c r="X218" s="66"/>
      <c r="Y218" s="173"/>
      <c r="Z218" s="166"/>
      <c r="AA218" s="174"/>
      <c r="AB218" s="175"/>
      <c r="AC218" s="175"/>
      <c r="AD218" s="175"/>
      <c r="AE218" s="175"/>
      <c r="AF218" s="175"/>
      <c r="AG218" s="175"/>
      <c r="AH218" s="175"/>
      <c r="AI218" s="176"/>
      <c r="AJ218" s="177"/>
      <c r="AK218" s="178"/>
      <c r="AL218" s="178"/>
      <c r="AM218" s="178"/>
      <c r="AN218" s="178"/>
      <c r="AO218" s="179"/>
      <c r="AP218" s="64"/>
      <c r="AQ218" s="65"/>
      <c r="AR218" s="65"/>
      <c r="AS218" s="65"/>
      <c r="AT218" s="173"/>
      <c r="AU218" s="177"/>
      <c r="AV218" s="178"/>
      <c r="AW218" s="178"/>
      <c r="AX218" s="179"/>
      <c r="AZ218" s="166"/>
      <c r="BA218" s="177"/>
      <c r="BB218" s="178"/>
      <c r="BC218" s="178"/>
      <c r="BD218" s="178"/>
      <c r="BE218" s="178"/>
      <c r="BF218" s="178"/>
      <c r="BG218" s="178"/>
      <c r="BH218" s="178"/>
      <c r="BI218" s="179"/>
      <c r="BJ218" s="180"/>
      <c r="BK218" s="178"/>
      <c r="BL218" s="178"/>
      <c r="BM218" s="178"/>
      <c r="BN218" s="178"/>
      <c r="BO218" s="181"/>
      <c r="BP218" s="166"/>
      <c r="BQ218" s="177"/>
      <c r="BR218" s="178"/>
      <c r="BS218" s="179"/>
      <c r="BU218" s="166"/>
      <c r="BV218" s="166"/>
      <c r="BW218" s="166"/>
      <c r="BX218" s="166"/>
      <c r="BY218" s="166"/>
      <c r="BZ218" s="166"/>
      <c r="CA218" s="166"/>
      <c r="CB218" s="166"/>
      <c r="CC218" s="166"/>
      <c r="CD218" s="177"/>
      <c r="CE218" s="181"/>
      <c r="CF218" s="177"/>
      <c r="CG218" s="179"/>
      <c r="CH218" s="257"/>
      <c r="CI218" s="182"/>
      <c r="CJ218" s="177"/>
      <c r="CK218" s="182"/>
      <c r="CL218" s="177"/>
      <c r="CM218" s="182"/>
      <c r="CN218" s="177"/>
      <c r="CO218" s="182"/>
      <c r="CP218" s="177"/>
      <c r="CQ218" s="178"/>
      <c r="CR218" s="182"/>
      <c r="CS218" s="173"/>
      <c r="CT218" s="65"/>
      <c r="CU218" s="255" t="str">
        <f t="shared" si="2"/>
        <v/>
      </c>
    </row>
    <row r="219" ht="60.0" hidden="1" customHeight="1">
      <c r="A219" s="65"/>
      <c r="C219" s="167"/>
      <c r="D219" s="205"/>
      <c r="E219" s="262"/>
      <c r="F219" s="170"/>
      <c r="G219" s="170"/>
      <c r="H219" s="170"/>
      <c r="I219" s="170"/>
      <c r="J219" s="170"/>
      <c r="K219" s="171"/>
      <c r="L219" s="171"/>
      <c r="M219" s="171"/>
      <c r="N219" s="209"/>
      <c r="O219" s="172">
        <f t="shared" si="40"/>
        <v>0</v>
      </c>
      <c r="P219" s="166"/>
      <c r="Q219" s="173"/>
      <c r="R219" s="65"/>
      <c r="S219" s="173"/>
      <c r="T219" s="173"/>
      <c r="U219" s="166"/>
      <c r="V219" s="166"/>
      <c r="W219" s="65"/>
      <c r="X219" s="66"/>
      <c r="Y219" s="173"/>
      <c r="Z219" s="166"/>
      <c r="AA219" s="174"/>
      <c r="AB219" s="175"/>
      <c r="AC219" s="175"/>
      <c r="AD219" s="175"/>
      <c r="AE219" s="175"/>
      <c r="AF219" s="175"/>
      <c r="AG219" s="175"/>
      <c r="AH219" s="175"/>
      <c r="AI219" s="176"/>
      <c r="AJ219" s="177"/>
      <c r="AK219" s="178"/>
      <c r="AL219" s="178"/>
      <c r="AM219" s="178"/>
      <c r="AN219" s="178"/>
      <c r="AO219" s="179"/>
      <c r="AP219" s="64"/>
      <c r="AQ219" s="65"/>
      <c r="AR219" s="65"/>
      <c r="AS219" s="65"/>
      <c r="AT219" s="173"/>
      <c r="AU219" s="177"/>
      <c r="AV219" s="178"/>
      <c r="AW219" s="178"/>
      <c r="AX219" s="179"/>
      <c r="AZ219" s="166"/>
      <c r="BA219" s="177"/>
      <c r="BB219" s="178"/>
      <c r="BC219" s="178"/>
      <c r="BD219" s="178"/>
      <c r="BE219" s="178"/>
      <c r="BF219" s="178"/>
      <c r="BG219" s="178"/>
      <c r="BH219" s="178"/>
      <c r="BI219" s="179"/>
      <c r="BJ219" s="180"/>
      <c r="BK219" s="178"/>
      <c r="BL219" s="178"/>
      <c r="BM219" s="178"/>
      <c r="BN219" s="178"/>
      <c r="BO219" s="181"/>
      <c r="BP219" s="166"/>
      <c r="BQ219" s="177"/>
      <c r="BR219" s="178"/>
      <c r="BS219" s="179"/>
      <c r="BU219" s="166"/>
      <c r="BV219" s="166"/>
      <c r="BW219" s="166"/>
      <c r="BX219" s="166"/>
      <c r="BY219" s="166"/>
      <c r="BZ219" s="166"/>
      <c r="CA219" s="166"/>
      <c r="CB219" s="166"/>
      <c r="CC219" s="166"/>
      <c r="CD219" s="177"/>
      <c r="CE219" s="181"/>
      <c r="CF219" s="177"/>
      <c r="CG219" s="179"/>
      <c r="CH219" s="257"/>
      <c r="CI219" s="182"/>
      <c r="CJ219" s="177"/>
      <c r="CK219" s="182"/>
      <c r="CL219" s="177"/>
      <c r="CM219" s="182"/>
      <c r="CN219" s="177"/>
      <c r="CO219" s="182"/>
      <c r="CP219" s="177"/>
      <c r="CQ219" s="178"/>
      <c r="CR219" s="182"/>
      <c r="CS219" s="173"/>
      <c r="CT219" s="65"/>
      <c r="CU219" s="255" t="str">
        <f t="shared" si="2"/>
        <v/>
      </c>
    </row>
    <row r="220" ht="60.0" hidden="1" customHeight="1">
      <c r="A220" s="65"/>
      <c r="C220" s="167"/>
      <c r="D220" s="205"/>
      <c r="E220" s="262"/>
      <c r="F220" s="170"/>
      <c r="G220" s="170"/>
      <c r="H220" s="170"/>
      <c r="I220" s="170"/>
      <c r="J220" s="170"/>
      <c r="K220" s="171"/>
      <c r="L220" s="171"/>
      <c r="M220" s="171"/>
      <c r="N220" s="209"/>
      <c r="O220" s="172">
        <f t="shared" si="40"/>
        <v>0</v>
      </c>
      <c r="P220" s="166"/>
      <c r="Q220" s="173"/>
      <c r="R220" s="65"/>
      <c r="S220" s="173"/>
      <c r="T220" s="173"/>
      <c r="U220" s="166"/>
      <c r="V220" s="166"/>
      <c r="W220" s="65"/>
      <c r="X220" s="66"/>
      <c r="Y220" s="173"/>
      <c r="Z220" s="166"/>
      <c r="AA220" s="174"/>
      <c r="AB220" s="175"/>
      <c r="AC220" s="175"/>
      <c r="AD220" s="175"/>
      <c r="AE220" s="175"/>
      <c r="AF220" s="175"/>
      <c r="AG220" s="175"/>
      <c r="AH220" s="175"/>
      <c r="AI220" s="176"/>
      <c r="AJ220" s="177"/>
      <c r="AK220" s="178"/>
      <c r="AL220" s="178"/>
      <c r="AM220" s="178"/>
      <c r="AN220" s="178"/>
      <c r="AO220" s="179"/>
      <c r="AP220" s="64"/>
      <c r="AQ220" s="65"/>
      <c r="AR220" s="65"/>
      <c r="AS220" s="65"/>
      <c r="AT220" s="173"/>
      <c r="AU220" s="177"/>
      <c r="AV220" s="178"/>
      <c r="AW220" s="178"/>
      <c r="AX220" s="179"/>
      <c r="AZ220" s="166"/>
      <c r="BA220" s="177"/>
      <c r="BB220" s="178"/>
      <c r="BC220" s="178"/>
      <c r="BD220" s="178"/>
      <c r="BE220" s="178"/>
      <c r="BF220" s="178"/>
      <c r="BG220" s="178"/>
      <c r="BH220" s="178"/>
      <c r="BI220" s="179"/>
      <c r="BJ220" s="180"/>
      <c r="BK220" s="178"/>
      <c r="BL220" s="178"/>
      <c r="BM220" s="178"/>
      <c r="BN220" s="178"/>
      <c r="BO220" s="181"/>
      <c r="BP220" s="166"/>
      <c r="BQ220" s="177"/>
      <c r="BR220" s="178"/>
      <c r="BS220" s="179"/>
      <c r="BU220" s="166"/>
      <c r="BV220" s="166"/>
      <c r="BW220" s="166"/>
      <c r="BX220" s="166"/>
      <c r="BY220" s="166"/>
      <c r="BZ220" s="166"/>
      <c r="CA220" s="166"/>
      <c r="CB220" s="166"/>
      <c r="CC220" s="166"/>
      <c r="CD220" s="177"/>
      <c r="CE220" s="181"/>
      <c r="CF220" s="177"/>
      <c r="CG220" s="179"/>
      <c r="CH220" s="257"/>
      <c r="CI220" s="182"/>
      <c r="CJ220" s="177"/>
      <c r="CK220" s="182"/>
      <c r="CL220" s="177"/>
      <c r="CM220" s="182"/>
      <c r="CN220" s="177"/>
      <c r="CO220" s="182"/>
      <c r="CP220" s="177"/>
      <c r="CQ220" s="178"/>
      <c r="CR220" s="182"/>
      <c r="CS220" s="173"/>
      <c r="CT220" s="65"/>
      <c r="CU220" s="255" t="str">
        <f t="shared" si="2"/>
        <v/>
      </c>
    </row>
    <row r="221" ht="60.0" hidden="1" customHeight="1">
      <c r="A221" s="65"/>
      <c r="C221" s="167"/>
      <c r="D221" s="205"/>
      <c r="E221" s="262"/>
      <c r="F221" s="170"/>
      <c r="G221" s="170"/>
      <c r="H221" s="170"/>
      <c r="I221" s="170"/>
      <c r="J221" s="170"/>
      <c r="K221" s="171"/>
      <c r="L221" s="171"/>
      <c r="M221" s="171"/>
      <c r="N221" s="209"/>
      <c r="O221" s="172">
        <f t="shared" si="40"/>
        <v>0</v>
      </c>
      <c r="P221" s="166"/>
      <c r="Q221" s="173"/>
      <c r="R221" s="65"/>
      <c r="S221" s="173"/>
      <c r="T221" s="173"/>
      <c r="U221" s="166"/>
      <c r="V221" s="166"/>
      <c r="W221" s="65"/>
      <c r="X221" s="66"/>
      <c r="Y221" s="173"/>
      <c r="Z221" s="166"/>
      <c r="AA221" s="174"/>
      <c r="AB221" s="175"/>
      <c r="AC221" s="175"/>
      <c r="AD221" s="175"/>
      <c r="AE221" s="175"/>
      <c r="AF221" s="175"/>
      <c r="AG221" s="175"/>
      <c r="AH221" s="175"/>
      <c r="AI221" s="176"/>
      <c r="AJ221" s="177"/>
      <c r="AK221" s="178"/>
      <c r="AL221" s="178"/>
      <c r="AM221" s="178"/>
      <c r="AN221" s="178"/>
      <c r="AO221" s="179"/>
      <c r="AP221" s="64"/>
      <c r="AQ221" s="65"/>
      <c r="AR221" s="65"/>
      <c r="AS221" s="65"/>
      <c r="AT221" s="173"/>
      <c r="AU221" s="177"/>
      <c r="AV221" s="178"/>
      <c r="AW221" s="178"/>
      <c r="AX221" s="179"/>
      <c r="AZ221" s="166"/>
      <c r="BA221" s="177"/>
      <c r="BB221" s="178"/>
      <c r="BC221" s="178"/>
      <c r="BD221" s="178"/>
      <c r="BE221" s="178"/>
      <c r="BF221" s="178"/>
      <c r="BG221" s="178"/>
      <c r="BH221" s="178"/>
      <c r="BI221" s="179"/>
      <c r="BJ221" s="180"/>
      <c r="BK221" s="178"/>
      <c r="BL221" s="178"/>
      <c r="BM221" s="178"/>
      <c r="BN221" s="178"/>
      <c r="BO221" s="181"/>
      <c r="BP221" s="166"/>
      <c r="BQ221" s="177"/>
      <c r="BR221" s="178"/>
      <c r="BS221" s="179"/>
      <c r="BU221" s="166"/>
      <c r="BV221" s="166"/>
      <c r="BW221" s="166"/>
      <c r="BX221" s="166"/>
      <c r="BY221" s="166"/>
      <c r="BZ221" s="166"/>
      <c r="CA221" s="166"/>
      <c r="CB221" s="166"/>
      <c r="CC221" s="166"/>
      <c r="CD221" s="177"/>
      <c r="CE221" s="181"/>
      <c r="CF221" s="177"/>
      <c r="CG221" s="179"/>
      <c r="CH221" s="257"/>
      <c r="CI221" s="182"/>
      <c r="CJ221" s="177"/>
      <c r="CK221" s="182"/>
      <c r="CL221" s="177"/>
      <c r="CM221" s="182"/>
      <c r="CN221" s="177"/>
      <c r="CO221" s="182"/>
      <c r="CP221" s="177"/>
      <c r="CQ221" s="178"/>
      <c r="CR221" s="182"/>
      <c r="CS221" s="173"/>
      <c r="CT221" s="65"/>
      <c r="CU221" s="255" t="str">
        <f t="shared" si="2"/>
        <v/>
      </c>
    </row>
    <row r="222" ht="60.0" hidden="1" customHeight="1">
      <c r="A222" s="65"/>
      <c r="C222" s="167"/>
      <c r="D222" s="205"/>
      <c r="E222" s="262"/>
      <c r="F222" s="170"/>
      <c r="G222" s="170"/>
      <c r="H222" s="170"/>
      <c r="I222" s="170"/>
      <c r="J222" s="170"/>
      <c r="K222" s="171"/>
      <c r="L222" s="171"/>
      <c r="M222" s="171"/>
      <c r="N222" s="209"/>
      <c r="O222" s="172">
        <f t="shared" si="40"/>
        <v>0</v>
      </c>
      <c r="P222" s="166"/>
      <c r="Q222" s="173"/>
      <c r="R222" s="65"/>
      <c r="S222" s="173"/>
      <c r="T222" s="173"/>
      <c r="U222" s="166"/>
      <c r="V222" s="166"/>
      <c r="W222" s="65"/>
      <c r="X222" s="66"/>
      <c r="Y222" s="173"/>
      <c r="Z222" s="166"/>
      <c r="AA222" s="174"/>
      <c r="AB222" s="175"/>
      <c r="AC222" s="175"/>
      <c r="AD222" s="175"/>
      <c r="AE222" s="175"/>
      <c r="AF222" s="175"/>
      <c r="AG222" s="175"/>
      <c r="AH222" s="175"/>
      <c r="AI222" s="176"/>
      <c r="AJ222" s="177"/>
      <c r="AK222" s="178"/>
      <c r="AL222" s="178"/>
      <c r="AM222" s="178"/>
      <c r="AN222" s="178"/>
      <c r="AO222" s="179"/>
      <c r="AP222" s="64"/>
      <c r="AQ222" s="65"/>
      <c r="AR222" s="65"/>
      <c r="AS222" s="65"/>
      <c r="AT222" s="173"/>
      <c r="AU222" s="177"/>
      <c r="AV222" s="178"/>
      <c r="AW222" s="178"/>
      <c r="AX222" s="179"/>
      <c r="AZ222" s="166"/>
      <c r="BA222" s="177"/>
      <c r="BB222" s="178"/>
      <c r="BC222" s="178"/>
      <c r="BD222" s="178"/>
      <c r="BE222" s="178"/>
      <c r="BF222" s="178"/>
      <c r="BG222" s="178"/>
      <c r="BH222" s="178"/>
      <c r="BI222" s="179"/>
      <c r="BJ222" s="180"/>
      <c r="BK222" s="178"/>
      <c r="BL222" s="178"/>
      <c r="BM222" s="178"/>
      <c r="BN222" s="178"/>
      <c r="BO222" s="181"/>
      <c r="BP222" s="166"/>
      <c r="BQ222" s="177"/>
      <c r="BR222" s="178"/>
      <c r="BS222" s="179"/>
      <c r="BU222" s="166"/>
      <c r="BV222" s="166"/>
      <c r="BW222" s="166"/>
      <c r="BX222" s="166"/>
      <c r="BY222" s="166"/>
      <c r="BZ222" s="166"/>
      <c r="CA222" s="166"/>
      <c r="CB222" s="166"/>
      <c r="CC222" s="166"/>
      <c r="CD222" s="177"/>
      <c r="CE222" s="181"/>
      <c r="CF222" s="177"/>
      <c r="CG222" s="179"/>
      <c r="CH222" s="257"/>
      <c r="CI222" s="182"/>
      <c r="CJ222" s="177"/>
      <c r="CK222" s="182"/>
      <c r="CL222" s="177"/>
      <c r="CM222" s="182"/>
      <c r="CN222" s="177"/>
      <c r="CO222" s="182"/>
      <c r="CP222" s="177"/>
      <c r="CQ222" s="178"/>
      <c r="CR222" s="182"/>
      <c r="CS222" s="173"/>
      <c r="CT222" s="65"/>
      <c r="CU222" s="255" t="str">
        <f t="shared" si="2"/>
        <v/>
      </c>
    </row>
    <row r="223" ht="60.0" hidden="1" customHeight="1">
      <c r="A223" s="65"/>
      <c r="C223" s="167"/>
      <c r="D223" s="205"/>
      <c r="E223" s="262"/>
      <c r="F223" s="170"/>
      <c r="G223" s="170"/>
      <c r="H223" s="170"/>
      <c r="I223" s="170"/>
      <c r="J223" s="170"/>
      <c r="K223" s="171"/>
      <c r="L223" s="171"/>
      <c r="M223" s="171"/>
      <c r="N223" s="209"/>
      <c r="O223" s="172">
        <f t="shared" ref="O223:O226" si="41">IF(AND(M223&gt;=20,M223&lt;&gt;"m",RIGHT(K223,3)="Lec"),1,IF(AND(M223&gt;=20,M223&lt;&gt;"m",OR(RIGHT(K223,3)="Lab",RIGHT(K223,3)="Tut")),0.5,IF(AND(M223&gt;=20,M223&lt;&gt;"m",RIGHT(K223,2)="TL"),0.75,0)))</f>
        <v>0</v>
      </c>
      <c r="P223" s="166"/>
      <c r="Q223" s="173"/>
      <c r="R223" s="65"/>
      <c r="S223" s="173"/>
      <c r="T223" s="173"/>
      <c r="U223" s="166"/>
      <c r="V223" s="166"/>
      <c r="W223" s="65"/>
      <c r="X223" s="66"/>
      <c r="Y223" s="173"/>
      <c r="Z223" s="166"/>
      <c r="AA223" s="174"/>
      <c r="AB223" s="175"/>
      <c r="AC223" s="175"/>
      <c r="AD223" s="175"/>
      <c r="AE223" s="175"/>
      <c r="AF223" s="175"/>
      <c r="AG223" s="175"/>
      <c r="AH223" s="175"/>
      <c r="AI223" s="176"/>
      <c r="AJ223" s="177"/>
      <c r="AK223" s="178"/>
      <c r="AL223" s="178"/>
      <c r="AM223" s="178"/>
      <c r="AN223" s="178"/>
      <c r="AO223" s="179"/>
      <c r="AP223" s="64"/>
      <c r="AQ223" s="65"/>
      <c r="AR223" s="65"/>
      <c r="AS223" s="65"/>
      <c r="AT223" s="173"/>
      <c r="AU223" s="177"/>
      <c r="AV223" s="178"/>
      <c r="AW223" s="178"/>
      <c r="AX223" s="179"/>
      <c r="AZ223" s="166"/>
      <c r="BA223" s="177"/>
      <c r="BB223" s="178"/>
      <c r="BC223" s="178"/>
      <c r="BD223" s="178"/>
      <c r="BE223" s="178"/>
      <c r="BF223" s="178"/>
      <c r="BG223" s="178"/>
      <c r="BH223" s="178"/>
      <c r="BI223" s="179"/>
      <c r="BJ223" s="180"/>
      <c r="BK223" s="178"/>
      <c r="BL223" s="178"/>
      <c r="BM223" s="178"/>
      <c r="BN223" s="178"/>
      <c r="BO223" s="181"/>
      <c r="BP223" s="166"/>
      <c r="BQ223" s="177"/>
      <c r="BR223" s="178"/>
      <c r="BS223" s="179"/>
      <c r="BU223" s="166"/>
      <c r="BV223" s="166"/>
      <c r="BW223" s="166"/>
      <c r="BX223" s="166"/>
      <c r="BY223" s="166"/>
      <c r="BZ223" s="166"/>
      <c r="CA223" s="166"/>
      <c r="CB223" s="166"/>
      <c r="CC223" s="166"/>
      <c r="CD223" s="177"/>
      <c r="CE223" s="181"/>
      <c r="CF223" s="177"/>
      <c r="CG223" s="179"/>
      <c r="CH223" s="257"/>
      <c r="CI223" s="182"/>
      <c r="CJ223" s="177"/>
      <c r="CK223" s="182"/>
      <c r="CL223" s="177"/>
      <c r="CM223" s="182"/>
      <c r="CN223" s="177"/>
      <c r="CO223" s="182"/>
      <c r="CP223" s="177"/>
      <c r="CQ223" s="178"/>
      <c r="CR223" s="182"/>
      <c r="CS223" s="173"/>
      <c r="CT223" s="65"/>
      <c r="CU223" s="255" t="str">
        <f t="shared" si="2"/>
        <v/>
      </c>
    </row>
    <row r="224" ht="60.0" hidden="1" customHeight="1">
      <c r="A224" s="65"/>
      <c r="C224" s="167"/>
      <c r="D224" s="205"/>
      <c r="E224" s="262"/>
      <c r="F224" s="170"/>
      <c r="G224" s="170"/>
      <c r="H224" s="170"/>
      <c r="I224" s="170"/>
      <c r="J224" s="170"/>
      <c r="K224" s="171"/>
      <c r="L224" s="171"/>
      <c r="M224" s="171"/>
      <c r="N224" s="209"/>
      <c r="O224" s="172">
        <f t="shared" si="41"/>
        <v>0</v>
      </c>
      <c r="P224" s="166"/>
      <c r="Q224" s="173"/>
      <c r="R224" s="65"/>
      <c r="S224" s="173"/>
      <c r="T224" s="173"/>
      <c r="U224" s="166"/>
      <c r="V224" s="166"/>
      <c r="W224" s="65"/>
      <c r="X224" s="66"/>
      <c r="Y224" s="173"/>
      <c r="Z224" s="166"/>
      <c r="AA224" s="174"/>
      <c r="AB224" s="175"/>
      <c r="AC224" s="175"/>
      <c r="AD224" s="175"/>
      <c r="AE224" s="175"/>
      <c r="AF224" s="175"/>
      <c r="AG224" s="175"/>
      <c r="AH224" s="175"/>
      <c r="AI224" s="176"/>
      <c r="AJ224" s="177"/>
      <c r="AK224" s="178"/>
      <c r="AL224" s="178"/>
      <c r="AM224" s="178"/>
      <c r="AN224" s="178"/>
      <c r="AO224" s="179"/>
      <c r="AP224" s="64"/>
      <c r="AQ224" s="65"/>
      <c r="AR224" s="65"/>
      <c r="AS224" s="65"/>
      <c r="AT224" s="173"/>
      <c r="AU224" s="177"/>
      <c r="AV224" s="178"/>
      <c r="AW224" s="178"/>
      <c r="AX224" s="179"/>
      <c r="AZ224" s="166"/>
      <c r="BA224" s="177"/>
      <c r="BB224" s="178"/>
      <c r="BC224" s="178"/>
      <c r="BD224" s="178"/>
      <c r="BE224" s="178"/>
      <c r="BF224" s="178"/>
      <c r="BG224" s="178"/>
      <c r="BH224" s="178"/>
      <c r="BI224" s="179"/>
      <c r="BJ224" s="180"/>
      <c r="BK224" s="178"/>
      <c r="BL224" s="178"/>
      <c r="BM224" s="178"/>
      <c r="BN224" s="178"/>
      <c r="BO224" s="181"/>
      <c r="BP224" s="166"/>
      <c r="BQ224" s="177"/>
      <c r="BR224" s="178"/>
      <c r="BS224" s="179"/>
      <c r="BU224" s="166"/>
      <c r="BV224" s="166"/>
      <c r="BW224" s="166"/>
      <c r="BX224" s="166"/>
      <c r="BY224" s="166"/>
      <c r="BZ224" s="166"/>
      <c r="CA224" s="166"/>
      <c r="CB224" s="166"/>
      <c r="CC224" s="166"/>
      <c r="CD224" s="177"/>
      <c r="CE224" s="181"/>
      <c r="CF224" s="177"/>
      <c r="CG224" s="179"/>
      <c r="CH224" s="257"/>
      <c r="CI224" s="182"/>
      <c r="CJ224" s="177"/>
      <c r="CK224" s="182"/>
      <c r="CL224" s="177"/>
      <c r="CM224" s="182"/>
      <c r="CN224" s="177"/>
      <c r="CO224" s="182"/>
      <c r="CP224" s="177"/>
      <c r="CQ224" s="178"/>
      <c r="CR224" s="182"/>
      <c r="CS224" s="173"/>
      <c r="CT224" s="65"/>
      <c r="CU224" s="255" t="str">
        <f t="shared" si="2"/>
        <v/>
      </c>
    </row>
    <row r="225" ht="60.0" hidden="1" customHeight="1">
      <c r="A225" s="65"/>
      <c r="C225" s="167"/>
      <c r="D225" s="205"/>
      <c r="E225" s="262"/>
      <c r="F225" s="170"/>
      <c r="G225" s="170"/>
      <c r="H225" s="170"/>
      <c r="I225" s="170"/>
      <c r="J225" s="170"/>
      <c r="K225" s="171"/>
      <c r="L225" s="171"/>
      <c r="M225" s="171"/>
      <c r="N225" s="209"/>
      <c r="O225" s="172">
        <f t="shared" si="41"/>
        <v>0</v>
      </c>
      <c r="P225" s="166"/>
      <c r="Q225" s="173"/>
      <c r="R225" s="65"/>
      <c r="S225" s="173"/>
      <c r="T225" s="173"/>
      <c r="U225" s="166"/>
      <c r="V225" s="166"/>
      <c r="W225" s="65"/>
      <c r="X225" s="66"/>
      <c r="Y225" s="173"/>
      <c r="Z225" s="166"/>
      <c r="AA225" s="174"/>
      <c r="AB225" s="175"/>
      <c r="AC225" s="175"/>
      <c r="AD225" s="175"/>
      <c r="AE225" s="175"/>
      <c r="AF225" s="175"/>
      <c r="AG225" s="175"/>
      <c r="AH225" s="175"/>
      <c r="AI225" s="176"/>
      <c r="AJ225" s="177"/>
      <c r="AK225" s="178"/>
      <c r="AL225" s="178"/>
      <c r="AM225" s="178"/>
      <c r="AN225" s="178"/>
      <c r="AO225" s="179"/>
      <c r="AP225" s="64"/>
      <c r="AQ225" s="65"/>
      <c r="AR225" s="65"/>
      <c r="AS225" s="65"/>
      <c r="AT225" s="173"/>
      <c r="AU225" s="177"/>
      <c r="AV225" s="178"/>
      <c r="AW225" s="178"/>
      <c r="AX225" s="179"/>
      <c r="AZ225" s="166"/>
      <c r="BA225" s="177"/>
      <c r="BB225" s="178"/>
      <c r="BC225" s="178"/>
      <c r="BD225" s="178"/>
      <c r="BE225" s="178"/>
      <c r="BF225" s="178"/>
      <c r="BG225" s="178"/>
      <c r="BH225" s="178"/>
      <c r="BI225" s="179"/>
      <c r="BJ225" s="180"/>
      <c r="BK225" s="178"/>
      <c r="BL225" s="178"/>
      <c r="BM225" s="178"/>
      <c r="BN225" s="178"/>
      <c r="BO225" s="181"/>
      <c r="BP225" s="166"/>
      <c r="BQ225" s="177"/>
      <c r="BR225" s="178"/>
      <c r="BS225" s="179"/>
      <c r="BU225" s="166"/>
      <c r="BV225" s="166"/>
      <c r="BW225" s="166"/>
      <c r="BX225" s="166"/>
      <c r="BY225" s="166"/>
      <c r="BZ225" s="166"/>
      <c r="CA225" s="166"/>
      <c r="CB225" s="166"/>
      <c r="CC225" s="166"/>
      <c r="CD225" s="177"/>
      <c r="CE225" s="181"/>
      <c r="CF225" s="177"/>
      <c r="CG225" s="179"/>
      <c r="CH225" s="257"/>
      <c r="CI225" s="182"/>
      <c r="CJ225" s="177"/>
      <c r="CK225" s="182"/>
      <c r="CL225" s="177"/>
      <c r="CM225" s="182"/>
      <c r="CN225" s="177"/>
      <c r="CO225" s="182"/>
      <c r="CP225" s="177"/>
      <c r="CQ225" s="178"/>
      <c r="CR225" s="182"/>
      <c r="CS225" s="173"/>
      <c r="CT225" s="65"/>
      <c r="CU225" s="255" t="str">
        <f t="shared" si="2"/>
        <v/>
      </c>
    </row>
    <row r="226" ht="60.0" hidden="1" customHeight="1">
      <c r="A226" s="65"/>
      <c r="C226" s="167"/>
      <c r="D226" s="205"/>
      <c r="E226" s="262"/>
      <c r="F226" s="170"/>
      <c r="G226" s="170"/>
      <c r="H226" s="170"/>
      <c r="I226" s="170"/>
      <c r="J226" s="170"/>
      <c r="K226" s="171"/>
      <c r="L226" s="171"/>
      <c r="M226" s="171"/>
      <c r="N226" s="209"/>
      <c r="O226" s="172">
        <f t="shared" si="41"/>
        <v>0</v>
      </c>
      <c r="P226" s="166"/>
      <c r="Q226" s="173"/>
      <c r="R226" s="65"/>
      <c r="S226" s="173"/>
      <c r="T226" s="173"/>
      <c r="U226" s="166"/>
      <c r="V226" s="166"/>
      <c r="W226" s="65"/>
      <c r="X226" s="66"/>
      <c r="Y226" s="173"/>
      <c r="Z226" s="166"/>
      <c r="AA226" s="174"/>
      <c r="AB226" s="175"/>
      <c r="AC226" s="175"/>
      <c r="AD226" s="175"/>
      <c r="AE226" s="175"/>
      <c r="AF226" s="175"/>
      <c r="AG226" s="175"/>
      <c r="AH226" s="175"/>
      <c r="AI226" s="176"/>
      <c r="AJ226" s="177"/>
      <c r="AK226" s="178"/>
      <c r="AL226" s="178"/>
      <c r="AM226" s="178"/>
      <c r="AN226" s="178"/>
      <c r="AO226" s="179"/>
      <c r="AP226" s="64"/>
      <c r="AQ226" s="65"/>
      <c r="AR226" s="65"/>
      <c r="AS226" s="65"/>
      <c r="AT226" s="173"/>
      <c r="AU226" s="177"/>
      <c r="AV226" s="178"/>
      <c r="AW226" s="178"/>
      <c r="AX226" s="179"/>
      <c r="AZ226" s="166"/>
      <c r="BA226" s="177"/>
      <c r="BB226" s="178"/>
      <c r="BC226" s="178"/>
      <c r="BD226" s="178"/>
      <c r="BE226" s="178"/>
      <c r="BF226" s="178"/>
      <c r="BG226" s="178"/>
      <c r="BH226" s="178"/>
      <c r="BI226" s="179"/>
      <c r="BJ226" s="180"/>
      <c r="BK226" s="178"/>
      <c r="BL226" s="178"/>
      <c r="BM226" s="178"/>
      <c r="BN226" s="178"/>
      <c r="BO226" s="181"/>
      <c r="BP226" s="166"/>
      <c r="BQ226" s="177"/>
      <c r="BR226" s="178"/>
      <c r="BS226" s="179"/>
      <c r="BU226" s="166"/>
      <c r="BV226" s="166"/>
      <c r="BW226" s="166"/>
      <c r="BX226" s="166"/>
      <c r="BY226" s="166"/>
      <c r="BZ226" s="166"/>
      <c r="CA226" s="166"/>
      <c r="CB226" s="166"/>
      <c r="CC226" s="166"/>
      <c r="CD226" s="177"/>
      <c r="CE226" s="181"/>
      <c r="CF226" s="177"/>
      <c r="CG226" s="179"/>
      <c r="CH226" s="257"/>
      <c r="CI226" s="182"/>
      <c r="CJ226" s="177"/>
      <c r="CK226" s="182"/>
      <c r="CL226" s="177"/>
      <c r="CM226" s="182"/>
      <c r="CN226" s="177"/>
      <c r="CO226" s="182"/>
      <c r="CP226" s="177"/>
      <c r="CQ226" s="178"/>
      <c r="CR226" s="182"/>
      <c r="CS226" s="173"/>
      <c r="CT226" s="65"/>
      <c r="CU226" s="255" t="str">
        <f t="shared" si="2"/>
        <v/>
      </c>
    </row>
    <row r="227" ht="60.0" hidden="1" customHeight="1">
      <c r="A227" s="89"/>
      <c r="B227" s="6"/>
      <c r="C227" s="183"/>
      <c r="D227" s="210"/>
      <c r="E227" s="263"/>
      <c r="F227" s="186"/>
      <c r="G227" s="186"/>
      <c r="H227" s="186"/>
      <c r="I227" s="186"/>
      <c r="J227" s="186"/>
      <c r="K227" s="187"/>
      <c r="L227" s="187"/>
      <c r="M227" s="187"/>
      <c r="N227" s="214"/>
      <c r="O227" s="188">
        <f t="shared" ref="O227:O233" si="42">IF(AND(M227&lt;&gt;0,M227&lt;&gt;"m",M227&lt;&gt;"",RIGHT(K227,3)="Lec"),1,IF(AND(M227&lt;&gt;0,M227&lt;&gt;"m",M227&lt;&gt;"",OR(RIGHT(K227,3)="Lab",RIGHT(K227,3)="Tut")),0.5,IF(AND(M227&lt;&gt;0,M227&lt;&gt;"m",M227&lt;&gt;"",RIGHT(K227,2)="TL"),0.75,0)))</f>
        <v>0</v>
      </c>
      <c r="P227" s="63"/>
      <c r="Q227" s="69"/>
      <c r="R227" s="89"/>
      <c r="S227" s="69"/>
      <c r="T227" s="69"/>
      <c r="U227" s="63"/>
      <c r="V227" s="63"/>
      <c r="W227" s="89"/>
      <c r="X227" s="68"/>
      <c r="Y227" s="69"/>
      <c r="Z227" s="63"/>
      <c r="AA227" s="189"/>
      <c r="AB227" s="190"/>
      <c r="AC227" s="190"/>
      <c r="AD227" s="190"/>
      <c r="AE227" s="190"/>
      <c r="AF227" s="190"/>
      <c r="AG227" s="190"/>
      <c r="AH227" s="190"/>
      <c r="AI227" s="191"/>
      <c r="AJ227" s="192"/>
      <c r="AK227" s="193"/>
      <c r="AL227" s="193"/>
      <c r="AM227" s="193"/>
      <c r="AN227" s="193"/>
      <c r="AO227" s="194"/>
      <c r="AP227" s="103"/>
      <c r="AQ227" s="89"/>
      <c r="AR227" s="89"/>
      <c r="AS227" s="89"/>
      <c r="AT227" s="69"/>
      <c r="AU227" s="192"/>
      <c r="AV227" s="193"/>
      <c r="AW227" s="193"/>
      <c r="AX227" s="194"/>
      <c r="AY227" s="6"/>
      <c r="AZ227" s="63"/>
      <c r="BA227" s="192"/>
      <c r="BB227" s="193"/>
      <c r="BC227" s="193"/>
      <c r="BD227" s="193"/>
      <c r="BE227" s="193"/>
      <c r="BF227" s="193"/>
      <c r="BG227" s="193"/>
      <c r="BH227" s="193"/>
      <c r="BI227" s="194"/>
      <c r="BJ227" s="195"/>
      <c r="BK227" s="193"/>
      <c r="BL227" s="193"/>
      <c r="BM227" s="193"/>
      <c r="BN227" s="193"/>
      <c r="BO227" s="196"/>
      <c r="BP227" s="63"/>
      <c r="BQ227" s="192"/>
      <c r="BR227" s="193"/>
      <c r="BS227" s="194"/>
      <c r="BT227" s="6"/>
      <c r="BU227" s="63"/>
      <c r="BV227" s="63"/>
      <c r="BW227" s="63"/>
      <c r="BX227" s="63"/>
      <c r="BY227" s="63"/>
      <c r="BZ227" s="63"/>
      <c r="CA227" s="63"/>
      <c r="CB227" s="63"/>
      <c r="CC227" s="63"/>
      <c r="CD227" s="192"/>
      <c r="CE227" s="196"/>
      <c r="CF227" s="192"/>
      <c r="CG227" s="194"/>
      <c r="CH227" s="259"/>
      <c r="CI227" s="197"/>
      <c r="CJ227" s="192"/>
      <c r="CK227" s="197"/>
      <c r="CL227" s="192"/>
      <c r="CM227" s="197"/>
      <c r="CN227" s="192"/>
      <c r="CO227" s="197"/>
      <c r="CP227" s="192"/>
      <c r="CQ227" s="193"/>
      <c r="CR227" s="197"/>
      <c r="CS227" s="69"/>
      <c r="CT227" s="89"/>
      <c r="CU227" s="255" t="str">
        <f t="shared" si="2"/>
        <v/>
      </c>
    </row>
    <row r="228" ht="56.25" hidden="1" customHeight="1">
      <c r="A228" s="125">
        <v>21.0</v>
      </c>
      <c r="B228" s="199"/>
      <c r="C228" s="127"/>
      <c r="D228" s="128"/>
      <c r="E228" s="260"/>
      <c r="F228" s="261"/>
      <c r="G228" s="261"/>
      <c r="H228" s="261"/>
      <c r="I228" s="261"/>
      <c r="J228" s="170"/>
      <c r="K228" s="219"/>
      <c r="L228" s="219"/>
      <c r="M228" s="219"/>
      <c r="N228" s="220"/>
      <c r="O228" s="132">
        <f t="shared" si="42"/>
        <v>0</v>
      </c>
      <c r="P228" s="133">
        <f>COUNTIF(K228:K238,"TL")*0.75+COUNTIF(K228:K238,"Lec")*1+COUNTIF(K228:K238,"Lab")*0.5</f>
        <v>0</v>
      </c>
      <c r="Q228" s="134">
        <f>SUM((IF(LEFT(K228,1)="E",O228,0)),(IF(LEFT(K229,1)="E",O229,0)),(IF(LEFT(K230,1)="E",O230,0)),(IF(LEFT(K231,1)="E",O231,0)),(IF(LEFT(K232,1)="E",O232,0)),(IF(LEFT(K233,1)="E",O233,0)),(IF(LEFT(K234,1)="E",O234,0)),(IF(LEFT(K235,1)="E",O235,0)),(IF(LEFT(K236,1)="E",O236,0)),(IF(LEFT(K237,1)="E",O237,0)),(IF(LEFT(K238,1)="E",O238,0)))</f>
        <v>0</v>
      </c>
      <c r="R228" s="135">
        <f>SUM(IF(M234&lt;20,IF(K234="Plec",-1,IF(K234="PTL",-0.75,IF(K234="Plab",-0.5,0))),0),IF(M235&lt;20,IF(K235="Plec",-1,IF(K235="PTL",-0.75,IF(K235="Plab",-0.5,0))),0),IF(M236&lt;20,IF(K236="Plec",-1,IF(K236="PTL",-0.75,IF(K236="Plab",-0.5,0))),0),IF(M237&lt;20,IF(K237="Plec",-1,IF(K237="PTL",-0.75,IF(K237="Plab",-0.5,0))),0))</f>
        <v>0</v>
      </c>
      <c r="S228" s="134">
        <f>SUM(P228:R238)</f>
        <v>0</v>
      </c>
      <c r="T228" s="136">
        <f>SUM(IF(M228="M",IF(OR(K228="lec",K228="plec",K228="slec"),1,IF(OR(K228="lab",K228="plab",K228="slab",K228="tut",K228="ptut",K228="stut"),0.5,IF(OR(K228="TL",K228="pTL",K228="STL"),0.75,0))),0),IF(M229="M",IF(OR(K229="lec",K229="plec",K229="slec"),1,IF(OR(K229="lab",K229="plab",K229="slab",K229="tut",K229="ptut",K229="stut"),0.5,IF(OR(K229="TL",K229="pTL",K229="STL"),0.75,0))),0),IF(M230="M",IF(OR(K230="lec",K230="plec",K230="slec"),1,IF(OR(K230="lab",K230="plab",K230="slab",K230="tut",K230="ptut",K230="stut"),0.5,IF(OR(K230="TL",K230="pTL",K230="STL"),0.75,0))),0),IF(M231="M",IF(OR(K231="lec",K231="plec",K231="slec"),1,IF(OR(K231="lab",K231="plab",K231="slab",K231="tut",K231="ptut",K231="stut"),0.5,IF(OR(K231="TL",K231="pTL",K231="STL"),0.75,0))),0),IF(M232="M",IF(OR(K232="lec",K232="plec",K232="slec"),1,IF(OR(K232="lab",K232="plab",K232="slab",K232="tut",K232="ptut",K232="stut"),0.5,IF(OR(K232="TL",K232="pTL",K232="STL"),0.75,0))),0),IF(M233="M",IF(OR(K233="lec",K233="plec",K233="slec"),1,IF(OR(K233="lab",K233="plab",K233="slab",K233="tut",K233="ptut",K233="stut"),0.5,IF(OR(K233="TL",K233="pTL",K233="STL"),0.75,0))),0),IF(M234="M",IF(OR(K234="lec",K234="plec",K234="slec"),1,IF(OR(K234="lab",K234="plab",K234="slab",K234="tut",K234="ptut",K234="stut"),0.5,IF(OR(K234="TL",K234="pTL",K234="STL"),0.75,0))),0),IF(M235="M",IF(OR(K235="lec",K235="plec",K235="slec"),1,IF(OR(K235="lab",K235="plab",K235="slab",K235="tut",K235="ptut",K235="stut"),0.5,IF(OR(K235="TL",K235="pTL",K235="STL"),0.75,0))),0),IF(M236="M",IF(OR(K236="lec",K236="plec",K236="slec"),1,IF(OR(K236="lab",K236="plab",K236="slab",K236="tut",K236="ptut",K236="stut"),0.5,IF(OR(K236="TL",K236="pTL",K236="STL"),0.75,0))),0),IF(M237="M",IF(OR(K237="lec",K237="plec",K237="slec"),1,IF(OR(K237="lab",K237="plab",K237="slab",K237="tut",K237="ptut",K237="stut"),0.5,IF(OR(K237="TL",K237="pTL",K237="STL"),0.75,0))),0),IF(M238="M",IF(OR(K238="lec",K238="plec",K238="slec"),1,IF(OR(K238="lab",K238="plab",K238="slab",K238="tut",K238="ptut",K238="stut"),0.5,IF(OR(K238="TL",K238="pTL",K238="STL"),0.75,0))),0))</f>
        <v>0</v>
      </c>
      <c r="U228" s="137"/>
      <c r="V228" s="133"/>
      <c r="W228" s="138"/>
      <c r="X228" s="139">
        <f>S228-(T228+U228+V228+W228)</f>
        <v>0</v>
      </c>
      <c r="Y228" s="134" t="str">
        <f>CONCATENATE(SUM(O228:O238),"(",SUM(O228:O238)-X228,")")</f>
        <v>0(0)</v>
      </c>
      <c r="Z228" s="140"/>
      <c r="AA228" s="141"/>
      <c r="AB228" s="142"/>
      <c r="AC228" s="142"/>
      <c r="AD228" s="142"/>
      <c r="AE228" s="142"/>
      <c r="AF228" s="142"/>
      <c r="AG228" s="142"/>
      <c r="AH228" s="142"/>
      <c r="AI228" s="143"/>
      <c r="AJ228" s="144"/>
      <c r="AK228" s="145"/>
      <c r="AL228" s="145"/>
      <c r="AM228" s="145"/>
      <c r="AN228" s="145"/>
      <c r="AO228" s="146"/>
      <c r="AP228" s="147">
        <f>SUM(SUM(O228:O238),SUM(AI228:AI238)/2,AM228)</f>
        <v>0</v>
      </c>
      <c r="AQ228" s="148"/>
      <c r="AR228" s="148">
        <f>AP228*AQ228</f>
        <v>0</v>
      </c>
      <c r="AS228" s="148">
        <f>CT228</f>
        <v>0</v>
      </c>
      <c r="AT228" s="149">
        <f>AR228*0.75+AS228*0.25</f>
        <v>0</v>
      </c>
      <c r="AU228" s="150"/>
      <c r="AV228" s="151"/>
      <c r="AW228" s="151"/>
      <c r="AX228" s="152"/>
      <c r="AY228" s="153"/>
      <c r="AZ228" s="140"/>
      <c r="BA228" s="150"/>
      <c r="BB228" s="151"/>
      <c r="BC228" s="151"/>
      <c r="BD228" s="151"/>
      <c r="BE228" s="151"/>
      <c r="BF228" s="151"/>
      <c r="BG228" s="151"/>
      <c r="BH228" s="151"/>
      <c r="BI228" s="152"/>
      <c r="BJ228" s="154"/>
      <c r="BK228" s="151"/>
      <c r="BL228" s="151"/>
      <c r="BM228" s="151"/>
      <c r="BN228" s="151"/>
      <c r="BO228" s="155"/>
      <c r="BP228" s="140"/>
      <c r="BQ228" s="156"/>
      <c r="BR228" s="157"/>
      <c r="BS228" s="158"/>
      <c r="BT228" s="153"/>
      <c r="BU228" s="140"/>
      <c r="BV228" s="140"/>
      <c r="BW228" s="140"/>
      <c r="BX228" s="140"/>
      <c r="BY228" s="140"/>
      <c r="BZ228" s="140"/>
      <c r="CA228" s="140"/>
      <c r="CB228" s="140"/>
      <c r="CC228" s="140"/>
      <c r="CD228" s="150"/>
      <c r="CE228" s="155"/>
      <c r="CF228" s="150"/>
      <c r="CG228" s="152"/>
      <c r="CH228" s="252"/>
      <c r="CI228" s="160"/>
      <c r="CJ228" s="159"/>
      <c r="CK228" s="160"/>
      <c r="CL228" s="159"/>
      <c r="CM228" s="160"/>
      <c r="CN228" s="159"/>
      <c r="CO228" s="160"/>
      <c r="CP228" s="159"/>
      <c r="CQ228" s="162"/>
      <c r="CR228" s="160"/>
      <c r="CS228" s="253">
        <f>SUM(IF(AU228&lt;0,ABS(AU228),0),IF(AZ228&lt;0,ABS(AZ228),0),ABS(CI228),ABS(CK228),ABS(CM228),ABS(CO228),ABS(CQ228),ABS(CR228))</f>
        <v>0</v>
      </c>
      <c r="CT228" s="254">
        <f>SUM(AU228,AV228,AW228,AX228/400,AY228,AZ228,BG228,BH228*0.5,BI228*0.25,BJ228,BK228,BL228,BM228,BN228,BO228,BP228,BR228/20,BS228/100,BT228/60,BU228,BV228,BW228,BX228/4,SUM(BY228:CC238)/3,CE228,CG228/3,CI228,CK228,CM228,CO228,CQ228,CR228)</f>
        <v>0</v>
      </c>
      <c r="CU228" s="255" t="str">
        <f t="shared" si="2"/>
        <v/>
      </c>
    </row>
    <row r="229" ht="60.0" hidden="1" customHeight="1">
      <c r="A229" s="65"/>
      <c r="C229" s="167"/>
      <c r="D229" s="205"/>
      <c r="E229" s="262"/>
      <c r="F229" s="170"/>
      <c r="G229" s="170"/>
      <c r="H229" s="170"/>
      <c r="I229" s="170"/>
      <c r="J229" s="170"/>
      <c r="K229" s="171"/>
      <c r="L229" s="171"/>
      <c r="M229" s="171"/>
      <c r="N229" s="209"/>
      <c r="O229" s="172">
        <f t="shared" si="42"/>
        <v>0</v>
      </c>
      <c r="P229" s="166"/>
      <c r="Q229" s="173"/>
      <c r="R229" s="65"/>
      <c r="S229" s="173"/>
      <c r="T229" s="173"/>
      <c r="U229" s="166"/>
      <c r="V229" s="166"/>
      <c r="W229" s="65"/>
      <c r="X229" s="66"/>
      <c r="Y229" s="173"/>
      <c r="Z229" s="166"/>
      <c r="AA229" s="174"/>
      <c r="AB229" s="175"/>
      <c r="AC229" s="175"/>
      <c r="AD229" s="175"/>
      <c r="AE229" s="175"/>
      <c r="AF229" s="175"/>
      <c r="AG229" s="175"/>
      <c r="AH229" s="175"/>
      <c r="AI229" s="176"/>
      <c r="AJ229" s="177"/>
      <c r="AK229" s="178"/>
      <c r="AL229" s="178"/>
      <c r="AM229" s="178"/>
      <c r="AN229" s="178"/>
      <c r="AO229" s="179"/>
      <c r="AP229" s="64"/>
      <c r="AQ229" s="65"/>
      <c r="AR229" s="65"/>
      <c r="AS229" s="65"/>
      <c r="AT229" s="173"/>
      <c r="AU229" s="177"/>
      <c r="AV229" s="178"/>
      <c r="AW229" s="178"/>
      <c r="AX229" s="179"/>
      <c r="AZ229" s="166"/>
      <c r="BA229" s="177"/>
      <c r="BB229" s="178"/>
      <c r="BC229" s="178"/>
      <c r="BD229" s="178"/>
      <c r="BE229" s="178"/>
      <c r="BF229" s="178"/>
      <c r="BG229" s="178"/>
      <c r="BH229" s="178"/>
      <c r="BI229" s="179"/>
      <c r="BJ229" s="180"/>
      <c r="BK229" s="178"/>
      <c r="BL229" s="178"/>
      <c r="BM229" s="178"/>
      <c r="BN229" s="178"/>
      <c r="BO229" s="181"/>
      <c r="BP229" s="166"/>
      <c r="BQ229" s="177"/>
      <c r="BR229" s="178"/>
      <c r="BS229" s="179"/>
      <c r="BU229" s="166"/>
      <c r="BV229" s="166"/>
      <c r="BW229" s="166"/>
      <c r="BX229" s="166"/>
      <c r="BY229" s="166"/>
      <c r="BZ229" s="166"/>
      <c r="CA229" s="166"/>
      <c r="CB229" s="166"/>
      <c r="CC229" s="166"/>
      <c r="CD229" s="177"/>
      <c r="CE229" s="181"/>
      <c r="CF229" s="177"/>
      <c r="CG229" s="179"/>
      <c r="CH229" s="257"/>
      <c r="CI229" s="182"/>
      <c r="CJ229" s="177"/>
      <c r="CK229" s="182"/>
      <c r="CL229" s="177"/>
      <c r="CM229" s="182"/>
      <c r="CN229" s="177"/>
      <c r="CO229" s="182"/>
      <c r="CP229" s="177"/>
      <c r="CQ229" s="178"/>
      <c r="CR229" s="182"/>
      <c r="CS229" s="173"/>
      <c r="CT229" s="65"/>
      <c r="CU229" s="255" t="str">
        <f t="shared" si="2"/>
        <v/>
      </c>
    </row>
    <row r="230" ht="60.0" hidden="1" customHeight="1">
      <c r="A230" s="65"/>
      <c r="C230" s="167"/>
      <c r="D230" s="205"/>
      <c r="E230" s="262"/>
      <c r="F230" s="170"/>
      <c r="G230" s="170"/>
      <c r="H230" s="170"/>
      <c r="I230" s="170"/>
      <c r="J230" s="170"/>
      <c r="K230" s="171"/>
      <c r="L230" s="171"/>
      <c r="M230" s="171"/>
      <c r="N230" s="209"/>
      <c r="O230" s="172">
        <f t="shared" si="42"/>
        <v>0</v>
      </c>
      <c r="P230" s="166"/>
      <c r="Q230" s="173"/>
      <c r="R230" s="65"/>
      <c r="S230" s="173"/>
      <c r="T230" s="173"/>
      <c r="U230" s="166"/>
      <c r="V230" s="166"/>
      <c r="W230" s="65"/>
      <c r="X230" s="66"/>
      <c r="Y230" s="173"/>
      <c r="Z230" s="166"/>
      <c r="AA230" s="174"/>
      <c r="AB230" s="175"/>
      <c r="AC230" s="175"/>
      <c r="AD230" s="175"/>
      <c r="AE230" s="175"/>
      <c r="AF230" s="175"/>
      <c r="AG230" s="175"/>
      <c r="AH230" s="175"/>
      <c r="AI230" s="176"/>
      <c r="AJ230" s="177"/>
      <c r="AK230" s="178"/>
      <c r="AL230" s="178"/>
      <c r="AM230" s="178"/>
      <c r="AN230" s="178"/>
      <c r="AO230" s="179"/>
      <c r="AP230" s="64"/>
      <c r="AQ230" s="65"/>
      <c r="AR230" s="65"/>
      <c r="AS230" s="65"/>
      <c r="AT230" s="173"/>
      <c r="AU230" s="177"/>
      <c r="AV230" s="178"/>
      <c r="AW230" s="178"/>
      <c r="AX230" s="179"/>
      <c r="AZ230" s="166"/>
      <c r="BA230" s="177"/>
      <c r="BB230" s="178"/>
      <c r="BC230" s="178"/>
      <c r="BD230" s="178"/>
      <c r="BE230" s="178"/>
      <c r="BF230" s="178"/>
      <c r="BG230" s="178"/>
      <c r="BH230" s="178"/>
      <c r="BI230" s="179"/>
      <c r="BJ230" s="180"/>
      <c r="BK230" s="178"/>
      <c r="BL230" s="178"/>
      <c r="BM230" s="178"/>
      <c r="BN230" s="178"/>
      <c r="BO230" s="181"/>
      <c r="BP230" s="166"/>
      <c r="BQ230" s="177"/>
      <c r="BR230" s="178"/>
      <c r="BS230" s="179"/>
      <c r="BU230" s="166"/>
      <c r="BV230" s="166"/>
      <c r="BW230" s="166"/>
      <c r="BX230" s="166"/>
      <c r="BY230" s="166"/>
      <c r="BZ230" s="166"/>
      <c r="CA230" s="166"/>
      <c r="CB230" s="166"/>
      <c r="CC230" s="166"/>
      <c r="CD230" s="177"/>
      <c r="CE230" s="181"/>
      <c r="CF230" s="177"/>
      <c r="CG230" s="179"/>
      <c r="CH230" s="257"/>
      <c r="CI230" s="182"/>
      <c r="CJ230" s="177"/>
      <c r="CK230" s="182"/>
      <c r="CL230" s="177"/>
      <c r="CM230" s="182"/>
      <c r="CN230" s="177"/>
      <c r="CO230" s="182"/>
      <c r="CP230" s="177"/>
      <c r="CQ230" s="178"/>
      <c r="CR230" s="182"/>
      <c r="CS230" s="173"/>
      <c r="CT230" s="65"/>
      <c r="CU230" s="255" t="str">
        <f t="shared" si="2"/>
        <v/>
      </c>
    </row>
    <row r="231" ht="60.0" hidden="1" customHeight="1">
      <c r="A231" s="65"/>
      <c r="C231" s="167"/>
      <c r="D231" s="205"/>
      <c r="E231" s="262"/>
      <c r="F231" s="170"/>
      <c r="G231" s="170"/>
      <c r="H231" s="170"/>
      <c r="I231" s="170"/>
      <c r="J231" s="170"/>
      <c r="K231" s="171"/>
      <c r="L231" s="171"/>
      <c r="M231" s="171"/>
      <c r="N231" s="209"/>
      <c r="O231" s="172">
        <f t="shared" si="42"/>
        <v>0</v>
      </c>
      <c r="P231" s="166"/>
      <c r="Q231" s="173"/>
      <c r="R231" s="65"/>
      <c r="S231" s="173"/>
      <c r="T231" s="173"/>
      <c r="U231" s="166"/>
      <c r="V231" s="166"/>
      <c r="W231" s="65"/>
      <c r="X231" s="66"/>
      <c r="Y231" s="173"/>
      <c r="Z231" s="166"/>
      <c r="AA231" s="174"/>
      <c r="AB231" s="175"/>
      <c r="AC231" s="175"/>
      <c r="AD231" s="175"/>
      <c r="AE231" s="175"/>
      <c r="AF231" s="175"/>
      <c r="AG231" s="175"/>
      <c r="AH231" s="175"/>
      <c r="AI231" s="176"/>
      <c r="AJ231" s="177"/>
      <c r="AK231" s="178"/>
      <c r="AL231" s="178"/>
      <c r="AM231" s="178"/>
      <c r="AN231" s="178"/>
      <c r="AO231" s="179"/>
      <c r="AP231" s="64"/>
      <c r="AQ231" s="65"/>
      <c r="AR231" s="65"/>
      <c r="AS231" s="65"/>
      <c r="AT231" s="173"/>
      <c r="AU231" s="177"/>
      <c r="AV231" s="178"/>
      <c r="AW231" s="178"/>
      <c r="AX231" s="179"/>
      <c r="AZ231" s="166"/>
      <c r="BA231" s="177"/>
      <c r="BB231" s="178"/>
      <c r="BC231" s="178"/>
      <c r="BD231" s="178"/>
      <c r="BE231" s="178"/>
      <c r="BF231" s="178"/>
      <c r="BG231" s="178"/>
      <c r="BH231" s="178"/>
      <c r="BI231" s="179"/>
      <c r="BJ231" s="180"/>
      <c r="BK231" s="178"/>
      <c r="BL231" s="178"/>
      <c r="BM231" s="178"/>
      <c r="BN231" s="178"/>
      <c r="BO231" s="181"/>
      <c r="BP231" s="166"/>
      <c r="BQ231" s="177"/>
      <c r="BR231" s="178"/>
      <c r="BS231" s="179"/>
      <c r="BU231" s="166"/>
      <c r="BV231" s="166"/>
      <c r="BW231" s="166"/>
      <c r="BX231" s="166"/>
      <c r="BY231" s="166"/>
      <c r="BZ231" s="166"/>
      <c r="CA231" s="166"/>
      <c r="CB231" s="166"/>
      <c r="CC231" s="166"/>
      <c r="CD231" s="177"/>
      <c r="CE231" s="181"/>
      <c r="CF231" s="177"/>
      <c r="CG231" s="179"/>
      <c r="CH231" s="257"/>
      <c r="CI231" s="182"/>
      <c r="CJ231" s="177"/>
      <c r="CK231" s="182"/>
      <c r="CL231" s="177"/>
      <c r="CM231" s="182"/>
      <c r="CN231" s="177"/>
      <c r="CO231" s="182"/>
      <c r="CP231" s="177"/>
      <c r="CQ231" s="178"/>
      <c r="CR231" s="182"/>
      <c r="CS231" s="173"/>
      <c r="CT231" s="65"/>
      <c r="CU231" s="255" t="str">
        <f t="shared" si="2"/>
        <v/>
      </c>
    </row>
    <row r="232" ht="60.0" hidden="1" customHeight="1">
      <c r="A232" s="65"/>
      <c r="C232" s="167"/>
      <c r="D232" s="205"/>
      <c r="E232" s="262"/>
      <c r="F232" s="170"/>
      <c r="G232" s="170"/>
      <c r="H232" s="170"/>
      <c r="I232" s="170"/>
      <c r="J232" s="170"/>
      <c r="K232" s="171"/>
      <c r="L232" s="171"/>
      <c r="M232" s="171"/>
      <c r="N232" s="209"/>
      <c r="O232" s="172">
        <f t="shared" si="42"/>
        <v>0</v>
      </c>
      <c r="P232" s="166"/>
      <c r="Q232" s="173"/>
      <c r="R232" s="65"/>
      <c r="S232" s="173"/>
      <c r="T232" s="173"/>
      <c r="U232" s="166"/>
      <c r="V232" s="166"/>
      <c r="W232" s="65"/>
      <c r="X232" s="66"/>
      <c r="Y232" s="173"/>
      <c r="Z232" s="166"/>
      <c r="AA232" s="174"/>
      <c r="AB232" s="175"/>
      <c r="AC232" s="175"/>
      <c r="AD232" s="175"/>
      <c r="AE232" s="175"/>
      <c r="AF232" s="175"/>
      <c r="AG232" s="175"/>
      <c r="AH232" s="175"/>
      <c r="AI232" s="176"/>
      <c r="AJ232" s="177"/>
      <c r="AK232" s="178"/>
      <c r="AL232" s="178"/>
      <c r="AM232" s="178"/>
      <c r="AN232" s="178"/>
      <c r="AO232" s="179"/>
      <c r="AP232" s="64"/>
      <c r="AQ232" s="65"/>
      <c r="AR232" s="65"/>
      <c r="AS232" s="65"/>
      <c r="AT232" s="173"/>
      <c r="AU232" s="177"/>
      <c r="AV232" s="178"/>
      <c r="AW232" s="178"/>
      <c r="AX232" s="179"/>
      <c r="AZ232" s="166"/>
      <c r="BA232" s="177"/>
      <c r="BB232" s="178"/>
      <c r="BC232" s="178"/>
      <c r="BD232" s="178"/>
      <c r="BE232" s="178"/>
      <c r="BF232" s="178"/>
      <c r="BG232" s="178"/>
      <c r="BH232" s="178"/>
      <c r="BI232" s="179"/>
      <c r="BJ232" s="180"/>
      <c r="BK232" s="178"/>
      <c r="BL232" s="178"/>
      <c r="BM232" s="178"/>
      <c r="BN232" s="178"/>
      <c r="BO232" s="181"/>
      <c r="BP232" s="166"/>
      <c r="BQ232" s="177"/>
      <c r="BR232" s="178"/>
      <c r="BS232" s="179"/>
      <c r="BU232" s="166"/>
      <c r="BV232" s="166"/>
      <c r="BW232" s="166"/>
      <c r="BX232" s="166"/>
      <c r="BY232" s="166"/>
      <c r="BZ232" s="166"/>
      <c r="CA232" s="166"/>
      <c r="CB232" s="166"/>
      <c r="CC232" s="166"/>
      <c r="CD232" s="177"/>
      <c r="CE232" s="181"/>
      <c r="CF232" s="177"/>
      <c r="CG232" s="179"/>
      <c r="CH232" s="257"/>
      <c r="CI232" s="182"/>
      <c r="CJ232" s="177"/>
      <c r="CK232" s="182"/>
      <c r="CL232" s="177"/>
      <c r="CM232" s="182"/>
      <c r="CN232" s="177"/>
      <c r="CO232" s="182"/>
      <c r="CP232" s="177"/>
      <c r="CQ232" s="178"/>
      <c r="CR232" s="182"/>
      <c r="CS232" s="173"/>
      <c r="CT232" s="65"/>
      <c r="CU232" s="255" t="str">
        <f t="shared" si="2"/>
        <v/>
      </c>
    </row>
    <row r="233" ht="60.0" hidden="1" customHeight="1">
      <c r="A233" s="65"/>
      <c r="C233" s="167"/>
      <c r="D233" s="205"/>
      <c r="E233" s="262"/>
      <c r="F233" s="170"/>
      <c r="G233" s="170"/>
      <c r="H233" s="170"/>
      <c r="I233" s="170"/>
      <c r="J233" s="170"/>
      <c r="K233" s="171"/>
      <c r="L233" s="171"/>
      <c r="M233" s="171"/>
      <c r="N233" s="209"/>
      <c r="O233" s="172">
        <f t="shared" si="42"/>
        <v>0</v>
      </c>
      <c r="P233" s="166"/>
      <c r="Q233" s="173"/>
      <c r="R233" s="65"/>
      <c r="S233" s="173"/>
      <c r="T233" s="173"/>
      <c r="U233" s="166"/>
      <c r="V233" s="166"/>
      <c r="W233" s="65"/>
      <c r="X233" s="66"/>
      <c r="Y233" s="173"/>
      <c r="Z233" s="166"/>
      <c r="AA233" s="174"/>
      <c r="AB233" s="175"/>
      <c r="AC233" s="175"/>
      <c r="AD233" s="175"/>
      <c r="AE233" s="175"/>
      <c r="AF233" s="175"/>
      <c r="AG233" s="175"/>
      <c r="AH233" s="175"/>
      <c r="AI233" s="176"/>
      <c r="AJ233" s="177"/>
      <c r="AK233" s="178"/>
      <c r="AL233" s="178"/>
      <c r="AM233" s="178"/>
      <c r="AN233" s="178"/>
      <c r="AO233" s="179"/>
      <c r="AP233" s="64"/>
      <c r="AQ233" s="65"/>
      <c r="AR233" s="65"/>
      <c r="AS233" s="65"/>
      <c r="AT233" s="173"/>
      <c r="AU233" s="177"/>
      <c r="AV233" s="178"/>
      <c r="AW233" s="178"/>
      <c r="AX233" s="179"/>
      <c r="AZ233" s="166"/>
      <c r="BA233" s="177"/>
      <c r="BB233" s="178"/>
      <c r="BC233" s="178"/>
      <c r="BD233" s="178"/>
      <c r="BE233" s="178"/>
      <c r="BF233" s="178"/>
      <c r="BG233" s="178"/>
      <c r="BH233" s="178"/>
      <c r="BI233" s="179"/>
      <c r="BJ233" s="180"/>
      <c r="BK233" s="178"/>
      <c r="BL233" s="178"/>
      <c r="BM233" s="178"/>
      <c r="BN233" s="178"/>
      <c r="BO233" s="181"/>
      <c r="BP233" s="166"/>
      <c r="BQ233" s="177"/>
      <c r="BR233" s="178"/>
      <c r="BS233" s="179"/>
      <c r="BU233" s="166"/>
      <c r="BV233" s="166"/>
      <c r="BW233" s="166"/>
      <c r="BX233" s="166"/>
      <c r="BY233" s="166"/>
      <c r="BZ233" s="166"/>
      <c r="CA233" s="166"/>
      <c r="CB233" s="166"/>
      <c r="CC233" s="166"/>
      <c r="CD233" s="177"/>
      <c r="CE233" s="181"/>
      <c r="CF233" s="177"/>
      <c r="CG233" s="179"/>
      <c r="CH233" s="257"/>
      <c r="CI233" s="182"/>
      <c r="CJ233" s="177"/>
      <c r="CK233" s="182"/>
      <c r="CL233" s="177"/>
      <c r="CM233" s="182"/>
      <c r="CN233" s="177"/>
      <c r="CO233" s="182"/>
      <c r="CP233" s="177"/>
      <c r="CQ233" s="178"/>
      <c r="CR233" s="182"/>
      <c r="CS233" s="173"/>
      <c r="CT233" s="65"/>
      <c r="CU233" s="255" t="str">
        <f t="shared" si="2"/>
        <v/>
      </c>
    </row>
    <row r="234" ht="60.0" hidden="1" customHeight="1">
      <c r="A234" s="65"/>
      <c r="C234" s="167"/>
      <c r="D234" s="205"/>
      <c r="E234" s="262"/>
      <c r="F234" s="170"/>
      <c r="G234" s="170"/>
      <c r="H234" s="170"/>
      <c r="I234" s="170"/>
      <c r="J234" s="170"/>
      <c r="K234" s="171"/>
      <c r="L234" s="171"/>
      <c r="M234" s="171"/>
      <c r="N234" s="209"/>
      <c r="O234" s="172">
        <f t="shared" ref="O234:O237" si="43">IF(AND(M234&gt;=20,M234&lt;&gt;"m",RIGHT(K234,3)="Lec"),1,IF(AND(M234&gt;=20,M234&lt;&gt;"m",OR(RIGHT(K234,3)="Lab",RIGHT(K234,3)="Tut")),0.5,IF(AND(M234&gt;=20,M234&lt;&gt;"m",RIGHT(K234,2)="TL"),0.75,0)))</f>
        <v>0</v>
      </c>
      <c r="P234" s="166"/>
      <c r="Q234" s="173"/>
      <c r="R234" s="65"/>
      <c r="S234" s="173"/>
      <c r="T234" s="173"/>
      <c r="U234" s="166"/>
      <c r="V234" s="166"/>
      <c r="W234" s="65"/>
      <c r="X234" s="66"/>
      <c r="Y234" s="173"/>
      <c r="Z234" s="166"/>
      <c r="AA234" s="174"/>
      <c r="AB234" s="175"/>
      <c r="AC234" s="175"/>
      <c r="AD234" s="175"/>
      <c r="AE234" s="175"/>
      <c r="AF234" s="175"/>
      <c r="AG234" s="175"/>
      <c r="AH234" s="175"/>
      <c r="AI234" s="176"/>
      <c r="AJ234" s="177"/>
      <c r="AK234" s="178"/>
      <c r="AL234" s="178"/>
      <c r="AM234" s="178"/>
      <c r="AN234" s="178"/>
      <c r="AO234" s="179"/>
      <c r="AP234" s="64"/>
      <c r="AQ234" s="65"/>
      <c r="AR234" s="65"/>
      <c r="AS234" s="65"/>
      <c r="AT234" s="173"/>
      <c r="AU234" s="177"/>
      <c r="AV234" s="178"/>
      <c r="AW234" s="178"/>
      <c r="AX234" s="179"/>
      <c r="AZ234" s="166"/>
      <c r="BA234" s="177"/>
      <c r="BB234" s="178"/>
      <c r="BC234" s="178"/>
      <c r="BD234" s="178"/>
      <c r="BE234" s="178"/>
      <c r="BF234" s="178"/>
      <c r="BG234" s="178"/>
      <c r="BH234" s="178"/>
      <c r="BI234" s="179"/>
      <c r="BJ234" s="180"/>
      <c r="BK234" s="178"/>
      <c r="BL234" s="178"/>
      <c r="BM234" s="178"/>
      <c r="BN234" s="178"/>
      <c r="BO234" s="181"/>
      <c r="BP234" s="166"/>
      <c r="BQ234" s="177"/>
      <c r="BR234" s="178"/>
      <c r="BS234" s="179"/>
      <c r="BU234" s="166"/>
      <c r="BV234" s="166"/>
      <c r="BW234" s="166"/>
      <c r="BX234" s="166"/>
      <c r="BY234" s="166"/>
      <c r="BZ234" s="166"/>
      <c r="CA234" s="166"/>
      <c r="CB234" s="166"/>
      <c r="CC234" s="166"/>
      <c r="CD234" s="177"/>
      <c r="CE234" s="181"/>
      <c r="CF234" s="177"/>
      <c r="CG234" s="179"/>
      <c r="CH234" s="257"/>
      <c r="CI234" s="182"/>
      <c r="CJ234" s="177"/>
      <c r="CK234" s="182"/>
      <c r="CL234" s="177"/>
      <c r="CM234" s="182"/>
      <c r="CN234" s="177"/>
      <c r="CO234" s="182"/>
      <c r="CP234" s="177"/>
      <c r="CQ234" s="178"/>
      <c r="CR234" s="182"/>
      <c r="CS234" s="173"/>
      <c r="CT234" s="65"/>
      <c r="CU234" s="255" t="str">
        <f t="shared" si="2"/>
        <v/>
      </c>
    </row>
    <row r="235" ht="60.0" hidden="1" customHeight="1">
      <c r="A235" s="65"/>
      <c r="C235" s="167"/>
      <c r="D235" s="205"/>
      <c r="E235" s="262"/>
      <c r="F235" s="170"/>
      <c r="G235" s="170"/>
      <c r="H235" s="170"/>
      <c r="I235" s="170"/>
      <c r="J235" s="170"/>
      <c r="K235" s="171"/>
      <c r="L235" s="171"/>
      <c r="M235" s="171"/>
      <c r="N235" s="209"/>
      <c r="O235" s="172">
        <f t="shared" si="43"/>
        <v>0</v>
      </c>
      <c r="P235" s="166"/>
      <c r="Q235" s="173"/>
      <c r="R235" s="65"/>
      <c r="S235" s="173"/>
      <c r="T235" s="173"/>
      <c r="U235" s="166"/>
      <c r="V235" s="166"/>
      <c r="W235" s="65"/>
      <c r="X235" s="66"/>
      <c r="Y235" s="173"/>
      <c r="Z235" s="166"/>
      <c r="AA235" s="174"/>
      <c r="AB235" s="175"/>
      <c r="AC235" s="175"/>
      <c r="AD235" s="175"/>
      <c r="AE235" s="175"/>
      <c r="AF235" s="175"/>
      <c r="AG235" s="175"/>
      <c r="AH235" s="175"/>
      <c r="AI235" s="176"/>
      <c r="AJ235" s="177"/>
      <c r="AK235" s="178"/>
      <c r="AL235" s="178"/>
      <c r="AM235" s="178"/>
      <c r="AN235" s="178"/>
      <c r="AO235" s="179"/>
      <c r="AP235" s="64"/>
      <c r="AQ235" s="65"/>
      <c r="AR235" s="65"/>
      <c r="AS235" s="65"/>
      <c r="AT235" s="173"/>
      <c r="AU235" s="177"/>
      <c r="AV235" s="178"/>
      <c r="AW235" s="178"/>
      <c r="AX235" s="179"/>
      <c r="AZ235" s="166"/>
      <c r="BA235" s="177"/>
      <c r="BB235" s="178"/>
      <c r="BC235" s="178"/>
      <c r="BD235" s="178"/>
      <c r="BE235" s="178"/>
      <c r="BF235" s="178"/>
      <c r="BG235" s="178"/>
      <c r="BH235" s="178"/>
      <c r="BI235" s="179"/>
      <c r="BJ235" s="180"/>
      <c r="BK235" s="178"/>
      <c r="BL235" s="178"/>
      <c r="BM235" s="178"/>
      <c r="BN235" s="178"/>
      <c r="BO235" s="181"/>
      <c r="BP235" s="166"/>
      <c r="BQ235" s="177"/>
      <c r="BR235" s="178"/>
      <c r="BS235" s="179"/>
      <c r="BU235" s="166"/>
      <c r="BV235" s="166"/>
      <c r="BW235" s="166"/>
      <c r="BX235" s="166"/>
      <c r="BY235" s="166"/>
      <c r="BZ235" s="166"/>
      <c r="CA235" s="166"/>
      <c r="CB235" s="166"/>
      <c r="CC235" s="166"/>
      <c r="CD235" s="177"/>
      <c r="CE235" s="181"/>
      <c r="CF235" s="177"/>
      <c r="CG235" s="179"/>
      <c r="CH235" s="257"/>
      <c r="CI235" s="182"/>
      <c r="CJ235" s="177"/>
      <c r="CK235" s="182"/>
      <c r="CL235" s="177"/>
      <c r="CM235" s="182"/>
      <c r="CN235" s="177"/>
      <c r="CO235" s="182"/>
      <c r="CP235" s="177"/>
      <c r="CQ235" s="178"/>
      <c r="CR235" s="182"/>
      <c r="CS235" s="173"/>
      <c r="CT235" s="65"/>
      <c r="CU235" s="255" t="str">
        <f t="shared" si="2"/>
        <v/>
      </c>
    </row>
    <row r="236" ht="60.0" hidden="1" customHeight="1">
      <c r="A236" s="65"/>
      <c r="C236" s="167"/>
      <c r="D236" s="205"/>
      <c r="E236" s="262"/>
      <c r="F236" s="170"/>
      <c r="G236" s="170"/>
      <c r="H236" s="170"/>
      <c r="I236" s="170"/>
      <c r="J236" s="170"/>
      <c r="K236" s="171"/>
      <c r="L236" s="171"/>
      <c r="M236" s="171"/>
      <c r="N236" s="209"/>
      <c r="O236" s="172">
        <f t="shared" si="43"/>
        <v>0</v>
      </c>
      <c r="P236" s="166"/>
      <c r="Q236" s="173"/>
      <c r="R236" s="65"/>
      <c r="S236" s="173"/>
      <c r="T236" s="173"/>
      <c r="U236" s="166"/>
      <c r="V236" s="166"/>
      <c r="W236" s="65"/>
      <c r="X236" s="66"/>
      <c r="Y236" s="173"/>
      <c r="Z236" s="166"/>
      <c r="AA236" s="174"/>
      <c r="AB236" s="175"/>
      <c r="AC236" s="175"/>
      <c r="AD236" s="175"/>
      <c r="AE236" s="175"/>
      <c r="AF236" s="175"/>
      <c r="AG236" s="175"/>
      <c r="AH236" s="175"/>
      <c r="AI236" s="176"/>
      <c r="AJ236" s="177"/>
      <c r="AK236" s="178"/>
      <c r="AL236" s="178"/>
      <c r="AM236" s="178"/>
      <c r="AN236" s="178"/>
      <c r="AO236" s="179"/>
      <c r="AP236" s="64"/>
      <c r="AQ236" s="65"/>
      <c r="AR236" s="65"/>
      <c r="AS236" s="65"/>
      <c r="AT236" s="173"/>
      <c r="AU236" s="177"/>
      <c r="AV236" s="178"/>
      <c r="AW236" s="178"/>
      <c r="AX236" s="179"/>
      <c r="AZ236" s="166"/>
      <c r="BA236" s="177"/>
      <c r="BB236" s="178"/>
      <c r="BC236" s="178"/>
      <c r="BD236" s="178"/>
      <c r="BE236" s="178"/>
      <c r="BF236" s="178"/>
      <c r="BG236" s="178"/>
      <c r="BH236" s="178"/>
      <c r="BI236" s="179"/>
      <c r="BJ236" s="180"/>
      <c r="BK236" s="178"/>
      <c r="BL236" s="178"/>
      <c r="BM236" s="178"/>
      <c r="BN236" s="178"/>
      <c r="BO236" s="181"/>
      <c r="BP236" s="166"/>
      <c r="BQ236" s="177"/>
      <c r="BR236" s="178"/>
      <c r="BS236" s="179"/>
      <c r="BU236" s="166"/>
      <c r="BV236" s="166"/>
      <c r="BW236" s="166"/>
      <c r="BX236" s="166"/>
      <c r="BY236" s="166"/>
      <c r="BZ236" s="166"/>
      <c r="CA236" s="166"/>
      <c r="CB236" s="166"/>
      <c r="CC236" s="166"/>
      <c r="CD236" s="177"/>
      <c r="CE236" s="181"/>
      <c r="CF236" s="177"/>
      <c r="CG236" s="179"/>
      <c r="CH236" s="257"/>
      <c r="CI236" s="182"/>
      <c r="CJ236" s="177"/>
      <c r="CK236" s="182"/>
      <c r="CL236" s="177"/>
      <c r="CM236" s="182"/>
      <c r="CN236" s="177"/>
      <c r="CO236" s="182"/>
      <c r="CP236" s="177"/>
      <c r="CQ236" s="178"/>
      <c r="CR236" s="182"/>
      <c r="CS236" s="173"/>
      <c r="CT236" s="65"/>
      <c r="CU236" s="255" t="str">
        <f t="shared" si="2"/>
        <v/>
      </c>
    </row>
    <row r="237" ht="60.0" hidden="1" customHeight="1">
      <c r="A237" s="65"/>
      <c r="C237" s="167"/>
      <c r="D237" s="205"/>
      <c r="E237" s="262"/>
      <c r="F237" s="170"/>
      <c r="G237" s="170"/>
      <c r="H237" s="170"/>
      <c r="I237" s="170"/>
      <c r="J237" s="170"/>
      <c r="K237" s="171"/>
      <c r="L237" s="171"/>
      <c r="M237" s="171"/>
      <c r="N237" s="209"/>
      <c r="O237" s="172">
        <f t="shared" si="43"/>
        <v>0</v>
      </c>
      <c r="P237" s="166"/>
      <c r="Q237" s="173"/>
      <c r="R237" s="65"/>
      <c r="S237" s="173"/>
      <c r="T237" s="173"/>
      <c r="U237" s="166"/>
      <c r="V237" s="166"/>
      <c r="W237" s="65"/>
      <c r="X237" s="66"/>
      <c r="Y237" s="173"/>
      <c r="Z237" s="166"/>
      <c r="AA237" s="174"/>
      <c r="AB237" s="175"/>
      <c r="AC237" s="175"/>
      <c r="AD237" s="175"/>
      <c r="AE237" s="175"/>
      <c r="AF237" s="175"/>
      <c r="AG237" s="175"/>
      <c r="AH237" s="175"/>
      <c r="AI237" s="176"/>
      <c r="AJ237" s="177"/>
      <c r="AK237" s="178"/>
      <c r="AL237" s="178"/>
      <c r="AM237" s="178"/>
      <c r="AN237" s="178"/>
      <c r="AO237" s="179"/>
      <c r="AP237" s="64"/>
      <c r="AQ237" s="65"/>
      <c r="AR237" s="65"/>
      <c r="AS237" s="65"/>
      <c r="AT237" s="173"/>
      <c r="AU237" s="177"/>
      <c r="AV237" s="178"/>
      <c r="AW237" s="178"/>
      <c r="AX237" s="179"/>
      <c r="AZ237" s="166"/>
      <c r="BA237" s="177"/>
      <c r="BB237" s="178"/>
      <c r="BC237" s="178"/>
      <c r="BD237" s="178"/>
      <c r="BE237" s="178"/>
      <c r="BF237" s="178"/>
      <c r="BG237" s="178"/>
      <c r="BH237" s="178"/>
      <c r="BI237" s="179"/>
      <c r="BJ237" s="180"/>
      <c r="BK237" s="178"/>
      <c r="BL237" s="178"/>
      <c r="BM237" s="178"/>
      <c r="BN237" s="178"/>
      <c r="BO237" s="181"/>
      <c r="BP237" s="166"/>
      <c r="BQ237" s="177"/>
      <c r="BR237" s="178"/>
      <c r="BS237" s="179"/>
      <c r="BU237" s="166"/>
      <c r="BV237" s="166"/>
      <c r="BW237" s="166"/>
      <c r="BX237" s="166"/>
      <c r="BY237" s="166"/>
      <c r="BZ237" s="166"/>
      <c r="CA237" s="166"/>
      <c r="CB237" s="166"/>
      <c r="CC237" s="166"/>
      <c r="CD237" s="177"/>
      <c r="CE237" s="181"/>
      <c r="CF237" s="177"/>
      <c r="CG237" s="179"/>
      <c r="CH237" s="257"/>
      <c r="CI237" s="182"/>
      <c r="CJ237" s="177"/>
      <c r="CK237" s="182"/>
      <c r="CL237" s="177"/>
      <c r="CM237" s="182"/>
      <c r="CN237" s="177"/>
      <c r="CO237" s="182"/>
      <c r="CP237" s="177"/>
      <c r="CQ237" s="178"/>
      <c r="CR237" s="182"/>
      <c r="CS237" s="173"/>
      <c r="CT237" s="65"/>
      <c r="CU237" s="255" t="str">
        <f t="shared" si="2"/>
        <v/>
      </c>
    </row>
    <row r="238" ht="60.0" hidden="1" customHeight="1">
      <c r="A238" s="89"/>
      <c r="B238" s="6"/>
      <c r="C238" s="183"/>
      <c r="D238" s="210"/>
      <c r="E238" s="263"/>
      <c r="F238" s="186"/>
      <c r="G238" s="186"/>
      <c r="H238" s="186"/>
      <c r="I238" s="186"/>
      <c r="J238" s="186"/>
      <c r="K238" s="187"/>
      <c r="L238" s="187"/>
      <c r="M238" s="187"/>
      <c r="N238" s="214"/>
      <c r="O238" s="188">
        <f t="shared" ref="O238:O244" si="44">IF(AND(M238&lt;&gt;0,M238&lt;&gt;"m",M238&lt;&gt;"",RIGHT(K238,3)="Lec"),1,IF(AND(M238&lt;&gt;0,M238&lt;&gt;"m",M238&lt;&gt;"",OR(RIGHT(K238,3)="Lab",RIGHT(K238,3)="Tut")),0.5,IF(AND(M238&lt;&gt;0,M238&lt;&gt;"m",M238&lt;&gt;"",RIGHT(K238,2)="TL"),0.75,0)))</f>
        <v>0</v>
      </c>
      <c r="P238" s="63"/>
      <c r="Q238" s="69"/>
      <c r="R238" s="89"/>
      <c r="S238" s="69"/>
      <c r="T238" s="69"/>
      <c r="U238" s="63"/>
      <c r="V238" s="63"/>
      <c r="W238" s="89"/>
      <c r="X238" s="68"/>
      <c r="Y238" s="69"/>
      <c r="Z238" s="63"/>
      <c r="AA238" s="189"/>
      <c r="AB238" s="190"/>
      <c r="AC238" s="190"/>
      <c r="AD238" s="190"/>
      <c r="AE238" s="190"/>
      <c r="AF238" s="190"/>
      <c r="AG238" s="190"/>
      <c r="AH238" s="190"/>
      <c r="AI238" s="191"/>
      <c r="AJ238" s="192"/>
      <c r="AK238" s="193"/>
      <c r="AL238" s="193"/>
      <c r="AM238" s="193"/>
      <c r="AN238" s="193"/>
      <c r="AO238" s="194"/>
      <c r="AP238" s="103"/>
      <c r="AQ238" s="89"/>
      <c r="AR238" s="89"/>
      <c r="AS238" s="89"/>
      <c r="AT238" s="69"/>
      <c r="AU238" s="192"/>
      <c r="AV238" s="193"/>
      <c r="AW238" s="193"/>
      <c r="AX238" s="194"/>
      <c r="AY238" s="6"/>
      <c r="AZ238" s="63"/>
      <c r="BA238" s="192"/>
      <c r="BB238" s="193"/>
      <c r="BC238" s="193"/>
      <c r="BD238" s="193"/>
      <c r="BE238" s="193"/>
      <c r="BF238" s="193"/>
      <c r="BG238" s="193"/>
      <c r="BH238" s="193"/>
      <c r="BI238" s="194"/>
      <c r="BJ238" s="195"/>
      <c r="BK238" s="193"/>
      <c r="BL238" s="193"/>
      <c r="BM238" s="193"/>
      <c r="BN238" s="193"/>
      <c r="BO238" s="196"/>
      <c r="BP238" s="63"/>
      <c r="BQ238" s="192"/>
      <c r="BR238" s="193"/>
      <c r="BS238" s="194"/>
      <c r="BT238" s="6"/>
      <c r="BU238" s="63"/>
      <c r="BV238" s="63"/>
      <c r="BW238" s="63"/>
      <c r="BX238" s="63"/>
      <c r="BY238" s="63"/>
      <c r="BZ238" s="63"/>
      <c r="CA238" s="63"/>
      <c r="CB238" s="63"/>
      <c r="CC238" s="63"/>
      <c r="CD238" s="192"/>
      <c r="CE238" s="196"/>
      <c r="CF238" s="192"/>
      <c r="CG238" s="194"/>
      <c r="CH238" s="259"/>
      <c r="CI238" s="197"/>
      <c r="CJ238" s="192"/>
      <c r="CK238" s="197"/>
      <c r="CL238" s="192"/>
      <c r="CM238" s="197"/>
      <c r="CN238" s="192"/>
      <c r="CO238" s="197"/>
      <c r="CP238" s="192"/>
      <c r="CQ238" s="193"/>
      <c r="CR238" s="197"/>
      <c r="CS238" s="69"/>
      <c r="CT238" s="89"/>
      <c r="CU238" s="255" t="str">
        <f t="shared" si="2"/>
        <v/>
      </c>
    </row>
    <row r="239" ht="56.25" hidden="1" customHeight="1">
      <c r="A239" s="125">
        <v>22.0</v>
      </c>
      <c r="B239" s="199"/>
      <c r="C239" s="127"/>
      <c r="D239" s="128"/>
      <c r="E239" s="260"/>
      <c r="F239" s="261"/>
      <c r="G239" s="261"/>
      <c r="H239" s="261"/>
      <c r="I239" s="261"/>
      <c r="J239" s="170"/>
      <c r="K239" s="219"/>
      <c r="L239" s="219"/>
      <c r="M239" s="219"/>
      <c r="N239" s="220"/>
      <c r="O239" s="132">
        <f t="shared" si="44"/>
        <v>0</v>
      </c>
      <c r="P239" s="133">
        <f>COUNTIF(K239:K249,"TL")*0.75+COUNTIF(K239:K249,"Lec")*1+COUNTIF(K239:K249,"Lab")*0.5</f>
        <v>0</v>
      </c>
      <c r="Q239" s="134">
        <f>SUM((IF(LEFT(K239,1)="E",O239,0)),(IF(LEFT(K240,1)="E",O240,0)),(IF(LEFT(K241,1)="E",O241,0)),(IF(LEFT(K242,1)="E",O242,0)),(IF(LEFT(K243,1)="E",O243,0)),(IF(LEFT(K244,1)="E",O244,0)),(IF(LEFT(K245,1)="E",O245,0)),(IF(LEFT(K246,1)="E",O246,0)),(IF(LEFT(K247,1)="E",O247,0)),(IF(LEFT(K248,1)="E",O248,0)),(IF(LEFT(K249,1)="E",O249,0)))</f>
        <v>0</v>
      </c>
      <c r="R239" s="135">
        <f>SUM(IF(M245&lt;20,IF(K245="Plec",-1,IF(K245="PTL",-0.75,IF(K245="Plab",-0.5,0))),0),IF(M246&lt;20,IF(K246="Plec",-1,IF(K246="PTL",-0.75,IF(K246="Plab",-0.5,0))),0),IF(M247&lt;20,IF(K247="Plec",-1,IF(K247="PTL",-0.75,IF(K247="Plab",-0.5,0))),0),IF(M248&lt;20,IF(K248="Plec",-1,IF(K248="PTL",-0.75,IF(K248="Plab",-0.5,0))),0))</f>
        <v>0</v>
      </c>
      <c r="S239" s="134">
        <f>SUM(P239:R249)</f>
        <v>0</v>
      </c>
      <c r="T239" s="136">
        <f>SUM(IF(M239="M",IF(OR(K239="lec",K239="plec",K239="slec"),1,IF(OR(K239="lab",K239="plab",K239="slab",K239="tut",K239="ptut",K239="stut"),0.5,IF(OR(K239="TL",K239="pTL",K239="STL"),0.75,0))),0),IF(M240="M",IF(OR(K240="lec",K240="plec",K240="slec"),1,IF(OR(K240="lab",K240="plab",K240="slab",K240="tut",K240="ptut",K240="stut"),0.5,IF(OR(K240="TL",K240="pTL",K240="STL"),0.75,0))),0),IF(M241="M",IF(OR(K241="lec",K241="plec",K241="slec"),1,IF(OR(K241="lab",K241="plab",K241="slab",K241="tut",K241="ptut",K241="stut"),0.5,IF(OR(K241="TL",K241="pTL",K241="STL"),0.75,0))),0),IF(M242="M",IF(OR(K242="lec",K242="plec",K242="slec"),1,IF(OR(K242="lab",K242="plab",K242="slab",K242="tut",K242="ptut",K242="stut"),0.5,IF(OR(K242="TL",K242="pTL",K242="STL"),0.75,0))),0),IF(M243="M",IF(OR(K243="lec",K243="plec",K243="slec"),1,IF(OR(K243="lab",K243="plab",K243="slab",K243="tut",K243="ptut",K243="stut"),0.5,IF(OR(K243="TL",K243="pTL",K243="STL"),0.75,0))),0),IF(M244="M",IF(OR(K244="lec",K244="plec",K244="slec"),1,IF(OR(K244="lab",K244="plab",K244="slab",K244="tut",K244="ptut",K244="stut"),0.5,IF(OR(K244="TL",K244="pTL",K244="STL"),0.75,0))),0),IF(M245="M",IF(OR(K245="lec",K245="plec",K245="slec"),1,IF(OR(K245="lab",K245="plab",K245="slab",K245="tut",K245="ptut",K245="stut"),0.5,IF(OR(K245="TL",K245="pTL",K245="STL"),0.75,0))),0),IF(M246="M",IF(OR(K246="lec",K246="plec",K246="slec"),1,IF(OR(K246="lab",K246="plab",K246="slab",K246="tut",K246="ptut",K246="stut"),0.5,IF(OR(K246="TL",K246="pTL",K246="STL"),0.75,0))),0),IF(M247="M",IF(OR(K247="lec",K247="plec",K247="slec"),1,IF(OR(K247="lab",K247="plab",K247="slab",K247="tut",K247="ptut",K247="stut"),0.5,IF(OR(K247="TL",K247="pTL",K247="STL"),0.75,0))),0),IF(M248="M",IF(OR(K248="lec",K248="plec",K248="slec"),1,IF(OR(K248="lab",K248="plab",K248="slab",K248="tut",K248="ptut",K248="stut"),0.5,IF(OR(K248="TL",K248="pTL",K248="STL"),0.75,0))),0),IF(M249="M",IF(OR(K249="lec",K249="plec",K249="slec"),1,IF(OR(K249="lab",K249="plab",K249="slab",K249="tut",K249="ptut",K249="stut"),0.5,IF(OR(K249="TL",K249="pTL",K249="STL"),0.75,0))),0))</f>
        <v>0</v>
      </c>
      <c r="U239" s="137"/>
      <c r="V239" s="133"/>
      <c r="W239" s="138"/>
      <c r="X239" s="139">
        <f>S239-(T239+U239+V239+W239)</f>
        <v>0</v>
      </c>
      <c r="Y239" s="134" t="str">
        <f>CONCATENATE(SUM(O239:O249),"(",SUM(O239:O249)-X239,")")</f>
        <v>0(0)</v>
      </c>
      <c r="Z239" s="140"/>
      <c r="AA239" s="141"/>
      <c r="AB239" s="142"/>
      <c r="AC239" s="142"/>
      <c r="AD239" s="142"/>
      <c r="AE239" s="142"/>
      <c r="AF239" s="142"/>
      <c r="AG239" s="142"/>
      <c r="AH239" s="142"/>
      <c r="AI239" s="143"/>
      <c r="AJ239" s="144"/>
      <c r="AK239" s="145"/>
      <c r="AL239" s="145"/>
      <c r="AM239" s="145"/>
      <c r="AN239" s="145"/>
      <c r="AO239" s="146"/>
      <c r="AP239" s="147">
        <f>SUM(SUM(O239:O249),SUM(AI239:AI249)/2,AM239)</f>
        <v>0</v>
      </c>
      <c r="AQ239" s="148"/>
      <c r="AR239" s="148">
        <f>AP239*AQ239</f>
        <v>0</v>
      </c>
      <c r="AS239" s="148">
        <f>CT239</f>
        <v>0</v>
      </c>
      <c r="AT239" s="149">
        <f>AR239*0.75+AS239*0.25</f>
        <v>0</v>
      </c>
      <c r="AU239" s="150"/>
      <c r="AV239" s="151"/>
      <c r="AW239" s="151"/>
      <c r="AX239" s="152"/>
      <c r="AY239" s="153"/>
      <c r="AZ239" s="140"/>
      <c r="BA239" s="150"/>
      <c r="BB239" s="151"/>
      <c r="BC239" s="151"/>
      <c r="BD239" s="151"/>
      <c r="BE239" s="151"/>
      <c r="BF239" s="151"/>
      <c r="BG239" s="151"/>
      <c r="BH239" s="151"/>
      <c r="BI239" s="152"/>
      <c r="BJ239" s="154"/>
      <c r="BK239" s="151"/>
      <c r="BL239" s="151"/>
      <c r="BM239" s="151"/>
      <c r="BN239" s="151"/>
      <c r="BO239" s="155"/>
      <c r="BP239" s="140"/>
      <c r="BQ239" s="156"/>
      <c r="BR239" s="157"/>
      <c r="BS239" s="158"/>
      <c r="BT239" s="153"/>
      <c r="BU239" s="140"/>
      <c r="BV239" s="140"/>
      <c r="BW239" s="140"/>
      <c r="BX239" s="140"/>
      <c r="BY239" s="140"/>
      <c r="BZ239" s="140"/>
      <c r="CA239" s="140"/>
      <c r="CB239" s="140"/>
      <c r="CC239" s="140"/>
      <c r="CD239" s="150"/>
      <c r="CE239" s="155"/>
      <c r="CF239" s="150"/>
      <c r="CG239" s="152"/>
      <c r="CH239" s="252"/>
      <c r="CI239" s="160"/>
      <c r="CJ239" s="159"/>
      <c r="CK239" s="160"/>
      <c r="CL239" s="159"/>
      <c r="CM239" s="160"/>
      <c r="CN239" s="159"/>
      <c r="CO239" s="160"/>
      <c r="CP239" s="159"/>
      <c r="CQ239" s="162"/>
      <c r="CR239" s="160"/>
      <c r="CS239" s="253">
        <f>SUM(IF(AU239&lt;0,ABS(AU239),0),IF(AZ239&lt;0,ABS(AZ239),0),ABS(CI239),ABS(CK239),ABS(CM239),ABS(CO239),ABS(CQ239),ABS(CR239))</f>
        <v>0</v>
      </c>
      <c r="CT239" s="254">
        <f>SUM(AU239,AV239,AW239,AX239/400,AY239,AZ239,BG239,BH239*0.5,BI239*0.25,BJ239,BK239,BL239,BM239,BN239,BO239,BP239,BR239/20,BS239/100,BT239/60,BU239,BV239,BW239,BX239/4,SUM(BY239:CC249)/3,CE239,CG239/3,CI239,CK239,CM239,CO239,CQ239,CR239)</f>
        <v>0</v>
      </c>
      <c r="CU239" s="255" t="str">
        <f t="shared" si="2"/>
        <v/>
      </c>
    </row>
    <row r="240" ht="60.0" hidden="1" customHeight="1">
      <c r="A240" s="65"/>
      <c r="C240" s="167"/>
      <c r="D240" s="205"/>
      <c r="E240" s="262"/>
      <c r="F240" s="170"/>
      <c r="G240" s="170"/>
      <c r="H240" s="170"/>
      <c r="I240" s="170"/>
      <c r="J240" s="170"/>
      <c r="K240" s="171"/>
      <c r="L240" s="171"/>
      <c r="M240" s="171"/>
      <c r="N240" s="209"/>
      <c r="O240" s="172">
        <f t="shared" si="44"/>
        <v>0</v>
      </c>
      <c r="P240" s="166"/>
      <c r="Q240" s="173"/>
      <c r="R240" s="65"/>
      <c r="S240" s="173"/>
      <c r="T240" s="173"/>
      <c r="U240" s="166"/>
      <c r="V240" s="166"/>
      <c r="W240" s="65"/>
      <c r="X240" s="66"/>
      <c r="Y240" s="173"/>
      <c r="Z240" s="166"/>
      <c r="AA240" s="174"/>
      <c r="AB240" s="175"/>
      <c r="AC240" s="175"/>
      <c r="AD240" s="175"/>
      <c r="AE240" s="175"/>
      <c r="AF240" s="175"/>
      <c r="AG240" s="175"/>
      <c r="AH240" s="175"/>
      <c r="AI240" s="176"/>
      <c r="AJ240" s="177"/>
      <c r="AK240" s="178"/>
      <c r="AL240" s="178"/>
      <c r="AM240" s="178"/>
      <c r="AN240" s="178"/>
      <c r="AO240" s="179"/>
      <c r="AP240" s="64"/>
      <c r="AQ240" s="65"/>
      <c r="AR240" s="65"/>
      <c r="AS240" s="65"/>
      <c r="AT240" s="173"/>
      <c r="AU240" s="177"/>
      <c r="AV240" s="178"/>
      <c r="AW240" s="178"/>
      <c r="AX240" s="179"/>
      <c r="AZ240" s="166"/>
      <c r="BA240" s="177"/>
      <c r="BB240" s="178"/>
      <c r="BC240" s="178"/>
      <c r="BD240" s="178"/>
      <c r="BE240" s="178"/>
      <c r="BF240" s="178"/>
      <c r="BG240" s="178"/>
      <c r="BH240" s="178"/>
      <c r="BI240" s="179"/>
      <c r="BJ240" s="180"/>
      <c r="BK240" s="178"/>
      <c r="BL240" s="178"/>
      <c r="BM240" s="178"/>
      <c r="BN240" s="178"/>
      <c r="BO240" s="181"/>
      <c r="BP240" s="166"/>
      <c r="BQ240" s="177"/>
      <c r="BR240" s="178"/>
      <c r="BS240" s="179"/>
      <c r="BU240" s="166"/>
      <c r="BV240" s="166"/>
      <c r="BW240" s="166"/>
      <c r="BX240" s="166"/>
      <c r="BY240" s="166"/>
      <c r="BZ240" s="166"/>
      <c r="CA240" s="166"/>
      <c r="CB240" s="166"/>
      <c r="CC240" s="166"/>
      <c r="CD240" s="177"/>
      <c r="CE240" s="181"/>
      <c r="CF240" s="177"/>
      <c r="CG240" s="179"/>
      <c r="CH240" s="257"/>
      <c r="CI240" s="182"/>
      <c r="CJ240" s="177"/>
      <c r="CK240" s="182"/>
      <c r="CL240" s="177"/>
      <c r="CM240" s="182"/>
      <c r="CN240" s="177"/>
      <c r="CO240" s="182"/>
      <c r="CP240" s="177"/>
      <c r="CQ240" s="178"/>
      <c r="CR240" s="182"/>
      <c r="CS240" s="173"/>
      <c r="CT240" s="65"/>
      <c r="CU240" s="255" t="str">
        <f t="shared" si="2"/>
        <v/>
      </c>
    </row>
    <row r="241" ht="60.0" hidden="1" customHeight="1">
      <c r="A241" s="65"/>
      <c r="C241" s="167"/>
      <c r="D241" s="205"/>
      <c r="E241" s="262"/>
      <c r="F241" s="170"/>
      <c r="G241" s="170"/>
      <c r="H241" s="170"/>
      <c r="I241" s="170"/>
      <c r="J241" s="170"/>
      <c r="K241" s="171"/>
      <c r="L241" s="171"/>
      <c r="M241" s="171"/>
      <c r="N241" s="209"/>
      <c r="O241" s="172">
        <f t="shared" si="44"/>
        <v>0</v>
      </c>
      <c r="P241" s="166"/>
      <c r="Q241" s="173"/>
      <c r="R241" s="65"/>
      <c r="S241" s="173"/>
      <c r="T241" s="173"/>
      <c r="U241" s="166"/>
      <c r="V241" s="166"/>
      <c r="W241" s="65"/>
      <c r="X241" s="66"/>
      <c r="Y241" s="173"/>
      <c r="Z241" s="166"/>
      <c r="AA241" s="174"/>
      <c r="AB241" s="175"/>
      <c r="AC241" s="175"/>
      <c r="AD241" s="175"/>
      <c r="AE241" s="175"/>
      <c r="AF241" s="175"/>
      <c r="AG241" s="175"/>
      <c r="AH241" s="175"/>
      <c r="AI241" s="176"/>
      <c r="AJ241" s="177"/>
      <c r="AK241" s="178"/>
      <c r="AL241" s="178"/>
      <c r="AM241" s="178"/>
      <c r="AN241" s="178"/>
      <c r="AO241" s="179"/>
      <c r="AP241" s="64"/>
      <c r="AQ241" s="65"/>
      <c r="AR241" s="65"/>
      <c r="AS241" s="65"/>
      <c r="AT241" s="173"/>
      <c r="AU241" s="177"/>
      <c r="AV241" s="178"/>
      <c r="AW241" s="178"/>
      <c r="AX241" s="179"/>
      <c r="AZ241" s="166"/>
      <c r="BA241" s="177"/>
      <c r="BB241" s="178"/>
      <c r="BC241" s="178"/>
      <c r="BD241" s="178"/>
      <c r="BE241" s="178"/>
      <c r="BF241" s="178"/>
      <c r="BG241" s="178"/>
      <c r="BH241" s="178"/>
      <c r="BI241" s="179"/>
      <c r="BJ241" s="180"/>
      <c r="BK241" s="178"/>
      <c r="BL241" s="178"/>
      <c r="BM241" s="178"/>
      <c r="BN241" s="178"/>
      <c r="BO241" s="181"/>
      <c r="BP241" s="166"/>
      <c r="BQ241" s="177"/>
      <c r="BR241" s="178"/>
      <c r="BS241" s="179"/>
      <c r="BU241" s="166"/>
      <c r="BV241" s="166"/>
      <c r="BW241" s="166"/>
      <c r="BX241" s="166"/>
      <c r="BY241" s="166"/>
      <c r="BZ241" s="166"/>
      <c r="CA241" s="166"/>
      <c r="CB241" s="166"/>
      <c r="CC241" s="166"/>
      <c r="CD241" s="177"/>
      <c r="CE241" s="181"/>
      <c r="CF241" s="177"/>
      <c r="CG241" s="179"/>
      <c r="CH241" s="257"/>
      <c r="CI241" s="182"/>
      <c r="CJ241" s="177"/>
      <c r="CK241" s="182"/>
      <c r="CL241" s="177"/>
      <c r="CM241" s="182"/>
      <c r="CN241" s="177"/>
      <c r="CO241" s="182"/>
      <c r="CP241" s="177"/>
      <c r="CQ241" s="178"/>
      <c r="CR241" s="182"/>
      <c r="CS241" s="173"/>
      <c r="CT241" s="65"/>
      <c r="CU241" s="255" t="str">
        <f t="shared" si="2"/>
        <v/>
      </c>
    </row>
    <row r="242" ht="60.0" hidden="1" customHeight="1">
      <c r="A242" s="65"/>
      <c r="C242" s="167"/>
      <c r="D242" s="205"/>
      <c r="E242" s="262"/>
      <c r="F242" s="170"/>
      <c r="G242" s="170"/>
      <c r="H242" s="170"/>
      <c r="I242" s="170"/>
      <c r="J242" s="170"/>
      <c r="K242" s="171"/>
      <c r="L242" s="171"/>
      <c r="M242" s="171"/>
      <c r="N242" s="209"/>
      <c r="O242" s="172">
        <f t="shared" si="44"/>
        <v>0</v>
      </c>
      <c r="P242" s="166"/>
      <c r="Q242" s="173"/>
      <c r="R242" s="65"/>
      <c r="S242" s="173"/>
      <c r="T242" s="173"/>
      <c r="U242" s="166"/>
      <c r="V242" s="166"/>
      <c r="W242" s="65"/>
      <c r="X242" s="66"/>
      <c r="Y242" s="173"/>
      <c r="Z242" s="166"/>
      <c r="AA242" s="174"/>
      <c r="AB242" s="175"/>
      <c r="AC242" s="175"/>
      <c r="AD242" s="175"/>
      <c r="AE242" s="175"/>
      <c r="AF242" s="175"/>
      <c r="AG242" s="175"/>
      <c r="AH242" s="175"/>
      <c r="AI242" s="176"/>
      <c r="AJ242" s="177"/>
      <c r="AK242" s="178"/>
      <c r="AL242" s="178"/>
      <c r="AM242" s="178"/>
      <c r="AN242" s="178"/>
      <c r="AO242" s="179"/>
      <c r="AP242" s="64"/>
      <c r="AQ242" s="65"/>
      <c r="AR242" s="65"/>
      <c r="AS242" s="65"/>
      <c r="AT242" s="173"/>
      <c r="AU242" s="177"/>
      <c r="AV242" s="178"/>
      <c r="AW242" s="178"/>
      <c r="AX242" s="179"/>
      <c r="AZ242" s="166"/>
      <c r="BA242" s="177"/>
      <c r="BB242" s="178"/>
      <c r="BC242" s="178"/>
      <c r="BD242" s="178"/>
      <c r="BE242" s="178"/>
      <c r="BF242" s="178"/>
      <c r="BG242" s="178"/>
      <c r="BH242" s="178"/>
      <c r="BI242" s="179"/>
      <c r="BJ242" s="180"/>
      <c r="BK242" s="178"/>
      <c r="BL242" s="178"/>
      <c r="BM242" s="178"/>
      <c r="BN242" s="178"/>
      <c r="BO242" s="181"/>
      <c r="BP242" s="166"/>
      <c r="BQ242" s="177"/>
      <c r="BR242" s="178"/>
      <c r="BS242" s="179"/>
      <c r="BU242" s="166"/>
      <c r="BV242" s="166"/>
      <c r="BW242" s="166"/>
      <c r="BX242" s="166"/>
      <c r="BY242" s="166"/>
      <c r="BZ242" s="166"/>
      <c r="CA242" s="166"/>
      <c r="CB242" s="166"/>
      <c r="CC242" s="166"/>
      <c r="CD242" s="177"/>
      <c r="CE242" s="181"/>
      <c r="CF242" s="177"/>
      <c r="CG242" s="179"/>
      <c r="CH242" s="257"/>
      <c r="CI242" s="182"/>
      <c r="CJ242" s="177"/>
      <c r="CK242" s="182"/>
      <c r="CL242" s="177"/>
      <c r="CM242" s="182"/>
      <c r="CN242" s="177"/>
      <c r="CO242" s="182"/>
      <c r="CP242" s="177"/>
      <c r="CQ242" s="178"/>
      <c r="CR242" s="182"/>
      <c r="CS242" s="173"/>
      <c r="CT242" s="65"/>
      <c r="CU242" s="255" t="str">
        <f t="shared" si="2"/>
        <v/>
      </c>
    </row>
    <row r="243" ht="60.0" hidden="1" customHeight="1">
      <c r="A243" s="65"/>
      <c r="C243" s="167"/>
      <c r="D243" s="205"/>
      <c r="E243" s="262"/>
      <c r="F243" s="170"/>
      <c r="G243" s="170"/>
      <c r="H243" s="170"/>
      <c r="I243" s="170"/>
      <c r="J243" s="170"/>
      <c r="K243" s="171"/>
      <c r="L243" s="171"/>
      <c r="M243" s="171"/>
      <c r="N243" s="209"/>
      <c r="O243" s="172">
        <f t="shared" si="44"/>
        <v>0</v>
      </c>
      <c r="P243" s="166"/>
      <c r="Q243" s="173"/>
      <c r="R243" s="65"/>
      <c r="S243" s="173"/>
      <c r="T243" s="173"/>
      <c r="U243" s="166"/>
      <c r="V243" s="166"/>
      <c r="W243" s="65"/>
      <c r="X243" s="66"/>
      <c r="Y243" s="173"/>
      <c r="Z243" s="166"/>
      <c r="AA243" s="174"/>
      <c r="AB243" s="175"/>
      <c r="AC243" s="175"/>
      <c r="AD243" s="175"/>
      <c r="AE243" s="175"/>
      <c r="AF243" s="175"/>
      <c r="AG243" s="175"/>
      <c r="AH243" s="175"/>
      <c r="AI243" s="176"/>
      <c r="AJ243" s="177"/>
      <c r="AK243" s="178"/>
      <c r="AL243" s="178"/>
      <c r="AM243" s="178"/>
      <c r="AN243" s="178"/>
      <c r="AO243" s="179"/>
      <c r="AP243" s="64"/>
      <c r="AQ243" s="65"/>
      <c r="AR243" s="65"/>
      <c r="AS243" s="65"/>
      <c r="AT243" s="173"/>
      <c r="AU243" s="177"/>
      <c r="AV243" s="178"/>
      <c r="AW243" s="178"/>
      <c r="AX243" s="179"/>
      <c r="AZ243" s="166"/>
      <c r="BA243" s="177"/>
      <c r="BB243" s="178"/>
      <c r="BC243" s="178"/>
      <c r="BD243" s="178"/>
      <c r="BE243" s="178"/>
      <c r="BF243" s="178"/>
      <c r="BG243" s="178"/>
      <c r="BH243" s="178"/>
      <c r="BI243" s="179"/>
      <c r="BJ243" s="180"/>
      <c r="BK243" s="178"/>
      <c r="BL243" s="178"/>
      <c r="BM243" s="178"/>
      <c r="BN243" s="178"/>
      <c r="BO243" s="181"/>
      <c r="BP243" s="166"/>
      <c r="BQ243" s="177"/>
      <c r="BR243" s="178"/>
      <c r="BS243" s="179"/>
      <c r="BU243" s="166"/>
      <c r="BV243" s="166"/>
      <c r="BW243" s="166"/>
      <c r="BX243" s="166"/>
      <c r="BY243" s="166"/>
      <c r="BZ243" s="166"/>
      <c r="CA243" s="166"/>
      <c r="CB243" s="166"/>
      <c r="CC243" s="166"/>
      <c r="CD243" s="177"/>
      <c r="CE243" s="181"/>
      <c r="CF243" s="177"/>
      <c r="CG243" s="179"/>
      <c r="CH243" s="257"/>
      <c r="CI243" s="182"/>
      <c r="CJ243" s="177"/>
      <c r="CK243" s="182"/>
      <c r="CL243" s="177"/>
      <c r="CM243" s="182"/>
      <c r="CN243" s="177"/>
      <c r="CO243" s="182"/>
      <c r="CP243" s="177"/>
      <c r="CQ243" s="178"/>
      <c r="CR243" s="182"/>
      <c r="CS243" s="173"/>
      <c r="CT243" s="65"/>
      <c r="CU243" s="255" t="str">
        <f t="shared" si="2"/>
        <v/>
      </c>
    </row>
    <row r="244" ht="60.0" hidden="1" customHeight="1">
      <c r="A244" s="65"/>
      <c r="C244" s="167"/>
      <c r="D244" s="205"/>
      <c r="E244" s="262"/>
      <c r="F244" s="170"/>
      <c r="G244" s="170"/>
      <c r="H244" s="170"/>
      <c r="I244" s="170"/>
      <c r="J244" s="170"/>
      <c r="K244" s="171"/>
      <c r="L244" s="171"/>
      <c r="M244" s="171"/>
      <c r="N244" s="209"/>
      <c r="O244" s="172">
        <f t="shared" si="44"/>
        <v>0</v>
      </c>
      <c r="P244" s="166"/>
      <c r="Q244" s="173"/>
      <c r="R244" s="65"/>
      <c r="S244" s="173"/>
      <c r="T244" s="173"/>
      <c r="U244" s="166"/>
      <c r="V244" s="166"/>
      <c r="W244" s="65"/>
      <c r="X244" s="66"/>
      <c r="Y244" s="173"/>
      <c r="Z244" s="166"/>
      <c r="AA244" s="174"/>
      <c r="AB244" s="175"/>
      <c r="AC244" s="175"/>
      <c r="AD244" s="175"/>
      <c r="AE244" s="175"/>
      <c r="AF244" s="175"/>
      <c r="AG244" s="175"/>
      <c r="AH244" s="175"/>
      <c r="AI244" s="176"/>
      <c r="AJ244" s="177"/>
      <c r="AK244" s="178"/>
      <c r="AL244" s="178"/>
      <c r="AM244" s="178"/>
      <c r="AN244" s="178"/>
      <c r="AO244" s="179"/>
      <c r="AP244" s="64"/>
      <c r="AQ244" s="65"/>
      <c r="AR244" s="65"/>
      <c r="AS244" s="65"/>
      <c r="AT244" s="173"/>
      <c r="AU244" s="177"/>
      <c r="AV244" s="178"/>
      <c r="AW244" s="178"/>
      <c r="AX244" s="179"/>
      <c r="AZ244" s="166"/>
      <c r="BA244" s="177"/>
      <c r="BB244" s="178"/>
      <c r="BC244" s="178"/>
      <c r="BD244" s="178"/>
      <c r="BE244" s="178"/>
      <c r="BF244" s="178"/>
      <c r="BG244" s="178"/>
      <c r="BH244" s="178"/>
      <c r="BI244" s="179"/>
      <c r="BJ244" s="180"/>
      <c r="BK244" s="178"/>
      <c r="BL244" s="178"/>
      <c r="BM244" s="178"/>
      <c r="BN244" s="178"/>
      <c r="BO244" s="181"/>
      <c r="BP244" s="166"/>
      <c r="BQ244" s="177"/>
      <c r="BR244" s="178"/>
      <c r="BS244" s="179"/>
      <c r="BU244" s="166"/>
      <c r="BV244" s="166"/>
      <c r="BW244" s="166"/>
      <c r="BX244" s="166"/>
      <c r="BY244" s="166"/>
      <c r="BZ244" s="166"/>
      <c r="CA244" s="166"/>
      <c r="CB244" s="166"/>
      <c r="CC244" s="166"/>
      <c r="CD244" s="177"/>
      <c r="CE244" s="181"/>
      <c r="CF244" s="177"/>
      <c r="CG244" s="179"/>
      <c r="CH244" s="257"/>
      <c r="CI244" s="182"/>
      <c r="CJ244" s="177"/>
      <c r="CK244" s="182"/>
      <c r="CL244" s="177"/>
      <c r="CM244" s="182"/>
      <c r="CN244" s="177"/>
      <c r="CO244" s="182"/>
      <c r="CP244" s="177"/>
      <c r="CQ244" s="178"/>
      <c r="CR244" s="182"/>
      <c r="CS244" s="173"/>
      <c r="CT244" s="65"/>
      <c r="CU244" s="255" t="str">
        <f t="shared" si="2"/>
        <v/>
      </c>
    </row>
    <row r="245" ht="60.0" hidden="1" customHeight="1">
      <c r="A245" s="65"/>
      <c r="C245" s="167"/>
      <c r="D245" s="205"/>
      <c r="E245" s="262"/>
      <c r="F245" s="170"/>
      <c r="G245" s="170"/>
      <c r="H245" s="170"/>
      <c r="I245" s="170"/>
      <c r="J245" s="170"/>
      <c r="K245" s="171"/>
      <c r="L245" s="171"/>
      <c r="M245" s="171"/>
      <c r="N245" s="209"/>
      <c r="O245" s="172">
        <f t="shared" ref="O245:O248" si="45">IF(AND(M245&gt;=20,M245&lt;&gt;"m",RIGHT(K245,3)="Lec"),1,IF(AND(M245&gt;=20,M245&lt;&gt;"m",OR(RIGHT(K245,3)="Lab",RIGHT(K245,3)="Tut")),0.5,IF(AND(M245&gt;=20,M245&lt;&gt;"m",RIGHT(K245,2)="TL"),0.75,0)))</f>
        <v>0</v>
      </c>
      <c r="P245" s="166"/>
      <c r="Q245" s="173"/>
      <c r="R245" s="65"/>
      <c r="S245" s="173"/>
      <c r="T245" s="173"/>
      <c r="U245" s="166"/>
      <c r="V245" s="166"/>
      <c r="W245" s="65"/>
      <c r="X245" s="66"/>
      <c r="Y245" s="173"/>
      <c r="Z245" s="166"/>
      <c r="AA245" s="174"/>
      <c r="AB245" s="175"/>
      <c r="AC245" s="175"/>
      <c r="AD245" s="175"/>
      <c r="AE245" s="175"/>
      <c r="AF245" s="175"/>
      <c r="AG245" s="175"/>
      <c r="AH245" s="175"/>
      <c r="AI245" s="176"/>
      <c r="AJ245" s="177"/>
      <c r="AK245" s="178"/>
      <c r="AL245" s="178"/>
      <c r="AM245" s="178"/>
      <c r="AN245" s="178"/>
      <c r="AO245" s="179"/>
      <c r="AP245" s="64"/>
      <c r="AQ245" s="65"/>
      <c r="AR245" s="65"/>
      <c r="AS245" s="65"/>
      <c r="AT245" s="173"/>
      <c r="AU245" s="177"/>
      <c r="AV245" s="178"/>
      <c r="AW245" s="178"/>
      <c r="AX245" s="179"/>
      <c r="AZ245" s="166"/>
      <c r="BA245" s="177"/>
      <c r="BB245" s="178"/>
      <c r="BC245" s="178"/>
      <c r="BD245" s="178"/>
      <c r="BE245" s="178"/>
      <c r="BF245" s="178"/>
      <c r="BG245" s="178"/>
      <c r="BH245" s="178"/>
      <c r="BI245" s="179"/>
      <c r="BJ245" s="180"/>
      <c r="BK245" s="178"/>
      <c r="BL245" s="178"/>
      <c r="BM245" s="178"/>
      <c r="BN245" s="178"/>
      <c r="BO245" s="181"/>
      <c r="BP245" s="166"/>
      <c r="BQ245" s="177"/>
      <c r="BR245" s="178"/>
      <c r="BS245" s="179"/>
      <c r="BU245" s="166"/>
      <c r="BV245" s="166"/>
      <c r="BW245" s="166"/>
      <c r="BX245" s="166"/>
      <c r="BY245" s="166"/>
      <c r="BZ245" s="166"/>
      <c r="CA245" s="166"/>
      <c r="CB245" s="166"/>
      <c r="CC245" s="166"/>
      <c r="CD245" s="177"/>
      <c r="CE245" s="181"/>
      <c r="CF245" s="177"/>
      <c r="CG245" s="179"/>
      <c r="CH245" s="257"/>
      <c r="CI245" s="182"/>
      <c r="CJ245" s="177"/>
      <c r="CK245" s="182"/>
      <c r="CL245" s="177"/>
      <c r="CM245" s="182"/>
      <c r="CN245" s="177"/>
      <c r="CO245" s="182"/>
      <c r="CP245" s="177"/>
      <c r="CQ245" s="178"/>
      <c r="CR245" s="182"/>
      <c r="CS245" s="173"/>
      <c r="CT245" s="65"/>
      <c r="CU245" s="255" t="str">
        <f t="shared" si="2"/>
        <v/>
      </c>
    </row>
    <row r="246" ht="60.0" hidden="1" customHeight="1">
      <c r="A246" s="65"/>
      <c r="C246" s="167"/>
      <c r="D246" s="205"/>
      <c r="E246" s="262"/>
      <c r="F246" s="170"/>
      <c r="G246" s="170"/>
      <c r="H246" s="170"/>
      <c r="I246" s="170"/>
      <c r="J246" s="170"/>
      <c r="K246" s="171"/>
      <c r="L246" s="171"/>
      <c r="M246" s="171"/>
      <c r="N246" s="209"/>
      <c r="O246" s="172">
        <f t="shared" si="45"/>
        <v>0</v>
      </c>
      <c r="P246" s="166"/>
      <c r="Q246" s="173"/>
      <c r="R246" s="65"/>
      <c r="S246" s="173"/>
      <c r="T246" s="173"/>
      <c r="U246" s="166"/>
      <c r="V246" s="166"/>
      <c r="W246" s="65"/>
      <c r="X246" s="66"/>
      <c r="Y246" s="173"/>
      <c r="Z246" s="166"/>
      <c r="AA246" s="174"/>
      <c r="AB246" s="175"/>
      <c r="AC246" s="175"/>
      <c r="AD246" s="175"/>
      <c r="AE246" s="175"/>
      <c r="AF246" s="175"/>
      <c r="AG246" s="175"/>
      <c r="AH246" s="175"/>
      <c r="AI246" s="176"/>
      <c r="AJ246" s="177"/>
      <c r="AK246" s="178"/>
      <c r="AL246" s="178"/>
      <c r="AM246" s="178"/>
      <c r="AN246" s="178"/>
      <c r="AO246" s="179"/>
      <c r="AP246" s="64"/>
      <c r="AQ246" s="65"/>
      <c r="AR246" s="65"/>
      <c r="AS246" s="65"/>
      <c r="AT246" s="173"/>
      <c r="AU246" s="177"/>
      <c r="AV246" s="178"/>
      <c r="AW246" s="178"/>
      <c r="AX246" s="179"/>
      <c r="AZ246" s="166"/>
      <c r="BA246" s="177"/>
      <c r="BB246" s="178"/>
      <c r="BC246" s="178"/>
      <c r="BD246" s="178"/>
      <c r="BE246" s="178"/>
      <c r="BF246" s="178"/>
      <c r="BG246" s="178"/>
      <c r="BH246" s="178"/>
      <c r="BI246" s="179"/>
      <c r="BJ246" s="180"/>
      <c r="BK246" s="178"/>
      <c r="BL246" s="178"/>
      <c r="BM246" s="178"/>
      <c r="BN246" s="178"/>
      <c r="BO246" s="181"/>
      <c r="BP246" s="166"/>
      <c r="BQ246" s="177"/>
      <c r="BR246" s="178"/>
      <c r="BS246" s="179"/>
      <c r="BU246" s="166"/>
      <c r="BV246" s="166"/>
      <c r="BW246" s="166"/>
      <c r="BX246" s="166"/>
      <c r="BY246" s="166"/>
      <c r="BZ246" s="166"/>
      <c r="CA246" s="166"/>
      <c r="CB246" s="166"/>
      <c r="CC246" s="166"/>
      <c r="CD246" s="177"/>
      <c r="CE246" s="181"/>
      <c r="CF246" s="177"/>
      <c r="CG246" s="179"/>
      <c r="CH246" s="257"/>
      <c r="CI246" s="182"/>
      <c r="CJ246" s="177"/>
      <c r="CK246" s="182"/>
      <c r="CL246" s="177"/>
      <c r="CM246" s="182"/>
      <c r="CN246" s="177"/>
      <c r="CO246" s="182"/>
      <c r="CP246" s="177"/>
      <c r="CQ246" s="178"/>
      <c r="CR246" s="182"/>
      <c r="CS246" s="173"/>
      <c r="CT246" s="65"/>
      <c r="CU246" s="255" t="str">
        <f t="shared" si="2"/>
        <v/>
      </c>
    </row>
    <row r="247" ht="60.0" hidden="1" customHeight="1">
      <c r="A247" s="65"/>
      <c r="C247" s="167"/>
      <c r="D247" s="205"/>
      <c r="E247" s="262"/>
      <c r="F247" s="170"/>
      <c r="G247" s="170"/>
      <c r="H247" s="170"/>
      <c r="I247" s="170"/>
      <c r="J247" s="170"/>
      <c r="K247" s="171"/>
      <c r="L247" s="171"/>
      <c r="M247" s="171"/>
      <c r="N247" s="209"/>
      <c r="O247" s="172">
        <f t="shared" si="45"/>
        <v>0</v>
      </c>
      <c r="P247" s="166"/>
      <c r="Q247" s="173"/>
      <c r="R247" s="65"/>
      <c r="S247" s="173"/>
      <c r="T247" s="173"/>
      <c r="U247" s="166"/>
      <c r="V247" s="166"/>
      <c r="W247" s="65"/>
      <c r="X247" s="66"/>
      <c r="Y247" s="173"/>
      <c r="Z247" s="166"/>
      <c r="AA247" s="174"/>
      <c r="AB247" s="175"/>
      <c r="AC247" s="175"/>
      <c r="AD247" s="175"/>
      <c r="AE247" s="175"/>
      <c r="AF247" s="175"/>
      <c r="AG247" s="175"/>
      <c r="AH247" s="175"/>
      <c r="AI247" s="176"/>
      <c r="AJ247" s="177"/>
      <c r="AK247" s="178"/>
      <c r="AL247" s="178"/>
      <c r="AM247" s="178"/>
      <c r="AN247" s="178"/>
      <c r="AO247" s="179"/>
      <c r="AP247" s="64"/>
      <c r="AQ247" s="65"/>
      <c r="AR247" s="65"/>
      <c r="AS247" s="65"/>
      <c r="AT247" s="173"/>
      <c r="AU247" s="177"/>
      <c r="AV247" s="178"/>
      <c r="AW247" s="178"/>
      <c r="AX247" s="179"/>
      <c r="AZ247" s="166"/>
      <c r="BA247" s="177"/>
      <c r="BB247" s="178"/>
      <c r="BC247" s="178"/>
      <c r="BD247" s="178"/>
      <c r="BE247" s="178"/>
      <c r="BF247" s="178"/>
      <c r="BG247" s="178"/>
      <c r="BH247" s="178"/>
      <c r="BI247" s="179"/>
      <c r="BJ247" s="180"/>
      <c r="BK247" s="178"/>
      <c r="BL247" s="178"/>
      <c r="BM247" s="178"/>
      <c r="BN247" s="178"/>
      <c r="BO247" s="181"/>
      <c r="BP247" s="166"/>
      <c r="BQ247" s="177"/>
      <c r="BR247" s="178"/>
      <c r="BS247" s="179"/>
      <c r="BU247" s="166"/>
      <c r="BV247" s="166"/>
      <c r="BW247" s="166"/>
      <c r="BX247" s="166"/>
      <c r="BY247" s="166"/>
      <c r="BZ247" s="166"/>
      <c r="CA247" s="166"/>
      <c r="CB247" s="166"/>
      <c r="CC247" s="166"/>
      <c r="CD247" s="177"/>
      <c r="CE247" s="181"/>
      <c r="CF247" s="177"/>
      <c r="CG247" s="179"/>
      <c r="CH247" s="257"/>
      <c r="CI247" s="182"/>
      <c r="CJ247" s="177"/>
      <c r="CK247" s="182"/>
      <c r="CL247" s="177"/>
      <c r="CM247" s="182"/>
      <c r="CN247" s="177"/>
      <c r="CO247" s="182"/>
      <c r="CP247" s="177"/>
      <c r="CQ247" s="178"/>
      <c r="CR247" s="182"/>
      <c r="CS247" s="173"/>
      <c r="CT247" s="65"/>
      <c r="CU247" s="255" t="str">
        <f t="shared" si="2"/>
        <v/>
      </c>
    </row>
    <row r="248" ht="60.0" hidden="1" customHeight="1">
      <c r="A248" s="65"/>
      <c r="C248" s="167"/>
      <c r="D248" s="205"/>
      <c r="E248" s="262"/>
      <c r="F248" s="170"/>
      <c r="G248" s="170"/>
      <c r="H248" s="170"/>
      <c r="I248" s="170"/>
      <c r="J248" s="170"/>
      <c r="K248" s="171"/>
      <c r="L248" s="171"/>
      <c r="M248" s="171"/>
      <c r="N248" s="209"/>
      <c r="O248" s="172">
        <f t="shared" si="45"/>
        <v>0</v>
      </c>
      <c r="P248" s="166"/>
      <c r="Q248" s="173"/>
      <c r="R248" s="65"/>
      <c r="S248" s="173"/>
      <c r="T248" s="173"/>
      <c r="U248" s="166"/>
      <c r="V248" s="166"/>
      <c r="W248" s="65"/>
      <c r="X248" s="66"/>
      <c r="Y248" s="173"/>
      <c r="Z248" s="166"/>
      <c r="AA248" s="174"/>
      <c r="AB248" s="175"/>
      <c r="AC248" s="175"/>
      <c r="AD248" s="175"/>
      <c r="AE248" s="175"/>
      <c r="AF248" s="175"/>
      <c r="AG248" s="175"/>
      <c r="AH248" s="175"/>
      <c r="AI248" s="176"/>
      <c r="AJ248" s="177"/>
      <c r="AK248" s="178"/>
      <c r="AL248" s="178"/>
      <c r="AM248" s="178"/>
      <c r="AN248" s="178"/>
      <c r="AO248" s="179"/>
      <c r="AP248" s="64"/>
      <c r="AQ248" s="65"/>
      <c r="AR248" s="65"/>
      <c r="AS248" s="65"/>
      <c r="AT248" s="173"/>
      <c r="AU248" s="177"/>
      <c r="AV248" s="178"/>
      <c r="AW248" s="178"/>
      <c r="AX248" s="179"/>
      <c r="AZ248" s="166"/>
      <c r="BA248" s="177"/>
      <c r="BB248" s="178"/>
      <c r="BC248" s="178"/>
      <c r="BD248" s="178"/>
      <c r="BE248" s="178"/>
      <c r="BF248" s="178"/>
      <c r="BG248" s="178"/>
      <c r="BH248" s="178"/>
      <c r="BI248" s="179"/>
      <c r="BJ248" s="180"/>
      <c r="BK248" s="178"/>
      <c r="BL248" s="178"/>
      <c r="BM248" s="178"/>
      <c r="BN248" s="178"/>
      <c r="BO248" s="181"/>
      <c r="BP248" s="166"/>
      <c r="BQ248" s="177"/>
      <c r="BR248" s="178"/>
      <c r="BS248" s="179"/>
      <c r="BU248" s="166"/>
      <c r="BV248" s="166"/>
      <c r="BW248" s="166"/>
      <c r="BX248" s="166"/>
      <c r="BY248" s="166"/>
      <c r="BZ248" s="166"/>
      <c r="CA248" s="166"/>
      <c r="CB248" s="166"/>
      <c r="CC248" s="166"/>
      <c r="CD248" s="177"/>
      <c r="CE248" s="181"/>
      <c r="CF248" s="177"/>
      <c r="CG248" s="179"/>
      <c r="CH248" s="257"/>
      <c r="CI248" s="182"/>
      <c r="CJ248" s="177"/>
      <c r="CK248" s="182"/>
      <c r="CL248" s="177"/>
      <c r="CM248" s="182"/>
      <c r="CN248" s="177"/>
      <c r="CO248" s="182"/>
      <c r="CP248" s="177"/>
      <c r="CQ248" s="178"/>
      <c r="CR248" s="182"/>
      <c r="CS248" s="173"/>
      <c r="CT248" s="65"/>
      <c r="CU248" s="255" t="str">
        <f t="shared" si="2"/>
        <v/>
      </c>
    </row>
    <row r="249" ht="60.0" hidden="1" customHeight="1">
      <c r="A249" s="89"/>
      <c r="B249" s="6"/>
      <c r="C249" s="183"/>
      <c r="D249" s="210"/>
      <c r="E249" s="263"/>
      <c r="F249" s="186"/>
      <c r="G249" s="186"/>
      <c r="H249" s="186"/>
      <c r="I249" s="186"/>
      <c r="J249" s="186"/>
      <c r="K249" s="187"/>
      <c r="L249" s="187"/>
      <c r="M249" s="187"/>
      <c r="N249" s="214"/>
      <c r="O249" s="188">
        <f t="shared" ref="O249:O255" si="46">IF(AND(M249&lt;&gt;0,M249&lt;&gt;"m",M249&lt;&gt;"",RIGHT(K249,3)="Lec"),1,IF(AND(M249&lt;&gt;0,M249&lt;&gt;"m",M249&lt;&gt;"",OR(RIGHT(K249,3)="Lab",RIGHT(K249,3)="Tut")),0.5,IF(AND(M249&lt;&gt;0,M249&lt;&gt;"m",M249&lt;&gt;"",RIGHT(K249,2)="TL"),0.75,0)))</f>
        <v>0</v>
      </c>
      <c r="P249" s="63"/>
      <c r="Q249" s="69"/>
      <c r="R249" s="89"/>
      <c r="S249" s="69"/>
      <c r="T249" s="69"/>
      <c r="U249" s="63"/>
      <c r="V249" s="63"/>
      <c r="W249" s="89"/>
      <c r="X249" s="68"/>
      <c r="Y249" s="69"/>
      <c r="Z249" s="63"/>
      <c r="AA249" s="189"/>
      <c r="AB249" s="190"/>
      <c r="AC249" s="190"/>
      <c r="AD249" s="190"/>
      <c r="AE249" s="190"/>
      <c r="AF249" s="190"/>
      <c r="AG249" s="190"/>
      <c r="AH249" s="190"/>
      <c r="AI249" s="191"/>
      <c r="AJ249" s="192"/>
      <c r="AK249" s="193"/>
      <c r="AL249" s="193"/>
      <c r="AM249" s="193"/>
      <c r="AN249" s="193"/>
      <c r="AO249" s="194"/>
      <c r="AP249" s="103"/>
      <c r="AQ249" s="89"/>
      <c r="AR249" s="89"/>
      <c r="AS249" s="89"/>
      <c r="AT249" s="69"/>
      <c r="AU249" s="192"/>
      <c r="AV249" s="193"/>
      <c r="AW249" s="193"/>
      <c r="AX249" s="194"/>
      <c r="AY249" s="6"/>
      <c r="AZ249" s="63"/>
      <c r="BA249" s="192"/>
      <c r="BB249" s="193"/>
      <c r="BC249" s="193"/>
      <c r="BD249" s="193"/>
      <c r="BE249" s="193"/>
      <c r="BF249" s="193"/>
      <c r="BG249" s="193"/>
      <c r="BH249" s="193"/>
      <c r="BI249" s="194"/>
      <c r="BJ249" s="195"/>
      <c r="BK249" s="193"/>
      <c r="BL249" s="193"/>
      <c r="BM249" s="193"/>
      <c r="BN249" s="193"/>
      <c r="BO249" s="196"/>
      <c r="BP249" s="63"/>
      <c r="BQ249" s="192"/>
      <c r="BR249" s="193"/>
      <c r="BS249" s="194"/>
      <c r="BT249" s="6"/>
      <c r="BU249" s="63"/>
      <c r="BV249" s="63"/>
      <c r="BW249" s="63"/>
      <c r="BX249" s="63"/>
      <c r="BY249" s="63"/>
      <c r="BZ249" s="63"/>
      <c r="CA249" s="63"/>
      <c r="CB249" s="63"/>
      <c r="CC249" s="63"/>
      <c r="CD249" s="192"/>
      <c r="CE249" s="196"/>
      <c r="CF249" s="192"/>
      <c r="CG249" s="194"/>
      <c r="CH249" s="259"/>
      <c r="CI249" s="197"/>
      <c r="CJ249" s="192"/>
      <c r="CK249" s="197"/>
      <c r="CL249" s="192"/>
      <c r="CM249" s="197"/>
      <c r="CN249" s="192"/>
      <c r="CO249" s="197"/>
      <c r="CP249" s="192"/>
      <c r="CQ249" s="193"/>
      <c r="CR249" s="197"/>
      <c r="CS249" s="69"/>
      <c r="CT249" s="89"/>
      <c r="CU249" s="255" t="str">
        <f t="shared" si="2"/>
        <v/>
      </c>
    </row>
    <row r="250" ht="56.25" hidden="1" customHeight="1">
      <c r="A250" s="125">
        <v>23.0</v>
      </c>
      <c r="B250" s="199"/>
      <c r="C250" s="127"/>
      <c r="D250" s="128"/>
      <c r="E250" s="260"/>
      <c r="F250" s="261"/>
      <c r="G250" s="261"/>
      <c r="H250" s="261"/>
      <c r="I250" s="261"/>
      <c r="J250" s="170"/>
      <c r="K250" s="219"/>
      <c r="L250" s="219"/>
      <c r="M250" s="219"/>
      <c r="N250" s="220"/>
      <c r="O250" s="132">
        <f t="shared" si="46"/>
        <v>0</v>
      </c>
      <c r="P250" s="133">
        <f>COUNTIF(K250:K260,"TL")*0.75+COUNTIF(K250:K260,"Lec")*1+COUNTIF(K250:K260,"Lab")*0.5</f>
        <v>0</v>
      </c>
      <c r="Q250" s="134">
        <f>SUM((IF(LEFT(K250,1)="E",O250,0)),(IF(LEFT(K251,1)="E",O251,0)),(IF(LEFT(K252,1)="E",O252,0)),(IF(LEFT(K253,1)="E",O253,0)),(IF(LEFT(K254,1)="E",O254,0)),(IF(LEFT(K255,1)="E",O255,0)),(IF(LEFT(K256,1)="E",O256,0)),(IF(LEFT(K257,1)="E",O257,0)),(IF(LEFT(K258,1)="E",O258,0)),(IF(LEFT(K259,1)="E",O259,0)),(IF(LEFT(K260,1)="E",O260,0)))</f>
        <v>0</v>
      </c>
      <c r="R250" s="135">
        <f>SUM(IF(M256&lt;20,IF(K256="Plec",-1,IF(K256="PTL",-0.75,IF(K256="Plab",-0.5,0))),0),IF(M257&lt;20,IF(K257="Plec",-1,IF(K257="PTL",-0.75,IF(K257="Plab",-0.5,0))),0),IF(M258&lt;20,IF(K258="Plec",-1,IF(K258="PTL",-0.75,IF(K258="Plab",-0.5,0))),0),IF(M259&lt;20,IF(K259="Plec",-1,IF(K259="PTL",-0.75,IF(K259="Plab",-0.5,0))),0))</f>
        <v>0</v>
      </c>
      <c r="S250" s="134">
        <f>SUM(P250:R260)</f>
        <v>0</v>
      </c>
      <c r="T250" s="136">
        <f>SUM(IF(M250="M",IF(OR(K250="lec",K250="plec",K250="slec"),1,IF(OR(K250="lab",K250="plab",K250="slab",K250="tut",K250="ptut",K250="stut"),0.5,IF(OR(K250="TL",K250="pTL",K250="STL"),0.75,0))),0),IF(M251="M",IF(OR(K251="lec",K251="plec",K251="slec"),1,IF(OR(K251="lab",K251="plab",K251="slab",K251="tut",K251="ptut",K251="stut"),0.5,IF(OR(K251="TL",K251="pTL",K251="STL"),0.75,0))),0),IF(M252="M",IF(OR(K252="lec",K252="plec",K252="slec"),1,IF(OR(K252="lab",K252="plab",K252="slab",K252="tut",K252="ptut",K252="stut"),0.5,IF(OR(K252="TL",K252="pTL",K252="STL"),0.75,0))),0),IF(M253="M",IF(OR(K253="lec",K253="plec",K253="slec"),1,IF(OR(K253="lab",K253="plab",K253="slab",K253="tut",K253="ptut",K253="stut"),0.5,IF(OR(K253="TL",K253="pTL",K253="STL"),0.75,0))),0),IF(M254="M",IF(OR(K254="lec",K254="plec",K254="slec"),1,IF(OR(K254="lab",K254="plab",K254="slab",K254="tut",K254="ptut",K254="stut"),0.5,IF(OR(K254="TL",K254="pTL",K254="STL"),0.75,0))),0),IF(M255="M",IF(OR(K255="lec",K255="plec",K255="slec"),1,IF(OR(K255="lab",K255="plab",K255="slab",K255="tut",K255="ptut",K255="stut"),0.5,IF(OR(K255="TL",K255="pTL",K255="STL"),0.75,0))),0),IF(M256="M",IF(OR(K256="lec",K256="plec",K256="slec"),1,IF(OR(K256="lab",K256="plab",K256="slab",K256="tut",K256="ptut",K256="stut"),0.5,IF(OR(K256="TL",K256="pTL",K256="STL"),0.75,0))),0),IF(M257="M",IF(OR(K257="lec",K257="plec",K257="slec"),1,IF(OR(K257="lab",K257="plab",K257="slab",K257="tut",K257="ptut",K257="stut"),0.5,IF(OR(K257="TL",K257="pTL",K257="STL"),0.75,0))),0),IF(M258="M",IF(OR(K258="lec",K258="plec",K258="slec"),1,IF(OR(K258="lab",K258="plab",K258="slab",K258="tut",K258="ptut",K258="stut"),0.5,IF(OR(K258="TL",K258="pTL",K258="STL"),0.75,0))),0),IF(M259="M",IF(OR(K259="lec",K259="plec",K259="slec"),1,IF(OR(K259="lab",K259="plab",K259="slab",K259="tut",K259="ptut",K259="stut"),0.5,IF(OR(K259="TL",K259="pTL",K259="STL"),0.75,0))),0),IF(M260="M",IF(OR(K260="lec",K260="plec",K260="slec"),1,IF(OR(K260="lab",K260="plab",K260="slab",K260="tut",K260="ptut",K260="stut"),0.5,IF(OR(K260="TL",K260="pTL",K260="STL"),0.75,0))),0))</f>
        <v>0</v>
      </c>
      <c r="U250" s="137"/>
      <c r="V250" s="133"/>
      <c r="W250" s="138"/>
      <c r="X250" s="139">
        <f>S250-(T250+U250+V250+W250)</f>
        <v>0</v>
      </c>
      <c r="Y250" s="134" t="str">
        <f>CONCATENATE(SUM(O250:O260),"(",SUM(O250:O260)-X250,")")</f>
        <v>0(0)</v>
      </c>
      <c r="Z250" s="140"/>
      <c r="AA250" s="141"/>
      <c r="AB250" s="142"/>
      <c r="AC250" s="142"/>
      <c r="AD250" s="142"/>
      <c r="AE250" s="142"/>
      <c r="AF250" s="142"/>
      <c r="AG250" s="142"/>
      <c r="AH250" s="142"/>
      <c r="AI250" s="143"/>
      <c r="AJ250" s="144"/>
      <c r="AK250" s="145"/>
      <c r="AL250" s="145"/>
      <c r="AM250" s="145"/>
      <c r="AN250" s="145"/>
      <c r="AO250" s="146"/>
      <c r="AP250" s="147">
        <f>SUM(SUM(O250:O260),SUM(AI250:AI260)/2,AM250)</f>
        <v>0</v>
      </c>
      <c r="AQ250" s="148"/>
      <c r="AR250" s="148">
        <f>AP250*AQ250</f>
        <v>0</v>
      </c>
      <c r="AS250" s="148">
        <f>CT250</f>
        <v>0</v>
      </c>
      <c r="AT250" s="149">
        <f>AR250*0.75+AS250*0.25</f>
        <v>0</v>
      </c>
      <c r="AU250" s="150"/>
      <c r="AV250" s="151"/>
      <c r="AW250" s="151"/>
      <c r="AX250" s="152"/>
      <c r="AY250" s="153"/>
      <c r="AZ250" s="140"/>
      <c r="BA250" s="150"/>
      <c r="BB250" s="151"/>
      <c r="BC250" s="151"/>
      <c r="BD250" s="151"/>
      <c r="BE250" s="151"/>
      <c r="BF250" s="151"/>
      <c r="BG250" s="151"/>
      <c r="BH250" s="151"/>
      <c r="BI250" s="152"/>
      <c r="BJ250" s="154"/>
      <c r="BK250" s="151"/>
      <c r="BL250" s="151"/>
      <c r="BM250" s="151"/>
      <c r="BN250" s="151"/>
      <c r="BO250" s="155"/>
      <c r="BP250" s="140"/>
      <c r="BQ250" s="156"/>
      <c r="BR250" s="157"/>
      <c r="BS250" s="158"/>
      <c r="BT250" s="153"/>
      <c r="BU250" s="140"/>
      <c r="BV250" s="140"/>
      <c r="BW250" s="140"/>
      <c r="BX250" s="140"/>
      <c r="BY250" s="140"/>
      <c r="BZ250" s="140"/>
      <c r="CA250" s="140"/>
      <c r="CB250" s="140"/>
      <c r="CC250" s="140"/>
      <c r="CD250" s="150"/>
      <c r="CE250" s="155"/>
      <c r="CF250" s="150"/>
      <c r="CG250" s="152"/>
      <c r="CH250" s="252"/>
      <c r="CI250" s="160"/>
      <c r="CJ250" s="159"/>
      <c r="CK250" s="160"/>
      <c r="CL250" s="159"/>
      <c r="CM250" s="160"/>
      <c r="CN250" s="159"/>
      <c r="CO250" s="160"/>
      <c r="CP250" s="159"/>
      <c r="CQ250" s="162"/>
      <c r="CR250" s="160"/>
      <c r="CS250" s="253">
        <f>SUM(IF(AU250&lt;0,ABS(AU250),0),IF(AZ250&lt;0,ABS(AZ250),0),ABS(CI250),ABS(CK250),ABS(CM250),ABS(CO250),ABS(CQ250),ABS(CR250))</f>
        <v>0</v>
      </c>
      <c r="CT250" s="254">
        <f>SUM(AU250,AV250,AW250,AX250/400,AY250,AZ250,BG250,BH250*0.5,BI250*0.25,BJ250,BK250,BL250,BM250,BN250,BO250,BP250,BR250/20,BS250/100,BT250/60,BU250,BV250,BW250,BX250/4,SUM(BY250:CC260)/3,CE250,CG250/3,CI250,CK250,CM250,CO250,CQ250,CR250)</f>
        <v>0</v>
      </c>
      <c r="CU250" s="255" t="str">
        <f t="shared" si="2"/>
        <v/>
      </c>
    </row>
    <row r="251" ht="60.0" hidden="1" customHeight="1">
      <c r="A251" s="65"/>
      <c r="C251" s="167"/>
      <c r="D251" s="205"/>
      <c r="E251" s="262"/>
      <c r="F251" s="170"/>
      <c r="G251" s="170"/>
      <c r="H251" s="170"/>
      <c r="I251" s="170"/>
      <c r="J251" s="170"/>
      <c r="K251" s="171"/>
      <c r="L251" s="171"/>
      <c r="M251" s="171"/>
      <c r="N251" s="209"/>
      <c r="O251" s="172">
        <f t="shared" si="46"/>
        <v>0</v>
      </c>
      <c r="P251" s="166"/>
      <c r="Q251" s="173"/>
      <c r="R251" s="65"/>
      <c r="S251" s="173"/>
      <c r="T251" s="173"/>
      <c r="U251" s="166"/>
      <c r="V251" s="166"/>
      <c r="W251" s="65"/>
      <c r="X251" s="66"/>
      <c r="Y251" s="173"/>
      <c r="Z251" s="166"/>
      <c r="AA251" s="174"/>
      <c r="AB251" s="175"/>
      <c r="AC251" s="175"/>
      <c r="AD251" s="175"/>
      <c r="AE251" s="175"/>
      <c r="AF251" s="175"/>
      <c r="AG251" s="175"/>
      <c r="AH251" s="175"/>
      <c r="AI251" s="176"/>
      <c r="AJ251" s="177"/>
      <c r="AK251" s="178"/>
      <c r="AL251" s="178"/>
      <c r="AM251" s="178"/>
      <c r="AN251" s="178"/>
      <c r="AO251" s="179"/>
      <c r="AP251" s="64"/>
      <c r="AQ251" s="65"/>
      <c r="AR251" s="65"/>
      <c r="AS251" s="65"/>
      <c r="AT251" s="173"/>
      <c r="AU251" s="177"/>
      <c r="AV251" s="178"/>
      <c r="AW251" s="178"/>
      <c r="AX251" s="179"/>
      <c r="AZ251" s="166"/>
      <c r="BA251" s="177"/>
      <c r="BB251" s="178"/>
      <c r="BC251" s="178"/>
      <c r="BD251" s="178"/>
      <c r="BE251" s="178"/>
      <c r="BF251" s="178"/>
      <c r="BG251" s="178"/>
      <c r="BH251" s="178"/>
      <c r="BI251" s="179"/>
      <c r="BJ251" s="180"/>
      <c r="BK251" s="178"/>
      <c r="BL251" s="178"/>
      <c r="BM251" s="178"/>
      <c r="BN251" s="178"/>
      <c r="BO251" s="181"/>
      <c r="BP251" s="166"/>
      <c r="BQ251" s="177"/>
      <c r="BR251" s="178"/>
      <c r="BS251" s="179"/>
      <c r="BU251" s="166"/>
      <c r="BV251" s="166"/>
      <c r="BW251" s="166"/>
      <c r="BX251" s="166"/>
      <c r="BY251" s="166"/>
      <c r="BZ251" s="166"/>
      <c r="CA251" s="166"/>
      <c r="CB251" s="166"/>
      <c r="CC251" s="166"/>
      <c r="CD251" s="177"/>
      <c r="CE251" s="181"/>
      <c r="CF251" s="177"/>
      <c r="CG251" s="179"/>
      <c r="CH251" s="257"/>
      <c r="CI251" s="182"/>
      <c r="CJ251" s="177"/>
      <c r="CK251" s="182"/>
      <c r="CL251" s="177"/>
      <c r="CM251" s="182"/>
      <c r="CN251" s="177"/>
      <c r="CO251" s="182"/>
      <c r="CP251" s="177"/>
      <c r="CQ251" s="178"/>
      <c r="CR251" s="182"/>
      <c r="CS251" s="173"/>
      <c r="CT251" s="65"/>
      <c r="CU251" s="255" t="str">
        <f t="shared" si="2"/>
        <v/>
      </c>
    </row>
    <row r="252" ht="60.0" hidden="1" customHeight="1">
      <c r="A252" s="65"/>
      <c r="C252" s="167"/>
      <c r="D252" s="205"/>
      <c r="E252" s="262"/>
      <c r="F252" s="170"/>
      <c r="G252" s="170"/>
      <c r="H252" s="170"/>
      <c r="I252" s="170"/>
      <c r="J252" s="170"/>
      <c r="K252" s="171"/>
      <c r="L252" s="171"/>
      <c r="M252" s="171"/>
      <c r="N252" s="209"/>
      <c r="O252" s="172">
        <f t="shared" si="46"/>
        <v>0</v>
      </c>
      <c r="P252" s="166"/>
      <c r="Q252" s="173"/>
      <c r="R252" s="65"/>
      <c r="S252" s="173"/>
      <c r="T252" s="173"/>
      <c r="U252" s="166"/>
      <c r="V252" s="166"/>
      <c r="W252" s="65"/>
      <c r="X252" s="66"/>
      <c r="Y252" s="173"/>
      <c r="Z252" s="166"/>
      <c r="AA252" s="174"/>
      <c r="AB252" s="175"/>
      <c r="AC252" s="175"/>
      <c r="AD252" s="175"/>
      <c r="AE252" s="175"/>
      <c r="AF252" s="175"/>
      <c r="AG252" s="175"/>
      <c r="AH252" s="175"/>
      <c r="AI252" s="176"/>
      <c r="AJ252" s="177"/>
      <c r="AK252" s="178"/>
      <c r="AL252" s="178"/>
      <c r="AM252" s="178"/>
      <c r="AN252" s="178"/>
      <c r="AO252" s="179"/>
      <c r="AP252" s="64"/>
      <c r="AQ252" s="65"/>
      <c r="AR252" s="65"/>
      <c r="AS252" s="65"/>
      <c r="AT252" s="173"/>
      <c r="AU252" s="177"/>
      <c r="AV252" s="178"/>
      <c r="AW252" s="178"/>
      <c r="AX252" s="179"/>
      <c r="AZ252" s="166"/>
      <c r="BA252" s="177"/>
      <c r="BB252" s="178"/>
      <c r="BC252" s="178"/>
      <c r="BD252" s="178"/>
      <c r="BE252" s="178"/>
      <c r="BF252" s="178"/>
      <c r="BG252" s="178"/>
      <c r="BH252" s="178"/>
      <c r="BI252" s="179"/>
      <c r="BJ252" s="180"/>
      <c r="BK252" s="178"/>
      <c r="BL252" s="178"/>
      <c r="BM252" s="178"/>
      <c r="BN252" s="178"/>
      <c r="BO252" s="181"/>
      <c r="BP252" s="166"/>
      <c r="BQ252" s="177"/>
      <c r="BR252" s="178"/>
      <c r="BS252" s="179"/>
      <c r="BU252" s="166"/>
      <c r="BV252" s="166"/>
      <c r="BW252" s="166"/>
      <c r="BX252" s="166"/>
      <c r="BY252" s="166"/>
      <c r="BZ252" s="166"/>
      <c r="CA252" s="166"/>
      <c r="CB252" s="166"/>
      <c r="CC252" s="166"/>
      <c r="CD252" s="177"/>
      <c r="CE252" s="181"/>
      <c r="CF252" s="177"/>
      <c r="CG252" s="179"/>
      <c r="CH252" s="257"/>
      <c r="CI252" s="182"/>
      <c r="CJ252" s="177"/>
      <c r="CK252" s="182"/>
      <c r="CL252" s="177"/>
      <c r="CM252" s="182"/>
      <c r="CN252" s="177"/>
      <c r="CO252" s="182"/>
      <c r="CP252" s="177"/>
      <c r="CQ252" s="178"/>
      <c r="CR252" s="182"/>
      <c r="CS252" s="173"/>
      <c r="CT252" s="65"/>
      <c r="CU252" s="255" t="str">
        <f t="shared" si="2"/>
        <v/>
      </c>
    </row>
    <row r="253" ht="60.0" hidden="1" customHeight="1">
      <c r="A253" s="65"/>
      <c r="C253" s="167"/>
      <c r="D253" s="205"/>
      <c r="E253" s="262"/>
      <c r="F253" s="170"/>
      <c r="G253" s="170"/>
      <c r="H253" s="170"/>
      <c r="I253" s="170"/>
      <c r="J253" s="170"/>
      <c r="K253" s="171"/>
      <c r="L253" s="171"/>
      <c r="M253" s="171"/>
      <c r="N253" s="209"/>
      <c r="O253" s="172">
        <f t="shared" si="46"/>
        <v>0</v>
      </c>
      <c r="P253" s="166"/>
      <c r="Q253" s="173"/>
      <c r="R253" s="65"/>
      <c r="S253" s="173"/>
      <c r="T253" s="173"/>
      <c r="U253" s="166"/>
      <c r="V253" s="166"/>
      <c r="W253" s="65"/>
      <c r="X253" s="66"/>
      <c r="Y253" s="173"/>
      <c r="Z253" s="166"/>
      <c r="AA253" s="174"/>
      <c r="AB253" s="175"/>
      <c r="AC253" s="175"/>
      <c r="AD253" s="175"/>
      <c r="AE253" s="175"/>
      <c r="AF253" s="175"/>
      <c r="AG253" s="175"/>
      <c r="AH253" s="175"/>
      <c r="AI253" s="176"/>
      <c r="AJ253" s="177"/>
      <c r="AK253" s="178"/>
      <c r="AL253" s="178"/>
      <c r="AM253" s="178"/>
      <c r="AN253" s="178"/>
      <c r="AO253" s="179"/>
      <c r="AP253" s="64"/>
      <c r="AQ253" s="65"/>
      <c r="AR253" s="65"/>
      <c r="AS253" s="65"/>
      <c r="AT253" s="173"/>
      <c r="AU253" s="177"/>
      <c r="AV253" s="178"/>
      <c r="AW253" s="178"/>
      <c r="AX253" s="179"/>
      <c r="AZ253" s="166"/>
      <c r="BA253" s="177"/>
      <c r="BB253" s="178"/>
      <c r="BC253" s="178"/>
      <c r="BD253" s="178"/>
      <c r="BE253" s="178"/>
      <c r="BF253" s="178"/>
      <c r="BG253" s="178"/>
      <c r="BH253" s="178"/>
      <c r="BI253" s="179"/>
      <c r="BJ253" s="180"/>
      <c r="BK253" s="178"/>
      <c r="BL253" s="178"/>
      <c r="BM253" s="178"/>
      <c r="BN253" s="178"/>
      <c r="BO253" s="181"/>
      <c r="BP253" s="166"/>
      <c r="BQ253" s="177"/>
      <c r="BR253" s="178"/>
      <c r="BS253" s="179"/>
      <c r="BU253" s="166"/>
      <c r="BV253" s="166"/>
      <c r="BW253" s="166"/>
      <c r="BX253" s="166"/>
      <c r="BY253" s="166"/>
      <c r="BZ253" s="166"/>
      <c r="CA253" s="166"/>
      <c r="CB253" s="166"/>
      <c r="CC253" s="166"/>
      <c r="CD253" s="177"/>
      <c r="CE253" s="181"/>
      <c r="CF253" s="177"/>
      <c r="CG253" s="179"/>
      <c r="CH253" s="257"/>
      <c r="CI253" s="182"/>
      <c r="CJ253" s="177"/>
      <c r="CK253" s="182"/>
      <c r="CL253" s="177"/>
      <c r="CM253" s="182"/>
      <c r="CN253" s="177"/>
      <c r="CO253" s="182"/>
      <c r="CP253" s="177"/>
      <c r="CQ253" s="178"/>
      <c r="CR253" s="182"/>
      <c r="CS253" s="173"/>
      <c r="CT253" s="65"/>
      <c r="CU253" s="255" t="str">
        <f t="shared" si="2"/>
        <v/>
      </c>
    </row>
    <row r="254" ht="60.0" hidden="1" customHeight="1">
      <c r="A254" s="65"/>
      <c r="C254" s="167"/>
      <c r="D254" s="205"/>
      <c r="E254" s="262"/>
      <c r="F254" s="170"/>
      <c r="G254" s="170"/>
      <c r="H254" s="170"/>
      <c r="I254" s="170"/>
      <c r="J254" s="170"/>
      <c r="K254" s="171"/>
      <c r="L254" s="171"/>
      <c r="M254" s="171"/>
      <c r="N254" s="209"/>
      <c r="O254" s="172">
        <f t="shared" si="46"/>
        <v>0</v>
      </c>
      <c r="P254" s="166"/>
      <c r="Q254" s="173"/>
      <c r="R254" s="65"/>
      <c r="S254" s="173"/>
      <c r="T254" s="173"/>
      <c r="U254" s="166"/>
      <c r="V254" s="166"/>
      <c r="W254" s="65"/>
      <c r="X254" s="66"/>
      <c r="Y254" s="173"/>
      <c r="Z254" s="166"/>
      <c r="AA254" s="174"/>
      <c r="AB254" s="175"/>
      <c r="AC254" s="175"/>
      <c r="AD254" s="175"/>
      <c r="AE254" s="175"/>
      <c r="AF254" s="175"/>
      <c r="AG254" s="175"/>
      <c r="AH254" s="175"/>
      <c r="AI254" s="176"/>
      <c r="AJ254" s="177"/>
      <c r="AK254" s="178"/>
      <c r="AL254" s="178"/>
      <c r="AM254" s="178"/>
      <c r="AN254" s="178"/>
      <c r="AO254" s="179"/>
      <c r="AP254" s="64"/>
      <c r="AQ254" s="65"/>
      <c r="AR254" s="65"/>
      <c r="AS254" s="65"/>
      <c r="AT254" s="173"/>
      <c r="AU254" s="177"/>
      <c r="AV254" s="178"/>
      <c r="AW254" s="178"/>
      <c r="AX254" s="179"/>
      <c r="AZ254" s="166"/>
      <c r="BA254" s="177"/>
      <c r="BB254" s="178"/>
      <c r="BC254" s="178"/>
      <c r="BD254" s="178"/>
      <c r="BE254" s="178"/>
      <c r="BF254" s="178"/>
      <c r="BG254" s="178"/>
      <c r="BH254" s="178"/>
      <c r="BI254" s="179"/>
      <c r="BJ254" s="180"/>
      <c r="BK254" s="178"/>
      <c r="BL254" s="178"/>
      <c r="BM254" s="178"/>
      <c r="BN254" s="178"/>
      <c r="BO254" s="181"/>
      <c r="BP254" s="166"/>
      <c r="BQ254" s="177"/>
      <c r="BR254" s="178"/>
      <c r="BS254" s="179"/>
      <c r="BU254" s="166"/>
      <c r="BV254" s="166"/>
      <c r="BW254" s="166"/>
      <c r="BX254" s="166"/>
      <c r="BY254" s="166"/>
      <c r="BZ254" s="166"/>
      <c r="CA254" s="166"/>
      <c r="CB254" s="166"/>
      <c r="CC254" s="166"/>
      <c r="CD254" s="177"/>
      <c r="CE254" s="181"/>
      <c r="CF254" s="177"/>
      <c r="CG254" s="179"/>
      <c r="CH254" s="257"/>
      <c r="CI254" s="182"/>
      <c r="CJ254" s="177"/>
      <c r="CK254" s="182"/>
      <c r="CL254" s="177"/>
      <c r="CM254" s="182"/>
      <c r="CN254" s="177"/>
      <c r="CO254" s="182"/>
      <c r="CP254" s="177"/>
      <c r="CQ254" s="178"/>
      <c r="CR254" s="182"/>
      <c r="CS254" s="173"/>
      <c r="CT254" s="65"/>
      <c r="CU254" s="255" t="str">
        <f t="shared" si="2"/>
        <v/>
      </c>
    </row>
    <row r="255" ht="60.0" hidden="1" customHeight="1">
      <c r="A255" s="65"/>
      <c r="C255" s="167"/>
      <c r="D255" s="205"/>
      <c r="E255" s="262"/>
      <c r="F255" s="170"/>
      <c r="G255" s="170"/>
      <c r="H255" s="170"/>
      <c r="I255" s="170"/>
      <c r="J255" s="170"/>
      <c r="K255" s="171"/>
      <c r="L255" s="171"/>
      <c r="M255" s="171"/>
      <c r="N255" s="209"/>
      <c r="O255" s="172">
        <f t="shared" si="46"/>
        <v>0</v>
      </c>
      <c r="P255" s="166"/>
      <c r="Q255" s="173"/>
      <c r="R255" s="65"/>
      <c r="S255" s="173"/>
      <c r="T255" s="173"/>
      <c r="U255" s="166"/>
      <c r="V255" s="166"/>
      <c r="W255" s="65"/>
      <c r="X255" s="66"/>
      <c r="Y255" s="173"/>
      <c r="Z255" s="166"/>
      <c r="AA255" s="174"/>
      <c r="AB255" s="175"/>
      <c r="AC255" s="175"/>
      <c r="AD255" s="175"/>
      <c r="AE255" s="175"/>
      <c r="AF255" s="175"/>
      <c r="AG255" s="175"/>
      <c r="AH255" s="175"/>
      <c r="AI255" s="176"/>
      <c r="AJ255" s="177"/>
      <c r="AK255" s="178"/>
      <c r="AL255" s="178"/>
      <c r="AM255" s="178"/>
      <c r="AN255" s="178"/>
      <c r="AO255" s="179"/>
      <c r="AP255" s="64"/>
      <c r="AQ255" s="65"/>
      <c r="AR255" s="65"/>
      <c r="AS255" s="65"/>
      <c r="AT255" s="173"/>
      <c r="AU255" s="177"/>
      <c r="AV255" s="178"/>
      <c r="AW255" s="178"/>
      <c r="AX255" s="179"/>
      <c r="AZ255" s="166"/>
      <c r="BA255" s="177"/>
      <c r="BB255" s="178"/>
      <c r="BC255" s="178"/>
      <c r="BD255" s="178"/>
      <c r="BE255" s="178"/>
      <c r="BF255" s="178"/>
      <c r="BG255" s="178"/>
      <c r="BH255" s="178"/>
      <c r="BI255" s="179"/>
      <c r="BJ255" s="180"/>
      <c r="BK255" s="178"/>
      <c r="BL255" s="178"/>
      <c r="BM255" s="178"/>
      <c r="BN255" s="178"/>
      <c r="BO255" s="181"/>
      <c r="BP255" s="166"/>
      <c r="BQ255" s="177"/>
      <c r="BR255" s="178"/>
      <c r="BS255" s="179"/>
      <c r="BU255" s="166"/>
      <c r="BV255" s="166"/>
      <c r="BW255" s="166"/>
      <c r="BX255" s="166"/>
      <c r="BY255" s="166"/>
      <c r="BZ255" s="166"/>
      <c r="CA255" s="166"/>
      <c r="CB255" s="166"/>
      <c r="CC255" s="166"/>
      <c r="CD255" s="177"/>
      <c r="CE255" s="181"/>
      <c r="CF255" s="177"/>
      <c r="CG255" s="179"/>
      <c r="CH255" s="257"/>
      <c r="CI255" s="182"/>
      <c r="CJ255" s="177"/>
      <c r="CK255" s="182"/>
      <c r="CL255" s="177"/>
      <c r="CM255" s="182"/>
      <c r="CN255" s="177"/>
      <c r="CO255" s="182"/>
      <c r="CP255" s="177"/>
      <c r="CQ255" s="178"/>
      <c r="CR255" s="182"/>
      <c r="CS255" s="173"/>
      <c r="CT255" s="65"/>
      <c r="CU255" s="255" t="str">
        <f t="shared" si="2"/>
        <v/>
      </c>
    </row>
    <row r="256" ht="60.0" hidden="1" customHeight="1">
      <c r="A256" s="65"/>
      <c r="C256" s="167"/>
      <c r="D256" s="205"/>
      <c r="E256" s="262"/>
      <c r="F256" s="170"/>
      <c r="G256" s="170"/>
      <c r="H256" s="170"/>
      <c r="I256" s="170"/>
      <c r="J256" s="170"/>
      <c r="K256" s="171"/>
      <c r="L256" s="171"/>
      <c r="M256" s="171"/>
      <c r="N256" s="209"/>
      <c r="O256" s="172">
        <f t="shared" ref="O256:O259" si="47">IF(AND(M256&gt;=20,M256&lt;&gt;"m",RIGHT(K256,3)="Lec"),1,IF(AND(M256&gt;=20,M256&lt;&gt;"m",OR(RIGHT(K256,3)="Lab",RIGHT(K256,3)="Tut")),0.5,IF(AND(M256&gt;=20,M256&lt;&gt;"m",RIGHT(K256,2)="TL"),0.75,0)))</f>
        <v>0</v>
      </c>
      <c r="P256" s="166"/>
      <c r="Q256" s="173"/>
      <c r="R256" s="65"/>
      <c r="S256" s="173"/>
      <c r="T256" s="173"/>
      <c r="U256" s="166"/>
      <c r="V256" s="166"/>
      <c r="W256" s="65"/>
      <c r="X256" s="66"/>
      <c r="Y256" s="173"/>
      <c r="Z256" s="166"/>
      <c r="AA256" s="174"/>
      <c r="AB256" s="175"/>
      <c r="AC256" s="175"/>
      <c r="AD256" s="175"/>
      <c r="AE256" s="175"/>
      <c r="AF256" s="175"/>
      <c r="AG256" s="175"/>
      <c r="AH256" s="175"/>
      <c r="AI256" s="176"/>
      <c r="AJ256" s="177"/>
      <c r="AK256" s="178"/>
      <c r="AL256" s="178"/>
      <c r="AM256" s="178"/>
      <c r="AN256" s="178"/>
      <c r="AO256" s="179"/>
      <c r="AP256" s="64"/>
      <c r="AQ256" s="65"/>
      <c r="AR256" s="65"/>
      <c r="AS256" s="65"/>
      <c r="AT256" s="173"/>
      <c r="AU256" s="177"/>
      <c r="AV256" s="178"/>
      <c r="AW256" s="178"/>
      <c r="AX256" s="179"/>
      <c r="AZ256" s="166"/>
      <c r="BA256" s="177"/>
      <c r="BB256" s="178"/>
      <c r="BC256" s="178"/>
      <c r="BD256" s="178"/>
      <c r="BE256" s="178"/>
      <c r="BF256" s="178"/>
      <c r="BG256" s="178"/>
      <c r="BH256" s="178"/>
      <c r="BI256" s="179"/>
      <c r="BJ256" s="180"/>
      <c r="BK256" s="178"/>
      <c r="BL256" s="178"/>
      <c r="BM256" s="178"/>
      <c r="BN256" s="178"/>
      <c r="BO256" s="181"/>
      <c r="BP256" s="166"/>
      <c r="BQ256" s="177"/>
      <c r="BR256" s="178"/>
      <c r="BS256" s="179"/>
      <c r="BU256" s="166"/>
      <c r="BV256" s="166"/>
      <c r="BW256" s="166"/>
      <c r="BX256" s="166"/>
      <c r="BY256" s="166"/>
      <c r="BZ256" s="166"/>
      <c r="CA256" s="166"/>
      <c r="CB256" s="166"/>
      <c r="CC256" s="166"/>
      <c r="CD256" s="177"/>
      <c r="CE256" s="181"/>
      <c r="CF256" s="177"/>
      <c r="CG256" s="179"/>
      <c r="CH256" s="257"/>
      <c r="CI256" s="182"/>
      <c r="CJ256" s="177"/>
      <c r="CK256" s="182"/>
      <c r="CL256" s="177"/>
      <c r="CM256" s="182"/>
      <c r="CN256" s="177"/>
      <c r="CO256" s="182"/>
      <c r="CP256" s="177"/>
      <c r="CQ256" s="178"/>
      <c r="CR256" s="182"/>
      <c r="CS256" s="173"/>
      <c r="CT256" s="65"/>
      <c r="CU256" s="255" t="str">
        <f t="shared" si="2"/>
        <v/>
      </c>
    </row>
    <row r="257" ht="60.0" hidden="1" customHeight="1">
      <c r="A257" s="65"/>
      <c r="C257" s="167"/>
      <c r="D257" s="205"/>
      <c r="E257" s="262"/>
      <c r="F257" s="170"/>
      <c r="G257" s="170"/>
      <c r="H257" s="170"/>
      <c r="I257" s="170"/>
      <c r="J257" s="170"/>
      <c r="K257" s="171"/>
      <c r="L257" s="171"/>
      <c r="M257" s="171"/>
      <c r="N257" s="209"/>
      <c r="O257" s="172">
        <f t="shared" si="47"/>
        <v>0</v>
      </c>
      <c r="P257" s="166"/>
      <c r="Q257" s="173"/>
      <c r="R257" s="65"/>
      <c r="S257" s="173"/>
      <c r="T257" s="173"/>
      <c r="U257" s="166"/>
      <c r="V257" s="166"/>
      <c r="W257" s="65"/>
      <c r="X257" s="66"/>
      <c r="Y257" s="173"/>
      <c r="Z257" s="166"/>
      <c r="AA257" s="174"/>
      <c r="AB257" s="175"/>
      <c r="AC257" s="175"/>
      <c r="AD257" s="175"/>
      <c r="AE257" s="175"/>
      <c r="AF257" s="175"/>
      <c r="AG257" s="175"/>
      <c r="AH257" s="175"/>
      <c r="AI257" s="176"/>
      <c r="AJ257" s="177"/>
      <c r="AK257" s="178"/>
      <c r="AL257" s="178"/>
      <c r="AM257" s="178"/>
      <c r="AN257" s="178"/>
      <c r="AO257" s="179"/>
      <c r="AP257" s="64"/>
      <c r="AQ257" s="65"/>
      <c r="AR257" s="65"/>
      <c r="AS257" s="65"/>
      <c r="AT257" s="173"/>
      <c r="AU257" s="177"/>
      <c r="AV257" s="178"/>
      <c r="AW257" s="178"/>
      <c r="AX257" s="179"/>
      <c r="AZ257" s="166"/>
      <c r="BA257" s="177"/>
      <c r="BB257" s="178"/>
      <c r="BC257" s="178"/>
      <c r="BD257" s="178"/>
      <c r="BE257" s="178"/>
      <c r="BF257" s="178"/>
      <c r="BG257" s="178"/>
      <c r="BH257" s="178"/>
      <c r="BI257" s="179"/>
      <c r="BJ257" s="180"/>
      <c r="BK257" s="178"/>
      <c r="BL257" s="178"/>
      <c r="BM257" s="178"/>
      <c r="BN257" s="178"/>
      <c r="BO257" s="181"/>
      <c r="BP257" s="166"/>
      <c r="BQ257" s="177"/>
      <c r="BR257" s="178"/>
      <c r="BS257" s="179"/>
      <c r="BU257" s="166"/>
      <c r="BV257" s="166"/>
      <c r="BW257" s="166"/>
      <c r="BX257" s="166"/>
      <c r="BY257" s="166"/>
      <c r="BZ257" s="166"/>
      <c r="CA257" s="166"/>
      <c r="CB257" s="166"/>
      <c r="CC257" s="166"/>
      <c r="CD257" s="177"/>
      <c r="CE257" s="181"/>
      <c r="CF257" s="177"/>
      <c r="CG257" s="179"/>
      <c r="CH257" s="257"/>
      <c r="CI257" s="182"/>
      <c r="CJ257" s="177"/>
      <c r="CK257" s="182"/>
      <c r="CL257" s="177"/>
      <c r="CM257" s="182"/>
      <c r="CN257" s="177"/>
      <c r="CO257" s="182"/>
      <c r="CP257" s="177"/>
      <c r="CQ257" s="178"/>
      <c r="CR257" s="182"/>
      <c r="CS257" s="173"/>
      <c r="CT257" s="65"/>
      <c r="CU257" s="255" t="str">
        <f t="shared" si="2"/>
        <v/>
      </c>
    </row>
    <row r="258" ht="60.0" hidden="1" customHeight="1">
      <c r="A258" s="65"/>
      <c r="C258" s="167"/>
      <c r="D258" s="205"/>
      <c r="E258" s="262"/>
      <c r="F258" s="170"/>
      <c r="G258" s="170"/>
      <c r="H258" s="170"/>
      <c r="I258" s="170"/>
      <c r="J258" s="170"/>
      <c r="K258" s="171"/>
      <c r="L258" s="171"/>
      <c r="M258" s="171"/>
      <c r="N258" s="209"/>
      <c r="O258" s="172">
        <f t="shared" si="47"/>
        <v>0</v>
      </c>
      <c r="P258" s="166"/>
      <c r="Q258" s="173"/>
      <c r="R258" s="65"/>
      <c r="S258" s="173"/>
      <c r="T258" s="173"/>
      <c r="U258" s="166"/>
      <c r="V258" s="166"/>
      <c r="W258" s="65"/>
      <c r="X258" s="66"/>
      <c r="Y258" s="173"/>
      <c r="Z258" s="166"/>
      <c r="AA258" s="174"/>
      <c r="AB258" s="175"/>
      <c r="AC258" s="175"/>
      <c r="AD258" s="175"/>
      <c r="AE258" s="175"/>
      <c r="AF258" s="175"/>
      <c r="AG258" s="175"/>
      <c r="AH258" s="175"/>
      <c r="AI258" s="176"/>
      <c r="AJ258" s="177"/>
      <c r="AK258" s="178"/>
      <c r="AL258" s="178"/>
      <c r="AM258" s="178"/>
      <c r="AN258" s="178"/>
      <c r="AO258" s="179"/>
      <c r="AP258" s="64"/>
      <c r="AQ258" s="65"/>
      <c r="AR258" s="65"/>
      <c r="AS258" s="65"/>
      <c r="AT258" s="173"/>
      <c r="AU258" s="177"/>
      <c r="AV258" s="178"/>
      <c r="AW258" s="178"/>
      <c r="AX258" s="179"/>
      <c r="AZ258" s="166"/>
      <c r="BA258" s="177"/>
      <c r="BB258" s="178"/>
      <c r="BC258" s="178"/>
      <c r="BD258" s="178"/>
      <c r="BE258" s="178"/>
      <c r="BF258" s="178"/>
      <c r="BG258" s="178"/>
      <c r="BH258" s="178"/>
      <c r="BI258" s="179"/>
      <c r="BJ258" s="180"/>
      <c r="BK258" s="178"/>
      <c r="BL258" s="178"/>
      <c r="BM258" s="178"/>
      <c r="BN258" s="178"/>
      <c r="BO258" s="181"/>
      <c r="BP258" s="166"/>
      <c r="BQ258" s="177"/>
      <c r="BR258" s="178"/>
      <c r="BS258" s="179"/>
      <c r="BU258" s="166"/>
      <c r="BV258" s="166"/>
      <c r="BW258" s="166"/>
      <c r="BX258" s="166"/>
      <c r="BY258" s="166"/>
      <c r="BZ258" s="166"/>
      <c r="CA258" s="166"/>
      <c r="CB258" s="166"/>
      <c r="CC258" s="166"/>
      <c r="CD258" s="177"/>
      <c r="CE258" s="181"/>
      <c r="CF258" s="177"/>
      <c r="CG258" s="179"/>
      <c r="CH258" s="257"/>
      <c r="CI258" s="182"/>
      <c r="CJ258" s="177"/>
      <c r="CK258" s="182"/>
      <c r="CL258" s="177"/>
      <c r="CM258" s="182"/>
      <c r="CN258" s="177"/>
      <c r="CO258" s="182"/>
      <c r="CP258" s="177"/>
      <c r="CQ258" s="178"/>
      <c r="CR258" s="182"/>
      <c r="CS258" s="173"/>
      <c r="CT258" s="65"/>
      <c r="CU258" s="255" t="str">
        <f t="shared" si="2"/>
        <v/>
      </c>
    </row>
    <row r="259" ht="60.0" hidden="1" customHeight="1">
      <c r="A259" s="65"/>
      <c r="C259" s="167"/>
      <c r="D259" s="205"/>
      <c r="E259" s="262"/>
      <c r="F259" s="170"/>
      <c r="G259" s="170"/>
      <c r="H259" s="170"/>
      <c r="I259" s="170"/>
      <c r="J259" s="170"/>
      <c r="K259" s="171"/>
      <c r="L259" s="171"/>
      <c r="M259" s="171"/>
      <c r="N259" s="209"/>
      <c r="O259" s="172">
        <f t="shared" si="47"/>
        <v>0</v>
      </c>
      <c r="P259" s="166"/>
      <c r="Q259" s="173"/>
      <c r="R259" s="65"/>
      <c r="S259" s="173"/>
      <c r="T259" s="173"/>
      <c r="U259" s="166"/>
      <c r="V259" s="166"/>
      <c r="W259" s="65"/>
      <c r="X259" s="66"/>
      <c r="Y259" s="173"/>
      <c r="Z259" s="166"/>
      <c r="AA259" s="174"/>
      <c r="AB259" s="175"/>
      <c r="AC259" s="175"/>
      <c r="AD259" s="175"/>
      <c r="AE259" s="175"/>
      <c r="AF259" s="175"/>
      <c r="AG259" s="175"/>
      <c r="AH259" s="175"/>
      <c r="AI259" s="176"/>
      <c r="AJ259" s="177"/>
      <c r="AK259" s="178"/>
      <c r="AL259" s="178"/>
      <c r="AM259" s="178"/>
      <c r="AN259" s="178"/>
      <c r="AO259" s="179"/>
      <c r="AP259" s="64"/>
      <c r="AQ259" s="65"/>
      <c r="AR259" s="65"/>
      <c r="AS259" s="65"/>
      <c r="AT259" s="173"/>
      <c r="AU259" s="177"/>
      <c r="AV259" s="178"/>
      <c r="AW259" s="178"/>
      <c r="AX259" s="179"/>
      <c r="AZ259" s="166"/>
      <c r="BA259" s="177"/>
      <c r="BB259" s="178"/>
      <c r="BC259" s="178"/>
      <c r="BD259" s="178"/>
      <c r="BE259" s="178"/>
      <c r="BF259" s="178"/>
      <c r="BG259" s="178"/>
      <c r="BH259" s="178"/>
      <c r="BI259" s="179"/>
      <c r="BJ259" s="180"/>
      <c r="BK259" s="178"/>
      <c r="BL259" s="178"/>
      <c r="BM259" s="178"/>
      <c r="BN259" s="178"/>
      <c r="BO259" s="181"/>
      <c r="BP259" s="166"/>
      <c r="BQ259" s="177"/>
      <c r="BR259" s="178"/>
      <c r="BS259" s="179"/>
      <c r="BU259" s="166"/>
      <c r="BV259" s="166"/>
      <c r="BW259" s="166"/>
      <c r="BX259" s="166"/>
      <c r="BY259" s="166"/>
      <c r="BZ259" s="166"/>
      <c r="CA259" s="166"/>
      <c r="CB259" s="166"/>
      <c r="CC259" s="166"/>
      <c r="CD259" s="177"/>
      <c r="CE259" s="181"/>
      <c r="CF259" s="177"/>
      <c r="CG259" s="179"/>
      <c r="CH259" s="257"/>
      <c r="CI259" s="182"/>
      <c r="CJ259" s="177"/>
      <c r="CK259" s="182"/>
      <c r="CL259" s="177"/>
      <c r="CM259" s="182"/>
      <c r="CN259" s="177"/>
      <c r="CO259" s="182"/>
      <c r="CP259" s="177"/>
      <c r="CQ259" s="178"/>
      <c r="CR259" s="182"/>
      <c r="CS259" s="173"/>
      <c r="CT259" s="65"/>
      <c r="CU259" s="255" t="str">
        <f t="shared" si="2"/>
        <v/>
      </c>
    </row>
    <row r="260" ht="60.0" hidden="1" customHeight="1">
      <c r="A260" s="89"/>
      <c r="B260" s="6"/>
      <c r="C260" s="183"/>
      <c r="D260" s="210"/>
      <c r="E260" s="263"/>
      <c r="F260" s="186"/>
      <c r="G260" s="186"/>
      <c r="H260" s="186"/>
      <c r="I260" s="186"/>
      <c r="J260" s="186"/>
      <c r="K260" s="187"/>
      <c r="L260" s="187"/>
      <c r="M260" s="187"/>
      <c r="N260" s="214"/>
      <c r="O260" s="188">
        <f t="shared" ref="O260:O266" si="48">IF(AND(M260&lt;&gt;0,M260&lt;&gt;"m",M260&lt;&gt;"",RIGHT(K260,3)="Lec"),1,IF(AND(M260&lt;&gt;0,M260&lt;&gt;"m",M260&lt;&gt;"",OR(RIGHT(K260,3)="Lab",RIGHT(K260,3)="Tut")),0.5,IF(AND(M260&lt;&gt;0,M260&lt;&gt;"m",M260&lt;&gt;"",RIGHT(K260,2)="TL"),0.75,0)))</f>
        <v>0</v>
      </c>
      <c r="P260" s="63"/>
      <c r="Q260" s="69"/>
      <c r="R260" s="89"/>
      <c r="S260" s="69"/>
      <c r="T260" s="69"/>
      <c r="U260" s="63"/>
      <c r="V260" s="63"/>
      <c r="W260" s="89"/>
      <c r="X260" s="68"/>
      <c r="Y260" s="69"/>
      <c r="Z260" s="63"/>
      <c r="AA260" s="189"/>
      <c r="AB260" s="190"/>
      <c r="AC260" s="190"/>
      <c r="AD260" s="190"/>
      <c r="AE260" s="190"/>
      <c r="AF260" s="190"/>
      <c r="AG260" s="190"/>
      <c r="AH260" s="190"/>
      <c r="AI260" s="191"/>
      <c r="AJ260" s="192"/>
      <c r="AK260" s="193"/>
      <c r="AL260" s="193"/>
      <c r="AM260" s="193"/>
      <c r="AN260" s="193"/>
      <c r="AO260" s="194"/>
      <c r="AP260" s="103"/>
      <c r="AQ260" s="89"/>
      <c r="AR260" s="89"/>
      <c r="AS260" s="89"/>
      <c r="AT260" s="69"/>
      <c r="AU260" s="192"/>
      <c r="AV260" s="193"/>
      <c r="AW260" s="193"/>
      <c r="AX260" s="194"/>
      <c r="AY260" s="6"/>
      <c r="AZ260" s="63"/>
      <c r="BA260" s="192"/>
      <c r="BB260" s="193"/>
      <c r="BC260" s="193"/>
      <c r="BD260" s="193"/>
      <c r="BE260" s="193"/>
      <c r="BF260" s="193"/>
      <c r="BG260" s="193"/>
      <c r="BH260" s="193"/>
      <c r="BI260" s="194"/>
      <c r="BJ260" s="195"/>
      <c r="BK260" s="193"/>
      <c r="BL260" s="193"/>
      <c r="BM260" s="193"/>
      <c r="BN260" s="193"/>
      <c r="BO260" s="196"/>
      <c r="BP260" s="63"/>
      <c r="BQ260" s="192"/>
      <c r="BR260" s="193"/>
      <c r="BS260" s="194"/>
      <c r="BT260" s="6"/>
      <c r="BU260" s="63"/>
      <c r="BV260" s="63"/>
      <c r="BW260" s="63"/>
      <c r="BX260" s="63"/>
      <c r="BY260" s="63"/>
      <c r="BZ260" s="63"/>
      <c r="CA260" s="63"/>
      <c r="CB260" s="63"/>
      <c r="CC260" s="63"/>
      <c r="CD260" s="192"/>
      <c r="CE260" s="196"/>
      <c r="CF260" s="192"/>
      <c r="CG260" s="194"/>
      <c r="CH260" s="259"/>
      <c r="CI260" s="197"/>
      <c r="CJ260" s="192"/>
      <c r="CK260" s="197"/>
      <c r="CL260" s="192"/>
      <c r="CM260" s="197"/>
      <c r="CN260" s="192"/>
      <c r="CO260" s="197"/>
      <c r="CP260" s="192"/>
      <c r="CQ260" s="193"/>
      <c r="CR260" s="197"/>
      <c r="CS260" s="69"/>
      <c r="CT260" s="89"/>
      <c r="CU260" s="255" t="str">
        <f t="shared" si="2"/>
        <v/>
      </c>
    </row>
    <row r="261" ht="56.25" hidden="1" customHeight="1">
      <c r="A261" s="125">
        <v>24.0</v>
      </c>
      <c r="B261" s="199"/>
      <c r="C261" s="127"/>
      <c r="D261" s="128"/>
      <c r="E261" s="260"/>
      <c r="F261" s="261"/>
      <c r="G261" s="261"/>
      <c r="H261" s="261"/>
      <c r="I261" s="261"/>
      <c r="J261" s="170"/>
      <c r="K261" s="219"/>
      <c r="L261" s="219"/>
      <c r="M261" s="219"/>
      <c r="N261" s="220"/>
      <c r="O261" s="132">
        <f t="shared" si="48"/>
        <v>0</v>
      </c>
      <c r="P261" s="133">
        <f>COUNTIF(K261:K271,"TL")*0.75+COUNTIF(K261:K271,"Lec")*1+COUNTIF(K261:K271,"Lab")*0.5</f>
        <v>0</v>
      </c>
      <c r="Q261" s="134">
        <f>SUM((IF(LEFT(K261,1)="E",O261,0)),(IF(LEFT(K262,1)="E",O262,0)),(IF(LEFT(K263,1)="E",O263,0)),(IF(LEFT(K264,1)="E",O264,0)),(IF(LEFT(K265,1)="E",O265,0)),(IF(LEFT(K266,1)="E",O266,0)),(IF(LEFT(K267,1)="E",O267,0)),(IF(LEFT(K268,1)="E",O268,0)),(IF(LEFT(K269,1)="E",O269,0)),(IF(LEFT(K270,1)="E",O270,0)),(IF(LEFT(K271,1)="E",O271,0)))</f>
        <v>0</v>
      </c>
      <c r="R261" s="135">
        <f>SUM(IF(M267&lt;20,IF(K267="Plec",-1,IF(K267="PTL",-0.75,IF(K267="Plab",-0.5,0))),0),IF(M268&lt;20,IF(K268="Plec",-1,IF(K268="PTL",-0.75,IF(K268="Plab",-0.5,0))),0),IF(M269&lt;20,IF(K269="Plec",-1,IF(K269="PTL",-0.75,IF(K269="Plab",-0.5,0))),0),IF(M270&lt;20,IF(K270="Plec",-1,IF(K270="PTL",-0.75,IF(K270="Plab",-0.5,0))),0))</f>
        <v>0</v>
      </c>
      <c r="S261" s="134">
        <f>SUM(P261:R271)</f>
        <v>0</v>
      </c>
      <c r="T261" s="136">
        <f>SUM(IF(M261="M",IF(OR(K261="lec",K261="plec",K261="slec"),1,IF(OR(K261="lab",K261="plab",K261="slab",K261="tut",K261="ptut",K261="stut"),0.5,IF(OR(K261="TL",K261="pTL",K261="STL"),0.75,0))),0),IF(M262="M",IF(OR(K262="lec",K262="plec",K262="slec"),1,IF(OR(K262="lab",K262="plab",K262="slab",K262="tut",K262="ptut",K262="stut"),0.5,IF(OR(K262="TL",K262="pTL",K262="STL"),0.75,0))),0),IF(M263="M",IF(OR(K263="lec",K263="plec",K263="slec"),1,IF(OR(K263="lab",K263="plab",K263="slab",K263="tut",K263="ptut",K263="stut"),0.5,IF(OR(K263="TL",K263="pTL",K263="STL"),0.75,0))),0),IF(M264="M",IF(OR(K264="lec",K264="plec",K264="slec"),1,IF(OR(K264="lab",K264="plab",K264="slab",K264="tut",K264="ptut",K264="stut"),0.5,IF(OR(K264="TL",K264="pTL",K264="STL"),0.75,0))),0),IF(M265="M",IF(OR(K265="lec",K265="plec",K265="slec"),1,IF(OR(K265="lab",K265="plab",K265="slab",K265="tut",K265="ptut",K265="stut"),0.5,IF(OR(K265="TL",K265="pTL",K265="STL"),0.75,0))),0),IF(M266="M",IF(OR(K266="lec",K266="plec",K266="slec"),1,IF(OR(K266="lab",K266="plab",K266="slab",K266="tut",K266="ptut",K266="stut"),0.5,IF(OR(K266="TL",K266="pTL",K266="STL"),0.75,0))),0),IF(M267="M",IF(OR(K267="lec",K267="plec",K267="slec"),1,IF(OR(K267="lab",K267="plab",K267="slab",K267="tut",K267="ptut",K267="stut"),0.5,IF(OR(K267="TL",K267="pTL",K267="STL"),0.75,0))),0),IF(M268="M",IF(OR(K268="lec",K268="plec",K268="slec"),1,IF(OR(K268="lab",K268="plab",K268="slab",K268="tut",K268="ptut",K268="stut"),0.5,IF(OR(K268="TL",K268="pTL",K268="STL"),0.75,0))),0),IF(M269="M",IF(OR(K269="lec",K269="plec",K269="slec"),1,IF(OR(K269="lab",K269="plab",K269="slab",K269="tut",K269="ptut",K269="stut"),0.5,IF(OR(K269="TL",K269="pTL",K269="STL"),0.75,0))),0),IF(M270="M",IF(OR(K270="lec",K270="plec",K270="slec"),1,IF(OR(K270="lab",K270="plab",K270="slab",K270="tut",K270="ptut",K270="stut"),0.5,IF(OR(K270="TL",K270="pTL",K270="STL"),0.75,0))),0),IF(M271="M",IF(OR(K271="lec",K271="plec",K271="slec"),1,IF(OR(K271="lab",K271="plab",K271="slab",K271="tut",K271="ptut",K271="stut"),0.5,IF(OR(K271="TL",K271="pTL",K271="STL"),0.75,0))),0))</f>
        <v>0</v>
      </c>
      <c r="U261" s="137"/>
      <c r="V261" s="133"/>
      <c r="W261" s="138"/>
      <c r="X261" s="139">
        <f>S261-(T261+U261+V261+W261)</f>
        <v>0</v>
      </c>
      <c r="Y261" s="134" t="str">
        <f>CONCATENATE(SUM(O261:O271),"(",SUM(O261:O271)-X261,")")</f>
        <v>0(0)</v>
      </c>
      <c r="Z261" s="140"/>
      <c r="AA261" s="141"/>
      <c r="AB261" s="142"/>
      <c r="AC261" s="142"/>
      <c r="AD261" s="142"/>
      <c r="AE261" s="142"/>
      <c r="AF261" s="142"/>
      <c r="AG261" s="142"/>
      <c r="AH261" s="142"/>
      <c r="AI261" s="143"/>
      <c r="AJ261" s="144"/>
      <c r="AK261" s="145"/>
      <c r="AL261" s="145"/>
      <c r="AM261" s="145"/>
      <c r="AN261" s="145"/>
      <c r="AO261" s="146"/>
      <c r="AP261" s="147">
        <f>SUM(SUM(O261:O271),SUM(AI261:AI271)/2,AM261)</f>
        <v>0</v>
      </c>
      <c r="AQ261" s="148"/>
      <c r="AR261" s="148">
        <f>AP261*AQ261</f>
        <v>0</v>
      </c>
      <c r="AS261" s="148">
        <f>CT261</f>
        <v>0</v>
      </c>
      <c r="AT261" s="149">
        <f>AR261*0.75+AS261*0.25</f>
        <v>0</v>
      </c>
      <c r="AU261" s="150"/>
      <c r="AV261" s="151"/>
      <c r="AW261" s="151"/>
      <c r="AX261" s="152"/>
      <c r="AY261" s="153"/>
      <c r="AZ261" s="140"/>
      <c r="BA261" s="150"/>
      <c r="BB261" s="151"/>
      <c r="BC261" s="151"/>
      <c r="BD261" s="151"/>
      <c r="BE261" s="151"/>
      <c r="BF261" s="151"/>
      <c r="BG261" s="151"/>
      <c r="BH261" s="151"/>
      <c r="BI261" s="152"/>
      <c r="BJ261" s="154"/>
      <c r="BK261" s="151"/>
      <c r="BL261" s="151"/>
      <c r="BM261" s="151"/>
      <c r="BN261" s="151"/>
      <c r="BO261" s="155"/>
      <c r="BP261" s="140"/>
      <c r="BQ261" s="156"/>
      <c r="BR261" s="157"/>
      <c r="BS261" s="158"/>
      <c r="BT261" s="153"/>
      <c r="BU261" s="140"/>
      <c r="BV261" s="140"/>
      <c r="BW261" s="140"/>
      <c r="BX261" s="140"/>
      <c r="BY261" s="140"/>
      <c r="BZ261" s="140"/>
      <c r="CA261" s="140"/>
      <c r="CB261" s="140"/>
      <c r="CC261" s="140"/>
      <c r="CD261" s="150"/>
      <c r="CE261" s="155"/>
      <c r="CF261" s="150"/>
      <c r="CG261" s="152"/>
      <c r="CH261" s="252"/>
      <c r="CI261" s="160"/>
      <c r="CJ261" s="159"/>
      <c r="CK261" s="160"/>
      <c r="CL261" s="159"/>
      <c r="CM261" s="160"/>
      <c r="CN261" s="159"/>
      <c r="CO261" s="160"/>
      <c r="CP261" s="159"/>
      <c r="CQ261" s="162"/>
      <c r="CR261" s="160"/>
      <c r="CS261" s="253">
        <f>SUM(IF(AU261&lt;0,ABS(AU261),0),IF(AZ261&lt;0,ABS(AZ261),0),ABS(CI261),ABS(CK261),ABS(CM261),ABS(CO261),ABS(CQ261),ABS(CR261))</f>
        <v>0</v>
      </c>
      <c r="CT261" s="254">
        <f>SUM(AU261,AV261,AW261,AX261/400,AY261,AZ261,BG261,BH261*0.5,BI261*0.25,BJ261,BK261,BL261,BM261,BN261,BO261,BP261,BR261/20,BS261/100,BT261/60,BU261,BV261,BW261,BX261/4,SUM(BY261:CC271)/3,CE261,CG261/3,CI261,CK261,CM261,CO261,CQ261,CR261)</f>
        <v>0</v>
      </c>
      <c r="CU261" s="255" t="str">
        <f t="shared" si="2"/>
        <v/>
      </c>
    </row>
    <row r="262" ht="60.0" hidden="1" customHeight="1">
      <c r="A262" s="65"/>
      <c r="C262" s="167"/>
      <c r="D262" s="205"/>
      <c r="E262" s="262"/>
      <c r="F262" s="170"/>
      <c r="G262" s="170"/>
      <c r="H262" s="170"/>
      <c r="I262" s="170"/>
      <c r="J262" s="170"/>
      <c r="K262" s="171"/>
      <c r="L262" s="171"/>
      <c r="M262" s="171"/>
      <c r="N262" s="209"/>
      <c r="O262" s="172">
        <f t="shared" si="48"/>
        <v>0</v>
      </c>
      <c r="P262" s="166"/>
      <c r="Q262" s="173"/>
      <c r="R262" s="65"/>
      <c r="S262" s="173"/>
      <c r="T262" s="173"/>
      <c r="U262" s="166"/>
      <c r="V262" s="166"/>
      <c r="W262" s="65"/>
      <c r="X262" s="66"/>
      <c r="Y262" s="173"/>
      <c r="Z262" s="166"/>
      <c r="AA262" s="174"/>
      <c r="AB262" s="175"/>
      <c r="AC262" s="175"/>
      <c r="AD262" s="175"/>
      <c r="AE262" s="175"/>
      <c r="AF262" s="175"/>
      <c r="AG262" s="175"/>
      <c r="AH262" s="175"/>
      <c r="AI262" s="176"/>
      <c r="AJ262" s="177"/>
      <c r="AK262" s="178"/>
      <c r="AL262" s="178"/>
      <c r="AM262" s="178"/>
      <c r="AN262" s="178"/>
      <c r="AO262" s="179"/>
      <c r="AP262" s="64"/>
      <c r="AQ262" s="65"/>
      <c r="AR262" s="65"/>
      <c r="AS262" s="65"/>
      <c r="AT262" s="173"/>
      <c r="AU262" s="177"/>
      <c r="AV262" s="178"/>
      <c r="AW262" s="178"/>
      <c r="AX262" s="179"/>
      <c r="AZ262" s="166"/>
      <c r="BA262" s="177"/>
      <c r="BB262" s="178"/>
      <c r="BC262" s="178"/>
      <c r="BD262" s="178"/>
      <c r="BE262" s="178"/>
      <c r="BF262" s="178"/>
      <c r="BG262" s="178"/>
      <c r="BH262" s="178"/>
      <c r="BI262" s="179"/>
      <c r="BJ262" s="180"/>
      <c r="BK262" s="178"/>
      <c r="BL262" s="178"/>
      <c r="BM262" s="178"/>
      <c r="BN262" s="178"/>
      <c r="BO262" s="181"/>
      <c r="BP262" s="166"/>
      <c r="BQ262" s="177"/>
      <c r="BR262" s="178"/>
      <c r="BS262" s="179"/>
      <c r="BU262" s="166"/>
      <c r="BV262" s="166"/>
      <c r="BW262" s="166"/>
      <c r="BX262" s="166"/>
      <c r="BY262" s="166"/>
      <c r="BZ262" s="166"/>
      <c r="CA262" s="166"/>
      <c r="CB262" s="166"/>
      <c r="CC262" s="166"/>
      <c r="CD262" s="177"/>
      <c r="CE262" s="181"/>
      <c r="CF262" s="177"/>
      <c r="CG262" s="179"/>
      <c r="CH262" s="257"/>
      <c r="CI262" s="182"/>
      <c r="CJ262" s="177"/>
      <c r="CK262" s="182"/>
      <c r="CL262" s="177"/>
      <c r="CM262" s="182"/>
      <c r="CN262" s="177"/>
      <c r="CO262" s="182"/>
      <c r="CP262" s="177"/>
      <c r="CQ262" s="178"/>
      <c r="CR262" s="182"/>
      <c r="CS262" s="173"/>
      <c r="CT262" s="65"/>
      <c r="CU262" s="255" t="str">
        <f t="shared" si="2"/>
        <v/>
      </c>
    </row>
    <row r="263" ht="60.0" hidden="1" customHeight="1">
      <c r="A263" s="65"/>
      <c r="C263" s="167"/>
      <c r="D263" s="205"/>
      <c r="E263" s="262"/>
      <c r="F263" s="170"/>
      <c r="G263" s="170"/>
      <c r="H263" s="170"/>
      <c r="I263" s="170"/>
      <c r="J263" s="170"/>
      <c r="K263" s="171"/>
      <c r="L263" s="171"/>
      <c r="M263" s="171"/>
      <c r="N263" s="209"/>
      <c r="O263" s="172">
        <f t="shared" si="48"/>
        <v>0</v>
      </c>
      <c r="P263" s="166"/>
      <c r="Q263" s="173"/>
      <c r="R263" s="65"/>
      <c r="S263" s="173"/>
      <c r="T263" s="173"/>
      <c r="U263" s="166"/>
      <c r="V263" s="166"/>
      <c r="W263" s="65"/>
      <c r="X263" s="66"/>
      <c r="Y263" s="173"/>
      <c r="Z263" s="166"/>
      <c r="AA263" s="174"/>
      <c r="AB263" s="175"/>
      <c r="AC263" s="175"/>
      <c r="AD263" s="175"/>
      <c r="AE263" s="175"/>
      <c r="AF263" s="175"/>
      <c r="AG263" s="175"/>
      <c r="AH263" s="175"/>
      <c r="AI263" s="176"/>
      <c r="AJ263" s="177"/>
      <c r="AK263" s="178"/>
      <c r="AL263" s="178"/>
      <c r="AM263" s="178"/>
      <c r="AN263" s="178"/>
      <c r="AO263" s="179"/>
      <c r="AP263" s="64"/>
      <c r="AQ263" s="65"/>
      <c r="AR263" s="65"/>
      <c r="AS263" s="65"/>
      <c r="AT263" s="173"/>
      <c r="AU263" s="177"/>
      <c r="AV263" s="178"/>
      <c r="AW263" s="178"/>
      <c r="AX263" s="179"/>
      <c r="AZ263" s="166"/>
      <c r="BA263" s="177"/>
      <c r="BB263" s="178"/>
      <c r="BC263" s="178"/>
      <c r="BD263" s="178"/>
      <c r="BE263" s="178"/>
      <c r="BF263" s="178"/>
      <c r="BG263" s="178"/>
      <c r="BH263" s="178"/>
      <c r="BI263" s="179"/>
      <c r="BJ263" s="180"/>
      <c r="BK263" s="178"/>
      <c r="BL263" s="178"/>
      <c r="BM263" s="178"/>
      <c r="BN263" s="178"/>
      <c r="BO263" s="181"/>
      <c r="BP263" s="166"/>
      <c r="BQ263" s="177"/>
      <c r="BR263" s="178"/>
      <c r="BS263" s="179"/>
      <c r="BU263" s="166"/>
      <c r="BV263" s="166"/>
      <c r="BW263" s="166"/>
      <c r="BX263" s="166"/>
      <c r="BY263" s="166"/>
      <c r="BZ263" s="166"/>
      <c r="CA263" s="166"/>
      <c r="CB263" s="166"/>
      <c r="CC263" s="166"/>
      <c r="CD263" s="177"/>
      <c r="CE263" s="181"/>
      <c r="CF263" s="177"/>
      <c r="CG263" s="179"/>
      <c r="CH263" s="257"/>
      <c r="CI263" s="182"/>
      <c r="CJ263" s="177"/>
      <c r="CK263" s="182"/>
      <c r="CL263" s="177"/>
      <c r="CM263" s="182"/>
      <c r="CN263" s="177"/>
      <c r="CO263" s="182"/>
      <c r="CP263" s="177"/>
      <c r="CQ263" s="178"/>
      <c r="CR263" s="182"/>
      <c r="CS263" s="173"/>
      <c r="CT263" s="65"/>
      <c r="CU263" s="255" t="str">
        <f t="shared" si="2"/>
        <v/>
      </c>
    </row>
    <row r="264" ht="60.0" hidden="1" customHeight="1">
      <c r="A264" s="65"/>
      <c r="C264" s="167"/>
      <c r="D264" s="205"/>
      <c r="E264" s="262"/>
      <c r="F264" s="170"/>
      <c r="G264" s="170"/>
      <c r="H264" s="170"/>
      <c r="I264" s="170"/>
      <c r="J264" s="170"/>
      <c r="K264" s="171"/>
      <c r="L264" s="171"/>
      <c r="M264" s="171"/>
      <c r="N264" s="209"/>
      <c r="O264" s="172">
        <f t="shared" si="48"/>
        <v>0</v>
      </c>
      <c r="P264" s="166"/>
      <c r="Q264" s="173"/>
      <c r="R264" s="65"/>
      <c r="S264" s="173"/>
      <c r="T264" s="173"/>
      <c r="U264" s="166"/>
      <c r="V264" s="166"/>
      <c r="W264" s="65"/>
      <c r="X264" s="66"/>
      <c r="Y264" s="173"/>
      <c r="Z264" s="166"/>
      <c r="AA264" s="174"/>
      <c r="AB264" s="175"/>
      <c r="AC264" s="175"/>
      <c r="AD264" s="175"/>
      <c r="AE264" s="175"/>
      <c r="AF264" s="175"/>
      <c r="AG264" s="175"/>
      <c r="AH264" s="175"/>
      <c r="AI264" s="176"/>
      <c r="AJ264" s="177"/>
      <c r="AK264" s="178"/>
      <c r="AL264" s="178"/>
      <c r="AM264" s="178"/>
      <c r="AN264" s="178"/>
      <c r="AO264" s="179"/>
      <c r="AP264" s="64"/>
      <c r="AQ264" s="65"/>
      <c r="AR264" s="65"/>
      <c r="AS264" s="65"/>
      <c r="AT264" s="173"/>
      <c r="AU264" s="177"/>
      <c r="AV264" s="178"/>
      <c r="AW264" s="178"/>
      <c r="AX264" s="179"/>
      <c r="AZ264" s="166"/>
      <c r="BA264" s="177"/>
      <c r="BB264" s="178"/>
      <c r="BC264" s="178"/>
      <c r="BD264" s="178"/>
      <c r="BE264" s="178"/>
      <c r="BF264" s="178"/>
      <c r="BG264" s="178"/>
      <c r="BH264" s="178"/>
      <c r="BI264" s="179"/>
      <c r="BJ264" s="180"/>
      <c r="BK264" s="178"/>
      <c r="BL264" s="178"/>
      <c r="BM264" s="178"/>
      <c r="BN264" s="178"/>
      <c r="BO264" s="181"/>
      <c r="BP264" s="166"/>
      <c r="BQ264" s="177"/>
      <c r="BR264" s="178"/>
      <c r="BS264" s="179"/>
      <c r="BU264" s="166"/>
      <c r="BV264" s="166"/>
      <c r="BW264" s="166"/>
      <c r="BX264" s="166"/>
      <c r="BY264" s="166"/>
      <c r="BZ264" s="166"/>
      <c r="CA264" s="166"/>
      <c r="CB264" s="166"/>
      <c r="CC264" s="166"/>
      <c r="CD264" s="177"/>
      <c r="CE264" s="181"/>
      <c r="CF264" s="177"/>
      <c r="CG264" s="179"/>
      <c r="CH264" s="257"/>
      <c r="CI264" s="182"/>
      <c r="CJ264" s="177"/>
      <c r="CK264" s="182"/>
      <c r="CL264" s="177"/>
      <c r="CM264" s="182"/>
      <c r="CN264" s="177"/>
      <c r="CO264" s="182"/>
      <c r="CP264" s="177"/>
      <c r="CQ264" s="178"/>
      <c r="CR264" s="182"/>
      <c r="CS264" s="173"/>
      <c r="CT264" s="65"/>
      <c r="CU264" s="255" t="str">
        <f t="shared" si="2"/>
        <v/>
      </c>
    </row>
    <row r="265" ht="60.0" hidden="1" customHeight="1">
      <c r="A265" s="65"/>
      <c r="C265" s="167"/>
      <c r="D265" s="205"/>
      <c r="E265" s="262"/>
      <c r="F265" s="170"/>
      <c r="G265" s="170"/>
      <c r="H265" s="170"/>
      <c r="I265" s="170"/>
      <c r="J265" s="170"/>
      <c r="K265" s="171"/>
      <c r="L265" s="171"/>
      <c r="M265" s="171"/>
      <c r="N265" s="209"/>
      <c r="O265" s="172">
        <f t="shared" si="48"/>
        <v>0</v>
      </c>
      <c r="P265" s="166"/>
      <c r="Q265" s="173"/>
      <c r="R265" s="65"/>
      <c r="S265" s="173"/>
      <c r="T265" s="173"/>
      <c r="U265" s="166"/>
      <c r="V265" s="166"/>
      <c r="W265" s="65"/>
      <c r="X265" s="66"/>
      <c r="Y265" s="173"/>
      <c r="Z265" s="166"/>
      <c r="AA265" s="174"/>
      <c r="AB265" s="175"/>
      <c r="AC265" s="175"/>
      <c r="AD265" s="175"/>
      <c r="AE265" s="175"/>
      <c r="AF265" s="175"/>
      <c r="AG265" s="175"/>
      <c r="AH265" s="175"/>
      <c r="AI265" s="176"/>
      <c r="AJ265" s="177"/>
      <c r="AK265" s="178"/>
      <c r="AL265" s="178"/>
      <c r="AM265" s="178"/>
      <c r="AN265" s="178"/>
      <c r="AO265" s="179"/>
      <c r="AP265" s="64"/>
      <c r="AQ265" s="65"/>
      <c r="AR265" s="65"/>
      <c r="AS265" s="65"/>
      <c r="AT265" s="173"/>
      <c r="AU265" s="177"/>
      <c r="AV265" s="178"/>
      <c r="AW265" s="178"/>
      <c r="AX265" s="179"/>
      <c r="AZ265" s="166"/>
      <c r="BA265" s="177"/>
      <c r="BB265" s="178"/>
      <c r="BC265" s="178"/>
      <c r="BD265" s="178"/>
      <c r="BE265" s="178"/>
      <c r="BF265" s="178"/>
      <c r="BG265" s="178"/>
      <c r="BH265" s="178"/>
      <c r="BI265" s="179"/>
      <c r="BJ265" s="180"/>
      <c r="BK265" s="178"/>
      <c r="BL265" s="178"/>
      <c r="BM265" s="178"/>
      <c r="BN265" s="178"/>
      <c r="BO265" s="181"/>
      <c r="BP265" s="166"/>
      <c r="BQ265" s="177"/>
      <c r="BR265" s="178"/>
      <c r="BS265" s="179"/>
      <c r="BU265" s="166"/>
      <c r="BV265" s="166"/>
      <c r="BW265" s="166"/>
      <c r="BX265" s="166"/>
      <c r="BY265" s="166"/>
      <c r="BZ265" s="166"/>
      <c r="CA265" s="166"/>
      <c r="CB265" s="166"/>
      <c r="CC265" s="166"/>
      <c r="CD265" s="177"/>
      <c r="CE265" s="181"/>
      <c r="CF265" s="177"/>
      <c r="CG265" s="179"/>
      <c r="CH265" s="257"/>
      <c r="CI265" s="182"/>
      <c r="CJ265" s="177"/>
      <c r="CK265" s="182"/>
      <c r="CL265" s="177"/>
      <c r="CM265" s="182"/>
      <c r="CN265" s="177"/>
      <c r="CO265" s="182"/>
      <c r="CP265" s="177"/>
      <c r="CQ265" s="178"/>
      <c r="CR265" s="182"/>
      <c r="CS265" s="173"/>
      <c r="CT265" s="65"/>
      <c r="CU265" s="255" t="str">
        <f t="shared" si="2"/>
        <v/>
      </c>
    </row>
    <row r="266" ht="60.0" hidden="1" customHeight="1">
      <c r="A266" s="65"/>
      <c r="C266" s="167"/>
      <c r="D266" s="205"/>
      <c r="E266" s="262"/>
      <c r="F266" s="170"/>
      <c r="G266" s="170"/>
      <c r="H266" s="170"/>
      <c r="I266" s="170"/>
      <c r="J266" s="170"/>
      <c r="K266" s="171"/>
      <c r="L266" s="171"/>
      <c r="M266" s="171"/>
      <c r="N266" s="209"/>
      <c r="O266" s="172">
        <f t="shared" si="48"/>
        <v>0</v>
      </c>
      <c r="P266" s="166"/>
      <c r="Q266" s="173"/>
      <c r="R266" s="65"/>
      <c r="S266" s="173"/>
      <c r="T266" s="173"/>
      <c r="U266" s="166"/>
      <c r="V266" s="166"/>
      <c r="W266" s="65"/>
      <c r="X266" s="66"/>
      <c r="Y266" s="173"/>
      <c r="Z266" s="166"/>
      <c r="AA266" s="174"/>
      <c r="AB266" s="175"/>
      <c r="AC266" s="175"/>
      <c r="AD266" s="175"/>
      <c r="AE266" s="175"/>
      <c r="AF266" s="175"/>
      <c r="AG266" s="175"/>
      <c r="AH266" s="175"/>
      <c r="AI266" s="176"/>
      <c r="AJ266" s="177"/>
      <c r="AK266" s="178"/>
      <c r="AL266" s="178"/>
      <c r="AM266" s="178"/>
      <c r="AN266" s="178"/>
      <c r="AO266" s="179"/>
      <c r="AP266" s="64"/>
      <c r="AQ266" s="65"/>
      <c r="AR266" s="65"/>
      <c r="AS266" s="65"/>
      <c r="AT266" s="173"/>
      <c r="AU266" s="177"/>
      <c r="AV266" s="178"/>
      <c r="AW266" s="178"/>
      <c r="AX266" s="179"/>
      <c r="AZ266" s="166"/>
      <c r="BA266" s="177"/>
      <c r="BB266" s="178"/>
      <c r="BC266" s="178"/>
      <c r="BD266" s="178"/>
      <c r="BE266" s="178"/>
      <c r="BF266" s="178"/>
      <c r="BG266" s="178"/>
      <c r="BH266" s="178"/>
      <c r="BI266" s="179"/>
      <c r="BJ266" s="180"/>
      <c r="BK266" s="178"/>
      <c r="BL266" s="178"/>
      <c r="BM266" s="178"/>
      <c r="BN266" s="178"/>
      <c r="BO266" s="181"/>
      <c r="BP266" s="166"/>
      <c r="BQ266" s="177"/>
      <c r="BR266" s="178"/>
      <c r="BS266" s="179"/>
      <c r="BU266" s="166"/>
      <c r="BV266" s="166"/>
      <c r="BW266" s="166"/>
      <c r="BX266" s="166"/>
      <c r="BY266" s="166"/>
      <c r="BZ266" s="166"/>
      <c r="CA266" s="166"/>
      <c r="CB266" s="166"/>
      <c r="CC266" s="166"/>
      <c r="CD266" s="177"/>
      <c r="CE266" s="181"/>
      <c r="CF266" s="177"/>
      <c r="CG266" s="179"/>
      <c r="CH266" s="257"/>
      <c r="CI266" s="182"/>
      <c r="CJ266" s="177"/>
      <c r="CK266" s="182"/>
      <c r="CL266" s="177"/>
      <c r="CM266" s="182"/>
      <c r="CN266" s="177"/>
      <c r="CO266" s="182"/>
      <c r="CP266" s="177"/>
      <c r="CQ266" s="178"/>
      <c r="CR266" s="182"/>
      <c r="CS266" s="173"/>
      <c r="CT266" s="65"/>
      <c r="CU266" s="255" t="str">
        <f t="shared" si="2"/>
        <v/>
      </c>
    </row>
    <row r="267" ht="60.0" hidden="1" customHeight="1">
      <c r="A267" s="65"/>
      <c r="C267" s="167"/>
      <c r="D267" s="205"/>
      <c r="E267" s="262"/>
      <c r="F267" s="170"/>
      <c r="G267" s="170"/>
      <c r="H267" s="170"/>
      <c r="I267" s="170"/>
      <c r="J267" s="170"/>
      <c r="K267" s="171"/>
      <c r="L267" s="171"/>
      <c r="M267" s="171"/>
      <c r="N267" s="209"/>
      <c r="O267" s="172">
        <f t="shared" ref="O267:O270" si="49">IF(AND(M267&gt;=20,M267&lt;&gt;"m",RIGHT(K267,3)="Lec"),1,IF(AND(M267&gt;=20,M267&lt;&gt;"m",OR(RIGHT(K267,3)="Lab",RIGHT(K267,3)="Tut")),0.5,IF(AND(M267&gt;=20,M267&lt;&gt;"m",RIGHT(K267,2)="TL"),0.75,0)))</f>
        <v>0</v>
      </c>
      <c r="P267" s="166"/>
      <c r="Q267" s="173"/>
      <c r="R267" s="65"/>
      <c r="S267" s="173"/>
      <c r="T267" s="173"/>
      <c r="U267" s="166"/>
      <c r="V267" s="166"/>
      <c r="W267" s="65"/>
      <c r="X267" s="66"/>
      <c r="Y267" s="173"/>
      <c r="Z267" s="166"/>
      <c r="AA267" s="174"/>
      <c r="AB267" s="175"/>
      <c r="AC267" s="175"/>
      <c r="AD267" s="175"/>
      <c r="AE267" s="175"/>
      <c r="AF267" s="175"/>
      <c r="AG267" s="175"/>
      <c r="AH267" s="175"/>
      <c r="AI267" s="176"/>
      <c r="AJ267" s="177"/>
      <c r="AK267" s="178"/>
      <c r="AL267" s="178"/>
      <c r="AM267" s="178"/>
      <c r="AN267" s="178"/>
      <c r="AO267" s="179"/>
      <c r="AP267" s="64"/>
      <c r="AQ267" s="65"/>
      <c r="AR267" s="65"/>
      <c r="AS267" s="65"/>
      <c r="AT267" s="173"/>
      <c r="AU267" s="177"/>
      <c r="AV267" s="178"/>
      <c r="AW267" s="178"/>
      <c r="AX267" s="179"/>
      <c r="AZ267" s="166"/>
      <c r="BA267" s="177"/>
      <c r="BB267" s="178"/>
      <c r="BC267" s="178"/>
      <c r="BD267" s="178"/>
      <c r="BE267" s="178"/>
      <c r="BF267" s="178"/>
      <c r="BG267" s="178"/>
      <c r="BH267" s="178"/>
      <c r="BI267" s="179"/>
      <c r="BJ267" s="180"/>
      <c r="BK267" s="178"/>
      <c r="BL267" s="178"/>
      <c r="BM267" s="178"/>
      <c r="BN267" s="178"/>
      <c r="BO267" s="181"/>
      <c r="BP267" s="166"/>
      <c r="BQ267" s="177"/>
      <c r="BR267" s="178"/>
      <c r="BS267" s="179"/>
      <c r="BU267" s="166"/>
      <c r="BV267" s="166"/>
      <c r="BW267" s="166"/>
      <c r="BX267" s="166"/>
      <c r="BY267" s="166"/>
      <c r="BZ267" s="166"/>
      <c r="CA267" s="166"/>
      <c r="CB267" s="166"/>
      <c r="CC267" s="166"/>
      <c r="CD267" s="177"/>
      <c r="CE267" s="181"/>
      <c r="CF267" s="177"/>
      <c r="CG267" s="179"/>
      <c r="CH267" s="257"/>
      <c r="CI267" s="182"/>
      <c r="CJ267" s="177"/>
      <c r="CK267" s="182"/>
      <c r="CL267" s="177"/>
      <c r="CM267" s="182"/>
      <c r="CN267" s="177"/>
      <c r="CO267" s="182"/>
      <c r="CP267" s="177"/>
      <c r="CQ267" s="178"/>
      <c r="CR267" s="182"/>
      <c r="CS267" s="173"/>
      <c r="CT267" s="65"/>
      <c r="CU267" s="255" t="str">
        <f t="shared" si="2"/>
        <v/>
      </c>
    </row>
    <row r="268" ht="60.0" hidden="1" customHeight="1">
      <c r="A268" s="65"/>
      <c r="C268" s="167"/>
      <c r="D268" s="205"/>
      <c r="E268" s="262"/>
      <c r="F268" s="170"/>
      <c r="G268" s="170"/>
      <c r="H268" s="170"/>
      <c r="I268" s="170"/>
      <c r="J268" s="170"/>
      <c r="K268" s="171"/>
      <c r="L268" s="171"/>
      <c r="M268" s="171"/>
      <c r="N268" s="209"/>
      <c r="O268" s="172">
        <f t="shared" si="49"/>
        <v>0</v>
      </c>
      <c r="P268" s="166"/>
      <c r="Q268" s="173"/>
      <c r="R268" s="65"/>
      <c r="S268" s="173"/>
      <c r="T268" s="173"/>
      <c r="U268" s="166"/>
      <c r="V268" s="166"/>
      <c r="W268" s="65"/>
      <c r="X268" s="66"/>
      <c r="Y268" s="173"/>
      <c r="Z268" s="166"/>
      <c r="AA268" s="174"/>
      <c r="AB268" s="175"/>
      <c r="AC268" s="175"/>
      <c r="AD268" s="175"/>
      <c r="AE268" s="175"/>
      <c r="AF268" s="175"/>
      <c r="AG268" s="175"/>
      <c r="AH268" s="175"/>
      <c r="AI268" s="176"/>
      <c r="AJ268" s="177"/>
      <c r="AK268" s="178"/>
      <c r="AL268" s="178"/>
      <c r="AM268" s="178"/>
      <c r="AN268" s="178"/>
      <c r="AO268" s="179"/>
      <c r="AP268" s="64"/>
      <c r="AQ268" s="65"/>
      <c r="AR268" s="65"/>
      <c r="AS268" s="65"/>
      <c r="AT268" s="173"/>
      <c r="AU268" s="177"/>
      <c r="AV268" s="178"/>
      <c r="AW268" s="178"/>
      <c r="AX268" s="179"/>
      <c r="AZ268" s="166"/>
      <c r="BA268" s="177"/>
      <c r="BB268" s="178"/>
      <c r="BC268" s="178"/>
      <c r="BD268" s="178"/>
      <c r="BE268" s="178"/>
      <c r="BF268" s="178"/>
      <c r="BG268" s="178"/>
      <c r="BH268" s="178"/>
      <c r="BI268" s="179"/>
      <c r="BJ268" s="180"/>
      <c r="BK268" s="178"/>
      <c r="BL268" s="178"/>
      <c r="BM268" s="178"/>
      <c r="BN268" s="178"/>
      <c r="BO268" s="181"/>
      <c r="BP268" s="166"/>
      <c r="BQ268" s="177"/>
      <c r="BR268" s="178"/>
      <c r="BS268" s="179"/>
      <c r="BU268" s="166"/>
      <c r="BV268" s="166"/>
      <c r="BW268" s="166"/>
      <c r="BX268" s="166"/>
      <c r="BY268" s="166"/>
      <c r="BZ268" s="166"/>
      <c r="CA268" s="166"/>
      <c r="CB268" s="166"/>
      <c r="CC268" s="166"/>
      <c r="CD268" s="177"/>
      <c r="CE268" s="181"/>
      <c r="CF268" s="177"/>
      <c r="CG268" s="179"/>
      <c r="CH268" s="257"/>
      <c r="CI268" s="182"/>
      <c r="CJ268" s="177"/>
      <c r="CK268" s="182"/>
      <c r="CL268" s="177"/>
      <c r="CM268" s="182"/>
      <c r="CN268" s="177"/>
      <c r="CO268" s="182"/>
      <c r="CP268" s="177"/>
      <c r="CQ268" s="178"/>
      <c r="CR268" s="182"/>
      <c r="CS268" s="173"/>
      <c r="CT268" s="65"/>
      <c r="CU268" s="255" t="str">
        <f t="shared" si="2"/>
        <v/>
      </c>
    </row>
    <row r="269" ht="60.0" hidden="1" customHeight="1">
      <c r="A269" s="65"/>
      <c r="C269" s="167"/>
      <c r="D269" s="205"/>
      <c r="E269" s="262"/>
      <c r="F269" s="170"/>
      <c r="G269" s="170"/>
      <c r="H269" s="170"/>
      <c r="I269" s="170"/>
      <c r="J269" s="170"/>
      <c r="K269" s="171"/>
      <c r="L269" s="171"/>
      <c r="M269" s="171"/>
      <c r="N269" s="209"/>
      <c r="O269" s="172">
        <f t="shared" si="49"/>
        <v>0</v>
      </c>
      <c r="P269" s="166"/>
      <c r="Q269" s="173"/>
      <c r="R269" s="65"/>
      <c r="S269" s="173"/>
      <c r="T269" s="173"/>
      <c r="U269" s="166"/>
      <c r="V269" s="166"/>
      <c r="W269" s="65"/>
      <c r="X269" s="66"/>
      <c r="Y269" s="173"/>
      <c r="Z269" s="166"/>
      <c r="AA269" s="174"/>
      <c r="AB269" s="175"/>
      <c r="AC269" s="175"/>
      <c r="AD269" s="175"/>
      <c r="AE269" s="175"/>
      <c r="AF269" s="175"/>
      <c r="AG269" s="175"/>
      <c r="AH269" s="175"/>
      <c r="AI269" s="176"/>
      <c r="AJ269" s="177"/>
      <c r="AK269" s="178"/>
      <c r="AL269" s="178"/>
      <c r="AM269" s="178"/>
      <c r="AN269" s="178"/>
      <c r="AO269" s="179"/>
      <c r="AP269" s="64"/>
      <c r="AQ269" s="65"/>
      <c r="AR269" s="65"/>
      <c r="AS269" s="65"/>
      <c r="AT269" s="173"/>
      <c r="AU269" s="177"/>
      <c r="AV269" s="178"/>
      <c r="AW269" s="178"/>
      <c r="AX269" s="179"/>
      <c r="AZ269" s="166"/>
      <c r="BA269" s="177"/>
      <c r="BB269" s="178"/>
      <c r="BC269" s="178"/>
      <c r="BD269" s="178"/>
      <c r="BE269" s="178"/>
      <c r="BF269" s="178"/>
      <c r="BG269" s="178"/>
      <c r="BH269" s="178"/>
      <c r="BI269" s="179"/>
      <c r="BJ269" s="180"/>
      <c r="BK269" s="178"/>
      <c r="BL269" s="178"/>
      <c r="BM269" s="178"/>
      <c r="BN269" s="178"/>
      <c r="BO269" s="181"/>
      <c r="BP269" s="166"/>
      <c r="BQ269" s="177"/>
      <c r="BR269" s="178"/>
      <c r="BS269" s="179"/>
      <c r="BU269" s="166"/>
      <c r="BV269" s="166"/>
      <c r="BW269" s="166"/>
      <c r="BX269" s="166"/>
      <c r="BY269" s="166"/>
      <c r="BZ269" s="166"/>
      <c r="CA269" s="166"/>
      <c r="CB269" s="166"/>
      <c r="CC269" s="166"/>
      <c r="CD269" s="177"/>
      <c r="CE269" s="181"/>
      <c r="CF269" s="177"/>
      <c r="CG269" s="179"/>
      <c r="CH269" s="257"/>
      <c r="CI269" s="182"/>
      <c r="CJ269" s="177"/>
      <c r="CK269" s="182"/>
      <c r="CL269" s="177"/>
      <c r="CM269" s="182"/>
      <c r="CN269" s="177"/>
      <c r="CO269" s="182"/>
      <c r="CP269" s="177"/>
      <c r="CQ269" s="178"/>
      <c r="CR269" s="182"/>
      <c r="CS269" s="173"/>
      <c r="CT269" s="65"/>
      <c r="CU269" s="255" t="str">
        <f t="shared" si="2"/>
        <v/>
      </c>
    </row>
    <row r="270" ht="60.0" hidden="1" customHeight="1">
      <c r="A270" s="65"/>
      <c r="C270" s="167"/>
      <c r="D270" s="205"/>
      <c r="E270" s="262"/>
      <c r="F270" s="170"/>
      <c r="G270" s="170"/>
      <c r="H270" s="170"/>
      <c r="I270" s="170"/>
      <c r="J270" s="170"/>
      <c r="K270" s="171"/>
      <c r="L270" s="171"/>
      <c r="M270" s="171"/>
      <c r="N270" s="209"/>
      <c r="O270" s="172">
        <f t="shared" si="49"/>
        <v>0</v>
      </c>
      <c r="P270" s="166"/>
      <c r="Q270" s="173"/>
      <c r="R270" s="65"/>
      <c r="S270" s="173"/>
      <c r="T270" s="173"/>
      <c r="U270" s="166"/>
      <c r="V270" s="166"/>
      <c r="W270" s="65"/>
      <c r="X270" s="66"/>
      <c r="Y270" s="173"/>
      <c r="Z270" s="166"/>
      <c r="AA270" s="174"/>
      <c r="AB270" s="175"/>
      <c r="AC270" s="175"/>
      <c r="AD270" s="175"/>
      <c r="AE270" s="175"/>
      <c r="AF270" s="175"/>
      <c r="AG270" s="175"/>
      <c r="AH270" s="175"/>
      <c r="AI270" s="176"/>
      <c r="AJ270" s="177"/>
      <c r="AK270" s="178"/>
      <c r="AL270" s="178"/>
      <c r="AM270" s="178"/>
      <c r="AN270" s="178"/>
      <c r="AO270" s="179"/>
      <c r="AP270" s="64"/>
      <c r="AQ270" s="65"/>
      <c r="AR270" s="65"/>
      <c r="AS270" s="65"/>
      <c r="AT270" s="173"/>
      <c r="AU270" s="177"/>
      <c r="AV270" s="178"/>
      <c r="AW270" s="178"/>
      <c r="AX270" s="179"/>
      <c r="AZ270" s="166"/>
      <c r="BA270" s="177"/>
      <c r="BB270" s="178"/>
      <c r="BC270" s="178"/>
      <c r="BD270" s="178"/>
      <c r="BE270" s="178"/>
      <c r="BF270" s="178"/>
      <c r="BG270" s="178"/>
      <c r="BH270" s="178"/>
      <c r="BI270" s="179"/>
      <c r="BJ270" s="180"/>
      <c r="BK270" s="178"/>
      <c r="BL270" s="178"/>
      <c r="BM270" s="178"/>
      <c r="BN270" s="178"/>
      <c r="BO270" s="181"/>
      <c r="BP270" s="166"/>
      <c r="BQ270" s="177"/>
      <c r="BR270" s="178"/>
      <c r="BS270" s="179"/>
      <c r="BU270" s="166"/>
      <c r="BV270" s="166"/>
      <c r="BW270" s="166"/>
      <c r="BX270" s="166"/>
      <c r="BY270" s="166"/>
      <c r="BZ270" s="166"/>
      <c r="CA270" s="166"/>
      <c r="CB270" s="166"/>
      <c r="CC270" s="166"/>
      <c r="CD270" s="177"/>
      <c r="CE270" s="181"/>
      <c r="CF270" s="177"/>
      <c r="CG270" s="179"/>
      <c r="CH270" s="257"/>
      <c r="CI270" s="182"/>
      <c r="CJ270" s="177"/>
      <c r="CK270" s="182"/>
      <c r="CL270" s="177"/>
      <c r="CM270" s="182"/>
      <c r="CN270" s="177"/>
      <c r="CO270" s="182"/>
      <c r="CP270" s="177"/>
      <c r="CQ270" s="178"/>
      <c r="CR270" s="182"/>
      <c r="CS270" s="173"/>
      <c r="CT270" s="65"/>
      <c r="CU270" s="255" t="str">
        <f t="shared" si="2"/>
        <v/>
      </c>
    </row>
    <row r="271" ht="60.0" hidden="1" customHeight="1">
      <c r="A271" s="89"/>
      <c r="B271" s="6"/>
      <c r="C271" s="183"/>
      <c r="D271" s="210"/>
      <c r="E271" s="263"/>
      <c r="F271" s="186"/>
      <c r="G271" s="186"/>
      <c r="H271" s="186"/>
      <c r="I271" s="186"/>
      <c r="J271" s="186"/>
      <c r="K271" s="187"/>
      <c r="L271" s="187"/>
      <c r="M271" s="187"/>
      <c r="N271" s="214"/>
      <c r="O271" s="188">
        <f t="shared" ref="O271:O277" si="50">IF(AND(M271&lt;&gt;0,M271&lt;&gt;"m",M271&lt;&gt;"",RIGHT(K271,3)="Lec"),1,IF(AND(M271&lt;&gt;0,M271&lt;&gt;"m",M271&lt;&gt;"",OR(RIGHT(K271,3)="Lab",RIGHT(K271,3)="Tut")),0.5,IF(AND(M271&lt;&gt;0,M271&lt;&gt;"m",M271&lt;&gt;"",RIGHT(K271,2)="TL"),0.75,0)))</f>
        <v>0</v>
      </c>
      <c r="P271" s="63"/>
      <c r="Q271" s="69"/>
      <c r="R271" s="89"/>
      <c r="S271" s="69"/>
      <c r="T271" s="69"/>
      <c r="U271" s="63"/>
      <c r="V271" s="63"/>
      <c r="W271" s="89"/>
      <c r="X271" s="68"/>
      <c r="Y271" s="69"/>
      <c r="Z271" s="63"/>
      <c r="AA271" s="189"/>
      <c r="AB271" s="190"/>
      <c r="AC271" s="190"/>
      <c r="AD271" s="190"/>
      <c r="AE271" s="190"/>
      <c r="AF271" s="190"/>
      <c r="AG271" s="190"/>
      <c r="AH271" s="190"/>
      <c r="AI271" s="191"/>
      <c r="AJ271" s="192"/>
      <c r="AK271" s="193"/>
      <c r="AL271" s="193"/>
      <c r="AM271" s="193"/>
      <c r="AN271" s="193"/>
      <c r="AO271" s="194"/>
      <c r="AP271" s="103"/>
      <c r="AQ271" s="89"/>
      <c r="AR271" s="89"/>
      <c r="AS271" s="89"/>
      <c r="AT271" s="69"/>
      <c r="AU271" s="192"/>
      <c r="AV271" s="193"/>
      <c r="AW271" s="193"/>
      <c r="AX271" s="194"/>
      <c r="AY271" s="6"/>
      <c r="AZ271" s="63"/>
      <c r="BA271" s="192"/>
      <c r="BB271" s="193"/>
      <c r="BC271" s="193"/>
      <c r="BD271" s="193"/>
      <c r="BE271" s="193"/>
      <c r="BF271" s="193"/>
      <c r="BG271" s="193"/>
      <c r="BH271" s="193"/>
      <c r="BI271" s="194"/>
      <c r="BJ271" s="195"/>
      <c r="BK271" s="193"/>
      <c r="BL271" s="193"/>
      <c r="BM271" s="193"/>
      <c r="BN271" s="193"/>
      <c r="BO271" s="196"/>
      <c r="BP271" s="63"/>
      <c r="BQ271" s="192"/>
      <c r="BR271" s="193"/>
      <c r="BS271" s="194"/>
      <c r="BT271" s="6"/>
      <c r="BU271" s="63"/>
      <c r="BV271" s="63"/>
      <c r="BW271" s="63"/>
      <c r="BX271" s="63"/>
      <c r="BY271" s="63"/>
      <c r="BZ271" s="63"/>
      <c r="CA271" s="63"/>
      <c r="CB271" s="63"/>
      <c r="CC271" s="63"/>
      <c r="CD271" s="192"/>
      <c r="CE271" s="196"/>
      <c r="CF271" s="192"/>
      <c r="CG271" s="194"/>
      <c r="CH271" s="259"/>
      <c r="CI271" s="197"/>
      <c r="CJ271" s="192"/>
      <c r="CK271" s="197"/>
      <c r="CL271" s="192"/>
      <c r="CM271" s="197"/>
      <c r="CN271" s="192"/>
      <c r="CO271" s="197"/>
      <c r="CP271" s="192"/>
      <c r="CQ271" s="193"/>
      <c r="CR271" s="197"/>
      <c r="CS271" s="69"/>
      <c r="CT271" s="89"/>
      <c r="CU271" s="255" t="str">
        <f t="shared" si="2"/>
        <v/>
      </c>
    </row>
    <row r="272" ht="56.25" hidden="1" customHeight="1">
      <c r="A272" s="125">
        <v>25.0</v>
      </c>
      <c r="B272" s="199"/>
      <c r="C272" s="127"/>
      <c r="D272" s="128"/>
      <c r="E272" s="260"/>
      <c r="F272" s="261"/>
      <c r="G272" s="261"/>
      <c r="H272" s="261"/>
      <c r="I272" s="261"/>
      <c r="J272" s="170"/>
      <c r="K272" s="219"/>
      <c r="L272" s="219"/>
      <c r="M272" s="219"/>
      <c r="N272" s="220"/>
      <c r="O272" s="132">
        <f t="shared" si="50"/>
        <v>0</v>
      </c>
      <c r="P272" s="133">
        <f>COUNTIF(K272:K282,"TL")*0.75+COUNTIF(K272:K282,"Lec")*1+COUNTIF(K272:K282,"Lab")*0.5</f>
        <v>0</v>
      </c>
      <c r="Q272" s="134">
        <f>SUM((IF(LEFT(K272,1)="E",O272,0)),(IF(LEFT(K273,1)="E",O273,0)),(IF(LEFT(K274,1)="E",O274,0)),(IF(LEFT(K275,1)="E",O275,0)),(IF(LEFT(K276,1)="E",O276,0)),(IF(LEFT(K277,1)="E",O277,0)),(IF(LEFT(K278,1)="E",O278,0)),(IF(LEFT(K279,1)="E",O279,0)),(IF(LEFT(K280,1)="E",O280,0)),(IF(LEFT(K281,1)="E",O281,0)),(IF(LEFT(K282,1)="E",O282,0)))</f>
        <v>0</v>
      </c>
      <c r="R272" s="135">
        <f>SUM(IF(M278&lt;20,IF(K278="Plec",-1,IF(K278="PTL",-0.75,IF(K278="Plab",-0.5,0))),0),IF(M279&lt;20,IF(K279="Plec",-1,IF(K279="PTL",-0.75,IF(K279="Plab",-0.5,0))),0),IF(M280&lt;20,IF(K280="Plec",-1,IF(K280="PTL",-0.75,IF(K280="Plab",-0.5,0))),0),IF(M281&lt;20,IF(K281="Plec",-1,IF(K281="PTL",-0.75,IF(K281="Plab",-0.5,0))),0))</f>
        <v>0</v>
      </c>
      <c r="S272" s="134">
        <f>SUM(P272:R282)</f>
        <v>0</v>
      </c>
      <c r="T272" s="136">
        <f>SUM(IF(M272="M",IF(OR(K272="lec",K272="plec",K272="slec"),1,IF(OR(K272="lab",K272="plab",K272="slab",K272="tut",K272="ptut",K272="stut"),0.5,IF(OR(K272="TL",K272="pTL",K272="STL"),0.75,0))),0),IF(M273="M",IF(OR(K273="lec",K273="plec",K273="slec"),1,IF(OR(K273="lab",K273="plab",K273="slab",K273="tut",K273="ptut",K273="stut"),0.5,IF(OR(K273="TL",K273="pTL",K273="STL"),0.75,0))),0),IF(M274="M",IF(OR(K274="lec",K274="plec",K274="slec"),1,IF(OR(K274="lab",K274="plab",K274="slab",K274="tut",K274="ptut",K274="stut"),0.5,IF(OR(K274="TL",K274="pTL",K274="STL"),0.75,0))),0),IF(M275="M",IF(OR(K275="lec",K275="plec",K275="slec"),1,IF(OR(K275="lab",K275="plab",K275="slab",K275="tut",K275="ptut",K275="stut"),0.5,IF(OR(K275="TL",K275="pTL",K275="STL"),0.75,0))),0),IF(M276="M",IF(OR(K276="lec",K276="plec",K276="slec"),1,IF(OR(K276="lab",K276="plab",K276="slab",K276="tut",K276="ptut",K276="stut"),0.5,IF(OR(K276="TL",K276="pTL",K276="STL"),0.75,0))),0),IF(M277="M",IF(OR(K277="lec",K277="plec",K277="slec"),1,IF(OR(K277="lab",K277="plab",K277="slab",K277="tut",K277="ptut",K277="stut"),0.5,IF(OR(K277="TL",K277="pTL",K277="STL"),0.75,0))),0),IF(M278="M",IF(OR(K278="lec",K278="plec",K278="slec"),1,IF(OR(K278="lab",K278="plab",K278="slab",K278="tut",K278="ptut",K278="stut"),0.5,IF(OR(K278="TL",K278="pTL",K278="STL"),0.75,0))),0),IF(M279="M",IF(OR(K279="lec",K279="plec",K279="slec"),1,IF(OR(K279="lab",K279="plab",K279="slab",K279="tut",K279="ptut",K279="stut"),0.5,IF(OR(K279="TL",K279="pTL",K279="STL"),0.75,0))),0),IF(M280="M",IF(OR(K280="lec",K280="plec",K280="slec"),1,IF(OR(K280="lab",K280="plab",K280="slab",K280="tut",K280="ptut",K280="stut"),0.5,IF(OR(K280="TL",K280="pTL",K280="STL"),0.75,0))),0),IF(M281="M",IF(OR(K281="lec",K281="plec",K281="slec"),1,IF(OR(K281="lab",K281="plab",K281="slab",K281="tut",K281="ptut",K281="stut"),0.5,IF(OR(K281="TL",K281="pTL",K281="STL"),0.75,0))),0),IF(M282="M",IF(OR(K282="lec",K282="plec",K282="slec"),1,IF(OR(K282="lab",K282="plab",K282="slab",K282="tut",K282="ptut",K282="stut"),0.5,IF(OR(K282="TL",K282="pTL",K282="STL"),0.75,0))),0))</f>
        <v>0</v>
      </c>
      <c r="U272" s="137"/>
      <c r="V272" s="133"/>
      <c r="W272" s="138"/>
      <c r="X272" s="139">
        <f>S272-(T272+U272+V272+W272)</f>
        <v>0</v>
      </c>
      <c r="Y272" s="134" t="str">
        <f>CONCATENATE(SUM(O272:O282),"(",SUM(O272:O282)-X272,")")</f>
        <v>0(0)</v>
      </c>
      <c r="Z272" s="140"/>
      <c r="AA272" s="141"/>
      <c r="AB272" s="142"/>
      <c r="AC272" s="142"/>
      <c r="AD272" s="142"/>
      <c r="AE272" s="142"/>
      <c r="AF272" s="142"/>
      <c r="AG272" s="142"/>
      <c r="AH272" s="142"/>
      <c r="AI272" s="143"/>
      <c r="AJ272" s="144"/>
      <c r="AK272" s="145"/>
      <c r="AL272" s="145"/>
      <c r="AM272" s="145"/>
      <c r="AN272" s="145"/>
      <c r="AO272" s="146"/>
      <c r="AP272" s="147">
        <f>SUM(SUM(O272:O282),SUM(AI272:AI282)/2,AM272)</f>
        <v>0</v>
      </c>
      <c r="AQ272" s="148"/>
      <c r="AR272" s="148">
        <f>AP272*AQ272</f>
        <v>0</v>
      </c>
      <c r="AS272" s="148">
        <f>CT272</f>
        <v>0</v>
      </c>
      <c r="AT272" s="149">
        <f>AR272*0.75+AS272*0.25</f>
        <v>0</v>
      </c>
      <c r="AU272" s="150"/>
      <c r="AV272" s="151"/>
      <c r="AW272" s="151"/>
      <c r="AX272" s="152"/>
      <c r="AY272" s="153"/>
      <c r="AZ272" s="140"/>
      <c r="BA272" s="150"/>
      <c r="BB272" s="151"/>
      <c r="BC272" s="151"/>
      <c r="BD272" s="151"/>
      <c r="BE272" s="151"/>
      <c r="BF272" s="151"/>
      <c r="BG272" s="151"/>
      <c r="BH272" s="151"/>
      <c r="BI272" s="152"/>
      <c r="BJ272" s="154"/>
      <c r="BK272" s="151"/>
      <c r="BL272" s="151"/>
      <c r="BM272" s="151"/>
      <c r="BN272" s="151"/>
      <c r="BO272" s="155"/>
      <c r="BP272" s="140"/>
      <c r="BQ272" s="156"/>
      <c r="BR272" s="157"/>
      <c r="BS272" s="158"/>
      <c r="BT272" s="153"/>
      <c r="BU272" s="140"/>
      <c r="BV272" s="140"/>
      <c r="BW272" s="140"/>
      <c r="BX272" s="140"/>
      <c r="BY272" s="140"/>
      <c r="BZ272" s="140"/>
      <c r="CA272" s="140"/>
      <c r="CB272" s="140"/>
      <c r="CC272" s="140"/>
      <c r="CD272" s="150"/>
      <c r="CE272" s="155"/>
      <c r="CF272" s="150"/>
      <c r="CG272" s="152"/>
      <c r="CH272" s="252"/>
      <c r="CI272" s="160"/>
      <c r="CJ272" s="159"/>
      <c r="CK272" s="160"/>
      <c r="CL272" s="159"/>
      <c r="CM272" s="160"/>
      <c r="CN272" s="159"/>
      <c r="CO272" s="160"/>
      <c r="CP272" s="159"/>
      <c r="CQ272" s="162"/>
      <c r="CR272" s="160"/>
      <c r="CS272" s="253">
        <f>SUM(IF(AU272&lt;0,ABS(AU272),0),IF(AZ272&lt;0,ABS(AZ272),0),ABS(CI272),ABS(CK272),ABS(CM272),ABS(CO272),ABS(CQ272),ABS(CR272))</f>
        <v>0</v>
      </c>
      <c r="CT272" s="254">
        <f>SUM(AU272,AV272,AW272,AX272/400,AY272,AZ272,BG272,BH272*0.5,BI272*0.25,BJ272,BK272,BL272,BM272,BN272,BO272,BP272,BR272/20,BS272/100,BT272/60,BU272,BV272,BW272,BX272/5,SUM(BY272:CC282)/3,CE272,CG272/3,CI272,CK272,CM272,CO272,CQ272,CR272)</f>
        <v>0</v>
      </c>
      <c r="CU272" s="255" t="str">
        <f t="shared" si="2"/>
        <v/>
      </c>
    </row>
    <row r="273" ht="60.0" hidden="1" customHeight="1">
      <c r="A273" s="65"/>
      <c r="C273" s="167"/>
      <c r="D273" s="205"/>
      <c r="E273" s="262"/>
      <c r="F273" s="170"/>
      <c r="G273" s="170"/>
      <c r="H273" s="170"/>
      <c r="I273" s="170"/>
      <c r="J273" s="170"/>
      <c r="K273" s="171"/>
      <c r="L273" s="171"/>
      <c r="M273" s="171"/>
      <c r="N273" s="209"/>
      <c r="O273" s="172">
        <f t="shared" si="50"/>
        <v>0</v>
      </c>
      <c r="P273" s="166"/>
      <c r="Q273" s="173"/>
      <c r="R273" s="65"/>
      <c r="S273" s="173"/>
      <c r="T273" s="173"/>
      <c r="U273" s="166"/>
      <c r="V273" s="166"/>
      <c r="W273" s="65"/>
      <c r="X273" s="66"/>
      <c r="Y273" s="173"/>
      <c r="Z273" s="166"/>
      <c r="AA273" s="174"/>
      <c r="AB273" s="175"/>
      <c r="AC273" s="175"/>
      <c r="AD273" s="175"/>
      <c r="AE273" s="175"/>
      <c r="AF273" s="175"/>
      <c r="AG273" s="175"/>
      <c r="AH273" s="175"/>
      <c r="AI273" s="176"/>
      <c r="AJ273" s="177"/>
      <c r="AK273" s="178"/>
      <c r="AL273" s="178"/>
      <c r="AM273" s="178"/>
      <c r="AN273" s="178"/>
      <c r="AO273" s="179"/>
      <c r="AP273" s="64"/>
      <c r="AQ273" s="65"/>
      <c r="AR273" s="65"/>
      <c r="AS273" s="65"/>
      <c r="AT273" s="173"/>
      <c r="AU273" s="177"/>
      <c r="AV273" s="178"/>
      <c r="AW273" s="178"/>
      <c r="AX273" s="179"/>
      <c r="AZ273" s="166"/>
      <c r="BA273" s="177"/>
      <c r="BB273" s="178"/>
      <c r="BC273" s="178"/>
      <c r="BD273" s="178"/>
      <c r="BE273" s="178"/>
      <c r="BF273" s="178"/>
      <c r="BG273" s="178"/>
      <c r="BH273" s="178"/>
      <c r="BI273" s="179"/>
      <c r="BJ273" s="180"/>
      <c r="BK273" s="178"/>
      <c r="BL273" s="178"/>
      <c r="BM273" s="178"/>
      <c r="BN273" s="178"/>
      <c r="BO273" s="181"/>
      <c r="BP273" s="166"/>
      <c r="BQ273" s="177"/>
      <c r="BR273" s="178"/>
      <c r="BS273" s="179"/>
      <c r="BU273" s="166"/>
      <c r="BV273" s="166"/>
      <c r="BW273" s="166"/>
      <c r="BX273" s="166"/>
      <c r="BY273" s="166"/>
      <c r="BZ273" s="166"/>
      <c r="CA273" s="166"/>
      <c r="CB273" s="166"/>
      <c r="CC273" s="166"/>
      <c r="CD273" s="177"/>
      <c r="CE273" s="181"/>
      <c r="CF273" s="177"/>
      <c r="CG273" s="179"/>
      <c r="CH273" s="257"/>
      <c r="CI273" s="182"/>
      <c r="CJ273" s="177"/>
      <c r="CK273" s="182"/>
      <c r="CL273" s="177"/>
      <c r="CM273" s="182"/>
      <c r="CN273" s="177"/>
      <c r="CO273" s="182"/>
      <c r="CP273" s="177"/>
      <c r="CQ273" s="178"/>
      <c r="CR273" s="182"/>
      <c r="CS273" s="173"/>
      <c r="CT273" s="65"/>
      <c r="CU273" s="255" t="str">
        <f t="shared" si="2"/>
        <v/>
      </c>
    </row>
    <row r="274" ht="60.0" hidden="1" customHeight="1">
      <c r="A274" s="65"/>
      <c r="C274" s="167"/>
      <c r="D274" s="205"/>
      <c r="E274" s="262"/>
      <c r="F274" s="170"/>
      <c r="G274" s="170"/>
      <c r="H274" s="170"/>
      <c r="I274" s="170"/>
      <c r="J274" s="170"/>
      <c r="K274" s="171"/>
      <c r="L274" s="171"/>
      <c r="M274" s="171"/>
      <c r="N274" s="209"/>
      <c r="O274" s="172">
        <f t="shared" si="50"/>
        <v>0</v>
      </c>
      <c r="P274" s="166"/>
      <c r="Q274" s="173"/>
      <c r="R274" s="65"/>
      <c r="S274" s="173"/>
      <c r="T274" s="173"/>
      <c r="U274" s="166"/>
      <c r="V274" s="166"/>
      <c r="W274" s="65"/>
      <c r="X274" s="66"/>
      <c r="Y274" s="173"/>
      <c r="Z274" s="166"/>
      <c r="AA274" s="174"/>
      <c r="AB274" s="175"/>
      <c r="AC274" s="175"/>
      <c r="AD274" s="175"/>
      <c r="AE274" s="175"/>
      <c r="AF274" s="175"/>
      <c r="AG274" s="175"/>
      <c r="AH274" s="175"/>
      <c r="AI274" s="176"/>
      <c r="AJ274" s="177"/>
      <c r="AK274" s="178"/>
      <c r="AL274" s="178"/>
      <c r="AM274" s="178"/>
      <c r="AN274" s="178"/>
      <c r="AO274" s="179"/>
      <c r="AP274" s="64"/>
      <c r="AQ274" s="65"/>
      <c r="AR274" s="65"/>
      <c r="AS274" s="65"/>
      <c r="AT274" s="173"/>
      <c r="AU274" s="177"/>
      <c r="AV274" s="178"/>
      <c r="AW274" s="178"/>
      <c r="AX274" s="179"/>
      <c r="AZ274" s="166"/>
      <c r="BA274" s="177"/>
      <c r="BB274" s="178"/>
      <c r="BC274" s="178"/>
      <c r="BD274" s="178"/>
      <c r="BE274" s="178"/>
      <c r="BF274" s="178"/>
      <c r="BG274" s="178"/>
      <c r="BH274" s="178"/>
      <c r="BI274" s="179"/>
      <c r="BJ274" s="180"/>
      <c r="BK274" s="178"/>
      <c r="BL274" s="178"/>
      <c r="BM274" s="178"/>
      <c r="BN274" s="178"/>
      <c r="BO274" s="181"/>
      <c r="BP274" s="166"/>
      <c r="BQ274" s="177"/>
      <c r="BR274" s="178"/>
      <c r="BS274" s="179"/>
      <c r="BU274" s="166"/>
      <c r="BV274" s="166"/>
      <c r="BW274" s="166"/>
      <c r="BX274" s="166"/>
      <c r="BY274" s="166"/>
      <c r="BZ274" s="166"/>
      <c r="CA274" s="166"/>
      <c r="CB274" s="166"/>
      <c r="CC274" s="166"/>
      <c r="CD274" s="177"/>
      <c r="CE274" s="181"/>
      <c r="CF274" s="177"/>
      <c r="CG274" s="179"/>
      <c r="CH274" s="257"/>
      <c r="CI274" s="182"/>
      <c r="CJ274" s="177"/>
      <c r="CK274" s="182"/>
      <c r="CL274" s="177"/>
      <c r="CM274" s="182"/>
      <c r="CN274" s="177"/>
      <c r="CO274" s="182"/>
      <c r="CP274" s="177"/>
      <c r="CQ274" s="178"/>
      <c r="CR274" s="182"/>
      <c r="CS274" s="173"/>
      <c r="CT274" s="65"/>
      <c r="CU274" s="255" t="str">
        <f t="shared" si="2"/>
        <v/>
      </c>
    </row>
    <row r="275" ht="60.0" hidden="1" customHeight="1">
      <c r="A275" s="65"/>
      <c r="C275" s="167"/>
      <c r="D275" s="205"/>
      <c r="E275" s="262"/>
      <c r="F275" s="170"/>
      <c r="G275" s="170"/>
      <c r="H275" s="170"/>
      <c r="I275" s="170"/>
      <c r="J275" s="170"/>
      <c r="K275" s="171"/>
      <c r="L275" s="171"/>
      <c r="M275" s="171"/>
      <c r="N275" s="209"/>
      <c r="O275" s="172">
        <f t="shared" si="50"/>
        <v>0</v>
      </c>
      <c r="P275" s="166"/>
      <c r="Q275" s="173"/>
      <c r="R275" s="65"/>
      <c r="S275" s="173"/>
      <c r="T275" s="173"/>
      <c r="U275" s="166"/>
      <c r="V275" s="166"/>
      <c r="W275" s="65"/>
      <c r="X275" s="66"/>
      <c r="Y275" s="173"/>
      <c r="Z275" s="166"/>
      <c r="AA275" s="174"/>
      <c r="AB275" s="175"/>
      <c r="AC275" s="175"/>
      <c r="AD275" s="175"/>
      <c r="AE275" s="175"/>
      <c r="AF275" s="175"/>
      <c r="AG275" s="175"/>
      <c r="AH275" s="175"/>
      <c r="AI275" s="176"/>
      <c r="AJ275" s="177"/>
      <c r="AK275" s="178"/>
      <c r="AL275" s="178"/>
      <c r="AM275" s="178"/>
      <c r="AN275" s="178"/>
      <c r="AO275" s="179"/>
      <c r="AP275" s="64"/>
      <c r="AQ275" s="65"/>
      <c r="AR275" s="65"/>
      <c r="AS275" s="65"/>
      <c r="AT275" s="173"/>
      <c r="AU275" s="177"/>
      <c r="AV275" s="178"/>
      <c r="AW275" s="178"/>
      <c r="AX275" s="179"/>
      <c r="AZ275" s="166"/>
      <c r="BA275" s="177"/>
      <c r="BB275" s="178"/>
      <c r="BC275" s="178"/>
      <c r="BD275" s="178"/>
      <c r="BE275" s="178"/>
      <c r="BF275" s="178"/>
      <c r="BG275" s="178"/>
      <c r="BH275" s="178"/>
      <c r="BI275" s="179"/>
      <c r="BJ275" s="180"/>
      <c r="BK275" s="178"/>
      <c r="BL275" s="178"/>
      <c r="BM275" s="178"/>
      <c r="BN275" s="178"/>
      <c r="BO275" s="181"/>
      <c r="BP275" s="166"/>
      <c r="BQ275" s="177"/>
      <c r="BR275" s="178"/>
      <c r="BS275" s="179"/>
      <c r="BU275" s="166"/>
      <c r="BV275" s="166"/>
      <c r="BW275" s="166"/>
      <c r="BX275" s="166"/>
      <c r="BY275" s="166"/>
      <c r="BZ275" s="166"/>
      <c r="CA275" s="166"/>
      <c r="CB275" s="166"/>
      <c r="CC275" s="166"/>
      <c r="CD275" s="177"/>
      <c r="CE275" s="181"/>
      <c r="CF275" s="177"/>
      <c r="CG275" s="179"/>
      <c r="CH275" s="257"/>
      <c r="CI275" s="182"/>
      <c r="CJ275" s="177"/>
      <c r="CK275" s="182"/>
      <c r="CL275" s="177"/>
      <c r="CM275" s="182"/>
      <c r="CN275" s="177"/>
      <c r="CO275" s="182"/>
      <c r="CP275" s="177"/>
      <c r="CQ275" s="178"/>
      <c r="CR275" s="182"/>
      <c r="CS275" s="173"/>
      <c r="CT275" s="65"/>
      <c r="CU275" s="255" t="str">
        <f t="shared" si="2"/>
        <v/>
      </c>
    </row>
    <row r="276" ht="60.0" hidden="1" customHeight="1">
      <c r="A276" s="65"/>
      <c r="C276" s="167"/>
      <c r="D276" s="205"/>
      <c r="E276" s="262"/>
      <c r="F276" s="170"/>
      <c r="G276" s="170"/>
      <c r="H276" s="170"/>
      <c r="I276" s="170"/>
      <c r="J276" s="170"/>
      <c r="K276" s="171"/>
      <c r="L276" s="171"/>
      <c r="M276" s="171"/>
      <c r="N276" s="209"/>
      <c r="O276" s="172">
        <f t="shared" si="50"/>
        <v>0</v>
      </c>
      <c r="P276" s="166"/>
      <c r="Q276" s="173"/>
      <c r="R276" s="65"/>
      <c r="S276" s="173"/>
      <c r="T276" s="173"/>
      <c r="U276" s="166"/>
      <c r="V276" s="166"/>
      <c r="W276" s="65"/>
      <c r="X276" s="66"/>
      <c r="Y276" s="173"/>
      <c r="Z276" s="166"/>
      <c r="AA276" s="174"/>
      <c r="AB276" s="175"/>
      <c r="AC276" s="175"/>
      <c r="AD276" s="175"/>
      <c r="AE276" s="175"/>
      <c r="AF276" s="175"/>
      <c r="AG276" s="175"/>
      <c r="AH276" s="175"/>
      <c r="AI276" s="176"/>
      <c r="AJ276" s="177"/>
      <c r="AK276" s="178"/>
      <c r="AL276" s="178"/>
      <c r="AM276" s="178"/>
      <c r="AN276" s="178"/>
      <c r="AO276" s="179"/>
      <c r="AP276" s="64"/>
      <c r="AQ276" s="65"/>
      <c r="AR276" s="65"/>
      <c r="AS276" s="65"/>
      <c r="AT276" s="173"/>
      <c r="AU276" s="177"/>
      <c r="AV276" s="178"/>
      <c r="AW276" s="178"/>
      <c r="AX276" s="179"/>
      <c r="AZ276" s="166"/>
      <c r="BA276" s="177"/>
      <c r="BB276" s="178"/>
      <c r="BC276" s="178"/>
      <c r="BD276" s="178"/>
      <c r="BE276" s="178"/>
      <c r="BF276" s="178"/>
      <c r="BG276" s="178"/>
      <c r="BH276" s="178"/>
      <c r="BI276" s="179"/>
      <c r="BJ276" s="180"/>
      <c r="BK276" s="178"/>
      <c r="BL276" s="178"/>
      <c r="BM276" s="178"/>
      <c r="BN276" s="178"/>
      <c r="BO276" s="181"/>
      <c r="BP276" s="166"/>
      <c r="BQ276" s="177"/>
      <c r="BR276" s="178"/>
      <c r="BS276" s="179"/>
      <c r="BU276" s="166"/>
      <c r="BV276" s="166"/>
      <c r="BW276" s="166"/>
      <c r="BX276" s="166"/>
      <c r="BY276" s="166"/>
      <c r="BZ276" s="166"/>
      <c r="CA276" s="166"/>
      <c r="CB276" s="166"/>
      <c r="CC276" s="166"/>
      <c r="CD276" s="177"/>
      <c r="CE276" s="181"/>
      <c r="CF276" s="177"/>
      <c r="CG276" s="179"/>
      <c r="CH276" s="257"/>
      <c r="CI276" s="182"/>
      <c r="CJ276" s="177"/>
      <c r="CK276" s="182"/>
      <c r="CL276" s="177"/>
      <c r="CM276" s="182"/>
      <c r="CN276" s="177"/>
      <c r="CO276" s="182"/>
      <c r="CP276" s="177"/>
      <c r="CQ276" s="178"/>
      <c r="CR276" s="182"/>
      <c r="CS276" s="173"/>
      <c r="CT276" s="65"/>
      <c r="CU276" s="255" t="str">
        <f t="shared" si="2"/>
        <v/>
      </c>
    </row>
    <row r="277" ht="60.0" hidden="1" customHeight="1">
      <c r="A277" s="65"/>
      <c r="C277" s="167"/>
      <c r="D277" s="205"/>
      <c r="E277" s="262"/>
      <c r="F277" s="170"/>
      <c r="G277" s="170"/>
      <c r="H277" s="170"/>
      <c r="I277" s="170"/>
      <c r="J277" s="170"/>
      <c r="K277" s="171"/>
      <c r="L277" s="171"/>
      <c r="M277" s="171"/>
      <c r="N277" s="209"/>
      <c r="O277" s="172">
        <f t="shared" si="50"/>
        <v>0</v>
      </c>
      <c r="P277" s="166"/>
      <c r="Q277" s="173"/>
      <c r="R277" s="65"/>
      <c r="S277" s="173"/>
      <c r="T277" s="173"/>
      <c r="U277" s="166"/>
      <c r="V277" s="166"/>
      <c r="W277" s="65"/>
      <c r="X277" s="66"/>
      <c r="Y277" s="173"/>
      <c r="Z277" s="166"/>
      <c r="AA277" s="174"/>
      <c r="AB277" s="175"/>
      <c r="AC277" s="175"/>
      <c r="AD277" s="175"/>
      <c r="AE277" s="175"/>
      <c r="AF277" s="175"/>
      <c r="AG277" s="175"/>
      <c r="AH277" s="175"/>
      <c r="AI277" s="176"/>
      <c r="AJ277" s="177"/>
      <c r="AK277" s="178"/>
      <c r="AL277" s="178"/>
      <c r="AM277" s="178"/>
      <c r="AN277" s="178"/>
      <c r="AO277" s="179"/>
      <c r="AP277" s="64"/>
      <c r="AQ277" s="65"/>
      <c r="AR277" s="65"/>
      <c r="AS277" s="65"/>
      <c r="AT277" s="173"/>
      <c r="AU277" s="177"/>
      <c r="AV277" s="178"/>
      <c r="AW277" s="178"/>
      <c r="AX277" s="179"/>
      <c r="AZ277" s="166"/>
      <c r="BA277" s="177"/>
      <c r="BB277" s="178"/>
      <c r="BC277" s="178"/>
      <c r="BD277" s="178"/>
      <c r="BE277" s="178"/>
      <c r="BF277" s="178"/>
      <c r="BG277" s="178"/>
      <c r="BH277" s="178"/>
      <c r="BI277" s="179"/>
      <c r="BJ277" s="180"/>
      <c r="BK277" s="178"/>
      <c r="BL277" s="178"/>
      <c r="BM277" s="178"/>
      <c r="BN277" s="178"/>
      <c r="BO277" s="181"/>
      <c r="BP277" s="166"/>
      <c r="BQ277" s="177"/>
      <c r="BR277" s="178"/>
      <c r="BS277" s="179"/>
      <c r="BU277" s="166"/>
      <c r="BV277" s="166"/>
      <c r="BW277" s="166"/>
      <c r="BX277" s="166"/>
      <c r="BY277" s="166"/>
      <c r="BZ277" s="166"/>
      <c r="CA277" s="166"/>
      <c r="CB277" s="166"/>
      <c r="CC277" s="166"/>
      <c r="CD277" s="177"/>
      <c r="CE277" s="181"/>
      <c r="CF277" s="177"/>
      <c r="CG277" s="179"/>
      <c r="CH277" s="257"/>
      <c r="CI277" s="182"/>
      <c r="CJ277" s="177"/>
      <c r="CK277" s="182"/>
      <c r="CL277" s="177"/>
      <c r="CM277" s="182"/>
      <c r="CN277" s="177"/>
      <c r="CO277" s="182"/>
      <c r="CP277" s="177"/>
      <c r="CQ277" s="178"/>
      <c r="CR277" s="182"/>
      <c r="CS277" s="173"/>
      <c r="CT277" s="65"/>
      <c r="CU277" s="255" t="str">
        <f t="shared" si="2"/>
        <v/>
      </c>
    </row>
    <row r="278" ht="60.0" hidden="1" customHeight="1">
      <c r="A278" s="65"/>
      <c r="C278" s="167"/>
      <c r="D278" s="205"/>
      <c r="E278" s="262"/>
      <c r="F278" s="170"/>
      <c r="G278" s="170"/>
      <c r="H278" s="170"/>
      <c r="I278" s="170"/>
      <c r="J278" s="170"/>
      <c r="K278" s="171"/>
      <c r="L278" s="171"/>
      <c r="M278" s="171"/>
      <c r="N278" s="209"/>
      <c r="O278" s="172">
        <f t="shared" ref="O278:O281" si="51">IF(AND(M278&gt;=20,M278&lt;&gt;"m",RIGHT(K278,3)="Lec"),1,IF(AND(M278&gt;=20,M278&lt;&gt;"m",OR(RIGHT(K278,3)="Lab",RIGHT(K278,3)="Tut")),0.5,IF(AND(M278&gt;=20,M278&lt;&gt;"m",RIGHT(K278,2)="TL"),0.75,0)))</f>
        <v>0</v>
      </c>
      <c r="P278" s="166"/>
      <c r="Q278" s="173"/>
      <c r="R278" s="65"/>
      <c r="S278" s="173"/>
      <c r="T278" s="173"/>
      <c r="U278" s="166"/>
      <c r="V278" s="166"/>
      <c r="W278" s="65"/>
      <c r="X278" s="66"/>
      <c r="Y278" s="173"/>
      <c r="Z278" s="166"/>
      <c r="AA278" s="174"/>
      <c r="AB278" s="175"/>
      <c r="AC278" s="175"/>
      <c r="AD278" s="175"/>
      <c r="AE278" s="175"/>
      <c r="AF278" s="175"/>
      <c r="AG278" s="175"/>
      <c r="AH278" s="175"/>
      <c r="AI278" s="176"/>
      <c r="AJ278" s="177"/>
      <c r="AK278" s="178"/>
      <c r="AL278" s="178"/>
      <c r="AM278" s="178"/>
      <c r="AN278" s="178"/>
      <c r="AO278" s="179"/>
      <c r="AP278" s="64"/>
      <c r="AQ278" s="65"/>
      <c r="AR278" s="65"/>
      <c r="AS278" s="65"/>
      <c r="AT278" s="173"/>
      <c r="AU278" s="177"/>
      <c r="AV278" s="178"/>
      <c r="AW278" s="178"/>
      <c r="AX278" s="179"/>
      <c r="AZ278" s="166"/>
      <c r="BA278" s="177"/>
      <c r="BB278" s="178"/>
      <c r="BC278" s="178"/>
      <c r="BD278" s="178"/>
      <c r="BE278" s="178"/>
      <c r="BF278" s="178"/>
      <c r="BG278" s="178"/>
      <c r="BH278" s="178"/>
      <c r="BI278" s="179"/>
      <c r="BJ278" s="180"/>
      <c r="BK278" s="178"/>
      <c r="BL278" s="178"/>
      <c r="BM278" s="178"/>
      <c r="BN278" s="178"/>
      <c r="BO278" s="181"/>
      <c r="BP278" s="166"/>
      <c r="BQ278" s="177"/>
      <c r="BR278" s="178"/>
      <c r="BS278" s="179"/>
      <c r="BU278" s="166"/>
      <c r="BV278" s="166"/>
      <c r="BW278" s="166"/>
      <c r="BX278" s="166"/>
      <c r="BY278" s="166"/>
      <c r="BZ278" s="166"/>
      <c r="CA278" s="166"/>
      <c r="CB278" s="166"/>
      <c r="CC278" s="166"/>
      <c r="CD278" s="177"/>
      <c r="CE278" s="181"/>
      <c r="CF278" s="177"/>
      <c r="CG278" s="179"/>
      <c r="CH278" s="257"/>
      <c r="CI278" s="182"/>
      <c r="CJ278" s="177"/>
      <c r="CK278" s="182"/>
      <c r="CL278" s="177"/>
      <c r="CM278" s="182"/>
      <c r="CN278" s="177"/>
      <c r="CO278" s="182"/>
      <c r="CP278" s="177"/>
      <c r="CQ278" s="178"/>
      <c r="CR278" s="182"/>
      <c r="CS278" s="173"/>
      <c r="CT278" s="65"/>
      <c r="CU278" s="255" t="str">
        <f t="shared" si="2"/>
        <v/>
      </c>
    </row>
    <row r="279" ht="60.0" hidden="1" customHeight="1">
      <c r="A279" s="65"/>
      <c r="C279" s="167"/>
      <c r="D279" s="205"/>
      <c r="E279" s="262"/>
      <c r="F279" s="170"/>
      <c r="G279" s="170"/>
      <c r="H279" s="170"/>
      <c r="I279" s="170"/>
      <c r="J279" s="170"/>
      <c r="K279" s="171"/>
      <c r="L279" s="171"/>
      <c r="M279" s="171"/>
      <c r="N279" s="209"/>
      <c r="O279" s="172">
        <f t="shared" si="51"/>
        <v>0</v>
      </c>
      <c r="P279" s="166"/>
      <c r="Q279" s="173"/>
      <c r="R279" s="65"/>
      <c r="S279" s="173"/>
      <c r="T279" s="173"/>
      <c r="U279" s="166"/>
      <c r="V279" s="166"/>
      <c r="W279" s="65"/>
      <c r="X279" s="66"/>
      <c r="Y279" s="173"/>
      <c r="Z279" s="166"/>
      <c r="AA279" s="174"/>
      <c r="AB279" s="175"/>
      <c r="AC279" s="175"/>
      <c r="AD279" s="175"/>
      <c r="AE279" s="175"/>
      <c r="AF279" s="175"/>
      <c r="AG279" s="175"/>
      <c r="AH279" s="175"/>
      <c r="AI279" s="176"/>
      <c r="AJ279" s="177"/>
      <c r="AK279" s="178"/>
      <c r="AL279" s="178"/>
      <c r="AM279" s="178"/>
      <c r="AN279" s="178"/>
      <c r="AO279" s="179"/>
      <c r="AP279" s="64"/>
      <c r="AQ279" s="65"/>
      <c r="AR279" s="65"/>
      <c r="AS279" s="65"/>
      <c r="AT279" s="173"/>
      <c r="AU279" s="177"/>
      <c r="AV279" s="178"/>
      <c r="AW279" s="178"/>
      <c r="AX279" s="179"/>
      <c r="AZ279" s="166"/>
      <c r="BA279" s="177"/>
      <c r="BB279" s="178"/>
      <c r="BC279" s="178"/>
      <c r="BD279" s="178"/>
      <c r="BE279" s="178"/>
      <c r="BF279" s="178"/>
      <c r="BG279" s="178"/>
      <c r="BH279" s="178"/>
      <c r="BI279" s="179"/>
      <c r="BJ279" s="180"/>
      <c r="BK279" s="178"/>
      <c r="BL279" s="178"/>
      <c r="BM279" s="178"/>
      <c r="BN279" s="178"/>
      <c r="BO279" s="181"/>
      <c r="BP279" s="166"/>
      <c r="BQ279" s="177"/>
      <c r="BR279" s="178"/>
      <c r="BS279" s="179"/>
      <c r="BU279" s="166"/>
      <c r="BV279" s="166"/>
      <c r="BW279" s="166"/>
      <c r="BX279" s="166"/>
      <c r="BY279" s="166"/>
      <c r="BZ279" s="166"/>
      <c r="CA279" s="166"/>
      <c r="CB279" s="166"/>
      <c r="CC279" s="166"/>
      <c r="CD279" s="177"/>
      <c r="CE279" s="181"/>
      <c r="CF279" s="177"/>
      <c r="CG279" s="179"/>
      <c r="CH279" s="257"/>
      <c r="CI279" s="182"/>
      <c r="CJ279" s="177"/>
      <c r="CK279" s="182"/>
      <c r="CL279" s="177"/>
      <c r="CM279" s="182"/>
      <c r="CN279" s="177"/>
      <c r="CO279" s="182"/>
      <c r="CP279" s="177"/>
      <c r="CQ279" s="178"/>
      <c r="CR279" s="182"/>
      <c r="CS279" s="173"/>
      <c r="CT279" s="65"/>
      <c r="CU279" s="255" t="str">
        <f t="shared" si="2"/>
        <v/>
      </c>
    </row>
    <row r="280" ht="60.0" hidden="1" customHeight="1">
      <c r="A280" s="65"/>
      <c r="C280" s="167"/>
      <c r="D280" s="205"/>
      <c r="E280" s="262"/>
      <c r="F280" s="170"/>
      <c r="G280" s="170"/>
      <c r="H280" s="170"/>
      <c r="I280" s="170"/>
      <c r="J280" s="170"/>
      <c r="K280" s="171"/>
      <c r="L280" s="171"/>
      <c r="M280" s="171"/>
      <c r="N280" s="209"/>
      <c r="O280" s="172">
        <f t="shared" si="51"/>
        <v>0</v>
      </c>
      <c r="P280" s="166"/>
      <c r="Q280" s="173"/>
      <c r="R280" s="65"/>
      <c r="S280" s="173"/>
      <c r="T280" s="173"/>
      <c r="U280" s="166"/>
      <c r="V280" s="166"/>
      <c r="W280" s="65"/>
      <c r="X280" s="66"/>
      <c r="Y280" s="173"/>
      <c r="Z280" s="166"/>
      <c r="AA280" s="174"/>
      <c r="AB280" s="175"/>
      <c r="AC280" s="175"/>
      <c r="AD280" s="175"/>
      <c r="AE280" s="175"/>
      <c r="AF280" s="175"/>
      <c r="AG280" s="175"/>
      <c r="AH280" s="175"/>
      <c r="AI280" s="176"/>
      <c r="AJ280" s="177"/>
      <c r="AK280" s="178"/>
      <c r="AL280" s="178"/>
      <c r="AM280" s="178"/>
      <c r="AN280" s="178"/>
      <c r="AO280" s="179"/>
      <c r="AP280" s="64"/>
      <c r="AQ280" s="65"/>
      <c r="AR280" s="65"/>
      <c r="AS280" s="65"/>
      <c r="AT280" s="173"/>
      <c r="AU280" s="177"/>
      <c r="AV280" s="178"/>
      <c r="AW280" s="178"/>
      <c r="AX280" s="179"/>
      <c r="AZ280" s="166"/>
      <c r="BA280" s="177"/>
      <c r="BB280" s="178"/>
      <c r="BC280" s="178"/>
      <c r="BD280" s="178"/>
      <c r="BE280" s="178"/>
      <c r="BF280" s="178"/>
      <c r="BG280" s="178"/>
      <c r="BH280" s="178"/>
      <c r="BI280" s="179"/>
      <c r="BJ280" s="180"/>
      <c r="BK280" s="178"/>
      <c r="BL280" s="178"/>
      <c r="BM280" s="178"/>
      <c r="BN280" s="178"/>
      <c r="BO280" s="181"/>
      <c r="BP280" s="166"/>
      <c r="BQ280" s="177"/>
      <c r="BR280" s="178"/>
      <c r="BS280" s="179"/>
      <c r="BU280" s="166"/>
      <c r="BV280" s="166"/>
      <c r="BW280" s="166"/>
      <c r="BX280" s="166"/>
      <c r="BY280" s="166"/>
      <c r="BZ280" s="166"/>
      <c r="CA280" s="166"/>
      <c r="CB280" s="166"/>
      <c r="CC280" s="166"/>
      <c r="CD280" s="177"/>
      <c r="CE280" s="181"/>
      <c r="CF280" s="177"/>
      <c r="CG280" s="179"/>
      <c r="CH280" s="257"/>
      <c r="CI280" s="182"/>
      <c r="CJ280" s="177"/>
      <c r="CK280" s="182"/>
      <c r="CL280" s="177"/>
      <c r="CM280" s="182"/>
      <c r="CN280" s="177"/>
      <c r="CO280" s="182"/>
      <c r="CP280" s="177"/>
      <c r="CQ280" s="178"/>
      <c r="CR280" s="182"/>
      <c r="CS280" s="173"/>
      <c r="CT280" s="65"/>
      <c r="CU280" s="255" t="str">
        <f t="shared" si="2"/>
        <v/>
      </c>
    </row>
    <row r="281" ht="60.0" hidden="1" customHeight="1">
      <c r="A281" s="65"/>
      <c r="C281" s="167"/>
      <c r="D281" s="205"/>
      <c r="E281" s="262"/>
      <c r="F281" s="170"/>
      <c r="G281" s="170"/>
      <c r="H281" s="170"/>
      <c r="I281" s="170"/>
      <c r="J281" s="170"/>
      <c r="K281" s="171"/>
      <c r="L281" s="171"/>
      <c r="M281" s="171"/>
      <c r="N281" s="209"/>
      <c r="O281" s="172">
        <f t="shared" si="51"/>
        <v>0</v>
      </c>
      <c r="P281" s="166"/>
      <c r="Q281" s="173"/>
      <c r="R281" s="65"/>
      <c r="S281" s="173"/>
      <c r="T281" s="173"/>
      <c r="U281" s="166"/>
      <c r="V281" s="166"/>
      <c r="W281" s="65"/>
      <c r="X281" s="66"/>
      <c r="Y281" s="173"/>
      <c r="Z281" s="166"/>
      <c r="AA281" s="174"/>
      <c r="AB281" s="175"/>
      <c r="AC281" s="175"/>
      <c r="AD281" s="175"/>
      <c r="AE281" s="175"/>
      <c r="AF281" s="175"/>
      <c r="AG281" s="175"/>
      <c r="AH281" s="175"/>
      <c r="AI281" s="176"/>
      <c r="AJ281" s="177"/>
      <c r="AK281" s="178"/>
      <c r="AL281" s="178"/>
      <c r="AM281" s="178"/>
      <c r="AN281" s="178"/>
      <c r="AO281" s="179"/>
      <c r="AP281" s="64"/>
      <c r="AQ281" s="65"/>
      <c r="AR281" s="65"/>
      <c r="AS281" s="65"/>
      <c r="AT281" s="173"/>
      <c r="AU281" s="177"/>
      <c r="AV281" s="178"/>
      <c r="AW281" s="178"/>
      <c r="AX281" s="179"/>
      <c r="AZ281" s="166"/>
      <c r="BA281" s="177"/>
      <c r="BB281" s="178"/>
      <c r="BC281" s="178"/>
      <c r="BD281" s="178"/>
      <c r="BE281" s="178"/>
      <c r="BF281" s="178"/>
      <c r="BG281" s="178"/>
      <c r="BH281" s="178"/>
      <c r="BI281" s="179"/>
      <c r="BJ281" s="180"/>
      <c r="BK281" s="178"/>
      <c r="BL281" s="178"/>
      <c r="BM281" s="178"/>
      <c r="BN281" s="178"/>
      <c r="BO281" s="181"/>
      <c r="BP281" s="166"/>
      <c r="BQ281" s="177"/>
      <c r="BR281" s="178"/>
      <c r="BS281" s="179"/>
      <c r="BU281" s="166"/>
      <c r="BV281" s="166"/>
      <c r="BW281" s="166"/>
      <c r="BX281" s="166"/>
      <c r="BY281" s="166"/>
      <c r="BZ281" s="166"/>
      <c r="CA281" s="166"/>
      <c r="CB281" s="166"/>
      <c r="CC281" s="166"/>
      <c r="CD281" s="177"/>
      <c r="CE281" s="181"/>
      <c r="CF281" s="177"/>
      <c r="CG281" s="179"/>
      <c r="CH281" s="257"/>
      <c r="CI281" s="182"/>
      <c r="CJ281" s="177"/>
      <c r="CK281" s="182"/>
      <c r="CL281" s="177"/>
      <c r="CM281" s="182"/>
      <c r="CN281" s="177"/>
      <c r="CO281" s="182"/>
      <c r="CP281" s="177"/>
      <c r="CQ281" s="178"/>
      <c r="CR281" s="182"/>
      <c r="CS281" s="173"/>
      <c r="CT281" s="65"/>
      <c r="CU281" s="255" t="str">
        <f t="shared" si="2"/>
        <v/>
      </c>
    </row>
    <row r="282" ht="60.0" hidden="1" customHeight="1">
      <c r="A282" s="89"/>
      <c r="B282" s="6"/>
      <c r="C282" s="183"/>
      <c r="D282" s="210"/>
      <c r="E282" s="263"/>
      <c r="F282" s="186"/>
      <c r="G282" s="186"/>
      <c r="H282" s="186"/>
      <c r="I282" s="186"/>
      <c r="J282" s="186"/>
      <c r="K282" s="187"/>
      <c r="L282" s="187"/>
      <c r="M282" s="187"/>
      <c r="N282" s="214"/>
      <c r="O282" s="188">
        <f t="shared" ref="O282:O288" si="52">IF(AND(M282&lt;&gt;0,M282&lt;&gt;"m",M282&lt;&gt;"",RIGHT(K282,3)="Lec"),1,IF(AND(M282&lt;&gt;0,M282&lt;&gt;"m",M282&lt;&gt;"",OR(RIGHT(K282,3)="Lab",RIGHT(K282,3)="Tut")),0.5,IF(AND(M282&lt;&gt;0,M282&lt;&gt;"m",M282&lt;&gt;"",RIGHT(K282,2)="TL"),0.75,0)))</f>
        <v>0</v>
      </c>
      <c r="P282" s="63"/>
      <c r="Q282" s="69"/>
      <c r="R282" s="89"/>
      <c r="S282" s="69"/>
      <c r="T282" s="69"/>
      <c r="U282" s="63"/>
      <c r="V282" s="63"/>
      <c r="W282" s="89"/>
      <c r="X282" s="68"/>
      <c r="Y282" s="69"/>
      <c r="Z282" s="63"/>
      <c r="AA282" s="189"/>
      <c r="AB282" s="190"/>
      <c r="AC282" s="190"/>
      <c r="AD282" s="190"/>
      <c r="AE282" s="190"/>
      <c r="AF282" s="190"/>
      <c r="AG282" s="190"/>
      <c r="AH282" s="190"/>
      <c r="AI282" s="191"/>
      <c r="AJ282" s="192"/>
      <c r="AK282" s="193"/>
      <c r="AL282" s="193"/>
      <c r="AM282" s="193"/>
      <c r="AN282" s="193"/>
      <c r="AO282" s="194"/>
      <c r="AP282" s="103"/>
      <c r="AQ282" s="89"/>
      <c r="AR282" s="89"/>
      <c r="AS282" s="89"/>
      <c r="AT282" s="69"/>
      <c r="AU282" s="192"/>
      <c r="AV282" s="193"/>
      <c r="AW282" s="193"/>
      <c r="AX282" s="194"/>
      <c r="AY282" s="6"/>
      <c r="AZ282" s="63"/>
      <c r="BA282" s="192"/>
      <c r="BB282" s="193"/>
      <c r="BC282" s="193"/>
      <c r="BD282" s="193"/>
      <c r="BE282" s="193"/>
      <c r="BF282" s="193"/>
      <c r="BG282" s="193"/>
      <c r="BH282" s="193"/>
      <c r="BI282" s="194"/>
      <c r="BJ282" s="195"/>
      <c r="BK282" s="193"/>
      <c r="BL282" s="193"/>
      <c r="BM282" s="193"/>
      <c r="BN282" s="193"/>
      <c r="BO282" s="196"/>
      <c r="BP282" s="63"/>
      <c r="BQ282" s="192"/>
      <c r="BR282" s="193"/>
      <c r="BS282" s="194"/>
      <c r="BT282" s="6"/>
      <c r="BU282" s="63"/>
      <c r="BV282" s="63"/>
      <c r="BW282" s="63"/>
      <c r="BX282" s="63"/>
      <c r="BY282" s="63"/>
      <c r="BZ282" s="63"/>
      <c r="CA282" s="63"/>
      <c r="CB282" s="63"/>
      <c r="CC282" s="63"/>
      <c r="CD282" s="192"/>
      <c r="CE282" s="196"/>
      <c r="CF282" s="192"/>
      <c r="CG282" s="194"/>
      <c r="CH282" s="259"/>
      <c r="CI282" s="197"/>
      <c r="CJ282" s="192"/>
      <c r="CK282" s="197"/>
      <c r="CL282" s="192"/>
      <c r="CM282" s="197"/>
      <c r="CN282" s="192"/>
      <c r="CO282" s="197"/>
      <c r="CP282" s="192"/>
      <c r="CQ282" s="193"/>
      <c r="CR282" s="197"/>
      <c r="CS282" s="69"/>
      <c r="CT282" s="89"/>
      <c r="CU282" s="255" t="str">
        <f t="shared" si="2"/>
        <v/>
      </c>
    </row>
    <row r="283" ht="56.25" hidden="1" customHeight="1">
      <c r="A283" s="125">
        <v>26.0</v>
      </c>
      <c r="B283" s="199"/>
      <c r="C283" s="127"/>
      <c r="D283" s="128"/>
      <c r="E283" s="260"/>
      <c r="F283" s="261"/>
      <c r="G283" s="261"/>
      <c r="H283" s="261"/>
      <c r="I283" s="261"/>
      <c r="J283" s="170"/>
      <c r="K283" s="219"/>
      <c r="L283" s="219"/>
      <c r="M283" s="219"/>
      <c r="N283" s="220"/>
      <c r="O283" s="132">
        <f t="shared" si="52"/>
        <v>0</v>
      </c>
      <c r="P283" s="133">
        <f>COUNTIF(K283:K293,"TL")*0.75+COUNTIF(K283:K293,"Lec")*1+COUNTIF(K283:K293,"Lab")*0.5</f>
        <v>0</v>
      </c>
      <c r="Q283" s="134">
        <f>SUM((IF(LEFT(K283,1)="E",O283,0)),(IF(LEFT(K284,1)="E",O284,0)),(IF(LEFT(K285,1)="E",O285,0)),(IF(LEFT(K286,1)="E",O286,0)),(IF(LEFT(K287,1)="E",O287,0)),(IF(LEFT(K288,1)="E",O288,0)),(IF(LEFT(K289,1)="E",O289,0)),(IF(LEFT(K290,1)="E",O290,0)),(IF(LEFT(K291,1)="E",O291,0)),(IF(LEFT(K292,1)="E",O292,0)),(IF(LEFT(K293,1)="E",O293,0)))</f>
        <v>0</v>
      </c>
      <c r="R283" s="135">
        <f>SUM(IF(M289&lt;20,IF(K289="Plec",-1,IF(K289="PTL",-0.75,IF(K289="Plab",-0.5,0))),0),IF(M290&lt;20,IF(K290="Plec",-1,IF(K290="PTL",-0.75,IF(K290="Plab",-0.5,0))),0),IF(M291&lt;20,IF(K291="Plec",-1,IF(K291="PTL",-0.75,IF(K291="Plab",-0.5,0))),0),IF(M292&lt;20,IF(K292="Plec",-1,IF(K292="PTL",-0.75,IF(K292="Plab",-0.5,0))),0))</f>
        <v>0</v>
      </c>
      <c r="S283" s="134">
        <f>SUM(P283:R293)</f>
        <v>0</v>
      </c>
      <c r="T283" s="136">
        <f>SUM(IF(M283="M",IF(OR(K283="lec",K283="plec",K283="slec"),1,IF(OR(K283="lab",K283="plab",K283="slab",K283="tut",K283="ptut",K283="stut"),0.5,IF(OR(K283="TL",K283="pTL",K283="STL"),0.75,0))),0),IF(M284="M",IF(OR(K284="lec",K284="plec",K284="slec"),1,IF(OR(K284="lab",K284="plab",K284="slab",K284="tut",K284="ptut",K284="stut"),0.5,IF(OR(K284="TL",K284="pTL",K284="STL"),0.75,0))),0),IF(M285="M",IF(OR(K285="lec",K285="plec",K285="slec"),1,IF(OR(K285="lab",K285="plab",K285="slab",K285="tut",K285="ptut",K285="stut"),0.5,IF(OR(K285="TL",K285="pTL",K285="STL"),0.75,0))),0),IF(M286="M",IF(OR(K286="lec",K286="plec",K286="slec"),1,IF(OR(K286="lab",K286="plab",K286="slab",K286="tut",K286="ptut",K286="stut"),0.5,IF(OR(K286="TL",K286="pTL",K286="STL"),0.75,0))),0),IF(M287="M",IF(OR(K287="lec",K287="plec",K287="slec"),1,IF(OR(K287="lab",K287="plab",K287="slab",K287="tut",K287="ptut",K287="stut"),0.5,IF(OR(K287="TL",K287="pTL",K287="STL"),0.75,0))),0),IF(M288="M",IF(OR(K288="lec",K288="plec",K288="slec"),1,IF(OR(K288="lab",K288="plab",K288="slab",K288="tut",K288="ptut",K288="stut"),0.5,IF(OR(K288="TL",K288="pTL",K288="STL"),0.75,0))),0),IF(M289="M",IF(OR(K289="lec",K289="plec",K289="slec"),1,IF(OR(K289="lab",K289="plab",K289="slab",K289="tut",K289="ptut",K289="stut"),0.5,IF(OR(K289="TL",K289="pTL",K289="STL"),0.75,0))),0),IF(M290="M",IF(OR(K290="lec",K290="plec",K290="slec"),1,IF(OR(K290="lab",K290="plab",K290="slab",K290="tut",K290="ptut",K290="stut"),0.5,IF(OR(K290="TL",K290="pTL",K290="STL"),0.75,0))),0),IF(M291="M",IF(OR(K291="lec",K291="plec",K291="slec"),1,IF(OR(K291="lab",K291="plab",K291="slab",K291="tut",K291="ptut",K291="stut"),0.5,IF(OR(K291="TL",K291="pTL",K291="STL"),0.75,0))),0),IF(M292="M",IF(OR(K292="lec",K292="plec",K292="slec"),1,IF(OR(K292="lab",K292="plab",K292="slab",K292="tut",K292="ptut",K292="stut"),0.5,IF(OR(K292="TL",K292="pTL",K292="STL"),0.75,0))),0),IF(M293="M",IF(OR(K293="lec",K293="plec",K293="slec"),1,IF(OR(K293="lab",K293="plab",K293="slab",K293="tut",K293="ptut",K293="stut"),0.5,IF(OR(K293="TL",K293="pTL",K293="STL"),0.75,0))),0))</f>
        <v>0</v>
      </c>
      <c r="U283" s="137"/>
      <c r="V283" s="133"/>
      <c r="W283" s="138"/>
      <c r="X283" s="139">
        <f>S283-(T283+U283+V283+W283)</f>
        <v>0</v>
      </c>
      <c r="Y283" s="134" t="str">
        <f>CONCATENATE(SUM(O283:O293),"(",SUM(O283:O293)-X283,")")</f>
        <v>0(0)</v>
      </c>
      <c r="Z283" s="140"/>
      <c r="AA283" s="141"/>
      <c r="AB283" s="142"/>
      <c r="AC283" s="142"/>
      <c r="AD283" s="142"/>
      <c r="AE283" s="142"/>
      <c r="AF283" s="142"/>
      <c r="AG283" s="142"/>
      <c r="AH283" s="142"/>
      <c r="AI283" s="143"/>
      <c r="AJ283" s="144"/>
      <c r="AK283" s="145"/>
      <c r="AL283" s="145"/>
      <c r="AM283" s="145"/>
      <c r="AN283" s="145"/>
      <c r="AO283" s="146"/>
      <c r="AP283" s="147">
        <f>SUM(SUM(O283:O293),SUM(AI283:AI293)/2,AM283)</f>
        <v>0</v>
      </c>
      <c r="AQ283" s="148"/>
      <c r="AR283" s="148">
        <f>AP283*AQ283</f>
        <v>0</v>
      </c>
      <c r="AS283" s="148">
        <f>CT283</f>
        <v>0</v>
      </c>
      <c r="AT283" s="149">
        <f>AR283*0.75+AS283*0.25</f>
        <v>0</v>
      </c>
      <c r="AU283" s="150"/>
      <c r="AV283" s="151"/>
      <c r="AW283" s="151"/>
      <c r="AX283" s="152"/>
      <c r="AY283" s="153"/>
      <c r="AZ283" s="140"/>
      <c r="BA283" s="150"/>
      <c r="BB283" s="151"/>
      <c r="BC283" s="151"/>
      <c r="BD283" s="151"/>
      <c r="BE283" s="151"/>
      <c r="BF283" s="151"/>
      <c r="BG283" s="151"/>
      <c r="BH283" s="151"/>
      <c r="BI283" s="152"/>
      <c r="BJ283" s="154"/>
      <c r="BK283" s="151"/>
      <c r="BL283" s="151"/>
      <c r="BM283" s="151"/>
      <c r="BN283" s="151"/>
      <c r="BO283" s="155"/>
      <c r="BP283" s="140"/>
      <c r="BQ283" s="156"/>
      <c r="BR283" s="157"/>
      <c r="BS283" s="158"/>
      <c r="BT283" s="153"/>
      <c r="BU283" s="140"/>
      <c r="BV283" s="140"/>
      <c r="BW283" s="140"/>
      <c r="BX283" s="140"/>
      <c r="BY283" s="140"/>
      <c r="BZ283" s="140"/>
      <c r="CA283" s="140"/>
      <c r="CB283" s="140"/>
      <c r="CC283" s="140"/>
      <c r="CD283" s="150"/>
      <c r="CE283" s="155"/>
      <c r="CF283" s="150"/>
      <c r="CG283" s="152"/>
      <c r="CH283" s="252"/>
      <c r="CI283" s="160"/>
      <c r="CJ283" s="159"/>
      <c r="CK283" s="160"/>
      <c r="CL283" s="159"/>
      <c r="CM283" s="160"/>
      <c r="CN283" s="159"/>
      <c r="CO283" s="160"/>
      <c r="CP283" s="159"/>
      <c r="CQ283" s="162"/>
      <c r="CR283" s="160"/>
      <c r="CS283" s="253">
        <f>SUM(IF(AU283&lt;0,ABS(AU283),0),IF(AZ283&lt;0,ABS(AZ283),0),ABS(CI283),ABS(CK283),ABS(CM283),ABS(CO283),ABS(CQ283),ABS(CR283))</f>
        <v>0</v>
      </c>
      <c r="CT283" s="254">
        <f>SUM(AU283,AV283,AW283,AX283/400,AY283,AZ283,BG283,BH283*0.5,BI283*0.25,BJ283,BK283,BL283,BM283,BN283,BO283,BP283,BR283/20,BS283/100,BT283/60,BU283,BV283,BW283,BX283/5,SUM(BY283:CC293)/3,CE283,CG283/3,CI283,CK283,CM283,CO283,CQ283,CR283)</f>
        <v>0</v>
      </c>
      <c r="CU283" s="255" t="str">
        <f t="shared" si="2"/>
        <v/>
      </c>
    </row>
    <row r="284" ht="60.0" hidden="1" customHeight="1">
      <c r="A284" s="65"/>
      <c r="C284" s="167"/>
      <c r="D284" s="205"/>
      <c r="E284" s="262"/>
      <c r="F284" s="170"/>
      <c r="G284" s="170"/>
      <c r="H284" s="170"/>
      <c r="I284" s="170"/>
      <c r="J284" s="170"/>
      <c r="K284" s="171"/>
      <c r="L284" s="171"/>
      <c r="M284" s="171"/>
      <c r="N284" s="209"/>
      <c r="O284" s="172">
        <f t="shared" si="52"/>
        <v>0</v>
      </c>
      <c r="P284" s="166"/>
      <c r="Q284" s="173"/>
      <c r="R284" s="65"/>
      <c r="S284" s="173"/>
      <c r="T284" s="173"/>
      <c r="U284" s="166"/>
      <c r="V284" s="166"/>
      <c r="W284" s="65"/>
      <c r="X284" s="66"/>
      <c r="Y284" s="173"/>
      <c r="Z284" s="166"/>
      <c r="AA284" s="174"/>
      <c r="AB284" s="175"/>
      <c r="AC284" s="175"/>
      <c r="AD284" s="175"/>
      <c r="AE284" s="175"/>
      <c r="AF284" s="175"/>
      <c r="AG284" s="175"/>
      <c r="AH284" s="175"/>
      <c r="AI284" s="176"/>
      <c r="AJ284" s="177"/>
      <c r="AK284" s="178"/>
      <c r="AL284" s="178"/>
      <c r="AM284" s="178"/>
      <c r="AN284" s="178"/>
      <c r="AO284" s="179"/>
      <c r="AP284" s="64"/>
      <c r="AQ284" s="65"/>
      <c r="AR284" s="65"/>
      <c r="AS284" s="65"/>
      <c r="AT284" s="173"/>
      <c r="AU284" s="177"/>
      <c r="AV284" s="178"/>
      <c r="AW284" s="178"/>
      <c r="AX284" s="179"/>
      <c r="AZ284" s="166"/>
      <c r="BA284" s="177"/>
      <c r="BB284" s="178"/>
      <c r="BC284" s="178"/>
      <c r="BD284" s="178"/>
      <c r="BE284" s="178"/>
      <c r="BF284" s="178"/>
      <c r="BG284" s="178"/>
      <c r="BH284" s="178"/>
      <c r="BI284" s="179"/>
      <c r="BJ284" s="180"/>
      <c r="BK284" s="178"/>
      <c r="BL284" s="178"/>
      <c r="BM284" s="178"/>
      <c r="BN284" s="178"/>
      <c r="BO284" s="181"/>
      <c r="BP284" s="166"/>
      <c r="BQ284" s="177"/>
      <c r="BR284" s="178"/>
      <c r="BS284" s="179"/>
      <c r="BU284" s="166"/>
      <c r="BV284" s="166"/>
      <c r="BW284" s="166"/>
      <c r="BX284" s="166"/>
      <c r="BY284" s="166"/>
      <c r="BZ284" s="166"/>
      <c r="CA284" s="166"/>
      <c r="CB284" s="166"/>
      <c r="CC284" s="166"/>
      <c r="CD284" s="177"/>
      <c r="CE284" s="181"/>
      <c r="CF284" s="177"/>
      <c r="CG284" s="179"/>
      <c r="CH284" s="257"/>
      <c r="CI284" s="182"/>
      <c r="CJ284" s="177"/>
      <c r="CK284" s="182"/>
      <c r="CL284" s="177"/>
      <c r="CM284" s="182"/>
      <c r="CN284" s="177"/>
      <c r="CO284" s="182"/>
      <c r="CP284" s="177"/>
      <c r="CQ284" s="178"/>
      <c r="CR284" s="182"/>
      <c r="CS284" s="173"/>
      <c r="CT284" s="65"/>
      <c r="CU284" s="255" t="str">
        <f t="shared" si="2"/>
        <v/>
      </c>
    </row>
    <row r="285" ht="60.0" hidden="1" customHeight="1">
      <c r="A285" s="65"/>
      <c r="C285" s="167"/>
      <c r="D285" s="205"/>
      <c r="E285" s="262"/>
      <c r="F285" s="170"/>
      <c r="G285" s="170"/>
      <c r="H285" s="170"/>
      <c r="I285" s="170"/>
      <c r="J285" s="170"/>
      <c r="K285" s="171"/>
      <c r="L285" s="171"/>
      <c r="M285" s="171"/>
      <c r="N285" s="209"/>
      <c r="O285" s="172">
        <f t="shared" si="52"/>
        <v>0</v>
      </c>
      <c r="P285" s="166"/>
      <c r="Q285" s="173"/>
      <c r="R285" s="65"/>
      <c r="S285" s="173"/>
      <c r="T285" s="173"/>
      <c r="U285" s="166"/>
      <c r="V285" s="166"/>
      <c r="W285" s="65"/>
      <c r="X285" s="66"/>
      <c r="Y285" s="173"/>
      <c r="Z285" s="166"/>
      <c r="AA285" s="174"/>
      <c r="AB285" s="175"/>
      <c r="AC285" s="175"/>
      <c r="AD285" s="175"/>
      <c r="AE285" s="175"/>
      <c r="AF285" s="175"/>
      <c r="AG285" s="175"/>
      <c r="AH285" s="175"/>
      <c r="AI285" s="176"/>
      <c r="AJ285" s="177"/>
      <c r="AK285" s="178"/>
      <c r="AL285" s="178"/>
      <c r="AM285" s="178"/>
      <c r="AN285" s="178"/>
      <c r="AO285" s="179"/>
      <c r="AP285" s="64"/>
      <c r="AQ285" s="65"/>
      <c r="AR285" s="65"/>
      <c r="AS285" s="65"/>
      <c r="AT285" s="173"/>
      <c r="AU285" s="177"/>
      <c r="AV285" s="178"/>
      <c r="AW285" s="178"/>
      <c r="AX285" s="179"/>
      <c r="AZ285" s="166"/>
      <c r="BA285" s="177"/>
      <c r="BB285" s="178"/>
      <c r="BC285" s="178"/>
      <c r="BD285" s="178"/>
      <c r="BE285" s="178"/>
      <c r="BF285" s="178"/>
      <c r="BG285" s="178"/>
      <c r="BH285" s="178"/>
      <c r="BI285" s="179"/>
      <c r="BJ285" s="180"/>
      <c r="BK285" s="178"/>
      <c r="BL285" s="178"/>
      <c r="BM285" s="178"/>
      <c r="BN285" s="178"/>
      <c r="BO285" s="181"/>
      <c r="BP285" s="166"/>
      <c r="BQ285" s="177"/>
      <c r="BR285" s="178"/>
      <c r="BS285" s="179"/>
      <c r="BU285" s="166"/>
      <c r="BV285" s="166"/>
      <c r="BW285" s="166"/>
      <c r="BX285" s="166"/>
      <c r="BY285" s="166"/>
      <c r="BZ285" s="166"/>
      <c r="CA285" s="166"/>
      <c r="CB285" s="166"/>
      <c r="CC285" s="166"/>
      <c r="CD285" s="177"/>
      <c r="CE285" s="181"/>
      <c r="CF285" s="177"/>
      <c r="CG285" s="179"/>
      <c r="CH285" s="257"/>
      <c r="CI285" s="182"/>
      <c r="CJ285" s="177"/>
      <c r="CK285" s="182"/>
      <c r="CL285" s="177"/>
      <c r="CM285" s="182"/>
      <c r="CN285" s="177"/>
      <c r="CO285" s="182"/>
      <c r="CP285" s="177"/>
      <c r="CQ285" s="178"/>
      <c r="CR285" s="182"/>
      <c r="CS285" s="173"/>
      <c r="CT285" s="65"/>
      <c r="CU285" s="255" t="str">
        <f t="shared" si="2"/>
        <v/>
      </c>
    </row>
    <row r="286" ht="60.0" hidden="1" customHeight="1">
      <c r="A286" s="65"/>
      <c r="C286" s="167"/>
      <c r="D286" s="205"/>
      <c r="E286" s="262"/>
      <c r="F286" s="170"/>
      <c r="G286" s="170"/>
      <c r="H286" s="170"/>
      <c r="I286" s="170"/>
      <c r="J286" s="170"/>
      <c r="K286" s="171"/>
      <c r="L286" s="171"/>
      <c r="M286" s="171"/>
      <c r="N286" s="209"/>
      <c r="O286" s="172">
        <f t="shared" si="52"/>
        <v>0</v>
      </c>
      <c r="P286" s="166"/>
      <c r="Q286" s="173"/>
      <c r="R286" s="65"/>
      <c r="S286" s="173"/>
      <c r="T286" s="173"/>
      <c r="U286" s="166"/>
      <c r="V286" s="166"/>
      <c r="W286" s="65"/>
      <c r="X286" s="66"/>
      <c r="Y286" s="173"/>
      <c r="Z286" s="166"/>
      <c r="AA286" s="174"/>
      <c r="AB286" s="175"/>
      <c r="AC286" s="175"/>
      <c r="AD286" s="175"/>
      <c r="AE286" s="175"/>
      <c r="AF286" s="175"/>
      <c r="AG286" s="175"/>
      <c r="AH286" s="175"/>
      <c r="AI286" s="176"/>
      <c r="AJ286" s="177"/>
      <c r="AK286" s="178"/>
      <c r="AL286" s="178"/>
      <c r="AM286" s="178"/>
      <c r="AN286" s="178"/>
      <c r="AO286" s="179"/>
      <c r="AP286" s="64"/>
      <c r="AQ286" s="65"/>
      <c r="AR286" s="65"/>
      <c r="AS286" s="65"/>
      <c r="AT286" s="173"/>
      <c r="AU286" s="177"/>
      <c r="AV286" s="178"/>
      <c r="AW286" s="178"/>
      <c r="AX286" s="179"/>
      <c r="AZ286" s="166"/>
      <c r="BA286" s="177"/>
      <c r="BB286" s="178"/>
      <c r="BC286" s="178"/>
      <c r="BD286" s="178"/>
      <c r="BE286" s="178"/>
      <c r="BF286" s="178"/>
      <c r="BG286" s="178"/>
      <c r="BH286" s="178"/>
      <c r="BI286" s="179"/>
      <c r="BJ286" s="180"/>
      <c r="BK286" s="178"/>
      <c r="BL286" s="178"/>
      <c r="BM286" s="178"/>
      <c r="BN286" s="178"/>
      <c r="BO286" s="181"/>
      <c r="BP286" s="166"/>
      <c r="BQ286" s="177"/>
      <c r="BR286" s="178"/>
      <c r="BS286" s="179"/>
      <c r="BU286" s="166"/>
      <c r="BV286" s="166"/>
      <c r="BW286" s="166"/>
      <c r="BX286" s="166"/>
      <c r="BY286" s="166"/>
      <c r="BZ286" s="166"/>
      <c r="CA286" s="166"/>
      <c r="CB286" s="166"/>
      <c r="CC286" s="166"/>
      <c r="CD286" s="177"/>
      <c r="CE286" s="181"/>
      <c r="CF286" s="177"/>
      <c r="CG286" s="179"/>
      <c r="CH286" s="257"/>
      <c r="CI286" s="182"/>
      <c r="CJ286" s="177"/>
      <c r="CK286" s="182"/>
      <c r="CL286" s="177"/>
      <c r="CM286" s="182"/>
      <c r="CN286" s="177"/>
      <c r="CO286" s="182"/>
      <c r="CP286" s="177"/>
      <c r="CQ286" s="178"/>
      <c r="CR286" s="182"/>
      <c r="CS286" s="173"/>
      <c r="CT286" s="65"/>
      <c r="CU286" s="255" t="str">
        <f t="shared" si="2"/>
        <v/>
      </c>
    </row>
    <row r="287" ht="60.0" hidden="1" customHeight="1">
      <c r="A287" s="65"/>
      <c r="C287" s="167"/>
      <c r="D287" s="205"/>
      <c r="E287" s="262"/>
      <c r="F287" s="170"/>
      <c r="G287" s="170"/>
      <c r="H287" s="170"/>
      <c r="I287" s="170"/>
      <c r="J287" s="170"/>
      <c r="K287" s="171"/>
      <c r="L287" s="171"/>
      <c r="M287" s="171"/>
      <c r="N287" s="209"/>
      <c r="O287" s="172">
        <f t="shared" si="52"/>
        <v>0</v>
      </c>
      <c r="P287" s="166"/>
      <c r="Q287" s="173"/>
      <c r="R287" s="65"/>
      <c r="S287" s="173"/>
      <c r="T287" s="173"/>
      <c r="U287" s="166"/>
      <c r="V287" s="166"/>
      <c r="W287" s="65"/>
      <c r="X287" s="66"/>
      <c r="Y287" s="173"/>
      <c r="Z287" s="166"/>
      <c r="AA287" s="174"/>
      <c r="AB287" s="175"/>
      <c r="AC287" s="175"/>
      <c r="AD287" s="175"/>
      <c r="AE287" s="175"/>
      <c r="AF287" s="175"/>
      <c r="AG287" s="175"/>
      <c r="AH287" s="175"/>
      <c r="AI287" s="176"/>
      <c r="AJ287" s="177"/>
      <c r="AK287" s="178"/>
      <c r="AL287" s="178"/>
      <c r="AM287" s="178"/>
      <c r="AN287" s="178"/>
      <c r="AO287" s="179"/>
      <c r="AP287" s="64"/>
      <c r="AQ287" s="65"/>
      <c r="AR287" s="65"/>
      <c r="AS287" s="65"/>
      <c r="AT287" s="173"/>
      <c r="AU287" s="177"/>
      <c r="AV287" s="178"/>
      <c r="AW287" s="178"/>
      <c r="AX287" s="179"/>
      <c r="AZ287" s="166"/>
      <c r="BA287" s="177"/>
      <c r="BB287" s="178"/>
      <c r="BC287" s="178"/>
      <c r="BD287" s="178"/>
      <c r="BE287" s="178"/>
      <c r="BF287" s="178"/>
      <c r="BG287" s="178"/>
      <c r="BH287" s="178"/>
      <c r="BI287" s="179"/>
      <c r="BJ287" s="180"/>
      <c r="BK287" s="178"/>
      <c r="BL287" s="178"/>
      <c r="BM287" s="178"/>
      <c r="BN287" s="178"/>
      <c r="BO287" s="181"/>
      <c r="BP287" s="166"/>
      <c r="BQ287" s="177"/>
      <c r="BR287" s="178"/>
      <c r="BS287" s="179"/>
      <c r="BU287" s="166"/>
      <c r="BV287" s="166"/>
      <c r="BW287" s="166"/>
      <c r="BX287" s="166"/>
      <c r="BY287" s="166"/>
      <c r="BZ287" s="166"/>
      <c r="CA287" s="166"/>
      <c r="CB287" s="166"/>
      <c r="CC287" s="166"/>
      <c r="CD287" s="177"/>
      <c r="CE287" s="181"/>
      <c r="CF287" s="177"/>
      <c r="CG287" s="179"/>
      <c r="CH287" s="257"/>
      <c r="CI287" s="182"/>
      <c r="CJ287" s="177"/>
      <c r="CK287" s="182"/>
      <c r="CL287" s="177"/>
      <c r="CM287" s="182"/>
      <c r="CN287" s="177"/>
      <c r="CO287" s="182"/>
      <c r="CP287" s="177"/>
      <c r="CQ287" s="178"/>
      <c r="CR287" s="182"/>
      <c r="CS287" s="173"/>
      <c r="CT287" s="65"/>
      <c r="CU287" s="255" t="str">
        <f t="shared" si="2"/>
        <v/>
      </c>
    </row>
    <row r="288" ht="60.0" hidden="1" customHeight="1">
      <c r="A288" s="65"/>
      <c r="C288" s="167"/>
      <c r="D288" s="205"/>
      <c r="E288" s="262"/>
      <c r="F288" s="170"/>
      <c r="G288" s="170"/>
      <c r="H288" s="170"/>
      <c r="I288" s="170"/>
      <c r="J288" s="170"/>
      <c r="K288" s="171"/>
      <c r="L288" s="171"/>
      <c r="M288" s="171"/>
      <c r="N288" s="209"/>
      <c r="O288" s="172">
        <f t="shared" si="52"/>
        <v>0</v>
      </c>
      <c r="P288" s="166"/>
      <c r="Q288" s="173"/>
      <c r="R288" s="65"/>
      <c r="S288" s="173"/>
      <c r="T288" s="173"/>
      <c r="U288" s="166"/>
      <c r="V288" s="166"/>
      <c r="W288" s="65"/>
      <c r="X288" s="66"/>
      <c r="Y288" s="173"/>
      <c r="Z288" s="166"/>
      <c r="AA288" s="174"/>
      <c r="AB288" s="175"/>
      <c r="AC288" s="175"/>
      <c r="AD288" s="175"/>
      <c r="AE288" s="175"/>
      <c r="AF288" s="175"/>
      <c r="AG288" s="175"/>
      <c r="AH288" s="175"/>
      <c r="AI288" s="176"/>
      <c r="AJ288" s="177"/>
      <c r="AK288" s="178"/>
      <c r="AL288" s="178"/>
      <c r="AM288" s="178"/>
      <c r="AN288" s="178"/>
      <c r="AO288" s="179"/>
      <c r="AP288" s="64"/>
      <c r="AQ288" s="65"/>
      <c r="AR288" s="65"/>
      <c r="AS288" s="65"/>
      <c r="AT288" s="173"/>
      <c r="AU288" s="177"/>
      <c r="AV288" s="178"/>
      <c r="AW288" s="178"/>
      <c r="AX288" s="179"/>
      <c r="AZ288" s="166"/>
      <c r="BA288" s="177"/>
      <c r="BB288" s="178"/>
      <c r="BC288" s="178"/>
      <c r="BD288" s="178"/>
      <c r="BE288" s="178"/>
      <c r="BF288" s="178"/>
      <c r="BG288" s="178"/>
      <c r="BH288" s="178"/>
      <c r="BI288" s="179"/>
      <c r="BJ288" s="180"/>
      <c r="BK288" s="178"/>
      <c r="BL288" s="178"/>
      <c r="BM288" s="178"/>
      <c r="BN288" s="178"/>
      <c r="BO288" s="181"/>
      <c r="BP288" s="166"/>
      <c r="BQ288" s="177"/>
      <c r="BR288" s="178"/>
      <c r="BS288" s="179"/>
      <c r="BU288" s="166"/>
      <c r="BV288" s="166"/>
      <c r="BW288" s="166"/>
      <c r="BX288" s="166"/>
      <c r="BY288" s="166"/>
      <c r="BZ288" s="166"/>
      <c r="CA288" s="166"/>
      <c r="CB288" s="166"/>
      <c r="CC288" s="166"/>
      <c r="CD288" s="177"/>
      <c r="CE288" s="181"/>
      <c r="CF288" s="177"/>
      <c r="CG288" s="179"/>
      <c r="CH288" s="257"/>
      <c r="CI288" s="182"/>
      <c r="CJ288" s="177"/>
      <c r="CK288" s="182"/>
      <c r="CL288" s="177"/>
      <c r="CM288" s="182"/>
      <c r="CN288" s="177"/>
      <c r="CO288" s="182"/>
      <c r="CP288" s="177"/>
      <c r="CQ288" s="178"/>
      <c r="CR288" s="182"/>
      <c r="CS288" s="173"/>
      <c r="CT288" s="65"/>
      <c r="CU288" s="255" t="str">
        <f t="shared" si="2"/>
        <v/>
      </c>
    </row>
    <row r="289" ht="60.0" hidden="1" customHeight="1">
      <c r="A289" s="65"/>
      <c r="C289" s="167"/>
      <c r="D289" s="205"/>
      <c r="E289" s="262"/>
      <c r="F289" s="170"/>
      <c r="G289" s="170"/>
      <c r="H289" s="170"/>
      <c r="I289" s="170"/>
      <c r="J289" s="170"/>
      <c r="K289" s="171"/>
      <c r="L289" s="171"/>
      <c r="M289" s="171"/>
      <c r="N289" s="209"/>
      <c r="O289" s="172">
        <f t="shared" ref="O289:O292" si="53">IF(AND(M289&gt;=20,M289&lt;&gt;"m",RIGHT(K289,3)="Lec"),1,IF(AND(M289&gt;=20,M289&lt;&gt;"m",OR(RIGHT(K289,3)="Lab",RIGHT(K289,3)="Tut")),0.5,IF(AND(M289&gt;=20,M289&lt;&gt;"m",RIGHT(K289,2)="TL"),0.75,0)))</f>
        <v>0</v>
      </c>
      <c r="P289" s="166"/>
      <c r="Q289" s="173"/>
      <c r="R289" s="65"/>
      <c r="S289" s="173"/>
      <c r="T289" s="173"/>
      <c r="U289" s="166"/>
      <c r="V289" s="166"/>
      <c r="W289" s="65"/>
      <c r="X289" s="66"/>
      <c r="Y289" s="173"/>
      <c r="Z289" s="166"/>
      <c r="AA289" s="174"/>
      <c r="AB289" s="175"/>
      <c r="AC289" s="175"/>
      <c r="AD289" s="175"/>
      <c r="AE289" s="175"/>
      <c r="AF289" s="175"/>
      <c r="AG289" s="175"/>
      <c r="AH289" s="175"/>
      <c r="AI289" s="176"/>
      <c r="AJ289" s="177"/>
      <c r="AK289" s="178"/>
      <c r="AL289" s="178"/>
      <c r="AM289" s="178"/>
      <c r="AN289" s="178"/>
      <c r="AO289" s="179"/>
      <c r="AP289" s="64"/>
      <c r="AQ289" s="65"/>
      <c r="AR289" s="65"/>
      <c r="AS289" s="65"/>
      <c r="AT289" s="173"/>
      <c r="AU289" s="177"/>
      <c r="AV289" s="178"/>
      <c r="AW289" s="178"/>
      <c r="AX289" s="179"/>
      <c r="AZ289" s="166"/>
      <c r="BA289" s="177"/>
      <c r="BB289" s="178"/>
      <c r="BC289" s="178"/>
      <c r="BD289" s="178"/>
      <c r="BE289" s="178"/>
      <c r="BF289" s="178"/>
      <c r="BG289" s="178"/>
      <c r="BH289" s="178"/>
      <c r="BI289" s="179"/>
      <c r="BJ289" s="180"/>
      <c r="BK289" s="178"/>
      <c r="BL289" s="178"/>
      <c r="BM289" s="178"/>
      <c r="BN289" s="178"/>
      <c r="BO289" s="181"/>
      <c r="BP289" s="166"/>
      <c r="BQ289" s="177"/>
      <c r="BR289" s="178"/>
      <c r="BS289" s="179"/>
      <c r="BU289" s="166"/>
      <c r="BV289" s="166"/>
      <c r="BW289" s="166"/>
      <c r="BX289" s="166"/>
      <c r="BY289" s="166"/>
      <c r="BZ289" s="166"/>
      <c r="CA289" s="166"/>
      <c r="CB289" s="166"/>
      <c r="CC289" s="166"/>
      <c r="CD289" s="177"/>
      <c r="CE289" s="181"/>
      <c r="CF289" s="177"/>
      <c r="CG289" s="179"/>
      <c r="CH289" s="257"/>
      <c r="CI289" s="182"/>
      <c r="CJ289" s="177"/>
      <c r="CK289" s="182"/>
      <c r="CL289" s="177"/>
      <c r="CM289" s="182"/>
      <c r="CN289" s="177"/>
      <c r="CO289" s="182"/>
      <c r="CP289" s="177"/>
      <c r="CQ289" s="178"/>
      <c r="CR289" s="182"/>
      <c r="CS289" s="173"/>
      <c r="CT289" s="65"/>
      <c r="CU289" s="255" t="str">
        <f t="shared" si="2"/>
        <v/>
      </c>
    </row>
    <row r="290" ht="60.0" hidden="1" customHeight="1">
      <c r="A290" s="65"/>
      <c r="C290" s="167"/>
      <c r="D290" s="205"/>
      <c r="E290" s="262"/>
      <c r="F290" s="170"/>
      <c r="G290" s="170"/>
      <c r="H290" s="170"/>
      <c r="I290" s="170"/>
      <c r="J290" s="170"/>
      <c r="K290" s="171"/>
      <c r="L290" s="171"/>
      <c r="M290" s="171"/>
      <c r="N290" s="209"/>
      <c r="O290" s="172">
        <f t="shared" si="53"/>
        <v>0</v>
      </c>
      <c r="P290" s="166"/>
      <c r="Q290" s="173"/>
      <c r="R290" s="65"/>
      <c r="S290" s="173"/>
      <c r="T290" s="173"/>
      <c r="U290" s="166"/>
      <c r="V290" s="166"/>
      <c r="W290" s="65"/>
      <c r="X290" s="66"/>
      <c r="Y290" s="173"/>
      <c r="Z290" s="166"/>
      <c r="AA290" s="174"/>
      <c r="AB290" s="175"/>
      <c r="AC290" s="175"/>
      <c r="AD290" s="175"/>
      <c r="AE290" s="175"/>
      <c r="AF290" s="175"/>
      <c r="AG290" s="175"/>
      <c r="AH290" s="175"/>
      <c r="AI290" s="176"/>
      <c r="AJ290" s="177"/>
      <c r="AK290" s="178"/>
      <c r="AL290" s="178"/>
      <c r="AM290" s="178"/>
      <c r="AN290" s="178"/>
      <c r="AO290" s="179"/>
      <c r="AP290" s="64"/>
      <c r="AQ290" s="65"/>
      <c r="AR290" s="65"/>
      <c r="AS290" s="65"/>
      <c r="AT290" s="173"/>
      <c r="AU290" s="177"/>
      <c r="AV290" s="178"/>
      <c r="AW290" s="178"/>
      <c r="AX290" s="179"/>
      <c r="AZ290" s="166"/>
      <c r="BA290" s="177"/>
      <c r="BB290" s="178"/>
      <c r="BC290" s="178"/>
      <c r="BD290" s="178"/>
      <c r="BE290" s="178"/>
      <c r="BF290" s="178"/>
      <c r="BG290" s="178"/>
      <c r="BH290" s="178"/>
      <c r="BI290" s="179"/>
      <c r="BJ290" s="180"/>
      <c r="BK290" s="178"/>
      <c r="BL290" s="178"/>
      <c r="BM290" s="178"/>
      <c r="BN290" s="178"/>
      <c r="BO290" s="181"/>
      <c r="BP290" s="166"/>
      <c r="BQ290" s="177"/>
      <c r="BR290" s="178"/>
      <c r="BS290" s="179"/>
      <c r="BU290" s="166"/>
      <c r="BV290" s="166"/>
      <c r="BW290" s="166"/>
      <c r="BX290" s="166"/>
      <c r="BY290" s="166"/>
      <c r="BZ290" s="166"/>
      <c r="CA290" s="166"/>
      <c r="CB290" s="166"/>
      <c r="CC290" s="166"/>
      <c r="CD290" s="177"/>
      <c r="CE290" s="181"/>
      <c r="CF290" s="177"/>
      <c r="CG290" s="179"/>
      <c r="CH290" s="257"/>
      <c r="CI290" s="182"/>
      <c r="CJ290" s="177"/>
      <c r="CK290" s="182"/>
      <c r="CL290" s="177"/>
      <c r="CM290" s="182"/>
      <c r="CN290" s="177"/>
      <c r="CO290" s="182"/>
      <c r="CP290" s="177"/>
      <c r="CQ290" s="178"/>
      <c r="CR290" s="182"/>
      <c r="CS290" s="173"/>
      <c r="CT290" s="65"/>
      <c r="CU290" s="255" t="str">
        <f t="shared" si="2"/>
        <v/>
      </c>
    </row>
    <row r="291" ht="60.0" hidden="1" customHeight="1">
      <c r="A291" s="65"/>
      <c r="C291" s="167"/>
      <c r="D291" s="205"/>
      <c r="E291" s="262"/>
      <c r="F291" s="170"/>
      <c r="G291" s="170"/>
      <c r="H291" s="170"/>
      <c r="I291" s="170"/>
      <c r="J291" s="170"/>
      <c r="K291" s="171"/>
      <c r="L291" s="171"/>
      <c r="M291" s="171"/>
      <c r="N291" s="209"/>
      <c r="O291" s="172">
        <f t="shared" si="53"/>
        <v>0</v>
      </c>
      <c r="P291" s="166"/>
      <c r="Q291" s="173"/>
      <c r="R291" s="65"/>
      <c r="S291" s="173"/>
      <c r="T291" s="173"/>
      <c r="U291" s="166"/>
      <c r="V291" s="166"/>
      <c r="W291" s="65"/>
      <c r="X291" s="66"/>
      <c r="Y291" s="173"/>
      <c r="Z291" s="166"/>
      <c r="AA291" s="174"/>
      <c r="AB291" s="175"/>
      <c r="AC291" s="175"/>
      <c r="AD291" s="175"/>
      <c r="AE291" s="175"/>
      <c r="AF291" s="175"/>
      <c r="AG291" s="175"/>
      <c r="AH291" s="175"/>
      <c r="AI291" s="176"/>
      <c r="AJ291" s="177"/>
      <c r="AK291" s="178"/>
      <c r="AL291" s="178"/>
      <c r="AM291" s="178"/>
      <c r="AN291" s="178"/>
      <c r="AO291" s="179"/>
      <c r="AP291" s="64"/>
      <c r="AQ291" s="65"/>
      <c r="AR291" s="65"/>
      <c r="AS291" s="65"/>
      <c r="AT291" s="173"/>
      <c r="AU291" s="177"/>
      <c r="AV291" s="178"/>
      <c r="AW291" s="178"/>
      <c r="AX291" s="179"/>
      <c r="AZ291" s="166"/>
      <c r="BA291" s="177"/>
      <c r="BB291" s="178"/>
      <c r="BC291" s="178"/>
      <c r="BD291" s="178"/>
      <c r="BE291" s="178"/>
      <c r="BF291" s="178"/>
      <c r="BG291" s="178"/>
      <c r="BH291" s="178"/>
      <c r="BI291" s="179"/>
      <c r="BJ291" s="180"/>
      <c r="BK291" s="178"/>
      <c r="BL291" s="178"/>
      <c r="BM291" s="178"/>
      <c r="BN291" s="178"/>
      <c r="BO291" s="181"/>
      <c r="BP291" s="166"/>
      <c r="BQ291" s="177"/>
      <c r="BR291" s="178"/>
      <c r="BS291" s="179"/>
      <c r="BU291" s="166"/>
      <c r="BV291" s="166"/>
      <c r="BW291" s="166"/>
      <c r="BX291" s="166"/>
      <c r="BY291" s="166"/>
      <c r="BZ291" s="166"/>
      <c r="CA291" s="166"/>
      <c r="CB291" s="166"/>
      <c r="CC291" s="166"/>
      <c r="CD291" s="177"/>
      <c r="CE291" s="181"/>
      <c r="CF291" s="177"/>
      <c r="CG291" s="179"/>
      <c r="CH291" s="257"/>
      <c r="CI291" s="182"/>
      <c r="CJ291" s="177"/>
      <c r="CK291" s="182"/>
      <c r="CL291" s="177"/>
      <c r="CM291" s="182"/>
      <c r="CN291" s="177"/>
      <c r="CO291" s="182"/>
      <c r="CP291" s="177"/>
      <c r="CQ291" s="178"/>
      <c r="CR291" s="182"/>
      <c r="CS291" s="173"/>
      <c r="CT291" s="65"/>
      <c r="CU291" s="255" t="str">
        <f t="shared" si="2"/>
        <v/>
      </c>
    </row>
    <row r="292" ht="60.0" hidden="1" customHeight="1">
      <c r="A292" s="65"/>
      <c r="C292" s="167"/>
      <c r="D292" s="205"/>
      <c r="E292" s="262"/>
      <c r="F292" s="170"/>
      <c r="G292" s="170"/>
      <c r="H292" s="170"/>
      <c r="I292" s="170"/>
      <c r="J292" s="170"/>
      <c r="K292" s="171"/>
      <c r="L292" s="171"/>
      <c r="M292" s="171"/>
      <c r="N292" s="209"/>
      <c r="O292" s="172">
        <f t="shared" si="53"/>
        <v>0</v>
      </c>
      <c r="P292" s="166"/>
      <c r="Q292" s="173"/>
      <c r="R292" s="65"/>
      <c r="S292" s="173"/>
      <c r="T292" s="173"/>
      <c r="U292" s="166"/>
      <c r="V292" s="166"/>
      <c r="W292" s="65"/>
      <c r="X292" s="66"/>
      <c r="Y292" s="173"/>
      <c r="Z292" s="166"/>
      <c r="AA292" s="174"/>
      <c r="AB292" s="175"/>
      <c r="AC292" s="175"/>
      <c r="AD292" s="175"/>
      <c r="AE292" s="175"/>
      <c r="AF292" s="175"/>
      <c r="AG292" s="175"/>
      <c r="AH292" s="175"/>
      <c r="AI292" s="176"/>
      <c r="AJ292" s="177"/>
      <c r="AK292" s="178"/>
      <c r="AL292" s="178"/>
      <c r="AM292" s="178"/>
      <c r="AN292" s="178"/>
      <c r="AO292" s="179"/>
      <c r="AP292" s="64"/>
      <c r="AQ292" s="65"/>
      <c r="AR292" s="65"/>
      <c r="AS292" s="65"/>
      <c r="AT292" s="173"/>
      <c r="AU292" s="177"/>
      <c r="AV292" s="178"/>
      <c r="AW292" s="178"/>
      <c r="AX292" s="179"/>
      <c r="AZ292" s="166"/>
      <c r="BA292" s="177"/>
      <c r="BB292" s="178"/>
      <c r="BC292" s="178"/>
      <c r="BD292" s="178"/>
      <c r="BE292" s="178"/>
      <c r="BF292" s="178"/>
      <c r="BG292" s="178"/>
      <c r="BH292" s="178"/>
      <c r="BI292" s="179"/>
      <c r="BJ292" s="180"/>
      <c r="BK292" s="178"/>
      <c r="BL292" s="178"/>
      <c r="BM292" s="178"/>
      <c r="BN292" s="178"/>
      <c r="BO292" s="181"/>
      <c r="BP292" s="166"/>
      <c r="BQ292" s="177"/>
      <c r="BR292" s="178"/>
      <c r="BS292" s="179"/>
      <c r="BU292" s="166"/>
      <c r="BV292" s="166"/>
      <c r="BW292" s="166"/>
      <c r="BX292" s="166"/>
      <c r="BY292" s="166"/>
      <c r="BZ292" s="166"/>
      <c r="CA292" s="166"/>
      <c r="CB292" s="166"/>
      <c r="CC292" s="166"/>
      <c r="CD292" s="177"/>
      <c r="CE292" s="181"/>
      <c r="CF292" s="177"/>
      <c r="CG292" s="179"/>
      <c r="CH292" s="257"/>
      <c r="CI292" s="182"/>
      <c r="CJ292" s="177"/>
      <c r="CK292" s="182"/>
      <c r="CL292" s="177"/>
      <c r="CM292" s="182"/>
      <c r="CN292" s="177"/>
      <c r="CO292" s="182"/>
      <c r="CP292" s="177"/>
      <c r="CQ292" s="178"/>
      <c r="CR292" s="182"/>
      <c r="CS292" s="173"/>
      <c r="CT292" s="65"/>
      <c r="CU292" s="255" t="str">
        <f t="shared" si="2"/>
        <v/>
      </c>
    </row>
    <row r="293" ht="60.0" hidden="1" customHeight="1">
      <c r="A293" s="89"/>
      <c r="B293" s="6"/>
      <c r="C293" s="183"/>
      <c r="D293" s="210"/>
      <c r="E293" s="263"/>
      <c r="F293" s="186"/>
      <c r="G293" s="186"/>
      <c r="H293" s="186"/>
      <c r="I293" s="186"/>
      <c r="J293" s="186"/>
      <c r="K293" s="187"/>
      <c r="L293" s="187"/>
      <c r="M293" s="187"/>
      <c r="N293" s="214"/>
      <c r="O293" s="188">
        <f t="shared" ref="O293:O315" si="54">IF(AND(M293&lt;&gt;0,M293&lt;&gt;"m",M293&lt;&gt;"",RIGHT(K293,3)="Lec"),1,IF(AND(M293&lt;&gt;0,M293&lt;&gt;"m",M293&lt;&gt;"",OR(RIGHT(K293,3)="Lab",RIGHT(K293,3)="Tut")),0.5,IF(AND(M293&lt;&gt;0,M293&lt;&gt;"m",M293&lt;&gt;"",RIGHT(K293,2)="TL"),0.75,0)))</f>
        <v>0</v>
      </c>
      <c r="P293" s="63"/>
      <c r="Q293" s="69"/>
      <c r="R293" s="89"/>
      <c r="S293" s="69"/>
      <c r="T293" s="69"/>
      <c r="U293" s="63"/>
      <c r="V293" s="63"/>
      <c r="W293" s="89"/>
      <c r="X293" s="68"/>
      <c r="Y293" s="69"/>
      <c r="Z293" s="63"/>
      <c r="AA293" s="189"/>
      <c r="AB293" s="190"/>
      <c r="AC293" s="190"/>
      <c r="AD293" s="190"/>
      <c r="AE293" s="190"/>
      <c r="AF293" s="190"/>
      <c r="AG293" s="190"/>
      <c r="AH293" s="190"/>
      <c r="AI293" s="191"/>
      <c r="AJ293" s="192"/>
      <c r="AK293" s="193"/>
      <c r="AL293" s="193"/>
      <c r="AM293" s="193"/>
      <c r="AN293" s="193"/>
      <c r="AO293" s="194"/>
      <c r="AP293" s="103"/>
      <c r="AQ293" s="89"/>
      <c r="AR293" s="89"/>
      <c r="AS293" s="89"/>
      <c r="AT293" s="69"/>
      <c r="AU293" s="192"/>
      <c r="AV293" s="193"/>
      <c r="AW293" s="193"/>
      <c r="AX293" s="194"/>
      <c r="AY293" s="6"/>
      <c r="AZ293" s="63"/>
      <c r="BA293" s="192"/>
      <c r="BB293" s="193"/>
      <c r="BC293" s="193"/>
      <c r="BD293" s="193"/>
      <c r="BE293" s="193"/>
      <c r="BF293" s="193"/>
      <c r="BG293" s="193"/>
      <c r="BH293" s="193"/>
      <c r="BI293" s="194"/>
      <c r="BJ293" s="195"/>
      <c r="BK293" s="193"/>
      <c r="BL293" s="193"/>
      <c r="BM293" s="193"/>
      <c r="BN293" s="193"/>
      <c r="BO293" s="196"/>
      <c r="BP293" s="63"/>
      <c r="BQ293" s="192"/>
      <c r="BR293" s="193"/>
      <c r="BS293" s="194"/>
      <c r="BT293" s="6"/>
      <c r="BU293" s="63"/>
      <c r="BV293" s="63"/>
      <c r="BW293" s="63"/>
      <c r="BX293" s="63"/>
      <c r="BY293" s="63"/>
      <c r="BZ293" s="63"/>
      <c r="CA293" s="63"/>
      <c r="CB293" s="63"/>
      <c r="CC293" s="63"/>
      <c r="CD293" s="192"/>
      <c r="CE293" s="196"/>
      <c r="CF293" s="192"/>
      <c r="CG293" s="194"/>
      <c r="CH293" s="259"/>
      <c r="CI293" s="197"/>
      <c r="CJ293" s="192"/>
      <c r="CK293" s="197"/>
      <c r="CL293" s="192"/>
      <c r="CM293" s="197"/>
      <c r="CN293" s="192"/>
      <c r="CO293" s="197"/>
      <c r="CP293" s="192"/>
      <c r="CQ293" s="193"/>
      <c r="CR293" s="197"/>
      <c r="CS293" s="69"/>
      <c r="CT293" s="89"/>
      <c r="CU293" s="255" t="str">
        <f t="shared" si="2"/>
        <v/>
      </c>
    </row>
    <row r="294" ht="56.25" hidden="1" customHeight="1">
      <c r="A294" s="125">
        <v>27.0</v>
      </c>
      <c r="B294" s="199"/>
      <c r="C294" s="127"/>
      <c r="D294" s="128"/>
      <c r="E294" s="260"/>
      <c r="F294" s="261"/>
      <c r="G294" s="261"/>
      <c r="H294" s="261"/>
      <c r="I294" s="261"/>
      <c r="J294" s="170"/>
      <c r="K294" s="219"/>
      <c r="L294" s="219"/>
      <c r="M294" s="219"/>
      <c r="N294" s="220"/>
      <c r="O294" s="132">
        <f t="shared" si="54"/>
        <v>0</v>
      </c>
      <c r="P294" s="133">
        <f>COUNTIF(K294:K304,"TL")*0.75+COUNTIF(K294:K304,"Lec")*1+COUNTIF(K294:K304,"Lab")*0.5</f>
        <v>0</v>
      </c>
      <c r="Q294" s="134">
        <f>SUM((IF(LEFT(K294,1)="E",O294,0)),(IF(LEFT(K295,1)="E",O295,0)),(IF(LEFT(K296,1)="E",O296,0)),(IF(LEFT(K297,1)="E",O297,0)),(IF(LEFT(K298,1)="E",O298,0)),(IF(LEFT(K299,1)="E",O299,0)),(IF(LEFT(K300,1)="E",O300,0)),(IF(LEFT(K301,1)="E",O301,0)),(IF(LEFT(K302,1)="E",O302,0)),(IF(LEFT(K303,1)="E",O303,0)),(IF(LEFT(K304,1)="E",O304,0)))</f>
        <v>0</v>
      </c>
      <c r="R294" s="135">
        <f>SUM(IF(M300&lt;20,IF(K300="Plec",-1,IF(K300="PTL",-0.75,IF(K300="Plab",-0.5,0))),0),IF(M301&lt;20,IF(K301="Plec",-1,IF(K301="PTL",-0.75,IF(K301="Plab",-0.5,0))),0),IF(M302&lt;20,IF(K302="Plec",-1,IF(K302="PTL",-0.75,IF(K302="Plab",-0.5,0))),0),IF(M303&lt;20,IF(K303="Plec",-1,IF(K303="PTL",-0.75,IF(K303="Plab",-0.5,0))),0))</f>
        <v>0</v>
      </c>
      <c r="S294" s="134">
        <f>SUM(P294:R304)</f>
        <v>0</v>
      </c>
      <c r="T294" s="136">
        <f>SUM(IF(M294="M",IF(OR(K294="lec",K294="plec",K294="slec"),1,IF(OR(K294="lab",K294="plab",K294="slab",K294="tut",K294="ptut",K294="stut"),0.5,IF(OR(K294="TL",K294="pTL",K294="STL"),0.75,0))),0),IF(M295="M",IF(OR(K295="lec",K295="plec",K295="slec"),1,IF(OR(K295="lab",K295="plab",K295="slab",K295="tut",K295="ptut",K295="stut"),0.5,IF(OR(K295="TL",K295="pTL",K295="STL"),0.75,0))),0),IF(M296="M",IF(OR(K296="lec",K296="plec",K296="slec"),1,IF(OR(K296="lab",K296="plab",K296="slab",K296="tut",K296="ptut",K296="stut"),0.5,IF(OR(K296="TL",K296="pTL",K296="STL"),0.75,0))),0),IF(M297="M",IF(OR(K297="lec",K297="plec",K297="slec"),1,IF(OR(K297="lab",K297="plab",K297="slab",K297="tut",K297="ptut",K297="stut"),0.5,IF(OR(K297="TL",K297="pTL",K297="STL"),0.75,0))),0),IF(M298="M",IF(OR(K298="lec",K298="plec",K298="slec"),1,IF(OR(K298="lab",K298="plab",K298="slab",K298="tut",K298="ptut",K298="stut"),0.5,IF(OR(K298="TL",K298="pTL",K298="STL"),0.75,0))),0),IF(M299="M",IF(OR(K299="lec",K299="plec",K299="slec"),1,IF(OR(K299="lab",K299="plab",K299="slab",K299="tut",K299="ptut",K299="stut"),0.5,IF(OR(K299="TL",K299="pTL",K299="STL"),0.75,0))),0),IF(M300="M",IF(OR(K300="lec",K300="plec",K300="slec"),1,IF(OR(K300="lab",K300="plab",K300="slab",K300="tut",K300="ptut",K300="stut"),0.5,IF(OR(K300="TL",K300="pTL",K300="STL"),0.75,0))),0),IF(M301="M",IF(OR(K301="lec",K301="plec",K301="slec"),1,IF(OR(K301="lab",K301="plab",K301="slab",K301="tut",K301="ptut",K301="stut"),0.5,IF(OR(K301="TL",K301="pTL",K301="STL"),0.75,0))),0),IF(M302="M",IF(OR(K302="lec",K302="plec",K302="slec"),1,IF(OR(K302="lab",K302="plab",K302="slab",K302="tut",K302="ptut",K302="stut"),0.5,IF(OR(K302="TL",K302="pTL",K302="STL"),0.75,0))),0),IF(M303="M",IF(OR(K303="lec",K303="plec",K303="slec"),1,IF(OR(K303="lab",K303="plab",K303="slab",K303="tut",K303="ptut",K303="stut"),0.5,IF(OR(K303="TL",K303="pTL",K303="STL"),0.75,0))),0),IF(M304="M",IF(OR(K304="lec",K304="plec",K304="slec"),1,IF(OR(K304="lab",K304="plab",K304="slab",K304="tut",K304="ptut",K304="stut"),0.5,IF(OR(K304="TL",K304="pTL",K304="STL"),0.75,0))),0))</f>
        <v>0</v>
      </c>
      <c r="U294" s="137"/>
      <c r="V294" s="133"/>
      <c r="W294" s="138"/>
      <c r="X294" s="139">
        <f>S294-(T294+U294+V294+W294)</f>
        <v>0</v>
      </c>
      <c r="Y294" s="134" t="str">
        <f>CONCATENATE(SUM(O294:O304),"(",SUM(O294:O304)-X294,")")</f>
        <v>0(0)</v>
      </c>
      <c r="Z294" s="140"/>
      <c r="AA294" s="141"/>
      <c r="AB294" s="142"/>
      <c r="AC294" s="142"/>
      <c r="AD294" s="142"/>
      <c r="AE294" s="142"/>
      <c r="AF294" s="142"/>
      <c r="AG294" s="142"/>
      <c r="AH294" s="142"/>
      <c r="AI294" s="143"/>
      <c r="AJ294" s="144"/>
      <c r="AK294" s="145"/>
      <c r="AL294" s="145"/>
      <c r="AM294" s="145"/>
      <c r="AN294" s="145"/>
      <c r="AO294" s="146"/>
      <c r="AP294" s="147">
        <f>SUM(SUM(O294:O304),SUM(AI294:AI304)/2,AM294)</f>
        <v>0</v>
      </c>
      <c r="AQ294" s="148"/>
      <c r="AR294" s="148">
        <f>AP294*AQ294</f>
        <v>0</v>
      </c>
      <c r="AS294" s="148">
        <f>CT294</f>
        <v>0</v>
      </c>
      <c r="AT294" s="149">
        <f>AR294*0.75+AS294*0.25</f>
        <v>0</v>
      </c>
      <c r="AU294" s="150"/>
      <c r="AV294" s="151"/>
      <c r="AW294" s="151"/>
      <c r="AX294" s="152"/>
      <c r="AY294" s="153"/>
      <c r="AZ294" s="140"/>
      <c r="BA294" s="150"/>
      <c r="BB294" s="151"/>
      <c r="BC294" s="151"/>
      <c r="BD294" s="151"/>
      <c r="BE294" s="151"/>
      <c r="BF294" s="151"/>
      <c r="BG294" s="151"/>
      <c r="BH294" s="151"/>
      <c r="BI294" s="152"/>
      <c r="BJ294" s="154"/>
      <c r="BK294" s="151"/>
      <c r="BL294" s="151"/>
      <c r="BM294" s="151"/>
      <c r="BN294" s="151"/>
      <c r="BO294" s="155"/>
      <c r="BP294" s="140"/>
      <c r="BQ294" s="156"/>
      <c r="BR294" s="157"/>
      <c r="BS294" s="158"/>
      <c r="BT294" s="153"/>
      <c r="BU294" s="140"/>
      <c r="BV294" s="140"/>
      <c r="BW294" s="140"/>
      <c r="BX294" s="140"/>
      <c r="BY294" s="140"/>
      <c r="BZ294" s="140"/>
      <c r="CA294" s="140"/>
      <c r="CB294" s="140"/>
      <c r="CC294" s="140"/>
      <c r="CD294" s="150"/>
      <c r="CE294" s="155"/>
      <c r="CF294" s="150"/>
      <c r="CG294" s="152"/>
      <c r="CH294" s="252"/>
      <c r="CI294" s="160"/>
      <c r="CJ294" s="159"/>
      <c r="CK294" s="160"/>
      <c r="CL294" s="159"/>
      <c r="CM294" s="160"/>
      <c r="CN294" s="159"/>
      <c r="CO294" s="160"/>
      <c r="CP294" s="159"/>
      <c r="CQ294" s="162"/>
      <c r="CR294" s="160"/>
      <c r="CS294" s="253">
        <f>SUM(IF(AU294&lt;0,ABS(AU294),0),IF(AZ294&lt;0,ABS(AZ294),0),ABS(CI294),ABS(CK294),ABS(CM294),ABS(CO294),ABS(CQ294),ABS(CR294))</f>
        <v>0</v>
      </c>
      <c r="CT294" s="254">
        <f>SUM(AU294,AV294,AW294,AX294/400,AY294,AZ294,BG294,BH294*0.5,BI294*0.25,BJ294,BK294,BL294,BM294,BN294,BO294,BP294,BR294/20,BS294/100,BT294/60,BU294,BV294,BW294,BX294/5,SUM(BY294:CC304)/3,CE294,CG294/3,CI294,CK294,CM294,CO294,CQ294,CR294)</f>
        <v>0</v>
      </c>
      <c r="CU294" s="255" t="str">
        <f t="shared" si="2"/>
        <v/>
      </c>
    </row>
    <row r="295" ht="60.0" hidden="1" customHeight="1">
      <c r="A295" s="65"/>
      <c r="C295" s="167"/>
      <c r="D295" s="205"/>
      <c r="E295" s="262"/>
      <c r="F295" s="170"/>
      <c r="G295" s="170"/>
      <c r="H295" s="170"/>
      <c r="I295" s="170"/>
      <c r="J295" s="170"/>
      <c r="K295" s="171"/>
      <c r="L295" s="171"/>
      <c r="M295" s="171"/>
      <c r="N295" s="209"/>
      <c r="O295" s="172">
        <f t="shared" si="54"/>
        <v>0</v>
      </c>
      <c r="P295" s="166"/>
      <c r="Q295" s="173"/>
      <c r="R295" s="65"/>
      <c r="S295" s="173"/>
      <c r="T295" s="173"/>
      <c r="U295" s="166"/>
      <c r="V295" s="166"/>
      <c r="W295" s="65"/>
      <c r="X295" s="66"/>
      <c r="Y295" s="173"/>
      <c r="Z295" s="166"/>
      <c r="AA295" s="174"/>
      <c r="AB295" s="175"/>
      <c r="AC295" s="175"/>
      <c r="AD295" s="175"/>
      <c r="AE295" s="175"/>
      <c r="AF295" s="175"/>
      <c r="AG295" s="175"/>
      <c r="AH295" s="175"/>
      <c r="AI295" s="176"/>
      <c r="AJ295" s="177"/>
      <c r="AK295" s="178"/>
      <c r="AL295" s="178"/>
      <c r="AM295" s="178"/>
      <c r="AN295" s="178"/>
      <c r="AO295" s="179"/>
      <c r="AP295" s="64"/>
      <c r="AQ295" s="65"/>
      <c r="AR295" s="65"/>
      <c r="AS295" s="65"/>
      <c r="AT295" s="173"/>
      <c r="AU295" s="177"/>
      <c r="AV295" s="178"/>
      <c r="AW295" s="178"/>
      <c r="AX295" s="179"/>
      <c r="AZ295" s="166"/>
      <c r="BA295" s="177"/>
      <c r="BB295" s="178"/>
      <c r="BC295" s="178"/>
      <c r="BD295" s="178"/>
      <c r="BE295" s="178"/>
      <c r="BF295" s="178"/>
      <c r="BG295" s="178"/>
      <c r="BH295" s="178"/>
      <c r="BI295" s="179"/>
      <c r="BJ295" s="180"/>
      <c r="BK295" s="178"/>
      <c r="BL295" s="178"/>
      <c r="BM295" s="178"/>
      <c r="BN295" s="178"/>
      <c r="BO295" s="181"/>
      <c r="BP295" s="166"/>
      <c r="BQ295" s="177"/>
      <c r="BR295" s="178"/>
      <c r="BS295" s="179"/>
      <c r="BU295" s="166"/>
      <c r="BV295" s="166"/>
      <c r="BW295" s="166"/>
      <c r="BX295" s="166"/>
      <c r="BY295" s="166"/>
      <c r="BZ295" s="166"/>
      <c r="CA295" s="166"/>
      <c r="CB295" s="166"/>
      <c r="CC295" s="166"/>
      <c r="CD295" s="177"/>
      <c r="CE295" s="181"/>
      <c r="CF295" s="177"/>
      <c r="CG295" s="179"/>
      <c r="CH295" s="257"/>
      <c r="CI295" s="182"/>
      <c r="CJ295" s="177"/>
      <c r="CK295" s="182"/>
      <c r="CL295" s="177"/>
      <c r="CM295" s="182"/>
      <c r="CN295" s="177"/>
      <c r="CO295" s="182"/>
      <c r="CP295" s="177"/>
      <c r="CQ295" s="178"/>
      <c r="CR295" s="182"/>
      <c r="CS295" s="173"/>
      <c r="CT295" s="65"/>
      <c r="CU295" s="255" t="str">
        <f t="shared" si="2"/>
        <v/>
      </c>
    </row>
    <row r="296" ht="60.0" hidden="1" customHeight="1">
      <c r="A296" s="65"/>
      <c r="C296" s="167"/>
      <c r="D296" s="205"/>
      <c r="E296" s="262"/>
      <c r="F296" s="170"/>
      <c r="G296" s="170"/>
      <c r="H296" s="170"/>
      <c r="I296" s="170"/>
      <c r="J296" s="170"/>
      <c r="K296" s="171"/>
      <c r="L296" s="171"/>
      <c r="M296" s="171"/>
      <c r="N296" s="209"/>
      <c r="O296" s="172">
        <f t="shared" si="54"/>
        <v>0</v>
      </c>
      <c r="P296" s="166"/>
      <c r="Q296" s="173"/>
      <c r="R296" s="65"/>
      <c r="S296" s="173"/>
      <c r="T296" s="173"/>
      <c r="U296" s="166"/>
      <c r="V296" s="166"/>
      <c r="W296" s="65"/>
      <c r="X296" s="66"/>
      <c r="Y296" s="173"/>
      <c r="Z296" s="166"/>
      <c r="AA296" s="174"/>
      <c r="AB296" s="175"/>
      <c r="AC296" s="175"/>
      <c r="AD296" s="175"/>
      <c r="AE296" s="175"/>
      <c r="AF296" s="175"/>
      <c r="AG296" s="175"/>
      <c r="AH296" s="175"/>
      <c r="AI296" s="176"/>
      <c r="AJ296" s="177"/>
      <c r="AK296" s="178"/>
      <c r="AL296" s="178"/>
      <c r="AM296" s="178"/>
      <c r="AN296" s="178"/>
      <c r="AO296" s="179"/>
      <c r="AP296" s="64"/>
      <c r="AQ296" s="65"/>
      <c r="AR296" s="65"/>
      <c r="AS296" s="65"/>
      <c r="AT296" s="173"/>
      <c r="AU296" s="177"/>
      <c r="AV296" s="178"/>
      <c r="AW296" s="178"/>
      <c r="AX296" s="179"/>
      <c r="AZ296" s="166"/>
      <c r="BA296" s="177"/>
      <c r="BB296" s="178"/>
      <c r="BC296" s="178"/>
      <c r="BD296" s="178"/>
      <c r="BE296" s="178"/>
      <c r="BF296" s="178"/>
      <c r="BG296" s="178"/>
      <c r="BH296" s="178"/>
      <c r="BI296" s="179"/>
      <c r="BJ296" s="180"/>
      <c r="BK296" s="178"/>
      <c r="BL296" s="178"/>
      <c r="BM296" s="178"/>
      <c r="BN296" s="178"/>
      <c r="BO296" s="181"/>
      <c r="BP296" s="166"/>
      <c r="BQ296" s="177"/>
      <c r="BR296" s="178"/>
      <c r="BS296" s="179"/>
      <c r="BU296" s="166"/>
      <c r="BV296" s="166"/>
      <c r="BW296" s="166"/>
      <c r="BX296" s="166"/>
      <c r="BY296" s="166"/>
      <c r="BZ296" s="166"/>
      <c r="CA296" s="166"/>
      <c r="CB296" s="166"/>
      <c r="CC296" s="166"/>
      <c r="CD296" s="177"/>
      <c r="CE296" s="181"/>
      <c r="CF296" s="177"/>
      <c r="CG296" s="179"/>
      <c r="CH296" s="257"/>
      <c r="CI296" s="182"/>
      <c r="CJ296" s="177"/>
      <c r="CK296" s="182"/>
      <c r="CL296" s="177"/>
      <c r="CM296" s="182"/>
      <c r="CN296" s="177"/>
      <c r="CO296" s="182"/>
      <c r="CP296" s="177"/>
      <c r="CQ296" s="178"/>
      <c r="CR296" s="182"/>
      <c r="CS296" s="173"/>
      <c r="CT296" s="65"/>
      <c r="CU296" s="255" t="str">
        <f t="shared" si="2"/>
        <v/>
      </c>
    </row>
    <row r="297" ht="60.0" hidden="1" customHeight="1">
      <c r="A297" s="65"/>
      <c r="C297" s="167"/>
      <c r="D297" s="205"/>
      <c r="E297" s="262"/>
      <c r="F297" s="170"/>
      <c r="G297" s="170"/>
      <c r="H297" s="170"/>
      <c r="I297" s="170"/>
      <c r="J297" s="170"/>
      <c r="K297" s="171"/>
      <c r="L297" s="171"/>
      <c r="M297" s="171"/>
      <c r="N297" s="209"/>
      <c r="O297" s="172">
        <f t="shared" si="54"/>
        <v>0</v>
      </c>
      <c r="P297" s="166"/>
      <c r="Q297" s="173"/>
      <c r="R297" s="65"/>
      <c r="S297" s="173"/>
      <c r="T297" s="173"/>
      <c r="U297" s="166"/>
      <c r="V297" s="166"/>
      <c r="W297" s="65"/>
      <c r="X297" s="66"/>
      <c r="Y297" s="173"/>
      <c r="Z297" s="166"/>
      <c r="AA297" s="174"/>
      <c r="AB297" s="175"/>
      <c r="AC297" s="175"/>
      <c r="AD297" s="175"/>
      <c r="AE297" s="175"/>
      <c r="AF297" s="175"/>
      <c r="AG297" s="175"/>
      <c r="AH297" s="175"/>
      <c r="AI297" s="176"/>
      <c r="AJ297" s="177"/>
      <c r="AK297" s="178"/>
      <c r="AL297" s="178"/>
      <c r="AM297" s="178"/>
      <c r="AN297" s="178"/>
      <c r="AO297" s="179"/>
      <c r="AP297" s="64"/>
      <c r="AQ297" s="65"/>
      <c r="AR297" s="65"/>
      <c r="AS297" s="65"/>
      <c r="AT297" s="173"/>
      <c r="AU297" s="177"/>
      <c r="AV297" s="178"/>
      <c r="AW297" s="178"/>
      <c r="AX297" s="179"/>
      <c r="AZ297" s="166"/>
      <c r="BA297" s="177"/>
      <c r="BB297" s="178"/>
      <c r="BC297" s="178"/>
      <c r="BD297" s="178"/>
      <c r="BE297" s="178"/>
      <c r="BF297" s="178"/>
      <c r="BG297" s="178"/>
      <c r="BH297" s="178"/>
      <c r="BI297" s="179"/>
      <c r="BJ297" s="180"/>
      <c r="BK297" s="178"/>
      <c r="BL297" s="178"/>
      <c r="BM297" s="178"/>
      <c r="BN297" s="178"/>
      <c r="BO297" s="181"/>
      <c r="BP297" s="166"/>
      <c r="BQ297" s="177"/>
      <c r="BR297" s="178"/>
      <c r="BS297" s="179"/>
      <c r="BU297" s="166"/>
      <c r="BV297" s="166"/>
      <c r="BW297" s="166"/>
      <c r="BX297" s="166"/>
      <c r="BY297" s="166"/>
      <c r="BZ297" s="166"/>
      <c r="CA297" s="166"/>
      <c r="CB297" s="166"/>
      <c r="CC297" s="166"/>
      <c r="CD297" s="177"/>
      <c r="CE297" s="181"/>
      <c r="CF297" s="177"/>
      <c r="CG297" s="179"/>
      <c r="CH297" s="257"/>
      <c r="CI297" s="182"/>
      <c r="CJ297" s="177"/>
      <c r="CK297" s="182"/>
      <c r="CL297" s="177"/>
      <c r="CM297" s="182"/>
      <c r="CN297" s="177"/>
      <c r="CO297" s="182"/>
      <c r="CP297" s="177"/>
      <c r="CQ297" s="178"/>
      <c r="CR297" s="182"/>
      <c r="CS297" s="173"/>
      <c r="CT297" s="65"/>
      <c r="CU297" s="255" t="str">
        <f t="shared" si="2"/>
        <v/>
      </c>
    </row>
    <row r="298" ht="60.0" hidden="1" customHeight="1">
      <c r="A298" s="65"/>
      <c r="C298" s="167"/>
      <c r="D298" s="205"/>
      <c r="E298" s="262"/>
      <c r="F298" s="170"/>
      <c r="G298" s="170"/>
      <c r="H298" s="170"/>
      <c r="I298" s="170"/>
      <c r="J298" s="170"/>
      <c r="K298" s="171"/>
      <c r="L298" s="171"/>
      <c r="M298" s="171"/>
      <c r="N298" s="209"/>
      <c r="O298" s="172">
        <f t="shared" si="54"/>
        <v>0</v>
      </c>
      <c r="P298" s="166"/>
      <c r="Q298" s="173"/>
      <c r="R298" s="65"/>
      <c r="S298" s="173"/>
      <c r="T298" s="173"/>
      <c r="U298" s="166"/>
      <c r="V298" s="166"/>
      <c r="W298" s="65"/>
      <c r="X298" s="66"/>
      <c r="Y298" s="173"/>
      <c r="Z298" s="166"/>
      <c r="AA298" s="174"/>
      <c r="AB298" s="175"/>
      <c r="AC298" s="175"/>
      <c r="AD298" s="175"/>
      <c r="AE298" s="175"/>
      <c r="AF298" s="175"/>
      <c r="AG298" s="175"/>
      <c r="AH298" s="175"/>
      <c r="AI298" s="176"/>
      <c r="AJ298" s="177"/>
      <c r="AK298" s="178"/>
      <c r="AL298" s="178"/>
      <c r="AM298" s="178"/>
      <c r="AN298" s="178"/>
      <c r="AO298" s="179"/>
      <c r="AP298" s="64"/>
      <c r="AQ298" s="65"/>
      <c r="AR298" s="65"/>
      <c r="AS298" s="65"/>
      <c r="AT298" s="173"/>
      <c r="AU298" s="177"/>
      <c r="AV298" s="178"/>
      <c r="AW298" s="178"/>
      <c r="AX298" s="179"/>
      <c r="AZ298" s="166"/>
      <c r="BA298" s="177"/>
      <c r="BB298" s="178"/>
      <c r="BC298" s="178"/>
      <c r="BD298" s="178"/>
      <c r="BE298" s="178"/>
      <c r="BF298" s="178"/>
      <c r="BG298" s="178"/>
      <c r="BH298" s="178"/>
      <c r="BI298" s="179"/>
      <c r="BJ298" s="180"/>
      <c r="BK298" s="178"/>
      <c r="BL298" s="178"/>
      <c r="BM298" s="178"/>
      <c r="BN298" s="178"/>
      <c r="BO298" s="181"/>
      <c r="BP298" s="166"/>
      <c r="BQ298" s="177"/>
      <c r="BR298" s="178"/>
      <c r="BS298" s="179"/>
      <c r="BU298" s="166"/>
      <c r="BV298" s="166"/>
      <c r="BW298" s="166"/>
      <c r="BX298" s="166"/>
      <c r="BY298" s="166"/>
      <c r="BZ298" s="166"/>
      <c r="CA298" s="166"/>
      <c r="CB298" s="166"/>
      <c r="CC298" s="166"/>
      <c r="CD298" s="177"/>
      <c r="CE298" s="181"/>
      <c r="CF298" s="177"/>
      <c r="CG298" s="179"/>
      <c r="CH298" s="257"/>
      <c r="CI298" s="182"/>
      <c r="CJ298" s="177"/>
      <c r="CK298" s="182"/>
      <c r="CL298" s="177"/>
      <c r="CM298" s="182"/>
      <c r="CN298" s="177"/>
      <c r="CO298" s="182"/>
      <c r="CP298" s="177"/>
      <c r="CQ298" s="178"/>
      <c r="CR298" s="182"/>
      <c r="CS298" s="173"/>
      <c r="CT298" s="65"/>
      <c r="CU298" s="255" t="str">
        <f t="shared" si="2"/>
        <v/>
      </c>
    </row>
    <row r="299" ht="60.0" hidden="1" customHeight="1">
      <c r="A299" s="65"/>
      <c r="C299" s="167"/>
      <c r="D299" s="205"/>
      <c r="E299" s="262"/>
      <c r="F299" s="170"/>
      <c r="G299" s="170"/>
      <c r="H299" s="170"/>
      <c r="I299" s="170"/>
      <c r="J299" s="170"/>
      <c r="K299" s="171"/>
      <c r="L299" s="171"/>
      <c r="M299" s="171"/>
      <c r="N299" s="209"/>
      <c r="O299" s="172">
        <f t="shared" si="54"/>
        <v>0</v>
      </c>
      <c r="P299" s="166"/>
      <c r="Q299" s="173"/>
      <c r="R299" s="65"/>
      <c r="S299" s="173"/>
      <c r="T299" s="173"/>
      <c r="U299" s="166"/>
      <c r="V299" s="166"/>
      <c r="W299" s="65"/>
      <c r="X299" s="66"/>
      <c r="Y299" s="173"/>
      <c r="Z299" s="166"/>
      <c r="AA299" s="174"/>
      <c r="AB299" s="175"/>
      <c r="AC299" s="175"/>
      <c r="AD299" s="175"/>
      <c r="AE299" s="175"/>
      <c r="AF299" s="175"/>
      <c r="AG299" s="175"/>
      <c r="AH299" s="175"/>
      <c r="AI299" s="176"/>
      <c r="AJ299" s="177"/>
      <c r="AK299" s="178"/>
      <c r="AL299" s="178"/>
      <c r="AM299" s="178"/>
      <c r="AN299" s="178"/>
      <c r="AO299" s="179"/>
      <c r="AP299" s="64"/>
      <c r="AQ299" s="65"/>
      <c r="AR299" s="65"/>
      <c r="AS299" s="65"/>
      <c r="AT299" s="173"/>
      <c r="AU299" s="177"/>
      <c r="AV299" s="178"/>
      <c r="AW299" s="178"/>
      <c r="AX299" s="179"/>
      <c r="AZ299" s="166"/>
      <c r="BA299" s="177"/>
      <c r="BB299" s="178"/>
      <c r="BC299" s="178"/>
      <c r="BD299" s="178"/>
      <c r="BE299" s="178"/>
      <c r="BF299" s="178"/>
      <c r="BG299" s="178"/>
      <c r="BH299" s="178"/>
      <c r="BI299" s="179"/>
      <c r="BJ299" s="180"/>
      <c r="BK299" s="178"/>
      <c r="BL299" s="178"/>
      <c r="BM299" s="178"/>
      <c r="BN299" s="178"/>
      <c r="BO299" s="181"/>
      <c r="BP299" s="166"/>
      <c r="BQ299" s="177"/>
      <c r="BR299" s="178"/>
      <c r="BS299" s="179"/>
      <c r="BU299" s="166"/>
      <c r="BV299" s="166"/>
      <c r="BW299" s="166"/>
      <c r="BX299" s="166"/>
      <c r="BY299" s="166"/>
      <c r="BZ299" s="166"/>
      <c r="CA299" s="166"/>
      <c r="CB299" s="166"/>
      <c r="CC299" s="166"/>
      <c r="CD299" s="177"/>
      <c r="CE299" s="181"/>
      <c r="CF299" s="177"/>
      <c r="CG299" s="179"/>
      <c r="CH299" s="257"/>
      <c r="CI299" s="182"/>
      <c r="CJ299" s="177"/>
      <c r="CK299" s="182"/>
      <c r="CL299" s="177"/>
      <c r="CM299" s="182"/>
      <c r="CN299" s="177"/>
      <c r="CO299" s="182"/>
      <c r="CP299" s="177"/>
      <c r="CQ299" s="178"/>
      <c r="CR299" s="182"/>
      <c r="CS299" s="173"/>
      <c r="CT299" s="65"/>
      <c r="CU299" s="255" t="str">
        <f t="shared" si="2"/>
        <v/>
      </c>
    </row>
    <row r="300" ht="60.0" hidden="1" customHeight="1">
      <c r="A300" s="65"/>
      <c r="C300" s="167"/>
      <c r="D300" s="205"/>
      <c r="E300" s="262"/>
      <c r="F300" s="170"/>
      <c r="G300" s="170"/>
      <c r="H300" s="170"/>
      <c r="I300" s="170"/>
      <c r="J300" s="170"/>
      <c r="K300" s="171"/>
      <c r="L300" s="171"/>
      <c r="M300" s="171"/>
      <c r="N300" s="209"/>
      <c r="O300" s="172">
        <f t="shared" si="54"/>
        <v>0</v>
      </c>
      <c r="P300" s="166"/>
      <c r="Q300" s="173"/>
      <c r="R300" s="65"/>
      <c r="S300" s="173"/>
      <c r="T300" s="173"/>
      <c r="U300" s="166"/>
      <c r="V300" s="166"/>
      <c r="W300" s="65"/>
      <c r="X300" s="66"/>
      <c r="Y300" s="173"/>
      <c r="Z300" s="166"/>
      <c r="AA300" s="174"/>
      <c r="AB300" s="175"/>
      <c r="AC300" s="175"/>
      <c r="AD300" s="175"/>
      <c r="AE300" s="175"/>
      <c r="AF300" s="175"/>
      <c r="AG300" s="175"/>
      <c r="AH300" s="175"/>
      <c r="AI300" s="176"/>
      <c r="AJ300" s="177"/>
      <c r="AK300" s="178"/>
      <c r="AL300" s="178"/>
      <c r="AM300" s="178"/>
      <c r="AN300" s="178"/>
      <c r="AO300" s="179"/>
      <c r="AP300" s="64"/>
      <c r="AQ300" s="65"/>
      <c r="AR300" s="65"/>
      <c r="AS300" s="65"/>
      <c r="AT300" s="173"/>
      <c r="AU300" s="177"/>
      <c r="AV300" s="178"/>
      <c r="AW300" s="178"/>
      <c r="AX300" s="179"/>
      <c r="AZ300" s="166"/>
      <c r="BA300" s="177"/>
      <c r="BB300" s="178"/>
      <c r="BC300" s="178"/>
      <c r="BD300" s="178"/>
      <c r="BE300" s="178"/>
      <c r="BF300" s="178"/>
      <c r="BG300" s="178"/>
      <c r="BH300" s="178"/>
      <c r="BI300" s="179"/>
      <c r="BJ300" s="180"/>
      <c r="BK300" s="178"/>
      <c r="BL300" s="178"/>
      <c r="BM300" s="178"/>
      <c r="BN300" s="178"/>
      <c r="BO300" s="181"/>
      <c r="BP300" s="166"/>
      <c r="BQ300" s="177"/>
      <c r="BR300" s="178"/>
      <c r="BS300" s="179"/>
      <c r="BU300" s="166"/>
      <c r="BV300" s="166"/>
      <c r="BW300" s="166"/>
      <c r="BX300" s="166"/>
      <c r="BY300" s="166"/>
      <c r="BZ300" s="166"/>
      <c r="CA300" s="166"/>
      <c r="CB300" s="166"/>
      <c r="CC300" s="166"/>
      <c r="CD300" s="177"/>
      <c r="CE300" s="181"/>
      <c r="CF300" s="177"/>
      <c r="CG300" s="179"/>
      <c r="CH300" s="257"/>
      <c r="CI300" s="182"/>
      <c r="CJ300" s="177"/>
      <c r="CK300" s="182"/>
      <c r="CL300" s="177"/>
      <c r="CM300" s="182"/>
      <c r="CN300" s="177"/>
      <c r="CO300" s="182"/>
      <c r="CP300" s="177"/>
      <c r="CQ300" s="178"/>
      <c r="CR300" s="182"/>
      <c r="CS300" s="173"/>
      <c r="CT300" s="65"/>
      <c r="CU300" s="255" t="str">
        <f t="shared" si="2"/>
        <v/>
      </c>
    </row>
    <row r="301" ht="60.0" hidden="1" customHeight="1">
      <c r="A301" s="65"/>
      <c r="C301" s="167"/>
      <c r="D301" s="205"/>
      <c r="E301" s="262"/>
      <c r="F301" s="170"/>
      <c r="G301" s="170"/>
      <c r="H301" s="170"/>
      <c r="I301" s="170"/>
      <c r="J301" s="170"/>
      <c r="K301" s="171"/>
      <c r="L301" s="171"/>
      <c r="M301" s="171"/>
      <c r="N301" s="209"/>
      <c r="O301" s="172">
        <f t="shared" si="54"/>
        <v>0</v>
      </c>
      <c r="P301" s="166"/>
      <c r="Q301" s="173"/>
      <c r="R301" s="65"/>
      <c r="S301" s="173"/>
      <c r="T301" s="173"/>
      <c r="U301" s="166"/>
      <c r="V301" s="166"/>
      <c r="W301" s="65"/>
      <c r="X301" s="66"/>
      <c r="Y301" s="173"/>
      <c r="Z301" s="166"/>
      <c r="AA301" s="174"/>
      <c r="AB301" s="175"/>
      <c r="AC301" s="175"/>
      <c r="AD301" s="175"/>
      <c r="AE301" s="175"/>
      <c r="AF301" s="175"/>
      <c r="AG301" s="175"/>
      <c r="AH301" s="175"/>
      <c r="AI301" s="176"/>
      <c r="AJ301" s="177"/>
      <c r="AK301" s="178"/>
      <c r="AL301" s="178"/>
      <c r="AM301" s="178"/>
      <c r="AN301" s="178"/>
      <c r="AO301" s="179"/>
      <c r="AP301" s="64"/>
      <c r="AQ301" s="65"/>
      <c r="AR301" s="65"/>
      <c r="AS301" s="65"/>
      <c r="AT301" s="173"/>
      <c r="AU301" s="177"/>
      <c r="AV301" s="178"/>
      <c r="AW301" s="178"/>
      <c r="AX301" s="179"/>
      <c r="AZ301" s="166"/>
      <c r="BA301" s="177"/>
      <c r="BB301" s="178"/>
      <c r="BC301" s="178"/>
      <c r="BD301" s="178"/>
      <c r="BE301" s="178"/>
      <c r="BF301" s="178"/>
      <c r="BG301" s="178"/>
      <c r="BH301" s="178"/>
      <c r="BI301" s="179"/>
      <c r="BJ301" s="180"/>
      <c r="BK301" s="178"/>
      <c r="BL301" s="178"/>
      <c r="BM301" s="178"/>
      <c r="BN301" s="178"/>
      <c r="BO301" s="181"/>
      <c r="BP301" s="166"/>
      <c r="BQ301" s="177"/>
      <c r="BR301" s="178"/>
      <c r="BS301" s="179"/>
      <c r="BU301" s="166"/>
      <c r="BV301" s="166"/>
      <c r="BW301" s="166"/>
      <c r="BX301" s="166"/>
      <c r="BY301" s="166"/>
      <c r="BZ301" s="166"/>
      <c r="CA301" s="166"/>
      <c r="CB301" s="166"/>
      <c r="CC301" s="166"/>
      <c r="CD301" s="177"/>
      <c r="CE301" s="181"/>
      <c r="CF301" s="177"/>
      <c r="CG301" s="179"/>
      <c r="CH301" s="257"/>
      <c r="CI301" s="182"/>
      <c r="CJ301" s="177"/>
      <c r="CK301" s="182"/>
      <c r="CL301" s="177"/>
      <c r="CM301" s="182"/>
      <c r="CN301" s="177"/>
      <c r="CO301" s="182"/>
      <c r="CP301" s="177"/>
      <c r="CQ301" s="178"/>
      <c r="CR301" s="182"/>
      <c r="CS301" s="173"/>
      <c r="CT301" s="65"/>
      <c r="CU301" s="255" t="str">
        <f t="shared" si="2"/>
        <v/>
      </c>
    </row>
    <row r="302" ht="60.0" hidden="1" customHeight="1">
      <c r="A302" s="65"/>
      <c r="C302" s="167"/>
      <c r="D302" s="205"/>
      <c r="E302" s="262"/>
      <c r="F302" s="170"/>
      <c r="G302" s="170"/>
      <c r="H302" s="170"/>
      <c r="I302" s="170"/>
      <c r="J302" s="170"/>
      <c r="K302" s="171"/>
      <c r="L302" s="171"/>
      <c r="M302" s="171"/>
      <c r="N302" s="209"/>
      <c r="O302" s="172">
        <f t="shared" si="54"/>
        <v>0</v>
      </c>
      <c r="P302" s="166"/>
      <c r="Q302" s="173"/>
      <c r="R302" s="65"/>
      <c r="S302" s="173"/>
      <c r="T302" s="173"/>
      <c r="U302" s="166"/>
      <c r="V302" s="166"/>
      <c r="W302" s="65"/>
      <c r="X302" s="66"/>
      <c r="Y302" s="173"/>
      <c r="Z302" s="166"/>
      <c r="AA302" s="174"/>
      <c r="AB302" s="175"/>
      <c r="AC302" s="175"/>
      <c r="AD302" s="175"/>
      <c r="AE302" s="175"/>
      <c r="AF302" s="175"/>
      <c r="AG302" s="175"/>
      <c r="AH302" s="175"/>
      <c r="AI302" s="176"/>
      <c r="AJ302" s="177"/>
      <c r="AK302" s="178"/>
      <c r="AL302" s="178"/>
      <c r="AM302" s="178"/>
      <c r="AN302" s="178"/>
      <c r="AO302" s="179"/>
      <c r="AP302" s="64"/>
      <c r="AQ302" s="65"/>
      <c r="AR302" s="65"/>
      <c r="AS302" s="65"/>
      <c r="AT302" s="173"/>
      <c r="AU302" s="177"/>
      <c r="AV302" s="178"/>
      <c r="AW302" s="178"/>
      <c r="AX302" s="179"/>
      <c r="AZ302" s="166"/>
      <c r="BA302" s="177"/>
      <c r="BB302" s="178"/>
      <c r="BC302" s="178"/>
      <c r="BD302" s="178"/>
      <c r="BE302" s="178"/>
      <c r="BF302" s="178"/>
      <c r="BG302" s="178"/>
      <c r="BH302" s="178"/>
      <c r="BI302" s="179"/>
      <c r="BJ302" s="180"/>
      <c r="BK302" s="178"/>
      <c r="BL302" s="178"/>
      <c r="BM302" s="178"/>
      <c r="BN302" s="178"/>
      <c r="BO302" s="181"/>
      <c r="BP302" s="166"/>
      <c r="BQ302" s="177"/>
      <c r="BR302" s="178"/>
      <c r="BS302" s="179"/>
      <c r="BU302" s="166"/>
      <c r="BV302" s="166"/>
      <c r="BW302" s="166"/>
      <c r="BX302" s="166"/>
      <c r="BY302" s="166"/>
      <c r="BZ302" s="166"/>
      <c r="CA302" s="166"/>
      <c r="CB302" s="166"/>
      <c r="CC302" s="166"/>
      <c r="CD302" s="177"/>
      <c r="CE302" s="181"/>
      <c r="CF302" s="177"/>
      <c r="CG302" s="179"/>
      <c r="CH302" s="257"/>
      <c r="CI302" s="182"/>
      <c r="CJ302" s="177"/>
      <c r="CK302" s="182"/>
      <c r="CL302" s="177"/>
      <c r="CM302" s="182"/>
      <c r="CN302" s="177"/>
      <c r="CO302" s="182"/>
      <c r="CP302" s="177"/>
      <c r="CQ302" s="178"/>
      <c r="CR302" s="182"/>
      <c r="CS302" s="173"/>
      <c r="CT302" s="65"/>
      <c r="CU302" s="255" t="str">
        <f t="shared" si="2"/>
        <v/>
      </c>
    </row>
    <row r="303" ht="60.0" hidden="1" customHeight="1">
      <c r="A303" s="65"/>
      <c r="C303" s="167"/>
      <c r="D303" s="205"/>
      <c r="E303" s="262"/>
      <c r="F303" s="170"/>
      <c r="G303" s="170"/>
      <c r="H303" s="170"/>
      <c r="I303" s="170"/>
      <c r="J303" s="170"/>
      <c r="K303" s="171"/>
      <c r="L303" s="171"/>
      <c r="M303" s="171"/>
      <c r="N303" s="209"/>
      <c r="O303" s="172">
        <f t="shared" si="54"/>
        <v>0</v>
      </c>
      <c r="P303" s="166"/>
      <c r="Q303" s="173"/>
      <c r="R303" s="65"/>
      <c r="S303" s="173"/>
      <c r="T303" s="173"/>
      <c r="U303" s="166"/>
      <c r="V303" s="166"/>
      <c r="W303" s="65"/>
      <c r="X303" s="66"/>
      <c r="Y303" s="173"/>
      <c r="Z303" s="166"/>
      <c r="AA303" s="174"/>
      <c r="AB303" s="175"/>
      <c r="AC303" s="175"/>
      <c r="AD303" s="175"/>
      <c r="AE303" s="175"/>
      <c r="AF303" s="175"/>
      <c r="AG303" s="175"/>
      <c r="AH303" s="175"/>
      <c r="AI303" s="176"/>
      <c r="AJ303" s="177"/>
      <c r="AK303" s="178"/>
      <c r="AL303" s="178"/>
      <c r="AM303" s="178"/>
      <c r="AN303" s="178"/>
      <c r="AO303" s="179"/>
      <c r="AP303" s="64"/>
      <c r="AQ303" s="65"/>
      <c r="AR303" s="65"/>
      <c r="AS303" s="65"/>
      <c r="AT303" s="173"/>
      <c r="AU303" s="177"/>
      <c r="AV303" s="178"/>
      <c r="AW303" s="178"/>
      <c r="AX303" s="179"/>
      <c r="AZ303" s="166"/>
      <c r="BA303" s="177"/>
      <c r="BB303" s="178"/>
      <c r="BC303" s="178"/>
      <c r="BD303" s="178"/>
      <c r="BE303" s="178"/>
      <c r="BF303" s="178"/>
      <c r="BG303" s="178"/>
      <c r="BH303" s="178"/>
      <c r="BI303" s="179"/>
      <c r="BJ303" s="180"/>
      <c r="BK303" s="178"/>
      <c r="BL303" s="178"/>
      <c r="BM303" s="178"/>
      <c r="BN303" s="178"/>
      <c r="BO303" s="181"/>
      <c r="BP303" s="166"/>
      <c r="BQ303" s="177"/>
      <c r="BR303" s="178"/>
      <c r="BS303" s="179"/>
      <c r="BU303" s="166"/>
      <c r="BV303" s="166"/>
      <c r="BW303" s="166"/>
      <c r="BX303" s="166"/>
      <c r="BY303" s="166"/>
      <c r="BZ303" s="166"/>
      <c r="CA303" s="166"/>
      <c r="CB303" s="166"/>
      <c r="CC303" s="166"/>
      <c r="CD303" s="177"/>
      <c r="CE303" s="181"/>
      <c r="CF303" s="177"/>
      <c r="CG303" s="179"/>
      <c r="CH303" s="257"/>
      <c r="CI303" s="182"/>
      <c r="CJ303" s="177"/>
      <c r="CK303" s="182"/>
      <c r="CL303" s="177"/>
      <c r="CM303" s="182"/>
      <c r="CN303" s="177"/>
      <c r="CO303" s="182"/>
      <c r="CP303" s="177"/>
      <c r="CQ303" s="178"/>
      <c r="CR303" s="182"/>
      <c r="CS303" s="173"/>
      <c r="CT303" s="65"/>
      <c r="CU303" s="255" t="str">
        <f t="shared" si="2"/>
        <v/>
      </c>
    </row>
    <row r="304" ht="60.0" hidden="1" customHeight="1">
      <c r="A304" s="89"/>
      <c r="B304" s="6"/>
      <c r="C304" s="183"/>
      <c r="D304" s="210"/>
      <c r="E304" s="263"/>
      <c r="F304" s="186"/>
      <c r="G304" s="186"/>
      <c r="H304" s="186"/>
      <c r="I304" s="186"/>
      <c r="J304" s="186"/>
      <c r="K304" s="187"/>
      <c r="L304" s="187"/>
      <c r="M304" s="187"/>
      <c r="N304" s="214"/>
      <c r="O304" s="188">
        <f t="shared" si="54"/>
        <v>0</v>
      </c>
      <c r="P304" s="63"/>
      <c r="Q304" s="69"/>
      <c r="R304" s="89"/>
      <c r="S304" s="69"/>
      <c r="T304" s="69"/>
      <c r="U304" s="63"/>
      <c r="V304" s="63"/>
      <c r="W304" s="89"/>
      <c r="X304" s="68"/>
      <c r="Y304" s="69"/>
      <c r="Z304" s="63"/>
      <c r="AA304" s="189"/>
      <c r="AB304" s="190"/>
      <c r="AC304" s="190"/>
      <c r="AD304" s="190"/>
      <c r="AE304" s="190"/>
      <c r="AF304" s="190"/>
      <c r="AG304" s="190"/>
      <c r="AH304" s="190"/>
      <c r="AI304" s="191"/>
      <c r="AJ304" s="192"/>
      <c r="AK304" s="193"/>
      <c r="AL304" s="193"/>
      <c r="AM304" s="193"/>
      <c r="AN304" s="193"/>
      <c r="AO304" s="194"/>
      <c r="AP304" s="103"/>
      <c r="AQ304" s="89"/>
      <c r="AR304" s="89"/>
      <c r="AS304" s="89"/>
      <c r="AT304" s="69"/>
      <c r="AU304" s="192"/>
      <c r="AV304" s="193"/>
      <c r="AW304" s="193"/>
      <c r="AX304" s="194"/>
      <c r="AY304" s="6"/>
      <c r="AZ304" s="63"/>
      <c r="BA304" s="192"/>
      <c r="BB304" s="193"/>
      <c r="BC304" s="193"/>
      <c r="BD304" s="193"/>
      <c r="BE304" s="193"/>
      <c r="BF304" s="193"/>
      <c r="BG304" s="193"/>
      <c r="BH304" s="193"/>
      <c r="BI304" s="194"/>
      <c r="BJ304" s="195"/>
      <c r="BK304" s="193"/>
      <c r="BL304" s="193"/>
      <c r="BM304" s="193"/>
      <c r="BN304" s="193"/>
      <c r="BO304" s="196"/>
      <c r="BP304" s="63"/>
      <c r="BQ304" s="192"/>
      <c r="BR304" s="193"/>
      <c r="BS304" s="194"/>
      <c r="BT304" s="6"/>
      <c r="BU304" s="63"/>
      <c r="BV304" s="63"/>
      <c r="BW304" s="63"/>
      <c r="BX304" s="63"/>
      <c r="BY304" s="63"/>
      <c r="BZ304" s="63"/>
      <c r="CA304" s="63"/>
      <c r="CB304" s="63"/>
      <c r="CC304" s="63"/>
      <c r="CD304" s="192"/>
      <c r="CE304" s="196"/>
      <c r="CF304" s="192"/>
      <c r="CG304" s="194"/>
      <c r="CH304" s="259"/>
      <c r="CI304" s="197"/>
      <c r="CJ304" s="192"/>
      <c r="CK304" s="197"/>
      <c r="CL304" s="192"/>
      <c r="CM304" s="197"/>
      <c r="CN304" s="192"/>
      <c r="CO304" s="197"/>
      <c r="CP304" s="192"/>
      <c r="CQ304" s="193"/>
      <c r="CR304" s="197"/>
      <c r="CS304" s="69"/>
      <c r="CT304" s="89"/>
      <c r="CU304" s="255" t="str">
        <f t="shared" si="2"/>
        <v/>
      </c>
    </row>
    <row r="305" ht="56.25" hidden="1" customHeight="1">
      <c r="A305" s="125">
        <v>28.0</v>
      </c>
      <c r="B305" s="199"/>
      <c r="C305" s="127"/>
      <c r="D305" s="128"/>
      <c r="E305" s="260"/>
      <c r="F305" s="261"/>
      <c r="G305" s="261"/>
      <c r="H305" s="261"/>
      <c r="I305" s="261"/>
      <c r="J305" s="170"/>
      <c r="K305" s="219"/>
      <c r="L305" s="219"/>
      <c r="M305" s="219"/>
      <c r="N305" s="220"/>
      <c r="O305" s="132">
        <f t="shared" si="54"/>
        <v>0</v>
      </c>
      <c r="P305" s="133">
        <f>COUNTIF(K305:K315,"TL")*0.75+COUNTIF(K305:K315,"Lec")*1+COUNTIF(K305:K315,"Lab")*0.5</f>
        <v>0</v>
      </c>
      <c r="Q305" s="134">
        <f>SUM((IF(LEFT(K305,1)="E",O305,0)),(IF(LEFT(K306,1)="E",O306,0)),(IF(LEFT(K307,1)="E",O307,0)),(IF(LEFT(K308,1)="E",O308,0)),(IF(LEFT(K309,1)="E",O309,0)),(IF(LEFT(K310,1)="E",O310,0)),(IF(LEFT(K311,1)="E",O311,0)),(IF(LEFT(K312,1)="E",O312,0)),(IF(LEFT(K313,1)="E",O313,0)),(IF(LEFT(K314,1)="E",O314,0)),(IF(LEFT(K315,1)="E",O315,0)))</f>
        <v>0</v>
      </c>
      <c r="R305" s="135">
        <f>SUM(IF(M311&lt;20,IF(K311="Plec",-1,IF(K311="PTL",-0.75,IF(K311="Plab",-0.5,0))),0),IF(M312&lt;20,IF(K312="Plec",-1,IF(K312="PTL",-0.75,IF(K312="Plab",-0.5,0))),0),IF(M313&lt;20,IF(K313="Plec",-1,IF(K313="PTL",-0.75,IF(K313="Plab",-0.5,0))),0),IF(M314&lt;20,IF(K314="Plec",-1,IF(K314="PTL",-0.75,IF(K314="Plab",-0.5,0))),0))</f>
        <v>0</v>
      </c>
      <c r="S305" s="134">
        <f>SUM(P305:R315)</f>
        <v>0</v>
      </c>
      <c r="T305" s="136">
        <f>SUM(IF(M305="M",IF(OR(K305="lec",K305="plec",K305="slec"),1,IF(OR(K305="lab",K305="plab",K305="slab",K305="tut",K305="ptut",K305="stut"),0.5,IF(OR(K305="TL",K305="pTL",K305="STL"),0.75,0))),0),IF(M306="M",IF(OR(K306="lec",K306="plec",K306="slec"),1,IF(OR(K306="lab",K306="plab",K306="slab",K306="tut",K306="ptut",K306="stut"),0.5,IF(OR(K306="TL",K306="pTL",K306="STL"),0.75,0))),0),IF(M307="M",IF(OR(K307="lec",K307="plec",K307="slec"),1,IF(OR(K307="lab",K307="plab",K307="slab",K307="tut",K307="ptut",K307="stut"),0.5,IF(OR(K307="TL",K307="pTL",K307="STL"),0.75,0))),0),IF(M308="M",IF(OR(K308="lec",K308="plec",K308="slec"),1,IF(OR(K308="lab",K308="plab",K308="slab",K308="tut",K308="ptut",K308="stut"),0.5,IF(OR(K308="TL",K308="pTL",K308="STL"),0.75,0))),0),IF(M309="M",IF(OR(K309="lec",K309="plec",K309="slec"),1,IF(OR(K309="lab",K309="plab",K309="slab",K309="tut",K309="ptut",K309="stut"),0.5,IF(OR(K309="TL",K309="pTL",K309="STL"),0.75,0))),0),IF(M310="M",IF(OR(K310="lec",K310="plec",K310="slec"),1,IF(OR(K310="lab",K310="plab",K310="slab",K310="tut",K310="ptut",K310="stut"),0.5,IF(OR(K310="TL",K310="pTL",K310="STL"),0.75,0))),0),IF(M311="M",IF(OR(K311="lec",K311="plec",K311="slec"),1,IF(OR(K311="lab",K311="plab",K311="slab",K311="tut",K311="ptut",K311="stut"),0.5,IF(OR(K311="TL",K311="pTL",K311="STL"),0.75,0))),0),IF(M312="M",IF(OR(K312="lec",K312="plec",K312="slec"),1,IF(OR(K312="lab",K312="plab",K312="slab",K312="tut",K312="ptut",K312="stut"),0.5,IF(OR(K312="TL",K312="pTL",K312="STL"),0.75,0))),0),IF(M313="M",IF(OR(K313="lec",K313="plec",K313="slec"),1,IF(OR(K313="lab",K313="plab",K313="slab",K313="tut",K313="ptut",K313="stut"),0.5,IF(OR(K313="TL",K313="pTL",K313="STL"),0.75,0))),0),IF(M314="M",IF(OR(K314="lec",K314="plec",K314="slec"),1,IF(OR(K314="lab",K314="plab",K314="slab",K314="tut",K314="ptut",K314="stut"),0.5,IF(OR(K314="TL",K314="pTL",K314="STL"),0.75,0))),0),IF(M315="M",IF(OR(K315="lec",K315="plec",K315="slec"),1,IF(OR(K315="lab",K315="plab",K315="slab",K315="tut",K315="ptut",K315="stut"),0.5,IF(OR(K315="TL",K315="pTL",K315="STL"),0.75,0))),0))</f>
        <v>0</v>
      </c>
      <c r="U305" s="137"/>
      <c r="V305" s="133"/>
      <c r="W305" s="138"/>
      <c r="X305" s="139">
        <f>S305-(T305+U305+V305+W305)</f>
        <v>0</v>
      </c>
      <c r="Y305" s="134" t="str">
        <f>CONCATENATE(SUM(O305:O315),"(",SUM(O305:O315)-X305,")")</f>
        <v>0(0)</v>
      </c>
      <c r="Z305" s="140"/>
      <c r="AA305" s="141"/>
      <c r="AB305" s="142"/>
      <c r="AC305" s="142"/>
      <c r="AD305" s="142"/>
      <c r="AE305" s="142"/>
      <c r="AF305" s="142"/>
      <c r="AG305" s="142"/>
      <c r="AH305" s="142"/>
      <c r="AI305" s="143"/>
      <c r="AJ305" s="144"/>
      <c r="AK305" s="145"/>
      <c r="AL305" s="145"/>
      <c r="AM305" s="145"/>
      <c r="AN305" s="145"/>
      <c r="AO305" s="146"/>
      <c r="AP305" s="147">
        <f>SUM(SUM(O305:O315),SUM(AI305:AI315)/2,AM305)</f>
        <v>0</v>
      </c>
      <c r="AQ305" s="148"/>
      <c r="AR305" s="148">
        <f>AP305*AQ305</f>
        <v>0</v>
      </c>
      <c r="AS305" s="148">
        <f>CT305</f>
        <v>0</v>
      </c>
      <c r="AT305" s="149">
        <f>AR305*0.75+AS305*0.25</f>
        <v>0</v>
      </c>
      <c r="AU305" s="150"/>
      <c r="AV305" s="151"/>
      <c r="AW305" s="151"/>
      <c r="AX305" s="152"/>
      <c r="AY305" s="153"/>
      <c r="AZ305" s="140"/>
      <c r="BA305" s="150"/>
      <c r="BB305" s="151"/>
      <c r="BC305" s="151"/>
      <c r="BD305" s="151"/>
      <c r="BE305" s="151"/>
      <c r="BF305" s="151"/>
      <c r="BG305" s="151"/>
      <c r="BH305" s="151"/>
      <c r="BI305" s="152"/>
      <c r="BJ305" s="154"/>
      <c r="BK305" s="151"/>
      <c r="BL305" s="151"/>
      <c r="BM305" s="151"/>
      <c r="BN305" s="151"/>
      <c r="BO305" s="155"/>
      <c r="BP305" s="140"/>
      <c r="BQ305" s="156"/>
      <c r="BR305" s="157"/>
      <c r="BS305" s="158"/>
      <c r="BT305" s="153"/>
      <c r="BU305" s="140"/>
      <c r="BV305" s="140"/>
      <c r="BW305" s="140"/>
      <c r="BX305" s="140"/>
      <c r="BY305" s="140"/>
      <c r="BZ305" s="140"/>
      <c r="CA305" s="140"/>
      <c r="CB305" s="140"/>
      <c r="CC305" s="140"/>
      <c r="CD305" s="150"/>
      <c r="CE305" s="155"/>
      <c r="CF305" s="150"/>
      <c r="CG305" s="152"/>
      <c r="CH305" s="252"/>
      <c r="CI305" s="160"/>
      <c r="CJ305" s="159"/>
      <c r="CK305" s="160"/>
      <c r="CL305" s="159"/>
      <c r="CM305" s="160"/>
      <c r="CN305" s="159"/>
      <c r="CO305" s="160"/>
      <c r="CP305" s="159"/>
      <c r="CQ305" s="162"/>
      <c r="CR305" s="160"/>
      <c r="CS305" s="253">
        <f>SUM(IF(AU305&lt;0,ABS(AU305),0),IF(AZ305&lt;0,ABS(AZ305),0),ABS(CI305),ABS(CK305),ABS(CM305),ABS(CO305),ABS(CQ305),ABS(CR305))</f>
        <v>0</v>
      </c>
      <c r="CT305" s="254">
        <f>SUM(AU305,AV305,AW305,AX305/400,AY305,AZ305,BG305,BH305*0.5,BI305*0.25,BJ305,BK305,BL305,BM305,BN305,BO305,BP305,BR305/20,BS305/100,BT305/60,BU305,BV305,BW305,BX305/5,SUM(BY305:CC315)/3,CE305,CG305/3,CI305,CK305,CM305,CO305,CQ305,CR305)</f>
        <v>0</v>
      </c>
      <c r="CU305" s="255" t="str">
        <f t="shared" si="2"/>
        <v/>
      </c>
    </row>
    <row r="306" ht="60.0" hidden="1" customHeight="1">
      <c r="A306" s="65"/>
      <c r="C306" s="167"/>
      <c r="D306" s="205"/>
      <c r="E306" s="262"/>
      <c r="F306" s="170"/>
      <c r="G306" s="170"/>
      <c r="H306" s="170"/>
      <c r="I306" s="170"/>
      <c r="J306" s="170"/>
      <c r="K306" s="171"/>
      <c r="L306" s="171"/>
      <c r="M306" s="171"/>
      <c r="N306" s="209"/>
      <c r="O306" s="172">
        <f t="shared" si="54"/>
        <v>0</v>
      </c>
      <c r="P306" s="166"/>
      <c r="Q306" s="173"/>
      <c r="R306" s="65"/>
      <c r="S306" s="173"/>
      <c r="T306" s="173"/>
      <c r="U306" s="166"/>
      <c r="V306" s="166"/>
      <c r="W306" s="65"/>
      <c r="X306" s="66"/>
      <c r="Y306" s="173"/>
      <c r="Z306" s="166"/>
      <c r="AA306" s="174"/>
      <c r="AB306" s="175"/>
      <c r="AC306" s="175"/>
      <c r="AD306" s="175"/>
      <c r="AE306" s="175"/>
      <c r="AF306" s="175"/>
      <c r="AG306" s="175"/>
      <c r="AH306" s="175"/>
      <c r="AI306" s="176"/>
      <c r="AJ306" s="177"/>
      <c r="AK306" s="178"/>
      <c r="AL306" s="178"/>
      <c r="AM306" s="178"/>
      <c r="AN306" s="178"/>
      <c r="AO306" s="179"/>
      <c r="AP306" s="64"/>
      <c r="AQ306" s="65"/>
      <c r="AR306" s="65"/>
      <c r="AS306" s="65"/>
      <c r="AT306" s="173"/>
      <c r="AU306" s="177"/>
      <c r="AV306" s="178"/>
      <c r="AW306" s="178"/>
      <c r="AX306" s="179"/>
      <c r="AZ306" s="166"/>
      <c r="BA306" s="177"/>
      <c r="BB306" s="178"/>
      <c r="BC306" s="178"/>
      <c r="BD306" s="178"/>
      <c r="BE306" s="178"/>
      <c r="BF306" s="178"/>
      <c r="BG306" s="178"/>
      <c r="BH306" s="178"/>
      <c r="BI306" s="179"/>
      <c r="BJ306" s="180"/>
      <c r="BK306" s="178"/>
      <c r="BL306" s="178"/>
      <c r="BM306" s="178"/>
      <c r="BN306" s="178"/>
      <c r="BO306" s="181"/>
      <c r="BP306" s="166"/>
      <c r="BQ306" s="177"/>
      <c r="BR306" s="178"/>
      <c r="BS306" s="179"/>
      <c r="BU306" s="166"/>
      <c r="BV306" s="166"/>
      <c r="BW306" s="166"/>
      <c r="BX306" s="166"/>
      <c r="BY306" s="166"/>
      <c r="BZ306" s="166"/>
      <c r="CA306" s="166"/>
      <c r="CB306" s="166"/>
      <c r="CC306" s="166"/>
      <c r="CD306" s="177"/>
      <c r="CE306" s="181"/>
      <c r="CF306" s="177"/>
      <c r="CG306" s="179"/>
      <c r="CH306" s="257"/>
      <c r="CI306" s="182"/>
      <c r="CJ306" s="177"/>
      <c r="CK306" s="182"/>
      <c r="CL306" s="177"/>
      <c r="CM306" s="182"/>
      <c r="CN306" s="177"/>
      <c r="CO306" s="182"/>
      <c r="CP306" s="177"/>
      <c r="CQ306" s="178"/>
      <c r="CR306" s="182"/>
      <c r="CS306" s="173"/>
      <c r="CT306" s="65"/>
      <c r="CU306" s="255" t="str">
        <f t="shared" si="2"/>
        <v/>
      </c>
    </row>
    <row r="307" ht="60.0" hidden="1" customHeight="1">
      <c r="A307" s="65"/>
      <c r="C307" s="167"/>
      <c r="D307" s="205"/>
      <c r="E307" s="262"/>
      <c r="F307" s="170"/>
      <c r="G307" s="170"/>
      <c r="H307" s="170"/>
      <c r="I307" s="170"/>
      <c r="J307" s="170"/>
      <c r="K307" s="171"/>
      <c r="L307" s="171"/>
      <c r="M307" s="171"/>
      <c r="N307" s="209"/>
      <c r="O307" s="172">
        <f t="shared" si="54"/>
        <v>0</v>
      </c>
      <c r="P307" s="166"/>
      <c r="Q307" s="173"/>
      <c r="R307" s="65"/>
      <c r="S307" s="173"/>
      <c r="T307" s="173"/>
      <c r="U307" s="166"/>
      <c r="V307" s="166"/>
      <c r="W307" s="65"/>
      <c r="X307" s="66"/>
      <c r="Y307" s="173"/>
      <c r="Z307" s="166"/>
      <c r="AA307" s="174"/>
      <c r="AB307" s="175"/>
      <c r="AC307" s="175"/>
      <c r="AD307" s="175"/>
      <c r="AE307" s="175"/>
      <c r="AF307" s="175"/>
      <c r="AG307" s="175"/>
      <c r="AH307" s="175"/>
      <c r="AI307" s="176"/>
      <c r="AJ307" s="177"/>
      <c r="AK307" s="178"/>
      <c r="AL307" s="178"/>
      <c r="AM307" s="178"/>
      <c r="AN307" s="178"/>
      <c r="AO307" s="179"/>
      <c r="AP307" s="64"/>
      <c r="AQ307" s="65"/>
      <c r="AR307" s="65"/>
      <c r="AS307" s="65"/>
      <c r="AT307" s="173"/>
      <c r="AU307" s="177"/>
      <c r="AV307" s="178"/>
      <c r="AW307" s="178"/>
      <c r="AX307" s="179"/>
      <c r="AZ307" s="166"/>
      <c r="BA307" s="177"/>
      <c r="BB307" s="178"/>
      <c r="BC307" s="178"/>
      <c r="BD307" s="178"/>
      <c r="BE307" s="178"/>
      <c r="BF307" s="178"/>
      <c r="BG307" s="178"/>
      <c r="BH307" s="178"/>
      <c r="BI307" s="179"/>
      <c r="BJ307" s="180"/>
      <c r="BK307" s="178"/>
      <c r="BL307" s="178"/>
      <c r="BM307" s="178"/>
      <c r="BN307" s="178"/>
      <c r="BO307" s="181"/>
      <c r="BP307" s="166"/>
      <c r="BQ307" s="177"/>
      <c r="BR307" s="178"/>
      <c r="BS307" s="179"/>
      <c r="BU307" s="166"/>
      <c r="BV307" s="166"/>
      <c r="BW307" s="166"/>
      <c r="BX307" s="166"/>
      <c r="BY307" s="166"/>
      <c r="BZ307" s="166"/>
      <c r="CA307" s="166"/>
      <c r="CB307" s="166"/>
      <c r="CC307" s="166"/>
      <c r="CD307" s="177"/>
      <c r="CE307" s="181"/>
      <c r="CF307" s="177"/>
      <c r="CG307" s="179"/>
      <c r="CH307" s="257"/>
      <c r="CI307" s="182"/>
      <c r="CJ307" s="177"/>
      <c r="CK307" s="182"/>
      <c r="CL307" s="177"/>
      <c r="CM307" s="182"/>
      <c r="CN307" s="177"/>
      <c r="CO307" s="182"/>
      <c r="CP307" s="177"/>
      <c r="CQ307" s="178"/>
      <c r="CR307" s="182"/>
      <c r="CS307" s="173"/>
      <c r="CT307" s="65"/>
      <c r="CU307" s="255" t="str">
        <f t="shared" si="2"/>
        <v/>
      </c>
    </row>
    <row r="308" ht="60.0" hidden="1" customHeight="1">
      <c r="A308" s="65"/>
      <c r="C308" s="167"/>
      <c r="D308" s="205"/>
      <c r="E308" s="262"/>
      <c r="F308" s="170"/>
      <c r="G308" s="170"/>
      <c r="H308" s="170"/>
      <c r="I308" s="170"/>
      <c r="J308" s="170"/>
      <c r="K308" s="171"/>
      <c r="L308" s="171"/>
      <c r="M308" s="171"/>
      <c r="N308" s="209"/>
      <c r="O308" s="172">
        <f t="shared" si="54"/>
        <v>0</v>
      </c>
      <c r="P308" s="166"/>
      <c r="Q308" s="173"/>
      <c r="R308" s="65"/>
      <c r="S308" s="173"/>
      <c r="T308" s="173"/>
      <c r="U308" s="166"/>
      <c r="V308" s="166"/>
      <c r="W308" s="65"/>
      <c r="X308" s="66"/>
      <c r="Y308" s="173"/>
      <c r="Z308" s="166"/>
      <c r="AA308" s="174"/>
      <c r="AB308" s="175"/>
      <c r="AC308" s="175"/>
      <c r="AD308" s="175"/>
      <c r="AE308" s="175"/>
      <c r="AF308" s="175"/>
      <c r="AG308" s="175"/>
      <c r="AH308" s="175"/>
      <c r="AI308" s="176"/>
      <c r="AJ308" s="177"/>
      <c r="AK308" s="178"/>
      <c r="AL308" s="178"/>
      <c r="AM308" s="178"/>
      <c r="AN308" s="178"/>
      <c r="AO308" s="179"/>
      <c r="AP308" s="64"/>
      <c r="AQ308" s="65"/>
      <c r="AR308" s="65"/>
      <c r="AS308" s="65"/>
      <c r="AT308" s="173"/>
      <c r="AU308" s="177"/>
      <c r="AV308" s="178"/>
      <c r="AW308" s="178"/>
      <c r="AX308" s="179"/>
      <c r="AZ308" s="166"/>
      <c r="BA308" s="177"/>
      <c r="BB308" s="178"/>
      <c r="BC308" s="178"/>
      <c r="BD308" s="178"/>
      <c r="BE308" s="178"/>
      <c r="BF308" s="178"/>
      <c r="BG308" s="178"/>
      <c r="BH308" s="178"/>
      <c r="BI308" s="179"/>
      <c r="BJ308" s="180"/>
      <c r="BK308" s="178"/>
      <c r="BL308" s="178"/>
      <c r="BM308" s="178"/>
      <c r="BN308" s="178"/>
      <c r="BO308" s="181"/>
      <c r="BP308" s="166"/>
      <c r="BQ308" s="177"/>
      <c r="BR308" s="178"/>
      <c r="BS308" s="179"/>
      <c r="BU308" s="166"/>
      <c r="BV308" s="166"/>
      <c r="BW308" s="166"/>
      <c r="BX308" s="166"/>
      <c r="BY308" s="166"/>
      <c r="BZ308" s="166"/>
      <c r="CA308" s="166"/>
      <c r="CB308" s="166"/>
      <c r="CC308" s="166"/>
      <c r="CD308" s="177"/>
      <c r="CE308" s="181"/>
      <c r="CF308" s="177"/>
      <c r="CG308" s="179"/>
      <c r="CH308" s="257"/>
      <c r="CI308" s="182"/>
      <c r="CJ308" s="177"/>
      <c r="CK308" s="182"/>
      <c r="CL308" s="177"/>
      <c r="CM308" s="182"/>
      <c r="CN308" s="177"/>
      <c r="CO308" s="182"/>
      <c r="CP308" s="177"/>
      <c r="CQ308" s="178"/>
      <c r="CR308" s="182"/>
      <c r="CS308" s="173"/>
      <c r="CT308" s="65"/>
      <c r="CU308" s="255" t="str">
        <f t="shared" si="2"/>
        <v/>
      </c>
    </row>
    <row r="309" ht="60.0" hidden="1" customHeight="1">
      <c r="A309" s="65"/>
      <c r="C309" s="167"/>
      <c r="D309" s="205"/>
      <c r="E309" s="262"/>
      <c r="F309" s="170"/>
      <c r="G309" s="170"/>
      <c r="H309" s="170"/>
      <c r="I309" s="170"/>
      <c r="J309" s="170"/>
      <c r="K309" s="171"/>
      <c r="L309" s="171"/>
      <c r="M309" s="171"/>
      <c r="N309" s="209"/>
      <c r="O309" s="172">
        <f t="shared" si="54"/>
        <v>0</v>
      </c>
      <c r="P309" s="166"/>
      <c r="Q309" s="173"/>
      <c r="R309" s="65"/>
      <c r="S309" s="173"/>
      <c r="T309" s="173"/>
      <c r="U309" s="166"/>
      <c r="V309" s="166"/>
      <c r="W309" s="65"/>
      <c r="X309" s="66"/>
      <c r="Y309" s="173"/>
      <c r="Z309" s="166"/>
      <c r="AA309" s="174"/>
      <c r="AB309" s="175"/>
      <c r="AC309" s="175"/>
      <c r="AD309" s="175"/>
      <c r="AE309" s="175"/>
      <c r="AF309" s="175"/>
      <c r="AG309" s="175"/>
      <c r="AH309" s="175"/>
      <c r="AI309" s="176"/>
      <c r="AJ309" s="177"/>
      <c r="AK309" s="178"/>
      <c r="AL309" s="178"/>
      <c r="AM309" s="178"/>
      <c r="AN309" s="178"/>
      <c r="AO309" s="179"/>
      <c r="AP309" s="64"/>
      <c r="AQ309" s="65"/>
      <c r="AR309" s="65"/>
      <c r="AS309" s="65"/>
      <c r="AT309" s="173"/>
      <c r="AU309" s="177"/>
      <c r="AV309" s="178"/>
      <c r="AW309" s="178"/>
      <c r="AX309" s="179"/>
      <c r="AZ309" s="166"/>
      <c r="BA309" s="177"/>
      <c r="BB309" s="178"/>
      <c r="BC309" s="178"/>
      <c r="BD309" s="178"/>
      <c r="BE309" s="178"/>
      <c r="BF309" s="178"/>
      <c r="BG309" s="178"/>
      <c r="BH309" s="178"/>
      <c r="BI309" s="179"/>
      <c r="BJ309" s="180"/>
      <c r="BK309" s="178"/>
      <c r="BL309" s="178"/>
      <c r="BM309" s="178"/>
      <c r="BN309" s="178"/>
      <c r="BO309" s="181"/>
      <c r="BP309" s="166"/>
      <c r="BQ309" s="177"/>
      <c r="BR309" s="178"/>
      <c r="BS309" s="179"/>
      <c r="BU309" s="166"/>
      <c r="BV309" s="166"/>
      <c r="BW309" s="166"/>
      <c r="BX309" s="166"/>
      <c r="BY309" s="166"/>
      <c r="BZ309" s="166"/>
      <c r="CA309" s="166"/>
      <c r="CB309" s="166"/>
      <c r="CC309" s="166"/>
      <c r="CD309" s="177"/>
      <c r="CE309" s="181"/>
      <c r="CF309" s="177"/>
      <c r="CG309" s="179"/>
      <c r="CH309" s="257"/>
      <c r="CI309" s="182"/>
      <c r="CJ309" s="177"/>
      <c r="CK309" s="182"/>
      <c r="CL309" s="177"/>
      <c r="CM309" s="182"/>
      <c r="CN309" s="177"/>
      <c r="CO309" s="182"/>
      <c r="CP309" s="177"/>
      <c r="CQ309" s="178"/>
      <c r="CR309" s="182"/>
      <c r="CS309" s="173"/>
      <c r="CT309" s="65"/>
      <c r="CU309" s="255" t="str">
        <f t="shared" si="2"/>
        <v/>
      </c>
    </row>
    <row r="310" ht="60.0" hidden="1" customHeight="1">
      <c r="A310" s="65"/>
      <c r="C310" s="167"/>
      <c r="D310" s="205"/>
      <c r="E310" s="262"/>
      <c r="F310" s="170"/>
      <c r="G310" s="170"/>
      <c r="H310" s="170"/>
      <c r="I310" s="170"/>
      <c r="J310" s="170"/>
      <c r="K310" s="171"/>
      <c r="L310" s="171"/>
      <c r="M310" s="171"/>
      <c r="N310" s="209"/>
      <c r="O310" s="172">
        <f t="shared" si="54"/>
        <v>0</v>
      </c>
      <c r="P310" s="166"/>
      <c r="Q310" s="173"/>
      <c r="R310" s="65"/>
      <c r="S310" s="173"/>
      <c r="T310" s="173"/>
      <c r="U310" s="166"/>
      <c r="V310" s="166"/>
      <c r="W310" s="65"/>
      <c r="X310" s="66"/>
      <c r="Y310" s="173"/>
      <c r="Z310" s="166"/>
      <c r="AA310" s="174"/>
      <c r="AB310" s="175"/>
      <c r="AC310" s="175"/>
      <c r="AD310" s="175"/>
      <c r="AE310" s="175"/>
      <c r="AF310" s="175"/>
      <c r="AG310" s="175"/>
      <c r="AH310" s="175"/>
      <c r="AI310" s="176"/>
      <c r="AJ310" s="177"/>
      <c r="AK310" s="178"/>
      <c r="AL310" s="178"/>
      <c r="AM310" s="178"/>
      <c r="AN310" s="178"/>
      <c r="AO310" s="179"/>
      <c r="AP310" s="64"/>
      <c r="AQ310" s="65"/>
      <c r="AR310" s="65"/>
      <c r="AS310" s="65"/>
      <c r="AT310" s="173"/>
      <c r="AU310" s="177"/>
      <c r="AV310" s="178"/>
      <c r="AW310" s="178"/>
      <c r="AX310" s="179"/>
      <c r="AZ310" s="166"/>
      <c r="BA310" s="177"/>
      <c r="BB310" s="178"/>
      <c r="BC310" s="178"/>
      <c r="BD310" s="178"/>
      <c r="BE310" s="178"/>
      <c r="BF310" s="178"/>
      <c r="BG310" s="178"/>
      <c r="BH310" s="178"/>
      <c r="BI310" s="179"/>
      <c r="BJ310" s="180"/>
      <c r="BK310" s="178"/>
      <c r="BL310" s="178"/>
      <c r="BM310" s="178"/>
      <c r="BN310" s="178"/>
      <c r="BO310" s="181"/>
      <c r="BP310" s="166"/>
      <c r="BQ310" s="177"/>
      <c r="BR310" s="178"/>
      <c r="BS310" s="179"/>
      <c r="BU310" s="166"/>
      <c r="BV310" s="166"/>
      <c r="BW310" s="166"/>
      <c r="BX310" s="166"/>
      <c r="BY310" s="166"/>
      <c r="BZ310" s="166"/>
      <c r="CA310" s="166"/>
      <c r="CB310" s="166"/>
      <c r="CC310" s="166"/>
      <c r="CD310" s="177"/>
      <c r="CE310" s="181"/>
      <c r="CF310" s="177"/>
      <c r="CG310" s="179"/>
      <c r="CH310" s="257"/>
      <c r="CI310" s="182"/>
      <c r="CJ310" s="177"/>
      <c r="CK310" s="182"/>
      <c r="CL310" s="177"/>
      <c r="CM310" s="182"/>
      <c r="CN310" s="177"/>
      <c r="CO310" s="182"/>
      <c r="CP310" s="177"/>
      <c r="CQ310" s="178"/>
      <c r="CR310" s="182"/>
      <c r="CS310" s="173"/>
      <c r="CT310" s="65"/>
      <c r="CU310" s="255" t="str">
        <f t="shared" si="2"/>
        <v/>
      </c>
    </row>
    <row r="311" ht="60.0" hidden="1" customHeight="1">
      <c r="A311" s="65"/>
      <c r="C311" s="167"/>
      <c r="D311" s="205"/>
      <c r="E311" s="262"/>
      <c r="F311" s="170"/>
      <c r="G311" s="170"/>
      <c r="H311" s="170"/>
      <c r="I311" s="170"/>
      <c r="J311" s="170"/>
      <c r="K311" s="171"/>
      <c r="L311" s="171"/>
      <c r="M311" s="171"/>
      <c r="N311" s="209"/>
      <c r="O311" s="172">
        <f t="shared" si="54"/>
        <v>0</v>
      </c>
      <c r="P311" s="166"/>
      <c r="Q311" s="173"/>
      <c r="R311" s="65"/>
      <c r="S311" s="173"/>
      <c r="T311" s="173"/>
      <c r="U311" s="166"/>
      <c r="V311" s="166"/>
      <c r="W311" s="65"/>
      <c r="X311" s="66"/>
      <c r="Y311" s="173"/>
      <c r="Z311" s="166"/>
      <c r="AA311" s="174"/>
      <c r="AB311" s="175"/>
      <c r="AC311" s="175"/>
      <c r="AD311" s="175"/>
      <c r="AE311" s="175"/>
      <c r="AF311" s="175"/>
      <c r="AG311" s="175"/>
      <c r="AH311" s="175"/>
      <c r="AI311" s="176"/>
      <c r="AJ311" s="177"/>
      <c r="AK311" s="178"/>
      <c r="AL311" s="178"/>
      <c r="AM311" s="178"/>
      <c r="AN311" s="178"/>
      <c r="AO311" s="179"/>
      <c r="AP311" s="64"/>
      <c r="AQ311" s="65"/>
      <c r="AR311" s="65"/>
      <c r="AS311" s="65"/>
      <c r="AT311" s="173"/>
      <c r="AU311" s="177"/>
      <c r="AV311" s="178"/>
      <c r="AW311" s="178"/>
      <c r="AX311" s="179"/>
      <c r="AZ311" s="166"/>
      <c r="BA311" s="177"/>
      <c r="BB311" s="178"/>
      <c r="BC311" s="178"/>
      <c r="BD311" s="178"/>
      <c r="BE311" s="178"/>
      <c r="BF311" s="178"/>
      <c r="BG311" s="178"/>
      <c r="BH311" s="178"/>
      <c r="BI311" s="179"/>
      <c r="BJ311" s="180"/>
      <c r="BK311" s="178"/>
      <c r="BL311" s="178"/>
      <c r="BM311" s="178"/>
      <c r="BN311" s="178"/>
      <c r="BO311" s="181"/>
      <c r="BP311" s="166"/>
      <c r="BQ311" s="177"/>
      <c r="BR311" s="178"/>
      <c r="BS311" s="179"/>
      <c r="BU311" s="166"/>
      <c r="BV311" s="166"/>
      <c r="BW311" s="166"/>
      <c r="BX311" s="166"/>
      <c r="BY311" s="166"/>
      <c r="BZ311" s="166"/>
      <c r="CA311" s="166"/>
      <c r="CB311" s="166"/>
      <c r="CC311" s="166"/>
      <c r="CD311" s="177"/>
      <c r="CE311" s="181"/>
      <c r="CF311" s="177"/>
      <c r="CG311" s="179"/>
      <c r="CH311" s="257"/>
      <c r="CI311" s="182"/>
      <c r="CJ311" s="177"/>
      <c r="CK311" s="182"/>
      <c r="CL311" s="177"/>
      <c r="CM311" s="182"/>
      <c r="CN311" s="177"/>
      <c r="CO311" s="182"/>
      <c r="CP311" s="177"/>
      <c r="CQ311" s="178"/>
      <c r="CR311" s="182"/>
      <c r="CS311" s="173"/>
      <c r="CT311" s="65"/>
      <c r="CU311" s="255" t="str">
        <f t="shared" si="2"/>
        <v/>
      </c>
    </row>
    <row r="312" ht="60.0" hidden="1" customHeight="1">
      <c r="A312" s="65"/>
      <c r="C312" s="167"/>
      <c r="D312" s="205"/>
      <c r="E312" s="262"/>
      <c r="F312" s="170"/>
      <c r="G312" s="170"/>
      <c r="H312" s="170"/>
      <c r="I312" s="170"/>
      <c r="J312" s="170"/>
      <c r="K312" s="171"/>
      <c r="L312" s="171"/>
      <c r="M312" s="171"/>
      <c r="N312" s="209"/>
      <c r="O312" s="172">
        <f t="shared" si="54"/>
        <v>0</v>
      </c>
      <c r="P312" s="166"/>
      <c r="Q312" s="173"/>
      <c r="R312" s="65"/>
      <c r="S312" s="173"/>
      <c r="T312" s="173"/>
      <c r="U312" s="166"/>
      <c r="V312" s="166"/>
      <c r="W312" s="65"/>
      <c r="X312" s="66"/>
      <c r="Y312" s="173"/>
      <c r="Z312" s="166"/>
      <c r="AA312" s="174"/>
      <c r="AB312" s="175"/>
      <c r="AC312" s="175"/>
      <c r="AD312" s="175"/>
      <c r="AE312" s="175"/>
      <c r="AF312" s="175"/>
      <c r="AG312" s="175"/>
      <c r="AH312" s="175"/>
      <c r="AI312" s="176"/>
      <c r="AJ312" s="177"/>
      <c r="AK312" s="178"/>
      <c r="AL312" s="178"/>
      <c r="AM312" s="178"/>
      <c r="AN312" s="178"/>
      <c r="AO312" s="179"/>
      <c r="AP312" s="64"/>
      <c r="AQ312" s="65"/>
      <c r="AR312" s="65"/>
      <c r="AS312" s="65"/>
      <c r="AT312" s="173"/>
      <c r="AU312" s="177"/>
      <c r="AV312" s="178"/>
      <c r="AW312" s="178"/>
      <c r="AX312" s="179"/>
      <c r="AZ312" s="166"/>
      <c r="BA312" s="177"/>
      <c r="BB312" s="178"/>
      <c r="BC312" s="178"/>
      <c r="BD312" s="178"/>
      <c r="BE312" s="178"/>
      <c r="BF312" s="178"/>
      <c r="BG312" s="178"/>
      <c r="BH312" s="178"/>
      <c r="BI312" s="179"/>
      <c r="BJ312" s="180"/>
      <c r="BK312" s="178"/>
      <c r="BL312" s="178"/>
      <c r="BM312" s="178"/>
      <c r="BN312" s="178"/>
      <c r="BO312" s="181"/>
      <c r="BP312" s="166"/>
      <c r="BQ312" s="177"/>
      <c r="BR312" s="178"/>
      <c r="BS312" s="179"/>
      <c r="BU312" s="166"/>
      <c r="BV312" s="166"/>
      <c r="BW312" s="166"/>
      <c r="BX312" s="166"/>
      <c r="BY312" s="166"/>
      <c r="BZ312" s="166"/>
      <c r="CA312" s="166"/>
      <c r="CB312" s="166"/>
      <c r="CC312" s="166"/>
      <c r="CD312" s="177"/>
      <c r="CE312" s="181"/>
      <c r="CF312" s="177"/>
      <c r="CG312" s="179"/>
      <c r="CH312" s="257"/>
      <c r="CI312" s="182"/>
      <c r="CJ312" s="177"/>
      <c r="CK312" s="182"/>
      <c r="CL312" s="177"/>
      <c r="CM312" s="182"/>
      <c r="CN312" s="177"/>
      <c r="CO312" s="182"/>
      <c r="CP312" s="177"/>
      <c r="CQ312" s="178"/>
      <c r="CR312" s="182"/>
      <c r="CS312" s="173"/>
      <c r="CT312" s="65"/>
      <c r="CU312" s="255" t="str">
        <f t="shared" si="2"/>
        <v/>
      </c>
    </row>
    <row r="313" ht="60.0" hidden="1" customHeight="1">
      <c r="A313" s="65"/>
      <c r="C313" s="167"/>
      <c r="D313" s="205"/>
      <c r="E313" s="262"/>
      <c r="F313" s="170"/>
      <c r="G313" s="170"/>
      <c r="H313" s="170"/>
      <c r="I313" s="170"/>
      <c r="J313" s="170"/>
      <c r="K313" s="171"/>
      <c r="L313" s="171"/>
      <c r="M313" s="171"/>
      <c r="N313" s="209"/>
      <c r="O313" s="172">
        <f t="shared" si="54"/>
        <v>0</v>
      </c>
      <c r="P313" s="166"/>
      <c r="Q313" s="173"/>
      <c r="R313" s="65"/>
      <c r="S313" s="173"/>
      <c r="T313" s="173"/>
      <c r="U313" s="166"/>
      <c r="V313" s="166"/>
      <c r="W313" s="65"/>
      <c r="X313" s="66"/>
      <c r="Y313" s="173"/>
      <c r="Z313" s="166"/>
      <c r="AA313" s="174"/>
      <c r="AB313" s="175"/>
      <c r="AC313" s="175"/>
      <c r="AD313" s="175"/>
      <c r="AE313" s="175"/>
      <c r="AF313" s="175"/>
      <c r="AG313" s="175"/>
      <c r="AH313" s="175"/>
      <c r="AI313" s="176"/>
      <c r="AJ313" s="177"/>
      <c r="AK313" s="178"/>
      <c r="AL313" s="178"/>
      <c r="AM313" s="178"/>
      <c r="AN313" s="178"/>
      <c r="AO313" s="179"/>
      <c r="AP313" s="64"/>
      <c r="AQ313" s="65"/>
      <c r="AR313" s="65"/>
      <c r="AS313" s="65"/>
      <c r="AT313" s="173"/>
      <c r="AU313" s="177"/>
      <c r="AV313" s="178"/>
      <c r="AW313" s="178"/>
      <c r="AX313" s="179"/>
      <c r="AZ313" s="166"/>
      <c r="BA313" s="177"/>
      <c r="BB313" s="178"/>
      <c r="BC313" s="178"/>
      <c r="BD313" s="178"/>
      <c r="BE313" s="178"/>
      <c r="BF313" s="178"/>
      <c r="BG313" s="178"/>
      <c r="BH313" s="178"/>
      <c r="BI313" s="179"/>
      <c r="BJ313" s="180"/>
      <c r="BK313" s="178"/>
      <c r="BL313" s="178"/>
      <c r="BM313" s="178"/>
      <c r="BN313" s="178"/>
      <c r="BO313" s="181"/>
      <c r="BP313" s="166"/>
      <c r="BQ313" s="177"/>
      <c r="BR313" s="178"/>
      <c r="BS313" s="179"/>
      <c r="BU313" s="166"/>
      <c r="BV313" s="166"/>
      <c r="BW313" s="166"/>
      <c r="BX313" s="166"/>
      <c r="BY313" s="166"/>
      <c r="BZ313" s="166"/>
      <c r="CA313" s="166"/>
      <c r="CB313" s="166"/>
      <c r="CC313" s="166"/>
      <c r="CD313" s="177"/>
      <c r="CE313" s="181"/>
      <c r="CF313" s="177"/>
      <c r="CG313" s="179"/>
      <c r="CH313" s="257"/>
      <c r="CI313" s="182"/>
      <c r="CJ313" s="177"/>
      <c r="CK313" s="182"/>
      <c r="CL313" s="177"/>
      <c r="CM313" s="182"/>
      <c r="CN313" s="177"/>
      <c r="CO313" s="182"/>
      <c r="CP313" s="177"/>
      <c r="CQ313" s="178"/>
      <c r="CR313" s="182"/>
      <c r="CS313" s="173"/>
      <c r="CT313" s="65"/>
      <c r="CU313" s="255" t="str">
        <f t="shared" si="2"/>
        <v/>
      </c>
    </row>
    <row r="314" ht="60.0" hidden="1" customHeight="1">
      <c r="A314" s="65"/>
      <c r="C314" s="167"/>
      <c r="D314" s="205"/>
      <c r="E314" s="262"/>
      <c r="F314" s="170"/>
      <c r="G314" s="170"/>
      <c r="H314" s="170"/>
      <c r="I314" s="170"/>
      <c r="J314" s="170"/>
      <c r="K314" s="171"/>
      <c r="L314" s="171"/>
      <c r="M314" s="171"/>
      <c r="N314" s="209"/>
      <c r="O314" s="172">
        <f t="shared" si="54"/>
        <v>0</v>
      </c>
      <c r="P314" s="166"/>
      <c r="Q314" s="173"/>
      <c r="R314" s="65"/>
      <c r="S314" s="173"/>
      <c r="T314" s="173"/>
      <c r="U314" s="166"/>
      <c r="V314" s="166"/>
      <c r="W314" s="65"/>
      <c r="X314" s="66"/>
      <c r="Y314" s="173"/>
      <c r="Z314" s="166"/>
      <c r="AA314" s="174"/>
      <c r="AB314" s="175"/>
      <c r="AC314" s="175"/>
      <c r="AD314" s="175"/>
      <c r="AE314" s="175"/>
      <c r="AF314" s="175"/>
      <c r="AG314" s="175"/>
      <c r="AH314" s="175"/>
      <c r="AI314" s="176"/>
      <c r="AJ314" s="177"/>
      <c r="AK314" s="178"/>
      <c r="AL314" s="178"/>
      <c r="AM314" s="178"/>
      <c r="AN314" s="178"/>
      <c r="AO314" s="179"/>
      <c r="AP314" s="64"/>
      <c r="AQ314" s="65"/>
      <c r="AR314" s="65"/>
      <c r="AS314" s="65"/>
      <c r="AT314" s="173"/>
      <c r="AU314" s="177"/>
      <c r="AV314" s="178"/>
      <c r="AW314" s="178"/>
      <c r="AX314" s="179"/>
      <c r="AZ314" s="166"/>
      <c r="BA314" s="177"/>
      <c r="BB314" s="178"/>
      <c r="BC314" s="178"/>
      <c r="BD314" s="178"/>
      <c r="BE314" s="178"/>
      <c r="BF314" s="178"/>
      <c r="BG314" s="178"/>
      <c r="BH314" s="178"/>
      <c r="BI314" s="179"/>
      <c r="BJ314" s="180"/>
      <c r="BK314" s="178"/>
      <c r="BL314" s="178"/>
      <c r="BM314" s="178"/>
      <c r="BN314" s="178"/>
      <c r="BO314" s="181"/>
      <c r="BP314" s="166"/>
      <c r="BQ314" s="177"/>
      <c r="BR314" s="178"/>
      <c r="BS314" s="179"/>
      <c r="BU314" s="166"/>
      <c r="BV314" s="166"/>
      <c r="BW314" s="166"/>
      <c r="BX314" s="166"/>
      <c r="BY314" s="166"/>
      <c r="BZ314" s="166"/>
      <c r="CA314" s="166"/>
      <c r="CB314" s="166"/>
      <c r="CC314" s="166"/>
      <c r="CD314" s="177"/>
      <c r="CE314" s="181"/>
      <c r="CF314" s="177"/>
      <c r="CG314" s="179"/>
      <c r="CH314" s="257"/>
      <c r="CI314" s="182"/>
      <c r="CJ314" s="177"/>
      <c r="CK314" s="182"/>
      <c r="CL314" s="177"/>
      <c r="CM314" s="182"/>
      <c r="CN314" s="177"/>
      <c r="CO314" s="182"/>
      <c r="CP314" s="177"/>
      <c r="CQ314" s="178"/>
      <c r="CR314" s="182"/>
      <c r="CS314" s="173"/>
      <c r="CT314" s="65"/>
      <c r="CU314" s="255" t="str">
        <f t="shared" si="2"/>
        <v/>
      </c>
    </row>
    <row r="315" ht="60.0" hidden="1" customHeight="1">
      <c r="A315" s="89"/>
      <c r="B315" s="6"/>
      <c r="C315" s="183"/>
      <c r="D315" s="210"/>
      <c r="E315" s="264"/>
      <c r="F315" s="227"/>
      <c r="G315" s="227"/>
      <c r="H315" s="227"/>
      <c r="I315" s="227"/>
      <c r="J315" s="227"/>
      <c r="K315" s="228"/>
      <c r="L315" s="228"/>
      <c r="M315" s="228"/>
      <c r="N315" s="229"/>
      <c r="O315" s="188">
        <f t="shared" si="54"/>
        <v>0</v>
      </c>
      <c r="P315" s="63"/>
      <c r="Q315" s="69"/>
      <c r="R315" s="89"/>
      <c r="S315" s="69"/>
      <c r="T315" s="69"/>
      <c r="U315" s="63"/>
      <c r="V315" s="63"/>
      <c r="W315" s="89"/>
      <c r="X315" s="68"/>
      <c r="Y315" s="69"/>
      <c r="Z315" s="63"/>
      <c r="AA315" s="189"/>
      <c r="AB315" s="190"/>
      <c r="AC315" s="190"/>
      <c r="AD315" s="190"/>
      <c r="AE315" s="190"/>
      <c r="AF315" s="190"/>
      <c r="AG315" s="190"/>
      <c r="AH315" s="190"/>
      <c r="AI315" s="191"/>
      <c r="AJ315" s="192"/>
      <c r="AK315" s="193"/>
      <c r="AL315" s="193"/>
      <c r="AM315" s="193"/>
      <c r="AN315" s="193"/>
      <c r="AO315" s="194"/>
      <c r="AP315" s="103"/>
      <c r="AQ315" s="89"/>
      <c r="AR315" s="89"/>
      <c r="AS315" s="89"/>
      <c r="AT315" s="69"/>
      <c r="AU315" s="192"/>
      <c r="AV315" s="193"/>
      <c r="AW315" s="193"/>
      <c r="AX315" s="194"/>
      <c r="AY315" s="6"/>
      <c r="AZ315" s="63"/>
      <c r="BA315" s="192"/>
      <c r="BB315" s="193"/>
      <c r="BC315" s="193"/>
      <c r="BD315" s="193"/>
      <c r="BE315" s="193"/>
      <c r="BF315" s="193"/>
      <c r="BG315" s="193"/>
      <c r="BH315" s="193"/>
      <c r="BI315" s="194"/>
      <c r="BJ315" s="195"/>
      <c r="BK315" s="193"/>
      <c r="BL315" s="193"/>
      <c r="BM315" s="193"/>
      <c r="BN315" s="193"/>
      <c r="BO315" s="196"/>
      <c r="BP315" s="63"/>
      <c r="BQ315" s="192"/>
      <c r="BR315" s="193"/>
      <c r="BS315" s="194"/>
      <c r="BT315" s="6"/>
      <c r="BU315" s="63"/>
      <c r="BV315" s="63"/>
      <c r="BW315" s="63"/>
      <c r="BX315" s="63"/>
      <c r="BY315" s="63"/>
      <c r="BZ315" s="63"/>
      <c r="CA315" s="63"/>
      <c r="CB315" s="63"/>
      <c r="CC315" s="63"/>
      <c r="CD315" s="192"/>
      <c r="CE315" s="196"/>
      <c r="CF315" s="192"/>
      <c r="CG315" s="194"/>
      <c r="CH315" s="259"/>
      <c r="CI315" s="197"/>
      <c r="CJ315" s="192"/>
      <c r="CK315" s="197"/>
      <c r="CL315" s="192"/>
      <c r="CM315" s="197"/>
      <c r="CN315" s="192"/>
      <c r="CO315" s="197"/>
      <c r="CP315" s="192"/>
      <c r="CQ315" s="193"/>
      <c r="CR315" s="197"/>
      <c r="CS315" s="69"/>
      <c r="CT315" s="89"/>
      <c r="CU315" s="255" t="str">
        <f t="shared" si="2"/>
        <v/>
      </c>
    </row>
    <row r="316" ht="57.0" customHeight="1">
      <c r="A316" s="233"/>
      <c r="B316" s="235"/>
      <c r="C316" s="265"/>
      <c r="D316" s="265"/>
      <c r="E316" s="230"/>
      <c r="F316" s="231"/>
      <c r="G316" s="231"/>
      <c r="H316" s="231"/>
      <c r="I316" s="231"/>
      <c r="J316" s="231"/>
      <c r="K316" s="231"/>
      <c r="L316" s="231"/>
      <c r="M316" s="231"/>
      <c r="N316" s="237"/>
      <c r="O316" s="238">
        <f t="shared" ref="O316:X316" si="55">SUM(O8:O315)</f>
        <v>0</v>
      </c>
      <c r="P316" s="239">
        <f t="shared" si="55"/>
        <v>0</v>
      </c>
      <c r="Q316" s="239">
        <f t="shared" si="55"/>
        <v>0</v>
      </c>
      <c r="R316" s="239">
        <f t="shared" si="55"/>
        <v>0</v>
      </c>
      <c r="S316" s="239">
        <f t="shared" si="55"/>
        <v>0</v>
      </c>
      <c r="T316" s="239">
        <f t="shared" si="55"/>
        <v>0</v>
      </c>
      <c r="U316" s="239">
        <f t="shared" si="55"/>
        <v>0</v>
      </c>
      <c r="V316" s="239">
        <f t="shared" si="55"/>
        <v>0</v>
      </c>
      <c r="W316" s="239">
        <f t="shared" si="55"/>
        <v>0</v>
      </c>
      <c r="X316" s="239">
        <f t="shared" si="55"/>
        <v>0</v>
      </c>
      <c r="Y316" s="240">
        <f>SUM(SUM(O8:O18)-X8,SUM(O19:O29)-X19,SUM(O30:O40)-X30,SUM(O41:O51)-X41,SUM(O52:O62)-X52,SUM(O63:O73)-X63,SUM(O74:O84)-X74,SUM(O85:O95)-X85,SUM(O96:O106)-X96,SUM(O107:O117)-X107,SUM(O118:O128)-X118,SUM(O129:O139)-X129,SUM(O140:O150)-X140,SUM(O151:O161)-X151,SUM(O162:O172)-X162,SUM(O173:O183)-X173,SUM(O184:O194)-X184,SUM(O195:O205)-X195,SUM(O206:O216)-X206,SUM(O217:O227)-X217,SUM(O228:O238)-X228,SUM(O239:O249)-X239,SUM(O250:O260)-X250,SUM(O261:O271)-X261,SUM(O272:O282)-X272,SUM(O283:O293)-X283,SUM(O294:O304)-X294,SUM(O305:O315)-X305)</f>
        <v>0</v>
      </c>
      <c r="Z316" s="239">
        <f t="shared" ref="Z316:CT316" si="56">SUM(Z8:Z315)</f>
        <v>0</v>
      </c>
      <c r="AA316" s="239">
        <f t="shared" si="56"/>
        <v>0</v>
      </c>
      <c r="AB316" s="239">
        <f t="shared" si="56"/>
        <v>0</v>
      </c>
      <c r="AC316" s="239">
        <f t="shared" si="56"/>
        <v>0</v>
      </c>
      <c r="AD316" s="239">
        <f t="shared" si="56"/>
        <v>0</v>
      </c>
      <c r="AE316" s="239">
        <f t="shared" si="56"/>
        <v>0</v>
      </c>
      <c r="AF316" s="239">
        <f t="shared" si="56"/>
        <v>0</v>
      </c>
      <c r="AG316" s="239">
        <f t="shared" si="56"/>
        <v>0</v>
      </c>
      <c r="AH316" s="239">
        <f t="shared" si="56"/>
        <v>0</v>
      </c>
      <c r="AI316" s="239">
        <f t="shared" si="56"/>
        <v>0</v>
      </c>
      <c r="AJ316" s="239">
        <f t="shared" si="56"/>
        <v>0</v>
      </c>
      <c r="AK316" s="239">
        <f t="shared" si="56"/>
        <v>0</v>
      </c>
      <c r="AL316" s="239">
        <f t="shared" si="56"/>
        <v>0</v>
      </c>
      <c r="AM316" s="239">
        <f t="shared" si="56"/>
        <v>0</v>
      </c>
      <c r="AN316" s="239">
        <f t="shared" si="56"/>
        <v>0</v>
      </c>
      <c r="AO316" s="239">
        <f t="shared" si="56"/>
        <v>0</v>
      </c>
      <c r="AP316" s="239">
        <f t="shared" si="56"/>
        <v>0</v>
      </c>
      <c r="AQ316" s="239">
        <f t="shared" si="56"/>
        <v>0</v>
      </c>
      <c r="AR316" s="239">
        <f t="shared" si="56"/>
        <v>0</v>
      </c>
      <c r="AS316" s="239">
        <f t="shared" si="56"/>
        <v>0.8333333333</v>
      </c>
      <c r="AT316" s="239">
        <f t="shared" si="56"/>
        <v>0.2083333333</v>
      </c>
      <c r="AU316" s="239">
        <f t="shared" si="56"/>
        <v>0</v>
      </c>
      <c r="AV316" s="239">
        <f t="shared" si="56"/>
        <v>0</v>
      </c>
      <c r="AW316" s="239">
        <f t="shared" si="56"/>
        <v>0</v>
      </c>
      <c r="AX316" s="239">
        <f t="shared" si="56"/>
        <v>0</v>
      </c>
      <c r="AY316" s="239">
        <f t="shared" si="56"/>
        <v>0</v>
      </c>
      <c r="AZ316" s="239">
        <f t="shared" si="56"/>
        <v>0</v>
      </c>
      <c r="BA316" s="239">
        <f t="shared" si="56"/>
        <v>0</v>
      </c>
      <c r="BB316" s="239">
        <f t="shared" si="56"/>
        <v>0</v>
      </c>
      <c r="BC316" s="239">
        <f t="shared" si="56"/>
        <v>0</v>
      </c>
      <c r="BD316" s="239">
        <f t="shared" si="56"/>
        <v>0</v>
      </c>
      <c r="BE316" s="239">
        <f t="shared" si="56"/>
        <v>0</v>
      </c>
      <c r="BF316" s="239">
        <f t="shared" si="56"/>
        <v>0</v>
      </c>
      <c r="BG316" s="239">
        <f t="shared" si="56"/>
        <v>0</v>
      </c>
      <c r="BH316" s="239">
        <f t="shared" si="56"/>
        <v>0</v>
      </c>
      <c r="BI316" s="239">
        <f t="shared" si="56"/>
        <v>0</v>
      </c>
      <c r="BJ316" s="239">
        <f t="shared" si="56"/>
        <v>0</v>
      </c>
      <c r="BK316" s="239">
        <f t="shared" si="56"/>
        <v>0</v>
      </c>
      <c r="BL316" s="239">
        <f t="shared" si="56"/>
        <v>0</v>
      </c>
      <c r="BM316" s="239">
        <f t="shared" si="56"/>
        <v>0</v>
      </c>
      <c r="BN316" s="239">
        <f t="shared" si="56"/>
        <v>0</v>
      </c>
      <c r="BO316" s="239">
        <f t="shared" si="56"/>
        <v>0</v>
      </c>
      <c r="BP316" s="239">
        <f t="shared" si="56"/>
        <v>0</v>
      </c>
      <c r="BQ316" s="239">
        <f t="shared" si="56"/>
        <v>0</v>
      </c>
      <c r="BR316" s="239">
        <f t="shared" si="56"/>
        <v>0</v>
      </c>
      <c r="BS316" s="239">
        <f t="shared" si="56"/>
        <v>0</v>
      </c>
      <c r="BT316" s="239">
        <f t="shared" si="56"/>
        <v>0</v>
      </c>
      <c r="BU316" s="239">
        <f t="shared" si="56"/>
        <v>0</v>
      </c>
      <c r="BV316" s="239">
        <f t="shared" si="56"/>
        <v>0</v>
      </c>
      <c r="BW316" s="239">
        <f t="shared" si="56"/>
        <v>0</v>
      </c>
      <c r="BX316" s="239">
        <f t="shared" si="56"/>
        <v>0</v>
      </c>
      <c r="BY316" s="239">
        <f t="shared" si="56"/>
        <v>0</v>
      </c>
      <c r="BZ316" s="239">
        <f t="shared" si="56"/>
        <v>0</v>
      </c>
      <c r="CA316" s="239">
        <f t="shared" si="56"/>
        <v>0</v>
      </c>
      <c r="CB316" s="239">
        <f t="shared" si="56"/>
        <v>0</v>
      </c>
      <c r="CC316" s="239">
        <f t="shared" si="56"/>
        <v>0</v>
      </c>
      <c r="CD316" s="239">
        <f t="shared" si="56"/>
        <v>0</v>
      </c>
      <c r="CE316" s="239">
        <f t="shared" si="56"/>
        <v>0</v>
      </c>
      <c r="CF316" s="239">
        <f t="shared" si="56"/>
        <v>0</v>
      </c>
      <c r="CG316" s="239">
        <f t="shared" si="56"/>
        <v>2.5</v>
      </c>
      <c r="CH316" s="239">
        <f t="shared" si="56"/>
        <v>0</v>
      </c>
      <c r="CI316" s="239">
        <f t="shared" si="56"/>
        <v>0</v>
      </c>
      <c r="CJ316" s="239">
        <f t="shared" si="56"/>
        <v>0</v>
      </c>
      <c r="CK316" s="239">
        <f t="shared" si="56"/>
        <v>0</v>
      </c>
      <c r="CL316" s="239">
        <f t="shared" si="56"/>
        <v>0</v>
      </c>
      <c r="CM316" s="239">
        <f t="shared" si="56"/>
        <v>0</v>
      </c>
      <c r="CN316" s="239">
        <f t="shared" si="56"/>
        <v>0</v>
      </c>
      <c r="CO316" s="239">
        <f t="shared" si="56"/>
        <v>0</v>
      </c>
      <c r="CP316" s="239">
        <f t="shared" si="56"/>
        <v>0</v>
      </c>
      <c r="CQ316" s="239">
        <f t="shared" si="56"/>
        <v>0</v>
      </c>
      <c r="CR316" s="239">
        <f t="shared" si="56"/>
        <v>0</v>
      </c>
      <c r="CS316" s="239">
        <f t="shared" si="56"/>
        <v>0</v>
      </c>
      <c r="CT316" s="239">
        <f t="shared" si="56"/>
        <v>0.8333333333</v>
      </c>
      <c r="CU316" s="236"/>
    </row>
  </sheetData>
  <mergeCells count="2183">
    <mergeCell ref="CN151:CN161"/>
    <mergeCell ref="CO151:CO161"/>
    <mergeCell ref="CP151:CP161"/>
    <mergeCell ref="CQ151:CQ161"/>
    <mergeCell ref="CR151:CR161"/>
    <mergeCell ref="CS151:CS161"/>
    <mergeCell ref="CT151:CT161"/>
    <mergeCell ref="CG151:CG161"/>
    <mergeCell ref="CH151:CH161"/>
    <mergeCell ref="CI151:CI161"/>
    <mergeCell ref="CJ151:CJ161"/>
    <mergeCell ref="CK151:CK161"/>
    <mergeCell ref="CL151:CL161"/>
    <mergeCell ref="CM151:CM161"/>
    <mergeCell ref="AQ151:AQ161"/>
    <mergeCell ref="AR151:AR161"/>
    <mergeCell ref="AS151:AS161"/>
    <mergeCell ref="AT151:AT161"/>
    <mergeCell ref="AU151:AU161"/>
    <mergeCell ref="AV151:AV161"/>
    <mergeCell ref="AW151:AW161"/>
    <mergeCell ref="AX151:AX161"/>
    <mergeCell ref="AY151:AY161"/>
    <mergeCell ref="AZ151:AZ161"/>
    <mergeCell ref="BA151:BA161"/>
    <mergeCell ref="BB151:BB161"/>
    <mergeCell ref="BC151:BC161"/>
    <mergeCell ref="BD151:BD161"/>
    <mergeCell ref="BE151:BE161"/>
    <mergeCell ref="BF151:BF161"/>
    <mergeCell ref="BG151:BG161"/>
    <mergeCell ref="BH151:BH161"/>
    <mergeCell ref="BI151:BI161"/>
    <mergeCell ref="BJ151:BJ161"/>
    <mergeCell ref="BK151:BK161"/>
    <mergeCell ref="BL151:BL161"/>
    <mergeCell ref="BM151:BM161"/>
    <mergeCell ref="BN151:BN161"/>
    <mergeCell ref="BO151:BO161"/>
    <mergeCell ref="BP151:BP161"/>
    <mergeCell ref="BQ151:BQ161"/>
    <mergeCell ref="BR151:BR161"/>
    <mergeCell ref="BS151:BS161"/>
    <mergeCell ref="BT151:BT161"/>
    <mergeCell ref="BU151:BU161"/>
    <mergeCell ref="BV151:BV161"/>
    <mergeCell ref="BW151:BW161"/>
    <mergeCell ref="BX151:BX161"/>
    <mergeCell ref="BY151:BY161"/>
    <mergeCell ref="BZ151:BZ161"/>
    <mergeCell ref="CA151:CA161"/>
    <mergeCell ref="CB151:CB161"/>
    <mergeCell ref="CC151:CC161"/>
    <mergeCell ref="CD151:CD161"/>
    <mergeCell ref="CE151:CE161"/>
    <mergeCell ref="CF151:CF161"/>
    <mergeCell ref="AJ151:AJ161"/>
    <mergeCell ref="AK151:AK161"/>
    <mergeCell ref="AL151:AL161"/>
    <mergeCell ref="AM151:AM161"/>
    <mergeCell ref="AN151:AN161"/>
    <mergeCell ref="AO151:AO161"/>
    <mergeCell ref="AP151:AP161"/>
    <mergeCell ref="CN96:CN106"/>
    <mergeCell ref="CO96:CO106"/>
    <mergeCell ref="CG96:CG106"/>
    <mergeCell ref="CH96:CH106"/>
    <mergeCell ref="CI96:CI106"/>
    <mergeCell ref="CJ96:CJ106"/>
    <mergeCell ref="CK96:CK106"/>
    <mergeCell ref="CL96:CL106"/>
    <mergeCell ref="CM96:CM106"/>
    <mergeCell ref="AQ96:AQ106"/>
    <mergeCell ref="AR96:AR106"/>
    <mergeCell ref="AS96:AS106"/>
    <mergeCell ref="AT96:AT106"/>
    <mergeCell ref="AU96:AU106"/>
    <mergeCell ref="AV96:AV106"/>
    <mergeCell ref="AW96:AW106"/>
    <mergeCell ref="AX96:AX106"/>
    <mergeCell ref="AY96:AY106"/>
    <mergeCell ref="AZ96:AZ106"/>
    <mergeCell ref="BA96:BA106"/>
    <mergeCell ref="BB96:BB106"/>
    <mergeCell ref="BC96:BC106"/>
    <mergeCell ref="BD96:BD106"/>
    <mergeCell ref="BE96:BE106"/>
    <mergeCell ref="BF96:BF106"/>
    <mergeCell ref="BG96:BG106"/>
    <mergeCell ref="BH96:BH106"/>
    <mergeCell ref="BI96:BI106"/>
    <mergeCell ref="BJ96:BJ106"/>
    <mergeCell ref="BK96:BK106"/>
    <mergeCell ref="BL96:BL106"/>
    <mergeCell ref="BM96:BM106"/>
    <mergeCell ref="BN96:BN106"/>
    <mergeCell ref="BO96:BO106"/>
    <mergeCell ref="BP96:BP106"/>
    <mergeCell ref="BQ96:BQ106"/>
    <mergeCell ref="BR96:BR106"/>
    <mergeCell ref="BS96:BS106"/>
    <mergeCell ref="BT96:BT106"/>
    <mergeCell ref="BU96:BU106"/>
    <mergeCell ref="BV96:BV106"/>
    <mergeCell ref="BW96:BW106"/>
    <mergeCell ref="BX96:BX106"/>
    <mergeCell ref="BY96:BY106"/>
    <mergeCell ref="BZ96:BZ106"/>
    <mergeCell ref="CA96:CA106"/>
    <mergeCell ref="CB96:CB106"/>
    <mergeCell ref="CC96:CC106"/>
    <mergeCell ref="CD96:CD106"/>
    <mergeCell ref="CE96:CE106"/>
    <mergeCell ref="CF96:CF106"/>
    <mergeCell ref="AJ96:AJ106"/>
    <mergeCell ref="AK96:AK106"/>
    <mergeCell ref="AL96:AL106"/>
    <mergeCell ref="AM96:AM106"/>
    <mergeCell ref="AN96:AN106"/>
    <mergeCell ref="AO96:AO106"/>
    <mergeCell ref="AP96:AP106"/>
    <mergeCell ref="CN107:CN117"/>
    <mergeCell ref="CO107:CO117"/>
    <mergeCell ref="CP107:CP117"/>
    <mergeCell ref="CQ107:CQ117"/>
    <mergeCell ref="CR107:CR117"/>
    <mergeCell ref="CS107:CS117"/>
    <mergeCell ref="CT107:CT117"/>
    <mergeCell ref="CG107:CG117"/>
    <mergeCell ref="CH107:CH117"/>
    <mergeCell ref="CI107:CI117"/>
    <mergeCell ref="CJ107:CJ117"/>
    <mergeCell ref="CK107:CK117"/>
    <mergeCell ref="CL107:CL117"/>
    <mergeCell ref="CM107:CM117"/>
    <mergeCell ref="AQ107:AQ117"/>
    <mergeCell ref="AR107:AR117"/>
    <mergeCell ref="AS107:AS117"/>
    <mergeCell ref="AT107:AT117"/>
    <mergeCell ref="AU107:AU117"/>
    <mergeCell ref="AV107:AV117"/>
    <mergeCell ref="AW107:AW117"/>
    <mergeCell ref="AX107:AX117"/>
    <mergeCell ref="AY107:AY117"/>
    <mergeCell ref="AZ107:AZ117"/>
    <mergeCell ref="BA107:BA117"/>
    <mergeCell ref="BB107:BB117"/>
    <mergeCell ref="BC107:BC117"/>
    <mergeCell ref="BD107:BD117"/>
    <mergeCell ref="BE107:BE117"/>
    <mergeCell ref="BF107:BF117"/>
    <mergeCell ref="BG107:BG117"/>
    <mergeCell ref="BH107:BH117"/>
    <mergeCell ref="BI107:BI117"/>
    <mergeCell ref="BJ107:BJ117"/>
    <mergeCell ref="BK107:BK117"/>
    <mergeCell ref="BL107:BL117"/>
    <mergeCell ref="BM107:BM117"/>
    <mergeCell ref="BN107:BN117"/>
    <mergeCell ref="BO107:BO117"/>
    <mergeCell ref="BP107:BP117"/>
    <mergeCell ref="BQ107:BQ117"/>
    <mergeCell ref="BR107:BR117"/>
    <mergeCell ref="BS107:BS117"/>
    <mergeCell ref="BT107:BT117"/>
    <mergeCell ref="BU107:BU117"/>
    <mergeCell ref="BV107:BV117"/>
    <mergeCell ref="BW107:BW117"/>
    <mergeCell ref="BX107:BX117"/>
    <mergeCell ref="BY107:BY117"/>
    <mergeCell ref="BZ107:BZ117"/>
    <mergeCell ref="CA107:CA117"/>
    <mergeCell ref="CB107:CB117"/>
    <mergeCell ref="CC107:CC117"/>
    <mergeCell ref="CD107:CD117"/>
    <mergeCell ref="CE107:CE117"/>
    <mergeCell ref="CF107:CF117"/>
    <mergeCell ref="AJ107:AJ117"/>
    <mergeCell ref="AK107:AK117"/>
    <mergeCell ref="AL107:AL117"/>
    <mergeCell ref="AM107:AM117"/>
    <mergeCell ref="AN107:AN117"/>
    <mergeCell ref="AO107:AO117"/>
    <mergeCell ref="AP107:AP117"/>
    <mergeCell ref="CN118:CN128"/>
    <mergeCell ref="CO118:CO128"/>
    <mergeCell ref="CP118:CP128"/>
    <mergeCell ref="CQ118:CQ128"/>
    <mergeCell ref="CR118:CR128"/>
    <mergeCell ref="CS118:CS128"/>
    <mergeCell ref="CT118:CT128"/>
    <mergeCell ref="CG118:CG128"/>
    <mergeCell ref="CH118:CH128"/>
    <mergeCell ref="CI118:CI128"/>
    <mergeCell ref="CJ118:CJ128"/>
    <mergeCell ref="CK118:CK128"/>
    <mergeCell ref="CL118:CL128"/>
    <mergeCell ref="CM118:CM128"/>
    <mergeCell ref="AQ118:AQ128"/>
    <mergeCell ref="AR118:AR128"/>
    <mergeCell ref="AS118:AS128"/>
    <mergeCell ref="AT118:AT128"/>
    <mergeCell ref="AU118:AU128"/>
    <mergeCell ref="AV118:AV128"/>
    <mergeCell ref="AW118:AW128"/>
    <mergeCell ref="AX118:AX128"/>
    <mergeCell ref="AY118:AY128"/>
    <mergeCell ref="AZ118:AZ128"/>
    <mergeCell ref="BA118:BA128"/>
    <mergeCell ref="BB118:BB128"/>
    <mergeCell ref="BC118:BC128"/>
    <mergeCell ref="BD118:BD128"/>
    <mergeCell ref="BE118:BE128"/>
    <mergeCell ref="BF118:BF128"/>
    <mergeCell ref="BG118:BG128"/>
    <mergeCell ref="BH118:BH128"/>
    <mergeCell ref="BI118:BI128"/>
    <mergeCell ref="BJ118:BJ128"/>
    <mergeCell ref="BK118:BK128"/>
    <mergeCell ref="BL118:BL128"/>
    <mergeCell ref="BM118:BM128"/>
    <mergeCell ref="BN118:BN128"/>
    <mergeCell ref="BO118:BO128"/>
    <mergeCell ref="BP118:BP128"/>
    <mergeCell ref="BQ118:BQ128"/>
    <mergeCell ref="BR118:BR128"/>
    <mergeCell ref="BS118:BS128"/>
    <mergeCell ref="BT118:BT128"/>
    <mergeCell ref="BU118:BU128"/>
    <mergeCell ref="BV118:BV128"/>
    <mergeCell ref="BW118:BW128"/>
    <mergeCell ref="BX118:BX128"/>
    <mergeCell ref="BY118:BY128"/>
    <mergeCell ref="BZ118:BZ128"/>
    <mergeCell ref="CA118:CA128"/>
    <mergeCell ref="CB118:CB128"/>
    <mergeCell ref="CC118:CC128"/>
    <mergeCell ref="CD118:CD128"/>
    <mergeCell ref="CE118:CE128"/>
    <mergeCell ref="CF118:CF128"/>
    <mergeCell ref="AJ118:AJ128"/>
    <mergeCell ref="AK118:AK128"/>
    <mergeCell ref="AL118:AL128"/>
    <mergeCell ref="AM118:AM128"/>
    <mergeCell ref="AN118:AN128"/>
    <mergeCell ref="AO118:AO128"/>
    <mergeCell ref="AP118:AP128"/>
    <mergeCell ref="CN162:CN172"/>
    <mergeCell ref="CO162:CO172"/>
    <mergeCell ref="CP162:CP172"/>
    <mergeCell ref="CQ162:CQ172"/>
    <mergeCell ref="CR162:CR172"/>
    <mergeCell ref="CS162:CS172"/>
    <mergeCell ref="CT162:CT172"/>
    <mergeCell ref="CG162:CG172"/>
    <mergeCell ref="CH162:CH172"/>
    <mergeCell ref="CI162:CI172"/>
    <mergeCell ref="CJ162:CJ172"/>
    <mergeCell ref="CK162:CK172"/>
    <mergeCell ref="CL162:CL172"/>
    <mergeCell ref="CM162:CM172"/>
    <mergeCell ref="AJ162:AJ172"/>
    <mergeCell ref="AK162:AK172"/>
    <mergeCell ref="AL162:AL172"/>
    <mergeCell ref="AM162:AM172"/>
    <mergeCell ref="AN162:AN172"/>
    <mergeCell ref="AO162:AO172"/>
    <mergeCell ref="AP162:AP172"/>
    <mergeCell ref="AQ162:AQ172"/>
    <mergeCell ref="AR162:AR172"/>
    <mergeCell ref="AS162:AS172"/>
    <mergeCell ref="AT162:AT172"/>
    <mergeCell ref="AU162:AU172"/>
    <mergeCell ref="AV162:AV172"/>
    <mergeCell ref="AW162:AW172"/>
    <mergeCell ref="AX162:AX172"/>
    <mergeCell ref="AY162:AY172"/>
    <mergeCell ref="AZ162:AZ172"/>
    <mergeCell ref="BA162:BA172"/>
    <mergeCell ref="BB162:BB172"/>
    <mergeCell ref="BC162:BC172"/>
    <mergeCell ref="BD162:BD172"/>
    <mergeCell ref="BE162:BE172"/>
    <mergeCell ref="BF162:BF172"/>
    <mergeCell ref="BG162:BG172"/>
    <mergeCell ref="BH162:BH172"/>
    <mergeCell ref="BI162:BI172"/>
    <mergeCell ref="BJ162:BJ172"/>
    <mergeCell ref="BK162:BK172"/>
    <mergeCell ref="BL162:BL172"/>
    <mergeCell ref="BM162:BM172"/>
    <mergeCell ref="BN162:BN172"/>
    <mergeCell ref="BO162:BO172"/>
    <mergeCell ref="BP162:BP172"/>
    <mergeCell ref="BQ162:BQ172"/>
    <mergeCell ref="BR162:BR172"/>
    <mergeCell ref="BS162:BS172"/>
    <mergeCell ref="BT162:BT172"/>
    <mergeCell ref="BU162:BU172"/>
    <mergeCell ref="BV162:BV172"/>
    <mergeCell ref="BW162:BW172"/>
    <mergeCell ref="BX162:BX172"/>
    <mergeCell ref="BY162:BY172"/>
    <mergeCell ref="BZ162:BZ172"/>
    <mergeCell ref="CA162:CA172"/>
    <mergeCell ref="CB162:CB172"/>
    <mergeCell ref="CC162:CC172"/>
    <mergeCell ref="CD162:CD172"/>
    <mergeCell ref="CE162:CE172"/>
    <mergeCell ref="CF162:CF172"/>
    <mergeCell ref="CN206:CN216"/>
    <mergeCell ref="CO206:CO216"/>
    <mergeCell ref="CP206:CP216"/>
    <mergeCell ref="CQ206:CQ216"/>
    <mergeCell ref="CR206:CR216"/>
    <mergeCell ref="CS206:CS216"/>
    <mergeCell ref="CT206:CT216"/>
    <mergeCell ref="CG206:CG216"/>
    <mergeCell ref="CH206:CH216"/>
    <mergeCell ref="CI206:CI216"/>
    <mergeCell ref="CJ206:CJ216"/>
    <mergeCell ref="CK206:CK216"/>
    <mergeCell ref="CL206:CL216"/>
    <mergeCell ref="CM206:CM216"/>
    <mergeCell ref="AQ206:AQ216"/>
    <mergeCell ref="AR206:AR216"/>
    <mergeCell ref="AS206:AS216"/>
    <mergeCell ref="AT206:AT216"/>
    <mergeCell ref="AU206:AU216"/>
    <mergeCell ref="AV206:AV216"/>
    <mergeCell ref="AW206:AW216"/>
    <mergeCell ref="AX206:AX216"/>
    <mergeCell ref="AY206:AY216"/>
    <mergeCell ref="AZ206:AZ216"/>
    <mergeCell ref="BA206:BA216"/>
    <mergeCell ref="BB206:BB216"/>
    <mergeCell ref="BC206:BC216"/>
    <mergeCell ref="BD206:BD216"/>
    <mergeCell ref="BE206:BE216"/>
    <mergeCell ref="BF206:BF216"/>
    <mergeCell ref="BG206:BG216"/>
    <mergeCell ref="BH206:BH216"/>
    <mergeCell ref="BI206:BI216"/>
    <mergeCell ref="BJ206:BJ216"/>
    <mergeCell ref="BK206:BK216"/>
    <mergeCell ref="BL206:BL216"/>
    <mergeCell ref="BM206:BM216"/>
    <mergeCell ref="BN206:BN216"/>
    <mergeCell ref="BO206:BO216"/>
    <mergeCell ref="BP206:BP216"/>
    <mergeCell ref="BQ206:BQ216"/>
    <mergeCell ref="BR206:BR216"/>
    <mergeCell ref="BS206:BS216"/>
    <mergeCell ref="BT206:BT216"/>
    <mergeCell ref="BU206:BU216"/>
    <mergeCell ref="BV206:BV216"/>
    <mergeCell ref="BW206:BW216"/>
    <mergeCell ref="BX206:BX216"/>
    <mergeCell ref="BY206:BY216"/>
    <mergeCell ref="BZ206:BZ216"/>
    <mergeCell ref="CA206:CA216"/>
    <mergeCell ref="CB206:CB216"/>
    <mergeCell ref="CC206:CC216"/>
    <mergeCell ref="CD206:CD216"/>
    <mergeCell ref="CE206:CE216"/>
    <mergeCell ref="CF206:CF216"/>
    <mergeCell ref="AJ206:AJ216"/>
    <mergeCell ref="AK206:AK216"/>
    <mergeCell ref="AL206:AL216"/>
    <mergeCell ref="AM206:AM216"/>
    <mergeCell ref="AN206:AN216"/>
    <mergeCell ref="AO206:AO216"/>
    <mergeCell ref="AP206:AP216"/>
    <mergeCell ref="CC173:CC183"/>
    <mergeCell ref="CD173:CD183"/>
    <mergeCell ref="CE173:CE183"/>
    <mergeCell ref="CF173:CF183"/>
    <mergeCell ref="CG173:CG183"/>
    <mergeCell ref="CH173:CH183"/>
    <mergeCell ref="CI173:CI183"/>
    <mergeCell ref="CQ173:CQ183"/>
    <mergeCell ref="CR173:CR183"/>
    <mergeCell ref="CS173:CS183"/>
    <mergeCell ref="CT173:CT183"/>
    <mergeCell ref="CJ173:CJ183"/>
    <mergeCell ref="CK173:CK183"/>
    <mergeCell ref="CL173:CL183"/>
    <mergeCell ref="CM173:CM183"/>
    <mergeCell ref="CN173:CN183"/>
    <mergeCell ref="CO173:CO183"/>
    <mergeCell ref="CP173:CP183"/>
    <mergeCell ref="W173:W183"/>
    <mergeCell ref="X173:X183"/>
    <mergeCell ref="Y173:Y183"/>
    <mergeCell ref="Z173:Z183"/>
    <mergeCell ref="AJ173:AJ183"/>
    <mergeCell ref="AK173:AK183"/>
    <mergeCell ref="AL173:AL183"/>
    <mergeCell ref="AT173:AT183"/>
    <mergeCell ref="AU173:AU183"/>
    <mergeCell ref="AV173:AV183"/>
    <mergeCell ref="AW173:AW183"/>
    <mergeCell ref="AX173:AX183"/>
    <mergeCell ref="AY173:AY183"/>
    <mergeCell ref="AZ173:AZ183"/>
    <mergeCell ref="BA173:BA183"/>
    <mergeCell ref="BB173:BB183"/>
    <mergeCell ref="BC173:BC183"/>
    <mergeCell ref="BD173:BD183"/>
    <mergeCell ref="BE173:BE183"/>
    <mergeCell ref="BF173:BF183"/>
    <mergeCell ref="BG173:BG183"/>
    <mergeCell ref="BH173:BH183"/>
    <mergeCell ref="BI173:BI183"/>
    <mergeCell ref="BJ173:BJ183"/>
    <mergeCell ref="BK173:BK183"/>
    <mergeCell ref="BL173:BL183"/>
    <mergeCell ref="BM173:BM183"/>
    <mergeCell ref="BN173:BN183"/>
    <mergeCell ref="BO173:BO183"/>
    <mergeCell ref="BP173:BP183"/>
    <mergeCell ref="BQ173:BQ183"/>
    <mergeCell ref="BR173:BR183"/>
    <mergeCell ref="BS173:BS183"/>
    <mergeCell ref="BT173:BT183"/>
    <mergeCell ref="BU173:BU183"/>
    <mergeCell ref="BV173:BV183"/>
    <mergeCell ref="BW173:BW183"/>
    <mergeCell ref="BX173:BX183"/>
    <mergeCell ref="BY173:BY183"/>
    <mergeCell ref="BZ173:BZ183"/>
    <mergeCell ref="CA173:CA183"/>
    <mergeCell ref="CB173:CB183"/>
    <mergeCell ref="AM173:AM183"/>
    <mergeCell ref="AN173:AN183"/>
    <mergeCell ref="AO173:AO183"/>
    <mergeCell ref="AP173:AP183"/>
    <mergeCell ref="AQ173:AQ183"/>
    <mergeCell ref="AR173:AR183"/>
    <mergeCell ref="AS173:AS183"/>
    <mergeCell ref="CN184:CN194"/>
    <mergeCell ref="CO184:CO194"/>
    <mergeCell ref="CP184:CP194"/>
    <mergeCell ref="CQ184:CQ194"/>
    <mergeCell ref="CR184:CR194"/>
    <mergeCell ref="CS184:CS194"/>
    <mergeCell ref="CT184:CT194"/>
    <mergeCell ref="CG184:CG194"/>
    <mergeCell ref="CH184:CH194"/>
    <mergeCell ref="CI184:CI194"/>
    <mergeCell ref="CJ184:CJ194"/>
    <mergeCell ref="CK184:CK194"/>
    <mergeCell ref="CL184:CL194"/>
    <mergeCell ref="CM184:CM194"/>
    <mergeCell ref="AQ184:AQ194"/>
    <mergeCell ref="AR184:AR194"/>
    <mergeCell ref="AS184:AS194"/>
    <mergeCell ref="AT184:AT194"/>
    <mergeCell ref="AU184:AU194"/>
    <mergeCell ref="AV184:AV194"/>
    <mergeCell ref="AW184:AW194"/>
    <mergeCell ref="AX184:AX194"/>
    <mergeCell ref="AY184:AY194"/>
    <mergeCell ref="AZ184:AZ194"/>
    <mergeCell ref="BA184:BA194"/>
    <mergeCell ref="BB184:BB194"/>
    <mergeCell ref="BC184:BC194"/>
    <mergeCell ref="BD184:BD194"/>
    <mergeCell ref="BE184:BE194"/>
    <mergeCell ref="BF184:BF194"/>
    <mergeCell ref="BG184:BG194"/>
    <mergeCell ref="BH184:BH194"/>
    <mergeCell ref="BI184:BI194"/>
    <mergeCell ref="BJ184:BJ194"/>
    <mergeCell ref="BK184:BK194"/>
    <mergeCell ref="BL184:BL194"/>
    <mergeCell ref="BM184:BM194"/>
    <mergeCell ref="BN184:BN194"/>
    <mergeCell ref="BO184:BO194"/>
    <mergeCell ref="BP184:BP194"/>
    <mergeCell ref="BQ184:BQ194"/>
    <mergeCell ref="BR184:BR194"/>
    <mergeCell ref="BS184:BS194"/>
    <mergeCell ref="BT184:BT194"/>
    <mergeCell ref="BU184:BU194"/>
    <mergeCell ref="BV184:BV194"/>
    <mergeCell ref="BW184:BW194"/>
    <mergeCell ref="BX184:BX194"/>
    <mergeCell ref="BY184:BY194"/>
    <mergeCell ref="BZ184:BZ194"/>
    <mergeCell ref="CA184:CA194"/>
    <mergeCell ref="CB184:CB194"/>
    <mergeCell ref="CC184:CC194"/>
    <mergeCell ref="CD184:CD194"/>
    <mergeCell ref="CE184:CE194"/>
    <mergeCell ref="CF184:CF194"/>
    <mergeCell ref="AJ184:AJ194"/>
    <mergeCell ref="AK184:AK194"/>
    <mergeCell ref="AL184:AL194"/>
    <mergeCell ref="AM184:AM194"/>
    <mergeCell ref="AN184:AN194"/>
    <mergeCell ref="AO184:AO194"/>
    <mergeCell ref="AP184:AP194"/>
    <mergeCell ref="CN195:CN205"/>
    <mergeCell ref="CO195:CO205"/>
    <mergeCell ref="CP195:CP205"/>
    <mergeCell ref="CQ195:CQ205"/>
    <mergeCell ref="CR195:CR205"/>
    <mergeCell ref="CS195:CS205"/>
    <mergeCell ref="CT195:CT205"/>
    <mergeCell ref="CG195:CG205"/>
    <mergeCell ref="CH195:CH205"/>
    <mergeCell ref="CI195:CI205"/>
    <mergeCell ref="CJ195:CJ205"/>
    <mergeCell ref="CK195:CK205"/>
    <mergeCell ref="CL195:CL205"/>
    <mergeCell ref="CM195:CM205"/>
    <mergeCell ref="AQ195:AQ205"/>
    <mergeCell ref="AR195:AR205"/>
    <mergeCell ref="AS195:AS205"/>
    <mergeCell ref="AT195:AT205"/>
    <mergeCell ref="AU195:AU205"/>
    <mergeCell ref="AV195:AV205"/>
    <mergeCell ref="AW195:AW205"/>
    <mergeCell ref="AX195:AX205"/>
    <mergeCell ref="AY195:AY205"/>
    <mergeCell ref="AZ195:AZ205"/>
    <mergeCell ref="BA195:BA205"/>
    <mergeCell ref="BB195:BB205"/>
    <mergeCell ref="BC195:BC205"/>
    <mergeCell ref="BD195:BD205"/>
    <mergeCell ref="BE195:BE205"/>
    <mergeCell ref="BF195:BF205"/>
    <mergeCell ref="BG195:BG205"/>
    <mergeCell ref="BH195:BH205"/>
    <mergeCell ref="BI195:BI205"/>
    <mergeCell ref="BJ195:BJ205"/>
    <mergeCell ref="BK195:BK205"/>
    <mergeCell ref="BL195:BL205"/>
    <mergeCell ref="BM195:BM205"/>
    <mergeCell ref="BN195:BN205"/>
    <mergeCell ref="BO195:BO205"/>
    <mergeCell ref="BP195:BP205"/>
    <mergeCell ref="BQ195:BQ205"/>
    <mergeCell ref="BR195:BR205"/>
    <mergeCell ref="BS195:BS205"/>
    <mergeCell ref="BT195:BT205"/>
    <mergeCell ref="BU195:BU205"/>
    <mergeCell ref="BV195:BV205"/>
    <mergeCell ref="BW195:BW205"/>
    <mergeCell ref="BX195:BX205"/>
    <mergeCell ref="BY195:BY205"/>
    <mergeCell ref="BZ195:BZ205"/>
    <mergeCell ref="CA195:CA205"/>
    <mergeCell ref="CB195:CB205"/>
    <mergeCell ref="CC195:CC205"/>
    <mergeCell ref="CD195:CD205"/>
    <mergeCell ref="CE195:CE205"/>
    <mergeCell ref="CF195:CF205"/>
    <mergeCell ref="AJ195:AJ205"/>
    <mergeCell ref="AK195:AK205"/>
    <mergeCell ref="AL195:AL205"/>
    <mergeCell ref="AM195:AM205"/>
    <mergeCell ref="AN195:AN205"/>
    <mergeCell ref="AO195:AO205"/>
    <mergeCell ref="AP195:AP205"/>
    <mergeCell ref="CN217:CN227"/>
    <mergeCell ref="CO217:CO227"/>
    <mergeCell ref="CP217:CP227"/>
    <mergeCell ref="CQ217:CQ227"/>
    <mergeCell ref="CR217:CR227"/>
    <mergeCell ref="CS217:CS227"/>
    <mergeCell ref="CT217:CT227"/>
    <mergeCell ref="CG217:CG227"/>
    <mergeCell ref="CH217:CH227"/>
    <mergeCell ref="CI217:CI227"/>
    <mergeCell ref="CJ217:CJ227"/>
    <mergeCell ref="CK217:CK227"/>
    <mergeCell ref="CL217:CL227"/>
    <mergeCell ref="CM217:CM227"/>
    <mergeCell ref="AJ217:AJ227"/>
    <mergeCell ref="AK217:AK227"/>
    <mergeCell ref="AL217:AL227"/>
    <mergeCell ref="AM217:AM227"/>
    <mergeCell ref="AN217:AN227"/>
    <mergeCell ref="AO217:AO227"/>
    <mergeCell ref="AP217:AP227"/>
    <mergeCell ref="AQ217:AQ227"/>
    <mergeCell ref="AR217:AR227"/>
    <mergeCell ref="AS217:AS227"/>
    <mergeCell ref="AT217:AT227"/>
    <mergeCell ref="AU217:AU227"/>
    <mergeCell ref="AV217:AV227"/>
    <mergeCell ref="AW217:AW227"/>
    <mergeCell ref="AX217:AX227"/>
    <mergeCell ref="AY217:AY227"/>
    <mergeCell ref="AZ217:AZ227"/>
    <mergeCell ref="BA217:BA227"/>
    <mergeCell ref="BB217:BB227"/>
    <mergeCell ref="BC217:BC227"/>
    <mergeCell ref="BD217:BD227"/>
    <mergeCell ref="BE217:BE227"/>
    <mergeCell ref="BF217:BF227"/>
    <mergeCell ref="BG217:BG227"/>
    <mergeCell ref="BH217:BH227"/>
    <mergeCell ref="BI217:BI227"/>
    <mergeCell ref="BJ217:BJ227"/>
    <mergeCell ref="BK217:BK227"/>
    <mergeCell ref="BL217:BL227"/>
    <mergeCell ref="BM217:BM227"/>
    <mergeCell ref="BN217:BN227"/>
    <mergeCell ref="BO217:BO227"/>
    <mergeCell ref="BP217:BP227"/>
    <mergeCell ref="BQ217:BQ227"/>
    <mergeCell ref="BR217:BR227"/>
    <mergeCell ref="BS217:BS227"/>
    <mergeCell ref="BT217:BT227"/>
    <mergeCell ref="BU217:BU227"/>
    <mergeCell ref="BV217:BV227"/>
    <mergeCell ref="BW217:BW227"/>
    <mergeCell ref="BX217:BX227"/>
    <mergeCell ref="BY217:BY227"/>
    <mergeCell ref="BZ217:BZ227"/>
    <mergeCell ref="CA217:CA227"/>
    <mergeCell ref="CB217:CB227"/>
    <mergeCell ref="CC217:CC227"/>
    <mergeCell ref="CD217:CD227"/>
    <mergeCell ref="CE217:CE227"/>
    <mergeCell ref="CF217:CF227"/>
    <mergeCell ref="CN261:CN271"/>
    <mergeCell ref="CO261:CO271"/>
    <mergeCell ref="CP261:CP271"/>
    <mergeCell ref="CQ261:CQ271"/>
    <mergeCell ref="CR261:CR271"/>
    <mergeCell ref="CS261:CS271"/>
    <mergeCell ref="CT261:CT271"/>
    <mergeCell ref="CG261:CG271"/>
    <mergeCell ref="CH261:CH271"/>
    <mergeCell ref="CI261:CI271"/>
    <mergeCell ref="CJ261:CJ271"/>
    <mergeCell ref="CK261:CK271"/>
    <mergeCell ref="CL261:CL271"/>
    <mergeCell ref="CM261:CM271"/>
    <mergeCell ref="AJ261:AJ271"/>
    <mergeCell ref="AK261:AK271"/>
    <mergeCell ref="AL261:AL271"/>
    <mergeCell ref="AM261:AM271"/>
    <mergeCell ref="AN261:AN271"/>
    <mergeCell ref="AO261:AO271"/>
    <mergeCell ref="AP261:AP271"/>
    <mergeCell ref="AQ261:AQ271"/>
    <mergeCell ref="AR261:AR271"/>
    <mergeCell ref="AS261:AS271"/>
    <mergeCell ref="AT261:AT271"/>
    <mergeCell ref="AU261:AU271"/>
    <mergeCell ref="AV261:AV271"/>
    <mergeCell ref="AW261:AW271"/>
    <mergeCell ref="AX261:AX271"/>
    <mergeCell ref="AY261:AY271"/>
    <mergeCell ref="AZ261:AZ271"/>
    <mergeCell ref="BA261:BA271"/>
    <mergeCell ref="BB261:BB271"/>
    <mergeCell ref="BC261:BC271"/>
    <mergeCell ref="BD261:BD271"/>
    <mergeCell ref="BE261:BE271"/>
    <mergeCell ref="BF261:BF271"/>
    <mergeCell ref="BG261:BG271"/>
    <mergeCell ref="BH261:BH271"/>
    <mergeCell ref="BI261:BI271"/>
    <mergeCell ref="BJ261:BJ271"/>
    <mergeCell ref="BK261:BK271"/>
    <mergeCell ref="BL261:BL271"/>
    <mergeCell ref="BM261:BM271"/>
    <mergeCell ref="BN261:BN271"/>
    <mergeCell ref="BO261:BO271"/>
    <mergeCell ref="BP261:BP271"/>
    <mergeCell ref="BQ261:BQ271"/>
    <mergeCell ref="BR261:BR271"/>
    <mergeCell ref="BS261:BS271"/>
    <mergeCell ref="BT261:BT271"/>
    <mergeCell ref="BU261:BU271"/>
    <mergeCell ref="BV261:BV271"/>
    <mergeCell ref="BW261:BW271"/>
    <mergeCell ref="BX261:BX271"/>
    <mergeCell ref="BY261:BY271"/>
    <mergeCell ref="BZ261:BZ271"/>
    <mergeCell ref="CA261:CA271"/>
    <mergeCell ref="CB261:CB271"/>
    <mergeCell ref="CC261:CC271"/>
    <mergeCell ref="CD261:CD271"/>
    <mergeCell ref="CE261:CE271"/>
    <mergeCell ref="CF261:CF271"/>
    <mergeCell ref="W184:W194"/>
    <mergeCell ref="X184:X194"/>
    <mergeCell ref="Y184:Y194"/>
    <mergeCell ref="Z184:Z194"/>
    <mergeCell ref="P184:P194"/>
    <mergeCell ref="Q184:Q194"/>
    <mergeCell ref="R184:R194"/>
    <mergeCell ref="S184:S194"/>
    <mergeCell ref="T184:T194"/>
    <mergeCell ref="U184:U194"/>
    <mergeCell ref="V184:V194"/>
    <mergeCell ref="W195:W205"/>
    <mergeCell ref="X195:X205"/>
    <mergeCell ref="Y195:Y205"/>
    <mergeCell ref="Z195:Z205"/>
    <mergeCell ref="P195:P205"/>
    <mergeCell ref="Q195:Q205"/>
    <mergeCell ref="R195:R205"/>
    <mergeCell ref="S195:S205"/>
    <mergeCell ref="T195:T205"/>
    <mergeCell ref="U195:U205"/>
    <mergeCell ref="V195:V205"/>
    <mergeCell ref="W206:W216"/>
    <mergeCell ref="X206:X216"/>
    <mergeCell ref="Y206:Y216"/>
    <mergeCell ref="Z206:Z216"/>
    <mergeCell ref="P206:P216"/>
    <mergeCell ref="Q206:Q216"/>
    <mergeCell ref="R206:R216"/>
    <mergeCell ref="S206:S216"/>
    <mergeCell ref="T206:T216"/>
    <mergeCell ref="U206:U216"/>
    <mergeCell ref="V206:V216"/>
    <mergeCell ref="W228:W238"/>
    <mergeCell ref="X228:X238"/>
    <mergeCell ref="Y228:Y238"/>
    <mergeCell ref="Z228:Z238"/>
    <mergeCell ref="P228:P238"/>
    <mergeCell ref="Q228:Q238"/>
    <mergeCell ref="R228:R238"/>
    <mergeCell ref="S228:S238"/>
    <mergeCell ref="T228:T238"/>
    <mergeCell ref="U228:U238"/>
    <mergeCell ref="V228:V238"/>
    <mergeCell ref="BV228:BV238"/>
    <mergeCell ref="BW228:BW238"/>
    <mergeCell ref="BX228:BX238"/>
    <mergeCell ref="BY228:BY238"/>
    <mergeCell ref="BZ228:BZ238"/>
    <mergeCell ref="CA228:CA238"/>
    <mergeCell ref="CB228:CB238"/>
    <mergeCell ref="CC228:CC238"/>
    <mergeCell ref="CD228:CD238"/>
    <mergeCell ref="CE228:CE238"/>
    <mergeCell ref="CF228:CF238"/>
    <mergeCell ref="CG228:CG238"/>
    <mergeCell ref="CH228:CH238"/>
    <mergeCell ref="CI228:CI238"/>
    <mergeCell ref="CQ228:CQ238"/>
    <mergeCell ref="CR228:CR238"/>
    <mergeCell ref="CS228:CS238"/>
    <mergeCell ref="CT228:CT238"/>
    <mergeCell ref="CJ228:CJ238"/>
    <mergeCell ref="CK228:CK238"/>
    <mergeCell ref="CL228:CL238"/>
    <mergeCell ref="CM228:CM238"/>
    <mergeCell ref="CN228:CN238"/>
    <mergeCell ref="CO228:CO238"/>
    <mergeCell ref="CP228:CP238"/>
    <mergeCell ref="P217:P227"/>
    <mergeCell ref="Q217:Q227"/>
    <mergeCell ref="R217:R227"/>
    <mergeCell ref="S217:S227"/>
    <mergeCell ref="T217:T227"/>
    <mergeCell ref="U217:U227"/>
    <mergeCell ref="V217:V227"/>
    <mergeCell ref="W217:W227"/>
    <mergeCell ref="X217:X227"/>
    <mergeCell ref="Y217:Y227"/>
    <mergeCell ref="Z217:Z227"/>
    <mergeCell ref="AJ228:AJ238"/>
    <mergeCell ref="AK228:AK238"/>
    <mergeCell ref="AL228:AL238"/>
    <mergeCell ref="AT228:AT238"/>
    <mergeCell ref="AU228:AU238"/>
    <mergeCell ref="AV228:AV238"/>
    <mergeCell ref="AW228:AW238"/>
    <mergeCell ref="AX228:AX238"/>
    <mergeCell ref="AY228:AY238"/>
    <mergeCell ref="AZ228:AZ238"/>
    <mergeCell ref="BA228:BA238"/>
    <mergeCell ref="BB228:BB238"/>
    <mergeCell ref="BC228:BC238"/>
    <mergeCell ref="BD228:BD238"/>
    <mergeCell ref="BE228:BE238"/>
    <mergeCell ref="BF228:BF238"/>
    <mergeCell ref="BG228:BG238"/>
    <mergeCell ref="BH228:BH238"/>
    <mergeCell ref="BI228:BI238"/>
    <mergeCell ref="BJ228:BJ238"/>
    <mergeCell ref="BK228:BK238"/>
    <mergeCell ref="BL228:BL238"/>
    <mergeCell ref="BM228:BM238"/>
    <mergeCell ref="BN228:BN238"/>
    <mergeCell ref="BO228:BO238"/>
    <mergeCell ref="BP228:BP238"/>
    <mergeCell ref="BQ228:BQ238"/>
    <mergeCell ref="BR228:BR238"/>
    <mergeCell ref="BS228:BS238"/>
    <mergeCell ref="BT228:BT238"/>
    <mergeCell ref="BU228:BU238"/>
    <mergeCell ref="AM228:AM238"/>
    <mergeCell ref="AN228:AN238"/>
    <mergeCell ref="AO228:AO238"/>
    <mergeCell ref="AP228:AP238"/>
    <mergeCell ref="AQ228:AQ238"/>
    <mergeCell ref="AR228:AR238"/>
    <mergeCell ref="AS228:AS238"/>
    <mergeCell ref="CN239:CN249"/>
    <mergeCell ref="CO239:CO249"/>
    <mergeCell ref="CP239:CP249"/>
    <mergeCell ref="CQ239:CQ249"/>
    <mergeCell ref="CR239:CR249"/>
    <mergeCell ref="CS239:CS249"/>
    <mergeCell ref="CT239:CT249"/>
    <mergeCell ref="CG239:CG249"/>
    <mergeCell ref="CH239:CH249"/>
    <mergeCell ref="CI239:CI249"/>
    <mergeCell ref="CJ239:CJ249"/>
    <mergeCell ref="CK239:CK249"/>
    <mergeCell ref="CL239:CL249"/>
    <mergeCell ref="CM239:CM249"/>
    <mergeCell ref="AQ239:AQ249"/>
    <mergeCell ref="AR239:AR249"/>
    <mergeCell ref="AS239:AS249"/>
    <mergeCell ref="AT239:AT249"/>
    <mergeCell ref="AU239:AU249"/>
    <mergeCell ref="AV239:AV249"/>
    <mergeCell ref="AW239:AW249"/>
    <mergeCell ref="AX239:AX249"/>
    <mergeCell ref="AY239:AY249"/>
    <mergeCell ref="AZ239:AZ249"/>
    <mergeCell ref="BA239:BA249"/>
    <mergeCell ref="BB239:BB249"/>
    <mergeCell ref="BC239:BC249"/>
    <mergeCell ref="BD239:BD249"/>
    <mergeCell ref="BE239:BE249"/>
    <mergeCell ref="BF239:BF249"/>
    <mergeCell ref="BG239:BG249"/>
    <mergeCell ref="BH239:BH249"/>
    <mergeCell ref="BI239:BI249"/>
    <mergeCell ref="BJ239:BJ249"/>
    <mergeCell ref="BK239:BK249"/>
    <mergeCell ref="BL239:BL249"/>
    <mergeCell ref="BM239:BM249"/>
    <mergeCell ref="BN239:BN249"/>
    <mergeCell ref="BO239:BO249"/>
    <mergeCell ref="BP239:BP249"/>
    <mergeCell ref="BQ239:BQ249"/>
    <mergeCell ref="BR239:BR249"/>
    <mergeCell ref="BS239:BS249"/>
    <mergeCell ref="BT239:BT249"/>
    <mergeCell ref="BU239:BU249"/>
    <mergeCell ref="BV239:BV249"/>
    <mergeCell ref="BW239:BW249"/>
    <mergeCell ref="BX239:BX249"/>
    <mergeCell ref="BY239:BY249"/>
    <mergeCell ref="BZ239:BZ249"/>
    <mergeCell ref="CA239:CA249"/>
    <mergeCell ref="CB239:CB249"/>
    <mergeCell ref="CC239:CC249"/>
    <mergeCell ref="CD239:CD249"/>
    <mergeCell ref="CE239:CE249"/>
    <mergeCell ref="CF239:CF249"/>
    <mergeCell ref="AJ239:AJ249"/>
    <mergeCell ref="AK239:AK249"/>
    <mergeCell ref="AL239:AL249"/>
    <mergeCell ref="AM239:AM249"/>
    <mergeCell ref="AN239:AN249"/>
    <mergeCell ref="AO239:AO249"/>
    <mergeCell ref="AP239:AP249"/>
    <mergeCell ref="CN250:CN260"/>
    <mergeCell ref="CO250:CO260"/>
    <mergeCell ref="CP250:CP260"/>
    <mergeCell ref="CQ250:CQ260"/>
    <mergeCell ref="CR250:CR260"/>
    <mergeCell ref="CS250:CS260"/>
    <mergeCell ref="CT250:CT260"/>
    <mergeCell ref="CG250:CG260"/>
    <mergeCell ref="CH250:CH260"/>
    <mergeCell ref="CI250:CI260"/>
    <mergeCell ref="CJ250:CJ260"/>
    <mergeCell ref="CK250:CK260"/>
    <mergeCell ref="CL250:CL260"/>
    <mergeCell ref="CM250:CM260"/>
    <mergeCell ref="AQ250:AQ260"/>
    <mergeCell ref="AR250:AR260"/>
    <mergeCell ref="AS250:AS260"/>
    <mergeCell ref="AT250:AT260"/>
    <mergeCell ref="AU250:AU260"/>
    <mergeCell ref="AV250:AV260"/>
    <mergeCell ref="AW250:AW260"/>
    <mergeCell ref="AX250:AX260"/>
    <mergeCell ref="AY250:AY260"/>
    <mergeCell ref="AZ250:AZ260"/>
    <mergeCell ref="BA250:BA260"/>
    <mergeCell ref="BB250:BB260"/>
    <mergeCell ref="BC250:BC260"/>
    <mergeCell ref="BD250:BD260"/>
    <mergeCell ref="BE250:BE260"/>
    <mergeCell ref="BF250:BF260"/>
    <mergeCell ref="BG250:BG260"/>
    <mergeCell ref="BH250:BH260"/>
    <mergeCell ref="BI250:BI260"/>
    <mergeCell ref="BJ250:BJ260"/>
    <mergeCell ref="BK250:BK260"/>
    <mergeCell ref="BL250:BL260"/>
    <mergeCell ref="BM250:BM260"/>
    <mergeCell ref="BN250:BN260"/>
    <mergeCell ref="BO250:BO260"/>
    <mergeCell ref="BP250:BP260"/>
    <mergeCell ref="BQ250:BQ260"/>
    <mergeCell ref="BR250:BR260"/>
    <mergeCell ref="BS250:BS260"/>
    <mergeCell ref="BT250:BT260"/>
    <mergeCell ref="BU250:BU260"/>
    <mergeCell ref="BV250:BV260"/>
    <mergeCell ref="BW250:BW260"/>
    <mergeCell ref="BX250:BX260"/>
    <mergeCell ref="BY250:BY260"/>
    <mergeCell ref="BZ250:BZ260"/>
    <mergeCell ref="CA250:CA260"/>
    <mergeCell ref="CB250:CB260"/>
    <mergeCell ref="CC250:CC260"/>
    <mergeCell ref="CD250:CD260"/>
    <mergeCell ref="CE250:CE260"/>
    <mergeCell ref="CF250:CF260"/>
    <mergeCell ref="AJ250:AJ260"/>
    <mergeCell ref="AK250:AK260"/>
    <mergeCell ref="AL250:AL260"/>
    <mergeCell ref="AM250:AM260"/>
    <mergeCell ref="AN250:AN260"/>
    <mergeCell ref="AO250:AO260"/>
    <mergeCell ref="AP250:AP260"/>
    <mergeCell ref="CN305:CN315"/>
    <mergeCell ref="CO305:CO315"/>
    <mergeCell ref="CP305:CP315"/>
    <mergeCell ref="CQ305:CQ315"/>
    <mergeCell ref="CR305:CR315"/>
    <mergeCell ref="CS305:CS315"/>
    <mergeCell ref="CT305:CT315"/>
    <mergeCell ref="CG305:CG315"/>
    <mergeCell ref="CH305:CH315"/>
    <mergeCell ref="CI305:CI315"/>
    <mergeCell ref="CJ305:CJ315"/>
    <mergeCell ref="CK305:CK315"/>
    <mergeCell ref="CL305:CL315"/>
    <mergeCell ref="CM305:CM315"/>
    <mergeCell ref="AJ305:AJ315"/>
    <mergeCell ref="AK305:AK315"/>
    <mergeCell ref="AL305:AL315"/>
    <mergeCell ref="AM305:AM315"/>
    <mergeCell ref="AN305:AN315"/>
    <mergeCell ref="AO305:AO315"/>
    <mergeCell ref="AP305:AP315"/>
    <mergeCell ref="AQ305:AQ315"/>
    <mergeCell ref="AR305:AR315"/>
    <mergeCell ref="AS305:AS315"/>
    <mergeCell ref="AT305:AT315"/>
    <mergeCell ref="AU305:AU315"/>
    <mergeCell ref="AV305:AV315"/>
    <mergeCell ref="AW305:AW315"/>
    <mergeCell ref="AX305:AX315"/>
    <mergeCell ref="AY305:AY315"/>
    <mergeCell ref="AZ305:AZ315"/>
    <mergeCell ref="BA305:BA315"/>
    <mergeCell ref="BB305:BB315"/>
    <mergeCell ref="BC305:BC315"/>
    <mergeCell ref="BD305:BD315"/>
    <mergeCell ref="BE305:BE315"/>
    <mergeCell ref="BF305:BF315"/>
    <mergeCell ref="BG305:BG315"/>
    <mergeCell ref="BH305:BH315"/>
    <mergeCell ref="BI305:BI315"/>
    <mergeCell ref="BJ305:BJ315"/>
    <mergeCell ref="BK305:BK315"/>
    <mergeCell ref="BL305:BL315"/>
    <mergeCell ref="BM305:BM315"/>
    <mergeCell ref="BN305:BN315"/>
    <mergeCell ref="BO305:BO315"/>
    <mergeCell ref="BP305:BP315"/>
    <mergeCell ref="BQ305:BQ315"/>
    <mergeCell ref="BR305:BR315"/>
    <mergeCell ref="BS305:BS315"/>
    <mergeCell ref="BT305:BT315"/>
    <mergeCell ref="BU305:BU315"/>
    <mergeCell ref="BV305:BV315"/>
    <mergeCell ref="BW305:BW315"/>
    <mergeCell ref="BX305:BX315"/>
    <mergeCell ref="BY305:BY315"/>
    <mergeCell ref="BZ305:BZ315"/>
    <mergeCell ref="CA305:CA315"/>
    <mergeCell ref="CB305:CB315"/>
    <mergeCell ref="CC305:CC315"/>
    <mergeCell ref="CD305:CD315"/>
    <mergeCell ref="CE305:CE315"/>
    <mergeCell ref="CF305:CF315"/>
    <mergeCell ref="W239:W249"/>
    <mergeCell ref="X239:X249"/>
    <mergeCell ref="Y239:Y249"/>
    <mergeCell ref="Z239:Z249"/>
    <mergeCell ref="P239:P249"/>
    <mergeCell ref="Q239:Q249"/>
    <mergeCell ref="R239:R249"/>
    <mergeCell ref="S239:S249"/>
    <mergeCell ref="T239:T249"/>
    <mergeCell ref="U239:U249"/>
    <mergeCell ref="V239:V249"/>
    <mergeCell ref="W250:W260"/>
    <mergeCell ref="X250:X260"/>
    <mergeCell ref="Y250:Y260"/>
    <mergeCell ref="Z250:Z260"/>
    <mergeCell ref="P250:P260"/>
    <mergeCell ref="Q250:Q260"/>
    <mergeCell ref="R250:R260"/>
    <mergeCell ref="S250:S260"/>
    <mergeCell ref="T250:T260"/>
    <mergeCell ref="U250:U260"/>
    <mergeCell ref="V250:V260"/>
    <mergeCell ref="W261:W271"/>
    <mergeCell ref="X261:X271"/>
    <mergeCell ref="Y261:Y271"/>
    <mergeCell ref="Z261:Z271"/>
    <mergeCell ref="P261:P271"/>
    <mergeCell ref="Q261:Q271"/>
    <mergeCell ref="R261:R271"/>
    <mergeCell ref="S261:S271"/>
    <mergeCell ref="T261:T271"/>
    <mergeCell ref="U261:U271"/>
    <mergeCell ref="V261:V271"/>
    <mergeCell ref="P272:P282"/>
    <mergeCell ref="Q272:Q282"/>
    <mergeCell ref="R272:R282"/>
    <mergeCell ref="S272:S282"/>
    <mergeCell ref="T272:T282"/>
    <mergeCell ref="U272:U282"/>
    <mergeCell ref="V272:V282"/>
    <mergeCell ref="CC272:CC282"/>
    <mergeCell ref="CD272:CD282"/>
    <mergeCell ref="CE272:CE282"/>
    <mergeCell ref="CF272:CF282"/>
    <mergeCell ref="CG272:CG282"/>
    <mergeCell ref="CH272:CH282"/>
    <mergeCell ref="CI272:CI282"/>
    <mergeCell ref="CQ272:CQ282"/>
    <mergeCell ref="CR272:CR282"/>
    <mergeCell ref="CS272:CS282"/>
    <mergeCell ref="CT272:CT282"/>
    <mergeCell ref="CJ272:CJ282"/>
    <mergeCell ref="CK272:CK282"/>
    <mergeCell ref="CL272:CL282"/>
    <mergeCell ref="CM272:CM282"/>
    <mergeCell ref="CN272:CN282"/>
    <mergeCell ref="CO272:CO282"/>
    <mergeCell ref="CP272:CP282"/>
    <mergeCell ref="W272:W282"/>
    <mergeCell ref="X272:X282"/>
    <mergeCell ref="Y272:Y282"/>
    <mergeCell ref="Z272:Z282"/>
    <mergeCell ref="AJ272:AJ282"/>
    <mergeCell ref="AK272:AK282"/>
    <mergeCell ref="AL272:AL282"/>
    <mergeCell ref="AT272:AT282"/>
    <mergeCell ref="AU272:AU282"/>
    <mergeCell ref="AV272:AV282"/>
    <mergeCell ref="AW272:AW282"/>
    <mergeCell ref="AX272:AX282"/>
    <mergeCell ref="AY272:AY282"/>
    <mergeCell ref="AZ272:AZ282"/>
    <mergeCell ref="BA272:BA282"/>
    <mergeCell ref="BB272:BB282"/>
    <mergeCell ref="BC272:BC282"/>
    <mergeCell ref="BD272:BD282"/>
    <mergeCell ref="BE272:BE282"/>
    <mergeCell ref="BF272:BF282"/>
    <mergeCell ref="BG272:BG282"/>
    <mergeCell ref="BH272:BH282"/>
    <mergeCell ref="BI272:BI282"/>
    <mergeCell ref="BJ272:BJ282"/>
    <mergeCell ref="BK272:BK282"/>
    <mergeCell ref="BL272:BL282"/>
    <mergeCell ref="BM272:BM282"/>
    <mergeCell ref="BN272:BN282"/>
    <mergeCell ref="BO272:BO282"/>
    <mergeCell ref="BP272:BP282"/>
    <mergeCell ref="BQ272:BQ282"/>
    <mergeCell ref="BR272:BR282"/>
    <mergeCell ref="BS272:BS282"/>
    <mergeCell ref="BT272:BT282"/>
    <mergeCell ref="BU272:BU282"/>
    <mergeCell ref="BV272:BV282"/>
    <mergeCell ref="BW272:BW282"/>
    <mergeCell ref="BX272:BX282"/>
    <mergeCell ref="BY272:BY282"/>
    <mergeCell ref="BZ272:BZ282"/>
    <mergeCell ref="CA272:CA282"/>
    <mergeCell ref="CB272:CB282"/>
    <mergeCell ref="AM272:AM282"/>
    <mergeCell ref="AN272:AN282"/>
    <mergeCell ref="AO272:AO282"/>
    <mergeCell ref="AP272:AP282"/>
    <mergeCell ref="AQ272:AQ282"/>
    <mergeCell ref="AR272:AR282"/>
    <mergeCell ref="AS272:AS282"/>
    <mergeCell ref="CN283:CN293"/>
    <mergeCell ref="CO283:CO293"/>
    <mergeCell ref="CP283:CP293"/>
    <mergeCell ref="CQ283:CQ293"/>
    <mergeCell ref="CR283:CR293"/>
    <mergeCell ref="CS283:CS293"/>
    <mergeCell ref="CT283:CT293"/>
    <mergeCell ref="CG283:CG293"/>
    <mergeCell ref="CH283:CH293"/>
    <mergeCell ref="CI283:CI293"/>
    <mergeCell ref="CJ283:CJ293"/>
    <mergeCell ref="CK283:CK293"/>
    <mergeCell ref="CL283:CL293"/>
    <mergeCell ref="CM283:CM293"/>
    <mergeCell ref="AQ283:AQ293"/>
    <mergeCell ref="AR283:AR293"/>
    <mergeCell ref="AS283:AS293"/>
    <mergeCell ref="AT283:AT293"/>
    <mergeCell ref="AU283:AU293"/>
    <mergeCell ref="AV283:AV293"/>
    <mergeCell ref="AW283:AW293"/>
    <mergeCell ref="AX283:AX293"/>
    <mergeCell ref="AY283:AY293"/>
    <mergeCell ref="AZ283:AZ293"/>
    <mergeCell ref="BA283:BA293"/>
    <mergeCell ref="BB283:BB293"/>
    <mergeCell ref="BC283:BC293"/>
    <mergeCell ref="BD283:BD293"/>
    <mergeCell ref="BE283:BE293"/>
    <mergeCell ref="BF283:BF293"/>
    <mergeCell ref="BG283:BG293"/>
    <mergeCell ref="BH283:BH293"/>
    <mergeCell ref="BI283:BI293"/>
    <mergeCell ref="BJ283:BJ293"/>
    <mergeCell ref="BK283:BK293"/>
    <mergeCell ref="BL283:BL293"/>
    <mergeCell ref="BM283:BM293"/>
    <mergeCell ref="BN283:BN293"/>
    <mergeCell ref="BO283:BO293"/>
    <mergeCell ref="BP283:BP293"/>
    <mergeCell ref="BQ283:BQ293"/>
    <mergeCell ref="BR283:BR293"/>
    <mergeCell ref="BS283:BS293"/>
    <mergeCell ref="BT283:BT293"/>
    <mergeCell ref="BU283:BU293"/>
    <mergeCell ref="BV283:BV293"/>
    <mergeCell ref="BW283:BW293"/>
    <mergeCell ref="BX283:BX293"/>
    <mergeCell ref="BY283:BY293"/>
    <mergeCell ref="BZ283:BZ293"/>
    <mergeCell ref="CA283:CA293"/>
    <mergeCell ref="CB283:CB293"/>
    <mergeCell ref="CC283:CC293"/>
    <mergeCell ref="CD283:CD293"/>
    <mergeCell ref="CE283:CE293"/>
    <mergeCell ref="CF283:CF293"/>
    <mergeCell ref="AJ283:AJ293"/>
    <mergeCell ref="AK283:AK293"/>
    <mergeCell ref="AL283:AL293"/>
    <mergeCell ref="AM283:AM293"/>
    <mergeCell ref="AN283:AN293"/>
    <mergeCell ref="AO283:AO293"/>
    <mergeCell ref="AP283:AP293"/>
    <mergeCell ref="CN294:CN304"/>
    <mergeCell ref="CO294:CO304"/>
    <mergeCell ref="CP294:CP304"/>
    <mergeCell ref="CQ294:CQ304"/>
    <mergeCell ref="CR294:CR304"/>
    <mergeCell ref="CS294:CS304"/>
    <mergeCell ref="CT294:CT304"/>
    <mergeCell ref="CG294:CG304"/>
    <mergeCell ref="CH294:CH304"/>
    <mergeCell ref="CI294:CI304"/>
    <mergeCell ref="CJ294:CJ304"/>
    <mergeCell ref="CK294:CK304"/>
    <mergeCell ref="CL294:CL304"/>
    <mergeCell ref="CM294:CM304"/>
    <mergeCell ref="AQ294:AQ304"/>
    <mergeCell ref="AR294:AR304"/>
    <mergeCell ref="AS294:AS304"/>
    <mergeCell ref="AT294:AT304"/>
    <mergeCell ref="AU294:AU304"/>
    <mergeCell ref="AV294:AV304"/>
    <mergeCell ref="AW294:AW304"/>
    <mergeCell ref="AX294:AX304"/>
    <mergeCell ref="AY294:AY304"/>
    <mergeCell ref="AZ294:AZ304"/>
    <mergeCell ref="BA294:BA304"/>
    <mergeCell ref="BB294:BB304"/>
    <mergeCell ref="BC294:BC304"/>
    <mergeCell ref="BD294:BD304"/>
    <mergeCell ref="BE294:BE304"/>
    <mergeCell ref="BF294:BF304"/>
    <mergeCell ref="BG294:BG304"/>
    <mergeCell ref="BH294:BH304"/>
    <mergeCell ref="BI294:BI304"/>
    <mergeCell ref="BJ294:BJ304"/>
    <mergeCell ref="BK294:BK304"/>
    <mergeCell ref="BL294:BL304"/>
    <mergeCell ref="BM294:BM304"/>
    <mergeCell ref="BN294:BN304"/>
    <mergeCell ref="BO294:BO304"/>
    <mergeCell ref="BP294:BP304"/>
    <mergeCell ref="BQ294:BQ304"/>
    <mergeCell ref="BR294:BR304"/>
    <mergeCell ref="BS294:BS304"/>
    <mergeCell ref="BT294:BT304"/>
    <mergeCell ref="BU294:BU304"/>
    <mergeCell ref="BV294:BV304"/>
    <mergeCell ref="BW294:BW304"/>
    <mergeCell ref="BX294:BX304"/>
    <mergeCell ref="BY294:BY304"/>
    <mergeCell ref="BZ294:BZ304"/>
    <mergeCell ref="CA294:CA304"/>
    <mergeCell ref="CB294:CB304"/>
    <mergeCell ref="CC294:CC304"/>
    <mergeCell ref="CD294:CD304"/>
    <mergeCell ref="CE294:CE304"/>
    <mergeCell ref="CF294:CF304"/>
    <mergeCell ref="AJ294:AJ304"/>
    <mergeCell ref="AK294:AK304"/>
    <mergeCell ref="AL294:AL304"/>
    <mergeCell ref="AM294:AM304"/>
    <mergeCell ref="AN294:AN304"/>
    <mergeCell ref="AO294:AO304"/>
    <mergeCell ref="AP294:AP304"/>
    <mergeCell ref="AR5:AR7"/>
    <mergeCell ref="AS5:AS7"/>
    <mergeCell ref="AT5:AT7"/>
    <mergeCell ref="AU5:AX5"/>
    <mergeCell ref="AY5:AY6"/>
    <mergeCell ref="AZ5:AZ6"/>
    <mergeCell ref="BA5:BO5"/>
    <mergeCell ref="BP5:BU5"/>
    <mergeCell ref="BV5:BW5"/>
    <mergeCell ref="BX5:CG5"/>
    <mergeCell ref="BV6:BV7"/>
    <mergeCell ref="BW6:BW7"/>
    <mergeCell ref="BX6:CE6"/>
    <mergeCell ref="CF6:CG6"/>
    <mergeCell ref="A6:A7"/>
    <mergeCell ref="B6:B7"/>
    <mergeCell ref="C6:C7"/>
    <mergeCell ref="D6:D7"/>
    <mergeCell ref="A1:AT1"/>
    <mergeCell ref="AU1:CT1"/>
    <mergeCell ref="A2:AT2"/>
    <mergeCell ref="AU2:CT2"/>
    <mergeCell ref="A3:AT3"/>
    <mergeCell ref="AU3:CT3"/>
    <mergeCell ref="A4:AR4"/>
    <mergeCell ref="CH6:CI6"/>
    <mergeCell ref="CJ6:CK6"/>
    <mergeCell ref="CL6:CM6"/>
    <mergeCell ref="CN6:CO6"/>
    <mergeCell ref="CP6:CP7"/>
    <mergeCell ref="CQ6:CQ7"/>
    <mergeCell ref="CR6:CR7"/>
    <mergeCell ref="CS6:CS7"/>
    <mergeCell ref="CT6:CT7"/>
    <mergeCell ref="AU4:CG4"/>
    <mergeCell ref="CH4:CS5"/>
    <mergeCell ref="A5:Z5"/>
    <mergeCell ref="AJ5:AO6"/>
    <mergeCell ref="AP5:AP7"/>
    <mergeCell ref="AQ5:AQ7"/>
    <mergeCell ref="N6:N7"/>
    <mergeCell ref="AW8:AW18"/>
    <mergeCell ref="AX8:AX18"/>
    <mergeCell ref="AP8:AP18"/>
    <mergeCell ref="AQ8:AQ18"/>
    <mergeCell ref="AR8:AR18"/>
    <mergeCell ref="AS8:AS18"/>
    <mergeCell ref="AT8:AT18"/>
    <mergeCell ref="AU8:AU18"/>
    <mergeCell ref="AV8:AV18"/>
    <mergeCell ref="BK8:BK18"/>
    <mergeCell ref="BL8:BL18"/>
    <mergeCell ref="BD8:BD18"/>
    <mergeCell ref="BE8:BE18"/>
    <mergeCell ref="BF8:BF18"/>
    <mergeCell ref="BG8:BG18"/>
    <mergeCell ref="BH8:BH18"/>
    <mergeCell ref="BI8:BI18"/>
    <mergeCell ref="BJ8:BJ18"/>
    <mergeCell ref="BP6:BP7"/>
    <mergeCell ref="BQ6:BS6"/>
    <mergeCell ref="BM8:BM18"/>
    <mergeCell ref="BN8:BN18"/>
    <mergeCell ref="BO8:BO18"/>
    <mergeCell ref="BP8:BP18"/>
    <mergeCell ref="BQ8:BQ18"/>
    <mergeCell ref="BR8:BR18"/>
    <mergeCell ref="BS8:BS18"/>
    <mergeCell ref="BT8:BT18"/>
    <mergeCell ref="BU8:BU18"/>
    <mergeCell ref="BV8:BV18"/>
    <mergeCell ref="BW8:BW18"/>
    <mergeCell ref="BX8:BX18"/>
    <mergeCell ref="CM8:CM18"/>
    <mergeCell ref="CN8:CN18"/>
    <mergeCell ref="CO8:CO18"/>
    <mergeCell ref="CP8:CP18"/>
    <mergeCell ref="CQ8:CQ18"/>
    <mergeCell ref="CR8:CR18"/>
    <mergeCell ref="CS8:CS18"/>
    <mergeCell ref="CT8:CT18"/>
    <mergeCell ref="CF8:CF18"/>
    <mergeCell ref="CG8:CG18"/>
    <mergeCell ref="CH8:CH18"/>
    <mergeCell ref="CI8:CI18"/>
    <mergeCell ref="CJ8:CJ18"/>
    <mergeCell ref="CK8:CK18"/>
    <mergeCell ref="CL8:CL18"/>
    <mergeCell ref="CM19:CM29"/>
    <mergeCell ref="CN19:CN29"/>
    <mergeCell ref="CO19:CO29"/>
    <mergeCell ref="CP19:CP29"/>
    <mergeCell ref="CQ19:CQ29"/>
    <mergeCell ref="CR19:CR29"/>
    <mergeCell ref="CS19:CS29"/>
    <mergeCell ref="CT19:CT29"/>
    <mergeCell ref="CF19:CF29"/>
    <mergeCell ref="CG19:CG29"/>
    <mergeCell ref="CH19:CH29"/>
    <mergeCell ref="CI19:CI29"/>
    <mergeCell ref="CJ19:CJ29"/>
    <mergeCell ref="CK19:CK29"/>
    <mergeCell ref="CL19:CL29"/>
    <mergeCell ref="BH19:BH29"/>
    <mergeCell ref="BI19:BI29"/>
    <mergeCell ref="BA19:BA29"/>
    <mergeCell ref="BB19:BB29"/>
    <mergeCell ref="BC19:BC29"/>
    <mergeCell ref="BD19:BD29"/>
    <mergeCell ref="BE19:BE29"/>
    <mergeCell ref="BF19:BF29"/>
    <mergeCell ref="BG19:BG29"/>
    <mergeCell ref="CQ52:CQ62"/>
    <mergeCell ref="CR52:CR62"/>
    <mergeCell ref="CJ52:CJ62"/>
    <mergeCell ref="CK52:CK62"/>
    <mergeCell ref="CL52:CL62"/>
    <mergeCell ref="CM52:CM62"/>
    <mergeCell ref="CN52:CN62"/>
    <mergeCell ref="CO52:CO62"/>
    <mergeCell ref="CP52:CP62"/>
    <mergeCell ref="AM52:AM62"/>
    <mergeCell ref="AN52:AN62"/>
    <mergeCell ref="AO52:AO62"/>
    <mergeCell ref="AP52:AP62"/>
    <mergeCell ref="AQ52:AQ62"/>
    <mergeCell ref="AR52:AR62"/>
    <mergeCell ref="AS52:AS62"/>
    <mergeCell ref="AT52:AT62"/>
    <mergeCell ref="AU52:AU62"/>
    <mergeCell ref="AV52:AV62"/>
    <mergeCell ref="AW52:AW62"/>
    <mergeCell ref="AX52:AX62"/>
    <mergeCell ref="AY52:AY62"/>
    <mergeCell ref="AZ52:AZ62"/>
    <mergeCell ref="BA52:BA62"/>
    <mergeCell ref="BB52:BB62"/>
    <mergeCell ref="BC52:BC62"/>
    <mergeCell ref="BD52:BD62"/>
    <mergeCell ref="BE52:BE62"/>
    <mergeCell ref="BF52:BF62"/>
    <mergeCell ref="BG52:BG62"/>
    <mergeCell ref="BH52:BH62"/>
    <mergeCell ref="BI52:BI62"/>
    <mergeCell ref="BJ52:BJ62"/>
    <mergeCell ref="BK52:BK62"/>
    <mergeCell ref="BL52:BL62"/>
    <mergeCell ref="BM52:BM62"/>
    <mergeCell ref="BN52:BN62"/>
    <mergeCell ref="BO52:BO62"/>
    <mergeCell ref="BP52:BP62"/>
    <mergeCell ref="BQ52:BQ62"/>
    <mergeCell ref="BR52:BR62"/>
    <mergeCell ref="BS52:BS62"/>
    <mergeCell ref="BT52:BT62"/>
    <mergeCell ref="BU52:BU62"/>
    <mergeCell ref="BV52:BV62"/>
    <mergeCell ref="BW52:BW62"/>
    <mergeCell ref="BX52:BX62"/>
    <mergeCell ref="BY52:BY62"/>
    <mergeCell ref="BZ52:BZ62"/>
    <mergeCell ref="CA52:CA62"/>
    <mergeCell ref="CB52:CB62"/>
    <mergeCell ref="CC52:CC62"/>
    <mergeCell ref="CD52:CD62"/>
    <mergeCell ref="CE52:CE62"/>
    <mergeCell ref="CF52:CF62"/>
    <mergeCell ref="CG52:CG62"/>
    <mergeCell ref="CH52:CH62"/>
    <mergeCell ref="CI52:CI62"/>
    <mergeCell ref="AU6:AU7"/>
    <mergeCell ref="AV6:AV7"/>
    <mergeCell ref="BA6:BI6"/>
    <mergeCell ref="BL6:BN6"/>
    <mergeCell ref="BT6:BT7"/>
    <mergeCell ref="BU6:BU7"/>
    <mergeCell ref="E6:L6"/>
    <mergeCell ref="M6:M7"/>
    <mergeCell ref="A8:A18"/>
    <mergeCell ref="B8:B18"/>
    <mergeCell ref="P8:P18"/>
    <mergeCell ref="Q8:Q18"/>
    <mergeCell ref="R8:R18"/>
    <mergeCell ref="AA5:AI6"/>
    <mergeCell ref="Z6:Z7"/>
    <mergeCell ref="AK8:AK18"/>
    <mergeCell ref="AL8:AL18"/>
    <mergeCell ref="AM8:AM18"/>
    <mergeCell ref="AN8:AN18"/>
    <mergeCell ref="AO8:AO18"/>
    <mergeCell ref="AW6:AW7"/>
    <mergeCell ref="AX6:AX7"/>
    <mergeCell ref="AY8:AY18"/>
    <mergeCell ref="AZ8:AZ18"/>
    <mergeCell ref="BA8:BA18"/>
    <mergeCell ref="BB8:BB18"/>
    <mergeCell ref="BC8:BC18"/>
    <mergeCell ref="BY8:BY18"/>
    <mergeCell ref="BZ8:BZ18"/>
    <mergeCell ref="CA8:CA18"/>
    <mergeCell ref="CB8:CB18"/>
    <mergeCell ref="CC8:CC18"/>
    <mergeCell ref="CD8:CD18"/>
    <mergeCell ref="CE8:CE18"/>
    <mergeCell ref="BJ19:BJ29"/>
    <mergeCell ref="BK19:BK29"/>
    <mergeCell ref="BL19:BL29"/>
    <mergeCell ref="BM19:BM29"/>
    <mergeCell ref="BN19:BN29"/>
    <mergeCell ref="BO19:BO29"/>
    <mergeCell ref="BP19:BP29"/>
    <mergeCell ref="BX19:BX29"/>
    <mergeCell ref="BY19:BY29"/>
    <mergeCell ref="BZ19:BZ29"/>
    <mergeCell ref="CA19:CA29"/>
    <mergeCell ref="CB19:CB29"/>
    <mergeCell ref="CC19:CC29"/>
    <mergeCell ref="CD19:CD29"/>
    <mergeCell ref="CE19:CE29"/>
    <mergeCell ref="BQ19:BQ29"/>
    <mergeCell ref="BR19:BR29"/>
    <mergeCell ref="BS19:BS29"/>
    <mergeCell ref="BT19:BT29"/>
    <mergeCell ref="BU19:BU29"/>
    <mergeCell ref="BV19:BV29"/>
    <mergeCell ref="BW19:BW29"/>
    <mergeCell ref="AQ30:AQ40"/>
    <mergeCell ref="AR30:AR40"/>
    <mergeCell ref="AS30:AS40"/>
    <mergeCell ref="AT30:AT40"/>
    <mergeCell ref="AU30:AU40"/>
    <mergeCell ref="AV30:AV40"/>
    <mergeCell ref="AW30:AW40"/>
    <mergeCell ref="AX30:AX40"/>
    <mergeCell ref="AY30:AY40"/>
    <mergeCell ref="BA30:BA40"/>
    <mergeCell ref="BB30:BB40"/>
    <mergeCell ref="BC30:BC40"/>
    <mergeCell ref="BD30:BD40"/>
    <mergeCell ref="BE30:BE40"/>
    <mergeCell ref="BF30:BF40"/>
    <mergeCell ref="BG30:BG40"/>
    <mergeCell ref="BH30:BH40"/>
    <mergeCell ref="BI30:BI40"/>
    <mergeCell ref="BJ30:BJ40"/>
    <mergeCell ref="BK30:BK40"/>
    <mergeCell ref="BL30:BL40"/>
    <mergeCell ref="BM30:BM40"/>
    <mergeCell ref="BN30:BN40"/>
    <mergeCell ref="BO30:BO40"/>
    <mergeCell ref="BP30:BP40"/>
    <mergeCell ref="BQ30:BQ40"/>
    <mergeCell ref="BR30:BR40"/>
    <mergeCell ref="BS30:BS40"/>
    <mergeCell ref="BT30:BT40"/>
    <mergeCell ref="BU30:BU40"/>
    <mergeCell ref="BV30:BV40"/>
    <mergeCell ref="BW30:BW40"/>
    <mergeCell ref="BX30:BX40"/>
    <mergeCell ref="BY30:BY40"/>
    <mergeCell ref="BZ30:BZ40"/>
    <mergeCell ref="CA30:CA40"/>
    <mergeCell ref="CB30:CB40"/>
    <mergeCell ref="CC30:CC40"/>
    <mergeCell ref="CD30:CD40"/>
    <mergeCell ref="CE30:CE40"/>
    <mergeCell ref="CF30:CF40"/>
    <mergeCell ref="CG30:CG40"/>
    <mergeCell ref="CO30:CO40"/>
    <mergeCell ref="CP30:CP40"/>
    <mergeCell ref="CQ30:CQ40"/>
    <mergeCell ref="CR30:CR40"/>
    <mergeCell ref="CS30:CS40"/>
    <mergeCell ref="CT30:CT40"/>
    <mergeCell ref="CH30:CH40"/>
    <mergeCell ref="CI30:CI40"/>
    <mergeCell ref="CJ30:CJ40"/>
    <mergeCell ref="CK30:CK40"/>
    <mergeCell ref="CL30:CL40"/>
    <mergeCell ref="CM30:CM40"/>
    <mergeCell ref="CN30:CN40"/>
    <mergeCell ref="Z8:Z18"/>
    <mergeCell ref="AJ8:AJ18"/>
    <mergeCell ref="A19:A29"/>
    <mergeCell ref="B19:B29"/>
    <mergeCell ref="A30:A40"/>
    <mergeCell ref="B30:B40"/>
    <mergeCell ref="S8:S18"/>
    <mergeCell ref="T8:T18"/>
    <mergeCell ref="U8:U18"/>
    <mergeCell ref="V8:V18"/>
    <mergeCell ref="W8:W18"/>
    <mergeCell ref="X8:X18"/>
    <mergeCell ref="Y8:Y18"/>
    <mergeCell ref="W19:W29"/>
    <mergeCell ref="X19:X29"/>
    <mergeCell ref="Y19:Y29"/>
    <mergeCell ref="Z19:Z29"/>
    <mergeCell ref="AJ19:AJ29"/>
    <mergeCell ref="AK19:AK29"/>
    <mergeCell ref="AL19:AL29"/>
    <mergeCell ref="AT19:AT29"/>
    <mergeCell ref="AU19:AU29"/>
    <mergeCell ref="AV19:AV29"/>
    <mergeCell ref="AW19:AW29"/>
    <mergeCell ref="AX19:AX29"/>
    <mergeCell ref="AY19:AY29"/>
    <mergeCell ref="AZ19:AZ29"/>
    <mergeCell ref="AZ30:AZ40"/>
    <mergeCell ref="P19:P29"/>
    <mergeCell ref="Q19:Q29"/>
    <mergeCell ref="R19:R29"/>
    <mergeCell ref="S19:S29"/>
    <mergeCell ref="T19:T29"/>
    <mergeCell ref="U19:U29"/>
    <mergeCell ref="V19:V29"/>
    <mergeCell ref="AM19:AM29"/>
    <mergeCell ref="AN19:AN29"/>
    <mergeCell ref="AO19:AO29"/>
    <mergeCell ref="AP19:AP29"/>
    <mergeCell ref="AQ19:AQ29"/>
    <mergeCell ref="AR19:AR29"/>
    <mergeCell ref="AS19:AS29"/>
    <mergeCell ref="BX41:BX51"/>
    <mergeCell ref="BY41:BY51"/>
    <mergeCell ref="BZ41:BZ51"/>
    <mergeCell ref="CA41:CA51"/>
    <mergeCell ref="CB41:CB51"/>
    <mergeCell ref="CC41:CC51"/>
    <mergeCell ref="CD41:CD51"/>
    <mergeCell ref="CE41:CE51"/>
    <mergeCell ref="CF41:CF51"/>
    <mergeCell ref="CG41:CG51"/>
    <mergeCell ref="CH41:CH51"/>
    <mergeCell ref="CI41:CI51"/>
    <mergeCell ref="CJ41:CJ51"/>
    <mergeCell ref="CK41:CK51"/>
    <mergeCell ref="CS41:CS51"/>
    <mergeCell ref="CT41:CT51"/>
    <mergeCell ref="CS52:CS62"/>
    <mergeCell ref="CT52:CT62"/>
    <mergeCell ref="CL41:CL51"/>
    <mergeCell ref="CM41:CM51"/>
    <mergeCell ref="CN41:CN51"/>
    <mergeCell ref="CO41:CO51"/>
    <mergeCell ref="CP41:CP51"/>
    <mergeCell ref="CQ41:CQ51"/>
    <mergeCell ref="CR41:CR51"/>
    <mergeCell ref="Y30:Y40"/>
    <mergeCell ref="Z30:Z40"/>
    <mergeCell ref="AJ30:AJ40"/>
    <mergeCell ref="AK30:AK40"/>
    <mergeCell ref="AL30:AL40"/>
    <mergeCell ref="AM30:AM40"/>
    <mergeCell ref="AN30:AN40"/>
    <mergeCell ref="AO30:AO40"/>
    <mergeCell ref="AP30:AP40"/>
    <mergeCell ref="AJ41:AJ51"/>
    <mergeCell ref="AK41:AK51"/>
    <mergeCell ref="AL41:AL51"/>
    <mergeCell ref="AM41:AM51"/>
    <mergeCell ref="AN41:AN51"/>
    <mergeCell ref="AO41:AO51"/>
    <mergeCell ref="AP41:AP51"/>
    <mergeCell ref="AQ41:AQ51"/>
    <mergeCell ref="AR41:AR51"/>
    <mergeCell ref="AS41:AS51"/>
    <mergeCell ref="AT41:AT51"/>
    <mergeCell ref="AU41:AU51"/>
    <mergeCell ref="AV41:AV51"/>
    <mergeCell ref="AW41:AW51"/>
    <mergeCell ref="AX41:AX51"/>
    <mergeCell ref="AY41:AY51"/>
    <mergeCell ref="AZ41:AZ51"/>
    <mergeCell ref="BA41:BA51"/>
    <mergeCell ref="BB41:BB51"/>
    <mergeCell ref="BC41:BC51"/>
    <mergeCell ref="BD41:BD51"/>
    <mergeCell ref="BE41:BE51"/>
    <mergeCell ref="BF41:BF51"/>
    <mergeCell ref="BG41:BG51"/>
    <mergeCell ref="BH41:BH51"/>
    <mergeCell ref="BI41:BI51"/>
    <mergeCell ref="BJ41:BJ51"/>
    <mergeCell ref="BK41:BK51"/>
    <mergeCell ref="BL41:BL51"/>
    <mergeCell ref="BM41:BM51"/>
    <mergeCell ref="BN41:BN51"/>
    <mergeCell ref="BO41:BO51"/>
    <mergeCell ref="BP41:BP51"/>
    <mergeCell ref="BQ41:BQ51"/>
    <mergeCell ref="BR41:BR51"/>
    <mergeCell ref="BS41:BS51"/>
    <mergeCell ref="BT41:BT51"/>
    <mergeCell ref="BU41:BU51"/>
    <mergeCell ref="BV41:BV51"/>
    <mergeCell ref="BW41:BW51"/>
    <mergeCell ref="CN63:CN73"/>
    <mergeCell ref="CO63:CO73"/>
    <mergeCell ref="CP63:CP73"/>
    <mergeCell ref="CQ63:CQ73"/>
    <mergeCell ref="CR63:CR73"/>
    <mergeCell ref="CS63:CS73"/>
    <mergeCell ref="CT63:CT73"/>
    <mergeCell ref="CG63:CG73"/>
    <mergeCell ref="CH63:CH73"/>
    <mergeCell ref="CI63:CI73"/>
    <mergeCell ref="CJ63:CJ73"/>
    <mergeCell ref="CK63:CK73"/>
    <mergeCell ref="CL63:CL73"/>
    <mergeCell ref="CM63:CM73"/>
    <mergeCell ref="AJ63:AJ73"/>
    <mergeCell ref="AK63:AK73"/>
    <mergeCell ref="AL63:AL73"/>
    <mergeCell ref="AM63:AM73"/>
    <mergeCell ref="AN63:AN73"/>
    <mergeCell ref="AO63:AO73"/>
    <mergeCell ref="AP63:AP73"/>
    <mergeCell ref="AQ63:AQ73"/>
    <mergeCell ref="AR63:AR73"/>
    <mergeCell ref="AS63:AS73"/>
    <mergeCell ref="AT63:AT73"/>
    <mergeCell ref="AU63:AU73"/>
    <mergeCell ref="AV63:AV73"/>
    <mergeCell ref="AW63:AW73"/>
    <mergeCell ref="AX63:AX73"/>
    <mergeCell ref="AY63:AY73"/>
    <mergeCell ref="AZ63:AZ73"/>
    <mergeCell ref="BA63:BA73"/>
    <mergeCell ref="BB63:BB73"/>
    <mergeCell ref="BC63:BC73"/>
    <mergeCell ref="BD63:BD73"/>
    <mergeCell ref="BE63:BE73"/>
    <mergeCell ref="BF63:BF73"/>
    <mergeCell ref="BG63:BG73"/>
    <mergeCell ref="BH63:BH73"/>
    <mergeCell ref="BI63:BI73"/>
    <mergeCell ref="BJ63:BJ73"/>
    <mergeCell ref="BK63:BK73"/>
    <mergeCell ref="BL63:BL73"/>
    <mergeCell ref="BM63:BM73"/>
    <mergeCell ref="BN63:BN73"/>
    <mergeCell ref="BO63:BO73"/>
    <mergeCell ref="BP63:BP73"/>
    <mergeCell ref="BQ63:BQ73"/>
    <mergeCell ref="BR63:BR73"/>
    <mergeCell ref="BS63:BS73"/>
    <mergeCell ref="BT63:BT73"/>
    <mergeCell ref="BU63:BU73"/>
    <mergeCell ref="BV63:BV73"/>
    <mergeCell ref="BW63:BW73"/>
    <mergeCell ref="BX63:BX73"/>
    <mergeCell ref="BY63:BY73"/>
    <mergeCell ref="BZ63:BZ73"/>
    <mergeCell ref="CA63:CA73"/>
    <mergeCell ref="CB63:CB73"/>
    <mergeCell ref="CC63:CC73"/>
    <mergeCell ref="CD63:CD73"/>
    <mergeCell ref="CE63:CE73"/>
    <mergeCell ref="CF63:CF73"/>
    <mergeCell ref="W63:W73"/>
    <mergeCell ref="X63:X73"/>
    <mergeCell ref="P63:P73"/>
    <mergeCell ref="Q63:Q73"/>
    <mergeCell ref="R63:R73"/>
    <mergeCell ref="S63:S73"/>
    <mergeCell ref="T63:T73"/>
    <mergeCell ref="U63:U73"/>
    <mergeCell ref="V63:V73"/>
    <mergeCell ref="CN74:CN84"/>
    <mergeCell ref="CO74:CO84"/>
    <mergeCell ref="CP74:CP84"/>
    <mergeCell ref="CQ74:CQ84"/>
    <mergeCell ref="CR74:CR84"/>
    <mergeCell ref="CS74:CS84"/>
    <mergeCell ref="CT74:CT84"/>
    <mergeCell ref="CG74:CG84"/>
    <mergeCell ref="CH74:CH84"/>
    <mergeCell ref="CI74:CI84"/>
    <mergeCell ref="CJ74:CJ84"/>
    <mergeCell ref="CK74:CK84"/>
    <mergeCell ref="CL74:CL84"/>
    <mergeCell ref="CM74:CM84"/>
    <mergeCell ref="AJ74:AJ84"/>
    <mergeCell ref="AK74:AK84"/>
    <mergeCell ref="AL74:AL84"/>
    <mergeCell ref="AM74:AM84"/>
    <mergeCell ref="AN74:AN84"/>
    <mergeCell ref="AO74:AO84"/>
    <mergeCell ref="AP74:AP84"/>
    <mergeCell ref="AQ74:AQ84"/>
    <mergeCell ref="AR74:AR84"/>
    <mergeCell ref="AS74:AS84"/>
    <mergeCell ref="AT74:AT84"/>
    <mergeCell ref="AU74:AU84"/>
    <mergeCell ref="AV74:AV84"/>
    <mergeCell ref="AW74:AW84"/>
    <mergeCell ref="AX74:AX84"/>
    <mergeCell ref="AY74:AY84"/>
    <mergeCell ref="AZ74:AZ84"/>
    <mergeCell ref="BA74:BA84"/>
    <mergeCell ref="BB74:BB84"/>
    <mergeCell ref="BC74:BC84"/>
    <mergeCell ref="BD74:BD84"/>
    <mergeCell ref="BE74:BE84"/>
    <mergeCell ref="BF74:BF84"/>
    <mergeCell ref="BG74:BG84"/>
    <mergeCell ref="BH74:BH84"/>
    <mergeCell ref="BI74:BI84"/>
    <mergeCell ref="BJ74:BJ84"/>
    <mergeCell ref="BK74:BK84"/>
    <mergeCell ref="BL74:BL84"/>
    <mergeCell ref="BM74:BM84"/>
    <mergeCell ref="BN74:BN84"/>
    <mergeCell ref="BO74:BO84"/>
    <mergeCell ref="BP74:BP84"/>
    <mergeCell ref="BQ74:BQ84"/>
    <mergeCell ref="BR74:BR84"/>
    <mergeCell ref="BS74:BS84"/>
    <mergeCell ref="BT74:BT84"/>
    <mergeCell ref="BU74:BU84"/>
    <mergeCell ref="BV74:BV84"/>
    <mergeCell ref="BW74:BW84"/>
    <mergeCell ref="BX74:BX84"/>
    <mergeCell ref="BY74:BY84"/>
    <mergeCell ref="BZ74:BZ84"/>
    <mergeCell ref="CA74:CA84"/>
    <mergeCell ref="CB74:CB84"/>
    <mergeCell ref="CC74:CC84"/>
    <mergeCell ref="CD74:CD84"/>
    <mergeCell ref="CE74:CE84"/>
    <mergeCell ref="CF74:CF84"/>
    <mergeCell ref="W52:W62"/>
    <mergeCell ref="X52:X62"/>
    <mergeCell ref="Y52:Y62"/>
    <mergeCell ref="Z52:Z62"/>
    <mergeCell ref="AJ52:AJ62"/>
    <mergeCell ref="AK52:AK62"/>
    <mergeCell ref="AL52:AL62"/>
    <mergeCell ref="P52:P62"/>
    <mergeCell ref="Q52:Q62"/>
    <mergeCell ref="R52:R62"/>
    <mergeCell ref="S52:S62"/>
    <mergeCell ref="T52:T62"/>
    <mergeCell ref="U52:U62"/>
    <mergeCell ref="V52:V62"/>
    <mergeCell ref="BX85:BX95"/>
    <mergeCell ref="BY85:BY95"/>
    <mergeCell ref="BZ85:BZ95"/>
    <mergeCell ref="CA85:CA95"/>
    <mergeCell ref="CB85:CB95"/>
    <mergeCell ref="CC85:CC95"/>
    <mergeCell ref="CD85:CD95"/>
    <mergeCell ref="CE85:CE95"/>
    <mergeCell ref="CF85:CF95"/>
    <mergeCell ref="CG85:CG95"/>
    <mergeCell ref="CH85:CH95"/>
    <mergeCell ref="CI85:CI95"/>
    <mergeCell ref="CJ85:CJ95"/>
    <mergeCell ref="CK85:CK95"/>
    <mergeCell ref="CS85:CS95"/>
    <mergeCell ref="CT85:CT95"/>
    <mergeCell ref="CP96:CP106"/>
    <mergeCell ref="CQ96:CQ106"/>
    <mergeCell ref="CR96:CR106"/>
    <mergeCell ref="CS96:CS106"/>
    <mergeCell ref="CT96:CT106"/>
    <mergeCell ref="CL85:CL95"/>
    <mergeCell ref="CM85:CM95"/>
    <mergeCell ref="CN85:CN95"/>
    <mergeCell ref="CO85:CO95"/>
    <mergeCell ref="CP85:CP95"/>
    <mergeCell ref="CQ85:CQ95"/>
    <mergeCell ref="CR85:CR95"/>
    <mergeCell ref="A74:A84"/>
    <mergeCell ref="A85:A95"/>
    <mergeCell ref="A96:A106"/>
    <mergeCell ref="A41:A51"/>
    <mergeCell ref="B41:B51"/>
    <mergeCell ref="A52:A62"/>
    <mergeCell ref="B52:B62"/>
    <mergeCell ref="A63:A73"/>
    <mergeCell ref="B63:B73"/>
    <mergeCell ref="B74:B84"/>
    <mergeCell ref="P74:P84"/>
    <mergeCell ref="Q74:Q84"/>
    <mergeCell ref="R74:R84"/>
    <mergeCell ref="S74:S84"/>
    <mergeCell ref="T74:T84"/>
    <mergeCell ref="U74:U84"/>
    <mergeCell ref="V74:V84"/>
    <mergeCell ref="W74:W84"/>
    <mergeCell ref="X74:X84"/>
    <mergeCell ref="AJ85:AJ95"/>
    <mergeCell ref="AK85:AK95"/>
    <mergeCell ref="AL85:AL95"/>
    <mergeCell ref="AM85:AM95"/>
    <mergeCell ref="AN85:AN95"/>
    <mergeCell ref="AV85:AV95"/>
    <mergeCell ref="AW85:AW95"/>
    <mergeCell ref="AX85:AX95"/>
    <mergeCell ref="AY85:AY95"/>
    <mergeCell ref="AZ85:AZ95"/>
    <mergeCell ref="BA85:BA95"/>
    <mergeCell ref="BB85:BB95"/>
    <mergeCell ref="BC85:BC95"/>
    <mergeCell ref="BD85:BD95"/>
    <mergeCell ref="BE85:BE95"/>
    <mergeCell ref="BF85:BF95"/>
    <mergeCell ref="BG85:BG95"/>
    <mergeCell ref="BH85:BH95"/>
    <mergeCell ref="BI85:BI95"/>
    <mergeCell ref="BJ85:BJ95"/>
    <mergeCell ref="BK85:BK95"/>
    <mergeCell ref="BL85:BL95"/>
    <mergeCell ref="BM85:BM95"/>
    <mergeCell ref="BN85:BN95"/>
    <mergeCell ref="BO85:BO95"/>
    <mergeCell ref="BP85:BP95"/>
    <mergeCell ref="BQ85:BQ95"/>
    <mergeCell ref="BR85:BR95"/>
    <mergeCell ref="BS85:BS95"/>
    <mergeCell ref="BT85:BT95"/>
    <mergeCell ref="BU85:BU95"/>
    <mergeCell ref="BV85:BV95"/>
    <mergeCell ref="BW85:BW95"/>
    <mergeCell ref="AO85:AO95"/>
    <mergeCell ref="AP85:AP95"/>
    <mergeCell ref="AQ85:AQ95"/>
    <mergeCell ref="AR85:AR95"/>
    <mergeCell ref="AS85:AS95"/>
    <mergeCell ref="AT85:AT95"/>
    <mergeCell ref="AU85:AU95"/>
    <mergeCell ref="CN129:CN139"/>
    <mergeCell ref="CO129:CO139"/>
    <mergeCell ref="CP129:CP139"/>
    <mergeCell ref="CQ129:CQ139"/>
    <mergeCell ref="CR129:CR139"/>
    <mergeCell ref="CS129:CS139"/>
    <mergeCell ref="CT129:CT139"/>
    <mergeCell ref="CG129:CG139"/>
    <mergeCell ref="CH129:CH139"/>
    <mergeCell ref="CI129:CI139"/>
    <mergeCell ref="CJ129:CJ139"/>
    <mergeCell ref="CK129:CK139"/>
    <mergeCell ref="CL129:CL139"/>
    <mergeCell ref="CM129:CM139"/>
    <mergeCell ref="AQ129:AQ139"/>
    <mergeCell ref="AR129:AR139"/>
    <mergeCell ref="AS129:AS139"/>
    <mergeCell ref="AT129:AT139"/>
    <mergeCell ref="AU129:AU139"/>
    <mergeCell ref="AV129:AV139"/>
    <mergeCell ref="AW129:AW139"/>
    <mergeCell ref="AX129:AX139"/>
    <mergeCell ref="AY129:AY139"/>
    <mergeCell ref="AZ129:AZ139"/>
    <mergeCell ref="BA129:BA139"/>
    <mergeCell ref="BB129:BB139"/>
    <mergeCell ref="BC129:BC139"/>
    <mergeCell ref="BD129:BD139"/>
    <mergeCell ref="BE129:BE139"/>
    <mergeCell ref="BF129:BF139"/>
    <mergeCell ref="BG129:BG139"/>
    <mergeCell ref="BH129:BH139"/>
    <mergeCell ref="BI129:BI139"/>
    <mergeCell ref="BJ129:BJ139"/>
    <mergeCell ref="BK129:BK139"/>
    <mergeCell ref="BL129:BL139"/>
    <mergeCell ref="BM129:BM139"/>
    <mergeCell ref="BN129:BN139"/>
    <mergeCell ref="BO129:BO139"/>
    <mergeCell ref="BP129:BP139"/>
    <mergeCell ref="BQ129:BQ139"/>
    <mergeCell ref="BR129:BR139"/>
    <mergeCell ref="BS129:BS139"/>
    <mergeCell ref="BT129:BT139"/>
    <mergeCell ref="BU129:BU139"/>
    <mergeCell ref="BV129:BV139"/>
    <mergeCell ref="BW129:BW139"/>
    <mergeCell ref="BX129:BX139"/>
    <mergeCell ref="BY129:BY139"/>
    <mergeCell ref="BZ129:BZ139"/>
    <mergeCell ref="CA129:CA139"/>
    <mergeCell ref="CB129:CB139"/>
    <mergeCell ref="CC129:CC139"/>
    <mergeCell ref="CD129:CD139"/>
    <mergeCell ref="CE129:CE139"/>
    <mergeCell ref="CF129:CF139"/>
    <mergeCell ref="AJ129:AJ139"/>
    <mergeCell ref="AK129:AK139"/>
    <mergeCell ref="AL129:AL139"/>
    <mergeCell ref="AM129:AM139"/>
    <mergeCell ref="AN129:AN139"/>
    <mergeCell ref="AO129:AO139"/>
    <mergeCell ref="AP129:AP139"/>
    <mergeCell ref="CN140:CN150"/>
    <mergeCell ref="CO140:CO150"/>
    <mergeCell ref="CP140:CP150"/>
    <mergeCell ref="CQ140:CQ150"/>
    <mergeCell ref="CR140:CR150"/>
    <mergeCell ref="CS140:CS150"/>
    <mergeCell ref="CT140:CT150"/>
    <mergeCell ref="CG140:CG150"/>
    <mergeCell ref="CH140:CH150"/>
    <mergeCell ref="CI140:CI150"/>
    <mergeCell ref="CJ140:CJ150"/>
    <mergeCell ref="CK140:CK150"/>
    <mergeCell ref="CL140:CL150"/>
    <mergeCell ref="CM140:CM150"/>
    <mergeCell ref="AQ140:AQ150"/>
    <mergeCell ref="AR140:AR150"/>
    <mergeCell ref="AS140:AS150"/>
    <mergeCell ref="AT140:AT150"/>
    <mergeCell ref="AU140:AU150"/>
    <mergeCell ref="AV140:AV150"/>
    <mergeCell ref="AW140:AW150"/>
    <mergeCell ref="AX140:AX150"/>
    <mergeCell ref="AY140:AY150"/>
    <mergeCell ref="AZ140:AZ150"/>
    <mergeCell ref="BA140:BA150"/>
    <mergeCell ref="BB140:BB150"/>
    <mergeCell ref="BC140:BC150"/>
    <mergeCell ref="BD140:BD150"/>
    <mergeCell ref="BE140:BE150"/>
    <mergeCell ref="BF140:BF150"/>
    <mergeCell ref="BG140:BG150"/>
    <mergeCell ref="BH140:BH150"/>
    <mergeCell ref="BI140:BI150"/>
    <mergeCell ref="BJ140:BJ150"/>
    <mergeCell ref="BK140:BK150"/>
    <mergeCell ref="BL140:BL150"/>
    <mergeCell ref="BM140:BM150"/>
    <mergeCell ref="BN140:BN150"/>
    <mergeCell ref="BO140:BO150"/>
    <mergeCell ref="BP140:BP150"/>
    <mergeCell ref="BQ140:BQ150"/>
    <mergeCell ref="BR140:BR150"/>
    <mergeCell ref="BS140:BS150"/>
    <mergeCell ref="BT140:BT150"/>
    <mergeCell ref="BU140:BU150"/>
    <mergeCell ref="BV140:BV150"/>
    <mergeCell ref="BW140:BW150"/>
    <mergeCell ref="BX140:BX150"/>
    <mergeCell ref="BY140:BY150"/>
    <mergeCell ref="BZ140:BZ150"/>
    <mergeCell ref="CA140:CA150"/>
    <mergeCell ref="CB140:CB150"/>
    <mergeCell ref="CC140:CC150"/>
    <mergeCell ref="CD140:CD150"/>
    <mergeCell ref="CE140:CE150"/>
    <mergeCell ref="CF140:CF150"/>
    <mergeCell ref="AJ140:AJ150"/>
    <mergeCell ref="AK140:AK150"/>
    <mergeCell ref="AL140:AL150"/>
    <mergeCell ref="AM140:AM150"/>
    <mergeCell ref="AN140:AN150"/>
    <mergeCell ref="AO140:AO150"/>
    <mergeCell ref="AP140:AP150"/>
    <mergeCell ref="W96:W106"/>
    <mergeCell ref="X96:X106"/>
    <mergeCell ref="P96:P106"/>
    <mergeCell ref="Q96:Q106"/>
    <mergeCell ref="R96:R106"/>
    <mergeCell ref="S96:S106"/>
    <mergeCell ref="T96:T106"/>
    <mergeCell ref="U96:U106"/>
    <mergeCell ref="V96:V106"/>
    <mergeCell ref="W107:W117"/>
    <mergeCell ref="X107:X117"/>
    <mergeCell ref="P107:P117"/>
    <mergeCell ref="Q107:Q117"/>
    <mergeCell ref="R107:R117"/>
    <mergeCell ref="S107:S117"/>
    <mergeCell ref="T107:T117"/>
    <mergeCell ref="U107:U117"/>
    <mergeCell ref="V107:V117"/>
    <mergeCell ref="W118:W128"/>
    <mergeCell ref="X118:X128"/>
    <mergeCell ref="P118:P128"/>
    <mergeCell ref="Q118:Q128"/>
    <mergeCell ref="R118:R128"/>
    <mergeCell ref="S118:S128"/>
    <mergeCell ref="T118:T128"/>
    <mergeCell ref="U118:U128"/>
    <mergeCell ref="V118:V128"/>
    <mergeCell ref="W85:W95"/>
    <mergeCell ref="X85:X95"/>
    <mergeCell ref="Y85:Y95"/>
    <mergeCell ref="Z85:Z95"/>
    <mergeCell ref="Y96:Y106"/>
    <mergeCell ref="Z96:Z106"/>
    <mergeCell ref="Z107:Z117"/>
    <mergeCell ref="P85:P95"/>
    <mergeCell ref="Q85:Q95"/>
    <mergeCell ref="R85:R95"/>
    <mergeCell ref="S85:S95"/>
    <mergeCell ref="T85:T95"/>
    <mergeCell ref="U85:U95"/>
    <mergeCell ref="V85:V95"/>
    <mergeCell ref="B85:B95"/>
    <mergeCell ref="B96:B106"/>
    <mergeCell ref="A107:A117"/>
    <mergeCell ref="B107:B117"/>
    <mergeCell ref="A118:A128"/>
    <mergeCell ref="B118:B128"/>
    <mergeCell ref="B129:B139"/>
    <mergeCell ref="A129:A139"/>
    <mergeCell ref="A140:A150"/>
    <mergeCell ref="A151:A161"/>
    <mergeCell ref="A162:A172"/>
    <mergeCell ref="A173:A183"/>
    <mergeCell ref="A184:A194"/>
    <mergeCell ref="A195:A205"/>
    <mergeCell ref="B140:B150"/>
    <mergeCell ref="B151:B161"/>
    <mergeCell ref="B162:B172"/>
    <mergeCell ref="B173:B183"/>
    <mergeCell ref="B184:B194"/>
    <mergeCell ref="B195:B205"/>
    <mergeCell ref="B206:B216"/>
    <mergeCell ref="A283:A293"/>
    <mergeCell ref="A294:A304"/>
    <mergeCell ref="A305:A315"/>
    <mergeCell ref="A206:A216"/>
    <mergeCell ref="A217:A227"/>
    <mergeCell ref="A228:A238"/>
    <mergeCell ref="A239:A249"/>
    <mergeCell ref="A250:A260"/>
    <mergeCell ref="A261:A271"/>
    <mergeCell ref="A272:A282"/>
    <mergeCell ref="B294:B304"/>
    <mergeCell ref="B305:B315"/>
    <mergeCell ref="B217:B227"/>
    <mergeCell ref="B228:B238"/>
    <mergeCell ref="B239:B249"/>
    <mergeCell ref="B250:B260"/>
    <mergeCell ref="B261:B271"/>
    <mergeCell ref="B272:B282"/>
    <mergeCell ref="B283:B293"/>
    <mergeCell ref="W30:W40"/>
    <mergeCell ref="X30:X40"/>
    <mergeCell ref="P30:P40"/>
    <mergeCell ref="Q30:Q40"/>
    <mergeCell ref="R30:R40"/>
    <mergeCell ref="S30:S40"/>
    <mergeCell ref="T30:T40"/>
    <mergeCell ref="U30:U40"/>
    <mergeCell ref="V30:V40"/>
    <mergeCell ref="W41:W51"/>
    <mergeCell ref="X41:X51"/>
    <mergeCell ref="Y41:Y51"/>
    <mergeCell ref="Z41:Z51"/>
    <mergeCell ref="Y63:Y73"/>
    <mergeCell ref="Z63:Z73"/>
    <mergeCell ref="Y74:Y84"/>
    <mergeCell ref="Z74:Z84"/>
    <mergeCell ref="P41:P51"/>
    <mergeCell ref="Q41:Q51"/>
    <mergeCell ref="R41:R51"/>
    <mergeCell ref="S41:S51"/>
    <mergeCell ref="T41:T51"/>
    <mergeCell ref="U41:U51"/>
    <mergeCell ref="V41:V51"/>
    <mergeCell ref="Y107:Y117"/>
    <mergeCell ref="Y118:Y128"/>
    <mergeCell ref="Z118:Z128"/>
    <mergeCell ref="W129:W139"/>
    <mergeCell ref="X129:X139"/>
    <mergeCell ref="Y129:Y139"/>
    <mergeCell ref="Z129:Z139"/>
    <mergeCell ref="P129:P139"/>
    <mergeCell ref="Q129:Q139"/>
    <mergeCell ref="R129:R139"/>
    <mergeCell ref="S129:S139"/>
    <mergeCell ref="T129:T139"/>
    <mergeCell ref="U129:U139"/>
    <mergeCell ref="V129:V139"/>
    <mergeCell ref="W283:W293"/>
    <mergeCell ref="X283:X293"/>
    <mergeCell ref="Y283:Y293"/>
    <mergeCell ref="Z283:Z293"/>
    <mergeCell ref="P283:P293"/>
    <mergeCell ref="Q283:Q293"/>
    <mergeCell ref="R283:R293"/>
    <mergeCell ref="S283:S293"/>
    <mergeCell ref="T283:T293"/>
    <mergeCell ref="U283:U293"/>
    <mergeCell ref="V283:V293"/>
    <mergeCell ref="W294:W304"/>
    <mergeCell ref="X294:X304"/>
    <mergeCell ref="Y294:Y304"/>
    <mergeCell ref="Z294:Z304"/>
    <mergeCell ref="P294:P304"/>
    <mergeCell ref="Q294:Q304"/>
    <mergeCell ref="R294:R304"/>
    <mergeCell ref="S294:S304"/>
    <mergeCell ref="T294:T304"/>
    <mergeCell ref="U294:U304"/>
    <mergeCell ref="V294:V304"/>
    <mergeCell ref="W305:W315"/>
    <mergeCell ref="X305:X315"/>
    <mergeCell ref="Y305:Y315"/>
    <mergeCell ref="Z305:Z315"/>
    <mergeCell ref="P305:P315"/>
    <mergeCell ref="Q305:Q315"/>
    <mergeCell ref="R305:R315"/>
    <mergeCell ref="S305:S315"/>
    <mergeCell ref="T305:T315"/>
    <mergeCell ref="U305:U315"/>
    <mergeCell ref="V305:V315"/>
    <mergeCell ref="W140:W150"/>
    <mergeCell ref="X140:X150"/>
    <mergeCell ref="Y140:Y150"/>
    <mergeCell ref="Z140:Z150"/>
    <mergeCell ref="P140:P150"/>
    <mergeCell ref="Q140:Q150"/>
    <mergeCell ref="R140:R150"/>
    <mergeCell ref="S140:S150"/>
    <mergeCell ref="T140:T150"/>
    <mergeCell ref="U140:U150"/>
    <mergeCell ref="V140:V150"/>
    <mergeCell ref="W151:W161"/>
    <mergeCell ref="X151:X161"/>
    <mergeCell ref="Y151:Y161"/>
    <mergeCell ref="Z151:Z161"/>
    <mergeCell ref="P151:P161"/>
    <mergeCell ref="Q151:Q161"/>
    <mergeCell ref="R151:R161"/>
    <mergeCell ref="S151:S161"/>
    <mergeCell ref="T151:T161"/>
    <mergeCell ref="U151:U161"/>
    <mergeCell ref="V151:V161"/>
    <mergeCell ref="W162:W172"/>
    <mergeCell ref="X162:X172"/>
    <mergeCell ref="Y162:Y172"/>
    <mergeCell ref="Z162:Z172"/>
    <mergeCell ref="P162:P172"/>
    <mergeCell ref="Q162:Q172"/>
    <mergeCell ref="R162:R172"/>
    <mergeCell ref="S162:S172"/>
    <mergeCell ref="T162:T172"/>
    <mergeCell ref="U162:U172"/>
    <mergeCell ref="V162:V172"/>
    <mergeCell ref="P173:P183"/>
    <mergeCell ref="Q173:Q183"/>
    <mergeCell ref="R173:R183"/>
    <mergeCell ref="S173:S183"/>
    <mergeCell ref="T173:T183"/>
    <mergeCell ref="U173:U183"/>
    <mergeCell ref="V173:V183"/>
  </mergeCells>
  <conditionalFormatting sqref="E228:N315">
    <cfRule type="expression" dxfId="0" priority="1">
      <formula>AND($F228&lt;&gt;"",OR($M228=0,$M228=""))</formula>
    </cfRule>
  </conditionalFormatting>
  <conditionalFormatting sqref="E228:N315">
    <cfRule type="expression" dxfId="1" priority="2">
      <formula>LEFT($K228,1)="E"</formula>
    </cfRule>
  </conditionalFormatting>
  <conditionalFormatting sqref="E228:N315">
    <cfRule type="expression" dxfId="2" priority="3">
      <formula>LEFT($K228,1)="P"</formula>
    </cfRule>
  </conditionalFormatting>
  <conditionalFormatting sqref="E228:N315">
    <cfRule type="expression" dxfId="3" priority="4">
      <formula>LEFT($K228,1)="S"</formula>
    </cfRule>
  </conditionalFormatting>
  <conditionalFormatting sqref="E162:N227">
    <cfRule type="expression" dxfId="0" priority="5">
      <formula>AND($F162&lt;&gt;"",OR($M162=0,$M162=""))</formula>
    </cfRule>
  </conditionalFormatting>
  <conditionalFormatting sqref="E162:N227">
    <cfRule type="expression" dxfId="1" priority="6">
      <formula>LEFT($K162,1)="E"</formula>
    </cfRule>
  </conditionalFormatting>
  <conditionalFormatting sqref="E162:N227">
    <cfRule type="expression" dxfId="2" priority="7">
      <formula>LEFT($K162,1)="P"</formula>
    </cfRule>
  </conditionalFormatting>
  <conditionalFormatting sqref="E162:N227">
    <cfRule type="expression" dxfId="3" priority="8">
      <formula>LEFT($K162,1)="S"</formula>
    </cfRule>
  </conditionalFormatting>
  <conditionalFormatting sqref="E8:N8">
    <cfRule type="expression" dxfId="0" priority="9">
      <formula>AND($F8&lt;&gt;"",OR($M8=0,$M8=""))</formula>
    </cfRule>
  </conditionalFormatting>
  <conditionalFormatting sqref="E8:N8">
    <cfRule type="expression" dxfId="1" priority="10">
      <formula>LEFT($K8,1)="E"</formula>
    </cfRule>
  </conditionalFormatting>
  <conditionalFormatting sqref="E8:N8">
    <cfRule type="expression" dxfId="2" priority="11">
      <formula>LEFT($K8,1)="P"</formula>
    </cfRule>
  </conditionalFormatting>
  <conditionalFormatting sqref="E8:N8">
    <cfRule type="expression" dxfId="3" priority="12">
      <formula>LEFT($K8,1)="S"</formula>
    </cfRule>
  </conditionalFormatting>
  <conditionalFormatting sqref="E9:N9">
    <cfRule type="expression" dxfId="0" priority="13">
      <formula>AND($F9&lt;&gt;"",OR($M9=0,$M9=""))</formula>
    </cfRule>
  </conditionalFormatting>
  <conditionalFormatting sqref="E9:N9">
    <cfRule type="expression" dxfId="1" priority="14">
      <formula>LEFT($K9,1)="E"</formula>
    </cfRule>
  </conditionalFormatting>
  <conditionalFormatting sqref="E9:N9">
    <cfRule type="expression" dxfId="2" priority="15">
      <formula>LEFT($K9,1)="P"</formula>
    </cfRule>
  </conditionalFormatting>
  <conditionalFormatting sqref="E9:N9">
    <cfRule type="expression" dxfId="3" priority="16">
      <formula>LEFT($K9,1)="S"</formula>
    </cfRule>
  </conditionalFormatting>
  <conditionalFormatting sqref="E10:N18">
    <cfRule type="expression" dxfId="0" priority="17">
      <formula>AND($F10&lt;&gt;"",OR($M10=0,$M10=""))</formula>
    </cfRule>
  </conditionalFormatting>
  <conditionalFormatting sqref="E10:N18">
    <cfRule type="expression" dxfId="1" priority="18">
      <formula>LEFT($K10,1)="E"</formula>
    </cfRule>
  </conditionalFormatting>
  <conditionalFormatting sqref="E10:N18">
    <cfRule type="expression" dxfId="2" priority="19">
      <formula>LEFT($K10,1)="P"</formula>
    </cfRule>
  </conditionalFormatting>
  <conditionalFormatting sqref="E10:N18">
    <cfRule type="expression" dxfId="3" priority="20">
      <formula>LEFT($K10,1)="S"</formula>
    </cfRule>
  </conditionalFormatting>
  <conditionalFormatting sqref="E10">
    <cfRule type="expression" dxfId="0" priority="21">
      <formula>AND($F10&lt;&gt;"",OR($M10=0,$M10=""))</formula>
    </cfRule>
  </conditionalFormatting>
  <conditionalFormatting sqref="E10">
    <cfRule type="expression" dxfId="1" priority="22">
      <formula>LEFT($K10,1)="E"</formula>
    </cfRule>
  </conditionalFormatting>
  <conditionalFormatting sqref="E10">
    <cfRule type="expression" dxfId="2" priority="23">
      <formula>LEFT($K10,1)="P"</formula>
    </cfRule>
  </conditionalFormatting>
  <conditionalFormatting sqref="E10">
    <cfRule type="expression" dxfId="3" priority="24">
      <formula>LEFT($K10,1)="S"</formula>
    </cfRule>
  </conditionalFormatting>
  <conditionalFormatting sqref="E11">
    <cfRule type="expression" dxfId="0" priority="25">
      <formula>AND($F11&lt;&gt;"",OR($M11=0,$M11=""))</formula>
    </cfRule>
  </conditionalFormatting>
  <conditionalFormatting sqref="E11">
    <cfRule type="expression" dxfId="1" priority="26">
      <formula>LEFT($K11,1)="E"</formula>
    </cfRule>
  </conditionalFormatting>
  <conditionalFormatting sqref="E11">
    <cfRule type="expression" dxfId="2" priority="27">
      <formula>LEFT($K11,1)="P"</formula>
    </cfRule>
  </conditionalFormatting>
  <conditionalFormatting sqref="E11">
    <cfRule type="expression" dxfId="3" priority="28">
      <formula>LEFT($K11,1)="S"</formula>
    </cfRule>
  </conditionalFormatting>
  <conditionalFormatting sqref="E8:N8">
    <cfRule type="expression" dxfId="0" priority="29">
      <formula>AND($F8&lt;&gt;"",OR($M8=0,$M8=""))</formula>
    </cfRule>
  </conditionalFormatting>
  <conditionalFormatting sqref="E8:N8">
    <cfRule type="expression" dxfId="1" priority="30">
      <formula>LEFT($K8,1)="E"</formula>
    </cfRule>
  </conditionalFormatting>
  <conditionalFormatting sqref="E8:N8">
    <cfRule type="expression" dxfId="2" priority="31">
      <formula>LEFT($K8,1)="P"</formula>
    </cfRule>
  </conditionalFormatting>
  <conditionalFormatting sqref="E8:N8">
    <cfRule type="expression" dxfId="3" priority="32">
      <formula>LEFT($K8,1)="S"</formula>
    </cfRule>
  </conditionalFormatting>
  <conditionalFormatting sqref="E9:N9">
    <cfRule type="expression" dxfId="0" priority="33">
      <formula>AND($F9&lt;&gt;"",OR($M9=0,$M9=""))</formula>
    </cfRule>
  </conditionalFormatting>
  <conditionalFormatting sqref="E9:N9">
    <cfRule type="expression" dxfId="1" priority="34">
      <formula>LEFT($K9,1)="E"</formula>
    </cfRule>
  </conditionalFormatting>
  <conditionalFormatting sqref="E9:N9">
    <cfRule type="expression" dxfId="2" priority="35">
      <formula>LEFT($K9,1)="P"</formula>
    </cfRule>
  </conditionalFormatting>
  <conditionalFormatting sqref="E9:N9">
    <cfRule type="expression" dxfId="3" priority="36">
      <formula>LEFT($K9,1)="S"</formula>
    </cfRule>
  </conditionalFormatting>
  <conditionalFormatting sqref="E10:N18">
    <cfRule type="expression" dxfId="0" priority="37">
      <formula>AND($F10&lt;&gt;"",OR($M10=0,$M10=""))</formula>
    </cfRule>
  </conditionalFormatting>
  <conditionalFormatting sqref="E10:N18">
    <cfRule type="expression" dxfId="1" priority="38">
      <formula>LEFT($K10,1)="E"</formula>
    </cfRule>
  </conditionalFormatting>
  <conditionalFormatting sqref="E10:N18">
    <cfRule type="expression" dxfId="2" priority="39">
      <formula>LEFT($K10,1)="P"</formula>
    </cfRule>
  </conditionalFormatting>
  <conditionalFormatting sqref="E10:N18">
    <cfRule type="expression" dxfId="3" priority="40">
      <formula>LEFT($K10,1)="S"</formula>
    </cfRule>
  </conditionalFormatting>
  <conditionalFormatting sqref="E10">
    <cfRule type="expression" dxfId="0" priority="41">
      <formula>AND($F10&lt;&gt;"",OR($M10=0,$M10=""))</formula>
    </cfRule>
  </conditionalFormatting>
  <conditionalFormatting sqref="E10">
    <cfRule type="expression" dxfId="1" priority="42">
      <formula>LEFT($K10,1)="E"</formula>
    </cfRule>
  </conditionalFormatting>
  <conditionalFormatting sqref="E10">
    <cfRule type="expression" dxfId="2" priority="43">
      <formula>LEFT($K10,1)="P"</formula>
    </cfRule>
  </conditionalFormatting>
  <conditionalFormatting sqref="E10">
    <cfRule type="expression" dxfId="3" priority="44">
      <formula>LEFT($K10,1)="S"</formula>
    </cfRule>
  </conditionalFormatting>
  <conditionalFormatting sqref="E11">
    <cfRule type="expression" dxfId="0" priority="45">
      <formula>AND($F11&lt;&gt;"",OR($M11=0,$M11=""))</formula>
    </cfRule>
  </conditionalFormatting>
  <conditionalFormatting sqref="E11">
    <cfRule type="expression" dxfId="1" priority="46">
      <formula>LEFT($K11,1)="E"</formula>
    </cfRule>
  </conditionalFormatting>
  <conditionalFormatting sqref="E11">
    <cfRule type="expression" dxfId="2" priority="47">
      <formula>LEFT($K11,1)="P"</formula>
    </cfRule>
  </conditionalFormatting>
  <conditionalFormatting sqref="E11">
    <cfRule type="expression" dxfId="3" priority="48">
      <formula>LEFT($K11,1)="S"</formula>
    </cfRule>
  </conditionalFormatting>
  <conditionalFormatting sqref="E19:N19 E30:N30 E41:N41 E52:N52 E63:N63 E74:N74 E85:N85 E96:N96 E107:N107 E118:N118 E129:N129 E140:N140 E151:N151">
    <cfRule type="expression" dxfId="0" priority="49">
      <formula>AND($F19&lt;&gt;"",OR($M19=0,$M19=""))</formula>
    </cfRule>
  </conditionalFormatting>
  <conditionalFormatting sqref="E19:N19 E30:N30 E41:N41 E52:N52 E63:N63 E74:N74 E85:N85 E96:N96 E107:N107 E118:N118 E129:N129 E140:N140 E151:N151">
    <cfRule type="expression" dxfId="1" priority="50">
      <formula>LEFT($K19,1)="E"</formula>
    </cfRule>
  </conditionalFormatting>
  <conditionalFormatting sqref="E19:N19 E30:N30 E41:N41 E52:N52 E63:N63 E74:N74 E85:N85 E96:N96 E107:N107 E118:N118 E129:N129 E140:N140 E151:N151">
    <cfRule type="expression" dxfId="2" priority="51">
      <formula>LEFT($K19,1)="P"</formula>
    </cfRule>
  </conditionalFormatting>
  <conditionalFormatting sqref="E19:N19 E30:N30 E41:N41 E52:N52 E63:N63 E74:N74 E85:N85 E96:N96 E107:N107 E118:N118 E129:N129 E140:N140 E151:N151">
    <cfRule type="expression" dxfId="3" priority="52">
      <formula>LEFT($K19,1)="S"</formula>
    </cfRule>
  </conditionalFormatting>
  <conditionalFormatting sqref="E20:N20 E31:N31 E42:N42 E53:N53 E64:N64 E75:N75 E86:N86 E97:N97 E108:N108 E119:N119 E130:N130 E141:N141 E152:N152">
    <cfRule type="expression" dxfId="0" priority="53">
      <formula>AND($F20&lt;&gt;"",OR($M20=0,$M20=""))</formula>
    </cfRule>
  </conditionalFormatting>
  <conditionalFormatting sqref="E20:N20 E31:N31 E42:N42 E53:N53 E64:N64 E75:N75 E86:N86 E97:N97 E108:N108 E119:N119 E130:N130 E141:N141 E152:N152">
    <cfRule type="expression" dxfId="1" priority="54">
      <formula>LEFT($K20,1)="E"</formula>
    </cfRule>
  </conditionalFormatting>
  <conditionalFormatting sqref="E20:N20 E31:N31 E42:N42 E53:N53 E64:N64 E75:N75 E86:N86 E97:N97 E108:N108 E119:N119 E130:N130 E141:N141 E152:N152">
    <cfRule type="expression" dxfId="2" priority="55">
      <formula>LEFT($K20,1)="P"</formula>
    </cfRule>
  </conditionalFormatting>
  <conditionalFormatting sqref="E20:N20 E31:N31 E42:N42 E53:N53 E64:N64 E75:N75 E86:N86 E97:N97 E108:N108 E119:N119 E130:N130 E141:N141 E152:N152">
    <cfRule type="expression" dxfId="3" priority="56">
      <formula>LEFT($K20,1)="S"</formula>
    </cfRule>
  </conditionalFormatting>
  <conditionalFormatting sqref="E21:N29 E32:N40 E43:N51 E54:N62 E65:N73 E76:N84 E87:N95 E98:N106 E109:N117 E120:N128 E131:N139 E142:N150 E153:N161">
    <cfRule type="expression" dxfId="0" priority="57">
      <formula>AND($F21&lt;&gt;"",OR($M21=0,$M21=""))</formula>
    </cfRule>
  </conditionalFormatting>
  <conditionalFormatting sqref="E21:N29 E32:N40 E43:N51 E54:N62 E65:N73 E76:N84 E87:N95 E98:N106 E109:N117 E120:N128 E131:N139 E142:N150 E153:N161">
    <cfRule type="expression" dxfId="1" priority="58">
      <formula>LEFT($K21,1)="E"</formula>
    </cfRule>
  </conditionalFormatting>
  <conditionalFormatting sqref="E21:N29 E32:N40 E43:N51 E54:N62 E65:N73 E76:N84 E87:N95 E98:N106 E109:N117 E120:N128 E131:N139 E142:N150 E153:N161">
    <cfRule type="expression" dxfId="2" priority="59">
      <formula>LEFT($K21,1)="P"</formula>
    </cfRule>
  </conditionalFormatting>
  <conditionalFormatting sqref="E21:N29 E32:N40 E43:N51 E54:N62 E65:N73 E76:N84 E87:N95 E98:N106 E109:N117 E120:N128 E131:N139 E142:N150 E153:N161">
    <cfRule type="expression" dxfId="3" priority="60">
      <formula>LEFT($K21,1)="S"</formula>
    </cfRule>
  </conditionalFormatting>
  <conditionalFormatting sqref="E21 E32 E43 E54 E65 E76 E87 E98 E109 E120 E131 E142 E153">
    <cfRule type="expression" dxfId="0" priority="61">
      <formula>AND($F21&lt;&gt;"",OR($M21=0,$M21=""))</formula>
    </cfRule>
  </conditionalFormatting>
  <conditionalFormatting sqref="E21 E32 E43 E54 E65 E76 E87 E98 E109 E120 E131 E142 E153">
    <cfRule type="expression" dxfId="1" priority="62">
      <formula>LEFT($K21,1)="E"</formula>
    </cfRule>
  </conditionalFormatting>
  <conditionalFormatting sqref="E21 E32 E43 E54 E65 E76 E87 E98 E109 E120 E131 E142 E153">
    <cfRule type="expression" dxfId="2" priority="63">
      <formula>LEFT($K21,1)="P"</formula>
    </cfRule>
  </conditionalFormatting>
  <conditionalFormatting sqref="E21 E32 E43 E54 E65 E76 E87 E98 E109 E120 E131 E142 E153">
    <cfRule type="expression" dxfId="3" priority="64">
      <formula>LEFT($K21,1)="S"</formula>
    </cfRule>
  </conditionalFormatting>
  <conditionalFormatting sqref="E22 E33 E44 E55 E66 E77 E88 E99 E110 E121 E132 E143 E154">
    <cfRule type="expression" dxfId="0" priority="65">
      <formula>AND($F22&lt;&gt;"",OR($M22=0,$M22=""))</formula>
    </cfRule>
  </conditionalFormatting>
  <conditionalFormatting sqref="E22 E33 E44 E55 E66 E77 E88 E99 E110 E121 E132 E143 E154">
    <cfRule type="expression" dxfId="1" priority="66">
      <formula>LEFT($K22,1)="E"</formula>
    </cfRule>
  </conditionalFormatting>
  <conditionalFormatting sqref="E22 E33 E44 E55 E66 E77 E88 E99 E110 E121 E132 E143 E154">
    <cfRule type="expression" dxfId="2" priority="67">
      <formula>LEFT($K22,1)="P"</formula>
    </cfRule>
  </conditionalFormatting>
  <conditionalFormatting sqref="E22 E33 E44 E55 E66 E77 E88 E99 E110 E121 E132 E143 E154">
    <cfRule type="expression" dxfId="3" priority="68">
      <formula>LEFT($K22,1)="S"</formula>
    </cfRule>
  </conditionalFormatting>
  <conditionalFormatting sqref="E19:N19 E30:N30 E41:N41 E52:N52 E63:N63 E74:N74 E85:N85 E96:N96 E107:N107 E118:N118 E129:N129 E140:N140 E151:N151">
    <cfRule type="expression" dxfId="0" priority="69">
      <formula>AND($F19&lt;&gt;"",OR($M19=0,$M19=""))</formula>
    </cfRule>
  </conditionalFormatting>
  <conditionalFormatting sqref="E19:N19 E30:N30 E41:N41 E52:N52 E63:N63 E74:N74 E85:N85 E96:N96 E107:N107 E118:N118 E129:N129 E140:N140 E151:N151">
    <cfRule type="expression" dxfId="1" priority="70">
      <formula>LEFT($K19,1)="E"</formula>
    </cfRule>
  </conditionalFormatting>
  <conditionalFormatting sqref="E19:N19 E30:N30 E41:N41 E52:N52 E63:N63 E74:N74 E85:N85 E96:N96 E107:N107 E118:N118 E129:N129 E140:N140 E151:N151">
    <cfRule type="expression" dxfId="2" priority="71">
      <formula>LEFT($K19,1)="P"</formula>
    </cfRule>
  </conditionalFormatting>
  <conditionalFormatting sqref="E19:N19 E30:N30 E41:N41 E52:N52 E63:N63 E74:N74 E85:N85 E96:N96 E107:N107 E118:N118 E129:N129 E140:N140 E151:N151">
    <cfRule type="expression" dxfId="3" priority="72">
      <formula>LEFT($K19,1)="S"</formula>
    </cfRule>
  </conditionalFormatting>
  <conditionalFormatting sqref="E20:N20 E31:N31 E42:N42 E53:N53 E64:N64 E75:N75 E86:N86 E97:N97 E108:N108 E119:N119 E130:N130 E141:N141 E152:N152">
    <cfRule type="expression" dxfId="0" priority="73">
      <formula>AND($F20&lt;&gt;"",OR($M20=0,$M20=""))</formula>
    </cfRule>
  </conditionalFormatting>
  <conditionalFormatting sqref="E20:N20 E31:N31 E42:N42 E53:N53 E64:N64 E75:N75 E86:N86 E97:N97 E108:N108 E119:N119 E130:N130 E141:N141 E152:N152">
    <cfRule type="expression" dxfId="1" priority="74">
      <formula>LEFT($K20,1)="E"</formula>
    </cfRule>
  </conditionalFormatting>
  <conditionalFormatting sqref="E20:N20 E31:N31 E42:N42 E53:N53 E64:N64 E75:N75 E86:N86 E97:N97 E108:N108 E119:N119 E130:N130 E141:N141 E152:N152">
    <cfRule type="expression" dxfId="2" priority="75">
      <formula>LEFT($K20,1)="P"</formula>
    </cfRule>
  </conditionalFormatting>
  <conditionalFormatting sqref="E20:N20 E31:N31 E42:N42 E53:N53 E64:N64 E75:N75 E86:N86 E97:N97 E108:N108 E119:N119 E130:N130 E141:N141 E152:N152">
    <cfRule type="expression" dxfId="3" priority="76">
      <formula>LEFT($K20,1)="S"</formula>
    </cfRule>
  </conditionalFormatting>
  <conditionalFormatting sqref="E21:N29 E32:N40 E43:N51 E54:N62 E65:N73 E76:N84 E87:N95 E98:N106 E109:N117 E120:N128 E131:N139 E142:N150 E153:N161">
    <cfRule type="expression" dxfId="0" priority="77">
      <formula>AND($F21&lt;&gt;"",OR($M21=0,$M21=""))</formula>
    </cfRule>
  </conditionalFormatting>
  <conditionalFormatting sqref="E21:N29 E32:N40 E43:N51 E54:N62 E65:N73 E76:N84 E87:N95 E98:N106 E109:N117 E120:N128 E131:N139 E142:N150 E153:N161">
    <cfRule type="expression" dxfId="1" priority="78">
      <formula>LEFT($K21,1)="E"</formula>
    </cfRule>
  </conditionalFormatting>
  <conditionalFormatting sqref="E21:N29 E32:N40 E43:N51 E54:N62 E65:N73 E76:N84 E87:N95 E98:N106 E109:N117 E120:N128 E131:N139 E142:N150 E153:N161">
    <cfRule type="expression" dxfId="2" priority="79">
      <formula>LEFT($K21,1)="P"</formula>
    </cfRule>
  </conditionalFormatting>
  <conditionalFormatting sqref="E21:N29 E32:N40 E43:N51 E54:N62 E65:N73 E76:N84 E87:N95 E98:N106 E109:N117 E120:N128 E131:N139 E142:N150 E153:N161">
    <cfRule type="expression" dxfId="3" priority="80">
      <formula>LEFT($K21,1)="S"</formula>
    </cfRule>
  </conditionalFormatting>
  <conditionalFormatting sqref="E21 E32 E43 E54 E65 E76 E87 E98 E109 E120 E131 E142 E153">
    <cfRule type="expression" dxfId="0" priority="81">
      <formula>AND($F21&lt;&gt;"",OR($M21=0,$M21=""))</formula>
    </cfRule>
  </conditionalFormatting>
  <conditionalFormatting sqref="E21 E32 E43 E54 E65 E76 E87 E98 E109 E120 E131 E142 E153">
    <cfRule type="expression" dxfId="1" priority="82">
      <formula>LEFT($K21,1)="E"</formula>
    </cfRule>
  </conditionalFormatting>
  <conditionalFormatting sqref="E21 E32 E43 E54 E65 E76 E87 E98 E109 E120 E131 E142 E153">
    <cfRule type="expression" dxfId="2" priority="83">
      <formula>LEFT($K21,1)="P"</formula>
    </cfRule>
  </conditionalFormatting>
  <conditionalFormatting sqref="E21 E32 E43 E54 E65 E76 E87 E98 E109 E120 E131 E142 E153">
    <cfRule type="expression" dxfId="3" priority="84">
      <formula>LEFT($K21,1)="S"</formula>
    </cfRule>
  </conditionalFormatting>
  <conditionalFormatting sqref="E22 E33 E44 E55 E66 E77 E88 E99 E110 E121 E132 E143 E154">
    <cfRule type="expression" dxfId="0" priority="85">
      <formula>AND($F22&lt;&gt;"",OR($M22=0,$M22=""))</formula>
    </cfRule>
  </conditionalFormatting>
  <conditionalFormatting sqref="E22 E33 E44 E55 E66 E77 E88 E99 E110 E121 E132 E143 E154">
    <cfRule type="expression" dxfId="1" priority="86">
      <formula>LEFT($K22,1)="E"</formula>
    </cfRule>
  </conditionalFormatting>
  <conditionalFormatting sqref="E22 E33 E44 E55 E66 E77 E88 E99 E110 E121 E132 E143 E154">
    <cfRule type="expression" dxfId="2" priority="87">
      <formula>LEFT($K22,1)="P"</formula>
    </cfRule>
  </conditionalFormatting>
  <conditionalFormatting sqref="E22 E33 E44 E55 E66 E77 E88 E99 E110 E121 E132 E143 E154">
    <cfRule type="expression" dxfId="3" priority="88">
      <formula>LEFT($K22,1)="S"</formula>
    </cfRule>
  </conditionalFormatting>
  <printOptions/>
  <pageMargins bottom="0.75" footer="0.0" header="0.0" left="0.7" right="0.7" top="0.75"/>
  <pageSetup paperSize="8" orientation="landscape"/>
  <colBreaks count="1" manualBreakCount="1">
    <brk id="44"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18.0"/>
    <col customWidth="1" min="2" max="2" width="48.43"/>
    <col customWidth="1" min="3" max="4" width="35.0"/>
    <col customWidth="1" min="5" max="6" width="31.86"/>
    <col customWidth="1" min="7" max="26" width="26.43"/>
    <col customWidth="1" min="27" max="35" width="25.86"/>
    <col customWidth="1" min="36" max="46" width="35.0"/>
    <col customWidth="1" min="47" max="67" width="28.43"/>
    <col customWidth="1" min="68" max="68" width="35.43"/>
    <col customWidth="1" min="69" max="83" width="28.43"/>
    <col customWidth="1" min="84" max="84" width="43.43"/>
    <col customWidth="1" min="85" max="98" width="28.43"/>
    <col customWidth="1" min="99" max="99" width="28.14"/>
  </cols>
  <sheetData>
    <row r="1" ht="79.5" customHeight="1">
      <c r="A1" s="1" t="str">
        <f>CONCATENATE("DAILY REPORT   DATE :  ",MID(CELL("filename",A1),FIND("]",CELL("filename",A1),1)+1,255))</f>
        <v>#VALUE!</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3"/>
      <c r="AU1" s="1" t="str">
        <f>A1</f>
        <v>#VALUE!</v>
      </c>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3"/>
      <c r="CU1" s="242"/>
    </row>
    <row r="2" ht="3.0" customHeight="1">
      <c r="A2" s="266"/>
      <c r="AT2" s="76"/>
      <c r="AU2" s="1"/>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3"/>
      <c r="CU2" s="242"/>
    </row>
    <row r="3">
      <c r="A3" s="8" t="s">
        <v>232</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11"/>
      <c r="AU3" s="1" t="str">
        <f>A3</f>
        <v>COLLEGE NAME : L.J. INSTITUTE OF ENGINEERING AND TECHNOLOGY                                 DEPARTMENT NAME :  SY4(CST CS&amp;IT)                        YEAR : 2024-25                              SEMESTER : III</v>
      </c>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3"/>
      <c r="CU3" s="242"/>
    </row>
    <row r="4" ht="61.5" customHeight="1">
      <c r="A4" s="12" t="s">
        <v>1</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4"/>
      <c r="AS4" s="15"/>
      <c r="AT4" s="16"/>
      <c r="AU4" s="17" t="s">
        <v>2</v>
      </c>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8"/>
      <c r="CH4" s="19" t="s">
        <v>3</v>
      </c>
      <c r="CI4" s="2"/>
      <c r="CJ4" s="2"/>
      <c r="CK4" s="2"/>
      <c r="CL4" s="2"/>
      <c r="CM4" s="2"/>
      <c r="CN4" s="2"/>
      <c r="CO4" s="2"/>
      <c r="CP4" s="2"/>
      <c r="CQ4" s="2"/>
      <c r="CR4" s="2"/>
      <c r="CS4" s="20"/>
      <c r="CT4" s="21"/>
      <c r="CU4" s="243"/>
    </row>
    <row r="5" ht="61.5" customHeight="1">
      <c r="A5" s="244" t="s">
        <v>4</v>
      </c>
      <c r="B5" s="24"/>
      <c r="C5" s="24"/>
      <c r="D5" s="24"/>
      <c r="E5" s="24"/>
      <c r="F5" s="24"/>
      <c r="G5" s="24"/>
      <c r="H5" s="24"/>
      <c r="I5" s="24"/>
      <c r="J5" s="24"/>
      <c r="K5" s="24"/>
      <c r="L5" s="24"/>
      <c r="M5" s="24"/>
      <c r="N5" s="24"/>
      <c r="O5" s="24"/>
      <c r="P5" s="24"/>
      <c r="Q5" s="24"/>
      <c r="R5" s="24"/>
      <c r="S5" s="24"/>
      <c r="T5" s="24"/>
      <c r="U5" s="24"/>
      <c r="V5" s="24"/>
      <c r="W5" s="24"/>
      <c r="X5" s="24"/>
      <c r="Y5" s="24"/>
      <c r="Z5" s="25"/>
      <c r="AA5" s="26" t="s">
        <v>5</v>
      </c>
      <c r="AB5" s="2"/>
      <c r="AC5" s="2"/>
      <c r="AD5" s="2"/>
      <c r="AE5" s="2"/>
      <c r="AF5" s="2"/>
      <c r="AG5" s="2"/>
      <c r="AH5" s="2"/>
      <c r="AI5" s="3"/>
      <c r="AJ5" s="27" t="s">
        <v>6</v>
      </c>
      <c r="AK5" s="28"/>
      <c r="AL5" s="28"/>
      <c r="AM5" s="28"/>
      <c r="AN5" s="28"/>
      <c r="AO5" s="29"/>
      <c r="AP5" s="30" t="s">
        <v>7</v>
      </c>
      <c r="AQ5" s="31" t="s">
        <v>8</v>
      </c>
      <c r="AR5" s="31" t="s">
        <v>9</v>
      </c>
      <c r="AS5" s="31" t="s">
        <v>291</v>
      </c>
      <c r="AT5" s="32" t="s">
        <v>11</v>
      </c>
      <c r="AU5" s="33" t="s">
        <v>12</v>
      </c>
      <c r="AV5" s="34"/>
      <c r="AW5" s="34"/>
      <c r="AX5" s="35"/>
      <c r="AY5" s="36" t="s">
        <v>13</v>
      </c>
      <c r="AZ5" s="37" t="s">
        <v>14</v>
      </c>
      <c r="BA5" s="38" t="s">
        <v>15</v>
      </c>
      <c r="BB5" s="24"/>
      <c r="BC5" s="24"/>
      <c r="BD5" s="24"/>
      <c r="BE5" s="24"/>
      <c r="BF5" s="24"/>
      <c r="BG5" s="24"/>
      <c r="BH5" s="24"/>
      <c r="BI5" s="24"/>
      <c r="BJ5" s="24"/>
      <c r="BK5" s="24"/>
      <c r="BL5" s="24"/>
      <c r="BM5" s="24"/>
      <c r="BN5" s="24"/>
      <c r="BO5" s="39"/>
      <c r="BP5" s="40" t="s">
        <v>16</v>
      </c>
      <c r="BQ5" s="24"/>
      <c r="BR5" s="24"/>
      <c r="BS5" s="24"/>
      <c r="BT5" s="24"/>
      <c r="BU5" s="41"/>
      <c r="BV5" s="42" t="s">
        <v>17</v>
      </c>
      <c r="BW5" s="14"/>
      <c r="BX5" s="43" t="s">
        <v>18</v>
      </c>
      <c r="BY5" s="34"/>
      <c r="BZ5" s="34"/>
      <c r="CA5" s="34"/>
      <c r="CB5" s="34"/>
      <c r="CC5" s="34"/>
      <c r="CD5" s="34"/>
      <c r="CE5" s="34"/>
      <c r="CF5" s="34"/>
      <c r="CG5" s="44"/>
      <c r="CH5" s="45"/>
      <c r="CI5" s="46"/>
      <c r="CJ5" s="46"/>
      <c r="CK5" s="46"/>
      <c r="CL5" s="46"/>
      <c r="CM5" s="46"/>
      <c r="CN5" s="46"/>
      <c r="CO5" s="46"/>
      <c r="CP5" s="46"/>
      <c r="CQ5" s="46"/>
      <c r="CR5" s="46"/>
      <c r="CS5" s="47"/>
      <c r="CT5" s="48"/>
      <c r="CU5" s="245"/>
    </row>
    <row r="6" ht="174.0" customHeight="1">
      <c r="A6" s="50" t="s">
        <v>19</v>
      </c>
      <c r="B6" s="50" t="s">
        <v>20</v>
      </c>
      <c r="C6" s="50" t="s">
        <v>21</v>
      </c>
      <c r="D6" s="51" t="s">
        <v>22</v>
      </c>
      <c r="E6" s="246" t="s">
        <v>23</v>
      </c>
      <c r="F6" s="9"/>
      <c r="G6" s="9"/>
      <c r="H6" s="9"/>
      <c r="I6" s="9"/>
      <c r="J6" s="9"/>
      <c r="K6" s="9"/>
      <c r="L6" s="11"/>
      <c r="M6" s="53" t="s">
        <v>24</v>
      </c>
      <c r="N6" s="247" t="s">
        <v>25</v>
      </c>
      <c r="O6" s="282" t="s">
        <v>26</v>
      </c>
      <c r="P6" s="56" t="s">
        <v>27</v>
      </c>
      <c r="Q6" s="57" t="s">
        <v>28</v>
      </c>
      <c r="R6" s="57" t="s">
        <v>29</v>
      </c>
      <c r="S6" s="57" t="s">
        <v>30</v>
      </c>
      <c r="T6" s="58" t="s">
        <v>31</v>
      </c>
      <c r="U6" s="59" t="s">
        <v>32</v>
      </c>
      <c r="V6" s="60" t="s">
        <v>33</v>
      </c>
      <c r="W6" s="61" t="s">
        <v>34</v>
      </c>
      <c r="X6" s="62" t="s">
        <v>35</v>
      </c>
      <c r="Y6" s="58" t="s">
        <v>36</v>
      </c>
      <c r="Z6" s="59" t="s">
        <v>37</v>
      </c>
      <c r="AA6" s="63"/>
      <c r="AB6" s="6"/>
      <c r="AC6" s="6"/>
      <c r="AD6" s="6"/>
      <c r="AE6" s="6"/>
      <c r="AF6" s="6"/>
      <c r="AG6" s="6"/>
      <c r="AH6" s="6"/>
      <c r="AI6" s="7"/>
      <c r="AJ6" s="63"/>
      <c r="AK6" s="6"/>
      <c r="AL6" s="6"/>
      <c r="AM6" s="6"/>
      <c r="AN6" s="6"/>
      <c r="AO6" s="7"/>
      <c r="AP6" s="64"/>
      <c r="AQ6" s="65"/>
      <c r="AR6" s="65"/>
      <c r="AS6" s="65"/>
      <c r="AT6" s="66"/>
      <c r="AU6" s="67" t="s">
        <v>38</v>
      </c>
      <c r="AV6" s="67" t="s">
        <v>39</v>
      </c>
      <c r="AW6" s="51" t="s">
        <v>40</v>
      </c>
      <c r="AX6" s="67" t="s">
        <v>41</v>
      </c>
      <c r="AY6" s="68"/>
      <c r="AZ6" s="69"/>
      <c r="BA6" s="70" t="s">
        <v>42</v>
      </c>
      <c r="BB6" s="46"/>
      <c r="BC6" s="46"/>
      <c r="BD6" s="46"/>
      <c r="BE6" s="46"/>
      <c r="BF6" s="46"/>
      <c r="BG6" s="46"/>
      <c r="BH6" s="46"/>
      <c r="BI6" s="71"/>
      <c r="BJ6" s="72" t="s">
        <v>43</v>
      </c>
      <c r="BK6" s="73" t="s">
        <v>44</v>
      </c>
      <c r="BL6" s="74" t="s">
        <v>45</v>
      </c>
      <c r="BM6" s="24"/>
      <c r="BN6" s="39"/>
      <c r="BO6" s="73" t="s">
        <v>46</v>
      </c>
      <c r="BP6" s="59" t="s">
        <v>47</v>
      </c>
      <c r="BQ6" s="75" t="s">
        <v>48</v>
      </c>
      <c r="BS6" s="76"/>
      <c r="BT6" s="75" t="s">
        <v>49</v>
      </c>
      <c r="BU6" s="75" t="s">
        <v>292</v>
      </c>
      <c r="BV6" s="51" t="s">
        <v>51</v>
      </c>
      <c r="BW6" s="51" t="s">
        <v>52</v>
      </c>
      <c r="BX6" s="77" t="s">
        <v>53</v>
      </c>
      <c r="BY6" s="9"/>
      <c r="BZ6" s="9"/>
      <c r="CA6" s="9"/>
      <c r="CB6" s="9"/>
      <c r="CC6" s="9"/>
      <c r="CD6" s="9"/>
      <c r="CE6" s="11"/>
      <c r="CF6" s="78" t="s">
        <v>54</v>
      </c>
      <c r="CG6" s="3"/>
      <c r="CH6" s="79" t="s">
        <v>55</v>
      </c>
      <c r="CI6" s="80"/>
      <c r="CJ6" s="81" t="s">
        <v>56</v>
      </c>
      <c r="CK6" s="82"/>
      <c r="CL6" s="81" t="s">
        <v>57</v>
      </c>
      <c r="CM6" s="82"/>
      <c r="CN6" s="81" t="s">
        <v>58</v>
      </c>
      <c r="CO6" s="82"/>
      <c r="CP6" s="83" t="s">
        <v>59</v>
      </c>
      <c r="CQ6" s="84" t="s">
        <v>293</v>
      </c>
      <c r="CR6" s="85" t="s">
        <v>294</v>
      </c>
      <c r="CS6" s="86" t="s">
        <v>62</v>
      </c>
      <c r="CT6" s="87" t="s">
        <v>63</v>
      </c>
      <c r="CU6" s="248"/>
    </row>
    <row r="7" ht="174.0" customHeight="1">
      <c r="A7" s="89"/>
      <c r="B7" s="89"/>
      <c r="C7" s="89"/>
      <c r="D7" s="89"/>
      <c r="E7" s="90" t="s">
        <v>64</v>
      </c>
      <c r="F7" s="91" t="s">
        <v>65</v>
      </c>
      <c r="G7" s="91" t="s">
        <v>295</v>
      </c>
      <c r="H7" s="91" t="s">
        <v>67</v>
      </c>
      <c r="I7" s="91" t="s">
        <v>68</v>
      </c>
      <c r="J7" s="92" t="s">
        <v>69</v>
      </c>
      <c r="K7" s="92" t="s">
        <v>70</v>
      </c>
      <c r="L7" s="249" t="s">
        <v>71</v>
      </c>
      <c r="M7" s="89"/>
      <c r="N7" s="7"/>
      <c r="O7" s="283" t="s">
        <v>72</v>
      </c>
      <c r="P7" s="78" t="s">
        <v>73</v>
      </c>
      <c r="Q7" s="95" t="s">
        <v>74</v>
      </c>
      <c r="R7" s="95" t="s">
        <v>75</v>
      </c>
      <c r="S7" s="95" t="s">
        <v>76</v>
      </c>
      <c r="T7" s="95" t="s">
        <v>77</v>
      </c>
      <c r="U7" s="78" t="s">
        <v>78</v>
      </c>
      <c r="V7" s="78" t="s">
        <v>79</v>
      </c>
      <c r="W7" s="67" t="s">
        <v>80</v>
      </c>
      <c r="X7" s="94" t="s">
        <v>81</v>
      </c>
      <c r="Y7" s="95" t="s">
        <v>82</v>
      </c>
      <c r="Z7" s="63"/>
      <c r="AA7" s="96" t="s">
        <v>83</v>
      </c>
      <c r="AB7" s="97" t="s">
        <v>84</v>
      </c>
      <c r="AC7" s="98" t="s">
        <v>85</v>
      </c>
      <c r="AD7" s="98" t="s">
        <v>86</v>
      </c>
      <c r="AE7" s="98" t="s">
        <v>87</v>
      </c>
      <c r="AF7" s="98" t="s">
        <v>88</v>
      </c>
      <c r="AG7" s="98" t="s">
        <v>89</v>
      </c>
      <c r="AH7" s="98" t="s">
        <v>296</v>
      </c>
      <c r="AI7" s="99" t="s">
        <v>297</v>
      </c>
      <c r="AJ7" s="100" t="s">
        <v>92</v>
      </c>
      <c r="AK7" s="101" t="s">
        <v>93</v>
      </c>
      <c r="AL7" s="101" t="s">
        <v>94</v>
      </c>
      <c r="AM7" s="101" t="s">
        <v>95</v>
      </c>
      <c r="AN7" s="101" t="s">
        <v>96</v>
      </c>
      <c r="AO7" s="102" t="s">
        <v>97</v>
      </c>
      <c r="AP7" s="103"/>
      <c r="AQ7" s="89"/>
      <c r="AR7" s="89"/>
      <c r="AS7" s="89"/>
      <c r="AT7" s="68"/>
      <c r="AU7" s="89"/>
      <c r="AV7" s="89"/>
      <c r="AW7" s="89"/>
      <c r="AX7" s="89"/>
      <c r="AY7" s="104" t="s">
        <v>98</v>
      </c>
      <c r="AZ7" s="105" t="s">
        <v>99</v>
      </c>
      <c r="BA7" s="106" t="s">
        <v>100</v>
      </c>
      <c r="BB7" s="107" t="s">
        <v>101</v>
      </c>
      <c r="BC7" s="107" t="s">
        <v>102</v>
      </c>
      <c r="BD7" s="107" t="s">
        <v>103</v>
      </c>
      <c r="BE7" s="107" t="s">
        <v>104</v>
      </c>
      <c r="BF7" s="107" t="s">
        <v>105</v>
      </c>
      <c r="BG7" s="107" t="s">
        <v>106</v>
      </c>
      <c r="BH7" s="107" t="s">
        <v>107</v>
      </c>
      <c r="BI7" s="108" t="s">
        <v>108</v>
      </c>
      <c r="BJ7" s="109" t="s">
        <v>109</v>
      </c>
      <c r="BK7" s="110" t="s">
        <v>110</v>
      </c>
      <c r="BL7" s="111" t="s">
        <v>298</v>
      </c>
      <c r="BM7" s="111" t="s">
        <v>299</v>
      </c>
      <c r="BN7" s="112" t="s">
        <v>300</v>
      </c>
      <c r="BO7" s="113" t="s">
        <v>114</v>
      </c>
      <c r="BP7" s="63"/>
      <c r="BQ7" s="90" t="s">
        <v>115</v>
      </c>
      <c r="BR7" s="114" t="s">
        <v>116</v>
      </c>
      <c r="BS7" s="115" t="s">
        <v>117</v>
      </c>
      <c r="BT7" s="63"/>
      <c r="BU7" s="63"/>
      <c r="BV7" s="89"/>
      <c r="BW7" s="89"/>
      <c r="BX7" s="116" t="s">
        <v>118</v>
      </c>
      <c r="BY7" s="101" t="s">
        <v>119</v>
      </c>
      <c r="BZ7" s="101" t="s">
        <v>120</v>
      </c>
      <c r="CA7" s="101" t="s">
        <v>121</v>
      </c>
      <c r="CB7" s="101" t="s">
        <v>122</v>
      </c>
      <c r="CC7" s="117" t="s">
        <v>123</v>
      </c>
      <c r="CD7" s="111" t="s">
        <v>124</v>
      </c>
      <c r="CE7" s="113" t="s">
        <v>125</v>
      </c>
      <c r="CF7" s="118" t="s">
        <v>126</v>
      </c>
      <c r="CG7" s="119" t="s">
        <v>127</v>
      </c>
      <c r="CH7" s="120" t="s">
        <v>128</v>
      </c>
      <c r="CI7" s="121" t="s">
        <v>301</v>
      </c>
      <c r="CJ7" s="122" t="s">
        <v>130</v>
      </c>
      <c r="CK7" s="123" t="s">
        <v>302</v>
      </c>
      <c r="CL7" s="122" t="s">
        <v>132</v>
      </c>
      <c r="CM7" s="123" t="s">
        <v>303</v>
      </c>
      <c r="CN7" s="122" t="s">
        <v>134</v>
      </c>
      <c r="CO7" s="123" t="s">
        <v>304</v>
      </c>
      <c r="CP7" s="89"/>
      <c r="CQ7" s="69"/>
      <c r="CR7" s="69"/>
      <c r="CS7" s="69"/>
      <c r="CT7" s="89"/>
      <c r="CU7" s="248"/>
    </row>
    <row r="8" ht="55.5" customHeight="1">
      <c r="A8" s="125">
        <v>1.0</v>
      </c>
      <c r="B8" s="199" t="s">
        <v>136</v>
      </c>
      <c r="C8" s="127">
        <v>1.0</v>
      </c>
      <c r="D8" s="168" t="s">
        <v>137</v>
      </c>
      <c r="E8" s="129"/>
      <c r="F8" s="130"/>
      <c r="G8" s="130"/>
      <c r="H8" s="130"/>
      <c r="I8" s="201"/>
      <c r="J8" s="130"/>
      <c r="K8" s="131"/>
      <c r="L8" s="131"/>
      <c r="M8" s="131"/>
      <c r="N8" s="275"/>
      <c r="O8" s="250">
        <f t="shared" ref="O8:O13" si="1">IF(AND(M8&lt;&gt;0,M8&lt;&gt;"m",M8&lt;&gt;"",RIGHT(K8,3)="Lec"),1,IF(AND(M8&lt;&gt;0,M8&lt;&gt;"m",M8&lt;&gt;"",OR(RIGHT(K8,3)="Lab",RIGHT(K8,3)="Tut")),0.5,IF(AND(M8&lt;&gt;0,M8&lt;&gt;"m",M8&lt;&gt;"",RIGHT(K8,2)="TL"),0.75,0)))</f>
        <v>0</v>
      </c>
      <c r="P8" s="251">
        <f>COUNTIF(K8:K18,"TL")*0.75+COUNTIF(K8:K18,"Lec")*1+COUNTIF(K8:K18,"Lab")*0.5</f>
        <v>0</v>
      </c>
      <c r="Q8" s="134">
        <f>SUM((IF(LEFT(K8,1)="E",O8,0)),(IF(LEFT(K9,1)="E",O9,0)),(IF(LEFT(K10,1)="E",O10,0)),(IF(LEFT(K11,1)="E",O11,0)),(IF(LEFT(K12,1)="E",O12,0)),(IF(LEFT(K13,1)="E",O13,0)),(IF(LEFT(K14,1)="E",O14,0)),(IF(LEFT(K15,1)="E",O15,0)),(IF(LEFT(K16,1)="E",O16,0)),(IF(LEFT(K17,1)="E",O17,0)),(IF(LEFT(K18,1)="E",O18,0)))</f>
        <v>0</v>
      </c>
      <c r="R8" s="135">
        <f>SUM(IF(M14&lt;20,IF(K14="Plec",-1,IF(K14="PTL",-0.75,IF(K14="Plab",-0.5,0))),0),IF(M15&lt;20,IF(K15="Plec",-1,IF(K15="PTL",-0.75,IF(K15="Plab",-0.5,0))),0),IF(M16&lt;20,IF(K16="Plec",-1,IF(K16="PTL",-0.75,IF(K16="Plab",-0.5,0))),0),IF(M17&lt;20,IF(K17="Plec",-1,IF(K17="PTL",-0.75,IF(K17="Plab",-0.5,0))),0))</f>
        <v>0</v>
      </c>
      <c r="S8" s="134">
        <f>SUM(P8:R18)</f>
        <v>0</v>
      </c>
      <c r="T8" s="136">
        <f>SUM(IF(M8="M",IF(OR(K8="lec",K8="plec",K8="slec"),1,IF(OR(K8="lab",K8="plab",K8="slab",K8="tut",K8="ptut",K8="stut"),0.5,IF(OR(K8="TL",K8="pTL",K8="STL"),0.75,0))),0),IF(M9="M",IF(OR(K9="lec",K9="plec",K9="slec"),1,IF(OR(K9="lab",K9="plab",K9="slab",K9="tut",K9="ptut",K9="stut"),0.5,IF(OR(K9="TL",K9="pTL",K9="STL"),0.75,0))),0),IF(M10="M",IF(OR(K10="lec",K10="plec",K10="slec"),1,IF(OR(K10="lab",K10="plab",K10="slab",K10="tut",K10="ptut",K10="stut"),0.5,IF(OR(K10="TL",K10="pTL",K10="STL"),0.75,0))),0),IF(M11="M",IF(OR(K11="lec",K11="plec",K11="slec"),1,IF(OR(K11="lab",K11="plab",K11="slab",K11="tut",K11="ptut",K11="stut"),0.5,IF(OR(K11="TL",K11="pTL",K11="STL"),0.75,0))),0),IF(M12="M",IF(OR(K12="lec",K12="plec",K12="slec"),1,IF(OR(K12="lab",K12="plab",K12="slab",K12="tut",K12="ptut",K12="stut"),0.5,IF(OR(K12="TL",K12="pTL",K12="STL"),0.75,0))),0),IF(M13="M",IF(OR(K13="lec",K13="plec",K13="slec"),1,IF(OR(K13="lab",K13="plab",K13="slab",K13="tut",K13="ptut",K13="stut"),0.5,IF(OR(K13="TL",K13="pTL",K13="STL"),0.75,0))),0),IF(M14="M",IF(OR(K14="lec",K14="plec",K14="slec"),1,IF(OR(K14="lab",K14="plab",K14="slab",K14="tut",K14="ptut",K14="stut"),0.5,IF(OR(K14="TL",K14="pTL",K14="STL"),0.75,0))),0),IF(M15="M",IF(OR(K15="lec",K15="plec",K15="slec"),1,IF(OR(K15="lab",K15="plab",K15="slab",K15="tut",K15="ptut",K15="stut"),0.5,IF(OR(K15="TL",K15="pTL",K15="STL"),0.75,0))),0),IF(M16="M",IF(OR(K16="lec",K16="plec",K16="slec"),1,IF(OR(K16="lab",K16="plab",K16="slab",K16="tut",K16="ptut",K16="stut"),0.5,IF(OR(K16="TL",K16="pTL",K16="STL"),0.75,0))),0),IF(M17="M",IF(OR(K17="lec",K17="plec",K17="slec"),1,IF(OR(K17="lab",K17="plab",K17="slab",K17="tut",K17="ptut",K17="stut"),0.5,IF(OR(K17="TL",K17="pTL",K17="STL"),0.75,0))),0),IF(M18="M",IF(OR(K18="lec",K18="plec",K18="slec"),1,IF(OR(K18="lab",K18="plab",K18="slab",K18="tut",K18="ptut",K18="stut"),0.5,IF(OR(K18="TL",K18="pTL",K18="STL"),0.75,0))),0))</f>
        <v>0</v>
      </c>
      <c r="U8" s="137"/>
      <c r="V8" s="133"/>
      <c r="W8" s="138"/>
      <c r="X8" s="139">
        <f>S8-(T8+U8+V8+W8)</f>
        <v>0</v>
      </c>
      <c r="Y8" s="134" t="str">
        <f>CONCATENATE(SUM(O8:O18),"(",SUM(O8:O18)-X8,")")</f>
        <v>0(0)</v>
      </c>
      <c r="Z8" s="140"/>
      <c r="AA8" s="141"/>
      <c r="AB8" s="142"/>
      <c r="AC8" s="142"/>
      <c r="AD8" s="142"/>
      <c r="AE8" s="142"/>
      <c r="AF8" s="142"/>
      <c r="AG8" s="142"/>
      <c r="AH8" s="142"/>
      <c r="AI8" s="143"/>
      <c r="AJ8" s="144"/>
      <c r="AK8" s="145"/>
      <c r="AL8" s="145"/>
      <c r="AM8" s="145"/>
      <c r="AN8" s="145"/>
      <c r="AO8" s="146"/>
      <c r="AP8" s="147">
        <f>SUM(SUM(O8:O18),SUM(AI8:AI18)/2,AM8)</f>
        <v>0</v>
      </c>
      <c r="AQ8" s="148"/>
      <c r="AR8" s="148">
        <f>AP8*AQ8</f>
        <v>0</v>
      </c>
      <c r="AS8" s="148">
        <f>CT8</f>
        <v>0</v>
      </c>
      <c r="AT8" s="149">
        <f>AR8*0.75+AS8*0.25</f>
        <v>0</v>
      </c>
      <c r="AU8" s="150"/>
      <c r="AV8" s="151"/>
      <c r="AW8" s="151"/>
      <c r="AX8" s="152"/>
      <c r="AY8" s="153"/>
      <c r="AZ8" s="140"/>
      <c r="BA8" s="150"/>
      <c r="BB8" s="151"/>
      <c r="BC8" s="151"/>
      <c r="BD8" s="151"/>
      <c r="BE8" s="151"/>
      <c r="BF8" s="151"/>
      <c r="BG8" s="151"/>
      <c r="BH8" s="151"/>
      <c r="BI8" s="152"/>
      <c r="BJ8" s="154"/>
      <c r="BK8" s="151"/>
      <c r="BL8" s="151"/>
      <c r="BM8" s="151"/>
      <c r="BN8" s="151"/>
      <c r="BO8" s="155"/>
      <c r="BP8" s="140"/>
      <c r="BQ8" s="156"/>
      <c r="BR8" s="157"/>
      <c r="BS8" s="158"/>
      <c r="BT8" s="153"/>
      <c r="BU8" s="140"/>
      <c r="BV8" s="140"/>
      <c r="BW8" s="140"/>
      <c r="BX8" s="140"/>
      <c r="BY8" s="140"/>
      <c r="BZ8" s="140"/>
      <c r="CA8" s="140"/>
      <c r="CB8" s="140"/>
      <c r="CC8" s="140"/>
      <c r="CD8" s="150"/>
      <c r="CE8" s="155"/>
      <c r="CF8" s="150"/>
      <c r="CG8" s="152"/>
      <c r="CH8" s="252" t="s">
        <v>305</v>
      </c>
      <c r="CI8" s="160">
        <v>0.0</v>
      </c>
      <c r="CJ8" s="159"/>
      <c r="CK8" s="160"/>
      <c r="CL8" s="159"/>
      <c r="CM8" s="160"/>
      <c r="CN8" s="159"/>
      <c r="CO8" s="160"/>
      <c r="CP8" s="159"/>
      <c r="CQ8" s="162"/>
      <c r="CR8" s="160"/>
      <c r="CS8" s="253">
        <f>SUM(CS19:CS305)</f>
        <v>0</v>
      </c>
      <c r="CT8" s="254">
        <f>SUM(AU8,AV8,AW8,AX8/400,AY8,AZ8,BG8,BH8*0.5,BI8*0.25,BJ8,BK8,BL8,BM8,BN8,BO8,BP8,BR8/20,BS8/100,BT8/60,BU8,BV8,BW8,BX8/4,SUM(BY8:CC18)/3,CE8,CG8/3,CI8,CK8,CM8,CO8,CQ8,CR8)</f>
        <v>0</v>
      </c>
      <c r="CU8" s="255" t="str">
        <f t="shared" ref="CU8:CU315" si="2">D8</f>
        <v>STS</v>
      </c>
    </row>
    <row r="9" ht="60.0" customHeight="1">
      <c r="A9" s="65"/>
      <c r="C9" s="167">
        <v>2.0</v>
      </c>
      <c r="D9" s="168" t="s">
        <v>137</v>
      </c>
      <c r="E9" s="169"/>
      <c r="F9" s="170"/>
      <c r="G9" s="170"/>
      <c r="H9" s="170"/>
      <c r="I9" s="207"/>
      <c r="J9" s="170"/>
      <c r="K9" s="171"/>
      <c r="L9" s="171"/>
      <c r="M9" s="171"/>
      <c r="N9" s="276"/>
      <c r="O9" s="256">
        <f t="shared" si="1"/>
        <v>0</v>
      </c>
      <c r="Q9" s="173"/>
      <c r="R9" s="65"/>
      <c r="S9" s="173"/>
      <c r="T9" s="173"/>
      <c r="U9" s="166"/>
      <c r="V9" s="166"/>
      <c r="W9" s="65"/>
      <c r="X9" s="66"/>
      <c r="Y9" s="173"/>
      <c r="Z9" s="166"/>
      <c r="AA9" s="174"/>
      <c r="AB9" s="175"/>
      <c r="AC9" s="175"/>
      <c r="AD9" s="175"/>
      <c r="AE9" s="175"/>
      <c r="AF9" s="175"/>
      <c r="AG9" s="175"/>
      <c r="AH9" s="175"/>
      <c r="AI9" s="176"/>
      <c r="AJ9" s="177"/>
      <c r="AK9" s="178"/>
      <c r="AL9" s="178"/>
      <c r="AM9" s="178"/>
      <c r="AN9" s="178"/>
      <c r="AO9" s="179"/>
      <c r="AP9" s="64"/>
      <c r="AQ9" s="65"/>
      <c r="AR9" s="65"/>
      <c r="AS9" s="65"/>
      <c r="AT9" s="173"/>
      <c r="AU9" s="177"/>
      <c r="AV9" s="178"/>
      <c r="AW9" s="178"/>
      <c r="AX9" s="179"/>
      <c r="AZ9" s="166"/>
      <c r="BA9" s="177"/>
      <c r="BB9" s="178"/>
      <c r="BC9" s="178"/>
      <c r="BD9" s="178"/>
      <c r="BE9" s="178"/>
      <c r="BF9" s="178"/>
      <c r="BG9" s="178"/>
      <c r="BH9" s="178"/>
      <c r="BI9" s="179"/>
      <c r="BJ9" s="180"/>
      <c r="BK9" s="178"/>
      <c r="BL9" s="178"/>
      <c r="BM9" s="178"/>
      <c r="BN9" s="178"/>
      <c r="BO9" s="181"/>
      <c r="BP9" s="166"/>
      <c r="BQ9" s="177"/>
      <c r="BR9" s="178"/>
      <c r="BS9" s="179"/>
      <c r="BU9" s="166"/>
      <c r="BV9" s="166"/>
      <c r="BW9" s="166"/>
      <c r="BX9" s="166"/>
      <c r="BY9" s="166"/>
      <c r="BZ9" s="166"/>
      <c r="CA9" s="166"/>
      <c r="CB9" s="166"/>
      <c r="CC9" s="166"/>
      <c r="CD9" s="177"/>
      <c r="CE9" s="181"/>
      <c r="CF9" s="177"/>
      <c r="CG9" s="179"/>
      <c r="CH9" s="257"/>
      <c r="CI9" s="182"/>
      <c r="CJ9" s="177"/>
      <c r="CK9" s="182"/>
      <c r="CL9" s="177"/>
      <c r="CM9" s="182"/>
      <c r="CN9" s="177"/>
      <c r="CO9" s="182"/>
      <c r="CP9" s="177"/>
      <c r="CQ9" s="178"/>
      <c r="CR9" s="182"/>
      <c r="CS9" s="173"/>
      <c r="CT9" s="65"/>
      <c r="CU9" s="271" t="str">
        <f t="shared" si="2"/>
        <v>STS</v>
      </c>
    </row>
    <row r="10" ht="60.0" customHeight="1">
      <c r="A10" s="65"/>
      <c r="C10" s="167">
        <v>3.0</v>
      </c>
      <c r="D10" s="168" t="s">
        <v>137</v>
      </c>
      <c r="E10" s="169"/>
      <c r="F10" s="170"/>
      <c r="G10" s="170"/>
      <c r="H10" s="170"/>
      <c r="I10" s="207"/>
      <c r="J10" s="170"/>
      <c r="K10" s="171"/>
      <c r="L10" s="171"/>
      <c r="M10" s="171"/>
      <c r="N10" s="276"/>
      <c r="O10" s="256">
        <f t="shared" si="1"/>
        <v>0</v>
      </c>
      <c r="Q10" s="173"/>
      <c r="R10" s="65"/>
      <c r="S10" s="173"/>
      <c r="T10" s="173"/>
      <c r="U10" s="166"/>
      <c r="V10" s="166"/>
      <c r="W10" s="65"/>
      <c r="X10" s="66"/>
      <c r="Y10" s="173"/>
      <c r="Z10" s="166"/>
      <c r="AA10" s="174"/>
      <c r="AB10" s="175"/>
      <c r="AC10" s="175"/>
      <c r="AD10" s="175"/>
      <c r="AE10" s="175"/>
      <c r="AF10" s="175"/>
      <c r="AG10" s="175"/>
      <c r="AH10" s="175"/>
      <c r="AI10" s="176"/>
      <c r="AJ10" s="177"/>
      <c r="AK10" s="178"/>
      <c r="AL10" s="178"/>
      <c r="AM10" s="178"/>
      <c r="AN10" s="178"/>
      <c r="AO10" s="179"/>
      <c r="AP10" s="64"/>
      <c r="AQ10" s="65"/>
      <c r="AR10" s="65"/>
      <c r="AS10" s="65"/>
      <c r="AT10" s="173"/>
      <c r="AU10" s="177"/>
      <c r="AV10" s="178"/>
      <c r="AW10" s="178"/>
      <c r="AX10" s="179"/>
      <c r="AZ10" s="166"/>
      <c r="BA10" s="177"/>
      <c r="BB10" s="178"/>
      <c r="BC10" s="178"/>
      <c r="BD10" s="178"/>
      <c r="BE10" s="178"/>
      <c r="BF10" s="178"/>
      <c r="BG10" s="178"/>
      <c r="BH10" s="178"/>
      <c r="BI10" s="179"/>
      <c r="BJ10" s="180"/>
      <c r="BK10" s="178"/>
      <c r="BL10" s="178"/>
      <c r="BM10" s="178"/>
      <c r="BN10" s="178"/>
      <c r="BO10" s="181"/>
      <c r="BP10" s="166"/>
      <c r="BQ10" s="177"/>
      <c r="BR10" s="178"/>
      <c r="BS10" s="179"/>
      <c r="BU10" s="166"/>
      <c r="BV10" s="166"/>
      <c r="BW10" s="166"/>
      <c r="BX10" s="166"/>
      <c r="BY10" s="166"/>
      <c r="BZ10" s="166"/>
      <c r="CA10" s="166"/>
      <c r="CB10" s="166"/>
      <c r="CC10" s="166"/>
      <c r="CD10" s="177"/>
      <c r="CE10" s="181"/>
      <c r="CF10" s="177"/>
      <c r="CG10" s="179"/>
      <c r="CH10" s="257"/>
      <c r="CI10" s="182"/>
      <c r="CJ10" s="177"/>
      <c r="CK10" s="182"/>
      <c r="CL10" s="177"/>
      <c r="CM10" s="182"/>
      <c r="CN10" s="177"/>
      <c r="CO10" s="182"/>
      <c r="CP10" s="177"/>
      <c r="CQ10" s="178"/>
      <c r="CR10" s="182"/>
      <c r="CS10" s="173"/>
      <c r="CT10" s="65"/>
      <c r="CU10" s="271" t="str">
        <f t="shared" si="2"/>
        <v>STS</v>
      </c>
    </row>
    <row r="11" ht="60.0" customHeight="1">
      <c r="A11" s="65"/>
      <c r="C11" s="167">
        <v>4.0</v>
      </c>
      <c r="D11" s="168" t="s">
        <v>137</v>
      </c>
      <c r="E11" s="169"/>
      <c r="F11" s="170"/>
      <c r="G11" s="170"/>
      <c r="H11" s="170"/>
      <c r="I11" s="207"/>
      <c r="J11" s="170"/>
      <c r="K11" s="171"/>
      <c r="L11" s="171"/>
      <c r="M11" s="171"/>
      <c r="N11" s="276"/>
      <c r="O11" s="256">
        <f t="shared" si="1"/>
        <v>0</v>
      </c>
      <c r="Q11" s="173"/>
      <c r="R11" s="65"/>
      <c r="S11" s="173"/>
      <c r="T11" s="173"/>
      <c r="U11" s="166"/>
      <c r="V11" s="166"/>
      <c r="W11" s="65"/>
      <c r="X11" s="66"/>
      <c r="Y11" s="173"/>
      <c r="Z11" s="166"/>
      <c r="AA11" s="174"/>
      <c r="AB11" s="175"/>
      <c r="AC11" s="175"/>
      <c r="AD11" s="175"/>
      <c r="AE11" s="175"/>
      <c r="AF11" s="175"/>
      <c r="AG11" s="175"/>
      <c r="AH11" s="175"/>
      <c r="AI11" s="176"/>
      <c r="AJ11" s="177"/>
      <c r="AK11" s="178"/>
      <c r="AL11" s="178"/>
      <c r="AM11" s="178"/>
      <c r="AN11" s="178"/>
      <c r="AO11" s="179"/>
      <c r="AP11" s="64"/>
      <c r="AQ11" s="65"/>
      <c r="AR11" s="65"/>
      <c r="AS11" s="65"/>
      <c r="AT11" s="173"/>
      <c r="AU11" s="177"/>
      <c r="AV11" s="178"/>
      <c r="AW11" s="178"/>
      <c r="AX11" s="179"/>
      <c r="AZ11" s="166"/>
      <c r="BA11" s="177"/>
      <c r="BB11" s="178"/>
      <c r="BC11" s="178"/>
      <c r="BD11" s="178"/>
      <c r="BE11" s="178"/>
      <c r="BF11" s="178"/>
      <c r="BG11" s="178"/>
      <c r="BH11" s="178"/>
      <c r="BI11" s="179"/>
      <c r="BJ11" s="180"/>
      <c r="BK11" s="178"/>
      <c r="BL11" s="178"/>
      <c r="BM11" s="178"/>
      <c r="BN11" s="178"/>
      <c r="BO11" s="181"/>
      <c r="BP11" s="166"/>
      <c r="BQ11" s="177"/>
      <c r="BR11" s="178"/>
      <c r="BS11" s="179"/>
      <c r="BU11" s="166"/>
      <c r="BV11" s="166"/>
      <c r="BW11" s="166"/>
      <c r="BX11" s="166"/>
      <c r="BY11" s="166"/>
      <c r="BZ11" s="166"/>
      <c r="CA11" s="166"/>
      <c r="CB11" s="166"/>
      <c r="CC11" s="166"/>
      <c r="CD11" s="177"/>
      <c r="CE11" s="181"/>
      <c r="CF11" s="177"/>
      <c r="CG11" s="179"/>
      <c r="CH11" s="257"/>
      <c r="CI11" s="182"/>
      <c r="CJ11" s="177"/>
      <c r="CK11" s="182"/>
      <c r="CL11" s="177"/>
      <c r="CM11" s="182"/>
      <c r="CN11" s="177"/>
      <c r="CO11" s="182"/>
      <c r="CP11" s="177"/>
      <c r="CQ11" s="178"/>
      <c r="CR11" s="182"/>
      <c r="CS11" s="173"/>
      <c r="CT11" s="65"/>
      <c r="CU11" s="271" t="str">
        <f t="shared" si="2"/>
        <v>STS</v>
      </c>
    </row>
    <row r="12" ht="60.0" customHeight="1">
      <c r="A12" s="65"/>
      <c r="C12" s="167">
        <v>5.0</v>
      </c>
      <c r="D12" s="168" t="s">
        <v>137</v>
      </c>
      <c r="E12" s="169"/>
      <c r="F12" s="170"/>
      <c r="G12" s="170"/>
      <c r="H12" s="170"/>
      <c r="I12" s="207"/>
      <c r="J12" s="170"/>
      <c r="K12" s="171"/>
      <c r="L12" s="171"/>
      <c r="M12" s="171"/>
      <c r="N12" s="276"/>
      <c r="O12" s="256">
        <f t="shared" si="1"/>
        <v>0</v>
      </c>
      <c r="Q12" s="173"/>
      <c r="R12" s="65"/>
      <c r="S12" s="173"/>
      <c r="T12" s="173"/>
      <c r="U12" s="166"/>
      <c r="V12" s="166"/>
      <c r="W12" s="65"/>
      <c r="X12" s="66"/>
      <c r="Y12" s="173"/>
      <c r="Z12" s="166"/>
      <c r="AA12" s="174"/>
      <c r="AB12" s="175"/>
      <c r="AC12" s="175"/>
      <c r="AD12" s="175"/>
      <c r="AE12" s="175"/>
      <c r="AF12" s="175"/>
      <c r="AG12" s="175"/>
      <c r="AH12" s="175"/>
      <c r="AI12" s="176"/>
      <c r="AJ12" s="177"/>
      <c r="AK12" s="178"/>
      <c r="AL12" s="178"/>
      <c r="AM12" s="178"/>
      <c r="AN12" s="178"/>
      <c r="AO12" s="179"/>
      <c r="AP12" s="64"/>
      <c r="AQ12" s="65"/>
      <c r="AR12" s="65"/>
      <c r="AS12" s="65"/>
      <c r="AT12" s="173"/>
      <c r="AU12" s="177"/>
      <c r="AV12" s="178"/>
      <c r="AW12" s="178"/>
      <c r="AX12" s="179"/>
      <c r="AZ12" s="166"/>
      <c r="BA12" s="177"/>
      <c r="BB12" s="178"/>
      <c r="BC12" s="178"/>
      <c r="BD12" s="178"/>
      <c r="BE12" s="178"/>
      <c r="BF12" s="178"/>
      <c r="BG12" s="178"/>
      <c r="BH12" s="178"/>
      <c r="BI12" s="179"/>
      <c r="BJ12" s="180"/>
      <c r="BK12" s="178"/>
      <c r="BL12" s="178"/>
      <c r="BM12" s="178"/>
      <c r="BN12" s="178"/>
      <c r="BO12" s="181"/>
      <c r="BP12" s="166"/>
      <c r="BQ12" s="177"/>
      <c r="BR12" s="178"/>
      <c r="BS12" s="179"/>
      <c r="BU12" s="166"/>
      <c r="BV12" s="166"/>
      <c r="BW12" s="166"/>
      <c r="BX12" s="166"/>
      <c r="BY12" s="166"/>
      <c r="BZ12" s="166"/>
      <c r="CA12" s="166"/>
      <c r="CB12" s="166"/>
      <c r="CC12" s="166"/>
      <c r="CD12" s="177"/>
      <c r="CE12" s="181"/>
      <c r="CF12" s="177"/>
      <c r="CG12" s="179"/>
      <c r="CH12" s="257"/>
      <c r="CI12" s="182"/>
      <c r="CJ12" s="177"/>
      <c r="CK12" s="182"/>
      <c r="CL12" s="177"/>
      <c r="CM12" s="182"/>
      <c r="CN12" s="177"/>
      <c r="CO12" s="182"/>
      <c r="CP12" s="177"/>
      <c r="CQ12" s="178"/>
      <c r="CR12" s="182"/>
      <c r="CS12" s="173"/>
      <c r="CT12" s="65"/>
      <c r="CU12" s="271" t="str">
        <f t="shared" si="2"/>
        <v>STS</v>
      </c>
    </row>
    <row r="13" ht="60.0" customHeight="1">
      <c r="A13" s="65"/>
      <c r="C13" s="167">
        <v>6.0</v>
      </c>
      <c r="D13" s="168" t="s">
        <v>137</v>
      </c>
      <c r="E13" s="169"/>
      <c r="F13" s="170"/>
      <c r="G13" s="170"/>
      <c r="H13" s="170"/>
      <c r="I13" s="207"/>
      <c r="J13" s="170"/>
      <c r="K13" s="171"/>
      <c r="L13" s="171"/>
      <c r="M13" s="171"/>
      <c r="N13" s="276"/>
      <c r="O13" s="256">
        <f t="shared" si="1"/>
        <v>0</v>
      </c>
      <c r="Q13" s="173"/>
      <c r="R13" s="65"/>
      <c r="S13" s="173"/>
      <c r="T13" s="173"/>
      <c r="U13" s="166"/>
      <c r="V13" s="166"/>
      <c r="W13" s="65"/>
      <c r="X13" s="66"/>
      <c r="Y13" s="173"/>
      <c r="Z13" s="166"/>
      <c r="AA13" s="174"/>
      <c r="AB13" s="175"/>
      <c r="AC13" s="175"/>
      <c r="AD13" s="175"/>
      <c r="AE13" s="175"/>
      <c r="AF13" s="175"/>
      <c r="AG13" s="175"/>
      <c r="AH13" s="175"/>
      <c r="AI13" s="176"/>
      <c r="AJ13" s="177"/>
      <c r="AK13" s="178"/>
      <c r="AL13" s="178"/>
      <c r="AM13" s="178"/>
      <c r="AN13" s="178"/>
      <c r="AO13" s="179"/>
      <c r="AP13" s="64"/>
      <c r="AQ13" s="65"/>
      <c r="AR13" s="65"/>
      <c r="AS13" s="65"/>
      <c r="AT13" s="173"/>
      <c r="AU13" s="177"/>
      <c r="AV13" s="178"/>
      <c r="AW13" s="178"/>
      <c r="AX13" s="179"/>
      <c r="AZ13" s="166"/>
      <c r="BA13" s="177"/>
      <c r="BB13" s="178"/>
      <c r="BC13" s="178"/>
      <c r="BD13" s="178"/>
      <c r="BE13" s="178"/>
      <c r="BF13" s="178"/>
      <c r="BG13" s="178"/>
      <c r="BH13" s="178"/>
      <c r="BI13" s="179"/>
      <c r="BJ13" s="180"/>
      <c r="BK13" s="178"/>
      <c r="BL13" s="178"/>
      <c r="BM13" s="178"/>
      <c r="BN13" s="178"/>
      <c r="BO13" s="181"/>
      <c r="BP13" s="166"/>
      <c r="BQ13" s="177"/>
      <c r="BR13" s="178"/>
      <c r="BS13" s="179"/>
      <c r="BU13" s="166"/>
      <c r="BV13" s="166"/>
      <c r="BW13" s="166"/>
      <c r="BX13" s="166"/>
      <c r="BY13" s="166"/>
      <c r="BZ13" s="166"/>
      <c r="CA13" s="166"/>
      <c r="CB13" s="166"/>
      <c r="CC13" s="166"/>
      <c r="CD13" s="177"/>
      <c r="CE13" s="181"/>
      <c r="CF13" s="177"/>
      <c r="CG13" s="179"/>
      <c r="CH13" s="257"/>
      <c r="CI13" s="182"/>
      <c r="CJ13" s="177"/>
      <c r="CK13" s="182"/>
      <c r="CL13" s="177"/>
      <c r="CM13" s="182"/>
      <c r="CN13" s="177"/>
      <c r="CO13" s="182"/>
      <c r="CP13" s="177"/>
      <c r="CQ13" s="178"/>
      <c r="CR13" s="182"/>
      <c r="CS13" s="173"/>
      <c r="CT13" s="65"/>
      <c r="CU13" s="271" t="str">
        <f t="shared" si="2"/>
        <v>STS</v>
      </c>
    </row>
    <row r="14" ht="60.0" customHeight="1">
      <c r="A14" s="65"/>
      <c r="C14" s="167">
        <v>7.0</v>
      </c>
      <c r="D14" s="168" t="s">
        <v>137</v>
      </c>
      <c r="E14" s="169"/>
      <c r="F14" s="170"/>
      <c r="G14" s="170"/>
      <c r="H14" s="170"/>
      <c r="I14" s="207"/>
      <c r="J14" s="170"/>
      <c r="K14" s="171"/>
      <c r="L14" s="171"/>
      <c r="M14" s="171"/>
      <c r="N14" s="276"/>
      <c r="O14" s="256">
        <f t="shared" ref="O14:O17" si="3">IF(AND(M14&gt;=20,M14&lt;&gt;"m",RIGHT(K14,3)="Lec"),1,IF(AND(M14&gt;=20,M14&lt;&gt;"m",OR(RIGHT(K14,3)="Lab",RIGHT(K14,3)="Tut")),0.5,IF(AND(M14&gt;=20,M14&lt;&gt;"m",RIGHT(K14,2)="TL"),0.75,0)))</f>
        <v>0</v>
      </c>
      <c r="Q14" s="173"/>
      <c r="R14" s="65"/>
      <c r="S14" s="173"/>
      <c r="T14" s="173"/>
      <c r="U14" s="166"/>
      <c r="V14" s="166"/>
      <c r="W14" s="65"/>
      <c r="X14" s="66"/>
      <c r="Y14" s="173"/>
      <c r="Z14" s="166"/>
      <c r="AA14" s="174"/>
      <c r="AB14" s="175"/>
      <c r="AC14" s="175"/>
      <c r="AD14" s="175"/>
      <c r="AE14" s="175"/>
      <c r="AF14" s="175"/>
      <c r="AG14" s="175"/>
      <c r="AH14" s="175"/>
      <c r="AI14" s="176"/>
      <c r="AJ14" s="177"/>
      <c r="AK14" s="178"/>
      <c r="AL14" s="178"/>
      <c r="AM14" s="178"/>
      <c r="AN14" s="178"/>
      <c r="AO14" s="179"/>
      <c r="AP14" s="64"/>
      <c r="AQ14" s="65"/>
      <c r="AR14" s="65"/>
      <c r="AS14" s="65"/>
      <c r="AT14" s="173"/>
      <c r="AU14" s="177"/>
      <c r="AV14" s="178"/>
      <c r="AW14" s="178"/>
      <c r="AX14" s="179"/>
      <c r="AZ14" s="166"/>
      <c r="BA14" s="177"/>
      <c r="BB14" s="178"/>
      <c r="BC14" s="178"/>
      <c r="BD14" s="178"/>
      <c r="BE14" s="178"/>
      <c r="BF14" s="178"/>
      <c r="BG14" s="178"/>
      <c r="BH14" s="178"/>
      <c r="BI14" s="179"/>
      <c r="BJ14" s="180"/>
      <c r="BK14" s="178"/>
      <c r="BL14" s="178"/>
      <c r="BM14" s="178"/>
      <c r="BN14" s="178"/>
      <c r="BO14" s="181"/>
      <c r="BP14" s="166"/>
      <c r="BQ14" s="177"/>
      <c r="BR14" s="178"/>
      <c r="BS14" s="179"/>
      <c r="BU14" s="166"/>
      <c r="BV14" s="166"/>
      <c r="BW14" s="166"/>
      <c r="BX14" s="166"/>
      <c r="BY14" s="166"/>
      <c r="BZ14" s="166"/>
      <c r="CA14" s="166"/>
      <c r="CB14" s="166"/>
      <c r="CC14" s="166"/>
      <c r="CD14" s="177"/>
      <c r="CE14" s="181"/>
      <c r="CF14" s="177"/>
      <c r="CG14" s="179"/>
      <c r="CH14" s="257"/>
      <c r="CI14" s="182"/>
      <c r="CJ14" s="177"/>
      <c r="CK14" s="182"/>
      <c r="CL14" s="177"/>
      <c r="CM14" s="182"/>
      <c r="CN14" s="177"/>
      <c r="CO14" s="182"/>
      <c r="CP14" s="177"/>
      <c r="CQ14" s="178"/>
      <c r="CR14" s="182"/>
      <c r="CS14" s="173"/>
      <c r="CT14" s="65"/>
      <c r="CU14" s="271" t="str">
        <f t="shared" si="2"/>
        <v>STS</v>
      </c>
    </row>
    <row r="15" ht="60.0" customHeight="1">
      <c r="A15" s="65"/>
      <c r="C15" s="167">
        <v>8.0</v>
      </c>
      <c r="D15" s="168" t="s">
        <v>137</v>
      </c>
      <c r="E15" s="169"/>
      <c r="F15" s="170"/>
      <c r="G15" s="170"/>
      <c r="H15" s="170"/>
      <c r="I15" s="207"/>
      <c r="J15" s="170"/>
      <c r="K15" s="171"/>
      <c r="L15" s="171"/>
      <c r="M15" s="171"/>
      <c r="N15" s="276"/>
      <c r="O15" s="256">
        <f t="shared" si="3"/>
        <v>0</v>
      </c>
      <c r="Q15" s="173"/>
      <c r="R15" s="65"/>
      <c r="S15" s="173"/>
      <c r="T15" s="173"/>
      <c r="U15" s="166"/>
      <c r="V15" s="166"/>
      <c r="W15" s="65"/>
      <c r="X15" s="66"/>
      <c r="Y15" s="173"/>
      <c r="Z15" s="166"/>
      <c r="AA15" s="174"/>
      <c r="AB15" s="175"/>
      <c r="AC15" s="175"/>
      <c r="AD15" s="175"/>
      <c r="AE15" s="175"/>
      <c r="AF15" s="175"/>
      <c r="AG15" s="175"/>
      <c r="AH15" s="175"/>
      <c r="AI15" s="176"/>
      <c r="AJ15" s="177"/>
      <c r="AK15" s="178"/>
      <c r="AL15" s="178"/>
      <c r="AM15" s="178"/>
      <c r="AN15" s="178"/>
      <c r="AO15" s="179"/>
      <c r="AP15" s="64"/>
      <c r="AQ15" s="65"/>
      <c r="AR15" s="65"/>
      <c r="AS15" s="65"/>
      <c r="AT15" s="173"/>
      <c r="AU15" s="177"/>
      <c r="AV15" s="178"/>
      <c r="AW15" s="178"/>
      <c r="AX15" s="179"/>
      <c r="AZ15" s="166"/>
      <c r="BA15" s="177"/>
      <c r="BB15" s="178"/>
      <c r="BC15" s="178"/>
      <c r="BD15" s="178"/>
      <c r="BE15" s="178"/>
      <c r="BF15" s="178"/>
      <c r="BG15" s="178"/>
      <c r="BH15" s="178"/>
      <c r="BI15" s="179"/>
      <c r="BJ15" s="180"/>
      <c r="BK15" s="178"/>
      <c r="BL15" s="178"/>
      <c r="BM15" s="178"/>
      <c r="BN15" s="178"/>
      <c r="BO15" s="181"/>
      <c r="BP15" s="166"/>
      <c r="BQ15" s="177"/>
      <c r="BR15" s="178"/>
      <c r="BS15" s="179"/>
      <c r="BU15" s="166"/>
      <c r="BV15" s="166"/>
      <c r="BW15" s="166"/>
      <c r="BX15" s="166"/>
      <c r="BY15" s="166"/>
      <c r="BZ15" s="166"/>
      <c r="CA15" s="166"/>
      <c r="CB15" s="166"/>
      <c r="CC15" s="166"/>
      <c r="CD15" s="177"/>
      <c r="CE15" s="181"/>
      <c r="CF15" s="177"/>
      <c r="CG15" s="179"/>
      <c r="CH15" s="257"/>
      <c r="CI15" s="182"/>
      <c r="CJ15" s="177"/>
      <c r="CK15" s="182"/>
      <c r="CL15" s="177"/>
      <c r="CM15" s="182"/>
      <c r="CN15" s="177"/>
      <c r="CO15" s="182"/>
      <c r="CP15" s="177"/>
      <c r="CQ15" s="178"/>
      <c r="CR15" s="182"/>
      <c r="CS15" s="173"/>
      <c r="CT15" s="65"/>
      <c r="CU15" s="271" t="str">
        <f t="shared" si="2"/>
        <v>STS</v>
      </c>
    </row>
    <row r="16" ht="60.0" customHeight="1">
      <c r="A16" s="65"/>
      <c r="C16" s="167">
        <v>9.0</v>
      </c>
      <c r="D16" s="168" t="s">
        <v>137</v>
      </c>
      <c r="E16" s="169"/>
      <c r="F16" s="170"/>
      <c r="G16" s="170"/>
      <c r="H16" s="170"/>
      <c r="I16" s="207"/>
      <c r="J16" s="170"/>
      <c r="K16" s="171"/>
      <c r="L16" s="171"/>
      <c r="M16" s="171"/>
      <c r="N16" s="276"/>
      <c r="O16" s="256">
        <f t="shared" si="3"/>
        <v>0</v>
      </c>
      <c r="Q16" s="173"/>
      <c r="R16" s="65"/>
      <c r="S16" s="173"/>
      <c r="T16" s="173"/>
      <c r="U16" s="166"/>
      <c r="V16" s="166"/>
      <c r="W16" s="65"/>
      <c r="X16" s="66"/>
      <c r="Y16" s="173"/>
      <c r="Z16" s="166"/>
      <c r="AA16" s="174"/>
      <c r="AB16" s="175"/>
      <c r="AC16" s="175"/>
      <c r="AD16" s="175"/>
      <c r="AE16" s="175"/>
      <c r="AF16" s="175"/>
      <c r="AG16" s="175"/>
      <c r="AH16" s="175"/>
      <c r="AI16" s="176"/>
      <c r="AJ16" s="177"/>
      <c r="AK16" s="178"/>
      <c r="AL16" s="178"/>
      <c r="AM16" s="178"/>
      <c r="AN16" s="178"/>
      <c r="AO16" s="179"/>
      <c r="AP16" s="64"/>
      <c r="AQ16" s="65"/>
      <c r="AR16" s="65"/>
      <c r="AS16" s="65"/>
      <c r="AT16" s="173"/>
      <c r="AU16" s="177"/>
      <c r="AV16" s="178"/>
      <c r="AW16" s="178"/>
      <c r="AX16" s="179"/>
      <c r="AZ16" s="166"/>
      <c r="BA16" s="177"/>
      <c r="BB16" s="178"/>
      <c r="BC16" s="178"/>
      <c r="BD16" s="178"/>
      <c r="BE16" s="178"/>
      <c r="BF16" s="178"/>
      <c r="BG16" s="178"/>
      <c r="BH16" s="178"/>
      <c r="BI16" s="179"/>
      <c r="BJ16" s="180"/>
      <c r="BK16" s="178"/>
      <c r="BL16" s="178"/>
      <c r="BM16" s="178"/>
      <c r="BN16" s="178"/>
      <c r="BO16" s="181"/>
      <c r="BP16" s="166"/>
      <c r="BQ16" s="177"/>
      <c r="BR16" s="178"/>
      <c r="BS16" s="179"/>
      <c r="BU16" s="166"/>
      <c r="BV16" s="166"/>
      <c r="BW16" s="166"/>
      <c r="BX16" s="166"/>
      <c r="BY16" s="166"/>
      <c r="BZ16" s="166"/>
      <c r="CA16" s="166"/>
      <c r="CB16" s="166"/>
      <c r="CC16" s="166"/>
      <c r="CD16" s="177"/>
      <c r="CE16" s="181"/>
      <c r="CF16" s="177"/>
      <c r="CG16" s="179"/>
      <c r="CH16" s="257"/>
      <c r="CI16" s="182"/>
      <c r="CJ16" s="177"/>
      <c r="CK16" s="182"/>
      <c r="CL16" s="177"/>
      <c r="CM16" s="182"/>
      <c r="CN16" s="177"/>
      <c r="CO16" s="182"/>
      <c r="CP16" s="177"/>
      <c r="CQ16" s="178"/>
      <c r="CR16" s="182"/>
      <c r="CS16" s="173"/>
      <c r="CT16" s="65"/>
      <c r="CU16" s="271" t="str">
        <f t="shared" si="2"/>
        <v>STS</v>
      </c>
    </row>
    <row r="17" ht="60.0" customHeight="1">
      <c r="A17" s="65"/>
      <c r="C17" s="167">
        <v>10.0</v>
      </c>
      <c r="D17" s="168" t="s">
        <v>137</v>
      </c>
      <c r="E17" s="169"/>
      <c r="F17" s="170"/>
      <c r="G17" s="170"/>
      <c r="H17" s="170"/>
      <c r="I17" s="207"/>
      <c r="J17" s="170"/>
      <c r="K17" s="171"/>
      <c r="L17" s="171"/>
      <c r="M17" s="171"/>
      <c r="N17" s="276"/>
      <c r="O17" s="256">
        <f t="shared" si="3"/>
        <v>0</v>
      </c>
      <c r="Q17" s="173"/>
      <c r="R17" s="65"/>
      <c r="S17" s="173"/>
      <c r="T17" s="173"/>
      <c r="U17" s="166"/>
      <c r="V17" s="166"/>
      <c r="W17" s="65"/>
      <c r="X17" s="66"/>
      <c r="Y17" s="173"/>
      <c r="Z17" s="166"/>
      <c r="AA17" s="174"/>
      <c r="AB17" s="175"/>
      <c r="AC17" s="175"/>
      <c r="AD17" s="175"/>
      <c r="AE17" s="175"/>
      <c r="AF17" s="175"/>
      <c r="AG17" s="175"/>
      <c r="AH17" s="175"/>
      <c r="AI17" s="176"/>
      <c r="AJ17" s="177"/>
      <c r="AK17" s="178"/>
      <c r="AL17" s="178"/>
      <c r="AM17" s="178"/>
      <c r="AN17" s="178"/>
      <c r="AO17" s="179"/>
      <c r="AP17" s="64"/>
      <c r="AQ17" s="65"/>
      <c r="AR17" s="65"/>
      <c r="AS17" s="65"/>
      <c r="AT17" s="173"/>
      <c r="AU17" s="177"/>
      <c r="AV17" s="178"/>
      <c r="AW17" s="178"/>
      <c r="AX17" s="179"/>
      <c r="AZ17" s="166"/>
      <c r="BA17" s="177"/>
      <c r="BB17" s="178"/>
      <c r="BC17" s="178"/>
      <c r="BD17" s="178"/>
      <c r="BE17" s="178"/>
      <c r="BF17" s="178"/>
      <c r="BG17" s="178"/>
      <c r="BH17" s="178"/>
      <c r="BI17" s="179"/>
      <c r="BJ17" s="180"/>
      <c r="BK17" s="178"/>
      <c r="BL17" s="178"/>
      <c r="BM17" s="178"/>
      <c r="BN17" s="178"/>
      <c r="BO17" s="181"/>
      <c r="BP17" s="166"/>
      <c r="BQ17" s="177"/>
      <c r="BR17" s="178"/>
      <c r="BS17" s="179"/>
      <c r="BU17" s="166"/>
      <c r="BV17" s="166"/>
      <c r="BW17" s="166"/>
      <c r="BX17" s="166"/>
      <c r="BY17" s="166"/>
      <c r="BZ17" s="166"/>
      <c r="CA17" s="166"/>
      <c r="CB17" s="166"/>
      <c r="CC17" s="166"/>
      <c r="CD17" s="177"/>
      <c r="CE17" s="181"/>
      <c r="CF17" s="177"/>
      <c r="CG17" s="179"/>
      <c r="CH17" s="257"/>
      <c r="CI17" s="182"/>
      <c r="CJ17" s="177"/>
      <c r="CK17" s="182"/>
      <c r="CL17" s="177"/>
      <c r="CM17" s="182"/>
      <c r="CN17" s="177"/>
      <c r="CO17" s="182"/>
      <c r="CP17" s="177"/>
      <c r="CQ17" s="178"/>
      <c r="CR17" s="182"/>
      <c r="CS17" s="173"/>
      <c r="CT17" s="65"/>
      <c r="CU17" s="271" t="str">
        <f t="shared" si="2"/>
        <v>STS</v>
      </c>
    </row>
    <row r="18" ht="60.0" customHeight="1">
      <c r="A18" s="89"/>
      <c r="C18" s="183">
        <v>11.0</v>
      </c>
      <c r="D18" s="210" t="s">
        <v>137</v>
      </c>
      <c r="E18" s="185"/>
      <c r="F18" s="186"/>
      <c r="G18" s="186"/>
      <c r="H18" s="186"/>
      <c r="I18" s="212"/>
      <c r="J18" s="186"/>
      <c r="K18" s="187"/>
      <c r="L18" s="187"/>
      <c r="M18" s="187"/>
      <c r="N18" s="284"/>
      <c r="O18" s="258">
        <f t="shared" ref="O18:O24" si="4">IF(AND(M18&lt;&gt;0,M18&lt;&gt;"m",M18&lt;&gt;"",RIGHT(K18,3)="Lec"),1,IF(AND(M18&lt;&gt;0,M18&lt;&gt;"m",M18&lt;&gt;"",OR(RIGHT(K18,3)="Lab",RIGHT(K18,3)="Tut")),0.5,IF(AND(M18&lt;&gt;0,M18&lt;&gt;"m",M18&lt;&gt;"",RIGHT(K18,2)="TL"),0.75,0)))</f>
        <v>0</v>
      </c>
      <c r="P18" s="6"/>
      <c r="Q18" s="69"/>
      <c r="R18" s="89"/>
      <c r="S18" s="69"/>
      <c r="T18" s="69"/>
      <c r="U18" s="63"/>
      <c r="V18" s="63"/>
      <c r="W18" s="89"/>
      <c r="X18" s="68"/>
      <c r="Y18" s="69"/>
      <c r="Z18" s="63"/>
      <c r="AA18" s="189"/>
      <c r="AB18" s="190"/>
      <c r="AC18" s="190"/>
      <c r="AD18" s="190"/>
      <c r="AE18" s="190"/>
      <c r="AF18" s="190"/>
      <c r="AG18" s="190"/>
      <c r="AH18" s="190"/>
      <c r="AI18" s="191"/>
      <c r="AJ18" s="192"/>
      <c r="AK18" s="193"/>
      <c r="AL18" s="193"/>
      <c r="AM18" s="193"/>
      <c r="AN18" s="193"/>
      <c r="AO18" s="194"/>
      <c r="AP18" s="103"/>
      <c r="AQ18" s="89"/>
      <c r="AR18" s="89"/>
      <c r="AS18" s="89"/>
      <c r="AT18" s="69"/>
      <c r="AU18" s="192"/>
      <c r="AV18" s="193"/>
      <c r="AW18" s="193"/>
      <c r="AX18" s="194"/>
      <c r="AY18" s="6"/>
      <c r="AZ18" s="63"/>
      <c r="BA18" s="192"/>
      <c r="BB18" s="193"/>
      <c r="BC18" s="193"/>
      <c r="BD18" s="193"/>
      <c r="BE18" s="193"/>
      <c r="BF18" s="193"/>
      <c r="BG18" s="193"/>
      <c r="BH18" s="193"/>
      <c r="BI18" s="194"/>
      <c r="BJ18" s="195"/>
      <c r="BK18" s="193"/>
      <c r="BL18" s="193"/>
      <c r="BM18" s="193"/>
      <c r="BN18" s="193"/>
      <c r="BO18" s="196"/>
      <c r="BP18" s="63"/>
      <c r="BQ18" s="192"/>
      <c r="BR18" s="193"/>
      <c r="BS18" s="194"/>
      <c r="BT18" s="6"/>
      <c r="BU18" s="63"/>
      <c r="BV18" s="63"/>
      <c r="BW18" s="63"/>
      <c r="BX18" s="63"/>
      <c r="BY18" s="63"/>
      <c r="BZ18" s="63"/>
      <c r="CA18" s="63"/>
      <c r="CB18" s="63"/>
      <c r="CC18" s="63"/>
      <c r="CD18" s="192"/>
      <c r="CE18" s="196"/>
      <c r="CF18" s="192"/>
      <c r="CG18" s="194"/>
      <c r="CH18" s="259"/>
      <c r="CI18" s="197"/>
      <c r="CJ18" s="192"/>
      <c r="CK18" s="197"/>
      <c r="CL18" s="192"/>
      <c r="CM18" s="197"/>
      <c r="CN18" s="192"/>
      <c r="CO18" s="197"/>
      <c r="CP18" s="192"/>
      <c r="CQ18" s="193"/>
      <c r="CR18" s="197"/>
      <c r="CS18" s="69"/>
      <c r="CT18" s="89"/>
      <c r="CU18" s="272" t="str">
        <f t="shared" si="2"/>
        <v>STS</v>
      </c>
    </row>
    <row r="19" ht="55.5" customHeight="1">
      <c r="A19" s="125">
        <v>2.0</v>
      </c>
      <c r="B19" s="199" t="s">
        <v>146</v>
      </c>
      <c r="C19" s="127">
        <v>1.0</v>
      </c>
      <c r="D19" s="168" t="s">
        <v>147</v>
      </c>
      <c r="E19" s="129"/>
      <c r="F19" s="130"/>
      <c r="G19" s="130"/>
      <c r="H19" s="130"/>
      <c r="I19" s="201"/>
      <c r="J19" s="130"/>
      <c r="K19" s="131"/>
      <c r="L19" s="131"/>
      <c r="M19" s="131"/>
      <c r="N19" s="275"/>
      <c r="O19" s="250">
        <f t="shared" si="4"/>
        <v>0</v>
      </c>
      <c r="P19" s="251">
        <f>COUNTIF(K19:K29,"TL")*0.75+COUNTIF(K19:K29,"Lec")*1+COUNTIF(K19:K29,"Lab")*0.5</f>
        <v>0</v>
      </c>
      <c r="Q19" s="134">
        <f>SUM((IF(LEFT(K19,1)="E",O19,0)),(IF(LEFT(K20,1)="E",O20,0)),(IF(LEFT(K21,1)="E",O21,0)),(IF(LEFT(K22,1)="E",O22,0)),(IF(LEFT(K23,1)="E",O23,0)),(IF(LEFT(K24,1)="E",O24,0)),(IF(LEFT(K25,1)="E",O25,0)),(IF(LEFT(K26,1)="E",O26,0)),(IF(LEFT(K27,1)="E",O27,0)),(IF(LEFT(K28,1)="E",O28,0)),(IF(LEFT(K29,1)="E",O29,0)))</f>
        <v>0</v>
      </c>
      <c r="R19" s="135">
        <f>SUM(IF(M25&lt;20,IF(K25="Plec",-1,IF(K25="PTL",-0.75,IF(K25="Plab",-0.5,0))),0),IF(M26&lt;20,IF(K26="Plec",-1,IF(K26="PTL",-0.75,IF(K26="Plab",-0.5,0))),0),IF(M27&lt;20,IF(K27="Plec",-1,IF(K27="PTL",-0.75,IF(K27="Plab",-0.5,0))),0),IF(M28&lt;20,IF(K28="Plec",-1,IF(K28="PTL",-0.75,IF(K28="Plab",-0.5,0))),0))</f>
        <v>0</v>
      </c>
      <c r="S19" s="134">
        <f>SUM(P19:R29)</f>
        <v>0</v>
      </c>
      <c r="T19" s="136">
        <f>SUM(IF(M19="M",IF(OR(K19="lec",K19="plec",K19="slec"),1,IF(OR(K19="lab",K19="plab",K19="slab",K19="tut",K19="ptut",K19="stut"),0.5,IF(OR(K19="TL",K19="pTL",K19="STL"),0.75,0))),0),IF(M20="M",IF(OR(K20="lec",K20="plec",K20="slec"),1,IF(OR(K20="lab",K20="plab",K20="slab",K20="tut",K20="ptut",K20="stut"),0.5,IF(OR(K20="TL",K20="pTL",K20="STL"),0.75,0))),0),IF(M21="M",IF(OR(K21="lec",K21="plec",K21="slec"),1,IF(OR(K21="lab",K21="plab",K21="slab",K21="tut",K21="ptut",K21="stut"),0.5,IF(OR(K21="TL",K21="pTL",K21="STL"),0.75,0))),0),IF(M22="M",IF(OR(K22="lec",K22="plec",K22="slec"),1,IF(OR(K22="lab",K22="plab",K22="slab",K22="tut",K22="ptut",K22="stut"),0.5,IF(OR(K22="TL",K22="pTL",K22="STL"),0.75,0))),0),IF(M23="M",IF(OR(K23="lec",K23="plec",K23="slec"),1,IF(OR(K23="lab",K23="plab",K23="slab",K23="tut",K23="ptut",K23="stut"),0.5,IF(OR(K23="TL",K23="pTL",K23="STL"),0.75,0))),0),IF(M24="M",IF(OR(K24="lec",K24="plec",K24="slec"),1,IF(OR(K24="lab",K24="plab",K24="slab",K24="tut",K24="ptut",K24="stut"),0.5,IF(OR(K24="TL",K24="pTL",K24="STL"),0.75,0))),0),IF(M25="M",IF(OR(K25="lec",K25="plec",K25="slec"),1,IF(OR(K25="lab",K25="plab",K25="slab",K25="tut",K25="ptut",K25="stut"),0.5,IF(OR(K25="TL",K25="pTL",K25="STL"),0.75,0))),0),IF(M26="M",IF(OR(K26="lec",K26="plec",K26="slec"),1,IF(OR(K26="lab",K26="plab",K26="slab",K26="tut",K26="ptut",K26="stut"),0.5,IF(OR(K26="TL",K26="pTL",K26="STL"),0.75,0))),0),IF(M27="M",IF(OR(K27="lec",K27="plec",K27="slec"),1,IF(OR(K27="lab",K27="plab",K27="slab",K27="tut",K27="ptut",K27="stut"),0.5,IF(OR(K27="TL",K27="pTL",K27="STL"),0.75,0))),0),IF(M28="M",IF(OR(K28="lec",K28="plec",K28="slec"),1,IF(OR(K28="lab",K28="plab",K28="slab",K28="tut",K28="ptut",K28="stut"),0.5,IF(OR(K28="TL",K28="pTL",K28="STL"),0.75,0))),0),IF(M29="M",IF(OR(K29="lec",K29="plec",K29="slec"),1,IF(OR(K29="lab",K29="plab",K29="slab",K29="tut",K29="ptut",K29="stut"),0.5,IF(OR(K29="TL",K29="pTL",K29="STL"),0.75,0))),0))</f>
        <v>0</v>
      </c>
      <c r="U19" s="137"/>
      <c r="V19" s="133"/>
      <c r="W19" s="138"/>
      <c r="X19" s="139">
        <f>S19-(T19+U19+V19+W19)</f>
        <v>0</v>
      </c>
      <c r="Y19" s="134" t="str">
        <f>CONCATENATE(SUM(O19:O29),"(",SUM(O19:O29)-X19,")")</f>
        <v>0(0)</v>
      </c>
      <c r="Z19" s="140"/>
      <c r="AA19" s="141"/>
      <c r="AB19" s="142"/>
      <c r="AC19" s="142"/>
      <c r="AD19" s="142"/>
      <c r="AE19" s="142"/>
      <c r="AF19" s="142"/>
      <c r="AG19" s="142"/>
      <c r="AH19" s="142"/>
      <c r="AI19" s="143"/>
      <c r="AJ19" s="144"/>
      <c r="AK19" s="145"/>
      <c r="AL19" s="145"/>
      <c r="AM19" s="145"/>
      <c r="AN19" s="145"/>
      <c r="AO19" s="146"/>
      <c r="AP19" s="147">
        <f>SUM(SUM(O19:O29),SUM(AI19:AI29)/2,AM19)</f>
        <v>0</v>
      </c>
      <c r="AQ19" s="148"/>
      <c r="AR19" s="148">
        <f>AP19*AQ19</f>
        <v>0</v>
      </c>
      <c r="AS19" s="148">
        <f>CT19</f>
        <v>4</v>
      </c>
      <c r="AT19" s="149">
        <f>AR19*0.75+AS19*0.25</f>
        <v>1</v>
      </c>
      <c r="AU19" s="150"/>
      <c r="AV19" s="151"/>
      <c r="AW19" s="151"/>
      <c r="AX19" s="152"/>
      <c r="AY19" s="153"/>
      <c r="AZ19" s="140"/>
      <c r="BA19" s="150">
        <v>2.0</v>
      </c>
      <c r="BB19" s="151" t="s">
        <v>247</v>
      </c>
      <c r="BC19" s="151" t="s">
        <v>306</v>
      </c>
      <c r="BD19" s="151" t="s">
        <v>307</v>
      </c>
      <c r="BE19" s="151" t="s">
        <v>150</v>
      </c>
      <c r="BF19" s="151"/>
      <c r="BG19" s="151">
        <v>2.0</v>
      </c>
      <c r="BH19" s="151"/>
      <c r="BI19" s="152"/>
      <c r="BJ19" s="154">
        <v>2.0</v>
      </c>
      <c r="BK19" s="151"/>
      <c r="BL19" s="151"/>
      <c r="BM19" s="151"/>
      <c r="BN19" s="151"/>
      <c r="BO19" s="155"/>
      <c r="BP19" s="140"/>
      <c r="BQ19" s="156"/>
      <c r="BR19" s="157"/>
      <c r="BS19" s="158"/>
      <c r="BT19" s="153"/>
      <c r="BU19" s="140"/>
      <c r="BV19" s="140"/>
      <c r="BW19" s="140"/>
      <c r="BX19" s="140"/>
      <c r="BY19" s="140"/>
      <c r="BZ19" s="140"/>
      <c r="CA19" s="140"/>
      <c r="CB19" s="140"/>
      <c r="CC19" s="140"/>
      <c r="CD19" s="150"/>
      <c r="CE19" s="155"/>
      <c r="CF19" s="150" t="s">
        <v>308</v>
      </c>
      <c r="CG19" s="152"/>
      <c r="CH19" s="252" t="s">
        <v>305</v>
      </c>
      <c r="CI19" s="160">
        <v>0.0</v>
      </c>
      <c r="CJ19" s="159"/>
      <c r="CK19" s="160"/>
      <c r="CL19" s="159"/>
      <c r="CM19" s="160"/>
      <c r="CN19" s="159"/>
      <c r="CO19" s="160"/>
      <c r="CP19" s="159"/>
      <c r="CQ19" s="162"/>
      <c r="CR19" s="160"/>
      <c r="CS19" s="253">
        <f>SUM(IF(AU19&lt;0,ABS(AU19),0),IF(AZ19&lt;0,ABS(AZ19),0),ABS(CI19),ABS(CK19),ABS(CM19),ABS(CO19),ABS(CQ19),ABS(CR19))</f>
        <v>0</v>
      </c>
      <c r="CT19" s="254">
        <f>SUM(AU19,AV19,AW19,AX19/400,AY19,AZ19,BG19,BH19*0.5,BI19*0.25,BJ19,BK19,BL19,BM19,BN19,BO19,BP19,BR19/20,BS19/100,BT19/60,BU19,BV19,BW19,BX19/4,SUM(BY19:CC29)/3,CE19,CG19/3,CI19,CK19,CM19,CO19,CQ19,CR19)</f>
        <v>4</v>
      </c>
      <c r="CU19" s="255" t="str">
        <f t="shared" si="2"/>
        <v>DVB</v>
      </c>
    </row>
    <row r="20" ht="60.0" customHeight="1">
      <c r="A20" s="65"/>
      <c r="C20" s="167">
        <v>2.0</v>
      </c>
      <c r="D20" s="168" t="s">
        <v>147</v>
      </c>
      <c r="E20" s="169"/>
      <c r="F20" s="170"/>
      <c r="G20" s="170"/>
      <c r="H20" s="170"/>
      <c r="I20" s="207"/>
      <c r="J20" s="170"/>
      <c r="K20" s="171"/>
      <c r="L20" s="171"/>
      <c r="M20" s="171"/>
      <c r="N20" s="276"/>
      <c r="O20" s="256">
        <f t="shared" si="4"/>
        <v>0</v>
      </c>
      <c r="Q20" s="173"/>
      <c r="R20" s="65"/>
      <c r="S20" s="173"/>
      <c r="T20" s="173"/>
      <c r="U20" s="166"/>
      <c r="V20" s="166"/>
      <c r="W20" s="65"/>
      <c r="X20" s="66"/>
      <c r="Y20" s="173"/>
      <c r="Z20" s="166"/>
      <c r="AA20" s="174"/>
      <c r="AB20" s="175"/>
      <c r="AC20" s="175"/>
      <c r="AD20" s="175"/>
      <c r="AE20" s="175"/>
      <c r="AF20" s="175"/>
      <c r="AG20" s="175"/>
      <c r="AH20" s="175"/>
      <c r="AI20" s="176"/>
      <c r="AJ20" s="177"/>
      <c r="AK20" s="178"/>
      <c r="AL20" s="178"/>
      <c r="AM20" s="178"/>
      <c r="AN20" s="178"/>
      <c r="AO20" s="179"/>
      <c r="AP20" s="64"/>
      <c r="AQ20" s="65"/>
      <c r="AR20" s="65"/>
      <c r="AS20" s="65"/>
      <c r="AT20" s="173"/>
      <c r="AU20" s="177"/>
      <c r="AV20" s="178"/>
      <c r="AW20" s="178"/>
      <c r="AX20" s="179"/>
      <c r="AZ20" s="166"/>
      <c r="BA20" s="177"/>
      <c r="BB20" s="178"/>
      <c r="BC20" s="178"/>
      <c r="BD20" s="178"/>
      <c r="BE20" s="178"/>
      <c r="BF20" s="178"/>
      <c r="BG20" s="178"/>
      <c r="BH20" s="178"/>
      <c r="BI20" s="179"/>
      <c r="BJ20" s="180"/>
      <c r="BK20" s="178"/>
      <c r="BL20" s="178"/>
      <c r="BM20" s="178"/>
      <c r="BN20" s="178"/>
      <c r="BO20" s="181"/>
      <c r="BP20" s="166"/>
      <c r="BQ20" s="177"/>
      <c r="BR20" s="178"/>
      <c r="BS20" s="179"/>
      <c r="BU20" s="166"/>
      <c r="BV20" s="166"/>
      <c r="BW20" s="166"/>
      <c r="BX20" s="166"/>
      <c r="BY20" s="166"/>
      <c r="BZ20" s="166"/>
      <c r="CA20" s="166"/>
      <c r="CB20" s="166"/>
      <c r="CC20" s="166"/>
      <c r="CD20" s="177"/>
      <c r="CE20" s="181"/>
      <c r="CF20" s="177"/>
      <c r="CG20" s="179"/>
      <c r="CH20" s="257"/>
      <c r="CI20" s="182"/>
      <c r="CJ20" s="177"/>
      <c r="CK20" s="182"/>
      <c r="CL20" s="177"/>
      <c r="CM20" s="182"/>
      <c r="CN20" s="177"/>
      <c r="CO20" s="182"/>
      <c r="CP20" s="177"/>
      <c r="CQ20" s="178"/>
      <c r="CR20" s="182"/>
      <c r="CS20" s="173"/>
      <c r="CT20" s="65"/>
      <c r="CU20" s="271" t="str">
        <f t="shared" si="2"/>
        <v>DVB</v>
      </c>
    </row>
    <row r="21" ht="60.0" customHeight="1">
      <c r="A21" s="65"/>
      <c r="C21" s="167">
        <v>3.0</v>
      </c>
      <c r="D21" s="168" t="s">
        <v>147</v>
      </c>
      <c r="E21" s="169"/>
      <c r="F21" s="170"/>
      <c r="G21" s="170"/>
      <c r="H21" s="170"/>
      <c r="I21" s="207"/>
      <c r="J21" s="170"/>
      <c r="K21" s="171"/>
      <c r="L21" s="171"/>
      <c r="M21" s="171"/>
      <c r="N21" s="276"/>
      <c r="O21" s="256">
        <f t="shared" si="4"/>
        <v>0</v>
      </c>
      <c r="Q21" s="173"/>
      <c r="R21" s="65"/>
      <c r="S21" s="173"/>
      <c r="T21" s="173"/>
      <c r="U21" s="166"/>
      <c r="V21" s="166"/>
      <c r="W21" s="65"/>
      <c r="X21" s="66"/>
      <c r="Y21" s="173"/>
      <c r="Z21" s="166"/>
      <c r="AA21" s="174"/>
      <c r="AB21" s="175"/>
      <c r="AC21" s="175"/>
      <c r="AD21" s="175"/>
      <c r="AE21" s="175"/>
      <c r="AF21" s="175"/>
      <c r="AG21" s="175"/>
      <c r="AH21" s="175"/>
      <c r="AI21" s="176"/>
      <c r="AJ21" s="177"/>
      <c r="AK21" s="178"/>
      <c r="AL21" s="178"/>
      <c r="AM21" s="178"/>
      <c r="AN21" s="178"/>
      <c r="AO21" s="179"/>
      <c r="AP21" s="64"/>
      <c r="AQ21" s="65"/>
      <c r="AR21" s="65"/>
      <c r="AS21" s="65"/>
      <c r="AT21" s="173"/>
      <c r="AU21" s="177"/>
      <c r="AV21" s="178"/>
      <c r="AW21" s="178"/>
      <c r="AX21" s="179"/>
      <c r="AZ21" s="166"/>
      <c r="BA21" s="177"/>
      <c r="BB21" s="178"/>
      <c r="BC21" s="178"/>
      <c r="BD21" s="178"/>
      <c r="BE21" s="178"/>
      <c r="BF21" s="178"/>
      <c r="BG21" s="178"/>
      <c r="BH21" s="178"/>
      <c r="BI21" s="179"/>
      <c r="BJ21" s="180"/>
      <c r="BK21" s="178"/>
      <c r="BL21" s="178"/>
      <c r="BM21" s="178"/>
      <c r="BN21" s="178"/>
      <c r="BO21" s="181"/>
      <c r="BP21" s="166"/>
      <c r="BQ21" s="177"/>
      <c r="BR21" s="178"/>
      <c r="BS21" s="179"/>
      <c r="BU21" s="166"/>
      <c r="BV21" s="166"/>
      <c r="BW21" s="166"/>
      <c r="BX21" s="166"/>
      <c r="BY21" s="166"/>
      <c r="BZ21" s="166"/>
      <c r="CA21" s="166"/>
      <c r="CB21" s="166"/>
      <c r="CC21" s="166"/>
      <c r="CD21" s="177"/>
      <c r="CE21" s="181"/>
      <c r="CF21" s="177"/>
      <c r="CG21" s="179"/>
      <c r="CH21" s="257"/>
      <c r="CI21" s="182"/>
      <c r="CJ21" s="177"/>
      <c r="CK21" s="182"/>
      <c r="CL21" s="177"/>
      <c r="CM21" s="182"/>
      <c r="CN21" s="177"/>
      <c r="CO21" s="182"/>
      <c r="CP21" s="177"/>
      <c r="CQ21" s="178"/>
      <c r="CR21" s="182"/>
      <c r="CS21" s="173"/>
      <c r="CT21" s="65"/>
      <c r="CU21" s="271" t="str">
        <f t="shared" si="2"/>
        <v>DVB</v>
      </c>
    </row>
    <row r="22" ht="60.0" customHeight="1">
      <c r="A22" s="65"/>
      <c r="C22" s="167">
        <v>4.0</v>
      </c>
      <c r="D22" s="168" t="s">
        <v>147</v>
      </c>
      <c r="E22" s="169"/>
      <c r="F22" s="170"/>
      <c r="G22" s="170"/>
      <c r="H22" s="170"/>
      <c r="I22" s="207"/>
      <c r="J22" s="170"/>
      <c r="K22" s="171"/>
      <c r="L22" s="171"/>
      <c r="M22" s="171"/>
      <c r="N22" s="276"/>
      <c r="O22" s="256">
        <f t="shared" si="4"/>
        <v>0</v>
      </c>
      <c r="Q22" s="173"/>
      <c r="R22" s="65"/>
      <c r="S22" s="173"/>
      <c r="T22" s="173"/>
      <c r="U22" s="166"/>
      <c r="V22" s="166"/>
      <c r="W22" s="65"/>
      <c r="X22" s="66"/>
      <c r="Y22" s="173"/>
      <c r="Z22" s="166"/>
      <c r="AA22" s="174"/>
      <c r="AB22" s="175"/>
      <c r="AC22" s="175"/>
      <c r="AD22" s="175"/>
      <c r="AE22" s="175"/>
      <c r="AF22" s="175"/>
      <c r="AG22" s="175"/>
      <c r="AH22" s="175"/>
      <c r="AI22" s="176"/>
      <c r="AJ22" s="177"/>
      <c r="AK22" s="178"/>
      <c r="AL22" s="178"/>
      <c r="AM22" s="178"/>
      <c r="AN22" s="178"/>
      <c r="AO22" s="179"/>
      <c r="AP22" s="64"/>
      <c r="AQ22" s="65"/>
      <c r="AR22" s="65"/>
      <c r="AS22" s="65"/>
      <c r="AT22" s="173"/>
      <c r="AU22" s="177"/>
      <c r="AV22" s="178"/>
      <c r="AW22" s="178"/>
      <c r="AX22" s="179"/>
      <c r="AZ22" s="166"/>
      <c r="BA22" s="177"/>
      <c r="BB22" s="178"/>
      <c r="BC22" s="178"/>
      <c r="BD22" s="178"/>
      <c r="BE22" s="178"/>
      <c r="BF22" s="178"/>
      <c r="BG22" s="178"/>
      <c r="BH22" s="178"/>
      <c r="BI22" s="179"/>
      <c r="BJ22" s="180"/>
      <c r="BK22" s="178"/>
      <c r="BL22" s="178"/>
      <c r="BM22" s="178"/>
      <c r="BN22" s="178"/>
      <c r="BO22" s="181"/>
      <c r="BP22" s="166"/>
      <c r="BQ22" s="177"/>
      <c r="BR22" s="178"/>
      <c r="BS22" s="179"/>
      <c r="BU22" s="166"/>
      <c r="BV22" s="166"/>
      <c r="BW22" s="166"/>
      <c r="BX22" s="166"/>
      <c r="BY22" s="166"/>
      <c r="BZ22" s="166"/>
      <c r="CA22" s="166"/>
      <c r="CB22" s="166"/>
      <c r="CC22" s="166"/>
      <c r="CD22" s="177"/>
      <c r="CE22" s="181"/>
      <c r="CF22" s="177"/>
      <c r="CG22" s="179"/>
      <c r="CH22" s="257"/>
      <c r="CI22" s="182"/>
      <c r="CJ22" s="177"/>
      <c r="CK22" s="182"/>
      <c r="CL22" s="177"/>
      <c r="CM22" s="182"/>
      <c r="CN22" s="177"/>
      <c r="CO22" s="182"/>
      <c r="CP22" s="177"/>
      <c r="CQ22" s="178"/>
      <c r="CR22" s="182"/>
      <c r="CS22" s="173"/>
      <c r="CT22" s="65"/>
      <c r="CU22" s="271" t="str">
        <f t="shared" si="2"/>
        <v>DVB</v>
      </c>
    </row>
    <row r="23" ht="60.0" customHeight="1">
      <c r="A23" s="65"/>
      <c r="C23" s="167">
        <v>5.0</v>
      </c>
      <c r="D23" s="168" t="s">
        <v>147</v>
      </c>
      <c r="E23" s="169"/>
      <c r="F23" s="170"/>
      <c r="G23" s="170"/>
      <c r="H23" s="170"/>
      <c r="I23" s="207"/>
      <c r="J23" s="170"/>
      <c r="K23" s="171"/>
      <c r="L23" s="171"/>
      <c r="M23" s="171"/>
      <c r="N23" s="276"/>
      <c r="O23" s="256">
        <f t="shared" si="4"/>
        <v>0</v>
      </c>
      <c r="Q23" s="173"/>
      <c r="R23" s="65"/>
      <c r="S23" s="173"/>
      <c r="T23" s="173"/>
      <c r="U23" s="166"/>
      <c r="V23" s="166"/>
      <c r="W23" s="65"/>
      <c r="X23" s="66"/>
      <c r="Y23" s="173"/>
      <c r="Z23" s="166"/>
      <c r="AA23" s="174"/>
      <c r="AB23" s="175"/>
      <c r="AC23" s="175"/>
      <c r="AD23" s="175"/>
      <c r="AE23" s="175"/>
      <c r="AF23" s="175"/>
      <c r="AG23" s="175"/>
      <c r="AH23" s="175"/>
      <c r="AI23" s="176"/>
      <c r="AJ23" s="177"/>
      <c r="AK23" s="178"/>
      <c r="AL23" s="178"/>
      <c r="AM23" s="178"/>
      <c r="AN23" s="178"/>
      <c r="AO23" s="179"/>
      <c r="AP23" s="64"/>
      <c r="AQ23" s="65"/>
      <c r="AR23" s="65"/>
      <c r="AS23" s="65"/>
      <c r="AT23" s="173"/>
      <c r="AU23" s="177"/>
      <c r="AV23" s="178"/>
      <c r="AW23" s="178"/>
      <c r="AX23" s="179"/>
      <c r="AZ23" s="166"/>
      <c r="BA23" s="177"/>
      <c r="BB23" s="178"/>
      <c r="BC23" s="178"/>
      <c r="BD23" s="178"/>
      <c r="BE23" s="178"/>
      <c r="BF23" s="178"/>
      <c r="BG23" s="178"/>
      <c r="BH23" s="178"/>
      <c r="BI23" s="179"/>
      <c r="BJ23" s="180"/>
      <c r="BK23" s="178"/>
      <c r="BL23" s="178"/>
      <c r="BM23" s="178"/>
      <c r="BN23" s="178"/>
      <c r="BO23" s="181"/>
      <c r="BP23" s="166"/>
      <c r="BQ23" s="177"/>
      <c r="BR23" s="178"/>
      <c r="BS23" s="179"/>
      <c r="BU23" s="166"/>
      <c r="BV23" s="166"/>
      <c r="BW23" s="166"/>
      <c r="BX23" s="166"/>
      <c r="BY23" s="166"/>
      <c r="BZ23" s="166"/>
      <c r="CA23" s="166"/>
      <c r="CB23" s="166"/>
      <c r="CC23" s="166"/>
      <c r="CD23" s="177"/>
      <c r="CE23" s="181"/>
      <c r="CF23" s="177"/>
      <c r="CG23" s="179"/>
      <c r="CH23" s="257"/>
      <c r="CI23" s="182"/>
      <c r="CJ23" s="177"/>
      <c r="CK23" s="182"/>
      <c r="CL23" s="177"/>
      <c r="CM23" s="182"/>
      <c r="CN23" s="177"/>
      <c r="CO23" s="182"/>
      <c r="CP23" s="177"/>
      <c r="CQ23" s="178"/>
      <c r="CR23" s="182"/>
      <c r="CS23" s="173"/>
      <c r="CT23" s="65"/>
      <c r="CU23" s="271" t="str">
        <f t="shared" si="2"/>
        <v>DVB</v>
      </c>
    </row>
    <row r="24" ht="60.0" customHeight="1">
      <c r="A24" s="65"/>
      <c r="C24" s="167">
        <v>6.0</v>
      </c>
      <c r="D24" s="168" t="s">
        <v>147</v>
      </c>
      <c r="E24" s="169"/>
      <c r="F24" s="170"/>
      <c r="G24" s="170"/>
      <c r="H24" s="170"/>
      <c r="I24" s="207"/>
      <c r="J24" s="170"/>
      <c r="K24" s="171"/>
      <c r="L24" s="171"/>
      <c r="M24" s="171"/>
      <c r="N24" s="276"/>
      <c r="O24" s="256">
        <f t="shared" si="4"/>
        <v>0</v>
      </c>
      <c r="Q24" s="173"/>
      <c r="R24" s="65"/>
      <c r="S24" s="173"/>
      <c r="T24" s="173"/>
      <c r="U24" s="166"/>
      <c r="V24" s="166"/>
      <c r="W24" s="65"/>
      <c r="X24" s="66"/>
      <c r="Y24" s="173"/>
      <c r="Z24" s="166"/>
      <c r="AA24" s="174"/>
      <c r="AB24" s="175"/>
      <c r="AC24" s="175"/>
      <c r="AD24" s="175"/>
      <c r="AE24" s="175"/>
      <c r="AF24" s="175"/>
      <c r="AG24" s="175"/>
      <c r="AH24" s="175"/>
      <c r="AI24" s="176"/>
      <c r="AJ24" s="177"/>
      <c r="AK24" s="178"/>
      <c r="AL24" s="178"/>
      <c r="AM24" s="178"/>
      <c r="AN24" s="178"/>
      <c r="AO24" s="179"/>
      <c r="AP24" s="64"/>
      <c r="AQ24" s="65"/>
      <c r="AR24" s="65"/>
      <c r="AS24" s="65"/>
      <c r="AT24" s="173"/>
      <c r="AU24" s="177"/>
      <c r="AV24" s="178"/>
      <c r="AW24" s="178"/>
      <c r="AX24" s="179"/>
      <c r="AZ24" s="166"/>
      <c r="BA24" s="177"/>
      <c r="BB24" s="178"/>
      <c r="BC24" s="178"/>
      <c r="BD24" s="178"/>
      <c r="BE24" s="178"/>
      <c r="BF24" s="178"/>
      <c r="BG24" s="178"/>
      <c r="BH24" s="178"/>
      <c r="BI24" s="179"/>
      <c r="BJ24" s="180"/>
      <c r="BK24" s="178"/>
      <c r="BL24" s="178"/>
      <c r="BM24" s="178"/>
      <c r="BN24" s="178"/>
      <c r="BO24" s="181"/>
      <c r="BP24" s="166"/>
      <c r="BQ24" s="177"/>
      <c r="BR24" s="178"/>
      <c r="BS24" s="179"/>
      <c r="BU24" s="166"/>
      <c r="BV24" s="166"/>
      <c r="BW24" s="166"/>
      <c r="BX24" s="166"/>
      <c r="BY24" s="166"/>
      <c r="BZ24" s="166"/>
      <c r="CA24" s="166"/>
      <c r="CB24" s="166"/>
      <c r="CC24" s="166"/>
      <c r="CD24" s="177"/>
      <c r="CE24" s="181"/>
      <c r="CF24" s="177"/>
      <c r="CG24" s="179"/>
      <c r="CH24" s="257"/>
      <c r="CI24" s="182"/>
      <c r="CJ24" s="177"/>
      <c r="CK24" s="182"/>
      <c r="CL24" s="177"/>
      <c r="CM24" s="182"/>
      <c r="CN24" s="177"/>
      <c r="CO24" s="182"/>
      <c r="CP24" s="177"/>
      <c r="CQ24" s="178"/>
      <c r="CR24" s="182"/>
      <c r="CS24" s="173"/>
      <c r="CT24" s="65"/>
      <c r="CU24" s="271" t="str">
        <f t="shared" si="2"/>
        <v>DVB</v>
      </c>
    </row>
    <row r="25" ht="60.0" customHeight="1">
      <c r="A25" s="65"/>
      <c r="C25" s="167">
        <v>7.0</v>
      </c>
      <c r="D25" s="168" t="s">
        <v>147</v>
      </c>
      <c r="E25" s="169"/>
      <c r="F25" s="170"/>
      <c r="G25" s="170"/>
      <c r="H25" s="170"/>
      <c r="I25" s="207"/>
      <c r="J25" s="170"/>
      <c r="K25" s="171"/>
      <c r="L25" s="171"/>
      <c r="M25" s="171"/>
      <c r="N25" s="276"/>
      <c r="O25" s="256">
        <f t="shared" ref="O25:O28" si="5">IF(AND(M25&gt;=20,M25&lt;&gt;"m",RIGHT(K25,3)="Lec"),1,IF(AND(M25&gt;=20,M25&lt;&gt;"m",OR(RIGHT(K25,3)="Lab",RIGHT(K25,3)="Tut")),0.5,IF(AND(M25&gt;=20,M25&lt;&gt;"m",RIGHT(K25,2)="TL"),0.75,0)))</f>
        <v>0</v>
      </c>
      <c r="Q25" s="173"/>
      <c r="R25" s="65"/>
      <c r="S25" s="173"/>
      <c r="T25" s="173"/>
      <c r="U25" s="166"/>
      <c r="V25" s="166"/>
      <c r="W25" s="65"/>
      <c r="X25" s="66"/>
      <c r="Y25" s="173"/>
      <c r="Z25" s="166"/>
      <c r="AA25" s="174"/>
      <c r="AB25" s="175"/>
      <c r="AC25" s="175"/>
      <c r="AD25" s="175"/>
      <c r="AE25" s="175"/>
      <c r="AF25" s="175"/>
      <c r="AG25" s="175"/>
      <c r="AH25" s="175"/>
      <c r="AI25" s="176"/>
      <c r="AJ25" s="177"/>
      <c r="AK25" s="178"/>
      <c r="AL25" s="178"/>
      <c r="AM25" s="178"/>
      <c r="AN25" s="178"/>
      <c r="AO25" s="179"/>
      <c r="AP25" s="64"/>
      <c r="AQ25" s="65"/>
      <c r="AR25" s="65"/>
      <c r="AS25" s="65"/>
      <c r="AT25" s="173"/>
      <c r="AU25" s="177"/>
      <c r="AV25" s="178"/>
      <c r="AW25" s="178"/>
      <c r="AX25" s="179"/>
      <c r="AZ25" s="166"/>
      <c r="BA25" s="177"/>
      <c r="BB25" s="178"/>
      <c r="BC25" s="178"/>
      <c r="BD25" s="178"/>
      <c r="BE25" s="178"/>
      <c r="BF25" s="178"/>
      <c r="BG25" s="178"/>
      <c r="BH25" s="178"/>
      <c r="BI25" s="179"/>
      <c r="BJ25" s="180"/>
      <c r="BK25" s="178"/>
      <c r="BL25" s="178"/>
      <c r="BM25" s="178"/>
      <c r="BN25" s="178"/>
      <c r="BO25" s="181"/>
      <c r="BP25" s="166"/>
      <c r="BQ25" s="177"/>
      <c r="BR25" s="178"/>
      <c r="BS25" s="179"/>
      <c r="BU25" s="166"/>
      <c r="BV25" s="166"/>
      <c r="BW25" s="166"/>
      <c r="BX25" s="166"/>
      <c r="BY25" s="166"/>
      <c r="BZ25" s="166"/>
      <c r="CA25" s="166"/>
      <c r="CB25" s="166"/>
      <c r="CC25" s="166"/>
      <c r="CD25" s="177"/>
      <c r="CE25" s="181"/>
      <c r="CF25" s="177"/>
      <c r="CG25" s="179"/>
      <c r="CH25" s="257"/>
      <c r="CI25" s="182"/>
      <c r="CJ25" s="177"/>
      <c r="CK25" s="182"/>
      <c r="CL25" s="177"/>
      <c r="CM25" s="182"/>
      <c r="CN25" s="177"/>
      <c r="CO25" s="182"/>
      <c r="CP25" s="177"/>
      <c r="CQ25" s="178"/>
      <c r="CR25" s="182"/>
      <c r="CS25" s="173"/>
      <c r="CT25" s="65"/>
      <c r="CU25" s="271" t="str">
        <f t="shared" si="2"/>
        <v>DVB</v>
      </c>
    </row>
    <row r="26" ht="60.0" customHeight="1">
      <c r="A26" s="65"/>
      <c r="C26" s="167">
        <v>8.0</v>
      </c>
      <c r="D26" s="168" t="s">
        <v>147</v>
      </c>
      <c r="E26" s="169"/>
      <c r="F26" s="170"/>
      <c r="G26" s="170"/>
      <c r="H26" s="170"/>
      <c r="I26" s="207"/>
      <c r="J26" s="170"/>
      <c r="K26" s="171"/>
      <c r="L26" s="171"/>
      <c r="M26" s="171"/>
      <c r="N26" s="276"/>
      <c r="O26" s="256">
        <f t="shared" si="5"/>
        <v>0</v>
      </c>
      <c r="Q26" s="173"/>
      <c r="R26" s="65"/>
      <c r="S26" s="173"/>
      <c r="T26" s="173"/>
      <c r="U26" s="166"/>
      <c r="V26" s="166"/>
      <c r="W26" s="65"/>
      <c r="X26" s="66"/>
      <c r="Y26" s="173"/>
      <c r="Z26" s="166"/>
      <c r="AA26" s="174"/>
      <c r="AB26" s="175"/>
      <c r="AC26" s="175"/>
      <c r="AD26" s="175"/>
      <c r="AE26" s="175"/>
      <c r="AF26" s="175"/>
      <c r="AG26" s="175"/>
      <c r="AH26" s="175"/>
      <c r="AI26" s="176"/>
      <c r="AJ26" s="177"/>
      <c r="AK26" s="178"/>
      <c r="AL26" s="178"/>
      <c r="AM26" s="178"/>
      <c r="AN26" s="178"/>
      <c r="AO26" s="179"/>
      <c r="AP26" s="64"/>
      <c r="AQ26" s="65"/>
      <c r="AR26" s="65"/>
      <c r="AS26" s="65"/>
      <c r="AT26" s="173"/>
      <c r="AU26" s="177"/>
      <c r="AV26" s="178"/>
      <c r="AW26" s="178"/>
      <c r="AX26" s="179"/>
      <c r="AZ26" s="166"/>
      <c r="BA26" s="177"/>
      <c r="BB26" s="178"/>
      <c r="BC26" s="178"/>
      <c r="BD26" s="178"/>
      <c r="BE26" s="178"/>
      <c r="BF26" s="178"/>
      <c r="BG26" s="178"/>
      <c r="BH26" s="178"/>
      <c r="BI26" s="179"/>
      <c r="BJ26" s="180"/>
      <c r="BK26" s="178"/>
      <c r="BL26" s="178"/>
      <c r="BM26" s="178"/>
      <c r="BN26" s="178"/>
      <c r="BO26" s="181"/>
      <c r="BP26" s="166"/>
      <c r="BQ26" s="177"/>
      <c r="BR26" s="178"/>
      <c r="BS26" s="179"/>
      <c r="BU26" s="166"/>
      <c r="BV26" s="166"/>
      <c r="BW26" s="166"/>
      <c r="BX26" s="166"/>
      <c r="BY26" s="166"/>
      <c r="BZ26" s="166"/>
      <c r="CA26" s="166"/>
      <c r="CB26" s="166"/>
      <c r="CC26" s="166"/>
      <c r="CD26" s="177"/>
      <c r="CE26" s="181"/>
      <c r="CF26" s="177"/>
      <c r="CG26" s="179"/>
      <c r="CH26" s="257"/>
      <c r="CI26" s="182"/>
      <c r="CJ26" s="177"/>
      <c r="CK26" s="182"/>
      <c r="CL26" s="177"/>
      <c r="CM26" s="182"/>
      <c r="CN26" s="177"/>
      <c r="CO26" s="182"/>
      <c r="CP26" s="177"/>
      <c r="CQ26" s="178"/>
      <c r="CR26" s="182"/>
      <c r="CS26" s="173"/>
      <c r="CT26" s="65"/>
      <c r="CU26" s="271" t="str">
        <f t="shared" si="2"/>
        <v>DVB</v>
      </c>
    </row>
    <row r="27" ht="60.0" customHeight="1">
      <c r="A27" s="65"/>
      <c r="C27" s="167">
        <v>9.0</v>
      </c>
      <c r="D27" s="168" t="s">
        <v>147</v>
      </c>
      <c r="E27" s="169"/>
      <c r="F27" s="170"/>
      <c r="G27" s="170"/>
      <c r="H27" s="170"/>
      <c r="I27" s="207"/>
      <c r="J27" s="170"/>
      <c r="K27" s="171"/>
      <c r="L27" s="171"/>
      <c r="M27" s="171"/>
      <c r="N27" s="276"/>
      <c r="O27" s="256">
        <f t="shared" si="5"/>
        <v>0</v>
      </c>
      <c r="Q27" s="173"/>
      <c r="R27" s="65"/>
      <c r="S27" s="173"/>
      <c r="T27" s="173"/>
      <c r="U27" s="166"/>
      <c r="V27" s="166"/>
      <c r="W27" s="65"/>
      <c r="X27" s="66"/>
      <c r="Y27" s="173"/>
      <c r="Z27" s="166"/>
      <c r="AA27" s="174"/>
      <c r="AB27" s="175"/>
      <c r="AC27" s="175"/>
      <c r="AD27" s="175"/>
      <c r="AE27" s="175"/>
      <c r="AF27" s="175"/>
      <c r="AG27" s="175"/>
      <c r="AH27" s="175"/>
      <c r="AI27" s="176"/>
      <c r="AJ27" s="177"/>
      <c r="AK27" s="178"/>
      <c r="AL27" s="178"/>
      <c r="AM27" s="178"/>
      <c r="AN27" s="178"/>
      <c r="AO27" s="179"/>
      <c r="AP27" s="64"/>
      <c r="AQ27" s="65"/>
      <c r="AR27" s="65"/>
      <c r="AS27" s="65"/>
      <c r="AT27" s="173"/>
      <c r="AU27" s="177"/>
      <c r="AV27" s="178"/>
      <c r="AW27" s="178"/>
      <c r="AX27" s="179"/>
      <c r="AZ27" s="166"/>
      <c r="BA27" s="177"/>
      <c r="BB27" s="178"/>
      <c r="BC27" s="178"/>
      <c r="BD27" s="178"/>
      <c r="BE27" s="178"/>
      <c r="BF27" s="178"/>
      <c r="BG27" s="178"/>
      <c r="BH27" s="178"/>
      <c r="BI27" s="179"/>
      <c r="BJ27" s="180"/>
      <c r="BK27" s="178"/>
      <c r="BL27" s="178"/>
      <c r="BM27" s="178"/>
      <c r="BN27" s="178"/>
      <c r="BO27" s="181"/>
      <c r="BP27" s="166"/>
      <c r="BQ27" s="177"/>
      <c r="BR27" s="178"/>
      <c r="BS27" s="179"/>
      <c r="BU27" s="166"/>
      <c r="BV27" s="166"/>
      <c r="BW27" s="166"/>
      <c r="BX27" s="166"/>
      <c r="BY27" s="166"/>
      <c r="BZ27" s="166"/>
      <c r="CA27" s="166"/>
      <c r="CB27" s="166"/>
      <c r="CC27" s="166"/>
      <c r="CD27" s="177"/>
      <c r="CE27" s="181"/>
      <c r="CF27" s="177"/>
      <c r="CG27" s="179"/>
      <c r="CH27" s="257"/>
      <c r="CI27" s="182"/>
      <c r="CJ27" s="177"/>
      <c r="CK27" s="182"/>
      <c r="CL27" s="177"/>
      <c r="CM27" s="182"/>
      <c r="CN27" s="177"/>
      <c r="CO27" s="182"/>
      <c r="CP27" s="177"/>
      <c r="CQ27" s="178"/>
      <c r="CR27" s="182"/>
      <c r="CS27" s="173"/>
      <c r="CT27" s="65"/>
      <c r="CU27" s="271" t="str">
        <f t="shared" si="2"/>
        <v>DVB</v>
      </c>
    </row>
    <row r="28" ht="60.0" customHeight="1">
      <c r="A28" s="65"/>
      <c r="C28" s="167">
        <v>10.0</v>
      </c>
      <c r="D28" s="168" t="s">
        <v>147</v>
      </c>
      <c r="E28" s="169"/>
      <c r="F28" s="170"/>
      <c r="G28" s="170"/>
      <c r="H28" s="170"/>
      <c r="I28" s="207"/>
      <c r="J28" s="170"/>
      <c r="K28" s="171"/>
      <c r="L28" s="171"/>
      <c r="M28" s="171"/>
      <c r="N28" s="276"/>
      <c r="O28" s="256">
        <f t="shared" si="5"/>
        <v>0</v>
      </c>
      <c r="Q28" s="173"/>
      <c r="R28" s="65"/>
      <c r="S28" s="173"/>
      <c r="T28" s="173"/>
      <c r="U28" s="166"/>
      <c r="V28" s="166"/>
      <c r="W28" s="65"/>
      <c r="X28" s="66"/>
      <c r="Y28" s="173"/>
      <c r="Z28" s="166"/>
      <c r="AA28" s="174"/>
      <c r="AB28" s="175"/>
      <c r="AC28" s="175"/>
      <c r="AD28" s="175"/>
      <c r="AE28" s="175"/>
      <c r="AF28" s="175"/>
      <c r="AG28" s="175"/>
      <c r="AH28" s="175"/>
      <c r="AI28" s="176"/>
      <c r="AJ28" s="177"/>
      <c r="AK28" s="178"/>
      <c r="AL28" s="178"/>
      <c r="AM28" s="178"/>
      <c r="AN28" s="178"/>
      <c r="AO28" s="179"/>
      <c r="AP28" s="64"/>
      <c r="AQ28" s="65"/>
      <c r="AR28" s="65"/>
      <c r="AS28" s="65"/>
      <c r="AT28" s="173"/>
      <c r="AU28" s="177"/>
      <c r="AV28" s="178"/>
      <c r="AW28" s="178"/>
      <c r="AX28" s="179"/>
      <c r="AZ28" s="166"/>
      <c r="BA28" s="177"/>
      <c r="BB28" s="178"/>
      <c r="BC28" s="178"/>
      <c r="BD28" s="178"/>
      <c r="BE28" s="178"/>
      <c r="BF28" s="178"/>
      <c r="BG28" s="178"/>
      <c r="BH28" s="178"/>
      <c r="BI28" s="179"/>
      <c r="BJ28" s="180"/>
      <c r="BK28" s="178"/>
      <c r="BL28" s="178"/>
      <c r="BM28" s="178"/>
      <c r="BN28" s="178"/>
      <c r="BO28" s="181"/>
      <c r="BP28" s="166"/>
      <c r="BQ28" s="177"/>
      <c r="BR28" s="178"/>
      <c r="BS28" s="179"/>
      <c r="BU28" s="166"/>
      <c r="BV28" s="166"/>
      <c r="BW28" s="166"/>
      <c r="BX28" s="166"/>
      <c r="BY28" s="166"/>
      <c r="BZ28" s="166"/>
      <c r="CA28" s="166"/>
      <c r="CB28" s="166"/>
      <c r="CC28" s="166"/>
      <c r="CD28" s="177"/>
      <c r="CE28" s="181"/>
      <c r="CF28" s="177"/>
      <c r="CG28" s="179"/>
      <c r="CH28" s="257"/>
      <c r="CI28" s="182"/>
      <c r="CJ28" s="177"/>
      <c r="CK28" s="182"/>
      <c r="CL28" s="177"/>
      <c r="CM28" s="182"/>
      <c r="CN28" s="177"/>
      <c r="CO28" s="182"/>
      <c r="CP28" s="177"/>
      <c r="CQ28" s="178"/>
      <c r="CR28" s="182"/>
      <c r="CS28" s="173"/>
      <c r="CT28" s="65"/>
      <c r="CU28" s="271" t="str">
        <f t="shared" si="2"/>
        <v>DVB</v>
      </c>
    </row>
    <row r="29" ht="60.0" customHeight="1">
      <c r="A29" s="89"/>
      <c r="C29" s="183">
        <v>11.0</v>
      </c>
      <c r="D29" s="210" t="s">
        <v>147</v>
      </c>
      <c r="E29" s="185"/>
      <c r="F29" s="186"/>
      <c r="G29" s="186"/>
      <c r="H29" s="186"/>
      <c r="I29" s="212"/>
      <c r="J29" s="186"/>
      <c r="K29" s="187"/>
      <c r="L29" s="187"/>
      <c r="M29" s="187"/>
      <c r="N29" s="284"/>
      <c r="O29" s="258">
        <f t="shared" ref="O29:O35" si="6">IF(AND(M29&lt;&gt;0,M29&lt;&gt;"m",M29&lt;&gt;"",RIGHT(K29,3)="Lec"),1,IF(AND(M29&lt;&gt;0,M29&lt;&gt;"m",M29&lt;&gt;"",OR(RIGHT(K29,3)="Lab",RIGHT(K29,3)="Tut")),0.5,IF(AND(M29&lt;&gt;0,M29&lt;&gt;"m",M29&lt;&gt;"",RIGHT(K29,2)="TL"),0.75,0)))</f>
        <v>0</v>
      </c>
      <c r="P29" s="6"/>
      <c r="Q29" s="69"/>
      <c r="R29" s="89"/>
      <c r="S29" s="69"/>
      <c r="T29" s="69"/>
      <c r="U29" s="63"/>
      <c r="V29" s="63"/>
      <c r="W29" s="89"/>
      <c r="X29" s="68"/>
      <c r="Y29" s="69"/>
      <c r="Z29" s="63"/>
      <c r="AA29" s="189"/>
      <c r="AB29" s="190"/>
      <c r="AC29" s="190"/>
      <c r="AD29" s="190"/>
      <c r="AE29" s="190"/>
      <c r="AF29" s="190"/>
      <c r="AG29" s="190"/>
      <c r="AH29" s="190"/>
      <c r="AI29" s="191"/>
      <c r="AJ29" s="192"/>
      <c r="AK29" s="193"/>
      <c r="AL29" s="193"/>
      <c r="AM29" s="193"/>
      <c r="AN29" s="193"/>
      <c r="AO29" s="194"/>
      <c r="AP29" s="103"/>
      <c r="AQ29" s="89"/>
      <c r="AR29" s="89"/>
      <c r="AS29" s="89"/>
      <c r="AT29" s="69"/>
      <c r="AU29" s="192"/>
      <c r="AV29" s="193"/>
      <c r="AW29" s="193"/>
      <c r="AX29" s="194"/>
      <c r="AY29" s="6"/>
      <c r="AZ29" s="63"/>
      <c r="BA29" s="192"/>
      <c r="BB29" s="193"/>
      <c r="BC29" s="193"/>
      <c r="BD29" s="193"/>
      <c r="BE29" s="193"/>
      <c r="BF29" s="193"/>
      <c r="BG29" s="193"/>
      <c r="BH29" s="193"/>
      <c r="BI29" s="194"/>
      <c r="BJ29" s="195"/>
      <c r="BK29" s="193"/>
      <c r="BL29" s="193"/>
      <c r="BM29" s="193"/>
      <c r="BN29" s="193"/>
      <c r="BO29" s="196"/>
      <c r="BP29" s="63"/>
      <c r="BQ29" s="192"/>
      <c r="BR29" s="193"/>
      <c r="BS29" s="194"/>
      <c r="BT29" s="6"/>
      <c r="BU29" s="63"/>
      <c r="BV29" s="63"/>
      <c r="BW29" s="63"/>
      <c r="BX29" s="63"/>
      <c r="BY29" s="63"/>
      <c r="BZ29" s="63"/>
      <c r="CA29" s="63"/>
      <c r="CB29" s="63"/>
      <c r="CC29" s="63"/>
      <c r="CD29" s="192"/>
      <c r="CE29" s="196"/>
      <c r="CF29" s="192"/>
      <c r="CG29" s="194"/>
      <c r="CH29" s="259"/>
      <c r="CI29" s="197"/>
      <c r="CJ29" s="192"/>
      <c r="CK29" s="197"/>
      <c r="CL29" s="192"/>
      <c r="CM29" s="197"/>
      <c r="CN29" s="192"/>
      <c r="CO29" s="197"/>
      <c r="CP29" s="192"/>
      <c r="CQ29" s="193"/>
      <c r="CR29" s="197"/>
      <c r="CS29" s="69"/>
      <c r="CT29" s="89"/>
      <c r="CU29" s="272" t="str">
        <f t="shared" si="2"/>
        <v>DVB</v>
      </c>
    </row>
    <row r="30" ht="55.5" customHeight="1">
      <c r="A30" s="125">
        <v>3.0</v>
      </c>
      <c r="B30" s="199" t="s">
        <v>153</v>
      </c>
      <c r="C30" s="127">
        <v>1.0</v>
      </c>
      <c r="D30" s="168" t="s">
        <v>154</v>
      </c>
      <c r="E30" s="129"/>
      <c r="F30" s="130"/>
      <c r="G30" s="130"/>
      <c r="H30" s="130"/>
      <c r="I30" s="201"/>
      <c r="J30" s="130"/>
      <c r="K30" s="131"/>
      <c r="L30" s="131"/>
      <c r="M30" s="131"/>
      <c r="N30" s="275"/>
      <c r="O30" s="250">
        <f t="shared" si="6"/>
        <v>0</v>
      </c>
      <c r="P30" s="251">
        <f>COUNTIF(K30:K40,"TL")*0.75+COUNTIF(K30:K40,"Lec")*1+COUNTIF(K30:K40,"Lab")*0.5</f>
        <v>0</v>
      </c>
      <c r="Q30" s="134">
        <f>SUM((IF(LEFT(K30,1)="E",O30,0)),(IF(LEFT(K31,1)="E",O31,0)),(IF(LEFT(K32,1)="E",O32,0)),(IF(LEFT(K33,1)="E",O33,0)),(IF(LEFT(K34,1)="E",O34,0)),(IF(LEFT(K35,1)="E",O35,0)),(IF(LEFT(K36,1)="E",O36,0)),(IF(LEFT(K37,1)="E",O37,0)),(IF(LEFT(K38,1)="E",O38,0)),(IF(LEFT(K39,1)="E",O39,0)),(IF(LEFT(K40,1)="E",O40,0)))</f>
        <v>0</v>
      </c>
      <c r="R30" s="135">
        <f>SUM(IF(M36&lt;20,IF(K36="Plec",-1,IF(K36="PTL",-0.75,IF(K36="Plab",-0.5,0))),0),IF(M37&lt;20,IF(K37="Plec",-1,IF(K37="PTL",-0.75,IF(K37="Plab",-0.5,0))),0),IF(M38&lt;20,IF(K38="Plec",-1,IF(K38="PTL",-0.75,IF(K38="Plab",-0.5,0))),0),IF(M39&lt;20,IF(K39="Plec",-1,IF(K39="PTL",-0.75,IF(K39="Plab",-0.5,0))),0))</f>
        <v>0</v>
      </c>
      <c r="S30" s="134">
        <f>SUM(P30:R40)</f>
        <v>0</v>
      </c>
      <c r="T30" s="136">
        <f>SUM(IF(M30="M",IF(OR(K30="lec",K30="plec",K30="slec"),1,IF(OR(K30="lab",K30="plab",K30="slab",K30="tut",K30="ptut",K30="stut"),0.5,IF(OR(K30="TL",K30="pTL",K30="STL"),0.75,0))),0),IF(M31="M",IF(OR(K31="lec",K31="plec",K31="slec"),1,IF(OR(K31="lab",K31="plab",K31="slab",K31="tut",K31="ptut",K31="stut"),0.5,IF(OR(K31="TL",K31="pTL",K31="STL"),0.75,0))),0),IF(M32="M",IF(OR(K32="lec",K32="plec",K32="slec"),1,IF(OR(K32="lab",K32="plab",K32="slab",K32="tut",K32="ptut",K32="stut"),0.5,IF(OR(K32="TL",K32="pTL",K32="STL"),0.75,0))),0),IF(M33="M",IF(OR(K33="lec",K33="plec",K33="slec"),1,IF(OR(K33="lab",K33="plab",K33="slab",K33="tut",K33="ptut",K33="stut"),0.5,IF(OR(K33="TL",K33="pTL",K33="STL"),0.75,0))),0),IF(M34="M",IF(OR(K34="lec",K34="plec",K34="slec"),1,IF(OR(K34="lab",K34="plab",K34="slab",K34="tut",K34="ptut",K34="stut"),0.5,IF(OR(K34="TL",K34="pTL",K34="STL"),0.75,0))),0),IF(M35="M",IF(OR(K35="lec",K35="plec",K35="slec"),1,IF(OR(K35="lab",K35="plab",K35="slab",K35="tut",K35="ptut",K35="stut"),0.5,IF(OR(K35="TL",K35="pTL",K35="STL"),0.75,0))),0),IF(M36="M",IF(OR(K36="lec",K36="plec",K36="slec"),1,IF(OR(K36="lab",K36="plab",K36="slab",K36="tut",K36="ptut",K36="stut"),0.5,IF(OR(K36="TL",K36="pTL",K36="STL"),0.75,0))),0),IF(M37="M",IF(OR(K37="lec",K37="plec",K37="slec"),1,IF(OR(K37="lab",K37="plab",K37="slab",K37="tut",K37="ptut",K37="stut"),0.5,IF(OR(K37="TL",K37="pTL",K37="STL"),0.75,0))),0),IF(M38="M",IF(OR(K38="lec",K38="plec",K38="slec"),1,IF(OR(K38="lab",K38="plab",K38="slab",K38="tut",K38="ptut",K38="stut"),0.5,IF(OR(K38="TL",K38="pTL",K38="STL"),0.75,0))),0),IF(M39="M",IF(OR(K39="lec",K39="plec",K39="slec"),1,IF(OR(K39="lab",K39="plab",K39="slab",K39="tut",K39="ptut",K39="stut"),0.5,IF(OR(K39="TL",K39="pTL",K39="STL"),0.75,0))),0),IF(M40="M",IF(OR(K40="lec",K40="plec",K40="slec"),1,IF(OR(K40="lab",K40="plab",K40="slab",K40="tut",K40="ptut",K40="stut"),0.5,IF(OR(K40="TL",K40="pTL",K40="STL"),0.75,0))),0))</f>
        <v>0</v>
      </c>
      <c r="U30" s="137"/>
      <c r="V30" s="133"/>
      <c r="W30" s="138"/>
      <c r="X30" s="139">
        <f>S30-(T30+U30+V30+W30)</f>
        <v>0</v>
      </c>
      <c r="Y30" s="134" t="str">
        <f>CONCATENATE(SUM(O30:O40),"(",SUM(O30:O40)-X30,")")</f>
        <v>0(0)</v>
      </c>
      <c r="Z30" s="140"/>
      <c r="AA30" s="141"/>
      <c r="AB30" s="142"/>
      <c r="AC30" s="142"/>
      <c r="AD30" s="142"/>
      <c r="AE30" s="142"/>
      <c r="AF30" s="142"/>
      <c r="AG30" s="142"/>
      <c r="AH30" s="142"/>
      <c r="AI30" s="143"/>
      <c r="AJ30" s="144"/>
      <c r="AK30" s="145"/>
      <c r="AL30" s="145"/>
      <c r="AM30" s="145"/>
      <c r="AN30" s="145"/>
      <c r="AO30" s="146"/>
      <c r="AP30" s="147">
        <f>SUM(SUM(O30:O40),SUM(AI30:AI40)/2,AM30)</f>
        <v>0</v>
      </c>
      <c r="AQ30" s="148"/>
      <c r="AR30" s="148">
        <f>AP30*AQ30</f>
        <v>0</v>
      </c>
      <c r="AS30" s="148">
        <f>CT30</f>
        <v>4</v>
      </c>
      <c r="AT30" s="149">
        <f>AR30*0.75+AS30*0.25</f>
        <v>1</v>
      </c>
      <c r="AU30" s="150"/>
      <c r="AV30" s="151"/>
      <c r="AW30" s="151"/>
      <c r="AX30" s="152"/>
      <c r="AY30" s="153"/>
      <c r="AZ30" s="140"/>
      <c r="BA30" s="150">
        <v>3.0</v>
      </c>
      <c r="BB30" s="151" t="s">
        <v>309</v>
      </c>
      <c r="BC30" s="151" t="s">
        <v>310</v>
      </c>
      <c r="BD30" s="151" t="s">
        <v>311</v>
      </c>
      <c r="BE30" s="151" t="s">
        <v>150</v>
      </c>
      <c r="BF30" s="151"/>
      <c r="BG30" s="151">
        <v>4.0</v>
      </c>
      <c r="BH30" s="151"/>
      <c r="BI30" s="152"/>
      <c r="BJ30" s="154"/>
      <c r="BK30" s="151"/>
      <c r="BL30" s="151"/>
      <c r="BM30" s="151"/>
      <c r="BN30" s="151"/>
      <c r="BO30" s="155"/>
      <c r="BP30" s="140"/>
      <c r="BQ30" s="156"/>
      <c r="BR30" s="157"/>
      <c r="BS30" s="158"/>
      <c r="BT30" s="153"/>
      <c r="BU30" s="140"/>
      <c r="BV30" s="140"/>
      <c r="BW30" s="140"/>
      <c r="BX30" s="140"/>
      <c r="BY30" s="140"/>
      <c r="BZ30" s="140"/>
      <c r="CA30" s="140"/>
      <c r="CB30" s="140"/>
      <c r="CC30" s="140"/>
      <c r="CD30" s="150"/>
      <c r="CE30" s="155"/>
      <c r="CF30" s="150" t="s">
        <v>312</v>
      </c>
      <c r="CG30" s="152"/>
      <c r="CH30" s="252"/>
      <c r="CI30" s="160"/>
      <c r="CJ30" s="159"/>
      <c r="CK30" s="160"/>
      <c r="CL30" s="159"/>
      <c r="CM30" s="160"/>
      <c r="CN30" s="159"/>
      <c r="CO30" s="160"/>
      <c r="CP30" s="159"/>
      <c r="CQ30" s="162"/>
      <c r="CR30" s="160"/>
      <c r="CS30" s="253">
        <f>SUM(IF(AU30&lt;0,ABS(AU30),0),IF(AZ30&lt;0,ABS(AZ30),0),ABS(CI30),ABS(CK30),ABS(CM30),ABS(CO30),ABS(CQ30),ABS(CR30))</f>
        <v>0</v>
      </c>
      <c r="CT30" s="254">
        <f>SUM(AU30,AV30,AW30,AX30/400,AY30,AZ30,BG30,BH30*0.5,BI30*0.25,BJ30,BK30,BL30,BM30,BN30,BO30,BP30,BR30/20,BS30/100,BT30/60,BU30,BV30,BW30,BX30/4,SUM(BY30:CC40)/3,CE30,CG30/3,CI30,CK30,CM30,CO30,CQ30,CR30)</f>
        <v>4</v>
      </c>
      <c r="CU30" s="255" t="str">
        <f t="shared" si="2"/>
        <v>MPH</v>
      </c>
    </row>
    <row r="31" ht="60.0" customHeight="1">
      <c r="A31" s="65"/>
      <c r="C31" s="167">
        <v>2.0</v>
      </c>
      <c r="D31" s="168" t="s">
        <v>154</v>
      </c>
      <c r="E31" s="169"/>
      <c r="F31" s="170"/>
      <c r="G31" s="170"/>
      <c r="H31" s="170"/>
      <c r="I31" s="207"/>
      <c r="J31" s="170"/>
      <c r="K31" s="171"/>
      <c r="L31" s="171"/>
      <c r="M31" s="171"/>
      <c r="N31" s="276"/>
      <c r="O31" s="256">
        <f t="shared" si="6"/>
        <v>0</v>
      </c>
      <c r="Q31" s="173"/>
      <c r="R31" s="65"/>
      <c r="S31" s="173"/>
      <c r="T31" s="173"/>
      <c r="U31" s="166"/>
      <c r="V31" s="166"/>
      <c r="W31" s="65"/>
      <c r="X31" s="66"/>
      <c r="Y31" s="173"/>
      <c r="Z31" s="166"/>
      <c r="AA31" s="174"/>
      <c r="AB31" s="175"/>
      <c r="AC31" s="175"/>
      <c r="AD31" s="175"/>
      <c r="AE31" s="175"/>
      <c r="AF31" s="175"/>
      <c r="AG31" s="175"/>
      <c r="AH31" s="175"/>
      <c r="AI31" s="176"/>
      <c r="AJ31" s="177"/>
      <c r="AK31" s="178"/>
      <c r="AL31" s="178"/>
      <c r="AM31" s="178"/>
      <c r="AN31" s="178"/>
      <c r="AO31" s="179"/>
      <c r="AP31" s="64"/>
      <c r="AQ31" s="65"/>
      <c r="AR31" s="65"/>
      <c r="AS31" s="65"/>
      <c r="AT31" s="173"/>
      <c r="AU31" s="177"/>
      <c r="AV31" s="178"/>
      <c r="AW31" s="178"/>
      <c r="AX31" s="179"/>
      <c r="AZ31" s="166"/>
      <c r="BA31" s="177"/>
      <c r="BB31" s="178"/>
      <c r="BC31" s="178"/>
      <c r="BD31" s="178"/>
      <c r="BE31" s="178"/>
      <c r="BF31" s="178"/>
      <c r="BG31" s="178"/>
      <c r="BH31" s="178"/>
      <c r="BI31" s="179"/>
      <c r="BJ31" s="180"/>
      <c r="BK31" s="178"/>
      <c r="BL31" s="178"/>
      <c r="BM31" s="178"/>
      <c r="BN31" s="178"/>
      <c r="BO31" s="181"/>
      <c r="BP31" s="166"/>
      <c r="BQ31" s="177"/>
      <c r="BR31" s="178"/>
      <c r="BS31" s="179"/>
      <c r="BU31" s="166"/>
      <c r="BV31" s="166"/>
      <c r="BW31" s="166"/>
      <c r="BX31" s="166"/>
      <c r="BY31" s="166"/>
      <c r="BZ31" s="166"/>
      <c r="CA31" s="166"/>
      <c r="CB31" s="166"/>
      <c r="CC31" s="166"/>
      <c r="CD31" s="177"/>
      <c r="CE31" s="181"/>
      <c r="CF31" s="177"/>
      <c r="CG31" s="179"/>
      <c r="CH31" s="257"/>
      <c r="CI31" s="182"/>
      <c r="CJ31" s="177"/>
      <c r="CK31" s="182"/>
      <c r="CL31" s="177"/>
      <c r="CM31" s="182"/>
      <c r="CN31" s="177"/>
      <c r="CO31" s="182"/>
      <c r="CP31" s="177"/>
      <c r="CQ31" s="178"/>
      <c r="CR31" s="182"/>
      <c r="CS31" s="173"/>
      <c r="CT31" s="65"/>
      <c r="CU31" s="271" t="str">
        <f t="shared" si="2"/>
        <v>MPH</v>
      </c>
    </row>
    <row r="32" ht="60.0" customHeight="1">
      <c r="A32" s="65"/>
      <c r="C32" s="167">
        <v>3.0</v>
      </c>
      <c r="D32" s="168" t="s">
        <v>154</v>
      </c>
      <c r="E32" s="169"/>
      <c r="F32" s="170"/>
      <c r="G32" s="170"/>
      <c r="H32" s="170"/>
      <c r="I32" s="207"/>
      <c r="J32" s="170"/>
      <c r="K32" s="171"/>
      <c r="L32" s="171"/>
      <c r="M32" s="171"/>
      <c r="N32" s="276"/>
      <c r="O32" s="256">
        <f t="shared" si="6"/>
        <v>0</v>
      </c>
      <c r="Q32" s="173"/>
      <c r="R32" s="65"/>
      <c r="S32" s="173"/>
      <c r="T32" s="173"/>
      <c r="U32" s="166"/>
      <c r="V32" s="166"/>
      <c r="W32" s="65"/>
      <c r="X32" s="66"/>
      <c r="Y32" s="173"/>
      <c r="Z32" s="166"/>
      <c r="AA32" s="174"/>
      <c r="AB32" s="175"/>
      <c r="AC32" s="175"/>
      <c r="AD32" s="175"/>
      <c r="AE32" s="175"/>
      <c r="AF32" s="175"/>
      <c r="AG32" s="175"/>
      <c r="AH32" s="175"/>
      <c r="AI32" s="176"/>
      <c r="AJ32" s="177"/>
      <c r="AK32" s="178"/>
      <c r="AL32" s="178"/>
      <c r="AM32" s="178"/>
      <c r="AN32" s="178"/>
      <c r="AO32" s="179"/>
      <c r="AP32" s="64"/>
      <c r="AQ32" s="65"/>
      <c r="AR32" s="65"/>
      <c r="AS32" s="65"/>
      <c r="AT32" s="173"/>
      <c r="AU32" s="177"/>
      <c r="AV32" s="178"/>
      <c r="AW32" s="178"/>
      <c r="AX32" s="179"/>
      <c r="AZ32" s="166"/>
      <c r="BA32" s="177"/>
      <c r="BB32" s="178"/>
      <c r="BC32" s="178"/>
      <c r="BD32" s="178"/>
      <c r="BE32" s="178"/>
      <c r="BF32" s="178"/>
      <c r="BG32" s="178"/>
      <c r="BH32" s="178"/>
      <c r="BI32" s="179"/>
      <c r="BJ32" s="180"/>
      <c r="BK32" s="178"/>
      <c r="BL32" s="178"/>
      <c r="BM32" s="178"/>
      <c r="BN32" s="178"/>
      <c r="BO32" s="181"/>
      <c r="BP32" s="166"/>
      <c r="BQ32" s="177"/>
      <c r="BR32" s="178"/>
      <c r="BS32" s="179"/>
      <c r="BU32" s="166"/>
      <c r="BV32" s="166"/>
      <c r="BW32" s="166"/>
      <c r="BX32" s="166"/>
      <c r="BY32" s="166"/>
      <c r="BZ32" s="166"/>
      <c r="CA32" s="166"/>
      <c r="CB32" s="166"/>
      <c r="CC32" s="166"/>
      <c r="CD32" s="177"/>
      <c r="CE32" s="181"/>
      <c r="CF32" s="177"/>
      <c r="CG32" s="179"/>
      <c r="CH32" s="257"/>
      <c r="CI32" s="182"/>
      <c r="CJ32" s="177"/>
      <c r="CK32" s="182"/>
      <c r="CL32" s="177"/>
      <c r="CM32" s="182"/>
      <c r="CN32" s="177"/>
      <c r="CO32" s="182"/>
      <c r="CP32" s="177"/>
      <c r="CQ32" s="178"/>
      <c r="CR32" s="182"/>
      <c r="CS32" s="173"/>
      <c r="CT32" s="65"/>
      <c r="CU32" s="271" t="str">
        <f t="shared" si="2"/>
        <v>MPH</v>
      </c>
    </row>
    <row r="33" ht="60.0" customHeight="1">
      <c r="A33" s="65"/>
      <c r="C33" s="167">
        <v>4.0</v>
      </c>
      <c r="D33" s="168" t="s">
        <v>154</v>
      </c>
      <c r="E33" s="169"/>
      <c r="F33" s="170"/>
      <c r="G33" s="170"/>
      <c r="H33" s="170"/>
      <c r="I33" s="207"/>
      <c r="J33" s="170"/>
      <c r="K33" s="171"/>
      <c r="L33" s="171"/>
      <c r="M33" s="171"/>
      <c r="N33" s="276"/>
      <c r="O33" s="256">
        <f t="shared" si="6"/>
        <v>0</v>
      </c>
      <c r="Q33" s="173"/>
      <c r="R33" s="65"/>
      <c r="S33" s="173"/>
      <c r="T33" s="173"/>
      <c r="U33" s="166"/>
      <c r="V33" s="166"/>
      <c r="W33" s="65"/>
      <c r="X33" s="66"/>
      <c r="Y33" s="173"/>
      <c r="Z33" s="166"/>
      <c r="AA33" s="174"/>
      <c r="AB33" s="175"/>
      <c r="AC33" s="175"/>
      <c r="AD33" s="175"/>
      <c r="AE33" s="175"/>
      <c r="AF33" s="175"/>
      <c r="AG33" s="175"/>
      <c r="AH33" s="175"/>
      <c r="AI33" s="176"/>
      <c r="AJ33" s="177"/>
      <c r="AK33" s="178"/>
      <c r="AL33" s="178"/>
      <c r="AM33" s="178"/>
      <c r="AN33" s="178"/>
      <c r="AO33" s="179"/>
      <c r="AP33" s="64"/>
      <c r="AQ33" s="65"/>
      <c r="AR33" s="65"/>
      <c r="AS33" s="65"/>
      <c r="AT33" s="173"/>
      <c r="AU33" s="177"/>
      <c r="AV33" s="178"/>
      <c r="AW33" s="178"/>
      <c r="AX33" s="179"/>
      <c r="AZ33" s="166"/>
      <c r="BA33" s="177"/>
      <c r="BB33" s="178"/>
      <c r="BC33" s="178"/>
      <c r="BD33" s="178"/>
      <c r="BE33" s="178"/>
      <c r="BF33" s="178"/>
      <c r="BG33" s="178"/>
      <c r="BH33" s="178"/>
      <c r="BI33" s="179"/>
      <c r="BJ33" s="180"/>
      <c r="BK33" s="178"/>
      <c r="BL33" s="178"/>
      <c r="BM33" s="178"/>
      <c r="BN33" s="178"/>
      <c r="BO33" s="181"/>
      <c r="BP33" s="166"/>
      <c r="BQ33" s="177"/>
      <c r="BR33" s="178"/>
      <c r="BS33" s="179"/>
      <c r="BU33" s="166"/>
      <c r="BV33" s="166"/>
      <c r="BW33" s="166"/>
      <c r="BX33" s="166"/>
      <c r="BY33" s="166"/>
      <c r="BZ33" s="166"/>
      <c r="CA33" s="166"/>
      <c r="CB33" s="166"/>
      <c r="CC33" s="166"/>
      <c r="CD33" s="177"/>
      <c r="CE33" s="181"/>
      <c r="CF33" s="177"/>
      <c r="CG33" s="179"/>
      <c r="CH33" s="257"/>
      <c r="CI33" s="182"/>
      <c r="CJ33" s="177"/>
      <c r="CK33" s="182"/>
      <c r="CL33" s="177"/>
      <c r="CM33" s="182"/>
      <c r="CN33" s="177"/>
      <c r="CO33" s="182"/>
      <c r="CP33" s="177"/>
      <c r="CQ33" s="178"/>
      <c r="CR33" s="182"/>
      <c r="CS33" s="173"/>
      <c r="CT33" s="65"/>
      <c r="CU33" s="271" t="str">
        <f t="shared" si="2"/>
        <v>MPH</v>
      </c>
    </row>
    <row r="34" ht="60.0" customHeight="1">
      <c r="A34" s="65"/>
      <c r="C34" s="167">
        <v>5.0</v>
      </c>
      <c r="D34" s="168" t="s">
        <v>154</v>
      </c>
      <c r="E34" s="169"/>
      <c r="F34" s="170"/>
      <c r="G34" s="170"/>
      <c r="H34" s="170"/>
      <c r="I34" s="207"/>
      <c r="J34" s="170"/>
      <c r="K34" s="171"/>
      <c r="L34" s="171"/>
      <c r="M34" s="171"/>
      <c r="N34" s="276"/>
      <c r="O34" s="256">
        <f t="shared" si="6"/>
        <v>0</v>
      </c>
      <c r="Q34" s="173"/>
      <c r="R34" s="65"/>
      <c r="S34" s="173"/>
      <c r="T34" s="173"/>
      <c r="U34" s="166"/>
      <c r="V34" s="166"/>
      <c r="W34" s="65"/>
      <c r="X34" s="66"/>
      <c r="Y34" s="173"/>
      <c r="Z34" s="166"/>
      <c r="AA34" s="174"/>
      <c r="AB34" s="175"/>
      <c r="AC34" s="175"/>
      <c r="AD34" s="175"/>
      <c r="AE34" s="175"/>
      <c r="AF34" s="175"/>
      <c r="AG34" s="175"/>
      <c r="AH34" s="175"/>
      <c r="AI34" s="176"/>
      <c r="AJ34" s="177"/>
      <c r="AK34" s="178"/>
      <c r="AL34" s="178"/>
      <c r="AM34" s="178"/>
      <c r="AN34" s="178"/>
      <c r="AO34" s="179"/>
      <c r="AP34" s="64"/>
      <c r="AQ34" s="65"/>
      <c r="AR34" s="65"/>
      <c r="AS34" s="65"/>
      <c r="AT34" s="173"/>
      <c r="AU34" s="177"/>
      <c r="AV34" s="178"/>
      <c r="AW34" s="178"/>
      <c r="AX34" s="179"/>
      <c r="AZ34" s="166"/>
      <c r="BA34" s="177"/>
      <c r="BB34" s="178"/>
      <c r="BC34" s="178"/>
      <c r="BD34" s="178"/>
      <c r="BE34" s="178"/>
      <c r="BF34" s="178"/>
      <c r="BG34" s="178"/>
      <c r="BH34" s="178"/>
      <c r="BI34" s="179"/>
      <c r="BJ34" s="180"/>
      <c r="BK34" s="178"/>
      <c r="BL34" s="178"/>
      <c r="BM34" s="178"/>
      <c r="BN34" s="178"/>
      <c r="BO34" s="181"/>
      <c r="BP34" s="166"/>
      <c r="BQ34" s="177"/>
      <c r="BR34" s="178"/>
      <c r="BS34" s="179"/>
      <c r="BU34" s="166"/>
      <c r="BV34" s="166"/>
      <c r="BW34" s="166"/>
      <c r="BX34" s="166"/>
      <c r="BY34" s="166"/>
      <c r="BZ34" s="166"/>
      <c r="CA34" s="166"/>
      <c r="CB34" s="166"/>
      <c r="CC34" s="166"/>
      <c r="CD34" s="177"/>
      <c r="CE34" s="181"/>
      <c r="CF34" s="177"/>
      <c r="CG34" s="179"/>
      <c r="CH34" s="257"/>
      <c r="CI34" s="182"/>
      <c r="CJ34" s="177"/>
      <c r="CK34" s="182"/>
      <c r="CL34" s="177"/>
      <c r="CM34" s="182"/>
      <c r="CN34" s="177"/>
      <c r="CO34" s="182"/>
      <c r="CP34" s="177"/>
      <c r="CQ34" s="178"/>
      <c r="CR34" s="182"/>
      <c r="CS34" s="173"/>
      <c r="CT34" s="65"/>
      <c r="CU34" s="271" t="str">
        <f t="shared" si="2"/>
        <v>MPH</v>
      </c>
    </row>
    <row r="35" ht="60.0" customHeight="1">
      <c r="A35" s="65"/>
      <c r="C35" s="167">
        <v>6.0</v>
      </c>
      <c r="D35" s="168" t="s">
        <v>154</v>
      </c>
      <c r="E35" s="169"/>
      <c r="F35" s="170"/>
      <c r="G35" s="170"/>
      <c r="H35" s="170"/>
      <c r="I35" s="207"/>
      <c r="J35" s="170"/>
      <c r="K35" s="171"/>
      <c r="L35" s="171"/>
      <c r="M35" s="171"/>
      <c r="N35" s="276"/>
      <c r="O35" s="256">
        <f t="shared" si="6"/>
        <v>0</v>
      </c>
      <c r="Q35" s="173"/>
      <c r="R35" s="65"/>
      <c r="S35" s="173"/>
      <c r="T35" s="173"/>
      <c r="U35" s="166"/>
      <c r="V35" s="166"/>
      <c r="W35" s="65"/>
      <c r="X35" s="66"/>
      <c r="Y35" s="173"/>
      <c r="Z35" s="166"/>
      <c r="AA35" s="174"/>
      <c r="AB35" s="175"/>
      <c r="AC35" s="175"/>
      <c r="AD35" s="175"/>
      <c r="AE35" s="175"/>
      <c r="AF35" s="175"/>
      <c r="AG35" s="175"/>
      <c r="AH35" s="175"/>
      <c r="AI35" s="176"/>
      <c r="AJ35" s="177"/>
      <c r="AK35" s="178"/>
      <c r="AL35" s="178"/>
      <c r="AM35" s="178"/>
      <c r="AN35" s="178"/>
      <c r="AO35" s="179"/>
      <c r="AP35" s="64"/>
      <c r="AQ35" s="65"/>
      <c r="AR35" s="65"/>
      <c r="AS35" s="65"/>
      <c r="AT35" s="173"/>
      <c r="AU35" s="177"/>
      <c r="AV35" s="178"/>
      <c r="AW35" s="178"/>
      <c r="AX35" s="179"/>
      <c r="AZ35" s="166"/>
      <c r="BA35" s="177"/>
      <c r="BB35" s="178"/>
      <c r="BC35" s="178"/>
      <c r="BD35" s="178"/>
      <c r="BE35" s="178"/>
      <c r="BF35" s="178"/>
      <c r="BG35" s="178"/>
      <c r="BH35" s="178"/>
      <c r="BI35" s="179"/>
      <c r="BJ35" s="180"/>
      <c r="BK35" s="178"/>
      <c r="BL35" s="178"/>
      <c r="BM35" s="178"/>
      <c r="BN35" s="178"/>
      <c r="BO35" s="181"/>
      <c r="BP35" s="166"/>
      <c r="BQ35" s="177"/>
      <c r="BR35" s="178"/>
      <c r="BS35" s="179"/>
      <c r="BU35" s="166"/>
      <c r="BV35" s="166"/>
      <c r="BW35" s="166"/>
      <c r="BX35" s="166"/>
      <c r="BY35" s="166"/>
      <c r="BZ35" s="166"/>
      <c r="CA35" s="166"/>
      <c r="CB35" s="166"/>
      <c r="CC35" s="166"/>
      <c r="CD35" s="177"/>
      <c r="CE35" s="181"/>
      <c r="CF35" s="177"/>
      <c r="CG35" s="179"/>
      <c r="CH35" s="257"/>
      <c r="CI35" s="182"/>
      <c r="CJ35" s="177"/>
      <c r="CK35" s="182"/>
      <c r="CL35" s="177"/>
      <c r="CM35" s="182"/>
      <c r="CN35" s="177"/>
      <c r="CO35" s="182"/>
      <c r="CP35" s="177"/>
      <c r="CQ35" s="178"/>
      <c r="CR35" s="182"/>
      <c r="CS35" s="173"/>
      <c r="CT35" s="65"/>
      <c r="CU35" s="271" t="str">
        <f t="shared" si="2"/>
        <v>MPH</v>
      </c>
    </row>
    <row r="36" ht="60.0" customHeight="1">
      <c r="A36" s="65"/>
      <c r="C36" s="167">
        <v>7.0</v>
      </c>
      <c r="D36" s="168" t="s">
        <v>154</v>
      </c>
      <c r="E36" s="169"/>
      <c r="F36" s="170"/>
      <c r="G36" s="170"/>
      <c r="H36" s="170"/>
      <c r="I36" s="207"/>
      <c r="J36" s="170"/>
      <c r="K36" s="171"/>
      <c r="L36" s="171"/>
      <c r="M36" s="171"/>
      <c r="N36" s="276"/>
      <c r="O36" s="256">
        <f t="shared" ref="O36:O39" si="7">IF(AND(M36&gt;=20,M36&lt;&gt;"m",RIGHT(K36,3)="Lec"),1,IF(AND(M36&gt;=20,M36&lt;&gt;"m",OR(RIGHT(K36,3)="Lab",RIGHT(K36,3)="Tut")),0.5,IF(AND(M36&gt;=20,M36&lt;&gt;"m",RIGHT(K36,2)="TL"),0.75,0)))</f>
        <v>0</v>
      </c>
      <c r="Q36" s="173"/>
      <c r="R36" s="65"/>
      <c r="S36" s="173"/>
      <c r="T36" s="173"/>
      <c r="U36" s="166"/>
      <c r="V36" s="166"/>
      <c r="W36" s="65"/>
      <c r="X36" s="66"/>
      <c r="Y36" s="173"/>
      <c r="Z36" s="166"/>
      <c r="AA36" s="174"/>
      <c r="AB36" s="175"/>
      <c r="AC36" s="175"/>
      <c r="AD36" s="175"/>
      <c r="AE36" s="175"/>
      <c r="AF36" s="175"/>
      <c r="AG36" s="175"/>
      <c r="AH36" s="175"/>
      <c r="AI36" s="176"/>
      <c r="AJ36" s="177"/>
      <c r="AK36" s="178"/>
      <c r="AL36" s="178"/>
      <c r="AM36" s="178"/>
      <c r="AN36" s="178"/>
      <c r="AO36" s="179"/>
      <c r="AP36" s="64"/>
      <c r="AQ36" s="65"/>
      <c r="AR36" s="65"/>
      <c r="AS36" s="65"/>
      <c r="AT36" s="173"/>
      <c r="AU36" s="177"/>
      <c r="AV36" s="178"/>
      <c r="AW36" s="178"/>
      <c r="AX36" s="179"/>
      <c r="AZ36" s="166"/>
      <c r="BA36" s="177"/>
      <c r="BB36" s="178"/>
      <c r="BC36" s="178"/>
      <c r="BD36" s="178"/>
      <c r="BE36" s="178"/>
      <c r="BF36" s="178"/>
      <c r="BG36" s="178"/>
      <c r="BH36" s="178"/>
      <c r="BI36" s="179"/>
      <c r="BJ36" s="180"/>
      <c r="BK36" s="178"/>
      <c r="BL36" s="178"/>
      <c r="BM36" s="178"/>
      <c r="BN36" s="178"/>
      <c r="BO36" s="181"/>
      <c r="BP36" s="166"/>
      <c r="BQ36" s="177"/>
      <c r="BR36" s="178"/>
      <c r="BS36" s="179"/>
      <c r="BU36" s="166"/>
      <c r="BV36" s="166"/>
      <c r="BW36" s="166"/>
      <c r="BX36" s="166"/>
      <c r="BY36" s="166"/>
      <c r="BZ36" s="166"/>
      <c r="CA36" s="166"/>
      <c r="CB36" s="166"/>
      <c r="CC36" s="166"/>
      <c r="CD36" s="177"/>
      <c r="CE36" s="181"/>
      <c r="CF36" s="177"/>
      <c r="CG36" s="179"/>
      <c r="CH36" s="257"/>
      <c r="CI36" s="182"/>
      <c r="CJ36" s="177"/>
      <c r="CK36" s="182"/>
      <c r="CL36" s="177"/>
      <c r="CM36" s="182"/>
      <c r="CN36" s="177"/>
      <c r="CO36" s="182"/>
      <c r="CP36" s="177"/>
      <c r="CQ36" s="178"/>
      <c r="CR36" s="182"/>
      <c r="CS36" s="173"/>
      <c r="CT36" s="65"/>
      <c r="CU36" s="271" t="str">
        <f t="shared" si="2"/>
        <v>MPH</v>
      </c>
    </row>
    <row r="37" ht="60.0" customHeight="1">
      <c r="A37" s="65"/>
      <c r="C37" s="167">
        <v>8.0</v>
      </c>
      <c r="D37" s="168" t="s">
        <v>154</v>
      </c>
      <c r="E37" s="169"/>
      <c r="F37" s="170"/>
      <c r="G37" s="170"/>
      <c r="H37" s="170"/>
      <c r="I37" s="207"/>
      <c r="J37" s="170"/>
      <c r="K37" s="171"/>
      <c r="L37" s="171"/>
      <c r="M37" s="171"/>
      <c r="N37" s="276"/>
      <c r="O37" s="256">
        <f t="shared" si="7"/>
        <v>0</v>
      </c>
      <c r="Q37" s="173"/>
      <c r="R37" s="65"/>
      <c r="S37" s="173"/>
      <c r="T37" s="173"/>
      <c r="U37" s="166"/>
      <c r="V37" s="166"/>
      <c r="W37" s="65"/>
      <c r="X37" s="66"/>
      <c r="Y37" s="173"/>
      <c r="Z37" s="166"/>
      <c r="AA37" s="174"/>
      <c r="AB37" s="175"/>
      <c r="AC37" s="175"/>
      <c r="AD37" s="175"/>
      <c r="AE37" s="175"/>
      <c r="AF37" s="175"/>
      <c r="AG37" s="175"/>
      <c r="AH37" s="175"/>
      <c r="AI37" s="176"/>
      <c r="AJ37" s="177"/>
      <c r="AK37" s="178"/>
      <c r="AL37" s="178"/>
      <c r="AM37" s="178"/>
      <c r="AN37" s="178"/>
      <c r="AO37" s="179"/>
      <c r="AP37" s="64"/>
      <c r="AQ37" s="65"/>
      <c r="AR37" s="65"/>
      <c r="AS37" s="65"/>
      <c r="AT37" s="173"/>
      <c r="AU37" s="177"/>
      <c r="AV37" s="178"/>
      <c r="AW37" s="178"/>
      <c r="AX37" s="179"/>
      <c r="AZ37" s="166"/>
      <c r="BA37" s="177"/>
      <c r="BB37" s="178"/>
      <c r="BC37" s="178"/>
      <c r="BD37" s="178"/>
      <c r="BE37" s="178"/>
      <c r="BF37" s="178"/>
      <c r="BG37" s="178"/>
      <c r="BH37" s="178"/>
      <c r="BI37" s="179"/>
      <c r="BJ37" s="180"/>
      <c r="BK37" s="178"/>
      <c r="BL37" s="178"/>
      <c r="BM37" s="178"/>
      <c r="BN37" s="178"/>
      <c r="BO37" s="181"/>
      <c r="BP37" s="166"/>
      <c r="BQ37" s="177"/>
      <c r="BR37" s="178"/>
      <c r="BS37" s="179"/>
      <c r="BU37" s="166"/>
      <c r="BV37" s="166"/>
      <c r="BW37" s="166"/>
      <c r="BX37" s="166"/>
      <c r="BY37" s="166"/>
      <c r="BZ37" s="166"/>
      <c r="CA37" s="166"/>
      <c r="CB37" s="166"/>
      <c r="CC37" s="166"/>
      <c r="CD37" s="177"/>
      <c r="CE37" s="181"/>
      <c r="CF37" s="177"/>
      <c r="CG37" s="179"/>
      <c r="CH37" s="257"/>
      <c r="CI37" s="182"/>
      <c r="CJ37" s="177"/>
      <c r="CK37" s="182"/>
      <c r="CL37" s="177"/>
      <c r="CM37" s="182"/>
      <c r="CN37" s="177"/>
      <c r="CO37" s="182"/>
      <c r="CP37" s="177"/>
      <c r="CQ37" s="178"/>
      <c r="CR37" s="182"/>
      <c r="CS37" s="173"/>
      <c r="CT37" s="65"/>
      <c r="CU37" s="271" t="str">
        <f t="shared" si="2"/>
        <v>MPH</v>
      </c>
    </row>
    <row r="38" ht="60.0" customHeight="1">
      <c r="A38" s="65"/>
      <c r="C38" s="167">
        <v>9.0</v>
      </c>
      <c r="D38" s="168" t="s">
        <v>154</v>
      </c>
      <c r="E38" s="169"/>
      <c r="F38" s="170"/>
      <c r="G38" s="170"/>
      <c r="H38" s="170"/>
      <c r="I38" s="207"/>
      <c r="J38" s="170"/>
      <c r="K38" s="171"/>
      <c r="L38" s="171"/>
      <c r="M38" s="171"/>
      <c r="N38" s="276"/>
      <c r="O38" s="256">
        <f t="shared" si="7"/>
        <v>0</v>
      </c>
      <c r="Q38" s="173"/>
      <c r="R38" s="65"/>
      <c r="S38" s="173"/>
      <c r="T38" s="173"/>
      <c r="U38" s="166"/>
      <c r="V38" s="166"/>
      <c r="W38" s="65"/>
      <c r="X38" s="66"/>
      <c r="Y38" s="173"/>
      <c r="Z38" s="166"/>
      <c r="AA38" s="174"/>
      <c r="AB38" s="175"/>
      <c r="AC38" s="175"/>
      <c r="AD38" s="175"/>
      <c r="AE38" s="175"/>
      <c r="AF38" s="175"/>
      <c r="AG38" s="175"/>
      <c r="AH38" s="175"/>
      <c r="AI38" s="176"/>
      <c r="AJ38" s="177"/>
      <c r="AK38" s="178"/>
      <c r="AL38" s="178"/>
      <c r="AM38" s="178"/>
      <c r="AN38" s="178"/>
      <c r="AO38" s="179"/>
      <c r="AP38" s="64"/>
      <c r="AQ38" s="65"/>
      <c r="AR38" s="65"/>
      <c r="AS38" s="65"/>
      <c r="AT38" s="173"/>
      <c r="AU38" s="177"/>
      <c r="AV38" s="178"/>
      <c r="AW38" s="178"/>
      <c r="AX38" s="179"/>
      <c r="AZ38" s="166"/>
      <c r="BA38" s="177"/>
      <c r="BB38" s="178"/>
      <c r="BC38" s="178"/>
      <c r="BD38" s="178"/>
      <c r="BE38" s="178"/>
      <c r="BF38" s="178"/>
      <c r="BG38" s="178"/>
      <c r="BH38" s="178"/>
      <c r="BI38" s="179"/>
      <c r="BJ38" s="180"/>
      <c r="BK38" s="178"/>
      <c r="BL38" s="178"/>
      <c r="BM38" s="178"/>
      <c r="BN38" s="178"/>
      <c r="BO38" s="181"/>
      <c r="BP38" s="166"/>
      <c r="BQ38" s="177"/>
      <c r="BR38" s="178"/>
      <c r="BS38" s="179"/>
      <c r="BU38" s="166"/>
      <c r="BV38" s="166"/>
      <c r="BW38" s="166"/>
      <c r="BX38" s="166"/>
      <c r="BY38" s="166"/>
      <c r="BZ38" s="166"/>
      <c r="CA38" s="166"/>
      <c r="CB38" s="166"/>
      <c r="CC38" s="166"/>
      <c r="CD38" s="177"/>
      <c r="CE38" s="181"/>
      <c r="CF38" s="177"/>
      <c r="CG38" s="179"/>
      <c r="CH38" s="257"/>
      <c r="CI38" s="182"/>
      <c r="CJ38" s="177"/>
      <c r="CK38" s="182"/>
      <c r="CL38" s="177"/>
      <c r="CM38" s="182"/>
      <c r="CN38" s="177"/>
      <c r="CO38" s="182"/>
      <c r="CP38" s="177"/>
      <c r="CQ38" s="178"/>
      <c r="CR38" s="182"/>
      <c r="CS38" s="173"/>
      <c r="CT38" s="65"/>
      <c r="CU38" s="271" t="str">
        <f t="shared" si="2"/>
        <v>MPH</v>
      </c>
    </row>
    <row r="39" ht="60.0" customHeight="1">
      <c r="A39" s="65"/>
      <c r="C39" s="167">
        <v>10.0</v>
      </c>
      <c r="D39" s="168" t="s">
        <v>154</v>
      </c>
      <c r="E39" s="169"/>
      <c r="F39" s="170"/>
      <c r="G39" s="170"/>
      <c r="H39" s="170"/>
      <c r="I39" s="207"/>
      <c r="J39" s="170"/>
      <c r="K39" s="171"/>
      <c r="L39" s="171"/>
      <c r="M39" s="171"/>
      <c r="N39" s="276"/>
      <c r="O39" s="256">
        <f t="shared" si="7"/>
        <v>0</v>
      </c>
      <c r="Q39" s="173"/>
      <c r="R39" s="65"/>
      <c r="S39" s="173"/>
      <c r="T39" s="173"/>
      <c r="U39" s="166"/>
      <c r="V39" s="166"/>
      <c r="W39" s="65"/>
      <c r="X39" s="66"/>
      <c r="Y39" s="173"/>
      <c r="Z39" s="166"/>
      <c r="AA39" s="174"/>
      <c r="AB39" s="175"/>
      <c r="AC39" s="175"/>
      <c r="AD39" s="175"/>
      <c r="AE39" s="175"/>
      <c r="AF39" s="175"/>
      <c r="AG39" s="175"/>
      <c r="AH39" s="175"/>
      <c r="AI39" s="176"/>
      <c r="AJ39" s="177"/>
      <c r="AK39" s="178"/>
      <c r="AL39" s="178"/>
      <c r="AM39" s="178"/>
      <c r="AN39" s="178"/>
      <c r="AO39" s="179"/>
      <c r="AP39" s="64"/>
      <c r="AQ39" s="65"/>
      <c r="AR39" s="65"/>
      <c r="AS39" s="65"/>
      <c r="AT39" s="173"/>
      <c r="AU39" s="177"/>
      <c r="AV39" s="178"/>
      <c r="AW39" s="178"/>
      <c r="AX39" s="179"/>
      <c r="AZ39" s="166"/>
      <c r="BA39" s="177"/>
      <c r="BB39" s="178"/>
      <c r="BC39" s="178"/>
      <c r="BD39" s="178"/>
      <c r="BE39" s="178"/>
      <c r="BF39" s="178"/>
      <c r="BG39" s="178"/>
      <c r="BH39" s="178"/>
      <c r="BI39" s="179"/>
      <c r="BJ39" s="180"/>
      <c r="BK39" s="178"/>
      <c r="BL39" s="178"/>
      <c r="BM39" s="178"/>
      <c r="BN39" s="178"/>
      <c r="BO39" s="181"/>
      <c r="BP39" s="166"/>
      <c r="BQ39" s="177"/>
      <c r="BR39" s="178"/>
      <c r="BS39" s="179"/>
      <c r="BU39" s="166"/>
      <c r="BV39" s="166"/>
      <c r="BW39" s="166"/>
      <c r="BX39" s="166"/>
      <c r="BY39" s="166"/>
      <c r="BZ39" s="166"/>
      <c r="CA39" s="166"/>
      <c r="CB39" s="166"/>
      <c r="CC39" s="166"/>
      <c r="CD39" s="177"/>
      <c r="CE39" s="181"/>
      <c r="CF39" s="177"/>
      <c r="CG39" s="179"/>
      <c r="CH39" s="257"/>
      <c r="CI39" s="182"/>
      <c r="CJ39" s="177"/>
      <c r="CK39" s="182"/>
      <c r="CL39" s="177"/>
      <c r="CM39" s="182"/>
      <c r="CN39" s="177"/>
      <c r="CO39" s="182"/>
      <c r="CP39" s="177"/>
      <c r="CQ39" s="178"/>
      <c r="CR39" s="182"/>
      <c r="CS39" s="173"/>
      <c r="CT39" s="65"/>
      <c r="CU39" s="271" t="str">
        <f t="shared" si="2"/>
        <v>MPH</v>
      </c>
    </row>
    <row r="40" ht="60.0" customHeight="1">
      <c r="A40" s="89"/>
      <c r="C40" s="183">
        <v>11.0</v>
      </c>
      <c r="D40" s="210" t="s">
        <v>154</v>
      </c>
      <c r="E40" s="185"/>
      <c r="F40" s="186"/>
      <c r="G40" s="186"/>
      <c r="H40" s="186"/>
      <c r="I40" s="212"/>
      <c r="J40" s="186"/>
      <c r="K40" s="187"/>
      <c r="L40" s="187"/>
      <c r="M40" s="187"/>
      <c r="N40" s="284"/>
      <c r="O40" s="258">
        <f t="shared" ref="O40:O46" si="8">IF(AND(M40&lt;&gt;0,M40&lt;&gt;"m",M40&lt;&gt;"",RIGHT(K40,3)="Lec"),1,IF(AND(M40&lt;&gt;0,M40&lt;&gt;"m",M40&lt;&gt;"",OR(RIGHT(K40,3)="Lab",RIGHT(K40,3)="Tut")),0.5,IF(AND(M40&lt;&gt;0,M40&lt;&gt;"m",M40&lt;&gt;"",RIGHT(K40,2)="TL"),0.75,0)))</f>
        <v>0</v>
      </c>
      <c r="P40" s="6"/>
      <c r="Q40" s="69"/>
      <c r="R40" s="89"/>
      <c r="S40" s="69"/>
      <c r="T40" s="69"/>
      <c r="U40" s="63"/>
      <c r="V40" s="63"/>
      <c r="W40" s="89"/>
      <c r="X40" s="68"/>
      <c r="Y40" s="69"/>
      <c r="Z40" s="63"/>
      <c r="AA40" s="189"/>
      <c r="AB40" s="190"/>
      <c r="AC40" s="190"/>
      <c r="AD40" s="190"/>
      <c r="AE40" s="190"/>
      <c r="AF40" s="190"/>
      <c r="AG40" s="190"/>
      <c r="AH40" s="190"/>
      <c r="AI40" s="191"/>
      <c r="AJ40" s="192"/>
      <c r="AK40" s="193"/>
      <c r="AL40" s="193"/>
      <c r="AM40" s="193"/>
      <c r="AN40" s="193"/>
      <c r="AO40" s="194"/>
      <c r="AP40" s="103"/>
      <c r="AQ40" s="89"/>
      <c r="AR40" s="89"/>
      <c r="AS40" s="89"/>
      <c r="AT40" s="69"/>
      <c r="AU40" s="192"/>
      <c r="AV40" s="193"/>
      <c r="AW40" s="193"/>
      <c r="AX40" s="194"/>
      <c r="AY40" s="6"/>
      <c r="AZ40" s="63"/>
      <c r="BA40" s="192"/>
      <c r="BB40" s="193"/>
      <c r="BC40" s="193"/>
      <c r="BD40" s="193"/>
      <c r="BE40" s="193"/>
      <c r="BF40" s="193"/>
      <c r="BG40" s="193"/>
      <c r="BH40" s="193"/>
      <c r="BI40" s="194"/>
      <c r="BJ40" s="195"/>
      <c r="BK40" s="193"/>
      <c r="BL40" s="193"/>
      <c r="BM40" s="193"/>
      <c r="BN40" s="193"/>
      <c r="BO40" s="196"/>
      <c r="BP40" s="63"/>
      <c r="BQ40" s="192"/>
      <c r="BR40" s="193"/>
      <c r="BS40" s="194"/>
      <c r="BT40" s="6"/>
      <c r="BU40" s="63"/>
      <c r="BV40" s="63"/>
      <c r="BW40" s="63"/>
      <c r="BX40" s="63"/>
      <c r="BY40" s="63"/>
      <c r="BZ40" s="63"/>
      <c r="CA40" s="63"/>
      <c r="CB40" s="63"/>
      <c r="CC40" s="63"/>
      <c r="CD40" s="192"/>
      <c r="CE40" s="196"/>
      <c r="CF40" s="192"/>
      <c r="CG40" s="194"/>
      <c r="CH40" s="259"/>
      <c r="CI40" s="197"/>
      <c r="CJ40" s="192"/>
      <c r="CK40" s="197"/>
      <c r="CL40" s="192"/>
      <c r="CM40" s="197"/>
      <c r="CN40" s="192"/>
      <c r="CO40" s="197"/>
      <c r="CP40" s="192"/>
      <c r="CQ40" s="193"/>
      <c r="CR40" s="197"/>
      <c r="CS40" s="69"/>
      <c r="CT40" s="89"/>
      <c r="CU40" s="272" t="str">
        <f t="shared" si="2"/>
        <v>MPH</v>
      </c>
    </row>
    <row r="41" ht="55.5" customHeight="1">
      <c r="A41" s="125">
        <v>4.0</v>
      </c>
      <c r="B41" s="199" t="s">
        <v>157</v>
      </c>
      <c r="C41" s="127">
        <v>1.0</v>
      </c>
      <c r="D41" s="168" t="s">
        <v>158</v>
      </c>
      <c r="E41" s="129"/>
      <c r="F41" s="130"/>
      <c r="G41" s="130"/>
      <c r="H41" s="130"/>
      <c r="I41" s="201"/>
      <c r="J41" s="130"/>
      <c r="K41" s="131"/>
      <c r="L41" s="131"/>
      <c r="M41" s="131"/>
      <c r="N41" s="275"/>
      <c r="O41" s="250">
        <f t="shared" si="8"/>
        <v>0</v>
      </c>
      <c r="P41" s="251">
        <f>COUNTIF(K41:K51,"TL")*0.75+COUNTIF(K41:K51,"Lec")*1+COUNTIF(K41:K51,"Lab")*0.5</f>
        <v>0</v>
      </c>
      <c r="Q41" s="134">
        <f>SUM((IF(LEFT(K41,1)="E",O41,0)),(IF(LEFT(K42,1)="E",O42,0)),(IF(LEFT(K43,1)="E",O43,0)),(IF(LEFT(K44,1)="E",O44,0)),(IF(LEFT(K45,1)="E",O45,0)),(IF(LEFT(K46,1)="E",O46,0)),(IF(LEFT(K47,1)="E",O47,0)),(IF(LEFT(K48,1)="E",O48,0)),(IF(LEFT(K49,1)="E",O49,0)),(IF(LEFT(K50,1)="E",O50,0)),(IF(LEFT(K51,1)="E",O51,0)))</f>
        <v>0</v>
      </c>
      <c r="R41" s="135">
        <f>SUM(IF(M47&lt;20,IF(K47="Plec",-1,IF(K47="PTL",-0.75,IF(K47="Plab",-0.5,0))),0),IF(M48&lt;20,IF(K48="Plec",-1,IF(K48="PTL",-0.75,IF(K48="Plab",-0.5,0))),0),IF(M49&lt;20,IF(K49="Plec",-1,IF(K49="PTL",-0.75,IF(K49="Plab",-0.5,0))),0),IF(M50&lt;20,IF(K50="Plec",-1,IF(K50="PTL",-0.75,IF(K50="Plab",-0.5,0))),0))</f>
        <v>0</v>
      </c>
      <c r="S41" s="134">
        <f>SUM(P41:R51)</f>
        <v>0</v>
      </c>
      <c r="T41" s="136">
        <f>SUM(IF(M41="M",IF(OR(K41="lec",K41="plec",K41="slec"),1,IF(OR(K41="lab",K41="plab",K41="slab",K41="tut",K41="ptut",K41="stut"),0.5,IF(OR(K41="TL",K41="pTL",K41="STL"),0.75,0))),0),IF(M42="M",IF(OR(K42="lec",K42="plec",K42="slec"),1,IF(OR(K42="lab",K42="plab",K42="slab",K42="tut",K42="ptut",K42="stut"),0.5,IF(OR(K42="TL",K42="pTL",K42="STL"),0.75,0))),0),IF(M43="M",IF(OR(K43="lec",K43="plec",K43="slec"),1,IF(OR(K43="lab",K43="plab",K43="slab",K43="tut",K43="ptut",K43="stut"),0.5,IF(OR(K43="TL",K43="pTL",K43="STL"),0.75,0))),0),IF(M44="M",IF(OR(K44="lec",K44="plec",K44="slec"),1,IF(OR(K44="lab",K44="plab",K44="slab",K44="tut",K44="ptut",K44="stut"),0.5,IF(OR(K44="TL",K44="pTL",K44="STL"),0.75,0))),0),IF(M45="M",IF(OR(K45="lec",K45="plec",K45="slec"),1,IF(OR(K45="lab",K45="plab",K45="slab",K45="tut",K45="ptut",K45="stut"),0.5,IF(OR(K45="TL",K45="pTL",K45="STL"),0.75,0))),0),IF(M46="M",IF(OR(K46="lec",K46="plec",K46="slec"),1,IF(OR(K46="lab",K46="plab",K46="slab",K46="tut",K46="ptut",K46="stut"),0.5,IF(OR(K46="TL",K46="pTL",K46="STL"),0.75,0))),0),IF(M47="M",IF(OR(K47="lec",K47="plec",K47="slec"),1,IF(OR(K47="lab",K47="plab",K47="slab",K47="tut",K47="ptut",K47="stut"),0.5,IF(OR(K47="TL",K47="pTL",K47="STL"),0.75,0))),0),IF(M48="M",IF(OR(K48="lec",K48="plec",K48="slec"),1,IF(OR(K48="lab",K48="plab",K48="slab",K48="tut",K48="ptut",K48="stut"),0.5,IF(OR(K48="TL",K48="pTL",K48="STL"),0.75,0))),0),IF(M49="M",IF(OR(K49="lec",K49="plec",K49="slec"),1,IF(OR(K49="lab",K49="plab",K49="slab",K49="tut",K49="ptut",K49="stut"),0.5,IF(OR(K49="TL",K49="pTL",K49="STL"),0.75,0))),0),IF(M50="M",IF(OR(K50="lec",K50="plec",K50="slec"),1,IF(OR(K50="lab",K50="plab",K50="slab",K50="tut",K50="ptut",K50="stut"),0.5,IF(OR(K50="TL",K50="pTL",K50="STL"),0.75,0))),0),IF(M51="M",IF(OR(K51="lec",K51="plec",K51="slec"),1,IF(OR(K51="lab",K51="plab",K51="slab",K51="tut",K51="ptut",K51="stut"),0.5,IF(OR(K51="TL",K51="pTL",K51="STL"),0.75,0))),0))</f>
        <v>0</v>
      </c>
      <c r="U41" s="137"/>
      <c r="V41" s="133"/>
      <c r="W41" s="138"/>
      <c r="X41" s="139">
        <f>S41-(T41+U41+V41+W41)</f>
        <v>0</v>
      </c>
      <c r="Y41" s="134" t="str">
        <f>CONCATENATE(SUM(O41:O51),"(",SUM(O41:O51)-X41,")")</f>
        <v>0(0)</v>
      </c>
      <c r="Z41" s="140"/>
      <c r="AA41" s="141"/>
      <c r="AB41" s="142"/>
      <c r="AC41" s="142"/>
      <c r="AD41" s="142"/>
      <c r="AE41" s="142"/>
      <c r="AF41" s="142"/>
      <c r="AG41" s="142"/>
      <c r="AH41" s="142"/>
      <c r="AI41" s="143"/>
      <c r="AJ41" s="144"/>
      <c r="AK41" s="145"/>
      <c r="AL41" s="145"/>
      <c r="AM41" s="145"/>
      <c r="AN41" s="145"/>
      <c r="AO41" s="146"/>
      <c r="AP41" s="147">
        <f>SUM(SUM(O41:O51),SUM(AI41:AI51)/2,AM41)</f>
        <v>0</v>
      </c>
      <c r="AQ41" s="148"/>
      <c r="AR41" s="148">
        <f>AP41*AQ41</f>
        <v>0</v>
      </c>
      <c r="AS41" s="148">
        <f>CT41</f>
        <v>17.78044444</v>
      </c>
      <c r="AT41" s="149">
        <f>AR41*0.75+AS41*0.25</f>
        <v>4.445111111</v>
      </c>
      <c r="AU41" s="150"/>
      <c r="AV41" s="151"/>
      <c r="AW41" s="151"/>
      <c r="AX41" s="152"/>
      <c r="AY41" s="153"/>
      <c r="AZ41" s="140"/>
      <c r="BA41" s="150"/>
      <c r="BB41" s="151"/>
      <c r="BC41" s="151"/>
      <c r="BD41" s="151"/>
      <c r="BE41" s="151"/>
      <c r="BF41" s="151"/>
      <c r="BG41" s="151"/>
      <c r="BH41" s="151"/>
      <c r="BI41" s="152">
        <v>16.0</v>
      </c>
      <c r="BJ41" s="154">
        <v>2.0</v>
      </c>
      <c r="BK41" s="151"/>
      <c r="BL41" s="151"/>
      <c r="BM41" s="151">
        <v>9.086</v>
      </c>
      <c r="BN41" s="151"/>
      <c r="BO41" s="155"/>
      <c r="BP41" s="140"/>
      <c r="BQ41" s="156"/>
      <c r="BR41" s="157"/>
      <c r="BS41" s="158"/>
      <c r="BT41" s="153"/>
      <c r="BU41" s="140"/>
      <c r="BV41" s="140"/>
      <c r="BW41" s="140"/>
      <c r="BX41" s="140"/>
      <c r="BY41" s="140"/>
      <c r="BZ41" s="140"/>
      <c r="CA41" s="140"/>
      <c r="CB41" s="140"/>
      <c r="CC41" s="140"/>
      <c r="CD41" s="150"/>
      <c r="CE41" s="155"/>
      <c r="CF41" s="150" t="s">
        <v>313</v>
      </c>
      <c r="CG41" s="152">
        <f>485/60</f>
        <v>8.083333333</v>
      </c>
      <c r="CH41" s="252" t="s">
        <v>305</v>
      </c>
      <c r="CI41" s="160">
        <v>0.0</v>
      </c>
      <c r="CJ41" s="159"/>
      <c r="CK41" s="160"/>
      <c r="CL41" s="159"/>
      <c r="CM41" s="160"/>
      <c r="CN41" s="159"/>
      <c r="CO41" s="160"/>
      <c r="CP41" s="159"/>
      <c r="CQ41" s="162"/>
      <c r="CR41" s="160"/>
      <c r="CS41" s="253">
        <f>SUM(IF(AU41&lt;0,ABS(AU41),0),IF(AZ41&lt;0,ABS(AZ41),0),ABS(CI41),ABS(CK41),ABS(CM41),ABS(CO41),ABS(CQ41),ABS(CR41))</f>
        <v>0</v>
      </c>
      <c r="CT41" s="254">
        <f>SUM(AU41,AV41,AW41,AX41/400,AY41,AZ41,BG41,BH41*0.5,BI41*0.25,BJ41,BK41,BL41,BM41,BN41,BO41,BP41,BR41/20,BS41/100,BT41/60,BU41,BV41,BW41,BX41/4,SUM(BY41:CC51)/3,CE41,CG41/3,CI41,CK41,CM41,CO41,CQ41,CR41)</f>
        <v>17.78044444</v>
      </c>
      <c r="CU41" s="255" t="str">
        <f t="shared" si="2"/>
        <v>MVK</v>
      </c>
    </row>
    <row r="42" ht="60.0" customHeight="1">
      <c r="A42" s="65"/>
      <c r="C42" s="167">
        <v>2.0</v>
      </c>
      <c r="D42" s="168" t="s">
        <v>158</v>
      </c>
      <c r="E42" s="169"/>
      <c r="F42" s="170"/>
      <c r="G42" s="170"/>
      <c r="H42" s="170"/>
      <c r="I42" s="207"/>
      <c r="J42" s="170"/>
      <c r="K42" s="171"/>
      <c r="L42" s="171"/>
      <c r="M42" s="171"/>
      <c r="N42" s="276"/>
      <c r="O42" s="256">
        <f t="shared" si="8"/>
        <v>0</v>
      </c>
      <c r="Q42" s="173"/>
      <c r="R42" s="65"/>
      <c r="S42" s="173"/>
      <c r="T42" s="173"/>
      <c r="U42" s="166"/>
      <c r="V42" s="166"/>
      <c r="W42" s="65"/>
      <c r="X42" s="66"/>
      <c r="Y42" s="173"/>
      <c r="Z42" s="166"/>
      <c r="AA42" s="174"/>
      <c r="AB42" s="175"/>
      <c r="AC42" s="175"/>
      <c r="AD42" s="175"/>
      <c r="AE42" s="175"/>
      <c r="AF42" s="175"/>
      <c r="AG42" s="175"/>
      <c r="AH42" s="175"/>
      <c r="AI42" s="176"/>
      <c r="AJ42" s="177"/>
      <c r="AK42" s="178"/>
      <c r="AL42" s="178"/>
      <c r="AM42" s="178"/>
      <c r="AN42" s="178"/>
      <c r="AO42" s="179"/>
      <c r="AP42" s="64"/>
      <c r="AQ42" s="65"/>
      <c r="AR42" s="65"/>
      <c r="AS42" s="65"/>
      <c r="AT42" s="173"/>
      <c r="AU42" s="177"/>
      <c r="AV42" s="178"/>
      <c r="AW42" s="178"/>
      <c r="AX42" s="179"/>
      <c r="AZ42" s="166"/>
      <c r="BA42" s="177"/>
      <c r="BB42" s="178"/>
      <c r="BC42" s="178"/>
      <c r="BD42" s="178"/>
      <c r="BE42" s="178"/>
      <c r="BF42" s="178"/>
      <c r="BG42" s="178"/>
      <c r="BH42" s="178"/>
      <c r="BI42" s="179"/>
      <c r="BJ42" s="180"/>
      <c r="BK42" s="178"/>
      <c r="BL42" s="178"/>
      <c r="BM42" s="178"/>
      <c r="BN42" s="178"/>
      <c r="BO42" s="181"/>
      <c r="BP42" s="166"/>
      <c r="BQ42" s="177"/>
      <c r="BR42" s="178"/>
      <c r="BS42" s="179"/>
      <c r="BU42" s="166"/>
      <c r="BV42" s="166"/>
      <c r="BW42" s="166"/>
      <c r="BX42" s="166"/>
      <c r="BY42" s="166"/>
      <c r="BZ42" s="166"/>
      <c r="CA42" s="166"/>
      <c r="CB42" s="166"/>
      <c r="CC42" s="166"/>
      <c r="CD42" s="177"/>
      <c r="CE42" s="181"/>
      <c r="CF42" s="177"/>
      <c r="CG42" s="179"/>
      <c r="CH42" s="257"/>
      <c r="CI42" s="182"/>
      <c r="CJ42" s="177"/>
      <c r="CK42" s="182"/>
      <c r="CL42" s="177"/>
      <c r="CM42" s="182"/>
      <c r="CN42" s="177"/>
      <c r="CO42" s="182"/>
      <c r="CP42" s="177"/>
      <c r="CQ42" s="178"/>
      <c r="CR42" s="182"/>
      <c r="CS42" s="173"/>
      <c r="CT42" s="65"/>
      <c r="CU42" s="271" t="str">
        <f t="shared" si="2"/>
        <v>MVK</v>
      </c>
    </row>
    <row r="43" ht="60.0" customHeight="1">
      <c r="A43" s="65"/>
      <c r="C43" s="167">
        <v>3.0</v>
      </c>
      <c r="D43" s="168" t="s">
        <v>158</v>
      </c>
      <c r="E43" s="169"/>
      <c r="F43" s="170"/>
      <c r="G43" s="170"/>
      <c r="H43" s="170"/>
      <c r="I43" s="207"/>
      <c r="J43" s="170"/>
      <c r="K43" s="171"/>
      <c r="L43" s="171"/>
      <c r="M43" s="171"/>
      <c r="N43" s="276"/>
      <c r="O43" s="256">
        <f t="shared" si="8"/>
        <v>0</v>
      </c>
      <c r="Q43" s="173"/>
      <c r="R43" s="65"/>
      <c r="S43" s="173"/>
      <c r="T43" s="173"/>
      <c r="U43" s="166"/>
      <c r="V43" s="166"/>
      <c r="W43" s="65"/>
      <c r="X43" s="66"/>
      <c r="Y43" s="173"/>
      <c r="Z43" s="166"/>
      <c r="AA43" s="174"/>
      <c r="AB43" s="175"/>
      <c r="AC43" s="175"/>
      <c r="AD43" s="175"/>
      <c r="AE43" s="175"/>
      <c r="AF43" s="175"/>
      <c r="AG43" s="175"/>
      <c r="AH43" s="175"/>
      <c r="AI43" s="176"/>
      <c r="AJ43" s="177"/>
      <c r="AK43" s="178"/>
      <c r="AL43" s="178"/>
      <c r="AM43" s="178"/>
      <c r="AN43" s="178"/>
      <c r="AO43" s="179"/>
      <c r="AP43" s="64"/>
      <c r="AQ43" s="65"/>
      <c r="AR43" s="65"/>
      <c r="AS43" s="65"/>
      <c r="AT43" s="173"/>
      <c r="AU43" s="177"/>
      <c r="AV43" s="178"/>
      <c r="AW43" s="178"/>
      <c r="AX43" s="179"/>
      <c r="AZ43" s="166"/>
      <c r="BA43" s="177"/>
      <c r="BB43" s="178"/>
      <c r="BC43" s="178"/>
      <c r="BD43" s="178"/>
      <c r="BE43" s="178"/>
      <c r="BF43" s="178"/>
      <c r="BG43" s="178"/>
      <c r="BH43" s="178"/>
      <c r="BI43" s="179"/>
      <c r="BJ43" s="180"/>
      <c r="BK43" s="178"/>
      <c r="BL43" s="178"/>
      <c r="BM43" s="178"/>
      <c r="BN43" s="178"/>
      <c r="BO43" s="181"/>
      <c r="BP43" s="166"/>
      <c r="BQ43" s="177"/>
      <c r="BR43" s="178"/>
      <c r="BS43" s="179"/>
      <c r="BU43" s="166"/>
      <c r="BV43" s="166"/>
      <c r="BW43" s="166"/>
      <c r="BX43" s="166"/>
      <c r="BY43" s="166"/>
      <c r="BZ43" s="166"/>
      <c r="CA43" s="166"/>
      <c r="CB43" s="166"/>
      <c r="CC43" s="166"/>
      <c r="CD43" s="177"/>
      <c r="CE43" s="181"/>
      <c r="CF43" s="177"/>
      <c r="CG43" s="179"/>
      <c r="CH43" s="257"/>
      <c r="CI43" s="182"/>
      <c r="CJ43" s="177"/>
      <c r="CK43" s="182"/>
      <c r="CL43" s="177"/>
      <c r="CM43" s="182"/>
      <c r="CN43" s="177"/>
      <c r="CO43" s="182"/>
      <c r="CP43" s="177"/>
      <c r="CQ43" s="178"/>
      <c r="CR43" s="182"/>
      <c r="CS43" s="173"/>
      <c r="CT43" s="65"/>
      <c r="CU43" s="271" t="str">
        <f t="shared" si="2"/>
        <v>MVK</v>
      </c>
    </row>
    <row r="44" ht="60.0" customHeight="1">
      <c r="A44" s="65"/>
      <c r="C44" s="167">
        <v>4.0</v>
      </c>
      <c r="D44" s="168" t="s">
        <v>158</v>
      </c>
      <c r="E44" s="169"/>
      <c r="F44" s="170"/>
      <c r="G44" s="170"/>
      <c r="H44" s="170"/>
      <c r="I44" s="207"/>
      <c r="J44" s="170"/>
      <c r="K44" s="171"/>
      <c r="L44" s="171"/>
      <c r="M44" s="171"/>
      <c r="N44" s="276"/>
      <c r="O44" s="256">
        <f t="shared" si="8"/>
        <v>0</v>
      </c>
      <c r="Q44" s="173"/>
      <c r="R44" s="65"/>
      <c r="S44" s="173"/>
      <c r="T44" s="173"/>
      <c r="U44" s="166"/>
      <c r="V44" s="166"/>
      <c r="W44" s="65"/>
      <c r="X44" s="66"/>
      <c r="Y44" s="173"/>
      <c r="Z44" s="166"/>
      <c r="AA44" s="174"/>
      <c r="AB44" s="175"/>
      <c r="AC44" s="175"/>
      <c r="AD44" s="175"/>
      <c r="AE44" s="175"/>
      <c r="AF44" s="175"/>
      <c r="AG44" s="175"/>
      <c r="AH44" s="175"/>
      <c r="AI44" s="176"/>
      <c r="AJ44" s="177"/>
      <c r="AK44" s="178"/>
      <c r="AL44" s="178"/>
      <c r="AM44" s="178"/>
      <c r="AN44" s="178"/>
      <c r="AO44" s="179"/>
      <c r="AP44" s="64"/>
      <c r="AQ44" s="65"/>
      <c r="AR44" s="65"/>
      <c r="AS44" s="65"/>
      <c r="AT44" s="173"/>
      <c r="AU44" s="177"/>
      <c r="AV44" s="178"/>
      <c r="AW44" s="178"/>
      <c r="AX44" s="179"/>
      <c r="AZ44" s="166"/>
      <c r="BA44" s="177"/>
      <c r="BB44" s="178"/>
      <c r="BC44" s="178"/>
      <c r="BD44" s="178"/>
      <c r="BE44" s="178"/>
      <c r="BF44" s="178"/>
      <c r="BG44" s="178"/>
      <c r="BH44" s="178"/>
      <c r="BI44" s="179"/>
      <c r="BJ44" s="180"/>
      <c r="BK44" s="178"/>
      <c r="BL44" s="178"/>
      <c r="BM44" s="178"/>
      <c r="BN44" s="178"/>
      <c r="BO44" s="181"/>
      <c r="BP44" s="166"/>
      <c r="BQ44" s="177"/>
      <c r="BR44" s="178"/>
      <c r="BS44" s="179"/>
      <c r="BU44" s="166"/>
      <c r="BV44" s="166"/>
      <c r="BW44" s="166"/>
      <c r="BX44" s="166"/>
      <c r="BY44" s="166"/>
      <c r="BZ44" s="166"/>
      <c r="CA44" s="166"/>
      <c r="CB44" s="166"/>
      <c r="CC44" s="166"/>
      <c r="CD44" s="177"/>
      <c r="CE44" s="181"/>
      <c r="CF44" s="177"/>
      <c r="CG44" s="179"/>
      <c r="CH44" s="257"/>
      <c r="CI44" s="182"/>
      <c r="CJ44" s="177"/>
      <c r="CK44" s="182"/>
      <c r="CL44" s="177"/>
      <c r="CM44" s="182"/>
      <c r="CN44" s="177"/>
      <c r="CO44" s="182"/>
      <c r="CP44" s="177"/>
      <c r="CQ44" s="178"/>
      <c r="CR44" s="182"/>
      <c r="CS44" s="173"/>
      <c r="CT44" s="65"/>
      <c r="CU44" s="271" t="str">
        <f t="shared" si="2"/>
        <v>MVK</v>
      </c>
    </row>
    <row r="45" ht="60.0" customHeight="1">
      <c r="A45" s="65"/>
      <c r="C45" s="167">
        <v>5.0</v>
      </c>
      <c r="D45" s="168" t="s">
        <v>158</v>
      </c>
      <c r="E45" s="169"/>
      <c r="F45" s="170"/>
      <c r="G45" s="170"/>
      <c r="H45" s="170"/>
      <c r="I45" s="207"/>
      <c r="J45" s="170"/>
      <c r="K45" s="171"/>
      <c r="L45" s="171"/>
      <c r="M45" s="171"/>
      <c r="N45" s="276"/>
      <c r="O45" s="256">
        <f t="shared" si="8"/>
        <v>0</v>
      </c>
      <c r="Q45" s="173"/>
      <c r="R45" s="65"/>
      <c r="S45" s="173"/>
      <c r="T45" s="173"/>
      <c r="U45" s="166"/>
      <c r="V45" s="166"/>
      <c r="W45" s="65"/>
      <c r="X45" s="66"/>
      <c r="Y45" s="173"/>
      <c r="Z45" s="166"/>
      <c r="AA45" s="174"/>
      <c r="AB45" s="175"/>
      <c r="AC45" s="175"/>
      <c r="AD45" s="175"/>
      <c r="AE45" s="175"/>
      <c r="AF45" s="175"/>
      <c r="AG45" s="175"/>
      <c r="AH45" s="175"/>
      <c r="AI45" s="176"/>
      <c r="AJ45" s="177"/>
      <c r="AK45" s="178"/>
      <c r="AL45" s="178"/>
      <c r="AM45" s="178"/>
      <c r="AN45" s="178"/>
      <c r="AO45" s="179"/>
      <c r="AP45" s="64"/>
      <c r="AQ45" s="65"/>
      <c r="AR45" s="65"/>
      <c r="AS45" s="65"/>
      <c r="AT45" s="173"/>
      <c r="AU45" s="177"/>
      <c r="AV45" s="178"/>
      <c r="AW45" s="178"/>
      <c r="AX45" s="179"/>
      <c r="AZ45" s="166"/>
      <c r="BA45" s="177"/>
      <c r="BB45" s="178"/>
      <c r="BC45" s="178"/>
      <c r="BD45" s="178"/>
      <c r="BE45" s="178"/>
      <c r="BF45" s="178"/>
      <c r="BG45" s="178"/>
      <c r="BH45" s="178"/>
      <c r="BI45" s="179"/>
      <c r="BJ45" s="180"/>
      <c r="BK45" s="178"/>
      <c r="BL45" s="178"/>
      <c r="BM45" s="178"/>
      <c r="BN45" s="178"/>
      <c r="BO45" s="181"/>
      <c r="BP45" s="166"/>
      <c r="BQ45" s="177"/>
      <c r="BR45" s="178"/>
      <c r="BS45" s="179"/>
      <c r="BU45" s="166"/>
      <c r="BV45" s="166"/>
      <c r="BW45" s="166"/>
      <c r="BX45" s="166"/>
      <c r="BY45" s="166"/>
      <c r="BZ45" s="166"/>
      <c r="CA45" s="166"/>
      <c r="CB45" s="166"/>
      <c r="CC45" s="166"/>
      <c r="CD45" s="177"/>
      <c r="CE45" s="181"/>
      <c r="CF45" s="177"/>
      <c r="CG45" s="179"/>
      <c r="CH45" s="257"/>
      <c r="CI45" s="182"/>
      <c r="CJ45" s="177"/>
      <c r="CK45" s="182"/>
      <c r="CL45" s="177"/>
      <c r="CM45" s="182"/>
      <c r="CN45" s="177"/>
      <c r="CO45" s="182"/>
      <c r="CP45" s="177"/>
      <c r="CQ45" s="178"/>
      <c r="CR45" s="182"/>
      <c r="CS45" s="173"/>
      <c r="CT45" s="65"/>
      <c r="CU45" s="271" t="str">
        <f t="shared" si="2"/>
        <v>MVK</v>
      </c>
    </row>
    <row r="46" ht="60.0" customHeight="1">
      <c r="A46" s="65"/>
      <c r="C46" s="167">
        <v>6.0</v>
      </c>
      <c r="D46" s="168" t="s">
        <v>158</v>
      </c>
      <c r="E46" s="169"/>
      <c r="F46" s="170"/>
      <c r="G46" s="170"/>
      <c r="H46" s="170"/>
      <c r="I46" s="207"/>
      <c r="J46" s="170"/>
      <c r="K46" s="171"/>
      <c r="L46" s="171"/>
      <c r="M46" s="171"/>
      <c r="N46" s="276"/>
      <c r="O46" s="256">
        <f t="shared" si="8"/>
        <v>0</v>
      </c>
      <c r="Q46" s="173"/>
      <c r="R46" s="65"/>
      <c r="S46" s="173"/>
      <c r="T46" s="173"/>
      <c r="U46" s="166"/>
      <c r="V46" s="166"/>
      <c r="W46" s="65"/>
      <c r="X46" s="66"/>
      <c r="Y46" s="173"/>
      <c r="Z46" s="166"/>
      <c r="AA46" s="174"/>
      <c r="AB46" s="175"/>
      <c r="AC46" s="175"/>
      <c r="AD46" s="175"/>
      <c r="AE46" s="175"/>
      <c r="AF46" s="175"/>
      <c r="AG46" s="175"/>
      <c r="AH46" s="175"/>
      <c r="AI46" s="176"/>
      <c r="AJ46" s="177"/>
      <c r="AK46" s="178"/>
      <c r="AL46" s="178"/>
      <c r="AM46" s="178"/>
      <c r="AN46" s="178"/>
      <c r="AO46" s="179"/>
      <c r="AP46" s="64"/>
      <c r="AQ46" s="65"/>
      <c r="AR46" s="65"/>
      <c r="AS46" s="65"/>
      <c r="AT46" s="173"/>
      <c r="AU46" s="177"/>
      <c r="AV46" s="178"/>
      <c r="AW46" s="178"/>
      <c r="AX46" s="179"/>
      <c r="AZ46" s="166"/>
      <c r="BA46" s="177"/>
      <c r="BB46" s="178"/>
      <c r="BC46" s="178"/>
      <c r="BD46" s="178"/>
      <c r="BE46" s="178"/>
      <c r="BF46" s="178"/>
      <c r="BG46" s="178"/>
      <c r="BH46" s="178"/>
      <c r="BI46" s="179"/>
      <c r="BJ46" s="180"/>
      <c r="BK46" s="178"/>
      <c r="BL46" s="178"/>
      <c r="BM46" s="178"/>
      <c r="BN46" s="178"/>
      <c r="BO46" s="181"/>
      <c r="BP46" s="166"/>
      <c r="BQ46" s="177"/>
      <c r="BR46" s="178"/>
      <c r="BS46" s="179"/>
      <c r="BU46" s="166"/>
      <c r="BV46" s="166"/>
      <c r="BW46" s="166"/>
      <c r="BX46" s="166"/>
      <c r="BY46" s="166"/>
      <c r="BZ46" s="166"/>
      <c r="CA46" s="166"/>
      <c r="CB46" s="166"/>
      <c r="CC46" s="166"/>
      <c r="CD46" s="177"/>
      <c r="CE46" s="181"/>
      <c r="CF46" s="177"/>
      <c r="CG46" s="179"/>
      <c r="CH46" s="257"/>
      <c r="CI46" s="182"/>
      <c r="CJ46" s="177"/>
      <c r="CK46" s="182"/>
      <c r="CL46" s="177"/>
      <c r="CM46" s="182"/>
      <c r="CN46" s="177"/>
      <c r="CO46" s="182"/>
      <c r="CP46" s="177"/>
      <c r="CQ46" s="178"/>
      <c r="CR46" s="182"/>
      <c r="CS46" s="173"/>
      <c r="CT46" s="65"/>
      <c r="CU46" s="271" t="str">
        <f t="shared" si="2"/>
        <v>MVK</v>
      </c>
    </row>
    <row r="47" ht="60.0" customHeight="1">
      <c r="A47" s="65"/>
      <c r="C47" s="167">
        <v>7.0</v>
      </c>
      <c r="D47" s="168" t="s">
        <v>158</v>
      </c>
      <c r="E47" s="169"/>
      <c r="F47" s="170"/>
      <c r="G47" s="170"/>
      <c r="H47" s="170"/>
      <c r="I47" s="207"/>
      <c r="J47" s="170"/>
      <c r="K47" s="171"/>
      <c r="L47" s="171"/>
      <c r="M47" s="171"/>
      <c r="N47" s="276"/>
      <c r="O47" s="256">
        <f t="shared" ref="O47:O50" si="9">IF(AND(M47&gt;=20,M47&lt;&gt;"m",RIGHT(K47,3)="Lec"),1,IF(AND(M47&gt;=20,M47&lt;&gt;"m",OR(RIGHT(K47,3)="Lab",RIGHT(K47,3)="Tut")),0.5,IF(AND(M47&gt;=20,M47&lt;&gt;"m",RIGHT(K47,2)="TL"),0.75,0)))</f>
        <v>0</v>
      </c>
      <c r="Q47" s="173"/>
      <c r="R47" s="65"/>
      <c r="S47" s="173"/>
      <c r="T47" s="173"/>
      <c r="U47" s="166"/>
      <c r="V47" s="166"/>
      <c r="W47" s="65"/>
      <c r="X47" s="66"/>
      <c r="Y47" s="173"/>
      <c r="Z47" s="166"/>
      <c r="AA47" s="174"/>
      <c r="AB47" s="175"/>
      <c r="AC47" s="175"/>
      <c r="AD47" s="175"/>
      <c r="AE47" s="175"/>
      <c r="AF47" s="175"/>
      <c r="AG47" s="175"/>
      <c r="AH47" s="175"/>
      <c r="AI47" s="176"/>
      <c r="AJ47" s="177"/>
      <c r="AK47" s="178"/>
      <c r="AL47" s="178"/>
      <c r="AM47" s="178"/>
      <c r="AN47" s="178"/>
      <c r="AO47" s="179"/>
      <c r="AP47" s="64"/>
      <c r="AQ47" s="65"/>
      <c r="AR47" s="65"/>
      <c r="AS47" s="65"/>
      <c r="AT47" s="173"/>
      <c r="AU47" s="177"/>
      <c r="AV47" s="178"/>
      <c r="AW47" s="178"/>
      <c r="AX47" s="179"/>
      <c r="AZ47" s="166"/>
      <c r="BA47" s="177"/>
      <c r="BB47" s="178"/>
      <c r="BC47" s="178"/>
      <c r="BD47" s="178"/>
      <c r="BE47" s="178"/>
      <c r="BF47" s="178"/>
      <c r="BG47" s="178"/>
      <c r="BH47" s="178"/>
      <c r="BI47" s="179"/>
      <c r="BJ47" s="180"/>
      <c r="BK47" s="178"/>
      <c r="BL47" s="178"/>
      <c r="BM47" s="178"/>
      <c r="BN47" s="178"/>
      <c r="BO47" s="181"/>
      <c r="BP47" s="166"/>
      <c r="BQ47" s="177"/>
      <c r="BR47" s="178"/>
      <c r="BS47" s="179"/>
      <c r="BU47" s="166"/>
      <c r="BV47" s="166"/>
      <c r="BW47" s="166"/>
      <c r="BX47" s="166"/>
      <c r="BY47" s="166"/>
      <c r="BZ47" s="166"/>
      <c r="CA47" s="166"/>
      <c r="CB47" s="166"/>
      <c r="CC47" s="166"/>
      <c r="CD47" s="177"/>
      <c r="CE47" s="181"/>
      <c r="CF47" s="177"/>
      <c r="CG47" s="179"/>
      <c r="CH47" s="257"/>
      <c r="CI47" s="182"/>
      <c r="CJ47" s="177"/>
      <c r="CK47" s="182"/>
      <c r="CL47" s="177"/>
      <c r="CM47" s="182"/>
      <c r="CN47" s="177"/>
      <c r="CO47" s="182"/>
      <c r="CP47" s="177"/>
      <c r="CQ47" s="178"/>
      <c r="CR47" s="182"/>
      <c r="CS47" s="173"/>
      <c r="CT47" s="65"/>
      <c r="CU47" s="271" t="str">
        <f t="shared" si="2"/>
        <v>MVK</v>
      </c>
    </row>
    <row r="48" ht="60.0" customHeight="1">
      <c r="A48" s="65"/>
      <c r="C48" s="167">
        <v>8.0</v>
      </c>
      <c r="D48" s="168" t="s">
        <v>158</v>
      </c>
      <c r="E48" s="169"/>
      <c r="F48" s="170"/>
      <c r="G48" s="170"/>
      <c r="H48" s="170"/>
      <c r="I48" s="207"/>
      <c r="J48" s="170"/>
      <c r="K48" s="171"/>
      <c r="L48" s="171"/>
      <c r="M48" s="171"/>
      <c r="N48" s="276"/>
      <c r="O48" s="256">
        <f t="shared" si="9"/>
        <v>0</v>
      </c>
      <c r="Q48" s="173"/>
      <c r="R48" s="65"/>
      <c r="S48" s="173"/>
      <c r="T48" s="173"/>
      <c r="U48" s="166"/>
      <c r="V48" s="166"/>
      <c r="W48" s="65"/>
      <c r="X48" s="66"/>
      <c r="Y48" s="173"/>
      <c r="Z48" s="166"/>
      <c r="AA48" s="174"/>
      <c r="AB48" s="175"/>
      <c r="AC48" s="175"/>
      <c r="AD48" s="175"/>
      <c r="AE48" s="175"/>
      <c r="AF48" s="175"/>
      <c r="AG48" s="175"/>
      <c r="AH48" s="175"/>
      <c r="AI48" s="176"/>
      <c r="AJ48" s="177"/>
      <c r="AK48" s="178"/>
      <c r="AL48" s="178"/>
      <c r="AM48" s="178"/>
      <c r="AN48" s="178"/>
      <c r="AO48" s="179"/>
      <c r="AP48" s="64"/>
      <c r="AQ48" s="65"/>
      <c r="AR48" s="65"/>
      <c r="AS48" s="65"/>
      <c r="AT48" s="173"/>
      <c r="AU48" s="177"/>
      <c r="AV48" s="178"/>
      <c r="AW48" s="178"/>
      <c r="AX48" s="179"/>
      <c r="AZ48" s="166"/>
      <c r="BA48" s="177"/>
      <c r="BB48" s="178"/>
      <c r="BC48" s="178"/>
      <c r="BD48" s="178"/>
      <c r="BE48" s="178"/>
      <c r="BF48" s="178"/>
      <c r="BG48" s="178"/>
      <c r="BH48" s="178"/>
      <c r="BI48" s="179"/>
      <c r="BJ48" s="180"/>
      <c r="BK48" s="178"/>
      <c r="BL48" s="178"/>
      <c r="BM48" s="178"/>
      <c r="BN48" s="178"/>
      <c r="BO48" s="181"/>
      <c r="BP48" s="166"/>
      <c r="BQ48" s="177"/>
      <c r="BR48" s="178"/>
      <c r="BS48" s="179"/>
      <c r="BU48" s="166"/>
      <c r="BV48" s="166"/>
      <c r="BW48" s="166"/>
      <c r="BX48" s="166"/>
      <c r="BY48" s="166"/>
      <c r="BZ48" s="166"/>
      <c r="CA48" s="166"/>
      <c r="CB48" s="166"/>
      <c r="CC48" s="166"/>
      <c r="CD48" s="177"/>
      <c r="CE48" s="181"/>
      <c r="CF48" s="177"/>
      <c r="CG48" s="179"/>
      <c r="CH48" s="257"/>
      <c r="CI48" s="182"/>
      <c r="CJ48" s="177"/>
      <c r="CK48" s="182"/>
      <c r="CL48" s="177"/>
      <c r="CM48" s="182"/>
      <c r="CN48" s="177"/>
      <c r="CO48" s="182"/>
      <c r="CP48" s="177"/>
      <c r="CQ48" s="178"/>
      <c r="CR48" s="182"/>
      <c r="CS48" s="173"/>
      <c r="CT48" s="65"/>
      <c r="CU48" s="271" t="str">
        <f t="shared" si="2"/>
        <v>MVK</v>
      </c>
    </row>
    <row r="49" ht="60.0" customHeight="1">
      <c r="A49" s="65"/>
      <c r="C49" s="167">
        <v>9.0</v>
      </c>
      <c r="D49" s="168" t="s">
        <v>158</v>
      </c>
      <c r="E49" s="169"/>
      <c r="F49" s="170"/>
      <c r="G49" s="170"/>
      <c r="H49" s="170"/>
      <c r="I49" s="207"/>
      <c r="J49" s="170"/>
      <c r="K49" s="171"/>
      <c r="L49" s="171"/>
      <c r="M49" s="171"/>
      <c r="N49" s="276"/>
      <c r="O49" s="256">
        <f t="shared" si="9"/>
        <v>0</v>
      </c>
      <c r="Q49" s="173"/>
      <c r="R49" s="65"/>
      <c r="S49" s="173"/>
      <c r="T49" s="173"/>
      <c r="U49" s="166"/>
      <c r="V49" s="166"/>
      <c r="W49" s="65"/>
      <c r="X49" s="66"/>
      <c r="Y49" s="173"/>
      <c r="Z49" s="166"/>
      <c r="AA49" s="174"/>
      <c r="AB49" s="175"/>
      <c r="AC49" s="175"/>
      <c r="AD49" s="175"/>
      <c r="AE49" s="175"/>
      <c r="AF49" s="175"/>
      <c r="AG49" s="175"/>
      <c r="AH49" s="175"/>
      <c r="AI49" s="176"/>
      <c r="AJ49" s="177"/>
      <c r="AK49" s="178"/>
      <c r="AL49" s="178"/>
      <c r="AM49" s="178"/>
      <c r="AN49" s="178"/>
      <c r="AO49" s="179"/>
      <c r="AP49" s="64"/>
      <c r="AQ49" s="65"/>
      <c r="AR49" s="65"/>
      <c r="AS49" s="65"/>
      <c r="AT49" s="173"/>
      <c r="AU49" s="177"/>
      <c r="AV49" s="178"/>
      <c r="AW49" s="178"/>
      <c r="AX49" s="179"/>
      <c r="AZ49" s="166"/>
      <c r="BA49" s="177"/>
      <c r="BB49" s="178"/>
      <c r="BC49" s="178"/>
      <c r="BD49" s="178"/>
      <c r="BE49" s="178"/>
      <c r="BF49" s="178"/>
      <c r="BG49" s="178"/>
      <c r="BH49" s="178"/>
      <c r="BI49" s="179"/>
      <c r="BJ49" s="180"/>
      <c r="BK49" s="178"/>
      <c r="BL49" s="178"/>
      <c r="BM49" s="178"/>
      <c r="BN49" s="178"/>
      <c r="BO49" s="181"/>
      <c r="BP49" s="166"/>
      <c r="BQ49" s="177"/>
      <c r="BR49" s="178"/>
      <c r="BS49" s="179"/>
      <c r="BU49" s="166"/>
      <c r="BV49" s="166"/>
      <c r="BW49" s="166"/>
      <c r="BX49" s="166"/>
      <c r="BY49" s="166"/>
      <c r="BZ49" s="166"/>
      <c r="CA49" s="166"/>
      <c r="CB49" s="166"/>
      <c r="CC49" s="166"/>
      <c r="CD49" s="177"/>
      <c r="CE49" s="181"/>
      <c r="CF49" s="177"/>
      <c r="CG49" s="179"/>
      <c r="CH49" s="257"/>
      <c r="CI49" s="182"/>
      <c r="CJ49" s="177"/>
      <c r="CK49" s="182"/>
      <c r="CL49" s="177"/>
      <c r="CM49" s="182"/>
      <c r="CN49" s="177"/>
      <c r="CO49" s="182"/>
      <c r="CP49" s="177"/>
      <c r="CQ49" s="178"/>
      <c r="CR49" s="182"/>
      <c r="CS49" s="173"/>
      <c r="CT49" s="65"/>
      <c r="CU49" s="271" t="str">
        <f t="shared" si="2"/>
        <v>MVK</v>
      </c>
    </row>
    <row r="50" ht="60.0" customHeight="1">
      <c r="A50" s="65"/>
      <c r="C50" s="167">
        <v>10.0</v>
      </c>
      <c r="D50" s="168" t="s">
        <v>158</v>
      </c>
      <c r="E50" s="169"/>
      <c r="F50" s="170"/>
      <c r="G50" s="170"/>
      <c r="H50" s="170"/>
      <c r="I50" s="207"/>
      <c r="J50" s="170"/>
      <c r="K50" s="171"/>
      <c r="L50" s="171"/>
      <c r="M50" s="171"/>
      <c r="N50" s="276"/>
      <c r="O50" s="256">
        <f t="shared" si="9"/>
        <v>0</v>
      </c>
      <c r="Q50" s="173"/>
      <c r="R50" s="65"/>
      <c r="S50" s="173"/>
      <c r="T50" s="173"/>
      <c r="U50" s="166"/>
      <c r="V50" s="166"/>
      <c r="W50" s="65"/>
      <c r="X50" s="66"/>
      <c r="Y50" s="173"/>
      <c r="Z50" s="166"/>
      <c r="AA50" s="174"/>
      <c r="AB50" s="175"/>
      <c r="AC50" s="175"/>
      <c r="AD50" s="175"/>
      <c r="AE50" s="175"/>
      <c r="AF50" s="175"/>
      <c r="AG50" s="175"/>
      <c r="AH50" s="175"/>
      <c r="AI50" s="176"/>
      <c r="AJ50" s="177"/>
      <c r="AK50" s="178"/>
      <c r="AL50" s="178"/>
      <c r="AM50" s="178"/>
      <c r="AN50" s="178"/>
      <c r="AO50" s="179"/>
      <c r="AP50" s="64"/>
      <c r="AQ50" s="65"/>
      <c r="AR50" s="65"/>
      <c r="AS50" s="65"/>
      <c r="AT50" s="173"/>
      <c r="AU50" s="177"/>
      <c r="AV50" s="178"/>
      <c r="AW50" s="178"/>
      <c r="AX50" s="179"/>
      <c r="AZ50" s="166"/>
      <c r="BA50" s="177"/>
      <c r="BB50" s="178"/>
      <c r="BC50" s="178"/>
      <c r="BD50" s="178"/>
      <c r="BE50" s="178"/>
      <c r="BF50" s="178"/>
      <c r="BG50" s="178"/>
      <c r="BH50" s="178"/>
      <c r="BI50" s="179"/>
      <c r="BJ50" s="180"/>
      <c r="BK50" s="178"/>
      <c r="BL50" s="178"/>
      <c r="BM50" s="178"/>
      <c r="BN50" s="178"/>
      <c r="BO50" s="181"/>
      <c r="BP50" s="166"/>
      <c r="BQ50" s="177"/>
      <c r="BR50" s="178"/>
      <c r="BS50" s="179"/>
      <c r="BU50" s="166"/>
      <c r="BV50" s="166"/>
      <c r="BW50" s="166"/>
      <c r="BX50" s="166"/>
      <c r="BY50" s="166"/>
      <c r="BZ50" s="166"/>
      <c r="CA50" s="166"/>
      <c r="CB50" s="166"/>
      <c r="CC50" s="166"/>
      <c r="CD50" s="177"/>
      <c r="CE50" s="181"/>
      <c r="CF50" s="177"/>
      <c r="CG50" s="179"/>
      <c r="CH50" s="257"/>
      <c r="CI50" s="182"/>
      <c r="CJ50" s="177"/>
      <c r="CK50" s="182"/>
      <c r="CL50" s="177"/>
      <c r="CM50" s="182"/>
      <c r="CN50" s="177"/>
      <c r="CO50" s="182"/>
      <c r="CP50" s="177"/>
      <c r="CQ50" s="178"/>
      <c r="CR50" s="182"/>
      <c r="CS50" s="173"/>
      <c r="CT50" s="65"/>
      <c r="CU50" s="271" t="str">
        <f t="shared" si="2"/>
        <v>MVK</v>
      </c>
    </row>
    <row r="51" ht="60.0" customHeight="1">
      <c r="A51" s="89"/>
      <c r="C51" s="183">
        <v>11.0</v>
      </c>
      <c r="D51" s="210" t="s">
        <v>158</v>
      </c>
      <c r="E51" s="185"/>
      <c r="F51" s="186"/>
      <c r="G51" s="186"/>
      <c r="H51" s="186"/>
      <c r="I51" s="212"/>
      <c r="J51" s="186"/>
      <c r="K51" s="187"/>
      <c r="L51" s="187"/>
      <c r="M51" s="187"/>
      <c r="N51" s="284"/>
      <c r="O51" s="258">
        <f t="shared" ref="O51:O57" si="10">IF(AND(M51&lt;&gt;0,M51&lt;&gt;"m",M51&lt;&gt;"",RIGHT(K51,3)="Lec"),1,IF(AND(M51&lt;&gt;0,M51&lt;&gt;"m",M51&lt;&gt;"",OR(RIGHT(K51,3)="Lab",RIGHT(K51,3)="Tut")),0.5,IF(AND(M51&lt;&gt;0,M51&lt;&gt;"m",M51&lt;&gt;"",RIGHT(K51,2)="TL"),0.75,0)))</f>
        <v>0</v>
      </c>
      <c r="P51" s="6"/>
      <c r="Q51" s="69"/>
      <c r="R51" s="89"/>
      <c r="S51" s="69"/>
      <c r="T51" s="69"/>
      <c r="U51" s="63"/>
      <c r="V51" s="63"/>
      <c r="W51" s="89"/>
      <c r="X51" s="68"/>
      <c r="Y51" s="69"/>
      <c r="Z51" s="63"/>
      <c r="AA51" s="189"/>
      <c r="AB51" s="190"/>
      <c r="AC51" s="190"/>
      <c r="AD51" s="190"/>
      <c r="AE51" s="190"/>
      <c r="AF51" s="190"/>
      <c r="AG51" s="190"/>
      <c r="AH51" s="190"/>
      <c r="AI51" s="191"/>
      <c r="AJ51" s="192"/>
      <c r="AK51" s="193"/>
      <c r="AL51" s="193"/>
      <c r="AM51" s="193"/>
      <c r="AN51" s="193"/>
      <c r="AO51" s="194"/>
      <c r="AP51" s="103"/>
      <c r="AQ51" s="89"/>
      <c r="AR51" s="89"/>
      <c r="AS51" s="89"/>
      <c r="AT51" s="69"/>
      <c r="AU51" s="192"/>
      <c r="AV51" s="193"/>
      <c r="AW51" s="193"/>
      <c r="AX51" s="194"/>
      <c r="AY51" s="6"/>
      <c r="AZ51" s="63"/>
      <c r="BA51" s="192"/>
      <c r="BB51" s="193"/>
      <c r="BC51" s="193"/>
      <c r="BD51" s="193"/>
      <c r="BE51" s="193"/>
      <c r="BF51" s="193"/>
      <c r="BG51" s="193"/>
      <c r="BH51" s="193"/>
      <c r="BI51" s="194"/>
      <c r="BJ51" s="195"/>
      <c r="BK51" s="193"/>
      <c r="BL51" s="193"/>
      <c r="BM51" s="193"/>
      <c r="BN51" s="193"/>
      <c r="BO51" s="196"/>
      <c r="BP51" s="63"/>
      <c r="BQ51" s="192"/>
      <c r="BR51" s="193"/>
      <c r="BS51" s="194"/>
      <c r="BT51" s="6"/>
      <c r="BU51" s="63"/>
      <c r="BV51" s="63"/>
      <c r="BW51" s="63"/>
      <c r="BX51" s="63"/>
      <c r="BY51" s="63"/>
      <c r="BZ51" s="63"/>
      <c r="CA51" s="63"/>
      <c r="CB51" s="63"/>
      <c r="CC51" s="63"/>
      <c r="CD51" s="192"/>
      <c r="CE51" s="196"/>
      <c r="CF51" s="192"/>
      <c r="CG51" s="194"/>
      <c r="CH51" s="259"/>
      <c r="CI51" s="197"/>
      <c r="CJ51" s="192"/>
      <c r="CK51" s="197"/>
      <c r="CL51" s="192"/>
      <c r="CM51" s="197"/>
      <c r="CN51" s="192"/>
      <c r="CO51" s="197"/>
      <c r="CP51" s="192"/>
      <c r="CQ51" s="193"/>
      <c r="CR51" s="197"/>
      <c r="CS51" s="69"/>
      <c r="CT51" s="89"/>
      <c r="CU51" s="272" t="str">
        <f t="shared" si="2"/>
        <v>MVK</v>
      </c>
    </row>
    <row r="52" ht="55.5" customHeight="1">
      <c r="A52" s="125">
        <v>5.0</v>
      </c>
      <c r="B52" s="199" t="s">
        <v>161</v>
      </c>
      <c r="C52" s="127">
        <v>1.0</v>
      </c>
      <c r="D52" s="168" t="s">
        <v>162</v>
      </c>
      <c r="E52" s="129"/>
      <c r="F52" s="130"/>
      <c r="G52" s="130"/>
      <c r="H52" s="130"/>
      <c r="I52" s="201"/>
      <c r="J52" s="130"/>
      <c r="K52" s="131"/>
      <c r="L52" s="131"/>
      <c r="M52" s="131"/>
      <c r="N52" s="275"/>
      <c r="O52" s="250">
        <f t="shared" si="10"/>
        <v>0</v>
      </c>
      <c r="P52" s="251">
        <f>COUNTIF(K52:K62,"TL")*0.75+COUNTIF(K52:K62,"Lec")*1+COUNTIF(K52:K62,"Lab")*0.5</f>
        <v>0</v>
      </c>
      <c r="Q52" s="134">
        <f>SUM((IF(LEFT(K52,1)="E",O52,0)),(IF(LEFT(K53,1)="E",O53,0)),(IF(LEFT(K54,1)="E",O54,0)),(IF(LEFT(K55,1)="E",O55,0)),(IF(LEFT(K56,1)="E",O56,0)),(IF(LEFT(K57,1)="E",O57,0)),(IF(LEFT(K58,1)="E",O58,0)),(IF(LEFT(K59,1)="E",O59,0)),(IF(LEFT(K60,1)="E",O60,0)),(IF(LEFT(K61,1)="E",O61,0)),(IF(LEFT(K62,1)="E",O62,0)))</f>
        <v>0</v>
      </c>
      <c r="R52" s="135">
        <f>SUM(IF(M58&lt;20,IF(K58="Plec",-1,IF(K58="PTL",-0.75,IF(K58="Plab",-0.5,0))),0),IF(M59&lt;20,IF(K59="Plec",-1,IF(K59="PTL",-0.75,IF(K59="Plab",-0.5,0))),0),IF(M60&lt;20,IF(K60="Plec",-1,IF(K60="PTL",-0.75,IF(K60="Plab",-0.5,0))),0),IF(M61&lt;20,IF(K61="Plec",-1,IF(K61="PTL",-0.75,IF(K61="Plab",-0.5,0))),0))</f>
        <v>0</v>
      </c>
      <c r="S52" s="134">
        <f>SUM(P52:R62)</f>
        <v>0</v>
      </c>
      <c r="T52" s="136">
        <f>SUM(IF(M52="M",IF(OR(K52="lec",K52="plec",K52="slec"),1,IF(OR(K52="lab",K52="plab",K52="slab",K52="tut",K52="ptut",K52="stut"),0.5,IF(OR(K52="TL",K52="pTL",K52="STL"),0.75,0))),0),IF(M53="M",IF(OR(K53="lec",K53="plec",K53="slec"),1,IF(OR(K53="lab",K53="plab",K53="slab",K53="tut",K53="ptut",K53="stut"),0.5,IF(OR(K53="TL",K53="pTL",K53="STL"),0.75,0))),0),IF(M54="M",IF(OR(K54="lec",K54="plec",K54="slec"),1,IF(OR(K54="lab",K54="plab",K54="slab",K54="tut",K54="ptut",K54="stut"),0.5,IF(OR(K54="TL",K54="pTL",K54="STL"),0.75,0))),0),IF(M55="M",IF(OR(K55="lec",K55="plec",K55="slec"),1,IF(OR(K55="lab",K55="plab",K55="slab",K55="tut",K55="ptut",K55="stut"),0.5,IF(OR(K55="TL",K55="pTL",K55="STL"),0.75,0))),0),IF(M56="M",IF(OR(K56="lec",K56="plec",K56="slec"),1,IF(OR(K56="lab",K56="plab",K56="slab",K56="tut",K56="ptut",K56="stut"),0.5,IF(OR(K56="TL",K56="pTL",K56="STL"),0.75,0))),0),IF(M57="M",IF(OR(K57="lec",K57="plec",K57="slec"),1,IF(OR(K57="lab",K57="plab",K57="slab",K57="tut",K57="ptut",K57="stut"),0.5,IF(OR(K57="TL",K57="pTL",K57="STL"),0.75,0))),0),IF(M58="M",IF(OR(K58="lec",K58="plec",K58="slec"),1,IF(OR(K58="lab",K58="plab",K58="slab",K58="tut",K58="ptut",K58="stut"),0.5,IF(OR(K58="TL",K58="pTL",K58="STL"),0.75,0))),0),IF(M59="M",IF(OR(K59="lec",K59="plec",K59="slec"),1,IF(OR(K59="lab",K59="plab",K59="slab",K59="tut",K59="ptut",K59="stut"),0.5,IF(OR(K59="TL",K59="pTL",K59="STL"),0.75,0))),0),IF(M60="M",IF(OR(K60="lec",K60="plec",K60="slec"),1,IF(OR(K60="lab",K60="plab",K60="slab",K60="tut",K60="ptut",K60="stut"),0.5,IF(OR(K60="TL",K60="pTL",K60="STL"),0.75,0))),0),IF(M61="M",IF(OR(K61="lec",K61="plec",K61="slec"),1,IF(OR(K61="lab",K61="plab",K61="slab",K61="tut",K61="ptut",K61="stut"),0.5,IF(OR(K61="TL",K61="pTL",K61="STL"),0.75,0))),0),IF(M62="M",IF(OR(K62="lec",K62="plec",K62="slec"),1,IF(OR(K62="lab",K62="plab",K62="slab",K62="tut",K62="ptut",K62="stut"),0.5,IF(OR(K62="TL",K62="pTL",K62="STL"),0.75,0))),0))</f>
        <v>0</v>
      </c>
      <c r="U52" s="137"/>
      <c r="V52" s="133"/>
      <c r="W52" s="138"/>
      <c r="X52" s="139">
        <f>S52-(T52+U52+V52+W52)</f>
        <v>0</v>
      </c>
      <c r="Y52" s="134" t="str">
        <f>CONCATENATE(SUM(O52:O62),"(",SUM(O52:O62)-X52,")")</f>
        <v>0(0)</v>
      </c>
      <c r="Z52" s="140"/>
      <c r="AA52" s="141"/>
      <c r="AB52" s="142"/>
      <c r="AC52" s="142"/>
      <c r="AD52" s="142"/>
      <c r="AE52" s="142"/>
      <c r="AF52" s="142"/>
      <c r="AG52" s="142"/>
      <c r="AH52" s="142"/>
      <c r="AI52" s="143"/>
      <c r="AJ52" s="144"/>
      <c r="AK52" s="145"/>
      <c r="AL52" s="145"/>
      <c r="AM52" s="145"/>
      <c r="AN52" s="145"/>
      <c r="AO52" s="146"/>
      <c r="AP52" s="147">
        <f>SUM(SUM(O52:O62),SUM(AI52:AI62)/2,AM52)</f>
        <v>0</v>
      </c>
      <c r="AQ52" s="148"/>
      <c r="AR52" s="148">
        <f>AP52*AQ52</f>
        <v>0</v>
      </c>
      <c r="AS52" s="148">
        <f>CT52</f>
        <v>4</v>
      </c>
      <c r="AT52" s="149">
        <f>AR52*0.75+AS52*0.25</f>
        <v>1</v>
      </c>
      <c r="AU52" s="150"/>
      <c r="AV52" s="151"/>
      <c r="AW52" s="151"/>
      <c r="AX52" s="152"/>
      <c r="AY52" s="153"/>
      <c r="AZ52" s="140"/>
      <c r="BA52" s="150"/>
      <c r="BB52" s="151"/>
      <c r="BC52" s="151"/>
      <c r="BD52" s="151"/>
      <c r="BE52" s="151"/>
      <c r="BF52" s="151"/>
      <c r="BG52" s="151"/>
      <c r="BH52" s="151"/>
      <c r="BI52" s="152">
        <v>16.0</v>
      </c>
      <c r="BJ52" s="154"/>
      <c r="BK52" s="151"/>
      <c r="BL52" s="151"/>
      <c r="BM52" s="151"/>
      <c r="BN52" s="151"/>
      <c r="BO52" s="155"/>
      <c r="BP52" s="140"/>
      <c r="BQ52" s="156"/>
      <c r="BR52" s="157"/>
      <c r="BS52" s="158"/>
      <c r="BT52" s="153"/>
      <c r="BU52" s="140"/>
      <c r="BV52" s="140"/>
      <c r="BW52" s="140"/>
      <c r="BX52" s="140"/>
      <c r="BY52" s="140"/>
      <c r="BZ52" s="140"/>
      <c r="CA52" s="140"/>
      <c r="CB52" s="140"/>
      <c r="CC52" s="140"/>
      <c r="CD52" s="150"/>
      <c r="CE52" s="155"/>
      <c r="CF52" s="150"/>
      <c r="CG52" s="152"/>
      <c r="CH52" s="252" t="s">
        <v>305</v>
      </c>
      <c r="CI52" s="160">
        <v>0.0</v>
      </c>
      <c r="CJ52" s="159"/>
      <c r="CK52" s="160"/>
      <c r="CL52" s="159"/>
      <c r="CM52" s="160"/>
      <c r="CN52" s="159"/>
      <c r="CO52" s="160"/>
      <c r="CP52" s="159"/>
      <c r="CQ52" s="162"/>
      <c r="CR52" s="160"/>
      <c r="CS52" s="253">
        <f>SUM(IF(AU52&lt;0,ABS(AU52),0),IF(AZ52&lt;0,ABS(AZ52),0),ABS(CI52),ABS(CK52),ABS(CM52),ABS(CO52),ABS(CQ52),ABS(CR52))</f>
        <v>0</v>
      </c>
      <c r="CT52" s="254">
        <f>SUM(AU52,AV52,AW52,AX52/400,AY52,AZ52,BG52,BH52*0.5,BI52*0.25,BJ52,BK52,BL52,BM52,BN52,BO52,BP52,BR52/20,BS52/100,BT52/60,BU52,BV52,BW52,BX52/4,SUM(BY52:CC62)/3,CE52,CG52/3,CI52,CK52,CM52,CO52,CQ52,CR52)</f>
        <v>4</v>
      </c>
      <c r="CU52" s="255" t="str">
        <f t="shared" si="2"/>
        <v>PCS</v>
      </c>
    </row>
    <row r="53" ht="60.0" customHeight="1">
      <c r="A53" s="65"/>
      <c r="C53" s="167">
        <v>2.0</v>
      </c>
      <c r="D53" s="168" t="s">
        <v>162</v>
      </c>
      <c r="E53" s="169"/>
      <c r="F53" s="170"/>
      <c r="G53" s="170"/>
      <c r="H53" s="170"/>
      <c r="I53" s="207"/>
      <c r="J53" s="170"/>
      <c r="K53" s="171"/>
      <c r="L53" s="171"/>
      <c r="M53" s="171"/>
      <c r="N53" s="276"/>
      <c r="O53" s="256">
        <f t="shared" si="10"/>
        <v>0</v>
      </c>
      <c r="Q53" s="173"/>
      <c r="R53" s="65"/>
      <c r="S53" s="173"/>
      <c r="T53" s="173"/>
      <c r="U53" s="166"/>
      <c r="V53" s="166"/>
      <c r="W53" s="65"/>
      <c r="X53" s="66"/>
      <c r="Y53" s="173"/>
      <c r="Z53" s="166"/>
      <c r="AA53" s="174"/>
      <c r="AB53" s="175"/>
      <c r="AC53" s="175"/>
      <c r="AD53" s="175"/>
      <c r="AE53" s="175"/>
      <c r="AF53" s="175"/>
      <c r="AG53" s="175"/>
      <c r="AH53" s="175"/>
      <c r="AI53" s="176"/>
      <c r="AJ53" s="177"/>
      <c r="AK53" s="178"/>
      <c r="AL53" s="178"/>
      <c r="AM53" s="178"/>
      <c r="AN53" s="178"/>
      <c r="AO53" s="179"/>
      <c r="AP53" s="64"/>
      <c r="AQ53" s="65"/>
      <c r="AR53" s="65"/>
      <c r="AS53" s="65"/>
      <c r="AT53" s="173"/>
      <c r="AU53" s="177"/>
      <c r="AV53" s="178"/>
      <c r="AW53" s="178"/>
      <c r="AX53" s="179"/>
      <c r="AZ53" s="166"/>
      <c r="BA53" s="177"/>
      <c r="BB53" s="178"/>
      <c r="BC53" s="178"/>
      <c r="BD53" s="178"/>
      <c r="BE53" s="178"/>
      <c r="BF53" s="178"/>
      <c r="BG53" s="178"/>
      <c r="BH53" s="178"/>
      <c r="BI53" s="179"/>
      <c r="BJ53" s="180"/>
      <c r="BK53" s="178"/>
      <c r="BL53" s="178"/>
      <c r="BM53" s="178"/>
      <c r="BN53" s="178"/>
      <c r="BO53" s="181"/>
      <c r="BP53" s="166"/>
      <c r="BQ53" s="177"/>
      <c r="BR53" s="178"/>
      <c r="BS53" s="179"/>
      <c r="BU53" s="166"/>
      <c r="BV53" s="166"/>
      <c r="BW53" s="166"/>
      <c r="BX53" s="166"/>
      <c r="BY53" s="166"/>
      <c r="BZ53" s="166"/>
      <c r="CA53" s="166"/>
      <c r="CB53" s="166"/>
      <c r="CC53" s="166"/>
      <c r="CD53" s="177"/>
      <c r="CE53" s="181"/>
      <c r="CF53" s="177"/>
      <c r="CG53" s="179"/>
      <c r="CH53" s="257"/>
      <c r="CI53" s="182"/>
      <c r="CJ53" s="177"/>
      <c r="CK53" s="182"/>
      <c r="CL53" s="177"/>
      <c r="CM53" s="182"/>
      <c r="CN53" s="177"/>
      <c r="CO53" s="182"/>
      <c r="CP53" s="177"/>
      <c r="CQ53" s="178"/>
      <c r="CR53" s="182"/>
      <c r="CS53" s="173"/>
      <c r="CT53" s="65"/>
      <c r="CU53" s="271" t="str">
        <f t="shared" si="2"/>
        <v>PCS</v>
      </c>
    </row>
    <row r="54" ht="60.0" customHeight="1">
      <c r="A54" s="65"/>
      <c r="C54" s="167">
        <v>3.0</v>
      </c>
      <c r="D54" s="168" t="s">
        <v>162</v>
      </c>
      <c r="E54" s="169"/>
      <c r="F54" s="170"/>
      <c r="G54" s="170"/>
      <c r="H54" s="170"/>
      <c r="I54" s="207"/>
      <c r="J54" s="170"/>
      <c r="K54" s="171"/>
      <c r="L54" s="171"/>
      <c r="M54" s="171"/>
      <c r="N54" s="276"/>
      <c r="O54" s="256">
        <f t="shared" si="10"/>
        <v>0</v>
      </c>
      <c r="Q54" s="173"/>
      <c r="R54" s="65"/>
      <c r="S54" s="173"/>
      <c r="T54" s="173"/>
      <c r="U54" s="166"/>
      <c r="V54" s="166"/>
      <c r="W54" s="65"/>
      <c r="X54" s="66"/>
      <c r="Y54" s="173"/>
      <c r="Z54" s="166"/>
      <c r="AA54" s="174"/>
      <c r="AB54" s="175"/>
      <c r="AC54" s="175"/>
      <c r="AD54" s="175"/>
      <c r="AE54" s="175"/>
      <c r="AF54" s="175"/>
      <c r="AG54" s="175"/>
      <c r="AH54" s="175"/>
      <c r="AI54" s="176"/>
      <c r="AJ54" s="177"/>
      <c r="AK54" s="178"/>
      <c r="AL54" s="178"/>
      <c r="AM54" s="178"/>
      <c r="AN54" s="178"/>
      <c r="AO54" s="179"/>
      <c r="AP54" s="64"/>
      <c r="AQ54" s="65"/>
      <c r="AR54" s="65"/>
      <c r="AS54" s="65"/>
      <c r="AT54" s="173"/>
      <c r="AU54" s="177"/>
      <c r="AV54" s="178"/>
      <c r="AW54" s="178"/>
      <c r="AX54" s="179"/>
      <c r="AZ54" s="166"/>
      <c r="BA54" s="177"/>
      <c r="BB54" s="178"/>
      <c r="BC54" s="178"/>
      <c r="BD54" s="178"/>
      <c r="BE54" s="178"/>
      <c r="BF54" s="178"/>
      <c r="BG54" s="178"/>
      <c r="BH54" s="178"/>
      <c r="BI54" s="179"/>
      <c r="BJ54" s="180"/>
      <c r="BK54" s="178"/>
      <c r="BL54" s="178"/>
      <c r="BM54" s="178"/>
      <c r="BN54" s="178"/>
      <c r="BO54" s="181"/>
      <c r="BP54" s="166"/>
      <c r="BQ54" s="177"/>
      <c r="BR54" s="178"/>
      <c r="BS54" s="179"/>
      <c r="BU54" s="166"/>
      <c r="BV54" s="166"/>
      <c r="BW54" s="166"/>
      <c r="BX54" s="166"/>
      <c r="BY54" s="166"/>
      <c r="BZ54" s="166"/>
      <c r="CA54" s="166"/>
      <c r="CB54" s="166"/>
      <c r="CC54" s="166"/>
      <c r="CD54" s="177"/>
      <c r="CE54" s="181"/>
      <c r="CF54" s="177"/>
      <c r="CG54" s="179"/>
      <c r="CH54" s="257"/>
      <c r="CI54" s="182"/>
      <c r="CJ54" s="177"/>
      <c r="CK54" s="182"/>
      <c r="CL54" s="177"/>
      <c r="CM54" s="182"/>
      <c r="CN54" s="177"/>
      <c r="CO54" s="182"/>
      <c r="CP54" s="177"/>
      <c r="CQ54" s="178"/>
      <c r="CR54" s="182"/>
      <c r="CS54" s="173"/>
      <c r="CT54" s="65"/>
      <c r="CU54" s="271" t="str">
        <f t="shared" si="2"/>
        <v>PCS</v>
      </c>
    </row>
    <row r="55" ht="60.0" customHeight="1">
      <c r="A55" s="65"/>
      <c r="C55" s="167">
        <v>4.0</v>
      </c>
      <c r="D55" s="168" t="s">
        <v>162</v>
      </c>
      <c r="E55" s="169"/>
      <c r="F55" s="170"/>
      <c r="G55" s="170"/>
      <c r="H55" s="170"/>
      <c r="I55" s="207"/>
      <c r="J55" s="170"/>
      <c r="K55" s="171"/>
      <c r="L55" s="171"/>
      <c r="M55" s="171"/>
      <c r="N55" s="276"/>
      <c r="O55" s="256">
        <f t="shared" si="10"/>
        <v>0</v>
      </c>
      <c r="Q55" s="173"/>
      <c r="R55" s="65"/>
      <c r="S55" s="173"/>
      <c r="T55" s="173"/>
      <c r="U55" s="166"/>
      <c r="V55" s="166"/>
      <c r="W55" s="65"/>
      <c r="X55" s="66"/>
      <c r="Y55" s="173"/>
      <c r="Z55" s="166"/>
      <c r="AA55" s="174"/>
      <c r="AB55" s="175"/>
      <c r="AC55" s="175"/>
      <c r="AD55" s="175"/>
      <c r="AE55" s="175"/>
      <c r="AF55" s="175"/>
      <c r="AG55" s="175"/>
      <c r="AH55" s="175"/>
      <c r="AI55" s="176"/>
      <c r="AJ55" s="177"/>
      <c r="AK55" s="178"/>
      <c r="AL55" s="178"/>
      <c r="AM55" s="178"/>
      <c r="AN55" s="178"/>
      <c r="AO55" s="179"/>
      <c r="AP55" s="64"/>
      <c r="AQ55" s="65"/>
      <c r="AR55" s="65"/>
      <c r="AS55" s="65"/>
      <c r="AT55" s="173"/>
      <c r="AU55" s="177"/>
      <c r="AV55" s="178"/>
      <c r="AW55" s="178"/>
      <c r="AX55" s="179"/>
      <c r="AZ55" s="166"/>
      <c r="BA55" s="177"/>
      <c r="BB55" s="178"/>
      <c r="BC55" s="178"/>
      <c r="BD55" s="178"/>
      <c r="BE55" s="178"/>
      <c r="BF55" s="178"/>
      <c r="BG55" s="178"/>
      <c r="BH55" s="178"/>
      <c r="BI55" s="179"/>
      <c r="BJ55" s="180"/>
      <c r="BK55" s="178"/>
      <c r="BL55" s="178"/>
      <c r="BM55" s="178"/>
      <c r="BN55" s="178"/>
      <c r="BO55" s="181"/>
      <c r="BP55" s="166"/>
      <c r="BQ55" s="177"/>
      <c r="BR55" s="178"/>
      <c r="BS55" s="179"/>
      <c r="BU55" s="166"/>
      <c r="BV55" s="166"/>
      <c r="BW55" s="166"/>
      <c r="BX55" s="166"/>
      <c r="BY55" s="166"/>
      <c r="BZ55" s="166"/>
      <c r="CA55" s="166"/>
      <c r="CB55" s="166"/>
      <c r="CC55" s="166"/>
      <c r="CD55" s="177"/>
      <c r="CE55" s="181"/>
      <c r="CF55" s="177"/>
      <c r="CG55" s="179"/>
      <c r="CH55" s="257"/>
      <c r="CI55" s="182"/>
      <c r="CJ55" s="177"/>
      <c r="CK55" s="182"/>
      <c r="CL55" s="177"/>
      <c r="CM55" s="182"/>
      <c r="CN55" s="177"/>
      <c r="CO55" s="182"/>
      <c r="CP55" s="177"/>
      <c r="CQ55" s="178"/>
      <c r="CR55" s="182"/>
      <c r="CS55" s="173"/>
      <c r="CT55" s="65"/>
      <c r="CU55" s="271" t="str">
        <f t="shared" si="2"/>
        <v>PCS</v>
      </c>
    </row>
    <row r="56" ht="60.0" customHeight="1">
      <c r="A56" s="65"/>
      <c r="C56" s="167">
        <v>5.0</v>
      </c>
      <c r="D56" s="168" t="s">
        <v>162</v>
      </c>
      <c r="E56" s="169"/>
      <c r="F56" s="170"/>
      <c r="G56" s="170"/>
      <c r="H56" s="170"/>
      <c r="I56" s="207"/>
      <c r="J56" s="170"/>
      <c r="K56" s="171"/>
      <c r="L56" s="171"/>
      <c r="M56" s="171"/>
      <c r="N56" s="276"/>
      <c r="O56" s="256">
        <f t="shared" si="10"/>
        <v>0</v>
      </c>
      <c r="Q56" s="173"/>
      <c r="R56" s="65"/>
      <c r="S56" s="173"/>
      <c r="T56" s="173"/>
      <c r="U56" s="166"/>
      <c r="V56" s="166"/>
      <c r="W56" s="65"/>
      <c r="X56" s="66"/>
      <c r="Y56" s="173"/>
      <c r="Z56" s="166"/>
      <c r="AA56" s="174"/>
      <c r="AB56" s="175"/>
      <c r="AC56" s="175"/>
      <c r="AD56" s="175"/>
      <c r="AE56" s="175"/>
      <c r="AF56" s="175"/>
      <c r="AG56" s="175"/>
      <c r="AH56" s="175"/>
      <c r="AI56" s="176"/>
      <c r="AJ56" s="177"/>
      <c r="AK56" s="178"/>
      <c r="AL56" s="178"/>
      <c r="AM56" s="178"/>
      <c r="AN56" s="178"/>
      <c r="AO56" s="179"/>
      <c r="AP56" s="64"/>
      <c r="AQ56" s="65"/>
      <c r="AR56" s="65"/>
      <c r="AS56" s="65"/>
      <c r="AT56" s="173"/>
      <c r="AU56" s="177"/>
      <c r="AV56" s="178"/>
      <c r="AW56" s="178"/>
      <c r="AX56" s="179"/>
      <c r="AZ56" s="166"/>
      <c r="BA56" s="177"/>
      <c r="BB56" s="178"/>
      <c r="BC56" s="178"/>
      <c r="BD56" s="178"/>
      <c r="BE56" s="178"/>
      <c r="BF56" s="178"/>
      <c r="BG56" s="178"/>
      <c r="BH56" s="178"/>
      <c r="BI56" s="179"/>
      <c r="BJ56" s="180"/>
      <c r="BK56" s="178"/>
      <c r="BL56" s="178"/>
      <c r="BM56" s="178"/>
      <c r="BN56" s="178"/>
      <c r="BO56" s="181"/>
      <c r="BP56" s="166"/>
      <c r="BQ56" s="177"/>
      <c r="BR56" s="178"/>
      <c r="BS56" s="179"/>
      <c r="BU56" s="166"/>
      <c r="BV56" s="166"/>
      <c r="BW56" s="166"/>
      <c r="BX56" s="166"/>
      <c r="BY56" s="166"/>
      <c r="BZ56" s="166"/>
      <c r="CA56" s="166"/>
      <c r="CB56" s="166"/>
      <c r="CC56" s="166"/>
      <c r="CD56" s="177"/>
      <c r="CE56" s="181"/>
      <c r="CF56" s="177"/>
      <c r="CG56" s="179"/>
      <c r="CH56" s="257"/>
      <c r="CI56" s="182"/>
      <c r="CJ56" s="177"/>
      <c r="CK56" s="182"/>
      <c r="CL56" s="177"/>
      <c r="CM56" s="182"/>
      <c r="CN56" s="177"/>
      <c r="CO56" s="182"/>
      <c r="CP56" s="177"/>
      <c r="CQ56" s="178"/>
      <c r="CR56" s="182"/>
      <c r="CS56" s="173"/>
      <c r="CT56" s="65"/>
      <c r="CU56" s="271" t="str">
        <f t="shared" si="2"/>
        <v>PCS</v>
      </c>
    </row>
    <row r="57" ht="60.0" customHeight="1">
      <c r="A57" s="65"/>
      <c r="C57" s="167">
        <v>6.0</v>
      </c>
      <c r="D57" s="168" t="s">
        <v>162</v>
      </c>
      <c r="E57" s="169"/>
      <c r="F57" s="170"/>
      <c r="G57" s="170"/>
      <c r="H57" s="170"/>
      <c r="I57" s="207"/>
      <c r="J57" s="170"/>
      <c r="K57" s="171"/>
      <c r="L57" s="171"/>
      <c r="M57" s="171"/>
      <c r="N57" s="276"/>
      <c r="O57" s="256">
        <f t="shared" si="10"/>
        <v>0</v>
      </c>
      <c r="Q57" s="173"/>
      <c r="R57" s="65"/>
      <c r="S57" s="173"/>
      <c r="T57" s="173"/>
      <c r="U57" s="166"/>
      <c r="V57" s="166"/>
      <c r="W57" s="65"/>
      <c r="X57" s="66"/>
      <c r="Y57" s="173"/>
      <c r="Z57" s="166"/>
      <c r="AA57" s="174"/>
      <c r="AB57" s="175"/>
      <c r="AC57" s="175"/>
      <c r="AD57" s="175"/>
      <c r="AE57" s="175"/>
      <c r="AF57" s="175"/>
      <c r="AG57" s="175"/>
      <c r="AH57" s="175"/>
      <c r="AI57" s="176"/>
      <c r="AJ57" s="177"/>
      <c r="AK57" s="178"/>
      <c r="AL57" s="178"/>
      <c r="AM57" s="178"/>
      <c r="AN57" s="178"/>
      <c r="AO57" s="179"/>
      <c r="AP57" s="64"/>
      <c r="AQ57" s="65"/>
      <c r="AR57" s="65"/>
      <c r="AS57" s="65"/>
      <c r="AT57" s="173"/>
      <c r="AU57" s="177"/>
      <c r="AV57" s="178"/>
      <c r="AW57" s="178"/>
      <c r="AX57" s="179"/>
      <c r="AZ57" s="166"/>
      <c r="BA57" s="177"/>
      <c r="BB57" s="178"/>
      <c r="BC57" s="178"/>
      <c r="BD57" s="178"/>
      <c r="BE57" s="178"/>
      <c r="BF57" s="178"/>
      <c r="BG57" s="178"/>
      <c r="BH57" s="178"/>
      <c r="BI57" s="179"/>
      <c r="BJ57" s="180"/>
      <c r="BK57" s="178"/>
      <c r="BL57" s="178"/>
      <c r="BM57" s="178"/>
      <c r="BN57" s="178"/>
      <c r="BO57" s="181"/>
      <c r="BP57" s="166"/>
      <c r="BQ57" s="177"/>
      <c r="BR57" s="178"/>
      <c r="BS57" s="179"/>
      <c r="BU57" s="166"/>
      <c r="BV57" s="166"/>
      <c r="BW57" s="166"/>
      <c r="BX57" s="166"/>
      <c r="BY57" s="166"/>
      <c r="BZ57" s="166"/>
      <c r="CA57" s="166"/>
      <c r="CB57" s="166"/>
      <c r="CC57" s="166"/>
      <c r="CD57" s="177"/>
      <c r="CE57" s="181"/>
      <c r="CF57" s="177"/>
      <c r="CG57" s="179"/>
      <c r="CH57" s="257"/>
      <c r="CI57" s="182"/>
      <c r="CJ57" s="177"/>
      <c r="CK57" s="182"/>
      <c r="CL57" s="177"/>
      <c r="CM57" s="182"/>
      <c r="CN57" s="177"/>
      <c r="CO57" s="182"/>
      <c r="CP57" s="177"/>
      <c r="CQ57" s="178"/>
      <c r="CR57" s="182"/>
      <c r="CS57" s="173"/>
      <c r="CT57" s="65"/>
      <c r="CU57" s="271" t="str">
        <f t="shared" si="2"/>
        <v>PCS</v>
      </c>
    </row>
    <row r="58" ht="60.0" customHeight="1">
      <c r="A58" s="65"/>
      <c r="C58" s="167">
        <v>7.0</v>
      </c>
      <c r="D58" s="168" t="s">
        <v>162</v>
      </c>
      <c r="E58" s="169"/>
      <c r="F58" s="170"/>
      <c r="G58" s="170"/>
      <c r="H58" s="170"/>
      <c r="I58" s="207"/>
      <c r="J58" s="170"/>
      <c r="K58" s="171"/>
      <c r="L58" s="171"/>
      <c r="M58" s="171"/>
      <c r="N58" s="276"/>
      <c r="O58" s="256">
        <f t="shared" ref="O58:O61" si="11">IF(AND(M58&gt;=20,M58&lt;&gt;"m",RIGHT(K58,3)="Lec"),1,IF(AND(M58&gt;=20,M58&lt;&gt;"m",OR(RIGHT(K58,3)="Lab",RIGHT(K58,3)="Tut")),0.5,IF(AND(M58&gt;=20,M58&lt;&gt;"m",RIGHT(K58,2)="TL"),0.75,0)))</f>
        <v>0</v>
      </c>
      <c r="Q58" s="173"/>
      <c r="R58" s="65"/>
      <c r="S58" s="173"/>
      <c r="T58" s="173"/>
      <c r="U58" s="166"/>
      <c r="V58" s="166"/>
      <c r="W58" s="65"/>
      <c r="X58" s="66"/>
      <c r="Y58" s="173"/>
      <c r="Z58" s="166"/>
      <c r="AA58" s="174"/>
      <c r="AB58" s="175"/>
      <c r="AC58" s="175"/>
      <c r="AD58" s="175"/>
      <c r="AE58" s="175"/>
      <c r="AF58" s="175"/>
      <c r="AG58" s="175"/>
      <c r="AH58" s="175"/>
      <c r="AI58" s="176"/>
      <c r="AJ58" s="177"/>
      <c r="AK58" s="178"/>
      <c r="AL58" s="178"/>
      <c r="AM58" s="178"/>
      <c r="AN58" s="178"/>
      <c r="AO58" s="179"/>
      <c r="AP58" s="64"/>
      <c r="AQ58" s="65"/>
      <c r="AR58" s="65"/>
      <c r="AS58" s="65"/>
      <c r="AT58" s="173"/>
      <c r="AU58" s="177"/>
      <c r="AV58" s="178"/>
      <c r="AW58" s="178"/>
      <c r="AX58" s="179"/>
      <c r="AZ58" s="166"/>
      <c r="BA58" s="177"/>
      <c r="BB58" s="178"/>
      <c r="BC58" s="178"/>
      <c r="BD58" s="178"/>
      <c r="BE58" s="178"/>
      <c r="BF58" s="178"/>
      <c r="BG58" s="178"/>
      <c r="BH58" s="178"/>
      <c r="BI58" s="179"/>
      <c r="BJ58" s="180"/>
      <c r="BK58" s="178"/>
      <c r="BL58" s="178"/>
      <c r="BM58" s="178"/>
      <c r="BN58" s="178"/>
      <c r="BO58" s="181"/>
      <c r="BP58" s="166"/>
      <c r="BQ58" s="177"/>
      <c r="BR58" s="178"/>
      <c r="BS58" s="179"/>
      <c r="BU58" s="166"/>
      <c r="BV58" s="166"/>
      <c r="BW58" s="166"/>
      <c r="BX58" s="166"/>
      <c r="BY58" s="166"/>
      <c r="BZ58" s="166"/>
      <c r="CA58" s="166"/>
      <c r="CB58" s="166"/>
      <c r="CC58" s="166"/>
      <c r="CD58" s="177"/>
      <c r="CE58" s="181"/>
      <c r="CF58" s="177"/>
      <c r="CG58" s="179"/>
      <c r="CH58" s="257"/>
      <c r="CI58" s="182"/>
      <c r="CJ58" s="177"/>
      <c r="CK58" s="182"/>
      <c r="CL58" s="177"/>
      <c r="CM58" s="182"/>
      <c r="CN58" s="177"/>
      <c r="CO58" s="182"/>
      <c r="CP58" s="177"/>
      <c r="CQ58" s="178"/>
      <c r="CR58" s="182"/>
      <c r="CS58" s="173"/>
      <c r="CT58" s="65"/>
      <c r="CU58" s="271" t="str">
        <f t="shared" si="2"/>
        <v>PCS</v>
      </c>
    </row>
    <row r="59" ht="60.0" customHeight="1">
      <c r="A59" s="65"/>
      <c r="C59" s="167">
        <v>8.0</v>
      </c>
      <c r="D59" s="168" t="s">
        <v>162</v>
      </c>
      <c r="E59" s="169"/>
      <c r="F59" s="170"/>
      <c r="G59" s="170"/>
      <c r="H59" s="170"/>
      <c r="I59" s="207"/>
      <c r="J59" s="170"/>
      <c r="K59" s="171"/>
      <c r="L59" s="171"/>
      <c r="M59" s="171"/>
      <c r="N59" s="276"/>
      <c r="O59" s="256">
        <f t="shared" si="11"/>
        <v>0</v>
      </c>
      <c r="Q59" s="173"/>
      <c r="R59" s="65"/>
      <c r="S59" s="173"/>
      <c r="T59" s="173"/>
      <c r="U59" s="166"/>
      <c r="V59" s="166"/>
      <c r="W59" s="65"/>
      <c r="X59" s="66"/>
      <c r="Y59" s="173"/>
      <c r="Z59" s="166"/>
      <c r="AA59" s="174"/>
      <c r="AB59" s="175"/>
      <c r="AC59" s="175"/>
      <c r="AD59" s="175"/>
      <c r="AE59" s="175"/>
      <c r="AF59" s="175"/>
      <c r="AG59" s="175"/>
      <c r="AH59" s="175"/>
      <c r="AI59" s="176"/>
      <c r="AJ59" s="177"/>
      <c r="AK59" s="178"/>
      <c r="AL59" s="178"/>
      <c r="AM59" s="178"/>
      <c r="AN59" s="178"/>
      <c r="AO59" s="179"/>
      <c r="AP59" s="64"/>
      <c r="AQ59" s="65"/>
      <c r="AR59" s="65"/>
      <c r="AS59" s="65"/>
      <c r="AT59" s="173"/>
      <c r="AU59" s="177"/>
      <c r="AV59" s="178"/>
      <c r="AW59" s="178"/>
      <c r="AX59" s="179"/>
      <c r="AZ59" s="166"/>
      <c r="BA59" s="177"/>
      <c r="BB59" s="178"/>
      <c r="BC59" s="178"/>
      <c r="BD59" s="178"/>
      <c r="BE59" s="178"/>
      <c r="BF59" s="178"/>
      <c r="BG59" s="178"/>
      <c r="BH59" s="178"/>
      <c r="BI59" s="179"/>
      <c r="BJ59" s="180"/>
      <c r="BK59" s="178"/>
      <c r="BL59" s="178"/>
      <c r="BM59" s="178"/>
      <c r="BN59" s="178"/>
      <c r="BO59" s="181"/>
      <c r="BP59" s="166"/>
      <c r="BQ59" s="177"/>
      <c r="BR59" s="178"/>
      <c r="BS59" s="179"/>
      <c r="BU59" s="166"/>
      <c r="BV59" s="166"/>
      <c r="BW59" s="166"/>
      <c r="BX59" s="166"/>
      <c r="BY59" s="166"/>
      <c r="BZ59" s="166"/>
      <c r="CA59" s="166"/>
      <c r="CB59" s="166"/>
      <c r="CC59" s="166"/>
      <c r="CD59" s="177"/>
      <c r="CE59" s="181"/>
      <c r="CF59" s="177"/>
      <c r="CG59" s="179"/>
      <c r="CH59" s="257"/>
      <c r="CI59" s="182"/>
      <c r="CJ59" s="177"/>
      <c r="CK59" s="182"/>
      <c r="CL59" s="177"/>
      <c r="CM59" s="182"/>
      <c r="CN59" s="177"/>
      <c r="CO59" s="182"/>
      <c r="CP59" s="177"/>
      <c r="CQ59" s="178"/>
      <c r="CR59" s="182"/>
      <c r="CS59" s="173"/>
      <c r="CT59" s="65"/>
      <c r="CU59" s="271" t="str">
        <f t="shared" si="2"/>
        <v>PCS</v>
      </c>
    </row>
    <row r="60" ht="60.0" customHeight="1">
      <c r="A60" s="65"/>
      <c r="C60" s="167">
        <v>9.0</v>
      </c>
      <c r="D60" s="168" t="s">
        <v>162</v>
      </c>
      <c r="E60" s="169"/>
      <c r="F60" s="170"/>
      <c r="G60" s="170"/>
      <c r="H60" s="170"/>
      <c r="I60" s="207"/>
      <c r="J60" s="170"/>
      <c r="K60" s="171"/>
      <c r="L60" s="171"/>
      <c r="M60" s="171"/>
      <c r="N60" s="276"/>
      <c r="O60" s="256">
        <f t="shared" si="11"/>
        <v>0</v>
      </c>
      <c r="Q60" s="173"/>
      <c r="R60" s="65"/>
      <c r="S60" s="173"/>
      <c r="T60" s="173"/>
      <c r="U60" s="166"/>
      <c r="V60" s="166"/>
      <c r="W60" s="65"/>
      <c r="X60" s="66"/>
      <c r="Y60" s="173"/>
      <c r="Z60" s="166"/>
      <c r="AA60" s="174"/>
      <c r="AB60" s="175"/>
      <c r="AC60" s="175"/>
      <c r="AD60" s="175"/>
      <c r="AE60" s="175"/>
      <c r="AF60" s="175"/>
      <c r="AG60" s="175"/>
      <c r="AH60" s="175"/>
      <c r="AI60" s="176"/>
      <c r="AJ60" s="177"/>
      <c r="AK60" s="178"/>
      <c r="AL60" s="178"/>
      <c r="AM60" s="178"/>
      <c r="AN60" s="178"/>
      <c r="AO60" s="179"/>
      <c r="AP60" s="64"/>
      <c r="AQ60" s="65"/>
      <c r="AR60" s="65"/>
      <c r="AS60" s="65"/>
      <c r="AT60" s="173"/>
      <c r="AU60" s="177"/>
      <c r="AV60" s="178"/>
      <c r="AW60" s="178"/>
      <c r="AX60" s="179"/>
      <c r="AZ60" s="166"/>
      <c r="BA60" s="177"/>
      <c r="BB60" s="178"/>
      <c r="BC60" s="178"/>
      <c r="BD60" s="178"/>
      <c r="BE60" s="178"/>
      <c r="BF60" s="178"/>
      <c r="BG60" s="178"/>
      <c r="BH60" s="178"/>
      <c r="BI60" s="179"/>
      <c r="BJ60" s="180"/>
      <c r="BK60" s="178"/>
      <c r="BL60" s="178"/>
      <c r="BM60" s="178"/>
      <c r="BN60" s="178"/>
      <c r="BO60" s="181"/>
      <c r="BP60" s="166"/>
      <c r="BQ60" s="177"/>
      <c r="BR60" s="178"/>
      <c r="BS60" s="179"/>
      <c r="BU60" s="166"/>
      <c r="BV60" s="166"/>
      <c r="BW60" s="166"/>
      <c r="BX60" s="166"/>
      <c r="BY60" s="166"/>
      <c r="BZ60" s="166"/>
      <c r="CA60" s="166"/>
      <c r="CB60" s="166"/>
      <c r="CC60" s="166"/>
      <c r="CD60" s="177"/>
      <c r="CE60" s="181"/>
      <c r="CF60" s="177"/>
      <c r="CG60" s="179"/>
      <c r="CH60" s="257"/>
      <c r="CI60" s="182"/>
      <c r="CJ60" s="177"/>
      <c r="CK60" s="182"/>
      <c r="CL60" s="177"/>
      <c r="CM60" s="182"/>
      <c r="CN60" s="177"/>
      <c r="CO60" s="182"/>
      <c r="CP60" s="177"/>
      <c r="CQ60" s="178"/>
      <c r="CR60" s="182"/>
      <c r="CS60" s="173"/>
      <c r="CT60" s="65"/>
      <c r="CU60" s="271" t="str">
        <f t="shared" si="2"/>
        <v>PCS</v>
      </c>
    </row>
    <row r="61" ht="60.0" customHeight="1">
      <c r="A61" s="65"/>
      <c r="C61" s="167">
        <v>10.0</v>
      </c>
      <c r="D61" s="168" t="s">
        <v>162</v>
      </c>
      <c r="E61" s="169"/>
      <c r="F61" s="170"/>
      <c r="G61" s="170"/>
      <c r="H61" s="170"/>
      <c r="I61" s="207"/>
      <c r="J61" s="170"/>
      <c r="K61" s="171"/>
      <c r="L61" s="171"/>
      <c r="M61" s="171"/>
      <c r="N61" s="276"/>
      <c r="O61" s="256">
        <f t="shared" si="11"/>
        <v>0</v>
      </c>
      <c r="Q61" s="173"/>
      <c r="R61" s="65"/>
      <c r="S61" s="173"/>
      <c r="T61" s="173"/>
      <c r="U61" s="166"/>
      <c r="V61" s="166"/>
      <c r="W61" s="65"/>
      <c r="X61" s="66"/>
      <c r="Y61" s="173"/>
      <c r="Z61" s="166"/>
      <c r="AA61" s="174"/>
      <c r="AB61" s="175"/>
      <c r="AC61" s="175"/>
      <c r="AD61" s="175"/>
      <c r="AE61" s="175"/>
      <c r="AF61" s="175"/>
      <c r="AG61" s="175"/>
      <c r="AH61" s="175"/>
      <c r="AI61" s="176"/>
      <c r="AJ61" s="177"/>
      <c r="AK61" s="178"/>
      <c r="AL61" s="178"/>
      <c r="AM61" s="178"/>
      <c r="AN61" s="178"/>
      <c r="AO61" s="179"/>
      <c r="AP61" s="64"/>
      <c r="AQ61" s="65"/>
      <c r="AR61" s="65"/>
      <c r="AS61" s="65"/>
      <c r="AT61" s="173"/>
      <c r="AU61" s="177"/>
      <c r="AV61" s="178"/>
      <c r="AW61" s="178"/>
      <c r="AX61" s="179"/>
      <c r="AZ61" s="166"/>
      <c r="BA61" s="177"/>
      <c r="BB61" s="178"/>
      <c r="BC61" s="178"/>
      <c r="BD61" s="178"/>
      <c r="BE61" s="178"/>
      <c r="BF61" s="178"/>
      <c r="BG61" s="178"/>
      <c r="BH61" s="178"/>
      <c r="BI61" s="179"/>
      <c r="BJ61" s="180"/>
      <c r="BK61" s="178"/>
      <c r="BL61" s="178"/>
      <c r="BM61" s="178"/>
      <c r="BN61" s="178"/>
      <c r="BO61" s="181"/>
      <c r="BP61" s="166"/>
      <c r="BQ61" s="177"/>
      <c r="BR61" s="178"/>
      <c r="BS61" s="179"/>
      <c r="BU61" s="166"/>
      <c r="BV61" s="166"/>
      <c r="BW61" s="166"/>
      <c r="BX61" s="166"/>
      <c r="BY61" s="166"/>
      <c r="BZ61" s="166"/>
      <c r="CA61" s="166"/>
      <c r="CB61" s="166"/>
      <c r="CC61" s="166"/>
      <c r="CD61" s="177"/>
      <c r="CE61" s="181"/>
      <c r="CF61" s="177"/>
      <c r="CG61" s="179"/>
      <c r="CH61" s="257"/>
      <c r="CI61" s="182"/>
      <c r="CJ61" s="177"/>
      <c r="CK61" s="182"/>
      <c r="CL61" s="177"/>
      <c r="CM61" s="182"/>
      <c r="CN61" s="177"/>
      <c r="CO61" s="182"/>
      <c r="CP61" s="177"/>
      <c r="CQ61" s="178"/>
      <c r="CR61" s="182"/>
      <c r="CS61" s="173"/>
      <c r="CT61" s="65"/>
      <c r="CU61" s="271" t="str">
        <f t="shared" si="2"/>
        <v>PCS</v>
      </c>
    </row>
    <row r="62" ht="60.0" customHeight="1">
      <c r="A62" s="89"/>
      <c r="C62" s="183">
        <v>11.0</v>
      </c>
      <c r="D62" s="210" t="s">
        <v>162</v>
      </c>
      <c r="E62" s="185"/>
      <c r="F62" s="186"/>
      <c r="G62" s="186"/>
      <c r="H62" s="186"/>
      <c r="I62" s="212"/>
      <c r="J62" s="186"/>
      <c r="K62" s="187"/>
      <c r="L62" s="187"/>
      <c r="M62" s="187"/>
      <c r="N62" s="284"/>
      <c r="O62" s="258">
        <f t="shared" ref="O62:O68" si="12">IF(AND(M62&lt;&gt;0,M62&lt;&gt;"m",M62&lt;&gt;"",RIGHT(K62,3)="Lec"),1,IF(AND(M62&lt;&gt;0,M62&lt;&gt;"m",M62&lt;&gt;"",OR(RIGHT(K62,3)="Lab",RIGHT(K62,3)="Tut")),0.5,IF(AND(M62&lt;&gt;0,M62&lt;&gt;"m",M62&lt;&gt;"",RIGHT(K62,2)="TL"),0.75,0)))</f>
        <v>0</v>
      </c>
      <c r="P62" s="6"/>
      <c r="Q62" s="69"/>
      <c r="R62" s="89"/>
      <c r="S62" s="69"/>
      <c r="T62" s="69"/>
      <c r="U62" s="63"/>
      <c r="V62" s="63"/>
      <c r="W62" s="89"/>
      <c r="X62" s="68"/>
      <c r="Y62" s="69"/>
      <c r="Z62" s="63"/>
      <c r="AA62" s="189"/>
      <c r="AB62" s="190"/>
      <c r="AC62" s="190"/>
      <c r="AD62" s="190"/>
      <c r="AE62" s="190"/>
      <c r="AF62" s="190"/>
      <c r="AG62" s="190"/>
      <c r="AH62" s="190"/>
      <c r="AI62" s="191"/>
      <c r="AJ62" s="192"/>
      <c r="AK62" s="193"/>
      <c r="AL62" s="193"/>
      <c r="AM62" s="193"/>
      <c r="AN62" s="193"/>
      <c r="AO62" s="194"/>
      <c r="AP62" s="103"/>
      <c r="AQ62" s="89"/>
      <c r="AR62" s="89"/>
      <c r="AS62" s="89"/>
      <c r="AT62" s="69"/>
      <c r="AU62" s="192"/>
      <c r="AV62" s="193"/>
      <c r="AW62" s="193"/>
      <c r="AX62" s="194"/>
      <c r="AY62" s="6"/>
      <c r="AZ62" s="63"/>
      <c r="BA62" s="192"/>
      <c r="BB62" s="193"/>
      <c r="BC62" s="193"/>
      <c r="BD62" s="193"/>
      <c r="BE62" s="193"/>
      <c r="BF62" s="193"/>
      <c r="BG62" s="193"/>
      <c r="BH62" s="193"/>
      <c r="BI62" s="194"/>
      <c r="BJ62" s="195"/>
      <c r="BK62" s="193"/>
      <c r="BL62" s="193"/>
      <c r="BM62" s="193"/>
      <c r="BN62" s="193"/>
      <c r="BO62" s="196"/>
      <c r="BP62" s="63"/>
      <c r="BQ62" s="192"/>
      <c r="BR62" s="193"/>
      <c r="BS62" s="194"/>
      <c r="BT62" s="6"/>
      <c r="BU62" s="63"/>
      <c r="BV62" s="63"/>
      <c r="BW62" s="63"/>
      <c r="BX62" s="63"/>
      <c r="BY62" s="63"/>
      <c r="BZ62" s="63"/>
      <c r="CA62" s="63"/>
      <c r="CB62" s="63"/>
      <c r="CC62" s="63"/>
      <c r="CD62" s="192"/>
      <c r="CE62" s="196"/>
      <c r="CF62" s="192"/>
      <c r="CG62" s="194"/>
      <c r="CH62" s="259"/>
      <c r="CI62" s="197"/>
      <c r="CJ62" s="192"/>
      <c r="CK62" s="197"/>
      <c r="CL62" s="192"/>
      <c r="CM62" s="197"/>
      <c r="CN62" s="192"/>
      <c r="CO62" s="197"/>
      <c r="CP62" s="192"/>
      <c r="CQ62" s="193"/>
      <c r="CR62" s="197"/>
      <c r="CS62" s="69"/>
      <c r="CT62" s="89"/>
      <c r="CU62" s="272" t="str">
        <f t="shared" si="2"/>
        <v>PCS</v>
      </c>
    </row>
    <row r="63" ht="55.5" customHeight="1">
      <c r="A63" s="125">
        <v>6.0</v>
      </c>
      <c r="B63" s="199" t="s">
        <v>164</v>
      </c>
      <c r="C63" s="127">
        <v>1.0</v>
      </c>
      <c r="D63" s="168" t="s">
        <v>165</v>
      </c>
      <c r="E63" s="129"/>
      <c r="F63" s="130"/>
      <c r="G63" s="130"/>
      <c r="H63" s="130"/>
      <c r="I63" s="201"/>
      <c r="J63" s="130"/>
      <c r="K63" s="131"/>
      <c r="L63" s="131"/>
      <c r="M63" s="131"/>
      <c r="N63" s="275"/>
      <c r="O63" s="250">
        <f t="shared" si="12"/>
        <v>0</v>
      </c>
      <c r="P63" s="251">
        <f>COUNTIF(K63:K73,"TL")*0.75+COUNTIF(K63:K73,"Lec")*1+COUNTIF(K63:K73,"Lab")*0.5</f>
        <v>0</v>
      </c>
      <c r="Q63" s="134">
        <f>SUM((IF(LEFT(K63,1)="E",O63,0)),(IF(LEFT(K64,1)="E",O64,0)),(IF(LEFT(K65,1)="E",O65,0)),(IF(LEFT(K66,1)="E",O66,0)),(IF(LEFT(K67,1)="E",O67,0)),(IF(LEFT(K68,1)="E",O68,0)),(IF(LEFT(K69,1)="E",O69,0)),(IF(LEFT(K70,1)="E",O70,0)),(IF(LEFT(K71,1)="E",O71,0)),(IF(LEFT(K72,1)="E",O72,0)),(IF(LEFT(K73,1)="E",O73,0)))</f>
        <v>0</v>
      </c>
      <c r="R63" s="135">
        <f>SUM(IF(M69&lt;20,IF(K69="Plec",-1,IF(K69="PTL",-0.75,IF(K69="Plab",-0.5,0))),0),IF(M70&lt;20,IF(K70="Plec",-1,IF(K70="PTL",-0.75,IF(K70="Plab",-0.5,0))),0),IF(M71&lt;20,IF(K71="Plec",-1,IF(K71="PTL",-0.75,IF(K71="Plab",-0.5,0))),0),IF(M72&lt;20,IF(K72="Plec",-1,IF(K72="PTL",-0.75,IF(K72="Plab",-0.5,0))),0))</f>
        <v>0</v>
      </c>
      <c r="S63" s="134">
        <f>SUM(P63:R73)</f>
        <v>0</v>
      </c>
      <c r="T63" s="136">
        <f>SUM(IF(M63="M",IF(OR(K63="lec",K63="plec",K63="slec"),1,IF(OR(K63="lab",K63="plab",K63="slab",K63="tut",K63="ptut",K63="stut"),0.5,IF(OR(K63="TL",K63="pTL",K63="STL"),0.75,0))),0),IF(M64="M",IF(OR(K64="lec",K64="plec",K64="slec"),1,IF(OR(K64="lab",K64="plab",K64="slab",K64="tut",K64="ptut",K64="stut"),0.5,IF(OR(K64="TL",K64="pTL",K64="STL"),0.75,0))),0),IF(M65="M",IF(OR(K65="lec",K65="plec",K65="slec"),1,IF(OR(K65="lab",K65="plab",K65="slab",K65="tut",K65="ptut",K65="stut"),0.5,IF(OR(K65="TL",K65="pTL",K65="STL"),0.75,0))),0),IF(M66="M",IF(OR(K66="lec",K66="plec",K66="slec"),1,IF(OR(K66="lab",K66="plab",K66="slab",K66="tut",K66="ptut",K66="stut"),0.5,IF(OR(K66="TL",K66="pTL",K66="STL"),0.75,0))),0),IF(M67="M",IF(OR(K67="lec",K67="plec",K67="slec"),1,IF(OR(K67="lab",K67="plab",K67="slab",K67="tut",K67="ptut",K67="stut"),0.5,IF(OR(K67="TL",K67="pTL",K67="STL"),0.75,0))),0),IF(M68="M",IF(OR(K68="lec",K68="plec",K68="slec"),1,IF(OR(K68="lab",K68="plab",K68="slab",K68="tut",K68="ptut",K68="stut"),0.5,IF(OR(K68="TL",K68="pTL",K68="STL"),0.75,0))),0),IF(M69="M",IF(OR(K69="lec",K69="plec",K69="slec"),1,IF(OR(K69="lab",K69="plab",K69="slab",K69="tut",K69="ptut",K69="stut"),0.5,IF(OR(K69="TL",K69="pTL",K69="STL"),0.75,0))),0),IF(M70="M",IF(OR(K70="lec",K70="plec",K70="slec"),1,IF(OR(K70="lab",K70="plab",K70="slab",K70="tut",K70="ptut",K70="stut"),0.5,IF(OR(K70="TL",K70="pTL",K70="STL"),0.75,0))),0),IF(M71="M",IF(OR(K71="lec",K71="plec",K71="slec"),1,IF(OR(K71="lab",K71="plab",K71="slab",K71="tut",K71="ptut",K71="stut"),0.5,IF(OR(K71="TL",K71="pTL",K71="STL"),0.75,0))),0),IF(M72="M",IF(OR(K72="lec",K72="plec",K72="slec"),1,IF(OR(K72="lab",K72="plab",K72="slab",K72="tut",K72="ptut",K72="stut"),0.5,IF(OR(K72="TL",K72="pTL",K72="STL"),0.75,0))),0),IF(M73="M",IF(OR(K73="lec",K73="plec",K73="slec"),1,IF(OR(K73="lab",K73="plab",K73="slab",K73="tut",K73="ptut",K73="stut"),0.5,IF(OR(K73="TL",K73="pTL",K73="STL"),0.75,0))),0))</f>
        <v>0</v>
      </c>
      <c r="U63" s="137"/>
      <c r="V63" s="133"/>
      <c r="W63" s="138"/>
      <c r="X63" s="139">
        <f>S63-(T63+U63+V63+W63)</f>
        <v>0</v>
      </c>
      <c r="Y63" s="134" t="str">
        <f>CONCATENATE(SUM(O63:O73),"(",SUM(O63:O73)-X63,")")</f>
        <v>0(0)</v>
      </c>
      <c r="Z63" s="140"/>
      <c r="AA63" s="141"/>
      <c r="AB63" s="142"/>
      <c r="AC63" s="142"/>
      <c r="AD63" s="142"/>
      <c r="AE63" s="142"/>
      <c r="AF63" s="142"/>
      <c r="AG63" s="142"/>
      <c r="AH63" s="142"/>
      <c r="AI63" s="143"/>
      <c r="AJ63" s="144"/>
      <c r="AK63" s="145"/>
      <c r="AL63" s="145"/>
      <c r="AM63" s="145"/>
      <c r="AN63" s="145"/>
      <c r="AO63" s="146"/>
      <c r="AP63" s="147">
        <f>SUM(SUM(O63:O73),SUM(AI63:AI73)/2,AM63)</f>
        <v>0</v>
      </c>
      <c r="AQ63" s="148"/>
      <c r="AR63" s="148">
        <f>AP63*AQ63</f>
        <v>0</v>
      </c>
      <c r="AS63" s="148">
        <f>CT63</f>
        <v>2</v>
      </c>
      <c r="AT63" s="149">
        <f>AR63*0.75+AS63*0.25</f>
        <v>0.5</v>
      </c>
      <c r="AU63" s="150"/>
      <c r="AV63" s="151"/>
      <c r="AW63" s="151"/>
      <c r="AX63" s="152"/>
      <c r="AY63" s="153"/>
      <c r="AZ63" s="140"/>
      <c r="BA63" s="150">
        <v>2.0</v>
      </c>
      <c r="BB63" s="151" t="s">
        <v>247</v>
      </c>
      <c r="BC63" s="285">
        <v>45298.0</v>
      </c>
      <c r="BD63" s="151" t="s">
        <v>314</v>
      </c>
      <c r="BE63" s="151" t="s">
        <v>150</v>
      </c>
      <c r="BF63" s="151"/>
      <c r="BG63" s="151">
        <v>2.0</v>
      </c>
      <c r="BH63" s="151"/>
      <c r="BI63" s="152"/>
      <c r="BJ63" s="154"/>
      <c r="BK63" s="151"/>
      <c r="BL63" s="151"/>
      <c r="BM63" s="151"/>
      <c r="BN63" s="151"/>
      <c r="BO63" s="155"/>
      <c r="BP63" s="140"/>
      <c r="BQ63" s="156"/>
      <c r="BR63" s="157"/>
      <c r="BS63" s="158"/>
      <c r="BT63" s="153"/>
      <c r="BU63" s="140"/>
      <c r="BV63" s="140"/>
      <c r="BW63" s="140"/>
      <c r="BX63" s="140"/>
      <c r="BY63" s="140"/>
      <c r="BZ63" s="140"/>
      <c r="CA63" s="140"/>
      <c r="CB63" s="140"/>
      <c r="CC63" s="140"/>
      <c r="CD63" s="150"/>
      <c r="CE63" s="155"/>
      <c r="CF63" s="150"/>
      <c r="CG63" s="152"/>
      <c r="CH63" s="252" t="s">
        <v>305</v>
      </c>
      <c r="CI63" s="160">
        <v>0.0</v>
      </c>
      <c r="CJ63" s="159"/>
      <c r="CK63" s="160"/>
      <c r="CL63" s="159"/>
      <c r="CM63" s="160"/>
      <c r="CN63" s="159"/>
      <c r="CO63" s="160"/>
      <c r="CP63" s="159"/>
      <c r="CQ63" s="162"/>
      <c r="CR63" s="160"/>
      <c r="CS63" s="253">
        <f>SUM(IF(AU63&lt;0,ABS(AU63),0),IF(AZ63&lt;0,ABS(AZ63),0),ABS(CI63),ABS(CK63),ABS(CM63),ABS(CO63),ABS(CQ63),ABS(CR63))</f>
        <v>0</v>
      </c>
      <c r="CT63" s="254">
        <f>SUM(AU63,AV63,AW63,AX63/400,AY63,AZ63,BG63,BH63*0.5,BI63*0.25,BJ63,BK63,BL63,BM63,BN63,BO63,BP63,BR63/20,BS63/100,BT63/60,BU63,BV63,BW63,BX63/4,SUM(BY63:CC73)/3,CE63,CG63/3,CI63,CK63,CM63,CO63,CQ63,CR63)</f>
        <v>2</v>
      </c>
      <c r="CU63" s="255" t="str">
        <f t="shared" si="2"/>
        <v>PKP</v>
      </c>
    </row>
    <row r="64" ht="60.0" customHeight="1">
      <c r="A64" s="65"/>
      <c r="C64" s="167">
        <v>2.0</v>
      </c>
      <c r="D64" s="168" t="s">
        <v>165</v>
      </c>
      <c r="E64" s="169"/>
      <c r="F64" s="170"/>
      <c r="G64" s="170"/>
      <c r="H64" s="170"/>
      <c r="I64" s="207"/>
      <c r="J64" s="170"/>
      <c r="K64" s="171"/>
      <c r="L64" s="171"/>
      <c r="M64" s="171"/>
      <c r="N64" s="276"/>
      <c r="O64" s="256">
        <f t="shared" si="12"/>
        <v>0</v>
      </c>
      <c r="Q64" s="173"/>
      <c r="R64" s="65"/>
      <c r="S64" s="173"/>
      <c r="T64" s="173"/>
      <c r="U64" s="166"/>
      <c r="V64" s="166"/>
      <c r="W64" s="65"/>
      <c r="X64" s="66"/>
      <c r="Y64" s="173"/>
      <c r="Z64" s="166"/>
      <c r="AA64" s="174"/>
      <c r="AB64" s="175"/>
      <c r="AC64" s="175"/>
      <c r="AD64" s="175"/>
      <c r="AE64" s="175"/>
      <c r="AF64" s="175"/>
      <c r="AG64" s="175"/>
      <c r="AH64" s="175"/>
      <c r="AI64" s="176"/>
      <c r="AJ64" s="177"/>
      <c r="AK64" s="178"/>
      <c r="AL64" s="178"/>
      <c r="AM64" s="178"/>
      <c r="AN64" s="178"/>
      <c r="AO64" s="179"/>
      <c r="AP64" s="64"/>
      <c r="AQ64" s="65"/>
      <c r="AR64" s="65"/>
      <c r="AS64" s="65"/>
      <c r="AT64" s="173"/>
      <c r="AU64" s="177"/>
      <c r="AV64" s="178"/>
      <c r="AW64" s="178"/>
      <c r="AX64" s="179"/>
      <c r="AZ64" s="166"/>
      <c r="BA64" s="177"/>
      <c r="BB64" s="178"/>
      <c r="BC64" s="178"/>
      <c r="BD64" s="178"/>
      <c r="BE64" s="178"/>
      <c r="BF64" s="178"/>
      <c r="BG64" s="178"/>
      <c r="BH64" s="178"/>
      <c r="BI64" s="179"/>
      <c r="BJ64" s="180"/>
      <c r="BK64" s="178"/>
      <c r="BL64" s="178"/>
      <c r="BM64" s="178"/>
      <c r="BN64" s="178"/>
      <c r="BO64" s="181"/>
      <c r="BP64" s="166"/>
      <c r="BQ64" s="177"/>
      <c r="BR64" s="178"/>
      <c r="BS64" s="179"/>
      <c r="BU64" s="166"/>
      <c r="BV64" s="166"/>
      <c r="BW64" s="166"/>
      <c r="BX64" s="166"/>
      <c r="BY64" s="166"/>
      <c r="BZ64" s="166"/>
      <c r="CA64" s="166"/>
      <c r="CB64" s="166"/>
      <c r="CC64" s="166"/>
      <c r="CD64" s="177"/>
      <c r="CE64" s="181"/>
      <c r="CF64" s="177"/>
      <c r="CG64" s="179"/>
      <c r="CH64" s="257"/>
      <c r="CI64" s="182"/>
      <c r="CJ64" s="177"/>
      <c r="CK64" s="182"/>
      <c r="CL64" s="177"/>
      <c r="CM64" s="182"/>
      <c r="CN64" s="177"/>
      <c r="CO64" s="182"/>
      <c r="CP64" s="177"/>
      <c r="CQ64" s="178"/>
      <c r="CR64" s="182"/>
      <c r="CS64" s="173"/>
      <c r="CT64" s="65"/>
      <c r="CU64" s="271" t="str">
        <f t="shared" si="2"/>
        <v>PKP</v>
      </c>
    </row>
    <row r="65" ht="60.0" customHeight="1">
      <c r="A65" s="65"/>
      <c r="C65" s="167">
        <v>3.0</v>
      </c>
      <c r="D65" s="168" t="s">
        <v>165</v>
      </c>
      <c r="E65" s="169"/>
      <c r="F65" s="170"/>
      <c r="G65" s="170"/>
      <c r="H65" s="170"/>
      <c r="I65" s="207"/>
      <c r="J65" s="170"/>
      <c r="K65" s="171"/>
      <c r="L65" s="171"/>
      <c r="M65" s="171"/>
      <c r="N65" s="276"/>
      <c r="O65" s="256">
        <f t="shared" si="12"/>
        <v>0</v>
      </c>
      <c r="Q65" s="173"/>
      <c r="R65" s="65"/>
      <c r="S65" s="173"/>
      <c r="T65" s="173"/>
      <c r="U65" s="166"/>
      <c r="V65" s="166"/>
      <c r="W65" s="65"/>
      <c r="X65" s="66"/>
      <c r="Y65" s="173"/>
      <c r="Z65" s="166"/>
      <c r="AA65" s="174"/>
      <c r="AB65" s="175"/>
      <c r="AC65" s="175"/>
      <c r="AD65" s="175"/>
      <c r="AE65" s="175"/>
      <c r="AF65" s="175"/>
      <c r="AG65" s="175"/>
      <c r="AH65" s="175"/>
      <c r="AI65" s="176"/>
      <c r="AJ65" s="177"/>
      <c r="AK65" s="178"/>
      <c r="AL65" s="178"/>
      <c r="AM65" s="178"/>
      <c r="AN65" s="178"/>
      <c r="AO65" s="179"/>
      <c r="AP65" s="64"/>
      <c r="AQ65" s="65"/>
      <c r="AR65" s="65"/>
      <c r="AS65" s="65"/>
      <c r="AT65" s="173"/>
      <c r="AU65" s="177"/>
      <c r="AV65" s="178"/>
      <c r="AW65" s="178"/>
      <c r="AX65" s="179"/>
      <c r="AZ65" s="166"/>
      <c r="BA65" s="177"/>
      <c r="BB65" s="178"/>
      <c r="BC65" s="178"/>
      <c r="BD65" s="178"/>
      <c r="BE65" s="178"/>
      <c r="BF65" s="178"/>
      <c r="BG65" s="178"/>
      <c r="BH65" s="178"/>
      <c r="BI65" s="179"/>
      <c r="BJ65" s="180"/>
      <c r="BK65" s="178"/>
      <c r="BL65" s="178"/>
      <c r="BM65" s="178"/>
      <c r="BN65" s="178"/>
      <c r="BO65" s="181"/>
      <c r="BP65" s="166"/>
      <c r="BQ65" s="177"/>
      <c r="BR65" s="178"/>
      <c r="BS65" s="179"/>
      <c r="BU65" s="166"/>
      <c r="BV65" s="166"/>
      <c r="BW65" s="166"/>
      <c r="BX65" s="166"/>
      <c r="BY65" s="166"/>
      <c r="BZ65" s="166"/>
      <c r="CA65" s="166"/>
      <c r="CB65" s="166"/>
      <c r="CC65" s="166"/>
      <c r="CD65" s="177"/>
      <c r="CE65" s="181"/>
      <c r="CF65" s="177"/>
      <c r="CG65" s="179"/>
      <c r="CH65" s="257"/>
      <c r="CI65" s="182"/>
      <c r="CJ65" s="177"/>
      <c r="CK65" s="182"/>
      <c r="CL65" s="177"/>
      <c r="CM65" s="182"/>
      <c r="CN65" s="177"/>
      <c r="CO65" s="182"/>
      <c r="CP65" s="177"/>
      <c r="CQ65" s="178"/>
      <c r="CR65" s="182"/>
      <c r="CS65" s="173"/>
      <c r="CT65" s="65"/>
      <c r="CU65" s="271" t="str">
        <f t="shared" si="2"/>
        <v>PKP</v>
      </c>
    </row>
    <row r="66" ht="60.0" customHeight="1">
      <c r="A66" s="65"/>
      <c r="C66" s="167">
        <v>4.0</v>
      </c>
      <c r="D66" s="168" t="s">
        <v>165</v>
      </c>
      <c r="E66" s="169"/>
      <c r="F66" s="170"/>
      <c r="G66" s="170"/>
      <c r="H66" s="170"/>
      <c r="I66" s="207"/>
      <c r="J66" s="170"/>
      <c r="K66" s="171"/>
      <c r="L66" s="171"/>
      <c r="M66" s="171"/>
      <c r="N66" s="276"/>
      <c r="O66" s="256">
        <f t="shared" si="12"/>
        <v>0</v>
      </c>
      <c r="Q66" s="173"/>
      <c r="R66" s="65"/>
      <c r="S66" s="173"/>
      <c r="T66" s="173"/>
      <c r="U66" s="166"/>
      <c r="V66" s="166"/>
      <c r="W66" s="65"/>
      <c r="X66" s="66"/>
      <c r="Y66" s="173"/>
      <c r="Z66" s="166"/>
      <c r="AA66" s="174"/>
      <c r="AB66" s="175"/>
      <c r="AC66" s="175"/>
      <c r="AD66" s="175"/>
      <c r="AE66" s="175"/>
      <c r="AF66" s="175"/>
      <c r="AG66" s="175"/>
      <c r="AH66" s="175"/>
      <c r="AI66" s="176"/>
      <c r="AJ66" s="177"/>
      <c r="AK66" s="178"/>
      <c r="AL66" s="178"/>
      <c r="AM66" s="178"/>
      <c r="AN66" s="178"/>
      <c r="AO66" s="179"/>
      <c r="AP66" s="64"/>
      <c r="AQ66" s="65"/>
      <c r="AR66" s="65"/>
      <c r="AS66" s="65"/>
      <c r="AT66" s="173"/>
      <c r="AU66" s="177"/>
      <c r="AV66" s="178"/>
      <c r="AW66" s="178"/>
      <c r="AX66" s="179"/>
      <c r="AZ66" s="166"/>
      <c r="BA66" s="177"/>
      <c r="BB66" s="178"/>
      <c r="BC66" s="178"/>
      <c r="BD66" s="178"/>
      <c r="BE66" s="178"/>
      <c r="BF66" s="178"/>
      <c r="BG66" s="178"/>
      <c r="BH66" s="178"/>
      <c r="BI66" s="179"/>
      <c r="BJ66" s="180"/>
      <c r="BK66" s="178"/>
      <c r="BL66" s="178"/>
      <c r="BM66" s="178"/>
      <c r="BN66" s="178"/>
      <c r="BO66" s="181"/>
      <c r="BP66" s="166"/>
      <c r="BQ66" s="177"/>
      <c r="BR66" s="178"/>
      <c r="BS66" s="179"/>
      <c r="BU66" s="166"/>
      <c r="BV66" s="166"/>
      <c r="BW66" s="166"/>
      <c r="BX66" s="166"/>
      <c r="BY66" s="166"/>
      <c r="BZ66" s="166"/>
      <c r="CA66" s="166"/>
      <c r="CB66" s="166"/>
      <c r="CC66" s="166"/>
      <c r="CD66" s="177"/>
      <c r="CE66" s="181"/>
      <c r="CF66" s="177"/>
      <c r="CG66" s="179"/>
      <c r="CH66" s="257"/>
      <c r="CI66" s="182"/>
      <c r="CJ66" s="177"/>
      <c r="CK66" s="182"/>
      <c r="CL66" s="177"/>
      <c r="CM66" s="182"/>
      <c r="CN66" s="177"/>
      <c r="CO66" s="182"/>
      <c r="CP66" s="177"/>
      <c r="CQ66" s="178"/>
      <c r="CR66" s="182"/>
      <c r="CS66" s="173"/>
      <c r="CT66" s="65"/>
      <c r="CU66" s="271" t="str">
        <f t="shared" si="2"/>
        <v>PKP</v>
      </c>
    </row>
    <row r="67" ht="60.0" customHeight="1">
      <c r="A67" s="65"/>
      <c r="C67" s="167">
        <v>5.0</v>
      </c>
      <c r="D67" s="168" t="s">
        <v>165</v>
      </c>
      <c r="E67" s="169"/>
      <c r="F67" s="170"/>
      <c r="G67" s="170"/>
      <c r="H67" s="170"/>
      <c r="I67" s="207"/>
      <c r="J67" s="170"/>
      <c r="K67" s="171"/>
      <c r="L67" s="171"/>
      <c r="M67" s="171"/>
      <c r="N67" s="276"/>
      <c r="O67" s="256">
        <f t="shared" si="12"/>
        <v>0</v>
      </c>
      <c r="Q67" s="173"/>
      <c r="R67" s="65"/>
      <c r="S67" s="173"/>
      <c r="T67" s="173"/>
      <c r="U67" s="166"/>
      <c r="V67" s="166"/>
      <c r="W67" s="65"/>
      <c r="X67" s="66"/>
      <c r="Y67" s="173"/>
      <c r="Z67" s="166"/>
      <c r="AA67" s="174"/>
      <c r="AB67" s="175"/>
      <c r="AC67" s="175"/>
      <c r="AD67" s="175"/>
      <c r="AE67" s="175"/>
      <c r="AF67" s="175"/>
      <c r="AG67" s="175"/>
      <c r="AH67" s="175"/>
      <c r="AI67" s="176"/>
      <c r="AJ67" s="177"/>
      <c r="AK67" s="178"/>
      <c r="AL67" s="178"/>
      <c r="AM67" s="178"/>
      <c r="AN67" s="178"/>
      <c r="AO67" s="179"/>
      <c r="AP67" s="64"/>
      <c r="AQ67" s="65"/>
      <c r="AR67" s="65"/>
      <c r="AS67" s="65"/>
      <c r="AT67" s="173"/>
      <c r="AU67" s="177"/>
      <c r="AV67" s="178"/>
      <c r="AW67" s="178"/>
      <c r="AX67" s="179"/>
      <c r="AZ67" s="166"/>
      <c r="BA67" s="177"/>
      <c r="BB67" s="178"/>
      <c r="BC67" s="178"/>
      <c r="BD67" s="178"/>
      <c r="BE67" s="178"/>
      <c r="BF67" s="178"/>
      <c r="BG67" s="178"/>
      <c r="BH67" s="178"/>
      <c r="BI67" s="179"/>
      <c r="BJ67" s="180"/>
      <c r="BK67" s="178"/>
      <c r="BL67" s="178"/>
      <c r="BM67" s="178"/>
      <c r="BN67" s="178"/>
      <c r="BO67" s="181"/>
      <c r="BP67" s="166"/>
      <c r="BQ67" s="177"/>
      <c r="BR67" s="178"/>
      <c r="BS67" s="179"/>
      <c r="BU67" s="166"/>
      <c r="BV67" s="166"/>
      <c r="BW67" s="166"/>
      <c r="BX67" s="166"/>
      <c r="BY67" s="166"/>
      <c r="BZ67" s="166"/>
      <c r="CA67" s="166"/>
      <c r="CB67" s="166"/>
      <c r="CC67" s="166"/>
      <c r="CD67" s="177"/>
      <c r="CE67" s="181"/>
      <c r="CF67" s="177"/>
      <c r="CG67" s="179"/>
      <c r="CH67" s="257"/>
      <c r="CI67" s="182"/>
      <c r="CJ67" s="177"/>
      <c r="CK67" s="182"/>
      <c r="CL67" s="177"/>
      <c r="CM67" s="182"/>
      <c r="CN67" s="177"/>
      <c r="CO67" s="182"/>
      <c r="CP67" s="177"/>
      <c r="CQ67" s="178"/>
      <c r="CR67" s="182"/>
      <c r="CS67" s="173"/>
      <c r="CT67" s="65"/>
      <c r="CU67" s="271" t="str">
        <f t="shared" si="2"/>
        <v>PKP</v>
      </c>
    </row>
    <row r="68" ht="60.0" customHeight="1">
      <c r="A68" s="65"/>
      <c r="C68" s="167">
        <v>6.0</v>
      </c>
      <c r="D68" s="168" t="s">
        <v>165</v>
      </c>
      <c r="E68" s="169"/>
      <c r="F68" s="170"/>
      <c r="G68" s="170"/>
      <c r="H68" s="170"/>
      <c r="I68" s="207"/>
      <c r="J68" s="170"/>
      <c r="K68" s="171"/>
      <c r="L68" s="171"/>
      <c r="M68" s="171"/>
      <c r="N68" s="276"/>
      <c r="O68" s="256">
        <f t="shared" si="12"/>
        <v>0</v>
      </c>
      <c r="Q68" s="173"/>
      <c r="R68" s="65"/>
      <c r="S68" s="173"/>
      <c r="T68" s="173"/>
      <c r="U68" s="166"/>
      <c r="V68" s="166"/>
      <c r="W68" s="65"/>
      <c r="X68" s="66"/>
      <c r="Y68" s="173"/>
      <c r="Z68" s="166"/>
      <c r="AA68" s="174"/>
      <c r="AB68" s="175"/>
      <c r="AC68" s="175"/>
      <c r="AD68" s="175"/>
      <c r="AE68" s="175"/>
      <c r="AF68" s="175"/>
      <c r="AG68" s="175"/>
      <c r="AH68" s="175"/>
      <c r="AI68" s="176"/>
      <c r="AJ68" s="177"/>
      <c r="AK68" s="178"/>
      <c r="AL68" s="178"/>
      <c r="AM68" s="178"/>
      <c r="AN68" s="178"/>
      <c r="AO68" s="179"/>
      <c r="AP68" s="64"/>
      <c r="AQ68" s="65"/>
      <c r="AR68" s="65"/>
      <c r="AS68" s="65"/>
      <c r="AT68" s="173"/>
      <c r="AU68" s="177"/>
      <c r="AV68" s="178"/>
      <c r="AW68" s="178"/>
      <c r="AX68" s="179"/>
      <c r="AZ68" s="166"/>
      <c r="BA68" s="177"/>
      <c r="BB68" s="178"/>
      <c r="BC68" s="178"/>
      <c r="BD68" s="178"/>
      <c r="BE68" s="178"/>
      <c r="BF68" s="178"/>
      <c r="BG68" s="178"/>
      <c r="BH68" s="178"/>
      <c r="BI68" s="179"/>
      <c r="BJ68" s="180"/>
      <c r="BK68" s="178"/>
      <c r="BL68" s="178"/>
      <c r="BM68" s="178"/>
      <c r="BN68" s="178"/>
      <c r="BO68" s="181"/>
      <c r="BP68" s="166"/>
      <c r="BQ68" s="177"/>
      <c r="BR68" s="178"/>
      <c r="BS68" s="179"/>
      <c r="BU68" s="166"/>
      <c r="BV68" s="166"/>
      <c r="BW68" s="166"/>
      <c r="BX68" s="166"/>
      <c r="BY68" s="166"/>
      <c r="BZ68" s="166"/>
      <c r="CA68" s="166"/>
      <c r="CB68" s="166"/>
      <c r="CC68" s="166"/>
      <c r="CD68" s="177"/>
      <c r="CE68" s="181"/>
      <c r="CF68" s="177"/>
      <c r="CG68" s="179"/>
      <c r="CH68" s="257"/>
      <c r="CI68" s="182"/>
      <c r="CJ68" s="177"/>
      <c r="CK68" s="182"/>
      <c r="CL68" s="177"/>
      <c r="CM68" s="182"/>
      <c r="CN68" s="177"/>
      <c r="CO68" s="182"/>
      <c r="CP68" s="177"/>
      <c r="CQ68" s="178"/>
      <c r="CR68" s="182"/>
      <c r="CS68" s="173"/>
      <c r="CT68" s="65"/>
      <c r="CU68" s="271" t="str">
        <f t="shared" si="2"/>
        <v>PKP</v>
      </c>
    </row>
    <row r="69" ht="60.0" customHeight="1">
      <c r="A69" s="65"/>
      <c r="C69" s="167">
        <v>7.0</v>
      </c>
      <c r="D69" s="168" t="s">
        <v>165</v>
      </c>
      <c r="E69" s="169"/>
      <c r="F69" s="170"/>
      <c r="G69" s="170"/>
      <c r="H69" s="170"/>
      <c r="I69" s="207"/>
      <c r="J69" s="170"/>
      <c r="K69" s="171"/>
      <c r="L69" s="171"/>
      <c r="M69" s="171"/>
      <c r="N69" s="276"/>
      <c r="O69" s="256">
        <f t="shared" ref="O69:O72" si="13">IF(AND(M69&gt;=20,M69&lt;&gt;"m",RIGHT(K69,3)="Lec"),1,IF(AND(M69&gt;=20,M69&lt;&gt;"m",OR(RIGHT(K69,3)="Lab",RIGHT(K69,3)="Tut")),0.5,IF(AND(M69&gt;=20,M69&lt;&gt;"m",RIGHT(K69,2)="TL"),0.75,0)))</f>
        <v>0</v>
      </c>
      <c r="Q69" s="173"/>
      <c r="R69" s="65"/>
      <c r="S69" s="173"/>
      <c r="T69" s="173"/>
      <c r="U69" s="166"/>
      <c r="V69" s="166"/>
      <c r="W69" s="65"/>
      <c r="X69" s="66"/>
      <c r="Y69" s="173"/>
      <c r="Z69" s="166"/>
      <c r="AA69" s="174"/>
      <c r="AB69" s="175"/>
      <c r="AC69" s="175"/>
      <c r="AD69" s="175"/>
      <c r="AE69" s="175"/>
      <c r="AF69" s="175"/>
      <c r="AG69" s="175"/>
      <c r="AH69" s="175"/>
      <c r="AI69" s="176"/>
      <c r="AJ69" s="177"/>
      <c r="AK69" s="178"/>
      <c r="AL69" s="178"/>
      <c r="AM69" s="178"/>
      <c r="AN69" s="178"/>
      <c r="AO69" s="179"/>
      <c r="AP69" s="64"/>
      <c r="AQ69" s="65"/>
      <c r="AR69" s="65"/>
      <c r="AS69" s="65"/>
      <c r="AT69" s="173"/>
      <c r="AU69" s="177"/>
      <c r="AV69" s="178"/>
      <c r="AW69" s="178"/>
      <c r="AX69" s="179"/>
      <c r="AZ69" s="166"/>
      <c r="BA69" s="177"/>
      <c r="BB69" s="178"/>
      <c r="BC69" s="178"/>
      <c r="BD69" s="178"/>
      <c r="BE69" s="178"/>
      <c r="BF69" s="178"/>
      <c r="BG69" s="178"/>
      <c r="BH69" s="178"/>
      <c r="BI69" s="179"/>
      <c r="BJ69" s="180"/>
      <c r="BK69" s="178"/>
      <c r="BL69" s="178"/>
      <c r="BM69" s="178"/>
      <c r="BN69" s="178"/>
      <c r="BO69" s="181"/>
      <c r="BP69" s="166"/>
      <c r="BQ69" s="177"/>
      <c r="BR69" s="178"/>
      <c r="BS69" s="179"/>
      <c r="BU69" s="166"/>
      <c r="BV69" s="166"/>
      <c r="BW69" s="166"/>
      <c r="BX69" s="166"/>
      <c r="BY69" s="166"/>
      <c r="BZ69" s="166"/>
      <c r="CA69" s="166"/>
      <c r="CB69" s="166"/>
      <c r="CC69" s="166"/>
      <c r="CD69" s="177"/>
      <c r="CE69" s="181"/>
      <c r="CF69" s="177"/>
      <c r="CG69" s="179"/>
      <c r="CH69" s="257"/>
      <c r="CI69" s="182"/>
      <c r="CJ69" s="177"/>
      <c r="CK69" s="182"/>
      <c r="CL69" s="177"/>
      <c r="CM69" s="182"/>
      <c r="CN69" s="177"/>
      <c r="CO69" s="182"/>
      <c r="CP69" s="177"/>
      <c r="CQ69" s="178"/>
      <c r="CR69" s="182"/>
      <c r="CS69" s="173"/>
      <c r="CT69" s="65"/>
      <c r="CU69" s="271" t="str">
        <f t="shared" si="2"/>
        <v>PKP</v>
      </c>
    </row>
    <row r="70" ht="60.0" customHeight="1">
      <c r="A70" s="65"/>
      <c r="C70" s="167">
        <v>8.0</v>
      </c>
      <c r="D70" s="168" t="s">
        <v>165</v>
      </c>
      <c r="E70" s="169"/>
      <c r="F70" s="170"/>
      <c r="G70" s="170"/>
      <c r="H70" s="170"/>
      <c r="I70" s="207"/>
      <c r="J70" s="170"/>
      <c r="K70" s="171"/>
      <c r="L70" s="171"/>
      <c r="M70" s="171"/>
      <c r="N70" s="276"/>
      <c r="O70" s="256">
        <f t="shared" si="13"/>
        <v>0</v>
      </c>
      <c r="Q70" s="173"/>
      <c r="R70" s="65"/>
      <c r="S70" s="173"/>
      <c r="T70" s="173"/>
      <c r="U70" s="166"/>
      <c r="V70" s="166"/>
      <c r="W70" s="65"/>
      <c r="X70" s="66"/>
      <c r="Y70" s="173"/>
      <c r="Z70" s="166"/>
      <c r="AA70" s="174"/>
      <c r="AB70" s="175"/>
      <c r="AC70" s="175"/>
      <c r="AD70" s="175"/>
      <c r="AE70" s="175"/>
      <c r="AF70" s="175"/>
      <c r="AG70" s="175"/>
      <c r="AH70" s="175"/>
      <c r="AI70" s="176"/>
      <c r="AJ70" s="177"/>
      <c r="AK70" s="178"/>
      <c r="AL70" s="178"/>
      <c r="AM70" s="178"/>
      <c r="AN70" s="178"/>
      <c r="AO70" s="179"/>
      <c r="AP70" s="64"/>
      <c r="AQ70" s="65"/>
      <c r="AR70" s="65"/>
      <c r="AS70" s="65"/>
      <c r="AT70" s="173"/>
      <c r="AU70" s="177"/>
      <c r="AV70" s="178"/>
      <c r="AW70" s="178"/>
      <c r="AX70" s="179"/>
      <c r="AZ70" s="166"/>
      <c r="BA70" s="177"/>
      <c r="BB70" s="178"/>
      <c r="BC70" s="178"/>
      <c r="BD70" s="178"/>
      <c r="BE70" s="178"/>
      <c r="BF70" s="178"/>
      <c r="BG70" s="178"/>
      <c r="BH70" s="178"/>
      <c r="BI70" s="179"/>
      <c r="BJ70" s="180"/>
      <c r="BK70" s="178"/>
      <c r="BL70" s="178"/>
      <c r="BM70" s="178"/>
      <c r="BN70" s="178"/>
      <c r="BO70" s="181"/>
      <c r="BP70" s="166"/>
      <c r="BQ70" s="177"/>
      <c r="BR70" s="178"/>
      <c r="BS70" s="179"/>
      <c r="BU70" s="166"/>
      <c r="BV70" s="166"/>
      <c r="BW70" s="166"/>
      <c r="BX70" s="166"/>
      <c r="BY70" s="166"/>
      <c r="BZ70" s="166"/>
      <c r="CA70" s="166"/>
      <c r="CB70" s="166"/>
      <c r="CC70" s="166"/>
      <c r="CD70" s="177"/>
      <c r="CE70" s="181"/>
      <c r="CF70" s="177"/>
      <c r="CG70" s="179"/>
      <c r="CH70" s="257"/>
      <c r="CI70" s="182"/>
      <c r="CJ70" s="177"/>
      <c r="CK70" s="182"/>
      <c r="CL70" s="177"/>
      <c r="CM70" s="182"/>
      <c r="CN70" s="177"/>
      <c r="CO70" s="182"/>
      <c r="CP70" s="177"/>
      <c r="CQ70" s="178"/>
      <c r="CR70" s="182"/>
      <c r="CS70" s="173"/>
      <c r="CT70" s="65"/>
      <c r="CU70" s="271" t="str">
        <f t="shared" si="2"/>
        <v>PKP</v>
      </c>
    </row>
    <row r="71" ht="60.0" customHeight="1">
      <c r="A71" s="65"/>
      <c r="C71" s="167">
        <v>9.0</v>
      </c>
      <c r="D71" s="168" t="s">
        <v>165</v>
      </c>
      <c r="E71" s="169"/>
      <c r="F71" s="170"/>
      <c r="G71" s="170"/>
      <c r="H71" s="170"/>
      <c r="I71" s="207"/>
      <c r="J71" s="170"/>
      <c r="K71" s="171"/>
      <c r="L71" s="171"/>
      <c r="M71" s="171"/>
      <c r="N71" s="276"/>
      <c r="O71" s="256">
        <f t="shared" si="13"/>
        <v>0</v>
      </c>
      <c r="Q71" s="173"/>
      <c r="R71" s="65"/>
      <c r="S71" s="173"/>
      <c r="T71" s="173"/>
      <c r="U71" s="166"/>
      <c r="V71" s="166"/>
      <c r="W71" s="65"/>
      <c r="X71" s="66"/>
      <c r="Y71" s="173"/>
      <c r="Z71" s="166"/>
      <c r="AA71" s="174"/>
      <c r="AB71" s="175"/>
      <c r="AC71" s="175"/>
      <c r="AD71" s="175"/>
      <c r="AE71" s="175"/>
      <c r="AF71" s="175"/>
      <c r="AG71" s="175"/>
      <c r="AH71" s="175"/>
      <c r="AI71" s="176"/>
      <c r="AJ71" s="177"/>
      <c r="AK71" s="178"/>
      <c r="AL71" s="178"/>
      <c r="AM71" s="178"/>
      <c r="AN71" s="178"/>
      <c r="AO71" s="179"/>
      <c r="AP71" s="64"/>
      <c r="AQ71" s="65"/>
      <c r="AR71" s="65"/>
      <c r="AS71" s="65"/>
      <c r="AT71" s="173"/>
      <c r="AU71" s="177"/>
      <c r="AV71" s="178"/>
      <c r="AW71" s="178"/>
      <c r="AX71" s="179"/>
      <c r="AZ71" s="166"/>
      <c r="BA71" s="177"/>
      <c r="BB71" s="178"/>
      <c r="BC71" s="178"/>
      <c r="BD71" s="178"/>
      <c r="BE71" s="178"/>
      <c r="BF71" s="178"/>
      <c r="BG71" s="178"/>
      <c r="BH71" s="178"/>
      <c r="BI71" s="179"/>
      <c r="BJ71" s="180"/>
      <c r="BK71" s="178"/>
      <c r="BL71" s="178"/>
      <c r="BM71" s="178"/>
      <c r="BN71" s="178"/>
      <c r="BO71" s="181"/>
      <c r="BP71" s="166"/>
      <c r="BQ71" s="177"/>
      <c r="BR71" s="178"/>
      <c r="BS71" s="179"/>
      <c r="BU71" s="166"/>
      <c r="BV71" s="166"/>
      <c r="BW71" s="166"/>
      <c r="BX71" s="166"/>
      <c r="BY71" s="166"/>
      <c r="BZ71" s="166"/>
      <c r="CA71" s="166"/>
      <c r="CB71" s="166"/>
      <c r="CC71" s="166"/>
      <c r="CD71" s="177"/>
      <c r="CE71" s="181"/>
      <c r="CF71" s="177"/>
      <c r="CG71" s="179"/>
      <c r="CH71" s="257"/>
      <c r="CI71" s="182"/>
      <c r="CJ71" s="177"/>
      <c r="CK71" s="182"/>
      <c r="CL71" s="177"/>
      <c r="CM71" s="182"/>
      <c r="CN71" s="177"/>
      <c r="CO71" s="182"/>
      <c r="CP71" s="177"/>
      <c r="CQ71" s="178"/>
      <c r="CR71" s="182"/>
      <c r="CS71" s="173"/>
      <c r="CT71" s="65"/>
      <c r="CU71" s="271" t="str">
        <f t="shared" si="2"/>
        <v>PKP</v>
      </c>
    </row>
    <row r="72" ht="60.0" customHeight="1">
      <c r="A72" s="65"/>
      <c r="C72" s="167">
        <v>10.0</v>
      </c>
      <c r="D72" s="168" t="s">
        <v>165</v>
      </c>
      <c r="E72" s="169"/>
      <c r="F72" s="170"/>
      <c r="G72" s="170"/>
      <c r="H72" s="170"/>
      <c r="I72" s="207"/>
      <c r="J72" s="170"/>
      <c r="K72" s="171"/>
      <c r="L72" s="171"/>
      <c r="M72" s="171"/>
      <c r="N72" s="276"/>
      <c r="O72" s="256">
        <f t="shared" si="13"/>
        <v>0</v>
      </c>
      <c r="Q72" s="173"/>
      <c r="R72" s="65"/>
      <c r="S72" s="173"/>
      <c r="T72" s="173"/>
      <c r="U72" s="166"/>
      <c r="V72" s="166"/>
      <c r="W72" s="65"/>
      <c r="X72" s="66"/>
      <c r="Y72" s="173"/>
      <c r="Z72" s="166"/>
      <c r="AA72" s="174"/>
      <c r="AB72" s="175"/>
      <c r="AC72" s="175"/>
      <c r="AD72" s="175"/>
      <c r="AE72" s="175"/>
      <c r="AF72" s="175"/>
      <c r="AG72" s="175"/>
      <c r="AH72" s="175"/>
      <c r="AI72" s="176"/>
      <c r="AJ72" s="177"/>
      <c r="AK72" s="178"/>
      <c r="AL72" s="178"/>
      <c r="AM72" s="178"/>
      <c r="AN72" s="178"/>
      <c r="AO72" s="179"/>
      <c r="AP72" s="64"/>
      <c r="AQ72" s="65"/>
      <c r="AR72" s="65"/>
      <c r="AS72" s="65"/>
      <c r="AT72" s="173"/>
      <c r="AU72" s="177"/>
      <c r="AV72" s="178"/>
      <c r="AW72" s="178"/>
      <c r="AX72" s="179"/>
      <c r="AZ72" s="166"/>
      <c r="BA72" s="177"/>
      <c r="BB72" s="178"/>
      <c r="BC72" s="178"/>
      <c r="BD72" s="178"/>
      <c r="BE72" s="178"/>
      <c r="BF72" s="178"/>
      <c r="BG72" s="178"/>
      <c r="BH72" s="178"/>
      <c r="BI72" s="179"/>
      <c r="BJ72" s="180"/>
      <c r="BK72" s="178"/>
      <c r="BL72" s="178"/>
      <c r="BM72" s="178"/>
      <c r="BN72" s="178"/>
      <c r="BO72" s="181"/>
      <c r="BP72" s="166"/>
      <c r="BQ72" s="177"/>
      <c r="BR72" s="178"/>
      <c r="BS72" s="179"/>
      <c r="BU72" s="166"/>
      <c r="BV72" s="166"/>
      <c r="BW72" s="166"/>
      <c r="BX72" s="166"/>
      <c r="BY72" s="166"/>
      <c r="BZ72" s="166"/>
      <c r="CA72" s="166"/>
      <c r="CB72" s="166"/>
      <c r="CC72" s="166"/>
      <c r="CD72" s="177"/>
      <c r="CE72" s="181"/>
      <c r="CF72" s="177"/>
      <c r="CG72" s="179"/>
      <c r="CH72" s="257"/>
      <c r="CI72" s="182"/>
      <c r="CJ72" s="177"/>
      <c r="CK72" s="182"/>
      <c r="CL72" s="177"/>
      <c r="CM72" s="182"/>
      <c r="CN72" s="177"/>
      <c r="CO72" s="182"/>
      <c r="CP72" s="177"/>
      <c r="CQ72" s="178"/>
      <c r="CR72" s="182"/>
      <c r="CS72" s="173"/>
      <c r="CT72" s="65"/>
      <c r="CU72" s="271" t="str">
        <f t="shared" si="2"/>
        <v>PKP</v>
      </c>
    </row>
    <row r="73" ht="60.0" customHeight="1">
      <c r="A73" s="89"/>
      <c r="C73" s="183">
        <v>11.0</v>
      </c>
      <c r="D73" s="210" t="s">
        <v>165</v>
      </c>
      <c r="E73" s="185"/>
      <c r="F73" s="186"/>
      <c r="G73" s="186"/>
      <c r="H73" s="186"/>
      <c r="I73" s="212"/>
      <c r="J73" s="186"/>
      <c r="K73" s="187"/>
      <c r="L73" s="187"/>
      <c r="M73" s="187"/>
      <c r="N73" s="284"/>
      <c r="O73" s="258">
        <f t="shared" ref="O73:O79" si="14">IF(AND(M73&lt;&gt;0,M73&lt;&gt;"m",M73&lt;&gt;"",RIGHT(K73,3)="Lec"),1,IF(AND(M73&lt;&gt;0,M73&lt;&gt;"m",M73&lt;&gt;"",OR(RIGHT(K73,3)="Lab",RIGHT(K73,3)="Tut")),0.5,IF(AND(M73&lt;&gt;0,M73&lt;&gt;"m",M73&lt;&gt;"",RIGHT(K73,2)="TL"),0.75,0)))</f>
        <v>0</v>
      </c>
      <c r="P73" s="6"/>
      <c r="Q73" s="69"/>
      <c r="R73" s="89"/>
      <c r="S73" s="69"/>
      <c r="T73" s="69"/>
      <c r="U73" s="63"/>
      <c r="V73" s="63"/>
      <c r="W73" s="89"/>
      <c r="X73" s="68"/>
      <c r="Y73" s="69"/>
      <c r="Z73" s="63"/>
      <c r="AA73" s="189"/>
      <c r="AB73" s="190"/>
      <c r="AC73" s="190"/>
      <c r="AD73" s="190"/>
      <c r="AE73" s="190"/>
      <c r="AF73" s="190"/>
      <c r="AG73" s="190"/>
      <c r="AH73" s="190"/>
      <c r="AI73" s="191"/>
      <c r="AJ73" s="192"/>
      <c r="AK73" s="193"/>
      <c r="AL73" s="193"/>
      <c r="AM73" s="193"/>
      <c r="AN73" s="193"/>
      <c r="AO73" s="194"/>
      <c r="AP73" s="103"/>
      <c r="AQ73" s="89"/>
      <c r="AR73" s="89"/>
      <c r="AS73" s="89"/>
      <c r="AT73" s="69"/>
      <c r="AU73" s="192"/>
      <c r="AV73" s="193"/>
      <c r="AW73" s="193"/>
      <c r="AX73" s="194"/>
      <c r="AY73" s="6"/>
      <c r="AZ73" s="63"/>
      <c r="BA73" s="192"/>
      <c r="BB73" s="193"/>
      <c r="BC73" s="193"/>
      <c r="BD73" s="193"/>
      <c r="BE73" s="193"/>
      <c r="BF73" s="193"/>
      <c r="BG73" s="193"/>
      <c r="BH73" s="193"/>
      <c r="BI73" s="194"/>
      <c r="BJ73" s="195"/>
      <c r="BK73" s="193"/>
      <c r="BL73" s="193"/>
      <c r="BM73" s="193"/>
      <c r="BN73" s="193"/>
      <c r="BO73" s="196"/>
      <c r="BP73" s="63"/>
      <c r="BQ73" s="192"/>
      <c r="BR73" s="193"/>
      <c r="BS73" s="194"/>
      <c r="BT73" s="6"/>
      <c r="BU73" s="63"/>
      <c r="BV73" s="63"/>
      <c r="BW73" s="63"/>
      <c r="BX73" s="63"/>
      <c r="BY73" s="63"/>
      <c r="BZ73" s="63"/>
      <c r="CA73" s="63"/>
      <c r="CB73" s="63"/>
      <c r="CC73" s="63"/>
      <c r="CD73" s="192"/>
      <c r="CE73" s="196"/>
      <c r="CF73" s="192"/>
      <c r="CG73" s="194"/>
      <c r="CH73" s="259"/>
      <c r="CI73" s="197"/>
      <c r="CJ73" s="192"/>
      <c r="CK73" s="197"/>
      <c r="CL73" s="192"/>
      <c r="CM73" s="197"/>
      <c r="CN73" s="192"/>
      <c r="CO73" s="197"/>
      <c r="CP73" s="192"/>
      <c r="CQ73" s="193"/>
      <c r="CR73" s="197"/>
      <c r="CS73" s="69"/>
      <c r="CT73" s="89"/>
      <c r="CU73" s="272" t="str">
        <f t="shared" si="2"/>
        <v>PKP</v>
      </c>
    </row>
    <row r="74" ht="55.5" customHeight="1">
      <c r="A74" s="125">
        <v>7.0</v>
      </c>
      <c r="B74" s="199" t="s">
        <v>169</v>
      </c>
      <c r="C74" s="127">
        <v>1.0</v>
      </c>
      <c r="D74" s="168" t="s">
        <v>170</v>
      </c>
      <c r="E74" s="129"/>
      <c r="F74" s="130"/>
      <c r="G74" s="130"/>
      <c r="H74" s="130"/>
      <c r="I74" s="201"/>
      <c r="J74" s="130"/>
      <c r="K74" s="131"/>
      <c r="L74" s="131"/>
      <c r="M74" s="131"/>
      <c r="N74" s="275"/>
      <c r="O74" s="250">
        <f t="shared" si="14"/>
        <v>0</v>
      </c>
      <c r="P74" s="251">
        <f>COUNTIF(K74:K84,"TL")*0.75+COUNTIF(K74:K84,"Lec")*1+COUNTIF(K74:K84,"Lab")*0.5</f>
        <v>0</v>
      </c>
      <c r="Q74" s="134">
        <f>SUM((IF(LEFT(K74,1)="E",O74,0)),(IF(LEFT(K75,1)="E",O75,0)),(IF(LEFT(K76,1)="E",O76,0)),(IF(LEFT(K77,1)="E",O77,0)),(IF(LEFT(K78,1)="E",O78,0)),(IF(LEFT(K79,1)="E",O79,0)),(IF(LEFT(K80,1)="E",O80,0)),(IF(LEFT(K81,1)="E",O81,0)),(IF(LEFT(K82,1)="E",O82,0)),(IF(LEFT(K83,1)="E",O83,0)),(IF(LEFT(K84,1)="E",O84,0)))</f>
        <v>0</v>
      </c>
      <c r="R74" s="135">
        <f>SUM(IF(M80&lt;20,IF(K80="Plec",-1,IF(K80="PTL",-0.75,IF(K80="Plab",-0.5,0))),0),IF(M81&lt;20,IF(K81="Plec",-1,IF(K81="PTL",-0.75,IF(K81="Plab",-0.5,0))),0),IF(M82&lt;20,IF(K82="Plec",-1,IF(K82="PTL",-0.75,IF(K82="Plab",-0.5,0))),0),IF(M83&lt;20,IF(K83="Plec",-1,IF(K83="PTL",-0.75,IF(K83="Plab",-0.5,0))),0))</f>
        <v>0</v>
      </c>
      <c r="S74" s="134">
        <f>SUM(P74:R84)</f>
        <v>0</v>
      </c>
      <c r="T74" s="136">
        <f>SUM(IF(M74="M",IF(OR(K74="lec",K74="plec",K74="slec"),1,IF(OR(K74="lab",K74="plab",K74="slab",K74="tut",K74="ptut",K74="stut"),0.5,IF(OR(K74="TL",K74="pTL",K74="STL"),0.75,0))),0),IF(M75="M",IF(OR(K75="lec",K75="plec",K75="slec"),1,IF(OR(K75="lab",K75="plab",K75="slab",K75="tut",K75="ptut",K75="stut"),0.5,IF(OR(K75="TL",K75="pTL",K75="STL"),0.75,0))),0),IF(M76="M",IF(OR(K76="lec",K76="plec",K76="slec"),1,IF(OR(K76="lab",K76="plab",K76="slab",K76="tut",K76="ptut",K76="stut"),0.5,IF(OR(K76="TL",K76="pTL",K76="STL"),0.75,0))),0),IF(M77="M",IF(OR(K77="lec",K77="plec",K77="slec"),1,IF(OR(K77="lab",K77="plab",K77="slab",K77="tut",K77="ptut",K77="stut"),0.5,IF(OR(K77="TL",K77="pTL",K77="STL"),0.75,0))),0),IF(M78="M",IF(OR(K78="lec",K78="plec",K78="slec"),1,IF(OR(K78="lab",K78="plab",K78="slab",K78="tut",K78="ptut",K78="stut"),0.5,IF(OR(K78="TL",K78="pTL",K78="STL"),0.75,0))),0),IF(M79="M",IF(OR(K79="lec",K79="plec",K79="slec"),1,IF(OR(K79="lab",K79="plab",K79="slab",K79="tut",K79="ptut",K79="stut"),0.5,IF(OR(K79="TL",K79="pTL",K79="STL"),0.75,0))),0),IF(M80="M",IF(OR(K80="lec",K80="plec",K80="slec"),1,IF(OR(K80="lab",K80="plab",K80="slab",K80="tut",K80="ptut",K80="stut"),0.5,IF(OR(K80="TL",K80="pTL",K80="STL"),0.75,0))),0),IF(M81="M",IF(OR(K81="lec",K81="plec",K81="slec"),1,IF(OR(K81="lab",K81="plab",K81="slab",K81="tut",K81="ptut",K81="stut"),0.5,IF(OR(K81="TL",K81="pTL",K81="STL"),0.75,0))),0),IF(M82="M",IF(OR(K82="lec",K82="plec",K82="slec"),1,IF(OR(K82="lab",K82="plab",K82="slab",K82="tut",K82="ptut",K82="stut"),0.5,IF(OR(K82="TL",K82="pTL",K82="STL"),0.75,0))),0),IF(M83="M",IF(OR(K83="lec",K83="plec",K83="slec"),1,IF(OR(K83="lab",K83="plab",K83="slab",K83="tut",K83="ptut",K83="stut"),0.5,IF(OR(K83="TL",K83="pTL",K83="STL"),0.75,0))),0),IF(M84="M",IF(OR(K84="lec",K84="plec",K84="slec"),1,IF(OR(K84="lab",K84="plab",K84="slab",K84="tut",K84="ptut",K84="stut"),0.5,IF(OR(K84="TL",K84="pTL",K84="STL"),0.75,0))),0))</f>
        <v>0</v>
      </c>
      <c r="U74" s="137"/>
      <c r="V74" s="133"/>
      <c r="W74" s="138"/>
      <c r="X74" s="139">
        <f>S74-(T74+U74+V74+W74)</f>
        <v>0</v>
      </c>
      <c r="Y74" s="134" t="str">
        <f>CONCATENATE(SUM(O74:O84),"(",SUM(O74:O84)-X74,")")</f>
        <v>0(0)</v>
      </c>
      <c r="Z74" s="140"/>
      <c r="AA74" s="141"/>
      <c r="AB74" s="142"/>
      <c r="AC74" s="142"/>
      <c r="AD74" s="142"/>
      <c r="AE74" s="142"/>
      <c r="AF74" s="142"/>
      <c r="AG74" s="142"/>
      <c r="AH74" s="142"/>
      <c r="AI74" s="143"/>
      <c r="AJ74" s="144"/>
      <c r="AK74" s="145"/>
      <c r="AL74" s="145"/>
      <c r="AM74" s="145"/>
      <c r="AN74" s="145"/>
      <c r="AO74" s="146"/>
      <c r="AP74" s="147">
        <f>SUM(SUM(O74:O84),SUM(AI74:AI84)/2,AM74)</f>
        <v>0</v>
      </c>
      <c r="AQ74" s="148"/>
      <c r="AR74" s="148">
        <f>AP74*AQ74</f>
        <v>0</v>
      </c>
      <c r="AS74" s="148">
        <f>CT74</f>
        <v>4</v>
      </c>
      <c r="AT74" s="149">
        <f>AR74*0.75+AS74*0.25</f>
        <v>1</v>
      </c>
      <c r="AU74" s="150"/>
      <c r="AV74" s="151"/>
      <c r="AW74" s="151"/>
      <c r="AX74" s="152"/>
      <c r="AY74" s="153"/>
      <c r="AZ74" s="140"/>
      <c r="BA74" s="150">
        <v>2.0</v>
      </c>
      <c r="BB74" s="151" t="s">
        <v>247</v>
      </c>
      <c r="BC74" s="151" t="s">
        <v>315</v>
      </c>
      <c r="BD74" s="151" t="s">
        <v>316</v>
      </c>
      <c r="BE74" s="151" t="s">
        <v>150</v>
      </c>
      <c r="BF74" s="151"/>
      <c r="BG74" s="151">
        <v>2.0</v>
      </c>
      <c r="BH74" s="151"/>
      <c r="BI74" s="152"/>
      <c r="BJ74" s="154">
        <v>2.0</v>
      </c>
      <c r="BK74" s="151"/>
      <c r="BL74" s="151"/>
      <c r="BM74" s="151"/>
      <c r="BN74" s="151"/>
      <c r="BO74" s="155"/>
      <c r="BP74" s="140"/>
      <c r="BQ74" s="156"/>
      <c r="BR74" s="157"/>
      <c r="BS74" s="158"/>
      <c r="BT74" s="153"/>
      <c r="BU74" s="140"/>
      <c r="BV74" s="140"/>
      <c r="BW74" s="140"/>
      <c r="BX74" s="140"/>
      <c r="BY74" s="140"/>
      <c r="BZ74" s="140"/>
      <c r="CA74" s="140"/>
      <c r="CB74" s="140"/>
      <c r="CC74" s="140"/>
      <c r="CD74" s="150"/>
      <c r="CE74" s="155"/>
      <c r="CF74" s="150" t="s">
        <v>317</v>
      </c>
      <c r="CG74" s="152"/>
      <c r="CH74" s="252"/>
      <c r="CI74" s="160"/>
      <c r="CJ74" s="159"/>
      <c r="CK74" s="160"/>
      <c r="CL74" s="159"/>
      <c r="CM74" s="160"/>
      <c r="CN74" s="159"/>
      <c r="CO74" s="160"/>
      <c r="CP74" s="159"/>
      <c r="CQ74" s="162"/>
      <c r="CR74" s="160"/>
      <c r="CS74" s="253">
        <f>SUM(IF(AU74&lt;0,ABS(AU74),0),IF(AZ74&lt;0,ABS(AZ74),0),ABS(CI74),ABS(CK74),ABS(CM74),ABS(CO74),ABS(CQ74),ABS(CR74))</f>
        <v>0</v>
      </c>
      <c r="CT74" s="254">
        <f>SUM(AU74,AV74,AW74,AX74/400,AY74,AZ74,BG74,BH74*0.5,BI74*0.25,BJ74,BK74,BL74,BM74,BN74,BO74,BP74,BR74/20,BS74/100,BT74/60,BU74,BV74,BW74,BX74/4,SUM(BY74:CC84)/3,CE74,CG74/3,CI74,CK74,CM74,CO74,CQ74,CR74)</f>
        <v>4</v>
      </c>
      <c r="CU74" s="255" t="str">
        <f t="shared" si="2"/>
        <v>SDP</v>
      </c>
    </row>
    <row r="75" ht="60.0" customHeight="1">
      <c r="A75" s="65"/>
      <c r="C75" s="167">
        <v>2.0</v>
      </c>
      <c r="D75" s="168" t="s">
        <v>170</v>
      </c>
      <c r="E75" s="169"/>
      <c r="F75" s="170"/>
      <c r="G75" s="170"/>
      <c r="H75" s="170"/>
      <c r="I75" s="207"/>
      <c r="J75" s="170"/>
      <c r="K75" s="171"/>
      <c r="L75" s="171"/>
      <c r="M75" s="171"/>
      <c r="N75" s="276"/>
      <c r="O75" s="256">
        <f t="shared" si="14"/>
        <v>0</v>
      </c>
      <c r="Q75" s="173"/>
      <c r="R75" s="65"/>
      <c r="S75" s="173"/>
      <c r="T75" s="173"/>
      <c r="U75" s="166"/>
      <c r="V75" s="166"/>
      <c r="W75" s="65"/>
      <c r="X75" s="66"/>
      <c r="Y75" s="173"/>
      <c r="Z75" s="166"/>
      <c r="AA75" s="174"/>
      <c r="AB75" s="175"/>
      <c r="AC75" s="175"/>
      <c r="AD75" s="175"/>
      <c r="AE75" s="175"/>
      <c r="AF75" s="175"/>
      <c r="AG75" s="175"/>
      <c r="AH75" s="175"/>
      <c r="AI75" s="176"/>
      <c r="AJ75" s="177"/>
      <c r="AK75" s="178"/>
      <c r="AL75" s="178"/>
      <c r="AM75" s="178"/>
      <c r="AN75" s="178"/>
      <c r="AO75" s="179"/>
      <c r="AP75" s="64"/>
      <c r="AQ75" s="65"/>
      <c r="AR75" s="65"/>
      <c r="AS75" s="65"/>
      <c r="AT75" s="173"/>
      <c r="AU75" s="177"/>
      <c r="AV75" s="178"/>
      <c r="AW75" s="178"/>
      <c r="AX75" s="179"/>
      <c r="AZ75" s="166"/>
      <c r="BA75" s="177"/>
      <c r="BB75" s="178"/>
      <c r="BC75" s="178"/>
      <c r="BD75" s="178"/>
      <c r="BE75" s="178"/>
      <c r="BF75" s="178"/>
      <c r="BG75" s="178"/>
      <c r="BH75" s="178"/>
      <c r="BI75" s="179"/>
      <c r="BJ75" s="180"/>
      <c r="BK75" s="178"/>
      <c r="BL75" s="178"/>
      <c r="BM75" s="178"/>
      <c r="BN75" s="178"/>
      <c r="BO75" s="181"/>
      <c r="BP75" s="166"/>
      <c r="BQ75" s="177"/>
      <c r="BR75" s="178"/>
      <c r="BS75" s="179"/>
      <c r="BU75" s="166"/>
      <c r="BV75" s="166"/>
      <c r="BW75" s="166"/>
      <c r="BX75" s="166"/>
      <c r="BY75" s="166"/>
      <c r="BZ75" s="166"/>
      <c r="CA75" s="166"/>
      <c r="CB75" s="166"/>
      <c r="CC75" s="166"/>
      <c r="CD75" s="177"/>
      <c r="CE75" s="181"/>
      <c r="CF75" s="177"/>
      <c r="CG75" s="179"/>
      <c r="CH75" s="257"/>
      <c r="CI75" s="182"/>
      <c r="CJ75" s="177"/>
      <c r="CK75" s="182"/>
      <c r="CL75" s="177"/>
      <c r="CM75" s="182"/>
      <c r="CN75" s="177"/>
      <c r="CO75" s="182"/>
      <c r="CP75" s="177"/>
      <c r="CQ75" s="178"/>
      <c r="CR75" s="182"/>
      <c r="CS75" s="173"/>
      <c r="CT75" s="65"/>
      <c r="CU75" s="271" t="str">
        <f t="shared" si="2"/>
        <v>SDP</v>
      </c>
    </row>
    <row r="76" ht="60.0" customHeight="1">
      <c r="A76" s="65"/>
      <c r="C76" s="167">
        <v>3.0</v>
      </c>
      <c r="D76" s="168" t="s">
        <v>170</v>
      </c>
      <c r="E76" s="169"/>
      <c r="F76" s="170"/>
      <c r="G76" s="170"/>
      <c r="H76" s="170"/>
      <c r="I76" s="207"/>
      <c r="J76" s="170"/>
      <c r="K76" s="171"/>
      <c r="L76" s="171"/>
      <c r="M76" s="171"/>
      <c r="N76" s="276"/>
      <c r="O76" s="256">
        <f t="shared" si="14"/>
        <v>0</v>
      </c>
      <c r="Q76" s="173"/>
      <c r="R76" s="65"/>
      <c r="S76" s="173"/>
      <c r="T76" s="173"/>
      <c r="U76" s="166"/>
      <c r="V76" s="166"/>
      <c r="W76" s="65"/>
      <c r="X76" s="66"/>
      <c r="Y76" s="173"/>
      <c r="Z76" s="166"/>
      <c r="AA76" s="174"/>
      <c r="AB76" s="175"/>
      <c r="AC76" s="175"/>
      <c r="AD76" s="175"/>
      <c r="AE76" s="175"/>
      <c r="AF76" s="175"/>
      <c r="AG76" s="175"/>
      <c r="AH76" s="175"/>
      <c r="AI76" s="176"/>
      <c r="AJ76" s="177"/>
      <c r="AK76" s="178"/>
      <c r="AL76" s="178"/>
      <c r="AM76" s="178"/>
      <c r="AN76" s="178"/>
      <c r="AO76" s="179"/>
      <c r="AP76" s="64"/>
      <c r="AQ76" s="65"/>
      <c r="AR76" s="65"/>
      <c r="AS76" s="65"/>
      <c r="AT76" s="173"/>
      <c r="AU76" s="177"/>
      <c r="AV76" s="178"/>
      <c r="AW76" s="178"/>
      <c r="AX76" s="179"/>
      <c r="AZ76" s="166"/>
      <c r="BA76" s="177"/>
      <c r="BB76" s="178"/>
      <c r="BC76" s="178"/>
      <c r="BD76" s="178"/>
      <c r="BE76" s="178"/>
      <c r="BF76" s="178"/>
      <c r="BG76" s="178"/>
      <c r="BH76" s="178"/>
      <c r="BI76" s="179"/>
      <c r="BJ76" s="180"/>
      <c r="BK76" s="178"/>
      <c r="BL76" s="178"/>
      <c r="BM76" s="178"/>
      <c r="BN76" s="178"/>
      <c r="BO76" s="181"/>
      <c r="BP76" s="166"/>
      <c r="BQ76" s="177"/>
      <c r="BR76" s="178"/>
      <c r="BS76" s="179"/>
      <c r="BU76" s="166"/>
      <c r="BV76" s="166"/>
      <c r="BW76" s="166"/>
      <c r="BX76" s="166"/>
      <c r="BY76" s="166"/>
      <c r="BZ76" s="166"/>
      <c r="CA76" s="166"/>
      <c r="CB76" s="166"/>
      <c r="CC76" s="166"/>
      <c r="CD76" s="177"/>
      <c r="CE76" s="181"/>
      <c r="CF76" s="177"/>
      <c r="CG76" s="179"/>
      <c r="CH76" s="257"/>
      <c r="CI76" s="182"/>
      <c r="CJ76" s="177"/>
      <c r="CK76" s="182"/>
      <c r="CL76" s="177"/>
      <c r="CM76" s="182"/>
      <c r="CN76" s="177"/>
      <c r="CO76" s="182"/>
      <c r="CP76" s="177"/>
      <c r="CQ76" s="178"/>
      <c r="CR76" s="182"/>
      <c r="CS76" s="173"/>
      <c r="CT76" s="65"/>
      <c r="CU76" s="271" t="str">
        <f t="shared" si="2"/>
        <v>SDP</v>
      </c>
    </row>
    <row r="77" ht="60.0" customHeight="1">
      <c r="A77" s="65"/>
      <c r="C77" s="167">
        <v>4.0</v>
      </c>
      <c r="D77" s="168" t="s">
        <v>170</v>
      </c>
      <c r="E77" s="169"/>
      <c r="F77" s="170"/>
      <c r="G77" s="170"/>
      <c r="H77" s="170"/>
      <c r="I77" s="207"/>
      <c r="J77" s="170"/>
      <c r="K77" s="171"/>
      <c r="L77" s="171"/>
      <c r="M77" s="171"/>
      <c r="N77" s="276"/>
      <c r="O77" s="256">
        <f t="shared" si="14"/>
        <v>0</v>
      </c>
      <c r="Q77" s="173"/>
      <c r="R77" s="65"/>
      <c r="S77" s="173"/>
      <c r="T77" s="173"/>
      <c r="U77" s="166"/>
      <c r="V77" s="166"/>
      <c r="W77" s="65"/>
      <c r="X77" s="66"/>
      <c r="Y77" s="173"/>
      <c r="Z77" s="166"/>
      <c r="AA77" s="174"/>
      <c r="AB77" s="175"/>
      <c r="AC77" s="175"/>
      <c r="AD77" s="175"/>
      <c r="AE77" s="175"/>
      <c r="AF77" s="175"/>
      <c r="AG77" s="175"/>
      <c r="AH77" s="175"/>
      <c r="AI77" s="176"/>
      <c r="AJ77" s="177"/>
      <c r="AK77" s="178"/>
      <c r="AL77" s="178"/>
      <c r="AM77" s="178"/>
      <c r="AN77" s="178"/>
      <c r="AO77" s="179"/>
      <c r="AP77" s="64"/>
      <c r="AQ77" s="65"/>
      <c r="AR77" s="65"/>
      <c r="AS77" s="65"/>
      <c r="AT77" s="173"/>
      <c r="AU77" s="177"/>
      <c r="AV77" s="178"/>
      <c r="AW77" s="178"/>
      <c r="AX77" s="179"/>
      <c r="AZ77" s="166"/>
      <c r="BA77" s="177"/>
      <c r="BB77" s="178"/>
      <c r="BC77" s="178"/>
      <c r="BD77" s="178"/>
      <c r="BE77" s="178"/>
      <c r="BF77" s="178"/>
      <c r="BG77" s="178"/>
      <c r="BH77" s="178"/>
      <c r="BI77" s="179"/>
      <c r="BJ77" s="180"/>
      <c r="BK77" s="178"/>
      <c r="BL77" s="178"/>
      <c r="BM77" s="178"/>
      <c r="BN77" s="178"/>
      <c r="BO77" s="181"/>
      <c r="BP77" s="166"/>
      <c r="BQ77" s="177"/>
      <c r="BR77" s="178"/>
      <c r="BS77" s="179"/>
      <c r="BU77" s="166"/>
      <c r="BV77" s="166"/>
      <c r="BW77" s="166"/>
      <c r="BX77" s="166"/>
      <c r="BY77" s="166"/>
      <c r="BZ77" s="166"/>
      <c r="CA77" s="166"/>
      <c r="CB77" s="166"/>
      <c r="CC77" s="166"/>
      <c r="CD77" s="177"/>
      <c r="CE77" s="181"/>
      <c r="CF77" s="177"/>
      <c r="CG77" s="179"/>
      <c r="CH77" s="257"/>
      <c r="CI77" s="182"/>
      <c r="CJ77" s="177"/>
      <c r="CK77" s="182"/>
      <c r="CL77" s="177"/>
      <c r="CM77" s="182"/>
      <c r="CN77" s="177"/>
      <c r="CO77" s="182"/>
      <c r="CP77" s="177"/>
      <c r="CQ77" s="178"/>
      <c r="CR77" s="182"/>
      <c r="CS77" s="173"/>
      <c r="CT77" s="65"/>
      <c r="CU77" s="271" t="str">
        <f t="shared" si="2"/>
        <v>SDP</v>
      </c>
    </row>
    <row r="78" ht="60.0" customHeight="1">
      <c r="A78" s="65"/>
      <c r="C78" s="167">
        <v>5.0</v>
      </c>
      <c r="D78" s="168" t="s">
        <v>170</v>
      </c>
      <c r="E78" s="169"/>
      <c r="F78" s="170"/>
      <c r="G78" s="170"/>
      <c r="H78" s="170"/>
      <c r="I78" s="207"/>
      <c r="J78" s="170"/>
      <c r="K78" s="171"/>
      <c r="L78" s="171"/>
      <c r="M78" s="171"/>
      <c r="N78" s="276"/>
      <c r="O78" s="256">
        <f t="shared" si="14"/>
        <v>0</v>
      </c>
      <c r="Q78" s="173"/>
      <c r="R78" s="65"/>
      <c r="S78" s="173"/>
      <c r="T78" s="173"/>
      <c r="U78" s="166"/>
      <c r="V78" s="166"/>
      <c r="W78" s="65"/>
      <c r="X78" s="66"/>
      <c r="Y78" s="173"/>
      <c r="Z78" s="166"/>
      <c r="AA78" s="174"/>
      <c r="AB78" s="175"/>
      <c r="AC78" s="175"/>
      <c r="AD78" s="175"/>
      <c r="AE78" s="175"/>
      <c r="AF78" s="175"/>
      <c r="AG78" s="175"/>
      <c r="AH78" s="175"/>
      <c r="AI78" s="176"/>
      <c r="AJ78" s="177"/>
      <c r="AK78" s="178"/>
      <c r="AL78" s="178"/>
      <c r="AM78" s="178"/>
      <c r="AN78" s="178"/>
      <c r="AO78" s="179"/>
      <c r="AP78" s="64"/>
      <c r="AQ78" s="65"/>
      <c r="AR78" s="65"/>
      <c r="AS78" s="65"/>
      <c r="AT78" s="173"/>
      <c r="AU78" s="177"/>
      <c r="AV78" s="178"/>
      <c r="AW78" s="178"/>
      <c r="AX78" s="179"/>
      <c r="AZ78" s="166"/>
      <c r="BA78" s="177"/>
      <c r="BB78" s="178"/>
      <c r="BC78" s="178"/>
      <c r="BD78" s="178"/>
      <c r="BE78" s="178"/>
      <c r="BF78" s="178"/>
      <c r="BG78" s="178"/>
      <c r="BH78" s="178"/>
      <c r="BI78" s="179"/>
      <c r="BJ78" s="180"/>
      <c r="BK78" s="178"/>
      <c r="BL78" s="178"/>
      <c r="BM78" s="178"/>
      <c r="BN78" s="178"/>
      <c r="BO78" s="181"/>
      <c r="BP78" s="166"/>
      <c r="BQ78" s="177"/>
      <c r="BR78" s="178"/>
      <c r="BS78" s="179"/>
      <c r="BU78" s="166"/>
      <c r="BV78" s="166"/>
      <c r="BW78" s="166"/>
      <c r="BX78" s="166"/>
      <c r="BY78" s="166"/>
      <c r="BZ78" s="166"/>
      <c r="CA78" s="166"/>
      <c r="CB78" s="166"/>
      <c r="CC78" s="166"/>
      <c r="CD78" s="177"/>
      <c r="CE78" s="181"/>
      <c r="CF78" s="177"/>
      <c r="CG78" s="179"/>
      <c r="CH78" s="257"/>
      <c r="CI78" s="182"/>
      <c r="CJ78" s="177"/>
      <c r="CK78" s="182"/>
      <c r="CL78" s="177"/>
      <c r="CM78" s="182"/>
      <c r="CN78" s="177"/>
      <c r="CO78" s="182"/>
      <c r="CP78" s="177"/>
      <c r="CQ78" s="178"/>
      <c r="CR78" s="182"/>
      <c r="CS78" s="173"/>
      <c r="CT78" s="65"/>
      <c r="CU78" s="271" t="str">
        <f t="shared" si="2"/>
        <v>SDP</v>
      </c>
    </row>
    <row r="79" ht="60.0" customHeight="1">
      <c r="A79" s="65"/>
      <c r="C79" s="167">
        <v>6.0</v>
      </c>
      <c r="D79" s="168" t="s">
        <v>170</v>
      </c>
      <c r="E79" s="169"/>
      <c r="F79" s="170"/>
      <c r="G79" s="170"/>
      <c r="H79" s="170"/>
      <c r="I79" s="207"/>
      <c r="J79" s="170"/>
      <c r="K79" s="171"/>
      <c r="L79" s="171"/>
      <c r="M79" s="171"/>
      <c r="N79" s="276"/>
      <c r="O79" s="256">
        <f t="shared" si="14"/>
        <v>0</v>
      </c>
      <c r="Q79" s="173"/>
      <c r="R79" s="65"/>
      <c r="S79" s="173"/>
      <c r="T79" s="173"/>
      <c r="U79" s="166"/>
      <c r="V79" s="166"/>
      <c r="W79" s="65"/>
      <c r="X79" s="66"/>
      <c r="Y79" s="173"/>
      <c r="Z79" s="166"/>
      <c r="AA79" s="174"/>
      <c r="AB79" s="175"/>
      <c r="AC79" s="175"/>
      <c r="AD79" s="175"/>
      <c r="AE79" s="175"/>
      <c r="AF79" s="175"/>
      <c r="AG79" s="175"/>
      <c r="AH79" s="175"/>
      <c r="AI79" s="176"/>
      <c r="AJ79" s="177"/>
      <c r="AK79" s="178"/>
      <c r="AL79" s="178"/>
      <c r="AM79" s="178"/>
      <c r="AN79" s="178"/>
      <c r="AO79" s="179"/>
      <c r="AP79" s="64"/>
      <c r="AQ79" s="65"/>
      <c r="AR79" s="65"/>
      <c r="AS79" s="65"/>
      <c r="AT79" s="173"/>
      <c r="AU79" s="177"/>
      <c r="AV79" s="178"/>
      <c r="AW79" s="178"/>
      <c r="AX79" s="179"/>
      <c r="AZ79" s="166"/>
      <c r="BA79" s="177"/>
      <c r="BB79" s="178"/>
      <c r="BC79" s="178"/>
      <c r="BD79" s="178"/>
      <c r="BE79" s="178"/>
      <c r="BF79" s="178"/>
      <c r="BG79" s="178"/>
      <c r="BH79" s="178"/>
      <c r="BI79" s="179"/>
      <c r="BJ79" s="180"/>
      <c r="BK79" s="178"/>
      <c r="BL79" s="178"/>
      <c r="BM79" s="178"/>
      <c r="BN79" s="178"/>
      <c r="BO79" s="181"/>
      <c r="BP79" s="166"/>
      <c r="BQ79" s="177"/>
      <c r="BR79" s="178"/>
      <c r="BS79" s="179"/>
      <c r="BU79" s="166"/>
      <c r="BV79" s="166"/>
      <c r="BW79" s="166"/>
      <c r="BX79" s="166"/>
      <c r="BY79" s="166"/>
      <c r="BZ79" s="166"/>
      <c r="CA79" s="166"/>
      <c r="CB79" s="166"/>
      <c r="CC79" s="166"/>
      <c r="CD79" s="177"/>
      <c r="CE79" s="181"/>
      <c r="CF79" s="177"/>
      <c r="CG79" s="179"/>
      <c r="CH79" s="257"/>
      <c r="CI79" s="182"/>
      <c r="CJ79" s="177"/>
      <c r="CK79" s="182"/>
      <c r="CL79" s="177"/>
      <c r="CM79" s="182"/>
      <c r="CN79" s="177"/>
      <c r="CO79" s="182"/>
      <c r="CP79" s="177"/>
      <c r="CQ79" s="178"/>
      <c r="CR79" s="182"/>
      <c r="CS79" s="173"/>
      <c r="CT79" s="65"/>
      <c r="CU79" s="271" t="str">
        <f t="shared" si="2"/>
        <v>SDP</v>
      </c>
    </row>
    <row r="80" ht="60.0" customHeight="1">
      <c r="A80" s="65"/>
      <c r="C80" s="167">
        <v>7.0</v>
      </c>
      <c r="D80" s="168" t="s">
        <v>170</v>
      </c>
      <c r="E80" s="169"/>
      <c r="F80" s="170"/>
      <c r="G80" s="170"/>
      <c r="H80" s="170"/>
      <c r="I80" s="207"/>
      <c r="J80" s="170"/>
      <c r="K80" s="171"/>
      <c r="L80" s="171"/>
      <c r="M80" s="171"/>
      <c r="N80" s="276"/>
      <c r="O80" s="256">
        <f t="shared" ref="O80:O83" si="15">IF(AND(M80&gt;=20,M80&lt;&gt;"m",RIGHT(K80,3)="Lec"),1,IF(AND(M80&gt;=20,M80&lt;&gt;"m",OR(RIGHT(K80,3)="Lab",RIGHT(K80,3)="Tut")),0.5,IF(AND(M80&gt;=20,M80&lt;&gt;"m",RIGHT(K80,2)="TL"),0.75,0)))</f>
        <v>0</v>
      </c>
      <c r="Q80" s="173"/>
      <c r="R80" s="65"/>
      <c r="S80" s="173"/>
      <c r="T80" s="173"/>
      <c r="U80" s="166"/>
      <c r="V80" s="166"/>
      <c r="W80" s="65"/>
      <c r="X80" s="66"/>
      <c r="Y80" s="173"/>
      <c r="Z80" s="166"/>
      <c r="AA80" s="174"/>
      <c r="AB80" s="175"/>
      <c r="AC80" s="175"/>
      <c r="AD80" s="175"/>
      <c r="AE80" s="175"/>
      <c r="AF80" s="175"/>
      <c r="AG80" s="175"/>
      <c r="AH80" s="175"/>
      <c r="AI80" s="176"/>
      <c r="AJ80" s="177"/>
      <c r="AK80" s="178"/>
      <c r="AL80" s="178"/>
      <c r="AM80" s="178"/>
      <c r="AN80" s="178"/>
      <c r="AO80" s="179"/>
      <c r="AP80" s="64"/>
      <c r="AQ80" s="65"/>
      <c r="AR80" s="65"/>
      <c r="AS80" s="65"/>
      <c r="AT80" s="173"/>
      <c r="AU80" s="177"/>
      <c r="AV80" s="178"/>
      <c r="AW80" s="178"/>
      <c r="AX80" s="179"/>
      <c r="AZ80" s="166"/>
      <c r="BA80" s="177"/>
      <c r="BB80" s="178"/>
      <c r="BC80" s="178"/>
      <c r="BD80" s="178"/>
      <c r="BE80" s="178"/>
      <c r="BF80" s="178"/>
      <c r="BG80" s="178"/>
      <c r="BH80" s="178"/>
      <c r="BI80" s="179"/>
      <c r="BJ80" s="180"/>
      <c r="BK80" s="178"/>
      <c r="BL80" s="178"/>
      <c r="BM80" s="178"/>
      <c r="BN80" s="178"/>
      <c r="BO80" s="181"/>
      <c r="BP80" s="166"/>
      <c r="BQ80" s="177"/>
      <c r="BR80" s="178"/>
      <c r="BS80" s="179"/>
      <c r="BU80" s="166"/>
      <c r="BV80" s="166"/>
      <c r="BW80" s="166"/>
      <c r="BX80" s="166"/>
      <c r="BY80" s="166"/>
      <c r="BZ80" s="166"/>
      <c r="CA80" s="166"/>
      <c r="CB80" s="166"/>
      <c r="CC80" s="166"/>
      <c r="CD80" s="177"/>
      <c r="CE80" s="181"/>
      <c r="CF80" s="177"/>
      <c r="CG80" s="179"/>
      <c r="CH80" s="257"/>
      <c r="CI80" s="182"/>
      <c r="CJ80" s="177"/>
      <c r="CK80" s="182"/>
      <c r="CL80" s="177"/>
      <c r="CM80" s="182"/>
      <c r="CN80" s="177"/>
      <c r="CO80" s="182"/>
      <c r="CP80" s="177"/>
      <c r="CQ80" s="178"/>
      <c r="CR80" s="182"/>
      <c r="CS80" s="173"/>
      <c r="CT80" s="65"/>
      <c r="CU80" s="271" t="str">
        <f t="shared" si="2"/>
        <v>SDP</v>
      </c>
    </row>
    <row r="81" ht="60.0" customHeight="1">
      <c r="A81" s="65"/>
      <c r="C81" s="167">
        <v>8.0</v>
      </c>
      <c r="D81" s="168" t="s">
        <v>170</v>
      </c>
      <c r="E81" s="169"/>
      <c r="F81" s="170"/>
      <c r="G81" s="170"/>
      <c r="H81" s="170"/>
      <c r="I81" s="207"/>
      <c r="J81" s="170"/>
      <c r="K81" s="171"/>
      <c r="L81" s="171"/>
      <c r="M81" s="171"/>
      <c r="N81" s="276"/>
      <c r="O81" s="256">
        <f t="shared" si="15"/>
        <v>0</v>
      </c>
      <c r="Q81" s="173"/>
      <c r="R81" s="65"/>
      <c r="S81" s="173"/>
      <c r="T81" s="173"/>
      <c r="U81" s="166"/>
      <c r="V81" s="166"/>
      <c r="W81" s="65"/>
      <c r="X81" s="66"/>
      <c r="Y81" s="173"/>
      <c r="Z81" s="166"/>
      <c r="AA81" s="174"/>
      <c r="AB81" s="175"/>
      <c r="AC81" s="175"/>
      <c r="AD81" s="175"/>
      <c r="AE81" s="175"/>
      <c r="AF81" s="175"/>
      <c r="AG81" s="175"/>
      <c r="AH81" s="175"/>
      <c r="AI81" s="176"/>
      <c r="AJ81" s="177"/>
      <c r="AK81" s="178"/>
      <c r="AL81" s="178"/>
      <c r="AM81" s="178"/>
      <c r="AN81" s="178"/>
      <c r="AO81" s="179"/>
      <c r="AP81" s="64"/>
      <c r="AQ81" s="65"/>
      <c r="AR81" s="65"/>
      <c r="AS81" s="65"/>
      <c r="AT81" s="173"/>
      <c r="AU81" s="177"/>
      <c r="AV81" s="178"/>
      <c r="AW81" s="178"/>
      <c r="AX81" s="179"/>
      <c r="AZ81" s="166"/>
      <c r="BA81" s="177"/>
      <c r="BB81" s="178"/>
      <c r="BC81" s="178"/>
      <c r="BD81" s="178"/>
      <c r="BE81" s="178"/>
      <c r="BF81" s="178"/>
      <c r="BG81" s="178"/>
      <c r="BH81" s="178"/>
      <c r="BI81" s="179"/>
      <c r="BJ81" s="180"/>
      <c r="BK81" s="178"/>
      <c r="BL81" s="178"/>
      <c r="BM81" s="178"/>
      <c r="BN81" s="178"/>
      <c r="BO81" s="181"/>
      <c r="BP81" s="166"/>
      <c r="BQ81" s="177"/>
      <c r="BR81" s="178"/>
      <c r="BS81" s="179"/>
      <c r="BU81" s="166"/>
      <c r="BV81" s="166"/>
      <c r="BW81" s="166"/>
      <c r="BX81" s="166"/>
      <c r="BY81" s="166"/>
      <c r="BZ81" s="166"/>
      <c r="CA81" s="166"/>
      <c r="CB81" s="166"/>
      <c r="CC81" s="166"/>
      <c r="CD81" s="177"/>
      <c r="CE81" s="181"/>
      <c r="CF81" s="177"/>
      <c r="CG81" s="179"/>
      <c r="CH81" s="257"/>
      <c r="CI81" s="182"/>
      <c r="CJ81" s="177"/>
      <c r="CK81" s="182"/>
      <c r="CL81" s="177"/>
      <c r="CM81" s="182"/>
      <c r="CN81" s="177"/>
      <c r="CO81" s="182"/>
      <c r="CP81" s="177"/>
      <c r="CQ81" s="178"/>
      <c r="CR81" s="182"/>
      <c r="CS81" s="173"/>
      <c r="CT81" s="65"/>
      <c r="CU81" s="271" t="str">
        <f t="shared" si="2"/>
        <v>SDP</v>
      </c>
    </row>
    <row r="82" ht="60.0" customHeight="1">
      <c r="A82" s="65"/>
      <c r="C82" s="167">
        <v>9.0</v>
      </c>
      <c r="D82" s="168" t="s">
        <v>170</v>
      </c>
      <c r="E82" s="169"/>
      <c r="F82" s="170"/>
      <c r="G82" s="170"/>
      <c r="H82" s="170"/>
      <c r="I82" s="207"/>
      <c r="J82" s="170"/>
      <c r="K82" s="171"/>
      <c r="L82" s="171"/>
      <c r="M82" s="171"/>
      <c r="N82" s="276"/>
      <c r="O82" s="256">
        <f t="shared" si="15"/>
        <v>0</v>
      </c>
      <c r="Q82" s="173"/>
      <c r="R82" s="65"/>
      <c r="S82" s="173"/>
      <c r="T82" s="173"/>
      <c r="U82" s="166"/>
      <c r="V82" s="166"/>
      <c r="W82" s="65"/>
      <c r="X82" s="66"/>
      <c r="Y82" s="173"/>
      <c r="Z82" s="166"/>
      <c r="AA82" s="174"/>
      <c r="AB82" s="175"/>
      <c r="AC82" s="175"/>
      <c r="AD82" s="175"/>
      <c r="AE82" s="175"/>
      <c r="AF82" s="175"/>
      <c r="AG82" s="175"/>
      <c r="AH82" s="175"/>
      <c r="AI82" s="176"/>
      <c r="AJ82" s="177"/>
      <c r="AK82" s="178"/>
      <c r="AL82" s="178"/>
      <c r="AM82" s="178"/>
      <c r="AN82" s="178"/>
      <c r="AO82" s="179"/>
      <c r="AP82" s="64"/>
      <c r="AQ82" s="65"/>
      <c r="AR82" s="65"/>
      <c r="AS82" s="65"/>
      <c r="AT82" s="173"/>
      <c r="AU82" s="177"/>
      <c r="AV82" s="178"/>
      <c r="AW82" s="178"/>
      <c r="AX82" s="179"/>
      <c r="AZ82" s="166"/>
      <c r="BA82" s="177"/>
      <c r="BB82" s="178"/>
      <c r="BC82" s="178"/>
      <c r="BD82" s="178"/>
      <c r="BE82" s="178"/>
      <c r="BF82" s="178"/>
      <c r="BG82" s="178"/>
      <c r="BH82" s="178"/>
      <c r="BI82" s="179"/>
      <c r="BJ82" s="180"/>
      <c r="BK82" s="178"/>
      <c r="BL82" s="178"/>
      <c r="BM82" s="178"/>
      <c r="BN82" s="178"/>
      <c r="BO82" s="181"/>
      <c r="BP82" s="166"/>
      <c r="BQ82" s="177"/>
      <c r="BR82" s="178"/>
      <c r="BS82" s="179"/>
      <c r="BU82" s="166"/>
      <c r="BV82" s="166"/>
      <c r="BW82" s="166"/>
      <c r="BX82" s="166"/>
      <c r="BY82" s="166"/>
      <c r="BZ82" s="166"/>
      <c r="CA82" s="166"/>
      <c r="CB82" s="166"/>
      <c r="CC82" s="166"/>
      <c r="CD82" s="177"/>
      <c r="CE82" s="181"/>
      <c r="CF82" s="177"/>
      <c r="CG82" s="179"/>
      <c r="CH82" s="257"/>
      <c r="CI82" s="182"/>
      <c r="CJ82" s="177"/>
      <c r="CK82" s="182"/>
      <c r="CL82" s="177"/>
      <c r="CM82" s="182"/>
      <c r="CN82" s="177"/>
      <c r="CO82" s="182"/>
      <c r="CP82" s="177"/>
      <c r="CQ82" s="178"/>
      <c r="CR82" s="182"/>
      <c r="CS82" s="173"/>
      <c r="CT82" s="65"/>
      <c r="CU82" s="271" t="str">
        <f t="shared" si="2"/>
        <v>SDP</v>
      </c>
    </row>
    <row r="83" ht="60.0" customHeight="1">
      <c r="A83" s="65"/>
      <c r="C83" s="167">
        <v>10.0</v>
      </c>
      <c r="D83" s="168" t="s">
        <v>170</v>
      </c>
      <c r="E83" s="169"/>
      <c r="F83" s="170"/>
      <c r="G83" s="170"/>
      <c r="H83" s="170"/>
      <c r="I83" s="207"/>
      <c r="J83" s="170"/>
      <c r="K83" s="171"/>
      <c r="L83" s="171"/>
      <c r="M83" s="171"/>
      <c r="N83" s="276"/>
      <c r="O83" s="256">
        <f t="shared" si="15"/>
        <v>0</v>
      </c>
      <c r="Q83" s="173"/>
      <c r="R83" s="65"/>
      <c r="S83" s="173"/>
      <c r="T83" s="173"/>
      <c r="U83" s="166"/>
      <c r="V83" s="166"/>
      <c r="W83" s="65"/>
      <c r="X83" s="66"/>
      <c r="Y83" s="173"/>
      <c r="Z83" s="166"/>
      <c r="AA83" s="174"/>
      <c r="AB83" s="175"/>
      <c r="AC83" s="175"/>
      <c r="AD83" s="175"/>
      <c r="AE83" s="175"/>
      <c r="AF83" s="175"/>
      <c r="AG83" s="175"/>
      <c r="AH83" s="175"/>
      <c r="AI83" s="176"/>
      <c r="AJ83" s="177"/>
      <c r="AK83" s="178"/>
      <c r="AL83" s="178"/>
      <c r="AM83" s="178"/>
      <c r="AN83" s="178"/>
      <c r="AO83" s="179"/>
      <c r="AP83" s="64"/>
      <c r="AQ83" s="65"/>
      <c r="AR83" s="65"/>
      <c r="AS83" s="65"/>
      <c r="AT83" s="173"/>
      <c r="AU83" s="177"/>
      <c r="AV83" s="178"/>
      <c r="AW83" s="178"/>
      <c r="AX83" s="179"/>
      <c r="AZ83" s="166"/>
      <c r="BA83" s="177"/>
      <c r="BB83" s="178"/>
      <c r="BC83" s="178"/>
      <c r="BD83" s="178"/>
      <c r="BE83" s="178"/>
      <c r="BF83" s="178"/>
      <c r="BG83" s="178"/>
      <c r="BH83" s="178"/>
      <c r="BI83" s="179"/>
      <c r="BJ83" s="180"/>
      <c r="BK83" s="178"/>
      <c r="BL83" s="178"/>
      <c r="BM83" s="178"/>
      <c r="BN83" s="178"/>
      <c r="BO83" s="181"/>
      <c r="BP83" s="166"/>
      <c r="BQ83" s="177"/>
      <c r="BR83" s="178"/>
      <c r="BS83" s="179"/>
      <c r="BU83" s="166"/>
      <c r="BV83" s="166"/>
      <c r="BW83" s="166"/>
      <c r="BX83" s="166"/>
      <c r="BY83" s="166"/>
      <c r="BZ83" s="166"/>
      <c r="CA83" s="166"/>
      <c r="CB83" s="166"/>
      <c r="CC83" s="166"/>
      <c r="CD83" s="177"/>
      <c r="CE83" s="181"/>
      <c r="CF83" s="177"/>
      <c r="CG83" s="179"/>
      <c r="CH83" s="257"/>
      <c r="CI83" s="182"/>
      <c r="CJ83" s="177"/>
      <c r="CK83" s="182"/>
      <c r="CL83" s="177"/>
      <c r="CM83" s="182"/>
      <c r="CN83" s="177"/>
      <c r="CO83" s="182"/>
      <c r="CP83" s="177"/>
      <c r="CQ83" s="178"/>
      <c r="CR83" s="182"/>
      <c r="CS83" s="173"/>
      <c r="CT83" s="65"/>
      <c r="CU83" s="271" t="str">
        <f t="shared" si="2"/>
        <v>SDP</v>
      </c>
    </row>
    <row r="84" ht="60.0" customHeight="1">
      <c r="A84" s="89"/>
      <c r="C84" s="183">
        <v>11.0</v>
      </c>
      <c r="D84" s="210" t="s">
        <v>170</v>
      </c>
      <c r="E84" s="185"/>
      <c r="F84" s="186"/>
      <c r="G84" s="186"/>
      <c r="H84" s="186"/>
      <c r="I84" s="212"/>
      <c r="J84" s="186"/>
      <c r="K84" s="187"/>
      <c r="L84" s="187"/>
      <c r="M84" s="187"/>
      <c r="N84" s="284"/>
      <c r="O84" s="258">
        <f t="shared" ref="O84:O90" si="16">IF(AND(M84&lt;&gt;0,M84&lt;&gt;"m",M84&lt;&gt;"",RIGHT(K84,3)="Lec"),1,IF(AND(M84&lt;&gt;0,M84&lt;&gt;"m",M84&lt;&gt;"",OR(RIGHT(K84,3)="Lab",RIGHT(K84,3)="Tut")),0.5,IF(AND(M84&lt;&gt;0,M84&lt;&gt;"m",M84&lt;&gt;"",RIGHT(K84,2)="TL"),0.75,0)))</f>
        <v>0</v>
      </c>
      <c r="P84" s="6"/>
      <c r="Q84" s="69"/>
      <c r="R84" s="89"/>
      <c r="S84" s="69"/>
      <c r="T84" s="69"/>
      <c r="U84" s="63"/>
      <c r="V84" s="63"/>
      <c r="W84" s="89"/>
      <c r="X84" s="68"/>
      <c r="Y84" s="69"/>
      <c r="Z84" s="63"/>
      <c r="AA84" s="189"/>
      <c r="AB84" s="190"/>
      <c r="AC84" s="190"/>
      <c r="AD84" s="190"/>
      <c r="AE84" s="190"/>
      <c r="AF84" s="190"/>
      <c r="AG84" s="190"/>
      <c r="AH84" s="190"/>
      <c r="AI84" s="191"/>
      <c r="AJ84" s="192"/>
      <c r="AK84" s="193"/>
      <c r="AL84" s="193"/>
      <c r="AM84" s="193"/>
      <c r="AN84" s="193"/>
      <c r="AO84" s="194"/>
      <c r="AP84" s="103"/>
      <c r="AQ84" s="89"/>
      <c r="AR84" s="89"/>
      <c r="AS84" s="89"/>
      <c r="AT84" s="69"/>
      <c r="AU84" s="192"/>
      <c r="AV84" s="193"/>
      <c r="AW84" s="193"/>
      <c r="AX84" s="194"/>
      <c r="AY84" s="6"/>
      <c r="AZ84" s="63"/>
      <c r="BA84" s="192"/>
      <c r="BB84" s="193"/>
      <c r="BC84" s="193"/>
      <c r="BD84" s="193"/>
      <c r="BE84" s="193"/>
      <c r="BF84" s="193"/>
      <c r="BG84" s="193"/>
      <c r="BH84" s="193"/>
      <c r="BI84" s="194"/>
      <c r="BJ84" s="195"/>
      <c r="BK84" s="193"/>
      <c r="BL84" s="193"/>
      <c r="BM84" s="193"/>
      <c r="BN84" s="193"/>
      <c r="BO84" s="196"/>
      <c r="BP84" s="63"/>
      <c r="BQ84" s="192"/>
      <c r="BR84" s="193"/>
      <c r="BS84" s="194"/>
      <c r="BT84" s="6"/>
      <c r="BU84" s="63"/>
      <c r="BV84" s="63"/>
      <c r="BW84" s="63"/>
      <c r="BX84" s="63"/>
      <c r="BY84" s="63"/>
      <c r="BZ84" s="63"/>
      <c r="CA84" s="63"/>
      <c r="CB84" s="63"/>
      <c r="CC84" s="63"/>
      <c r="CD84" s="192"/>
      <c r="CE84" s="196"/>
      <c r="CF84" s="192"/>
      <c r="CG84" s="194"/>
      <c r="CH84" s="259"/>
      <c r="CI84" s="197"/>
      <c r="CJ84" s="192"/>
      <c r="CK84" s="197"/>
      <c r="CL84" s="192"/>
      <c r="CM84" s="197"/>
      <c r="CN84" s="192"/>
      <c r="CO84" s="197"/>
      <c r="CP84" s="192"/>
      <c r="CQ84" s="193"/>
      <c r="CR84" s="197"/>
      <c r="CS84" s="69"/>
      <c r="CT84" s="89"/>
      <c r="CU84" s="272" t="str">
        <f t="shared" si="2"/>
        <v>SDP</v>
      </c>
    </row>
    <row r="85" ht="55.5" customHeight="1">
      <c r="A85" s="125">
        <v>8.0</v>
      </c>
      <c r="B85" s="199" t="s">
        <v>174</v>
      </c>
      <c r="C85" s="127">
        <v>1.0</v>
      </c>
      <c r="D85" s="168" t="s">
        <v>175</v>
      </c>
      <c r="E85" s="129"/>
      <c r="F85" s="130"/>
      <c r="G85" s="130"/>
      <c r="H85" s="130"/>
      <c r="I85" s="201"/>
      <c r="J85" s="130"/>
      <c r="K85" s="131"/>
      <c r="L85" s="131"/>
      <c r="M85" s="131"/>
      <c r="N85" s="275"/>
      <c r="O85" s="250">
        <f t="shared" si="16"/>
        <v>0</v>
      </c>
      <c r="P85" s="251">
        <f>COUNTIF(K85:K95,"TL")*0.75+COUNTIF(K85:K95,"Lec")*1+COUNTIF(K85:K95,"Lab")*0.5</f>
        <v>0</v>
      </c>
      <c r="Q85" s="134">
        <f>SUM((IF(LEFT(K85,1)="E",O85,0)),(IF(LEFT(K86,1)="E",O86,0)),(IF(LEFT(K87,1)="E",O87,0)),(IF(LEFT(K88,1)="E",O88,0)),(IF(LEFT(K89,1)="E",O89,0)),(IF(LEFT(K90,1)="E",O90,0)),(IF(LEFT(K91,1)="E",O91,0)),(IF(LEFT(K92,1)="E",O92,0)),(IF(LEFT(K93,1)="E",O93,0)),(IF(LEFT(K94,1)="E",O94,0)),(IF(LEFT(K95,1)="E",O95,0)))</f>
        <v>0</v>
      </c>
      <c r="R85" s="135">
        <f>SUM(IF(M91&lt;20,IF(K91="Plec",-1,IF(K91="PTL",-0.75,IF(K91="Plab",-0.5,0))),0),IF(M92&lt;20,IF(K92="Plec",-1,IF(K92="PTL",-0.75,IF(K92="Plab",-0.5,0))),0),IF(M93&lt;20,IF(K93="Plec",-1,IF(K93="PTL",-0.75,IF(K93="Plab",-0.5,0))),0),IF(M94&lt;20,IF(K94="Plec",-1,IF(K94="PTL",-0.75,IF(K94="Plab",-0.5,0))),0))</f>
        <v>0</v>
      </c>
      <c r="S85" s="134">
        <f>SUM(P85:R95)</f>
        <v>0</v>
      </c>
      <c r="T85" s="136">
        <f>SUM(IF(M85="M",IF(OR(K85="lec",K85="plec",K85="slec"),1,IF(OR(K85="lab",K85="plab",K85="slab",K85="tut",K85="ptut",K85="stut"),0.5,IF(OR(K85="TL",K85="pTL",K85="STL"),0.75,0))),0),IF(M86="M",IF(OR(K86="lec",K86="plec",K86="slec"),1,IF(OR(K86="lab",K86="plab",K86="slab",K86="tut",K86="ptut",K86="stut"),0.5,IF(OR(K86="TL",K86="pTL",K86="STL"),0.75,0))),0),IF(M87="M",IF(OR(K87="lec",K87="plec",K87="slec"),1,IF(OR(K87="lab",K87="plab",K87="slab",K87="tut",K87="ptut",K87="stut"),0.5,IF(OR(K87="TL",K87="pTL",K87="STL"),0.75,0))),0),IF(M88="M",IF(OR(K88="lec",K88="plec",K88="slec"),1,IF(OR(K88="lab",K88="plab",K88="slab",K88="tut",K88="ptut",K88="stut"),0.5,IF(OR(K88="TL",K88="pTL",K88="STL"),0.75,0))),0),IF(M89="M",IF(OR(K89="lec",K89="plec",K89="slec"),1,IF(OR(K89="lab",K89="plab",K89="slab",K89="tut",K89="ptut",K89="stut"),0.5,IF(OR(K89="TL",K89="pTL",K89="STL"),0.75,0))),0),IF(M90="M",IF(OR(K90="lec",K90="plec",K90="slec"),1,IF(OR(K90="lab",K90="plab",K90="slab",K90="tut",K90="ptut",K90="stut"),0.5,IF(OR(K90="TL",K90="pTL",K90="STL"),0.75,0))),0),IF(M91="M",IF(OR(K91="lec",K91="plec",K91="slec"),1,IF(OR(K91="lab",K91="plab",K91="slab",K91="tut",K91="ptut",K91="stut"),0.5,IF(OR(K91="TL",K91="pTL",K91="STL"),0.75,0))),0),IF(M92="M",IF(OR(K92="lec",K92="plec",K92="slec"),1,IF(OR(K92="lab",K92="plab",K92="slab",K92="tut",K92="ptut",K92="stut"),0.5,IF(OR(K92="TL",K92="pTL",K92="STL"),0.75,0))),0),IF(M93="M",IF(OR(K93="lec",K93="plec",K93="slec"),1,IF(OR(K93="lab",K93="plab",K93="slab",K93="tut",K93="ptut",K93="stut"),0.5,IF(OR(K93="TL",K93="pTL",K93="STL"),0.75,0))),0),IF(M94="M",IF(OR(K94="lec",K94="plec",K94="slec"),1,IF(OR(K94="lab",K94="plab",K94="slab",K94="tut",K94="ptut",K94="stut"),0.5,IF(OR(K94="TL",K94="pTL",K94="STL"),0.75,0))),0),IF(M95="M",IF(OR(K95="lec",K95="plec",K95="slec"),1,IF(OR(K95="lab",K95="plab",K95="slab",K95="tut",K95="ptut",K95="stut"),0.5,IF(OR(K95="TL",K95="pTL",K95="STL"),0.75,0))),0))</f>
        <v>0</v>
      </c>
      <c r="U85" s="137"/>
      <c r="V85" s="133"/>
      <c r="W85" s="138"/>
      <c r="X85" s="139">
        <f>S85-(T85+U85+V85+W85)</f>
        <v>0</v>
      </c>
      <c r="Y85" s="134" t="str">
        <f>CONCATENATE(SUM(O85:O95),"(",SUM(O85:O95)-X85,")")</f>
        <v>0(0)</v>
      </c>
      <c r="Z85" s="140"/>
      <c r="AA85" s="141"/>
      <c r="AB85" s="142"/>
      <c r="AC85" s="142"/>
      <c r="AD85" s="142"/>
      <c r="AE85" s="142"/>
      <c r="AF85" s="142"/>
      <c r="AG85" s="142"/>
      <c r="AH85" s="142"/>
      <c r="AI85" s="143"/>
      <c r="AJ85" s="144"/>
      <c r="AK85" s="145"/>
      <c r="AL85" s="145"/>
      <c r="AM85" s="145"/>
      <c r="AN85" s="145"/>
      <c r="AO85" s="146"/>
      <c r="AP85" s="147">
        <f>SUM(SUM(O85:O95),SUM(AI85:AI95)/2,AM85)</f>
        <v>0</v>
      </c>
      <c r="AQ85" s="148"/>
      <c r="AR85" s="148">
        <f>AP85*AQ85</f>
        <v>0</v>
      </c>
      <c r="AS85" s="148">
        <f>CT85</f>
        <v>16.68866667</v>
      </c>
      <c r="AT85" s="149">
        <f>AR85*0.75+AS85*0.25</f>
        <v>4.172166667</v>
      </c>
      <c r="AU85" s="150"/>
      <c r="AV85" s="151"/>
      <c r="AW85" s="151"/>
      <c r="AX85" s="152"/>
      <c r="AY85" s="153"/>
      <c r="AZ85" s="140"/>
      <c r="BA85" s="150">
        <v>2.0</v>
      </c>
      <c r="BB85" s="151" t="s">
        <v>318</v>
      </c>
      <c r="BC85" s="151" t="s">
        <v>319</v>
      </c>
      <c r="BD85" s="151" t="s">
        <v>320</v>
      </c>
      <c r="BE85" s="151" t="s">
        <v>321</v>
      </c>
      <c r="BF85" s="151"/>
      <c r="BG85" s="151">
        <v>2.0</v>
      </c>
      <c r="BH85" s="151"/>
      <c r="BI85" s="152"/>
      <c r="BJ85" s="154">
        <v>2.0</v>
      </c>
      <c r="BK85" s="151"/>
      <c r="BL85" s="151"/>
      <c r="BM85" s="151">
        <v>9.912</v>
      </c>
      <c r="BN85" s="151"/>
      <c r="BO85" s="155"/>
      <c r="BP85" s="140"/>
      <c r="BQ85" s="156"/>
      <c r="BR85" s="157"/>
      <c r="BS85" s="158"/>
      <c r="BT85" s="153"/>
      <c r="BU85" s="140"/>
      <c r="BV85" s="140"/>
      <c r="BW85" s="140"/>
      <c r="BX85" s="140"/>
      <c r="BY85" s="140"/>
      <c r="BZ85" s="140"/>
      <c r="CA85" s="140"/>
      <c r="CB85" s="140"/>
      <c r="CC85" s="140"/>
      <c r="CD85" s="150"/>
      <c r="CE85" s="155"/>
      <c r="CF85" s="150" t="s">
        <v>322</v>
      </c>
      <c r="CG85" s="152">
        <v>8.33</v>
      </c>
      <c r="CH85" s="252" t="s">
        <v>305</v>
      </c>
      <c r="CI85" s="160">
        <v>0.0</v>
      </c>
      <c r="CJ85" s="159"/>
      <c r="CK85" s="160"/>
      <c r="CL85" s="159"/>
      <c r="CM85" s="160"/>
      <c r="CN85" s="159"/>
      <c r="CO85" s="160"/>
      <c r="CP85" s="159"/>
      <c r="CQ85" s="162"/>
      <c r="CR85" s="160"/>
      <c r="CS85" s="253">
        <f>SUM(IF(AU85&lt;0,ABS(AU85),0),IF(AZ85&lt;0,ABS(AZ85),0),ABS(CI85),ABS(CK85),ABS(CM85),ABS(CO85),ABS(CQ85),ABS(CR85))</f>
        <v>0</v>
      </c>
      <c r="CT85" s="254">
        <f>SUM(AU85,AV85,AW85,AX85/400,AY85,AZ85,BG85,BH85*0.5,BI85*0.25,BJ85,BK85,BL85,BM85,BN85,BO85,BP85,BR85/20,BS85/100,BT85/60,BU85,BV85,BW85,BX85/4,SUM(BY85:CC95)/3,CE85,CG85/3,CI85,CK85,CM85,CO85,CQ85,CR85)</f>
        <v>16.68866667</v>
      </c>
      <c r="CU85" s="255" t="str">
        <f t="shared" si="2"/>
        <v>SHP</v>
      </c>
    </row>
    <row r="86" ht="60.0" customHeight="1">
      <c r="A86" s="65"/>
      <c r="C86" s="167">
        <v>2.0</v>
      </c>
      <c r="D86" s="168" t="s">
        <v>175</v>
      </c>
      <c r="E86" s="169"/>
      <c r="F86" s="170"/>
      <c r="G86" s="170"/>
      <c r="H86" s="170"/>
      <c r="I86" s="207"/>
      <c r="J86" s="170"/>
      <c r="K86" s="171"/>
      <c r="L86" s="171"/>
      <c r="M86" s="171"/>
      <c r="N86" s="276"/>
      <c r="O86" s="256">
        <f t="shared" si="16"/>
        <v>0</v>
      </c>
      <c r="Q86" s="173"/>
      <c r="R86" s="65"/>
      <c r="S86" s="173"/>
      <c r="T86" s="173"/>
      <c r="U86" s="166"/>
      <c r="V86" s="166"/>
      <c r="W86" s="65"/>
      <c r="X86" s="66"/>
      <c r="Y86" s="173"/>
      <c r="Z86" s="166"/>
      <c r="AA86" s="174"/>
      <c r="AB86" s="175"/>
      <c r="AC86" s="175"/>
      <c r="AD86" s="175"/>
      <c r="AE86" s="175"/>
      <c r="AF86" s="175"/>
      <c r="AG86" s="175"/>
      <c r="AH86" s="175"/>
      <c r="AI86" s="176"/>
      <c r="AJ86" s="177"/>
      <c r="AK86" s="178"/>
      <c r="AL86" s="178"/>
      <c r="AM86" s="178"/>
      <c r="AN86" s="178"/>
      <c r="AO86" s="179"/>
      <c r="AP86" s="64"/>
      <c r="AQ86" s="65"/>
      <c r="AR86" s="65"/>
      <c r="AS86" s="65"/>
      <c r="AT86" s="173"/>
      <c r="AU86" s="177"/>
      <c r="AV86" s="178"/>
      <c r="AW86" s="178"/>
      <c r="AX86" s="179"/>
      <c r="AZ86" s="166"/>
      <c r="BA86" s="177"/>
      <c r="BB86" s="178"/>
      <c r="BC86" s="178"/>
      <c r="BD86" s="178"/>
      <c r="BE86" s="178"/>
      <c r="BF86" s="178"/>
      <c r="BG86" s="178"/>
      <c r="BH86" s="178"/>
      <c r="BI86" s="179"/>
      <c r="BJ86" s="180"/>
      <c r="BK86" s="178"/>
      <c r="BL86" s="178"/>
      <c r="BM86" s="178"/>
      <c r="BN86" s="178"/>
      <c r="BO86" s="181"/>
      <c r="BP86" s="166"/>
      <c r="BQ86" s="177"/>
      <c r="BR86" s="178"/>
      <c r="BS86" s="179"/>
      <c r="BU86" s="166"/>
      <c r="BV86" s="166"/>
      <c r="BW86" s="166"/>
      <c r="BX86" s="166"/>
      <c r="BY86" s="166"/>
      <c r="BZ86" s="166"/>
      <c r="CA86" s="166"/>
      <c r="CB86" s="166"/>
      <c r="CC86" s="166"/>
      <c r="CD86" s="177"/>
      <c r="CE86" s="181"/>
      <c r="CF86" s="177"/>
      <c r="CG86" s="179"/>
      <c r="CH86" s="257"/>
      <c r="CI86" s="182"/>
      <c r="CJ86" s="177"/>
      <c r="CK86" s="182"/>
      <c r="CL86" s="177"/>
      <c r="CM86" s="182"/>
      <c r="CN86" s="177"/>
      <c r="CO86" s="182"/>
      <c r="CP86" s="177"/>
      <c r="CQ86" s="178"/>
      <c r="CR86" s="182"/>
      <c r="CS86" s="173"/>
      <c r="CT86" s="65"/>
      <c r="CU86" s="271" t="str">
        <f t="shared" si="2"/>
        <v>SHP</v>
      </c>
    </row>
    <row r="87" ht="60.0" customHeight="1">
      <c r="A87" s="65"/>
      <c r="C87" s="167">
        <v>3.0</v>
      </c>
      <c r="D87" s="168" t="s">
        <v>175</v>
      </c>
      <c r="E87" s="169"/>
      <c r="F87" s="170"/>
      <c r="G87" s="170"/>
      <c r="H87" s="170"/>
      <c r="I87" s="207"/>
      <c r="J87" s="170"/>
      <c r="K87" s="171"/>
      <c r="L87" s="171"/>
      <c r="M87" s="171"/>
      <c r="N87" s="276"/>
      <c r="O87" s="256">
        <f t="shared" si="16"/>
        <v>0</v>
      </c>
      <c r="Q87" s="173"/>
      <c r="R87" s="65"/>
      <c r="S87" s="173"/>
      <c r="T87" s="173"/>
      <c r="U87" s="166"/>
      <c r="V87" s="166"/>
      <c r="W87" s="65"/>
      <c r="X87" s="66"/>
      <c r="Y87" s="173"/>
      <c r="Z87" s="166"/>
      <c r="AA87" s="174"/>
      <c r="AB87" s="175"/>
      <c r="AC87" s="175"/>
      <c r="AD87" s="175"/>
      <c r="AE87" s="175"/>
      <c r="AF87" s="175"/>
      <c r="AG87" s="175"/>
      <c r="AH87" s="175"/>
      <c r="AI87" s="176"/>
      <c r="AJ87" s="177"/>
      <c r="AK87" s="178"/>
      <c r="AL87" s="178"/>
      <c r="AM87" s="178"/>
      <c r="AN87" s="178"/>
      <c r="AO87" s="179"/>
      <c r="AP87" s="64"/>
      <c r="AQ87" s="65"/>
      <c r="AR87" s="65"/>
      <c r="AS87" s="65"/>
      <c r="AT87" s="173"/>
      <c r="AU87" s="177"/>
      <c r="AV87" s="178"/>
      <c r="AW87" s="178"/>
      <c r="AX87" s="179"/>
      <c r="AZ87" s="166"/>
      <c r="BA87" s="177"/>
      <c r="BB87" s="178"/>
      <c r="BC87" s="178"/>
      <c r="BD87" s="178"/>
      <c r="BE87" s="178"/>
      <c r="BF87" s="178"/>
      <c r="BG87" s="178"/>
      <c r="BH87" s="178"/>
      <c r="BI87" s="179"/>
      <c r="BJ87" s="180"/>
      <c r="BK87" s="178"/>
      <c r="BL87" s="178"/>
      <c r="BM87" s="178"/>
      <c r="BN87" s="178"/>
      <c r="BO87" s="181"/>
      <c r="BP87" s="166"/>
      <c r="BQ87" s="177"/>
      <c r="BR87" s="178"/>
      <c r="BS87" s="179"/>
      <c r="BU87" s="166"/>
      <c r="BV87" s="166"/>
      <c r="BW87" s="166"/>
      <c r="BX87" s="166"/>
      <c r="BY87" s="166"/>
      <c r="BZ87" s="166"/>
      <c r="CA87" s="166"/>
      <c r="CB87" s="166"/>
      <c r="CC87" s="166"/>
      <c r="CD87" s="177"/>
      <c r="CE87" s="181"/>
      <c r="CF87" s="177"/>
      <c r="CG87" s="179"/>
      <c r="CH87" s="257"/>
      <c r="CI87" s="182"/>
      <c r="CJ87" s="177"/>
      <c r="CK87" s="182"/>
      <c r="CL87" s="177"/>
      <c r="CM87" s="182"/>
      <c r="CN87" s="177"/>
      <c r="CO87" s="182"/>
      <c r="CP87" s="177"/>
      <c r="CQ87" s="178"/>
      <c r="CR87" s="182"/>
      <c r="CS87" s="173"/>
      <c r="CT87" s="65"/>
      <c r="CU87" s="271" t="str">
        <f t="shared" si="2"/>
        <v>SHP</v>
      </c>
    </row>
    <row r="88" ht="60.0" customHeight="1">
      <c r="A88" s="65"/>
      <c r="C88" s="167">
        <v>4.0</v>
      </c>
      <c r="D88" s="168" t="s">
        <v>175</v>
      </c>
      <c r="E88" s="169"/>
      <c r="F88" s="170"/>
      <c r="G88" s="170"/>
      <c r="H88" s="170"/>
      <c r="I88" s="207"/>
      <c r="J88" s="170"/>
      <c r="K88" s="171"/>
      <c r="L88" s="171"/>
      <c r="M88" s="171"/>
      <c r="N88" s="276"/>
      <c r="O88" s="256">
        <f t="shared" si="16"/>
        <v>0</v>
      </c>
      <c r="Q88" s="173"/>
      <c r="R88" s="65"/>
      <c r="S88" s="173"/>
      <c r="T88" s="173"/>
      <c r="U88" s="166"/>
      <c r="V88" s="166"/>
      <c r="W88" s="65"/>
      <c r="X88" s="66"/>
      <c r="Y88" s="173"/>
      <c r="Z88" s="166"/>
      <c r="AA88" s="174"/>
      <c r="AB88" s="175"/>
      <c r="AC88" s="175"/>
      <c r="AD88" s="175"/>
      <c r="AE88" s="175"/>
      <c r="AF88" s="175"/>
      <c r="AG88" s="175"/>
      <c r="AH88" s="175"/>
      <c r="AI88" s="176"/>
      <c r="AJ88" s="177"/>
      <c r="AK88" s="178"/>
      <c r="AL88" s="178"/>
      <c r="AM88" s="178"/>
      <c r="AN88" s="178"/>
      <c r="AO88" s="179"/>
      <c r="AP88" s="64"/>
      <c r="AQ88" s="65"/>
      <c r="AR88" s="65"/>
      <c r="AS88" s="65"/>
      <c r="AT88" s="173"/>
      <c r="AU88" s="177"/>
      <c r="AV88" s="178"/>
      <c r="AW88" s="178"/>
      <c r="AX88" s="179"/>
      <c r="AZ88" s="166"/>
      <c r="BA88" s="177"/>
      <c r="BB88" s="178"/>
      <c r="BC88" s="178"/>
      <c r="BD88" s="178"/>
      <c r="BE88" s="178"/>
      <c r="BF88" s="178"/>
      <c r="BG88" s="178"/>
      <c r="BH88" s="178"/>
      <c r="BI88" s="179"/>
      <c r="BJ88" s="180"/>
      <c r="BK88" s="178"/>
      <c r="BL88" s="178"/>
      <c r="BM88" s="178"/>
      <c r="BN88" s="178"/>
      <c r="BO88" s="181"/>
      <c r="BP88" s="166"/>
      <c r="BQ88" s="177"/>
      <c r="BR88" s="178"/>
      <c r="BS88" s="179"/>
      <c r="BU88" s="166"/>
      <c r="BV88" s="166"/>
      <c r="BW88" s="166"/>
      <c r="BX88" s="166"/>
      <c r="BY88" s="166"/>
      <c r="BZ88" s="166"/>
      <c r="CA88" s="166"/>
      <c r="CB88" s="166"/>
      <c r="CC88" s="166"/>
      <c r="CD88" s="177"/>
      <c r="CE88" s="181"/>
      <c r="CF88" s="177"/>
      <c r="CG88" s="179"/>
      <c r="CH88" s="257"/>
      <c r="CI88" s="182"/>
      <c r="CJ88" s="177"/>
      <c r="CK88" s="182"/>
      <c r="CL88" s="177"/>
      <c r="CM88" s="182"/>
      <c r="CN88" s="177"/>
      <c r="CO88" s="182"/>
      <c r="CP88" s="177"/>
      <c r="CQ88" s="178"/>
      <c r="CR88" s="182"/>
      <c r="CS88" s="173"/>
      <c r="CT88" s="65"/>
      <c r="CU88" s="271" t="str">
        <f t="shared" si="2"/>
        <v>SHP</v>
      </c>
    </row>
    <row r="89" ht="60.0" customHeight="1">
      <c r="A89" s="65"/>
      <c r="C89" s="167">
        <v>5.0</v>
      </c>
      <c r="D89" s="168" t="s">
        <v>175</v>
      </c>
      <c r="E89" s="169"/>
      <c r="F89" s="170"/>
      <c r="G89" s="170"/>
      <c r="H89" s="170"/>
      <c r="I89" s="207"/>
      <c r="J89" s="170"/>
      <c r="K89" s="171"/>
      <c r="L89" s="171"/>
      <c r="M89" s="171"/>
      <c r="N89" s="276"/>
      <c r="O89" s="256">
        <f t="shared" si="16"/>
        <v>0</v>
      </c>
      <c r="Q89" s="173"/>
      <c r="R89" s="65"/>
      <c r="S89" s="173"/>
      <c r="T89" s="173"/>
      <c r="U89" s="166"/>
      <c r="V89" s="166"/>
      <c r="W89" s="65"/>
      <c r="X89" s="66"/>
      <c r="Y89" s="173"/>
      <c r="Z89" s="166"/>
      <c r="AA89" s="174"/>
      <c r="AB89" s="175"/>
      <c r="AC89" s="175"/>
      <c r="AD89" s="175"/>
      <c r="AE89" s="175"/>
      <c r="AF89" s="175"/>
      <c r="AG89" s="175"/>
      <c r="AH89" s="175"/>
      <c r="AI89" s="176"/>
      <c r="AJ89" s="177"/>
      <c r="AK89" s="178"/>
      <c r="AL89" s="178"/>
      <c r="AM89" s="178"/>
      <c r="AN89" s="178"/>
      <c r="AO89" s="179"/>
      <c r="AP89" s="64"/>
      <c r="AQ89" s="65"/>
      <c r="AR89" s="65"/>
      <c r="AS89" s="65"/>
      <c r="AT89" s="173"/>
      <c r="AU89" s="177"/>
      <c r="AV89" s="178"/>
      <c r="AW89" s="178"/>
      <c r="AX89" s="179"/>
      <c r="AZ89" s="166"/>
      <c r="BA89" s="177"/>
      <c r="BB89" s="178"/>
      <c r="BC89" s="178"/>
      <c r="BD89" s="178"/>
      <c r="BE89" s="178"/>
      <c r="BF89" s="178"/>
      <c r="BG89" s="178"/>
      <c r="BH89" s="178"/>
      <c r="BI89" s="179"/>
      <c r="BJ89" s="180"/>
      <c r="BK89" s="178"/>
      <c r="BL89" s="178"/>
      <c r="BM89" s="178"/>
      <c r="BN89" s="178"/>
      <c r="BO89" s="181"/>
      <c r="BP89" s="166"/>
      <c r="BQ89" s="177"/>
      <c r="BR89" s="178"/>
      <c r="BS89" s="179"/>
      <c r="BU89" s="166"/>
      <c r="BV89" s="166"/>
      <c r="BW89" s="166"/>
      <c r="BX89" s="166"/>
      <c r="BY89" s="166"/>
      <c r="BZ89" s="166"/>
      <c r="CA89" s="166"/>
      <c r="CB89" s="166"/>
      <c r="CC89" s="166"/>
      <c r="CD89" s="177"/>
      <c r="CE89" s="181"/>
      <c r="CF89" s="177"/>
      <c r="CG89" s="179"/>
      <c r="CH89" s="257"/>
      <c r="CI89" s="182"/>
      <c r="CJ89" s="177"/>
      <c r="CK89" s="182"/>
      <c r="CL89" s="177"/>
      <c r="CM89" s="182"/>
      <c r="CN89" s="177"/>
      <c r="CO89" s="182"/>
      <c r="CP89" s="177"/>
      <c r="CQ89" s="178"/>
      <c r="CR89" s="182"/>
      <c r="CS89" s="173"/>
      <c r="CT89" s="65"/>
      <c r="CU89" s="271" t="str">
        <f t="shared" si="2"/>
        <v>SHP</v>
      </c>
    </row>
    <row r="90" ht="60.0" customHeight="1">
      <c r="A90" s="65"/>
      <c r="C90" s="167">
        <v>6.0</v>
      </c>
      <c r="D90" s="168" t="s">
        <v>175</v>
      </c>
      <c r="E90" s="169"/>
      <c r="F90" s="170"/>
      <c r="G90" s="170"/>
      <c r="H90" s="170"/>
      <c r="I90" s="207"/>
      <c r="J90" s="170"/>
      <c r="K90" s="171"/>
      <c r="L90" s="171"/>
      <c r="M90" s="171"/>
      <c r="N90" s="276"/>
      <c r="O90" s="256">
        <f t="shared" si="16"/>
        <v>0</v>
      </c>
      <c r="Q90" s="173"/>
      <c r="R90" s="65"/>
      <c r="S90" s="173"/>
      <c r="T90" s="173"/>
      <c r="U90" s="166"/>
      <c r="V90" s="166"/>
      <c r="W90" s="65"/>
      <c r="X90" s="66"/>
      <c r="Y90" s="173"/>
      <c r="Z90" s="166"/>
      <c r="AA90" s="174"/>
      <c r="AB90" s="175"/>
      <c r="AC90" s="175"/>
      <c r="AD90" s="175"/>
      <c r="AE90" s="175"/>
      <c r="AF90" s="175"/>
      <c r="AG90" s="175"/>
      <c r="AH90" s="175"/>
      <c r="AI90" s="176"/>
      <c r="AJ90" s="177"/>
      <c r="AK90" s="178"/>
      <c r="AL90" s="178"/>
      <c r="AM90" s="178"/>
      <c r="AN90" s="178"/>
      <c r="AO90" s="179"/>
      <c r="AP90" s="64"/>
      <c r="AQ90" s="65"/>
      <c r="AR90" s="65"/>
      <c r="AS90" s="65"/>
      <c r="AT90" s="173"/>
      <c r="AU90" s="177"/>
      <c r="AV90" s="178"/>
      <c r="AW90" s="178"/>
      <c r="AX90" s="179"/>
      <c r="AZ90" s="166"/>
      <c r="BA90" s="177"/>
      <c r="BB90" s="178"/>
      <c r="BC90" s="178"/>
      <c r="BD90" s="178"/>
      <c r="BE90" s="178"/>
      <c r="BF90" s="178"/>
      <c r="BG90" s="178"/>
      <c r="BH90" s="178"/>
      <c r="BI90" s="179"/>
      <c r="BJ90" s="180"/>
      <c r="BK90" s="178"/>
      <c r="BL90" s="178"/>
      <c r="BM90" s="178"/>
      <c r="BN90" s="178"/>
      <c r="BO90" s="181"/>
      <c r="BP90" s="166"/>
      <c r="BQ90" s="177"/>
      <c r="BR90" s="178"/>
      <c r="BS90" s="179"/>
      <c r="BU90" s="166"/>
      <c r="BV90" s="166"/>
      <c r="BW90" s="166"/>
      <c r="BX90" s="166"/>
      <c r="BY90" s="166"/>
      <c r="BZ90" s="166"/>
      <c r="CA90" s="166"/>
      <c r="CB90" s="166"/>
      <c r="CC90" s="166"/>
      <c r="CD90" s="177"/>
      <c r="CE90" s="181"/>
      <c r="CF90" s="177"/>
      <c r="CG90" s="179"/>
      <c r="CH90" s="257"/>
      <c r="CI90" s="182"/>
      <c r="CJ90" s="177"/>
      <c r="CK90" s="182"/>
      <c r="CL90" s="177"/>
      <c r="CM90" s="182"/>
      <c r="CN90" s="177"/>
      <c r="CO90" s="182"/>
      <c r="CP90" s="177"/>
      <c r="CQ90" s="178"/>
      <c r="CR90" s="182"/>
      <c r="CS90" s="173"/>
      <c r="CT90" s="65"/>
      <c r="CU90" s="271" t="str">
        <f t="shared" si="2"/>
        <v>SHP</v>
      </c>
    </row>
    <row r="91" ht="60.0" customHeight="1">
      <c r="A91" s="65"/>
      <c r="C91" s="167">
        <v>7.0</v>
      </c>
      <c r="D91" s="168" t="s">
        <v>175</v>
      </c>
      <c r="E91" s="169"/>
      <c r="F91" s="170"/>
      <c r="G91" s="170"/>
      <c r="H91" s="170"/>
      <c r="I91" s="207"/>
      <c r="J91" s="170"/>
      <c r="K91" s="171"/>
      <c r="L91" s="171"/>
      <c r="M91" s="171"/>
      <c r="N91" s="276"/>
      <c r="O91" s="256">
        <f t="shared" ref="O91:O94" si="17">IF(AND(M91&gt;=20,M91&lt;&gt;"m",RIGHT(K91,3)="Lec"),1,IF(AND(M91&gt;=20,M91&lt;&gt;"m",OR(RIGHT(K91,3)="Lab",RIGHT(K91,3)="Tut")),0.5,IF(AND(M91&gt;=20,M91&lt;&gt;"m",RIGHT(K91,2)="TL"),0.75,0)))</f>
        <v>0</v>
      </c>
      <c r="Q91" s="173"/>
      <c r="R91" s="65"/>
      <c r="S91" s="173"/>
      <c r="T91" s="173"/>
      <c r="U91" s="166"/>
      <c r="V91" s="166"/>
      <c r="W91" s="65"/>
      <c r="X91" s="66"/>
      <c r="Y91" s="173"/>
      <c r="Z91" s="166"/>
      <c r="AA91" s="174"/>
      <c r="AB91" s="175"/>
      <c r="AC91" s="175"/>
      <c r="AD91" s="175"/>
      <c r="AE91" s="175"/>
      <c r="AF91" s="175"/>
      <c r="AG91" s="175"/>
      <c r="AH91" s="175"/>
      <c r="AI91" s="176"/>
      <c r="AJ91" s="177"/>
      <c r="AK91" s="178"/>
      <c r="AL91" s="178"/>
      <c r="AM91" s="178"/>
      <c r="AN91" s="178"/>
      <c r="AO91" s="179"/>
      <c r="AP91" s="64"/>
      <c r="AQ91" s="65"/>
      <c r="AR91" s="65"/>
      <c r="AS91" s="65"/>
      <c r="AT91" s="173"/>
      <c r="AU91" s="177"/>
      <c r="AV91" s="178"/>
      <c r="AW91" s="178"/>
      <c r="AX91" s="179"/>
      <c r="AZ91" s="166"/>
      <c r="BA91" s="177"/>
      <c r="BB91" s="178"/>
      <c r="BC91" s="178"/>
      <c r="BD91" s="178"/>
      <c r="BE91" s="178"/>
      <c r="BF91" s="178"/>
      <c r="BG91" s="178"/>
      <c r="BH91" s="178"/>
      <c r="BI91" s="179"/>
      <c r="BJ91" s="180"/>
      <c r="BK91" s="178"/>
      <c r="BL91" s="178"/>
      <c r="BM91" s="178"/>
      <c r="BN91" s="178"/>
      <c r="BO91" s="181"/>
      <c r="BP91" s="166"/>
      <c r="BQ91" s="177"/>
      <c r="BR91" s="178"/>
      <c r="BS91" s="179"/>
      <c r="BU91" s="166"/>
      <c r="BV91" s="166"/>
      <c r="BW91" s="166"/>
      <c r="BX91" s="166"/>
      <c r="BY91" s="166"/>
      <c r="BZ91" s="166"/>
      <c r="CA91" s="166"/>
      <c r="CB91" s="166"/>
      <c r="CC91" s="166"/>
      <c r="CD91" s="177"/>
      <c r="CE91" s="181"/>
      <c r="CF91" s="177"/>
      <c r="CG91" s="179"/>
      <c r="CH91" s="257"/>
      <c r="CI91" s="182"/>
      <c r="CJ91" s="177"/>
      <c r="CK91" s="182"/>
      <c r="CL91" s="177"/>
      <c r="CM91" s="182"/>
      <c r="CN91" s="177"/>
      <c r="CO91" s="182"/>
      <c r="CP91" s="177"/>
      <c r="CQ91" s="178"/>
      <c r="CR91" s="182"/>
      <c r="CS91" s="173"/>
      <c r="CT91" s="65"/>
      <c r="CU91" s="271" t="str">
        <f t="shared" si="2"/>
        <v>SHP</v>
      </c>
    </row>
    <row r="92" ht="60.0" customHeight="1">
      <c r="A92" s="65"/>
      <c r="C92" s="167">
        <v>8.0</v>
      </c>
      <c r="D92" s="168" t="s">
        <v>175</v>
      </c>
      <c r="E92" s="169"/>
      <c r="F92" s="170"/>
      <c r="G92" s="170"/>
      <c r="H92" s="170"/>
      <c r="I92" s="207"/>
      <c r="J92" s="170"/>
      <c r="K92" s="171"/>
      <c r="L92" s="171"/>
      <c r="M92" s="171"/>
      <c r="N92" s="276"/>
      <c r="O92" s="256">
        <f t="shared" si="17"/>
        <v>0</v>
      </c>
      <c r="Q92" s="173"/>
      <c r="R92" s="65"/>
      <c r="S92" s="173"/>
      <c r="T92" s="173"/>
      <c r="U92" s="166"/>
      <c r="V92" s="166"/>
      <c r="W92" s="65"/>
      <c r="X92" s="66"/>
      <c r="Y92" s="173"/>
      <c r="Z92" s="166"/>
      <c r="AA92" s="174"/>
      <c r="AB92" s="175"/>
      <c r="AC92" s="175"/>
      <c r="AD92" s="175"/>
      <c r="AE92" s="175"/>
      <c r="AF92" s="175"/>
      <c r="AG92" s="175"/>
      <c r="AH92" s="175"/>
      <c r="AI92" s="176"/>
      <c r="AJ92" s="177"/>
      <c r="AK92" s="178"/>
      <c r="AL92" s="178"/>
      <c r="AM92" s="178"/>
      <c r="AN92" s="178"/>
      <c r="AO92" s="179"/>
      <c r="AP92" s="64"/>
      <c r="AQ92" s="65"/>
      <c r="AR92" s="65"/>
      <c r="AS92" s="65"/>
      <c r="AT92" s="173"/>
      <c r="AU92" s="177"/>
      <c r="AV92" s="178"/>
      <c r="AW92" s="178"/>
      <c r="AX92" s="179"/>
      <c r="AZ92" s="166"/>
      <c r="BA92" s="177"/>
      <c r="BB92" s="178"/>
      <c r="BC92" s="178"/>
      <c r="BD92" s="178"/>
      <c r="BE92" s="178"/>
      <c r="BF92" s="178"/>
      <c r="BG92" s="178"/>
      <c r="BH92" s="178"/>
      <c r="BI92" s="179"/>
      <c r="BJ92" s="180"/>
      <c r="BK92" s="178"/>
      <c r="BL92" s="178"/>
      <c r="BM92" s="178"/>
      <c r="BN92" s="178"/>
      <c r="BO92" s="181"/>
      <c r="BP92" s="166"/>
      <c r="BQ92" s="177"/>
      <c r="BR92" s="178"/>
      <c r="BS92" s="179"/>
      <c r="BU92" s="166"/>
      <c r="BV92" s="166"/>
      <c r="BW92" s="166"/>
      <c r="BX92" s="166"/>
      <c r="BY92" s="166"/>
      <c r="BZ92" s="166"/>
      <c r="CA92" s="166"/>
      <c r="CB92" s="166"/>
      <c r="CC92" s="166"/>
      <c r="CD92" s="177"/>
      <c r="CE92" s="181"/>
      <c r="CF92" s="177"/>
      <c r="CG92" s="179"/>
      <c r="CH92" s="257"/>
      <c r="CI92" s="182"/>
      <c r="CJ92" s="177"/>
      <c r="CK92" s="182"/>
      <c r="CL92" s="177"/>
      <c r="CM92" s="182"/>
      <c r="CN92" s="177"/>
      <c r="CO92" s="182"/>
      <c r="CP92" s="177"/>
      <c r="CQ92" s="178"/>
      <c r="CR92" s="182"/>
      <c r="CS92" s="173"/>
      <c r="CT92" s="65"/>
      <c r="CU92" s="271" t="str">
        <f t="shared" si="2"/>
        <v>SHP</v>
      </c>
    </row>
    <row r="93" ht="60.0" customHeight="1">
      <c r="A93" s="65"/>
      <c r="C93" s="167">
        <v>9.0</v>
      </c>
      <c r="D93" s="168" t="s">
        <v>175</v>
      </c>
      <c r="E93" s="169"/>
      <c r="F93" s="170"/>
      <c r="G93" s="170"/>
      <c r="H93" s="170"/>
      <c r="I93" s="207"/>
      <c r="J93" s="170"/>
      <c r="K93" s="171"/>
      <c r="L93" s="171"/>
      <c r="M93" s="171"/>
      <c r="N93" s="276"/>
      <c r="O93" s="256">
        <f t="shared" si="17"/>
        <v>0</v>
      </c>
      <c r="Q93" s="173"/>
      <c r="R93" s="65"/>
      <c r="S93" s="173"/>
      <c r="T93" s="173"/>
      <c r="U93" s="166"/>
      <c r="V93" s="166"/>
      <c r="W93" s="65"/>
      <c r="X93" s="66"/>
      <c r="Y93" s="173"/>
      <c r="Z93" s="166"/>
      <c r="AA93" s="174"/>
      <c r="AB93" s="175"/>
      <c r="AC93" s="175"/>
      <c r="AD93" s="175"/>
      <c r="AE93" s="175"/>
      <c r="AF93" s="175"/>
      <c r="AG93" s="175"/>
      <c r="AH93" s="175"/>
      <c r="AI93" s="176"/>
      <c r="AJ93" s="177"/>
      <c r="AK93" s="178"/>
      <c r="AL93" s="178"/>
      <c r="AM93" s="178"/>
      <c r="AN93" s="178"/>
      <c r="AO93" s="179"/>
      <c r="AP93" s="64"/>
      <c r="AQ93" s="65"/>
      <c r="AR93" s="65"/>
      <c r="AS93" s="65"/>
      <c r="AT93" s="173"/>
      <c r="AU93" s="177"/>
      <c r="AV93" s="178"/>
      <c r="AW93" s="178"/>
      <c r="AX93" s="179"/>
      <c r="AZ93" s="166"/>
      <c r="BA93" s="177"/>
      <c r="BB93" s="178"/>
      <c r="BC93" s="178"/>
      <c r="BD93" s="178"/>
      <c r="BE93" s="178"/>
      <c r="BF93" s="178"/>
      <c r="BG93" s="178"/>
      <c r="BH93" s="178"/>
      <c r="BI93" s="179"/>
      <c r="BJ93" s="180"/>
      <c r="BK93" s="178"/>
      <c r="BL93" s="178"/>
      <c r="BM93" s="178"/>
      <c r="BN93" s="178"/>
      <c r="BO93" s="181"/>
      <c r="BP93" s="166"/>
      <c r="BQ93" s="177"/>
      <c r="BR93" s="178"/>
      <c r="BS93" s="179"/>
      <c r="BU93" s="166"/>
      <c r="BV93" s="166"/>
      <c r="BW93" s="166"/>
      <c r="BX93" s="166"/>
      <c r="BY93" s="166"/>
      <c r="BZ93" s="166"/>
      <c r="CA93" s="166"/>
      <c r="CB93" s="166"/>
      <c r="CC93" s="166"/>
      <c r="CD93" s="177"/>
      <c r="CE93" s="181"/>
      <c r="CF93" s="177"/>
      <c r="CG93" s="179"/>
      <c r="CH93" s="257"/>
      <c r="CI93" s="182"/>
      <c r="CJ93" s="177"/>
      <c r="CK93" s="182"/>
      <c r="CL93" s="177"/>
      <c r="CM93" s="182"/>
      <c r="CN93" s="177"/>
      <c r="CO93" s="182"/>
      <c r="CP93" s="177"/>
      <c r="CQ93" s="178"/>
      <c r="CR93" s="182"/>
      <c r="CS93" s="173"/>
      <c r="CT93" s="65"/>
      <c r="CU93" s="271" t="str">
        <f t="shared" si="2"/>
        <v>SHP</v>
      </c>
    </row>
    <row r="94" ht="60.0" customHeight="1">
      <c r="A94" s="65"/>
      <c r="C94" s="167">
        <v>10.0</v>
      </c>
      <c r="D94" s="168" t="s">
        <v>175</v>
      </c>
      <c r="E94" s="169"/>
      <c r="F94" s="170"/>
      <c r="G94" s="170"/>
      <c r="H94" s="170"/>
      <c r="I94" s="207"/>
      <c r="J94" s="170"/>
      <c r="K94" s="171"/>
      <c r="L94" s="171"/>
      <c r="M94" s="171"/>
      <c r="N94" s="276"/>
      <c r="O94" s="256">
        <f t="shared" si="17"/>
        <v>0</v>
      </c>
      <c r="Q94" s="173"/>
      <c r="R94" s="65"/>
      <c r="S94" s="173"/>
      <c r="T94" s="173"/>
      <c r="U94" s="166"/>
      <c r="V94" s="166"/>
      <c r="W94" s="65"/>
      <c r="X94" s="66"/>
      <c r="Y94" s="173"/>
      <c r="Z94" s="166"/>
      <c r="AA94" s="174"/>
      <c r="AB94" s="175"/>
      <c r="AC94" s="175"/>
      <c r="AD94" s="175"/>
      <c r="AE94" s="175"/>
      <c r="AF94" s="175"/>
      <c r="AG94" s="175"/>
      <c r="AH94" s="175"/>
      <c r="AI94" s="176"/>
      <c r="AJ94" s="177"/>
      <c r="AK94" s="178"/>
      <c r="AL94" s="178"/>
      <c r="AM94" s="178"/>
      <c r="AN94" s="178"/>
      <c r="AO94" s="179"/>
      <c r="AP94" s="64"/>
      <c r="AQ94" s="65"/>
      <c r="AR94" s="65"/>
      <c r="AS94" s="65"/>
      <c r="AT94" s="173"/>
      <c r="AU94" s="177"/>
      <c r="AV94" s="178"/>
      <c r="AW94" s="178"/>
      <c r="AX94" s="179"/>
      <c r="AZ94" s="166"/>
      <c r="BA94" s="177"/>
      <c r="BB94" s="178"/>
      <c r="BC94" s="178"/>
      <c r="BD94" s="178"/>
      <c r="BE94" s="178"/>
      <c r="BF94" s="178"/>
      <c r="BG94" s="178"/>
      <c r="BH94" s="178"/>
      <c r="BI94" s="179"/>
      <c r="BJ94" s="180"/>
      <c r="BK94" s="178"/>
      <c r="BL94" s="178"/>
      <c r="BM94" s="178"/>
      <c r="BN94" s="178"/>
      <c r="BO94" s="181"/>
      <c r="BP94" s="166"/>
      <c r="BQ94" s="177"/>
      <c r="BR94" s="178"/>
      <c r="BS94" s="179"/>
      <c r="BU94" s="166"/>
      <c r="BV94" s="166"/>
      <c r="BW94" s="166"/>
      <c r="BX94" s="166"/>
      <c r="BY94" s="166"/>
      <c r="BZ94" s="166"/>
      <c r="CA94" s="166"/>
      <c r="CB94" s="166"/>
      <c r="CC94" s="166"/>
      <c r="CD94" s="177"/>
      <c r="CE94" s="181"/>
      <c r="CF94" s="177"/>
      <c r="CG94" s="179"/>
      <c r="CH94" s="257"/>
      <c r="CI94" s="182"/>
      <c r="CJ94" s="177"/>
      <c r="CK94" s="182"/>
      <c r="CL94" s="177"/>
      <c r="CM94" s="182"/>
      <c r="CN94" s="177"/>
      <c r="CO94" s="182"/>
      <c r="CP94" s="177"/>
      <c r="CQ94" s="178"/>
      <c r="CR94" s="182"/>
      <c r="CS94" s="173"/>
      <c r="CT94" s="65"/>
      <c r="CU94" s="271" t="str">
        <f t="shared" si="2"/>
        <v>SHP</v>
      </c>
    </row>
    <row r="95" ht="60.0" customHeight="1">
      <c r="A95" s="89"/>
      <c r="C95" s="183">
        <v>11.0</v>
      </c>
      <c r="D95" s="210" t="s">
        <v>175</v>
      </c>
      <c r="E95" s="185"/>
      <c r="F95" s="186"/>
      <c r="G95" s="186"/>
      <c r="H95" s="186"/>
      <c r="I95" s="212"/>
      <c r="J95" s="186"/>
      <c r="K95" s="187"/>
      <c r="L95" s="187"/>
      <c r="M95" s="187"/>
      <c r="N95" s="284"/>
      <c r="O95" s="258">
        <f t="shared" ref="O95:O101" si="18">IF(AND(M95&lt;&gt;0,M95&lt;&gt;"m",M95&lt;&gt;"",RIGHT(K95,3)="Lec"),1,IF(AND(M95&lt;&gt;0,M95&lt;&gt;"m",M95&lt;&gt;"",OR(RIGHT(K95,3)="Lab",RIGHT(K95,3)="Tut")),0.5,IF(AND(M95&lt;&gt;0,M95&lt;&gt;"m",M95&lt;&gt;"",RIGHT(K95,2)="TL"),0.75,0)))</f>
        <v>0</v>
      </c>
      <c r="P95" s="6"/>
      <c r="Q95" s="69"/>
      <c r="R95" s="89"/>
      <c r="S95" s="69"/>
      <c r="T95" s="69"/>
      <c r="U95" s="63"/>
      <c r="V95" s="63"/>
      <c r="W95" s="89"/>
      <c r="X95" s="68"/>
      <c r="Y95" s="69"/>
      <c r="Z95" s="63"/>
      <c r="AA95" s="189"/>
      <c r="AB95" s="190"/>
      <c r="AC95" s="190"/>
      <c r="AD95" s="190"/>
      <c r="AE95" s="190"/>
      <c r="AF95" s="190"/>
      <c r="AG95" s="190"/>
      <c r="AH95" s="190"/>
      <c r="AI95" s="191"/>
      <c r="AJ95" s="192"/>
      <c r="AK95" s="193"/>
      <c r="AL95" s="193"/>
      <c r="AM95" s="193"/>
      <c r="AN95" s="193"/>
      <c r="AO95" s="194"/>
      <c r="AP95" s="103"/>
      <c r="AQ95" s="89"/>
      <c r="AR95" s="89"/>
      <c r="AS95" s="89"/>
      <c r="AT95" s="69"/>
      <c r="AU95" s="192"/>
      <c r="AV95" s="193"/>
      <c r="AW95" s="193"/>
      <c r="AX95" s="194"/>
      <c r="AY95" s="6"/>
      <c r="AZ95" s="63"/>
      <c r="BA95" s="192"/>
      <c r="BB95" s="193"/>
      <c r="BC95" s="193"/>
      <c r="BD95" s="193"/>
      <c r="BE95" s="193"/>
      <c r="BF95" s="193"/>
      <c r="BG95" s="193"/>
      <c r="BH95" s="193"/>
      <c r="BI95" s="194"/>
      <c r="BJ95" s="195"/>
      <c r="BK95" s="193"/>
      <c r="BL95" s="193"/>
      <c r="BM95" s="193"/>
      <c r="BN95" s="193"/>
      <c r="BO95" s="196"/>
      <c r="BP95" s="63"/>
      <c r="BQ95" s="192"/>
      <c r="BR95" s="193"/>
      <c r="BS95" s="194"/>
      <c r="BT95" s="6"/>
      <c r="BU95" s="63"/>
      <c r="BV95" s="63"/>
      <c r="BW95" s="63"/>
      <c r="BX95" s="63"/>
      <c r="BY95" s="63"/>
      <c r="BZ95" s="63"/>
      <c r="CA95" s="63"/>
      <c r="CB95" s="63"/>
      <c r="CC95" s="63"/>
      <c r="CD95" s="192"/>
      <c r="CE95" s="196"/>
      <c r="CF95" s="192"/>
      <c r="CG95" s="194"/>
      <c r="CH95" s="259"/>
      <c r="CI95" s="197"/>
      <c r="CJ95" s="192"/>
      <c r="CK95" s="197"/>
      <c r="CL95" s="192"/>
      <c r="CM95" s="197"/>
      <c r="CN95" s="192"/>
      <c r="CO95" s="197"/>
      <c r="CP95" s="192"/>
      <c r="CQ95" s="193"/>
      <c r="CR95" s="197"/>
      <c r="CS95" s="69"/>
      <c r="CT95" s="89"/>
      <c r="CU95" s="272" t="str">
        <f t="shared" si="2"/>
        <v>SHP</v>
      </c>
    </row>
    <row r="96" ht="55.5" customHeight="1">
      <c r="A96" s="125">
        <v>9.0</v>
      </c>
      <c r="B96" s="199" t="s">
        <v>179</v>
      </c>
      <c r="C96" s="127">
        <v>1.0</v>
      </c>
      <c r="D96" s="168" t="s">
        <v>180</v>
      </c>
      <c r="E96" s="129"/>
      <c r="F96" s="130"/>
      <c r="G96" s="130"/>
      <c r="H96" s="130"/>
      <c r="I96" s="201"/>
      <c r="J96" s="130"/>
      <c r="K96" s="131"/>
      <c r="L96" s="131"/>
      <c r="M96" s="131"/>
      <c r="N96" s="275"/>
      <c r="O96" s="250">
        <f t="shared" si="18"/>
        <v>0</v>
      </c>
      <c r="P96" s="251">
        <f>COUNTIF(K96:K106,"TL")*0.75+COUNTIF(K96:K106,"Lec")*1+COUNTIF(K96:K106,"Lab")*0.5</f>
        <v>0</v>
      </c>
      <c r="Q96" s="134">
        <f>SUM((IF(LEFT(K96,1)="E",O96,0)),(IF(LEFT(K97,1)="E",O97,0)),(IF(LEFT(K98,1)="E",O98,0)),(IF(LEFT(K99,1)="E",O99,0)),(IF(LEFT(K100,1)="E",O100,0)),(IF(LEFT(K101,1)="E",O101,0)),(IF(LEFT(K102,1)="E",O102,0)),(IF(LEFT(K103,1)="E",O103,0)),(IF(LEFT(K104,1)="E",O104,0)),(IF(LEFT(K105,1)="E",O105,0)),(IF(LEFT(K106,1)="E",O106,0)))</f>
        <v>0</v>
      </c>
      <c r="R96" s="135">
        <f>SUM(IF(M102&lt;20,IF(K102="Plec",-1,IF(K102="PTL",-0.75,IF(K102="Plab",-0.5,0))),0),IF(M103&lt;20,IF(K103="Plec",-1,IF(K103="PTL",-0.75,IF(K103="Plab",-0.5,0))),0),IF(M104&lt;20,IF(K104="Plec",-1,IF(K104="PTL",-0.75,IF(K104="Plab",-0.5,0))),0),IF(M105&lt;20,IF(K105="Plec",-1,IF(K105="PTL",-0.75,IF(K105="Plab",-0.5,0))),0))</f>
        <v>0</v>
      </c>
      <c r="S96" s="134">
        <f>SUM(P96:R106)</f>
        <v>0</v>
      </c>
      <c r="T96" s="136">
        <f>SUM(IF(M96="M",IF(OR(K96="lec",K96="plec",K96="slec"),1,IF(OR(K96="lab",K96="plab",K96="slab",K96="tut",K96="ptut",K96="stut"),0.5,IF(OR(K96="TL",K96="pTL",K96="STL"),0.75,0))),0),IF(M97="M",IF(OR(K97="lec",K97="plec",K97="slec"),1,IF(OR(K97="lab",K97="plab",K97="slab",K97="tut",K97="ptut",K97="stut"),0.5,IF(OR(K97="TL",K97="pTL",K97="STL"),0.75,0))),0),IF(M98="M",IF(OR(K98="lec",K98="plec",K98="slec"),1,IF(OR(K98="lab",K98="plab",K98="slab",K98="tut",K98="ptut",K98="stut"),0.5,IF(OR(K98="TL",K98="pTL",K98="STL"),0.75,0))),0),IF(M99="M",IF(OR(K99="lec",K99="plec",K99="slec"),1,IF(OR(K99="lab",K99="plab",K99="slab",K99="tut",K99="ptut",K99="stut"),0.5,IF(OR(K99="TL",K99="pTL",K99="STL"),0.75,0))),0),IF(M100="M",IF(OR(K100="lec",K100="plec",K100="slec"),1,IF(OR(K100="lab",K100="plab",K100="slab",K100="tut",K100="ptut",K100="stut"),0.5,IF(OR(K100="TL",K100="pTL",K100="STL"),0.75,0))),0),IF(M101="M",IF(OR(K101="lec",K101="plec",K101="slec"),1,IF(OR(K101="lab",K101="plab",K101="slab",K101="tut",K101="ptut",K101="stut"),0.5,IF(OR(K101="TL",K101="pTL",K101="STL"),0.75,0))),0),IF(M102="M",IF(OR(K102="lec",K102="plec",K102="slec"),1,IF(OR(K102="lab",K102="plab",K102="slab",K102="tut",K102="ptut",K102="stut"),0.5,IF(OR(K102="TL",K102="pTL",K102="STL"),0.75,0))),0),IF(M103="M",IF(OR(K103="lec",K103="plec",K103="slec"),1,IF(OR(K103="lab",K103="plab",K103="slab",K103="tut",K103="ptut",K103="stut"),0.5,IF(OR(K103="TL",K103="pTL",K103="STL"),0.75,0))),0),IF(M104="M",IF(OR(K104="lec",K104="plec",K104="slec"),1,IF(OR(K104="lab",K104="plab",K104="slab",K104="tut",K104="ptut",K104="stut"),0.5,IF(OR(K104="TL",K104="pTL",K104="STL"),0.75,0))),0),IF(M105="M",IF(OR(K105="lec",K105="plec",K105="slec"),1,IF(OR(K105="lab",K105="plab",K105="slab",K105="tut",K105="ptut",K105="stut"),0.5,IF(OR(K105="TL",K105="pTL",K105="STL"),0.75,0))),0),IF(M106="M",IF(OR(K106="lec",K106="plec",K106="slec"),1,IF(OR(K106="lab",K106="plab",K106="slab",K106="tut",K106="ptut",K106="stut"),0.5,IF(OR(K106="TL",K106="pTL",K106="STL"),0.75,0))),0))</f>
        <v>0</v>
      </c>
      <c r="U96" s="137"/>
      <c r="V96" s="133"/>
      <c r="W96" s="138"/>
      <c r="X96" s="139">
        <f>S96-(T96+U96+V96+W96)</f>
        <v>0</v>
      </c>
      <c r="Y96" s="134" t="str">
        <f>CONCATENATE(SUM(O96:O106),"(",SUM(O96:O106)-X96,")")</f>
        <v>0(0)</v>
      </c>
      <c r="Z96" s="140"/>
      <c r="AA96" s="141"/>
      <c r="AB96" s="142"/>
      <c r="AC96" s="142"/>
      <c r="AD96" s="142"/>
      <c r="AE96" s="142"/>
      <c r="AF96" s="142"/>
      <c r="AG96" s="142"/>
      <c r="AH96" s="142"/>
      <c r="AI96" s="143"/>
      <c r="AJ96" s="144"/>
      <c r="AK96" s="145"/>
      <c r="AL96" s="145"/>
      <c r="AM96" s="145"/>
      <c r="AN96" s="145"/>
      <c r="AO96" s="146"/>
      <c r="AP96" s="147">
        <f>SUM(SUM(O96:O106),SUM(AI96:AI106)/2,AM96)</f>
        <v>0</v>
      </c>
      <c r="AQ96" s="148"/>
      <c r="AR96" s="148">
        <f>AP96*AQ96</f>
        <v>0</v>
      </c>
      <c r="AS96" s="148">
        <f>CT96</f>
        <v>2</v>
      </c>
      <c r="AT96" s="149">
        <f>AR96*0.75+AS96*0.25</f>
        <v>0.5</v>
      </c>
      <c r="AU96" s="150"/>
      <c r="AV96" s="151"/>
      <c r="AW96" s="151"/>
      <c r="AX96" s="152"/>
      <c r="AY96" s="153"/>
      <c r="AZ96" s="140"/>
      <c r="BA96" s="150">
        <v>2.0</v>
      </c>
      <c r="BB96" s="151" t="s">
        <v>323</v>
      </c>
      <c r="BC96" s="151" t="s">
        <v>324</v>
      </c>
      <c r="BD96" s="151" t="s">
        <v>325</v>
      </c>
      <c r="BE96" s="151" t="s">
        <v>326</v>
      </c>
      <c r="BF96" s="151"/>
      <c r="BG96" s="151">
        <v>2.0</v>
      </c>
      <c r="BH96" s="151"/>
      <c r="BI96" s="152"/>
      <c r="BJ96" s="154"/>
      <c r="BK96" s="151"/>
      <c r="BL96" s="151"/>
      <c r="BM96" s="151"/>
      <c r="BN96" s="151"/>
      <c r="BO96" s="155"/>
      <c r="BP96" s="140"/>
      <c r="BQ96" s="156"/>
      <c r="BR96" s="157"/>
      <c r="BS96" s="158"/>
      <c r="BT96" s="153"/>
      <c r="BU96" s="140"/>
      <c r="BV96" s="140"/>
      <c r="BW96" s="140"/>
      <c r="BX96" s="140"/>
      <c r="BY96" s="140"/>
      <c r="BZ96" s="140"/>
      <c r="CA96" s="140"/>
      <c r="CB96" s="140"/>
      <c r="CC96" s="140"/>
      <c r="CD96" s="150"/>
      <c r="CE96" s="155"/>
      <c r="CF96" s="150" t="s">
        <v>327</v>
      </c>
      <c r="CG96" s="152"/>
      <c r="CH96" s="252" t="s">
        <v>305</v>
      </c>
      <c r="CI96" s="160">
        <v>0.0</v>
      </c>
      <c r="CJ96" s="159"/>
      <c r="CK96" s="160"/>
      <c r="CL96" s="159"/>
      <c r="CM96" s="160"/>
      <c r="CN96" s="159"/>
      <c r="CO96" s="160"/>
      <c r="CP96" s="159"/>
      <c r="CQ96" s="162"/>
      <c r="CR96" s="160"/>
      <c r="CS96" s="253">
        <f>SUM(IF(AU96&lt;0,ABS(AU96),0),IF(AZ96&lt;0,ABS(AZ96),0),ABS(CI96),ABS(CK96),ABS(CM96),ABS(CO96),ABS(CQ96),ABS(CR96))</f>
        <v>0</v>
      </c>
      <c r="CT96" s="254">
        <f>SUM(AU96,AV96,AW96,AX96/400,AY96,AZ96,BG96,BH96*0.5,BI96*0.25,BJ96,BK96,BL96,BM96,BN96,BO96,BP96,BR96/20,BS96/100,BT96/60,BU96,BV96,BW96,BX96/4,SUM(BY96:CC106)/3,CE96,CG96/3,CI96,CK96,CM96,CO96,CQ96,CR96)</f>
        <v>2</v>
      </c>
      <c r="CU96" s="255" t="str">
        <f t="shared" si="2"/>
        <v>ZMP</v>
      </c>
    </row>
    <row r="97" ht="60.0" customHeight="1">
      <c r="A97" s="65"/>
      <c r="C97" s="167">
        <v>2.0</v>
      </c>
      <c r="D97" s="168" t="s">
        <v>180</v>
      </c>
      <c r="E97" s="169"/>
      <c r="F97" s="170"/>
      <c r="G97" s="170"/>
      <c r="H97" s="170"/>
      <c r="I97" s="207"/>
      <c r="J97" s="170"/>
      <c r="K97" s="171"/>
      <c r="L97" s="171"/>
      <c r="M97" s="171"/>
      <c r="N97" s="276"/>
      <c r="O97" s="256">
        <f t="shared" si="18"/>
        <v>0</v>
      </c>
      <c r="Q97" s="173"/>
      <c r="R97" s="65"/>
      <c r="S97" s="173"/>
      <c r="T97" s="173"/>
      <c r="U97" s="166"/>
      <c r="V97" s="166"/>
      <c r="W97" s="65"/>
      <c r="X97" s="66"/>
      <c r="Y97" s="173"/>
      <c r="Z97" s="166"/>
      <c r="AA97" s="174"/>
      <c r="AB97" s="175"/>
      <c r="AC97" s="175"/>
      <c r="AD97" s="175"/>
      <c r="AE97" s="175"/>
      <c r="AF97" s="175"/>
      <c r="AG97" s="175"/>
      <c r="AH97" s="175"/>
      <c r="AI97" s="176"/>
      <c r="AJ97" s="177"/>
      <c r="AK97" s="178"/>
      <c r="AL97" s="178"/>
      <c r="AM97" s="178"/>
      <c r="AN97" s="178"/>
      <c r="AO97" s="179"/>
      <c r="AP97" s="64"/>
      <c r="AQ97" s="65"/>
      <c r="AR97" s="65"/>
      <c r="AS97" s="65"/>
      <c r="AT97" s="173"/>
      <c r="AU97" s="177"/>
      <c r="AV97" s="178"/>
      <c r="AW97" s="178"/>
      <c r="AX97" s="179"/>
      <c r="AZ97" s="166"/>
      <c r="BA97" s="177"/>
      <c r="BB97" s="178"/>
      <c r="BC97" s="178"/>
      <c r="BD97" s="178"/>
      <c r="BE97" s="178"/>
      <c r="BF97" s="178"/>
      <c r="BG97" s="178"/>
      <c r="BH97" s="178"/>
      <c r="BI97" s="179"/>
      <c r="BJ97" s="180"/>
      <c r="BK97" s="178"/>
      <c r="BL97" s="178"/>
      <c r="BM97" s="178"/>
      <c r="BN97" s="178"/>
      <c r="BO97" s="181"/>
      <c r="BP97" s="166"/>
      <c r="BQ97" s="177"/>
      <c r="BR97" s="178"/>
      <c r="BS97" s="179"/>
      <c r="BU97" s="166"/>
      <c r="BV97" s="166"/>
      <c r="BW97" s="166"/>
      <c r="BX97" s="166"/>
      <c r="BY97" s="166"/>
      <c r="BZ97" s="166"/>
      <c r="CA97" s="166"/>
      <c r="CB97" s="166"/>
      <c r="CC97" s="166"/>
      <c r="CD97" s="177"/>
      <c r="CE97" s="181"/>
      <c r="CF97" s="177"/>
      <c r="CG97" s="179"/>
      <c r="CH97" s="257"/>
      <c r="CI97" s="182"/>
      <c r="CJ97" s="177"/>
      <c r="CK97" s="182"/>
      <c r="CL97" s="177"/>
      <c r="CM97" s="182"/>
      <c r="CN97" s="177"/>
      <c r="CO97" s="182"/>
      <c r="CP97" s="177"/>
      <c r="CQ97" s="178"/>
      <c r="CR97" s="182"/>
      <c r="CS97" s="173"/>
      <c r="CT97" s="65"/>
      <c r="CU97" s="271" t="str">
        <f t="shared" si="2"/>
        <v>ZMP</v>
      </c>
    </row>
    <row r="98" ht="60.0" customHeight="1">
      <c r="A98" s="65"/>
      <c r="C98" s="167">
        <v>3.0</v>
      </c>
      <c r="D98" s="168" t="s">
        <v>180</v>
      </c>
      <c r="E98" s="169"/>
      <c r="F98" s="170"/>
      <c r="G98" s="170"/>
      <c r="H98" s="170"/>
      <c r="I98" s="207"/>
      <c r="J98" s="170"/>
      <c r="K98" s="171"/>
      <c r="L98" s="171"/>
      <c r="M98" s="171"/>
      <c r="N98" s="276"/>
      <c r="O98" s="256">
        <f t="shared" si="18"/>
        <v>0</v>
      </c>
      <c r="Q98" s="173"/>
      <c r="R98" s="65"/>
      <c r="S98" s="173"/>
      <c r="T98" s="173"/>
      <c r="U98" s="166"/>
      <c r="V98" s="166"/>
      <c r="W98" s="65"/>
      <c r="X98" s="66"/>
      <c r="Y98" s="173"/>
      <c r="Z98" s="166"/>
      <c r="AA98" s="174"/>
      <c r="AB98" s="175"/>
      <c r="AC98" s="175"/>
      <c r="AD98" s="175"/>
      <c r="AE98" s="175"/>
      <c r="AF98" s="175"/>
      <c r="AG98" s="175"/>
      <c r="AH98" s="175"/>
      <c r="AI98" s="176"/>
      <c r="AJ98" s="177"/>
      <c r="AK98" s="178"/>
      <c r="AL98" s="178"/>
      <c r="AM98" s="178"/>
      <c r="AN98" s="178"/>
      <c r="AO98" s="179"/>
      <c r="AP98" s="64"/>
      <c r="AQ98" s="65"/>
      <c r="AR98" s="65"/>
      <c r="AS98" s="65"/>
      <c r="AT98" s="173"/>
      <c r="AU98" s="177"/>
      <c r="AV98" s="178"/>
      <c r="AW98" s="178"/>
      <c r="AX98" s="179"/>
      <c r="AZ98" s="166"/>
      <c r="BA98" s="177"/>
      <c r="BB98" s="178"/>
      <c r="BC98" s="178"/>
      <c r="BD98" s="178"/>
      <c r="BE98" s="178"/>
      <c r="BF98" s="178"/>
      <c r="BG98" s="178"/>
      <c r="BH98" s="178"/>
      <c r="BI98" s="179"/>
      <c r="BJ98" s="180"/>
      <c r="BK98" s="178"/>
      <c r="BL98" s="178"/>
      <c r="BM98" s="178"/>
      <c r="BN98" s="178"/>
      <c r="BO98" s="181"/>
      <c r="BP98" s="166"/>
      <c r="BQ98" s="177"/>
      <c r="BR98" s="178"/>
      <c r="BS98" s="179"/>
      <c r="BU98" s="166"/>
      <c r="BV98" s="166"/>
      <c r="BW98" s="166"/>
      <c r="BX98" s="166"/>
      <c r="BY98" s="166"/>
      <c r="BZ98" s="166"/>
      <c r="CA98" s="166"/>
      <c r="CB98" s="166"/>
      <c r="CC98" s="166"/>
      <c r="CD98" s="177"/>
      <c r="CE98" s="181"/>
      <c r="CF98" s="177"/>
      <c r="CG98" s="179"/>
      <c r="CH98" s="257"/>
      <c r="CI98" s="182"/>
      <c r="CJ98" s="177"/>
      <c r="CK98" s="182"/>
      <c r="CL98" s="177"/>
      <c r="CM98" s="182"/>
      <c r="CN98" s="177"/>
      <c r="CO98" s="182"/>
      <c r="CP98" s="177"/>
      <c r="CQ98" s="178"/>
      <c r="CR98" s="182"/>
      <c r="CS98" s="173"/>
      <c r="CT98" s="65"/>
      <c r="CU98" s="271" t="str">
        <f t="shared" si="2"/>
        <v>ZMP</v>
      </c>
    </row>
    <row r="99" ht="60.0" customHeight="1">
      <c r="A99" s="65"/>
      <c r="C99" s="167">
        <v>4.0</v>
      </c>
      <c r="D99" s="168" t="s">
        <v>180</v>
      </c>
      <c r="E99" s="169"/>
      <c r="F99" s="170"/>
      <c r="G99" s="170"/>
      <c r="H99" s="170"/>
      <c r="I99" s="207"/>
      <c r="J99" s="170"/>
      <c r="K99" s="171"/>
      <c r="L99" s="171"/>
      <c r="M99" s="171"/>
      <c r="N99" s="276"/>
      <c r="O99" s="256">
        <f t="shared" si="18"/>
        <v>0</v>
      </c>
      <c r="Q99" s="173"/>
      <c r="R99" s="65"/>
      <c r="S99" s="173"/>
      <c r="T99" s="173"/>
      <c r="U99" s="166"/>
      <c r="V99" s="166"/>
      <c r="W99" s="65"/>
      <c r="X99" s="66"/>
      <c r="Y99" s="173"/>
      <c r="Z99" s="166"/>
      <c r="AA99" s="174"/>
      <c r="AB99" s="175"/>
      <c r="AC99" s="175"/>
      <c r="AD99" s="175"/>
      <c r="AE99" s="175"/>
      <c r="AF99" s="175"/>
      <c r="AG99" s="175"/>
      <c r="AH99" s="175"/>
      <c r="AI99" s="176"/>
      <c r="AJ99" s="177"/>
      <c r="AK99" s="178"/>
      <c r="AL99" s="178"/>
      <c r="AM99" s="178"/>
      <c r="AN99" s="178"/>
      <c r="AO99" s="179"/>
      <c r="AP99" s="64"/>
      <c r="AQ99" s="65"/>
      <c r="AR99" s="65"/>
      <c r="AS99" s="65"/>
      <c r="AT99" s="173"/>
      <c r="AU99" s="177"/>
      <c r="AV99" s="178"/>
      <c r="AW99" s="178"/>
      <c r="AX99" s="179"/>
      <c r="AZ99" s="166"/>
      <c r="BA99" s="177"/>
      <c r="BB99" s="178"/>
      <c r="BC99" s="178"/>
      <c r="BD99" s="178"/>
      <c r="BE99" s="178"/>
      <c r="BF99" s="178"/>
      <c r="BG99" s="178"/>
      <c r="BH99" s="178"/>
      <c r="BI99" s="179"/>
      <c r="BJ99" s="180"/>
      <c r="BK99" s="178"/>
      <c r="BL99" s="178"/>
      <c r="BM99" s="178"/>
      <c r="BN99" s="178"/>
      <c r="BO99" s="181"/>
      <c r="BP99" s="166"/>
      <c r="BQ99" s="177"/>
      <c r="BR99" s="178"/>
      <c r="BS99" s="179"/>
      <c r="BU99" s="166"/>
      <c r="BV99" s="166"/>
      <c r="BW99" s="166"/>
      <c r="BX99" s="166"/>
      <c r="BY99" s="166"/>
      <c r="BZ99" s="166"/>
      <c r="CA99" s="166"/>
      <c r="CB99" s="166"/>
      <c r="CC99" s="166"/>
      <c r="CD99" s="177"/>
      <c r="CE99" s="181"/>
      <c r="CF99" s="177"/>
      <c r="CG99" s="179"/>
      <c r="CH99" s="257"/>
      <c r="CI99" s="182"/>
      <c r="CJ99" s="177"/>
      <c r="CK99" s="182"/>
      <c r="CL99" s="177"/>
      <c r="CM99" s="182"/>
      <c r="CN99" s="177"/>
      <c r="CO99" s="182"/>
      <c r="CP99" s="177"/>
      <c r="CQ99" s="178"/>
      <c r="CR99" s="182"/>
      <c r="CS99" s="173"/>
      <c r="CT99" s="65"/>
      <c r="CU99" s="271" t="str">
        <f t="shared" si="2"/>
        <v>ZMP</v>
      </c>
    </row>
    <row r="100" ht="60.0" customHeight="1">
      <c r="A100" s="65"/>
      <c r="C100" s="167">
        <v>5.0</v>
      </c>
      <c r="D100" s="168" t="s">
        <v>180</v>
      </c>
      <c r="E100" s="169"/>
      <c r="F100" s="170"/>
      <c r="G100" s="170"/>
      <c r="H100" s="170"/>
      <c r="I100" s="207"/>
      <c r="J100" s="170"/>
      <c r="K100" s="171"/>
      <c r="L100" s="171"/>
      <c r="M100" s="171"/>
      <c r="N100" s="276"/>
      <c r="O100" s="256">
        <f t="shared" si="18"/>
        <v>0</v>
      </c>
      <c r="Q100" s="173"/>
      <c r="R100" s="65"/>
      <c r="S100" s="173"/>
      <c r="T100" s="173"/>
      <c r="U100" s="166"/>
      <c r="V100" s="166"/>
      <c r="W100" s="65"/>
      <c r="X100" s="66"/>
      <c r="Y100" s="173"/>
      <c r="Z100" s="166"/>
      <c r="AA100" s="174"/>
      <c r="AB100" s="175"/>
      <c r="AC100" s="175"/>
      <c r="AD100" s="175"/>
      <c r="AE100" s="175"/>
      <c r="AF100" s="175"/>
      <c r="AG100" s="175"/>
      <c r="AH100" s="175"/>
      <c r="AI100" s="176"/>
      <c r="AJ100" s="177"/>
      <c r="AK100" s="178"/>
      <c r="AL100" s="178"/>
      <c r="AM100" s="178"/>
      <c r="AN100" s="178"/>
      <c r="AO100" s="179"/>
      <c r="AP100" s="64"/>
      <c r="AQ100" s="65"/>
      <c r="AR100" s="65"/>
      <c r="AS100" s="65"/>
      <c r="AT100" s="173"/>
      <c r="AU100" s="177"/>
      <c r="AV100" s="178"/>
      <c r="AW100" s="178"/>
      <c r="AX100" s="179"/>
      <c r="AZ100" s="166"/>
      <c r="BA100" s="177"/>
      <c r="BB100" s="178"/>
      <c r="BC100" s="178"/>
      <c r="BD100" s="178"/>
      <c r="BE100" s="178"/>
      <c r="BF100" s="178"/>
      <c r="BG100" s="178"/>
      <c r="BH100" s="178"/>
      <c r="BI100" s="179"/>
      <c r="BJ100" s="180"/>
      <c r="BK100" s="178"/>
      <c r="BL100" s="178"/>
      <c r="BM100" s="178"/>
      <c r="BN100" s="178"/>
      <c r="BO100" s="181"/>
      <c r="BP100" s="166"/>
      <c r="BQ100" s="177"/>
      <c r="BR100" s="178"/>
      <c r="BS100" s="179"/>
      <c r="BU100" s="166"/>
      <c r="BV100" s="166"/>
      <c r="BW100" s="166"/>
      <c r="BX100" s="166"/>
      <c r="BY100" s="166"/>
      <c r="BZ100" s="166"/>
      <c r="CA100" s="166"/>
      <c r="CB100" s="166"/>
      <c r="CC100" s="166"/>
      <c r="CD100" s="177"/>
      <c r="CE100" s="181"/>
      <c r="CF100" s="177"/>
      <c r="CG100" s="179"/>
      <c r="CH100" s="257"/>
      <c r="CI100" s="182"/>
      <c r="CJ100" s="177"/>
      <c r="CK100" s="182"/>
      <c r="CL100" s="177"/>
      <c r="CM100" s="182"/>
      <c r="CN100" s="177"/>
      <c r="CO100" s="182"/>
      <c r="CP100" s="177"/>
      <c r="CQ100" s="178"/>
      <c r="CR100" s="182"/>
      <c r="CS100" s="173"/>
      <c r="CT100" s="65"/>
      <c r="CU100" s="271" t="str">
        <f t="shared" si="2"/>
        <v>ZMP</v>
      </c>
    </row>
    <row r="101" ht="60.0" customHeight="1">
      <c r="A101" s="65"/>
      <c r="C101" s="167">
        <v>6.0</v>
      </c>
      <c r="D101" s="168" t="s">
        <v>180</v>
      </c>
      <c r="E101" s="169"/>
      <c r="F101" s="170"/>
      <c r="G101" s="170"/>
      <c r="H101" s="170"/>
      <c r="I101" s="207"/>
      <c r="J101" s="170"/>
      <c r="K101" s="171"/>
      <c r="L101" s="171"/>
      <c r="M101" s="171"/>
      <c r="N101" s="276"/>
      <c r="O101" s="256">
        <f t="shared" si="18"/>
        <v>0</v>
      </c>
      <c r="Q101" s="173"/>
      <c r="R101" s="65"/>
      <c r="S101" s="173"/>
      <c r="T101" s="173"/>
      <c r="U101" s="166"/>
      <c r="V101" s="166"/>
      <c r="W101" s="65"/>
      <c r="X101" s="66"/>
      <c r="Y101" s="173"/>
      <c r="Z101" s="166"/>
      <c r="AA101" s="174"/>
      <c r="AB101" s="175"/>
      <c r="AC101" s="175"/>
      <c r="AD101" s="175"/>
      <c r="AE101" s="175"/>
      <c r="AF101" s="175"/>
      <c r="AG101" s="175"/>
      <c r="AH101" s="175"/>
      <c r="AI101" s="176"/>
      <c r="AJ101" s="177"/>
      <c r="AK101" s="178"/>
      <c r="AL101" s="178"/>
      <c r="AM101" s="178"/>
      <c r="AN101" s="178"/>
      <c r="AO101" s="179"/>
      <c r="AP101" s="64"/>
      <c r="AQ101" s="65"/>
      <c r="AR101" s="65"/>
      <c r="AS101" s="65"/>
      <c r="AT101" s="173"/>
      <c r="AU101" s="177"/>
      <c r="AV101" s="178"/>
      <c r="AW101" s="178"/>
      <c r="AX101" s="179"/>
      <c r="AZ101" s="166"/>
      <c r="BA101" s="177"/>
      <c r="BB101" s="178"/>
      <c r="BC101" s="178"/>
      <c r="BD101" s="178"/>
      <c r="BE101" s="178"/>
      <c r="BF101" s="178"/>
      <c r="BG101" s="178"/>
      <c r="BH101" s="178"/>
      <c r="BI101" s="179"/>
      <c r="BJ101" s="180"/>
      <c r="BK101" s="178"/>
      <c r="BL101" s="178"/>
      <c r="BM101" s="178"/>
      <c r="BN101" s="178"/>
      <c r="BO101" s="181"/>
      <c r="BP101" s="166"/>
      <c r="BQ101" s="177"/>
      <c r="BR101" s="178"/>
      <c r="BS101" s="179"/>
      <c r="BU101" s="166"/>
      <c r="BV101" s="166"/>
      <c r="BW101" s="166"/>
      <c r="BX101" s="166"/>
      <c r="BY101" s="166"/>
      <c r="BZ101" s="166"/>
      <c r="CA101" s="166"/>
      <c r="CB101" s="166"/>
      <c r="CC101" s="166"/>
      <c r="CD101" s="177"/>
      <c r="CE101" s="181"/>
      <c r="CF101" s="177"/>
      <c r="CG101" s="179"/>
      <c r="CH101" s="257"/>
      <c r="CI101" s="182"/>
      <c r="CJ101" s="177"/>
      <c r="CK101" s="182"/>
      <c r="CL101" s="177"/>
      <c r="CM101" s="182"/>
      <c r="CN101" s="177"/>
      <c r="CO101" s="182"/>
      <c r="CP101" s="177"/>
      <c r="CQ101" s="178"/>
      <c r="CR101" s="182"/>
      <c r="CS101" s="173"/>
      <c r="CT101" s="65"/>
      <c r="CU101" s="271" t="str">
        <f t="shared" si="2"/>
        <v>ZMP</v>
      </c>
    </row>
    <row r="102" ht="60.0" customHeight="1">
      <c r="A102" s="65"/>
      <c r="C102" s="167">
        <v>7.0</v>
      </c>
      <c r="D102" s="168" t="s">
        <v>180</v>
      </c>
      <c r="E102" s="169"/>
      <c r="F102" s="170"/>
      <c r="G102" s="170"/>
      <c r="H102" s="170"/>
      <c r="I102" s="207"/>
      <c r="J102" s="170"/>
      <c r="K102" s="171"/>
      <c r="L102" s="171"/>
      <c r="M102" s="171"/>
      <c r="N102" s="276"/>
      <c r="O102" s="256">
        <f t="shared" ref="O102:O105" si="19">IF(AND(M102&gt;=20,M102&lt;&gt;"m",RIGHT(K102,3)="Lec"),1,IF(AND(M102&gt;=20,M102&lt;&gt;"m",OR(RIGHT(K102,3)="Lab",RIGHT(K102,3)="Tut")),0.5,IF(AND(M102&gt;=20,M102&lt;&gt;"m",RIGHT(K102,2)="TL"),0.75,0)))</f>
        <v>0</v>
      </c>
      <c r="Q102" s="173"/>
      <c r="R102" s="65"/>
      <c r="S102" s="173"/>
      <c r="T102" s="173"/>
      <c r="U102" s="166"/>
      <c r="V102" s="166"/>
      <c r="W102" s="65"/>
      <c r="X102" s="66"/>
      <c r="Y102" s="173"/>
      <c r="Z102" s="166"/>
      <c r="AA102" s="174"/>
      <c r="AB102" s="175"/>
      <c r="AC102" s="175"/>
      <c r="AD102" s="175"/>
      <c r="AE102" s="175"/>
      <c r="AF102" s="175"/>
      <c r="AG102" s="175"/>
      <c r="AH102" s="175"/>
      <c r="AI102" s="176"/>
      <c r="AJ102" s="177"/>
      <c r="AK102" s="178"/>
      <c r="AL102" s="178"/>
      <c r="AM102" s="178"/>
      <c r="AN102" s="178"/>
      <c r="AO102" s="179"/>
      <c r="AP102" s="64"/>
      <c r="AQ102" s="65"/>
      <c r="AR102" s="65"/>
      <c r="AS102" s="65"/>
      <c r="AT102" s="173"/>
      <c r="AU102" s="177"/>
      <c r="AV102" s="178"/>
      <c r="AW102" s="178"/>
      <c r="AX102" s="179"/>
      <c r="AZ102" s="166"/>
      <c r="BA102" s="177"/>
      <c r="BB102" s="178"/>
      <c r="BC102" s="178"/>
      <c r="BD102" s="178"/>
      <c r="BE102" s="178"/>
      <c r="BF102" s="178"/>
      <c r="BG102" s="178"/>
      <c r="BH102" s="178"/>
      <c r="BI102" s="179"/>
      <c r="BJ102" s="180"/>
      <c r="BK102" s="178"/>
      <c r="BL102" s="178"/>
      <c r="BM102" s="178"/>
      <c r="BN102" s="178"/>
      <c r="BO102" s="181"/>
      <c r="BP102" s="166"/>
      <c r="BQ102" s="177"/>
      <c r="BR102" s="178"/>
      <c r="BS102" s="179"/>
      <c r="BU102" s="166"/>
      <c r="BV102" s="166"/>
      <c r="BW102" s="166"/>
      <c r="BX102" s="166"/>
      <c r="BY102" s="166"/>
      <c r="BZ102" s="166"/>
      <c r="CA102" s="166"/>
      <c r="CB102" s="166"/>
      <c r="CC102" s="166"/>
      <c r="CD102" s="177"/>
      <c r="CE102" s="181"/>
      <c r="CF102" s="177"/>
      <c r="CG102" s="179"/>
      <c r="CH102" s="257"/>
      <c r="CI102" s="182"/>
      <c r="CJ102" s="177"/>
      <c r="CK102" s="182"/>
      <c r="CL102" s="177"/>
      <c r="CM102" s="182"/>
      <c r="CN102" s="177"/>
      <c r="CO102" s="182"/>
      <c r="CP102" s="177"/>
      <c r="CQ102" s="178"/>
      <c r="CR102" s="182"/>
      <c r="CS102" s="173"/>
      <c r="CT102" s="65"/>
      <c r="CU102" s="271" t="str">
        <f t="shared" si="2"/>
        <v>ZMP</v>
      </c>
    </row>
    <row r="103" ht="60.0" customHeight="1">
      <c r="A103" s="65"/>
      <c r="C103" s="167">
        <v>8.0</v>
      </c>
      <c r="D103" s="168" t="s">
        <v>180</v>
      </c>
      <c r="E103" s="169"/>
      <c r="F103" s="170"/>
      <c r="G103" s="170"/>
      <c r="H103" s="170"/>
      <c r="I103" s="207"/>
      <c r="J103" s="170"/>
      <c r="K103" s="171"/>
      <c r="L103" s="171"/>
      <c r="M103" s="171"/>
      <c r="N103" s="276"/>
      <c r="O103" s="256">
        <f t="shared" si="19"/>
        <v>0</v>
      </c>
      <c r="Q103" s="173"/>
      <c r="R103" s="65"/>
      <c r="S103" s="173"/>
      <c r="T103" s="173"/>
      <c r="U103" s="166"/>
      <c r="V103" s="166"/>
      <c r="W103" s="65"/>
      <c r="X103" s="66"/>
      <c r="Y103" s="173"/>
      <c r="Z103" s="166"/>
      <c r="AA103" s="174"/>
      <c r="AB103" s="175"/>
      <c r="AC103" s="175"/>
      <c r="AD103" s="175"/>
      <c r="AE103" s="175"/>
      <c r="AF103" s="175"/>
      <c r="AG103" s="175"/>
      <c r="AH103" s="175"/>
      <c r="AI103" s="176"/>
      <c r="AJ103" s="177"/>
      <c r="AK103" s="178"/>
      <c r="AL103" s="178"/>
      <c r="AM103" s="178"/>
      <c r="AN103" s="178"/>
      <c r="AO103" s="179"/>
      <c r="AP103" s="64"/>
      <c r="AQ103" s="65"/>
      <c r="AR103" s="65"/>
      <c r="AS103" s="65"/>
      <c r="AT103" s="173"/>
      <c r="AU103" s="177"/>
      <c r="AV103" s="178"/>
      <c r="AW103" s="178"/>
      <c r="AX103" s="179"/>
      <c r="AZ103" s="166"/>
      <c r="BA103" s="177"/>
      <c r="BB103" s="178"/>
      <c r="BC103" s="178"/>
      <c r="BD103" s="178"/>
      <c r="BE103" s="178"/>
      <c r="BF103" s="178"/>
      <c r="BG103" s="178"/>
      <c r="BH103" s="178"/>
      <c r="BI103" s="179"/>
      <c r="BJ103" s="180"/>
      <c r="BK103" s="178"/>
      <c r="BL103" s="178"/>
      <c r="BM103" s="178"/>
      <c r="BN103" s="178"/>
      <c r="BO103" s="181"/>
      <c r="BP103" s="166"/>
      <c r="BQ103" s="177"/>
      <c r="BR103" s="178"/>
      <c r="BS103" s="179"/>
      <c r="BU103" s="166"/>
      <c r="BV103" s="166"/>
      <c r="BW103" s="166"/>
      <c r="BX103" s="166"/>
      <c r="BY103" s="166"/>
      <c r="BZ103" s="166"/>
      <c r="CA103" s="166"/>
      <c r="CB103" s="166"/>
      <c r="CC103" s="166"/>
      <c r="CD103" s="177"/>
      <c r="CE103" s="181"/>
      <c r="CF103" s="177"/>
      <c r="CG103" s="179"/>
      <c r="CH103" s="257"/>
      <c r="CI103" s="182"/>
      <c r="CJ103" s="177"/>
      <c r="CK103" s="182"/>
      <c r="CL103" s="177"/>
      <c r="CM103" s="182"/>
      <c r="CN103" s="177"/>
      <c r="CO103" s="182"/>
      <c r="CP103" s="177"/>
      <c r="CQ103" s="178"/>
      <c r="CR103" s="182"/>
      <c r="CS103" s="173"/>
      <c r="CT103" s="65"/>
      <c r="CU103" s="271" t="str">
        <f t="shared" si="2"/>
        <v>ZMP</v>
      </c>
    </row>
    <row r="104" ht="60.0" customHeight="1">
      <c r="A104" s="65"/>
      <c r="C104" s="167">
        <v>9.0</v>
      </c>
      <c r="D104" s="168" t="s">
        <v>180</v>
      </c>
      <c r="E104" s="169"/>
      <c r="F104" s="170"/>
      <c r="G104" s="170"/>
      <c r="H104" s="170"/>
      <c r="I104" s="207"/>
      <c r="J104" s="170"/>
      <c r="K104" s="171"/>
      <c r="L104" s="171"/>
      <c r="M104" s="171"/>
      <c r="N104" s="276"/>
      <c r="O104" s="256">
        <f t="shared" si="19"/>
        <v>0</v>
      </c>
      <c r="Q104" s="173"/>
      <c r="R104" s="65"/>
      <c r="S104" s="173"/>
      <c r="T104" s="173"/>
      <c r="U104" s="166"/>
      <c r="V104" s="166"/>
      <c r="W104" s="65"/>
      <c r="X104" s="66"/>
      <c r="Y104" s="173"/>
      <c r="Z104" s="166"/>
      <c r="AA104" s="174"/>
      <c r="AB104" s="175"/>
      <c r="AC104" s="175"/>
      <c r="AD104" s="175"/>
      <c r="AE104" s="175"/>
      <c r="AF104" s="175"/>
      <c r="AG104" s="175"/>
      <c r="AH104" s="175"/>
      <c r="AI104" s="176"/>
      <c r="AJ104" s="177"/>
      <c r="AK104" s="178"/>
      <c r="AL104" s="178"/>
      <c r="AM104" s="178"/>
      <c r="AN104" s="178"/>
      <c r="AO104" s="179"/>
      <c r="AP104" s="64"/>
      <c r="AQ104" s="65"/>
      <c r="AR104" s="65"/>
      <c r="AS104" s="65"/>
      <c r="AT104" s="173"/>
      <c r="AU104" s="177"/>
      <c r="AV104" s="178"/>
      <c r="AW104" s="178"/>
      <c r="AX104" s="179"/>
      <c r="AZ104" s="166"/>
      <c r="BA104" s="177"/>
      <c r="BB104" s="178"/>
      <c r="BC104" s="178"/>
      <c r="BD104" s="178"/>
      <c r="BE104" s="178"/>
      <c r="BF104" s="178"/>
      <c r="BG104" s="178"/>
      <c r="BH104" s="178"/>
      <c r="BI104" s="179"/>
      <c r="BJ104" s="180"/>
      <c r="BK104" s="178"/>
      <c r="BL104" s="178"/>
      <c r="BM104" s="178"/>
      <c r="BN104" s="178"/>
      <c r="BO104" s="181"/>
      <c r="BP104" s="166"/>
      <c r="BQ104" s="177"/>
      <c r="BR104" s="178"/>
      <c r="BS104" s="179"/>
      <c r="BU104" s="166"/>
      <c r="BV104" s="166"/>
      <c r="BW104" s="166"/>
      <c r="BX104" s="166"/>
      <c r="BY104" s="166"/>
      <c r="BZ104" s="166"/>
      <c r="CA104" s="166"/>
      <c r="CB104" s="166"/>
      <c r="CC104" s="166"/>
      <c r="CD104" s="177"/>
      <c r="CE104" s="181"/>
      <c r="CF104" s="177"/>
      <c r="CG104" s="179"/>
      <c r="CH104" s="257"/>
      <c r="CI104" s="182"/>
      <c r="CJ104" s="177"/>
      <c r="CK104" s="182"/>
      <c r="CL104" s="177"/>
      <c r="CM104" s="182"/>
      <c r="CN104" s="177"/>
      <c r="CO104" s="182"/>
      <c r="CP104" s="177"/>
      <c r="CQ104" s="178"/>
      <c r="CR104" s="182"/>
      <c r="CS104" s="173"/>
      <c r="CT104" s="65"/>
      <c r="CU104" s="271" t="str">
        <f t="shared" si="2"/>
        <v>ZMP</v>
      </c>
    </row>
    <row r="105" ht="60.0" customHeight="1">
      <c r="A105" s="65"/>
      <c r="C105" s="167">
        <v>10.0</v>
      </c>
      <c r="D105" s="168" t="s">
        <v>180</v>
      </c>
      <c r="E105" s="169"/>
      <c r="F105" s="170"/>
      <c r="G105" s="170"/>
      <c r="H105" s="170"/>
      <c r="I105" s="207"/>
      <c r="J105" s="170"/>
      <c r="K105" s="171"/>
      <c r="L105" s="171"/>
      <c r="M105" s="171"/>
      <c r="N105" s="276"/>
      <c r="O105" s="256">
        <f t="shared" si="19"/>
        <v>0</v>
      </c>
      <c r="Q105" s="173"/>
      <c r="R105" s="65"/>
      <c r="S105" s="173"/>
      <c r="T105" s="173"/>
      <c r="U105" s="166"/>
      <c r="V105" s="166"/>
      <c r="W105" s="65"/>
      <c r="X105" s="66"/>
      <c r="Y105" s="173"/>
      <c r="Z105" s="166"/>
      <c r="AA105" s="174"/>
      <c r="AB105" s="175"/>
      <c r="AC105" s="175"/>
      <c r="AD105" s="175"/>
      <c r="AE105" s="175"/>
      <c r="AF105" s="175"/>
      <c r="AG105" s="175"/>
      <c r="AH105" s="175"/>
      <c r="AI105" s="176"/>
      <c r="AJ105" s="177"/>
      <c r="AK105" s="178"/>
      <c r="AL105" s="178"/>
      <c r="AM105" s="178"/>
      <c r="AN105" s="178"/>
      <c r="AO105" s="179"/>
      <c r="AP105" s="64"/>
      <c r="AQ105" s="65"/>
      <c r="AR105" s="65"/>
      <c r="AS105" s="65"/>
      <c r="AT105" s="173"/>
      <c r="AU105" s="177"/>
      <c r="AV105" s="178"/>
      <c r="AW105" s="178"/>
      <c r="AX105" s="179"/>
      <c r="AZ105" s="166"/>
      <c r="BA105" s="177"/>
      <c r="BB105" s="178"/>
      <c r="BC105" s="178"/>
      <c r="BD105" s="178"/>
      <c r="BE105" s="178"/>
      <c r="BF105" s="178"/>
      <c r="BG105" s="178"/>
      <c r="BH105" s="178"/>
      <c r="BI105" s="179"/>
      <c r="BJ105" s="180"/>
      <c r="BK105" s="178"/>
      <c r="BL105" s="178"/>
      <c r="BM105" s="178"/>
      <c r="BN105" s="178"/>
      <c r="BO105" s="181"/>
      <c r="BP105" s="166"/>
      <c r="BQ105" s="177"/>
      <c r="BR105" s="178"/>
      <c r="BS105" s="179"/>
      <c r="BU105" s="166"/>
      <c r="BV105" s="166"/>
      <c r="BW105" s="166"/>
      <c r="BX105" s="166"/>
      <c r="BY105" s="166"/>
      <c r="BZ105" s="166"/>
      <c r="CA105" s="166"/>
      <c r="CB105" s="166"/>
      <c r="CC105" s="166"/>
      <c r="CD105" s="177"/>
      <c r="CE105" s="181"/>
      <c r="CF105" s="177"/>
      <c r="CG105" s="179"/>
      <c r="CH105" s="257"/>
      <c r="CI105" s="182"/>
      <c r="CJ105" s="177"/>
      <c r="CK105" s="182"/>
      <c r="CL105" s="177"/>
      <c r="CM105" s="182"/>
      <c r="CN105" s="177"/>
      <c r="CO105" s="182"/>
      <c r="CP105" s="177"/>
      <c r="CQ105" s="178"/>
      <c r="CR105" s="182"/>
      <c r="CS105" s="173"/>
      <c r="CT105" s="65"/>
      <c r="CU105" s="271" t="str">
        <f t="shared" si="2"/>
        <v>ZMP</v>
      </c>
    </row>
    <row r="106" ht="60.0" customHeight="1">
      <c r="A106" s="89"/>
      <c r="C106" s="183">
        <v>11.0</v>
      </c>
      <c r="D106" s="210" t="s">
        <v>180</v>
      </c>
      <c r="E106" s="185"/>
      <c r="F106" s="186"/>
      <c r="G106" s="186"/>
      <c r="H106" s="186"/>
      <c r="I106" s="212"/>
      <c r="J106" s="186"/>
      <c r="K106" s="187"/>
      <c r="L106" s="187"/>
      <c r="M106" s="187"/>
      <c r="N106" s="284"/>
      <c r="O106" s="258">
        <f t="shared" ref="O106:O112" si="20">IF(AND(M106&lt;&gt;0,M106&lt;&gt;"m",M106&lt;&gt;"",RIGHT(K106,3)="Lec"),1,IF(AND(M106&lt;&gt;0,M106&lt;&gt;"m",M106&lt;&gt;"",OR(RIGHT(K106,3)="Lab",RIGHT(K106,3)="Tut")),0.5,IF(AND(M106&lt;&gt;0,M106&lt;&gt;"m",M106&lt;&gt;"",RIGHT(K106,2)="TL"),0.75,0)))</f>
        <v>0</v>
      </c>
      <c r="P106" s="6"/>
      <c r="Q106" s="69"/>
      <c r="R106" s="89"/>
      <c r="S106" s="69"/>
      <c r="T106" s="69"/>
      <c r="U106" s="63"/>
      <c r="V106" s="63"/>
      <c r="W106" s="89"/>
      <c r="X106" s="68"/>
      <c r="Y106" s="69"/>
      <c r="Z106" s="63"/>
      <c r="AA106" s="189"/>
      <c r="AB106" s="190"/>
      <c r="AC106" s="190"/>
      <c r="AD106" s="190"/>
      <c r="AE106" s="190"/>
      <c r="AF106" s="190"/>
      <c r="AG106" s="190"/>
      <c r="AH106" s="190"/>
      <c r="AI106" s="191"/>
      <c r="AJ106" s="192"/>
      <c r="AK106" s="193"/>
      <c r="AL106" s="193"/>
      <c r="AM106" s="193"/>
      <c r="AN106" s="193"/>
      <c r="AO106" s="194"/>
      <c r="AP106" s="103"/>
      <c r="AQ106" s="89"/>
      <c r="AR106" s="89"/>
      <c r="AS106" s="89"/>
      <c r="AT106" s="69"/>
      <c r="AU106" s="192"/>
      <c r="AV106" s="193"/>
      <c r="AW106" s="193"/>
      <c r="AX106" s="194"/>
      <c r="AY106" s="6"/>
      <c r="AZ106" s="63"/>
      <c r="BA106" s="192"/>
      <c r="BB106" s="193"/>
      <c r="BC106" s="193"/>
      <c r="BD106" s="193"/>
      <c r="BE106" s="193"/>
      <c r="BF106" s="193"/>
      <c r="BG106" s="193"/>
      <c r="BH106" s="193"/>
      <c r="BI106" s="194"/>
      <c r="BJ106" s="195"/>
      <c r="BK106" s="193"/>
      <c r="BL106" s="193"/>
      <c r="BM106" s="193"/>
      <c r="BN106" s="193"/>
      <c r="BO106" s="196"/>
      <c r="BP106" s="63"/>
      <c r="BQ106" s="192"/>
      <c r="BR106" s="193"/>
      <c r="BS106" s="194"/>
      <c r="BT106" s="6"/>
      <c r="BU106" s="63"/>
      <c r="BV106" s="63"/>
      <c r="BW106" s="63"/>
      <c r="BX106" s="63"/>
      <c r="BY106" s="63"/>
      <c r="BZ106" s="63"/>
      <c r="CA106" s="63"/>
      <c r="CB106" s="63"/>
      <c r="CC106" s="63"/>
      <c r="CD106" s="192"/>
      <c r="CE106" s="196"/>
      <c r="CF106" s="192"/>
      <c r="CG106" s="194"/>
      <c r="CH106" s="259"/>
      <c r="CI106" s="197"/>
      <c r="CJ106" s="192"/>
      <c r="CK106" s="197"/>
      <c r="CL106" s="192"/>
      <c r="CM106" s="197"/>
      <c r="CN106" s="192"/>
      <c r="CO106" s="197"/>
      <c r="CP106" s="192"/>
      <c r="CQ106" s="193"/>
      <c r="CR106" s="197"/>
      <c r="CS106" s="69"/>
      <c r="CT106" s="89"/>
      <c r="CU106" s="272" t="str">
        <f t="shared" si="2"/>
        <v>ZMP</v>
      </c>
    </row>
    <row r="107" ht="55.5" customHeight="1">
      <c r="A107" s="125">
        <v>10.0</v>
      </c>
      <c r="B107" s="199" t="s">
        <v>184</v>
      </c>
      <c r="C107" s="127">
        <v>1.0</v>
      </c>
      <c r="D107" s="168" t="s">
        <v>185</v>
      </c>
      <c r="E107" s="129"/>
      <c r="F107" s="130"/>
      <c r="G107" s="130"/>
      <c r="H107" s="130"/>
      <c r="I107" s="201"/>
      <c r="J107" s="130"/>
      <c r="K107" s="131"/>
      <c r="L107" s="131"/>
      <c r="M107" s="131"/>
      <c r="N107" s="275"/>
      <c r="O107" s="250">
        <f t="shared" si="20"/>
        <v>0</v>
      </c>
      <c r="P107" s="251">
        <f>COUNTIF(K107:K117,"TL")*0.75+COUNTIF(K107:K117,"Lec")*1+COUNTIF(K107:K117,"Lab")*0.5</f>
        <v>0</v>
      </c>
      <c r="Q107" s="134">
        <f>SUM((IF(LEFT(K107,1)="E",O107,0)),(IF(LEFT(K108,1)="E",O108,0)),(IF(LEFT(K109,1)="E",O109,0)),(IF(LEFT(K110,1)="E",O110,0)),(IF(LEFT(K111,1)="E",O111,0)),(IF(LEFT(K112,1)="E",O112,0)),(IF(LEFT(K113,1)="E",O113,0)),(IF(LEFT(K114,1)="E",O114,0)),(IF(LEFT(K115,1)="E",O115,0)),(IF(LEFT(K116,1)="E",O116,0)),(IF(LEFT(K117,1)="E",O117,0)))</f>
        <v>0</v>
      </c>
      <c r="R107" s="135">
        <f>SUM(IF(M113&lt;20,IF(K113="Plec",-1,IF(K113="PTL",-0.75,IF(K113="Plab",-0.5,0))),0),IF(M114&lt;20,IF(K114="Plec",-1,IF(K114="PTL",-0.75,IF(K114="Plab",-0.5,0))),0),IF(M115&lt;20,IF(K115="Plec",-1,IF(K115="PTL",-0.75,IF(K115="Plab",-0.5,0))),0),IF(M116&lt;20,IF(K116="Plec",-1,IF(K116="PTL",-0.75,IF(K116="Plab",-0.5,0))),0))</f>
        <v>0</v>
      </c>
      <c r="S107" s="134">
        <f>SUM(P107:R117)</f>
        <v>0</v>
      </c>
      <c r="T107" s="136">
        <f>SUM(IF(M107="M",IF(OR(K107="lec",K107="plec",K107="slec"),1,IF(OR(K107="lab",K107="plab",K107="slab",K107="tut",K107="ptut",K107="stut"),0.5,IF(OR(K107="TL",K107="pTL",K107="STL"),0.75,0))),0),IF(M108="M",IF(OR(K108="lec",K108="plec",K108="slec"),1,IF(OR(K108="lab",K108="plab",K108="slab",K108="tut",K108="ptut",K108="stut"),0.5,IF(OR(K108="TL",K108="pTL",K108="STL"),0.75,0))),0),IF(M109="M",IF(OR(K109="lec",K109="plec",K109="slec"),1,IF(OR(K109="lab",K109="plab",K109="slab",K109="tut",K109="ptut",K109="stut"),0.5,IF(OR(K109="TL",K109="pTL",K109="STL"),0.75,0))),0),IF(M110="M",IF(OR(K110="lec",K110="plec",K110="slec"),1,IF(OR(K110="lab",K110="plab",K110="slab",K110="tut",K110="ptut",K110="stut"),0.5,IF(OR(K110="TL",K110="pTL",K110="STL"),0.75,0))),0),IF(M111="M",IF(OR(K111="lec",K111="plec",K111="slec"),1,IF(OR(K111="lab",K111="plab",K111="slab",K111="tut",K111="ptut",K111="stut"),0.5,IF(OR(K111="TL",K111="pTL",K111="STL"),0.75,0))),0),IF(M112="M",IF(OR(K112="lec",K112="plec",K112="slec"),1,IF(OR(K112="lab",K112="plab",K112="slab",K112="tut",K112="ptut",K112="stut"),0.5,IF(OR(K112="TL",K112="pTL",K112="STL"),0.75,0))),0),IF(M113="M",IF(OR(K113="lec",K113="plec",K113="slec"),1,IF(OR(K113="lab",K113="plab",K113="slab",K113="tut",K113="ptut",K113="stut"),0.5,IF(OR(K113="TL",K113="pTL",K113="STL"),0.75,0))),0),IF(M114="M",IF(OR(K114="lec",K114="plec",K114="slec"),1,IF(OR(K114="lab",K114="plab",K114="slab",K114="tut",K114="ptut",K114="stut"),0.5,IF(OR(K114="TL",K114="pTL",K114="STL"),0.75,0))),0),IF(M115="M",IF(OR(K115="lec",K115="plec",K115="slec"),1,IF(OR(K115="lab",K115="plab",K115="slab",K115="tut",K115="ptut",K115="stut"),0.5,IF(OR(K115="TL",K115="pTL",K115="STL"),0.75,0))),0),IF(M116="M",IF(OR(K116="lec",K116="plec",K116="slec"),1,IF(OR(K116="lab",K116="plab",K116="slab",K116="tut",K116="ptut",K116="stut"),0.5,IF(OR(K116="TL",K116="pTL",K116="STL"),0.75,0))),0),IF(M117="M",IF(OR(K117="lec",K117="plec",K117="slec"),1,IF(OR(K117="lab",K117="plab",K117="slab",K117="tut",K117="ptut",K117="stut"),0.5,IF(OR(K117="TL",K117="pTL",K117="STL"),0.75,0))),0))</f>
        <v>0</v>
      </c>
      <c r="U107" s="137"/>
      <c r="V107" s="133"/>
      <c r="W107" s="138"/>
      <c r="X107" s="139">
        <f>S107-(T107+U107+V107+W107)</f>
        <v>0</v>
      </c>
      <c r="Y107" s="134" t="str">
        <f>CONCATENATE(SUM(O107:O117),"(",SUM(O107:O117)-X107,")")</f>
        <v>0(0)</v>
      </c>
      <c r="Z107" s="140"/>
      <c r="AA107" s="141"/>
      <c r="AB107" s="142"/>
      <c r="AC107" s="142"/>
      <c r="AD107" s="142"/>
      <c r="AE107" s="142"/>
      <c r="AF107" s="142"/>
      <c r="AG107" s="142"/>
      <c r="AH107" s="142"/>
      <c r="AI107" s="143"/>
      <c r="AJ107" s="144"/>
      <c r="AK107" s="145"/>
      <c r="AL107" s="145"/>
      <c r="AM107" s="145"/>
      <c r="AN107" s="145"/>
      <c r="AO107" s="146"/>
      <c r="AP107" s="147">
        <f>SUM(SUM(O107:O117),SUM(AI107:AI117)/2,AM107)</f>
        <v>0</v>
      </c>
      <c r="AQ107" s="148"/>
      <c r="AR107" s="148">
        <f>AP107*AQ107</f>
        <v>0</v>
      </c>
      <c r="AS107" s="148">
        <f>CT107</f>
        <v>3.555555556</v>
      </c>
      <c r="AT107" s="149">
        <f>AR107*0.75+AS107*0.25</f>
        <v>0.8888888889</v>
      </c>
      <c r="AU107" s="150"/>
      <c r="AV107" s="151"/>
      <c r="AW107" s="151"/>
      <c r="AX107" s="152"/>
      <c r="AY107" s="153"/>
      <c r="AZ107" s="140"/>
      <c r="BA107" s="150">
        <v>2.0</v>
      </c>
      <c r="BB107" s="151" t="s">
        <v>328</v>
      </c>
      <c r="BC107" s="151" t="s">
        <v>329</v>
      </c>
      <c r="BD107" s="151" t="s">
        <v>330</v>
      </c>
      <c r="BE107" s="151" t="s">
        <v>331</v>
      </c>
      <c r="BF107" s="151"/>
      <c r="BG107" s="151">
        <v>2.0</v>
      </c>
      <c r="BH107" s="151"/>
      <c r="BI107" s="152"/>
      <c r="BJ107" s="154"/>
      <c r="BK107" s="151"/>
      <c r="BL107" s="151"/>
      <c r="BM107" s="151"/>
      <c r="BN107" s="151"/>
      <c r="BO107" s="155"/>
      <c r="BP107" s="140"/>
      <c r="BQ107" s="156"/>
      <c r="BR107" s="157"/>
      <c r="BS107" s="158"/>
      <c r="BT107" s="153"/>
      <c r="BU107" s="140"/>
      <c r="BV107" s="140"/>
      <c r="BW107" s="140"/>
      <c r="BX107" s="140"/>
      <c r="BY107" s="140"/>
      <c r="BZ107" s="140"/>
      <c r="CA107" s="140"/>
      <c r="CB107" s="140"/>
      <c r="CC107" s="140"/>
      <c r="CD107" s="150"/>
      <c r="CE107" s="155"/>
      <c r="CF107" s="150" t="s">
        <v>332</v>
      </c>
      <c r="CG107" s="152">
        <f>280/60</f>
        <v>4.666666667</v>
      </c>
      <c r="CH107" s="252" t="s">
        <v>305</v>
      </c>
      <c r="CI107" s="160">
        <v>0.0</v>
      </c>
      <c r="CJ107" s="159"/>
      <c r="CK107" s="160"/>
      <c r="CL107" s="159"/>
      <c r="CM107" s="160"/>
      <c r="CN107" s="159"/>
      <c r="CO107" s="160"/>
      <c r="CP107" s="159"/>
      <c r="CQ107" s="162"/>
      <c r="CR107" s="160"/>
      <c r="CS107" s="253">
        <f>SUM(IF(AU107&lt;0,ABS(AU107),0),IF(AZ107&lt;0,ABS(AZ107),0),ABS(CI107),ABS(CK107),ABS(CM107),ABS(CO107),ABS(CQ107),ABS(CR107))</f>
        <v>0</v>
      </c>
      <c r="CT107" s="254">
        <f>SUM(AU107,AV107,AW107,AX107/400,AY107,AZ107,BG107,BH107*0.5,BI107*0.25,BJ107,BK107,BL107,BM107,BN107,BO107,BP107,BR107/20,BS107/100,BT107/60,BU107,BV107,BW107,BX107/4,SUM(BY107:CC117)/3,CE107,CG107/3,CI107,CK107,CM107,CO107,CQ107,CR107)</f>
        <v>3.555555556</v>
      </c>
      <c r="CU107" s="255" t="str">
        <f t="shared" si="2"/>
        <v>ZPB</v>
      </c>
    </row>
    <row r="108" ht="60.0" customHeight="1">
      <c r="A108" s="65"/>
      <c r="C108" s="167">
        <v>2.0</v>
      </c>
      <c r="D108" s="168" t="s">
        <v>185</v>
      </c>
      <c r="E108" s="169"/>
      <c r="F108" s="170"/>
      <c r="G108" s="170"/>
      <c r="H108" s="170"/>
      <c r="I108" s="207"/>
      <c r="J108" s="170"/>
      <c r="K108" s="171"/>
      <c r="L108" s="171"/>
      <c r="M108" s="171"/>
      <c r="N108" s="276"/>
      <c r="O108" s="256">
        <f t="shared" si="20"/>
        <v>0</v>
      </c>
      <c r="Q108" s="173"/>
      <c r="R108" s="65"/>
      <c r="S108" s="173"/>
      <c r="T108" s="173"/>
      <c r="U108" s="166"/>
      <c r="V108" s="166"/>
      <c r="W108" s="65"/>
      <c r="X108" s="66"/>
      <c r="Y108" s="173"/>
      <c r="Z108" s="166"/>
      <c r="AA108" s="174"/>
      <c r="AB108" s="175"/>
      <c r="AC108" s="175"/>
      <c r="AD108" s="175"/>
      <c r="AE108" s="175"/>
      <c r="AF108" s="175"/>
      <c r="AG108" s="175"/>
      <c r="AH108" s="175"/>
      <c r="AI108" s="176"/>
      <c r="AJ108" s="177"/>
      <c r="AK108" s="178"/>
      <c r="AL108" s="178"/>
      <c r="AM108" s="178"/>
      <c r="AN108" s="178"/>
      <c r="AO108" s="179"/>
      <c r="AP108" s="64"/>
      <c r="AQ108" s="65"/>
      <c r="AR108" s="65"/>
      <c r="AS108" s="65"/>
      <c r="AT108" s="173"/>
      <c r="AU108" s="177"/>
      <c r="AV108" s="178"/>
      <c r="AW108" s="178"/>
      <c r="AX108" s="179"/>
      <c r="AZ108" s="166"/>
      <c r="BA108" s="177"/>
      <c r="BB108" s="178"/>
      <c r="BC108" s="178"/>
      <c r="BD108" s="178"/>
      <c r="BE108" s="178"/>
      <c r="BF108" s="178"/>
      <c r="BG108" s="178"/>
      <c r="BH108" s="178"/>
      <c r="BI108" s="179"/>
      <c r="BJ108" s="180"/>
      <c r="BK108" s="178"/>
      <c r="BL108" s="178"/>
      <c r="BM108" s="178"/>
      <c r="BN108" s="178"/>
      <c r="BO108" s="181"/>
      <c r="BP108" s="166"/>
      <c r="BQ108" s="177"/>
      <c r="BR108" s="178"/>
      <c r="BS108" s="179"/>
      <c r="BU108" s="166"/>
      <c r="BV108" s="166"/>
      <c r="BW108" s="166"/>
      <c r="BX108" s="166"/>
      <c r="BY108" s="166"/>
      <c r="BZ108" s="166"/>
      <c r="CA108" s="166"/>
      <c r="CB108" s="166"/>
      <c r="CC108" s="166"/>
      <c r="CD108" s="177"/>
      <c r="CE108" s="181"/>
      <c r="CF108" s="177"/>
      <c r="CG108" s="179"/>
      <c r="CH108" s="257"/>
      <c r="CI108" s="182"/>
      <c r="CJ108" s="177"/>
      <c r="CK108" s="182"/>
      <c r="CL108" s="177"/>
      <c r="CM108" s="182"/>
      <c r="CN108" s="177"/>
      <c r="CO108" s="182"/>
      <c r="CP108" s="177"/>
      <c r="CQ108" s="178"/>
      <c r="CR108" s="182"/>
      <c r="CS108" s="173"/>
      <c r="CT108" s="65"/>
      <c r="CU108" s="271" t="str">
        <f t="shared" si="2"/>
        <v>ZPB</v>
      </c>
    </row>
    <row r="109" ht="60.0" customHeight="1">
      <c r="A109" s="65"/>
      <c r="C109" s="167">
        <v>3.0</v>
      </c>
      <c r="D109" s="168" t="s">
        <v>185</v>
      </c>
      <c r="E109" s="169"/>
      <c r="F109" s="170"/>
      <c r="G109" s="170"/>
      <c r="H109" s="170"/>
      <c r="I109" s="207"/>
      <c r="J109" s="170"/>
      <c r="K109" s="171"/>
      <c r="L109" s="171"/>
      <c r="M109" s="171"/>
      <c r="N109" s="276"/>
      <c r="O109" s="256">
        <f t="shared" si="20"/>
        <v>0</v>
      </c>
      <c r="Q109" s="173"/>
      <c r="R109" s="65"/>
      <c r="S109" s="173"/>
      <c r="T109" s="173"/>
      <c r="U109" s="166"/>
      <c r="V109" s="166"/>
      <c r="W109" s="65"/>
      <c r="X109" s="66"/>
      <c r="Y109" s="173"/>
      <c r="Z109" s="166"/>
      <c r="AA109" s="174"/>
      <c r="AB109" s="175"/>
      <c r="AC109" s="175"/>
      <c r="AD109" s="175"/>
      <c r="AE109" s="175"/>
      <c r="AF109" s="175"/>
      <c r="AG109" s="175"/>
      <c r="AH109" s="175"/>
      <c r="AI109" s="176"/>
      <c r="AJ109" s="177"/>
      <c r="AK109" s="178"/>
      <c r="AL109" s="178"/>
      <c r="AM109" s="178"/>
      <c r="AN109" s="178"/>
      <c r="AO109" s="179"/>
      <c r="AP109" s="64"/>
      <c r="AQ109" s="65"/>
      <c r="AR109" s="65"/>
      <c r="AS109" s="65"/>
      <c r="AT109" s="173"/>
      <c r="AU109" s="177"/>
      <c r="AV109" s="178"/>
      <c r="AW109" s="178"/>
      <c r="AX109" s="179"/>
      <c r="AZ109" s="166"/>
      <c r="BA109" s="177"/>
      <c r="BB109" s="178"/>
      <c r="BC109" s="178"/>
      <c r="BD109" s="178"/>
      <c r="BE109" s="178"/>
      <c r="BF109" s="178"/>
      <c r="BG109" s="178"/>
      <c r="BH109" s="178"/>
      <c r="BI109" s="179"/>
      <c r="BJ109" s="180"/>
      <c r="BK109" s="178"/>
      <c r="BL109" s="178"/>
      <c r="BM109" s="178"/>
      <c r="BN109" s="178"/>
      <c r="BO109" s="181"/>
      <c r="BP109" s="166"/>
      <c r="BQ109" s="177"/>
      <c r="BR109" s="178"/>
      <c r="BS109" s="179"/>
      <c r="BU109" s="166"/>
      <c r="BV109" s="166"/>
      <c r="BW109" s="166"/>
      <c r="BX109" s="166"/>
      <c r="BY109" s="166"/>
      <c r="BZ109" s="166"/>
      <c r="CA109" s="166"/>
      <c r="CB109" s="166"/>
      <c r="CC109" s="166"/>
      <c r="CD109" s="177"/>
      <c r="CE109" s="181"/>
      <c r="CF109" s="177"/>
      <c r="CG109" s="179"/>
      <c r="CH109" s="257"/>
      <c r="CI109" s="182"/>
      <c r="CJ109" s="177"/>
      <c r="CK109" s="182"/>
      <c r="CL109" s="177"/>
      <c r="CM109" s="182"/>
      <c r="CN109" s="177"/>
      <c r="CO109" s="182"/>
      <c r="CP109" s="177"/>
      <c r="CQ109" s="178"/>
      <c r="CR109" s="182"/>
      <c r="CS109" s="173"/>
      <c r="CT109" s="65"/>
      <c r="CU109" s="271" t="str">
        <f t="shared" si="2"/>
        <v>ZPB</v>
      </c>
    </row>
    <row r="110" ht="60.0" customHeight="1">
      <c r="A110" s="65"/>
      <c r="C110" s="167">
        <v>4.0</v>
      </c>
      <c r="D110" s="168" t="s">
        <v>185</v>
      </c>
      <c r="E110" s="169"/>
      <c r="F110" s="170"/>
      <c r="G110" s="170"/>
      <c r="H110" s="170"/>
      <c r="I110" s="207"/>
      <c r="J110" s="170"/>
      <c r="K110" s="171"/>
      <c r="L110" s="171"/>
      <c r="M110" s="171"/>
      <c r="N110" s="276"/>
      <c r="O110" s="256">
        <f t="shared" si="20"/>
        <v>0</v>
      </c>
      <c r="Q110" s="173"/>
      <c r="R110" s="65"/>
      <c r="S110" s="173"/>
      <c r="T110" s="173"/>
      <c r="U110" s="166"/>
      <c r="V110" s="166"/>
      <c r="W110" s="65"/>
      <c r="X110" s="66"/>
      <c r="Y110" s="173"/>
      <c r="Z110" s="166"/>
      <c r="AA110" s="174"/>
      <c r="AB110" s="175"/>
      <c r="AC110" s="175"/>
      <c r="AD110" s="175"/>
      <c r="AE110" s="175"/>
      <c r="AF110" s="175"/>
      <c r="AG110" s="175"/>
      <c r="AH110" s="175"/>
      <c r="AI110" s="176"/>
      <c r="AJ110" s="177"/>
      <c r="AK110" s="178"/>
      <c r="AL110" s="178"/>
      <c r="AM110" s="178"/>
      <c r="AN110" s="178"/>
      <c r="AO110" s="179"/>
      <c r="AP110" s="64"/>
      <c r="AQ110" s="65"/>
      <c r="AR110" s="65"/>
      <c r="AS110" s="65"/>
      <c r="AT110" s="173"/>
      <c r="AU110" s="177"/>
      <c r="AV110" s="178"/>
      <c r="AW110" s="178"/>
      <c r="AX110" s="179"/>
      <c r="AZ110" s="166"/>
      <c r="BA110" s="177"/>
      <c r="BB110" s="178"/>
      <c r="BC110" s="178"/>
      <c r="BD110" s="178"/>
      <c r="BE110" s="178"/>
      <c r="BF110" s="178"/>
      <c r="BG110" s="178"/>
      <c r="BH110" s="178"/>
      <c r="BI110" s="179"/>
      <c r="BJ110" s="180"/>
      <c r="BK110" s="178"/>
      <c r="BL110" s="178"/>
      <c r="BM110" s="178"/>
      <c r="BN110" s="178"/>
      <c r="BO110" s="181"/>
      <c r="BP110" s="166"/>
      <c r="BQ110" s="177"/>
      <c r="BR110" s="178"/>
      <c r="BS110" s="179"/>
      <c r="BU110" s="166"/>
      <c r="BV110" s="166"/>
      <c r="BW110" s="166"/>
      <c r="BX110" s="166"/>
      <c r="BY110" s="166"/>
      <c r="BZ110" s="166"/>
      <c r="CA110" s="166"/>
      <c r="CB110" s="166"/>
      <c r="CC110" s="166"/>
      <c r="CD110" s="177"/>
      <c r="CE110" s="181"/>
      <c r="CF110" s="177"/>
      <c r="CG110" s="179"/>
      <c r="CH110" s="257"/>
      <c r="CI110" s="182"/>
      <c r="CJ110" s="177"/>
      <c r="CK110" s="182"/>
      <c r="CL110" s="177"/>
      <c r="CM110" s="182"/>
      <c r="CN110" s="177"/>
      <c r="CO110" s="182"/>
      <c r="CP110" s="177"/>
      <c r="CQ110" s="178"/>
      <c r="CR110" s="182"/>
      <c r="CS110" s="173"/>
      <c r="CT110" s="65"/>
      <c r="CU110" s="271" t="str">
        <f t="shared" si="2"/>
        <v>ZPB</v>
      </c>
    </row>
    <row r="111" ht="60.0" customHeight="1">
      <c r="A111" s="65"/>
      <c r="C111" s="167">
        <v>5.0</v>
      </c>
      <c r="D111" s="168" t="s">
        <v>185</v>
      </c>
      <c r="E111" s="169"/>
      <c r="F111" s="170"/>
      <c r="G111" s="170"/>
      <c r="H111" s="170"/>
      <c r="I111" s="207"/>
      <c r="J111" s="170"/>
      <c r="K111" s="171"/>
      <c r="L111" s="171"/>
      <c r="M111" s="171"/>
      <c r="N111" s="276"/>
      <c r="O111" s="256">
        <f t="shared" si="20"/>
        <v>0</v>
      </c>
      <c r="Q111" s="173"/>
      <c r="R111" s="65"/>
      <c r="S111" s="173"/>
      <c r="T111" s="173"/>
      <c r="U111" s="166"/>
      <c r="V111" s="166"/>
      <c r="W111" s="65"/>
      <c r="X111" s="66"/>
      <c r="Y111" s="173"/>
      <c r="Z111" s="166"/>
      <c r="AA111" s="174"/>
      <c r="AB111" s="175"/>
      <c r="AC111" s="175"/>
      <c r="AD111" s="175"/>
      <c r="AE111" s="175"/>
      <c r="AF111" s="175"/>
      <c r="AG111" s="175"/>
      <c r="AH111" s="175"/>
      <c r="AI111" s="176"/>
      <c r="AJ111" s="177"/>
      <c r="AK111" s="178"/>
      <c r="AL111" s="178"/>
      <c r="AM111" s="178"/>
      <c r="AN111" s="178"/>
      <c r="AO111" s="179"/>
      <c r="AP111" s="64"/>
      <c r="AQ111" s="65"/>
      <c r="AR111" s="65"/>
      <c r="AS111" s="65"/>
      <c r="AT111" s="173"/>
      <c r="AU111" s="177"/>
      <c r="AV111" s="178"/>
      <c r="AW111" s="178"/>
      <c r="AX111" s="179"/>
      <c r="AZ111" s="166"/>
      <c r="BA111" s="177"/>
      <c r="BB111" s="178"/>
      <c r="BC111" s="178"/>
      <c r="BD111" s="178"/>
      <c r="BE111" s="178"/>
      <c r="BF111" s="178"/>
      <c r="BG111" s="178"/>
      <c r="BH111" s="178"/>
      <c r="BI111" s="179"/>
      <c r="BJ111" s="180"/>
      <c r="BK111" s="178"/>
      <c r="BL111" s="178"/>
      <c r="BM111" s="178"/>
      <c r="BN111" s="178"/>
      <c r="BO111" s="181"/>
      <c r="BP111" s="166"/>
      <c r="BQ111" s="177"/>
      <c r="BR111" s="178"/>
      <c r="BS111" s="179"/>
      <c r="BU111" s="166"/>
      <c r="BV111" s="166"/>
      <c r="BW111" s="166"/>
      <c r="BX111" s="166"/>
      <c r="BY111" s="166"/>
      <c r="BZ111" s="166"/>
      <c r="CA111" s="166"/>
      <c r="CB111" s="166"/>
      <c r="CC111" s="166"/>
      <c r="CD111" s="177"/>
      <c r="CE111" s="181"/>
      <c r="CF111" s="177"/>
      <c r="CG111" s="179"/>
      <c r="CH111" s="257"/>
      <c r="CI111" s="182"/>
      <c r="CJ111" s="177"/>
      <c r="CK111" s="182"/>
      <c r="CL111" s="177"/>
      <c r="CM111" s="182"/>
      <c r="CN111" s="177"/>
      <c r="CO111" s="182"/>
      <c r="CP111" s="177"/>
      <c r="CQ111" s="178"/>
      <c r="CR111" s="182"/>
      <c r="CS111" s="173"/>
      <c r="CT111" s="65"/>
      <c r="CU111" s="271" t="str">
        <f t="shared" si="2"/>
        <v>ZPB</v>
      </c>
    </row>
    <row r="112" ht="60.0" customHeight="1">
      <c r="A112" s="65"/>
      <c r="C112" s="167">
        <v>6.0</v>
      </c>
      <c r="D112" s="168" t="s">
        <v>185</v>
      </c>
      <c r="E112" s="169"/>
      <c r="F112" s="170"/>
      <c r="G112" s="170"/>
      <c r="H112" s="170"/>
      <c r="I112" s="207"/>
      <c r="J112" s="170"/>
      <c r="K112" s="171"/>
      <c r="L112" s="171"/>
      <c r="M112" s="171"/>
      <c r="N112" s="276"/>
      <c r="O112" s="256">
        <f t="shared" si="20"/>
        <v>0</v>
      </c>
      <c r="Q112" s="173"/>
      <c r="R112" s="65"/>
      <c r="S112" s="173"/>
      <c r="T112" s="173"/>
      <c r="U112" s="166"/>
      <c r="V112" s="166"/>
      <c r="W112" s="65"/>
      <c r="X112" s="66"/>
      <c r="Y112" s="173"/>
      <c r="Z112" s="166"/>
      <c r="AA112" s="174"/>
      <c r="AB112" s="175"/>
      <c r="AC112" s="175"/>
      <c r="AD112" s="175"/>
      <c r="AE112" s="175"/>
      <c r="AF112" s="175"/>
      <c r="AG112" s="175"/>
      <c r="AH112" s="175"/>
      <c r="AI112" s="176"/>
      <c r="AJ112" s="177"/>
      <c r="AK112" s="178"/>
      <c r="AL112" s="178"/>
      <c r="AM112" s="178"/>
      <c r="AN112" s="178"/>
      <c r="AO112" s="179"/>
      <c r="AP112" s="64"/>
      <c r="AQ112" s="65"/>
      <c r="AR112" s="65"/>
      <c r="AS112" s="65"/>
      <c r="AT112" s="173"/>
      <c r="AU112" s="177"/>
      <c r="AV112" s="178"/>
      <c r="AW112" s="178"/>
      <c r="AX112" s="179"/>
      <c r="AZ112" s="166"/>
      <c r="BA112" s="177"/>
      <c r="BB112" s="178"/>
      <c r="BC112" s="178"/>
      <c r="BD112" s="178"/>
      <c r="BE112" s="178"/>
      <c r="BF112" s="178"/>
      <c r="BG112" s="178"/>
      <c r="BH112" s="178"/>
      <c r="BI112" s="179"/>
      <c r="BJ112" s="180"/>
      <c r="BK112" s="178"/>
      <c r="BL112" s="178"/>
      <c r="BM112" s="178"/>
      <c r="BN112" s="178"/>
      <c r="BO112" s="181"/>
      <c r="BP112" s="166"/>
      <c r="BQ112" s="177"/>
      <c r="BR112" s="178"/>
      <c r="BS112" s="179"/>
      <c r="BU112" s="166"/>
      <c r="BV112" s="166"/>
      <c r="BW112" s="166"/>
      <c r="BX112" s="166"/>
      <c r="BY112" s="166"/>
      <c r="BZ112" s="166"/>
      <c r="CA112" s="166"/>
      <c r="CB112" s="166"/>
      <c r="CC112" s="166"/>
      <c r="CD112" s="177"/>
      <c r="CE112" s="181"/>
      <c r="CF112" s="177"/>
      <c r="CG112" s="179"/>
      <c r="CH112" s="257"/>
      <c r="CI112" s="182"/>
      <c r="CJ112" s="177"/>
      <c r="CK112" s="182"/>
      <c r="CL112" s="177"/>
      <c r="CM112" s="182"/>
      <c r="CN112" s="177"/>
      <c r="CO112" s="182"/>
      <c r="CP112" s="177"/>
      <c r="CQ112" s="178"/>
      <c r="CR112" s="182"/>
      <c r="CS112" s="173"/>
      <c r="CT112" s="65"/>
      <c r="CU112" s="271" t="str">
        <f t="shared" si="2"/>
        <v>ZPB</v>
      </c>
    </row>
    <row r="113" ht="60.0" customHeight="1">
      <c r="A113" s="65"/>
      <c r="C113" s="167">
        <v>7.0</v>
      </c>
      <c r="D113" s="168" t="s">
        <v>185</v>
      </c>
      <c r="E113" s="169"/>
      <c r="F113" s="170"/>
      <c r="G113" s="170"/>
      <c r="H113" s="170"/>
      <c r="I113" s="207"/>
      <c r="J113" s="170"/>
      <c r="K113" s="171"/>
      <c r="L113" s="171"/>
      <c r="M113" s="171"/>
      <c r="N113" s="276"/>
      <c r="O113" s="256">
        <f t="shared" ref="O113:O116" si="21">IF(AND(M113&gt;=20,M113&lt;&gt;"m",RIGHT(K113,3)="Lec"),1,IF(AND(M113&gt;=20,M113&lt;&gt;"m",OR(RIGHT(K113,3)="Lab",RIGHT(K113,3)="Tut")),0.5,IF(AND(M113&gt;=20,M113&lt;&gt;"m",RIGHT(K113,2)="TL"),0.75,0)))</f>
        <v>0</v>
      </c>
      <c r="Q113" s="173"/>
      <c r="R113" s="65"/>
      <c r="S113" s="173"/>
      <c r="T113" s="173"/>
      <c r="U113" s="166"/>
      <c r="V113" s="166"/>
      <c r="W113" s="65"/>
      <c r="X113" s="66"/>
      <c r="Y113" s="173"/>
      <c r="Z113" s="166"/>
      <c r="AA113" s="174"/>
      <c r="AB113" s="175"/>
      <c r="AC113" s="175"/>
      <c r="AD113" s="175"/>
      <c r="AE113" s="175"/>
      <c r="AF113" s="175"/>
      <c r="AG113" s="175"/>
      <c r="AH113" s="175"/>
      <c r="AI113" s="176"/>
      <c r="AJ113" s="177"/>
      <c r="AK113" s="178"/>
      <c r="AL113" s="178"/>
      <c r="AM113" s="178"/>
      <c r="AN113" s="178"/>
      <c r="AO113" s="179"/>
      <c r="AP113" s="64"/>
      <c r="AQ113" s="65"/>
      <c r="AR113" s="65"/>
      <c r="AS113" s="65"/>
      <c r="AT113" s="173"/>
      <c r="AU113" s="177"/>
      <c r="AV113" s="178"/>
      <c r="AW113" s="178"/>
      <c r="AX113" s="179"/>
      <c r="AZ113" s="166"/>
      <c r="BA113" s="177"/>
      <c r="BB113" s="178"/>
      <c r="BC113" s="178"/>
      <c r="BD113" s="178"/>
      <c r="BE113" s="178"/>
      <c r="BF113" s="178"/>
      <c r="BG113" s="178"/>
      <c r="BH113" s="178"/>
      <c r="BI113" s="179"/>
      <c r="BJ113" s="180"/>
      <c r="BK113" s="178"/>
      <c r="BL113" s="178"/>
      <c r="BM113" s="178"/>
      <c r="BN113" s="178"/>
      <c r="BO113" s="181"/>
      <c r="BP113" s="166"/>
      <c r="BQ113" s="177"/>
      <c r="BR113" s="178"/>
      <c r="BS113" s="179"/>
      <c r="BU113" s="166"/>
      <c r="BV113" s="166"/>
      <c r="BW113" s="166"/>
      <c r="BX113" s="166"/>
      <c r="BY113" s="166"/>
      <c r="BZ113" s="166"/>
      <c r="CA113" s="166"/>
      <c r="CB113" s="166"/>
      <c r="CC113" s="166"/>
      <c r="CD113" s="177"/>
      <c r="CE113" s="181"/>
      <c r="CF113" s="177"/>
      <c r="CG113" s="179"/>
      <c r="CH113" s="257"/>
      <c r="CI113" s="182"/>
      <c r="CJ113" s="177"/>
      <c r="CK113" s="182"/>
      <c r="CL113" s="177"/>
      <c r="CM113" s="182"/>
      <c r="CN113" s="177"/>
      <c r="CO113" s="182"/>
      <c r="CP113" s="177"/>
      <c r="CQ113" s="178"/>
      <c r="CR113" s="182"/>
      <c r="CS113" s="173"/>
      <c r="CT113" s="65"/>
      <c r="CU113" s="271" t="str">
        <f t="shared" si="2"/>
        <v>ZPB</v>
      </c>
    </row>
    <row r="114" ht="60.0" customHeight="1">
      <c r="A114" s="65"/>
      <c r="C114" s="167">
        <v>8.0</v>
      </c>
      <c r="D114" s="168" t="s">
        <v>185</v>
      </c>
      <c r="E114" s="169"/>
      <c r="F114" s="170"/>
      <c r="G114" s="170"/>
      <c r="H114" s="170"/>
      <c r="I114" s="207"/>
      <c r="J114" s="170"/>
      <c r="K114" s="171"/>
      <c r="L114" s="171"/>
      <c r="M114" s="171"/>
      <c r="N114" s="276"/>
      <c r="O114" s="256">
        <f t="shared" si="21"/>
        <v>0</v>
      </c>
      <c r="Q114" s="173"/>
      <c r="R114" s="65"/>
      <c r="S114" s="173"/>
      <c r="T114" s="173"/>
      <c r="U114" s="166"/>
      <c r="V114" s="166"/>
      <c r="W114" s="65"/>
      <c r="X114" s="66"/>
      <c r="Y114" s="173"/>
      <c r="Z114" s="166"/>
      <c r="AA114" s="174"/>
      <c r="AB114" s="175"/>
      <c r="AC114" s="175"/>
      <c r="AD114" s="175"/>
      <c r="AE114" s="175"/>
      <c r="AF114" s="175"/>
      <c r="AG114" s="175"/>
      <c r="AH114" s="175"/>
      <c r="AI114" s="176"/>
      <c r="AJ114" s="177"/>
      <c r="AK114" s="178"/>
      <c r="AL114" s="178"/>
      <c r="AM114" s="178"/>
      <c r="AN114" s="178"/>
      <c r="AO114" s="179"/>
      <c r="AP114" s="64"/>
      <c r="AQ114" s="65"/>
      <c r="AR114" s="65"/>
      <c r="AS114" s="65"/>
      <c r="AT114" s="173"/>
      <c r="AU114" s="177"/>
      <c r="AV114" s="178"/>
      <c r="AW114" s="178"/>
      <c r="AX114" s="179"/>
      <c r="AZ114" s="166"/>
      <c r="BA114" s="177"/>
      <c r="BB114" s="178"/>
      <c r="BC114" s="178"/>
      <c r="BD114" s="178"/>
      <c r="BE114" s="178"/>
      <c r="BF114" s="178"/>
      <c r="BG114" s="178"/>
      <c r="BH114" s="178"/>
      <c r="BI114" s="179"/>
      <c r="BJ114" s="180"/>
      <c r="BK114" s="178"/>
      <c r="BL114" s="178"/>
      <c r="BM114" s="178"/>
      <c r="BN114" s="178"/>
      <c r="BO114" s="181"/>
      <c r="BP114" s="166"/>
      <c r="BQ114" s="177"/>
      <c r="BR114" s="178"/>
      <c r="BS114" s="179"/>
      <c r="BU114" s="166"/>
      <c r="BV114" s="166"/>
      <c r="BW114" s="166"/>
      <c r="BX114" s="166"/>
      <c r="BY114" s="166"/>
      <c r="BZ114" s="166"/>
      <c r="CA114" s="166"/>
      <c r="CB114" s="166"/>
      <c r="CC114" s="166"/>
      <c r="CD114" s="177"/>
      <c r="CE114" s="181"/>
      <c r="CF114" s="177"/>
      <c r="CG114" s="179"/>
      <c r="CH114" s="257"/>
      <c r="CI114" s="182"/>
      <c r="CJ114" s="177"/>
      <c r="CK114" s="182"/>
      <c r="CL114" s="177"/>
      <c r="CM114" s="182"/>
      <c r="CN114" s="177"/>
      <c r="CO114" s="182"/>
      <c r="CP114" s="177"/>
      <c r="CQ114" s="178"/>
      <c r="CR114" s="182"/>
      <c r="CS114" s="173"/>
      <c r="CT114" s="65"/>
      <c r="CU114" s="271" t="str">
        <f t="shared" si="2"/>
        <v>ZPB</v>
      </c>
    </row>
    <row r="115" ht="60.0" customHeight="1">
      <c r="A115" s="65"/>
      <c r="C115" s="167">
        <v>9.0</v>
      </c>
      <c r="D115" s="168" t="s">
        <v>185</v>
      </c>
      <c r="E115" s="169"/>
      <c r="F115" s="170"/>
      <c r="G115" s="170"/>
      <c r="H115" s="170"/>
      <c r="I115" s="207"/>
      <c r="J115" s="170"/>
      <c r="K115" s="171"/>
      <c r="L115" s="171"/>
      <c r="M115" s="171"/>
      <c r="N115" s="276"/>
      <c r="O115" s="256">
        <f t="shared" si="21"/>
        <v>0</v>
      </c>
      <c r="Q115" s="173"/>
      <c r="R115" s="65"/>
      <c r="S115" s="173"/>
      <c r="T115" s="173"/>
      <c r="U115" s="166"/>
      <c r="V115" s="166"/>
      <c r="W115" s="65"/>
      <c r="X115" s="66"/>
      <c r="Y115" s="173"/>
      <c r="Z115" s="166"/>
      <c r="AA115" s="174"/>
      <c r="AB115" s="175"/>
      <c r="AC115" s="175"/>
      <c r="AD115" s="175"/>
      <c r="AE115" s="175"/>
      <c r="AF115" s="175"/>
      <c r="AG115" s="175"/>
      <c r="AH115" s="175"/>
      <c r="AI115" s="176"/>
      <c r="AJ115" s="177"/>
      <c r="AK115" s="178"/>
      <c r="AL115" s="178"/>
      <c r="AM115" s="178"/>
      <c r="AN115" s="178"/>
      <c r="AO115" s="179"/>
      <c r="AP115" s="64"/>
      <c r="AQ115" s="65"/>
      <c r="AR115" s="65"/>
      <c r="AS115" s="65"/>
      <c r="AT115" s="173"/>
      <c r="AU115" s="177"/>
      <c r="AV115" s="178"/>
      <c r="AW115" s="178"/>
      <c r="AX115" s="179"/>
      <c r="AZ115" s="166"/>
      <c r="BA115" s="177"/>
      <c r="BB115" s="178"/>
      <c r="BC115" s="178"/>
      <c r="BD115" s="178"/>
      <c r="BE115" s="178"/>
      <c r="BF115" s="178"/>
      <c r="BG115" s="178"/>
      <c r="BH115" s="178"/>
      <c r="BI115" s="179"/>
      <c r="BJ115" s="180"/>
      <c r="BK115" s="178"/>
      <c r="BL115" s="178"/>
      <c r="BM115" s="178"/>
      <c r="BN115" s="178"/>
      <c r="BO115" s="181"/>
      <c r="BP115" s="166"/>
      <c r="BQ115" s="177"/>
      <c r="BR115" s="178"/>
      <c r="BS115" s="179"/>
      <c r="BU115" s="166"/>
      <c r="BV115" s="166"/>
      <c r="BW115" s="166"/>
      <c r="BX115" s="166"/>
      <c r="BY115" s="166"/>
      <c r="BZ115" s="166"/>
      <c r="CA115" s="166"/>
      <c r="CB115" s="166"/>
      <c r="CC115" s="166"/>
      <c r="CD115" s="177"/>
      <c r="CE115" s="181"/>
      <c r="CF115" s="177"/>
      <c r="CG115" s="179"/>
      <c r="CH115" s="257"/>
      <c r="CI115" s="182"/>
      <c r="CJ115" s="177"/>
      <c r="CK115" s="182"/>
      <c r="CL115" s="177"/>
      <c r="CM115" s="182"/>
      <c r="CN115" s="177"/>
      <c r="CO115" s="182"/>
      <c r="CP115" s="177"/>
      <c r="CQ115" s="178"/>
      <c r="CR115" s="182"/>
      <c r="CS115" s="173"/>
      <c r="CT115" s="65"/>
      <c r="CU115" s="271" t="str">
        <f t="shared" si="2"/>
        <v>ZPB</v>
      </c>
    </row>
    <row r="116" ht="60.0" customHeight="1">
      <c r="A116" s="65"/>
      <c r="C116" s="167">
        <v>10.0</v>
      </c>
      <c r="D116" s="168" t="s">
        <v>185</v>
      </c>
      <c r="E116" s="169"/>
      <c r="F116" s="170"/>
      <c r="G116" s="170"/>
      <c r="H116" s="170"/>
      <c r="I116" s="207"/>
      <c r="J116" s="170"/>
      <c r="K116" s="171"/>
      <c r="L116" s="171"/>
      <c r="M116" s="171"/>
      <c r="N116" s="276"/>
      <c r="O116" s="256">
        <f t="shared" si="21"/>
        <v>0</v>
      </c>
      <c r="Q116" s="173"/>
      <c r="R116" s="65"/>
      <c r="S116" s="173"/>
      <c r="T116" s="173"/>
      <c r="U116" s="166"/>
      <c r="V116" s="166"/>
      <c r="W116" s="65"/>
      <c r="X116" s="66"/>
      <c r="Y116" s="173"/>
      <c r="Z116" s="166"/>
      <c r="AA116" s="174"/>
      <c r="AB116" s="175"/>
      <c r="AC116" s="175"/>
      <c r="AD116" s="175"/>
      <c r="AE116" s="175"/>
      <c r="AF116" s="175"/>
      <c r="AG116" s="175"/>
      <c r="AH116" s="175"/>
      <c r="AI116" s="176"/>
      <c r="AJ116" s="177"/>
      <c r="AK116" s="178"/>
      <c r="AL116" s="178"/>
      <c r="AM116" s="178"/>
      <c r="AN116" s="178"/>
      <c r="AO116" s="179"/>
      <c r="AP116" s="64"/>
      <c r="AQ116" s="65"/>
      <c r="AR116" s="65"/>
      <c r="AS116" s="65"/>
      <c r="AT116" s="173"/>
      <c r="AU116" s="177"/>
      <c r="AV116" s="178"/>
      <c r="AW116" s="178"/>
      <c r="AX116" s="179"/>
      <c r="AZ116" s="166"/>
      <c r="BA116" s="177"/>
      <c r="BB116" s="178"/>
      <c r="BC116" s="178"/>
      <c r="BD116" s="178"/>
      <c r="BE116" s="178"/>
      <c r="BF116" s="178"/>
      <c r="BG116" s="178"/>
      <c r="BH116" s="178"/>
      <c r="BI116" s="179"/>
      <c r="BJ116" s="180"/>
      <c r="BK116" s="178"/>
      <c r="BL116" s="178"/>
      <c r="BM116" s="178"/>
      <c r="BN116" s="178"/>
      <c r="BO116" s="181"/>
      <c r="BP116" s="166"/>
      <c r="BQ116" s="177"/>
      <c r="BR116" s="178"/>
      <c r="BS116" s="179"/>
      <c r="BU116" s="166"/>
      <c r="BV116" s="166"/>
      <c r="BW116" s="166"/>
      <c r="BX116" s="166"/>
      <c r="BY116" s="166"/>
      <c r="BZ116" s="166"/>
      <c r="CA116" s="166"/>
      <c r="CB116" s="166"/>
      <c r="CC116" s="166"/>
      <c r="CD116" s="177"/>
      <c r="CE116" s="181"/>
      <c r="CF116" s="177"/>
      <c r="CG116" s="179"/>
      <c r="CH116" s="257"/>
      <c r="CI116" s="182"/>
      <c r="CJ116" s="177"/>
      <c r="CK116" s="182"/>
      <c r="CL116" s="177"/>
      <c r="CM116" s="182"/>
      <c r="CN116" s="177"/>
      <c r="CO116" s="182"/>
      <c r="CP116" s="177"/>
      <c r="CQ116" s="178"/>
      <c r="CR116" s="182"/>
      <c r="CS116" s="173"/>
      <c r="CT116" s="65"/>
      <c r="CU116" s="271" t="str">
        <f t="shared" si="2"/>
        <v>ZPB</v>
      </c>
    </row>
    <row r="117" ht="60.0" customHeight="1">
      <c r="A117" s="89"/>
      <c r="C117" s="183">
        <v>11.0</v>
      </c>
      <c r="D117" s="210" t="s">
        <v>185</v>
      </c>
      <c r="E117" s="185"/>
      <c r="F117" s="186"/>
      <c r="G117" s="186"/>
      <c r="H117" s="186"/>
      <c r="I117" s="212"/>
      <c r="J117" s="186"/>
      <c r="K117" s="187"/>
      <c r="L117" s="187"/>
      <c r="M117" s="187"/>
      <c r="N117" s="284"/>
      <c r="O117" s="258">
        <f t="shared" ref="O117:O123" si="22">IF(AND(M117&lt;&gt;0,M117&lt;&gt;"m",M117&lt;&gt;"",RIGHT(K117,3)="Lec"),1,IF(AND(M117&lt;&gt;0,M117&lt;&gt;"m",M117&lt;&gt;"",OR(RIGHT(K117,3)="Lab",RIGHT(K117,3)="Tut")),0.5,IF(AND(M117&lt;&gt;0,M117&lt;&gt;"m",M117&lt;&gt;"",RIGHT(K117,2)="TL"),0.75,0)))</f>
        <v>0</v>
      </c>
      <c r="P117" s="6"/>
      <c r="Q117" s="69"/>
      <c r="R117" s="89"/>
      <c r="S117" s="69"/>
      <c r="T117" s="69"/>
      <c r="U117" s="63"/>
      <c r="V117" s="63"/>
      <c r="W117" s="89"/>
      <c r="X117" s="68"/>
      <c r="Y117" s="69"/>
      <c r="Z117" s="63"/>
      <c r="AA117" s="189"/>
      <c r="AB117" s="190"/>
      <c r="AC117" s="190"/>
      <c r="AD117" s="190"/>
      <c r="AE117" s="190"/>
      <c r="AF117" s="190"/>
      <c r="AG117" s="190"/>
      <c r="AH117" s="190"/>
      <c r="AI117" s="191"/>
      <c r="AJ117" s="192"/>
      <c r="AK117" s="193"/>
      <c r="AL117" s="193"/>
      <c r="AM117" s="193"/>
      <c r="AN117" s="193"/>
      <c r="AO117" s="194"/>
      <c r="AP117" s="103"/>
      <c r="AQ117" s="89"/>
      <c r="AR117" s="89"/>
      <c r="AS117" s="89"/>
      <c r="AT117" s="69"/>
      <c r="AU117" s="192"/>
      <c r="AV117" s="193"/>
      <c r="AW117" s="193"/>
      <c r="AX117" s="194"/>
      <c r="AY117" s="6"/>
      <c r="AZ117" s="63"/>
      <c r="BA117" s="192"/>
      <c r="BB117" s="193"/>
      <c r="BC117" s="193"/>
      <c r="BD117" s="193"/>
      <c r="BE117" s="193"/>
      <c r="BF117" s="193"/>
      <c r="BG117" s="193"/>
      <c r="BH117" s="193"/>
      <c r="BI117" s="194"/>
      <c r="BJ117" s="195"/>
      <c r="BK117" s="193"/>
      <c r="BL117" s="193"/>
      <c r="BM117" s="193"/>
      <c r="BN117" s="193"/>
      <c r="BO117" s="196"/>
      <c r="BP117" s="63"/>
      <c r="BQ117" s="192"/>
      <c r="BR117" s="193"/>
      <c r="BS117" s="194"/>
      <c r="BT117" s="6"/>
      <c r="BU117" s="63"/>
      <c r="BV117" s="63"/>
      <c r="BW117" s="63"/>
      <c r="BX117" s="63"/>
      <c r="BY117" s="63"/>
      <c r="BZ117" s="63"/>
      <c r="CA117" s="63"/>
      <c r="CB117" s="63"/>
      <c r="CC117" s="63"/>
      <c r="CD117" s="192"/>
      <c r="CE117" s="196"/>
      <c r="CF117" s="192"/>
      <c r="CG117" s="194"/>
      <c r="CH117" s="259"/>
      <c r="CI117" s="197"/>
      <c r="CJ117" s="192"/>
      <c r="CK117" s="197"/>
      <c r="CL117" s="192"/>
      <c r="CM117" s="197"/>
      <c r="CN117" s="192"/>
      <c r="CO117" s="197"/>
      <c r="CP117" s="192"/>
      <c r="CQ117" s="193"/>
      <c r="CR117" s="197"/>
      <c r="CS117" s="69"/>
      <c r="CT117" s="89"/>
      <c r="CU117" s="272" t="str">
        <f t="shared" si="2"/>
        <v>ZPB</v>
      </c>
    </row>
    <row r="118" ht="55.5" customHeight="1">
      <c r="A118" s="125">
        <v>11.0</v>
      </c>
      <c r="B118" s="199" t="s">
        <v>194</v>
      </c>
      <c r="C118" s="127">
        <v>1.0</v>
      </c>
      <c r="D118" s="168" t="s">
        <v>195</v>
      </c>
      <c r="E118" s="129"/>
      <c r="F118" s="130"/>
      <c r="G118" s="130"/>
      <c r="H118" s="130"/>
      <c r="I118" s="201"/>
      <c r="J118" s="130"/>
      <c r="K118" s="131"/>
      <c r="L118" s="131"/>
      <c r="M118" s="131"/>
      <c r="N118" s="275"/>
      <c r="O118" s="250">
        <f t="shared" si="22"/>
        <v>0</v>
      </c>
      <c r="P118" s="251">
        <f>COUNTIF(K118:K128,"TL")*0.75+COUNTIF(K118:K128,"Lec")*1+COUNTIF(K118:K128,"Lab")*0.5</f>
        <v>0</v>
      </c>
      <c r="Q118" s="134">
        <f>SUM((IF(LEFT(K118,1)="E",O118,0)),(IF(LEFT(K119,1)="E",O119,0)),(IF(LEFT(K120,1)="E",O120,0)),(IF(LEFT(K121,1)="E",O121,0)),(IF(LEFT(K122,1)="E",O122,0)),(IF(LEFT(K123,1)="E",O123,0)),(IF(LEFT(K124,1)="E",O124,0)),(IF(LEFT(K125,1)="E",O125,0)),(IF(LEFT(K126,1)="E",O126,0)),(IF(LEFT(K127,1)="E",O127,0)),(IF(LEFT(K128,1)="E",O128,0)))</f>
        <v>0</v>
      </c>
      <c r="R118" s="135">
        <f>SUM(IF(M124&lt;20,IF(K124="Plec",-1,IF(K124="PTL",-0.75,IF(K124="Plab",-0.5,0))),0),IF(M125&lt;20,IF(K125="Plec",-1,IF(K125="PTL",-0.75,IF(K125="Plab",-0.5,0))),0),IF(M126&lt;20,IF(K126="Plec",-1,IF(K126="PTL",-0.75,IF(K126="Plab",-0.5,0))),0),IF(M127&lt;20,IF(K127="Plec",-1,IF(K127="PTL",-0.75,IF(K127="Plab",-0.5,0))),0))</f>
        <v>0</v>
      </c>
      <c r="S118" s="134">
        <f>SUM(P118:R128)</f>
        <v>0</v>
      </c>
      <c r="T118" s="136">
        <f>SUM(IF(M118="M",IF(OR(K118="lec",K118="plec",K118="slec"),1,IF(OR(K118="lab",K118="plab",K118="slab",K118="tut",K118="ptut",K118="stut"),0.5,IF(OR(K118="TL",K118="pTL",K118="STL"),0.75,0))),0),IF(M119="M",IF(OR(K119="lec",K119="plec",K119="slec"),1,IF(OR(K119="lab",K119="plab",K119="slab",K119="tut",K119="ptut",K119="stut"),0.5,IF(OR(K119="TL",K119="pTL",K119="STL"),0.75,0))),0),IF(M120="M",IF(OR(K120="lec",K120="plec",K120="slec"),1,IF(OR(K120="lab",K120="plab",K120="slab",K120="tut",K120="ptut",K120="stut"),0.5,IF(OR(K120="TL",K120="pTL",K120="STL"),0.75,0))),0),IF(M121="M",IF(OR(K121="lec",K121="plec",K121="slec"),1,IF(OR(K121="lab",K121="plab",K121="slab",K121="tut",K121="ptut",K121="stut"),0.5,IF(OR(K121="TL",K121="pTL",K121="STL"),0.75,0))),0),IF(M122="M",IF(OR(K122="lec",K122="plec",K122="slec"),1,IF(OR(K122="lab",K122="plab",K122="slab",K122="tut",K122="ptut",K122="stut"),0.5,IF(OR(K122="TL",K122="pTL",K122="STL"),0.75,0))),0),IF(M123="M",IF(OR(K123="lec",K123="plec",K123="slec"),1,IF(OR(K123="lab",K123="plab",K123="slab",K123="tut",K123="ptut",K123="stut"),0.5,IF(OR(K123="TL",K123="pTL",K123="STL"),0.75,0))),0),IF(M124="M",IF(OR(K124="lec",K124="plec",K124="slec"),1,IF(OR(K124="lab",K124="plab",K124="slab",K124="tut",K124="ptut",K124="stut"),0.5,IF(OR(K124="TL",K124="pTL",K124="STL"),0.75,0))),0),IF(M125="M",IF(OR(K125="lec",K125="plec",K125="slec"),1,IF(OR(K125="lab",K125="plab",K125="slab",K125="tut",K125="ptut",K125="stut"),0.5,IF(OR(K125="TL",K125="pTL",K125="STL"),0.75,0))),0),IF(M126="M",IF(OR(K126="lec",K126="plec",K126="slec"),1,IF(OR(K126="lab",K126="plab",K126="slab",K126="tut",K126="ptut",K126="stut"),0.5,IF(OR(K126="TL",K126="pTL",K126="STL"),0.75,0))),0),IF(M127="M",IF(OR(K127="lec",K127="plec",K127="slec"),1,IF(OR(K127="lab",K127="plab",K127="slab",K127="tut",K127="ptut",K127="stut"),0.5,IF(OR(K127="TL",K127="pTL",K127="STL"),0.75,0))),0),IF(M128="M",IF(OR(K128="lec",K128="plec",K128="slec"),1,IF(OR(K128="lab",K128="plab",K128="slab",K128="tut",K128="ptut",K128="stut"),0.5,IF(OR(K128="TL",K128="pTL",K128="STL"),0.75,0))),0))</f>
        <v>0</v>
      </c>
      <c r="U118" s="137"/>
      <c r="V118" s="133"/>
      <c r="W118" s="138"/>
      <c r="X118" s="139">
        <f>S118-(T118+U118+V118+W118)</f>
        <v>0</v>
      </c>
      <c r="Y118" s="134" t="str">
        <f>CONCATENATE(SUM(O118:O128),"(",SUM(O118:O128)-X118,")")</f>
        <v>0(0)</v>
      </c>
      <c r="Z118" s="140"/>
      <c r="AA118" s="141"/>
      <c r="AB118" s="142"/>
      <c r="AC118" s="142"/>
      <c r="AD118" s="142"/>
      <c r="AE118" s="142"/>
      <c r="AF118" s="142"/>
      <c r="AG118" s="142"/>
      <c r="AH118" s="142"/>
      <c r="AI118" s="143"/>
      <c r="AJ118" s="144"/>
      <c r="AK118" s="145"/>
      <c r="AL118" s="145"/>
      <c r="AM118" s="145"/>
      <c r="AN118" s="145"/>
      <c r="AO118" s="146"/>
      <c r="AP118" s="147">
        <f>SUM(SUM(O118:O128),SUM(AI118:AI128)/2,AM118)</f>
        <v>0</v>
      </c>
      <c r="AQ118" s="148"/>
      <c r="AR118" s="148">
        <f>AP118*AQ118</f>
        <v>0</v>
      </c>
      <c r="AS118" s="148">
        <f>CT118</f>
        <v>0</v>
      </c>
      <c r="AT118" s="149">
        <f>AR118*0.75+AS118*0.25</f>
        <v>0</v>
      </c>
      <c r="AU118" s="150"/>
      <c r="AV118" s="151"/>
      <c r="AW118" s="151"/>
      <c r="AX118" s="152"/>
      <c r="AY118" s="153"/>
      <c r="AZ118" s="140"/>
      <c r="BA118" s="150"/>
      <c r="BB118" s="151"/>
      <c r="BC118" s="151"/>
      <c r="BD118" s="151"/>
      <c r="BE118" s="151"/>
      <c r="BF118" s="151"/>
      <c r="BG118" s="151"/>
      <c r="BH118" s="151"/>
      <c r="BI118" s="152"/>
      <c r="BJ118" s="154"/>
      <c r="BK118" s="151"/>
      <c r="BL118" s="151"/>
      <c r="BM118" s="151"/>
      <c r="BN118" s="151"/>
      <c r="BO118" s="155"/>
      <c r="BP118" s="140"/>
      <c r="BQ118" s="156"/>
      <c r="BR118" s="157"/>
      <c r="BS118" s="158"/>
      <c r="BT118" s="153"/>
      <c r="BU118" s="140"/>
      <c r="BV118" s="140"/>
      <c r="BW118" s="140"/>
      <c r="BX118" s="140"/>
      <c r="BY118" s="140"/>
      <c r="BZ118" s="140"/>
      <c r="CA118" s="140"/>
      <c r="CB118" s="140"/>
      <c r="CC118" s="140"/>
      <c r="CD118" s="150"/>
      <c r="CE118" s="155"/>
      <c r="CF118" s="150"/>
      <c r="CG118" s="152"/>
      <c r="CH118" s="252"/>
      <c r="CI118" s="160"/>
      <c r="CJ118" s="159"/>
      <c r="CK118" s="160"/>
      <c r="CL118" s="159"/>
      <c r="CM118" s="160"/>
      <c r="CN118" s="159"/>
      <c r="CO118" s="160"/>
      <c r="CP118" s="159"/>
      <c r="CQ118" s="162"/>
      <c r="CR118" s="160"/>
      <c r="CS118" s="253">
        <f>SUM(IF(AU118&lt;0,ABS(AU118),0),IF(AZ118&lt;0,ABS(AZ118),0),ABS(CI118),ABS(CK118),ABS(CM118),ABS(CO118),ABS(CQ118),ABS(CR118))</f>
        <v>0</v>
      </c>
      <c r="CT118" s="254">
        <f>SUM(AU118,AV118,AW118,AX118/400,AY118,AZ118,BG118,BH118*0.5,BI118*0.25,BJ118,BK118,BL118,BM118,BN118,BO118,BP118,BR118/20,BS118/100,BT118/60,BU118,BV118,BW118,BX118/4,SUM(BY118:CC128)/3,CE118,CG118/3,CI118,CK118,CM118,CO118,CQ118,CR118)</f>
        <v>0</v>
      </c>
      <c r="CU118" s="255" t="str">
        <f t="shared" si="2"/>
        <v>DPS</v>
      </c>
    </row>
    <row r="119" ht="60.0" customHeight="1">
      <c r="A119" s="65"/>
      <c r="C119" s="167">
        <v>2.0</v>
      </c>
      <c r="D119" s="168" t="s">
        <v>195</v>
      </c>
      <c r="E119" s="169"/>
      <c r="F119" s="170"/>
      <c r="G119" s="170"/>
      <c r="H119" s="170"/>
      <c r="I119" s="207"/>
      <c r="J119" s="170"/>
      <c r="K119" s="171"/>
      <c r="L119" s="171"/>
      <c r="M119" s="171"/>
      <c r="N119" s="276"/>
      <c r="O119" s="256">
        <f t="shared" si="22"/>
        <v>0</v>
      </c>
      <c r="Q119" s="173"/>
      <c r="R119" s="65"/>
      <c r="S119" s="173"/>
      <c r="T119" s="173"/>
      <c r="U119" s="166"/>
      <c r="V119" s="166"/>
      <c r="W119" s="65"/>
      <c r="X119" s="66"/>
      <c r="Y119" s="173"/>
      <c r="Z119" s="166"/>
      <c r="AA119" s="174"/>
      <c r="AB119" s="175"/>
      <c r="AC119" s="175"/>
      <c r="AD119" s="175"/>
      <c r="AE119" s="175"/>
      <c r="AF119" s="175"/>
      <c r="AG119" s="175"/>
      <c r="AH119" s="175"/>
      <c r="AI119" s="176"/>
      <c r="AJ119" s="177"/>
      <c r="AK119" s="178"/>
      <c r="AL119" s="178"/>
      <c r="AM119" s="178"/>
      <c r="AN119" s="178"/>
      <c r="AO119" s="179"/>
      <c r="AP119" s="64"/>
      <c r="AQ119" s="65"/>
      <c r="AR119" s="65"/>
      <c r="AS119" s="65"/>
      <c r="AT119" s="173"/>
      <c r="AU119" s="177"/>
      <c r="AV119" s="178"/>
      <c r="AW119" s="178"/>
      <c r="AX119" s="179"/>
      <c r="AZ119" s="166"/>
      <c r="BA119" s="177"/>
      <c r="BB119" s="178"/>
      <c r="BC119" s="178"/>
      <c r="BD119" s="178"/>
      <c r="BE119" s="178"/>
      <c r="BF119" s="178"/>
      <c r="BG119" s="178"/>
      <c r="BH119" s="178"/>
      <c r="BI119" s="179"/>
      <c r="BJ119" s="180"/>
      <c r="BK119" s="178"/>
      <c r="BL119" s="178"/>
      <c r="BM119" s="178"/>
      <c r="BN119" s="178"/>
      <c r="BO119" s="181"/>
      <c r="BP119" s="166"/>
      <c r="BQ119" s="177"/>
      <c r="BR119" s="178"/>
      <c r="BS119" s="179"/>
      <c r="BU119" s="166"/>
      <c r="BV119" s="166"/>
      <c r="BW119" s="166"/>
      <c r="BX119" s="166"/>
      <c r="BY119" s="166"/>
      <c r="BZ119" s="166"/>
      <c r="CA119" s="166"/>
      <c r="CB119" s="166"/>
      <c r="CC119" s="166"/>
      <c r="CD119" s="177"/>
      <c r="CE119" s="181"/>
      <c r="CF119" s="177"/>
      <c r="CG119" s="179"/>
      <c r="CH119" s="257"/>
      <c r="CI119" s="182"/>
      <c r="CJ119" s="177"/>
      <c r="CK119" s="182"/>
      <c r="CL119" s="177"/>
      <c r="CM119" s="182"/>
      <c r="CN119" s="177"/>
      <c r="CO119" s="182"/>
      <c r="CP119" s="177"/>
      <c r="CQ119" s="178"/>
      <c r="CR119" s="182"/>
      <c r="CS119" s="173"/>
      <c r="CT119" s="65"/>
      <c r="CU119" s="271" t="str">
        <f t="shared" si="2"/>
        <v>DPS</v>
      </c>
    </row>
    <row r="120" ht="60.0" customHeight="1">
      <c r="A120" s="65"/>
      <c r="C120" s="167">
        <v>3.0</v>
      </c>
      <c r="D120" s="168" t="s">
        <v>195</v>
      </c>
      <c r="E120" s="169"/>
      <c r="F120" s="170"/>
      <c r="G120" s="170"/>
      <c r="H120" s="170"/>
      <c r="I120" s="207"/>
      <c r="J120" s="170"/>
      <c r="K120" s="171"/>
      <c r="L120" s="171"/>
      <c r="M120" s="171"/>
      <c r="N120" s="276"/>
      <c r="O120" s="256">
        <f t="shared" si="22"/>
        <v>0</v>
      </c>
      <c r="Q120" s="173"/>
      <c r="R120" s="65"/>
      <c r="S120" s="173"/>
      <c r="T120" s="173"/>
      <c r="U120" s="166"/>
      <c r="V120" s="166"/>
      <c r="W120" s="65"/>
      <c r="X120" s="66"/>
      <c r="Y120" s="173"/>
      <c r="Z120" s="166"/>
      <c r="AA120" s="174"/>
      <c r="AB120" s="175"/>
      <c r="AC120" s="175"/>
      <c r="AD120" s="175"/>
      <c r="AE120" s="175"/>
      <c r="AF120" s="175"/>
      <c r="AG120" s="175"/>
      <c r="AH120" s="175"/>
      <c r="AI120" s="176"/>
      <c r="AJ120" s="177"/>
      <c r="AK120" s="178"/>
      <c r="AL120" s="178"/>
      <c r="AM120" s="178"/>
      <c r="AN120" s="178"/>
      <c r="AO120" s="179"/>
      <c r="AP120" s="64"/>
      <c r="AQ120" s="65"/>
      <c r="AR120" s="65"/>
      <c r="AS120" s="65"/>
      <c r="AT120" s="173"/>
      <c r="AU120" s="177"/>
      <c r="AV120" s="178"/>
      <c r="AW120" s="178"/>
      <c r="AX120" s="179"/>
      <c r="AZ120" s="166"/>
      <c r="BA120" s="177"/>
      <c r="BB120" s="178"/>
      <c r="BC120" s="178"/>
      <c r="BD120" s="178"/>
      <c r="BE120" s="178"/>
      <c r="BF120" s="178"/>
      <c r="BG120" s="178"/>
      <c r="BH120" s="178"/>
      <c r="BI120" s="179"/>
      <c r="BJ120" s="180"/>
      <c r="BK120" s="178"/>
      <c r="BL120" s="178"/>
      <c r="BM120" s="178"/>
      <c r="BN120" s="178"/>
      <c r="BO120" s="181"/>
      <c r="BP120" s="166"/>
      <c r="BQ120" s="177"/>
      <c r="BR120" s="178"/>
      <c r="BS120" s="179"/>
      <c r="BU120" s="166"/>
      <c r="BV120" s="166"/>
      <c r="BW120" s="166"/>
      <c r="BX120" s="166"/>
      <c r="BY120" s="166"/>
      <c r="BZ120" s="166"/>
      <c r="CA120" s="166"/>
      <c r="CB120" s="166"/>
      <c r="CC120" s="166"/>
      <c r="CD120" s="177"/>
      <c r="CE120" s="181"/>
      <c r="CF120" s="177"/>
      <c r="CG120" s="179"/>
      <c r="CH120" s="257"/>
      <c r="CI120" s="182"/>
      <c r="CJ120" s="177"/>
      <c r="CK120" s="182"/>
      <c r="CL120" s="177"/>
      <c r="CM120" s="182"/>
      <c r="CN120" s="177"/>
      <c r="CO120" s="182"/>
      <c r="CP120" s="177"/>
      <c r="CQ120" s="178"/>
      <c r="CR120" s="182"/>
      <c r="CS120" s="173"/>
      <c r="CT120" s="65"/>
      <c r="CU120" s="271" t="str">
        <f t="shared" si="2"/>
        <v>DPS</v>
      </c>
    </row>
    <row r="121" ht="60.0" customHeight="1">
      <c r="A121" s="65"/>
      <c r="C121" s="167">
        <v>4.0</v>
      </c>
      <c r="D121" s="168" t="s">
        <v>195</v>
      </c>
      <c r="E121" s="169"/>
      <c r="F121" s="170"/>
      <c r="G121" s="170"/>
      <c r="H121" s="170"/>
      <c r="I121" s="207"/>
      <c r="J121" s="170"/>
      <c r="K121" s="171"/>
      <c r="L121" s="171"/>
      <c r="M121" s="171"/>
      <c r="N121" s="276"/>
      <c r="O121" s="256">
        <f t="shared" si="22"/>
        <v>0</v>
      </c>
      <c r="Q121" s="173"/>
      <c r="R121" s="65"/>
      <c r="S121" s="173"/>
      <c r="T121" s="173"/>
      <c r="U121" s="166"/>
      <c r="V121" s="166"/>
      <c r="W121" s="65"/>
      <c r="X121" s="66"/>
      <c r="Y121" s="173"/>
      <c r="Z121" s="166"/>
      <c r="AA121" s="174"/>
      <c r="AB121" s="175"/>
      <c r="AC121" s="175"/>
      <c r="AD121" s="175"/>
      <c r="AE121" s="175"/>
      <c r="AF121" s="175"/>
      <c r="AG121" s="175"/>
      <c r="AH121" s="175"/>
      <c r="AI121" s="176"/>
      <c r="AJ121" s="177"/>
      <c r="AK121" s="178"/>
      <c r="AL121" s="178"/>
      <c r="AM121" s="178"/>
      <c r="AN121" s="178"/>
      <c r="AO121" s="179"/>
      <c r="AP121" s="64"/>
      <c r="AQ121" s="65"/>
      <c r="AR121" s="65"/>
      <c r="AS121" s="65"/>
      <c r="AT121" s="173"/>
      <c r="AU121" s="177"/>
      <c r="AV121" s="178"/>
      <c r="AW121" s="178"/>
      <c r="AX121" s="179"/>
      <c r="AZ121" s="166"/>
      <c r="BA121" s="177"/>
      <c r="BB121" s="178"/>
      <c r="BC121" s="178"/>
      <c r="BD121" s="178"/>
      <c r="BE121" s="178"/>
      <c r="BF121" s="178"/>
      <c r="BG121" s="178"/>
      <c r="BH121" s="178"/>
      <c r="BI121" s="179"/>
      <c r="BJ121" s="180"/>
      <c r="BK121" s="178"/>
      <c r="BL121" s="178"/>
      <c r="BM121" s="178"/>
      <c r="BN121" s="178"/>
      <c r="BO121" s="181"/>
      <c r="BP121" s="166"/>
      <c r="BQ121" s="177"/>
      <c r="BR121" s="178"/>
      <c r="BS121" s="179"/>
      <c r="BU121" s="166"/>
      <c r="BV121" s="166"/>
      <c r="BW121" s="166"/>
      <c r="BX121" s="166"/>
      <c r="BY121" s="166"/>
      <c r="BZ121" s="166"/>
      <c r="CA121" s="166"/>
      <c r="CB121" s="166"/>
      <c r="CC121" s="166"/>
      <c r="CD121" s="177"/>
      <c r="CE121" s="181"/>
      <c r="CF121" s="177"/>
      <c r="CG121" s="179"/>
      <c r="CH121" s="257"/>
      <c r="CI121" s="182"/>
      <c r="CJ121" s="177"/>
      <c r="CK121" s="182"/>
      <c r="CL121" s="177"/>
      <c r="CM121" s="182"/>
      <c r="CN121" s="177"/>
      <c r="CO121" s="182"/>
      <c r="CP121" s="177"/>
      <c r="CQ121" s="178"/>
      <c r="CR121" s="182"/>
      <c r="CS121" s="173"/>
      <c r="CT121" s="65"/>
      <c r="CU121" s="271" t="str">
        <f t="shared" si="2"/>
        <v>DPS</v>
      </c>
    </row>
    <row r="122" ht="60.0" customHeight="1">
      <c r="A122" s="65"/>
      <c r="C122" s="167">
        <v>5.0</v>
      </c>
      <c r="D122" s="168" t="s">
        <v>195</v>
      </c>
      <c r="E122" s="169"/>
      <c r="F122" s="170"/>
      <c r="G122" s="170"/>
      <c r="H122" s="170"/>
      <c r="I122" s="207"/>
      <c r="J122" s="170"/>
      <c r="K122" s="171"/>
      <c r="L122" s="171"/>
      <c r="M122" s="171"/>
      <c r="N122" s="276"/>
      <c r="O122" s="256">
        <f t="shared" si="22"/>
        <v>0</v>
      </c>
      <c r="Q122" s="173"/>
      <c r="R122" s="65"/>
      <c r="S122" s="173"/>
      <c r="T122" s="173"/>
      <c r="U122" s="166"/>
      <c r="V122" s="166"/>
      <c r="W122" s="65"/>
      <c r="X122" s="66"/>
      <c r="Y122" s="173"/>
      <c r="Z122" s="166"/>
      <c r="AA122" s="174"/>
      <c r="AB122" s="175"/>
      <c r="AC122" s="175"/>
      <c r="AD122" s="175"/>
      <c r="AE122" s="175"/>
      <c r="AF122" s="175"/>
      <c r="AG122" s="175"/>
      <c r="AH122" s="175"/>
      <c r="AI122" s="176"/>
      <c r="AJ122" s="177"/>
      <c r="AK122" s="178"/>
      <c r="AL122" s="178"/>
      <c r="AM122" s="178"/>
      <c r="AN122" s="178"/>
      <c r="AO122" s="179"/>
      <c r="AP122" s="64"/>
      <c r="AQ122" s="65"/>
      <c r="AR122" s="65"/>
      <c r="AS122" s="65"/>
      <c r="AT122" s="173"/>
      <c r="AU122" s="177"/>
      <c r="AV122" s="178"/>
      <c r="AW122" s="178"/>
      <c r="AX122" s="179"/>
      <c r="AZ122" s="166"/>
      <c r="BA122" s="177"/>
      <c r="BB122" s="178"/>
      <c r="BC122" s="178"/>
      <c r="BD122" s="178"/>
      <c r="BE122" s="178"/>
      <c r="BF122" s="178"/>
      <c r="BG122" s="178"/>
      <c r="BH122" s="178"/>
      <c r="BI122" s="179"/>
      <c r="BJ122" s="180"/>
      <c r="BK122" s="178"/>
      <c r="BL122" s="178"/>
      <c r="BM122" s="178"/>
      <c r="BN122" s="178"/>
      <c r="BO122" s="181"/>
      <c r="BP122" s="166"/>
      <c r="BQ122" s="177"/>
      <c r="BR122" s="178"/>
      <c r="BS122" s="179"/>
      <c r="BU122" s="166"/>
      <c r="BV122" s="166"/>
      <c r="BW122" s="166"/>
      <c r="BX122" s="166"/>
      <c r="BY122" s="166"/>
      <c r="BZ122" s="166"/>
      <c r="CA122" s="166"/>
      <c r="CB122" s="166"/>
      <c r="CC122" s="166"/>
      <c r="CD122" s="177"/>
      <c r="CE122" s="181"/>
      <c r="CF122" s="177"/>
      <c r="CG122" s="179"/>
      <c r="CH122" s="257"/>
      <c r="CI122" s="182"/>
      <c r="CJ122" s="177"/>
      <c r="CK122" s="182"/>
      <c r="CL122" s="177"/>
      <c r="CM122" s="182"/>
      <c r="CN122" s="177"/>
      <c r="CO122" s="182"/>
      <c r="CP122" s="177"/>
      <c r="CQ122" s="178"/>
      <c r="CR122" s="182"/>
      <c r="CS122" s="173"/>
      <c r="CT122" s="65"/>
      <c r="CU122" s="271" t="str">
        <f t="shared" si="2"/>
        <v>DPS</v>
      </c>
    </row>
    <row r="123" ht="60.0" customHeight="1">
      <c r="A123" s="65"/>
      <c r="C123" s="167">
        <v>6.0</v>
      </c>
      <c r="D123" s="168" t="s">
        <v>195</v>
      </c>
      <c r="E123" s="169"/>
      <c r="F123" s="170"/>
      <c r="G123" s="170"/>
      <c r="H123" s="170"/>
      <c r="I123" s="207"/>
      <c r="J123" s="170"/>
      <c r="K123" s="171"/>
      <c r="L123" s="171"/>
      <c r="M123" s="171"/>
      <c r="N123" s="276"/>
      <c r="O123" s="256">
        <f t="shared" si="22"/>
        <v>0</v>
      </c>
      <c r="Q123" s="173"/>
      <c r="R123" s="65"/>
      <c r="S123" s="173"/>
      <c r="T123" s="173"/>
      <c r="U123" s="166"/>
      <c r="V123" s="166"/>
      <c r="W123" s="65"/>
      <c r="X123" s="66"/>
      <c r="Y123" s="173"/>
      <c r="Z123" s="166"/>
      <c r="AA123" s="174"/>
      <c r="AB123" s="175"/>
      <c r="AC123" s="175"/>
      <c r="AD123" s="175"/>
      <c r="AE123" s="175"/>
      <c r="AF123" s="175"/>
      <c r="AG123" s="175"/>
      <c r="AH123" s="175"/>
      <c r="AI123" s="176"/>
      <c r="AJ123" s="177"/>
      <c r="AK123" s="178"/>
      <c r="AL123" s="178"/>
      <c r="AM123" s="178"/>
      <c r="AN123" s="178"/>
      <c r="AO123" s="179"/>
      <c r="AP123" s="64"/>
      <c r="AQ123" s="65"/>
      <c r="AR123" s="65"/>
      <c r="AS123" s="65"/>
      <c r="AT123" s="173"/>
      <c r="AU123" s="177"/>
      <c r="AV123" s="178"/>
      <c r="AW123" s="178"/>
      <c r="AX123" s="179"/>
      <c r="AZ123" s="166"/>
      <c r="BA123" s="177"/>
      <c r="BB123" s="178"/>
      <c r="BC123" s="178"/>
      <c r="BD123" s="178"/>
      <c r="BE123" s="178"/>
      <c r="BF123" s="178"/>
      <c r="BG123" s="178"/>
      <c r="BH123" s="178"/>
      <c r="BI123" s="179"/>
      <c r="BJ123" s="180"/>
      <c r="BK123" s="178"/>
      <c r="BL123" s="178"/>
      <c r="BM123" s="178"/>
      <c r="BN123" s="178"/>
      <c r="BO123" s="181"/>
      <c r="BP123" s="166"/>
      <c r="BQ123" s="177"/>
      <c r="BR123" s="178"/>
      <c r="BS123" s="179"/>
      <c r="BU123" s="166"/>
      <c r="BV123" s="166"/>
      <c r="BW123" s="166"/>
      <c r="BX123" s="166"/>
      <c r="BY123" s="166"/>
      <c r="BZ123" s="166"/>
      <c r="CA123" s="166"/>
      <c r="CB123" s="166"/>
      <c r="CC123" s="166"/>
      <c r="CD123" s="177"/>
      <c r="CE123" s="181"/>
      <c r="CF123" s="177"/>
      <c r="CG123" s="179"/>
      <c r="CH123" s="257"/>
      <c r="CI123" s="182"/>
      <c r="CJ123" s="177"/>
      <c r="CK123" s="182"/>
      <c r="CL123" s="177"/>
      <c r="CM123" s="182"/>
      <c r="CN123" s="177"/>
      <c r="CO123" s="182"/>
      <c r="CP123" s="177"/>
      <c r="CQ123" s="178"/>
      <c r="CR123" s="182"/>
      <c r="CS123" s="173"/>
      <c r="CT123" s="65"/>
      <c r="CU123" s="271" t="str">
        <f t="shared" si="2"/>
        <v>DPS</v>
      </c>
    </row>
    <row r="124" ht="60.0" customHeight="1">
      <c r="A124" s="65"/>
      <c r="C124" s="167">
        <v>7.0</v>
      </c>
      <c r="D124" s="168" t="s">
        <v>195</v>
      </c>
      <c r="E124" s="169"/>
      <c r="F124" s="170"/>
      <c r="G124" s="170"/>
      <c r="H124" s="170"/>
      <c r="I124" s="207"/>
      <c r="J124" s="170"/>
      <c r="K124" s="171"/>
      <c r="L124" s="171"/>
      <c r="M124" s="171"/>
      <c r="N124" s="276"/>
      <c r="O124" s="256">
        <f t="shared" ref="O124:O127" si="23">IF(AND(M124&gt;=20,M124&lt;&gt;"m",RIGHT(K124,3)="Lec"),1,IF(AND(M124&gt;=20,M124&lt;&gt;"m",OR(RIGHT(K124,3)="Lab",RIGHT(K124,3)="Tut")),0.5,IF(AND(M124&gt;=20,M124&lt;&gt;"m",RIGHT(K124,2)="TL"),0.75,0)))</f>
        <v>0</v>
      </c>
      <c r="Q124" s="173"/>
      <c r="R124" s="65"/>
      <c r="S124" s="173"/>
      <c r="T124" s="173"/>
      <c r="U124" s="166"/>
      <c r="V124" s="166"/>
      <c r="W124" s="65"/>
      <c r="X124" s="66"/>
      <c r="Y124" s="173"/>
      <c r="Z124" s="166"/>
      <c r="AA124" s="174"/>
      <c r="AB124" s="175"/>
      <c r="AC124" s="175"/>
      <c r="AD124" s="175"/>
      <c r="AE124" s="175"/>
      <c r="AF124" s="175"/>
      <c r="AG124" s="175"/>
      <c r="AH124" s="175"/>
      <c r="AI124" s="176"/>
      <c r="AJ124" s="177"/>
      <c r="AK124" s="178"/>
      <c r="AL124" s="178"/>
      <c r="AM124" s="178"/>
      <c r="AN124" s="178"/>
      <c r="AO124" s="179"/>
      <c r="AP124" s="64"/>
      <c r="AQ124" s="65"/>
      <c r="AR124" s="65"/>
      <c r="AS124" s="65"/>
      <c r="AT124" s="173"/>
      <c r="AU124" s="177"/>
      <c r="AV124" s="178"/>
      <c r="AW124" s="178"/>
      <c r="AX124" s="179"/>
      <c r="AZ124" s="166"/>
      <c r="BA124" s="177"/>
      <c r="BB124" s="178"/>
      <c r="BC124" s="178"/>
      <c r="BD124" s="178"/>
      <c r="BE124" s="178"/>
      <c r="BF124" s="178"/>
      <c r="BG124" s="178"/>
      <c r="BH124" s="178"/>
      <c r="BI124" s="179"/>
      <c r="BJ124" s="180"/>
      <c r="BK124" s="178"/>
      <c r="BL124" s="178"/>
      <c r="BM124" s="178"/>
      <c r="BN124" s="178"/>
      <c r="BO124" s="181"/>
      <c r="BP124" s="166"/>
      <c r="BQ124" s="177"/>
      <c r="BR124" s="178"/>
      <c r="BS124" s="179"/>
      <c r="BU124" s="166"/>
      <c r="BV124" s="166"/>
      <c r="BW124" s="166"/>
      <c r="BX124" s="166"/>
      <c r="BY124" s="166"/>
      <c r="BZ124" s="166"/>
      <c r="CA124" s="166"/>
      <c r="CB124" s="166"/>
      <c r="CC124" s="166"/>
      <c r="CD124" s="177"/>
      <c r="CE124" s="181"/>
      <c r="CF124" s="177"/>
      <c r="CG124" s="179"/>
      <c r="CH124" s="257"/>
      <c r="CI124" s="182"/>
      <c r="CJ124" s="177"/>
      <c r="CK124" s="182"/>
      <c r="CL124" s="177"/>
      <c r="CM124" s="182"/>
      <c r="CN124" s="177"/>
      <c r="CO124" s="182"/>
      <c r="CP124" s="177"/>
      <c r="CQ124" s="178"/>
      <c r="CR124" s="182"/>
      <c r="CS124" s="173"/>
      <c r="CT124" s="65"/>
      <c r="CU124" s="271" t="str">
        <f t="shared" si="2"/>
        <v>DPS</v>
      </c>
    </row>
    <row r="125" ht="60.0" customHeight="1">
      <c r="A125" s="65"/>
      <c r="C125" s="167">
        <v>8.0</v>
      </c>
      <c r="D125" s="168" t="s">
        <v>195</v>
      </c>
      <c r="E125" s="169"/>
      <c r="F125" s="170"/>
      <c r="G125" s="170"/>
      <c r="H125" s="170"/>
      <c r="I125" s="207"/>
      <c r="J125" s="170"/>
      <c r="K125" s="171"/>
      <c r="L125" s="171"/>
      <c r="M125" s="171"/>
      <c r="N125" s="276"/>
      <c r="O125" s="256">
        <f t="shared" si="23"/>
        <v>0</v>
      </c>
      <c r="Q125" s="173"/>
      <c r="R125" s="65"/>
      <c r="S125" s="173"/>
      <c r="T125" s="173"/>
      <c r="U125" s="166"/>
      <c r="V125" s="166"/>
      <c r="W125" s="65"/>
      <c r="X125" s="66"/>
      <c r="Y125" s="173"/>
      <c r="Z125" s="166"/>
      <c r="AA125" s="174"/>
      <c r="AB125" s="175"/>
      <c r="AC125" s="175"/>
      <c r="AD125" s="175"/>
      <c r="AE125" s="175"/>
      <c r="AF125" s="175"/>
      <c r="AG125" s="175"/>
      <c r="AH125" s="175"/>
      <c r="AI125" s="176"/>
      <c r="AJ125" s="177"/>
      <c r="AK125" s="178"/>
      <c r="AL125" s="178"/>
      <c r="AM125" s="178"/>
      <c r="AN125" s="178"/>
      <c r="AO125" s="179"/>
      <c r="AP125" s="64"/>
      <c r="AQ125" s="65"/>
      <c r="AR125" s="65"/>
      <c r="AS125" s="65"/>
      <c r="AT125" s="173"/>
      <c r="AU125" s="177"/>
      <c r="AV125" s="178"/>
      <c r="AW125" s="178"/>
      <c r="AX125" s="179"/>
      <c r="AZ125" s="166"/>
      <c r="BA125" s="177"/>
      <c r="BB125" s="178"/>
      <c r="BC125" s="178"/>
      <c r="BD125" s="178"/>
      <c r="BE125" s="178"/>
      <c r="BF125" s="178"/>
      <c r="BG125" s="178"/>
      <c r="BH125" s="178"/>
      <c r="BI125" s="179"/>
      <c r="BJ125" s="180"/>
      <c r="BK125" s="178"/>
      <c r="BL125" s="178"/>
      <c r="BM125" s="178"/>
      <c r="BN125" s="178"/>
      <c r="BO125" s="181"/>
      <c r="BP125" s="166"/>
      <c r="BQ125" s="177"/>
      <c r="BR125" s="178"/>
      <c r="BS125" s="179"/>
      <c r="BU125" s="166"/>
      <c r="BV125" s="166"/>
      <c r="BW125" s="166"/>
      <c r="BX125" s="166"/>
      <c r="BY125" s="166"/>
      <c r="BZ125" s="166"/>
      <c r="CA125" s="166"/>
      <c r="CB125" s="166"/>
      <c r="CC125" s="166"/>
      <c r="CD125" s="177"/>
      <c r="CE125" s="181"/>
      <c r="CF125" s="177"/>
      <c r="CG125" s="179"/>
      <c r="CH125" s="257"/>
      <c r="CI125" s="182"/>
      <c r="CJ125" s="177"/>
      <c r="CK125" s="182"/>
      <c r="CL125" s="177"/>
      <c r="CM125" s="182"/>
      <c r="CN125" s="177"/>
      <c r="CO125" s="182"/>
      <c r="CP125" s="177"/>
      <c r="CQ125" s="178"/>
      <c r="CR125" s="182"/>
      <c r="CS125" s="173"/>
      <c r="CT125" s="65"/>
      <c r="CU125" s="271" t="str">
        <f t="shared" si="2"/>
        <v>DPS</v>
      </c>
    </row>
    <row r="126" ht="60.0" customHeight="1">
      <c r="A126" s="65"/>
      <c r="C126" s="167">
        <v>9.0</v>
      </c>
      <c r="D126" s="168" t="s">
        <v>195</v>
      </c>
      <c r="E126" s="169"/>
      <c r="F126" s="170"/>
      <c r="G126" s="170"/>
      <c r="H126" s="170"/>
      <c r="I126" s="207"/>
      <c r="J126" s="170"/>
      <c r="K126" s="171"/>
      <c r="L126" s="171"/>
      <c r="M126" s="171"/>
      <c r="N126" s="276"/>
      <c r="O126" s="256">
        <f t="shared" si="23"/>
        <v>0</v>
      </c>
      <c r="Q126" s="173"/>
      <c r="R126" s="65"/>
      <c r="S126" s="173"/>
      <c r="T126" s="173"/>
      <c r="U126" s="166"/>
      <c r="V126" s="166"/>
      <c r="W126" s="65"/>
      <c r="X126" s="66"/>
      <c r="Y126" s="173"/>
      <c r="Z126" s="166"/>
      <c r="AA126" s="174"/>
      <c r="AB126" s="175"/>
      <c r="AC126" s="175"/>
      <c r="AD126" s="175"/>
      <c r="AE126" s="175"/>
      <c r="AF126" s="175"/>
      <c r="AG126" s="175"/>
      <c r="AH126" s="175"/>
      <c r="AI126" s="176"/>
      <c r="AJ126" s="177"/>
      <c r="AK126" s="178"/>
      <c r="AL126" s="178"/>
      <c r="AM126" s="178"/>
      <c r="AN126" s="178"/>
      <c r="AO126" s="179"/>
      <c r="AP126" s="64"/>
      <c r="AQ126" s="65"/>
      <c r="AR126" s="65"/>
      <c r="AS126" s="65"/>
      <c r="AT126" s="173"/>
      <c r="AU126" s="177"/>
      <c r="AV126" s="178"/>
      <c r="AW126" s="178"/>
      <c r="AX126" s="179"/>
      <c r="AZ126" s="166"/>
      <c r="BA126" s="177"/>
      <c r="BB126" s="178"/>
      <c r="BC126" s="178"/>
      <c r="BD126" s="178"/>
      <c r="BE126" s="178"/>
      <c r="BF126" s="178"/>
      <c r="BG126" s="178"/>
      <c r="BH126" s="178"/>
      <c r="BI126" s="179"/>
      <c r="BJ126" s="180"/>
      <c r="BK126" s="178"/>
      <c r="BL126" s="178"/>
      <c r="BM126" s="178"/>
      <c r="BN126" s="178"/>
      <c r="BO126" s="181"/>
      <c r="BP126" s="166"/>
      <c r="BQ126" s="177"/>
      <c r="BR126" s="178"/>
      <c r="BS126" s="179"/>
      <c r="BU126" s="166"/>
      <c r="BV126" s="166"/>
      <c r="BW126" s="166"/>
      <c r="BX126" s="166"/>
      <c r="BY126" s="166"/>
      <c r="BZ126" s="166"/>
      <c r="CA126" s="166"/>
      <c r="CB126" s="166"/>
      <c r="CC126" s="166"/>
      <c r="CD126" s="177"/>
      <c r="CE126" s="181"/>
      <c r="CF126" s="177"/>
      <c r="CG126" s="179"/>
      <c r="CH126" s="257"/>
      <c r="CI126" s="182"/>
      <c r="CJ126" s="177"/>
      <c r="CK126" s="182"/>
      <c r="CL126" s="177"/>
      <c r="CM126" s="182"/>
      <c r="CN126" s="177"/>
      <c r="CO126" s="182"/>
      <c r="CP126" s="177"/>
      <c r="CQ126" s="178"/>
      <c r="CR126" s="182"/>
      <c r="CS126" s="173"/>
      <c r="CT126" s="65"/>
      <c r="CU126" s="271" t="str">
        <f t="shared" si="2"/>
        <v>DPS</v>
      </c>
    </row>
    <row r="127" ht="60.0" customHeight="1">
      <c r="A127" s="65"/>
      <c r="C127" s="167">
        <v>10.0</v>
      </c>
      <c r="D127" s="168" t="s">
        <v>195</v>
      </c>
      <c r="E127" s="169"/>
      <c r="F127" s="170"/>
      <c r="G127" s="170"/>
      <c r="H127" s="170"/>
      <c r="I127" s="207"/>
      <c r="J127" s="170"/>
      <c r="K127" s="171"/>
      <c r="L127" s="171"/>
      <c r="M127" s="171"/>
      <c r="N127" s="276"/>
      <c r="O127" s="256">
        <f t="shared" si="23"/>
        <v>0</v>
      </c>
      <c r="Q127" s="173"/>
      <c r="R127" s="65"/>
      <c r="S127" s="173"/>
      <c r="T127" s="173"/>
      <c r="U127" s="166"/>
      <c r="V127" s="166"/>
      <c r="W127" s="65"/>
      <c r="X127" s="66"/>
      <c r="Y127" s="173"/>
      <c r="Z127" s="166"/>
      <c r="AA127" s="174"/>
      <c r="AB127" s="175"/>
      <c r="AC127" s="175"/>
      <c r="AD127" s="175"/>
      <c r="AE127" s="175"/>
      <c r="AF127" s="175"/>
      <c r="AG127" s="175"/>
      <c r="AH127" s="175"/>
      <c r="AI127" s="176"/>
      <c r="AJ127" s="177"/>
      <c r="AK127" s="178"/>
      <c r="AL127" s="178"/>
      <c r="AM127" s="178"/>
      <c r="AN127" s="178"/>
      <c r="AO127" s="179"/>
      <c r="AP127" s="64"/>
      <c r="AQ127" s="65"/>
      <c r="AR127" s="65"/>
      <c r="AS127" s="65"/>
      <c r="AT127" s="173"/>
      <c r="AU127" s="177"/>
      <c r="AV127" s="178"/>
      <c r="AW127" s="178"/>
      <c r="AX127" s="179"/>
      <c r="AZ127" s="166"/>
      <c r="BA127" s="177"/>
      <c r="BB127" s="178"/>
      <c r="BC127" s="178"/>
      <c r="BD127" s="178"/>
      <c r="BE127" s="178"/>
      <c r="BF127" s="178"/>
      <c r="BG127" s="178"/>
      <c r="BH127" s="178"/>
      <c r="BI127" s="179"/>
      <c r="BJ127" s="180"/>
      <c r="BK127" s="178"/>
      <c r="BL127" s="178"/>
      <c r="BM127" s="178"/>
      <c r="BN127" s="178"/>
      <c r="BO127" s="181"/>
      <c r="BP127" s="166"/>
      <c r="BQ127" s="177"/>
      <c r="BR127" s="178"/>
      <c r="BS127" s="179"/>
      <c r="BU127" s="166"/>
      <c r="BV127" s="166"/>
      <c r="BW127" s="166"/>
      <c r="BX127" s="166"/>
      <c r="BY127" s="166"/>
      <c r="BZ127" s="166"/>
      <c r="CA127" s="166"/>
      <c r="CB127" s="166"/>
      <c r="CC127" s="166"/>
      <c r="CD127" s="177"/>
      <c r="CE127" s="181"/>
      <c r="CF127" s="177"/>
      <c r="CG127" s="179"/>
      <c r="CH127" s="257"/>
      <c r="CI127" s="182"/>
      <c r="CJ127" s="177"/>
      <c r="CK127" s="182"/>
      <c r="CL127" s="177"/>
      <c r="CM127" s="182"/>
      <c r="CN127" s="177"/>
      <c r="CO127" s="182"/>
      <c r="CP127" s="177"/>
      <c r="CQ127" s="178"/>
      <c r="CR127" s="182"/>
      <c r="CS127" s="173"/>
      <c r="CT127" s="65"/>
      <c r="CU127" s="271" t="str">
        <f t="shared" si="2"/>
        <v>DPS</v>
      </c>
    </row>
    <row r="128" ht="60.0" customHeight="1">
      <c r="A128" s="89"/>
      <c r="C128" s="183">
        <v>11.0</v>
      </c>
      <c r="D128" s="210" t="s">
        <v>195</v>
      </c>
      <c r="E128" s="185"/>
      <c r="F128" s="186"/>
      <c r="G128" s="186"/>
      <c r="H128" s="186"/>
      <c r="I128" s="212"/>
      <c r="J128" s="186"/>
      <c r="K128" s="187"/>
      <c r="L128" s="187"/>
      <c r="M128" s="187"/>
      <c r="N128" s="284"/>
      <c r="O128" s="258">
        <f t="shared" ref="O128:O134" si="24">IF(AND(M128&lt;&gt;0,M128&lt;&gt;"m",M128&lt;&gt;"",RIGHT(K128,3)="Lec"),1,IF(AND(M128&lt;&gt;0,M128&lt;&gt;"m",M128&lt;&gt;"",OR(RIGHT(K128,3)="Lab",RIGHT(K128,3)="Tut")),0.5,IF(AND(M128&lt;&gt;0,M128&lt;&gt;"m",M128&lt;&gt;"",RIGHT(K128,2)="TL"),0.75,0)))</f>
        <v>0</v>
      </c>
      <c r="P128" s="6"/>
      <c r="Q128" s="69"/>
      <c r="R128" s="89"/>
      <c r="S128" s="69"/>
      <c r="T128" s="69"/>
      <c r="U128" s="63"/>
      <c r="V128" s="63"/>
      <c r="W128" s="89"/>
      <c r="X128" s="68"/>
      <c r="Y128" s="69"/>
      <c r="Z128" s="63"/>
      <c r="AA128" s="189"/>
      <c r="AB128" s="190"/>
      <c r="AC128" s="190"/>
      <c r="AD128" s="190"/>
      <c r="AE128" s="190"/>
      <c r="AF128" s="190"/>
      <c r="AG128" s="190"/>
      <c r="AH128" s="190"/>
      <c r="AI128" s="191"/>
      <c r="AJ128" s="192"/>
      <c r="AK128" s="193"/>
      <c r="AL128" s="193"/>
      <c r="AM128" s="193"/>
      <c r="AN128" s="193"/>
      <c r="AO128" s="194"/>
      <c r="AP128" s="103"/>
      <c r="AQ128" s="89"/>
      <c r="AR128" s="89"/>
      <c r="AS128" s="89"/>
      <c r="AT128" s="69"/>
      <c r="AU128" s="192"/>
      <c r="AV128" s="193"/>
      <c r="AW128" s="193"/>
      <c r="AX128" s="194"/>
      <c r="AY128" s="6"/>
      <c r="AZ128" s="63"/>
      <c r="BA128" s="192"/>
      <c r="BB128" s="193"/>
      <c r="BC128" s="193"/>
      <c r="BD128" s="193"/>
      <c r="BE128" s="193"/>
      <c r="BF128" s="193"/>
      <c r="BG128" s="193"/>
      <c r="BH128" s="193"/>
      <c r="BI128" s="194"/>
      <c r="BJ128" s="195"/>
      <c r="BK128" s="193"/>
      <c r="BL128" s="193"/>
      <c r="BM128" s="193"/>
      <c r="BN128" s="193"/>
      <c r="BO128" s="196"/>
      <c r="BP128" s="63"/>
      <c r="BQ128" s="192"/>
      <c r="BR128" s="193"/>
      <c r="BS128" s="194"/>
      <c r="BT128" s="6"/>
      <c r="BU128" s="63"/>
      <c r="BV128" s="63"/>
      <c r="BW128" s="63"/>
      <c r="BX128" s="63"/>
      <c r="BY128" s="63"/>
      <c r="BZ128" s="63"/>
      <c r="CA128" s="63"/>
      <c r="CB128" s="63"/>
      <c r="CC128" s="63"/>
      <c r="CD128" s="192"/>
      <c r="CE128" s="196"/>
      <c r="CF128" s="192"/>
      <c r="CG128" s="194"/>
      <c r="CH128" s="259"/>
      <c r="CI128" s="197"/>
      <c r="CJ128" s="192"/>
      <c r="CK128" s="197"/>
      <c r="CL128" s="192"/>
      <c r="CM128" s="197"/>
      <c r="CN128" s="192"/>
      <c r="CO128" s="197"/>
      <c r="CP128" s="192"/>
      <c r="CQ128" s="193"/>
      <c r="CR128" s="197"/>
      <c r="CS128" s="69"/>
      <c r="CT128" s="89"/>
      <c r="CU128" s="272" t="str">
        <f t="shared" si="2"/>
        <v>DPS</v>
      </c>
    </row>
    <row r="129" ht="55.5" customHeight="1">
      <c r="A129" s="125">
        <v>12.0</v>
      </c>
      <c r="B129" s="199" t="s">
        <v>196</v>
      </c>
      <c r="C129" s="127">
        <v>1.0</v>
      </c>
      <c r="D129" s="168" t="s">
        <v>197</v>
      </c>
      <c r="E129" s="129"/>
      <c r="F129" s="130"/>
      <c r="G129" s="130"/>
      <c r="H129" s="130"/>
      <c r="I129" s="201"/>
      <c r="J129" s="130"/>
      <c r="K129" s="131"/>
      <c r="L129" s="131"/>
      <c r="M129" s="131"/>
      <c r="N129" s="275"/>
      <c r="O129" s="250">
        <f t="shared" si="24"/>
        <v>0</v>
      </c>
      <c r="P129" s="251">
        <f>COUNTIF(K129:K139,"TL")*0.75+COUNTIF(K129:K139,"Lec")*1+COUNTIF(K129:K139,"Lab")*0.5</f>
        <v>0</v>
      </c>
      <c r="Q129" s="134">
        <f>SUM((IF(LEFT(K129,1)="E",O129,0)),(IF(LEFT(K130,1)="E",O130,0)),(IF(LEFT(K131,1)="E",O131,0)),(IF(LEFT(K132,1)="E",O132,0)),(IF(LEFT(K133,1)="E",O133,0)),(IF(LEFT(K134,1)="E",O134,0)),(IF(LEFT(K135,1)="E",O135,0)),(IF(LEFT(K136,1)="E",O136,0)),(IF(LEFT(K137,1)="E",O137,0)),(IF(LEFT(K138,1)="E",O138,0)),(IF(LEFT(K139,1)="E",O139,0)))</f>
        <v>0</v>
      </c>
      <c r="R129" s="135">
        <f>SUM(IF(M135&lt;20,IF(K135="Plec",-1,IF(K135="PTL",-0.75,IF(K135="Plab",-0.5,0))),0),IF(M136&lt;20,IF(K136="Plec",-1,IF(K136="PTL",-0.75,IF(K136="Plab",-0.5,0))),0),IF(M137&lt;20,IF(K137="Plec",-1,IF(K137="PTL",-0.75,IF(K137="Plab",-0.5,0))),0),IF(M138&lt;20,IF(K138="Plec",-1,IF(K138="PTL",-0.75,IF(K138="Plab",-0.5,0))),0))</f>
        <v>0</v>
      </c>
      <c r="S129" s="134">
        <f>SUM(P129:R139)</f>
        <v>0</v>
      </c>
      <c r="T129" s="136">
        <f>SUM(IF(M129="M",IF(OR(K129="lec",K129="plec",K129="slec"),1,IF(OR(K129="lab",K129="plab",K129="slab",K129="tut",K129="ptut",K129="stut"),0.5,IF(OR(K129="TL",K129="pTL",K129="STL"),0.75,0))),0),IF(M130="M",IF(OR(K130="lec",K130="plec",K130="slec"),1,IF(OR(K130="lab",K130="plab",K130="slab",K130="tut",K130="ptut",K130="stut"),0.5,IF(OR(K130="TL",K130="pTL",K130="STL"),0.75,0))),0),IF(M131="M",IF(OR(K131="lec",K131="plec",K131="slec"),1,IF(OR(K131="lab",K131="plab",K131="slab",K131="tut",K131="ptut",K131="stut"),0.5,IF(OR(K131="TL",K131="pTL",K131="STL"),0.75,0))),0),IF(M132="M",IF(OR(K132="lec",K132="plec",K132="slec"),1,IF(OR(K132="lab",K132="plab",K132="slab",K132="tut",K132="ptut",K132="stut"),0.5,IF(OR(K132="TL",K132="pTL",K132="STL"),0.75,0))),0),IF(M133="M",IF(OR(K133="lec",K133="plec",K133="slec"),1,IF(OR(K133="lab",K133="plab",K133="slab",K133="tut",K133="ptut",K133="stut"),0.5,IF(OR(K133="TL",K133="pTL",K133="STL"),0.75,0))),0),IF(M134="M",IF(OR(K134="lec",K134="plec",K134="slec"),1,IF(OR(K134="lab",K134="plab",K134="slab",K134="tut",K134="ptut",K134="stut"),0.5,IF(OR(K134="TL",K134="pTL",K134="STL"),0.75,0))),0),IF(M135="M",IF(OR(K135="lec",K135="plec",K135="slec"),1,IF(OR(K135="lab",K135="plab",K135="slab",K135="tut",K135="ptut",K135="stut"),0.5,IF(OR(K135="TL",K135="pTL",K135="STL"),0.75,0))),0),IF(M136="M",IF(OR(K136="lec",K136="plec",K136="slec"),1,IF(OR(K136="lab",K136="plab",K136="slab",K136="tut",K136="ptut",K136="stut"),0.5,IF(OR(K136="TL",K136="pTL",K136="STL"),0.75,0))),0),IF(M137="M",IF(OR(K137="lec",K137="plec",K137="slec"),1,IF(OR(K137="lab",K137="plab",K137="slab",K137="tut",K137="ptut",K137="stut"),0.5,IF(OR(K137="TL",K137="pTL",K137="STL"),0.75,0))),0),IF(M138="M",IF(OR(K138="lec",K138="plec",K138="slec"),1,IF(OR(K138="lab",K138="plab",K138="slab",K138="tut",K138="ptut",K138="stut"),0.5,IF(OR(K138="TL",K138="pTL",K138="STL"),0.75,0))),0),IF(M139="M",IF(OR(K139="lec",K139="plec",K139="slec"),1,IF(OR(K139="lab",K139="plab",K139="slab",K139="tut",K139="ptut",K139="stut"),0.5,IF(OR(K139="TL",K139="pTL",K139="STL"),0.75,0))),0))</f>
        <v>0</v>
      </c>
      <c r="U129" s="137"/>
      <c r="V129" s="133"/>
      <c r="W129" s="138"/>
      <c r="X129" s="139">
        <f>S129-(T129+U129+V129+W129)</f>
        <v>0</v>
      </c>
      <c r="Y129" s="134" t="str">
        <f>CONCATENATE(SUM(O129:O139),"(",SUM(O129:O139)-X129,")")</f>
        <v>0(0)</v>
      </c>
      <c r="Z129" s="140"/>
      <c r="AA129" s="141"/>
      <c r="AB129" s="142"/>
      <c r="AC129" s="142"/>
      <c r="AD129" s="142"/>
      <c r="AE129" s="142"/>
      <c r="AF129" s="142"/>
      <c r="AG129" s="142"/>
      <c r="AH129" s="142"/>
      <c r="AI129" s="143"/>
      <c r="AJ129" s="144"/>
      <c r="AK129" s="145"/>
      <c r="AL129" s="145"/>
      <c r="AM129" s="145"/>
      <c r="AN129" s="145"/>
      <c r="AO129" s="146"/>
      <c r="AP129" s="147">
        <f>SUM(SUM(O129:O139),SUM(AI129:AI139)/2,AM129)</f>
        <v>0</v>
      </c>
      <c r="AQ129" s="148"/>
      <c r="AR129" s="148">
        <f>AP129*AQ129</f>
        <v>0</v>
      </c>
      <c r="AS129" s="148">
        <f>CT129</f>
        <v>0</v>
      </c>
      <c r="AT129" s="149">
        <f>AR129*0.75+AS129*0.25</f>
        <v>0</v>
      </c>
      <c r="AU129" s="150"/>
      <c r="AV129" s="151"/>
      <c r="AW129" s="151"/>
      <c r="AX129" s="152"/>
      <c r="AY129" s="153"/>
      <c r="AZ129" s="140"/>
      <c r="BA129" s="150"/>
      <c r="BB129" s="151"/>
      <c r="BC129" s="151"/>
      <c r="BD129" s="151"/>
      <c r="BE129" s="151"/>
      <c r="BF129" s="151"/>
      <c r="BG129" s="151"/>
      <c r="BH129" s="151"/>
      <c r="BI129" s="152"/>
      <c r="BJ129" s="154"/>
      <c r="BK129" s="151"/>
      <c r="BL129" s="151"/>
      <c r="BM129" s="151"/>
      <c r="BN129" s="151"/>
      <c r="BO129" s="155"/>
      <c r="BP129" s="140"/>
      <c r="BQ129" s="156"/>
      <c r="BR129" s="157"/>
      <c r="BS129" s="158"/>
      <c r="BT129" s="153"/>
      <c r="BU129" s="140"/>
      <c r="BV129" s="140"/>
      <c r="BW129" s="140"/>
      <c r="BX129" s="140"/>
      <c r="BY129" s="140"/>
      <c r="BZ129" s="140"/>
      <c r="CA129" s="140"/>
      <c r="CB129" s="140"/>
      <c r="CC129" s="140"/>
      <c r="CD129" s="150"/>
      <c r="CE129" s="155"/>
      <c r="CF129" s="150"/>
      <c r="CG129" s="152"/>
      <c r="CH129" s="252"/>
      <c r="CI129" s="160"/>
      <c r="CJ129" s="159"/>
      <c r="CK129" s="160"/>
      <c r="CL129" s="159"/>
      <c r="CM129" s="160"/>
      <c r="CN129" s="159"/>
      <c r="CO129" s="160"/>
      <c r="CP129" s="159"/>
      <c r="CQ129" s="162"/>
      <c r="CR129" s="160"/>
      <c r="CS129" s="253">
        <f>SUM(IF(AU129&lt;0,ABS(AU129),0),IF(AZ129&lt;0,ABS(AZ129),0),ABS(CI129),ABS(CK129),ABS(CM129),ABS(CO129),ABS(CQ129),ABS(CR129))</f>
        <v>0</v>
      </c>
      <c r="CT129" s="254">
        <f>SUM(AU129,AV129,AW129,AX129/400,AY129,AZ129,BG129,BH129*0.5,BI129*0.25,BJ129,BK129,BL129,BM129,BN129,BO129,BP129,BR129/20,BS129/100,BT129/60,BU129,BV129,BW129,BX129/4,SUM(BY129:CC139)/3,CE129,CG129/3,CI129,CK129,CM129,CO129,CQ129,CR129)</f>
        <v>0</v>
      </c>
      <c r="CU129" s="255" t="str">
        <f t="shared" si="2"/>
        <v>MSS</v>
      </c>
    </row>
    <row r="130" ht="60.0" customHeight="1">
      <c r="A130" s="65"/>
      <c r="C130" s="167">
        <v>2.0</v>
      </c>
      <c r="D130" s="168" t="s">
        <v>197</v>
      </c>
      <c r="E130" s="169"/>
      <c r="F130" s="170"/>
      <c r="G130" s="170"/>
      <c r="H130" s="170"/>
      <c r="I130" s="207"/>
      <c r="J130" s="170"/>
      <c r="K130" s="171"/>
      <c r="L130" s="171"/>
      <c r="M130" s="171"/>
      <c r="N130" s="276"/>
      <c r="O130" s="256">
        <f t="shared" si="24"/>
        <v>0</v>
      </c>
      <c r="Q130" s="173"/>
      <c r="R130" s="65"/>
      <c r="S130" s="173"/>
      <c r="T130" s="173"/>
      <c r="U130" s="166"/>
      <c r="V130" s="166"/>
      <c r="W130" s="65"/>
      <c r="X130" s="66"/>
      <c r="Y130" s="173"/>
      <c r="Z130" s="166"/>
      <c r="AA130" s="174"/>
      <c r="AB130" s="175"/>
      <c r="AC130" s="175"/>
      <c r="AD130" s="175"/>
      <c r="AE130" s="175"/>
      <c r="AF130" s="175"/>
      <c r="AG130" s="175"/>
      <c r="AH130" s="175"/>
      <c r="AI130" s="176"/>
      <c r="AJ130" s="177"/>
      <c r="AK130" s="178"/>
      <c r="AL130" s="178"/>
      <c r="AM130" s="178"/>
      <c r="AN130" s="178"/>
      <c r="AO130" s="179"/>
      <c r="AP130" s="64"/>
      <c r="AQ130" s="65"/>
      <c r="AR130" s="65"/>
      <c r="AS130" s="65"/>
      <c r="AT130" s="173"/>
      <c r="AU130" s="177"/>
      <c r="AV130" s="178"/>
      <c r="AW130" s="178"/>
      <c r="AX130" s="179"/>
      <c r="AZ130" s="166"/>
      <c r="BA130" s="177"/>
      <c r="BB130" s="178"/>
      <c r="BC130" s="178"/>
      <c r="BD130" s="178"/>
      <c r="BE130" s="178"/>
      <c r="BF130" s="178"/>
      <c r="BG130" s="178"/>
      <c r="BH130" s="178"/>
      <c r="BI130" s="179"/>
      <c r="BJ130" s="180"/>
      <c r="BK130" s="178"/>
      <c r="BL130" s="178"/>
      <c r="BM130" s="178"/>
      <c r="BN130" s="178"/>
      <c r="BO130" s="181"/>
      <c r="BP130" s="166"/>
      <c r="BQ130" s="177"/>
      <c r="BR130" s="178"/>
      <c r="BS130" s="179"/>
      <c r="BU130" s="166"/>
      <c r="BV130" s="166"/>
      <c r="BW130" s="166"/>
      <c r="BX130" s="166"/>
      <c r="BY130" s="166"/>
      <c r="BZ130" s="166"/>
      <c r="CA130" s="166"/>
      <c r="CB130" s="166"/>
      <c r="CC130" s="166"/>
      <c r="CD130" s="177"/>
      <c r="CE130" s="181"/>
      <c r="CF130" s="177"/>
      <c r="CG130" s="179"/>
      <c r="CH130" s="257"/>
      <c r="CI130" s="182"/>
      <c r="CJ130" s="177"/>
      <c r="CK130" s="182"/>
      <c r="CL130" s="177"/>
      <c r="CM130" s="182"/>
      <c r="CN130" s="177"/>
      <c r="CO130" s="182"/>
      <c r="CP130" s="177"/>
      <c r="CQ130" s="178"/>
      <c r="CR130" s="182"/>
      <c r="CS130" s="173"/>
      <c r="CT130" s="65"/>
      <c r="CU130" s="271" t="str">
        <f t="shared" si="2"/>
        <v>MSS</v>
      </c>
    </row>
    <row r="131" ht="60.0" customHeight="1">
      <c r="A131" s="65"/>
      <c r="C131" s="167">
        <v>3.0</v>
      </c>
      <c r="D131" s="168" t="s">
        <v>197</v>
      </c>
      <c r="E131" s="169"/>
      <c r="F131" s="170"/>
      <c r="G131" s="170"/>
      <c r="H131" s="170"/>
      <c r="I131" s="207"/>
      <c r="J131" s="170"/>
      <c r="K131" s="171"/>
      <c r="L131" s="171"/>
      <c r="M131" s="171"/>
      <c r="N131" s="276"/>
      <c r="O131" s="256">
        <f t="shared" si="24"/>
        <v>0</v>
      </c>
      <c r="Q131" s="173"/>
      <c r="R131" s="65"/>
      <c r="S131" s="173"/>
      <c r="T131" s="173"/>
      <c r="U131" s="166"/>
      <c r="V131" s="166"/>
      <c r="W131" s="65"/>
      <c r="X131" s="66"/>
      <c r="Y131" s="173"/>
      <c r="Z131" s="166"/>
      <c r="AA131" s="174"/>
      <c r="AB131" s="175"/>
      <c r="AC131" s="175"/>
      <c r="AD131" s="175"/>
      <c r="AE131" s="175"/>
      <c r="AF131" s="175"/>
      <c r="AG131" s="175"/>
      <c r="AH131" s="175"/>
      <c r="AI131" s="176"/>
      <c r="AJ131" s="177"/>
      <c r="AK131" s="178"/>
      <c r="AL131" s="178"/>
      <c r="AM131" s="178"/>
      <c r="AN131" s="178"/>
      <c r="AO131" s="179"/>
      <c r="AP131" s="64"/>
      <c r="AQ131" s="65"/>
      <c r="AR131" s="65"/>
      <c r="AS131" s="65"/>
      <c r="AT131" s="173"/>
      <c r="AU131" s="177"/>
      <c r="AV131" s="178"/>
      <c r="AW131" s="178"/>
      <c r="AX131" s="179"/>
      <c r="AZ131" s="166"/>
      <c r="BA131" s="177"/>
      <c r="BB131" s="178"/>
      <c r="BC131" s="178"/>
      <c r="BD131" s="178"/>
      <c r="BE131" s="178"/>
      <c r="BF131" s="178"/>
      <c r="BG131" s="178"/>
      <c r="BH131" s="178"/>
      <c r="BI131" s="179"/>
      <c r="BJ131" s="180"/>
      <c r="BK131" s="178"/>
      <c r="BL131" s="178"/>
      <c r="BM131" s="178"/>
      <c r="BN131" s="178"/>
      <c r="BO131" s="181"/>
      <c r="BP131" s="166"/>
      <c r="BQ131" s="177"/>
      <c r="BR131" s="178"/>
      <c r="BS131" s="179"/>
      <c r="BU131" s="166"/>
      <c r="BV131" s="166"/>
      <c r="BW131" s="166"/>
      <c r="BX131" s="166"/>
      <c r="BY131" s="166"/>
      <c r="BZ131" s="166"/>
      <c r="CA131" s="166"/>
      <c r="CB131" s="166"/>
      <c r="CC131" s="166"/>
      <c r="CD131" s="177"/>
      <c r="CE131" s="181"/>
      <c r="CF131" s="177"/>
      <c r="CG131" s="179"/>
      <c r="CH131" s="257"/>
      <c r="CI131" s="182"/>
      <c r="CJ131" s="177"/>
      <c r="CK131" s="182"/>
      <c r="CL131" s="177"/>
      <c r="CM131" s="182"/>
      <c r="CN131" s="177"/>
      <c r="CO131" s="182"/>
      <c r="CP131" s="177"/>
      <c r="CQ131" s="178"/>
      <c r="CR131" s="182"/>
      <c r="CS131" s="173"/>
      <c r="CT131" s="65"/>
      <c r="CU131" s="271" t="str">
        <f t="shared" si="2"/>
        <v>MSS</v>
      </c>
    </row>
    <row r="132" ht="60.0" customHeight="1">
      <c r="A132" s="65"/>
      <c r="C132" s="167">
        <v>4.0</v>
      </c>
      <c r="D132" s="168" t="s">
        <v>197</v>
      </c>
      <c r="E132" s="169"/>
      <c r="F132" s="170"/>
      <c r="G132" s="170"/>
      <c r="H132" s="170"/>
      <c r="I132" s="207"/>
      <c r="J132" s="170"/>
      <c r="K132" s="171"/>
      <c r="L132" s="171"/>
      <c r="M132" s="171"/>
      <c r="N132" s="276"/>
      <c r="O132" s="256">
        <f t="shared" si="24"/>
        <v>0</v>
      </c>
      <c r="Q132" s="173"/>
      <c r="R132" s="65"/>
      <c r="S132" s="173"/>
      <c r="T132" s="173"/>
      <c r="U132" s="166"/>
      <c r="V132" s="166"/>
      <c r="W132" s="65"/>
      <c r="X132" s="66"/>
      <c r="Y132" s="173"/>
      <c r="Z132" s="166"/>
      <c r="AA132" s="174"/>
      <c r="AB132" s="175"/>
      <c r="AC132" s="175"/>
      <c r="AD132" s="175"/>
      <c r="AE132" s="175"/>
      <c r="AF132" s="175"/>
      <c r="AG132" s="175"/>
      <c r="AH132" s="175"/>
      <c r="AI132" s="176"/>
      <c r="AJ132" s="177"/>
      <c r="AK132" s="178"/>
      <c r="AL132" s="178"/>
      <c r="AM132" s="178"/>
      <c r="AN132" s="178"/>
      <c r="AO132" s="179"/>
      <c r="AP132" s="64"/>
      <c r="AQ132" s="65"/>
      <c r="AR132" s="65"/>
      <c r="AS132" s="65"/>
      <c r="AT132" s="173"/>
      <c r="AU132" s="177"/>
      <c r="AV132" s="178"/>
      <c r="AW132" s="178"/>
      <c r="AX132" s="179"/>
      <c r="AZ132" s="166"/>
      <c r="BA132" s="177"/>
      <c r="BB132" s="178"/>
      <c r="BC132" s="178"/>
      <c r="BD132" s="178"/>
      <c r="BE132" s="178"/>
      <c r="BF132" s="178"/>
      <c r="BG132" s="178"/>
      <c r="BH132" s="178"/>
      <c r="BI132" s="179"/>
      <c r="BJ132" s="180"/>
      <c r="BK132" s="178"/>
      <c r="BL132" s="178"/>
      <c r="BM132" s="178"/>
      <c r="BN132" s="178"/>
      <c r="BO132" s="181"/>
      <c r="BP132" s="166"/>
      <c r="BQ132" s="177"/>
      <c r="BR132" s="178"/>
      <c r="BS132" s="179"/>
      <c r="BU132" s="166"/>
      <c r="BV132" s="166"/>
      <c r="BW132" s="166"/>
      <c r="BX132" s="166"/>
      <c r="BY132" s="166"/>
      <c r="BZ132" s="166"/>
      <c r="CA132" s="166"/>
      <c r="CB132" s="166"/>
      <c r="CC132" s="166"/>
      <c r="CD132" s="177"/>
      <c r="CE132" s="181"/>
      <c r="CF132" s="177"/>
      <c r="CG132" s="179"/>
      <c r="CH132" s="257"/>
      <c r="CI132" s="182"/>
      <c r="CJ132" s="177"/>
      <c r="CK132" s="182"/>
      <c r="CL132" s="177"/>
      <c r="CM132" s="182"/>
      <c r="CN132" s="177"/>
      <c r="CO132" s="182"/>
      <c r="CP132" s="177"/>
      <c r="CQ132" s="178"/>
      <c r="CR132" s="182"/>
      <c r="CS132" s="173"/>
      <c r="CT132" s="65"/>
      <c r="CU132" s="271" t="str">
        <f t="shared" si="2"/>
        <v>MSS</v>
      </c>
    </row>
    <row r="133" ht="60.0" customHeight="1">
      <c r="A133" s="65"/>
      <c r="C133" s="167">
        <v>5.0</v>
      </c>
      <c r="D133" s="168" t="s">
        <v>197</v>
      </c>
      <c r="E133" s="169"/>
      <c r="F133" s="170"/>
      <c r="G133" s="170"/>
      <c r="H133" s="170"/>
      <c r="I133" s="207"/>
      <c r="J133" s="170"/>
      <c r="K133" s="171"/>
      <c r="L133" s="171"/>
      <c r="M133" s="171"/>
      <c r="N133" s="276"/>
      <c r="O133" s="256">
        <f t="shared" si="24"/>
        <v>0</v>
      </c>
      <c r="Q133" s="173"/>
      <c r="R133" s="65"/>
      <c r="S133" s="173"/>
      <c r="T133" s="173"/>
      <c r="U133" s="166"/>
      <c r="V133" s="166"/>
      <c r="W133" s="65"/>
      <c r="X133" s="66"/>
      <c r="Y133" s="173"/>
      <c r="Z133" s="166"/>
      <c r="AA133" s="174"/>
      <c r="AB133" s="175"/>
      <c r="AC133" s="175"/>
      <c r="AD133" s="175"/>
      <c r="AE133" s="175"/>
      <c r="AF133" s="175"/>
      <c r="AG133" s="175"/>
      <c r="AH133" s="175"/>
      <c r="AI133" s="176"/>
      <c r="AJ133" s="177"/>
      <c r="AK133" s="178"/>
      <c r="AL133" s="178"/>
      <c r="AM133" s="178"/>
      <c r="AN133" s="178"/>
      <c r="AO133" s="179"/>
      <c r="AP133" s="64"/>
      <c r="AQ133" s="65"/>
      <c r="AR133" s="65"/>
      <c r="AS133" s="65"/>
      <c r="AT133" s="173"/>
      <c r="AU133" s="177"/>
      <c r="AV133" s="178"/>
      <c r="AW133" s="178"/>
      <c r="AX133" s="179"/>
      <c r="AZ133" s="166"/>
      <c r="BA133" s="177"/>
      <c r="BB133" s="178"/>
      <c r="BC133" s="178"/>
      <c r="BD133" s="178"/>
      <c r="BE133" s="178"/>
      <c r="BF133" s="178"/>
      <c r="BG133" s="178"/>
      <c r="BH133" s="178"/>
      <c r="BI133" s="179"/>
      <c r="BJ133" s="180"/>
      <c r="BK133" s="178"/>
      <c r="BL133" s="178"/>
      <c r="BM133" s="178"/>
      <c r="BN133" s="178"/>
      <c r="BO133" s="181"/>
      <c r="BP133" s="166"/>
      <c r="BQ133" s="177"/>
      <c r="BR133" s="178"/>
      <c r="BS133" s="179"/>
      <c r="BU133" s="166"/>
      <c r="BV133" s="166"/>
      <c r="BW133" s="166"/>
      <c r="BX133" s="166"/>
      <c r="BY133" s="166"/>
      <c r="BZ133" s="166"/>
      <c r="CA133" s="166"/>
      <c r="CB133" s="166"/>
      <c r="CC133" s="166"/>
      <c r="CD133" s="177"/>
      <c r="CE133" s="181"/>
      <c r="CF133" s="177"/>
      <c r="CG133" s="179"/>
      <c r="CH133" s="257"/>
      <c r="CI133" s="182"/>
      <c r="CJ133" s="177"/>
      <c r="CK133" s="182"/>
      <c r="CL133" s="177"/>
      <c r="CM133" s="182"/>
      <c r="CN133" s="177"/>
      <c r="CO133" s="182"/>
      <c r="CP133" s="177"/>
      <c r="CQ133" s="178"/>
      <c r="CR133" s="182"/>
      <c r="CS133" s="173"/>
      <c r="CT133" s="65"/>
      <c r="CU133" s="271" t="str">
        <f t="shared" si="2"/>
        <v>MSS</v>
      </c>
    </row>
    <row r="134" ht="60.0" customHeight="1">
      <c r="A134" s="65"/>
      <c r="C134" s="167">
        <v>6.0</v>
      </c>
      <c r="D134" s="168" t="s">
        <v>197</v>
      </c>
      <c r="E134" s="169"/>
      <c r="F134" s="170"/>
      <c r="G134" s="170"/>
      <c r="H134" s="170"/>
      <c r="I134" s="207"/>
      <c r="J134" s="170"/>
      <c r="K134" s="171"/>
      <c r="L134" s="171"/>
      <c r="M134" s="171"/>
      <c r="N134" s="276"/>
      <c r="O134" s="256">
        <f t="shared" si="24"/>
        <v>0</v>
      </c>
      <c r="Q134" s="173"/>
      <c r="R134" s="65"/>
      <c r="S134" s="173"/>
      <c r="T134" s="173"/>
      <c r="U134" s="166"/>
      <c r="V134" s="166"/>
      <c r="W134" s="65"/>
      <c r="X134" s="66"/>
      <c r="Y134" s="173"/>
      <c r="Z134" s="166"/>
      <c r="AA134" s="174"/>
      <c r="AB134" s="175"/>
      <c r="AC134" s="175"/>
      <c r="AD134" s="175"/>
      <c r="AE134" s="175"/>
      <c r="AF134" s="175"/>
      <c r="AG134" s="175"/>
      <c r="AH134" s="175"/>
      <c r="AI134" s="176"/>
      <c r="AJ134" s="177"/>
      <c r="AK134" s="178"/>
      <c r="AL134" s="178"/>
      <c r="AM134" s="178"/>
      <c r="AN134" s="178"/>
      <c r="AO134" s="179"/>
      <c r="AP134" s="64"/>
      <c r="AQ134" s="65"/>
      <c r="AR134" s="65"/>
      <c r="AS134" s="65"/>
      <c r="AT134" s="173"/>
      <c r="AU134" s="177"/>
      <c r="AV134" s="178"/>
      <c r="AW134" s="178"/>
      <c r="AX134" s="179"/>
      <c r="AZ134" s="166"/>
      <c r="BA134" s="177"/>
      <c r="BB134" s="178"/>
      <c r="BC134" s="178"/>
      <c r="BD134" s="178"/>
      <c r="BE134" s="178"/>
      <c r="BF134" s="178"/>
      <c r="BG134" s="178"/>
      <c r="BH134" s="178"/>
      <c r="BI134" s="179"/>
      <c r="BJ134" s="180"/>
      <c r="BK134" s="178"/>
      <c r="BL134" s="178"/>
      <c r="BM134" s="178"/>
      <c r="BN134" s="178"/>
      <c r="BO134" s="181"/>
      <c r="BP134" s="166"/>
      <c r="BQ134" s="177"/>
      <c r="BR134" s="178"/>
      <c r="BS134" s="179"/>
      <c r="BU134" s="166"/>
      <c r="BV134" s="166"/>
      <c r="BW134" s="166"/>
      <c r="BX134" s="166"/>
      <c r="BY134" s="166"/>
      <c r="BZ134" s="166"/>
      <c r="CA134" s="166"/>
      <c r="CB134" s="166"/>
      <c r="CC134" s="166"/>
      <c r="CD134" s="177"/>
      <c r="CE134" s="181"/>
      <c r="CF134" s="177"/>
      <c r="CG134" s="179"/>
      <c r="CH134" s="257"/>
      <c r="CI134" s="182"/>
      <c r="CJ134" s="177"/>
      <c r="CK134" s="182"/>
      <c r="CL134" s="177"/>
      <c r="CM134" s="182"/>
      <c r="CN134" s="177"/>
      <c r="CO134" s="182"/>
      <c r="CP134" s="177"/>
      <c r="CQ134" s="178"/>
      <c r="CR134" s="182"/>
      <c r="CS134" s="173"/>
      <c r="CT134" s="65"/>
      <c r="CU134" s="271" t="str">
        <f t="shared" si="2"/>
        <v>MSS</v>
      </c>
    </row>
    <row r="135" ht="60.0" customHeight="1">
      <c r="A135" s="65"/>
      <c r="C135" s="167">
        <v>7.0</v>
      </c>
      <c r="D135" s="168" t="s">
        <v>197</v>
      </c>
      <c r="E135" s="169"/>
      <c r="F135" s="170"/>
      <c r="G135" s="170"/>
      <c r="H135" s="170"/>
      <c r="I135" s="207"/>
      <c r="J135" s="170"/>
      <c r="K135" s="171"/>
      <c r="L135" s="171"/>
      <c r="M135" s="171"/>
      <c r="N135" s="276"/>
      <c r="O135" s="256">
        <f t="shared" ref="O135:O138" si="25">IF(AND(M135&gt;=20,M135&lt;&gt;"m",RIGHT(K135,3)="Lec"),1,IF(AND(M135&gt;=20,M135&lt;&gt;"m",OR(RIGHT(K135,3)="Lab",RIGHT(K135,3)="Tut")),0.5,IF(AND(M135&gt;=20,M135&lt;&gt;"m",RIGHT(K135,2)="TL"),0.75,0)))</f>
        <v>0</v>
      </c>
      <c r="Q135" s="173"/>
      <c r="R135" s="65"/>
      <c r="S135" s="173"/>
      <c r="T135" s="173"/>
      <c r="U135" s="166"/>
      <c r="V135" s="166"/>
      <c r="W135" s="65"/>
      <c r="X135" s="66"/>
      <c r="Y135" s="173"/>
      <c r="Z135" s="166"/>
      <c r="AA135" s="174"/>
      <c r="AB135" s="175"/>
      <c r="AC135" s="175"/>
      <c r="AD135" s="175"/>
      <c r="AE135" s="175"/>
      <c r="AF135" s="175"/>
      <c r="AG135" s="175"/>
      <c r="AH135" s="175"/>
      <c r="AI135" s="176"/>
      <c r="AJ135" s="177"/>
      <c r="AK135" s="178"/>
      <c r="AL135" s="178"/>
      <c r="AM135" s="178"/>
      <c r="AN135" s="178"/>
      <c r="AO135" s="179"/>
      <c r="AP135" s="64"/>
      <c r="AQ135" s="65"/>
      <c r="AR135" s="65"/>
      <c r="AS135" s="65"/>
      <c r="AT135" s="173"/>
      <c r="AU135" s="177"/>
      <c r="AV135" s="178"/>
      <c r="AW135" s="178"/>
      <c r="AX135" s="179"/>
      <c r="AZ135" s="166"/>
      <c r="BA135" s="177"/>
      <c r="BB135" s="178"/>
      <c r="BC135" s="178"/>
      <c r="BD135" s="178"/>
      <c r="BE135" s="178"/>
      <c r="BF135" s="178"/>
      <c r="BG135" s="178"/>
      <c r="BH135" s="178"/>
      <c r="BI135" s="179"/>
      <c r="BJ135" s="180"/>
      <c r="BK135" s="178"/>
      <c r="BL135" s="178"/>
      <c r="BM135" s="178"/>
      <c r="BN135" s="178"/>
      <c r="BO135" s="181"/>
      <c r="BP135" s="166"/>
      <c r="BQ135" s="177"/>
      <c r="BR135" s="178"/>
      <c r="BS135" s="179"/>
      <c r="BU135" s="166"/>
      <c r="BV135" s="166"/>
      <c r="BW135" s="166"/>
      <c r="BX135" s="166"/>
      <c r="BY135" s="166"/>
      <c r="BZ135" s="166"/>
      <c r="CA135" s="166"/>
      <c r="CB135" s="166"/>
      <c r="CC135" s="166"/>
      <c r="CD135" s="177"/>
      <c r="CE135" s="181"/>
      <c r="CF135" s="177"/>
      <c r="CG135" s="179"/>
      <c r="CH135" s="257"/>
      <c r="CI135" s="182"/>
      <c r="CJ135" s="177"/>
      <c r="CK135" s="182"/>
      <c r="CL135" s="177"/>
      <c r="CM135" s="182"/>
      <c r="CN135" s="177"/>
      <c r="CO135" s="182"/>
      <c r="CP135" s="177"/>
      <c r="CQ135" s="178"/>
      <c r="CR135" s="182"/>
      <c r="CS135" s="173"/>
      <c r="CT135" s="65"/>
      <c r="CU135" s="271" t="str">
        <f t="shared" si="2"/>
        <v>MSS</v>
      </c>
    </row>
    <row r="136" ht="60.0" customHeight="1">
      <c r="A136" s="65"/>
      <c r="C136" s="167">
        <v>8.0</v>
      </c>
      <c r="D136" s="168" t="s">
        <v>197</v>
      </c>
      <c r="E136" s="169"/>
      <c r="F136" s="170"/>
      <c r="G136" s="170"/>
      <c r="H136" s="170"/>
      <c r="I136" s="207"/>
      <c r="J136" s="170"/>
      <c r="K136" s="171"/>
      <c r="L136" s="171"/>
      <c r="M136" s="171"/>
      <c r="N136" s="276"/>
      <c r="O136" s="256">
        <f t="shared" si="25"/>
        <v>0</v>
      </c>
      <c r="Q136" s="173"/>
      <c r="R136" s="65"/>
      <c r="S136" s="173"/>
      <c r="T136" s="173"/>
      <c r="U136" s="166"/>
      <c r="V136" s="166"/>
      <c r="W136" s="65"/>
      <c r="X136" s="66"/>
      <c r="Y136" s="173"/>
      <c r="Z136" s="166"/>
      <c r="AA136" s="174"/>
      <c r="AB136" s="175"/>
      <c r="AC136" s="175"/>
      <c r="AD136" s="175"/>
      <c r="AE136" s="175"/>
      <c r="AF136" s="175"/>
      <c r="AG136" s="175"/>
      <c r="AH136" s="175"/>
      <c r="AI136" s="176"/>
      <c r="AJ136" s="177"/>
      <c r="AK136" s="178"/>
      <c r="AL136" s="178"/>
      <c r="AM136" s="178"/>
      <c r="AN136" s="178"/>
      <c r="AO136" s="179"/>
      <c r="AP136" s="64"/>
      <c r="AQ136" s="65"/>
      <c r="AR136" s="65"/>
      <c r="AS136" s="65"/>
      <c r="AT136" s="173"/>
      <c r="AU136" s="177"/>
      <c r="AV136" s="178"/>
      <c r="AW136" s="178"/>
      <c r="AX136" s="179"/>
      <c r="AZ136" s="166"/>
      <c r="BA136" s="177"/>
      <c r="BB136" s="178"/>
      <c r="BC136" s="178"/>
      <c r="BD136" s="178"/>
      <c r="BE136" s="178"/>
      <c r="BF136" s="178"/>
      <c r="BG136" s="178"/>
      <c r="BH136" s="178"/>
      <c r="BI136" s="179"/>
      <c r="BJ136" s="180"/>
      <c r="BK136" s="178"/>
      <c r="BL136" s="178"/>
      <c r="BM136" s="178"/>
      <c r="BN136" s="178"/>
      <c r="BO136" s="181"/>
      <c r="BP136" s="166"/>
      <c r="BQ136" s="177"/>
      <c r="BR136" s="178"/>
      <c r="BS136" s="179"/>
      <c r="BU136" s="166"/>
      <c r="BV136" s="166"/>
      <c r="BW136" s="166"/>
      <c r="BX136" s="166"/>
      <c r="BY136" s="166"/>
      <c r="BZ136" s="166"/>
      <c r="CA136" s="166"/>
      <c r="CB136" s="166"/>
      <c r="CC136" s="166"/>
      <c r="CD136" s="177"/>
      <c r="CE136" s="181"/>
      <c r="CF136" s="177"/>
      <c r="CG136" s="179"/>
      <c r="CH136" s="257"/>
      <c r="CI136" s="182"/>
      <c r="CJ136" s="177"/>
      <c r="CK136" s="182"/>
      <c r="CL136" s="177"/>
      <c r="CM136" s="182"/>
      <c r="CN136" s="177"/>
      <c r="CO136" s="182"/>
      <c r="CP136" s="177"/>
      <c r="CQ136" s="178"/>
      <c r="CR136" s="182"/>
      <c r="CS136" s="173"/>
      <c r="CT136" s="65"/>
      <c r="CU136" s="271" t="str">
        <f t="shared" si="2"/>
        <v>MSS</v>
      </c>
    </row>
    <row r="137" ht="60.0" customHeight="1">
      <c r="A137" s="65"/>
      <c r="C137" s="167">
        <v>9.0</v>
      </c>
      <c r="D137" s="168" t="s">
        <v>197</v>
      </c>
      <c r="E137" s="169"/>
      <c r="F137" s="170"/>
      <c r="G137" s="170"/>
      <c r="H137" s="170"/>
      <c r="I137" s="207"/>
      <c r="J137" s="170"/>
      <c r="K137" s="171"/>
      <c r="L137" s="171"/>
      <c r="M137" s="171"/>
      <c r="N137" s="276"/>
      <c r="O137" s="256">
        <f t="shared" si="25"/>
        <v>0</v>
      </c>
      <c r="Q137" s="173"/>
      <c r="R137" s="65"/>
      <c r="S137" s="173"/>
      <c r="T137" s="173"/>
      <c r="U137" s="166"/>
      <c r="V137" s="166"/>
      <c r="W137" s="65"/>
      <c r="X137" s="66"/>
      <c r="Y137" s="173"/>
      <c r="Z137" s="166"/>
      <c r="AA137" s="174"/>
      <c r="AB137" s="175"/>
      <c r="AC137" s="175"/>
      <c r="AD137" s="175"/>
      <c r="AE137" s="175"/>
      <c r="AF137" s="175"/>
      <c r="AG137" s="175"/>
      <c r="AH137" s="175"/>
      <c r="AI137" s="176"/>
      <c r="AJ137" s="177"/>
      <c r="AK137" s="178"/>
      <c r="AL137" s="178"/>
      <c r="AM137" s="178"/>
      <c r="AN137" s="178"/>
      <c r="AO137" s="179"/>
      <c r="AP137" s="64"/>
      <c r="AQ137" s="65"/>
      <c r="AR137" s="65"/>
      <c r="AS137" s="65"/>
      <c r="AT137" s="173"/>
      <c r="AU137" s="177"/>
      <c r="AV137" s="178"/>
      <c r="AW137" s="178"/>
      <c r="AX137" s="179"/>
      <c r="AZ137" s="166"/>
      <c r="BA137" s="177"/>
      <c r="BB137" s="178"/>
      <c r="BC137" s="178"/>
      <c r="BD137" s="178"/>
      <c r="BE137" s="178"/>
      <c r="BF137" s="178"/>
      <c r="BG137" s="178"/>
      <c r="BH137" s="178"/>
      <c r="BI137" s="179"/>
      <c r="BJ137" s="180"/>
      <c r="BK137" s="178"/>
      <c r="BL137" s="178"/>
      <c r="BM137" s="178"/>
      <c r="BN137" s="178"/>
      <c r="BO137" s="181"/>
      <c r="BP137" s="166"/>
      <c r="BQ137" s="177"/>
      <c r="BR137" s="178"/>
      <c r="BS137" s="179"/>
      <c r="BU137" s="166"/>
      <c r="BV137" s="166"/>
      <c r="BW137" s="166"/>
      <c r="BX137" s="166"/>
      <c r="BY137" s="166"/>
      <c r="BZ137" s="166"/>
      <c r="CA137" s="166"/>
      <c r="CB137" s="166"/>
      <c r="CC137" s="166"/>
      <c r="CD137" s="177"/>
      <c r="CE137" s="181"/>
      <c r="CF137" s="177"/>
      <c r="CG137" s="179"/>
      <c r="CH137" s="257"/>
      <c r="CI137" s="182"/>
      <c r="CJ137" s="177"/>
      <c r="CK137" s="182"/>
      <c r="CL137" s="177"/>
      <c r="CM137" s="182"/>
      <c r="CN137" s="177"/>
      <c r="CO137" s="182"/>
      <c r="CP137" s="177"/>
      <c r="CQ137" s="178"/>
      <c r="CR137" s="182"/>
      <c r="CS137" s="173"/>
      <c r="CT137" s="65"/>
      <c r="CU137" s="271" t="str">
        <f t="shared" si="2"/>
        <v>MSS</v>
      </c>
    </row>
    <row r="138" ht="60.0" customHeight="1">
      <c r="A138" s="65"/>
      <c r="C138" s="167">
        <v>10.0</v>
      </c>
      <c r="D138" s="168" t="s">
        <v>197</v>
      </c>
      <c r="E138" s="169"/>
      <c r="F138" s="170"/>
      <c r="G138" s="170"/>
      <c r="H138" s="170"/>
      <c r="I138" s="207"/>
      <c r="J138" s="170"/>
      <c r="K138" s="171"/>
      <c r="L138" s="171"/>
      <c r="M138" s="171"/>
      <c r="N138" s="276"/>
      <c r="O138" s="256">
        <f t="shared" si="25"/>
        <v>0</v>
      </c>
      <c r="Q138" s="173"/>
      <c r="R138" s="65"/>
      <c r="S138" s="173"/>
      <c r="T138" s="173"/>
      <c r="U138" s="166"/>
      <c r="V138" s="166"/>
      <c r="W138" s="65"/>
      <c r="X138" s="66"/>
      <c r="Y138" s="173"/>
      <c r="Z138" s="166"/>
      <c r="AA138" s="174"/>
      <c r="AB138" s="175"/>
      <c r="AC138" s="175"/>
      <c r="AD138" s="175"/>
      <c r="AE138" s="175"/>
      <c r="AF138" s="175"/>
      <c r="AG138" s="175"/>
      <c r="AH138" s="175"/>
      <c r="AI138" s="176"/>
      <c r="AJ138" s="177"/>
      <c r="AK138" s="178"/>
      <c r="AL138" s="178"/>
      <c r="AM138" s="178"/>
      <c r="AN138" s="178"/>
      <c r="AO138" s="179"/>
      <c r="AP138" s="64"/>
      <c r="AQ138" s="65"/>
      <c r="AR138" s="65"/>
      <c r="AS138" s="65"/>
      <c r="AT138" s="173"/>
      <c r="AU138" s="177"/>
      <c r="AV138" s="178"/>
      <c r="AW138" s="178"/>
      <c r="AX138" s="179"/>
      <c r="AZ138" s="166"/>
      <c r="BA138" s="177"/>
      <c r="BB138" s="178"/>
      <c r="BC138" s="178"/>
      <c r="BD138" s="178"/>
      <c r="BE138" s="178"/>
      <c r="BF138" s="178"/>
      <c r="BG138" s="178"/>
      <c r="BH138" s="178"/>
      <c r="BI138" s="179"/>
      <c r="BJ138" s="180"/>
      <c r="BK138" s="178"/>
      <c r="BL138" s="178"/>
      <c r="BM138" s="178"/>
      <c r="BN138" s="178"/>
      <c r="BO138" s="181"/>
      <c r="BP138" s="166"/>
      <c r="BQ138" s="177"/>
      <c r="BR138" s="178"/>
      <c r="BS138" s="179"/>
      <c r="BU138" s="166"/>
      <c r="BV138" s="166"/>
      <c r="BW138" s="166"/>
      <c r="BX138" s="166"/>
      <c r="BY138" s="166"/>
      <c r="BZ138" s="166"/>
      <c r="CA138" s="166"/>
      <c r="CB138" s="166"/>
      <c r="CC138" s="166"/>
      <c r="CD138" s="177"/>
      <c r="CE138" s="181"/>
      <c r="CF138" s="177"/>
      <c r="CG138" s="179"/>
      <c r="CH138" s="257"/>
      <c r="CI138" s="182"/>
      <c r="CJ138" s="177"/>
      <c r="CK138" s="182"/>
      <c r="CL138" s="177"/>
      <c r="CM138" s="182"/>
      <c r="CN138" s="177"/>
      <c r="CO138" s="182"/>
      <c r="CP138" s="177"/>
      <c r="CQ138" s="178"/>
      <c r="CR138" s="182"/>
      <c r="CS138" s="173"/>
      <c r="CT138" s="65"/>
      <c r="CU138" s="271" t="str">
        <f t="shared" si="2"/>
        <v>MSS</v>
      </c>
    </row>
    <row r="139" ht="60.0" customHeight="1">
      <c r="A139" s="89"/>
      <c r="C139" s="183">
        <v>11.0</v>
      </c>
      <c r="D139" s="210" t="s">
        <v>197</v>
      </c>
      <c r="E139" s="185"/>
      <c r="F139" s="186"/>
      <c r="G139" s="186"/>
      <c r="H139" s="186"/>
      <c r="I139" s="212"/>
      <c r="J139" s="186"/>
      <c r="K139" s="187"/>
      <c r="L139" s="187"/>
      <c r="M139" s="187"/>
      <c r="N139" s="284"/>
      <c r="O139" s="258">
        <f t="shared" ref="O139:O145" si="26">IF(AND(M139&lt;&gt;0,M139&lt;&gt;"m",M139&lt;&gt;"",RIGHT(K139,3)="Lec"),1,IF(AND(M139&lt;&gt;0,M139&lt;&gt;"m",M139&lt;&gt;"",OR(RIGHT(K139,3)="Lab",RIGHT(K139,3)="Tut")),0.5,IF(AND(M139&lt;&gt;0,M139&lt;&gt;"m",M139&lt;&gt;"",RIGHT(K139,2)="TL"),0.75,0)))</f>
        <v>0</v>
      </c>
      <c r="P139" s="6"/>
      <c r="Q139" s="69"/>
      <c r="R139" s="89"/>
      <c r="S139" s="69"/>
      <c r="T139" s="69"/>
      <c r="U139" s="63"/>
      <c r="V139" s="63"/>
      <c r="W139" s="89"/>
      <c r="X139" s="68"/>
      <c r="Y139" s="69"/>
      <c r="Z139" s="63"/>
      <c r="AA139" s="189"/>
      <c r="AB139" s="190"/>
      <c r="AC139" s="190"/>
      <c r="AD139" s="190"/>
      <c r="AE139" s="190"/>
      <c r="AF139" s="190"/>
      <c r="AG139" s="190"/>
      <c r="AH139" s="190"/>
      <c r="AI139" s="191"/>
      <c r="AJ139" s="192"/>
      <c r="AK139" s="193"/>
      <c r="AL139" s="193"/>
      <c r="AM139" s="193"/>
      <c r="AN139" s="193"/>
      <c r="AO139" s="194"/>
      <c r="AP139" s="103"/>
      <c r="AQ139" s="89"/>
      <c r="AR139" s="89"/>
      <c r="AS139" s="89"/>
      <c r="AT139" s="69"/>
      <c r="AU139" s="192"/>
      <c r="AV139" s="193"/>
      <c r="AW139" s="193"/>
      <c r="AX139" s="194"/>
      <c r="AY139" s="6"/>
      <c r="AZ139" s="63"/>
      <c r="BA139" s="192"/>
      <c r="BB139" s="193"/>
      <c r="BC139" s="193"/>
      <c r="BD139" s="193"/>
      <c r="BE139" s="193"/>
      <c r="BF139" s="193"/>
      <c r="BG139" s="193"/>
      <c r="BH139" s="193"/>
      <c r="BI139" s="194"/>
      <c r="BJ139" s="195"/>
      <c r="BK139" s="193"/>
      <c r="BL139" s="193"/>
      <c r="BM139" s="193"/>
      <c r="BN139" s="193"/>
      <c r="BO139" s="196"/>
      <c r="BP139" s="63"/>
      <c r="BQ139" s="192"/>
      <c r="BR139" s="193"/>
      <c r="BS139" s="194"/>
      <c r="BT139" s="6"/>
      <c r="BU139" s="63"/>
      <c r="BV139" s="63"/>
      <c r="BW139" s="63"/>
      <c r="BX139" s="63"/>
      <c r="BY139" s="63"/>
      <c r="BZ139" s="63"/>
      <c r="CA139" s="63"/>
      <c r="CB139" s="63"/>
      <c r="CC139" s="63"/>
      <c r="CD139" s="192"/>
      <c r="CE139" s="196"/>
      <c r="CF139" s="192"/>
      <c r="CG139" s="194"/>
      <c r="CH139" s="259"/>
      <c r="CI139" s="197"/>
      <c r="CJ139" s="192"/>
      <c r="CK139" s="197"/>
      <c r="CL139" s="192"/>
      <c r="CM139" s="197"/>
      <c r="CN139" s="192"/>
      <c r="CO139" s="197"/>
      <c r="CP139" s="192"/>
      <c r="CQ139" s="193"/>
      <c r="CR139" s="197"/>
      <c r="CS139" s="69"/>
      <c r="CT139" s="89"/>
      <c r="CU139" s="272" t="str">
        <f t="shared" si="2"/>
        <v>MSS</v>
      </c>
    </row>
    <row r="140" ht="55.5" customHeight="1">
      <c r="A140" s="125">
        <v>13.0</v>
      </c>
      <c r="B140" s="199" t="s">
        <v>199</v>
      </c>
      <c r="C140" s="127">
        <v>1.0</v>
      </c>
      <c r="D140" s="168" t="s">
        <v>200</v>
      </c>
      <c r="E140" s="129"/>
      <c r="F140" s="130"/>
      <c r="G140" s="130"/>
      <c r="H140" s="130"/>
      <c r="I140" s="201"/>
      <c r="J140" s="130"/>
      <c r="K140" s="131"/>
      <c r="L140" s="131"/>
      <c r="M140" s="131"/>
      <c r="N140" s="275"/>
      <c r="O140" s="250">
        <f t="shared" si="26"/>
        <v>0</v>
      </c>
      <c r="P140" s="251">
        <f>COUNTIF(K140:K150,"TL")*0.75+COUNTIF(K140:K150,"Lec")*1+COUNTIF(K140:K150,"Lab")*0.5</f>
        <v>0</v>
      </c>
      <c r="Q140" s="134">
        <f>SUM((IF(LEFT(K140,1)="E",O140,0)),(IF(LEFT(K141,1)="E",O141,0)),(IF(LEFT(K142,1)="E",O142,0)),(IF(LEFT(K143,1)="E",O143,0)),(IF(LEFT(K144,1)="E",O144,0)),(IF(LEFT(K145,1)="E",O145,0)),(IF(LEFT(K146,1)="E",O146,0)),(IF(LEFT(K147,1)="E",O147,0)),(IF(LEFT(K148,1)="E",O148,0)),(IF(LEFT(K149,1)="E",O149,0)),(IF(LEFT(K150,1)="E",O150,0)))</f>
        <v>0</v>
      </c>
      <c r="R140" s="135">
        <f>SUM(IF(M146&lt;20,IF(K146="Plec",-1,IF(K146="PTL",-0.75,IF(K146="Plab",-0.5,0))),0),IF(M147&lt;20,IF(K147="Plec",-1,IF(K147="PTL",-0.75,IF(K147="Plab",-0.5,0))),0),IF(M148&lt;20,IF(K148="Plec",-1,IF(K148="PTL",-0.75,IF(K148="Plab",-0.5,0))),0),IF(M149&lt;20,IF(K149="Plec",-1,IF(K149="PTL",-0.75,IF(K149="Plab",-0.5,0))),0))</f>
        <v>0</v>
      </c>
      <c r="S140" s="134">
        <f>SUM(P140:R150)</f>
        <v>0</v>
      </c>
      <c r="T140" s="136">
        <f>SUM(IF(M140="M",IF(OR(K140="lec",K140="plec",K140="slec"),1,IF(OR(K140="lab",K140="plab",K140="slab",K140="tut",K140="ptut",K140="stut"),0.5,IF(OR(K140="TL",K140="pTL",K140="STL"),0.75,0))),0),IF(M141="M",IF(OR(K141="lec",K141="plec",K141="slec"),1,IF(OR(K141="lab",K141="plab",K141="slab",K141="tut",K141="ptut",K141="stut"),0.5,IF(OR(K141="TL",K141="pTL",K141="STL"),0.75,0))),0),IF(M142="M",IF(OR(K142="lec",K142="plec",K142="slec"),1,IF(OR(K142="lab",K142="plab",K142="slab",K142="tut",K142="ptut",K142="stut"),0.5,IF(OR(K142="TL",K142="pTL",K142="STL"),0.75,0))),0),IF(M143="M",IF(OR(K143="lec",K143="plec",K143="slec"),1,IF(OR(K143="lab",K143="plab",K143="slab",K143="tut",K143="ptut",K143="stut"),0.5,IF(OR(K143="TL",K143="pTL",K143="STL"),0.75,0))),0),IF(M144="M",IF(OR(K144="lec",K144="plec",K144="slec"),1,IF(OR(K144="lab",K144="plab",K144="slab",K144="tut",K144="ptut",K144="stut"),0.5,IF(OR(K144="TL",K144="pTL",K144="STL"),0.75,0))),0),IF(M145="M",IF(OR(K145="lec",K145="plec",K145="slec"),1,IF(OR(K145="lab",K145="plab",K145="slab",K145="tut",K145="ptut",K145="stut"),0.5,IF(OR(K145="TL",K145="pTL",K145="STL"),0.75,0))),0),IF(M146="M",IF(OR(K146="lec",K146="plec",K146="slec"),1,IF(OR(K146="lab",K146="plab",K146="slab",K146="tut",K146="ptut",K146="stut"),0.5,IF(OR(K146="TL",K146="pTL",K146="STL"),0.75,0))),0),IF(M147="M",IF(OR(K147="lec",K147="plec",K147="slec"),1,IF(OR(K147="lab",K147="plab",K147="slab",K147="tut",K147="ptut",K147="stut"),0.5,IF(OR(K147="TL",K147="pTL",K147="STL"),0.75,0))),0),IF(M148="M",IF(OR(K148="lec",K148="plec",K148="slec"),1,IF(OR(K148="lab",K148="plab",K148="slab",K148="tut",K148="ptut",K148="stut"),0.5,IF(OR(K148="TL",K148="pTL",K148="STL"),0.75,0))),0),IF(M149="M",IF(OR(K149="lec",K149="plec",K149="slec"),1,IF(OR(K149="lab",K149="plab",K149="slab",K149="tut",K149="ptut",K149="stut"),0.5,IF(OR(K149="TL",K149="pTL",K149="STL"),0.75,0))),0),IF(M150="M",IF(OR(K150="lec",K150="plec",K150="slec"),1,IF(OR(K150="lab",K150="plab",K150="slab",K150="tut",K150="ptut",K150="stut"),0.5,IF(OR(K150="TL",K150="pTL",K150="STL"),0.75,0))),0))</f>
        <v>0</v>
      </c>
      <c r="U140" s="137"/>
      <c r="V140" s="133"/>
      <c r="W140" s="138"/>
      <c r="X140" s="139">
        <f>S140-(T140+U140+V140+W140)</f>
        <v>0</v>
      </c>
      <c r="Y140" s="134" t="str">
        <f>CONCATENATE(SUM(O140:O150),"(",SUM(O140:O150)-X140,")")</f>
        <v>0(0)</v>
      </c>
      <c r="Z140" s="140"/>
      <c r="AA140" s="141"/>
      <c r="AB140" s="142"/>
      <c r="AC140" s="142"/>
      <c r="AD140" s="142"/>
      <c r="AE140" s="142"/>
      <c r="AF140" s="142"/>
      <c r="AG140" s="142"/>
      <c r="AH140" s="142"/>
      <c r="AI140" s="143"/>
      <c r="AJ140" s="144"/>
      <c r="AK140" s="145"/>
      <c r="AL140" s="145"/>
      <c r="AM140" s="145"/>
      <c r="AN140" s="145"/>
      <c r="AO140" s="146"/>
      <c r="AP140" s="147">
        <f>SUM(SUM(O140:O150),SUM(AI140:AI150)/2,AM140)</f>
        <v>0</v>
      </c>
      <c r="AQ140" s="148"/>
      <c r="AR140" s="148">
        <f>AP140*AQ140</f>
        <v>0</v>
      </c>
      <c r="AS140" s="148">
        <f>CT140</f>
        <v>2</v>
      </c>
      <c r="AT140" s="149">
        <f>AR140*0.75+AS140*0.25</f>
        <v>0.5</v>
      </c>
      <c r="AU140" s="150"/>
      <c r="AV140" s="151"/>
      <c r="AW140" s="151"/>
      <c r="AX140" s="152"/>
      <c r="AY140" s="153"/>
      <c r="AZ140" s="140"/>
      <c r="BA140" s="150">
        <v>1.0</v>
      </c>
      <c r="BB140" s="151" t="s">
        <v>176</v>
      </c>
      <c r="BC140" s="151">
        <v>18.0</v>
      </c>
      <c r="BD140" s="151">
        <v>404.0</v>
      </c>
      <c r="BE140" s="151" t="s">
        <v>201</v>
      </c>
      <c r="BF140" s="151" t="s">
        <v>180</v>
      </c>
      <c r="BG140" s="151">
        <v>1.0</v>
      </c>
      <c r="BH140" s="151"/>
      <c r="BI140" s="152"/>
      <c r="BJ140" s="154"/>
      <c r="BK140" s="151"/>
      <c r="BL140" s="151"/>
      <c r="BM140" s="151"/>
      <c r="BN140" s="151"/>
      <c r="BO140" s="155"/>
      <c r="BP140" s="140"/>
      <c r="BQ140" s="156"/>
      <c r="BR140" s="157"/>
      <c r="BS140" s="158"/>
      <c r="BT140" s="153"/>
      <c r="BU140" s="140"/>
      <c r="BV140" s="140"/>
      <c r="BW140" s="140"/>
      <c r="BX140" s="140"/>
      <c r="BY140" s="140"/>
      <c r="BZ140" s="140"/>
      <c r="CA140" s="140"/>
      <c r="CB140" s="140"/>
      <c r="CC140" s="140"/>
      <c r="CD140" s="150"/>
      <c r="CE140" s="155"/>
      <c r="CF140" s="150" t="s">
        <v>333</v>
      </c>
      <c r="CG140" s="152">
        <f>180/60</f>
        <v>3</v>
      </c>
      <c r="CH140" s="252"/>
      <c r="CI140" s="160"/>
      <c r="CJ140" s="159"/>
      <c r="CK140" s="160"/>
      <c r="CL140" s="159"/>
      <c r="CM140" s="160"/>
      <c r="CN140" s="159"/>
      <c r="CO140" s="160"/>
      <c r="CP140" s="159"/>
      <c r="CQ140" s="162"/>
      <c r="CR140" s="160"/>
      <c r="CS140" s="253">
        <f>SUM(IF(AU140&lt;0,ABS(AU140),0),IF(AZ140&lt;0,ABS(AZ140),0),ABS(CI140),ABS(CK140),ABS(CM140),ABS(CO140),ABS(CQ140),ABS(CR140))</f>
        <v>0</v>
      </c>
      <c r="CT140" s="254">
        <f>SUM(AU140,AV140,AW140,AX140/400,AY140,AZ140,BG140,BH140*0.5,BI140*0.25,BJ140,BK140,BL140,BM140,BN140,BO140,BP140,BR140/20,BS140/100,BT140/60,BU140,BV140,BW140,BX140/4,SUM(BY140:CC150)/3,CE140,CG140/3,CI140,CK140,CM140,CO140,CQ140,CR140)</f>
        <v>2</v>
      </c>
      <c r="CU140" s="255" t="str">
        <f t="shared" si="2"/>
        <v>MSP</v>
      </c>
    </row>
    <row r="141" ht="60.0" customHeight="1">
      <c r="A141" s="65"/>
      <c r="C141" s="167">
        <v>2.0</v>
      </c>
      <c r="D141" s="168" t="s">
        <v>200</v>
      </c>
      <c r="E141" s="169"/>
      <c r="F141" s="170"/>
      <c r="G141" s="170"/>
      <c r="H141" s="170"/>
      <c r="I141" s="207"/>
      <c r="J141" s="170"/>
      <c r="K141" s="171"/>
      <c r="L141" s="171"/>
      <c r="M141" s="171"/>
      <c r="N141" s="276"/>
      <c r="O141" s="256">
        <f t="shared" si="26"/>
        <v>0</v>
      </c>
      <c r="Q141" s="173"/>
      <c r="R141" s="65"/>
      <c r="S141" s="173"/>
      <c r="T141" s="173"/>
      <c r="U141" s="166"/>
      <c r="V141" s="166"/>
      <c r="W141" s="65"/>
      <c r="X141" s="66"/>
      <c r="Y141" s="173"/>
      <c r="Z141" s="166"/>
      <c r="AA141" s="174"/>
      <c r="AB141" s="175"/>
      <c r="AC141" s="175"/>
      <c r="AD141" s="175"/>
      <c r="AE141" s="175"/>
      <c r="AF141" s="175"/>
      <c r="AG141" s="175"/>
      <c r="AH141" s="175"/>
      <c r="AI141" s="176"/>
      <c r="AJ141" s="177"/>
      <c r="AK141" s="178"/>
      <c r="AL141" s="178"/>
      <c r="AM141" s="178"/>
      <c r="AN141" s="178"/>
      <c r="AO141" s="179"/>
      <c r="AP141" s="64"/>
      <c r="AQ141" s="65"/>
      <c r="AR141" s="65"/>
      <c r="AS141" s="65"/>
      <c r="AT141" s="173"/>
      <c r="AU141" s="177"/>
      <c r="AV141" s="178"/>
      <c r="AW141" s="178"/>
      <c r="AX141" s="179"/>
      <c r="AZ141" s="166"/>
      <c r="BA141" s="177"/>
      <c r="BB141" s="178"/>
      <c r="BC141" s="178"/>
      <c r="BD141" s="178"/>
      <c r="BE141" s="178"/>
      <c r="BF141" s="178"/>
      <c r="BG141" s="178"/>
      <c r="BH141" s="178"/>
      <c r="BI141" s="179"/>
      <c r="BJ141" s="180"/>
      <c r="BK141" s="178"/>
      <c r="BL141" s="178"/>
      <c r="BM141" s="178"/>
      <c r="BN141" s="178"/>
      <c r="BO141" s="181"/>
      <c r="BP141" s="166"/>
      <c r="BQ141" s="177"/>
      <c r="BR141" s="178"/>
      <c r="BS141" s="179"/>
      <c r="BU141" s="166"/>
      <c r="BV141" s="166"/>
      <c r="BW141" s="166"/>
      <c r="BX141" s="166"/>
      <c r="BY141" s="166"/>
      <c r="BZ141" s="166"/>
      <c r="CA141" s="166"/>
      <c r="CB141" s="166"/>
      <c r="CC141" s="166"/>
      <c r="CD141" s="177"/>
      <c r="CE141" s="181"/>
      <c r="CF141" s="177"/>
      <c r="CG141" s="179"/>
      <c r="CH141" s="257"/>
      <c r="CI141" s="182"/>
      <c r="CJ141" s="177"/>
      <c r="CK141" s="182"/>
      <c r="CL141" s="177"/>
      <c r="CM141" s="182"/>
      <c r="CN141" s="177"/>
      <c r="CO141" s="182"/>
      <c r="CP141" s="177"/>
      <c r="CQ141" s="178"/>
      <c r="CR141" s="182"/>
      <c r="CS141" s="173"/>
      <c r="CT141" s="65"/>
      <c r="CU141" s="271" t="str">
        <f t="shared" si="2"/>
        <v>MSP</v>
      </c>
    </row>
    <row r="142" ht="60.0" customHeight="1">
      <c r="A142" s="65"/>
      <c r="C142" s="167">
        <v>3.0</v>
      </c>
      <c r="D142" s="168" t="s">
        <v>200</v>
      </c>
      <c r="E142" s="169"/>
      <c r="F142" s="170"/>
      <c r="G142" s="170"/>
      <c r="H142" s="170"/>
      <c r="I142" s="207"/>
      <c r="J142" s="170"/>
      <c r="K142" s="171"/>
      <c r="L142" s="171"/>
      <c r="M142" s="171"/>
      <c r="N142" s="276"/>
      <c r="O142" s="256">
        <f t="shared" si="26"/>
        <v>0</v>
      </c>
      <c r="Q142" s="173"/>
      <c r="R142" s="65"/>
      <c r="S142" s="173"/>
      <c r="T142" s="173"/>
      <c r="U142" s="166"/>
      <c r="V142" s="166"/>
      <c r="W142" s="65"/>
      <c r="X142" s="66"/>
      <c r="Y142" s="173"/>
      <c r="Z142" s="166"/>
      <c r="AA142" s="174"/>
      <c r="AB142" s="175"/>
      <c r="AC142" s="175"/>
      <c r="AD142" s="175"/>
      <c r="AE142" s="175"/>
      <c r="AF142" s="175"/>
      <c r="AG142" s="175"/>
      <c r="AH142" s="175"/>
      <c r="AI142" s="176"/>
      <c r="AJ142" s="177"/>
      <c r="AK142" s="178"/>
      <c r="AL142" s="178"/>
      <c r="AM142" s="178"/>
      <c r="AN142" s="178"/>
      <c r="AO142" s="179"/>
      <c r="AP142" s="64"/>
      <c r="AQ142" s="65"/>
      <c r="AR142" s="65"/>
      <c r="AS142" s="65"/>
      <c r="AT142" s="173"/>
      <c r="AU142" s="177"/>
      <c r="AV142" s="178"/>
      <c r="AW142" s="178"/>
      <c r="AX142" s="179"/>
      <c r="AZ142" s="166"/>
      <c r="BA142" s="177"/>
      <c r="BB142" s="178"/>
      <c r="BC142" s="178"/>
      <c r="BD142" s="178"/>
      <c r="BE142" s="178"/>
      <c r="BF142" s="178"/>
      <c r="BG142" s="178"/>
      <c r="BH142" s="178"/>
      <c r="BI142" s="179"/>
      <c r="BJ142" s="180"/>
      <c r="BK142" s="178"/>
      <c r="BL142" s="178"/>
      <c r="BM142" s="178"/>
      <c r="BN142" s="178"/>
      <c r="BO142" s="181"/>
      <c r="BP142" s="166"/>
      <c r="BQ142" s="177"/>
      <c r="BR142" s="178"/>
      <c r="BS142" s="179"/>
      <c r="BU142" s="166"/>
      <c r="BV142" s="166"/>
      <c r="BW142" s="166"/>
      <c r="BX142" s="166"/>
      <c r="BY142" s="166"/>
      <c r="BZ142" s="166"/>
      <c r="CA142" s="166"/>
      <c r="CB142" s="166"/>
      <c r="CC142" s="166"/>
      <c r="CD142" s="177"/>
      <c r="CE142" s="181"/>
      <c r="CF142" s="177"/>
      <c r="CG142" s="179"/>
      <c r="CH142" s="257"/>
      <c r="CI142" s="182"/>
      <c r="CJ142" s="177"/>
      <c r="CK142" s="182"/>
      <c r="CL142" s="177"/>
      <c r="CM142" s="182"/>
      <c r="CN142" s="177"/>
      <c r="CO142" s="182"/>
      <c r="CP142" s="177"/>
      <c r="CQ142" s="178"/>
      <c r="CR142" s="182"/>
      <c r="CS142" s="173"/>
      <c r="CT142" s="65"/>
      <c r="CU142" s="271" t="str">
        <f t="shared" si="2"/>
        <v>MSP</v>
      </c>
    </row>
    <row r="143" ht="60.0" customHeight="1">
      <c r="A143" s="65"/>
      <c r="C143" s="167">
        <v>4.0</v>
      </c>
      <c r="D143" s="168" t="s">
        <v>200</v>
      </c>
      <c r="E143" s="169"/>
      <c r="F143" s="170"/>
      <c r="G143" s="170"/>
      <c r="H143" s="170"/>
      <c r="I143" s="207"/>
      <c r="J143" s="170"/>
      <c r="K143" s="171"/>
      <c r="L143" s="171"/>
      <c r="M143" s="171"/>
      <c r="N143" s="276"/>
      <c r="O143" s="256">
        <f t="shared" si="26"/>
        <v>0</v>
      </c>
      <c r="Q143" s="173"/>
      <c r="R143" s="65"/>
      <c r="S143" s="173"/>
      <c r="T143" s="173"/>
      <c r="U143" s="166"/>
      <c r="V143" s="166"/>
      <c r="W143" s="65"/>
      <c r="X143" s="66"/>
      <c r="Y143" s="173"/>
      <c r="Z143" s="166"/>
      <c r="AA143" s="174"/>
      <c r="AB143" s="175"/>
      <c r="AC143" s="175"/>
      <c r="AD143" s="175"/>
      <c r="AE143" s="175"/>
      <c r="AF143" s="175"/>
      <c r="AG143" s="175"/>
      <c r="AH143" s="175"/>
      <c r="AI143" s="176"/>
      <c r="AJ143" s="177"/>
      <c r="AK143" s="178"/>
      <c r="AL143" s="178"/>
      <c r="AM143" s="178"/>
      <c r="AN143" s="178"/>
      <c r="AO143" s="179"/>
      <c r="AP143" s="64"/>
      <c r="AQ143" s="65"/>
      <c r="AR143" s="65"/>
      <c r="AS143" s="65"/>
      <c r="AT143" s="173"/>
      <c r="AU143" s="177"/>
      <c r="AV143" s="178"/>
      <c r="AW143" s="178"/>
      <c r="AX143" s="179"/>
      <c r="AZ143" s="166"/>
      <c r="BA143" s="177"/>
      <c r="BB143" s="178"/>
      <c r="BC143" s="178"/>
      <c r="BD143" s="178"/>
      <c r="BE143" s="178"/>
      <c r="BF143" s="178"/>
      <c r="BG143" s="178"/>
      <c r="BH143" s="178"/>
      <c r="BI143" s="179"/>
      <c r="BJ143" s="180"/>
      <c r="BK143" s="178"/>
      <c r="BL143" s="178"/>
      <c r="BM143" s="178"/>
      <c r="BN143" s="178"/>
      <c r="BO143" s="181"/>
      <c r="BP143" s="166"/>
      <c r="BQ143" s="177"/>
      <c r="BR143" s="178"/>
      <c r="BS143" s="179"/>
      <c r="BU143" s="166"/>
      <c r="BV143" s="166"/>
      <c r="BW143" s="166"/>
      <c r="BX143" s="166"/>
      <c r="BY143" s="166"/>
      <c r="BZ143" s="166"/>
      <c r="CA143" s="166"/>
      <c r="CB143" s="166"/>
      <c r="CC143" s="166"/>
      <c r="CD143" s="177"/>
      <c r="CE143" s="181"/>
      <c r="CF143" s="177"/>
      <c r="CG143" s="179"/>
      <c r="CH143" s="257"/>
      <c r="CI143" s="182"/>
      <c r="CJ143" s="177"/>
      <c r="CK143" s="182"/>
      <c r="CL143" s="177"/>
      <c r="CM143" s="182"/>
      <c r="CN143" s="177"/>
      <c r="CO143" s="182"/>
      <c r="CP143" s="177"/>
      <c r="CQ143" s="178"/>
      <c r="CR143" s="182"/>
      <c r="CS143" s="173"/>
      <c r="CT143" s="65"/>
      <c r="CU143" s="271" t="str">
        <f t="shared" si="2"/>
        <v>MSP</v>
      </c>
    </row>
    <row r="144" ht="60.0" customHeight="1">
      <c r="A144" s="65"/>
      <c r="C144" s="167">
        <v>5.0</v>
      </c>
      <c r="D144" s="168" t="s">
        <v>200</v>
      </c>
      <c r="E144" s="169"/>
      <c r="F144" s="170"/>
      <c r="G144" s="170"/>
      <c r="H144" s="170"/>
      <c r="I144" s="207"/>
      <c r="J144" s="170"/>
      <c r="K144" s="171"/>
      <c r="L144" s="171"/>
      <c r="M144" s="171"/>
      <c r="N144" s="276"/>
      <c r="O144" s="256">
        <f t="shared" si="26"/>
        <v>0</v>
      </c>
      <c r="Q144" s="173"/>
      <c r="R144" s="65"/>
      <c r="S144" s="173"/>
      <c r="T144" s="173"/>
      <c r="U144" s="166"/>
      <c r="V144" s="166"/>
      <c r="W144" s="65"/>
      <c r="X144" s="66"/>
      <c r="Y144" s="173"/>
      <c r="Z144" s="166"/>
      <c r="AA144" s="174"/>
      <c r="AB144" s="175"/>
      <c r="AC144" s="175"/>
      <c r="AD144" s="175"/>
      <c r="AE144" s="175"/>
      <c r="AF144" s="175"/>
      <c r="AG144" s="175"/>
      <c r="AH144" s="175"/>
      <c r="AI144" s="176"/>
      <c r="AJ144" s="177"/>
      <c r="AK144" s="178"/>
      <c r="AL144" s="178"/>
      <c r="AM144" s="178"/>
      <c r="AN144" s="178"/>
      <c r="AO144" s="179"/>
      <c r="AP144" s="64"/>
      <c r="AQ144" s="65"/>
      <c r="AR144" s="65"/>
      <c r="AS144" s="65"/>
      <c r="AT144" s="173"/>
      <c r="AU144" s="177"/>
      <c r="AV144" s="178"/>
      <c r="AW144" s="178"/>
      <c r="AX144" s="179"/>
      <c r="AZ144" s="166"/>
      <c r="BA144" s="177"/>
      <c r="BB144" s="178"/>
      <c r="BC144" s="178"/>
      <c r="BD144" s="178"/>
      <c r="BE144" s="178"/>
      <c r="BF144" s="178"/>
      <c r="BG144" s="178"/>
      <c r="BH144" s="178"/>
      <c r="BI144" s="179"/>
      <c r="BJ144" s="180"/>
      <c r="BK144" s="178"/>
      <c r="BL144" s="178"/>
      <c r="BM144" s="178"/>
      <c r="BN144" s="178"/>
      <c r="BO144" s="181"/>
      <c r="BP144" s="166"/>
      <c r="BQ144" s="177"/>
      <c r="BR144" s="178"/>
      <c r="BS144" s="179"/>
      <c r="BU144" s="166"/>
      <c r="BV144" s="166"/>
      <c r="BW144" s="166"/>
      <c r="BX144" s="166"/>
      <c r="BY144" s="166"/>
      <c r="BZ144" s="166"/>
      <c r="CA144" s="166"/>
      <c r="CB144" s="166"/>
      <c r="CC144" s="166"/>
      <c r="CD144" s="177"/>
      <c r="CE144" s="181"/>
      <c r="CF144" s="177"/>
      <c r="CG144" s="179"/>
      <c r="CH144" s="257"/>
      <c r="CI144" s="182"/>
      <c r="CJ144" s="177"/>
      <c r="CK144" s="182"/>
      <c r="CL144" s="177"/>
      <c r="CM144" s="182"/>
      <c r="CN144" s="177"/>
      <c r="CO144" s="182"/>
      <c r="CP144" s="177"/>
      <c r="CQ144" s="178"/>
      <c r="CR144" s="182"/>
      <c r="CS144" s="173"/>
      <c r="CT144" s="65"/>
      <c r="CU144" s="271" t="str">
        <f t="shared" si="2"/>
        <v>MSP</v>
      </c>
    </row>
    <row r="145" ht="60.0" customHeight="1">
      <c r="A145" s="65"/>
      <c r="C145" s="167">
        <v>6.0</v>
      </c>
      <c r="D145" s="168" t="s">
        <v>200</v>
      </c>
      <c r="E145" s="169"/>
      <c r="F145" s="170"/>
      <c r="G145" s="170"/>
      <c r="H145" s="170"/>
      <c r="I145" s="207"/>
      <c r="J145" s="170"/>
      <c r="K145" s="171"/>
      <c r="L145" s="171"/>
      <c r="M145" s="171"/>
      <c r="N145" s="276"/>
      <c r="O145" s="256">
        <f t="shared" si="26"/>
        <v>0</v>
      </c>
      <c r="Q145" s="173"/>
      <c r="R145" s="65"/>
      <c r="S145" s="173"/>
      <c r="T145" s="173"/>
      <c r="U145" s="166"/>
      <c r="V145" s="166"/>
      <c r="W145" s="65"/>
      <c r="X145" s="66"/>
      <c r="Y145" s="173"/>
      <c r="Z145" s="166"/>
      <c r="AA145" s="174"/>
      <c r="AB145" s="175"/>
      <c r="AC145" s="175"/>
      <c r="AD145" s="175"/>
      <c r="AE145" s="175"/>
      <c r="AF145" s="175"/>
      <c r="AG145" s="175"/>
      <c r="AH145" s="175"/>
      <c r="AI145" s="176"/>
      <c r="AJ145" s="177"/>
      <c r="AK145" s="178"/>
      <c r="AL145" s="178"/>
      <c r="AM145" s="178"/>
      <c r="AN145" s="178"/>
      <c r="AO145" s="179"/>
      <c r="AP145" s="64"/>
      <c r="AQ145" s="65"/>
      <c r="AR145" s="65"/>
      <c r="AS145" s="65"/>
      <c r="AT145" s="173"/>
      <c r="AU145" s="177"/>
      <c r="AV145" s="178"/>
      <c r="AW145" s="178"/>
      <c r="AX145" s="179"/>
      <c r="AZ145" s="166"/>
      <c r="BA145" s="177"/>
      <c r="BB145" s="178"/>
      <c r="BC145" s="178"/>
      <c r="BD145" s="178"/>
      <c r="BE145" s="178"/>
      <c r="BF145" s="178"/>
      <c r="BG145" s="178"/>
      <c r="BH145" s="178"/>
      <c r="BI145" s="179"/>
      <c r="BJ145" s="180"/>
      <c r="BK145" s="178"/>
      <c r="BL145" s="178"/>
      <c r="BM145" s="178"/>
      <c r="BN145" s="178"/>
      <c r="BO145" s="181"/>
      <c r="BP145" s="166"/>
      <c r="BQ145" s="177"/>
      <c r="BR145" s="178"/>
      <c r="BS145" s="179"/>
      <c r="BU145" s="166"/>
      <c r="BV145" s="166"/>
      <c r="BW145" s="166"/>
      <c r="BX145" s="166"/>
      <c r="BY145" s="166"/>
      <c r="BZ145" s="166"/>
      <c r="CA145" s="166"/>
      <c r="CB145" s="166"/>
      <c r="CC145" s="166"/>
      <c r="CD145" s="177"/>
      <c r="CE145" s="181"/>
      <c r="CF145" s="177"/>
      <c r="CG145" s="179"/>
      <c r="CH145" s="257"/>
      <c r="CI145" s="182"/>
      <c r="CJ145" s="177"/>
      <c r="CK145" s="182"/>
      <c r="CL145" s="177"/>
      <c r="CM145" s="182"/>
      <c r="CN145" s="177"/>
      <c r="CO145" s="182"/>
      <c r="CP145" s="177"/>
      <c r="CQ145" s="178"/>
      <c r="CR145" s="182"/>
      <c r="CS145" s="173"/>
      <c r="CT145" s="65"/>
      <c r="CU145" s="271" t="str">
        <f t="shared" si="2"/>
        <v>MSP</v>
      </c>
    </row>
    <row r="146" ht="60.0" customHeight="1">
      <c r="A146" s="65"/>
      <c r="C146" s="167">
        <v>7.0</v>
      </c>
      <c r="D146" s="168" t="s">
        <v>200</v>
      </c>
      <c r="E146" s="169"/>
      <c r="F146" s="170"/>
      <c r="G146" s="170"/>
      <c r="H146" s="170"/>
      <c r="I146" s="207"/>
      <c r="J146" s="170"/>
      <c r="K146" s="171"/>
      <c r="L146" s="171"/>
      <c r="M146" s="171"/>
      <c r="N146" s="276"/>
      <c r="O146" s="256">
        <f t="shared" ref="O146:O149" si="27">IF(AND(M146&gt;=20,M146&lt;&gt;"m",RIGHT(K146,3)="Lec"),1,IF(AND(M146&gt;=20,M146&lt;&gt;"m",OR(RIGHT(K146,3)="Lab",RIGHT(K146,3)="Tut")),0.5,IF(AND(M146&gt;=20,M146&lt;&gt;"m",RIGHT(K146,2)="TL"),0.75,0)))</f>
        <v>0</v>
      </c>
      <c r="Q146" s="173"/>
      <c r="R146" s="65"/>
      <c r="S146" s="173"/>
      <c r="T146" s="173"/>
      <c r="U146" s="166"/>
      <c r="V146" s="166"/>
      <c r="W146" s="65"/>
      <c r="X146" s="66"/>
      <c r="Y146" s="173"/>
      <c r="Z146" s="166"/>
      <c r="AA146" s="174"/>
      <c r="AB146" s="175"/>
      <c r="AC146" s="175"/>
      <c r="AD146" s="175"/>
      <c r="AE146" s="175"/>
      <c r="AF146" s="175"/>
      <c r="AG146" s="175"/>
      <c r="AH146" s="175"/>
      <c r="AI146" s="176"/>
      <c r="AJ146" s="177"/>
      <c r="AK146" s="178"/>
      <c r="AL146" s="178"/>
      <c r="AM146" s="178"/>
      <c r="AN146" s="178"/>
      <c r="AO146" s="179"/>
      <c r="AP146" s="64"/>
      <c r="AQ146" s="65"/>
      <c r="AR146" s="65"/>
      <c r="AS146" s="65"/>
      <c r="AT146" s="173"/>
      <c r="AU146" s="177"/>
      <c r="AV146" s="178"/>
      <c r="AW146" s="178"/>
      <c r="AX146" s="179"/>
      <c r="AZ146" s="166"/>
      <c r="BA146" s="177"/>
      <c r="BB146" s="178"/>
      <c r="BC146" s="178"/>
      <c r="BD146" s="178"/>
      <c r="BE146" s="178"/>
      <c r="BF146" s="178"/>
      <c r="BG146" s="178"/>
      <c r="BH146" s="178"/>
      <c r="BI146" s="179"/>
      <c r="BJ146" s="180"/>
      <c r="BK146" s="178"/>
      <c r="BL146" s="178"/>
      <c r="BM146" s="178"/>
      <c r="BN146" s="178"/>
      <c r="BO146" s="181"/>
      <c r="BP146" s="166"/>
      <c r="BQ146" s="177"/>
      <c r="BR146" s="178"/>
      <c r="BS146" s="179"/>
      <c r="BU146" s="166"/>
      <c r="BV146" s="166"/>
      <c r="BW146" s="166"/>
      <c r="BX146" s="166"/>
      <c r="BY146" s="166"/>
      <c r="BZ146" s="166"/>
      <c r="CA146" s="166"/>
      <c r="CB146" s="166"/>
      <c r="CC146" s="166"/>
      <c r="CD146" s="177"/>
      <c r="CE146" s="181"/>
      <c r="CF146" s="177"/>
      <c r="CG146" s="179"/>
      <c r="CH146" s="257"/>
      <c r="CI146" s="182"/>
      <c r="CJ146" s="177"/>
      <c r="CK146" s="182"/>
      <c r="CL146" s="177"/>
      <c r="CM146" s="182"/>
      <c r="CN146" s="177"/>
      <c r="CO146" s="182"/>
      <c r="CP146" s="177"/>
      <c r="CQ146" s="178"/>
      <c r="CR146" s="182"/>
      <c r="CS146" s="173"/>
      <c r="CT146" s="65"/>
      <c r="CU146" s="271" t="str">
        <f t="shared" si="2"/>
        <v>MSP</v>
      </c>
    </row>
    <row r="147" ht="60.0" customHeight="1">
      <c r="A147" s="65"/>
      <c r="C147" s="167">
        <v>8.0</v>
      </c>
      <c r="D147" s="168" t="s">
        <v>200</v>
      </c>
      <c r="E147" s="169"/>
      <c r="F147" s="170"/>
      <c r="G147" s="170"/>
      <c r="H147" s="170"/>
      <c r="I147" s="207"/>
      <c r="J147" s="170"/>
      <c r="K147" s="171"/>
      <c r="L147" s="171"/>
      <c r="M147" s="171"/>
      <c r="N147" s="276"/>
      <c r="O147" s="256">
        <f t="shared" si="27"/>
        <v>0</v>
      </c>
      <c r="Q147" s="173"/>
      <c r="R147" s="65"/>
      <c r="S147" s="173"/>
      <c r="T147" s="173"/>
      <c r="U147" s="166"/>
      <c r="V147" s="166"/>
      <c r="W147" s="65"/>
      <c r="X147" s="66"/>
      <c r="Y147" s="173"/>
      <c r="Z147" s="166"/>
      <c r="AA147" s="174"/>
      <c r="AB147" s="175"/>
      <c r="AC147" s="175"/>
      <c r="AD147" s="175"/>
      <c r="AE147" s="175"/>
      <c r="AF147" s="175"/>
      <c r="AG147" s="175"/>
      <c r="AH147" s="175"/>
      <c r="AI147" s="176"/>
      <c r="AJ147" s="177"/>
      <c r="AK147" s="178"/>
      <c r="AL147" s="178"/>
      <c r="AM147" s="178"/>
      <c r="AN147" s="178"/>
      <c r="AO147" s="179"/>
      <c r="AP147" s="64"/>
      <c r="AQ147" s="65"/>
      <c r="AR147" s="65"/>
      <c r="AS147" s="65"/>
      <c r="AT147" s="173"/>
      <c r="AU147" s="177"/>
      <c r="AV147" s="178"/>
      <c r="AW147" s="178"/>
      <c r="AX147" s="179"/>
      <c r="AZ147" s="166"/>
      <c r="BA147" s="177"/>
      <c r="BB147" s="178"/>
      <c r="BC147" s="178"/>
      <c r="BD147" s="178"/>
      <c r="BE147" s="178"/>
      <c r="BF147" s="178"/>
      <c r="BG147" s="178"/>
      <c r="BH147" s="178"/>
      <c r="BI147" s="179"/>
      <c r="BJ147" s="180"/>
      <c r="BK147" s="178"/>
      <c r="BL147" s="178"/>
      <c r="BM147" s="178"/>
      <c r="BN147" s="178"/>
      <c r="BO147" s="181"/>
      <c r="BP147" s="166"/>
      <c r="BQ147" s="177"/>
      <c r="BR147" s="178"/>
      <c r="BS147" s="179"/>
      <c r="BU147" s="166"/>
      <c r="BV147" s="166"/>
      <c r="BW147" s="166"/>
      <c r="BX147" s="166"/>
      <c r="BY147" s="166"/>
      <c r="BZ147" s="166"/>
      <c r="CA147" s="166"/>
      <c r="CB147" s="166"/>
      <c r="CC147" s="166"/>
      <c r="CD147" s="177"/>
      <c r="CE147" s="181"/>
      <c r="CF147" s="177"/>
      <c r="CG147" s="179"/>
      <c r="CH147" s="257"/>
      <c r="CI147" s="182"/>
      <c r="CJ147" s="177"/>
      <c r="CK147" s="182"/>
      <c r="CL147" s="177"/>
      <c r="CM147" s="182"/>
      <c r="CN147" s="177"/>
      <c r="CO147" s="182"/>
      <c r="CP147" s="177"/>
      <c r="CQ147" s="178"/>
      <c r="CR147" s="182"/>
      <c r="CS147" s="173"/>
      <c r="CT147" s="65"/>
      <c r="CU147" s="271" t="str">
        <f t="shared" si="2"/>
        <v>MSP</v>
      </c>
    </row>
    <row r="148" ht="60.0" customHeight="1">
      <c r="A148" s="65"/>
      <c r="C148" s="167">
        <v>9.0</v>
      </c>
      <c r="D148" s="168" t="s">
        <v>200</v>
      </c>
      <c r="E148" s="169"/>
      <c r="F148" s="170"/>
      <c r="G148" s="170"/>
      <c r="H148" s="170"/>
      <c r="I148" s="207"/>
      <c r="J148" s="170"/>
      <c r="K148" s="171"/>
      <c r="L148" s="171"/>
      <c r="M148" s="171"/>
      <c r="N148" s="276"/>
      <c r="O148" s="256">
        <f t="shared" si="27"/>
        <v>0</v>
      </c>
      <c r="Q148" s="173"/>
      <c r="R148" s="65"/>
      <c r="S148" s="173"/>
      <c r="T148" s="173"/>
      <c r="U148" s="166"/>
      <c r="V148" s="166"/>
      <c r="W148" s="65"/>
      <c r="X148" s="66"/>
      <c r="Y148" s="173"/>
      <c r="Z148" s="166"/>
      <c r="AA148" s="174"/>
      <c r="AB148" s="175"/>
      <c r="AC148" s="175"/>
      <c r="AD148" s="175"/>
      <c r="AE148" s="175"/>
      <c r="AF148" s="175"/>
      <c r="AG148" s="175"/>
      <c r="AH148" s="175"/>
      <c r="AI148" s="176"/>
      <c r="AJ148" s="177"/>
      <c r="AK148" s="178"/>
      <c r="AL148" s="178"/>
      <c r="AM148" s="178"/>
      <c r="AN148" s="178"/>
      <c r="AO148" s="179"/>
      <c r="AP148" s="64"/>
      <c r="AQ148" s="65"/>
      <c r="AR148" s="65"/>
      <c r="AS148" s="65"/>
      <c r="AT148" s="173"/>
      <c r="AU148" s="177"/>
      <c r="AV148" s="178"/>
      <c r="AW148" s="178"/>
      <c r="AX148" s="179"/>
      <c r="AZ148" s="166"/>
      <c r="BA148" s="177"/>
      <c r="BB148" s="178"/>
      <c r="BC148" s="178"/>
      <c r="BD148" s="178"/>
      <c r="BE148" s="178"/>
      <c r="BF148" s="178"/>
      <c r="BG148" s="178"/>
      <c r="BH148" s="178"/>
      <c r="BI148" s="179"/>
      <c r="BJ148" s="180"/>
      <c r="BK148" s="178"/>
      <c r="BL148" s="178"/>
      <c r="BM148" s="178"/>
      <c r="BN148" s="178"/>
      <c r="BO148" s="181"/>
      <c r="BP148" s="166"/>
      <c r="BQ148" s="177"/>
      <c r="BR148" s="178"/>
      <c r="BS148" s="179"/>
      <c r="BU148" s="166"/>
      <c r="BV148" s="166"/>
      <c r="BW148" s="166"/>
      <c r="BX148" s="166"/>
      <c r="BY148" s="166"/>
      <c r="BZ148" s="166"/>
      <c r="CA148" s="166"/>
      <c r="CB148" s="166"/>
      <c r="CC148" s="166"/>
      <c r="CD148" s="177"/>
      <c r="CE148" s="181"/>
      <c r="CF148" s="177"/>
      <c r="CG148" s="179"/>
      <c r="CH148" s="257"/>
      <c r="CI148" s="182"/>
      <c r="CJ148" s="177"/>
      <c r="CK148" s="182"/>
      <c r="CL148" s="177"/>
      <c r="CM148" s="182"/>
      <c r="CN148" s="177"/>
      <c r="CO148" s="182"/>
      <c r="CP148" s="177"/>
      <c r="CQ148" s="178"/>
      <c r="CR148" s="182"/>
      <c r="CS148" s="173"/>
      <c r="CT148" s="65"/>
      <c r="CU148" s="271" t="str">
        <f t="shared" si="2"/>
        <v>MSP</v>
      </c>
    </row>
    <row r="149" ht="60.0" customHeight="1">
      <c r="A149" s="65"/>
      <c r="C149" s="167">
        <v>10.0</v>
      </c>
      <c r="D149" s="168" t="s">
        <v>200</v>
      </c>
      <c r="E149" s="169"/>
      <c r="F149" s="170"/>
      <c r="G149" s="170"/>
      <c r="H149" s="170"/>
      <c r="I149" s="207"/>
      <c r="J149" s="170"/>
      <c r="K149" s="171"/>
      <c r="L149" s="171"/>
      <c r="M149" s="171"/>
      <c r="N149" s="276"/>
      <c r="O149" s="256">
        <f t="shared" si="27"/>
        <v>0</v>
      </c>
      <c r="Q149" s="173"/>
      <c r="R149" s="65"/>
      <c r="S149" s="173"/>
      <c r="T149" s="173"/>
      <c r="U149" s="166"/>
      <c r="V149" s="166"/>
      <c r="W149" s="65"/>
      <c r="X149" s="66"/>
      <c r="Y149" s="173"/>
      <c r="Z149" s="166"/>
      <c r="AA149" s="174"/>
      <c r="AB149" s="175"/>
      <c r="AC149" s="175"/>
      <c r="AD149" s="175"/>
      <c r="AE149" s="175"/>
      <c r="AF149" s="175"/>
      <c r="AG149" s="175"/>
      <c r="AH149" s="175"/>
      <c r="AI149" s="176"/>
      <c r="AJ149" s="177"/>
      <c r="AK149" s="178"/>
      <c r="AL149" s="178"/>
      <c r="AM149" s="178"/>
      <c r="AN149" s="178"/>
      <c r="AO149" s="179"/>
      <c r="AP149" s="64"/>
      <c r="AQ149" s="65"/>
      <c r="AR149" s="65"/>
      <c r="AS149" s="65"/>
      <c r="AT149" s="173"/>
      <c r="AU149" s="177"/>
      <c r="AV149" s="178"/>
      <c r="AW149" s="178"/>
      <c r="AX149" s="179"/>
      <c r="AZ149" s="166"/>
      <c r="BA149" s="177"/>
      <c r="BB149" s="178"/>
      <c r="BC149" s="178"/>
      <c r="BD149" s="178"/>
      <c r="BE149" s="178"/>
      <c r="BF149" s="178"/>
      <c r="BG149" s="178"/>
      <c r="BH149" s="178"/>
      <c r="BI149" s="179"/>
      <c r="BJ149" s="180"/>
      <c r="BK149" s="178"/>
      <c r="BL149" s="178"/>
      <c r="BM149" s="178"/>
      <c r="BN149" s="178"/>
      <c r="BO149" s="181"/>
      <c r="BP149" s="166"/>
      <c r="BQ149" s="177"/>
      <c r="BR149" s="178"/>
      <c r="BS149" s="179"/>
      <c r="BU149" s="166"/>
      <c r="BV149" s="166"/>
      <c r="BW149" s="166"/>
      <c r="BX149" s="166"/>
      <c r="BY149" s="166"/>
      <c r="BZ149" s="166"/>
      <c r="CA149" s="166"/>
      <c r="CB149" s="166"/>
      <c r="CC149" s="166"/>
      <c r="CD149" s="177"/>
      <c r="CE149" s="181"/>
      <c r="CF149" s="177"/>
      <c r="CG149" s="179"/>
      <c r="CH149" s="257"/>
      <c r="CI149" s="182"/>
      <c r="CJ149" s="177"/>
      <c r="CK149" s="182"/>
      <c r="CL149" s="177"/>
      <c r="CM149" s="182"/>
      <c r="CN149" s="177"/>
      <c r="CO149" s="182"/>
      <c r="CP149" s="177"/>
      <c r="CQ149" s="178"/>
      <c r="CR149" s="182"/>
      <c r="CS149" s="173"/>
      <c r="CT149" s="65"/>
      <c r="CU149" s="271" t="str">
        <f t="shared" si="2"/>
        <v>MSP</v>
      </c>
    </row>
    <row r="150" ht="60.0" customHeight="1">
      <c r="A150" s="89"/>
      <c r="C150" s="183">
        <v>11.0</v>
      </c>
      <c r="D150" s="210" t="s">
        <v>200</v>
      </c>
      <c r="E150" s="185"/>
      <c r="F150" s="186"/>
      <c r="G150" s="186"/>
      <c r="H150" s="186"/>
      <c r="I150" s="212"/>
      <c r="J150" s="186"/>
      <c r="K150" s="187"/>
      <c r="L150" s="187"/>
      <c r="M150" s="187"/>
      <c r="N150" s="284"/>
      <c r="O150" s="258">
        <f t="shared" ref="O150:O156" si="28">IF(AND(M150&lt;&gt;0,M150&lt;&gt;"m",M150&lt;&gt;"",RIGHT(K150,3)="Lec"),1,IF(AND(M150&lt;&gt;0,M150&lt;&gt;"m",M150&lt;&gt;"",OR(RIGHT(K150,3)="Lab",RIGHT(K150,3)="Tut")),0.5,IF(AND(M150&lt;&gt;0,M150&lt;&gt;"m",M150&lt;&gt;"",RIGHT(K150,2)="TL"),0.75,0)))</f>
        <v>0</v>
      </c>
      <c r="P150" s="6"/>
      <c r="Q150" s="69"/>
      <c r="R150" s="89"/>
      <c r="S150" s="69"/>
      <c r="T150" s="69"/>
      <c r="U150" s="63"/>
      <c r="V150" s="63"/>
      <c r="W150" s="89"/>
      <c r="X150" s="68"/>
      <c r="Y150" s="69"/>
      <c r="Z150" s="63"/>
      <c r="AA150" s="189"/>
      <c r="AB150" s="190"/>
      <c r="AC150" s="190"/>
      <c r="AD150" s="190"/>
      <c r="AE150" s="190"/>
      <c r="AF150" s="190"/>
      <c r="AG150" s="190"/>
      <c r="AH150" s="190"/>
      <c r="AI150" s="191"/>
      <c r="AJ150" s="192"/>
      <c r="AK150" s="193"/>
      <c r="AL150" s="193"/>
      <c r="AM150" s="193"/>
      <c r="AN150" s="193"/>
      <c r="AO150" s="194"/>
      <c r="AP150" s="103"/>
      <c r="AQ150" s="89"/>
      <c r="AR150" s="89"/>
      <c r="AS150" s="89"/>
      <c r="AT150" s="69"/>
      <c r="AU150" s="192"/>
      <c r="AV150" s="193"/>
      <c r="AW150" s="193"/>
      <c r="AX150" s="194"/>
      <c r="AY150" s="6"/>
      <c r="AZ150" s="63"/>
      <c r="BA150" s="192"/>
      <c r="BB150" s="193"/>
      <c r="BC150" s="193"/>
      <c r="BD150" s="193"/>
      <c r="BE150" s="193"/>
      <c r="BF150" s="193"/>
      <c r="BG150" s="193"/>
      <c r="BH150" s="193"/>
      <c r="BI150" s="194"/>
      <c r="BJ150" s="195"/>
      <c r="BK150" s="193"/>
      <c r="BL150" s="193"/>
      <c r="BM150" s="193"/>
      <c r="BN150" s="193"/>
      <c r="BO150" s="196"/>
      <c r="BP150" s="63"/>
      <c r="BQ150" s="192"/>
      <c r="BR150" s="193"/>
      <c r="BS150" s="194"/>
      <c r="BT150" s="6"/>
      <c r="BU150" s="63"/>
      <c r="BV150" s="63"/>
      <c r="BW150" s="63"/>
      <c r="BX150" s="63"/>
      <c r="BY150" s="63"/>
      <c r="BZ150" s="63"/>
      <c r="CA150" s="63"/>
      <c r="CB150" s="63"/>
      <c r="CC150" s="63"/>
      <c r="CD150" s="192"/>
      <c r="CE150" s="196"/>
      <c r="CF150" s="192"/>
      <c r="CG150" s="194"/>
      <c r="CH150" s="259"/>
      <c r="CI150" s="197"/>
      <c r="CJ150" s="192"/>
      <c r="CK150" s="197"/>
      <c r="CL150" s="192"/>
      <c r="CM150" s="197"/>
      <c r="CN150" s="192"/>
      <c r="CO150" s="197"/>
      <c r="CP150" s="192"/>
      <c r="CQ150" s="193"/>
      <c r="CR150" s="197"/>
      <c r="CS150" s="69"/>
      <c r="CT150" s="89"/>
      <c r="CU150" s="272" t="str">
        <f t="shared" si="2"/>
        <v>MSP</v>
      </c>
    </row>
    <row r="151" ht="55.5" customHeight="1">
      <c r="A151" s="125">
        <v>14.0</v>
      </c>
      <c r="B151" s="199" t="s">
        <v>204</v>
      </c>
      <c r="C151" s="127">
        <v>1.0</v>
      </c>
      <c r="D151" s="168" t="s">
        <v>205</v>
      </c>
      <c r="E151" s="129"/>
      <c r="F151" s="130"/>
      <c r="G151" s="130"/>
      <c r="H151" s="130"/>
      <c r="I151" s="201"/>
      <c r="J151" s="130"/>
      <c r="K151" s="131"/>
      <c r="L151" s="131"/>
      <c r="M151" s="131"/>
      <c r="N151" s="275"/>
      <c r="O151" s="250">
        <f t="shared" si="28"/>
        <v>0</v>
      </c>
      <c r="P151" s="251">
        <f>COUNTIF(K151:K161,"TL")*0.75+COUNTIF(K151:K161,"Lec")*1+COUNTIF(K151:K161,"Lab")*0.5</f>
        <v>0</v>
      </c>
      <c r="Q151" s="134">
        <f>SUM((IF(LEFT(K151,1)="E",O151,0)),(IF(LEFT(K152,1)="E",O152,0)),(IF(LEFT(K153,1)="E",O153,0)),(IF(LEFT(K154,1)="E",O154,0)),(IF(LEFT(K155,1)="E",O155,0)),(IF(LEFT(K156,1)="E",O156,0)),(IF(LEFT(K157,1)="E",O157,0)),(IF(LEFT(K158,1)="E",O158,0)),(IF(LEFT(K159,1)="E",O159,0)),(IF(LEFT(K160,1)="E",O160,0)),(IF(LEFT(K161,1)="E",O161,0)))</f>
        <v>0</v>
      </c>
      <c r="R151" s="135">
        <f>SUM(IF(M157&lt;20,IF(K157="Plec",-1,IF(K157="PTL",-0.75,IF(K157="Plab",-0.5,0))),0),IF(M158&lt;20,IF(K158="Plec",-1,IF(K158="PTL",-0.75,IF(K158="Plab",-0.5,0))),0),IF(M159&lt;20,IF(K159="Plec",-1,IF(K159="PTL",-0.75,IF(K159="Plab",-0.5,0))),0),IF(M160&lt;20,IF(K160="Plec",-1,IF(K160="PTL",-0.75,IF(K160="Plab",-0.5,0))),0))</f>
        <v>0</v>
      </c>
      <c r="S151" s="134">
        <f>SUM(P151:R161)</f>
        <v>0</v>
      </c>
      <c r="T151" s="136">
        <f>SUM(IF(M151="M",IF(OR(K151="lec",K151="plec",K151="slec"),1,IF(OR(K151="lab",K151="plab",K151="slab",K151="tut",K151="ptut",K151="stut"),0.5,IF(OR(K151="TL",K151="pTL",K151="STL"),0.75,0))),0),IF(M152="M",IF(OR(K152="lec",K152="plec",K152="slec"),1,IF(OR(K152="lab",K152="plab",K152="slab",K152="tut",K152="ptut",K152="stut"),0.5,IF(OR(K152="TL",K152="pTL",K152="STL"),0.75,0))),0),IF(M153="M",IF(OR(K153="lec",K153="plec",K153="slec"),1,IF(OR(K153="lab",K153="plab",K153="slab",K153="tut",K153="ptut",K153="stut"),0.5,IF(OR(K153="TL",K153="pTL",K153="STL"),0.75,0))),0),IF(M154="M",IF(OR(K154="lec",K154="plec",K154="slec"),1,IF(OR(K154="lab",K154="plab",K154="slab",K154="tut",K154="ptut",K154="stut"),0.5,IF(OR(K154="TL",K154="pTL",K154="STL"),0.75,0))),0),IF(M155="M",IF(OR(K155="lec",K155="plec",K155="slec"),1,IF(OR(K155="lab",K155="plab",K155="slab",K155="tut",K155="ptut",K155="stut"),0.5,IF(OR(K155="TL",K155="pTL",K155="STL"),0.75,0))),0),IF(M156="M",IF(OR(K156="lec",K156="plec",K156="slec"),1,IF(OR(K156="lab",K156="plab",K156="slab",K156="tut",K156="ptut",K156="stut"),0.5,IF(OR(K156="TL",K156="pTL",K156="STL"),0.75,0))),0),IF(M157="M",IF(OR(K157="lec",K157="plec",K157="slec"),1,IF(OR(K157="lab",K157="plab",K157="slab",K157="tut",K157="ptut",K157="stut"),0.5,IF(OR(K157="TL",K157="pTL",K157="STL"),0.75,0))),0),IF(M158="M",IF(OR(K158="lec",K158="plec",K158="slec"),1,IF(OR(K158="lab",K158="plab",K158="slab",K158="tut",K158="ptut",K158="stut"),0.5,IF(OR(K158="TL",K158="pTL",K158="STL"),0.75,0))),0),IF(M159="M",IF(OR(K159="lec",K159="plec",K159="slec"),1,IF(OR(K159="lab",K159="plab",K159="slab",K159="tut",K159="ptut",K159="stut"),0.5,IF(OR(K159="TL",K159="pTL",K159="STL"),0.75,0))),0),IF(M160="M",IF(OR(K160="lec",K160="plec",K160="slec"),1,IF(OR(K160="lab",K160="plab",K160="slab",K160="tut",K160="ptut",K160="stut"),0.5,IF(OR(K160="TL",K160="pTL",K160="STL"),0.75,0))),0),IF(M161="M",IF(OR(K161="lec",K161="plec",K161="slec"),1,IF(OR(K161="lab",K161="plab",K161="slab",K161="tut",K161="ptut",K161="stut"),0.5,IF(OR(K161="TL",K161="pTL",K161="STL"),0.75,0))),0))</f>
        <v>0</v>
      </c>
      <c r="U151" s="137"/>
      <c r="V151" s="133"/>
      <c r="W151" s="138"/>
      <c r="X151" s="139">
        <f>S151-(T151+U151+V151+W151)</f>
        <v>0</v>
      </c>
      <c r="Y151" s="134" t="str">
        <f>CONCATENATE(SUM(O151:O161),"(",SUM(O151:O161)-X151,")")</f>
        <v>0(0)</v>
      </c>
      <c r="Z151" s="140"/>
      <c r="AA151" s="141"/>
      <c r="AB151" s="142"/>
      <c r="AC151" s="142"/>
      <c r="AD151" s="142"/>
      <c r="AE151" s="142"/>
      <c r="AF151" s="142"/>
      <c r="AG151" s="142"/>
      <c r="AH151" s="142"/>
      <c r="AI151" s="143"/>
      <c r="AJ151" s="144"/>
      <c r="AK151" s="145"/>
      <c r="AL151" s="145"/>
      <c r="AM151" s="145"/>
      <c r="AN151" s="145"/>
      <c r="AO151" s="146"/>
      <c r="AP151" s="147">
        <f>SUM(SUM(O151:O161),SUM(AI151:AI161)/2,AM151)</f>
        <v>0</v>
      </c>
      <c r="AQ151" s="148"/>
      <c r="AR151" s="148">
        <f>AP151*AQ151</f>
        <v>0</v>
      </c>
      <c r="AS151" s="148">
        <f>CT151</f>
        <v>0</v>
      </c>
      <c r="AT151" s="149">
        <f>AR151*0.75+AS151*0.25</f>
        <v>0</v>
      </c>
      <c r="AU151" s="150"/>
      <c r="AV151" s="151"/>
      <c r="AW151" s="151"/>
      <c r="AX151" s="152"/>
      <c r="AY151" s="153"/>
      <c r="AZ151" s="140"/>
      <c r="BA151" s="150"/>
      <c r="BB151" s="151"/>
      <c r="BC151" s="151"/>
      <c r="BD151" s="151"/>
      <c r="BE151" s="151"/>
      <c r="BF151" s="151"/>
      <c r="BG151" s="151"/>
      <c r="BH151" s="151"/>
      <c r="BI151" s="152"/>
      <c r="BJ151" s="154"/>
      <c r="BK151" s="151"/>
      <c r="BL151" s="151"/>
      <c r="BM151" s="151"/>
      <c r="BN151" s="151"/>
      <c r="BO151" s="155"/>
      <c r="BP151" s="140"/>
      <c r="BQ151" s="156"/>
      <c r="BR151" s="157"/>
      <c r="BS151" s="158"/>
      <c r="BT151" s="153"/>
      <c r="BU151" s="140"/>
      <c r="BV151" s="140"/>
      <c r="BW151" s="140"/>
      <c r="BX151" s="140"/>
      <c r="BY151" s="140"/>
      <c r="BZ151" s="140"/>
      <c r="CA151" s="140"/>
      <c r="CB151" s="140"/>
      <c r="CC151" s="140"/>
      <c r="CD151" s="150"/>
      <c r="CE151" s="155"/>
      <c r="CF151" s="150"/>
      <c r="CG151" s="152"/>
      <c r="CH151" s="252"/>
      <c r="CI151" s="160"/>
      <c r="CJ151" s="159"/>
      <c r="CK151" s="160"/>
      <c r="CL151" s="159"/>
      <c r="CM151" s="160"/>
      <c r="CN151" s="159"/>
      <c r="CO151" s="160"/>
      <c r="CP151" s="159"/>
      <c r="CQ151" s="162"/>
      <c r="CR151" s="160"/>
      <c r="CS151" s="253">
        <f>SUM(IF(AU151&lt;0,ABS(AU151),0),IF(AZ151&lt;0,ABS(AZ151),0),ABS(CI151),ABS(CK151),ABS(CM151),ABS(CO151),ABS(CQ151),ABS(CR151))</f>
        <v>0</v>
      </c>
      <c r="CT151" s="254">
        <f>SUM(AU151,AV151,AW151,AX151/400,AY151,AZ151,BG151,BH151*0.5,BI151*0.25,BJ151,BK151,BL151,BM151,BN151,BO151,BP151,BR151/20,BS151/100,BT151/60,BU151,BV151,BW151,BX151/4,SUM(BY151:CC161)/3,CE151,CG151/3,CI151,CK151,CM151,CO151,CQ151,CR151)</f>
        <v>0</v>
      </c>
      <c r="CU151" s="255" t="str">
        <f t="shared" si="2"/>
        <v>AJK</v>
      </c>
    </row>
    <row r="152" ht="60.0" customHeight="1">
      <c r="A152" s="65"/>
      <c r="C152" s="167">
        <v>2.0</v>
      </c>
      <c r="D152" s="168" t="s">
        <v>205</v>
      </c>
      <c r="E152" s="169"/>
      <c r="F152" s="170"/>
      <c r="G152" s="170"/>
      <c r="H152" s="170"/>
      <c r="I152" s="207"/>
      <c r="J152" s="170"/>
      <c r="K152" s="171"/>
      <c r="L152" s="171"/>
      <c r="M152" s="171"/>
      <c r="N152" s="276"/>
      <c r="O152" s="256">
        <f t="shared" si="28"/>
        <v>0</v>
      </c>
      <c r="Q152" s="173"/>
      <c r="R152" s="65"/>
      <c r="S152" s="173"/>
      <c r="T152" s="173"/>
      <c r="U152" s="166"/>
      <c r="V152" s="166"/>
      <c r="W152" s="65"/>
      <c r="X152" s="66"/>
      <c r="Y152" s="173"/>
      <c r="Z152" s="166"/>
      <c r="AA152" s="174"/>
      <c r="AB152" s="175"/>
      <c r="AC152" s="175"/>
      <c r="AD152" s="175"/>
      <c r="AE152" s="175"/>
      <c r="AF152" s="175"/>
      <c r="AG152" s="175"/>
      <c r="AH152" s="175"/>
      <c r="AI152" s="176"/>
      <c r="AJ152" s="177"/>
      <c r="AK152" s="178"/>
      <c r="AL152" s="178"/>
      <c r="AM152" s="178"/>
      <c r="AN152" s="178"/>
      <c r="AO152" s="179"/>
      <c r="AP152" s="64"/>
      <c r="AQ152" s="65"/>
      <c r="AR152" s="65"/>
      <c r="AS152" s="65"/>
      <c r="AT152" s="173"/>
      <c r="AU152" s="177"/>
      <c r="AV152" s="178"/>
      <c r="AW152" s="178"/>
      <c r="AX152" s="179"/>
      <c r="AZ152" s="166"/>
      <c r="BA152" s="177"/>
      <c r="BB152" s="178"/>
      <c r="BC152" s="178"/>
      <c r="BD152" s="178"/>
      <c r="BE152" s="178"/>
      <c r="BF152" s="178"/>
      <c r="BG152" s="178"/>
      <c r="BH152" s="178"/>
      <c r="BI152" s="179"/>
      <c r="BJ152" s="180"/>
      <c r="BK152" s="178"/>
      <c r="BL152" s="178"/>
      <c r="BM152" s="178"/>
      <c r="BN152" s="178"/>
      <c r="BO152" s="181"/>
      <c r="BP152" s="166"/>
      <c r="BQ152" s="177"/>
      <c r="BR152" s="178"/>
      <c r="BS152" s="179"/>
      <c r="BU152" s="166"/>
      <c r="BV152" s="166"/>
      <c r="BW152" s="166"/>
      <c r="BX152" s="166"/>
      <c r="BY152" s="166"/>
      <c r="BZ152" s="166"/>
      <c r="CA152" s="166"/>
      <c r="CB152" s="166"/>
      <c r="CC152" s="166"/>
      <c r="CD152" s="177"/>
      <c r="CE152" s="181"/>
      <c r="CF152" s="177"/>
      <c r="CG152" s="179"/>
      <c r="CH152" s="257"/>
      <c r="CI152" s="182"/>
      <c r="CJ152" s="177"/>
      <c r="CK152" s="182"/>
      <c r="CL152" s="177"/>
      <c r="CM152" s="182"/>
      <c r="CN152" s="177"/>
      <c r="CO152" s="182"/>
      <c r="CP152" s="177"/>
      <c r="CQ152" s="178"/>
      <c r="CR152" s="182"/>
      <c r="CS152" s="173"/>
      <c r="CT152" s="65"/>
      <c r="CU152" s="271" t="str">
        <f t="shared" si="2"/>
        <v>AJK</v>
      </c>
    </row>
    <row r="153" ht="60.0" customHeight="1">
      <c r="A153" s="65"/>
      <c r="C153" s="167">
        <v>3.0</v>
      </c>
      <c r="D153" s="168" t="s">
        <v>205</v>
      </c>
      <c r="E153" s="169"/>
      <c r="F153" s="170"/>
      <c r="G153" s="170"/>
      <c r="H153" s="170"/>
      <c r="I153" s="207"/>
      <c r="J153" s="170"/>
      <c r="K153" s="171"/>
      <c r="L153" s="171"/>
      <c r="M153" s="171"/>
      <c r="N153" s="276"/>
      <c r="O153" s="256">
        <f t="shared" si="28"/>
        <v>0</v>
      </c>
      <c r="Q153" s="173"/>
      <c r="R153" s="65"/>
      <c r="S153" s="173"/>
      <c r="T153" s="173"/>
      <c r="U153" s="166"/>
      <c r="V153" s="166"/>
      <c r="W153" s="65"/>
      <c r="X153" s="66"/>
      <c r="Y153" s="173"/>
      <c r="Z153" s="166"/>
      <c r="AA153" s="174"/>
      <c r="AB153" s="175"/>
      <c r="AC153" s="175"/>
      <c r="AD153" s="175"/>
      <c r="AE153" s="175"/>
      <c r="AF153" s="175"/>
      <c r="AG153" s="175"/>
      <c r="AH153" s="175"/>
      <c r="AI153" s="176"/>
      <c r="AJ153" s="177"/>
      <c r="AK153" s="178"/>
      <c r="AL153" s="178"/>
      <c r="AM153" s="178"/>
      <c r="AN153" s="178"/>
      <c r="AO153" s="179"/>
      <c r="AP153" s="64"/>
      <c r="AQ153" s="65"/>
      <c r="AR153" s="65"/>
      <c r="AS153" s="65"/>
      <c r="AT153" s="173"/>
      <c r="AU153" s="177"/>
      <c r="AV153" s="178"/>
      <c r="AW153" s="178"/>
      <c r="AX153" s="179"/>
      <c r="AZ153" s="166"/>
      <c r="BA153" s="177"/>
      <c r="BB153" s="178"/>
      <c r="BC153" s="178"/>
      <c r="BD153" s="178"/>
      <c r="BE153" s="178"/>
      <c r="BF153" s="178"/>
      <c r="BG153" s="178"/>
      <c r="BH153" s="178"/>
      <c r="BI153" s="179"/>
      <c r="BJ153" s="180"/>
      <c r="BK153" s="178"/>
      <c r="BL153" s="178"/>
      <c r="BM153" s="178"/>
      <c r="BN153" s="178"/>
      <c r="BO153" s="181"/>
      <c r="BP153" s="166"/>
      <c r="BQ153" s="177"/>
      <c r="BR153" s="178"/>
      <c r="BS153" s="179"/>
      <c r="BU153" s="166"/>
      <c r="BV153" s="166"/>
      <c r="BW153" s="166"/>
      <c r="BX153" s="166"/>
      <c r="BY153" s="166"/>
      <c r="BZ153" s="166"/>
      <c r="CA153" s="166"/>
      <c r="CB153" s="166"/>
      <c r="CC153" s="166"/>
      <c r="CD153" s="177"/>
      <c r="CE153" s="181"/>
      <c r="CF153" s="177"/>
      <c r="CG153" s="179"/>
      <c r="CH153" s="257"/>
      <c r="CI153" s="182"/>
      <c r="CJ153" s="177"/>
      <c r="CK153" s="182"/>
      <c r="CL153" s="177"/>
      <c r="CM153" s="182"/>
      <c r="CN153" s="177"/>
      <c r="CO153" s="182"/>
      <c r="CP153" s="177"/>
      <c r="CQ153" s="178"/>
      <c r="CR153" s="182"/>
      <c r="CS153" s="173"/>
      <c r="CT153" s="65"/>
      <c r="CU153" s="271" t="str">
        <f t="shared" si="2"/>
        <v>AJK</v>
      </c>
    </row>
    <row r="154" ht="60.0" customHeight="1">
      <c r="A154" s="65"/>
      <c r="C154" s="167">
        <v>4.0</v>
      </c>
      <c r="D154" s="168" t="s">
        <v>205</v>
      </c>
      <c r="E154" s="169"/>
      <c r="F154" s="170"/>
      <c r="G154" s="170"/>
      <c r="H154" s="170"/>
      <c r="I154" s="207"/>
      <c r="J154" s="170"/>
      <c r="K154" s="171"/>
      <c r="L154" s="171"/>
      <c r="M154" s="171"/>
      <c r="N154" s="276"/>
      <c r="O154" s="256">
        <f t="shared" si="28"/>
        <v>0</v>
      </c>
      <c r="Q154" s="173"/>
      <c r="R154" s="65"/>
      <c r="S154" s="173"/>
      <c r="T154" s="173"/>
      <c r="U154" s="166"/>
      <c r="V154" s="166"/>
      <c r="W154" s="65"/>
      <c r="X154" s="66"/>
      <c r="Y154" s="173"/>
      <c r="Z154" s="166"/>
      <c r="AA154" s="174"/>
      <c r="AB154" s="175"/>
      <c r="AC154" s="175"/>
      <c r="AD154" s="175"/>
      <c r="AE154" s="175"/>
      <c r="AF154" s="175"/>
      <c r="AG154" s="175"/>
      <c r="AH154" s="175"/>
      <c r="AI154" s="176"/>
      <c r="AJ154" s="177"/>
      <c r="AK154" s="178"/>
      <c r="AL154" s="178"/>
      <c r="AM154" s="178"/>
      <c r="AN154" s="178"/>
      <c r="AO154" s="179"/>
      <c r="AP154" s="64"/>
      <c r="AQ154" s="65"/>
      <c r="AR154" s="65"/>
      <c r="AS154" s="65"/>
      <c r="AT154" s="173"/>
      <c r="AU154" s="177"/>
      <c r="AV154" s="178"/>
      <c r="AW154" s="178"/>
      <c r="AX154" s="179"/>
      <c r="AZ154" s="166"/>
      <c r="BA154" s="177"/>
      <c r="BB154" s="178"/>
      <c r="BC154" s="178"/>
      <c r="BD154" s="178"/>
      <c r="BE154" s="178"/>
      <c r="BF154" s="178"/>
      <c r="BG154" s="178"/>
      <c r="BH154" s="178"/>
      <c r="BI154" s="179"/>
      <c r="BJ154" s="180"/>
      <c r="BK154" s="178"/>
      <c r="BL154" s="178"/>
      <c r="BM154" s="178"/>
      <c r="BN154" s="178"/>
      <c r="BO154" s="181"/>
      <c r="BP154" s="166"/>
      <c r="BQ154" s="177"/>
      <c r="BR154" s="178"/>
      <c r="BS154" s="179"/>
      <c r="BU154" s="166"/>
      <c r="BV154" s="166"/>
      <c r="BW154" s="166"/>
      <c r="BX154" s="166"/>
      <c r="BY154" s="166"/>
      <c r="BZ154" s="166"/>
      <c r="CA154" s="166"/>
      <c r="CB154" s="166"/>
      <c r="CC154" s="166"/>
      <c r="CD154" s="177"/>
      <c r="CE154" s="181"/>
      <c r="CF154" s="177"/>
      <c r="CG154" s="179"/>
      <c r="CH154" s="257"/>
      <c r="CI154" s="182"/>
      <c r="CJ154" s="177"/>
      <c r="CK154" s="182"/>
      <c r="CL154" s="177"/>
      <c r="CM154" s="182"/>
      <c r="CN154" s="177"/>
      <c r="CO154" s="182"/>
      <c r="CP154" s="177"/>
      <c r="CQ154" s="178"/>
      <c r="CR154" s="182"/>
      <c r="CS154" s="173"/>
      <c r="CT154" s="65"/>
      <c r="CU154" s="271" t="str">
        <f t="shared" si="2"/>
        <v>AJK</v>
      </c>
    </row>
    <row r="155" ht="60.0" customHeight="1">
      <c r="A155" s="65"/>
      <c r="C155" s="167">
        <v>5.0</v>
      </c>
      <c r="D155" s="168" t="s">
        <v>205</v>
      </c>
      <c r="E155" s="169"/>
      <c r="F155" s="170"/>
      <c r="G155" s="170"/>
      <c r="H155" s="170"/>
      <c r="I155" s="207"/>
      <c r="J155" s="170"/>
      <c r="K155" s="171"/>
      <c r="L155" s="171"/>
      <c r="M155" s="171"/>
      <c r="N155" s="276"/>
      <c r="O155" s="256">
        <f t="shared" si="28"/>
        <v>0</v>
      </c>
      <c r="Q155" s="173"/>
      <c r="R155" s="65"/>
      <c r="S155" s="173"/>
      <c r="T155" s="173"/>
      <c r="U155" s="166"/>
      <c r="V155" s="166"/>
      <c r="W155" s="65"/>
      <c r="X155" s="66"/>
      <c r="Y155" s="173"/>
      <c r="Z155" s="166"/>
      <c r="AA155" s="174"/>
      <c r="AB155" s="175"/>
      <c r="AC155" s="175"/>
      <c r="AD155" s="175"/>
      <c r="AE155" s="175"/>
      <c r="AF155" s="175"/>
      <c r="AG155" s="175"/>
      <c r="AH155" s="175"/>
      <c r="AI155" s="176"/>
      <c r="AJ155" s="177"/>
      <c r="AK155" s="178"/>
      <c r="AL155" s="178"/>
      <c r="AM155" s="178"/>
      <c r="AN155" s="178"/>
      <c r="AO155" s="179"/>
      <c r="AP155" s="64"/>
      <c r="AQ155" s="65"/>
      <c r="AR155" s="65"/>
      <c r="AS155" s="65"/>
      <c r="AT155" s="173"/>
      <c r="AU155" s="177"/>
      <c r="AV155" s="178"/>
      <c r="AW155" s="178"/>
      <c r="AX155" s="179"/>
      <c r="AZ155" s="166"/>
      <c r="BA155" s="177"/>
      <c r="BB155" s="178"/>
      <c r="BC155" s="178"/>
      <c r="BD155" s="178"/>
      <c r="BE155" s="178"/>
      <c r="BF155" s="178"/>
      <c r="BG155" s="178"/>
      <c r="BH155" s="178"/>
      <c r="BI155" s="179"/>
      <c r="BJ155" s="180"/>
      <c r="BK155" s="178"/>
      <c r="BL155" s="178"/>
      <c r="BM155" s="178"/>
      <c r="BN155" s="178"/>
      <c r="BO155" s="181"/>
      <c r="BP155" s="166"/>
      <c r="BQ155" s="177"/>
      <c r="BR155" s="178"/>
      <c r="BS155" s="179"/>
      <c r="BU155" s="166"/>
      <c r="BV155" s="166"/>
      <c r="BW155" s="166"/>
      <c r="BX155" s="166"/>
      <c r="BY155" s="166"/>
      <c r="BZ155" s="166"/>
      <c r="CA155" s="166"/>
      <c r="CB155" s="166"/>
      <c r="CC155" s="166"/>
      <c r="CD155" s="177"/>
      <c r="CE155" s="181"/>
      <c r="CF155" s="177"/>
      <c r="CG155" s="179"/>
      <c r="CH155" s="257"/>
      <c r="CI155" s="182"/>
      <c r="CJ155" s="177"/>
      <c r="CK155" s="182"/>
      <c r="CL155" s="177"/>
      <c r="CM155" s="182"/>
      <c r="CN155" s="177"/>
      <c r="CO155" s="182"/>
      <c r="CP155" s="177"/>
      <c r="CQ155" s="178"/>
      <c r="CR155" s="182"/>
      <c r="CS155" s="173"/>
      <c r="CT155" s="65"/>
      <c r="CU155" s="271" t="str">
        <f t="shared" si="2"/>
        <v>AJK</v>
      </c>
    </row>
    <row r="156" ht="60.0" customHeight="1">
      <c r="A156" s="65"/>
      <c r="C156" s="167">
        <v>6.0</v>
      </c>
      <c r="D156" s="168" t="s">
        <v>205</v>
      </c>
      <c r="E156" s="169"/>
      <c r="F156" s="170"/>
      <c r="G156" s="170"/>
      <c r="H156" s="170"/>
      <c r="I156" s="207"/>
      <c r="J156" s="170"/>
      <c r="K156" s="171"/>
      <c r="L156" s="171"/>
      <c r="M156" s="171"/>
      <c r="N156" s="276"/>
      <c r="O156" s="256">
        <f t="shared" si="28"/>
        <v>0</v>
      </c>
      <c r="Q156" s="173"/>
      <c r="R156" s="65"/>
      <c r="S156" s="173"/>
      <c r="T156" s="173"/>
      <c r="U156" s="166"/>
      <c r="V156" s="166"/>
      <c r="W156" s="65"/>
      <c r="X156" s="66"/>
      <c r="Y156" s="173"/>
      <c r="Z156" s="166"/>
      <c r="AA156" s="174"/>
      <c r="AB156" s="175"/>
      <c r="AC156" s="175"/>
      <c r="AD156" s="175"/>
      <c r="AE156" s="175"/>
      <c r="AF156" s="175"/>
      <c r="AG156" s="175"/>
      <c r="AH156" s="175"/>
      <c r="AI156" s="176"/>
      <c r="AJ156" s="177"/>
      <c r="AK156" s="178"/>
      <c r="AL156" s="178"/>
      <c r="AM156" s="178"/>
      <c r="AN156" s="178"/>
      <c r="AO156" s="179"/>
      <c r="AP156" s="64"/>
      <c r="AQ156" s="65"/>
      <c r="AR156" s="65"/>
      <c r="AS156" s="65"/>
      <c r="AT156" s="173"/>
      <c r="AU156" s="177"/>
      <c r="AV156" s="178"/>
      <c r="AW156" s="178"/>
      <c r="AX156" s="179"/>
      <c r="AZ156" s="166"/>
      <c r="BA156" s="177"/>
      <c r="BB156" s="178"/>
      <c r="BC156" s="178"/>
      <c r="BD156" s="178"/>
      <c r="BE156" s="178"/>
      <c r="BF156" s="178"/>
      <c r="BG156" s="178"/>
      <c r="BH156" s="178"/>
      <c r="BI156" s="179"/>
      <c r="BJ156" s="180"/>
      <c r="BK156" s="178"/>
      <c r="BL156" s="178"/>
      <c r="BM156" s="178"/>
      <c r="BN156" s="178"/>
      <c r="BO156" s="181"/>
      <c r="BP156" s="166"/>
      <c r="BQ156" s="177"/>
      <c r="BR156" s="178"/>
      <c r="BS156" s="179"/>
      <c r="BU156" s="166"/>
      <c r="BV156" s="166"/>
      <c r="BW156" s="166"/>
      <c r="BX156" s="166"/>
      <c r="BY156" s="166"/>
      <c r="BZ156" s="166"/>
      <c r="CA156" s="166"/>
      <c r="CB156" s="166"/>
      <c r="CC156" s="166"/>
      <c r="CD156" s="177"/>
      <c r="CE156" s="181"/>
      <c r="CF156" s="177"/>
      <c r="CG156" s="179"/>
      <c r="CH156" s="257"/>
      <c r="CI156" s="182"/>
      <c r="CJ156" s="177"/>
      <c r="CK156" s="182"/>
      <c r="CL156" s="177"/>
      <c r="CM156" s="182"/>
      <c r="CN156" s="177"/>
      <c r="CO156" s="182"/>
      <c r="CP156" s="177"/>
      <c r="CQ156" s="178"/>
      <c r="CR156" s="182"/>
      <c r="CS156" s="173"/>
      <c r="CT156" s="65"/>
      <c r="CU156" s="271" t="str">
        <f t="shared" si="2"/>
        <v>AJK</v>
      </c>
    </row>
    <row r="157" ht="60.0" customHeight="1">
      <c r="A157" s="65"/>
      <c r="C157" s="167">
        <v>7.0</v>
      </c>
      <c r="D157" s="168" t="s">
        <v>205</v>
      </c>
      <c r="E157" s="169"/>
      <c r="F157" s="170"/>
      <c r="G157" s="170"/>
      <c r="H157" s="170"/>
      <c r="I157" s="207"/>
      <c r="J157" s="170"/>
      <c r="K157" s="171"/>
      <c r="L157" s="171"/>
      <c r="M157" s="171"/>
      <c r="N157" s="276"/>
      <c r="O157" s="256">
        <f t="shared" ref="O157:O160" si="29">IF(AND(M157&gt;=20,M157&lt;&gt;"m",RIGHT(K157,3)="Lec"),1,IF(AND(M157&gt;=20,M157&lt;&gt;"m",OR(RIGHT(K157,3)="Lab",RIGHT(K157,3)="Tut")),0.5,IF(AND(M157&gt;=20,M157&lt;&gt;"m",RIGHT(K157,2)="TL"),0.75,0)))</f>
        <v>0</v>
      </c>
      <c r="Q157" s="173"/>
      <c r="R157" s="65"/>
      <c r="S157" s="173"/>
      <c r="T157" s="173"/>
      <c r="U157" s="166"/>
      <c r="V157" s="166"/>
      <c r="W157" s="65"/>
      <c r="X157" s="66"/>
      <c r="Y157" s="173"/>
      <c r="Z157" s="166"/>
      <c r="AA157" s="174"/>
      <c r="AB157" s="175"/>
      <c r="AC157" s="175"/>
      <c r="AD157" s="175"/>
      <c r="AE157" s="175"/>
      <c r="AF157" s="175"/>
      <c r="AG157" s="175"/>
      <c r="AH157" s="175"/>
      <c r="AI157" s="176"/>
      <c r="AJ157" s="177"/>
      <c r="AK157" s="178"/>
      <c r="AL157" s="178"/>
      <c r="AM157" s="178"/>
      <c r="AN157" s="178"/>
      <c r="AO157" s="179"/>
      <c r="AP157" s="64"/>
      <c r="AQ157" s="65"/>
      <c r="AR157" s="65"/>
      <c r="AS157" s="65"/>
      <c r="AT157" s="173"/>
      <c r="AU157" s="177"/>
      <c r="AV157" s="178"/>
      <c r="AW157" s="178"/>
      <c r="AX157" s="179"/>
      <c r="AZ157" s="166"/>
      <c r="BA157" s="177"/>
      <c r="BB157" s="178"/>
      <c r="BC157" s="178"/>
      <c r="BD157" s="178"/>
      <c r="BE157" s="178"/>
      <c r="BF157" s="178"/>
      <c r="BG157" s="178"/>
      <c r="BH157" s="178"/>
      <c r="BI157" s="179"/>
      <c r="BJ157" s="180"/>
      <c r="BK157" s="178"/>
      <c r="BL157" s="178"/>
      <c r="BM157" s="178"/>
      <c r="BN157" s="178"/>
      <c r="BO157" s="181"/>
      <c r="BP157" s="166"/>
      <c r="BQ157" s="177"/>
      <c r="BR157" s="178"/>
      <c r="BS157" s="179"/>
      <c r="BU157" s="166"/>
      <c r="BV157" s="166"/>
      <c r="BW157" s="166"/>
      <c r="BX157" s="166"/>
      <c r="BY157" s="166"/>
      <c r="BZ157" s="166"/>
      <c r="CA157" s="166"/>
      <c r="CB157" s="166"/>
      <c r="CC157" s="166"/>
      <c r="CD157" s="177"/>
      <c r="CE157" s="181"/>
      <c r="CF157" s="177"/>
      <c r="CG157" s="179"/>
      <c r="CH157" s="257"/>
      <c r="CI157" s="182"/>
      <c r="CJ157" s="177"/>
      <c r="CK157" s="182"/>
      <c r="CL157" s="177"/>
      <c r="CM157" s="182"/>
      <c r="CN157" s="177"/>
      <c r="CO157" s="182"/>
      <c r="CP157" s="177"/>
      <c r="CQ157" s="178"/>
      <c r="CR157" s="182"/>
      <c r="CS157" s="173"/>
      <c r="CT157" s="65"/>
      <c r="CU157" s="271" t="str">
        <f t="shared" si="2"/>
        <v>AJK</v>
      </c>
    </row>
    <row r="158" ht="60.0" customHeight="1">
      <c r="A158" s="65"/>
      <c r="C158" s="167">
        <v>8.0</v>
      </c>
      <c r="D158" s="168" t="s">
        <v>205</v>
      </c>
      <c r="E158" s="169"/>
      <c r="F158" s="170"/>
      <c r="G158" s="170"/>
      <c r="H158" s="170"/>
      <c r="I158" s="207"/>
      <c r="J158" s="170"/>
      <c r="K158" s="171"/>
      <c r="L158" s="171"/>
      <c r="M158" s="171"/>
      <c r="N158" s="276"/>
      <c r="O158" s="256">
        <f t="shared" si="29"/>
        <v>0</v>
      </c>
      <c r="Q158" s="173"/>
      <c r="R158" s="65"/>
      <c r="S158" s="173"/>
      <c r="T158" s="173"/>
      <c r="U158" s="166"/>
      <c r="V158" s="166"/>
      <c r="W158" s="65"/>
      <c r="X158" s="66"/>
      <c r="Y158" s="173"/>
      <c r="Z158" s="166"/>
      <c r="AA158" s="174"/>
      <c r="AB158" s="175"/>
      <c r="AC158" s="175"/>
      <c r="AD158" s="175"/>
      <c r="AE158" s="175"/>
      <c r="AF158" s="175"/>
      <c r="AG158" s="175"/>
      <c r="AH158" s="175"/>
      <c r="AI158" s="176"/>
      <c r="AJ158" s="177"/>
      <c r="AK158" s="178"/>
      <c r="AL158" s="178"/>
      <c r="AM158" s="178"/>
      <c r="AN158" s="178"/>
      <c r="AO158" s="179"/>
      <c r="AP158" s="64"/>
      <c r="AQ158" s="65"/>
      <c r="AR158" s="65"/>
      <c r="AS158" s="65"/>
      <c r="AT158" s="173"/>
      <c r="AU158" s="177"/>
      <c r="AV158" s="178"/>
      <c r="AW158" s="178"/>
      <c r="AX158" s="179"/>
      <c r="AZ158" s="166"/>
      <c r="BA158" s="177"/>
      <c r="BB158" s="178"/>
      <c r="BC158" s="178"/>
      <c r="BD158" s="178"/>
      <c r="BE158" s="178"/>
      <c r="BF158" s="178"/>
      <c r="BG158" s="178"/>
      <c r="BH158" s="178"/>
      <c r="BI158" s="179"/>
      <c r="BJ158" s="180"/>
      <c r="BK158" s="178"/>
      <c r="BL158" s="178"/>
      <c r="BM158" s="178"/>
      <c r="BN158" s="178"/>
      <c r="BO158" s="181"/>
      <c r="BP158" s="166"/>
      <c r="BQ158" s="177"/>
      <c r="BR158" s="178"/>
      <c r="BS158" s="179"/>
      <c r="BU158" s="166"/>
      <c r="BV158" s="166"/>
      <c r="BW158" s="166"/>
      <c r="BX158" s="166"/>
      <c r="BY158" s="166"/>
      <c r="BZ158" s="166"/>
      <c r="CA158" s="166"/>
      <c r="CB158" s="166"/>
      <c r="CC158" s="166"/>
      <c r="CD158" s="177"/>
      <c r="CE158" s="181"/>
      <c r="CF158" s="177"/>
      <c r="CG158" s="179"/>
      <c r="CH158" s="257"/>
      <c r="CI158" s="182"/>
      <c r="CJ158" s="177"/>
      <c r="CK158" s="182"/>
      <c r="CL158" s="177"/>
      <c r="CM158" s="182"/>
      <c r="CN158" s="177"/>
      <c r="CO158" s="182"/>
      <c r="CP158" s="177"/>
      <c r="CQ158" s="178"/>
      <c r="CR158" s="182"/>
      <c r="CS158" s="173"/>
      <c r="CT158" s="65"/>
      <c r="CU158" s="271" t="str">
        <f t="shared" si="2"/>
        <v>AJK</v>
      </c>
    </row>
    <row r="159" ht="60.0" customHeight="1">
      <c r="A159" s="65"/>
      <c r="C159" s="167">
        <v>9.0</v>
      </c>
      <c r="D159" s="168" t="s">
        <v>205</v>
      </c>
      <c r="E159" s="169"/>
      <c r="F159" s="170"/>
      <c r="G159" s="170"/>
      <c r="H159" s="170"/>
      <c r="I159" s="207"/>
      <c r="J159" s="170"/>
      <c r="K159" s="171"/>
      <c r="L159" s="171"/>
      <c r="M159" s="171"/>
      <c r="N159" s="276"/>
      <c r="O159" s="256">
        <f t="shared" si="29"/>
        <v>0</v>
      </c>
      <c r="Q159" s="173"/>
      <c r="R159" s="65"/>
      <c r="S159" s="173"/>
      <c r="T159" s="173"/>
      <c r="U159" s="166"/>
      <c r="V159" s="166"/>
      <c r="W159" s="65"/>
      <c r="X159" s="66"/>
      <c r="Y159" s="173"/>
      <c r="Z159" s="166"/>
      <c r="AA159" s="174"/>
      <c r="AB159" s="175"/>
      <c r="AC159" s="175"/>
      <c r="AD159" s="175"/>
      <c r="AE159" s="175"/>
      <c r="AF159" s="175"/>
      <c r="AG159" s="175"/>
      <c r="AH159" s="175"/>
      <c r="AI159" s="176"/>
      <c r="AJ159" s="177"/>
      <c r="AK159" s="178"/>
      <c r="AL159" s="178"/>
      <c r="AM159" s="178"/>
      <c r="AN159" s="178"/>
      <c r="AO159" s="179"/>
      <c r="AP159" s="64"/>
      <c r="AQ159" s="65"/>
      <c r="AR159" s="65"/>
      <c r="AS159" s="65"/>
      <c r="AT159" s="173"/>
      <c r="AU159" s="177"/>
      <c r="AV159" s="178"/>
      <c r="AW159" s="178"/>
      <c r="AX159" s="179"/>
      <c r="AZ159" s="166"/>
      <c r="BA159" s="177"/>
      <c r="BB159" s="178"/>
      <c r="BC159" s="178"/>
      <c r="BD159" s="178"/>
      <c r="BE159" s="178"/>
      <c r="BF159" s="178"/>
      <c r="BG159" s="178"/>
      <c r="BH159" s="178"/>
      <c r="BI159" s="179"/>
      <c r="BJ159" s="180"/>
      <c r="BK159" s="178"/>
      <c r="BL159" s="178"/>
      <c r="BM159" s="178"/>
      <c r="BN159" s="178"/>
      <c r="BO159" s="181"/>
      <c r="BP159" s="166"/>
      <c r="BQ159" s="177"/>
      <c r="BR159" s="178"/>
      <c r="BS159" s="179"/>
      <c r="BU159" s="166"/>
      <c r="BV159" s="166"/>
      <c r="BW159" s="166"/>
      <c r="BX159" s="166"/>
      <c r="BY159" s="166"/>
      <c r="BZ159" s="166"/>
      <c r="CA159" s="166"/>
      <c r="CB159" s="166"/>
      <c r="CC159" s="166"/>
      <c r="CD159" s="177"/>
      <c r="CE159" s="181"/>
      <c r="CF159" s="177"/>
      <c r="CG159" s="179"/>
      <c r="CH159" s="257"/>
      <c r="CI159" s="182"/>
      <c r="CJ159" s="177"/>
      <c r="CK159" s="182"/>
      <c r="CL159" s="177"/>
      <c r="CM159" s="182"/>
      <c r="CN159" s="177"/>
      <c r="CO159" s="182"/>
      <c r="CP159" s="177"/>
      <c r="CQ159" s="178"/>
      <c r="CR159" s="182"/>
      <c r="CS159" s="173"/>
      <c r="CT159" s="65"/>
      <c r="CU159" s="271" t="str">
        <f t="shared" si="2"/>
        <v>AJK</v>
      </c>
    </row>
    <row r="160" ht="60.0" customHeight="1">
      <c r="A160" s="65"/>
      <c r="C160" s="167">
        <v>10.0</v>
      </c>
      <c r="D160" s="168" t="s">
        <v>205</v>
      </c>
      <c r="E160" s="169"/>
      <c r="F160" s="170"/>
      <c r="G160" s="170"/>
      <c r="H160" s="170"/>
      <c r="I160" s="207"/>
      <c r="J160" s="170"/>
      <c r="K160" s="171"/>
      <c r="L160" s="171"/>
      <c r="M160" s="171"/>
      <c r="N160" s="276"/>
      <c r="O160" s="256">
        <f t="shared" si="29"/>
        <v>0</v>
      </c>
      <c r="Q160" s="173"/>
      <c r="R160" s="65"/>
      <c r="S160" s="173"/>
      <c r="T160" s="173"/>
      <c r="U160" s="166"/>
      <c r="V160" s="166"/>
      <c r="W160" s="65"/>
      <c r="X160" s="66"/>
      <c r="Y160" s="173"/>
      <c r="Z160" s="166"/>
      <c r="AA160" s="174"/>
      <c r="AB160" s="175"/>
      <c r="AC160" s="175"/>
      <c r="AD160" s="175"/>
      <c r="AE160" s="175"/>
      <c r="AF160" s="175"/>
      <c r="AG160" s="175"/>
      <c r="AH160" s="175"/>
      <c r="AI160" s="176"/>
      <c r="AJ160" s="177"/>
      <c r="AK160" s="178"/>
      <c r="AL160" s="178"/>
      <c r="AM160" s="178"/>
      <c r="AN160" s="178"/>
      <c r="AO160" s="179"/>
      <c r="AP160" s="64"/>
      <c r="AQ160" s="65"/>
      <c r="AR160" s="65"/>
      <c r="AS160" s="65"/>
      <c r="AT160" s="173"/>
      <c r="AU160" s="177"/>
      <c r="AV160" s="178"/>
      <c r="AW160" s="178"/>
      <c r="AX160" s="179"/>
      <c r="AZ160" s="166"/>
      <c r="BA160" s="177"/>
      <c r="BB160" s="178"/>
      <c r="BC160" s="178"/>
      <c r="BD160" s="178"/>
      <c r="BE160" s="178"/>
      <c r="BF160" s="178"/>
      <c r="BG160" s="178"/>
      <c r="BH160" s="178"/>
      <c r="BI160" s="179"/>
      <c r="BJ160" s="180"/>
      <c r="BK160" s="178"/>
      <c r="BL160" s="178"/>
      <c r="BM160" s="178"/>
      <c r="BN160" s="178"/>
      <c r="BO160" s="181"/>
      <c r="BP160" s="166"/>
      <c r="BQ160" s="177"/>
      <c r="BR160" s="178"/>
      <c r="BS160" s="179"/>
      <c r="BU160" s="166"/>
      <c r="BV160" s="166"/>
      <c r="BW160" s="166"/>
      <c r="BX160" s="166"/>
      <c r="BY160" s="166"/>
      <c r="BZ160" s="166"/>
      <c r="CA160" s="166"/>
      <c r="CB160" s="166"/>
      <c r="CC160" s="166"/>
      <c r="CD160" s="177"/>
      <c r="CE160" s="181"/>
      <c r="CF160" s="177"/>
      <c r="CG160" s="179"/>
      <c r="CH160" s="257"/>
      <c r="CI160" s="182"/>
      <c r="CJ160" s="177"/>
      <c r="CK160" s="182"/>
      <c r="CL160" s="177"/>
      <c r="CM160" s="182"/>
      <c r="CN160" s="177"/>
      <c r="CO160" s="182"/>
      <c r="CP160" s="177"/>
      <c r="CQ160" s="178"/>
      <c r="CR160" s="182"/>
      <c r="CS160" s="173"/>
      <c r="CT160" s="65"/>
      <c r="CU160" s="271" t="str">
        <f t="shared" si="2"/>
        <v>AJK</v>
      </c>
    </row>
    <row r="161" ht="60.0" customHeight="1">
      <c r="A161" s="89"/>
      <c r="C161" s="183">
        <v>11.0</v>
      </c>
      <c r="D161" s="210" t="s">
        <v>205</v>
      </c>
      <c r="E161" s="185"/>
      <c r="F161" s="186"/>
      <c r="G161" s="186"/>
      <c r="H161" s="186"/>
      <c r="I161" s="212"/>
      <c r="J161" s="186"/>
      <c r="K161" s="187"/>
      <c r="L161" s="187"/>
      <c r="M161" s="187"/>
      <c r="N161" s="284"/>
      <c r="O161" s="258">
        <f t="shared" ref="O161:O167" si="30">IF(AND(M161&lt;&gt;0,M161&lt;&gt;"m",M161&lt;&gt;"",RIGHT(K161,3)="Lec"),1,IF(AND(M161&lt;&gt;0,M161&lt;&gt;"m",M161&lt;&gt;"",OR(RIGHT(K161,3)="Lab",RIGHT(K161,3)="Tut")),0.5,IF(AND(M161&lt;&gt;0,M161&lt;&gt;"m",M161&lt;&gt;"",RIGHT(K161,2)="TL"),0.75,0)))</f>
        <v>0</v>
      </c>
      <c r="P161" s="6"/>
      <c r="Q161" s="69"/>
      <c r="R161" s="89"/>
      <c r="S161" s="69"/>
      <c r="T161" s="69"/>
      <c r="U161" s="63"/>
      <c r="V161" s="63"/>
      <c r="W161" s="89"/>
      <c r="X161" s="68"/>
      <c r="Y161" s="69"/>
      <c r="Z161" s="63"/>
      <c r="AA161" s="189"/>
      <c r="AB161" s="190"/>
      <c r="AC161" s="190"/>
      <c r="AD161" s="190"/>
      <c r="AE161" s="190"/>
      <c r="AF161" s="190"/>
      <c r="AG161" s="190"/>
      <c r="AH161" s="190"/>
      <c r="AI161" s="191"/>
      <c r="AJ161" s="192"/>
      <c r="AK161" s="193"/>
      <c r="AL161" s="193"/>
      <c r="AM161" s="193"/>
      <c r="AN161" s="193"/>
      <c r="AO161" s="194"/>
      <c r="AP161" s="103"/>
      <c r="AQ161" s="89"/>
      <c r="AR161" s="89"/>
      <c r="AS161" s="89"/>
      <c r="AT161" s="69"/>
      <c r="AU161" s="192"/>
      <c r="AV161" s="193"/>
      <c r="AW161" s="193"/>
      <c r="AX161" s="194"/>
      <c r="AY161" s="6"/>
      <c r="AZ161" s="63"/>
      <c r="BA161" s="192"/>
      <c r="BB161" s="193"/>
      <c r="BC161" s="193"/>
      <c r="BD161" s="193"/>
      <c r="BE161" s="193"/>
      <c r="BF161" s="193"/>
      <c r="BG161" s="193"/>
      <c r="BH161" s="193"/>
      <c r="BI161" s="194"/>
      <c r="BJ161" s="195"/>
      <c r="BK161" s="193"/>
      <c r="BL161" s="193"/>
      <c r="BM161" s="193"/>
      <c r="BN161" s="193"/>
      <c r="BO161" s="196"/>
      <c r="BP161" s="63"/>
      <c r="BQ161" s="192"/>
      <c r="BR161" s="193"/>
      <c r="BS161" s="194"/>
      <c r="BT161" s="6"/>
      <c r="BU161" s="63"/>
      <c r="BV161" s="63"/>
      <c r="BW161" s="63"/>
      <c r="BX161" s="63"/>
      <c r="BY161" s="63"/>
      <c r="BZ161" s="63"/>
      <c r="CA161" s="63"/>
      <c r="CB161" s="63"/>
      <c r="CC161" s="63"/>
      <c r="CD161" s="192"/>
      <c r="CE161" s="196"/>
      <c r="CF161" s="192"/>
      <c r="CG161" s="194"/>
      <c r="CH161" s="259"/>
      <c r="CI161" s="197"/>
      <c r="CJ161" s="192"/>
      <c r="CK161" s="197"/>
      <c r="CL161" s="192"/>
      <c r="CM161" s="197"/>
      <c r="CN161" s="192"/>
      <c r="CO161" s="197"/>
      <c r="CP161" s="192"/>
      <c r="CQ161" s="193"/>
      <c r="CR161" s="197"/>
      <c r="CS161" s="69"/>
      <c r="CT161" s="89"/>
      <c r="CU161" s="272" t="str">
        <f t="shared" si="2"/>
        <v>AJK</v>
      </c>
    </row>
    <row r="162" ht="55.5" hidden="1" customHeight="1">
      <c r="A162" s="125"/>
      <c r="B162" s="199"/>
      <c r="C162" s="127"/>
      <c r="D162" s="128"/>
      <c r="E162" s="260"/>
      <c r="F162" s="261"/>
      <c r="G162" s="261"/>
      <c r="H162" s="261"/>
      <c r="I162" s="261"/>
      <c r="J162" s="170"/>
      <c r="K162" s="219"/>
      <c r="L162" s="219"/>
      <c r="M162" s="219"/>
      <c r="N162" s="220"/>
      <c r="O162" s="270">
        <f t="shared" si="30"/>
        <v>0</v>
      </c>
      <c r="P162" s="133">
        <f>COUNTIF(K162:K172,"TL")*0.75+COUNTIF(K162:K172,"Lec")*1+COUNTIF(K162:K172,"Lab")*0.5</f>
        <v>0</v>
      </c>
      <c r="Q162" s="134">
        <f>SUM((IF(LEFT(K162,1)="E",O162,0)),(IF(LEFT(K163,1)="E",O163,0)),(IF(LEFT(K164,1)="E",O164,0)),(IF(LEFT(K165,1)="E",O165,0)),(IF(LEFT(K166,1)="E",O166,0)),(IF(LEFT(K167,1)="E",O167,0)),(IF(LEFT(K168,1)="E",O168,0)),(IF(LEFT(K169,1)="E",O169,0)),(IF(LEFT(K170,1)="E",O170,0)),(IF(LEFT(K171,1)="E",O171,0)),(IF(LEFT(K172,1)="E",O172,0)))</f>
        <v>0</v>
      </c>
      <c r="R162" s="135">
        <f>SUM(IF(M168&lt;20,IF(K168="Plec",-1,IF(K168="PTL",-0.75,IF(K168="Plab",-0.5,0))),0),IF(M169&lt;20,IF(K169="Plec",-1,IF(K169="PTL",-0.75,IF(K169="Plab",-0.5,0))),0),IF(M170&lt;20,IF(K170="Plec",-1,IF(K170="PTL",-0.75,IF(K170="Plab",-0.5,0))),0),IF(M171&lt;20,IF(K171="Plec",-1,IF(K171="PTL",-0.75,IF(K171="Plab",-0.5,0))),0))</f>
        <v>0</v>
      </c>
      <c r="S162" s="134">
        <f>SUM(P162:R172)</f>
        <v>0</v>
      </c>
      <c r="T162" s="136">
        <f>SUM(IF(M162="M",IF(OR(K162="lec",K162="plec",K162="slec"),1,IF(OR(K162="lab",K162="plab",K162="slab",K162="tut",K162="ptut",K162="stut"),0.5,IF(OR(K162="TL",K162="pTL",K162="STL"),0.75,0))),0),IF(M163="M",IF(OR(K163="lec",K163="plec",K163="slec"),1,IF(OR(K163="lab",K163="plab",K163="slab",K163="tut",K163="ptut",K163="stut"),0.5,IF(OR(K163="TL",K163="pTL",K163="STL"),0.75,0))),0),IF(M164="M",IF(OR(K164="lec",K164="plec",K164="slec"),1,IF(OR(K164="lab",K164="plab",K164="slab",K164="tut",K164="ptut",K164="stut"),0.5,IF(OR(K164="TL",K164="pTL",K164="STL"),0.75,0))),0),IF(M165="M",IF(OR(K165="lec",K165="plec",K165="slec"),1,IF(OR(K165="lab",K165="plab",K165="slab",K165="tut",K165="ptut",K165="stut"),0.5,IF(OR(K165="TL",K165="pTL",K165="STL"),0.75,0))),0),IF(M166="M",IF(OR(K166="lec",K166="plec",K166="slec"),1,IF(OR(K166="lab",K166="plab",K166="slab",K166="tut",K166="ptut",K166="stut"),0.5,IF(OR(K166="TL",K166="pTL",K166="STL"),0.75,0))),0),IF(M167="M",IF(OR(K167="lec",K167="plec",K167="slec"),1,IF(OR(K167="lab",K167="plab",K167="slab",K167="tut",K167="ptut",K167="stut"),0.5,IF(OR(K167="TL",K167="pTL",K167="STL"),0.75,0))),0),IF(M168="M",IF(OR(K168="lec",K168="plec",K168="slec"),1,IF(OR(K168="lab",K168="plab",K168="slab",K168="tut",K168="ptut",K168="stut"),0.5,IF(OR(K168="TL",K168="pTL",K168="STL"),0.75,0))),0),IF(M169="M",IF(OR(K169="lec",K169="plec",K169="slec"),1,IF(OR(K169="lab",K169="plab",K169="slab",K169="tut",K169="ptut",K169="stut"),0.5,IF(OR(K169="TL",K169="pTL",K169="STL"),0.75,0))),0),IF(M170="M",IF(OR(K170="lec",K170="plec",K170="slec"),1,IF(OR(K170="lab",K170="plab",K170="slab",K170="tut",K170="ptut",K170="stut"),0.5,IF(OR(K170="TL",K170="pTL",K170="STL"),0.75,0))),0),IF(M171="M",IF(OR(K171="lec",K171="plec",K171="slec"),1,IF(OR(K171="lab",K171="plab",K171="slab",K171="tut",K171="ptut",K171="stut"),0.5,IF(OR(K171="TL",K171="pTL",K171="STL"),0.75,0))),0),IF(M172="M",IF(OR(K172="lec",K172="plec",K172="slec"),1,IF(OR(K172="lab",K172="plab",K172="slab",K172="tut",K172="ptut",K172="stut"),0.5,IF(OR(K172="TL",K172="pTL",K172="STL"),0.75,0))),0))</f>
        <v>0</v>
      </c>
      <c r="U162" s="137"/>
      <c r="V162" s="133"/>
      <c r="W162" s="138"/>
      <c r="X162" s="139">
        <f>S162-(T162+U162+V162+W162)</f>
        <v>0</v>
      </c>
      <c r="Y162" s="134" t="str">
        <f>CONCATENATE(SUM(O162:O172),"(",SUM(O162:O172)-X162,")")</f>
        <v>0(0)</v>
      </c>
      <c r="Z162" s="140"/>
      <c r="AA162" s="141"/>
      <c r="AB162" s="142"/>
      <c r="AC162" s="142"/>
      <c r="AD162" s="142"/>
      <c r="AE162" s="142"/>
      <c r="AF162" s="142"/>
      <c r="AG162" s="142"/>
      <c r="AH162" s="142"/>
      <c r="AI162" s="143"/>
      <c r="AJ162" s="144"/>
      <c r="AK162" s="145"/>
      <c r="AL162" s="145"/>
      <c r="AM162" s="145"/>
      <c r="AN162" s="145"/>
      <c r="AO162" s="146"/>
      <c r="AP162" s="147">
        <f>SUM(SUM(O162:O172),SUM(AI162:AI172)/2,AM162)</f>
        <v>0</v>
      </c>
      <c r="AQ162" s="148"/>
      <c r="AR162" s="148">
        <f>AP162*AQ162</f>
        <v>0</v>
      </c>
      <c r="AS162" s="148">
        <f>CT162</f>
        <v>0</v>
      </c>
      <c r="AT162" s="149">
        <f>AR162*0.75+AS162*0.25</f>
        <v>0</v>
      </c>
      <c r="AU162" s="150"/>
      <c r="AV162" s="151"/>
      <c r="AW162" s="151"/>
      <c r="AX162" s="152"/>
      <c r="AY162" s="153"/>
      <c r="AZ162" s="140"/>
      <c r="BA162" s="150"/>
      <c r="BB162" s="151"/>
      <c r="BC162" s="151"/>
      <c r="BD162" s="151"/>
      <c r="BE162" s="151"/>
      <c r="BF162" s="151"/>
      <c r="BG162" s="151"/>
      <c r="BH162" s="151"/>
      <c r="BI162" s="152"/>
      <c r="BJ162" s="154"/>
      <c r="BK162" s="151"/>
      <c r="BL162" s="151"/>
      <c r="BM162" s="151"/>
      <c r="BN162" s="151"/>
      <c r="BO162" s="155"/>
      <c r="BP162" s="140"/>
      <c r="BQ162" s="156"/>
      <c r="BR162" s="157"/>
      <c r="BS162" s="158"/>
      <c r="BT162" s="153"/>
      <c r="BU162" s="140"/>
      <c r="BV162" s="140"/>
      <c r="BW162" s="140"/>
      <c r="BX162" s="140"/>
      <c r="BY162" s="140"/>
      <c r="BZ162" s="140"/>
      <c r="CA162" s="140"/>
      <c r="CB162" s="140"/>
      <c r="CC162" s="140"/>
      <c r="CD162" s="150"/>
      <c r="CE162" s="155"/>
      <c r="CF162" s="150"/>
      <c r="CG162" s="152"/>
      <c r="CH162" s="252"/>
      <c r="CI162" s="160"/>
      <c r="CJ162" s="159"/>
      <c r="CK162" s="160"/>
      <c r="CL162" s="159"/>
      <c r="CM162" s="160"/>
      <c r="CN162" s="159"/>
      <c r="CO162" s="160"/>
      <c r="CP162" s="159"/>
      <c r="CQ162" s="162"/>
      <c r="CR162" s="160"/>
      <c r="CS162" s="253">
        <f>SUM(IF(AU162&lt;0,ABS(AU162),0),IF(AZ162&lt;0,ABS(AZ162),0),ABS(CI162),ABS(CK162),ABS(CM162),ABS(CO162),ABS(CQ162),ABS(CR162))</f>
        <v>0</v>
      </c>
      <c r="CT162" s="254">
        <f>SUM(AU162,AV162,AW162,AX162/400,AY162,AZ162,BG162,BH162*0.5,BI162*0.25,BJ162,BK162,BL162,BM162,BN162,BO162,BP162,BR162/20,BS162/100,BT162/60,BU162,BV162,BW162,BX162/4,SUM(BY162:CC172)/3,CE162,CG162/3,CI162,CK162,CM162,CO162,CQ162,CR162)</f>
        <v>0</v>
      </c>
      <c r="CU162" s="255" t="str">
        <f t="shared" si="2"/>
        <v/>
      </c>
    </row>
    <row r="163" ht="60.0" hidden="1" customHeight="1">
      <c r="A163" s="65"/>
      <c r="C163" s="167"/>
      <c r="D163" s="205"/>
      <c r="E163" s="262"/>
      <c r="F163" s="170"/>
      <c r="G163" s="170"/>
      <c r="H163" s="170"/>
      <c r="I163" s="170"/>
      <c r="J163" s="170"/>
      <c r="K163" s="171"/>
      <c r="L163" s="171"/>
      <c r="M163" s="171"/>
      <c r="N163" s="209"/>
      <c r="O163" s="172">
        <f t="shared" si="30"/>
        <v>0</v>
      </c>
      <c r="P163" s="166"/>
      <c r="Q163" s="173"/>
      <c r="R163" s="65"/>
      <c r="S163" s="173"/>
      <c r="T163" s="173"/>
      <c r="U163" s="166"/>
      <c r="V163" s="166"/>
      <c r="W163" s="65"/>
      <c r="X163" s="66"/>
      <c r="Y163" s="173"/>
      <c r="Z163" s="166"/>
      <c r="AA163" s="174"/>
      <c r="AB163" s="175"/>
      <c r="AC163" s="175"/>
      <c r="AD163" s="175"/>
      <c r="AE163" s="175"/>
      <c r="AF163" s="175"/>
      <c r="AG163" s="175"/>
      <c r="AH163" s="175"/>
      <c r="AI163" s="176"/>
      <c r="AJ163" s="177"/>
      <c r="AK163" s="178"/>
      <c r="AL163" s="178"/>
      <c r="AM163" s="178"/>
      <c r="AN163" s="178"/>
      <c r="AO163" s="179"/>
      <c r="AP163" s="64"/>
      <c r="AQ163" s="65"/>
      <c r="AR163" s="65"/>
      <c r="AS163" s="65"/>
      <c r="AT163" s="173"/>
      <c r="AU163" s="177"/>
      <c r="AV163" s="178"/>
      <c r="AW163" s="178"/>
      <c r="AX163" s="179"/>
      <c r="AZ163" s="166"/>
      <c r="BA163" s="177"/>
      <c r="BB163" s="178"/>
      <c r="BC163" s="178"/>
      <c r="BD163" s="178"/>
      <c r="BE163" s="178"/>
      <c r="BF163" s="178"/>
      <c r="BG163" s="178"/>
      <c r="BH163" s="178"/>
      <c r="BI163" s="179"/>
      <c r="BJ163" s="180"/>
      <c r="BK163" s="178"/>
      <c r="BL163" s="178"/>
      <c r="BM163" s="178"/>
      <c r="BN163" s="178"/>
      <c r="BO163" s="181"/>
      <c r="BP163" s="166"/>
      <c r="BQ163" s="177"/>
      <c r="BR163" s="178"/>
      <c r="BS163" s="179"/>
      <c r="BU163" s="166"/>
      <c r="BV163" s="166"/>
      <c r="BW163" s="166"/>
      <c r="BX163" s="166"/>
      <c r="BY163" s="166"/>
      <c r="BZ163" s="166"/>
      <c r="CA163" s="166"/>
      <c r="CB163" s="166"/>
      <c r="CC163" s="166"/>
      <c r="CD163" s="177"/>
      <c r="CE163" s="181"/>
      <c r="CF163" s="177"/>
      <c r="CG163" s="179"/>
      <c r="CH163" s="257"/>
      <c r="CI163" s="182"/>
      <c r="CJ163" s="177"/>
      <c r="CK163" s="182"/>
      <c r="CL163" s="177"/>
      <c r="CM163" s="182"/>
      <c r="CN163" s="177"/>
      <c r="CO163" s="182"/>
      <c r="CP163" s="177"/>
      <c r="CQ163" s="178"/>
      <c r="CR163" s="182"/>
      <c r="CS163" s="173"/>
      <c r="CT163" s="65"/>
      <c r="CU163" s="271" t="str">
        <f t="shared" si="2"/>
        <v/>
      </c>
    </row>
    <row r="164" ht="60.0" hidden="1" customHeight="1">
      <c r="A164" s="65"/>
      <c r="C164" s="167"/>
      <c r="D164" s="205"/>
      <c r="E164" s="262"/>
      <c r="F164" s="170"/>
      <c r="G164" s="170"/>
      <c r="H164" s="170"/>
      <c r="I164" s="170"/>
      <c r="J164" s="170"/>
      <c r="K164" s="171"/>
      <c r="L164" s="171"/>
      <c r="M164" s="171"/>
      <c r="N164" s="209"/>
      <c r="O164" s="172">
        <f t="shared" si="30"/>
        <v>0</v>
      </c>
      <c r="P164" s="166"/>
      <c r="Q164" s="173"/>
      <c r="R164" s="65"/>
      <c r="S164" s="173"/>
      <c r="T164" s="173"/>
      <c r="U164" s="166"/>
      <c r="V164" s="166"/>
      <c r="W164" s="65"/>
      <c r="X164" s="66"/>
      <c r="Y164" s="173"/>
      <c r="Z164" s="166"/>
      <c r="AA164" s="174"/>
      <c r="AB164" s="175"/>
      <c r="AC164" s="175"/>
      <c r="AD164" s="175"/>
      <c r="AE164" s="175"/>
      <c r="AF164" s="175"/>
      <c r="AG164" s="175"/>
      <c r="AH164" s="175"/>
      <c r="AI164" s="176"/>
      <c r="AJ164" s="177"/>
      <c r="AK164" s="178"/>
      <c r="AL164" s="178"/>
      <c r="AM164" s="178"/>
      <c r="AN164" s="178"/>
      <c r="AO164" s="179"/>
      <c r="AP164" s="64"/>
      <c r="AQ164" s="65"/>
      <c r="AR164" s="65"/>
      <c r="AS164" s="65"/>
      <c r="AT164" s="173"/>
      <c r="AU164" s="177"/>
      <c r="AV164" s="178"/>
      <c r="AW164" s="178"/>
      <c r="AX164" s="179"/>
      <c r="AZ164" s="166"/>
      <c r="BA164" s="177"/>
      <c r="BB164" s="178"/>
      <c r="BC164" s="178"/>
      <c r="BD164" s="178"/>
      <c r="BE164" s="178"/>
      <c r="BF164" s="178"/>
      <c r="BG164" s="178"/>
      <c r="BH164" s="178"/>
      <c r="BI164" s="179"/>
      <c r="BJ164" s="180"/>
      <c r="BK164" s="178"/>
      <c r="BL164" s="178"/>
      <c r="BM164" s="178"/>
      <c r="BN164" s="178"/>
      <c r="BO164" s="181"/>
      <c r="BP164" s="166"/>
      <c r="BQ164" s="177"/>
      <c r="BR164" s="178"/>
      <c r="BS164" s="179"/>
      <c r="BU164" s="166"/>
      <c r="BV164" s="166"/>
      <c r="BW164" s="166"/>
      <c r="BX164" s="166"/>
      <c r="BY164" s="166"/>
      <c r="BZ164" s="166"/>
      <c r="CA164" s="166"/>
      <c r="CB164" s="166"/>
      <c r="CC164" s="166"/>
      <c r="CD164" s="177"/>
      <c r="CE164" s="181"/>
      <c r="CF164" s="177"/>
      <c r="CG164" s="179"/>
      <c r="CH164" s="257"/>
      <c r="CI164" s="182"/>
      <c r="CJ164" s="177"/>
      <c r="CK164" s="182"/>
      <c r="CL164" s="177"/>
      <c r="CM164" s="182"/>
      <c r="CN164" s="177"/>
      <c r="CO164" s="182"/>
      <c r="CP164" s="177"/>
      <c r="CQ164" s="178"/>
      <c r="CR164" s="182"/>
      <c r="CS164" s="173"/>
      <c r="CT164" s="65"/>
      <c r="CU164" s="271" t="str">
        <f t="shared" si="2"/>
        <v/>
      </c>
    </row>
    <row r="165" ht="60.0" hidden="1" customHeight="1">
      <c r="A165" s="65"/>
      <c r="C165" s="167"/>
      <c r="D165" s="205"/>
      <c r="E165" s="262"/>
      <c r="F165" s="170"/>
      <c r="G165" s="170"/>
      <c r="H165" s="170"/>
      <c r="I165" s="170"/>
      <c r="J165" s="170"/>
      <c r="K165" s="171"/>
      <c r="L165" s="171"/>
      <c r="M165" s="171"/>
      <c r="N165" s="209"/>
      <c r="O165" s="172">
        <f t="shared" si="30"/>
        <v>0</v>
      </c>
      <c r="P165" s="166"/>
      <c r="Q165" s="173"/>
      <c r="R165" s="65"/>
      <c r="S165" s="173"/>
      <c r="T165" s="173"/>
      <c r="U165" s="166"/>
      <c r="V165" s="166"/>
      <c r="W165" s="65"/>
      <c r="X165" s="66"/>
      <c r="Y165" s="173"/>
      <c r="Z165" s="166"/>
      <c r="AA165" s="174"/>
      <c r="AB165" s="175"/>
      <c r="AC165" s="175"/>
      <c r="AD165" s="175"/>
      <c r="AE165" s="175"/>
      <c r="AF165" s="175"/>
      <c r="AG165" s="175"/>
      <c r="AH165" s="175"/>
      <c r="AI165" s="176"/>
      <c r="AJ165" s="177"/>
      <c r="AK165" s="178"/>
      <c r="AL165" s="178"/>
      <c r="AM165" s="178"/>
      <c r="AN165" s="178"/>
      <c r="AO165" s="179"/>
      <c r="AP165" s="64"/>
      <c r="AQ165" s="65"/>
      <c r="AR165" s="65"/>
      <c r="AS165" s="65"/>
      <c r="AT165" s="173"/>
      <c r="AU165" s="177"/>
      <c r="AV165" s="178"/>
      <c r="AW165" s="178"/>
      <c r="AX165" s="179"/>
      <c r="AZ165" s="166"/>
      <c r="BA165" s="177"/>
      <c r="BB165" s="178"/>
      <c r="BC165" s="178"/>
      <c r="BD165" s="178"/>
      <c r="BE165" s="178"/>
      <c r="BF165" s="178"/>
      <c r="BG165" s="178"/>
      <c r="BH165" s="178"/>
      <c r="BI165" s="179"/>
      <c r="BJ165" s="180"/>
      <c r="BK165" s="178"/>
      <c r="BL165" s="178"/>
      <c r="BM165" s="178"/>
      <c r="BN165" s="178"/>
      <c r="BO165" s="181"/>
      <c r="BP165" s="166"/>
      <c r="BQ165" s="177"/>
      <c r="BR165" s="178"/>
      <c r="BS165" s="179"/>
      <c r="BU165" s="166"/>
      <c r="BV165" s="166"/>
      <c r="BW165" s="166"/>
      <c r="BX165" s="166"/>
      <c r="BY165" s="166"/>
      <c r="BZ165" s="166"/>
      <c r="CA165" s="166"/>
      <c r="CB165" s="166"/>
      <c r="CC165" s="166"/>
      <c r="CD165" s="177"/>
      <c r="CE165" s="181"/>
      <c r="CF165" s="177"/>
      <c r="CG165" s="179"/>
      <c r="CH165" s="257"/>
      <c r="CI165" s="182"/>
      <c r="CJ165" s="177"/>
      <c r="CK165" s="182"/>
      <c r="CL165" s="177"/>
      <c r="CM165" s="182"/>
      <c r="CN165" s="177"/>
      <c r="CO165" s="182"/>
      <c r="CP165" s="177"/>
      <c r="CQ165" s="178"/>
      <c r="CR165" s="182"/>
      <c r="CS165" s="173"/>
      <c r="CT165" s="65"/>
      <c r="CU165" s="271" t="str">
        <f t="shared" si="2"/>
        <v/>
      </c>
    </row>
    <row r="166" ht="60.0" hidden="1" customHeight="1">
      <c r="A166" s="65"/>
      <c r="C166" s="167"/>
      <c r="D166" s="205"/>
      <c r="E166" s="262"/>
      <c r="F166" s="170"/>
      <c r="G166" s="170"/>
      <c r="H166" s="170"/>
      <c r="I166" s="170"/>
      <c r="J166" s="170"/>
      <c r="K166" s="171"/>
      <c r="L166" s="171"/>
      <c r="M166" s="171"/>
      <c r="N166" s="209"/>
      <c r="O166" s="172">
        <f t="shared" si="30"/>
        <v>0</v>
      </c>
      <c r="P166" s="166"/>
      <c r="Q166" s="173"/>
      <c r="R166" s="65"/>
      <c r="S166" s="173"/>
      <c r="T166" s="173"/>
      <c r="U166" s="166"/>
      <c r="V166" s="166"/>
      <c r="W166" s="65"/>
      <c r="X166" s="66"/>
      <c r="Y166" s="173"/>
      <c r="Z166" s="166"/>
      <c r="AA166" s="174"/>
      <c r="AB166" s="175"/>
      <c r="AC166" s="175"/>
      <c r="AD166" s="175"/>
      <c r="AE166" s="175"/>
      <c r="AF166" s="175"/>
      <c r="AG166" s="175"/>
      <c r="AH166" s="175"/>
      <c r="AI166" s="176"/>
      <c r="AJ166" s="177"/>
      <c r="AK166" s="178"/>
      <c r="AL166" s="178"/>
      <c r="AM166" s="178"/>
      <c r="AN166" s="178"/>
      <c r="AO166" s="179"/>
      <c r="AP166" s="64"/>
      <c r="AQ166" s="65"/>
      <c r="AR166" s="65"/>
      <c r="AS166" s="65"/>
      <c r="AT166" s="173"/>
      <c r="AU166" s="177"/>
      <c r="AV166" s="178"/>
      <c r="AW166" s="178"/>
      <c r="AX166" s="179"/>
      <c r="AZ166" s="166"/>
      <c r="BA166" s="177"/>
      <c r="BB166" s="178"/>
      <c r="BC166" s="178"/>
      <c r="BD166" s="178"/>
      <c r="BE166" s="178"/>
      <c r="BF166" s="178"/>
      <c r="BG166" s="178"/>
      <c r="BH166" s="178"/>
      <c r="BI166" s="179"/>
      <c r="BJ166" s="180"/>
      <c r="BK166" s="178"/>
      <c r="BL166" s="178"/>
      <c r="BM166" s="178"/>
      <c r="BN166" s="178"/>
      <c r="BO166" s="181"/>
      <c r="BP166" s="166"/>
      <c r="BQ166" s="177"/>
      <c r="BR166" s="178"/>
      <c r="BS166" s="179"/>
      <c r="BU166" s="166"/>
      <c r="BV166" s="166"/>
      <c r="BW166" s="166"/>
      <c r="BX166" s="166"/>
      <c r="BY166" s="166"/>
      <c r="BZ166" s="166"/>
      <c r="CA166" s="166"/>
      <c r="CB166" s="166"/>
      <c r="CC166" s="166"/>
      <c r="CD166" s="177"/>
      <c r="CE166" s="181"/>
      <c r="CF166" s="177"/>
      <c r="CG166" s="179"/>
      <c r="CH166" s="257"/>
      <c r="CI166" s="182"/>
      <c r="CJ166" s="177"/>
      <c r="CK166" s="182"/>
      <c r="CL166" s="177"/>
      <c r="CM166" s="182"/>
      <c r="CN166" s="177"/>
      <c r="CO166" s="182"/>
      <c r="CP166" s="177"/>
      <c r="CQ166" s="178"/>
      <c r="CR166" s="182"/>
      <c r="CS166" s="173"/>
      <c r="CT166" s="65"/>
      <c r="CU166" s="271" t="str">
        <f t="shared" si="2"/>
        <v/>
      </c>
    </row>
    <row r="167" ht="60.0" hidden="1" customHeight="1">
      <c r="A167" s="65"/>
      <c r="C167" s="167"/>
      <c r="D167" s="205"/>
      <c r="E167" s="262"/>
      <c r="F167" s="170"/>
      <c r="G167" s="170"/>
      <c r="H167" s="170"/>
      <c r="I167" s="170"/>
      <c r="J167" s="170"/>
      <c r="K167" s="171"/>
      <c r="L167" s="171"/>
      <c r="M167" s="171"/>
      <c r="N167" s="209"/>
      <c r="O167" s="172">
        <f t="shared" si="30"/>
        <v>0</v>
      </c>
      <c r="P167" s="166"/>
      <c r="Q167" s="173"/>
      <c r="R167" s="65"/>
      <c r="S167" s="173"/>
      <c r="T167" s="173"/>
      <c r="U167" s="166"/>
      <c r="V167" s="166"/>
      <c r="W167" s="65"/>
      <c r="X167" s="66"/>
      <c r="Y167" s="173"/>
      <c r="Z167" s="166"/>
      <c r="AA167" s="174"/>
      <c r="AB167" s="175"/>
      <c r="AC167" s="175"/>
      <c r="AD167" s="175"/>
      <c r="AE167" s="175"/>
      <c r="AF167" s="175"/>
      <c r="AG167" s="175"/>
      <c r="AH167" s="175"/>
      <c r="AI167" s="176"/>
      <c r="AJ167" s="177"/>
      <c r="AK167" s="178"/>
      <c r="AL167" s="178"/>
      <c r="AM167" s="178"/>
      <c r="AN167" s="178"/>
      <c r="AO167" s="179"/>
      <c r="AP167" s="64"/>
      <c r="AQ167" s="65"/>
      <c r="AR167" s="65"/>
      <c r="AS167" s="65"/>
      <c r="AT167" s="173"/>
      <c r="AU167" s="177"/>
      <c r="AV167" s="178"/>
      <c r="AW167" s="178"/>
      <c r="AX167" s="179"/>
      <c r="AZ167" s="166"/>
      <c r="BA167" s="177"/>
      <c r="BB167" s="178"/>
      <c r="BC167" s="178"/>
      <c r="BD167" s="178"/>
      <c r="BE167" s="178"/>
      <c r="BF167" s="178"/>
      <c r="BG167" s="178"/>
      <c r="BH167" s="178"/>
      <c r="BI167" s="179"/>
      <c r="BJ167" s="180"/>
      <c r="BK167" s="178"/>
      <c r="BL167" s="178"/>
      <c r="BM167" s="178"/>
      <c r="BN167" s="178"/>
      <c r="BO167" s="181"/>
      <c r="BP167" s="166"/>
      <c r="BQ167" s="177"/>
      <c r="BR167" s="178"/>
      <c r="BS167" s="179"/>
      <c r="BU167" s="166"/>
      <c r="BV167" s="166"/>
      <c r="BW167" s="166"/>
      <c r="BX167" s="166"/>
      <c r="BY167" s="166"/>
      <c r="BZ167" s="166"/>
      <c r="CA167" s="166"/>
      <c r="CB167" s="166"/>
      <c r="CC167" s="166"/>
      <c r="CD167" s="177"/>
      <c r="CE167" s="181"/>
      <c r="CF167" s="177"/>
      <c r="CG167" s="179"/>
      <c r="CH167" s="257"/>
      <c r="CI167" s="182"/>
      <c r="CJ167" s="177"/>
      <c r="CK167" s="182"/>
      <c r="CL167" s="177"/>
      <c r="CM167" s="182"/>
      <c r="CN167" s="177"/>
      <c r="CO167" s="182"/>
      <c r="CP167" s="177"/>
      <c r="CQ167" s="178"/>
      <c r="CR167" s="182"/>
      <c r="CS167" s="173"/>
      <c r="CT167" s="65"/>
      <c r="CU167" s="271" t="str">
        <f t="shared" si="2"/>
        <v/>
      </c>
    </row>
    <row r="168" ht="60.0" hidden="1" customHeight="1">
      <c r="A168" s="65"/>
      <c r="C168" s="167"/>
      <c r="D168" s="205"/>
      <c r="E168" s="262"/>
      <c r="F168" s="170"/>
      <c r="G168" s="170"/>
      <c r="H168" s="170"/>
      <c r="I168" s="170"/>
      <c r="J168" s="170"/>
      <c r="K168" s="171"/>
      <c r="L168" s="171"/>
      <c r="M168" s="171"/>
      <c r="N168" s="209"/>
      <c r="O168" s="172">
        <f t="shared" ref="O168:O171" si="31">IF(AND(M168&gt;=20,M168&lt;&gt;"m",RIGHT(K168,3)="Lec"),1,IF(AND(M168&gt;=20,M168&lt;&gt;"m",OR(RIGHT(K168,3)="Lab",RIGHT(K168,3)="Tut")),0.5,IF(AND(M168&gt;=20,M168&lt;&gt;"m",RIGHT(K168,2)="TL"),0.75,0)))</f>
        <v>0</v>
      </c>
      <c r="P168" s="166"/>
      <c r="Q168" s="173"/>
      <c r="R168" s="65"/>
      <c r="S168" s="173"/>
      <c r="T168" s="173"/>
      <c r="U168" s="166"/>
      <c r="V168" s="166"/>
      <c r="W168" s="65"/>
      <c r="X168" s="66"/>
      <c r="Y168" s="173"/>
      <c r="Z168" s="166"/>
      <c r="AA168" s="174"/>
      <c r="AB168" s="175"/>
      <c r="AC168" s="175"/>
      <c r="AD168" s="175"/>
      <c r="AE168" s="175"/>
      <c r="AF168" s="175"/>
      <c r="AG168" s="175"/>
      <c r="AH168" s="175"/>
      <c r="AI168" s="176"/>
      <c r="AJ168" s="177"/>
      <c r="AK168" s="178"/>
      <c r="AL168" s="178"/>
      <c r="AM168" s="178"/>
      <c r="AN168" s="178"/>
      <c r="AO168" s="179"/>
      <c r="AP168" s="64"/>
      <c r="AQ168" s="65"/>
      <c r="AR168" s="65"/>
      <c r="AS168" s="65"/>
      <c r="AT168" s="173"/>
      <c r="AU168" s="177"/>
      <c r="AV168" s="178"/>
      <c r="AW168" s="178"/>
      <c r="AX168" s="179"/>
      <c r="AZ168" s="166"/>
      <c r="BA168" s="177"/>
      <c r="BB168" s="178"/>
      <c r="BC168" s="178"/>
      <c r="BD168" s="178"/>
      <c r="BE168" s="178"/>
      <c r="BF168" s="178"/>
      <c r="BG168" s="178"/>
      <c r="BH168" s="178"/>
      <c r="BI168" s="179"/>
      <c r="BJ168" s="180"/>
      <c r="BK168" s="178"/>
      <c r="BL168" s="178"/>
      <c r="BM168" s="178"/>
      <c r="BN168" s="178"/>
      <c r="BO168" s="181"/>
      <c r="BP168" s="166"/>
      <c r="BQ168" s="177"/>
      <c r="BR168" s="178"/>
      <c r="BS168" s="179"/>
      <c r="BU168" s="166"/>
      <c r="BV168" s="166"/>
      <c r="BW168" s="166"/>
      <c r="BX168" s="166"/>
      <c r="BY168" s="166"/>
      <c r="BZ168" s="166"/>
      <c r="CA168" s="166"/>
      <c r="CB168" s="166"/>
      <c r="CC168" s="166"/>
      <c r="CD168" s="177"/>
      <c r="CE168" s="181"/>
      <c r="CF168" s="177"/>
      <c r="CG168" s="179"/>
      <c r="CH168" s="257"/>
      <c r="CI168" s="182"/>
      <c r="CJ168" s="177"/>
      <c r="CK168" s="182"/>
      <c r="CL168" s="177"/>
      <c r="CM168" s="182"/>
      <c r="CN168" s="177"/>
      <c r="CO168" s="182"/>
      <c r="CP168" s="177"/>
      <c r="CQ168" s="178"/>
      <c r="CR168" s="182"/>
      <c r="CS168" s="173"/>
      <c r="CT168" s="65"/>
      <c r="CU168" s="271" t="str">
        <f t="shared" si="2"/>
        <v/>
      </c>
    </row>
    <row r="169" ht="60.0" hidden="1" customHeight="1">
      <c r="A169" s="65"/>
      <c r="C169" s="167"/>
      <c r="D169" s="205"/>
      <c r="E169" s="262"/>
      <c r="F169" s="170"/>
      <c r="G169" s="170"/>
      <c r="H169" s="170"/>
      <c r="I169" s="170"/>
      <c r="J169" s="170"/>
      <c r="K169" s="171"/>
      <c r="L169" s="171"/>
      <c r="M169" s="171"/>
      <c r="N169" s="209"/>
      <c r="O169" s="172">
        <f t="shared" si="31"/>
        <v>0</v>
      </c>
      <c r="P169" s="166"/>
      <c r="Q169" s="173"/>
      <c r="R169" s="65"/>
      <c r="S169" s="173"/>
      <c r="T169" s="173"/>
      <c r="U169" s="166"/>
      <c r="V169" s="166"/>
      <c r="W169" s="65"/>
      <c r="X169" s="66"/>
      <c r="Y169" s="173"/>
      <c r="Z169" s="166"/>
      <c r="AA169" s="174"/>
      <c r="AB169" s="175"/>
      <c r="AC169" s="175"/>
      <c r="AD169" s="175"/>
      <c r="AE169" s="175"/>
      <c r="AF169" s="175"/>
      <c r="AG169" s="175"/>
      <c r="AH169" s="175"/>
      <c r="AI169" s="176"/>
      <c r="AJ169" s="177"/>
      <c r="AK169" s="178"/>
      <c r="AL169" s="178"/>
      <c r="AM169" s="178"/>
      <c r="AN169" s="178"/>
      <c r="AO169" s="179"/>
      <c r="AP169" s="64"/>
      <c r="AQ169" s="65"/>
      <c r="AR169" s="65"/>
      <c r="AS169" s="65"/>
      <c r="AT169" s="173"/>
      <c r="AU169" s="177"/>
      <c r="AV169" s="178"/>
      <c r="AW169" s="178"/>
      <c r="AX169" s="179"/>
      <c r="AZ169" s="166"/>
      <c r="BA169" s="177"/>
      <c r="BB169" s="178"/>
      <c r="BC169" s="178"/>
      <c r="BD169" s="178"/>
      <c r="BE169" s="178"/>
      <c r="BF169" s="178"/>
      <c r="BG169" s="178"/>
      <c r="BH169" s="178"/>
      <c r="BI169" s="179"/>
      <c r="BJ169" s="180"/>
      <c r="BK169" s="178"/>
      <c r="BL169" s="178"/>
      <c r="BM169" s="178"/>
      <c r="BN169" s="178"/>
      <c r="BO169" s="181"/>
      <c r="BP169" s="166"/>
      <c r="BQ169" s="177"/>
      <c r="BR169" s="178"/>
      <c r="BS169" s="179"/>
      <c r="BU169" s="166"/>
      <c r="BV169" s="166"/>
      <c r="BW169" s="166"/>
      <c r="BX169" s="166"/>
      <c r="BY169" s="166"/>
      <c r="BZ169" s="166"/>
      <c r="CA169" s="166"/>
      <c r="CB169" s="166"/>
      <c r="CC169" s="166"/>
      <c r="CD169" s="177"/>
      <c r="CE169" s="181"/>
      <c r="CF169" s="177"/>
      <c r="CG169" s="179"/>
      <c r="CH169" s="257"/>
      <c r="CI169" s="182"/>
      <c r="CJ169" s="177"/>
      <c r="CK169" s="182"/>
      <c r="CL169" s="177"/>
      <c r="CM169" s="182"/>
      <c r="CN169" s="177"/>
      <c r="CO169" s="182"/>
      <c r="CP169" s="177"/>
      <c r="CQ169" s="178"/>
      <c r="CR169" s="182"/>
      <c r="CS169" s="173"/>
      <c r="CT169" s="65"/>
      <c r="CU169" s="271" t="str">
        <f t="shared" si="2"/>
        <v/>
      </c>
    </row>
    <row r="170" ht="60.0" hidden="1" customHeight="1">
      <c r="A170" s="65"/>
      <c r="C170" s="167"/>
      <c r="D170" s="205"/>
      <c r="E170" s="262"/>
      <c r="F170" s="170"/>
      <c r="G170" s="170"/>
      <c r="H170" s="170"/>
      <c r="I170" s="170"/>
      <c r="J170" s="170"/>
      <c r="K170" s="171"/>
      <c r="L170" s="171"/>
      <c r="M170" s="171"/>
      <c r="N170" s="209"/>
      <c r="O170" s="172">
        <f t="shared" si="31"/>
        <v>0</v>
      </c>
      <c r="P170" s="166"/>
      <c r="Q170" s="173"/>
      <c r="R170" s="65"/>
      <c r="S170" s="173"/>
      <c r="T170" s="173"/>
      <c r="U170" s="166"/>
      <c r="V170" s="166"/>
      <c r="W170" s="65"/>
      <c r="X170" s="66"/>
      <c r="Y170" s="173"/>
      <c r="Z170" s="166"/>
      <c r="AA170" s="174"/>
      <c r="AB170" s="175"/>
      <c r="AC170" s="175"/>
      <c r="AD170" s="175"/>
      <c r="AE170" s="175"/>
      <c r="AF170" s="175"/>
      <c r="AG170" s="175"/>
      <c r="AH170" s="175"/>
      <c r="AI170" s="176"/>
      <c r="AJ170" s="177"/>
      <c r="AK170" s="178"/>
      <c r="AL170" s="178"/>
      <c r="AM170" s="178"/>
      <c r="AN170" s="178"/>
      <c r="AO170" s="179"/>
      <c r="AP170" s="64"/>
      <c r="AQ170" s="65"/>
      <c r="AR170" s="65"/>
      <c r="AS170" s="65"/>
      <c r="AT170" s="173"/>
      <c r="AU170" s="177"/>
      <c r="AV170" s="178"/>
      <c r="AW170" s="178"/>
      <c r="AX170" s="179"/>
      <c r="AZ170" s="166"/>
      <c r="BA170" s="177"/>
      <c r="BB170" s="178"/>
      <c r="BC170" s="178"/>
      <c r="BD170" s="178"/>
      <c r="BE170" s="178"/>
      <c r="BF170" s="178"/>
      <c r="BG170" s="178"/>
      <c r="BH170" s="178"/>
      <c r="BI170" s="179"/>
      <c r="BJ170" s="180"/>
      <c r="BK170" s="178"/>
      <c r="BL170" s="178"/>
      <c r="BM170" s="178"/>
      <c r="BN170" s="178"/>
      <c r="BO170" s="181"/>
      <c r="BP170" s="166"/>
      <c r="BQ170" s="177"/>
      <c r="BR170" s="178"/>
      <c r="BS170" s="179"/>
      <c r="BU170" s="166"/>
      <c r="BV170" s="166"/>
      <c r="BW170" s="166"/>
      <c r="BX170" s="166"/>
      <c r="BY170" s="166"/>
      <c r="BZ170" s="166"/>
      <c r="CA170" s="166"/>
      <c r="CB170" s="166"/>
      <c r="CC170" s="166"/>
      <c r="CD170" s="177"/>
      <c r="CE170" s="181"/>
      <c r="CF170" s="177"/>
      <c r="CG170" s="179"/>
      <c r="CH170" s="257"/>
      <c r="CI170" s="182"/>
      <c r="CJ170" s="177"/>
      <c r="CK170" s="182"/>
      <c r="CL170" s="177"/>
      <c r="CM170" s="182"/>
      <c r="CN170" s="177"/>
      <c r="CO170" s="182"/>
      <c r="CP170" s="177"/>
      <c r="CQ170" s="178"/>
      <c r="CR170" s="182"/>
      <c r="CS170" s="173"/>
      <c r="CT170" s="65"/>
      <c r="CU170" s="271" t="str">
        <f t="shared" si="2"/>
        <v/>
      </c>
    </row>
    <row r="171" ht="60.0" hidden="1" customHeight="1">
      <c r="A171" s="65"/>
      <c r="C171" s="167"/>
      <c r="D171" s="205"/>
      <c r="E171" s="262"/>
      <c r="F171" s="170"/>
      <c r="G171" s="170"/>
      <c r="H171" s="170"/>
      <c r="I171" s="170"/>
      <c r="J171" s="170"/>
      <c r="K171" s="171"/>
      <c r="L171" s="171"/>
      <c r="M171" s="171"/>
      <c r="N171" s="209"/>
      <c r="O171" s="172">
        <f t="shared" si="31"/>
        <v>0</v>
      </c>
      <c r="P171" s="166"/>
      <c r="Q171" s="173"/>
      <c r="R171" s="65"/>
      <c r="S171" s="173"/>
      <c r="T171" s="173"/>
      <c r="U171" s="166"/>
      <c r="V171" s="166"/>
      <c r="W171" s="65"/>
      <c r="X171" s="66"/>
      <c r="Y171" s="173"/>
      <c r="Z171" s="166"/>
      <c r="AA171" s="174"/>
      <c r="AB171" s="175"/>
      <c r="AC171" s="175"/>
      <c r="AD171" s="175"/>
      <c r="AE171" s="175"/>
      <c r="AF171" s="175"/>
      <c r="AG171" s="175"/>
      <c r="AH171" s="175"/>
      <c r="AI171" s="176"/>
      <c r="AJ171" s="177"/>
      <c r="AK171" s="178"/>
      <c r="AL171" s="178"/>
      <c r="AM171" s="178"/>
      <c r="AN171" s="178"/>
      <c r="AO171" s="179"/>
      <c r="AP171" s="64"/>
      <c r="AQ171" s="65"/>
      <c r="AR171" s="65"/>
      <c r="AS171" s="65"/>
      <c r="AT171" s="173"/>
      <c r="AU171" s="177"/>
      <c r="AV171" s="178"/>
      <c r="AW171" s="178"/>
      <c r="AX171" s="179"/>
      <c r="AZ171" s="166"/>
      <c r="BA171" s="177"/>
      <c r="BB171" s="178"/>
      <c r="BC171" s="178"/>
      <c r="BD171" s="178"/>
      <c r="BE171" s="178"/>
      <c r="BF171" s="178"/>
      <c r="BG171" s="178"/>
      <c r="BH171" s="178"/>
      <c r="BI171" s="179"/>
      <c r="BJ171" s="180"/>
      <c r="BK171" s="178"/>
      <c r="BL171" s="178"/>
      <c r="BM171" s="178"/>
      <c r="BN171" s="178"/>
      <c r="BO171" s="181"/>
      <c r="BP171" s="166"/>
      <c r="BQ171" s="177"/>
      <c r="BR171" s="178"/>
      <c r="BS171" s="179"/>
      <c r="BU171" s="166"/>
      <c r="BV171" s="166"/>
      <c r="BW171" s="166"/>
      <c r="BX171" s="166"/>
      <c r="BY171" s="166"/>
      <c r="BZ171" s="166"/>
      <c r="CA171" s="166"/>
      <c r="CB171" s="166"/>
      <c r="CC171" s="166"/>
      <c r="CD171" s="177"/>
      <c r="CE171" s="181"/>
      <c r="CF171" s="177"/>
      <c r="CG171" s="179"/>
      <c r="CH171" s="257"/>
      <c r="CI171" s="182"/>
      <c r="CJ171" s="177"/>
      <c r="CK171" s="182"/>
      <c r="CL171" s="177"/>
      <c r="CM171" s="182"/>
      <c r="CN171" s="177"/>
      <c r="CO171" s="182"/>
      <c r="CP171" s="177"/>
      <c r="CQ171" s="178"/>
      <c r="CR171" s="182"/>
      <c r="CS171" s="173"/>
      <c r="CT171" s="65"/>
      <c r="CU171" s="271" t="str">
        <f t="shared" si="2"/>
        <v/>
      </c>
    </row>
    <row r="172" ht="60.0" hidden="1" customHeight="1">
      <c r="A172" s="89"/>
      <c r="B172" s="6"/>
      <c r="C172" s="183"/>
      <c r="D172" s="210"/>
      <c r="E172" s="263"/>
      <c r="F172" s="186"/>
      <c r="G172" s="186"/>
      <c r="H172" s="186"/>
      <c r="I172" s="186"/>
      <c r="J172" s="186"/>
      <c r="K172" s="187"/>
      <c r="L172" s="187"/>
      <c r="M172" s="187"/>
      <c r="N172" s="214"/>
      <c r="O172" s="188">
        <f t="shared" ref="O172:O178" si="32">IF(AND(M172&lt;&gt;0,M172&lt;&gt;"m",M172&lt;&gt;"",RIGHT(K172,3)="Lec"),1,IF(AND(M172&lt;&gt;0,M172&lt;&gt;"m",M172&lt;&gt;"",OR(RIGHT(K172,3)="Lab",RIGHT(K172,3)="Tut")),0.5,IF(AND(M172&lt;&gt;0,M172&lt;&gt;"m",M172&lt;&gt;"",RIGHT(K172,2)="TL"),0.75,0)))</f>
        <v>0</v>
      </c>
      <c r="P172" s="63"/>
      <c r="Q172" s="69"/>
      <c r="R172" s="89"/>
      <c r="S172" s="69"/>
      <c r="T172" s="69"/>
      <c r="U172" s="63"/>
      <c r="V172" s="63"/>
      <c r="W172" s="89"/>
      <c r="X172" s="68"/>
      <c r="Y172" s="69"/>
      <c r="Z172" s="63"/>
      <c r="AA172" s="189"/>
      <c r="AB172" s="190"/>
      <c r="AC172" s="190"/>
      <c r="AD172" s="190"/>
      <c r="AE172" s="190"/>
      <c r="AF172" s="190"/>
      <c r="AG172" s="190"/>
      <c r="AH172" s="190"/>
      <c r="AI172" s="191"/>
      <c r="AJ172" s="192"/>
      <c r="AK172" s="193"/>
      <c r="AL172" s="193"/>
      <c r="AM172" s="193"/>
      <c r="AN172" s="193"/>
      <c r="AO172" s="194"/>
      <c r="AP172" s="103"/>
      <c r="AQ172" s="89"/>
      <c r="AR172" s="89"/>
      <c r="AS172" s="89"/>
      <c r="AT172" s="69"/>
      <c r="AU172" s="192"/>
      <c r="AV172" s="193"/>
      <c r="AW172" s="193"/>
      <c r="AX172" s="194"/>
      <c r="AY172" s="6"/>
      <c r="AZ172" s="63"/>
      <c r="BA172" s="192"/>
      <c r="BB172" s="193"/>
      <c r="BC172" s="193"/>
      <c r="BD172" s="193"/>
      <c r="BE172" s="193"/>
      <c r="BF172" s="193"/>
      <c r="BG172" s="193"/>
      <c r="BH172" s="193"/>
      <c r="BI172" s="194"/>
      <c r="BJ172" s="195"/>
      <c r="BK172" s="193"/>
      <c r="BL172" s="193"/>
      <c r="BM172" s="193"/>
      <c r="BN172" s="193"/>
      <c r="BO172" s="196"/>
      <c r="BP172" s="63"/>
      <c r="BQ172" s="192"/>
      <c r="BR172" s="193"/>
      <c r="BS172" s="194"/>
      <c r="BT172" s="6"/>
      <c r="BU172" s="63"/>
      <c r="BV172" s="63"/>
      <c r="BW172" s="63"/>
      <c r="BX172" s="63"/>
      <c r="BY172" s="63"/>
      <c r="BZ172" s="63"/>
      <c r="CA172" s="63"/>
      <c r="CB172" s="63"/>
      <c r="CC172" s="63"/>
      <c r="CD172" s="192"/>
      <c r="CE172" s="196"/>
      <c r="CF172" s="192"/>
      <c r="CG172" s="194"/>
      <c r="CH172" s="259"/>
      <c r="CI172" s="197"/>
      <c r="CJ172" s="192"/>
      <c r="CK172" s="197"/>
      <c r="CL172" s="192"/>
      <c r="CM172" s="197"/>
      <c r="CN172" s="192"/>
      <c r="CO172" s="197"/>
      <c r="CP172" s="192"/>
      <c r="CQ172" s="193"/>
      <c r="CR172" s="197"/>
      <c r="CS172" s="69"/>
      <c r="CT172" s="89"/>
      <c r="CU172" s="272" t="str">
        <f t="shared" si="2"/>
        <v/>
      </c>
    </row>
    <row r="173" ht="55.5" hidden="1" customHeight="1">
      <c r="A173" s="125">
        <v>16.0</v>
      </c>
      <c r="B173" s="199"/>
      <c r="C173" s="127"/>
      <c r="D173" s="128"/>
      <c r="E173" s="260"/>
      <c r="F173" s="261"/>
      <c r="G173" s="261"/>
      <c r="H173" s="261"/>
      <c r="I173" s="261"/>
      <c r="J173" s="170"/>
      <c r="K173" s="219"/>
      <c r="L173" s="219"/>
      <c r="M173" s="219"/>
      <c r="N173" s="220"/>
      <c r="O173" s="132">
        <f t="shared" si="32"/>
        <v>0</v>
      </c>
      <c r="P173" s="133">
        <f>COUNTIF(K173:K183,"TL")*0.75+COUNTIF(K173:K183,"Lec")*1+COUNTIF(K173:K183,"Lab")*0.5</f>
        <v>0</v>
      </c>
      <c r="Q173" s="134">
        <f>SUM((IF(LEFT(K173,1)="E",O173,0)),(IF(LEFT(K174,1)="E",O174,0)),(IF(LEFT(K175,1)="E",O175,0)),(IF(LEFT(K176,1)="E",O176,0)),(IF(LEFT(K177,1)="E",O177,0)),(IF(LEFT(K178,1)="E",O178,0)),(IF(LEFT(K179,1)="E",O179,0)),(IF(LEFT(K180,1)="E",O180,0)),(IF(LEFT(K181,1)="E",O181,0)),(IF(LEFT(K182,1)="E",O182,0)),(IF(LEFT(K183,1)="E",O183,0)))</f>
        <v>0</v>
      </c>
      <c r="R173" s="135">
        <f>SUM(IF(M179&lt;20,IF(K179="Plec",-1,IF(K179="PTL",-0.75,IF(K179="Plab",-0.5,0))),0),IF(M180&lt;20,IF(K180="Plec",-1,IF(K180="PTL",-0.75,IF(K180="Plab",-0.5,0))),0),IF(M181&lt;20,IF(K181="Plec",-1,IF(K181="PTL",-0.75,IF(K181="Plab",-0.5,0))),0),IF(M182&lt;20,IF(K182="Plec",-1,IF(K182="PTL",-0.75,IF(K182="Plab",-0.5,0))),0))</f>
        <v>0</v>
      </c>
      <c r="S173" s="134">
        <f>SUM(P173:R183)</f>
        <v>0</v>
      </c>
      <c r="T173" s="136">
        <f>SUM(IF(M173="M",IF(OR(K173="lec",K173="plec",K173="slec"),1,IF(OR(K173="lab",K173="plab",K173="slab",K173="tut",K173="ptut",K173="stut"),0.5,IF(OR(K173="TL",K173="pTL",K173="STL"),0.75,0))),0),IF(M174="M",IF(OR(K174="lec",K174="plec",K174="slec"),1,IF(OR(K174="lab",K174="plab",K174="slab",K174="tut",K174="ptut",K174="stut"),0.5,IF(OR(K174="TL",K174="pTL",K174="STL"),0.75,0))),0),IF(M175="M",IF(OR(K175="lec",K175="plec",K175="slec"),1,IF(OR(K175="lab",K175="plab",K175="slab",K175="tut",K175="ptut",K175="stut"),0.5,IF(OR(K175="TL",K175="pTL",K175="STL"),0.75,0))),0),IF(M176="M",IF(OR(K176="lec",K176="plec",K176="slec"),1,IF(OR(K176="lab",K176="plab",K176="slab",K176="tut",K176="ptut",K176="stut"),0.5,IF(OR(K176="TL",K176="pTL",K176="STL"),0.75,0))),0),IF(M177="M",IF(OR(K177="lec",K177="plec",K177="slec"),1,IF(OR(K177="lab",K177="plab",K177="slab",K177="tut",K177="ptut",K177="stut"),0.5,IF(OR(K177="TL",K177="pTL",K177="STL"),0.75,0))),0),IF(M178="M",IF(OR(K178="lec",K178="plec",K178="slec"),1,IF(OR(K178="lab",K178="plab",K178="slab",K178="tut",K178="ptut",K178="stut"),0.5,IF(OR(K178="TL",K178="pTL",K178="STL"),0.75,0))),0),IF(M179="M",IF(OR(K179="lec",K179="plec",K179="slec"),1,IF(OR(K179="lab",K179="plab",K179="slab",K179="tut",K179="ptut",K179="stut"),0.5,IF(OR(K179="TL",K179="pTL",K179="STL"),0.75,0))),0),IF(M180="M",IF(OR(K180="lec",K180="plec",K180="slec"),1,IF(OR(K180="lab",K180="plab",K180="slab",K180="tut",K180="ptut",K180="stut"),0.5,IF(OR(K180="TL",K180="pTL",K180="STL"),0.75,0))),0),IF(M181="M",IF(OR(K181="lec",K181="plec",K181="slec"),1,IF(OR(K181="lab",K181="plab",K181="slab",K181="tut",K181="ptut",K181="stut"),0.5,IF(OR(K181="TL",K181="pTL",K181="STL"),0.75,0))),0),IF(M182="M",IF(OR(K182="lec",K182="plec",K182="slec"),1,IF(OR(K182="lab",K182="plab",K182="slab",K182="tut",K182="ptut",K182="stut"),0.5,IF(OR(K182="TL",K182="pTL",K182="STL"),0.75,0))),0),IF(M183="M",IF(OR(K183="lec",K183="plec",K183="slec"),1,IF(OR(K183="lab",K183="plab",K183="slab",K183="tut",K183="ptut",K183="stut"),0.5,IF(OR(K183="TL",K183="pTL",K183="STL"),0.75,0))),0))</f>
        <v>0</v>
      </c>
      <c r="U173" s="137"/>
      <c r="V173" s="133"/>
      <c r="W173" s="138"/>
      <c r="X173" s="139">
        <f>S173-(T173+U173+V173+W173)</f>
        <v>0</v>
      </c>
      <c r="Y173" s="134" t="str">
        <f>CONCATENATE(SUM(O173:O183),"(",SUM(O173:O183)-X173,")")</f>
        <v>0(0)</v>
      </c>
      <c r="Z173" s="140"/>
      <c r="AA173" s="141"/>
      <c r="AB173" s="142"/>
      <c r="AC173" s="142"/>
      <c r="AD173" s="142"/>
      <c r="AE173" s="142"/>
      <c r="AF173" s="142"/>
      <c r="AG173" s="142"/>
      <c r="AH173" s="142"/>
      <c r="AI173" s="143"/>
      <c r="AJ173" s="144"/>
      <c r="AK173" s="145"/>
      <c r="AL173" s="145"/>
      <c r="AM173" s="145"/>
      <c r="AN173" s="145"/>
      <c r="AO173" s="146"/>
      <c r="AP173" s="147">
        <f>SUM(SUM(O173:O183),SUM(AI173:AI183)/2,AM173)</f>
        <v>0</v>
      </c>
      <c r="AQ173" s="148"/>
      <c r="AR173" s="148">
        <f>AP173*AQ173</f>
        <v>0</v>
      </c>
      <c r="AS173" s="148">
        <f>CT173</f>
        <v>0</v>
      </c>
      <c r="AT173" s="149">
        <f>AR173*0.75+AS173*0.25</f>
        <v>0</v>
      </c>
      <c r="AU173" s="150"/>
      <c r="AV173" s="151"/>
      <c r="AW173" s="151"/>
      <c r="AX173" s="152"/>
      <c r="AY173" s="153"/>
      <c r="AZ173" s="140"/>
      <c r="BA173" s="150"/>
      <c r="BB173" s="151"/>
      <c r="BC173" s="151"/>
      <c r="BD173" s="151"/>
      <c r="BE173" s="151"/>
      <c r="BF173" s="151"/>
      <c r="BG173" s="151"/>
      <c r="BH173" s="151"/>
      <c r="BI173" s="152"/>
      <c r="BJ173" s="154"/>
      <c r="BK173" s="151"/>
      <c r="BL173" s="151"/>
      <c r="BM173" s="151"/>
      <c r="BN173" s="151"/>
      <c r="BO173" s="155"/>
      <c r="BP173" s="140"/>
      <c r="BQ173" s="156"/>
      <c r="BR173" s="157"/>
      <c r="BS173" s="158"/>
      <c r="BT173" s="153"/>
      <c r="BU173" s="140"/>
      <c r="BV173" s="140"/>
      <c r="BW173" s="140"/>
      <c r="BX173" s="140"/>
      <c r="BY173" s="140"/>
      <c r="BZ173" s="140"/>
      <c r="CA173" s="140"/>
      <c r="CB173" s="140"/>
      <c r="CC173" s="140"/>
      <c r="CD173" s="150"/>
      <c r="CE173" s="155"/>
      <c r="CF173" s="150"/>
      <c r="CG173" s="152"/>
      <c r="CH173" s="252"/>
      <c r="CI173" s="160"/>
      <c r="CJ173" s="159"/>
      <c r="CK173" s="160"/>
      <c r="CL173" s="159"/>
      <c r="CM173" s="160"/>
      <c r="CN173" s="159"/>
      <c r="CO173" s="160"/>
      <c r="CP173" s="159"/>
      <c r="CQ173" s="162"/>
      <c r="CR173" s="160"/>
      <c r="CS173" s="253">
        <f>SUM(IF(AU173&lt;0,ABS(AU173),0),IF(AZ173&lt;0,ABS(AZ173),0),ABS(CI173),ABS(CK173),ABS(CM173),ABS(CO173),ABS(CQ173),ABS(CR173))</f>
        <v>0</v>
      </c>
      <c r="CT173" s="254">
        <f>SUM(AU173,AV173,AW173,AX173/400,AY173,AZ173,BG173,BH173*0.5,BI173*0.25,BJ173,BK173,BL173,BM173,BN173,BO173,BP173,BR173/20,BS173/100,BT173/60,BU173,BV173,BW173,BX173/4,SUM(BY173:CC183)/3,CE173,CG173/3,CI173,CK173,CM173,CO173,CQ173,CR173)</f>
        <v>0</v>
      </c>
      <c r="CU173" s="255" t="str">
        <f t="shared" si="2"/>
        <v/>
      </c>
    </row>
    <row r="174" ht="60.0" hidden="1" customHeight="1">
      <c r="A174" s="65"/>
      <c r="C174" s="167"/>
      <c r="D174" s="205"/>
      <c r="E174" s="262"/>
      <c r="F174" s="170"/>
      <c r="G174" s="170"/>
      <c r="H174" s="170"/>
      <c r="I174" s="170"/>
      <c r="J174" s="170"/>
      <c r="K174" s="171"/>
      <c r="L174" s="171"/>
      <c r="M174" s="171"/>
      <c r="N174" s="209"/>
      <c r="O174" s="172">
        <f t="shared" si="32"/>
        <v>0</v>
      </c>
      <c r="P174" s="166"/>
      <c r="Q174" s="173"/>
      <c r="R174" s="65"/>
      <c r="S174" s="173"/>
      <c r="T174" s="173"/>
      <c r="U174" s="166"/>
      <c r="V174" s="166"/>
      <c r="W174" s="65"/>
      <c r="X174" s="66"/>
      <c r="Y174" s="173"/>
      <c r="Z174" s="166"/>
      <c r="AA174" s="174"/>
      <c r="AB174" s="175"/>
      <c r="AC174" s="175"/>
      <c r="AD174" s="175"/>
      <c r="AE174" s="175"/>
      <c r="AF174" s="175"/>
      <c r="AG174" s="175"/>
      <c r="AH174" s="175"/>
      <c r="AI174" s="176"/>
      <c r="AJ174" s="177"/>
      <c r="AK174" s="178"/>
      <c r="AL174" s="178"/>
      <c r="AM174" s="178"/>
      <c r="AN174" s="178"/>
      <c r="AO174" s="179"/>
      <c r="AP174" s="64"/>
      <c r="AQ174" s="65"/>
      <c r="AR174" s="65"/>
      <c r="AS174" s="65"/>
      <c r="AT174" s="173"/>
      <c r="AU174" s="177"/>
      <c r="AV174" s="178"/>
      <c r="AW174" s="178"/>
      <c r="AX174" s="179"/>
      <c r="AZ174" s="166"/>
      <c r="BA174" s="177"/>
      <c r="BB174" s="178"/>
      <c r="BC174" s="178"/>
      <c r="BD174" s="178"/>
      <c r="BE174" s="178"/>
      <c r="BF174" s="178"/>
      <c r="BG174" s="178"/>
      <c r="BH174" s="178"/>
      <c r="BI174" s="179"/>
      <c r="BJ174" s="180"/>
      <c r="BK174" s="178"/>
      <c r="BL174" s="178"/>
      <c r="BM174" s="178"/>
      <c r="BN174" s="178"/>
      <c r="BO174" s="181"/>
      <c r="BP174" s="166"/>
      <c r="BQ174" s="177"/>
      <c r="BR174" s="178"/>
      <c r="BS174" s="179"/>
      <c r="BU174" s="166"/>
      <c r="BV174" s="166"/>
      <c r="BW174" s="166"/>
      <c r="BX174" s="166"/>
      <c r="BY174" s="166"/>
      <c r="BZ174" s="166"/>
      <c r="CA174" s="166"/>
      <c r="CB174" s="166"/>
      <c r="CC174" s="166"/>
      <c r="CD174" s="177"/>
      <c r="CE174" s="181"/>
      <c r="CF174" s="177"/>
      <c r="CG174" s="179"/>
      <c r="CH174" s="257"/>
      <c r="CI174" s="182"/>
      <c r="CJ174" s="177"/>
      <c r="CK174" s="182"/>
      <c r="CL174" s="177"/>
      <c r="CM174" s="182"/>
      <c r="CN174" s="177"/>
      <c r="CO174" s="182"/>
      <c r="CP174" s="177"/>
      <c r="CQ174" s="178"/>
      <c r="CR174" s="182"/>
      <c r="CS174" s="173"/>
      <c r="CT174" s="65"/>
      <c r="CU174" s="271" t="str">
        <f t="shared" si="2"/>
        <v/>
      </c>
    </row>
    <row r="175" ht="60.0" hidden="1" customHeight="1">
      <c r="A175" s="65"/>
      <c r="C175" s="167"/>
      <c r="D175" s="205"/>
      <c r="E175" s="262"/>
      <c r="F175" s="170"/>
      <c r="G175" s="170"/>
      <c r="H175" s="170"/>
      <c r="I175" s="170"/>
      <c r="J175" s="170"/>
      <c r="K175" s="171"/>
      <c r="L175" s="171"/>
      <c r="M175" s="171"/>
      <c r="N175" s="209"/>
      <c r="O175" s="172">
        <f t="shared" si="32"/>
        <v>0</v>
      </c>
      <c r="P175" s="166"/>
      <c r="Q175" s="173"/>
      <c r="R175" s="65"/>
      <c r="S175" s="173"/>
      <c r="T175" s="173"/>
      <c r="U175" s="166"/>
      <c r="V175" s="166"/>
      <c r="W175" s="65"/>
      <c r="X175" s="66"/>
      <c r="Y175" s="173"/>
      <c r="Z175" s="166"/>
      <c r="AA175" s="174"/>
      <c r="AB175" s="175"/>
      <c r="AC175" s="175"/>
      <c r="AD175" s="175"/>
      <c r="AE175" s="175"/>
      <c r="AF175" s="175"/>
      <c r="AG175" s="175"/>
      <c r="AH175" s="175"/>
      <c r="AI175" s="176"/>
      <c r="AJ175" s="177"/>
      <c r="AK175" s="178"/>
      <c r="AL175" s="178"/>
      <c r="AM175" s="178"/>
      <c r="AN175" s="178"/>
      <c r="AO175" s="179"/>
      <c r="AP175" s="64"/>
      <c r="AQ175" s="65"/>
      <c r="AR175" s="65"/>
      <c r="AS175" s="65"/>
      <c r="AT175" s="173"/>
      <c r="AU175" s="177"/>
      <c r="AV175" s="178"/>
      <c r="AW175" s="178"/>
      <c r="AX175" s="179"/>
      <c r="AZ175" s="166"/>
      <c r="BA175" s="177"/>
      <c r="BB175" s="178"/>
      <c r="BC175" s="178"/>
      <c r="BD175" s="178"/>
      <c r="BE175" s="178"/>
      <c r="BF175" s="178"/>
      <c r="BG175" s="178"/>
      <c r="BH175" s="178"/>
      <c r="BI175" s="179"/>
      <c r="BJ175" s="180"/>
      <c r="BK175" s="178"/>
      <c r="BL175" s="178"/>
      <c r="BM175" s="178"/>
      <c r="BN175" s="178"/>
      <c r="BO175" s="181"/>
      <c r="BP175" s="166"/>
      <c r="BQ175" s="177"/>
      <c r="BR175" s="178"/>
      <c r="BS175" s="179"/>
      <c r="BU175" s="166"/>
      <c r="BV175" s="166"/>
      <c r="BW175" s="166"/>
      <c r="BX175" s="166"/>
      <c r="BY175" s="166"/>
      <c r="BZ175" s="166"/>
      <c r="CA175" s="166"/>
      <c r="CB175" s="166"/>
      <c r="CC175" s="166"/>
      <c r="CD175" s="177"/>
      <c r="CE175" s="181"/>
      <c r="CF175" s="177"/>
      <c r="CG175" s="179"/>
      <c r="CH175" s="257"/>
      <c r="CI175" s="182"/>
      <c r="CJ175" s="177"/>
      <c r="CK175" s="182"/>
      <c r="CL175" s="177"/>
      <c r="CM175" s="182"/>
      <c r="CN175" s="177"/>
      <c r="CO175" s="182"/>
      <c r="CP175" s="177"/>
      <c r="CQ175" s="178"/>
      <c r="CR175" s="182"/>
      <c r="CS175" s="173"/>
      <c r="CT175" s="65"/>
      <c r="CU175" s="271" t="str">
        <f t="shared" si="2"/>
        <v/>
      </c>
    </row>
    <row r="176" ht="60.0" hidden="1" customHeight="1">
      <c r="A176" s="65"/>
      <c r="C176" s="167"/>
      <c r="D176" s="205"/>
      <c r="E176" s="262"/>
      <c r="F176" s="170"/>
      <c r="G176" s="170"/>
      <c r="H176" s="170"/>
      <c r="I176" s="170"/>
      <c r="J176" s="170"/>
      <c r="K176" s="171"/>
      <c r="L176" s="171"/>
      <c r="M176" s="171"/>
      <c r="N176" s="209"/>
      <c r="O176" s="172">
        <f t="shared" si="32"/>
        <v>0</v>
      </c>
      <c r="P176" s="166"/>
      <c r="Q176" s="173"/>
      <c r="R176" s="65"/>
      <c r="S176" s="173"/>
      <c r="T176" s="173"/>
      <c r="U176" s="166"/>
      <c r="V176" s="166"/>
      <c r="W176" s="65"/>
      <c r="X176" s="66"/>
      <c r="Y176" s="173"/>
      <c r="Z176" s="166"/>
      <c r="AA176" s="174"/>
      <c r="AB176" s="175"/>
      <c r="AC176" s="175"/>
      <c r="AD176" s="175"/>
      <c r="AE176" s="175"/>
      <c r="AF176" s="175"/>
      <c r="AG176" s="175"/>
      <c r="AH176" s="175"/>
      <c r="AI176" s="176"/>
      <c r="AJ176" s="177"/>
      <c r="AK176" s="178"/>
      <c r="AL176" s="178"/>
      <c r="AM176" s="178"/>
      <c r="AN176" s="178"/>
      <c r="AO176" s="179"/>
      <c r="AP176" s="64"/>
      <c r="AQ176" s="65"/>
      <c r="AR176" s="65"/>
      <c r="AS176" s="65"/>
      <c r="AT176" s="173"/>
      <c r="AU176" s="177"/>
      <c r="AV176" s="178"/>
      <c r="AW176" s="178"/>
      <c r="AX176" s="179"/>
      <c r="AZ176" s="166"/>
      <c r="BA176" s="177"/>
      <c r="BB176" s="178"/>
      <c r="BC176" s="178"/>
      <c r="BD176" s="178"/>
      <c r="BE176" s="178"/>
      <c r="BF176" s="178"/>
      <c r="BG176" s="178"/>
      <c r="BH176" s="178"/>
      <c r="BI176" s="179"/>
      <c r="BJ176" s="180"/>
      <c r="BK176" s="178"/>
      <c r="BL176" s="178"/>
      <c r="BM176" s="178"/>
      <c r="BN176" s="178"/>
      <c r="BO176" s="181"/>
      <c r="BP176" s="166"/>
      <c r="BQ176" s="177"/>
      <c r="BR176" s="178"/>
      <c r="BS176" s="179"/>
      <c r="BU176" s="166"/>
      <c r="BV176" s="166"/>
      <c r="BW176" s="166"/>
      <c r="BX176" s="166"/>
      <c r="BY176" s="166"/>
      <c r="BZ176" s="166"/>
      <c r="CA176" s="166"/>
      <c r="CB176" s="166"/>
      <c r="CC176" s="166"/>
      <c r="CD176" s="177"/>
      <c r="CE176" s="181"/>
      <c r="CF176" s="177"/>
      <c r="CG176" s="179"/>
      <c r="CH176" s="257"/>
      <c r="CI176" s="182"/>
      <c r="CJ176" s="177"/>
      <c r="CK176" s="182"/>
      <c r="CL176" s="177"/>
      <c r="CM176" s="182"/>
      <c r="CN176" s="177"/>
      <c r="CO176" s="182"/>
      <c r="CP176" s="177"/>
      <c r="CQ176" s="178"/>
      <c r="CR176" s="182"/>
      <c r="CS176" s="173"/>
      <c r="CT176" s="65"/>
      <c r="CU176" s="271" t="str">
        <f t="shared" si="2"/>
        <v/>
      </c>
    </row>
    <row r="177" ht="60.0" hidden="1" customHeight="1">
      <c r="A177" s="65"/>
      <c r="C177" s="167"/>
      <c r="D177" s="205"/>
      <c r="E177" s="262"/>
      <c r="F177" s="170"/>
      <c r="G177" s="170"/>
      <c r="H177" s="170"/>
      <c r="I177" s="170"/>
      <c r="J177" s="170"/>
      <c r="K177" s="171"/>
      <c r="L177" s="171"/>
      <c r="M177" s="171"/>
      <c r="N177" s="209"/>
      <c r="O177" s="172">
        <f t="shared" si="32"/>
        <v>0</v>
      </c>
      <c r="P177" s="166"/>
      <c r="Q177" s="173"/>
      <c r="R177" s="65"/>
      <c r="S177" s="173"/>
      <c r="T177" s="173"/>
      <c r="U177" s="166"/>
      <c r="V177" s="166"/>
      <c r="W177" s="65"/>
      <c r="X177" s="66"/>
      <c r="Y177" s="173"/>
      <c r="Z177" s="166"/>
      <c r="AA177" s="174"/>
      <c r="AB177" s="175"/>
      <c r="AC177" s="175"/>
      <c r="AD177" s="175"/>
      <c r="AE177" s="175"/>
      <c r="AF177" s="175"/>
      <c r="AG177" s="175"/>
      <c r="AH177" s="175"/>
      <c r="AI177" s="176"/>
      <c r="AJ177" s="177"/>
      <c r="AK177" s="178"/>
      <c r="AL177" s="178"/>
      <c r="AM177" s="178"/>
      <c r="AN177" s="178"/>
      <c r="AO177" s="179"/>
      <c r="AP177" s="64"/>
      <c r="AQ177" s="65"/>
      <c r="AR177" s="65"/>
      <c r="AS177" s="65"/>
      <c r="AT177" s="173"/>
      <c r="AU177" s="177"/>
      <c r="AV177" s="178"/>
      <c r="AW177" s="178"/>
      <c r="AX177" s="179"/>
      <c r="AZ177" s="166"/>
      <c r="BA177" s="177"/>
      <c r="BB177" s="178"/>
      <c r="BC177" s="178"/>
      <c r="BD177" s="178"/>
      <c r="BE177" s="178"/>
      <c r="BF177" s="178"/>
      <c r="BG177" s="178"/>
      <c r="BH177" s="178"/>
      <c r="BI177" s="179"/>
      <c r="BJ177" s="180"/>
      <c r="BK177" s="178"/>
      <c r="BL177" s="178"/>
      <c r="BM177" s="178"/>
      <c r="BN177" s="178"/>
      <c r="BO177" s="181"/>
      <c r="BP177" s="166"/>
      <c r="BQ177" s="177"/>
      <c r="BR177" s="178"/>
      <c r="BS177" s="179"/>
      <c r="BU177" s="166"/>
      <c r="BV177" s="166"/>
      <c r="BW177" s="166"/>
      <c r="BX177" s="166"/>
      <c r="BY177" s="166"/>
      <c r="BZ177" s="166"/>
      <c r="CA177" s="166"/>
      <c r="CB177" s="166"/>
      <c r="CC177" s="166"/>
      <c r="CD177" s="177"/>
      <c r="CE177" s="181"/>
      <c r="CF177" s="177"/>
      <c r="CG177" s="179"/>
      <c r="CH177" s="257"/>
      <c r="CI177" s="182"/>
      <c r="CJ177" s="177"/>
      <c r="CK177" s="182"/>
      <c r="CL177" s="177"/>
      <c r="CM177" s="182"/>
      <c r="CN177" s="177"/>
      <c r="CO177" s="182"/>
      <c r="CP177" s="177"/>
      <c r="CQ177" s="178"/>
      <c r="CR177" s="182"/>
      <c r="CS177" s="173"/>
      <c r="CT177" s="65"/>
      <c r="CU177" s="271" t="str">
        <f t="shared" si="2"/>
        <v/>
      </c>
    </row>
    <row r="178" ht="60.0" hidden="1" customHeight="1">
      <c r="A178" s="65"/>
      <c r="C178" s="167"/>
      <c r="D178" s="205"/>
      <c r="E178" s="262"/>
      <c r="F178" s="170"/>
      <c r="G178" s="170"/>
      <c r="H178" s="170"/>
      <c r="I178" s="170"/>
      <c r="J178" s="170"/>
      <c r="K178" s="171"/>
      <c r="L178" s="171"/>
      <c r="M178" s="171"/>
      <c r="N178" s="209"/>
      <c r="O178" s="172">
        <f t="shared" si="32"/>
        <v>0</v>
      </c>
      <c r="P178" s="166"/>
      <c r="Q178" s="173"/>
      <c r="R178" s="65"/>
      <c r="S178" s="173"/>
      <c r="T178" s="173"/>
      <c r="U178" s="166"/>
      <c r="V178" s="166"/>
      <c r="W178" s="65"/>
      <c r="X178" s="66"/>
      <c r="Y178" s="173"/>
      <c r="Z178" s="166"/>
      <c r="AA178" s="174"/>
      <c r="AB178" s="175"/>
      <c r="AC178" s="175"/>
      <c r="AD178" s="175"/>
      <c r="AE178" s="175"/>
      <c r="AF178" s="175"/>
      <c r="AG178" s="175"/>
      <c r="AH178" s="175"/>
      <c r="AI178" s="176"/>
      <c r="AJ178" s="177"/>
      <c r="AK178" s="178"/>
      <c r="AL178" s="178"/>
      <c r="AM178" s="178"/>
      <c r="AN178" s="178"/>
      <c r="AO178" s="179"/>
      <c r="AP178" s="64"/>
      <c r="AQ178" s="65"/>
      <c r="AR178" s="65"/>
      <c r="AS178" s="65"/>
      <c r="AT178" s="173"/>
      <c r="AU178" s="177"/>
      <c r="AV178" s="178"/>
      <c r="AW178" s="178"/>
      <c r="AX178" s="179"/>
      <c r="AZ178" s="166"/>
      <c r="BA178" s="177"/>
      <c r="BB178" s="178"/>
      <c r="BC178" s="178"/>
      <c r="BD178" s="178"/>
      <c r="BE178" s="178"/>
      <c r="BF178" s="178"/>
      <c r="BG178" s="178"/>
      <c r="BH178" s="178"/>
      <c r="BI178" s="179"/>
      <c r="BJ178" s="180"/>
      <c r="BK178" s="178"/>
      <c r="BL178" s="178"/>
      <c r="BM178" s="178"/>
      <c r="BN178" s="178"/>
      <c r="BO178" s="181"/>
      <c r="BP178" s="166"/>
      <c r="BQ178" s="177"/>
      <c r="BR178" s="178"/>
      <c r="BS178" s="179"/>
      <c r="BU178" s="166"/>
      <c r="BV178" s="166"/>
      <c r="BW178" s="166"/>
      <c r="BX178" s="166"/>
      <c r="BY178" s="166"/>
      <c r="BZ178" s="166"/>
      <c r="CA178" s="166"/>
      <c r="CB178" s="166"/>
      <c r="CC178" s="166"/>
      <c r="CD178" s="177"/>
      <c r="CE178" s="181"/>
      <c r="CF178" s="177"/>
      <c r="CG178" s="179"/>
      <c r="CH178" s="257"/>
      <c r="CI178" s="182"/>
      <c r="CJ178" s="177"/>
      <c r="CK178" s="182"/>
      <c r="CL178" s="177"/>
      <c r="CM178" s="182"/>
      <c r="CN178" s="177"/>
      <c r="CO178" s="182"/>
      <c r="CP178" s="177"/>
      <c r="CQ178" s="178"/>
      <c r="CR178" s="182"/>
      <c r="CS178" s="173"/>
      <c r="CT178" s="65"/>
      <c r="CU178" s="271" t="str">
        <f t="shared" si="2"/>
        <v/>
      </c>
    </row>
    <row r="179" ht="60.0" hidden="1" customHeight="1">
      <c r="A179" s="65"/>
      <c r="C179" s="167"/>
      <c r="D179" s="205"/>
      <c r="E179" s="262"/>
      <c r="F179" s="170"/>
      <c r="G179" s="170"/>
      <c r="H179" s="170"/>
      <c r="I179" s="170"/>
      <c r="J179" s="170"/>
      <c r="K179" s="171"/>
      <c r="L179" s="171"/>
      <c r="M179" s="171"/>
      <c r="N179" s="209"/>
      <c r="O179" s="172">
        <f t="shared" ref="O179:O182" si="33">IF(AND(M179&gt;=20,M179&lt;&gt;"m",RIGHT(K179,3)="Lec"),1,IF(AND(M179&gt;=20,M179&lt;&gt;"m",OR(RIGHT(K179,3)="Lab",RIGHT(K179,3)="Tut")),0.5,IF(AND(M179&gt;=20,M179&lt;&gt;"m",RIGHT(K179,2)="TL"),0.75,0)))</f>
        <v>0</v>
      </c>
      <c r="P179" s="166"/>
      <c r="Q179" s="173"/>
      <c r="R179" s="65"/>
      <c r="S179" s="173"/>
      <c r="T179" s="173"/>
      <c r="U179" s="166"/>
      <c r="V179" s="166"/>
      <c r="W179" s="65"/>
      <c r="X179" s="66"/>
      <c r="Y179" s="173"/>
      <c r="Z179" s="166"/>
      <c r="AA179" s="174"/>
      <c r="AB179" s="175"/>
      <c r="AC179" s="175"/>
      <c r="AD179" s="175"/>
      <c r="AE179" s="175"/>
      <c r="AF179" s="175"/>
      <c r="AG179" s="175"/>
      <c r="AH179" s="175"/>
      <c r="AI179" s="176"/>
      <c r="AJ179" s="177"/>
      <c r="AK179" s="178"/>
      <c r="AL179" s="178"/>
      <c r="AM179" s="178"/>
      <c r="AN179" s="178"/>
      <c r="AO179" s="179"/>
      <c r="AP179" s="64"/>
      <c r="AQ179" s="65"/>
      <c r="AR179" s="65"/>
      <c r="AS179" s="65"/>
      <c r="AT179" s="173"/>
      <c r="AU179" s="177"/>
      <c r="AV179" s="178"/>
      <c r="AW179" s="178"/>
      <c r="AX179" s="179"/>
      <c r="AZ179" s="166"/>
      <c r="BA179" s="177"/>
      <c r="BB179" s="178"/>
      <c r="BC179" s="178"/>
      <c r="BD179" s="178"/>
      <c r="BE179" s="178"/>
      <c r="BF179" s="178"/>
      <c r="BG179" s="178"/>
      <c r="BH179" s="178"/>
      <c r="BI179" s="179"/>
      <c r="BJ179" s="180"/>
      <c r="BK179" s="178"/>
      <c r="BL179" s="178"/>
      <c r="BM179" s="178"/>
      <c r="BN179" s="178"/>
      <c r="BO179" s="181"/>
      <c r="BP179" s="166"/>
      <c r="BQ179" s="177"/>
      <c r="BR179" s="178"/>
      <c r="BS179" s="179"/>
      <c r="BU179" s="166"/>
      <c r="BV179" s="166"/>
      <c r="BW179" s="166"/>
      <c r="BX179" s="166"/>
      <c r="BY179" s="166"/>
      <c r="BZ179" s="166"/>
      <c r="CA179" s="166"/>
      <c r="CB179" s="166"/>
      <c r="CC179" s="166"/>
      <c r="CD179" s="177"/>
      <c r="CE179" s="181"/>
      <c r="CF179" s="177"/>
      <c r="CG179" s="179"/>
      <c r="CH179" s="257"/>
      <c r="CI179" s="182"/>
      <c r="CJ179" s="177"/>
      <c r="CK179" s="182"/>
      <c r="CL179" s="177"/>
      <c r="CM179" s="182"/>
      <c r="CN179" s="177"/>
      <c r="CO179" s="182"/>
      <c r="CP179" s="177"/>
      <c r="CQ179" s="178"/>
      <c r="CR179" s="182"/>
      <c r="CS179" s="173"/>
      <c r="CT179" s="65"/>
      <c r="CU179" s="271" t="str">
        <f t="shared" si="2"/>
        <v/>
      </c>
    </row>
    <row r="180" ht="60.0" hidden="1" customHeight="1">
      <c r="A180" s="65"/>
      <c r="C180" s="167"/>
      <c r="D180" s="205"/>
      <c r="E180" s="262"/>
      <c r="F180" s="170"/>
      <c r="G180" s="170"/>
      <c r="H180" s="170"/>
      <c r="I180" s="170"/>
      <c r="J180" s="170"/>
      <c r="K180" s="171"/>
      <c r="L180" s="171"/>
      <c r="M180" s="171"/>
      <c r="N180" s="209"/>
      <c r="O180" s="172">
        <f t="shared" si="33"/>
        <v>0</v>
      </c>
      <c r="P180" s="166"/>
      <c r="Q180" s="173"/>
      <c r="R180" s="65"/>
      <c r="S180" s="173"/>
      <c r="T180" s="173"/>
      <c r="U180" s="166"/>
      <c r="V180" s="166"/>
      <c r="W180" s="65"/>
      <c r="X180" s="66"/>
      <c r="Y180" s="173"/>
      <c r="Z180" s="166"/>
      <c r="AA180" s="174"/>
      <c r="AB180" s="175"/>
      <c r="AC180" s="175"/>
      <c r="AD180" s="175"/>
      <c r="AE180" s="175"/>
      <c r="AF180" s="175"/>
      <c r="AG180" s="175"/>
      <c r="AH180" s="175"/>
      <c r="AI180" s="176"/>
      <c r="AJ180" s="177"/>
      <c r="AK180" s="178"/>
      <c r="AL180" s="178"/>
      <c r="AM180" s="178"/>
      <c r="AN180" s="178"/>
      <c r="AO180" s="179"/>
      <c r="AP180" s="64"/>
      <c r="AQ180" s="65"/>
      <c r="AR180" s="65"/>
      <c r="AS180" s="65"/>
      <c r="AT180" s="173"/>
      <c r="AU180" s="177"/>
      <c r="AV180" s="178"/>
      <c r="AW180" s="178"/>
      <c r="AX180" s="179"/>
      <c r="AZ180" s="166"/>
      <c r="BA180" s="177"/>
      <c r="BB180" s="178"/>
      <c r="BC180" s="178"/>
      <c r="BD180" s="178"/>
      <c r="BE180" s="178"/>
      <c r="BF180" s="178"/>
      <c r="BG180" s="178"/>
      <c r="BH180" s="178"/>
      <c r="BI180" s="179"/>
      <c r="BJ180" s="180"/>
      <c r="BK180" s="178"/>
      <c r="BL180" s="178"/>
      <c r="BM180" s="178"/>
      <c r="BN180" s="178"/>
      <c r="BO180" s="181"/>
      <c r="BP180" s="166"/>
      <c r="BQ180" s="177"/>
      <c r="BR180" s="178"/>
      <c r="BS180" s="179"/>
      <c r="BU180" s="166"/>
      <c r="BV180" s="166"/>
      <c r="BW180" s="166"/>
      <c r="BX180" s="166"/>
      <c r="BY180" s="166"/>
      <c r="BZ180" s="166"/>
      <c r="CA180" s="166"/>
      <c r="CB180" s="166"/>
      <c r="CC180" s="166"/>
      <c r="CD180" s="177"/>
      <c r="CE180" s="181"/>
      <c r="CF180" s="177"/>
      <c r="CG180" s="179"/>
      <c r="CH180" s="257"/>
      <c r="CI180" s="182"/>
      <c r="CJ180" s="177"/>
      <c r="CK180" s="182"/>
      <c r="CL180" s="177"/>
      <c r="CM180" s="182"/>
      <c r="CN180" s="177"/>
      <c r="CO180" s="182"/>
      <c r="CP180" s="177"/>
      <c r="CQ180" s="178"/>
      <c r="CR180" s="182"/>
      <c r="CS180" s="173"/>
      <c r="CT180" s="65"/>
      <c r="CU180" s="271" t="str">
        <f t="shared" si="2"/>
        <v/>
      </c>
    </row>
    <row r="181" ht="60.0" hidden="1" customHeight="1">
      <c r="A181" s="65"/>
      <c r="C181" s="167"/>
      <c r="D181" s="205"/>
      <c r="E181" s="262"/>
      <c r="F181" s="170"/>
      <c r="G181" s="170"/>
      <c r="H181" s="170"/>
      <c r="I181" s="170"/>
      <c r="J181" s="170"/>
      <c r="K181" s="171"/>
      <c r="L181" s="171"/>
      <c r="M181" s="171"/>
      <c r="N181" s="209"/>
      <c r="O181" s="172">
        <f t="shared" si="33"/>
        <v>0</v>
      </c>
      <c r="P181" s="166"/>
      <c r="Q181" s="173"/>
      <c r="R181" s="65"/>
      <c r="S181" s="173"/>
      <c r="T181" s="173"/>
      <c r="U181" s="166"/>
      <c r="V181" s="166"/>
      <c r="W181" s="65"/>
      <c r="X181" s="66"/>
      <c r="Y181" s="173"/>
      <c r="Z181" s="166"/>
      <c r="AA181" s="174"/>
      <c r="AB181" s="175"/>
      <c r="AC181" s="175"/>
      <c r="AD181" s="175"/>
      <c r="AE181" s="175"/>
      <c r="AF181" s="175"/>
      <c r="AG181" s="175"/>
      <c r="AH181" s="175"/>
      <c r="AI181" s="176"/>
      <c r="AJ181" s="177"/>
      <c r="AK181" s="178"/>
      <c r="AL181" s="178"/>
      <c r="AM181" s="178"/>
      <c r="AN181" s="178"/>
      <c r="AO181" s="179"/>
      <c r="AP181" s="64"/>
      <c r="AQ181" s="65"/>
      <c r="AR181" s="65"/>
      <c r="AS181" s="65"/>
      <c r="AT181" s="173"/>
      <c r="AU181" s="177"/>
      <c r="AV181" s="178"/>
      <c r="AW181" s="178"/>
      <c r="AX181" s="179"/>
      <c r="AZ181" s="166"/>
      <c r="BA181" s="177"/>
      <c r="BB181" s="178"/>
      <c r="BC181" s="178"/>
      <c r="BD181" s="178"/>
      <c r="BE181" s="178"/>
      <c r="BF181" s="178"/>
      <c r="BG181" s="178"/>
      <c r="BH181" s="178"/>
      <c r="BI181" s="179"/>
      <c r="BJ181" s="180"/>
      <c r="BK181" s="178"/>
      <c r="BL181" s="178"/>
      <c r="BM181" s="178"/>
      <c r="BN181" s="178"/>
      <c r="BO181" s="181"/>
      <c r="BP181" s="166"/>
      <c r="BQ181" s="177"/>
      <c r="BR181" s="178"/>
      <c r="BS181" s="179"/>
      <c r="BU181" s="166"/>
      <c r="BV181" s="166"/>
      <c r="BW181" s="166"/>
      <c r="BX181" s="166"/>
      <c r="BY181" s="166"/>
      <c r="BZ181" s="166"/>
      <c r="CA181" s="166"/>
      <c r="CB181" s="166"/>
      <c r="CC181" s="166"/>
      <c r="CD181" s="177"/>
      <c r="CE181" s="181"/>
      <c r="CF181" s="177"/>
      <c r="CG181" s="179"/>
      <c r="CH181" s="257"/>
      <c r="CI181" s="182"/>
      <c r="CJ181" s="177"/>
      <c r="CK181" s="182"/>
      <c r="CL181" s="177"/>
      <c r="CM181" s="182"/>
      <c r="CN181" s="177"/>
      <c r="CO181" s="182"/>
      <c r="CP181" s="177"/>
      <c r="CQ181" s="178"/>
      <c r="CR181" s="182"/>
      <c r="CS181" s="173"/>
      <c r="CT181" s="65"/>
      <c r="CU181" s="271" t="str">
        <f t="shared" si="2"/>
        <v/>
      </c>
    </row>
    <row r="182" ht="60.0" hidden="1" customHeight="1">
      <c r="A182" s="65"/>
      <c r="C182" s="167"/>
      <c r="D182" s="205"/>
      <c r="E182" s="262"/>
      <c r="F182" s="170"/>
      <c r="G182" s="170"/>
      <c r="H182" s="170"/>
      <c r="I182" s="170"/>
      <c r="J182" s="170"/>
      <c r="K182" s="171"/>
      <c r="L182" s="171"/>
      <c r="M182" s="171"/>
      <c r="N182" s="209"/>
      <c r="O182" s="172">
        <f t="shared" si="33"/>
        <v>0</v>
      </c>
      <c r="P182" s="166"/>
      <c r="Q182" s="173"/>
      <c r="R182" s="65"/>
      <c r="S182" s="173"/>
      <c r="T182" s="173"/>
      <c r="U182" s="166"/>
      <c r="V182" s="166"/>
      <c r="W182" s="65"/>
      <c r="X182" s="66"/>
      <c r="Y182" s="173"/>
      <c r="Z182" s="166"/>
      <c r="AA182" s="174"/>
      <c r="AB182" s="175"/>
      <c r="AC182" s="175"/>
      <c r="AD182" s="175"/>
      <c r="AE182" s="175"/>
      <c r="AF182" s="175"/>
      <c r="AG182" s="175"/>
      <c r="AH182" s="175"/>
      <c r="AI182" s="176"/>
      <c r="AJ182" s="177"/>
      <c r="AK182" s="178"/>
      <c r="AL182" s="178"/>
      <c r="AM182" s="178"/>
      <c r="AN182" s="178"/>
      <c r="AO182" s="179"/>
      <c r="AP182" s="64"/>
      <c r="AQ182" s="65"/>
      <c r="AR182" s="65"/>
      <c r="AS182" s="65"/>
      <c r="AT182" s="173"/>
      <c r="AU182" s="177"/>
      <c r="AV182" s="178"/>
      <c r="AW182" s="178"/>
      <c r="AX182" s="179"/>
      <c r="AZ182" s="166"/>
      <c r="BA182" s="177"/>
      <c r="BB182" s="178"/>
      <c r="BC182" s="178"/>
      <c r="BD182" s="178"/>
      <c r="BE182" s="178"/>
      <c r="BF182" s="178"/>
      <c r="BG182" s="178"/>
      <c r="BH182" s="178"/>
      <c r="BI182" s="179"/>
      <c r="BJ182" s="180"/>
      <c r="BK182" s="178"/>
      <c r="BL182" s="178"/>
      <c r="BM182" s="178"/>
      <c r="BN182" s="178"/>
      <c r="BO182" s="181"/>
      <c r="BP182" s="166"/>
      <c r="BQ182" s="177"/>
      <c r="BR182" s="178"/>
      <c r="BS182" s="179"/>
      <c r="BU182" s="166"/>
      <c r="BV182" s="166"/>
      <c r="BW182" s="166"/>
      <c r="BX182" s="166"/>
      <c r="BY182" s="166"/>
      <c r="BZ182" s="166"/>
      <c r="CA182" s="166"/>
      <c r="CB182" s="166"/>
      <c r="CC182" s="166"/>
      <c r="CD182" s="177"/>
      <c r="CE182" s="181"/>
      <c r="CF182" s="177"/>
      <c r="CG182" s="179"/>
      <c r="CH182" s="257"/>
      <c r="CI182" s="182"/>
      <c r="CJ182" s="177"/>
      <c r="CK182" s="182"/>
      <c r="CL182" s="177"/>
      <c r="CM182" s="182"/>
      <c r="CN182" s="177"/>
      <c r="CO182" s="182"/>
      <c r="CP182" s="177"/>
      <c r="CQ182" s="178"/>
      <c r="CR182" s="182"/>
      <c r="CS182" s="173"/>
      <c r="CT182" s="65"/>
      <c r="CU182" s="271" t="str">
        <f t="shared" si="2"/>
        <v/>
      </c>
    </row>
    <row r="183" ht="60.0" hidden="1" customHeight="1">
      <c r="A183" s="89"/>
      <c r="B183" s="6"/>
      <c r="C183" s="183"/>
      <c r="D183" s="210"/>
      <c r="E183" s="263"/>
      <c r="F183" s="186"/>
      <c r="G183" s="186"/>
      <c r="H183" s="186"/>
      <c r="I183" s="186"/>
      <c r="J183" s="186"/>
      <c r="K183" s="187"/>
      <c r="L183" s="187"/>
      <c r="M183" s="187"/>
      <c r="N183" s="214"/>
      <c r="O183" s="188">
        <f t="shared" ref="O183:O189" si="34">IF(AND(M183&lt;&gt;0,M183&lt;&gt;"m",M183&lt;&gt;"",RIGHT(K183,3)="Lec"),1,IF(AND(M183&lt;&gt;0,M183&lt;&gt;"m",M183&lt;&gt;"",OR(RIGHT(K183,3)="Lab",RIGHT(K183,3)="Tut")),0.5,IF(AND(M183&lt;&gt;0,M183&lt;&gt;"m",M183&lt;&gt;"",RIGHT(K183,2)="TL"),0.75,0)))</f>
        <v>0</v>
      </c>
      <c r="P183" s="63"/>
      <c r="Q183" s="69"/>
      <c r="R183" s="89"/>
      <c r="S183" s="69"/>
      <c r="T183" s="69"/>
      <c r="U183" s="63"/>
      <c r="V183" s="63"/>
      <c r="W183" s="89"/>
      <c r="X183" s="68"/>
      <c r="Y183" s="69"/>
      <c r="Z183" s="63"/>
      <c r="AA183" s="189"/>
      <c r="AB183" s="190"/>
      <c r="AC183" s="190"/>
      <c r="AD183" s="190"/>
      <c r="AE183" s="190"/>
      <c r="AF183" s="190"/>
      <c r="AG183" s="190"/>
      <c r="AH183" s="190"/>
      <c r="AI183" s="191"/>
      <c r="AJ183" s="192"/>
      <c r="AK183" s="193"/>
      <c r="AL183" s="193"/>
      <c r="AM183" s="193"/>
      <c r="AN183" s="193"/>
      <c r="AO183" s="194"/>
      <c r="AP183" s="103"/>
      <c r="AQ183" s="89"/>
      <c r="AR183" s="89"/>
      <c r="AS183" s="89"/>
      <c r="AT183" s="69"/>
      <c r="AU183" s="192"/>
      <c r="AV183" s="193"/>
      <c r="AW183" s="193"/>
      <c r="AX183" s="194"/>
      <c r="AY183" s="6"/>
      <c r="AZ183" s="63"/>
      <c r="BA183" s="192"/>
      <c r="BB183" s="193"/>
      <c r="BC183" s="193"/>
      <c r="BD183" s="193"/>
      <c r="BE183" s="193"/>
      <c r="BF183" s="193"/>
      <c r="BG183" s="193"/>
      <c r="BH183" s="193"/>
      <c r="BI183" s="194"/>
      <c r="BJ183" s="195"/>
      <c r="BK183" s="193"/>
      <c r="BL183" s="193"/>
      <c r="BM183" s="193"/>
      <c r="BN183" s="193"/>
      <c r="BO183" s="196"/>
      <c r="BP183" s="63"/>
      <c r="BQ183" s="192"/>
      <c r="BR183" s="193"/>
      <c r="BS183" s="194"/>
      <c r="BT183" s="6"/>
      <c r="BU183" s="63"/>
      <c r="BV183" s="63"/>
      <c r="BW183" s="63"/>
      <c r="BX183" s="63"/>
      <c r="BY183" s="63"/>
      <c r="BZ183" s="63"/>
      <c r="CA183" s="63"/>
      <c r="CB183" s="63"/>
      <c r="CC183" s="63"/>
      <c r="CD183" s="192"/>
      <c r="CE183" s="196"/>
      <c r="CF183" s="192"/>
      <c r="CG183" s="194"/>
      <c r="CH183" s="259"/>
      <c r="CI183" s="197"/>
      <c r="CJ183" s="192"/>
      <c r="CK183" s="197"/>
      <c r="CL183" s="192"/>
      <c r="CM183" s="197"/>
      <c r="CN183" s="192"/>
      <c r="CO183" s="197"/>
      <c r="CP183" s="192"/>
      <c r="CQ183" s="193"/>
      <c r="CR183" s="197"/>
      <c r="CS183" s="69"/>
      <c r="CT183" s="89"/>
      <c r="CU183" s="272" t="str">
        <f t="shared" si="2"/>
        <v/>
      </c>
    </row>
    <row r="184" ht="55.5" hidden="1" customHeight="1">
      <c r="A184" s="125">
        <v>17.0</v>
      </c>
      <c r="B184" s="199"/>
      <c r="C184" s="127"/>
      <c r="D184" s="128"/>
      <c r="E184" s="260"/>
      <c r="F184" s="261"/>
      <c r="G184" s="261"/>
      <c r="H184" s="261"/>
      <c r="I184" s="261"/>
      <c r="J184" s="170"/>
      <c r="K184" s="219"/>
      <c r="L184" s="219"/>
      <c r="M184" s="219"/>
      <c r="N184" s="220"/>
      <c r="O184" s="132">
        <f t="shared" si="34"/>
        <v>0</v>
      </c>
      <c r="P184" s="133">
        <f>COUNTIF(K184:K194,"TL")*0.75+COUNTIF(K184:K194,"Lec")*1+COUNTIF(K184:K194,"Lab")*0.5</f>
        <v>0</v>
      </c>
      <c r="Q184" s="134">
        <f>SUM((IF(LEFT(K184,1)="E",O184,0)),(IF(LEFT(K185,1)="E",O185,0)),(IF(LEFT(K186,1)="E",O186,0)),(IF(LEFT(K187,1)="E",O187,0)),(IF(LEFT(K188,1)="E",O188,0)),(IF(LEFT(K189,1)="E",O189,0)),(IF(LEFT(K190,1)="E",O190,0)),(IF(LEFT(K191,1)="E",O191,0)),(IF(LEFT(K192,1)="E",O192,0)),(IF(LEFT(K193,1)="E",O193,0)),(IF(LEFT(K194,1)="E",O194,0)))</f>
        <v>0</v>
      </c>
      <c r="R184" s="135">
        <f>SUM(IF(M190&lt;20,IF(K190="Plec",-1,IF(K190="PTL",-0.75,IF(K190="Plab",-0.5,0))),0),IF(M191&lt;20,IF(K191="Plec",-1,IF(K191="PTL",-0.75,IF(K191="Plab",-0.5,0))),0),IF(M192&lt;20,IF(K192="Plec",-1,IF(K192="PTL",-0.75,IF(K192="Plab",-0.5,0))),0),IF(M193&lt;20,IF(K193="Plec",-1,IF(K193="PTL",-0.75,IF(K193="Plab",-0.5,0))),0))</f>
        <v>0</v>
      </c>
      <c r="S184" s="134">
        <f>SUM(P184:R194)</f>
        <v>0</v>
      </c>
      <c r="T184" s="136">
        <f>SUM(IF(M184="M",IF(OR(K184="lec",K184="plec",K184="slec"),1,IF(OR(K184="lab",K184="plab",K184="slab",K184="tut",K184="ptut",K184="stut"),0.5,IF(OR(K184="TL",K184="pTL",K184="STL"),0.75,0))),0),IF(M185="M",IF(OR(K185="lec",K185="plec",K185="slec"),1,IF(OR(K185="lab",K185="plab",K185="slab",K185="tut",K185="ptut",K185="stut"),0.5,IF(OR(K185="TL",K185="pTL",K185="STL"),0.75,0))),0),IF(M186="M",IF(OR(K186="lec",K186="plec",K186="slec"),1,IF(OR(K186="lab",K186="plab",K186="slab",K186="tut",K186="ptut",K186="stut"),0.5,IF(OR(K186="TL",K186="pTL",K186="STL"),0.75,0))),0),IF(M187="M",IF(OR(K187="lec",K187="plec",K187="slec"),1,IF(OR(K187="lab",K187="plab",K187="slab",K187="tut",K187="ptut",K187="stut"),0.5,IF(OR(K187="TL",K187="pTL",K187="STL"),0.75,0))),0),IF(M188="M",IF(OR(K188="lec",K188="plec",K188="slec"),1,IF(OR(K188="lab",K188="plab",K188="slab",K188="tut",K188="ptut",K188="stut"),0.5,IF(OR(K188="TL",K188="pTL",K188="STL"),0.75,0))),0),IF(M189="M",IF(OR(K189="lec",K189="plec",K189="slec"),1,IF(OR(K189="lab",K189="plab",K189="slab",K189="tut",K189="ptut",K189="stut"),0.5,IF(OR(K189="TL",K189="pTL",K189="STL"),0.75,0))),0),IF(M190="M",IF(OR(K190="lec",K190="plec",K190="slec"),1,IF(OR(K190="lab",K190="plab",K190="slab",K190="tut",K190="ptut",K190="stut"),0.5,IF(OR(K190="TL",K190="pTL",K190="STL"),0.75,0))),0),IF(M191="M",IF(OR(K191="lec",K191="plec",K191="slec"),1,IF(OR(K191="lab",K191="plab",K191="slab",K191="tut",K191="ptut",K191="stut"),0.5,IF(OR(K191="TL",K191="pTL",K191="STL"),0.75,0))),0),IF(M192="M",IF(OR(K192="lec",K192="plec",K192="slec"),1,IF(OR(K192="lab",K192="plab",K192="slab",K192="tut",K192="ptut",K192="stut"),0.5,IF(OR(K192="TL",K192="pTL",K192="STL"),0.75,0))),0),IF(M193="M",IF(OR(K193="lec",K193="plec",K193="slec"),1,IF(OR(K193="lab",K193="plab",K193="slab",K193="tut",K193="ptut",K193="stut"),0.5,IF(OR(K193="TL",K193="pTL",K193="STL"),0.75,0))),0),IF(M194="M",IF(OR(K194="lec",K194="plec",K194="slec"),1,IF(OR(K194="lab",K194="plab",K194="slab",K194="tut",K194="ptut",K194="stut"),0.5,IF(OR(K194="TL",K194="pTL",K194="STL"),0.75,0))),0))</f>
        <v>0</v>
      </c>
      <c r="U184" s="137"/>
      <c r="V184" s="133"/>
      <c r="W184" s="138"/>
      <c r="X184" s="139">
        <f>S184-(T184+U184+V184+W184)</f>
        <v>0</v>
      </c>
      <c r="Y184" s="134" t="str">
        <f>CONCATENATE(SUM(O184:O194),"(",SUM(O184:O194)-X184,")")</f>
        <v>0(0)</v>
      </c>
      <c r="Z184" s="140"/>
      <c r="AA184" s="141"/>
      <c r="AB184" s="142"/>
      <c r="AC184" s="142"/>
      <c r="AD184" s="142"/>
      <c r="AE184" s="142"/>
      <c r="AF184" s="142"/>
      <c r="AG184" s="142"/>
      <c r="AH184" s="142"/>
      <c r="AI184" s="143"/>
      <c r="AJ184" s="144"/>
      <c r="AK184" s="145"/>
      <c r="AL184" s="145"/>
      <c r="AM184" s="145"/>
      <c r="AN184" s="145"/>
      <c r="AO184" s="146"/>
      <c r="AP184" s="147">
        <f>SUM(SUM(O184:O194),SUM(AI184:AI194)/2,AM184)</f>
        <v>0</v>
      </c>
      <c r="AQ184" s="148"/>
      <c r="AR184" s="148">
        <f>AP184*AQ184</f>
        <v>0</v>
      </c>
      <c r="AS184" s="148">
        <f>CT184</f>
        <v>0</v>
      </c>
      <c r="AT184" s="149">
        <f>AR184*0.75+AS184*0.25</f>
        <v>0</v>
      </c>
      <c r="AU184" s="150"/>
      <c r="AV184" s="151"/>
      <c r="AW184" s="151"/>
      <c r="AX184" s="152"/>
      <c r="AY184" s="153"/>
      <c r="AZ184" s="140"/>
      <c r="BA184" s="150"/>
      <c r="BB184" s="151"/>
      <c r="BC184" s="151"/>
      <c r="BD184" s="151"/>
      <c r="BE184" s="151"/>
      <c r="BF184" s="151"/>
      <c r="BG184" s="151"/>
      <c r="BH184" s="151"/>
      <c r="BI184" s="152"/>
      <c r="BJ184" s="154"/>
      <c r="BK184" s="151"/>
      <c r="BL184" s="151"/>
      <c r="BM184" s="151"/>
      <c r="BN184" s="151"/>
      <c r="BO184" s="155"/>
      <c r="BP184" s="140"/>
      <c r="BQ184" s="156"/>
      <c r="BR184" s="157"/>
      <c r="BS184" s="158"/>
      <c r="BT184" s="153"/>
      <c r="BU184" s="140"/>
      <c r="BV184" s="140"/>
      <c r="BW184" s="140"/>
      <c r="BX184" s="140"/>
      <c r="BY184" s="140"/>
      <c r="BZ184" s="140"/>
      <c r="CA184" s="140"/>
      <c r="CB184" s="140"/>
      <c r="CC184" s="140"/>
      <c r="CD184" s="150"/>
      <c r="CE184" s="155"/>
      <c r="CF184" s="150"/>
      <c r="CG184" s="152"/>
      <c r="CH184" s="252"/>
      <c r="CI184" s="160"/>
      <c r="CJ184" s="159"/>
      <c r="CK184" s="160"/>
      <c r="CL184" s="159"/>
      <c r="CM184" s="160"/>
      <c r="CN184" s="159"/>
      <c r="CO184" s="160"/>
      <c r="CP184" s="159"/>
      <c r="CQ184" s="162"/>
      <c r="CR184" s="160"/>
      <c r="CS184" s="253">
        <f>SUM(IF(AU184&lt;0,ABS(AU184),0),IF(AZ184&lt;0,ABS(AZ184),0),ABS(CI184),ABS(CK184),ABS(CM184),ABS(CO184),ABS(CQ184),ABS(CR184))</f>
        <v>0</v>
      </c>
      <c r="CT184" s="254">
        <f>SUM(AU184,AV184,AW184,AX184/400,AY184,AZ184,BG184,BH184*0.5,BI184*0.25,BJ184,BK184,BL184,BM184,BN184,BO184,BP184,BR184/20,BS184/100,BT184/60,BU184,BV184,BW184,BX184/4,SUM(BY184:CC194)/3,CE184,CG184/3,CI184,CK184,CM184,CO184,CQ184,CR184)</f>
        <v>0</v>
      </c>
      <c r="CU184" s="255" t="str">
        <f t="shared" si="2"/>
        <v/>
      </c>
    </row>
    <row r="185" ht="60.0" hidden="1" customHeight="1">
      <c r="A185" s="65"/>
      <c r="C185" s="167"/>
      <c r="D185" s="205"/>
      <c r="E185" s="262"/>
      <c r="F185" s="170"/>
      <c r="G185" s="170"/>
      <c r="H185" s="170"/>
      <c r="I185" s="170"/>
      <c r="J185" s="170"/>
      <c r="K185" s="171"/>
      <c r="L185" s="171"/>
      <c r="M185" s="171"/>
      <c r="N185" s="209"/>
      <c r="O185" s="172">
        <f t="shared" si="34"/>
        <v>0</v>
      </c>
      <c r="P185" s="166"/>
      <c r="Q185" s="173"/>
      <c r="R185" s="65"/>
      <c r="S185" s="173"/>
      <c r="T185" s="173"/>
      <c r="U185" s="166"/>
      <c r="V185" s="166"/>
      <c r="W185" s="65"/>
      <c r="X185" s="66"/>
      <c r="Y185" s="173"/>
      <c r="Z185" s="166"/>
      <c r="AA185" s="174"/>
      <c r="AB185" s="175"/>
      <c r="AC185" s="175"/>
      <c r="AD185" s="175"/>
      <c r="AE185" s="175"/>
      <c r="AF185" s="175"/>
      <c r="AG185" s="175"/>
      <c r="AH185" s="175"/>
      <c r="AI185" s="176"/>
      <c r="AJ185" s="177"/>
      <c r="AK185" s="178"/>
      <c r="AL185" s="178"/>
      <c r="AM185" s="178"/>
      <c r="AN185" s="178"/>
      <c r="AO185" s="179"/>
      <c r="AP185" s="64"/>
      <c r="AQ185" s="65"/>
      <c r="AR185" s="65"/>
      <c r="AS185" s="65"/>
      <c r="AT185" s="173"/>
      <c r="AU185" s="177"/>
      <c r="AV185" s="178"/>
      <c r="AW185" s="178"/>
      <c r="AX185" s="179"/>
      <c r="AZ185" s="166"/>
      <c r="BA185" s="177"/>
      <c r="BB185" s="178"/>
      <c r="BC185" s="178"/>
      <c r="BD185" s="178"/>
      <c r="BE185" s="178"/>
      <c r="BF185" s="178"/>
      <c r="BG185" s="178"/>
      <c r="BH185" s="178"/>
      <c r="BI185" s="179"/>
      <c r="BJ185" s="180"/>
      <c r="BK185" s="178"/>
      <c r="BL185" s="178"/>
      <c r="BM185" s="178"/>
      <c r="BN185" s="178"/>
      <c r="BO185" s="181"/>
      <c r="BP185" s="166"/>
      <c r="BQ185" s="177"/>
      <c r="BR185" s="178"/>
      <c r="BS185" s="179"/>
      <c r="BU185" s="166"/>
      <c r="BV185" s="166"/>
      <c r="BW185" s="166"/>
      <c r="BX185" s="166"/>
      <c r="BY185" s="166"/>
      <c r="BZ185" s="166"/>
      <c r="CA185" s="166"/>
      <c r="CB185" s="166"/>
      <c r="CC185" s="166"/>
      <c r="CD185" s="177"/>
      <c r="CE185" s="181"/>
      <c r="CF185" s="177"/>
      <c r="CG185" s="179"/>
      <c r="CH185" s="257"/>
      <c r="CI185" s="182"/>
      <c r="CJ185" s="177"/>
      <c r="CK185" s="182"/>
      <c r="CL185" s="177"/>
      <c r="CM185" s="182"/>
      <c r="CN185" s="177"/>
      <c r="CO185" s="182"/>
      <c r="CP185" s="177"/>
      <c r="CQ185" s="178"/>
      <c r="CR185" s="182"/>
      <c r="CS185" s="173"/>
      <c r="CT185" s="65"/>
      <c r="CU185" s="271" t="str">
        <f t="shared" si="2"/>
        <v/>
      </c>
    </row>
    <row r="186" ht="60.0" hidden="1" customHeight="1">
      <c r="A186" s="65"/>
      <c r="C186" s="167"/>
      <c r="D186" s="205"/>
      <c r="E186" s="262"/>
      <c r="F186" s="170"/>
      <c r="G186" s="170"/>
      <c r="H186" s="170"/>
      <c r="I186" s="170"/>
      <c r="J186" s="170"/>
      <c r="K186" s="171"/>
      <c r="L186" s="171"/>
      <c r="M186" s="171"/>
      <c r="N186" s="209"/>
      <c r="O186" s="172">
        <f t="shared" si="34"/>
        <v>0</v>
      </c>
      <c r="P186" s="166"/>
      <c r="Q186" s="173"/>
      <c r="R186" s="65"/>
      <c r="S186" s="173"/>
      <c r="T186" s="173"/>
      <c r="U186" s="166"/>
      <c r="V186" s="166"/>
      <c r="W186" s="65"/>
      <c r="X186" s="66"/>
      <c r="Y186" s="173"/>
      <c r="Z186" s="166"/>
      <c r="AA186" s="174"/>
      <c r="AB186" s="175"/>
      <c r="AC186" s="175"/>
      <c r="AD186" s="175"/>
      <c r="AE186" s="175"/>
      <c r="AF186" s="175"/>
      <c r="AG186" s="175"/>
      <c r="AH186" s="175"/>
      <c r="AI186" s="176"/>
      <c r="AJ186" s="177"/>
      <c r="AK186" s="178"/>
      <c r="AL186" s="178"/>
      <c r="AM186" s="178"/>
      <c r="AN186" s="178"/>
      <c r="AO186" s="179"/>
      <c r="AP186" s="64"/>
      <c r="AQ186" s="65"/>
      <c r="AR186" s="65"/>
      <c r="AS186" s="65"/>
      <c r="AT186" s="173"/>
      <c r="AU186" s="177"/>
      <c r="AV186" s="178"/>
      <c r="AW186" s="178"/>
      <c r="AX186" s="179"/>
      <c r="AZ186" s="166"/>
      <c r="BA186" s="177"/>
      <c r="BB186" s="178"/>
      <c r="BC186" s="178"/>
      <c r="BD186" s="178"/>
      <c r="BE186" s="178"/>
      <c r="BF186" s="178"/>
      <c r="BG186" s="178"/>
      <c r="BH186" s="178"/>
      <c r="BI186" s="179"/>
      <c r="BJ186" s="180"/>
      <c r="BK186" s="178"/>
      <c r="BL186" s="178"/>
      <c r="BM186" s="178"/>
      <c r="BN186" s="178"/>
      <c r="BO186" s="181"/>
      <c r="BP186" s="166"/>
      <c r="BQ186" s="177"/>
      <c r="BR186" s="178"/>
      <c r="BS186" s="179"/>
      <c r="BU186" s="166"/>
      <c r="BV186" s="166"/>
      <c r="BW186" s="166"/>
      <c r="BX186" s="166"/>
      <c r="BY186" s="166"/>
      <c r="BZ186" s="166"/>
      <c r="CA186" s="166"/>
      <c r="CB186" s="166"/>
      <c r="CC186" s="166"/>
      <c r="CD186" s="177"/>
      <c r="CE186" s="181"/>
      <c r="CF186" s="177"/>
      <c r="CG186" s="179"/>
      <c r="CH186" s="257"/>
      <c r="CI186" s="182"/>
      <c r="CJ186" s="177"/>
      <c r="CK186" s="182"/>
      <c r="CL186" s="177"/>
      <c r="CM186" s="182"/>
      <c r="CN186" s="177"/>
      <c r="CO186" s="182"/>
      <c r="CP186" s="177"/>
      <c r="CQ186" s="178"/>
      <c r="CR186" s="182"/>
      <c r="CS186" s="173"/>
      <c r="CT186" s="65"/>
      <c r="CU186" s="271" t="str">
        <f t="shared" si="2"/>
        <v/>
      </c>
    </row>
    <row r="187" ht="60.0" hidden="1" customHeight="1">
      <c r="A187" s="65"/>
      <c r="C187" s="167"/>
      <c r="D187" s="205"/>
      <c r="E187" s="262"/>
      <c r="F187" s="170"/>
      <c r="G187" s="170"/>
      <c r="H187" s="170"/>
      <c r="I187" s="170"/>
      <c r="J187" s="170"/>
      <c r="K187" s="171"/>
      <c r="L187" s="171"/>
      <c r="M187" s="171"/>
      <c r="N187" s="209"/>
      <c r="O187" s="172">
        <f t="shared" si="34"/>
        <v>0</v>
      </c>
      <c r="P187" s="166"/>
      <c r="Q187" s="173"/>
      <c r="R187" s="65"/>
      <c r="S187" s="173"/>
      <c r="T187" s="173"/>
      <c r="U187" s="166"/>
      <c r="V187" s="166"/>
      <c r="W187" s="65"/>
      <c r="X187" s="66"/>
      <c r="Y187" s="173"/>
      <c r="Z187" s="166"/>
      <c r="AA187" s="174"/>
      <c r="AB187" s="175"/>
      <c r="AC187" s="175"/>
      <c r="AD187" s="175"/>
      <c r="AE187" s="175"/>
      <c r="AF187" s="175"/>
      <c r="AG187" s="175"/>
      <c r="AH187" s="175"/>
      <c r="AI187" s="176"/>
      <c r="AJ187" s="177"/>
      <c r="AK187" s="178"/>
      <c r="AL187" s="178"/>
      <c r="AM187" s="178"/>
      <c r="AN187" s="178"/>
      <c r="AO187" s="179"/>
      <c r="AP187" s="64"/>
      <c r="AQ187" s="65"/>
      <c r="AR187" s="65"/>
      <c r="AS187" s="65"/>
      <c r="AT187" s="173"/>
      <c r="AU187" s="177"/>
      <c r="AV187" s="178"/>
      <c r="AW187" s="178"/>
      <c r="AX187" s="179"/>
      <c r="AZ187" s="166"/>
      <c r="BA187" s="177"/>
      <c r="BB187" s="178"/>
      <c r="BC187" s="178"/>
      <c r="BD187" s="178"/>
      <c r="BE187" s="178"/>
      <c r="BF187" s="178"/>
      <c r="BG187" s="178"/>
      <c r="BH187" s="178"/>
      <c r="BI187" s="179"/>
      <c r="BJ187" s="180"/>
      <c r="BK187" s="178"/>
      <c r="BL187" s="178"/>
      <c r="BM187" s="178"/>
      <c r="BN187" s="178"/>
      <c r="BO187" s="181"/>
      <c r="BP187" s="166"/>
      <c r="BQ187" s="177"/>
      <c r="BR187" s="178"/>
      <c r="BS187" s="179"/>
      <c r="BU187" s="166"/>
      <c r="BV187" s="166"/>
      <c r="BW187" s="166"/>
      <c r="BX187" s="166"/>
      <c r="BY187" s="166"/>
      <c r="BZ187" s="166"/>
      <c r="CA187" s="166"/>
      <c r="CB187" s="166"/>
      <c r="CC187" s="166"/>
      <c r="CD187" s="177"/>
      <c r="CE187" s="181"/>
      <c r="CF187" s="177"/>
      <c r="CG187" s="179"/>
      <c r="CH187" s="257"/>
      <c r="CI187" s="182"/>
      <c r="CJ187" s="177"/>
      <c r="CK187" s="182"/>
      <c r="CL187" s="177"/>
      <c r="CM187" s="182"/>
      <c r="CN187" s="177"/>
      <c r="CO187" s="182"/>
      <c r="CP187" s="177"/>
      <c r="CQ187" s="178"/>
      <c r="CR187" s="182"/>
      <c r="CS187" s="173"/>
      <c r="CT187" s="65"/>
      <c r="CU187" s="271" t="str">
        <f t="shared" si="2"/>
        <v/>
      </c>
    </row>
    <row r="188" ht="60.0" hidden="1" customHeight="1">
      <c r="A188" s="65"/>
      <c r="C188" s="167"/>
      <c r="D188" s="205"/>
      <c r="E188" s="262"/>
      <c r="F188" s="170"/>
      <c r="G188" s="170"/>
      <c r="H188" s="170"/>
      <c r="I188" s="170"/>
      <c r="J188" s="170"/>
      <c r="K188" s="171"/>
      <c r="L188" s="171"/>
      <c r="M188" s="171"/>
      <c r="N188" s="209"/>
      <c r="O188" s="172">
        <f t="shared" si="34"/>
        <v>0</v>
      </c>
      <c r="P188" s="166"/>
      <c r="Q188" s="173"/>
      <c r="R188" s="65"/>
      <c r="S188" s="173"/>
      <c r="T188" s="173"/>
      <c r="U188" s="166"/>
      <c r="V188" s="166"/>
      <c r="W188" s="65"/>
      <c r="X188" s="66"/>
      <c r="Y188" s="173"/>
      <c r="Z188" s="166"/>
      <c r="AA188" s="174"/>
      <c r="AB188" s="175"/>
      <c r="AC188" s="175"/>
      <c r="AD188" s="175"/>
      <c r="AE188" s="175"/>
      <c r="AF188" s="175"/>
      <c r="AG188" s="175"/>
      <c r="AH188" s="175"/>
      <c r="AI188" s="176"/>
      <c r="AJ188" s="177"/>
      <c r="AK188" s="178"/>
      <c r="AL188" s="178"/>
      <c r="AM188" s="178"/>
      <c r="AN188" s="178"/>
      <c r="AO188" s="179"/>
      <c r="AP188" s="64"/>
      <c r="AQ188" s="65"/>
      <c r="AR188" s="65"/>
      <c r="AS188" s="65"/>
      <c r="AT188" s="173"/>
      <c r="AU188" s="177"/>
      <c r="AV188" s="178"/>
      <c r="AW188" s="178"/>
      <c r="AX188" s="179"/>
      <c r="AZ188" s="166"/>
      <c r="BA188" s="177"/>
      <c r="BB188" s="178"/>
      <c r="BC188" s="178"/>
      <c r="BD188" s="178"/>
      <c r="BE188" s="178"/>
      <c r="BF188" s="178"/>
      <c r="BG188" s="178"/>
      <c r="BH188" s="178"/>
      <c r="BI188" s="179"/>
      <c r="BJ188" s="180"/>
      <c r="BK188" s="178"/>
      <c r="BL188" s="178"/>
      <c r="BM188" s="178"/>
      <c r="BN188" s="178"/>
      <c r="BO188" s="181"/>
      <c r="BP188" s="166"/>
      <c r="BQ188" s="177"/>
      <c r="BR188" s="178"/>
      <c r="BS188" s="179"/>
      <c r="BU188" s="166"/>
      <c r="BV188" s="166"/>
      <c r="BW188" s="166"/>
      <c r="BX188" s="166"/>
      <c r="BY188" s="166"/>
      <c r="BZ188" s="166"/>
      <c r="CA188" s="166"/>
      <c r="CB188" s="166"/>
      <c r="CC188" s="166"/>
      <c r="CD188" s="177"/>
      <c r="CE188" s="181"/>
      <c r="CF188" s="177"/>
      <c r="CG188" s="179"/>
      <c r="CH188" s="257"/>
      <c r="CI188" s="182"/>
      <c r="CJ188" s="177"/>
      <c r="CK188" s="182"/>
      <c r="CL188" s="177"/>
      <c r="CM188" s="182"/>
      <c r="CN188" s="177"/>
      <c r="CO188" s="182"/>
      <c r="CP188" s="177"/>
      <c r="CQ188" s="178"/>
      <c r="CR188" s="182"/>
      <c r="CS188" s="173"/>
      <c r="CT188" s="65"/>
      <c r="CU188" s="271" t="str">
        <f t="shared" si="2"/>
        <v/>
      </c>
    </row>
    <row r="189" ht="60.0" hidden="1" customHeight="1">
      <c r="A189" s="65"/>
      <c r="C189" s="167"/>
      <c r="D189" s="205"/>
      <c r="E189" s="262"/>
      <c r="F189" s="170"/>
      <c r="G189" s="170"/>
      <c r="H189" s="170"/>
      <c r="I189" s="170"/>
      <c r="J189" s="170"/>
      <c r="K189" s="171"/>
      <c r="L189" s="171"/>
      <c r="M189" s="171"/>
      <c r="N189" s="209"/>
      <c r="O189" s="172">
        <f t="shared" si="34"/>
        <v>0</v>
      </c>
      <c r="P189" s="166"/>
      <c r="Q189" s="173"/>
      <c r="R189" s="65"/>
      <c r="S189" s="173"/>
      <c r="T189" s="173"/>
      <c r="U189" s="166"/>
      <c r="V189" s="166"/>
      <c r="W189" s="65"/>
      <c r="X189" s="66"/>
      <c r="Y189" s="173"/>
      <c r="Z189" s="166"/>
      <c r="AA189" s="174"/>
      <c r="AB189" s="175"/>
      <c r="AC189" s="175"/>
      <c r="AD189" s="175"/>
      <c r="AE189" s="175"/>
      <c r="AF189" s="175"/>
      <c r="AG189" s="175"/>
      <c r="AH189" s="175"/>
      <c r="AI189" s="176"/>
      <c r="AJ189" s="177"/>
      <c r="AK189" s="178"/>
      <c r="AL189" s="178"/>
      <c r="AM189" s="178"/>
      <c r="AN189" s="178"/>
      <c r="AO189" s="179"/>
      <c r="AP189" s="64"/>
      <c r="AQ189" s="65"/>
      <c r="AR189" s="65"/>
      <c r="AS189" s="65"/>
      <c r="AT189" s="173"/>
      <c r="AU189" s="177"/>
      <c r="AV189" s="178"/>
      <c r="AW189" s="178"/>
      <c r="AX189" s="179"/>
      <c r="AZ189" s="166"/>
      <c r="BA189" s="177"/>
      <c r="BB189" s="178"/>
      <c r="BC189" s="178"/>
      <c r="BD189" s="178"/>
      <c r="BE189" s="178"/>
      <c r="BF189" s="178"/>
      <c r="BG189" s="178"/>
      <c r="BH189" s="178"/>
      <c r="BI189" s="179"/>
      <c r="BJ189" s="180"/>
      <c r="BK189" s="178"/>
      <c r="BL189" s="178"/>
      <c r="BM189" s="178"/>
      <c r="BN189" s="178"/>
      <c r="BO189" s="181"/>
      <c r="BP189" s="166"/>
      <c r="BQ189" s="177"/>
      <c r="BR189" s="178"/>
      <c r="BS189" s="179"/>
      <c r="BU189" s="166"/>
      <c r="BV189" s="166"/>
      <c r="BW189" s="166"/>
      <c r="BX189" s="166"/>
      <c r="BY189" s="166"/>
      <c r="BZ189" s="166"/>
      <c r="CA189" s="166"/>
      <c r="CB189" s="166"/>
      <c r="CC189" s="166"/>
      <c r="CD189" s="177"/>
      <c r="CE189" s="181"/>
      <c r="CF189" s="177"/>
      <c r="CG189" s="179"/>
      <c r="CH189" s="257"/>
      <c r="CI189" s="182"/>
      <c r="CJ189" s="177"/>
      <c r="CK189" s="182"/>
      <c r="CL189" s="177"/>
      <c r="CM189" s="182"/>
      <c r="CN189" s="177"/>
      <c r="CO189" s="182"/>
      <c r="CP189" s="177"/>
      <c r="CQ189" s="178"/>
      <c r="CR189" s="182"/>
      <c r="CS189" s="173"/>
      <c r="CT189" s="65"/>
      <c r="CU189" s="271" t="str">
        <f t="shared" si="2"/>
        <v/>
      </c>
    </row>
    <row r="190" ht="60.0" hidden="1" customHeight="1">
      <c r="A190" s="65"/>
      <c r="C190" s="167"/>
      <c r="D190" s="205"/>
      <c r="E190" s="262"/>
      <c r="F190" s="170"/>
      <c r="G190" s="170"/>
      <c r="H190" s="170"/>
      <c r="I190" s="170"/>
      <c r="J190" s="170"/>
      <c r="K190" s="171"/>
      <c r="L190" s="171"/>
      <c r="M190" s="171"/>
      <c r="N190" s="209"/>
      <c r="O190" s="172">
        <f t="shared" ref="O190:O193" si="35">IF(AND(M190&gt;=20,M190&lt;&gt;"m",RIGHT(K190,3)="Lec"),1,IF(AND(M190&gt;=20,M190&lt;&gt;"m",OR(RIGHT(K190,3)="Lab",RIGHT(K190,3)="Tut")),0.5,IF(AND(M190&gt;=20,M190&lt;&gt;"m",RIGHT(K190,2)="TL"),0.75,0)))</f>
        <v>0</v>
      </c>
      <c r="P190" s="166"/>
      <c r="Q190" s="173"/>
      <c r="R190" s="65"/>
      <c r="S190" s="173"/>
      <c r="T190" s="173"/>
      <c r="U190" s="166"/>
      <c r="V190" s="166"/>
      <c r="W190" s="65"/>
      <c r="X190" s="66"/>
      <c r="Y190" s="173"/>
      <c r="Z190" s="166"/>
      <c r="AA190" s="174"/>
      <c r="AB190" s="175"/>
      <c r="AC190" s="175"/>
      <c r="AD190" s="175"/>
      <c r="AE190" s="175"/>
      <c r="AF190" s="175"/>
      <c r="AG190" s="175"/>
      <c r="AH190" s="175"/>
      <c r="AI190" s="176"/>
      <c r="AJ190" s="177"/>
      <c r="AK190" s="178"/>
      <c r="AL190" s="178"/>
      <c r="AM190" s="178"/>
      <c r="AN190" s="178"/>
      <c r="AO190" s="179"/>
      <c r="AP190" s="64"/>
      <c r="AQ190" s="65"/>
      <c r="AR190" s="65"/>
      <c r="AS190" s="65"/>
      <c r="AT190" s="173"/>
      <c r="AU190" s="177"/>
      <c r="AV190" s="178"/>
      <c r="AW190" s="178"/>
      <c r="AX190" s="179"/>
      <c r="AZ190" s="166"/>
      <c r="BA190" s="177"/>
      <c r="BB190" s="178"/>
      <c r="BC190" s="178"/>
      <c r="BD190" s="178"/>
      <c r="BE190" s="178"/>
      <c r="BF190" s="178"/>
      <c r="BG190" s="178"/>
      <c r="BH190" s="178"/>
      <c r="BI190" s="179"/>
      <c r="BJ190" s="180"/>
      <c r="BK190" s="178"/>
      <c r="BL190" s="178"/>
      <c r="BM190" s="178"/>
      <c r="BN190" s="178"/>
      <c r="BO190" s="181"/>
      <c r="BP190" s="166"/>
      <c r="BQ190" s="177"/>
      <c r="BR190" s="178"/>
      <c r="BS190" s="179"/>
      <c r="BU190" s="166"/>
      <c r="BV190" s="166"/>
      <c r="BW190" s="166"/>
      <c r="BX190" s="166"/>
      <c r="BY190" s="166"/>
      <c r="BZ190" s="166"/>
      <c r="CA190" s="166"/>
      <c r="CB190" s="166"/>
      <c r="CC190" s="166"/>
      <c r="CD190" s="177"/>
      <c r="CE190" s="181"/>
      <c r="CF190" s="177"/>
      <c r="CG190" s="179"/>
      <c r="CH190" s="257"/>
      <c r="CI190" s="182"/>
      <c r="CJ190" s="177"/>
      <c r="CK190" s="182"/>
      <c r="CL190" s="177"/>
      <c r="CM190" s="182"/>
      <c r="CN190" s="177"/>
      <c r="CO190" s="182"/>
      <c r="CP190" s="177"/>
      <c r="CQ190" s="178"/>
      <c r="CR190" s="182"/>
      <c r="CS190" s="173"/>
      <c r="CT190" s="65"/>
      <c r="CU190" s="271" t="str">
        <f t="shared" si="2"/>
        <v/>
      </c>
    </row>
    <row r="191" ht="60.0" hidden="1" customHeight="1">
      <c r="A191" s="65"/>
      <c r="C191" s="167"/>
      <c r="D191" s="205"/>
      <c r="E191" s="262"/>
      <c r="F191" s="170"/>
      <c r="G191" s="170"/>
      <c r="H191" s="170"/>
      <c r="I191" s="170"/>
      <c r="J191" s="170"/>
      <c r="K191" s="171"/>
      <c r="L191" s="171"/>
      <c r="M191" s="171"/>
      <c r="N191" s="209"/>
      <c r="O191" s="172">
        <f t="shared" si="35"/>
        <v>0</v>
      </c>
      <c r="P191" s="166"/>
      <c r="Q191" s="173"/>
      <c r="R191" s="65"/>
      <c r="S191" s="173"/>
      <c r="T191" s="173"/>
      <c r="U191" s="166"/>
      <c r="V191" s="166"/>
      <c r="W191" s="65"/>
      <c r="X191" s="66"/>
      <c r="Y191" s="173"/>
      <c r="Z191" s="166"/>
      <c r="AA191" s="174"/>
      <c r="AB191" s="175"/>
      <c r="AC191" s="175"/>
      <c r="AD191" s="175"/>
      <c r="AE191" s="175"/>
      <c r="AF191" s="175"/>
      <c r="AG191" s="175"/>
      <c r="AH191" s="175"/>
      <c r="AI191" s="176"/>
      <c r="AJ191" s="177"/>
      <c r="AK191" s="178"/>
      <c r="AL191" s="178"/>
      <c r="AM191" s="178"/>
      <c r="AN191" s="178"/>
      <c r="AO191" s="179"/>
      <c r="AP191" s="64"/>
      <c r="AQ191" s="65"/>
      <c r="AR191" s="65"/>
      <c r="AS191" s="65"/>
      <c r="AT191" s="173"/>
      <c r="AU191" s="177"/>
      <c r="AV191" s="178"/>
      <c r="AW191" s="178"/>
      <c r="AX191" s="179"/>
      <c r="AZ191" s="166"/>
      <c r="BA191" s="177"/>
      <c r="BB191" s="178"/>
      <c r="BC191" s="178"/>
      <c r="BD191" s="178"/>
      <c r="BE191" s="178"/>
      <c r="BF191" s="178"/>
      <c r="BG191" s="178"/>
      <c r="BH191" s="178"/>
      <c r="BI191" s="179"/>
      <c r="BJ191" s="180"/>
      <c r="BK191" s="178"/>
      <c r="BL191" s="178"/>
      <c r="BM191" s="178"/>
      <c r="BN191" s="178"/>
      <c r="BO191" s="181"/>
      <c r="BP191" s="166"/>
      <c r="BQ191" s="177"/>
      <c r="BR191" s="178"/>
      <c r="BS191" s="179"/>
      <c r="BU191" s="166"/>
      <c r="BV191" s="166"/>
      <c r="BW191" s="166"/>
      <c r="BX191" s="166"/>
      <c r="BY191" s="166"/>
      <c r="BZ191" s="166"/>
      <c r="CA191" s="166"/>
      <c r="CB191" s="166"/>
      <c r="CC191" s="166"/>
      <c r="CD191" s="177"/>
      <c r="CE191" s="181"/>
      <c r="CF191" s="177"/>
      <c r="CG191" s="179"/>
      <c r="CH191" s="257"/>
      <c r="CI191" s="182"/>
      <c r="CJ191" s="177"/>
      <c r="CK191" s="182"/>
      <c r="CL191" s="177"/>
      <c r="CM191" s="182"/>
      <c r="CN191" s="177"/>
      <c r="CO191" s="182"/>
      <c r="CP191" s="177"/>
      <c r="CQ191" s="178"/>
      <c r="CR191" s="182"/>
      <c r="CS191" s="173"/>
      <c r="CT191" s="65"/>
      <c r="CU191" s="271" t="str">
        <f t="shared" si="2"/>
        <v/>
      </c>
    </row>
    <row r="192" ht="60.0" hidden="1" customHeight="1">
      <c r="A192" s="65"/>
      <c r="C192" s="167"/>
      <c r="D192" s="205"/>
      <c r="E192" s="262"/>
      <c r="F192" s="170"/>
      <c r="G192" s="170"/>
      <c r="H192" s="170"/>
      <c r="I192" s="170"/>
      <c r="J192" s="170"/>
      <c r="K192" s="171"/>
      <c r="L192" s="171"/>
      <c r="M192" s="171"/>
      <c r="N192" s="209"/>
      <c r="O192" s="172">
        <f t="shared" si="35"/>
        <v>0</v>
      </c>
      <c r="P192" s="166"/>
      <c r="Q192" s="173"/>
      <c r="R192" s="65"/>
      <c r="S192" s="173"/>
      <c r="T192" s="173"/>
      <c r="U192" s="166"/>
      <c r="V192" s="166"/>
      <c r="W192" s="65"/>
      <c r="X192" s="66"/>
      <c r="Y192" s="173"/>
      <c r="Z192" s="166"/>
      <c r="AA192" s="174"/>
      <c r="AB192" s="175"/>
      <c r="AC192" s="175"/>
      <c r="AD192" s="175"/>
      <c r="AE192" s="175"/>
      <c r="AF192" s="175"/>
      <c r="AG192" s="175"/>
      <c r="AH192" s="175"/>
      <c r="AI192" s="176"/>
      <c r="AJ192" s="177"/>
      <c r="AK192" s="178"/>
      <c r="AL192" s="178"/>
      <c r="AM192" s="178"/>
      <c r="AN192" s="178"/>
      <c r="AO192" s="179"/>
      <c r="AP192" s="64"/>
      <c r="AQ192" s="65"/>
      <c r="AR192" s="65"/>
      <c r="AS192" s="65"/>
      <c r="AT192" s="173"/>
      <c r="AU192" s="177"/>
      <c r="AV192" s="178"/>
      <c r="AW192" s="178"/>
      <c r="AX192" s="179"/>
      <c r="AZ192" s="166"/>
      <c r="BA192" s="177"/>
      <c r="BB192" s="178"/>
      <c r="BC192" s="178"/>
      <c r="BD192" s="178"/>
      <c r="BE192" s="178"/>
      <c r="BF192" s="178"/>
      <c r="BG192" s="178"/>
      <c r="BH192" s="178"/>
      <c r="BI192" s="179"/>
      <c r="BJ192" s="180"/>
      <c r="BK192" s="178"/>
      <c r="BL192" s="178"/>
      <c r="BM192" s="178"/>
      <c r="BN192" s="178"/>
      <c r="BO192" s="181"/>
      <c r="BP192" s="166"/>
      <c r="BQ192" s="177"/>
      <c r="BR192" s="178"/>
      <c r="BS192" s="179"/>
      <c r="BU192" s="166"/>
      <c r="BV192" s="166"/>
      <c r="BW192" s="166"/>
      <c r="BX192" s="166"/>
      <c r="BY192" s="166"/>
      <c r="BZ192" s="166"/>
      <c r="CA192" s="166"/>
      <c r="CB192" s="166"/>
      <c r="CC192" s="166"/>
      <c r="CD192" s="177"/>
      <c r="CE192" s="181"/>
      <c r="CF192" s="177"/>
      <c r="CG192" s="179"/>
      <c r="CH192" s="257"/>
      <c r="CI192" s="182"/>
      <c r="CJ192" s="177"/>
      <c r="CK192" s="182"/>
      <c r="CL192" s="177"/>
      <c r="CM192" s="182"/>
      <c r="CN192" s="177"/>
      <c r="CO192" s="182"/>
      <c r="CP192" s="177"/>
      <c r="CQ192" s="178"/>
      <c r="CR192" s="182"/>
      <c r="CS192" s="173"/>
      <c r="CT192" s="65"/>
      <c r="CU192" s="271" t="str">
        <f t="shared" si="2"/>
        <v/>
      </c>
    </row>
    <row r="193" ht="60.0" hidden="1" customHeight="1">
      <c r="A193" s="65"/>
      <c r="C193" s="167"/>
      <c r="D193" s="205"/>
      <c r="E193" s="262"/>
      <c r="F193" s="170"/>
      <c r="G193" s="170"/>
      <c r="H193" s="170"/>
      <c r="I193" s="170"/>
      <c r="J193" s="170"/>
      <c r="K193" s="171"/>
      <c r="L193" s="171"/>
      <c r="M193" s="171"/>
      <c r="N193" s="209"/>
      <c r="O193" s="172">
        <f t="shared" si="35"/>
        <v>0</v>
      </c>
      <c r="P193" s="166"/>
      <c r="Q193" s="173"/>
      <c r="R193" s="65"/>
      <c r="S193" s="173"/>
      <c r="T193" s="173"/>
      <c r="U193" s="166"/>
      <c r="V193" s="166"/>
      <c r="W193" s="65"/>
      <c r="X193" s="66"/>
      <c r="Y193" s="173"/>
      <c r="Z193" s="166"/>
      <c r="AA193" s="174"/>
      <c r="AB193" s="175"/>
      <c r="AC193" s="175"/>
      <c r="AD193" s="175"/>
      <c r="AE193" s="175"/>
      <c r="AF193" s="175"/>
      <c r="AG193" s="175"/>
      <c r="AH193" s="175"/>
      <c r="AI193" s="176"/>
      <c r="AJ193" s="177"/>
      <c r="AK193" s="178"/>
      <c r="AL193" s="178"/>
      <c r="AM193" s="178"/>
      <c r="AN193" s="178"/>
      <c r="AO193" s="179"/>
      <c r="AP193" s="64"/>
      <c r="AQ193" s="65"/>
      <c r="AR193" s="65"/>
      <c r="AS193" s="65"/>
      <c r="AT193" s="173"/>
      <c r="AU193" s="177"/>
      <c r="AV193" s="178"/>
      <c r="AW193" s="178"/>
      <c r="AX193" s="179"/>
      <c r="AZ193" s="166"/>
      <c r="BA193" s="177"/>
      <c r="BB193" s="178"/>
      <c r="BC193" s="178"/>
      <c r="BD193" s="178"/>
      <c r="BE193" s="178"/>
      <c r="BF193" s="178"/>
      <c r="BG193" s="178"/>
      <c r="BH193" s="178"/>
      <c r="BI193" s="179"/>
      <c r="BJ193" s="180"/>
      <c r="BK193" s="178"/>
      <c r="BL193" s="178"/>
      <c r="BM193" s="178"/>
      <c r="BN193" s="178"/>
      <c r="BO193" s="181"/>
      <c r="BP193" s="166"/>
      <c r="BQ193" s="177"/>
      <c r="BR193" s="178"/>
      <c r="BS193" s="179"/>
      <c r="BU193" s="166"/>
      <c r="BV193" s="166"/>
      <c r="BW193" s="166"/>
      <c r="BX193" s="166"/>
      <c r="BY193" s="166"/>
      <c r="BZ193" s="166"/>
      <c r="CA193" s="166"/>
      <c r="CB193" s="166"/>
      <c r="CC193" s="166"/>
      <c r="CD193" s="177"/>
      <c r="CE193" s="181"/>
      <c r="CF193" s="177"/>
      <c r="CG193" s="179"/>
      <c r="CH193" s="257"/>
      <c r="CI193" s="182"/>
      <c r="CJ193" s="177"/>
      <c r="CK193" s="182"/>
      <c r="CL193" s="177"/>
      <c r="CM193" s="182"/>
      <c r="CN193" s="177"/>
      <c r="CO193" s="182"/>
      <c r="CP193" s="177"/>
      <c r="CQ193" s="178"/>
      <c r="CR193" s="182"/>
      <c r="CS193" s="173"/>
      <c r="CT193" s="65"/>
      <c r="CU193" s="271" t="str">
        <f t="shared" si="2"/>
        <v/>
      </c>
    </row>
    <row r="194" ht="60.0" hidden="1" customHeight="1">
      <c r="A194" s="89"/>
      <c r="B194" s="6"/>
      <c r="C194" s="183"/>
      <c r="D194" s="210"/>
      <c r="E194" s="263"/>
      <c r="F194" s="186"/>
      <c r="G194" s="186"/>
      <c r="H194" s="186"/>
      <c r="I194" s="186"/>
      <c r="J194" s="186"/>
      <c r="K194" s="187"/>
      <c r="L194" s="187"/>
      <c r="M194" s="187"/>
      <c r="N194" s="214"/>
      <c r="O194" s="188">
        <f t="shared" ref="O194:O200" si="36">IF(AND(M194&lt;&gt;0,M194&lt;&gt;"m",M194&lt;&gt;"",RIGHT(K194,3)="Lec"),1,IF(AND(M194&lt;&gt;0,M194&lt;&gt;"m",M194&lt;&gt;"",OR(RIGHT(K194,3)="Lab",RIGHT(K194,3)="Tut")),0.5,IF(AND(M194&lt;&gt;0,M194&lt;&gt;"m",M194&lt;&gt;"",RIGHT(K194,2)="TL"),0.75,0)))</f>
        <v>0</v>
      </c>
      <c r="P194" s="63"/>
      <c r="Q194" s="69"/>
      <c r="R194" s="89"/>
      <c r="S194" s="69"/>
      <c r="T194" s="69"/>
      <c r="U194" s="63"/>
      <c r="V194" s="63"/>
      <c r="W194" s="89"/>
      <c r="X194" s="68"/>
      <c r="Y194" s="69"/>
      <c r="Z194" s="63"/>
      <c r="AA194" s="189"/>
      <c r="AB194" s="190"/>
      <c r="AC194" s="190"/>
      <c r="AD194" s="190"/>
      <c r="AE194" s="190"/>
      <c r="AF194" s="190"/>
      <c r="AG194" s="190"/>
      <c r="AH194" s="190"/>
      <c r="AI194" s="191"/>
      <c r="AJ194" s="192"/>
      <c r="AK194" s="193"/>
      <c r="AL194" s="193"/>
      <c r="AM194" s="193"/>
      <c r="AN194" s="193"/>
      <c r="AO194" s="194"/>
      <c r="AP194" s="103"/>
      <c r="AQ194" s="89"/>
      <c r="AR194" s="89"/>
      <c r="AS194" s="89"/>
      <c r="AT194" s="69"/>
      <c r="AU194" s="192"/>
      <c r="AV194" s="193"/>
      <c r="AW194" s="193"/>
      <c r="AX194" s="194"/>
      <c r="AY194" s="6"/>
      <c r="AZ194" s="63"/>
      <c r="BA194" s="192"/>
      <c r="BB194" s="193"/>
      <c r="BC194" s="193"/>
      <c r="BD194" s="193"/>
      <c r="BE194" s="193"/>
      <c r="BF194" s="193"/>
      <c r="BG194" s="193"/>
      <c r="BH194" s="193"/>
      <c r="BI194" s="194"/>
      <c r="BJ194" s="195"/>
      <c r="BK194" s="193"/>
      <c r="BL194" s="193"/>
      <c r="BM194" s="193"/>
      <c r="BN194" s="193"/>
      <c r="BO194" s="196"/>
      <c r="BP194" s="63"/>
      <c r="BQ194" s="192"/>
      <c r="BR194" s="193"/>
      <c r="BS194" s="194"/>
      <c r="BT194" s="6"/>
      <c r="BU194" s="63"/>
      <c r="BV194" s="63"/>
      <c r="BW194" s="63"/>
      <c r="BX194" s="63"/>
      <c r="BY194" s="63"/>
      <c r="BZ194" s="63"/>
      <c r="CA194" s="63"/>
      <c r="CB194" s="63"/>
      <c r="CC194" s="63"/>
      <c r="CD194" s="192"/>
      <c r="CE194" s="196"/>
      <c r="CF194" s="192"/>
      <c r="CG194" s="194"/>
      <c r="CH194" s="259"/>
      <c r="CI194" s="197"/>
      <c r="CJ194" s="192"/>
      <c r="CK194" s="197"/>
      <c r="CL194" s="192"/>
      <c r="CM194" s="197"/>
      <c r="CN194" s="192"/>
      <c r="CO194" s="197"/>
      <c r="CP194" s="192"/>
      <c r="CQ194" s="193"/>
      <c r="CR194" s="197"/>
      <c r="CS194" s="69"/>
      <c r="CT194" s="89"/>
      <c r="CU194" s="272" t="str">
        <f t="shared" si="2"/>
        <v/>
      </c>
    </row>
    <row r="195" ht="55.5" hidden="1" customHeight="1">
      <c r="A195" s="125">
        <v>18.0</v>
      </c>
      <c r="B195" s="199"/>
      <c r="C195" s="127"/>
      <c r="D195" s="128"/>
      <c r="E195" s="260"/>
      <c r="F195" s="261"/>
      <c r="G195" s="261"/>
      <c r="H195" s="261"/>
      <c r="I195" s="261"/>
      <c r="J195" s="170"/>
      <c r="K195" s="219"/>
      <c r="L195" s="219"/>
      <c r="M195" s="219"/>
      <c r="N195" s="220"/>
      <c r="O195" s="132">
        <f t="shared" si="36"/>
        <v>0</v>
      </c>
      <c r="P195" s="133">
        <f>COUNTIF(K195:K205,"TL")*0.75+COUNTIF(K195:K205,"Lec")*1+COUNTIF(K195:K205,"Lab")*0.5</f>
        <v>0</v>
      </c>
      <c r="Q195" s="134">
        <f>SUM((IF(LEFT(K195,1)="E",O195,0)),(IF(LEFT(K196,1)="E",O196,0)),(IF(LEFT(K197,1)="E",O197,0)),(IF(LEFT(K198,1)="E",O198,0)),(IF(LEFT(K199,1)="E",O199,0)),(IF(LEFT(K200,1)="E",O200,0)),(IF(LEFT(K201,1)="E",O201,0)),(IF(LEFT(K202,1)="E",O202,0)),(IF(LEFT(K203,1)="E",O203,0)),(IF(LEFT(K204,1)="E",O204,0)),(IF(LEFT(K205,1)="E",O205,0)))</f>
        <v>0</v>
      </c>
      <c r="R195" s="135">
        <f>SUM(IF(M201&lt;20,IF(K201="Plec",-1,IF(K201="PTL",-0.75,IF(K201="Plab",-0.5,0))),0),IF(M202&lt;20,IF(K202="Plec",-1,IF(K202="PTL",-0.75,IF(K202="Plab",-0.5,0))),0),IF(M203&lt;20,IF(K203="Plec",-1,IF(K203="PTL",-0.75,IF(K203="Plab",-0.5,0))),0),IF(M204&lt;20,IF(K204="Plec",-1,IF(K204="PTL",-0.75,IF(K204="Plab",-0.5,0))),0))</f>
        <v>0</v>
      </c>
      <c r="S195" s="134">
        <f>SUM(P195:R205)</f>
        <v>0</v>
      </c>
      <c r="T195" s="136">
        <f>SUM(IF(M195="M",IF(OR(K195="lec",K195="plec",K195="slec"),1,IF(OR(K195="lab",K195="plab",K195="slab",K195="tut",K195="ptut",K195="stut"),0.5,IF(OR(K195="TL",K195="pTL",K195="STL"),0.75,0))),0),IF(M196="M",IF(OR(K196="lec",K196="plec",K196="slec"),1,IF(OR(K196="lab",K196="plab",K196="slab",K196="tut",K196="ptut",K196="stut"),0.5,IF(OR(K196="TL",K196="pTL",K196="STL"),0.75,0))),0),IF(M197="M",IF(OR(K197="lec",K197="plec",K197="slec"),1,IF(OR(K197="lab",K197="plab",K197="slab",K197="tut",K197="ptut",K197="stut"),0.5,IF(OR(K197="TL",K197="pTL",K197="STL"),0.75,0))),0),IF(M198="M",IF(OR(K198="lec",K198="plec",K198="slec"),1,IF(OR(K198="lab",K198="plab",K198="slab",K198="tut",K198="ptut",K198="stut"),0.5,IF(OR(K198="TL",K198="pTL",K198="STL"),0.75,0))),0),IF(M199="M",IF(OR(K199="lec",K199="plec",K199="slec"),1,IF(OR(K199="lab",K199="plab",K199="slab",K199="tut",K199="ptut",K199="stut"),0.5,IF(OR(K199="TL",K199="pTL",K199="STL"),0.75,0))),0),IF(M200="M",IF(OR(K200="lec",K200="plec",K200="slec"),1,IF(OR(K200="lab",K200="plab",K200="slab",K200="tut",K200="ptut",K200="stut"),0.5,IF(OR(K200="TL",K200="pTL",K200="STL"),0.75,0))),0),IF(M201="M",IF(OR(K201="lec",K201="plec",K201="slec"),1,IF(OR(K201="lab",K201="plab",K201="slab",K201="tut",K201="ptut",K201="stut"),0.5,IF(OR(K201="TL",K201="pTL",K201="STL"),0.75,0))),0),IF(M202="M",IF(OR(K202="lec",K202="plec",K202="slec"),1,IF(OR(K202="lab",K202="plab",K202="slab",K202="tut",K202="ptut",K202="stut"),0.5,IF(OR(K202="TL",K202="pTL",K202="STL"),0.75,0))),0),IF(M203="M",IF(OR(K203="lec",K203="plec",K203="slec"),1,IF(OR(K203="lab",K203="plab",K203="slab",K203="tut",K203="ptut",K203="stut"),0.5,IF(OR(K203="TL",K203="pTL",K203="STL"),0.75,0))),0),IF(M204="M",IF(OR(K204="lec",K204="plec",K204="slec"),1,IF(OR(K204="lab",K204="plab",K204="slab",K204="tut",K204="ptut",K204="stut"),0.5,IF(OR(K204="TL",K204="pTL",K204="STL"),0.75,0))),0),IF(M205="M",IF(OR(K205="lec",K205="plec",K205="slec"),1,IF(OR(K205="lab",K205="plab",K205="slab",K205="tut",K205="ptut",K205="stut"),0.5,IF(OR(K205="TL",K205="pTL",K205="STL"),0.75,0))),0))</f>
        <v>0</v>
      </c>
      <c r="U195" s="137"/>
      <c r="V195" s="133"/>
      <c r="W195" s="138"/>
      <c r="X195" s="139">
        <f>S195-(T195+U195+V195+W195)</f>
        <v>0</v>
      </c>
      <c r="Y195" s="134" t="str">
        <f>CONCATENATE(SUM(O195:O205),"(",SUM(O195:O205)-X195,")")</f>
        <v>0(0)</v>
      </c>
      <c r="Z195" s="140"/>
      <c r="AA195" s="141"/>
      <c r="AB195" s="142"/>
      <c r="AC195" s="142"/>
      <c r="AD195" s="142"/>
      <c r="AE195" s="142"/>
      <c r="AF195" s="142"/>
      <c r="AG195" s="142"/>
      <c r="AH195" s="142"/>
      <c r="AI195" s="143"/>
      <c r="AJ195" s="144"/>
      <c r="AK195" s="145"/>
      <c r="AL195" s="145"/>
      <c r="AM195" s="145"/>
      <c r="AN195" s="145"/>
      <c r="AO195" s="146"/>
      <c r="AP195" s="147">
        <f>SUM(SUM(O195:O205),SUM(AI195:AI205)/2,AM195)</f>
        <v>0</v>
      </c>
      <c r="AQ195" s="148"/>
      <c r="AR195" s="148">
        <f>AP195*AQ195</f>
        <v>0</v>
      </c>
      <c r="AS195" s="148">
        <f>CT195</f>
        <v>0</v>
      </c>
      <c r="AT195" s="149">
        <f>AR195*0.75+AS195*0.25</f>
        <v>0</v>
      </c>
      <c r="AU195" s="150"/>
      <c r="AV195" s="151"/>
      <c r="AW195" s="151"/>
      <c r="AX195" s="152"/>
      <c r="AY195" s="153"/>
      <c r="AZ195" s="140"/>
      <c r="BA195" s="150"/>
      <c r="BB195" s="151"/>
      <c r="BC195" s="151"/>
      <c r="BD195" s="151"/>
      <c r="BE195" s="151"/>
      <c r="BF195" s="151"/>
      <c r="BG195" s="151"/>
      <c r="BH195" s="151"/>
      <c r="BI195" s="152"/>
      <c r="BJ195" s="154"/>
      <c r="BK195" s="151"/>
      <c r="BL195" s="151"/>
      <c r="BM195" s="151"/>
      <c r="BN195" s="151"/>
      <c r="BO195" s="155"/>
      <c r="BP195" s="140"/>
      <c r="BQ195" s="156"/>
      <c r="BR195" s="157"/>
      <c r="BS195" s="158"/>
      <c r="BT195" s="153"/>
      <c r="BU195" s="140"/>
      <c r="BV195" s="140"/>
      <c r="BW195" s="140"/>
      <c r="BX195" s="140"/>
      <c r="BY195" s="140"/>
      <c r="BZ195" s="140"/>
      <c r="CA195" s="140"/>
      <c r="CB195" s="140"/>
      <c r="CC195" s="140"/>
      <c r="CD195" s="150"/>
      <c r="CE195" s="155"/>
      <c r="CF195" s="150"/>
      <c r="CG195" s="152"/>
      <c r="CH195" s="252"/>
      <c r="CI195" s="160"/>
      <c r="CJ195" s="159"/>
      <c r="CK195" s="160"/>
      <c r="CL195" s="159"/>
      <c r="CM195" s="160"/>
      <c r="CN195" s="159"/>
      <c r="CO195" s="160"/>
      <c r="CP195" s="159"/>
      <c r="CQ195" s="162"/>
      <c r="CR195" s="160"/>
      <c r="CS195" s="253">
        <f>SUM(IF(AU195&lt;0,ABS(AU195),0),IF(AZ195&lt;0,ABS(AZ195),0),ABS(CI195),ABS(CK195),ABS(CM195),ABS(CO195),ABS(CQ195),ABS(CR195))</f>
        <v>0</v>
      </c>
      <c r="CT195" s="254">
        <f>SUM(AU195,AV195,AW195,AX195/400,AY195,AZ195,BG195,BH195*0.5,BI195*0.25,BJ195,BK195,BL195,BM195,BN195,BO195,BP195,BR195/20,BS195/100,BT195/60,BU195,BV195,BW195,BX195/4,SUM(BY195:CC205)/3,CE195,CG195/3,CI195,CK195,CM195,CO195,CQ195,CR195)</f>
        <v>0</v>
      </c>
      <c r="CU195" s="255" t="str">
        <f t="shared" si="2"/>
        <v/>
      </c>
    </row>
    <row r="196" ht="60.0" hidden="1" customHeight="1">
      <c r="A196" s="65"/>
      <c r="C196" s="167"/>
      <c r="D196" s="205"/>
      <c r="E196" s="262"/>
      <c r="F196" s="170"/>
      <c r="G196" s="170"/>
      <c r="H196" s="170"/>
      <c r="I196" s="170"/>
      <c r="J196" s="170"/>
      <c r="K196" s="171"/>
      <c r="L196" s="171"/>
      <c r="M196" s="171"/>
      <c r="N196" s="209"/>
      <c r="O196" s="172">
        <f t="shared" si="36"/>
        <v>0</v>
      </c>
      <c r="P196" s="166"/>
      <c r="Q196" s="173"/>
      <c r="R196" s="65"/>
      <c r="S196" s="173"/>
      <c r="T196" s="173"/>
      <c r="U196" s="166"/>
      <c r="V196" s="166"/>
      <c r="W196" s="65"/>
      <c r="X196" s="66"/>
      <c r="Y196" s="173"/>
      <c r="Z196" s="166"/>
      <c r="AA196" s="174"/>
      <c r="AB196" s="175"/>
      <c r="AC196" s="175"/>
      <c r="AD196" s="175"/>
      <c r="AE196" s="175"/>
      <c r="AF196" s="175"/>
      <c r="AG196" s="175"/>
      <c r="AH196" s="175"/>
      <c r="AI196" s="176"/>
      <c r="AJ196" s="177"/>
      <c r="AK196" s="178"/>
      <c r="AL196" s="178"/>
      <c r="AM196" s="178"/>
      <c r="AN196" s="178"/>
      <c r="AO196" s="179"/>
      <c r="AP196" s="64"/>
      <c r="AQ196" s="65"/>
      <c r="AR196" s="65"/>
      <c r="AS196" s="65"/>
      <c r="AT196" s="173"/>
      <c r="AU196" s="177"/>
      <c r="AV196" s="178"/>
      <c r="AW196" s="178"/>
      <c r="AX196" s="179"/>
      <c r="AZ196" s="166"/>
      <c r="BA196" s="177"/>
      <c r="BB196" s="178"/>
      <c r="BC196" s="178"/>
      <c r="BD196" s="178"/>
      <c r="BE196" s="178"/>
      <c r="BF196" s="178"/>
      <c r="BG196" s="178"/>
      <c r="BH196" s="178"/>
      <c r="BI196" s="179"/>
      <c r="BJ196" s="180"/>
      <c r="BK196" s="178"/>
      <c r="BL196" s="178"/>
      <c r="BM196" s="178"/>
      <c r="BN196" s="178"/>
      <c r="BO196" s="181"/>
      <c r="BP196" s="166"/>
      <c r="BQ196" s="177"/>
      <c r="BR196" s="178"/>
      <c r="BS196" s="179"/>
      <c r="BU196" s="166"/>
      <c r="BV196" s="166"/>
      <c r="BW196" s="166"/>
      <c r="BX196" s="166"/>
      <c r="BY196" s="166"/>
      <c r="BZ196" s="166"/>
      <c r="CA196" s="166"/>
      <c r="CB196" s="166"/>
      <c r="CC196" s="166"/>
      <c r="CD196" s="177"/>
      <c r="CE196" s="181"/>
      <c r="CF196" s="177"/>
      <c r="CG196" s="179"/>
      <c r="CH196" s="257"/>
      <c r="CI196" s="182"/>
      <c r="CJ196" s="177"/>
      <c r="CK196" s="182"/>
      <c r="CL196" s="177"/>
      <c r="CM196" s="182"/>
      <c r="CN196" s="177"/>
      <c r="CO196" s="182"/>
      <c r="CP196" s="177"/>
      <c r="CQ196" s="178"/>
      <c r="CR196" s="182"/>
      <c r="CS196" s="173"/>
      <c r="CT196" s="65"/>
      <c r="CU196" s="271" t="str">
        <f t="shared" si="2"/>
        <v/>
      </c>
    </row>
    <row r="197" ht="60.0" hidden="1" customHeight="1">
      <c r="A197" s="65"/>
      <c r="C197" s="167"/>
      <c r="D197" s="205"/>
      <c r="E197" s="262"/>
      <c r="F197" s="170"/>
      <c r="G197" s="170"/>
      <c r="H197" s="170"/>
      <c r="I197" s="170"/>
      <c r="J197" s="170"/>
      <c r="K197" s="171"/>
      <c r="L197" s="171"/>
      <c r="M197" s="171"/>
      <c r="N197" s="209"/>
      <c r="O197" s="172">
        <f t="shared" si="36"/>
        <v>0</v>
      </c>
      <c r="P197" s="166"/>
      <c r="Q197" s="173"/>
      <c r="R197" s="65"/>
      <c r="S197" s="173"/>
      <c r="T197" s="173"/>
      <c r="U197" s="166"/>
      <c r="V197" s="166"/>
      <c r="W197" s="65"/>
      <c r="X197" s="66"/>
      <c r="Y197" s="173"/>
      <c r="Z197" s="166"/>
      <c r="AA197" s="174"/>
      <c r="AB197" s="175"/>
      <c r="AC197" s="175"/>
      <c r="AD197" s="175"/>
      <c r="AE197" s="175"/>
      <c r="AF197" s="175"/>
      <c r="AG197" s="175"/>
      <c r="AH197" s="175"/>
      <c r="AI197" s="176"/>
      <c r="AJ197" s="177"/>
      <c r="AK197" s="178"/>
      <c r="AL197" s="178"/>
      <c r="AM197" s="178"/>
      <c r="AN197" s="178"/>
      <c r="AO197" s="179"/>
      <c r="AP197" s="64"/>
      <c r="AQ197" s="65"/>
      <c r="AR197" s="65"/>
      <c r="AS197" s="65"/>
      <c r="AT197" s="173"/>
      <c r="AU197" s="177"/>
      <c r="AV197" s="178"/>
      <c r="AW197" s="178"/>
      <c r="AX197" s="179"/>
      <c r="AZ197" s="166"/>
      <c r="BA197" s="177"/>
      <c r="BB197" s="178"/>
      <c r="BC197" s="178"/>
      <c r="BD197" s="178"/>
      <c r="BE197" s="178"/>
      <c r="BF197" s="178"/>
      <c r="BG197" s="178"/>
      <c r="BH197" s="178"/>
      <c r="BI197" s="179"/>
      <c r="BJ197" s="180"/>
      <c r="BK197" s="178"/>
      <c r="BL197" s="178"/>
      <c r="BM197" s="178"/>
      <c r="BN197" s="178"/>
      <c r="BO197" s="181"/>
      <c r="BP197" s="166"/>
      <c r="BQ197" s="177"/>
      <c r="BR197" s="178"/>
      <c r="BS197" s="179"/>
      <c r="BU197" s="166"/>
      <c r="BV197" s="166"/>
      <c r="BW197" s="166"/>
      <c r="BX197" s="166"/>
      <c r="BY197" s="166"/>
      <c r="BZ197" s="166"/>
      <c r="CA197" s="166"/>
      <c r="CB197" s="166"/>
      <c r="CC197" s="166"/>
      <c r="CD197" s="177"/>
      <c r="CE197" s="181"/>
      <c r="CF197" s="177"/>
      <c r="CG197" s="179"/>
      <c r="CH197" s="257"/>
      <c r="CI197" s="182"/>
      <c r="CJ197" s="177"/>
      <c r="CK197" s="182"/>
      <c r="CL197" s="177"/>
      <c r="CM197" s="182"/>
      <c r="CN197" s="177"/>
      <c r="CO197" s="182"/>
      <c r="CP197" s="177"/>
      <c r="CQ197" s="178"/>
      <c r="CR197" s="182"/>
      <c r="CS197" s="173"/>
      <c r="CT197" s="65"/>
      <c r="CU197" s="271" t="str">
        <f t="shared" si="2"/>
        <v/>
      </c>
    </row>
    <row r="198" ht="60.0" hidden="1" customHeight="1">
      <c r="A198" s="65"/>
      <c r="C198" s="167"/>
      <c r="D198" s="205"/>
      <c r="E198" s="262"/>
      <c r="F198" s="170"/>
      <c r="G198" s="170"/>
      <c r="H198" s="170"/>
      <c r="I198" s="170"/>
      <c r="J198" s="170"/>
      <c r="K198" s="171"/>
      <c r="L198" s="171"/>
      <c r="M198" s="171"/>
      <c r="N198" s="209"/>
      <c r="O198" s="172">
        <f t="shared" si="36"/>
        <v>0</v>
      </c>
      <c r="P198" s="166"/>
      <c r="Q198" s="173"/>
      <c r="R198" s="65"/>
      <c r="S198" s="173"/>
      <c r="T198" s="173"/>
      <c r="U198" s="166"/>
      <c r="V198" s="166"/>
      <c r="W198" s="65"/>
      <c r="X198" s="66"/>
      <c r="Y198" s="173"/>
      <c r="Z198" s="166"/>
      <c r="AA198" s="174"/>
      <c r="AB198" s="175"/>
      <c r="AC198" s="175"/>
      <c r="AD198" s="175"/>
      <c r="AE198" s="175"/>
      <c r="AF198" s="175"/>
      <c r="AG198" s="175"/>
      <c r="AH198" s="175"/>
      <c r="AI198" s="176"/>
      <c r="AJ198" s="177"/>
      <c r="AK198" s="178"/>
      <c r="AL198" s="178"/>
      <c r="AM198" s="178"/>
      <c r="AN198" s="178"/>
      <c r="AO198" s="179"/>
      <c r="AP198" s="64"/>
      <c r="AQ198" s="65"/>
      <c r="AR198" s="65"/>
      <c r="AS198" s="65"/>
      <c r="AT198" s="173"/>
      <c r="AU198" s="177"/>
      <c r="AV198" s="178"/>
      <c r="AW198" s="178"/>
      <c r="AX198" s="179"/>
      <c r="AZ198" s="166"/>
      <c r="BA198" s="177"/>
      <c r="BB198" s="178"/>
      <c r="BC198" s="178"/>
      <c r="BD198" s="178"/>
      <c r="BE198" s="178"/>
      <c r="BF198" s="178"/>
      <c r="BG198" s="178"/>
      <c r="BH198" s="178"/>
      <c r="BI198" s="179"/>
      <c r="BJ198" s="180"/>
      <c r="BK198" s="178"/>
      <c r="BL198" s="178"/>
      <c r="BM198" s="178"/>
      <c r="BN198" s="178"/>
      <c r="BO198" s="181"/>
      <c r="BP198" s="166"/>
      <c r="BQ198" s="177"/>
      <c r="BR198" s="178"/>
      <c r="BS198" s="179"/>
      <c r="BU198" s="166"/>
      <c r="BV198" s="166"/>
      <c r="BW198" s="166"/>
      <c r="BX198" s="166"/>
      <c r="BY198" s="166"/>
      <c r="BZ198" s="166"/>
      <c r="CA198" s="166"/>
      <c r="CB198" s="166"/>
      <c r="CC198" s="166"/>
      <c r="CD198" s="177"/>
      <c r="CE198" s="181"/>
      <c r="CF198" s="177"/>
      <c r="CG198" s="179"/>
      <c r="CH198" s="257"/>
      <c r="CI198" s="182"/>
      <c r="CJ198" s="177"/>
      <c r="CK198" s="182"/>
      <c r="CL198" s="177"/>
      <c r="CM198" s="182"/>
      <c r="CN198" s="177"/>
      <c r="CO198" s="182"/>
      <c r="CP198" s="177"/>
      <c r="CQ198" s="178"/>
      <c r="CR198" s="182"/>
      <c r="CS198" s="173"/>
      <c r="CT198" s="65"/>
      <c r="CU198" s="271" t="str">
        <f t="shared" si="2"/>
        <v/>
      </c>
    </row>
    <row r="199" ht="60.0" hidden="1" customHeight="1">
      <c r="A199" s="65"/>
      <c r="C199" s="167"/>
      <c r="D199" s="205"/>
      <c r="E199" s="262"/>
      <c r="F199" s="170"/>
      <c r="G199" s="170"/>
      <c r="H199" s="170"/>
      <c r="I199" s="170"/>
      <c r="J199" s="170"/>
      <c r="K199" s="171"/>
      <c r="L199" s="171"/>
      <c r="M199" s="171"/>
      <c r="N199" s="209"/>
      <c r="O199" s="172">
        <f t="shared" si="36"/>
        <v>0</v>
      </c>
      <c r="P199" s="166"/>
      <c r="Q199" s="173"/>
      <c r="R199" s="65"/>
      <c r="S199" s="173"/>
      <c r="T199" s="173"/>
      <c r="U199" s="166"/>
      <c r="V199" s="166"/>
      <c r="W199" s="65"/>
      <c r="X199" s="66"/>
      <c r="Y199" s="173"/>
      <c r="Z199" s="166"/>
      <c r="AA199" s="174"/>
      <c r="AB199" s="175"/>
      <c r="AC199" s="175"/>
      <c r="AD199" s="175"/>
      <c r="AE199" s="175"/>
      <c r="AF199" s="175"/>
      <c r="AG199" s="175"/>
      <c r="AH199" s="175"/>
      <c r="AI199" s="176"/>
      <c r="AJ199" s="177"/>
      <c r="AK199" s="178"/>
      <c r="AL199" s="178"/>
      <c r="AM199" s="178"/>
      <c r="AN199" s="178"/>
      <c r="AO199" s="179"/>
      <c r="AP199" s="64"/>
      <c r="AQ199" s="65"/>
      <c r="AR199" s="65"/>
      <c r="AS199" s="65"/>
      <c r="AT199" s="173"/>
      <c r="AU199" s="177"/>
      <c r="AV199" s="178"/>
      <c r="AW199" s="178"/>
      <c r="AX199" s="179"/>
      <c r="AZ199" s="166"/>
      <c r="BA199" s="177"/>
      <c r="BB199" s="178"/>
      <c r="BC199" s="178"/>
      <c r="BD199" s="178"/>
      <c r="BE199" s="178"/>
      <c r="BF199" s="178"/>
      <c r="BG199" s="178"/>
      <c r="BH199" s="178"/>
      <c r="BI199" s="179"/>
      <c r="BJ199" s="180"/>
      <c r="BK199" s="178"/>
      <c r="BL199" s="178"/>
      <c r="BM199" s="178"/>
      <c r="BN199" s="178"/>
      <c r="BO199" s="181"/>
      <c r="BP199" s="166"/>
      <c r="BQ199" s="177"/>
      <c r="BR199" s="178"/>
      <c r="BS199" s="179"/>
      <c r="BU199" s="166"/>
      <c r="BV199" s="166"/>
      <c r="BW199" s="166"/>
      <c r="BX199" s="166"/>
      <c r="BY199" s="166"/>
      <c r="BZ199" s="166"/>
      <c r="CA199" s="166"/>
      <c r="CB199" s="166"/>
      <c r="CC199" s="166"/>
      <c r="CD199" s="177"/>
      <c r="CE199" s="181"/>
      <c r="CF199" s="177"/>
      <c r="CG199" s="179"/>
      <c r="CH199" s="257"/>
      <c r="CI199" s="182"/>
      <c r="CJ199" s="177"/>
      <c r="CK199" s="182"/>
      <c r="CL199" s="177"/>
      <c r="CM199" s="182"/>
      <c r="CN199" s="177"/>
      <c r="CO199" s="182"/>
      <c r="CP199" s="177"/>
      <c r="CQ199" s="178"/>
      <c r="CR199" s="182"/>
      <c r="CS199" s="173"/>
      <c r="CT199" s="65"/>
      <c r="CU199" s="271" t="str">
        <f t="shared" si="2"/>
        <v/>
      </c>
    </row>
    <row r="200" ht="60.0" hidden="1" customHeight="1">
      <c r="A200" s="65"/>
      <c r="C200" s="167"/>
      <c r="D200" s="205"/>
      <c r="E200" s="262"/>
      <c r="F200" s="170"/>
      <c r="G200" s="170"/>
      <c r="H200" s="170"/>
      <c r="I200" s="170"/>
      <c r="J200" s="170"/>
      <c r="K200" s="171"/>
      <c r="L200" s="171"/>
      <c r="M200" s="171"/>
      <c r="N200" s="209"/>
      <c r="O200" s="172">
        <f t="shared" si="36"/>
        <v>0</v>
      </c>
      <c r="P200" s="166"/>
      <c r="Q200" s="173"/>
      <c r="R200" s="65"/>
      <c r="S200" s="173"/>
      <c r="T200" s="173"/>
      <c r="U200" s="166"/>
      <c r="V200" s="166"/>
      <c r="W200" s="65"/>
      <c r="X200" s="66"/>
      <c r="Y200" s="173"/>
      <c r="Z200" s="166"/>
      <c r="AA200" s="174"/>
      <c r="AB200" s="175"/>
      <c r="AC200" s="175"/>
      <c r="AD200" s="175"/>
      <c r="AE200" s="175"/>
      <c r="AF200" s="175"/>
      <c r="AG200" s="175"/>
      <c r="AH200" s="175"/>
      <c r="AI200" s="176"/>
      <c r="AJ200" s="177"/>
      <c r="AK200" s="178"/>
      <c r="AL200" s="178"/>
      <c r="AM200" s="178"/>
      <c r="AN200" s="178"/>
      <c r="AO200" s="179"/>
      <c r="AP200" s="64"/>
      <c r="AQ200" s="65"/>
      <c r="AR200" s="65"/>
      <c r="AS200" s="65"/>
      <c r="AT200" s="173"/>
      <c r="AU200" s="177"/>
      <c r="AV200" s="178"/>
      <c r="AW200" s="178"/>
      <c r="AX200" s="179"/>
      <c r="AZ200" s="166"/>
      <c r="BA200" s="177"/>
      <c r="BB200" s="178"/>
      <c r="BC200" s="178"/>
      <c r="BD200" s="178"/>
      <c r="BE200" s="178"/>
      <c r="BF200" s="178"/>
      <c r="BG200" s="178"/>
      <c r="BH200" s="178"/>
      <c r="BI200" s="179"/>
      <c r="BJ200" s="180"/>
      <c r="BK200" s="178"/>
      <c r="BL200" s="178"/>
      <c r="BM200" s="178"/>
      <c r="BN200" s="178"/>
      <c r="BO200" s="181"/>
      <c r="BP200" s="166"/>
      <c r="BQ200" s="177"/>
      <c r="BR200" s="178"/>
      <c r="BS200" s="179"/>
      <c r="BU200" s="166"/>
      <c r="BV200" s="166"/>
      <c r="BW200" s="166"/>
      <c r="BX200" s="166"/>
      <c r="BY200" s="166"/>
      <c r="BZ200" s="166"/>
      <c r="CA200" s="166"/>
      <c r="CB200" s="166"/>
      <c r="CC200" s="166"/>
      <c r="CD200" s="177"/>
      <c r="CE200" s="181"/>
      <c r="CF200" s="177"/>
      <c r="CG200" s="179"/>
      <c r="CH200" s="257"/>
      <c r="CI200" s="182"/>
      <c r="CJ200" s="177"/>
      <c r="CK200" s="182"/>
      <c r="CL200" s="177"/>
      <c r="CM200" s="182"/>
      <c r="CN200" s="177"/>
      <c r="CO200" s="182"/>
      <c r="CP200" s="177"/>
      <c r="CQ200" s="178"/>
      <c r="CR200" s="182"/>
      <c r="CS200" s="173"/>
      <c r="CT200" s="65"/>
      <c r="CU200" s="271" t="str">
        <f t="shared" si="2"/>
        <v/>
      </c>
    </row>
    <row r="201" ht="60.0" hidden="1" customHeight="1">
      <c r="A201" s="65"/>
      <c r="C201" s="167"/>
      <c r="D201" s="205"/>
      <c r="E201" s="262"/>
      <c r="F201" s="170"/>
      <c r="G201" s="170"/>
      <c r="H201" s="170"/>
      <c r="I201" s="170"/>
      <c r="J201" s="170"/>
      <c r="K201" s="171"/>
      <c r="L201" s="171"/>
      <c r="M201" s="171"/>
      <c r="N201" s="209"/>
      <c r="O201" s="172">
        <f t="shared" ref="O201:O204" si="37">IF(AND(M201&gt;=20,M201&lt;&gt;"m",RIGHT(K201,3)="Lec"),1,IF(AND(M201&gt;=20,M201&lt;&gt;"m",OR(RIGHT(K201,3)="Lab",RIGHT(K201,3)="Tut")),0.5,IF(AND(M201&gt;=20,M201&lt;&gt;"m",RIGHT(K201,2)="TL"),0.75,0)))</f>
        <v>0</v>
      </c>
      <c r="P201" s="166"/>
      <c r="Q201" s="173"/>
      <c r="R201" s="65"/>
      <c r="S201" s="173"/>
      <c r="T201" s="173"/>
      <c r="U201" s="166"/>
      <c r="V201" s="166"/>
      <c r="W201" s="65"/>
      <c r="X201" s="66"/>
      <c r="Y201" s="173"/>
      <c r="Z201" s="166"/>
      <c r="AA201" s="174"/>
      <c r="AB201" s="175"/>
      <c r="AC201" s="175"/>
      <c r="AD201" s="175"/>
      <c r="AE201" s="175"/>
      <c r="AF201" s="175"/>
      <c r="AG201" s="175"/>
      <c r="AH201" s="175"/>
      <c r="AI201" s="176"/>
      <c r="AJ201" s="177"/>
      <c r="AK201" s="178"/>
      <c r="AL201" s="178"/>
      <c r="AM201" s="178"/>
      <c r="AN201" s="178"/>
      <c r="AO201" s="179"/>
      <c r="AP201" s="64"/>
      <c r="AQ201" s="65"/>
      <c r="AR201" s="65"/>
      <c r="AS201" s="65"/>
      <c r="AT201" s="173"/>
      <c r="AU201" s="177"/>
      <c r="AV201" s="178"/>
      <c r="AW201" s="178"/>
      <c r="AX201" s="179"/>
      <c r="AZ201" s="166"/>
      <c r="BA201" s="177"/>
      <c r="BB201" s="178"/>
      <c r="BC201" s="178"/>
      <c r="BD201" s="178"/>
      <c r="BE201" s="178"/>
      <c r="BF201" s="178"/>
      <c r="BG201" s="178"/>
      <c r="BH201" s="178"/>
      <c r="BI201" s="179"/>
      <c r="BJ201" s="180"/>
      <c r="BK201" s="178"/>
      <c r="BL201" s="178"/>
      <c r="BM201" s="178"/>
      <c r="BN201" s="178"/>
      <c r="BO201" s="181"/>
      <c r="BP201" s="166"/>
      <c r="BQ201" s="177"/>
      <c r="BR201" s="178"/>
      <c r="BS201" s="179"/>
      <c r="BU201" s="166"/>
      <c r="BV201" s="166"/>
      <c r="BW201" s="166"/>
      <c r="BX201" s="166"/>
      <c r="BY201" s="166"/>
      <c r="BZ201" s="166"/>
      <c r="CA201" s="166"/>
      <c r="CB201" s="166"/>
      <c r="CC201" s="166"/>
      <c r="CD201" s="177"/>
      <c r="CE201" s="181"/>
      <c r="CF201" s="177"/>
      <c r="CG201" s="179"/>
      <c r="CH201" s="257"/>
      <c r="CI201" s="182"/>
      <c r="CJ201" s="177"/>
      <c r="CK201" s="182"/>
      <c r="CL201" s="177"/>
      <c r="CM201" s="182"/>
      <c r="CN201" s="177"/>
      <c r="CO201" s="182"/>
      <c r="CP201" s="177"/>
      <c r="CQ201" s="178"/>
      <c r="CR201" s="182"/>
      <c r="CS201" s="173"/>
      <c r="CT201" s="65"/>
      <c r="CU201" s="271" t="str">
        <f t="shared" si="2"/>
        <v/>
      </c>
    </row>
    <row r="202" ht="60.0" hidden="1" customHeight="1">
      <c r="A202" s="65"/>
      <c r="C202" s="167"/>
      <c r="D202" s="205"/>
      <c r="E202" s="262"/>
      <c r="F202" s="170"/>
      <c r="G202" s="170"/>
      <c r="H202" s="170"/>
      <c r="I202" s="170"/>
      <c r="J202" s="170"/>
      <c r="K202" s="171"/>
      <c r="L202" s="171"/>
      <c r="M202" s="171"/>
      <c r="N202" s="209"/>
      <c r="O202" s="172">
        <f t="shared" si="37"/>
        <v>0</v>
      </c>
      <c r="P202" s="166"/>
      <c r="Q202" s="173"/>
      <c r="R202" s="65"/>
      <c r="S202" s="173"/>
      <c r="T202" s="173"/>
      <c r="U202" s="166"/>
      <c r="V202" s="166"/>
      <c r="W202" s="65"/>
      <c r="X202" s="66"/>
      <c r="Y202" s="173"/>
      <c r="Z202" s="166"/>
      <c r="AA202" s="174"/>
      <c r="AB202" s="175"/>
      <c r="AC202" s="175"/>
      <c r="AD202" s="175"/>
      <c r="AE202" s="175"/>
      <c r="AF202" s="175"/>
      <c r="AG202" s="175"/>
      <c r="AH202" s="175"/>
      <c r="AI202" s="176"/>
      <c r="AJ202" s="177"/>
      <c r="AK202" s="178"/>
      <c r="AL202" s="178"/>
      <c r="AM202" s="178"/>
      <c r="AN202" s="178"/>
      <c r="AO202" s="179"/>
      <c r="AP202" s="64"/>
      <c r="AQ202" s="65"/>
      <c r="AR202" s="65"/>
      <c r="AS202" s="65"/>
      <c r="AT202" s="173"/>
      <c r="AU202" s="177"/>
      <c r="AV202" s="178"/>
      <c r="AW202" s="178"/>
      <c r="AX202" s="179"/>
      <c r="AZ202" s="166"/>
      <c r="BA202" s="177"/>
      <c r="BB202" s="178"/>
      <c r="BC202" s="178"/>
      <c r="BD202" s="178"/>
      <c r="BE202" s="178"/>
      <c r="BF202" s="178"/>
      <c r="BG202" s="178"/>
      <c r="BH202" s="178"/>
      <c r="BI202" s="179"/>
      <c r="BJ202" s="180"/>
      <c r="BK202" s="178"/>
      <c r="BL202" s="178"/>
      <c r="BM202" s="178"/>
      <c r="BN202" s="178"/>
      <c r="BO202" s="181"/>
      <c r="BP202" s="166"/>
      <c r="BQ202" s="177"/>
      <c r="BR202" s="178"/>
      <c r="BS202" s="179"/>
      <c r="BU202" s="166"/>
      <c r="BV202" s="166"/>
      <c r="BW202" s="166"/>
      <c r="BX202" s="166"/>
      <c r="BY202" s="166"/>
      <c r="BZ202" s="166"/>
      <c r="CA202" s="166"/>
      <c r="CB202" s="166"/>
      <c r="CC202" s="166"/>
      <c r="CD202" s="177"/>
      <c r="CE202" s="181"/>
      <c r="CF202" s="177"/>
      <c r="CG202" s="179"/>
      <c r="CH202" s="257"/>
      <c r="CI202" s="182"/>
      <c r="CJ202" s="177"/>
      <c r="CK202" s="182"/>
      <c r="CL202" s="177"/>
      <c r="CM202" s="182"/>
      <c r="CN202" s="177"/>
      <c r="CO202" s="182"/>
      <c r="CP202" s="177"/>
      <c r="CQ202" s="178"/>
      <c r="CR202" s="182"/>
      <c r="CS202" s="173"/>
      <c r="CT202" s="65"/>
      <c r="CU202" s="271" t="str">
        <f t="shared" si="2"/>
        <v/>
      </c>
    </row>
    <row r="203" ht="60.0" hidden="1" customHeight="1">
      <c r="A203" s="65"/>
      <c r="C203" s="167"/>
      <c r="D203" s="205"/>
      <c r="E203" s="262"/>
      <c r="F203" s="170"/>
      <c r="G203" s="170"/>
      <c r="H203" s="170"/>
      <c r="I203" s="170"/>
      <c r="J203" s="170"/>
      <c r="K203" s="171"/>
      <c r="L203" s="171"/>
      <c r="M203" s="171"/>
      <c r="N203" s="209"/>
      <c r="O203" s="172">
        <f t="shared" si="37"/>
        <v>0</v>
      </c>
      <c r="P203" s="166"/>
      <c r="Q203" s="173"/>
      <c r="R203" s="65"/>
      <c r="S203" s="173"/>
      <c r="T203" s="173"/>
      <c r="U203" s="166"/>
      <c r="V203" s="166"/>
      <c r="W203" s="65"/>
      <c r="X203" s="66"/>
      <c r="Y203" s="173"/>
      <c r="Z203" s="166"/>
      <c r="AA203" s="174"/>
      <c r="AB203" s="175"/>
      <c r="AC203" s="175"/>
      <c r="AD203" s="175"/>
      <c r="AE203" s="175"/>
      <c r="AF203" s="175"/>
      <c r="AG203" s="175"/>
      <c r="AH203" s="175"/>
      <c r="AI203" s="176"/>
      <c r="AJ203" s="177"/>
      <c r="AK203" s="178"/>
      <c r="AL203" s="178"/>
      <c r="AM203" s="178"/>
      <c r="AN203" s="178"/>
      <c r="AO203" s="179"/>
      <c r="AP203" s="64"/>
      <c r="AQ203" s="65"/>
      <c r="AR203" s="65"/>
      <c r="AS203" s="65"/>
      <c r="AT203" s="173"/>
      <c r="AU203" s="177"/>
      <c r="AV203" s="178"/>
      <c r="AW203" s="178"/>
      <c r="AX203" s="179"/>
      <c r="AZ203" s="166"/>
      <c r="BA203" s="177"/>
      <c r="BB203" s="178"/>
      <c r="BC203" s="178"/>
      <c r="BD203" s="178"/>
      <c r="BE203" s="178"/>
      <c r="BF203" s="178"/>
      <c r="BG203" s="178"/>
      <c r="BH203" s="178"/>
      <c r="BI203" s="179"/>
      <c r="BJ203" s="180"/>
      <c r="BK203" s="178"/>
      <c r="BL203" s="178"/>
      <c r="BM203" s="178"/>
      <c r="BN203" s="178"/>
      <c r="BO203" s="181"/>
      <c r="BP203" s="166"/>
      <c r="BQ203" s="177"/>
      <c r="BR203" s="178"/>
      <c r="BS203" s="179"/>
      <c r="BU203" s="166"/>
      <c r="BV203" s="166"/>
      <c r="BW203" s="166"/>
      <c r="BX203" s="166"/>
      <c r="BY203" s="166"/>
      <c r="BZ203" s="166"/>
      <c r="CA203" s="166"/>
      <c r="CB203" s="166"/>
      <c r="CC203" s="166"/>
      <c r="CD203" s="177"/>
      <c r="CE203" s="181"/>
      <c r="CF203" s="177"/>
      <c r="CG203" s="179"/>
      <c r="CH203" s="257"/>
      <c r="CI203" s="182"/>
      <c r="CJ203" s="177"/>
      <c r="CK203" s="182"/>
      <c r="CL203" s="177"/>
      <c r="CM203" s="182"/>
      <c r="CN203" s="177"/>
      <c r="CO203" s="182"/>
      <c r="CP203" s="177"/>
      <c r="CQ203" s="178"/>
      <c r="CR203" s="182"/>
      <c r="CS203" s="173"/>
      <c r="CT203" s="65"/>
      <c r="CU203" s="271" t="str">
        <f t="shared" si="2"/>
        <v/>
      </c>
    </row>
    <row r="204" ht="60.0" hidden="1" customHeight="1">
      <c r="A204" s="65"/>
      <c r="C204" s="167"/>
      <c r="D204" s="205"/>
      <c r="E204" s="262"/>
      <c r="F204" s="170"/>
      <c r="G204" s="170"/>
      <c r="H204" s="170"/>
      <c r="I204" s="170"/>
      <c r="J204" s="170"/>
      <c r="K204" s="171"/>
      <c r="L204" s="171"/>
      <c r="M204" s="171"/>
      <c r="N204" s="209"/>
      <c r="O204" s="172">
        <f t="shared" si="37"/>
        <v>0</v>
      </c>
      <c r="P204" s="166"/>
      <c r="Q204" s="173"/>
      <c r="R204" s="65"/>
      <c r="S204" s="173"/>
      <c r="T204" s="173"/>
      <c r="U204" s="166"/>
      <c r="V204" s="166"/>
      <c r="W204" s="65"/>
      <c r="X204" s="66"/>
      <c r="Y204" s="173"/>
      <c r="Z204" s="166"/>
      <c r="AA204" s="174"/>
      <c r="AB204" s="175"/>
      <c r="AC204" s="175"/>
      <c r="AD204" s="175"/>
      <c r="AE204" s="175"/>
      <c r="AF204" s="175"/>
      <c r="AG204" s="175"/>
      <c r="AH204" s="175"/>
      <c r="AI204" s="176"/>
      <c r="AJ204" s="177"/>
      <c r="AK204" s="178"/>
      <c r="AL204" s="178"/>
      <c r="AM204" s="178"/>
      <c r="AN204" s="178"/>
      <c r="AO204" s="179"/>
      <c r="AP204" s="64"/>
      <c r="AQ204" s="65"/>
      <c r="AR204" s="65"/>
      <c r="AS204" s="65"/>
      <c r="AT204" s="173"/>
      <c r="AU204" s="177"/>
      <c r="AV204" s="178"/>
      <c r="AW204" s="178"/>
      <c r="AX204" s="179"/>
      <c r="AZ204" s="166"/>
      <c r="BA204" s="177"/>
      <c r="BB204" s="178"/>
      <c r="BC204" s="178"/>
      <c r="BD204" s="178"/>
      <c r="BE204" s="178"/>
      <c r="BF204" s="178"/>
      <c r="BG204" s="178"/>
      <c r="BH204" s="178"/>
      <c r="BI204" s="179"/>
      <c r="BJ204" s="180"/>
      <c r="BK204" s="178"/>
      <c r="BL204" s="178"/>
      <c r="BM204" s="178"/>
      <c r="BN204" s="178"/>
      <c r="BO204" s="181"/>
      <c r="BP204" s="166"/>
      <c r="BQ204" s="177"/>
      <c r="BR204" s="178"/>
      <c r="BS204" s="179"/>
      <c r="BU204" s="166"/>
      <c r="BV204" s="166"/>
      <c r="BW204" s="166"/>
      <c r="BX204" s="166"/>
      <c r="BY204" s="166"/>
      <c r="BZ204" s="166"/>
      <c r="CA204" s="166"/>
      <c r="CB204" s="166"/>
      <c r="CC204" s="166"/>
      <c r="CD204" s="177"/>
      <c r="CE204" s="181"/>
      <c r="CF204" s="177"/>
      <c r="CG204" s="179"/>
      <c r="CH204" s="257"/>
      <c r="CI204" s="182"/>
      <c r="CJ204" s="177"/>
      <c r="CK204" s="182"/>
      <c r="CL204" s="177"/>
      <c r="CM204" s="182"/>
      <c r="CN204" s="177"/>
      <c r="CO204" s="182"/>
      <c r="CP204" s="177"/>
      <c r="CQ204" s="178"/>
      <c r="CR204" s="182"/>
      <c r="CS204" s="173"/>
      <c r="CT204" s="65"/>
      <c r="CU204" s="271" t="str">
        <f t="shared" si="2"/>
        <v/>
      </c>
    </row>
    <row r="205" ht="60.0" hidden="1" customHeight="1">
      <c r="A205" s="89"/>
      <c r="B205" s="6"/>
      <c r="C205" s="183"/>
      <c r="D205" s="210"/>
      <c r="E205" s="263"/>
      <c r="F205" s="186"/>
      <c r="G205" s="186"/>
      <c r="H205" s="186"/>
      <c r="I205" s="186"/>
      <c r="J205" s="186"/>
      <c r="K205" s="187"/>
      <c r="L205" s="187"/>
      <c r="M205" s="187"/>
      <c r="N205" s="214"/>
      <c r="O205" s="188">
        <f t="shared" ref="O205:O211" si="38">IF(AND(M205&lt;&gt;0,M205&lt;&gt;"m",M205&lt;&gt;"",RIGHT(K205,3)="Lec"),1,IF(AND(M205&lt;&gt;0,M205&lt;&gt;"m",M205&lt;&gt;"",OR(RIGHT(K205,3)="Lab",RIGHT(K205,3)="Tut")),0.5,IF(AND(M205&lt;&gt;0,M205&lt;&gt;"m",M205&lt;&gt;"",RIGHT(K205,2)="TL"),0.75,0)))</f>
        <v>0</v>
      </c>
      <c r="P205" s="63"/>
      <c r="Q205" s="69"/>
      <c r="R205" s="89"/>
      <c r="S205" s="69"/>
      <c r="T205" s="69"/>
      <c r="U205" s="63"/>
      <c r="V205" s="63"/>
      <c r="W205" s="89"/>
      <c r="X205" s="68"/>
      <c r="Y205" s="69"/>
      <c r="Z205" s="63"/>
      <c r="AA205" s="189"/>
      <c r="AB205" s="190"/>
      <c r="AC205" s="190"/>
      <c r="AD205" s="190"/>
      <c r="AE205" s="190"/>
      <c r="AF205" s="190"/>
      <c r="AG205" s="190"/>
      <c r="AH205" s="190"/>
      <c r="AI205" s="191"/>
      <c r="AJ205" s="192"/>
      <c r="AK205" s="193"/>
      <c r="AL205" s="193"/>
      <c r="AM205" s="193"/>
      <c r="AN205" s="193"/>
      <c r="AO205" s="194"/>
      <c r="AP205" s="103"/>
      <c r="AQ205" s="89"/>
      <c r="AR205" s="89"/>
      <c r="AS205" s="89"/>
      <c r="AT205" s="69"/>
      <c r="AU205" s="192"/>
      <c r="AV205" s="193"/>
      <c r="AW205" s="193"/>
      <c r="AX205" s="194"/>
      <c r="AY205" s="6"/>
      <c r="AZ205" s="63"/>
      <c r="BA205" s="192"/>
      <c r="BB205" s="193"/>
      <c r="BC205" s="193"/>
      <c r="BD205" s="193"/>
      <c r="BE205" s="193"/>
      <c r="BF205" s="193"/>
      <c r="BG205" s="193"/>
      <c r="BH205" s="193"/>
      <c r="BI205" s="194"/>
      <c r="BJ205" s="195"/>
      <c r="BK205" s="193"/>
      <c r="BL205" s="193"/>
      <c r="BM205" s="193"/>
      <c r="BN205" s="193"/>
      <c r="BO205" s="196"/>
      <c r="BP205" s="63"/>
      <c r="BQ205" s="192"/>
      <c r="BR205" s="193"/>
      <c r="BS205" s="194"/>
      <c r="BT205" s="6"/>
      <c r="BU205" s="63"/>
      <c r="BV205" s="63"/>
      <c r="BW205" s="63"/>
      <c r="BX205" s="63"/>
      <c r="BY205" s="63"/>
      <c r="BZ205" s="63"/>
      <c r="CA205" s="63"/>
      <c r="CB205" s="63"/>
      <c r="CC205" s="63"/>
      <c r="CD205" s="192"/>
      <c r="CE205" s="196"/>
      <c r="CF205" s="192"/>
      <c r="CG205" s="194"/>
      <c r="CH205" s="259"/>
      <c r="CI205" s="197"/>
      <c r="CJ205" s="192"/>
      <c r="CK205" s="197"/>
      <c r="CL205" s="192"/>
      <c r="CM205" s="197"/>
      <c r="CN205" s="192"/>
      <c r="CO205" s="197"/>
      <c r="CP205" s="192"/>
      <c r="CQ205" s="193"/>
      <c r="CR205" s="197"/>
      <c r="CS205" s="69"/>
      <c r="CT205" s="89"/>
      <c r="CU205" s="272" t="str">
        <f t="shared" si="2"/>
        <v/>
      </c>
    </row>
    <row r="206" ht="55.5" hidden="1" customHeight="1">
      <c r="A206" s="125">
        <v>19.0</v>
      </c>
      <c r="B206" s="199"/>
      <c r="C206" s="127"/>
      <c r="D206" s="128"/>
      <c r="E206" s="260"/>
      <c r="F206" s="261"/>
      <c r="G206" s="261"/>
      <c r="H206" s="261"/>
      <c r="I206" s="261"/>
      <c r="J206" s="170"/>
      <c r="K206" s="219"/>
      <c r="L206" s="219"/>
      <c r="M206" s="219"/>
      <c r="N206" s="220"/>
      <c r="O206" s="132">
        <f t="shared" si="38"/>
        <v>0</v>
      </c>
      <c r="P206" s="133">
        <f>COUNTIF(K206:K216,"TL")*0.75+COUNTIF(K206:K216,"Lec")*1+COUNTIF(K206:K216,"Lab")*0.5</f>
        <v>0</v>
      </c>
      <c r="Q206" s="134">
        <f>SUM((IF(LEFT(K206,1)="E",O206,0)),(IF(LEFT(K207,1)="E",O207,0)),(IF(LEFT(K208,1)="E",O208,0)),(IF(LEFT(K209,1)="E",O209,0)),(IF(LEFT(K210,1)="E",O210,0)),(IF(LEFT(K211,1)="E",O211,0)),(IF(LEFT(K212,1)="E",O212,0)),(IF(LEFT(K213,1)="E",O213,0)),(IF(LEFT(K214,1)="E",O214,0)),(IF(LEFT(K215,1)="E",O215,0)),(IF(LEFT(K216,1)="E",O216,0)))</f>
        <v>0</v>
      </c>
      <c r="R206" s="135">
        <f>SUM(IF(M212&lt;20,IF(K212="Plec",-1,IF(K212="PTL",-0.75,IF(K212="Plab",-0.5,0))),0),IF(M213&lt;20,IF(K213="Plec",-1,IF(K213="PTL",-0.75,IF(K213="Plab",-0.5,0))),0),IF(M214&lt;20,IF(K214="Plec",-1,IF(K214="PTL",-0.75,IF(K214="Plab",-0.5,0))),0),IF(M215&lt;20,IF(K215="Plec",-1,IF(K215="PTL",-0.75,IF(K215="Plab",-0.5,0))),0))</f>
        <v>0</v>
      </c>
      <c r="S206" s="134">
        <f>SUM(P206:R216)</f>
        <v>0</v>
      </c>
      <c r="T206" s="136">
        <f>SUM(IF(M206="M",IF(OR(K206="lec",K206="plec",K206="slec"),1,IF(OR(K206="lab",K206="plab",K206="slab",K206="tut",K206="ptut",K206="stut"),0.5,IF(OR(K206="TL",K206="pTL",K206="STL"),0.75,0))),0),IF(M207="M",IF(OR(K207="lec",K207="plec",K207="slec"),1,IF(OR(K207="lab",K207="plab",K207="slab",K207="tut",K207="ptut",K207="stut"),0.5,IF(OR(K207="TL",K207="pTL",K207="STL"),0.75,0))),0),IF(M208="M",IF(OR(K208="lec",K208="plec",K208="slec"),1,IF(OR(K208="lab",K208="plab",K208="slab",K208="tut",K208="ptut",K208="stut"),0.5,IF(OR(K208="TL",K208="pTL",K208="STL"),0.75,0))),0),IF(M209="M",IF(OR(K209="lec",K209="plec",K209="slec"),1,IF(OR(K209="lab",K209="plab",K209="slab",K209="tut",K209="ptut",K209="stut"),0.5,IF(OR(K209="TL",K209="pTL",K209="STL"),0.75,0))),0),IF(M210="M",IF(OR(K210="lec",K210="plec",K210="slec"),1,IF(OR(K210="lab",K210="plab",K210="slab",K210="tut",K210="ptut",K210="stut"),0.5,IF(OR(K210="TL",K210="pTL",K210="STL"),0.75,0))),0),IF(M211="M",IF(OR(K211="lec",K211="plec",K211="slec"),1,IF(OR(K211="lab",K211="plab",K211="slab",K211="tut",K211="ptut",K211="stut"),0.5,IF(OR(K211="TL",K211="pTL",K211="STL"),0.75,0))),0),IF(M212="M",IF(OR(K212="lec",K212="plec",K212="slec"),1,IF(OR(K212="lab",K212="plab",K212="slab",K212="tut",K212="ptut",K212="stut"),0.5,IF(OR(K212="TL",K212="pTL",K212="STL"),0.75,0))),0),IF(M213="M",IF(OR(K213="lec",K213="plec",K213="slec"),1,IF(OR(K213="lab",K213="plab",K213="slab",K213="tut",K213="ptut",K213="stut"),0.5,IF(OR(K213="TL",K213="pTL",K213="STL"),0.75,0))),0),IF(M214="M",IF(OR(K214="lec",K214="plec",K214="slec"),1,IF(OR(K214="lab",K214="plab",K214="slab",K214="tut",K214="ptut",K214="stut"),0.5,IF(OR(K214="TL",K214="pTL",K214="STL"),0.75,0))),0),IF(M215="M",IF(OR(K215="lec",K215="plec",K215="slec"),1,IF(OR(K215="lab",K215="plab",K215="slab",K215="tut",K215="ptut",K215="stut"),0.5,IF(OR(K215="TL",K215="pTL",K215="STL"),0.75,0))),0),IF(M216="M",IF(OR(K216="lec",K216="plec",K216="slec"),1,IF(OR(K216="lab",K216="plab",K216="slab",K216="tut",K216="ptut",K216="stut"),0.5,IF(OR(K216="TL",K216="pTL",K216="STL"),0.75,0))),0))</f>
        <v>0</v>
      </c>
      <c r="U206" s="137"/>
      <c r="V206" s="133"/>
      <c r="W206" s="138"/>
      <c r="X206" s="139">
        <f>S206-(T206+U206+V206+W206)</f>
        <v>0</v>
      </c>
      <c r="Y206" s="134" t="str">
        <f>CONCATENATE(SUM(O206:O216),"(",SUM(O206:O216)-X206,")")</f>
        <v>0(0)</v>
      </c>
      <c r="Z206" s="140"/>
      <c r="AA206" s="141"/>
      <c r="AB206" s="142"/>
      <c r="AC206" s="142"/>
      <c r="AD206" s="142"/>
      <c r="AE206" s="142"/>
      <c r="AF206" s="142"/>
      <c r="AG206" s="142"/>
      <c r="AH206" s="142"/>
      <c r="AI206" s="143"/>
      <c r="AJ206" s="144"/>
      <c r="AK206" s="145"/>
      <c r="AL206" s="145"/>
      <c r="AM206" s="145"/>
      <c r="AN206" s="145"/>
      <c r="AO206" s="146"/>
      <c r="AP206" s="147">
        <f>SUM(SUM(O206:O216),SUM(AI206:AI216)/2,AM206)</f>
        <v>0</v>
      </c>
      <c r="AQ206" s="148"/>
      <c r="AR206" s="148">
        <f>AP206*AQ206</f>
        <v>0</v>
      </c>
      <c r="AS206" s="148">
        <f>CT206</f>
        <v>0</v>
      </c>
      <c r="AT206" s="149">
        <f>AR206*0.75+AS206*0.25</f>
        <v>0</v>
      </c>
      <c r="AU206" s="150"/>
      <c r="AV206" s="151"/>
      <c r="AW206" s="151"/>
      <c r="AX206" s="152"/>
      <c r="AY206" s="153"/>
      <c r="AZ206" s="140"/>
      <c r="BA206" s="150"/>
      <c r="BB206" s="151"/>
      <c r="BC206" s="151"/>
      <c r="BD206" s="151"/>
      <c r="BE206" s="151"/>
      <c r="BF206" s="151"/>
      <c r="BG206" s="151"/>
      <c r="BH206" s="151"/>
      <c r="BI206" s="152"/>
      <c r="BJ206" s="154"/>
      <c r="BK206" s="151"/>
      <c r="BL206" s="151"/>
      <c r="BM206" s="151"/>
      <c r="BN206" s="151"/>
      <c r="BO206" s="155"/>
      <c r="BP206" s="140"/>
      <c r="BQ206" s="156"/>
      <c r="BR206" s="157"/>
      <c r="BS206" s="158"/>
      <c r="BT206" s="153"/>
      <c r="BU206" s="140"/>
      <c r="BV206" s="140"/>
      <c r="BW206" s="140"/>
      <c r="BX206" s="140"/>
      <c r="BY206" s="140"/>
      <c r="BZ206" s="140"/>
      <c r="CA206" s="140"/>
      <c r="CB206" s="140"/>
      <c r="CC206" s="140"/>
      <c r="CD206" s="150"/>
      <c r="CE206" s="155"/>
      <c r="CF206" s="150"/>
      <c r="CG206" s="152"/>
      <c r="CH206" s="252"/>
      <c r="CI206" s="160"/>
      <c r="CJ206" s="159"/>
      <c r="CK206" s="160"/>
      <c r="CL206" s="159"/>
      <c r="CM206" s="160"/>
      <c r="CN206" s="159"/>
      <c r="CO206" s="160"/>
      <c r="CP206" s="159"/>
      <c r="CQ206" s="162"/>
      <c r="CR206" s="160"/>
      <c r="CS206" s="253">
        <f>SUM(IF(AU206&lt;0,ABS(AU206),0),IF(AZ206&lt;0,ABS(AZ206),0),ABS(CI206),ABS(CK206),ABS(CM206),ABS(CO206),ABS(CQ206),ABS(CR206))</f>
        <v>0</v>
      </c>
      <c r="CT206" s="254">
        <f>SUM(AU206,AV206,AW206,AX206/400,AY206,AZ206,BG206,BH206*0.5,BI206*0.25,BJ206,BK206,BL206,BM206,BN206,BO206,BP206,BR206/20,BS206/100,BT206/60,BU206,BV206,BW206,BX206/4,SUM(BY206:CC216)/3,CE206,CG206/3,CI206,CK206,CM206,CO206,CQ206,CR206)</f>
        <v>0</v>
      </c>
      <c r="CU206" s="255" t="str">
        <f t="shared" si="2"/>
        <v/>
      </c>
    </row>
    <row r="207" ht="60.0" hidden="1" customHeight="1">
      <c r="A207" s="65"/>
      <c r="C207" s="167"/>
      <c r="D207" s="205"/>
      <c r="E207" s="262"/>
      <c r="F207" s="170"/>
      <c r="G207" s="170"/>
      <c r="H207" s="170"/>
      <c r="I207" s="170"/>
      <c r="J207" s="170"/>
      <c r="K207" s="171"/>
      <c r="L207" s="171"/>
      <c r="M207" s="171"/>
      <c r="N207" s="209"/>
      <c r="O207" s="172">
        <f t="shared" si="38"/>
        <v>0</v>
      </c>
      <c r="P207" s="166"/>
      <c r="Q207" s="173"/>
      <c r="R207" s="65"/>
      <c r="S207" s="173"/>
      <c r="T207" s="173"/>
      <c r="U207" s="166"/>
      <c r="V207" s="166"/>
      <c r="W207" s="65"/>
      <c r="X207" s="66"/>
      <c r="Y207" s="173"/>
      <c r="Z207" s="166"/>
      <c r="AA207" s="174"/>
      <c r="AB207" s="175"/>
      <c r="AC207" s="175"/>
      <c r="AD207" s="175"/>
      <c r="AE207" s="175"/>
      <c r="AF207" s="175"/>
      <c r="AG207" s="175"/>
      <c r="AH207" s="175"/>
      <c r="AI207" s="176"/>
      <c r="AJ207" s="177"/>
      <c r="AK207" s="178"/>
      <c r="AL207" s="178"/>
      <c r="AM207" s="178"/>
      <c r="AN207" s="178"/>
      <c r="AO207" s="179"/>
      <c r="AP207" s="64"/>
      <c r="AQ207" s="65"/>
      <c r="AR207" s="65"/>
      <c r="AS207" s="65"/>
      <c r="AT207" s="173"/>
      <c r="AU207" s="177"/>
      <c r="AV207" s="178"/>
      <c r="AW207" s="178"/>
      <c r="AX207" s="179"/>
      <c r="AZ207" s="166"/>
      <c r="BA207" s="177"/>
      <c r="BB207" s="178"/>
      <c r="BC207" s="178"/>
      <c r="BD207" s="178"/>
      <c r="BE207" s="178"/>
      <c r="BF207" s="178"/>
      <c r="BG207" s="178"/>
      <c r="BH207" s="178"/>
      <c r="BI207" s="179"/>
      <c r="BJ207" s="180"/>
      <c r="BK207" s="178"/>
      <c r="BL207" s="178"/>
      <c r="BM207" s="178"/>
      <c r="BN207" s="178"/>
      <c r="BO207" s="181"/>
      <c r="BP207" s="166"/>
      <c r="BQ207" s="177"/>
      <c r="BR207" s="178"/>
      <c r="BS207" s="179"/>
      <c r="BU207" s="166"/>
      <c r="BV207" s="166"/>
      <c r="BW207" s="166"/>
      <c r="BX207" s="166"/>
      <c r="BY207" s="166"/>
      <c r="BZ207" s="166"/>
      <c r="CA207" s="166"/>
      <c r="CB207" s="166"/>
      <c r="CC207" s="166"/>
      <c r="CD207" s="177"/>
      <c r="CE207" s="181"/>
      <c r="CF207" s="177"/>
      <c r="CG207" s="179"/>
      <c r="CH207" s="257"/>
      <c r="CI207" s="182"/>
      <c r="CJ207" s="177"/>
      <c r="CK207" s="182"/>
      <c r="CL207" s="177"/>
      <c r="CM207" s="182"/>
      <c r="CN207" s="177"/>
      <c r="CO207" s="182"/>
      <c r="CP207" s="177"/>
      <c r="CQ207" s="178"/>
      <c r="CR207" s="182"/>
      <c r="CS207" s="173"/>
      <c r="CT207" s="65"/>
      <c r="CU207" s="271" t="str">
        <f t="shared" si="2"/>
        <v/>
      </c>
    </row>
    <row r="208" ht="60.0" hidden="1" customHeight="1">
      <c r="A208" s="65"/>
      <c r="C208" s="167"/>
      <c r="D208" s="205"/>
      <c r="E208" s="262"/>
      <c r="F208" s="170"/>
      <c r="G208" s="170"/>
      <c r="H208" s="170"/>
      <c r="I208" s="170"/>
      <c r="J208" s="170"/>
      <c r="K208" s="171"/>
      <c r="L208" s="171"/>
      <c r="M208" s="171"/>
      <c r="N208" s="209"/>
      <c r="O208" s="172">
        <f t="shared" si="38"/>
        <v>0</v>
      </c>
      <c r="P208" s="166"/>
      <c r="Q208" s="173"/>
      <c r="R208" s="65"/>
      <c r="S208" s="173"/>
      <c r="T208" s="173"/>
      <c r="U208" s="166"/>
      <c r="V208" s="166"/>
      <c r="W208" s="65"/>
      <c r="X208" s="66"/>
      <c r="Y208" s="173"/>
      <c r="Z208" s="166"/>
      <c r="AA208" s="174"/>
      <c r="AB208" s="175"/>
      <c r="AC208" s="175"/>
      <c r="AD208" s="175"/>
      <c r="AE208" s="175"/>
      <c r="AF208" s="175"/>
      <c r="AG208" s="175"/>
      <c r="AH208" s="175"/>
      <c r="AI208" s="176"/>
      <c r="AJ208" s="177"/>
      <c r="AK208" s="178"/>
      <c r="AL208" s="178"/>
      <c r="AM208" s="178"/>
      <c r="AN208" s="178"/>
      <c r="AO208" s="179"/>
      <c r="AP208" s="64"/>
      <c r="AQ208" s="65"/>
      <c r="AR208" s="65"/>
      <c r="AS208" s="65"/>
      <c r="AT208" s="173"/>
      <c r="AU208" s="177"/>
      <c r="AV208" s="178"/>
      <c r="AW208" s="178"/>
      <c r="AX208" s="179"/>
      <c r="AZ208" s="166"/>
      <c r="BA208" s="177"/>
      <c r="BB208" s="178"/>
      <c r="BC208" s="178"/>
      <c r="BD208" s="178"/>
      <c r="BE208" s="178"/>
      <c r="BF208" s="178"/>
      <c r="BG208" s="178"/>
      <c r="BH208" s="178"/>
      <c r="BI208" s="179"/>
      <c r="BJ208" s="180"/>
      <c r="BK208" s="178"/>
      <c r="BL208" s="178"/>
      <c r="BM208" s="178"/>
      <c r="BN208" s="178"/>
      <c r="BO208" s="181"/>
      <c r="BP208" s="166"/>
      <c r="BQ208" s="177"/>
      <c r="BR208" s="178"/>
      <c r="BS208" s="179"/>
      <c r="BU208" s="166"/>
      <c r="BV208" s="166"/>
      <c r="BW208" s="166"/>
      <c r="BX208" s="166"/>
      <c r="BY208" s="166"/>
      <c r="BZ208" s="166"/>
      <c r="CA208" s="166"/>
      <c r="CB208" s="166"/>
      <c r="CC208" s="166"/>
      <c r="CD208" s="177"/>
      <c r="CE208" s="181"/>
      <c r="CF208" s="177"/>
      <c r="CG208" s="179"/>
      <c r="CH208" s="257"/>
      <c r="CI208" s="182"/>
      <c r="CJ208" s="177"/>
      <c r="CK208" s="182"/>
      <c r="CL208" s="177"/>
      <c r="CM208" s="182"/>
      <c r="CN208" s="177"/>
      <c r="CO208" s="182"/>
      <c r="CP208" s="177"/>
      <c r="CQ208" s="178"/>
      <c r="CR208" s="182"/>
      <c r="CS208" s="173"/>
      <c r="CT208" s="65"/>
      <c r="CU208" s="271" t="str">
        <f t="shared" si="2"/>
        <v/>
      </c>
    </row>
    <row r="209" ht="60.0" hidden="1" customHeight="1">
      <c r="A209" s="65"/>
      <c r="C209" s="167"/>
      <c r="D209" s="205"/>
      <c r="E209" s="262"/>
      <c r="F209" s="170"/>
      <c r="G209" s="170"/>
      <c r="H209" s="170"/>
      <c r="I209" s="170"/>
      <c r="J209" s="170"/>
      <c r="K209" s="171"/>
      <c r="L209" s="171"/>
      <c r="M209" s="171"/>
      <c r="N209" s="209"/>
      <c r="O209" s="172">
        <f t="shared" si="38"/>
        <v>0</v>
      </c>
      <c r="P209" s="166"/>
      <c r="Q209" s="173"/>
      <c r="R209" s="65"/>
      <c r="S209" s="173"/>
      <c r="T209" s="173"/>
      <c r="U209" s="166"/>
      <c r="V209" s="166"/>
      <c r="W209" s="65"/>
      <c r="X209" s="66"/>
      <c r="Y209" s="173"/>
      <c r="Z209" s="166"/>
      <c r="AA209" s="174"/>
      <c r="AB209" s="175"/>
      <c r="AC209" s="175"/>
      <c r="AD209" s="175"/>
      <c r="AE209" s="175"/>
      <c r="AF209" s="175"/>
      <c r="AG209" s="175"/>
      <c r="AH209" s="175"/>
      <c r="AI209" s="176"/>
      <c r="AJ209" s="177"/>
      <c r="AK209" s="178"/>
      <c r="AL209" s="178"/>
      <c r="AM209" s="178"/>
      <c r="AN209" s="178"/>
      <c r="AO209" s="179"/>
      <c r="AP209" s="64"/>
      <c r="AQ209" s="65"/>
      <c r="AR209" s="65"/>
      <c r="AS209" s="65"/>
      <c r="AT209" s="173"/>
      <c r="AU209" s="177"/>
      <c r="AV209" s="178"/>
      <c r="AW209" s="178"/>
      <c r="AX209" s="179"/>
      <c r="AZ209" s="166"/>
      <c r="BA209" s="177"/>
      <c r="BB209" s="178"/>
      <c r="BC209" s="178"/>
      <c r="BD209" s="178"/>
      <c r="BE209" s="178"/>
      <c r="BF209" s="178"/>
      <c r="BG209" s="178"/>
      <c r="BH209" s="178"/>
      <c r="BI209" s="179"/>
      <c r="BJ209" s="180"/>
      <c r="BK209" s="178"/>
      <c r="BL209" s="178"/>
      <c r="BM209" s="178"/>
      <c r="BN209" s="178"/>
      <c r="BO209" s="181"/>
      <c r="BP209" s="166"/>
      <c r="BQ209" s="177"/>
      <c r="BR209" s="178"/>
      <c r="BS209" s="179"/>
      <c r="BU209" s="166"/>
      <c r="BV209" s="166"/>
      <c r="BW209" s="166"/>
      <c r="BX209" s="166"/>
      <c r="BY209" s="166"/>
      <c r="BZ209" s="166"/>
      <c r="CA209" s="166"/>
      <c r="CB209" s="166"/>
      <c r="CC209" s="166"/>
      <c r="CD209" s="177"/>
      <c r="CE209" s="181"/>
      <c r="CF209" s="177"/>
      <c r="CG209" s="179"/>
      <c r="CH209" s="257"/>
      <c r="CI209" s="182"/>
      <c r="CJ209" s="177"/>
      <c r="CK209" s="182"/>
      <c r="CL209" s="177"/>
      <c r="CM209" s="182"/>
      <c r="CN209" s="177"/>
      <c r="CO209" s="182"/>
      <c r="CP209" s="177"/>
      <c r="CQ209" s="178"/>
      <c r="CR209" s="182"/>
      <c r="CS209" s="173"/>
      <c r="CT209" s="65"/>
      <c r="CU209" s="271" t="str">
        <f t="shared" si="2"/>
        <v/>
      </c>
    </row>
    <row r="210" ht="60.0" hidden="1" customHeight="1">
      <c r="A210" s="65"/>
      <c r="C210" s="167"/>
      <c r="D210" s="205"/>
      <c r="E210" s="262"/>
      <c r="F210" s="170"/>
      <c r="G210" s="170"/>
      <c r="H210" s="170"/>
      <c r="I210" s="170"/>
      <c r="J210" s="170"/>
      <c r="K210" s="171"/>
      <c r="L210" s="171"/>
      <c r="M210" s="171"/>
      <c r="N210" s="209"/>
      <c r="O210" s="172">
        <f t="shared" si="38"/>
        <v>0</v>
      </c>
      <c r="P210" s="166"/>
      <c r="Q210" s="173"/>
      <c r="R210" s="65"/>
      <c r="S210" s="173"/>
      <c r="T210" s="173"/>
      <c r="U210" s="166"/>
      <c r="V210" s="166"/>
      <c r="W210" s="65"/>
      <c r="X210" s="66"/>
      <c r="Y210" s="173"/>
      <c r="Z210" s="166"/>
      <c r="AA210" s="174"/>
      <c r="AB210" s="175"/>
      <c r="AC210" s="175"/>
      <c r="AD210" s="175"/>
      <c r="AE210" s="175"/>
      <c r="AF210" s="175"/>
      <c r="AG210" s="175"/>
      <c r="AH210" s="175"/>
      <c r="AI210" s="176"/>
      <c r="AJ210" s="177"/>
      <c r="AK210" s="178"/>
      <c r="AL210" s="178"/>
      <c r="AM210" s="178"/>
      <c r="AN210" s="178"/>
      <c r="AO210" s="179"/>
      <c r="AP210" s="64"/>
      <c r="AQ210" s="65"/>
      <c r="AR210" s="65"/>
      <c r="AS210" s="65"/>
      <c r="AT210" s="173"/>
      <c r="AU210" s="177"/>
      <c r="AV210" s="178"/>
      <c r="AW210" s="178"/>
      <c r="AX210" s="179"/>
      <c r="AZ210" s="166"/>
      <c r="BA210" s="177"/>
      <c r="BB210" s="178"/>
      <c r="BC210" s="178"/>
      <c r="BD210" s="178"/>
      <c r="BE210" s="178"/>
      <c r="BF210" s="178"/>
      <c r="BG210" s="178"/>
      <c r="BH210" s="178"/>
      <c r="BI210" s="179"/>
      <c r="BJ210" s="180"/>
      <c r="BK210" s="178"/>
      <c r="BL210" s="178"/>
      <c r="BM210" s="178"/>
      <c r="BN210" s="178"/>
      <c r="BO210" s="181"/>
      <c r="BP210" s="166"/>
      <c r="BQ210" s="177"/>
      <c r="BR210" s="178"/>
      <c r="BS210" s="179"/>
      <c r="BU210" s="166"/>
      <c r="BV210" s="166"/>
      <c r="BW210" s="166"/>
      <c r="BX210" s="166"/>
      <c r="BY210" s="166"/>
      <c r="BZ210" s="166"/>
      <c r="CA210" s="166"/>
      <c r="CB210" s="166"/>
      <c r="CC210" s="166"/>
      <c r="CD210" s="177"/>
      <c r="CE210" s="181"/>
      <c r="CF210" s="177"/>
      <c r="CG210" s="179"/>
      <c r="CH210" s="257"/>
      <c r="CI210" s="182"/>
      <c r="CJ210" s="177"/>
      <c r="CK210" s="182"/>
      <c r="CL210" s="177"/>
      <c r="CM210" s="182"/>
      <c r="CN210" s="177"/>
      <c r="CO210" s="182"/>
      <c r="CP210" s="177"/>
      <c r="CQ210" s="178"/>
      <c r="CR210" s="182"/>
      <c r="CS210" s="173"/>
      <c r="CT210" s="65"/>
      <c r="CU210" s="271" t="str">
        <f t="shared" si="2"/>
        <v/>
      </c>
    </row>
    <row r="211" ht="60.0" hidden="1" customHeight="1">
      <c r="A211" s="65"/>
      <c r="C211" s="167"/>
      <c r="D211" s="205"/>
      <c r="E211" s="262"/>
      <c r="F211" s="170"/>
      <c r="G211" s="170"/>
      <c r="H211" s="170"/>
      <c r="I211" s="170"/>
      <c r="J211" s="170"/>
      <c r="K211" s="171"/>
      <c r="L211" s="171"/>
      <c r="M211" s="171"/>
      <c r="N211" s="209"/>
      <c r="O211" s="172">
        <f t="shared" si="38"/>
        <v>0</v>
      </c>
      <c r="P211" s="166"/>
      <c r="Q211" s="173"/>
      <c r="R211" s="65"/>
      <c r="S211" s="173"/>
      <c r="T211" s="173"/>
      <c r="U211" s="166"/>
      <c r="V211" s="166"/>
      <c r="W211" s="65"/>
      <c r="X211" s="66"/>
      <c r="Y211" s="173"/>
      <c r="Z211" s="166"/>
      <c r="AA211" s="174"/>
      <c r="AB211" s="175"/>
      <c r="AC211" s="175"/>
      <c r="AD211" s="175"/>
      <c r="AE211" s="175"/>
      <c r="AF211" s="175"/>
      <c r="AG211" s="175"/>
      <c r="AH211" s="175"/>
      <c r="AI211" s="176"/>
      <c r="AJ211" s="177"/>
      <c r="AK211" s="178"/>
      <c r="AL211" s="178"/>
      <c r="AM211" s="178"/>
      <c r="AN211" s="178"/>
      <c r="AO211" s="179"/>
      <c r="AP211" s="64"/>
      <c r="AQ211" s="65"/>
      <c r="AR211" s="65"/>
      <c r="AS211" s="65"/>
      <c r="AT211" s="173"/>
      <c r="AU211" s="177"/>
      <c r="AV211" s="178"/>
      <c r="AW211" s="178"/>
      <c r="AX211" s="179"/>
      <c r="AZ211" s="166"/>
      <c r="BA211" s="177"/>
      <c r="BB211" s="178"/>
      <c r="BC211" s="178"/>
      <c r="BD211" s="178"/>
      <c r="BE211" s="178"/>
      <c r="BF211" s="178"/>
      <c r="BG211" s="178"/>
      <c r="BH211" s="178"/>
      <c r="BI211" s="179"/>
      <c r="BJ211" s="180"/>
      <c r="BK211" s="178"/>
      <c r="BL211" s="178"/>
      <c r="BM211" s="178"/>
      <c r="BN211" s="178"/>
      <c r="BO211" s="181"/>
      <c r="BP211" s="166"/>
      <c r="BQ211" s="177"/>
      <c r="BR211" s="178"/>
      <c r="BS211" s="179"/>
      <c r="BU211" s="166"/>
      <c r="BV211" s="166"/>
      <c r="BW211" s="166"/>
      <c r="BX211" s="166"/>
      <c r="BY211" s="166"/>
      <c r="BZ211" s="166"/>
      <c r="CA211" s="166"/>
      <c r="CB211" s="166"/>
      <c r="CC211" s="166"/>
      <c r="CD211" s="177"/>
      <c r="CE211" s="181"/>
      <c r="CF211" s="177"/>
      <c r="CG211" s="179"/>
      <c r="CH211" s="257"/>
      <c r="CI211" s="182"/>
      <c r="CJ211" s="177"/>
      <c r="CK211" s="182"/>
      <c r="CL211" s="177"/>
      <c r="CM211" s="182"/>
      <c r="CN211" s="177"/>
      <c r="CO211" s="182"/>
      <c r="CP211" s="177"/>
      <c r="CQ211" s="178"/>
      <c r="CR211" s="182"/>
      <c r="CS211" s="173"/>
      <c r="CT211" s="65"/>
      <c r="CU211" s="271" t="str">
        <f t="shared" si="2"/>
        <v/>
      </c>
    </row>
    <row r="212" ht="60.0" hidden="1" customHeight="1">
      <c r="A212" s="65"/>
      <c r="C212" s="167"/>
      <c r="D212" s="205"/>
      <c r="E212" s="262"/>
      <c r="F212" s="170"/>
      <c r="G212" s="170"/>
      <c r="H212" s="170"/>
      <c r="I212" s="170"/>
      <c r="J212" s="170"/>
      <c r="K212" s="171"/>
      <c r="L212" s="171"/>
      <c r="M212" s="171"/>
      <c r="N212" s="209"/>
      <c r="O212" s="172">
        <f t="shared" ref="O212:O215" si="39">IF(AND(M212&gt;=20,M212&lt;&gt;"m",RIGHT(K212,3)="Lec"),1,IF(AND(M212&gt;=20,M212&lt;&gt;"m",OR(RIGHT(K212,3)="Lab",RIGHT(K212,3)="Tut")),0.5,IF(AND(M212&gt;=20,M212&lt;&gt;"m",RIGHT(K212,2)="TL"),0.75,0)))</f>
        <v>0</v>
      </c>
      <c r="P212" s="166"/>
      <c r="Q212" s="173"/>
      <c r="R212" s="65"/>
      <c r="S212" s="173"/>
      <c r="T212" s="173"/>
      <c r="U212" s="166"/>
      <c r="V212" s="166"/>
      <c r="W212" s="65"/>
      <c r="X212" s="66"/>
      <c r="Y212" s="173"/>
      <c r="Z212" s="166"/>
      <c r="AA212" s="174"/>
      <c r="AB212" s="175"/>
      <c r="AC212" s="175"/>
      <c r="AD212" s="175"/>
      <c r="AE212" s="175"/>
      <c r="AF212" s="175"/>
      <c r="AG212" s="175"/>
      <c r="AH212" s="175"/>
      <c r="AI212" s="176"/>
      <c r="AJ212" s="177"/>
      <c r="AK212" s="178"/>
      <c r="AL212" s="178"/>
      <c r="AM212" s="178"/>
      <c r="AN212" s="178"/>
      <c r="AO212" s="179"/>
      <c r="AP212" s="64"/>
      <c r="AQ212" s="65"/>
      <c r="AR212" s="65"/>
      <c r="AS212" s="65"/>
      <c r="AT212" s="173"/>
      <c r="AU212" s="177"/>
      <c r="AV212" s="178"/>
      <c r="AW212" s="178"/>
      <c r="AX212" s="179"/>
      <c r="AZ212" s="166"/>
      <c r="BA212" s="177"/>
      <c r="BB212" s="178"/>
      <c r="BC212" s="178"/>
      <c r="BD212" s="178"/>
      <c r="BE212" s="178"/>
      <c r="BF212" s="178"/>
      <c r="BG212" s="178"/>
      <c r="BH212" s="178"/>
      <c r="BI212" s="179"/>
      <c r="BJ212" s="180"/>
      <c r="BK212" s="178"/>
      <c r="BL212" s="178"/>
      <c r="BM212" s="178"/>
      <c r="BN212" s="178"/>
      <c r="BO212" s="181"/>
      <c r="BP212" s="166"/>
      <c r="BQ212" s="177"/>
      <c r="BR212" s="178"/>
      <c r="BS212" s="179"/>
      <c r="BU212" s="166"/>
      <c r="BV212" s="166"/>
      <c r="BW212" s="166"/>
      <c r="BX212" s="166"/>
      <c r="BY212" s="166"/>
      <c r="BZ212" s="166"/>
      <c r="CA212" s="166"/>
      <c r="CB212" s="166"/>
      <c r="CC212" s="166"/>
      <c r="CD212" s="177"/>
      <c r="CE212" s="181"/>
      <c r="CF212" s="177"/>
      <c r="CG212" s="179"/>
      <c r="CH212" s="257"/>
      <c r="CI212" s="182"/>
      <c r="CJ212" s="177"/>
      <c r="CK212" s="182"/>
      <c r="CL212" s="177"/>
      <c r="CM212" s="182"/>
      <c r="CN212" s="177"/>
      <c r="CO212" s="182"/>
      <c r="CP212" s="177"/>
      <c r="CQ212" s="178"/>
      <c r="CR212" s="182"/>
      <c r="CS212" s="173"/>
      <c r="CT212" s="65"/>
      <c r="CU212" s="271" t="str">
        <f t="shared" si="2"/>
        <v/>
      </c>
    </row>
    <row r="213" ht="60.0" hidden="1" customHeight="1">
      <c r="A213" s="65"/>
      <c r="C213" s="167"/>
      <c r="D213" s="205"/>
      <c r="E213" s="262"/>
      <c r="F213" s="170"/>
      <c r="G213" s="170"/>
      <c r="H213" s="170"/>
      <c r="I213" s="170"/>
      <c r="J213" s="170"/>
      <c r="K213" s="171"/>
      <c r="L213" s="171"/>
      <c r="M213" s="171"/>
      <c r="N213" s="209"/>
      <c r="O213" s="172">
        <f t="shared" si="39"/>
        <v>0</v>
      </c>
      <c r="P213" s="166"/>
      <c r="Q213" s="173"/>
      <c r="R213" s="65"/>
      <c r="S213" s="173"/>
      <c r="T213" s="173"/>
      <c r="U213" s="166"/>
      <c r="V213" s="166"/>
      <c r="W213" s="65"/>
      <c r="X213" s="66"/>
      <c r="Y213" s="173"/>
      <c r="Z213" s="166"/>
      <c r="AA213" s="174"/>
      <c r="AB213" s="175"/>
      <c r="AC213" s="175"/>
      <c r="AD213" s="175"/>
      <c r="AE213" s="175"/>
      <c r="AF213" s="175"/>
      <c r="AG213" s="175"/>
      <c r="AH213" s="175"/>
      <c r="AI213" s="176"/>
      <c r="AJ213" s="177"/>
      <c r="AK213" s="178"/>
      <c r="AL213" s="178"/>
      <c r="AM213" s="178"/>
      <c r="AN213" s="178"/>
      <c r="AO213" s="179"/>
      <c r="AP213" s="64"/>
      <c r="AQ213" s="65"/>
      <c r="AR213" s="65"/>
      <c r="AS213" s="65"/>
      <c r="AT213" s="173"/>
      <c r="AU213" s="177"/>
      <c r="AV213" s="178"/>
      <c r="AW213" s="178"/>
      <c r="AX213" s="179"/>
      <c r="AZ213" s="166"/>
      <c r="BA213" s="177"/>
      <c r="BB213" s="178"/>
      <c r="BC213" s="178"/>
      <c r="BD213" s="178"/>
      <c r="BE213" s="178"/>
      <c r="BF213" s="178"/>
      <c r="BG213" s="178"/>
      <c r="BH213" s="178"/>
      <c r="BI213" s="179"/>
      <c r="BJ213" s="180"/>
      <c r="BK213" s="178"/>
      <c r="BL213" s="178"/>
      <c r="BM213" s="178"/>
      <c r="BN213" s="178"/>
      <c r="BO213" s="181"/>
      <c r="BP213" s="166"/>
      <c r="BQ213" s="177"/>
      <c r="BR213" s="178"/>
      <c r="BS213" s="179"/>
      <c r="BU213" s="166"/>
      <c r="BV213" s="166"/>
      <c r="BW213" s="166"/>
      <c r="BX213" s="166"/>
      <c r="BY213" s="166"/>
      <c r="BZ213" s="166"/>
      <c r="CA213" s="166"/>
      <c r="CB213" s="166"/>
      <c r="CC213" s="166"/>
      <c r="CD213" s="177"/>
      <c r="CE213" s="181"/>
      <c r="CF213" s="177"/>
      <c r="CG213" s="179"/>
      <c r="CH213" s="257"/>
      <c r="CI213" s="182"/>
      <c r="CJ213" s="177"/>
      <c r="CK213" s="182"/>
      <c r="CL213" s="177"/>
      <c r="CM213" s="182"/>
      <c r="CN213" s="177"/>
      <c r="CO213" s="182"/>
      <c r="CP213" s="177"/>
      <c r="CQ213" s="178"/>
      <c r="CR213" s="182"/>
      <c r="CS213" s="173"/>
      <c r="CT213" s="65"/>
      <c r="CU213" s="271" t="str">
        <f t="shared" si="2"/>
        <v/>
      </c>
    </row>
    <row r="214" ht="60.0" hidden="1" customHeight="1">
      <c r="A214" s="65"/>
      <c r="C214" s="167"/>
      <c r="D214" s="205"/>
      <c r="E214" s="262"/>
      <c r="F214" s="170"/>
      <c r="G214" s="170"/>
      <c r="H214" s="170"/>
      <c r="I214" s="170"/>
      <c r="J214" s="170"/>
      <c r="K214" s="171"/>
      <c r="L214" s="171"/>
      <c r="M214" s="171"/>
      <c r="N214" s="209"/>
      <c r="O214" s="172">
        <f t="shared" si="39"/>
        <v>0</v>
      </c>
      <c r="P214" s="166"/>
      <c r="Q214" s="173"/>
      <c r="R214" s="65"/>
      <c r="S214" s="173"/>
      <c r="T214" s="173"/>
      <c r="U214" s="166"/>
      <c r="V214" s="166"/>
      <c r="W214" s="65"/>
      <c r="X214" s="66"/>
      <c r="Y214" s="173"/>
      <c r="Z214" s="166"/>
      <c r="AA214" s="174"/>
      <c r="AB214" s="175"/>
      <c r="AC214" s="175"/>
      <c r="AD214" s="175"/>
      <c r="AE214" s="175"/>
      <c r="AF214" s="175"/>
      <c r="AG214" s="175"/>
      <c r="AH214" s="175"/>
      <c r="AI214" s="176"/>
      <c r="AJ214" s="177"/>
      <c r="AK214" s="178"/>
      <c r="AL214" s="178"/>
      <c r="AM214" s="178"/>
      <c r="AN214" s="178"/>
      <c r="AO214" s="179"/>
      <c r="AP214" s="64"/>
      <c r="AQ214" s="65"/>
      <c r="AR214" s="65"/>
      <c r="AS214" s="65"/>
      <c r="AT214" s="173"/>
      <c r="AU214" s="177"/>
      <c r="AV214" s="178"/>
      <c r="AW214" s="178"/>
      <c r="AX214" s="179"/>
      <c r="AZ214" s="166"/>
      <c r="BA214" s="177"/>
      <c r="BB214" s="178"/>
      <c r="BC214" s="178"/>
      <c r="BD214" s="178"/>
      <c r="BE214" s="178"/>
      <c r="BF214" s="178"/>
      <c r="BG214" s="178"/>
      <c r="BH214" s="178"/>
      <c r="BI214" s="179"/>
      <c r="BJ214" s="180"/>
      <c r="BK214" s="178"/>
      <c r="BL214" s="178"/>
      <c r="BM214" s="178"/>
      <c r="BN214" s="178"/>
      <c r="BO214" s="181"/>
      <c r="BP214" s="166"/>
      <c r="BQ214" s="177"/>
      <c r="BR214" s="178"/>
      <c r="BS214" s="179"/>
      <c r="BU214" s="166"/>
      <c r="BV214" s="166"/>
      <c r="BW214" s="166"/>
      <c r="BX214" s="166"/>
      <c r="BY214" s="166"/>
      <c r="BZ214" s="166"/>
      <c r="CA214" s="166"/>
      <c r="CB214" s="166"/>
      <c r="CC214" s="166"/>
      <c r="CD214" s="177"/>
      <c r="CE214" s="181"/>
      <c r="CF214" s="177"/>
      <c r="CG214" s="179"/>
      <c r="CH214" s="257"/>
      <c r="CI214" s="182"/>
      <c r="CJ214" s="177"/>
      <c r="CK214" s="182"/>
      <c r="CL214" s="177"/>
      <c r="CM214" s="182"/>
      <c r="CN214" s="177"/>
      <c r="CO214" s="182"/>
      <c r="CP214" s="177"/>
      <c r="CQ214" s="178"/>
      <c r="CR214" s="182"/>
      <c r="CS214" s="173"/>
      <c r="CT214" s="65"/>
      <c r="CU214" s="271" t="str">
        <f t="shared" si="2"/>
        <v/>
      </c>
    </row>
    <row r="215" ht="60.0" hidden="1" customHeight="1">
      <c r="A215" s="65"/>
      <c r="C215" s="167"/>
      <c r="D215" s="205"/>
      <c r="E215" s="262"/>
      <c r="F215" s="170"/>
      <c r="G215" s="170"/>
      <c r="H215" s="170"/>
      <c r="I215" s="170"/>
      <c r="J215" s="170"/>
      <c r="K215" s="171"/>
      <c r="L215" s="171"/>
      <c r="M215" s="171"/>
      <c r="N215" s="209"/>
      <c r="O215" s="172">
        <f t="shared" si="39"/>
        <v>0</v>
      </c>
      <c r="P215" s="166"/>
      <c r="Q215" s="173"/>
      <c r="R215" s="65"/>
      <c r="S215" s="173"/>
      <c r="T215" s="173"/>
      <c r="U215" s="166"/>
      <c r="V215" s="166"/>
      <c r="W215" s="65"/>
      <c r="X215" s="66"/>
      <c r="Y215" s="173"/>
      <c r="Z215" s="166"/>
      <c r="AA215" s="174"/>
      <c r="AB215" s="175"/>
      <c r="AC215" s="175"/>
      <c r="AD215" s="175"/>
      <c r="AE215" s="175"/>
      <c r="AF215" s="175"/>
      <c r="AG215" s="175"/>
      <c r="AH215" s="175"/>
      <c r="AI215" s="176"/>
      <c r="AJ215" s="177"/>
      <c r="AK215" s="178"/>
      <c r="AL215" s="178"/>
      <c r="AM215" s="178"/>
      <c r="AN215" s="178"/>
      <c r="AO215" s="179"/>
      <c r="AP215" s="64"/>
      <c r="AQ215" s="65"/>
      <c r="AR215" s="65"/>
      <c r="AS215" s="65"/>
      <c r="AT215" s="173"/>
      <c r="AU215" s="177"/>
      <c r="AV215" s="178"/>
      <c r="AW215" s="178"/>
      <c r="AX215" s="179"/>
      <c r="AZ215" s="166"/>
      <c r="BA215" s="177"/>
      <c r="BB215" s="178"/>
      <c r="BC215" s="178"/>
      <c r="BD215" s="178"/>
      <c r="BE215" s="178"/>
      <c r="BF215" s="178"/>
      <c r="BG215" s="178"/>
      <c r="BH215" s="178"/>
      <c r="BI215" s="179"/>
      <c r="BJ215" s="180"/>
      <c r="BK215" s="178"/>
      <c r="BL215" s="178"/>
      <c r="BM215" s="178"/>
      <c r="BN215" s="178"/>
      <c r="BO215" s="181"/>
      <c r="BP215" s="166"/>
      <c r="BQ215" s="177"/>
      <c r="BR215" s="178"/>
      <c r="BS215" s="179"/>
      <c r="BU215" s="166"/>
      <c r="BV215" s="166"/>
      <c r="BW215" s="166"/>
      <c r="BX215" s="166"/>
      <c r="BY215" s="166"/>
      <c r="BZ215" s="166"/>
      <c r="CA215" s="166"/>
      <c r="CB215" s="166"/>
      <c r="CC215" s="166"/>
      <c r="CD215" s="177"/>
      <c r="CE215" s="181"/>
      <c r="CF215" s="177"/>
      <c r="CG215" s="179"/>
      <c r="CH215" s="257"/>
      <c r="CI215" s="182"/>
      <c r="CJ215" s="177"/>
      <c r="CK215" s="182"/>
      <c r="CL215" s="177"/>
      <c r="CM215" s="182"/>
      <c r="CN215" s="177"/>
      <c r="CO215" s="182"/>
      <c r="CP215" s="177"/>
      <c r="CQ215" s="178"/>
      <c r="CR215" s="182"/>
      <c r="CS215" s="173"/>
      <c r="CT215" s="65"/>
      <c r="CU215" s="271" t="str">
        <f t="shared" si="2"/>
        <v/>
      </c>
    </row>
    <row r="216" ht="60.0" hidden="1" customHeight="1">
      <c r="A216" s="89"/>
      <c r="B216" s="6"/>
      <c r="C216" s="183"/>
      <c r="D216" s="210"/>
      <c r="E216" s="263"/>
      <c r="F216" s="186"/>
      <c r="G216" s="186"/>
      <c r="H216" s="186"/>
      <c r="I216" s="186"/>
      <c r="J216" s="186"/>
      <c r="K216" s="187"/>
      <c r="L216" s="187"/>
      <c r="M216" s="187"/>
      <c r="N216" s="214"/>
      <c r="O216" s="188">
        <f t="shared" ref="O216:O222" si="40">IF(AND(M216&lt;&gt;0,M216&lt;&gt;"m",M216&lt;&gt;"",RIGHT(K216,3)="Lec"),1,IF(AND(M216&lt;&gt;0,M216&lt;&gt;"m",M216&lt;&gt;"",OR(RIGHT(K216,3)="Lab",RIGHT(K216,3)="Tut")),0.5,IF(AND(M216&lt;&gt;0,M216&lt;&gt;"m",M216&lt;&gt;"",RIGHT(K216,2)="TL"),0.75,0)))</f>
        <v>0</v>
      </c>
      <c r="P216" s="63"/>
      <c r="Q216" s="69"/>
      <c r="R216" s="89"/>
      <c r="S216" s="69"/>
      <c r="T216" s="69"/>
      <c r="U216" s="63"/>
      <c r="V216" s="63"/>
      <c r="W216" s="89"/>
      <c r="X216" s="68"/>
      <c r="Y216" s="69"/>
      <c r="Z216" s="63"/>
      <c r="AA216" s="189"/>
      <c r="AB216" s="190"/>
      <c r="AC216" s="190"/>
      <c r="AD216" s="190"/>
      <c r="AE216" s="190"/>
      <c r="AF216" s="190"/>
      <c r="AG216" s="190"/>
      <c r="AH216" s="190"/>
      <c r="AI216" s="191"/>
      <c r="AJ216" s="192"/>
      <c r="AK216" s="193"/>
      <c r="AL216" s="193"/>
      <c r="AM216" s="193"/>
      <c r="AN216" s="193"/>
      <c r="AO216" s="194"/>
      <c r="AP216" s="103"/>
      <c r="AQ216" s="89"/>
      <c r="AR216" s="89"/>
      <c r="AS216" s="89"/>
      <c r="AT216" s="69"/>
      <c r="AU216" s="192"/>
      <c r="AV216" s="193"/>
      <c r="AW216" s="193"/>
      <c r="AX216" s="194"/>
      <c r="AY216" s="6"/>
      <c r="AZ216" s="63"/>
      <c r="BA216" s="192"/>
      <c r="BB216" s="193"/>
      <c r="BC216" s="193"/>
      <c r="BD216" s="193"/>
      <c r="BE216" s="193"/>
      <c r="BF216" s="193"/>
      <c r="BG216" s="193"/>
      <c r="BH216" s="193"/>
      <c r="BI216" s="194"/>
      <c r="BJ216" s="195"/>
      <c r="BK216" s="193"/>
      <c r="BL216" s="193"/>
      <c r="BM216" s="193"/>
      <c r="BN216" s="193"/>
      <c r="BO216" s="196"/>
      <c r="BP216" s="63"/>
      <c r="BQ216" s="192"/>
      <c r="BR216" s="193"/>
      <c r="BS216" s="194"/>
      <c r="BT216" s="6"/>
      <c r="BU216" s="63"/>
      <c r="BV216" s="63"/>
      <c r="BW216" s="63"/>
      <c r="BX216" s="63"/>
      <c r="BY216" s="63"/>
      <c r="BZ216" s="63"/>
      <c r="CA216" s="63"/>
      <c r="CB216" s="63"/>
      <c r="CC216" s="63"/>
      <c r="CD216" s="192"/>
      <c r="CE216" s="196"/>
      <c r="CF216" s="192"/>
      <c r="CG216" s="194"/>
      <c r="CH216" s="259"/>
      <c r="CI216" s="197"/>
      <c r="CJ216" s="192"/>
      <c r="CK216" s="197"/>
      <c r="CL216" s="192"/>
      <c r="CM216" s="197"/>
      <c r="CN216" s="192"/>
      <c r="CO216" s="197"/>
      <c r="CP216" s="192"/>
      <c r="CQ216" s="193"/>
      <c r="CR216" s="197"/>
      <c r="CS216" s="69"/>
      <c r="CT216" s="89"/>
      <c r="CU216" s="272" t="str">
        <f t="shared" si="2"/>
        <v/>
      </c>
    </row>
    <row r="217" ht="55.5" hidden="1" customHeight="1">
      <c r="A217" s="125">
        <v>20.0</v>
      </c>
      <c r="B217" s="199"/>
      <c r="C217" s="127"/>
      <c r="D217" s="128"/>
      <c r="E217" s="260"/>
      <c r="F217" s="261"/>
      <c r="G217" s="261"/>
      <c r="H217" s="261"/>
      <c r="I217" s="261"/>
      <c r="J217" s="170"/>
      <c r="K217" s="219"/>
      <c r="L217" s="219"/>
      <c r="M217" s="219"/>
      <c r="N217" s="220"/>
      <c r="O217" s="132">
        <f t="shared" si="40"/>
        <v>0</v>
      </c>
      <c r="P217" s="133">
        <f>COUNTIF(K217:K227,"TL")*0.75+COUNTIF(K217:K227,"Lec")*1+COUNTIF(K217:K227,"Lab")*0.5</f>
        <v>0</v>
      </c>
      <c r="Q217" s="134">
        <f>SUM((IF(LEFT(K217,1)="E",O217,0)),(IF(LEFT(K218,1)="E",O218,0)),(IF(LEFT(K219,1)="E",O219,0)),(IF(LEFT(K220,1)="E",O220,0)),(IF(LEFT(K221,1)="E",O221,0)),(IF(LEFT(K222,1)="E",O222,0)),(IF(LEFT(K223,1)="E",O223,0)),(IF(LEFT(K224,1)="E",O224,0)),(IF(LEFT(K225,1)="E",O225,0)),(IF(LEFT(K226,1)="E",O226,0)),(IF(LEFT(K227,1)="E",O227,0)))</f>
        <v>0</v>
      </c>
      <c r="R217" s="135">
        <f>SUM(IF(M223&lt;20,IF(K223="Plec",-1,IF(K223="PTL",-0.75,IF(K223="Plab",-0.5,0))),0),IF(M224&lt;20,IF(K224="Plec",-1,IF(K224="PTL",-0.75,IF(K224="Plab",-0.5,0))),0),IF(M225&lt;20,IF(K225="Plec",-1,IF(K225="PTL",-0.75,IF(K225="Plab",-0.5,0))),0),IF(M226&lt;20,IF(K226="Plec",-1,IF(K226="PTL",-0.75,IF(K226="Plab",-0.5,0))),0))</f>
        <v>0</v>
      </c>
      <c r="S217" s="134">
        <f>SUM(P217:R227)</f>
        <v>0</v>
      </c>
      <c r="T217" s="136">
        <f>SUM(IF(M217="M",IF(OR(K217="lec",K217="plec",K217="slec"),1,IF(OR(K217="lab",K217="plab",K217="slab",K217="tut",K217="ptut",K217="stut"),0.5,IF(OR(K217="TL",K217="pTL",K217="STL"),0.75,0))),0),IF(M218="M",IF(OR(K218="lec",K218="plec",K218="slec"),1,IF(OR(K218="lab",K218="plab",K218="slab",K218="tut",K218="ptut",K218="stut"),0.5,IF(OR(K218="TL",K218="pTL",K218="STL"),0.75,0))),0),IF(M219="M",IF(OR(K219="lec",K219="plec",K219="slec"),1,IF(OR(K219="lab",K219="plab",K219="slab",K219="tut",K219="ptut",K219="stut"),0.5,IF(OR(K219="TL",K219="pTL",K219="STL"),0.75,0))),0),IF(M220="M",IF(OR(K220="lec",K220="plec",K220="slec"),1,IF(OR(K220="lab",K220="plab",K220="slab",K220="tut",K220="ptut",K220="stut"),0.5,IF(OR(K220="TL",K220="pTL",K220="STL"),0.75,0))),0),IF(M221="M",IF(OR(K221="lec",K221="plec",K221="slec"),1,IF(OR(K221="lab",K221="plab",K221="slab",K221="tut",K221="ptut",K221="stut"),0.5,IF(OR(K221="TL",K221="pTL",K221="STL"),0.75,0))),0),IF(M222="M",IF(OR(K222="lec",K222="plec",K222="slec"),1,IF(OR(K222="lab",K222="plab",K222="slab",K222="tut",K222="ptut",K222="stut"),0.5,IF(OR(K222="TL",K222="pTL",K222="STL"),0.75,0))),0),IF(M223="M",IF(OR(K223="lec",K223="plec",K223="slec"),1,IF(OR(K223="lab",K223="plab",K223="slab",K223="tut",K223="ptut",K223="stut"),0.5,IF(OR(K223="TL",K223="pTL",K223="STL"),0.75,0))),0),IF(M224="M",IF(OR(K224="lec",K224="plec",K224="slec"),1,IF(OR(K224="lab",K224="plab",K224="slab",K224="tut",K224="ptut",K224="stut"),0.5,IF(OR(K224="TL",K224="pTL",K224="STL"),0.75,0))),0),IF(M225="M",IF(OR(K225="lec",K225="plec",K225="slec"),1,IF(OR(K225="lab",K225="plab",K225="slab",K225="tut",K225="ptut",K225="stut"),0.5,IF(OR(K225="TL",K225="pTL",K225="STL"),0.75,0))),0),IF(M226="M",IF(OR(K226="lec",K226="plec",K226="slec"),1,IF(OR(K226="lab",K226="plab",K226="slab",K226="tut",K226="ptut",K226="stut"),0.5,IF(OR(K226="TL",K226="pTL",K226="STL"),0.75,0))),0),IF(M227="M",IF(OR(K227="lec",K227="plec",K227="slec"),1,IF(OR(K227="lab",K227="plab",K227="slab",K227="tut",K227="ptut",K227="stut"),0.5,IF(OR(K227="TL",K227="pTL",K227="STL"),0.75,0))),0))</f>
        <v>0</v>
      </c>
      <c r="U217" s="137"/>
      <c r="V217" s="133"/>
      <c r="W217" s="138"/>
      <c r="X217" s="139">
        <f>S217-(T217+U217+V217+W217)</f>
        <v>0</v>
      </c>
      <c r="Y217" s="134" t="str">
        <f>CONCATENATE(SUM(O217:O227),"(",SUM(O217:O227)-X217,")")</f>
        <v>0(0)</v>
      </c>
      <c r="Z217" s="140"/>
      <c r="AA217" s="141"/>
      <c r="AB217" s="142"/>
      <c r="AC217" s="142"/>
      <c r="AD217" s="142"/>
      <c r="AE217" s="142"/>
      <c r="AF217" s="142"/>
      <c r="AG217" s="142"/>
      <c r="AH217" s="142"/>
      <c r="AI217" s="143"/>
      <c r="AJ217" s="144"/>
      <c r="AK217" s="145"/>
      <c r="AL217" s="145"/>
      <c r="AM217" s="145"/>
      <c r="AN217" s="145"/>
      <c r="AO217" s="146"/>
      <c r="AP217" s="147">
        <f>SUM(SUM(O217:O227),SUM(AI217:AI227)/2,AM217)</f>
        <v>0</v>
      </c>
      <c r="AQ217" s="148"/>
      <c r="AR217" s="148">
        <f>AP217*AQ217</f>
        <v>0</v>
      </c>
      <c r="AS217" s="148">
        <f>CT217</f>
        <v>0</v>
      </c>
      <c r="AT217" s="149">
        <f>AR217*0.75+AS217*0.25</f>
        <v>0</v>
      </c>
      <c r="AU217" s="150"/>
      <c r="AV217" s="151"/>
      <c r="AW217" s="151"/>
      <c r="AX217" s="152"/>
      <c r="AY217" s="153"/>
      <c r="AZ217" s="140"/>
      <c r="BA217" s="150"/>
      <c r="BB217" s="151"/>
      <c r="BC217" s="151"/>
      <c r="BD217" s="151"/>
      <c r="BE217" s="151"/>
      <c r="BF217" s="151"/>
      <c r="BG217" s="151"/>
      <c r="BH217" s="151"/>
      <c r="BI217" s="152"/>
      <c r="BJ217" s="154"/>
      <c r="BK217" s="151"/>
      <c r="BL217" s="151"/>
      <c r="BM217" s="151"/>
      <c r="BN217" s="151"/>
      <c r="BO217" s="155"/>
      <c r="BP217" s="140"/>
      <c r="BQ217" s="156"/>
      <c r="BR217" s="157"/>
      <c r="BS217" s="158"/>
      <c r="BT217" s="153"/>
      <c r="BU217" s="140"/>
      <c r="BV217" s="140"/>
      <c r="BW217" s="140"/>
      <c r="BX217" s="140"/>
      <c r="BY217" s="140"/>
      <c r="BZ217" s="140"/>
      <c r="CA217" s="140"/>
      <c r="CB217" s="140"/>
      <c r="CC217" s="140"/>
      <c r="CD217" s="150"/>
      <c r="CE217" s="155"/>
      <c r="CF217" s="150"/>
      <c r="CG217" s="152"/>
      <c r="CH217" s="252"/>
      <c r="CI217" s="160"/>
      <c r="CJ217" s="159"/>
      <c r="CK217" s="160"/>
      <c r="CL217" s="159"/>
      <c r="CM217" s="160"/>
      <c r="CN217" s="159"/>
      <c r="CO217" s="160"/>
      <c r="CP217" s="159"/>
      <c r="CQ217" s="162"/>
      <c r="CR217" s="160"/>
      <c r="CS217" s="253">
        <f>SUM(IF(AU217&lt;0,ABS(AU217),0),IF(AZ217&lt;0,ABS(AZ217),0),ABS(CI217),ABS(CK217),ABS(CM217),ABS(CO217),ABS(CQ217),ABS(CR217))</f>
        <v>0</v>
      </c>
      <c r="CT217" s="254">
        <f>SUM(AU217,AV217,AW217,AX217/400,AY217,AZ217,BG217,BH217*0.5,BI217*0.25,BJ217,BK217,BL217,BM217,BN217,BO217,BP217,BR217/20,BS217/100,BT217/60,BU217,BV217,BW217,BX217/4,SUM(BY217:CC227)/3,CE217,CG217/3,CI217,CK217,CM217,CO217,CQ217,CR217)</f>
        <v>0</v>
      </c>
      <c r="CU217" s="255" t="str">
        <f t="shared" si="2"/>
        <v/>
      </c>
    </row>
    <row r="218" ht="60.0" hidden="1" customHeight="1">
      <c r="A218" s="65"/>
      <c r="C218" s="167"/>
      <c r="D218" s="205"/>
      <c r="E218" s="262"/>
      <c r="F218" s="170"/>
      <c r="G218" s="170"/>
      <c r="H218" s="170"/>
      <c r="I218" s="170"/>
      <c r="J218" s="170"/>
      <c r="K218" s="171"/>
      <c r="L218" s="171"/>
      <c r="M218" s="171"/>
      <c r="N218" s="209"/>
      <c r="O218" s="172">
        <f t="shared" si="40"/>
        <v>0</v>
      </c>
      <c r="P218" s="166"/>
      <c r="Q218" s="173"/>
      <c r="R218" s="65"/>
      <c r="S218" s="173"/>
      <c r="T218" s="173"/>
      <c r="U218" s="166"/>
      <c r="V218" s="166"/>
      <c r="W218" s="65"/>
      <c r="X218" s="66"/>
      <c r="Y218" s="173"/>
      <c r="Z218" s="166"/>
      <c r="AA218" s="174"/>
      <c r="AB218" s="175"/>
      <c r="AC218" s="175"/>
      <c r="AD218" s="175"/>
      <c r="AE218" s="175"/>
      <c r="AF218" s="175"/>
      <c r="AG218" s="175"/>
      <c r="AH218" s="175"/>
      <c r="AI218" s="176"/>
      <c r="AJ218" s="177"/>
      <c r="AK218" s="178"/>
      <c r="AL218" s="178"/>
      <c r="AM218" s="178"/>
      <c r="AN218" s="178"/>
      <c r="AO218" s="179"/>
      <c r="AP218" s="64"/>
      <c r="AQ218" s="65"/>
      <c r="AR218" s="65"/>
      <c r="AS218" s="65"/>
      <c r="AT218" s="173"/>
      <c r="AU218" s="177"/>
      <c r="AV218" s="178"/>
      <c r="AW218" s="178"/>
      <c r="AX218" s="179"/>
      <c r="AZ218" s="166"/>
      <c r="BA218" s="177"/>
      <c r="BB218" s="178"/>
      <c r="BC218" s="178"/>
      <c r="BD218" s="178"/>
      <c r="BE218" s="178"/>
      <c r="BF218" s="178"/>
      <c r="BG218" s="178"/>
      <c r="BH218" s="178"/>
      <c r="BI218" s="179"/>
      <c r="BJ218" s="180"/>
      <c r="BK218" s="178"/>
      <c r="BL218" s="178"/>
      <c r="BM218" s="178"/>
      <c r="BN218" s="178"/>
      <c r="BO218" s="181"/>
      <c r="BP218" s="166"/>
      <c r="BQ218" s="177"/>
      <c r="BR218" s="178"/>
      <c r="BS218" s="179"/>
      <c r="BU218" s="166"/>
      <c r="BV218" s="166"/>
      <c r="BW218" s="166"/>
      <c r="BX218" s="166"/>
      <c r="BY218" s="166"/>
      <c r="BZ218" s="166"/>
      <c r="CA218" s="166"/>
      <c r="CB218" s="166"/>
      <c r="CC218" s="166"/>
      <c r="CD218" s="177"/>
      <c r="CE218" s="181"/>
      <c r="CF218" s="177"/>
      <c r="CG218" s="179"/>
      <c r="CH218" s="257"/>
      <c r="CI218" s="182"/>
      <c r="CJ218" s="177"/>
      <c r="CK218" s="182"/>
      <c r="CL218" s="177"/>
      <c r="CM218" s="182"/>
      <c r="CN218" s="177"/>
      <c r="CO218" s="182"/>
      <c r="CP218" s="177"/>
      <c r="CQ218" s="178"/>
      <c r="CR218" s="182"/>
      <c r="CS218" s="173"/>
      <c r="CT218" s="65"/>
      <c r="CU218" s="271" t="str">
        <f t="shared" si="2"/>
        <v/>
      </c>
    </row>
    <row r="219" ht="60.0" hidden="1" customHeight="1">
      <c r="A219" s="65"/>
      <c r="C219" s="167"/>
      <c r="D219" s="205"/>
      <c r="E219" s="262"/>
      <c r="F219" s="170"/>
      <c r="G219" s="170"/>
      <c r="H219" s="170"/>
      <c r="I219" s="170"/>
      <c r="J219" s="170"/>
      <c r="K219" s="171"/>
      <c r="L219" s="171"/>
      <c r="M219" s="171"/>
      <c r="N219" s="209"/>
      <c r="O219" s="172">
        <f t="shared" si="40"/>
        <v>0</v>
      </c>
      <c r="P219" s="166"/>
      <c r="Q219" s="173"/>
      <c r="R219" s="65"/>
      <c r="S219" s="173"/>
      <c r="T219" s="173"/>
      <c r="U219" s="166"/>
      <c r="V219" s="166"/>
      <c r="W219" s="65"/>
      <c r="X219" s="66"/>
      <c r="Y219" s="173"/>
      <c r="Z219" s="166"/>
      <c r="AA219" s="174"/>
      <c r="AB219" s="175"/>
      <c r="AC219" s="175"/>
      <c r="AD219" s="175"/>
      <c r="AE219" s="175"/>
      <c r="AF219" s="175"/>
      <c r="AG219" s="175"/>
      <c r="AH219" s="175"/>
      <c r="AI219" s="176"/>
      <c r="AJ219" s="177"/>
      <c r="AK219" s="178"/>
      <c r="AL219" s="178"/>
      <c r="AM219" s="178"/>
      <c r="AN219" s="178"/>
      <c r="AO219" s="179"/>
      <c r="AP219" s="64"/>
      <c r="AQ219" s="65"/>
      <c r="AR219" s="65"/>
      <c r="AS219" s="65"/>
      <c r="AT219" s="173"/>
      <c r="AU219" s="177"/>
      <c r="AV219" s="178"/>
      <c r="AW219" s="178"/>
      <c r="AX219" s="179"/>
      <c r="AZ219" s="166"/>
      <c r="BA219" s="177"/>
      <c r="BB219" s="178"/>
      <c r="BC219" s="178"/>
      <c r="BD219" s="178"/>
      <c r="BE219" s="178"/>
      <c r="BF219" s="178"/>
      <c r="BG219" s="178"/>
      <c r="BH219" s="178"/>
      <c r="BI219" s="179"/>
      <c r="BJ219" s="180"/>
      <c r="BK219" s="178"/>
      <c r="BL219" s="178"/>
      <c r="BM219" s="178"/>
      <c r="BN219" s="178"/>
      <c r="BO219" s="181"/>
      <c r="BP219" s="166"/>
      <c r="BQ219" s="177"/>
      <c r="BR219" s="178"/>
      <c r="BS219" s="179"/>
      <c r="BU219" s="166"/>
      <c r="BV219" s="166"/>
      <c r="BW219" s="166"/>
      <c r="BX219" s="166"/>
      <c r="BY219" s="166"/>
      <c r="BZ219" s="166"/>
      <c r="CA219" s="166"/>
      <c r="CB219" s="166"/>
      <c r="CC219" s="166"/>
      <c r="CD219" s="177"/>
      <c r="CE219" s="181"/>
      <c r="CF219" s="177"/>
      <c r="CG219" s="179"/>
      <c r="CH219" s="257"/>
      <c r="CI219" s="182"/>
      <c r="CJ219" s="177"/>
      <c r="CK219" s="182"/>
      <c r="CL219" s="177"/>
      <c r="CM219" s="182"/>
      <c r="CN219" s="177"/>
      <c r="CO219" s="182"/>
      <c r="CP219" s="177"/>
      <c r="CQ219" s="178"/>
      <c r="CR219" s="182"/>
      <c r="CS219" s="173"/>
      <c r="CT219" s="65"/>
      <c r="CU219" s="271" t="str">
        <f t="shared" si="2"/>
        <v/>
      </c>
    </row>
    <row r="220" ht="60.0" hidden="1" customHeight="1">
      <c r="A220" s="65"/>
      <c r="C220" s="167"/>
      <c r="D220" s="205"/>
      <c r="E220" s="262"/>
      <c r="F220" s="170"/>
      <c r="G220" s="170"/>
      <c r="H220" s="170"/>
      <c r="I220" s="170"/>
      <c r="J220" s="170"/>
      <c r="K220" s="171"/>
      <c r="L220" s="171"/>
      <c r="M220" s="171"/>
      <c r="N220" s="209"/>
      <c r="O220" s="172">
        <f t="shared" si="40"/>
        <v>0</v>
      </c>
      <c r="P220" s="166"/>
      <c r="Q220" s="173"/>
      <c r="R220" s="65"/>
      <c r="S220" s="173"/>
      <c r="T220" s="173"/>
      <c r="U220" s="166"/>
      <c r="V220" s="166"/>
      <c r="W220" s="65"/>
      <c r="X220" s="66"/>
      <c r="Y220" s="173"/>
      <c r="Z220" s="166"/>
      <c r="AA220" s="174"/>
      <c r="AB220" s="175"/>
      <c r="AC220" s="175"/>
      <c r="AD220" s="175"/>
      <c r="AE220" s="175"/>
      <c r="AF220" s="175"/>
      <c r="AG220" s="175"/>
      <c r="AH220" s="175"/>
      <c r="AI220" s="176"/>
      <c r="AJ220" s="177"/>
      <c r="AK220" s="178"/>
      <c r="AL220" s="178"/>
      <c r="AM220" s="178"/>
      <c r="AN220" s="178"/>
      <c r="AO220" s="179"/>
      <c r="AP220" s="64"/>
      <c r="AQ220" s="65"/>
      <c r="AR220" s="65"/>
      <c r="AS220" s="65"/>
      <c r="AT220" s="173"/>
      <c r="AU220" s="177"/>
      <c r="AV220" s="178"/>
      <c r="AW220" s="178"/>
      <c r="AX220" s="179"/>
      <c r="AZ220" s="166"/>
      <c r="BA220" s="177"/>
      <c r="BB220" s="178"/>
      <c r="BC220" s="178"/>
      <c r="BD220" s="178"/>
      <c r="BE220" s="178"/>
      <c r="BF220" s="178"/>
      <c r="BG220" s="178"/>
      <c r="BH220" s="178"/>
      <c r="BI220" s="179"/>
      <c r="BJ220" s="180"/>
      <c r="BK220" s="178"/>
      <c r="BL220" s="178"/>
      <c r="BM220" s="178"/>
      <c r="BN220" s="178"/>
      <c r="BO220" s="181"/>
      <c r="BP220" s="166"/>
      <c r="BQ220" s="177"/>
      <c r="BR220" s="178"/>
      <c r="BS220" s="179"/>
      <c r="BU220" s="166"/>
      <c r="BV220" s="166"/>
      <c r="BW220" s="166"/>
      <c r="BX220" s="166"/>
      <c r="BY220" s="166"/>
      <c r="BZ220" s="166"/>
      <c r="CA220" s="166"/>
      <c r="CB220" s="166"/>
      <c r="CC220" s="166"/>
      <c r="CD220" s="177"/>
      <c r="CE220" s="181"/>
      <c r="CF220" s="177"/>
      <c r="CG220" s="179"/>
      <c r="CH220" s="257"/>
      <c r="CI220" s="182"/>
      <c r="CJ220" s="177"/>
      <c r="CK220" s="182"/>
      <c r="CL220" s="177"/>
      <c r="CM220" s="182"/>
      <c r="CN220" s="177"/>
      <c r="CO220" s="182"/>
      <c r="CP220" s="177"/>
      <c r="CQ220" s="178"/>
      <c r="CR220" s="182"/>
      <c r="CS220" s="173"/>
      <c r="CT220" s="65"/>
      <c r="CU220" s="271" t="str">
        <f t="shared" si="2"/>
        <v/>
      </c>
    </row>
    <row r="221" ht="60.0" hidden="1" customHeight="1">
      <c r="A221" s="65"/>
      <c r="C221" s="167"/>
      <c r="D221" s="205"/>
      <c r="E221" s="262"/>
      <c r="F221" s="170"/>
      <c r="G221" s="170"/>
      <c r="H221" s="170"/>
      <c r="I221" s="170"/>
      <c r="J221" s="170"/>
      <c r="K221" s="171"/>
      <c r="L221" s="171"/>
      <c r="M221" s="171"/>
      <c r="N221" s="209"/>
      <c r="O221" s="172">
        <f t="shared" si="40"/>
        <v>0</v>
      </c>
      <c r="P221" s="166"/>
      <c r="Q221" s="173"/>
      <c r="R221" s="65"/>
      <c r="S221" s="173"/>
      <c r="T221" s="173"/>
      <c r="U221" s="166"/>
      <c r="V221" s="166"/>
      <c r="W221" s="65"/>
      <c r="X221" s="66"/>
      <c r="Y221" s="173"/>
      <c r="Z221" s="166"/>
      <c r="AA221" s="174"/>
      <c r="AB221" s="175"/>
      <c r="AC221" s="175"/>
      <c r="AD221" s="175"/>
      <c r="AE221" s="175"/>
      <c r="AF221" s="175"/>
      <c r="AG221" s="175"/>
      <c r="AH221" s="175"/>
      <c r="AI221" s="176"/>
      <c r="AJ221" s="177"/>
      <c r="AK221" s="178"/>
      <c r="AL221" s="178"/>
      <c r="AM221" s="178"/>
      <c r="AN221" s="178"/>
      <c r="AO221" s="179"/>
      <c r="AP221" s="64"/>
      <c r="AQ221" s="65"/>
      <c r="AR221" s="65"/>
      <c r="AS221" s="65"/>
      <c r="AT221" s="173"/>
      <c r="AU221" s="177"/>
      <c r="AV221" s="178"/>
      <c r="AW221" s="178"/>
      <c r="AX221" s="179"/>
      <c r="AZ221" s="166"/>
      <c r="BA221" s="177"/>
      <c r="BB221" s="178"/>
      <c r="BC221" s="178"/>
      <c r="BD221" s="178"/>
      <c r="BE221" s="178"/>
      <c r="BF221" s="178"/>
      <c r="BG221" s="178"/>
      <c r="BH221" s="178"/>
      <c r="BI221" s="179"/>
      <c r="BJ221" s="180"/>
      <c r="BK221" s="178"/>
      <c r="BL221" s="178"/>
      <c r="BM221" s="178"/>
      <c r="BN221" s="178"/>
      <c r="BO221" s="181"/>
      <c r="BP221" s="166"/>
      <c r="BQ221" s="177"/>
      <c r="BR221" s="178"/>
      <c r="BS221" s="179"/>
      <c r="BU221" s="166"/>
      <c r="BV221" s="166"/>
      <c r="BW221" s="166"/>
      <c r="BX221" s="166"/>
      <c r="BY221" s="166"/>
      <c r="BZ221" s="166"/>
      <c r="CA221" s="166"/>
      <c r="CB221" s="166"/>
      <c r="CC221" s="166"/>
      <c r="CD221" s="177"/>
      <c r="CE221" s="181"/>
      <c r="CF221" s="177"/>
      <c r="CG221" s="179"/>
      <c r="CH221" s="257"/>
      <c r="CI221" s="182"/>
      <c r="CJ221" s="177"/>
      <c r="CK221" s="182"/>
      <c r="CL221" s="177"/>
      <c r="CM221" s="182"/>
      <c r="CN221" s="177"/>
      <c r="CO221" s="182"/>
      <c r="CP221" s="177"/>
      <c r="CQ221" s="178"/>
      <c r="CR221" s="182"/>
      <c r="CS221" s="173"/>
      <c r="CT221" s="65"/>
      <c r="CU221" s="271" t="str">
        <f t="shared" si="2"/>
        <v/>
      </c>
    </row>
    <row r="222" ht="60.0" hidden="1" customHeight="1">
      <c r="A222" s="65"/>
      <c r="C222" s="167"/>
      <c r="D222" s="205"/>
      <c r="E222" s="262"/>
      <c r="F222" s="170"/>
      <c r="G222" s="170"/>
      <c r="H222" s="170"/>
      <c r="I222" s="170"/>
      <c r="J222" s="170"/>
      <c r="K222" s="171"/>
      <c r="L222" s="171"/>
      <c r="M222" s="171"/>
      <c r="N222" s="209"/>
      <c r="O222" s="172">
        <f t="shared" si="40"/>
        <v>0</v>
      </c>
      <c r="P222" s="166"/>
      <c r="Q222" s="173"/>
      <c r="R222" s="65"/>
      <c r="S222" s="173"/>
      <c r="T222" s="173"/>
      <c r="U222" s="166"/>
      <c r="V222" s="166"/>
      <c r="W222" s="65"/>
      <c r="X222" s="66"/>
      <c r="Y222" s="173"/>
      <c r="Z222" s="166"/>
      <c r="AA222" s="174"/>
      <c r="AB222" s="175"/>
      <c r="AC222" s="175"/>
      <c r="AD222" s="175"/>
      <c r="AE222" s="175"/>
      <c r="AF222" s="175"/>
      <c r="AG222" s="175"/>
      <c r="AH222" s="175"/>
      <c r="AI222" s="176"/>
      <c r="AJ222" s="177"/>
      <c r="AK222" s="178"/>
      <c r="AL222" s="178"/>
      <c r="AM222" s="178"/>
      <c r="AN222" s="178"/>
      <c r="AO222" s="179"/>
      <c r="AP222" s="64"/>
      <c r="AQ222" s="65"/>
      <c r="AR222" s="65"/>
      <c r="AS222" s="65"/>
      <c r="AT222" s="173"/>
      <c r="AU222" s="177"/>
      <c r="AV222" s="178"/>
      <c r="AW222" s="178"/>
      <c r="AX222" s="179"/>
      <c r="AZ222" s="166"/>
      <c r="BA222" s="177"/>
      <c r="BB222" s="178"/>
      <c r="BC222" s="178"/>
      <c r="BD222" s="178"/>
      <c r="BE222" s="178"/>
      <c r="BF222" s="178"/>
      <c r="BG222" s="178"/>
      <c r="BH222" s="178"/>
      <c r="BI222" s="179"/>
      <c r="BJ222" s="180"/>
      <c r="BK222" s="178"/>
      <c r="BL222" s="178"/>
      <c r="BM222" s="178"/>
      <c r="BN222" s="178"/>
      <c r="BO222" s="181"/>
      <c r="BP222" s="166"/>
      <c r="BQ222" s="177"/>
      <c r="BR222" s="178"/>
      <c r="BS222" s="179"/>
      <c r="BU222" s="166"/>
      <c r="BV222" s="166"/>
      <c r="BW222" s="166"/>
      <c r="BX222" s="166"/>
      <c r="BY222" s="166"/>
      <c r="BZ222" s="166"/>
      <c r="CA222" s="166"/>
      <c r="CB222" s="166"/>
      <c r="CC222" s="166"/>
      <c r="CD222" s="177"/>
      <c r="CE222" s="181"/>
      <c r="CF222" s="177"/>
      <c r="CG222" s="179"/>
      <c r="CH222" s="257"/>
      <c r="CI222" s="182"/>
      <c r="CJ222" s="177"/>
      <c r="CK222" s="182"/>
      <c r="CL222" s="177"/>
      <c r="CM222" s="182"/>
      <c r="CN222" s="177"/>
      <c r="CO222" s="182"/>
      <c r="CP222" s="177"/>
      <c r="CQ222" s="178"/>
      <c r="CR222" s="182"/>
      <c r="CS222" s="173"/>
      <c r="CT222" s="65"/>
      <c r="CU222" s="271" t="str">
        <f t="shared" si="2"/>
        <v/>
      </c>
    </row>
    <row r="223" ht="60.0" hidden="1" customHeight="1">
      <c r="A223" s="65"/>
      <c r="C223" s="167"/>
      <c r="D223" s="205"/>
      <c r="E223" s="262"/>
      <c r="F223" s="170"/>
      <c r="G223" s="170"/>
      <c r="H223" s="170"/>
      <c r="I223" s="170"/>
      <c r="J223" s="170"/>
      <c r="K223" s="171"/>
      <c r="L223" s="171"/>
      <c r="M223" s="171"/>
      <c r="N223" s="209"/>
      <c r="O223" s="172">
        <f t="shared" ref="O223:O226" si="41">IF(AND(M223&gt;=20,M223&lt;&gt;"m",RIGHT(K223,3)="Lec"),1,IF(AND(M223&gt;=20,M223&lt;&gt;"m",OR(RIGHT(K223,3)="Lab",RIGHT(K223,3)="Tut")),0.5,IF(AND(M223&gt;=20,M223&lt;&gt;"m",RIGHT(K223,2)="TL"),0.75,0)))</f>
        <v>0</v>
      </c>
      <c r="P223" s="166"/>
      <c r="Q223" s="173"/>
      <c r="R223" s="65"/>
      <c r="S223" s="173"/>
      <c r="T223" s="173"/>
      <c r="U223" s="166"/>
      <c r="V223" s="166"/>
      <c r="W223" s="65"/>
      <c r="X223" s="66"/>
      <c r="Y223" s="173"/>
      <c r="Z223" s="166"/>
      <c r="AA223" s="174"/>
      <c r="AB223" s="175"/>
      <c r="AC223" s="175"/>
      <c r="AD223" s="175"/>
      <c r="AE223" s="175"/>
      <c r="AF223" s="175"/>
      <c r="AG223" s="175"/>
      <c r="AH223" s="175"/>
      <c r="AI223" s="176"/>
      <c r="AJ223" s="177"/>
      <c r="AK223" s="178"/>
      <c r="AL223" s="178"/>
      <c r="AM223" s="178"/>
      <c r="AN223" s="178"/>
      <c r="AO223" s="179"/>
      <c r="AP223" s="64"/>
      <c r="AQ223" s="65"/>
      <c r="AR223" s="65"/>
      <c r="AS223" s="65"/>
      <c r="AT223" s="173"/>
      <c r="AU223" s="177"/>
      <c r="AV223" s="178"/>
      <c r="AW223" s="178"/>
      <c r="AX223" s="179"/>
      <c r="AZ223" s="166"/>
      <c r="BA223" s="177"/>
      <c r="BB223" s="178"/>
      <c r="BC223" s="178"/>
      <c r="BD223" s="178"/>
      <c r="BE223" s="178"/>
      <c r="BF223" s="178"/>
      <c r="BG223" s="178"/>
      <c r="BH223" s="178"/>
      <c r="BI223" s="179"/>
      <c r="BJ223" s="180"/>
      <c r="BK223" s="178"/>
      <c r="BL223" s="178"/>
      <c r="BM223" s="178"/>
      <c r="BN223" s="178"/>
      <c r="BO223" s="181"/>
      <c r="BP223" s="166"/>
      <c r="BQ223" s="177"/>
      <c r="BR223" s="178"/>
      <c r="BS223" s="179"/>
      <c r="BU223" s="166"/>
      <c r="BV223" s="166"/>
      <c r="BW223" s="166"/>
      <c r="BX223" s="166"/>
      <c r="BY223" s="166"/>
      <c r="BZ223" s="166"/>
      <c r="CA223" s="166"/>
      <c r="CB223" s="166"/>
      <c r="CC223" s="166"/>
      <c r="CD223" s="177"/>
      <c r="CE223" s="181"/>
      <c r="CF223" s="177"/>
      <c r="CG223" s="179"/>
      <c r="CH223" s="257"/>
      <c r="CI223" s="182"/>
      <c r="CJ223" s="177"/>
      <c r="CK223" s="182"/>
      <c r="CL223" s="177"/>
      <c r="CM223" s="182"/>
      <c r="CN223" s="177"/>
      <c r="CO223" s="182"/>
      <c r="CP223" s="177"/>
      <c r="CQ223" s="178"/>
      <c r="CR223" s="182"/>
      <c r="CS223" s="173"/>
      <c r="CT223" s="65"/>
      <c r="CU223" s="271" t="str">
        <f t="shared" si="2"/>
        <v/>
      </c>
    </row>
    <row r="224" ht="60.0" hidden="1" customHeight="1">
      <c r="A224" s="65"/>
      <c r="C224" s="167"/>
      <c r="D224" s="205"/>
      <c r="E224" s="262"/>
      <c r="F224" s="170"/>
      <c r="G224" s="170"/>
      <c r="H224" s="170"/>
      <c r="I224" s="170"/>
      <c r="J224" s="170"/>
      <c r="K224" s="171"/>
      <c r="L224" s="171"/>
      <c r="M224" s="171"/>
      <c r="N224" s="209"/>
      <c r="O224" s="172">
        <f t="shared" si="41"/>
        <v>0</v>
      </c>
      <c r="P224" s="166"/>
      <c r="Q224" s="173"/>
      <c r="R224" s="65"/>
      <c r="S224" s="173"/>
      <c r="T224" s="173"/>
      <c r="U224" s="166"/>
      <c r="V224" s="166"/>
      <c r="W224" s="65"/>
      <c r="X224" s="66"/>
      <c r="Y224" s="173"/>
      <c r="Z224" s="166"/>
      <c r="AA224" s="174"/>
      <c r="AB224" s="175"/>
      <c r="AC224" s="175"/>
      <c r="AD224" s="175"/>
      <c r="AE224" s="175"/>
      <c r="AF224" s="175"/>
      <c r="AG224" s="175"/>
      <c r="AH224" s="175"/>
      <c r="AI224" s="176"/>
      <c r="AJ224" s="177"/>
      <c r="AK224" s="178"/>
      <c r="AL224" s="178"/>
      <c r="AM224" s="178"/>
      <c r="AN224" s="178"/>
      <c r="AO224" s="179"/>
      <c r="AP224" s="64"/>
      <c r="AQ224" s="65"/>
      <c r="AR224" s="65"/>
      <c r="AS224" s="65"/>
      <c r="AT224" s="173"/>
      <c r="AU224" s="177"/>
      <c r="AV224" s="178"/>
      <c r="AW224" s="178"/>
      <c r="AX224" s="179"/>
      <c r="AZ224" s="166"/>
      <c r="BA224" s="177"/>
      <c r="BB224" s="178"/>
      <c r="BC224" s="178"/>
      <c r="BD224" s="178"/>
      <c r="BE224" s="178"/>
      <c r="BF224" s="178"/>
      <c r="BG224" s="178"/>
      <c r="BH224" s="178"/>
      <c r="BI224" s="179"/>
      <c r="BJ224" s="180"/>
      <c r="BK224" s="178"/>
      <c r="BL224" s="178"/>
      <c r="BM224" s="178"/>
      <c r="BN224" s="178"/>
      <c r="BO224" s="181"/>
      <c r="BP224" s="166"/>
      <c r="BQ224" s="177"/>
      <c r="BR224" s="178"/>
      <c r="BS224" s="179"/>
      <c r="BU224" s="166"/>
      <c r="BV224" s="166"/>
      <c r="BW224" s="166"/>
      <c r="BX224" s="166"/>
      <c r="BY224" s="166"/>
      <c r="BZ224" s="166"/>
      <c r="CA224" s="166"/>
      <c r="CB224" s="166"/>
      <c r="CC224" s="166"/>
      <c r="CD224" s="177"/>
      <c r="CE224" s="181"/>
      <c r="CF224" s="177"/>
      <c r="CG224" s="179"/>
      <c r="CH224" s="257"/>
      <c r="CI224" s="182"/>
      <c r="CJ224" s="177"/>
      <c r="CK224" s="182"/>
      <c r="CL224" s="177"/>
      <c r="CM224" s="182"/>
      <c r="CN224" s="177"/>
      <c r="CO224" s="182"/>
      <c r="CP224" s="177"/>
      <c r="CQ224" s="178"/>
      <c r="CR224" s="182"/>
      <c r="CS224" s="173"/>
      <c r="CT224" s="65"/>
      <c r="CU224" s="271" t="str">
        <f t="shared" si="2"/>
        <v/>
      </c>
    </row>
    <row r="225" ht="60.0" hidden="1" customHeight="1">
      <c r="A225" s="65"/>
      <c r="C225" s="167"/>
      <c r="D225" s="205"/>
      <c r="E225" s="262"/>
      <c r="F225" s="170"/>
      <c r="G225" s="170"/>
      <c r="H225" s="170"/>
      <c r="I225" s="170"/>
      <c r="J225" s="170"/>
      <c r="K225" s="171"/>
      <c r="L225" s="171"/>
      <c r="M225" s="171"/>
      <c r="N225" s="209"/>
      <c r="O225" s="172">
        <f t="shared" si="41"/>
        <v>0</v>
      </c>
      <c r="P225" s="166"/>
      <c r="Q225" s="173"/>
      <c r="R225" s="65"/>
      <c r="S225" s="173"/>
      <c r="T225" s="173"/>
      <c r="U225" s="166"/>
      <c r="V225" s="166"/>
      <c r="W225" s="65"/>
      <c r="X225" s="66"/>
      <c r="Y225" s="173"/>
      <c r="Z225" s="166"/>
      <c r="AA225" s="174"/>
      <c r="AB225" s="175"/>
      <c r="AC225" s="175"/>
      <c r="AD225" s="175"/>
      <c r="AE225" s="175"/>
      <c r="AF225" s="175"/>
      <c r="AG225" s="175"/>
      <c r="AH225" s="175"/>
      <c r="AI225" s="176"/>
      <c r="AJ225" s="177"/>
      <c r="AK225" s="178"/>
      <c r="AL225" s="178"/>
      <c r="AM225" s="178"/>
      <c r="AN225" s="178"/>
      <c r="AO225" s="179"/>
      <c r="AP225" s="64"/>
      <c r="AQ225" s="65"/>
      <c r="AR225" s="65"/>
      <c r="AS225" s="65"/>
      <c r="AT225" s="173"/>
      <c r="AU225" s="177"/>
      <c r="AV225" s="178"/>
      <c r="AW225" s="178"/>
      <c r="AX225" s="179"/>
      <c r="AZ225" s="166"/>
      <c r="BA225" s="177"/>
      <c r="BB225" s="178"/>
      <c r="BC225" s="178"/>
      <c r="BD225" s="178"/>
      <c r="BE225" s="178"/>
      <c r="BF225" s="178"/>
      <c r="BG225" s="178"/>
      <c r="BH225" s="178"/>
      <c r="BI225" s="179"/>
      <c r="BJ225" s="180"/>
      <c r="BK225" s="178"/>
      <c r="BL225" s="178"/>
      <c r="BM225" s="178"/>
      <c r="BN225" s="178"/>
      <c r="BO225" s="181"/>
      <c r="BP225" s="166"/>
      <c r="BQ225" s="177"/>
      <c r="BR225" s="178"/>
      <c r="BS225" s="179"/>
      <c r="BU225" s="166"/>
      <c r="BV225" s="166"/>
      <c r="BW225" s="166"/>
      <c r="BX225" s="166"/>
      <c r="BY225" s="166"/>
      <c r="BZ225" s="166"/>
      <c r="CA225" s="166"/>
      <c r="CB225" s="166"/>
      <c r="CC225" s="166"/>
      <c r="CD225" s="177"/>
      <c r="CE225" s="181"/>
      <c r="CF225" s="177"/>
      <c r="CG225" s="179"/>
      <c r="CH225" s="257"/>
      <c r="CI225" s="182"/>
      <c r="CJ225" s="177"/>
      <c r="CK225" s="182"/>
      <c r="CL225" s="177"/>
      <c r="CM225" s="182"/>
      <c r="CN225" s="177"/>
      <c r="CO225" s="182"/>
      <c r="CP225" s="177"/>
      <c r="CQ225" s="178"/>
      <c r="CR225" s="182"/>
      <c r="CS225" s="173"/>
      <c r="CT225" s="65"/>
      <c r="CU225" s="271" t="str">
        <f t="shared" si="2"/>
        <v/>
      </c>
    </row>
    <row r="226" ht="60.0" hidden="1" customHeight="1">
      <c r="A226" s="65"/>
      <c r="C226" s="167"/>
      <c r="D226" s="205"/>
      <c r="E226" s="262"/>
      <c r="F226" s="170"/>
      <c r="G226" s="170"/>
      <c r="H226" s="170"/>
      <c r="I226" s="170"/>
      <c r="J226" s="170"/>
      <c r="K226" s="171"/>
      <c r="L226" s="171"/>
      <c r="M226" s="171"/>
      <c r="N226" s="209"/>
      <c r="O226" s="172">
        <f t="shared" si="41"/>
        <v>0</v>
      </c>
      <c r="P226" s="166"/>
      <c r="Q226" s="173"/>
      <c r="R226" s="65"/>
      <c r="S226" s="173"/>
      <c r="T226" s="173"/>
      <c r="U226" s="166"/>
      <c r="V226" s="166"/>
      <c r="W226" s="65"/>
      <c r="X226" s="66"/>
      <c r="Y226" s="173"/>
      <c r="Z226" s="166"/>
      <c r="AA226" s="174"/>
      <c r="AB226" s="175"/>
      <c r="AC226" s="175"/>
      <c r="AD226" s="175"/>
      <c r="AE226" s="175"/>
      <c r="AF226" s="175"/>
      <c r="AG226" s="175"/>
      <c r="AH226" s="175"/>
      <c r="AI226" s="176"/>
      <c r="AJ226" s="177"/>
      <c r="AK226" s="178"/>
      <c r="AL226" s="178"/>
      <c r="AM226" s="178"/>
      <c r="AN226" s="178"/>
      <c r="AO226" s="179"/>
      <c r="AP226" s="64"/>
      <c r="AQ226" s="65"/>
      <c r="AR226" s="65"/>
      <c r="AS226" s="65"/>
      <c r="AT226" s="173"/>
      <c r="AU226" s="177"/>
      <c r="AV226" s="178"/>
      <c r="AW226" s="178"/>
      <c r="AX226" s="179"/>
      <c r="AZ226" s="166"/>
      <c r="BA226" s="177"/>
      <c r="BB226" s="178"/>
      <c r="BC226" s="178"/>
      <c r="BD226" s="178"/>
      <c r="BE226" s="178"/>
      <c r="BF226" s="178"/>
      <c r="BG226" s="178"/>
      <c r="BH226" s="178"/>
      <c r="BI226" s="179"/>
      <c r="BJ226" s="180"/>
      <c r="BK226" s="178"/>
      <c r="BL226" s="178"/>
      <c r="BM226" s="178"/>
      <c r="BN226" s="178"/>
      <c r="BO226" s="181"/>
      <c r="BP226" s="166"/>
      <c r="BQ226" s="177"/>
      <c r="BR226" s="178"/>
      <c r="BS226" s="179"/>
      <c r="BU226" s="166"/>
      <c r="BV226" s="166"/>
      <c r="BW226" s="166"/>
      <c r="BX226" s="166"/>
      <c r="BY226" s="166"/>
      <c r="BZ226" s="166"/>
      <c r="CA226" s="166"/>
      <c r="CB226" s="166"/>
      <c r="CC226" s="166"/>
      <c r="CD226" s="177"/>
      <c r="CE226" s="181"/>
      <c r="CF226" s="177"/>
      <c r="CG226" s="179"/>
      <c r="CH226" s="257"/>
      <c r="CI226" s="182"/>
      <c r="CJ226" s="177"/>
      <c r="CK226" s="182"/>
      <c r="CL226" s="177"/>
      <c r="CM226" s="182"/>
      <c r="CN226" s="177"/>
      <c r="CO226" s="182"/>
      <c r="CP226" s="177"/>
      <c r="CQ226" s="178"/>
      <c r="CR226" s="182"/>
      <c r="CS226" s="173"/>
      <c r="CT226" s="65"/>
      <c r="CU226" s="271" t="str">
        <f t="shared" si="2"/>
        <v/>
      </c>
    </row>
    <row r="227" ht="60.0" hidden="1" customHeight="1">
      <c r="A227" s="89"/>
      <c r="B227" s="6"/>
      <c r="C227" s="183"/>
      <c r="D227" s="210"/>
      <c r="E227" s="263"/>
      <c r="F227" s="186"/>
      <c r="G227" s="186"/>
      <c r="H227" s="186"/>
      <c r="I227" s="186"/>
      <c r="J227" s="186"/>
      <c r="K227" s="187"/>
      <c r="L227" s="187"/>
      <c r="M227" s="187"/>
      <c r="N227" s="214"/>
      <c r="O227" s="188">
        <f t="shared" ref="O227:O233" si="42">IF(AND(M227&lt;&gt;0,M227&lt;&gt;"m",M227&lt;&gt;"",RIGHT(K227,3)="Lec"),1,IF(AND(M227&lt;&gt;0,M227&lt;&gt;"m",M227&lt;&gt;"",OR(RIGHT(K227,3)="Lab",RIGHT(K227,3)="Tut")),0.5,IF(AND(M227&lt;&gt;0,M227&lt;&gt;"m",M227&lt;&gt;"",RIGHT(K227,2)="TL"),0.75,0)))</f>
        <v>0</v>
      </c>
      <c r="P227" s="63"/>
      <c r="Q227" s="69"/>
      <c r="R227" s="89"/>
      <c r="S227" s="69"/>
      <c r="T227" s="69"/>
      <c r="U227" s="63"/>
      <c r="V227" s="63"/>
      <c r="W227" s="89"/>
      <c r="X227" s="68"/>
      <c r="Y227" s="69"/>
      <c r="Z227" s="63"/>
      <c r="AA227" s="189"/>
      <c r="AB227" s="190"/>
      <c r="AC227" s="190"/>
      <c r="AD227" s="190"/>
      <c r="AE227" s="190"/>
      <c r="AF227" s="190"/>
      <c r="AG227" s="190"/>
      <c r="AH227" s="190"/>
      <c r="AI227" s="191"/>
      <c r="AJ227" s="192"/>
      <c r="AK227" s="193"/>
      <c r="AL227" s="193"/>
      <c r="AM227" s="193"/>
      <c r="AN227" s="193"/>
      <c r="AO227" s="194"/>
      <c r="AP227" s="103"/>
      <c r="AQ227" s="89"/>
      <c r="AR227" s="89"/>
      <c r="AS227" s="89"/>
      <c r="AT227" s="69"/>
      <c r="AU227" s="192"/>
      <c r="AV227" s="193"/>
      <c r="AW227" s="193"/>
      <c r="AX227" s="194"/>
      <c r="AY227" s="6"/>
      <c r="AZ227" s="63"/>
      <c r="BA227" s="192"/>
      <c r="BB227" s="193"/>
      <c r="BC227" s="193"/>
      <c r="BD227" s="193"/>
      <c r="BE227" s="193"/>
      <c r="BF227" s="193"/>
      <c r="BG227" s="193"/>
      <c r="BH227" s="193"/>
      <c r="BI227" s="194"/>
      <c r="BJ227" s="195"/>
      <c r="BK227" s="193"/>
      <c r="BL227" s="193"/>
      <c r="BM227" s="193"/>
      <c r="BN227" s="193"/>
      <c r="BO227" s="196"/>
      <c r="BP227" s="63"/>
      <c r="BQ227" s="192"/>
      <c r="BR227" s="193"/>
      <c r="BS227" s="194"/>
      <c r="BT227" s="6"/>
      <c r="BU227" s="63"/>
      <c r="BV227" s="63"/>
      <c r="BW227" s="63"/>
      <c r="BX227" s="63"/>
      <c r="BY227" s="63"/>
      <c r="BZ227" s="63"/>
      <c r="CA227" s="63"/>
      <c r="CB227" s="63"/>
      <c r="CC227" s="63"/>
      <c r="CD227" s="192"/>
      <c r="CE227" s="196"/>
      <c r="CF227" s="192"/>
      <c r="CG227" s="194"/>
      <c r="CH227" s="259"/>
      <c r="CI227" s="197"/>
      <c r="CJ227" s="192"/>
      <c r="CK227" s="197"/>
      <c r="CL227" s="192"/>
      <c r="CM227" s="197"/>
      <c r="CN227" s="192"/>
      <c r="CO227" s="197"/>
      <c r="CP227" s="192"/>
      <c r="CQ227" s="193"/>
      <c r="CR227" s="197"/>
      <c r="CS227" s="69"/>
      <c r="CT227" s="89"/>
      <c r="CU227" s="272" t="str">
        <f t="shared" si="2"/>
        <v/>
      </c>
    </row>
    <row r="228" ht="56.25" hidden="1" customHeight="1">
      <c r="A228" s="125">
        <v>21.0</v>
      </c>
      <c r="B228" s="199"/>
      <c r="C228" s="127"/>
      <c r="D228" s="128"/>
      <c r="E228" s="260"/>
      <c r="F228" s="261"/>
      <c r="G228" s="261"/>
      <c r="H228" s="261"/>
      <c r="I228" s="261"/>
      <c r="J228" s="170"/>
      <c r="K228" s="219"/>
      <c r="L228" s="219"/>
      <c r="M228" s="219"/>
      <c r="N228" s="220"/>
      <c r="O228" s="132">
        <f t="shared" si="42"/>
        <v>0</v>
      </c>
      <c r="P228" s="133">
        <f>COUNTIF(K228:K238,"TL")*0.75+COUNTIF(K228:K238,"Lec")*1+COUNTIF(K228:K238,"Lab")*0.5</f>
        <v>0</v>
      </c>
      <c r="Q228" s="134">
        <f>SUM((IF(LEFT(K228,1)="E",O228,0)),(IF(LEFT(K229,1)="E",O229,0)),(IF(LEFT(K230,1)="E",O230,0)),(IF(LEFT(K231,1)="E",O231,0)),(IF(LEFT(K232,1)="E",O232,0)),(IF(LEFT(K233,1)="E",O233,0)),(IF(LEFT(K234,1)="E",O234,0)),(IF(LEFT(K235,1)="E",O235,0)),(IF(LEFT(K236,1)="E",O236,0)),(IF(LEFT(K237,1)="E",O237,0)),(IF(LEFT(K238,1)="E",O238,0)))</f>
        <v>0</v>
      </c>
      <c r="R228" s="135">
        <f>SUM(IF(M234&lt;20,IF(K234="Plec",-1,IF(K234="PTL",-0.75,IF(K234="Plab",-0.5,0))),0),IF(M235&lt;20,IF(K235="Plec",-1,IF(K235="PTL",-0.75,IF(K235="Plab",-0.5,0))),0),IF(M236&lt;20,IF(K236="Plec",-1,IF(K236="PTL",-0.75,IF(K236="Plab",-0.5,0))),0),IF(M237&lt;20,IF(K237="Plec",-1,IF(K237="PTL",-0.75,IF(K237="Plab",-0.5,0))),0))</f>
        <v>0</v>
      </c>
      <c r="S228" s="134">
        <f>SUM(P228:R238)</f>
        <v>0</v>
      </c>
      <c r="T228" s="136">
        <f>SUM(IF(M228="M",IF(OR(K228="lec",K228="plec",K228="slec"),1,IF(OR(K228="lab",K228="plab",K228="slab",K228="tut",K228="ptut",K228="stut"),0.5,IF(OR(K228="TL",K228="pTL",K228="STL"),0.75,0))),0),IF(M229="M",IF(OR(K229="lec",K229="plec",K229="slec"),1,IF(OR(K229="lab",K229="plab",K229="slab",K229="tut",K229="ptut",K229="stut"),0.5,IF(OR(K229="TL",K229="pTL",K229="STL"),0.75,0))),0),IF(M230="M",IF(OR(K230="lec",K230="plec",K230="slec"),1,IF(OR(K230="lab",K230="plab",K230="slab",K230="tut",K230="ptut",K230="stut"),0.5,IF(OR(K230="TL",K230="pTL",K230="STL"),0.75,0))),0),IF(M231="M",IF(OR(K231="lec",K231="plec",K231="slec"),1,IF(OR(K231="lab",K231="plab",K231="slab",K231="tut",K231="ptut",K231="stut"),0.5,IF(OR(K231="TL",K231="pTL",K231="STL"),0.75,0))),0),IF(M232="M",IF(OR(K232="lec",K232="plec",K232="slec"),1,IF(OR(K232="lab",K232="plab",K232="slab",K232="tut",K232="ptut",K232="stut"),0.5,IF(OR(K232="TL",K232="pTL",K232="STL"),0.75,0))),0),IF(M233="M",IF(OR(K233="lec",K233="plec",K233="slec"),1,IF(OR(K233="lab",K233="plab",K233="slab",K233="tut",K233="ptut",K233="stut"),0.5,IF(OR(K233="TL",K233="pTL",K233="STL"),0.75,0))),0),IF(M234="M",IF(OR(K234="lec",K234="plec",K234="slec"),1,IF(OR(K234="lab",K234="plab",K234="slab",K234="tut",K234="ptut",K234="stut"),0.5,IF(OR(K234="TL",K234="pTL",K234="STL"),0.75,0))),0),IF(M235="M",IF(OR(K235="lec",K235="plec",K235="slec"),1,IF(OR(K235="lab",K235="plab",K235="slab",K235="tut",K235="ptut",K235="stut"),0.5,IF(OR(K235="TL",K235="pTL",K235="STL"),0.75,0))),0),IF(M236="M",IF(OR(K236="lec",K236="plec",K236="slec"),1,IF(OR(K236="lab",K236="plab",K236="slab",K236="tut",K236="ptut",K236="stut"),0.5,IF(OR(K236="TL",K236="pTL",K236="STL"),0.75,0))),0),IF(M237="M",IF(OR(K237="lec",K237="plec",K237="slec"),1,IF(OR(K237="lab",K237="plab",K237="slab",K237="tut",K237="ptut",K237="stut"),0.5,IF(OR(K237="TL",K237="pTL",K237="STL"),0.75,0))),0),IF(M238="M",IF(OR(K238="lec",K238="plec",K238="slec"),1,IF(OR(K238="lab",K238="plab",K238="slab",K238="tut",K238="ptut",K238="stut"),0.5,IF(OR(K238="TL",K238="pTL",K238="STL"),0.75,0))),0))</f>
        <v>0</v>
      </c>
      <c r="U228" s="137"/>
      <c r="V228" s="133"/>
      <c r="W228" s="138"/>
      <c r="X228" s="139">
        <f>S228-(T228+U228+V228+W228)</f>
        <v>0</v>
      </c>
      <c r="Y228" s="134" t="str">
        <f>CONCATENATE(SUM(O228:O238),"(",SUM(O228:O238)-X228,")")</f>
        <v>0(0)</v>
      </c>
      <c r="Z228" s="140"/>
      <c r="AA228" s="141"/>
      <c r="AB228" s="142"/>
      <c r="AC228" s="142"/>
      <c r="AD228" s="142"/>
      <c r="AE228" s="142"/>
      <c r="AF228" s="142"/>
      <c r="AG228" s="142"/>
      <c r="AH228" s="142"/>
      <c r="AI228" s="143"/>
      <c r="AJ228" s="144"/>
      <c r="AK228" s="145"/>
      <c r="AL228" s="145"/>
      <c r="AM228" s="145"/>
      <c r="AN228" s="145"/>
      <c r="AO228" s="146"/>
      <c r="AP228" s="147">
        <f>SUM(SUM(O228:O238),SUM(AI228:AI238)/2,AM228)</f>
        <v>0</v>
      </c>
      <c r="AQ228" s="148"/>
      <c r="AR228" s="148">
        <f>AP228*AQ228</f>
        <v>0</v>
      </c>
      <c r="AS228" s="148">
        <f>CT228</f>
        <v>0</v>
      </c>
      <c r="AT228" s="149">
        <f>AR228*0.75+AS228*0.25</f>
        <v>0</v>
      </c>
      <c r="AU228" s="150"/>
      <c r="AV228" s="151"/>
      <c r="AW228" s="151"/>
      <c r="AX228" s="152"/>
      <c r="AY228" s="153"/>
      <c r="AZ228" s="140"/>
      <c r="BA228" s="150"/>
      <c r="BB228" s="151"/>
      <c r="BC228" s="151"/>
      <c r="BD228" s="151"/>
      <c r="BE228" s="151"/>
      <c r="BF228" s="151"/>
      <c r="BG228" s="151"/>
      <c r="BH228" s="151"/>
      <c r="BI228" s="152"/>
      <c r="BJ228" s="154"/>
      <c r="BK228" s="151"/>
      <c r="BL228" s="151"/>
      <c r="BM228" s="151"/>
      <c r="BN228" s="151"/>
      <c r="BO228" s="155"/>
      <c r="BP228" s="140"/>
      <c r="BQ228" s="156"/>
      <c r="BR228" s="157"/>
      <c r="BS228" s="158"/>
      <c r="BT228" s="153"/>
      <c r="BU228" s="140"/>
      <c r="BV228" s="140"/>
      <c r="BW228" s="140"/>
      <c r="BX228" s="140"/>
      <c r="BY228" s="140"/>
      <c r="BZ228" s="140"/>
      <c r="CA228" s="140"/>
      <c r="CB228" s="140"/>
      <c r="CC228" s="140"/>
      <c r="CD228" s="150"/>
      <c r="CE228" s="155"/>
      <c r="CF228" s="150"/>
      <c r="CG228" s="152"/>
      <c r="CH228" s="252"/>
      <c r="CI228" s="160"/>
      <c r="CJ228" s="159"/>
      <c r="CK228" s="160"/>
      <c r="CL228" s="159"/>
      <c r="CM228" s="160"/>
      <c r="CN228" s="159"/>
      <c r="CO228" s="160"/>
      <c r="CP228" s="159"/>
      <c r="CQ228" s="162"/>
      <c r="CR228" s="160"/>
      <c r="CS228" s="253">
        <f>SUM(IF(AU228&lt;0,ABS(AU228),0),IF(AZ228&lt;0,ABS(AZ228),0),ABS(CI228),ABS(CK228),ABS(CM228),ABS(CO228),ABS(CQ228),ABS(CR228))</f>
        <v>0</v>
      </c>
      <c r="CT228" s="254">
        <f>SUM(AU228,AV228,AW228,AX228/400,AY228,AZ228,BG228,BH228*0.5,BI228*0.25,BJ228,BK228,BL228,BM228,BN228,BO228,BP228,BR228/20,BS228/100,BT228/60,BU228,BV228,BW228,BX228/4,SUM(BY228:CC238)/3,CE228,CG228/3,CI228,CK228,CM228,CO228,CQ228,CR228)</f>
        <v>0</v>
      </c>
      <c r="CU228" s="255" t="str">
        <f t="shared" si="2"/>
        <v/>
      </c>
    </row>
    <row r="229" ht="60.0" hidden="1" customHeight="1">
      <c r="A229" s="65"/>
      <c r="C229" s="167"/>
      <c r="D229" s="205"/>
      <c r="E229" s="262"/>
      <c r="F229" s="170"/>
      <c r="G229" s="170"/>
      <c r="H229" s="170"/>
      <c r="I229" s="170"/>
      <c r="J229" s="170"/>
      <c r="K229" s="171"/>
      <c r="L229" s="171"/>
      <c r="M229" s="171"/>
      <c r="N229" s="209"/>
      <c r="O229" s="172">
        <f t="shared" si="42"/>
        <v>0</v>
      </c>
      <c r="P229" s="166"/>
      <c r="Q229" s="173"/>
      <c r="R229" s="65"/>
      <c r="S229" s="173"/>
      <c r="T229" s="173"/>
      <c r="U229" s="166"/>
      <c r="V229" s="166"/>
      <c r="W229" s="65"/>
      <c r="X229" s="66"/>
      <c r="Y229" s="173"/>
      <c r="Z229" s="166"/>
      <c r="AA229" s="174"/>
      <c r="AB229" s="175"/>
      <c r="AC229" s="175"/>
      <c r="AD229" s="175"/>
      <c r="AE229" s="175"/>
      <c r="AF229" s="175"/>
      <c r="AG229" s="175"/>
      <c r="AH229" s="175"/>
      <c r="AI229" s="176"/>
      <c r="AJ229" s="177"/>
      <c r="AK229" s="178"/>
      <c r="AL229" s="178"/>
      <c r="AM229" s="178"/>
      <c r="AN229" s="178"/>
      <c r="AO229" s="179"/>
      <c r="AP229" s="64"/>
      <c r="AQ229" s="65"/>
      <c r="AR229" s="65"/>
      <c r="AS229" s="65"/>
      <c r="AT229" s="173"/>
      <c r="AU229" s="177"/>
      <c r="AV229" s="178"/>
      <c r="AW229" s="178"/>
      <c r="AX229" s="179"/>
      <c r="AZ229" s="166"/>
      <c r="BA229" s="177"/>
      <c r="BB229" s="178"/>
      <c r="BC229" s="178"/>
      <c r="BD229" s="178"/>
      <c r="BE229" s="178"/>
      <c r="BF229" s="178"/>
      <c r="BG229" s="178"/>
      <c r="BH229" s="178"/>
      <c r="BI229" s="179"/>
      <c r="BJ229" s="180"/>
      <c r="BK229" s="178"/>
      <c r="BL229" s="178"/>
      <c r="BM229" s="178"/>
      <c r="BN229" s="178"/>
      <c r="BO229" s="181"/>
      <c r="BP229" s="166"/>
      <c r="BQ229" s="177"/>
      <c r="BR229" s="178"/>
      <c r="BS229" s="179"/>
      <c r="BU229" s="166"/>
      <c r="BV229" s="166"/>
      <c r="BW229" s="166"/>
      <c r="BX229" s="166"/>
      <c r="BY229" s="166"/>
      <c r="BZ229" s="166"/>
      <c r="CA229" s="166"/>
      <c r="CB229" s="166"/>
      <c r="CC229" s="166"/>
      <c r="CD229" s="177"/>
      <c r="CE229" s="181"/>
      <c r="CF229" s="177"/>
      <c r="CG229" s="179"/>
      <c r="CH229" s="257"/>
      <c r="CI229" s="182"/>
      <c r="CJ229" s="177"/>
      <c r="CK229" s="182"/>
      <c r="CL229" s="177"/>
      <c r="CM229" s="182"/>
      <c r="CN229" s="177"/>
      <c r="CO229" s="182"/>
      <c r="CP229" s="177"/>
      <c r="CQ229" s="178"/>
      <c r="CR229" s="182"/>
      <c r="CS229" s="173"/>
      <c r="CT229" s="65"/>
      <c r="CU229" s="271" t="str">
        <f t="shared" si="2"/>
        <v/>
      </c>
    </row>
    <row r="230" ht="60.0" hidden="1" customHeight="1">
      <c r="A230" s="65"/>
      <c r="C230" s="167"/>
      <c r="D230" s="205"/>
      <c r="E230" s="262"/>
      <c r="F230" s="170"/>
      <c r="G230" s="170"/>
      <c r="H230" s="170"/>
      <c r="I230" s="170"/>
      <c r="J230" s="170"/>
      <c r="K230" s="171"/>
      <c r="L230" s="171"/>
      <c r="M230" s="171"/>
      <c r="N230" s="209"/>
      <c r="O230" s="172">
        <f t="shared" si="42"/>
        <v>0</v>
      </c>
      <c r="P230" s="166"/>
      <c r="Q230" s="173"/>
      <c r="R230" s="65"/>
      <c r="S230" s="173"/>
      <c r="T230" s="173"/>
      <c r="U230" s="166"/>
      <c r="V230" s="166"/>
      <c r="W230" s="65"/>
      <c r="X230" s="66"/>
      <c r="Y230" s="173"/>
      <c r="Z230" s="166"/>
      <c r="AA230" s="174"/>
      <c r="AB230" s="175"/>
      <c r="AC230" s="175"/>
      <c r="AD230" s="175"/>
      <c r="AE230" s="175"/>
      <c r="AF230" s="175"/>
      <c r="AG230" s="175"/>
      <c r="AH230" s="175"/>
      <c r="AI230" s="176"/>
      <c r="AJ230" s="177"/>
      <c r="AK230" s="178"/>
      <c r="AL230" s="178"/>
      <c r="AM230" s="178"/>
      <c r="AN230" s="178"/>
      <c r="AO230" s="179"/>
      <c r="AP230" s="64"/>
      <c r="AQ230" s="65"/>
      <c r="AR230" s="65"/>
      <c r="AS230" s="65"/>
      <c r="AT230" s="173"/>
      <c r="AU230" s="177"/>
      <c r="AV230" s="178"/>
      <c r="AW230" s="178"/>
      <c r="AX230" s="179"/>
      <c r="AZ230" s="166"/>
      <c r="BA230" s="177"/>
      <c r="BB230" s="178"/>
      <c r="BC230" s="178"/>
      <c r="BD230" s="178"/>
      <c r="BE230" s="178"/>
      <c r="BF230" s="178"/>
      <c r="BG230" s="178"/>
      <c r="BH230" s="178"/>
      <c r="BI230" s="179"/>
      <c r="BJ230" s="180"/>
      <c r="BK230" s="178"/>
      <c r="BL230" s="178"/>
      <c r="BM230" s="178"/>
      <c r="BN230" s="178"/>
      <c r="BO230" s="181"/>
      <c r="BP230" s="166"/>
      <c r="BQ230" s="177"/>
      <c r="BR230" s="178"/>
      <c r="BS230" s="179"/>
      <c r="BU230" s="166"/>
      <c r="BV230" s="166"/>
      <c r="BW230" s="166"/>
      <c r="BX230" s="166"/>
      <c r="BY230" s="166"/>
      <c r="BZ230" s="166"/>
      <c r="CA230" s="166"/>
      <c r="CB230" s="166"/>
      <c r="CC230" s="166"/>
      <c r="CD230" s="177"/>
      <c r="CE230" s="181"/>
      <c r="CF230" s="177"/>
      <c r="CG230" s="179"/>
      <c r="CH230" s="257"/>
      <c r="CI230" s="182"/>
      <c r="CJ230" s="177"/>
      <c r="CK230" s="182"/>
      <c r="CL230" s="177"/>
      <c r="CM230" s="182"/>
      <c r="CN230" s="177"/>
      <c r="CO230" s="182"/>
      <c r="CP230" s="177"/>
      <c r="CQ230" s="178"/>
      <c r="CR230" s="182"/>
      <c r="CS230" s="173"/>
      <c r="CT230" s="65"/>
      <c r="CU230" s="271" t="str">
        <f t="shared" si="2"/>
        <v/>
      </c>
    </row>
    <row r="231" ht="60.0" hidden="1" customHeight="1">
      <c r="A231" s="65"/>
      <c r="C231" s="167"/>
      <c r="D231" s="205"/>
      <c r="E231" s="262"/>
      <c r="F231" s="170"/>
      <c r="G231" s="170"/>
      <c r="H231" s="170"/>
      <c r="I231" s="170"/>
      <c r="J231" s="170"/>
      <c r="K231" s="171"/>
      <c r="L231" s="171"/>
      <c r="M231" s="171"/>
      <c r="N231" s="209"/>
      <c r="O231" s="172">
        <f t="shared" si="42"/>
        <v>0</v>
      </c>
      <c r="P231" s="166"/>
      <c r="Q231" s="173"/>
      <c r="R231" s="65"/>
      <c r="S231" s="173"/>
      <c r="T231" s="173"/>
      <c r="U231" s="166"/>
      <c r="V231" s="166"/>
      <c r="W231" s="65"/>
      <c r="X231" s="66"/>
      <c r="Y231" s="173"/>
      <c r="Z231" s="166"/>
      <c r="AA231" s="174"/>
      <c r="AB231" s="175"/>
      <c r="AC231" s="175"/>
      <c r="AD231" s="175"/>
      <c r="AE231" s="175"/>
      <c r="AF231" s="175"/>
      <c r="AG231" s="175"/>
      <c r="AH231" s="175"/>
      <c r="AI231" s="176"/>
      <c r="AJ231" s="177"/>
      <c r="AK231" s="178"/>
      <c r="AL231" s="178"/>
      <c r="AM231" s="178"/>
      <c r="AN231" s="178"/>
      <c r="AO231" s="179"/>
      <c r="AP231" s="64"/>
      <c r="AQ231" s="65"/>
      <c r="AR231" s="65"/>
      <c r="AS231" s="65"/>
      <c r="AT231" s="173"/>
      <c r="AU231" s="177"/>
      <c r="AV231" s="178"/>
      <c r="AW231" s="178"/>
      <c r="AX231" s="179"/>
      <c r="AZ231" s="166"/>
      <c r="BA231" s="177"/>
      <c r="BB231" s="178"/>
      <c r="BC231" s="178"/>
      <c r="BD231" s="178"/>
      <c r="BE231" s="178"/>
      <c r="BF231" s="178"/>
      <c r="BG231" s="178"/>
      <c r="BH231" s="178"/>
      <c r="BI231" s="179"/>
      <c r="BJ231" s="180"/>
      <c r="BK231" s="178"/>
      <c r="BL231" s="178"/>
      <c r="BM231" s="178"/>
      <c r="BN231" s="178"/>
      <c r="BO231" s="181"/>
      <c r="BP231" s="166"/>
      <c r="BQ231" s="177"/>
      <c r="BR231" s="178"/>
      <c r="BS231" s="179"/>
      <c r="BU231" s="166"/>
      <c r="BV231" s="166"/>
      <c r="BW231" s="166"/>
      <c r="BX231" s="166"/>
      <c r="BY231" s="166"/>
      <c r="BZ231" s="166"/>
      <c r="CA231" s="166"/>
      <c r="CB231" s="166"/>
      <c r="CC231" s="166"/>
      <c r="CD231" s="177"/>
      <c r="CE231" s="181"/>
      <c r="CF231" s="177"/>
      <c r="CG231" s="179"/>
      <c r="CH231" s="257"/>
      <c r="CI231" s="182"/>
      <c r="CJ231" s="177"/>
      <c r="CK231" s="182"/>
      <c r="CL231" s="177"/>
      <c r="CM231" s="182"/>
      <c r="CN231" s="177"/>
      <c r="CO231" s="182"/>
      <c r="CP231" s="177"/>
      <c r="CQ231" s="178"/>
      <c r="CR231" s="182"/>
      <c r="CS231" s="173"/>
      <c r="CT231" s="65"/>
      <c r="CU231" s="271" t="str">
        <f t="shared" si="2"/>
        <v/>
      </c>
    </row>
    <row r="232" ht="60.0" hidden="1" customHeight="1">
      <c r="A232" s="65"/>
      <c r="C232" s="167"/>
      <c r="D232" s="205"/>
      <c r="E232" s="262"/>
      <c r="F232" s="170"/>
      <c r="G232" s="170"/>
      <c r="H232" s="170"/>
      <c r="I232" s="170"/>
      <c r="J232" s="170"/>
      <c r="K232" s="171"/>
      <c r="L232" s="171"/>
      <c r="M232" s="171"/>
      <c r="N232" s="209"/>
      <c r="O232" s="172">
        <f t="shared" si="42"/>
        <v>0</v>
      </c>
      <c r="P232" s="166"/>
      <c r="Q232" s="173"/>
      <c r="R232" s="65"/>
      <c r="S232" s="173"/>
      <c r="T232" s="173"/>
      <c r="U232" s="166"/>
      <c r="V232" s="166"/>
      <c r="W232" s="65"/>
      <c r="X232" s="66"/>
      <c r="Y232" s="173"/>
      <c r="Z232" s="166"/>
      <c r="AA232" s="174"/>
      <c r="AB232" s="175"/>
      <c r="AC232" s="175"/>
      <c r="AD232" s="175"/>
      <c r="AE232" s="175"/>
      <c r="AF232" s="175"/>
      <c r="AG232" s="175"/>
      <c r="AH232" s="175"/>
      <c r="AI232" s="176"/>
      <c r="AJ232" s="177"/>
      <c r="AK232" s="178"/>
      <c r="AL232" s="178"/>
      <c r="AM232" s="178"/>
      <c r="AN232" s="178"/>
      <c r="AO232" s="179"/>
      <c r="AP232" s="64"/>
      <c r="AQ232" s="65"/>
      <c r="AR232" s="65"/>
      <c r="AS232" s="65"/>
      <c r="AT232" s="173"/>
      <c r="AU232" s="177"/>
      <c r="AV232" s="178"/>
      <c r="AW232" s="178"/>
      <c r="AX232" s="179"/>
      <c r="AZ232" s="166"/>
      <c r="BA232" s="177"/>
      <c r="BB232" s="178"/>
      <c r="BC232" s="178"/>
      <c r="BD232" s="178"/>
      <c r="BE232" s="178"/>
      <c r="BF232" s="178"/>
      <c r="BG232" s="178"/>
      <c r="BH232" s="178"/>
      <c r="BI232" s="179"/>
      <c r="BJ232" s="180"/>
      <c r="BK232" s="178"/>
      <c r="BL232" s="178"/>
      <c r="BM232" s="178"/>
      <c r="BN232" s="178"/>
      <c r="BO232" s="181"/>
      <c r="BP232" s="166"/>
      <c r="BQ232" s="177"/>
      <c r="BR232" s="178"/>
      <c r="BS232" s="179"/>
      <c r="BU232" s="166"/>
      <c r="BV232" s="166"/>
      <c r="BW232" s="166"/>
      <c r="BX232" s="166"/>
      <c r="BY232" s="166"/>
      <c r="BZ232" s="166"/>
      <c r="CA232" s="166"/>
      <c r="CB232" s="166"/>
      <c r="CC232" s="166"/>
      <c r="CD232" s="177"/>
      <c r="CE232" s="181"/>
      <c r="CF232" s="177"/>
      <c r="CG232" s="179"/>
      <c r="CH232" s="257"/>
      <c r="CI232" s="182"/>
      <c r="CJ232" s="177"/>
      <c r="CK232" s="182"/>
      <c r="CL232" s="177"/>
      <c r="CM232" s="182"/>
      <c r="CN232" s="177"/>
      <c r="CO232" s="182"/>
      <c r="CP232" s="177"/>
      <c r="CQ232" s="178"/>
      <c r="CR232" s="182"/>
      <c r="CS232" s="173"/>
      <c r="CT232" s="65"/>
      <c r="CU232" s="271" t="str">
        <f t="shared" si="2"/>
        <v/>
      </c>
    </row>
    <row r="233" ht="60.0" hidden="1" customHeight="1">
      <c r="A233" s="65"/>
      <c r="C233" s="167"/>
      <c r="D233" s="205"/>
      <c r="E233" s="262"/>
      <c r="F233" s="170"/>
      <c r="G233" s="170"/>
      <c r="H233" s="170"/>
      <c r="I233" s="170"/>
      <c r="J233" s="170"/>
      <c r="K233" s="171"/>
      <c r="L233" s="171"/>
      <c r="M233" s="171"/>
      <c r="N233" s="209"/>
      <c r="O233" s="172">
        <f t="shared" si="42"/>
        <v>0</v>
      </c>
      <c r="P233" s="166"/>
      <c r="Q233" s="173"/>
      <c r="R233" s="65"/>
      <c r="S233" s="173"/>
      <c r="T233" s="173"/>
      <c r="U233" s="166"/>
      <c r="V233" s="166"/>
      <c r="W233" s="65"/>
      <c r="X233" s="66"/>
      <c r="Y233" s="173"/>
      <c r="Z233" s="166"/>
      <c r="AA233" s="174"/>
      <c r="AB233" s="175"/>
      <c r="AC233" s="175"/>
      <c r="AD233" s="175"/>
      <c r="AE233" s="175"/>
      <c r="AF233" s="175"/>
      <c r="AG233" s="175"/>
      <c r="AH233" s="175"/>
      <c r="AI233" s="176"/>
      <c r="AJ233" s="177"/>
      <c r="AK233" s="178"/>
      <c r="AL233" s="178"/>
      <c r="AM233" s="178"/>
      <c r="AN233" s="178"/>
      <c r="AO233" s="179"/>
      <c r="AP233" s="64"/>
      <c r="AQ233" s="65"/>
      <c r="AR233" s="65"/>
      <c r="AS233" s="65"/>
      <c r="AT233" s="173"/>
      <c r="AU233" s="177"/>
      <c r="AV233" s="178"/>
      <c r="AW233" s="178"/>
      <c r="AX233" s="179"/>
      <c r="AZ233" s="166"/>
      <c r="BA233" s="177"/>
      <c r="BB233" s="178"/>
      <c r="BC233" s="178"/>
      <c r="BD233" s="178"/>
      <c r="BE233" s="178"/>
      <c r="BF233" s="178"/>
      <c r="BG233" s="178"/>
      <c r="BH233" s="178"/>
      <c r="BI233" s="179"/>
      <c r="BJ233" s="180"/>
      <c r="BK233" s="178"/>
      <c r="BL233" s="178"/>
      <c r="BM233" s="178"/>
      <c r="BN233" s="178"/>
      <c r="BO233" s="181"/>
      <c r="BP233" s="166"/>
      <c r="BQ233" s="177"/>
      <c r="BR233" s="178"/>
      <c r="BS233" s="179"/>
      <c r="BU233" s="166"/>
      <c r="BV233" s="166"/>
      <c r="BW233" s="166"/>
      <c r="BX233" s="166"/>
      <c r="BY233" s="166"/>
      <c r="BZ233" s="166"/>
      <c r="CA233" s="166"/>
      <c r="CB233" s="166"/>
      <c r="CC233" s="166"/>
      <c r="CD233" s="177"/>
      <c r="CE233" s="181"/>
      <c r="CF233" s="177"/>
      <c r="CG233" s="179"/>
      <c r="CH233" s="257"/>
      <c r="CI233" s="182"/>
      <c r="CJ233" s="177"/>
      <c r="CK233" s="182"/>
      <c r="CL233" s="177"/>
      <c r="CM233" s="182"/>
      <c r="CN233" s="177"/>
      <c r="CO233" s="182"/>
      <c r="CP233" s="177"/>
      <c r="CQ233" s="178"/>
      <c r="CR233" s="182"/>
      <c r="CS233" s="173"/>
      <c r="CT233" s="65"/>
      <c r="CU233" s="271" t="str">
        <f t="shared" si="2"/>
        <v/>
      </c>
    </row>
    <row r="234" ht="60.0" hidden="1" customHeight="1">
      <c r="A234" s="65"/>
      <c r="C234" s="167"/>
      <c r="D234" s="205"/>
      <c r="E234" s="262"/>
      <c r="F234" s="170"/>
      <c r="G234" s="170"/>
      <c r="H234" s="170"/>
      <c r="I234" s="170"/>
      <c r="J234" s="170"/>
      <c r="K234" s="171"/>
      <c r="L234" s="171"/>
      <c r="M234" s="171"/>
      <c r="N234" s="209"/>
      <c r="O234" s="172">
        <f t="shared" ref="O234:O237" si="43">IF(AND(M234&gt;=20,M234&lt;&gt;"m",RIGHT(K234,3)="Lec"),1,IF(AND(M234&gt;=20,M234&lt;&gt;"m",OR(RIGHT(K234,3)="Lab",RIGHT(K234,3)="Tut")),0.5,IF(AND(M234&gt;=20,M234&lt;&gt;"m",RIGHT(K234,2)="TL"),0.75,0)))</f>
        <v>0</v>
      </c>
      <c r="P234" s="166"/>
      <c r="Q234" s="173"/>
      <c r="R234" s="65"/>
      <c r="S234" s="173"/>
      <c r="T234" s="173"/>
      <c r="U234" s="166"/>
      <c r="V234" s="166"/>
      <c r="W234" s="65"/>
      <c r="X234" s="66"/>
      <c r="Y234" s="173"/>
      <c r="Z234" s="166"/>
      <c r="AA234" s="174"/>
      <c r="AB234" s="175"/>
      <c r="AC234" s="175"/>
      <c r="AD234" s="175"/>
      <c r="AE234" s="175"/>
      <c r="AF234" s="175"/>
      <c r="AG234" s="175"/>
      <c r="AH234" s="175"/>
      <c r="AI234" s="176"/>
      <c r="AJ234" s="177"/>
      <c r="AK234" s="178"/>
      <c r="AL234" s="178"/>
      <c r="AM234" s="178"/>
      <c r="AN234" s="178"/>
      <c r="AO234" s="179"/>
      <c r="AP234" s="64"/>
      <c r="AQ234" s="65"/>
      <c r="AR234" s="65"/>
      <c r="AS234" s="65"/>
      <c r="AT234" s="173"/>
      <c r="AU234" s="177"/>
      <c r="AV234" s="178"/>
      <c r="AW234" s="178"/>
      <c r="AX234" s="179"/>
      <c r="AZ234" s="166"/>
      <c r="BA234" s="177"/>
      <c r="BB234" s="178"/>
      <c r="BC234" s="178"/>
      <c r="BD234" s="178"/>
      <c r="BE234" s="178"/>
      <c r="BF234" s="178"/>
      <c r="BG234" s="178"/>
      <c r="BH234" s="178"/>
      <c r="BI234" s="179"/>
      <c r="BJ234" s="180"/>
      <c r="BK234" s="178"/>
      <c r="BL234" s="178"/>
      <c r="BM234" s="178"/>
      <c r="BN234" s="178"/>
      <c r="BO234" s="181"/>
      <c r="BP234" s="166"/>
      <c r="BQ234" s="177"/>
      <c r="BR234" s="178"/>
      <c r="BS234" s="179"/>
      <c r="BU234" s="166"/>
      <c r="BV234" s="166"/>
      <c r="BW234" s="166"/>
      <c r="BX234" s="166"/>
      <c r="BY234" s="166"/>
      <c r="BZ234" s="166"/>
      <c r="CA234" s="166"/>
      <c r="CB234" s="166"/>
      <c r="CC234" s="166"/>
      <c r="CD234" s="177"/>
      <c r="CE234" s="181"/>
      <c r="CF234" s="177"/>
      <c r="CG234" s="179"/>
      <c r="CH234" s="257"/>
      <c r="CI234" s="182"/>
      <c r="CJ234" s="177"/>
      <c r="CK234" s="182"/>
      <c r="CL234" s="177"/>
      <c r="CM234" s="182"/>
      <c r="CN234" s="177"/>
      <c r="CO234" s="182"/>
      <c r="CP234" s="177"/>
      <c r="CQ234" s="178"/>
      <c r="CR234" s="182"/>
      <c r="CS234" s="173"/>
      <c r="CT234" s="65"/>
      <c r="CU234" s="271" t="str">
        <f t="shared" si="2"/>
        <v/>
      </c>
    </row>
    <row r="235" ht="60.0" hidden="1" customHeight="1">
      <c r="A235" s="65"/>
      <c r="C235" s="167"/>
      <c r="D235" s="205"/>
      <c r="E235" s="262"/>
      <c r="F235" s="170"/>
      <c r="G235" s="170"/>
      <c r="H235" s="170"/>
      <c r="I235" s="170"/>
      <c r="J235" s="170"/>
      <c r="K235" s="171"/>
      <c r="L235" s="171"/>
      <c r="M235" s="171"/>
      <c r="N235" s="209"/>
      <c r="O235" s="172">
        <f t="shared" si="43"/>
        <v>0</v>
      </c>
      <c r="P235" s="166"/>
      <c r="Q235" s="173"/>
      <c r="R235" s="65"/>
      <c r="S235" s="173"/>
      <c r="T235" s="173"/>
      <c r="U235" s="166"/>
      <c r="V235" s="166"/>
      <c r="W235" s="65"/>
      <c r="X235" s="66"/>
      <c r="Y235" s="173"/>
      <c r="Z235" s="166"/>
      <c r="AA235" s="174"/>
      <c r="AB235" s="175"/>
      <c r="AC235" s="175"/>
      <c r="AD235" s="175"/>
      <c r="AE235" s="175"/>
      <c r="AF235" s="175"/>
      <c r="AG235" s="175"/>
      <c r="AH235" s="175"/>
      <c r="AI235" s="176"/>
      <c r="AJ235" s="177"/>
      <c r="AK235" s="178"/>
      <c r="AL235" s="178"/>
      <c r="AM235" s="178"/>
      <c r="AN235" s="178"/>
      <c r="AO235" s="179"/>
      <c r="AP235" s="64"/>
      <c r="AQ235" s="65"/>
      <c r="AR235" s="65"/>
      <c r="AS235" s="65"/>
      <c r="AT235" s="173"/>
      <c r="AU235" s="177"/>
      <c r="AV235" s="178"/>
      <c r="AW235" s="178"/>
      <c r="AX235" s="179"/>
      <c r="AZ235" s="166"/>
      <c r="BA235" s="177"/>
      <c r="BB235" s="178"/>
      <c r="BC235" s="178"/>
      <c r="BD235" s="178"/>
      <c r="BE235" s="178"/>
      <c r="BF235" s="178"/>
      <c r="BG235" s="178"/>
      <c r="BH235" s="178"/>
      <c r="BI235" s="179"/>
      <c r="BJ235" s="180"/>
      <c r="BK235" s="178"/>
      <c r="BL235" s="178"/>
      <c r="BM235" s="178"/>
      <c r="BN235" s="178"/>
      <c r="BO235" s="181"/>
      <c r="BP235" s="166"/>
      <c r="BQ235" s="177"/>
      <c r="BR235" s="178"/>
      <c r="BS235" s="179"/>
      <c r="BU235" s="166"/>
      <c r="BV235" s="166"/>
      <c r="BW235" s="166"/>
      <c r="BX235" s="166"/>
      <c r="BY235" s="166"/>
      <c r="BZ235" s="166"/>
      <c r="CA235" s="166"/>
      <c r="CB235" s="166"/>
      <c r="CC235" s="166"/>
      <c r="CD235" s="177"/>
      <c r="CE235" s="181"/>
      <c r="CF235" s="177"/>
      <c r="CG235" s="179"/>
      <c r="CH235" s="257"/>
      <c r="CI235" s="182"/>
      <c r="CJ235" s="177"/>
      <c r="CK235" s="182"/>
      <c r="CL235" s="177"/>
      <c r="CM235" s="182"/>
      <c r="CN235" s="177"/>
      <c r="CO235" s="182"/>
      <c r="CP235" s="177"/>
      <c r="CQ235" s="178"/>
      <c r="CR235" s="182"/>
      <c r="CS235" s="173"/>
      <c r="CT235" s="65"/>
      <c r="CU235" s="271" t="str">
        <f t="shared" si="2"/>
        <v/>
      </c>
    </row>
    <row r="236" ht="60.0" hidden="1" customHeight="1">
      <c r="A236" s="65"/>
      <c r="C236" s="167"/>
      <c r="D236" s="205"/>
      <c r="E236" s="262"/>
      <c r="F236" s="170"/>
      <c r="G236" s="170"/>
      <c r="H236" s="170"/>
      <c r="I236" s="170"/>
      <c r="J236" s="170"/>
      <c r="K236" s="171"/>
      <c r="L236" s="171"/>
      <c r="M236" s="171"/>
      <c r="N236" s="209"/>
      <c r="O236" s="172">
        <f t="shared" si="43"/>
        <v>0</v>
      </c>
      <c r="P236" s="166"/>
      <c r="Q236" s="173"/>
      <c r="R236" s="65"/>
      <c r="S236" s="173"/>
      <c r="T236" s="173"/>
      <c r="U236" s="166"/>
      <c r="V236" s="166"/>
      <c r="W236" s="65"/>
      <c r="X236" s="66"/>
      <c r="Y236" s="173"/>
      <c r="Z236" s="166"/>
      <c r="AA236" s="174"/>
      <c r="AB236" s="175"/>
      <c r="AC236" s="175"/>
      <c r="AD236" s="175"/>
      <c r="AE236" s="175"/>
      <c r="AF236" s="175"/>
      <c r="AG236" s="175"/>
      <c r="AH236" s="175"/>
      <c r="AI236" s="176"/>
      <c r="AJ236" s="177"/>
      <c r="AK236" s="178"/>
      <c r="AL236" s="178"/>
      <c r="AM236" s="178"/>
      <c r="AN236" s="178"/>
      <c r="AO236" s="179"/>
      <c r="AP236" s="64"/>
      <c r="AQ236" s="65"/>
      <c r="AR236" s="65"/>
      <c r="AS236" s="65"/>
      <c r="AT236" s="173"/>
      <c r="AU236" s="177"/>
      <c r="AV236" s="178"/>
      <c r="AW236" s="178"/>
      <c r="AX236" s="179"/>
      <c r="AZ236" s="166"/>
      <c r="BA236" s="177"/>
      <c r="BB236" s="178"/>
      <c r="BC236" s="178"/>
      <c r="BD236" s="178"/>
      <c r="BE236" s="178"/>
      <c r="BF236" s="178"/>
      <c r="BG236" s="178"/>
      <c r="BH236" s="178"/>
      <c r="BI236" s="179"/>
      <c r="BJ236" s="180"/>
      <c r="BK236" s="178"/>
      <c r="BL236" s="178"/>
      <c r="BM236" s="178"/>
      <c r="BN236" s="178"/>
      <c r="BO236" s="181"/>
      <c r="BP236" s="166"/>
      <c r="BQ236" s="177"/>
      <c r="BR236" s="178"/>
      <c r="BS236" s="179"/>
      <c r="BU236" s="166"/>
      <c r="BV236" s="166"/>
      <c r="BW236" s="166"/>
      <c r="BX236" s="166"/>
      <c r="BY236" s="166"/>
      <c r="BZ236" s="166"/>
      <c r="CA236" s="166"/>
      <c r="CB236" s="166"/>
      <c r="CC236" s="166"/>
      <c r="CD236" s="177"/>
      <c r="CE236" s="181"/>
      <c r="CF236" s="177"/>
      <c r="CG236" s="179"/>
      <c r="CH236" s="257"/>
      <c r="CI236" s="182"/>
      <c r="CJ236" s="177"/>
      <c r="CK236" s="182"/>
      <c r="CL236" s="177"/>
      <c r="CM236" s="182"/>
      <c r="CN236" s="177"/>
      <c r="CO236" s="182"/>
      <c r="CP236" s="177"/>
      <c r="CQ236" s="178"/>
      <c r="CR236" s="182"/>
      <c r="CS236" s="173"/>
      <c r="CT236" s="65"/>
      <c r="CU236" s="271" t="str">
        <f t="shared" si="2"/>
        <v/>
      </c>
    </row>
    <row r="237" ht="60.0" hidden="1" customHeight="1">
      <c r="A237" s="65"/>
      <c r="C237" s="167"/>
      <c r="D237" s="205"/>
      <c r="E237" s="262"/>
      <c r="F237" s="170"/>
      <c r="G237" s="170"/>
      <c r="H237" s="170"/>
      <c r="I237" s="170"/>
      <c r="J237" s="170"/>
      <c r="K237" s="171"/>
      <c r="L237" s="171"/>
      <c r="M237" s="171"/>
      <c r="N237" s="209"/>
      <c r="O237" s="172">
        <f t="shared" si="43"/>
        <v>0</v>
      </c>
      <c r="P237" s="166"/>
      <c r="Q237" s="173"/>
      <c r="R237" s="65"/>
      <c r="S237" s="173"/>
      <c r="T237" s="173"/>
      <c r="U237" s="166"/>
      <c r="V237" s="166"/>
      <c r="W237" s="65"/>
      <c r="X237" s="66"/>
      <c r="Y237" s="173"/>
      <c r="Z237" s="166"/>
      <c r="AA237" s="174"/>
      <c r="AB237" s="175"/>
      <c r="AC237" s="175"/>
      <c r="AD237" s="175"/>
      <c r="AE237" s="175"/>
      <c r="AF237" s="175"/>
      <c r="AG237" s="175"/>
      <c r="AH237" s="175"/>
      <c r="AI237" s="176"/>
      <c r="AJ237" s="177"/>
      <c r="AK237" s="178"/>
      <c r="AL237" s="178"/>
      <c r="AM237" s="178"/>
      <c r="AN237" s="178"/>
      <c r="AO237" s="179"/>
      <c r="AP237" s="64"/>
      <c r="AQ237" s="65"/>
      <c r="AR237" s="65"/>
      <c r="AS237" s="65"/>
      <c r="AT237" s="173"/>
      <c r="AU237" s="177"/>
      <c r="AV237" s="178"/>
      <c r="AW237" s="178"/>
      <c r="AX237" s="179"/>
      <c r="AZ237" s="166"/>
      <c r="BA237" s="177"/>
      <c r="BB237" s="178"/>
      <c r="BC237" s="178"/>
      <c r="BD237" s="178"/>
      <c r="BE237" s="178"/>
      <c r="BF237" s="178"/>
      <c r="BG237" s="178"/>
      <c r="BH237" s="178"/>
      <c r="BI237" s="179"/>
      <c r="BJ237" s="180"/>
      <c r="BK237" s="178"/>
      <c r="BL237" s="178"/>
      <c r="BM237" s="178"/>
      <c r="BN237" s="178"/>
      <c r="BO237" s="181"/>
      <c r="BP237" s="166"/>
      <c r="BQ237" s="177"/>
      <c r="BR237" s="178"/>
      <c r="BS237" s="179"/>
      <c r="BU237" s="166"/>
      <c r="BV237" s="166"/>
      <c r="BW237" s="166"/>
      <c r="BX237" s="166"/>
      <c r="BY237" s="166"/>
      <c r="BZ237" s="166"/>
      <c r="CA237" s="166"/>
      <c r="CB237" s="166"/>
      <c r="CC237" s="166"/>
      <c r="CD237" s="177"/>
      <c r="CE237" s="181"/>
      <c r="CF237" s="177"/>
      <c r="CG237" s="179"/>
      <c r="CH237" s="257"/>
      <c r="CI237" s="182"/>
      <c r="CJ237" s="177"/>
      <c r="CK237" s="182"/>
      <c r="CL237" s="177"/>
      <c r="CM237" s="182"/>
      <c r="CN237" s="177"/>
      <c r="CO237" s="182"/>
      <c r="CP237" s="177"/>
      <c r="CQ237" s="178"/>
      <c r="CR237" s="182"/>
      <c r="CS237" s="173"/>
      <c r="CT237" s="65"/>
      <c r="CU237" s="271" t="str">
        <f t="shared" si="2"/>
        <v/>
      </c>
    </row>
    <row r="238" ht="60.0" hidden="1" customHeight="1">
      <c r="A238" s="89"/>
      <c r="B238" s="6"/>
      <c r="C238" s="183"/>
      <c r="D238" s="210"/>
      <c r="E238" s="263"/>
      <c r="F238" s="186"/>
      <c r="G238" s="186"/>
      <c r="H238" s="186"/>
      <c r="I238" s="186"/>
      <c r="J238" s="186"/>
      <c r="K238" s="187"/>
      <c r="L238" s="187"/>
      <c r="M238" s="187"/>
      <c r="N238" s="214"/>
      <c r="O238" s="188">
        <f t="shared" ref="O238:O244" si="44">IF(AND(M238&lt;&gt;0,M238&lt;&gt;"m",M238&lt;&gt;"",RIGHT(K238,3)="Lec"),1,IF(AND(M238&lt;&gt;0,M238&lt;&gt;"m",M238&lt;&gt;"",OR(RIGHT(K238,3)="Lab",RIGHT(K238,3)="Tut")),0.5,IF(AND(M238&lt;&gt;0,M238&lt;&gt;"m",M238&lt;&gt;"",RIGHT(K238,2)="TL"),0.75,0)))</f>
        <v>0</v>
      </c>
      <c r="P238" s="63"/>
      <c r="Q238" s="69"/>
      <c r="R238" s="89"/>
      <c r="S238" s="69"/>
      <c r="T238" s="69"/>
      <c r="U238" s="63"/>
      <c r="V238" s="63"/>
      <c r="W238" s="89"/>
      <c r="X238" s="68"/>
      <c r="Y238" s="69"/>
      <c r="Z238" s="63"/>
      <c r="AA238" s="189"/>
      <c r="AB238" s="190"/>
      <c r="AC238" s="190"/>
      <c r="AD238" s="190"/>
      <c r="AE238" s="190"/>
      <c r="AF238" s="190"/>
      <c r="AG238" s="190"/>
      <c r="AH238" s="190"/>
      <c r="AI238" s="191"/>
      <c r="AJ238" s="192"/>
      <c r="AK238" s="193"/>
      <c r="AL238" s="193"/>
      <c r="AM238" s="193"/>
      <c r="AN238" s="193"/>
      <c r="AO238" s="194"/>
      <c r="AP238" s="103"/>
      <c r="AQ238" s="89"/>
      <c r="AR238" s="89"/>
      <c r="AS238" s="89"/>
      <c r="AT238" s="69"/>
      <c r="AU238" s="192"/>
      <c r="AV238" s="193"/>
      <c r="AW238" s="193"/>
      <c r="AX238" s="194"/>
      <c r="AY238" s="6"/>
      <c r="AZ238" s="63"/>
      <c r="BA238" s="192"/>
      <c r="BB238" s="193"/>
      <c r="BC238" s="193"/>
      <c r="BD238" s="193"/>
      <c r="BE238" s="193"/>
      <c r="BF238" s="193"/>
      <c r="BG238" s="193"/>
      <c r="BH238" s="193"/>
      <c r="BI238" s="194"/>
      <c r="BJ238" s="195"/>
      <c r="BK238" s="193"/>
      <c r="BL238" s="193"/>
      <c r="BM238" s="193"/>
      <c r="BN238" s="193"/>
      <c r="BO238" s="196"/>
      <c r="BP238" s="63"/>
      <c r="BQ238" s="192"/>
      <c r="BR238" s="193"/>
      <c r="BS238" s="194"/>
      <c r="BT238" s="6"/>
      <c r="BU238" s="63"/>
      <c r="BV238" s="63"/>
      <c r="BW238" s="63"/>
      <c r="BX238" s="63"/>
      <c r="BY238" s="63"/>
      <c r="BZ238" s="63"/>
      <c r="CA238" s="63"/>
      <c r="CB238" s="63"/>
      <c r="CC238" s="63"/>
      <c r="CD238" s="192"/>
      <c r="CE238" s="196"/>
      <c r="CF238" s="192"/>
      <c r="CG238" s="194"/>
      <c r="CH238" s="259"/>
      <c r="CI238" s="197"/>
      <c r="CJ238" s="192"/>
      <c r="CK238" s="197"/>
      <c r="CL238" s="192"/>
      <c r="CM238" s="197"/>
      <c r="CN238" s="192"/>
      <c r="CO238" s="197"/>
      <c r="CP238" s="192"/>
      <c r="CQ238" s="193"/>
      <c r="CR238" s="197"/>
      <c r="CS238" s="69"/>
      <c r="CT238" s="89"/>
      <c r="CU238" s="272" t="str">
        <f t="shared" si="2"/>
        <v/>
      </c>
    </row>
    <row r="239" ht="56.25" hidden="1" customHeight="1">
      <c r="A239" s="125">
        <v>22.0</v>
      </c>
      <c r="B239" s="199"/>
      <c r="C239" s="127"/>
      <c r="D239" s="128"/>
      <c r="E239" s="260"/>
      <c r="F239" s="261"/>
      <c r="G239" s="261"/>
      <c r="H239" s="261"/>
      <c r="I239" s="261"/>
      <c r="J239" s="170"/>
      <c r="K239" s="219"/>
      <c r="L239" s="219"/>
      <c r="M239" s="219"/>
      <c r="N239" s="220"/>
      <c r="O239" s="132">
        <f t="shared" si="44"/>
        <v>0</v>
      </c>
      <c r="P239" s="133">
        <f>COUNTIF(K239:K249,"TL")*0.75+COUNTIF(K239:K249,"Lec")*1+COUNTIF(K239:K249,"Lab")*0.5</f>
        <v>0</v>
      </c>
      <c r="Q239" s="134">
        <f>SUM((IF(LEFT(K239,1)="E",O239,0)),(IF(LEFT(K240,1)="E",O240,0)),(IF(LEFT(K241,1)="E",O241,0)),(IF(LEFT(K242,1)="E",O242,0)),(IF(LEFT(K243,1)="E",O243,0)),(IF(LEFT(K244,1)="E",O244,0)),(IF(LEFT(K245,1)="E",O245,0)),(IF(LEFT(K246,1)="E",O246,0)),(IF(LEFT(K247,1)="E",O247,0)),(IF(LEFT(K248,1)="E",O248,0)),(IF(LEFT(K249,1)="E",O249,0)))</f>
        <v>0</v>
      </c>
      <c r="R239" s="135">
        <f>SUM(IF(M245&lt;20,IF(K245="Plec",-1,IF(K245="PTL",-0.75,IF(K245="Plab",-0.5,0))),0),IF(M246&lt;20,IF(K246="Plec",-1,IF(K246="PTL",-0.75,IF(K246="Plab",-0.5,0))),0),IF(M247&lt;20,IF(K247="Plec",-1,IF(K247="PTL",-0.75,IF(K247="Plab",-0.5,0))),0),IF(M248&lt;20,IF(K248="Plec",-1,IF(K248="PTL",-0.75,IF(K248="Plab",-0.5,0))),0))</f>
        <v>0</v>
      </c>
      <c r="S239" s="134">
        <f>SUM(P239:R249)</f>
        <v>0</v>
      </c>
      <c r="T239" s="136">
        <f>SUM(IF(M239="M",IF(OR(K239="lec",K239="plec",K239="slec"),1,IF(OR(K239="lab",K239="plab",K239="slab",K239="tut",K239="ptut",K239="stut"),0.5,IF(OR(K239="TL",K239="pTL",K239="STL"),0.75,0))),0),IF(M240="M",IF(OR(K240="lec",K240="plec",K240="slec"),1,IF(OR(K240="lab",K240="plab",K240="slab",K240="tut",K240="ptut",K240="stut"),0.5,IF(OR(K240="TL",K240="pTL",K240="STL"),0.75,0))),0),IF(M241="M",IF(OR(K241="lec",K241="plec",K241="slec"),1,IF(OR(K241="lab",K241="plab",K241="slab",K241="tut",K241="ptut",K241="stut"),0.5,IF(OR(K241="TL",K241="pTL",K241="STL"),0.75,0))),0),IF(M242="M",IF(OR(K242="lec",K242="plec",K242="slec"),1,IF(OR(K242="lab",K242="plab",K242="slab",K242="tut",K242="ptut",K242="stut"),0.5,IF(OR(K242="TL",K242="pTL",K242="STL"),0.75,0))),0),IF(M243="M",IF(OR(K243="lec",K243="plec",K243="slec"),1,IF(OR(K243="lab",K243="plab",K243="slab",K243="tut",K243="ptut",K243="stut"),0.5,IF(OR(K243="TL",K243="pTL",K243="STL"),0.75,0))),0),IF(M244="M",IF(OR(K244="lec",K244="plec",K244="slec"),1,IF(OR(K244="lab",K244="plab",K244="slab",K244="tut",K244="ptut",K244="stut"),0.5,IF(OR(K244="TL",K244="pTL",K244="STL"),0.75,0))),0),IF(M245="M",IF(OR(K245="lec",K245="plec",K245="slec"),1,IF(OR(K245="lab",K245="plab",K245="slab",K245="tut",K245="ptut",K245="stut"),0.5,IF(OR(K245="TL",K245="pTL",K245="STL"),0.75,0))),0),IF(M246="M",IF(OR(K246="lec",K246="plec",K246="slec"),1,IF(OR(K246="lab",K246="plab",K246="slab",K246="tut",K246="ptut",K246="stut"),0.5,IF(OR(K246="TL",K246="pTL",K246="STL"),0.75,0))),0),IF(M247="M",IF(OR(K247="lec",K247="plec",K247="slec"),1,IF(OR(K247="lab",K247="plab",K247="slab",K247="tut",K247="ptut",K247="stut"),0.5,IF(OR(K247="TL",K247="pTL",K247="STL"),0.75,0))),0),IF(M248="M",IF(OR(K248="lec",K248="plec",K248="slec"),1,IF(OR(K248="lab",K248="plab",K248="slab",K248="tut",K248="ptut",K248="stut"),0.5,IF(OR(K248="TL",K248="pTL",K248="STL"),0.75,0))),0),IF(M249="M",IF(OR(K249="lec",K249="plec",K249="slec"),1,IF(OR(K249="lab",K249="plab",K249="slab",K249="tut",K249="ptut",K249="stut"),0.5,IF(OR(K249="TL",K249="pTL",K249="STL"),0.75,0))),0))</f>
        <v>0</v>
      </c>
      <c r="U239" s="137"/>
      <c r="V239" s="133"/>
      <c r="W239" s="138"/>
      <c r="X239" s="139">
        <f>S239-(T239+U239+V239+W239)</f>
        <v>0</v>
      </c>
      <c r="Y239" s="134" t="str">
        <f>CONCATENATE(SUM(O239:O249),"(",SUM(O239:O249)-X239,")")</f>
        <v>0(0)</v>
      </c>
      <c r="Z239" s="140"/>
      <c r="AA239" s="141"/>
      <c r="AB239" s="142"/>
      <c r="AC239" s="142"/>
      <c r="AD239" s="142"/>
      <c r="AE239" s="142"/>
      <c r="AF239" s="142"/>
      <c r="AG239" s="142"/>
      <c r="AH239" s="142"/>
      <c r="AI239" s="143"/>
      <c r="AJ239" s="144"/>
      <c r="AK239" s="145"/>
      <c r="AL239" s="145"/>
      <c r="AM239" s="145"/>
      <c r="AN239" s="145"/>
      <c r="AO239" s="146"/>
      <c r="AP239" s="147">
        <f>SUM(SUM(O239:O249),SUM(AI239:AI249)/2,AM239)</f>
        <v>0</v>
      </c>
      <c r="AQ239" s="148"/>
      <c r="AR239" s="148">
        <f>AP239*AQ239</f>
        <v>0</v>
      </c>
      <c r="AS239" s="148">
        <f>CT239</f>
        <v>0</v>
      </c>
      <c r="AT239" s="149">
        <f>AR239*0.75+AS239*0.25</f>
        <v>0</v>
      </c>
      <c r="AU239" s="150"/>
      <c r="AV239" s="151"/>
      <c r="AW239" s="151"/>
      <c r="AX239" s="152"/>
      <c r="AY239" s="153"/>
      <c r="AZ239" s="140"/>
      <c r="BA239" s="150"/>
      <c r="BB239" s="151"/>
      <c r="BC239" s="151"/>
      <c r="BD239" s="151"/>
      <c r="BE239" s="151"/>
      <c r="BF239" s="151"/>
      <c r="BG239" s="151"/>
      <c r="BH239" s="151"/>
      <c r="BI239" s="152"/>
      <c r="BJ239" s="154"/>
      <c r="BK239" s="151"/>
      <c r="BL239" s="151"/>
      <c r="BM239" s="151"/>
      <c r="BN239" s="151"/>
      <c r="BO239" s="155"/>
      <c r="BP239" s="140"/>
      <c r="BQ239" s="156"/>
      <c r="BR239" s="157"/>
      <c r="BS239" s="158"/>
      <c r="BT239" s="153"/>
      <c r="BU239" s="140"/>
      <c r="BV239" s="140"/>
      <c r="BW239" s="140"/>
      <c r="BX239" s="140"/>
      <c r="BY239" s="140"/>
      <c r="BZ239" s="140"/>
      <c r="CA239" s="140"/>
      <c r="CB239" s="140"/>
      <c r="CC239" s="140"/>
      <c r="CD239" s="150"/>
      <c r="CE239" s="155"/>
      <c r="CF239" s="150"/>
      <c r="CG239" s="152"/>
      <c r="CH239" s="252"/>
      <c r="CI239" s="160"/>
      <c r="CJ239" s="159"/>
      <c r="CK239" s="160"/>
      <c r="CL239" s="159"/>
      <c r="CM239" s="160"/>
      <c r="CN239" s="159"/>
      <c r="CO239" s="160"/>
      <c r="CP239" s="159"/>
      <c r="CQ239" s="162"/>
      <c r="CR239" s="160"/>
      <c r="CS239" s="253">
        <f>SUM(IF(AU239&lt;0,ABS(AU239),0),IF(AZ239&lt;0,ABS(AZ239),0),ABS(CI239),ABS(CK239),ABS(CM239),ABS(CO239),ABS(CQ239),ABS(CR239))</f>
        <v>0</v>
      </c>
      <c r="CT239" s="254">
        <f>SUM(AU239,AV239,AW239,AX239/400,AY239,AZ239,BG239,BH239*0.5,BI239*0.25,BJ239,BK239,BL239,BM239,BN239,BO239,BP239,BR239/20,BS239/100,BT239/60,BU239,BV239,BW239,BX239/4,SUM(BY239:CC249)/3,CE239,CG239/3,CI239,CK239,CM239,CO239,CQ239,CR239)</f>
        <v>0</v>
      </c>
      <c r="CU239" s="255" t="str">
        <f t="shared" si="2"/>
        <v/>
      </c>
    </row>
    <row r="240" ht="60.0" hidden="1" customHeight="1">
      <c r="A240" s="65"/>
      <c r="C240" s="167"/>
      <c r="D240" s="205"/>
      <c r="E240" s="262"/>
      <c r="F240" s="170"/>
      <c r="G240" s="170"/>
      <c r="H240" s="170"/>
      <c r="I240" s="170"/>
      <c r="J240" s="170"/>
      <c r="K240" s="171"/>
      <c r="L240" s="171"/>
      <c r="M240" s="171"/>
      <c r="N240" s="209"/>
      <c r="O240" s="172">
        <f t="shared" si="44"/>
        <v>0</v>
      </c>
      <c r="P240" s="166"/>
      <c r="Q240" s="173"/>
      <c r="R240" s="65"/>
      <c r="S240" s="173"/>
      <c r="T240" s="173"/>
      <c r="U240" s="166"/>
      <c r="V240" s="166"/>
      <c r="W240" s="65"/>
      <c r="X240" s="66"/>
      <c r="Y240" s="173"/>
      <c r="Z240" s="166"/>
      <c r="AA240" s="174"/>
      <c r="AB240" s="175"/>
      <c r="AC240" s="175"/>
      <c r="AD240" s="175"/>
      <c r="AE240" s="175"/>
      <c r="AF240" s="175"/>
      <c r="AG240" s="175"/>
      <c r="AH240" s="175"/>
      <c r="AI240" s="176"/>
      <c r="AJ240" s="177"/>
      <c r="AK240" s="178"/>
      <c r="AL240" s="178"/>
      <c r="AM240" s="178"/>
      <c r="AN240" s="178"/>
      <c r="AO240" s="179"/>
      <c r="AP240" s="64"/>
      <c r="AQ240" s="65"/>
      <c r="AR240" s="65"/>
      <c r="AS240" s="65"/>
      <c r="AT240" s="173"/>
      <c r="AU240" s="177"/>
      <c r="AV240" s="178"/>
      <c r="AW240" s="178"/>
      <c r="AX240" s="179"/>
      <c r="AZ240" s="166"/>
      <c r="BA240" s="177"/>
      <c r="BB240" s="178"/>
      <c r="BC240" s="178"/>
      <c r="BD240" s="178"/>
      <c r="BE240" s="178"/>
      <c r="BF240" s="178"/>
      <c r="BG240" s="178"/>
      <c r="BH240" s="178"/>
      <c r="BI240" s="179"/>
      <c r="BJ240" s="180"/>
      <c r="BK240" s="178"/>
      <c r="BL240" s="178"/>
      <c r="BM240" s="178"/>
      <c r="BN240" s="178"/>
      <c r="BO240" s="181"/>
      <c r="BP240" s="166"/>
      <c r="BQ240" s="177"/>
      <c r="BR240" s="178"/>
      <c r="BS240" s="179"/>
      <c r="BU240" s="166"/>
      <c r="BV240" s="166"/>
      <c r="BW240" s="166"/>
      <c r="BX240" s="166"/>
      <c r="BY240" s="166"/>
      <c r="BZ240" s="166"/>
      <c r="CA240" s="166"/>
      <c r="CB240" s="166"/>
      <c r="CC240" s="166"/>
      <c r="CD240" s="177"/>
      <c r="CE240" s="181"/>
      <c r="CF240" s="177"/>
      <c r="CG240" s="179"/>
      <c r="CH240" s="257"/>
      <c r="CI240" s="182"/>
      <c r="CJ240" s="177"/>
      <c r="CK240" s="182"/>
      <c r="CL240" s="177"/>
      <c r="CM240" s="182"/>
      <c r="CN240" s="177"/>
      <c r="CO240" s="182"/>
      <c r="CP240" s="177"/>
      <c r="CQ240" s="178"/>
      <c r="CR240" s="182"/>
      <c r="CS240" s="173"/>
      <c r="CT240" s="65"/>
      <c r="CU240" s="271" t="str">
        <f t="shared" si="2"/>
        <v/>
      </c>
    </row>
    <row r="241" ht="60.0" hidden="1" customHeight="1">
      <c r="A241" s="65"/>
      <c r="C241" s="167"/>
      <c r="D241" s="205"/>
      <c r="E241" s="262"/>
      <c r="F241" s="170"/>
      <c r="G241" s="170"/>
      <c r="H241" s="170"/>
      <c r="I241" s="170"/>
      <c r="J241" s="170"/>
      <c r="K241" s="171"/>
      <c r="L241" s="171"/>
      <c r="M241" s="171"/>
      <c r="N241" s="209"/>
      <c r="O241" s="172">
        <f t="shared" si="44"/>
        <v>0</v>
      </c>
      <c r="P241" s="166"/>
      <c r="Q241" s="173"/>
      <c r="R241" s="65"/>
      <c r="S241" s="173"/>
      <c r="T241" s="173"/>
      <c r="U241" s="166"/>
      <c r="V241" s="166"/>
      <c r="W241" s="65"/>
      <c r="X241" s="66"/>
      <c r="Y241" s="173"/>
      <c r="Z241" s="166"/>
      <c r="AA241" s="174"/>
      <c r="AB241" s="175"/>
      <c r="AC241" s="175"/>
      <c r="AD241" s="175"/>
      <c r="AE241" s="175"/>
      <c r="AF241" s="175"/>
      <c r="AG241" s="175"/>
      <c r="AH241" s="175"/>
      <c r="AI241" s="176"/>
      <c r="AJ241" s="177"/>
      <c r="AK241" s="178"/>
      <c r="AL241" s="178"/>
      <c r="AM241" s="178"/>
      <c r="AN241" s="178"/>
      <c r="AO241" s="179"/>
      <c r="AP241" s="64"/>
      <c r="AQ241" s="65"/>
      <c r="AR241" s="65"/>
      <c r="AS241" s="65"/>
      <c r="AT241" s="173"/>
      <c r="AU241" s="177"/>
      <c r="AV241" s="178"/>
      <c r="AW241" s="178"/>
      <c r="AX241" s="179"/>
      <c r="AZ241" s="166"/>
      <c r="BA241" s="177"/>
      <c r="BB241" s="178"/>
      <c r="BC241" s="178"/>
      <c r="BD241" s="178"/>
      <c r="BE241" s="178"/>
      <c r="BF241" s="178"/>
      <c r="BG241" s="178"/>
      <c r="BH241" s="178"/>
      <c r="BI241" s="179"/>
      <c r="BJ241" s="180"/>
      <c r="BK241" s="178"/>
      <c r="BL241" s="178"/>
      <c r="BM241" s="178"/>
      <c r="BN241" s="178"/>
      <c r="BO241" s="181"/>
      <c r="BP241" s="166"/>
      <c r="BQ241" s="177"/>
      <c r="BR241" s="178"/>
      <c r="BS241" s="179"/>
      <c r="BU241" s="166"/>
      <c r="BV241" s="166"/>
      <c r="BW241" s="166"/>
      <c r="BX241" s="166"/>
      <c r="BY241" s="166"/>
      <c r="BZ241" s="166"/>
      <c r="CA241" s="166"/>
      <c r="CB241" s="166"/>
      <c r="CC241" s="166"/>
      <c r="CD241" s="177"/>
      <c r="CE241" s="181"/>
      <c r="CF241" s="177"/>
      <c r="CG241" s="179"/>
      <c r="CH241" s="257"/>
      <c r="CI241" s="182"/>
      <c r="CJ241" s="177"/>
      <c r="CK241" s="182"/>
      <c r="CL241" s="177"/>
      <c r="CM241" s="182"/>
      <c r="CN241" s="177"/>
      <c r="CO241" s="182"/>
      <c r="CP241" s="177"/>
      <c r="CQ241" s="178"/>
      <c r="CR241" s="182"/>
      <c r="CS241" s="173"/>
      <c r="CT241" s="65"/>
      <c r="CU241" s="271" t="str">
        <f t="shared" si="2"/>
        <v/>
      </c>
    </row>
    <row r="242" ht="60.0" hidden="1" customHeight="1">
      <c r="A242" s="65"/>
      <c r="C242" s="167"/>
      <c r="D242" s="205"/>
      <c r="E242" s="262"/>
      <c r="F242" s="170"/>
      <c r="G242" s="170"/>
      <c r="H242" s="170"/>
      <c r="I242" s="170"/>
      <c r="J242" s="170"/>
      <c r="K242" s="171"/>
      <c r="L242" s="171"/>
      <c r="M242" s="171"/>
      <c r="N242" s="209"/>
      <c r="O242" s="172">
        <f t="shared" si="44"/>
        <v>0</v>
      </c>
      <c r="P242" s="166"/>
      <c r="Q242" s="173"/>
      <c r="R242" s="65"/>
      <c r="S242" s="173"/>
      <c r="T242" s="173"/>
      <c r="U242" s="166"/>
      <c r="V242" s="166"/>
      <c r="W242" s="65"/>
      <c r="X242" s="66"/>
      <c r="Y242" s="173"/>
      <c r="Z242" s="166"/>
      <c r="AA242" s="174"/>
      <c r="AB242" s="175"/>
      <c r="AC242" s="175"/>
      <c r="AD242" s="175"/>
      <c r="AE242" s="175"/>
      <c r="AF242" s="175"/>
      <c r="AG242" s="175"/>
      <c r="AH242" s="175"/>
      <c r="AI242" s="176"/>
      <c r="AJ242" s="177"/>
      <c r="AK242" s="178"/>
      <c r="AL242" s="178"/>
      <c r="AM242" s="178"/>
      <c r="AN242" s="178"/>
      <c r="AO242" s="179"/>
      <c r="AP242" s="64"/>
      <c r="AQ242" s="65"/>
      <c r="AR242" s="65"/>
      <c r="AS242" s="65"/>
      <c r="AT242" s="173"/>
      <c r="AU242" s="177"/>
      <c r="AV242" s="178"/>
      <c r="AW242" s="178"/>
      <c r="AX242" s="179"/>
      <c r="AZ242" s="166"/>
      <c r="BA242" s="177"/>
      <c r="BB242" s="178"/>
      <c r="BC242" s="178"/>
      <c r="BD242" s="178"/>
      <c r="BE242" s="178"/>
      <c r="BF242" s="178"/>
      <c r="BG242" s="178"/>
      <c r="BH242" s="178"/>
      <c r="BI242" s="179"/>
      <c r="BJ242" s="180"/>
      <c r="BK242" s="178"/>
      <c r="BL242" s="178"/>
      <c r="BM242" s="178"/>
      <c r="BN242" s="178"/>
      <c r="BO242" s="181"/>
      <c r="BP242" s="166"/>
      <c r="BQ242" s="177"/>
      <c r="BR242" s="178"/>
      <c r="BS242" s="179"/>
      <c r="BU242" s="166"/>
      <c r="BV242" s="166"/>
      <c r="BW242" s="166"/>
      <c r="BX242" s="166"/>
      <c r="BY242" s="166"/>
      <c r="BZ242" s="166"/>
      <c r="CA242" s="166"/>
      <c r="CB242" s="166"/>
      <c r="CC242" s="166"/>
      <c r="CD242" s="177"/>
      <c r="CE242" s="181"/>
      <c r="CF242" s="177"/>
      <c r="CG242" s="179"/>
      <c r="CH242" s="257"/>
      <c r="CI242" s="182"/>
      <c r="CJ242" s="177"/>
      <c r="CK242" s="182"/>
      <c r="CL242" s="177"/>
      <c r="CM242" s="182"/>
      <c r="CN242" s="177"/>
      <c r="CO242" s="182"/>
      <c r="CP242" s="177"/>
      <c r="CQ242" s="178"/>
      <c r="CR242" s="182"/>
      <c r="CS242" s="173"/>
      <c r="CT242" s="65"/>
      <c r="CU242" s="271" t="str">
        <f t="shared" si="2"/>
        <v/>
      </c>
    </row>
    <row r="243" ht="60.0" hidden="1" customHeight="1">
      <c r="A243" s="65"/>
      <c r="C243" s="167"/>
      <c r="D243" s="205"/>
      <c r="E243" s="262"/>
      <c r="F243" s="170"/>
      <c r="G243" s="170"/>
      <c r="H243" s="170"/>
      <c r="I243" s="170"/>
      <c r="J243" s="170"/>
      <c r="K243" s="171"/>
      <c r="L243" s="171"/>
      <c r="M243" s="171"/>
      <c r="N243" s="209"/>
      <c r="O243" s="172">
        <f t="shared" si="44"/>
        <v>0</v>
      </c>
      <c r="P243" s="166"/>
      <c r="Q243" s="173"/>
      <c r="R243" s="65"/>
      <c r="S243" s="173"/>
      <c r="T243" s="173"/>
      <c r="U243" s="166"/>
      <c r="V243" s="166"/>
      <c r="W243" s="65"/>
      <c r="X243" s="66"/>
      <c r="Y243" s="173"/>
      <c r="Z243" s="166"/>
      <c r="AA243" s="174"/>
      <c r="AB243" s="175"/>
      <c r="AC243" s="175"/>
      <c r="AD243" s="175"/>
      <c r="AE243" s="175"/>
      <c r="AF243" s="175"/>
      <c r="AG243" s="175"/>
      <c r="AH243" s="175"/>
      <c r="AI243" s="176"/>
      <c r="AJ243" s="177"/>
      <c r="AK243" s="178"/>
      <c r="AL243" s="178"/>
      <c r="AM243" s="178"/>
      <c r="AN243" s="178"/>
      <c r="AO243" s="179"/>
      <c r="AP243" s="64"/>
      <c r="AQ243" s="65"/>
      <c r="AR243" s="65"/>
      <c r="AS243" s="65"/>
      <c r="AT243" s="173"/>
      <c r="AU243" s="177"/>
      <c r="AV243" s="178"/>
      <c r="AW243" s="178"/>
      <c r="AX243" s="179"/>
      <c r="AZ243" s="166"/>
      <c r="BA243" s="177"/>
      <c r="BB243" s="178"/>
      <c r="BC243" s="178"/>
      <c r="BD243" s="178"/>
      <c r="BE243" s="178"/>
      <c r="BF243" s="178"/>
      <c r="BG243" s="178"/>
      <c r="BH243" s="178"/>
      <c r="BI243" s="179"/>
      <c r="BJ243" s="180"/>
      <c r="BK243" s="178"/>
      <c r="BL243" s="178"/>
      <c r="BM243" s="178"/>
      <c r="BN243" s="178"/>
      <c r="BO243" s="181"/>
      <c r="BP243" s="166"/>
      <c r="BQ243" s="177"/>
      <c r="BR243" s="178"/>
      <c r="BS243" s="179"/>
      <c r="BU243" s="166"/>
      <c r="BV243" s="166"/>
      <c r="BW243" s="166"/>
      <c r="BX243" s="166"/>
      <c r="BY243" s="166"/>
      <c r="BZ243" s="166"/>
      <c r="CA243" s="166"/>
      <c r="CB243" s="166"/>
      <c r="CC243" s="166"/>
      <c r="CD243" s="177"/>
      <c r="CE243" s="181"/>
      <c r="CF243" s="177"/>
      <c r="CG243" s="179"/>
      <c r="CH243" s="257"/>
      <c r="CI243" s="182"/>
      <c r="CJ243" s="177"/>
      <c r="CK243" s="182"/>
      <c r="CL243" s="177"/>
      <c r="CM243" s="182"/>
      <c r="CN243" s="177"/>
      <c r="CO243" s="182"/>
      <c r="CP243" s="177"/>
      <c r="CQ243" s="178"/>
      <c r="CR243" s="182"/>
      <c r="CS243" s="173"/>
      <c r="CT243" s="65"/>
      <c r="CU243" s="271" t="str">
        <f t="shared" si="2"/>
        <v/>
      </c>
    </row>
    <row r="244" ht="60.0" hidden="1" customHeight="1">
      <c r="A244" s="65"/>
      <c r="C244" s="167"/>
      <c r="D244" s="205"/>
      <c r="E244" s="262"/>
      <c r="F244" s="170"/>
      <c r="G244" s="170"/>
      <c r="H244" s="170"/>
      <c r="I244" s="170"/>
      <c r="J244" s="170"/>
      <c r="K244" s="171"/>
      <c r="L244" s="171"/>
      <c r="M244" s="171"/>
      <c r="N244" s="209"/>
      <c r="O244" s="172">
        <f t="shared" si="44"/>
        <v>0</v>
      </c>
      <c r="P244" s="166"/>
      <c r="Q244" s="173"/>
      <c r="R244" s="65"/>
      <c r="S244" s="173"/>
      <c r="T244" s="173"/>
      <c r="U244" s="166"/>
      <c r="V244" s="166"/>
      <c r="W244" s="65"/>
      <c r="X244" s="66"/>
      <c r="Y244" s="173"/>
      <c r="Z244" s="166"/>
      <c r="AA244" s="174"/>
      <c r="AB244" s="175"/>
      <c r="AC244" s="175"/>
      <c r="AD244" s="175"/>
      <c r="AE244" s="175"/>
      <c r="AF244" s="175"/>
      <c r="AG244" s="175"/>
      <c r="AH244" s="175"/>
      <c r="AI244" s="176"/>
      <c r="AJ244" s="177"/>
      <c r="AK244" s="178"/>
      <c r="AL244" s="178"/>
      <c r="AM244" s="178"/>
      <c r="AN244" s="178"/>
      <c r="AO244" s="179"/>
      <c r="AP244" s="64"/>
      <c r="AQ244" s="65"/>
      <c r="AR244" s="65"/>
      <c r="AS244" s="65"/>
      <c r="AT244" s="173"/>
      <c r="AU244" s="177"/>
      <c r="AV244" s="178"/>
      <c r="AW244" s="178"/>
      <c r="AX244" s="179"/>
      <c r="AZ244" s="166"/>
      <c r="BA244" s="177"/>
      <c r="BB244" s="178"/>
      <c r="BC244" s="178"/>
      <c r="BD244" s="178"/>
      <c r="BE244" s="178"/>
      <c r="BF244" s="178"/>
      <c r="BG244" s="178"/>
      <c r="BH244" s="178"/>
      <c r="BI244" s="179"/>
      <c r="BJ244" s="180"/>
      <c r="BK244" s="178"/>
      <c r="BL244" s="178"/>
      <c r="BM244" s="178"/>
      <c r="BN244" s="178"/>
      <c r="BO244" s="181"/>
      <c r="BP244" s="166"/>
      <c r="BQ244" s="177"/>
      <c r="BR244" s="178"/>
      <c r="BS244" s="179"/>
      <c r="BU244" s="166"/>
      <c r="BV244" s="166"/>
      <c r="BW244" s="166"/>
      <c r="BX244" s="166"/>
      <c r="BY244" s="166"/>
      <c r="BZ244" s="166"/>
      <c r="CA244" s="166"/>
      <c r="CB244" s="166"/>
      <c r="CC244" s="166"/>
      <c r="CD244" s="177"/>
      <c r="CE244" s="181"/>
      <c r="CF244" s="177"/>
      <c r="CG244" s="179"/>
      <c r="CH244" s="257"/>
      <c r="CI244" s="182"/>
      <c r="CJ244" s="177"/>
      <c r="CK244" s="182"/>
      <c r="CL244" s="177"/>
      <c r="CM244" s="182"/>
      <c r="CN244" s="177"/>
      <c r="CO244" s="182"/>
      <c r="CP244" s="177"/>
      <c r="CQ244" s="178"/>
      <c r="CR244" s="182"/>
      <c r="CS244" s="173"/>
      <c r="CT244" s="65"/>
      <c r="CU244" s="271" t="str">
        <f t="shared" si="2"/>
        <v/>
      </c>
    </row>
    <row r="245" ht="60.0" hidden="1" customHeight="1">
      <c r="A245" s="65"/>
      <c r="C245" s="167"/>
      <c r="D245" s="205"/>
      <c r="E245" s="262"/>
      <c r="F245" s="170"/>
      <c r="G245" s="170"/>
      <c r="H245" s="170"/>
      <c r="I245" s="170"/>
      <c r="J245" s="170"/>
      <c r="K245" s="171"/>
      <c r="L245" s="171"/>
      <c r="M245" s="171"/>
      <c r="N245" s="209"/>
      <c r="O245" s="172">
        <f t="shared" ref="O245:O248" si="45">IF(AND(M245&gt;=20,M245&lt;&gt;"m",RIGHT(K245,3)="Lec"),1,IF(AND(M245&gt;=20,M245&lt;&gt;"m",OR(RIGHT(K245,3)="Lab",RIGHT(K245,3)="Tut")),0.5,IF(AND(M245&gt;=20,M245&lt;&gt;"m",RIGHT(K245,2)="TL"),0.75,0)))</f>
        <v>0</v>
      </c>
      <c r="P245" s="166"/>
      <c r="Q245" s="173"/>
      <c r="R245" s="65"/>
      <c r="S245" s="173"/>
      <c r="T245" s="173"/>
      <c r="U245" s="166"/>
      <c r="V245" s="166"/>
      <c r="W245" s="65"/>
      <c r="X245" s="66"/>
      <c r="Y245" s="173"/>
      <c r="Z245" s="166"/>
      <c r="AA245" s="174"/>
      <c r="AB245" s="175"/>
      <c r="AC245" s="175"/>
      <c r="AD245" s="175"/>
      <c r="AE245" s="175"/>
      <c r="AF245" s="175"/>
      <c r="AG245" s="175"/>
      <c r="AH245" s="175"/>
      <c r="AI245" s="176"/>
      <c r="AJ245" s="177"/>
      <c r="AK245" s="178"/>
      <c r="AL245" s="178"/>
      <c r="AM245" s="178"/>
      <c r="AN245" s="178"/>
      <c r="AO245" s="179"/>
      <c r="AP245" s="64"/>
      <c r="AQ245" s="65"/>
      <c r="AR245" s="65"/>
      <c r="AS245" s="65"/>
      <c r="AT245" s="173"/>
      <c r="AU245" s="177"/>
      <c r="AV245" s="178"/>
      <c r="AW245" s="178"/>
      <c r="AX245" s="179"/>
      <c r="AZ245" s="166"/>
      <c r="BA245" s="177"/>
      <c r="BB245" s="178"/>
      <c r="BC245" s="178"/>
      <c r="BD245" s="178"/>
      <c r="BE245" s="178"/>
      <c r="BF245" s="178"/>
      <c r="BG245" s="178"/>
      <c r="BH245" s="178"/>
      <c r="BI245" s="179"/>
      <c r="BJ245" s="180"/>
      <c r="BK245" s="178"/>
      <c r="BL245" s="178"/>
      <c r="BM245" s="178"/>
      <c r="BN245" s="178"/>
      <c r="BO245" s="181"/>
      <c r="BP245" s="166"/>
      <c r="BQ245" s="177"/>
      <c r="BR245" s="178"/>
      <c r="BS245" s="179"/>
      <c r="BU245" s="166"/>
      <c r="BV245" s="166"/>
      <c r="BW245" s="166"/>
      <c r="BX245" s="166"/>
      <c r="BY245" s="166"/>
      <c r="BZ245" s="166"/>
      <c r="CA245" s="166"/>
      <c r="CB245" s="166"/>
      <c r="CC245" s="166"/>
      <c r="CD245" s="177"/>
      <c r="CE245" s="181"/>
      <c r="CF245" s="177"/>
      <c r="CG245" s="179"/>
      <c r="CH245" s="257"/>
      <c r="CI245" s="182"/>
      <c r="CJ245" s="177"/>
      <c r="CK245" s="182"/>
      <c r="CL245" s="177"/>
      <c r="CM245" s="182"/>
      <c r="CN245" s="177"/>
      <c r="CO245" s="182"/>
      <c r="CP245" s="177"/>
      <c r="CQ245" s="178"/>
      <c r="CR245" s="182"/>
      <c r="CS245" s="173"/>
      <c r="CT245" s="65"/>
      <c r="CU245" s="271" t="str">
        <f t="shared" si="2"/>
        <v/>
      </c>
    </row>
    <row r="246" ht="60.0" hidden="1" customHeight="1">
      <c r="A246" s="65"/>
      <c r="C246" s="167"/>
      <c r="D246" s="205"/>
      <c r="E246" s="262"/>
      <c r="F246" s="170"/>
      <c r="G246" s="170"/>
      <c r="H246" s="170"/>
      <c r="I246" s="170"/>
      <c r="J246" s="170"/>
      <c r="K246" s="171"/>
      <c r="L246" s="171"/>
      <c r="M246" s="171"/>
      <c r="N246" s="209"/>
      <c r="O246" s="172">
        <f t="shared" si="45"/>
        <v>0</v>
      </c>
      <c r="P246" s="166"/>
      <c r="Q246" s="173"/>
      <c r="R246" s="65"/>
      <c r="S246" s="173"/>
      <c r="T246" s="173"/>
      <c r="U246" s="166"/>
      <c r="V246" s="166"/>
      <c r="W246" s="65"/>
      <c r="X246" s="66"/>
      <c r="Y246" s="173"/>
      <c r="Z246" s="166"/>
      <c r="AA246" s="174"/>
      <c r="AB246" s="175"/>
      <c r="AC246" s="175"/>
      <c r="AD246" s="175"/>
      <c r="AE246" s="175"/>
      <c r="AF246" s="175"/>
      <c r="AG246" s="175"/>
      <c r="AH246" s="175"/>
      <c r="AI246" s="176"/>
      <c r="AJ246" s="177"/>
      <c r="AK246" s="178"/>
      <c r="AL246" s="178"/>
      <c r="AM246" s="178"/>
      <c r="AN246" s="178"/>
      <c r="AO246" s="179"/>
      <c r="AP246" s="64"/>
      <c r="AQ246" s="65"/>
      <c r="AR246" s="65"/>
      <c r="AS246" s="65"/>
      <c r="AT246" s="173"/>
      <c r="AU246" s="177"/>
      <c r="AV246" s="178"/>
      <c r="AW246" s="178"/>
      <c r="AX246" s="179"/>
      <c r="AZ246" s="166"/>
      <c r="BA246" s="177"/>
      <c r="BB246" s="178"/>
      <c r="BC246" s="178"/>
      <c r="BD246" s="178"/>
      <c r="BE246" s="178"/>
      <c r="BF246" s="178"/>
      <c r="BG246" s="178"/>
      <c r="BH246" s="178"/>
      <c r="BI246" s="179"/>
      <c r="BJ246" s="180"/>
      <c r="BK246" s="178"/>
      <c r="BL246" s="178"/>
      <c r="BM246" s="178"/>
      <c r="BN246" s="178"/>
      <c r="BO246" s="181"/>
      <c r="BP246" s="166"/>
      <c r="BQ246" s="177"/>
      <c r="BR246" s="178"/>
      <c r="BS246" s="179"/>
      <c r="BU246" s="166"/>
      <c r="BV246" s="166"/>
      <c r="BW246" s="166"/>
      <c r="BX246" s="166"/>
      <c r="BY246" s="166"/>
      <c r="BZ246" s="166"/>
      <c r="CA246" s="166"/>
      <c r="CB246" s="166"/>
      <c r="CC246" s="166"/>
      <c r="CD246" s="177"/>
      <c r="CE246" s="181"/>
      <c r="CF246" s="177"/>
      <c r="CG246" s="179"/>
      <c r="CH246" s="257"/>
      <c r="CI246" s="182"/>
      <c r="CJ246" s="177"/>
      <c r="CK246" s="182"/>
      <c r="CL246" s="177"/>
      <c r="CM246" s="182"/>
      <c r="CN246" s="177"/>
      <c r="CO246" s="182"/>
      <c r="CP246" s="177"/>
      <c r="CQ246" s="178"/>
      <c r="CR246" s="182"/>
      <c r="CS246" s="173"/>
      <c r="CT246" s="65"/>
      <c r="CU246" s="271" t="str">
        <f t="shared" si="2"/>
        <v/>
      </c>
    </row>
    <row r="247" ht="60.0" hidden="1" customHeight="1">
      <c r="A247" s="65"/>
      <c r="C247" s="167"/>
      <c r="D247" s="205"/>
      <c r="E247" s="262"/>
      <c r="F247" s="170"/>
      <c r="G247" s="170"/>
      <c r="H247" s="170"/>
      <c r="I247" s="170"/>
      <c r="J247" s="170"/>
      <c r="K247" s="171"/>
      <c r="L247" s="171"/>
      <c r="M247" s="171"/>
      <c r="N247" s="209"/>
      <c r="O247" s="172">
        <f t="shared" si="45"/>
        <v>0</v>
      </c>
      <c r="P247" s="166"/>
      <c r="Q247" s="173"/>
      <c r="R247" s="65"/>
      <c r="S247" s="173"/>
      <c r="T247" s="173"/>
      <c r="U247" s="166"/>
      <c r="V247" s="166"/>
      <c r="W247" s="65"/>
      <c r="X247" s="66"/>
      <c r="Y247" s="173"/>
      <c r="Z247" s="166"/>
      <c r="AA247" s="174"/>
      <c r="AB247" s="175"/>
      <c r="AC247" s="175"/>
      <c r="AD247" s="175"/>
      <c r="AE247" s="175"/>
      <c r="AF247" s="175"/>
      <c r="AG247" s="175"/>
      <c r="AH247" s="175"/>
      <c r="AI247" s="176"/>
      <c r="AJ247" s="177"/>
      <c r="AK247" s="178"/>
      <c r="AL247" s="178"/>
      <c r="AM247" s="178"/>
      <c r="AN247" s="178"/>
      <c r="AO247" s="179"/>
      <c r="AP247" s="64"/>
      <c r="AQ247" s="65"/>
      <c r="AR247" s="65"/>
      <c r="AS247" s="65"/>
      <c r="AT247" s="173"/>
      <c r="AU247" s="177"/>
      <c r="AV247" s="178"/>
      <c r="AW247" s="178"/>
      <c r="AX247" s="179"/>
      <c r="AZ247" s="166"/>
      <c r="BA247" s="177"/>
      <c r="BB247" s="178"/>
      <c r="BC247" s="178"/>
      <c r="BD247" s="178"/>
      <c r="BE247" s="178"/>
      <c r="BF247" s="178"/>
      <c r="BG247" s="178"/>
      <c r="BH247" s="178"/>
      <c r="BI247" s="179"/>
      <c r="BJ247" s="180"/>
      <c r="BK247" s="178"/>
      <c r="BL247" s="178"/>
      <c r="BM247" s="178"/>
      <c r="BN247" s="178"/>
      <c r="BO247" s="181"/>
      <c r="BP247" s="166"/>
      <c r="BQ247" s="177"/>
      <c r="BR247" s="178"/>
      <c r="BS247" s="179"/>
      <c r="BU247" s="166"/>
      <c r="BV247" s="166"/>
      <c r="BW247" s="166"/>
      <c r="BX247" s="166"/>
      <c r="BY247" s="166"/>
      <c r="BZ247" s="166"/>
      <c r="CA247" s="166"/>
      <c r="CB247" s="166"/>
      <c r="CC247" s="166"/>
      <c r="CD247" s="177"/>
      <c r="CE247" s="181"/>
      <c r="CF247" s="177"/>
      <c r="CG247" s="179"/>
      <c r="CH247" s="257"/>
      <c r="CI247" s="182"/>
      <c r="CJ247" s="177"/>
      <c r="CK247" s="182"/>
      <c r="CL247" s="177"/>
      <c r="CM247" s="182"/>
      <c r="CN247" s="177"/>
      <c r="CO247" s="182"/>
      <c r="CP247" s="177"/>
      <c r="CQ247" s="178"/>
      <c r="CR247" s="182"/>
      <c r="CS247" s="173"/>
      <c r="CT247" s="65"/>
      <c r="CU247" s="271" t="str">
        <f t="shared" si="2"/>
        <v/>
      </c>
    </row>
    <row r="248" ht="60.0" hidden="1" customHeight="1">
      <c r="A248" s="65"/>
      <c r="C248" s="167"/>
      <c r="D248" s="205"/>
      <c r="E248" s="262"/>
      <c r="F248" s="170"/>
      <c r="G248" s="170"/>
      <c r="H248" s="170"/>
      <c r="I248" s="170"/>
      <c r="J248" s="170"/>
      <c r="K248" s="171"/>
      <c r="L248" s="171"/>
      <c r="M248" s="171"/>
      <c r="N248" s="209"/>
      <c r="O248" s="172">
        <f t="shared" si="45"/>
        <v>0</v>
      </c>
      <c r="P248" s="166"/>
      <c r="Q248" s="173"/>
      <c r="R248" s="65"/>
      <c r="S248" s="173"/>
      <c r="T248" s="173"/>
      <c r="U248" s="166"/>
      <c r="V248" s="166"/>
      <c r="W248" s="65"/>
      <c r="X248" s="66"/>
      <c r="Y248" s="173"/>
      <c r="Z248" s="166"/>
      <c r="AA248" s="174"/>
      <c r="AB248" s="175"/>
      <c r="AC248" s="175"/>
      <c r="AD248" s="175"/>
      <c r="AE248" s="175"/>
      <c r="AF248" s="175"/>
      <c r="AG248" s="175"/>
      <c r="AH248" s="175"/>
      <c r="AI248" s="176"/>
      <c r="AJ248" s="177"/>
      <c r="AK248" s="178"/>
      <c r="AL248" s="178"/>
      <c r="AM248" s="178"/>
      <c r="AN248" s="178"/>
      <c r="AO248" s="179"/>
      <c r="AP248" s="64"/>
      <c r="AQ248" s="65"/>
      <c r="AR248" s="65"/>
      <c r="AS248" s="65"/>
      <c r="AT248" s="173"/>
      <c r="AU248" s="177"/>
      <c r="AV248" s="178"/>
      <c r="AW248" s="178"/>
      <c r="AX248" s="179"/>
      <c r="AZ248" s="166"/>
      <c r="BA248" s="177"/>
      <c r="BB248" s="178"/>
      <c r="BC248" s="178"/>
      <c r="BD248" s="178"/>
      <c r="BE248" s="178"/>
      <c r="BF248" s="178"/>
      <c r="BG248" s="178"/>
      <c r="BH248" s="178"/>
      <c r="BI248" s="179"/>
      <c r="BJ248" s="180"/>
      <c r="BK248" s="178"/>
      <c r="BL248" s="178"/>
      <c r="BM248" s="178"/>
      <c r="BN248" s="178"/>
      <c r="BO248" s="181"/>
      <c r="BP248" s="166"/>
      <c r="BQ248" s="177"/>
      <c r="BR248" s="178"/>
      <c r="BS248" s="179"/>
      <c r="BU248" s="166"/>
      <c r="BV248" s="166"/>
      <c r="BW248" s="166"/>
      <c r="BX248" s="166"/>
      <c r="BY248" s="166"/>
      <c r="BZ248" s="166"/>
      <c r="CA248" s="166"/>
      <c r="CB248" s="166"/>
      <c r="CC248" s="166"/>
      <c r="CD248" s="177"/>
      <c r="CE248" s="181"/>
      <c r="CF248" s="177"/>
      <c r="CG248" s="179"/>
      <c r="CH248" s="257"/>
      <c r="CI248" s="182"/>
      <c r="CJ248" s="177"/>
      <c r="CK248" s="182"/>
      <c r="CL248" s="177"/>
      <c r="CM248" s="182"/>
      <c r="CN248" s="177"/>
      <c r="CO248" s="182"/>
      <c r="CP248" s="177"/>
      <c r="CQ248" s="178"/>
      <c r="CR248" s="182"/>
      <c r="CS248" s="173"/>
      <c r="CT248" s="65"/>
      <c r="CU248" s="271" t="str">
        <f t="shared" si="2"/>
        <v/>
      </c>
    </row>
    <row r="249" ht="60.0" hidden="1" customHeight="1">
      <c r="A249" s="89"/>
      <c r="B249" s="6"/>
      <c r="C249" s="183"/>
      <c r="D249" s="210"/>
      <c r="E249" s="263"/>
      <c r="F249" s="186"/>
      <c r="G249" s="186"/>
      <c r="H249" s="186"/>
      <c r="I249" s="186"/>
      <c r="J249" s="186"/>
      <c r="K249" s="187"/>
      <c r="L249" s="187"/>
      <c r="M249" s="187"/>
      <c r="N249" s="214"/>
      <c r="O249" s="188">
        <f t="shared" ref="O249:O255" si="46">IF(AND(M249&lt;&gt;0,M249&lt;&gt;"m",M249&lt;&gt;"",RIGHT(K249,3)="Lec"),1,IF(AND(M249&lt;&gt;0,M249&lt;&gt;"m",M249&lt;&gt;"",OR(RIGHT(K249,3)="Lab",RIGHT(K249,3)="Tut")),0.5,IF(AND(M249&lt;&gt;0,M249&lt;&gt;"m",M249&lt;&gt;"",RIGHT(K249,2)="TL"),0.75,0)))</f>
        <v>0</v>
      </c>
      <c r="P249" s="63"/>
      <c r="Q249" s="69"/>
      <c r="R249" s="89"/>
      <c r="S249" s="69"/>
      <c r="T249" s="69"/>
      <c r="U249" s="63"/>
      <c r="V249" s="63"/>
      <c r="W249" s="89"/>
      <c r="X249" s="68"/>
      <c r="Y249" s="69"/>
      <c r="Z249" s="63"/>
      <c r="AA249" s="189"/>
      <c r="AB249" s="190"/>
      <c r="AC249" s="190"/>
      <c r="AD249" s="190"/>
      <c r="AE249" s="190"/>
      <c r="AF249" s="190"/>
      <c r="AG249" s="190"/>
      <c r="AH249" s="190"/>
      <c r="AI249" s="191"/>
      <c r="AJ249" s="192"/>
      <c r="AK249" s="193"/>
      <c r="AL249" s="193"/>
      <c r="AM249" s="193"/>
      <c r="AN249" s="193"/>
      <c r="AO249" s="194"/>
      <c r="AP249" s="103"/>
      <c r="AQ249" s="89"/>
      <c r="AR249" s="89"/>
      <c r="AS249" s="89"/>
      <c r="AT249" s="69"/>
      <c r="AU249" s="192"/>
      <c r="AV249" s="193"/>
      <c r="AW249" s="193"/>
      <c r="AX249" s="194"/>
      <c r="AY249" s="6"/>
      <c r="AZ249" s="63"/>
      <c r="BA249" s="192"/>
      <c r="BB249" s="193"/>
      <c r="BC249" s="193"/>
      <c r="BD249" s="193"/>
      <c r="BE249" s="193"/>
      <c r="BF249" s="193"/>
      <c r="BG249" s="193"/>
      <c r="BH249" s="193"/>
      <c r="BI249" s="194"/>
      <c r="BJ249" s="195"/>
      <c r="BK249" s="193"/>
      <c r="BL249" s="193"/>
      <c r="BM249" s="193"/>
      <c r="BN249" s="193"/>
      <c r="BO249" s="196"/>
      <c r="BP249" s="63"/>
      <c r="BQ249" s="192"/>
      <c r="BR249" s="193"/>
      <c r="BS249" s="194"/>
      <c r="BT249" s="6"/>
      <c r="BU249" s="63"/>
      <c r="BV249" s="63"/>
      <c r="BW249" s="63"/>
      <c r="BX249" s="63"/>
      <c r="BY249" s="63"/>
      <c r="BZ249" s="63"/>
      <c r="CA249" s="63"/>
      <c r="CB249" s="63"/>
      <c r="CC249" s="63"/>
      <c r="CD249" s="192"/>
      <c r="CE249" s="196"/>
      <c r="CF249" s="192"/>
      <c r="CG249" s="194"/>
      <c r="CH249" s="259"/>
      <c r="CI249" s="197"/>
      <c r="CJ249" s="192"/>
      <c r="CK249" s="197"/>
      <c r="CL249" s="192"/>
      <c r="CM249" s="197"/>
      <c r="CN249" s="192"/>
      <c r="CO249" s="197"/>
      <c r="CP249" s="192"/>
      <c r="CQ249" s="193"/>
      <c r="CR249" s="197"/>
      <c r="CS249" s="69"/>
      <c r="CT249" s="89"/>
      <c r="CU249" s="272" t="str">
        <f t="shared" si="2"/>
        <v/>
      </c>
    </row>
    <row r="250" ht="56.25" hidden="1" customHeight="1">
      <c r="A250" s="125">
        <v>23.0</v>
      </c>
      <c r="B250" s="199"/>
      <c r="C250" s="127"/>
      <c r="D250" s="128"/>
      <c r="E250" s="260"/>
      <c r="F250" s="261"/>
      <c r="G250" s="261"/>
      <c r="H250" s="261"/>
      <c r="I250" s="261"/>
      <c r="J250" s="170"/>
      <c r="K250" s="219"/>
      <c r="L250" s="219"/>
      <c r="M250" s="219"/>
      <c r="N250" s="220"/>
      <c r="O250" s="132">
        <f t="shared" si="46"/>
        <v>0</v>
      </c>
      <c r="P250" s="133">
        <f>COUNTIF(K250:K260,"TL")*0.75+COUNTIF(K250:K260,"Lec")*1+COUNTIF(K250:K260,"Lab")*0.5</f>
        <v>0</v>
      </c>
      <c r="Q250" s="134">
        <f>SUM((IF(LEFT(K250,1)="E",O250,0)),(IF(LEFT(K251,1)="E",O251,0)),(IF(LEFT(K252,1)="E",O252,0)),(IF(LEFT(K253,1)="E",O253,0)),(IF(LEFT(K254,1)="E",O254,0)),(IF(LEFT(K255,1)="E",O255,0)),(IF(LEFT(K256,1)="E",O256,0)),(IF(LEFT(K257,1)="E",O257,0)),(IF(LEFT(K258,1)="E",O258,0)),(IF(LEFT(K259,1)="E",O259,0)),(IF(LEFT(K260,1)="E",O260,0)))</f>
        <v>0</v>
      </c>
      <c r="R250" s="135">
        <f>SUM(IF(M256&lt;20,IF(K256="Plec",-1,IF(K256="PTL",-0.75,IF(K256="Plab",-0.5,0))),0),IF(M257&lt;20,IF(K257="Plec",-1,IF(K257="PTL",-0.75,IF(K257="Plab",-0.5,0))),0),IF(M258&lt;20,IF(K258="Plec",-1,IF(K258="PTL",-0.75,IF(K258="Plab",-0.5,0))),0),IF(M259&lt;20,IF(K259="Plec",-1,IF(K259="PTL",-0.75,IF(K259="Plab",-0.5,0))),0))</f>
        <v>0</v>
      </c>
      <c r="S250" s="134">
        <f>SUM(P250:R260)</f>
        <v>0</v>
      </c>
      <c r="T250" s="136">
        <f>SUM(IF(M250="M",IF(OR(K250="lec",K250="plec",K250="slec"),1,IF(OR(K250="lab",K250="plab",K250="slab",K250="tut",K250="ptut",K250="stut"),0.5,IF(OR(K250="TL",K250="pTL",K250="STL"),0.75,0))),0),IF(M251="M",IF(OR(K251="lec",K251="plec",K251="slec"),1,IF(OR(K251="lab",K251="plab",K251="slab",K251="tut",K251="ptut",K251="stut"),0.5,IF(OR(K251="TL",K251="pTL",K251="STL"),0.75,0))),0),IF(M252="M",IF(OR(K252="lec",K252="plec",K252="slec"),1,IF(OR(K252="lab",K252="plab",K252="slab",K252="tut",K252="ptut",K252="stut"),0.5,IF(OR(K252="TL",K252="pTL",K252="STL"),0.75,0))),0),IF(M253="M",IF(OR(K253="lec",K253="plec",K253="slec"),1,IF(OR(K253="lab",K253="plab",K253="slab",K253="tut",K253="ptut",K253="stut"),0.5,IF(OR(K253="TL",K253="pTL",K253="STL"),0.75,0))),0),IF(M254="M",IF(OR(K254="lec",K254="plec",K254="slec"),1,IF(OR(K254="lab",K254="plab",K254="slab",K254="tut",K254="ptut",K254="stut"),0.5,IF(OR(K254="TL",K254="pTL",K254="STL"),0.75,0))),0),IF(M255="M",IF(OR(K255="lec",K255="plec",K255="slec"),1,IF(OR(K255="lab",K255="plab",K255="slab",K255="tut",K255="ptut",K255="stut"),0.5,IF(OR(K255="TL",K255="pTL",K255="STL"),0.75,0))),0),IF(M256="M",IF(OR(K256="lec",K256="plec",K256="slec"),1,IF(OR(K256="lab",K256="plab",K256="slab",K256="tut",K256="ptut",K256="stut"),0.5,IF(OR(K256="TL",K256="pTL",K256="STL"),0.75,0))),0),IF(M257="M",IF(OR(K257="lec",K257="plec",K257="slec"),1,IF(OR(K257="lab",K257="plab",K257="slab",K257="tut",K257="ptut",K257="stut"),0.5,IF(OR(K257="TL",K257="pTL",K257="STL"),0.75,0))),0),IF(M258="M",IF(OR(K258="lec",K258="plec",K258="slec"),1,IF(OR(K258="lab",K258="plab",K258="slab",K258="tut",K258="ptut",K258="stut"),0.5,IF(OR(K258="TL",K258="pTL",K258="STL"),0.75,0))),0),IF(M259="M",IF(OR(K259="lec",K259="plec",K259="slec"),1,IF(OR(K259="lab",K259="plab",K259="slab",K259="tut",K259="ptut",K259="stut"),0.5,IF(OR(K259="TL",K259="pTL",K259="STL"),0.75,0))),0),IF(M260="M",IF(OR(K260="lec",K260="plec",K260="slec"),1,IF(OR(K260="lab",K260="plab",K260="slab",K260="tut",K260="ptut",K260="stut"),0.5,IF(OR(K260="TL",K260="pTL",K260="STL"),0.75,0))),0))</f>
        <v>0</v>
      </c>
      <c r="U250" s="137"/>
      <c r="V250" s="133"/>
      <c r="W250" s="138"/>
      <c r="X250" s="139">
        <f>S250-(T250+U250+V250+W250)</f>
        <v>0</v>
      </c>
      <c r="Y250" s="134" t="str">
        <f>CONCATENATE(SUM(O250:O260),"(",SUM(O250:O260)-X250,")")</f>
        <v>0(0)</v>
      </c>
      <c r="Z250" s="140"/>
      <c r="AA250" s="141"/>
      <c r="AB250" s="142"/>
      <c r="AC250" s="142"/>
      <c r="AD250" s="142"/>
      <c r="AE250" s="142"/>
      <c r="AF250" s="142"/>
      <c r="AG250" s="142"/>
      <c r="AH250" s="142"/>
      <c r="AI250" s="143"/>
      <c r="AJ250" s="144"/>
      <c r="AK250" s="145"/>
      <c r="AL250" s="145"/>
      <c r="AM250" s="145"/>
      <c r="AN250" s="145"/>
      <c r="AO250" s="146"/>
      <c r="AP250" s="147">
        <f>SUM(SUM(O250:O260),SUM(AI250:AI260)/2,AM250)</f>
        <v>0</v>
      </c>
      <c r="AQ250" s="148"/>
      <c r="AR250" s="148">
        <f>AP250*AQ250</f>
        <v>0</v>
      </c>
      <c r="AS250" s="148">
        <f>CT250</f>
        <v>0</v>
      </c>
      <c r="AT250" s="149">
        <f>AR250*0.75+AS250*0.25</f>
        <v>0</v>
      </c>
      <c r="AU250" s="150"/>
      <c r="AV250" s="151"/>
      <c r="AW250" s="151"/>
      <c r="AX250" s="152"/>
      <c r="AY250" s="153"/>
      <c r="AZ250" s="140"/>
      <c r="BA250" s="150"/>
      <c r="BB250" s="151"/>
      <c r="BC250" s="151"/>
      <c r="BD250" s="151"/>
      <c r="BE250" s="151"/>
      <c r="BF250" s="151"/>
      <c r="BG250" s="151"/>
      <c r="BH250" s="151"/>
      <c r="BI250" s="152"/>
      <c r="BJ250" s="154"/>
      <c r="BK250" s="151"/>
      <c r="BL250" s="151"/>
      <c r="BM250" s="151"/>
      <c r="BN250" s="151"/>
      <c r="BO250" s="155"/>
      <c r="BP250" s="140"/>
      <c r="BQ250" s="156"/>
      <c r="BR250" s="157"/>
      <c r="BS250" s="158"/>
      <c r="BT250" s="153"/>
      <c r="BU250" s="140"/>
      <c r="BV250" s="140"/>
      <c r="BW250" s="140"/>
      <c r="BX250" s="140"/>
      <c r="BY250" s="140"/>
      <c r="BZ250" s="140"/>
      <c r="CA250" s="140"/>
      <c r="CB250" s="140"/>
      <c r="CC250" s="140"/>
      <c r="CD250" s="150"/>
      <c r="CE250" s="155"/>
      <c r="CF250" s="150"/>
      <c r="CG250" s="152"/>
      <c r="CH250" s="252"/>
      <c r="CI250" s="160"/>
      <c r="CJ250" s="159"/>
      <c r="CK250" s="160"/>
      <c r="CL250" s="159"/>
      <c r="CM250" s="160"/>
      <c r="CN250" s="159"/>
      <c r="CO250" s="160"/>
      <c r="CP250" s="159"/>
      <c r="CQ250" s="162"/>
      <c r="CR250" s="160"/>
      <c r="CS250" s="253">
        <f>SUM(IF(AU250&lt;0,ABS(AU250),0),IF(AZ250&lt;0,ABS(AZ250),0),ABS(CI250),ABS(CK250),ABS(CM250),ABS(CO250),ABS(CQ250),ABS(CR250))</f>
        <v>0</v>
      </c>
      <c r="CT250" s="254">
        <f>SUM(AU250,AV250,AW250,AX250/400,AY250,AZ250,BG250,BH250*0.5,BI250*0.25,BJ250,BK250,BL250,BM250,BN250,BO250,BP250,BR250/20,BS250/100,BT250/60,BU250,BV250,BW250,BX250/4,SUM(BY250:CC260)/3,CE250,CG250/3,CI250,CK250,CM250,CO250,CQ250,CR250)</f>
        <v>0</v>
      </c>
      <c r="CU250" s="255" t="str">
        <f t="shared" si="2"/>
        <v/>
      </c>
    </row>
    <row r="251" ht="60.0" hidden="1" customHeight="1">
      <c r="A251" s="65"/>
      <c r="C251" s="167"/>
      <c r="D251" s="205"/>
      <c r="E251" s="262"/>
      <c r="F251" s="170"/>
      <c r="G251" s="170"/>
      <c r="H251" s="170"/>
      <c r="I251" s="170"/>
      <c r="J251" s="170"/>
      <c r="K251" s="171"/>
      <c r="L251" s="171"/>
      <c r="M251" s="171"/>
      <c r="N251" s="209"/>
      <c r="O251" s="172">
        <f t="shared" si="46"/>
        <v>0</v>
      </c>
      <c r="P251" s="166"/>
      <c r="Q251" s="173"/>
      <c r="R251" s="65"/>
      <c r="S251" s="173"/>
      <c r="T251" s="173"/>
      <c r="U251" s="166"/>
      <c r="V251" s="166"/>
      <c r="W251" s="65"/>
      <c r="X251" s="66"/>
      <c r="Y251" s="173"/>
      <c r="Z251" s="166"/>
      <c r="AA251" s="174"/>
      <c r="AB251" s="175"/>
      <c r="AC251" s="175"/>
      <c r="AD251" s="175"/>
      <c r="AE251" s="175"/>
      <c r="AF251" s="175"/>
      <c r="AG251" s="175"/>
      <c r="AH251" s="175"/>
      <c r="AI251" s="176"/>
      <c r="AJ251" s="177"/>
      <c r="AK251" s="178"/>
      <c r="AL251" s="178"/>
      <c r="AM251" s="178"/>
      <c r="AN251" s="178"/>
      <c r="AO251" s="179"/>
      <c r="AP251" s="64"/>
      <c r="AQ251" s="65"/>
      <c r="AR251" s="65"/>
      <c r="AS251" s="65"/>
      <c r="AT251" s="173"/>
      <c r="AU251" s="177"/>
      <c r="AV251" s="178"/>
      <c r="AW251" s="178"/>
      <c r="AX251" s="179"/>
      <c r="AZ251" s="166"/>
      <c r="BA251" s="177"/>
      <c r="BB251" s="178"/>
      <c r="BC251" s="178"/>
      <c r="BD251" s="178"/>
      <c r="BE251" s="178"/>
      <c r="BF251" s="178"/>
      <c r="BG251" s="178"/>
      <c r="BH251" s="178"/>
      <c r="BI251" s="179"/>
      <c r="BJ251" s="180"/>
      <c r="BK251" s="178"/>
      <c r="BL251" s="178"/>
      <c r="BM251" s="178"/>
      <c r="BN251" s="178"/>
      <c r="BO251" s="181"/>
      <c r="BP251" s="166"/>
      <c r="BQ251" s="177"/>
      <c r="BR251" s="178"/>
      <c r="BS251" s="179"/>
      <c r="BU251" s="166"/>
      <c r="BV251" s="166"/>
      <c r="BW251" s="166"/>
      <c r="BX251" s="166"/>
      <c r="BY251" s="166"/>
      <c r="BZ251" s="166"/>
      <c r="CA251" s="166"/>
      <c r="CB251" s="166"/>
      <c r="CC251" s="166"/>
      <c r="CD251" s="177"/>
      <c r="CE251" s="181"/>
      <c r="CF251" s="177"/>
      <c r="CG251" s="179"/>
      <c r="CH251" s="257"/>
      <c r="CI251" s="182"/>
      <c r="CJ251" s="177"/>
      <c r="CK251" s="182"/>
      <c r="CL251" s="177"/>
      <c r="CM251" s="182"/>
      <c r="CN251" s="177"/>
      <c r="CO251" s="182"/>
      <c r="CP251" s="177"/>
      <c r="CQ251" s="178"/>
      <c r="CR251" s="182"/>
      <c r="CS251" s="173"/>
      <c r="CT251" s="65"/>
      <c r="CU251" s="271" t="str">
        <f t="shared" si="2"/>
        <v/>
      </c>
    </row>
    <row r="252" ht="60.0" hidden="1" customHeight="1">
      <c r="A252" s="65"/>
      <c r="C252" s="167"/>
      <c r="D252" s="205"/>
      <c r="E252" s="262"/>
      <c r="F252" s="170"/>
      <c r="G252" s="170"/>
      <c r="H252" s="170"/>
      <c r="I252" s="170"/>
      <c r="J252" s="170"/>
      <c r="K252" s="171"/>
      <c r="L252" s="171"/>
      <c r="M252" s="171"/>
      <c r="N252" s="209"/>
      <c r="O252" s="172">
        <f t="shared" si="46"/>
        <v>0</v>
      </c>
      <c r="P252" s="166"/>
      <c r="Q252" s="173"/>
      <c r="R252" s="65"/>
      <c r="S252" s="173"/>
      <c r="T252" s="173"/>
      <c r="U252" s="166"/>
      <c r="V252" s="166"/>
      <c r="W252" s="65"/>
      <c r="X252" s="66"/>
      <c r="Y252" s="173"/>
      <c r="Z252" s="166"/>
      <c r="AA252" s="174"/>
      <c r="AB252" s="175"/>
      <c r="AC252" s="175"/>
      <c r="AD252" s="175"/>
      <c r="AE252" s="175"/>
      <c r="AF252" s="175"/>
      <c r="AG252" s="175"/>
      <c r="AH252" s="175"/>
      <c r="AI252" s="176"/>
      <c r="AJ252" s="177"/>
      <c r="AK252" s="178"/>
      <c r="AL252" s="178"/>
      <c r="AM252" s="178"/>
      <c r="AN252" s="178"/>
      <c r="AO252" s="179"/>
      <c r="AP252" s="64"/>
      <c r="AQ252" s="65"/>
      <c r="AR252" s="65"/>
      <c r="AS252" s="65"/>
      <c r="AT252" s="173"/>
      <c r="AU252" s="177"/>
      <c r="AV252" s="178"/>
      <c r="AW252" s="178"/>
      <c r="AX252" s="179"/>
      <c r="AZ252" s="166"/>
      <c r="BA252" s="177"/>
      <c r="BB252" s="178"/>
      <c r="BC252" s="178"/>
      <c r="BD252" s="178"/>
      <c r="BE252" s="178"/>
      <c r="BF252" s="178"/>
      <c r="BG252" s="178"/>
      <c r="BH252" s="178"/>
      <c r="BI252" s="179"/>
      <c r="BJ252" s="180"/>
      <c r="BK252" s="178"/>
      <c r="BL252" s="178"/>
      <c r="BM252" s="178"/>
      <c r="BN252" s="178"/>
      <c r="BO252" s="181"/>
      <c r="BP252" s="166"/>
      <c r="BQ252" s="177"/>
      <c r="BR252" s="178"/>
      <c r="BS252" s="179"/>
      <c r="BU252" s="166"/>
      <c r="BV252" s="166"/>
      <c r="BW252" s="166"/>
      <c r="BX252" s="166"/>
      <c r="BY252" s="166"/>
      <c r="BZ252" s="166"/>
      <c r="CA252" s="166"/>
      <c r="CB252" s="166"/>
      <c r="CC252" s="166"/>
      <c r="CD252" s="177"/>
      <c r="CE252" s="181"/>
      <c r="CF252" s="177"/>
      <c r="CG252" s="179"/>
      <c r="CH252" s="257"/>
      <c r="CI252" s="182"/>
      <c r="CJ252" s="177"/>
      <c r="CK252" s="182"/>
      <c r="CL252" s="177"/>
      <c r="CM252" s="182"/>
      <c r="CN252" s="177"/>
      <c r="CO252" s="182"/>
      <c r="CP252" s="177"/>
      <c r="CQ252" s="178"/>
      <c r="CR252" s="182"/>
      <c r="CS252" s="173"/>
      <c r="CT252" s="65"/>
      <c r="CU252" s="271" t="str">
        <f t="shared" si="2"/>
        <v/>
      </c>
    </row>
    <row r="253" ht="60.0" hidden="1" customHeight="1">
      <c r="A253" s="65"/>
      <c r="C253" s="167"/>
      <c r="D253" s="205"/>
      <c r="E253" s="262"/>
      <c r="F253" s="170"/>
      <c r="G253" s="170"/>
      <c r="H253" s="170"/>
      <c r="I253" s="170"/>
      <c r="J253" s="170"/>
      <c r="K253" s="171"/>
      <c r="L253" s="171"/>
      <c r="M253" s="171"/>
      <c r="N253" s="209"/>
      <c r="O253" s="172">
        <f t="shared" si="46"/>
        <v>0</v>
      </c>
      <c r="P253" s="166"/>
      <c r="Q253" s="173"/>
      <c r="R253" s="65"/>
      <c r="S253" s="173"/>
      <c r="T253" s="173"/>
      <c r="U253" s="166"/>
      <c r="V253" s="166"/>
      <c r="W253" s="65"/>
      <c r="X253" s="66"/>
      <c r="Y253" s="173"/>
      <c r="Z253" s="166"/>
      <c r="AA253" s="174"/>
      <c r="AB253" s="175"/>
      <c r="AC253" s="175"/>
      <c r="AD253" s="175"/>
      <c r="AE253" s="175"/>
      <c r="AF253" s="175"/>
      <c r="AG253" s="175"/>
      <c r="AH253" s="175"/>
      <c r="AI253" s="176"/>
      <c r="AJ253" s="177"/>
      <c r="AK253" s="178"/>
      <c r="AL253" s="178"/>
      <c r="AM253" s="178"/>
      <c r="AN253" s="178"/>
      <c r="AO253" s="179"/>
      <c r="AP253" s="64"/>
      <c r="AQ253" s="65"/>
      <c r="AR253" s="65"/>
      <c r="AS253" s="65"/>
      <c r="AT253" s="173"/>
      <c r="AU253" s="177"/>
      <c r="AV253" s="178"/>
      <c r="AW253" s="178"/>
      <c r="AX253" s="179"/>
      <c r="AZ253" s="166"/>
      <c r="BA253" s="177"/>
      <c r="BB253" s="178"/>
      <c r="BC253" s="178"/>
      <c r="BD253" s="178"/>
      <c r="BE253" s="178"/>
      <c r="BF253" s="178"/>
      <c r="BG253" s="178"/>
      <c r="BH253" s="178"/>
      <c r="BI253" s="179"/>
      <c r="BJ253" s="180"/>
      <c r="BK253" s="178"/>
      <c r="BL253" s="178"/>
      <c r="BM253" s="178"/>
      <c r="BN253" s="178"/>
      <c r="BO253" s="181"/>
      <c r="BP253" s="166"/>
      <c r="BQ253" s="177"/>
      <c r="BR253" s="178"/>
      <c r="BS253" s="179"/>
      <c r="BU253" s="166"/>
      <c r="BV253" s="166"/>
      <c r="BW253" s="166"/>
      <c r="BX253" s="166"/>
      <c r="BY253" s="166"/>
      <c r="BZ253" s="166"/>
      <c r="CA253" s="166"/>
      <c r="CB253" s="166"/>
      <c r="CC253" s="166"/>
      <c r="CD253" s="177"/>
      <c r="CE253" s="181"/>
      <c r="CF253" s="177"/>
      <c r="CG253" s="179"/>
      <c r="CH253" s="257"/>
      <c r="CI253" s="182"/>
      <c r="CJ253" s="177"/>
      <c r="CK253" s="182"/>
      <c r="CL253" s="177"/>
      <c r="CM253" s="182"/>
      <c r="CN253" s="177"/>
      <c r="CO253" s="182"/>
      <c r="CP253" s="177"/>
      <c r="CQ253" s="178"/>
      <c r="CR253" s="182"/>
      <c r="CS253" s="173"/>
      <c r="CT253" s="65"/>
      <c r="CU253" s="271" t="str">
        <f t="shared" si="2"/>
        <v/>
      </c>
    </row>
    <row r="254" ht="60.0" hidden="1" customHeight="1">
      <c r="A254" s="65"/>
      <c r="C254" s="167"/>
      <c r="D254" s="205"/>
      <c r="E254" s="262"/>
      <c r="F254" s="170"/>
      <c r="G254" s="170"/>
      <c r="H254" s="170"/>
      <c r="I254" s="170"/>
      <c r="J254" s="170"/>
      <c r="K254" s="171"/>
      <c r="L254" s="171"/>
      <c r="M254" s="171"/>
      <c r="N254" s="209"/>
      <c r="O254" s="172">
        <f t="shared" si="46"/>
        <v>0</v>
      </c>
      <c r="P254" s="166"/>
      <c r="Q254" s="173"/>
      <c r="R254" s="65"/>
      <c r="S254" s="173"/>
      <c r="T254" s="173"/>
      <c r="U254" s="166"/>
      <c r="V254" s="166"/>
      <c r="W254" s="65"/>
      <c r="X254" s="66"/>
      <c r="Y254" s="173"/>
      <c r="Z254" s="166"/>
      <c r="AA254" s="174"/>
      <c r="AB254" s="175"/>
      <c r="AC254" s="175"/>
      <c r="AD254" s="175"/>
      <c r="AE254" s="175"/>
      <c r="AF254" s="175"/>
      <c r="AG254" s="175"/>
      <c r="AH254" s="175"/>
      <c r="AI254" s="176"/>
      <c r="AJ254" s="177"/>
      <c r="AK254" s="178"/>
      <c r="AL254" s="178"/>
      <c r="AM254" s="178"/>
      <c r="AN254" s="178"/>
      <c r="AO254" s="179"/>
      <c r="AP254" s="64"/>
      <c r="AQ254" s="65"/>
      <c r="AR254" s="65"/>
      <c r="AS254" s="65"/>
      <c r="AT254" s="173"/>
      <c r="AU254" s="177"/>
      <c r="AV254" s="178"/>
      <c r="AW254" s="178"/>
      <c r="AX254" s="179"/>
      <c r="AZ254" s="166"/>
      <c r="BA254" s="177"/>
      <c r="BB254" s="178"/>
      <c r="BC254" s="178"/>
      <c r="BD254" s="178"/>
      <c r="BE254" s="178"/>
      <c r="BF254" s="178"/>
      <c r="BG254" s="178"/>
      <c r="BH254" s="178"/>
      <c r="BI254" s="179"/>
      <c r="BJ254" s="180"/>
      <c r="BK254" s="178"/>
      <c r="BL254" s="178"/>
      <c r="BM254" s="178"/>
      <c r="BN254" s="178"/>
      <c r="BO254" s="181"/>
      <c r="BP254" s="166"/>
      <c r="BQ254" s="177"/>
      <c r="BR254" s="178"/>
      <c r="BS254" s="179"/>
      <c r="BU254" s="166"/>
      <c r="BV254" s="166"/>
      <c r="BW254" s="166"/>
      <c r="BX254" s="166"/>
      <c r="BY254" s="166"/>
      <c r="BZ254" s="166"/>
      <c r="CA254" s="166"/>
      <c r="CB254" s="166"/>
      <c r="CC254" s="166"/>
      <c r="CD254" s="177"/>
      <c r="CE254" s="181"/>
      <c r="CF254" s="177"/>
      <c r="CG254" s="179"/>
      <c r="CH254" s="257"/>
      <c r="CI254" s="182"/>
      <c r="CJ254" s="177"/>
      <c r="CK254" s="182"/>
      <c r="CL254" s="177"/>
      <c r="CM254" s="182"/>
      <c r="CN254" s="177"/>
      <c r="CO254" s="182"/>
      <c r="CP254" s="177"/>
      <c r="CQ254" s="178"/>
      <c r="CR254" s="182"/>
      <c r="CS254" s="173"/>
      <c r="CT254" s="65"/>
      <c r="CU254" s="271" t="str">
        <f t="shared" si="2"/>
        <v/>
      </c>
    </row>
    <row r="255" ht="60.0" hidden="1" customHeight="1">
      <c r="A255" s="65"/>
      <c r="C255" s="167"/>
      <c r="D255" s="205"/>
      <c r="E255" s="262"/>
      <c r="F255" s="170"/>
      <c r="G255" s="170"/>
      <c r="H255" s="170"/>
      <c r="I255" s="170"/>
      <c r="J255" s="170"/>
      <c r="K255" s="171"/>
      <c r="L255" s="171"/>
      <c r="M255" s="171"/>
      <c r="N255" s="209"/>
      <c r="O255" s="172">
        <f t="shared" si="46"/>
        <v>0</v>
      </c>
      <c r="P255" s="166"/>
      <c r="Q255" s="173"/>
      <c r="R255" s="65"/>
      <c r="S255" s="173"/>
      <c r="T255" s="173"/>
      <c r="U255" s="166"/>
      <c r="V255" s="166"/>
      <c r="W255" s="65"/>
      <c r="X255" s="66"/>
      <c r="Y255" s="173"/>
      <c r="Z255" s="166"/>
      <c r="AA255" s="174"/>
      <c r="AB255" s="175"/>
      <c r="AC255" s="175"/>
      <c r="AD255" s="175"/>
      <c r="AE255" s="175"/>
      <c r="AF255" s="175"/>
      <c r="AG255" s="175"/>
      <c r="AH255" s="175"/>
      <c r="AI255" s="176"/>
      <c r="AJ255" s="177"/>
      <c r="AK255" s="178"/>
      <c r="AL255" s="178"/>
      <c r="AM255" s="178"/>
      <c r="AN255" s="178"/>
      <c r="AO255" s="179"/>
      <c r="AP255" s="64"/>
      <c r="AQ255" s="65"/>
      <c r="AR255" s="65"/>
      <c r="AS255" s="65"/>
      <c r="AT255" s="173"/>
      <c r="AU255" s="177"/>
      <c r="AV255" s="178"/>
      <c r="AW255" s="178"/>
      <c r="AX255" s="179"/>
      <c r="AZ255" s="166"/>
      <c r="BA255" s="177"/>
      <c r="BB255" s="178"/>
      <c r="BC255" s="178"/>
      <c r="BD255" s="178"/>
      <c r="BE255" s="178"/>
      <c r="BF255" s="178"/>
      <c r="BG255" s="178"/>
      <c r="BH255" s="178"/>
      <c r="BI255" s="179"/>
      <c r="BJ255" s="180"/>
      <c r="BK255" s="178"/>
      <c r="BL255" s="178"/>
      <c r="BM255" s="178"/>
      <c r="BN255" s="178"/>
      <c r="BO255" s="181"/>
      <c r="BP255" s="166"/>
      <c r="BQ255" s="177"/>
      <c r="BR255" s="178"/>
      <c r="BS255" s="179"/>
      <c r="BU255" s="166"/>
      <c r="BV255" s="166"/>
      <c r="BW255" s="166"/>
      <c r="BX255" s="166"/>
      <c r="BY255" s="166"/>
      <c r="BZ255" s="166"/>
      <c r="CA255" s="166"/>
      <c r="CB255" s="166"/>
      <c r="CC255" s="166"/>
      <c r="CD255" s="177"/>
      <c r="CE255" s="181"/>
      <c r="CF255" s="177"/>
      <c r="CG255" s="179"/>
      <c r="CH255" s="257"/>
      <c r="CI255" s="182"/>
      <c r="CJ255" s="177"/>
      <c r="CK255" s="182"/>
      <c r="CL255" s="177"/>
      <c r="CM255" s="182"/>
      <c r="CN255" s="177"/>
      <c r="CO255" s="182"/>
      <c r="CP255" s="177"/>
      <c r="CQ255" s="178"/>
      <c r="CR255" s="182"/>
      <c r="CS255" s="173"/>
      <c r="CT255" s="65"/>
      <c r="CU255" s="271" t="str">
        <f t="shared" si="2"/>
        <v/>
      </c>
    </row>
    <row r="256" ht="60.0" hidden="1" customHeight="1">
      <c r="A256" s="65"/>
      <c r="C256" s="167"/>
      <c r="D256" s="205"/>
      <c r="E256" s="262"/>
      <c r="F256" s="170"/>
      <c r="G256" s="170"/>
      <c r="H256" s="170"/>
      <c r="I256" s="170"/>
      <c r="J256" s="170"/>
      <c r="K256" s="171"/>
      <c r="L256" s="171"/>
      <c r="M256" s="171"/>
      <c r="N256" s="209"/>
      <c r="O256" s="172">
        <f t="shared" ref="O256:O259" si="47">IF(AND(M256&gt;=20,M256&lt;&gt;"m",RIGHT(K256,3)="Lec"),1,IF(AND(M256&gt;=20,M256&lt;&gt;"m",OR(RIGHT(K256,3)="Lab",RIGHT(K256,3)="Tut")),0.5,IF(AND(M256&gt;=20,M256&lt;&gt;"m",RIGHT(K256,2)="TL"),0.75,0)))</f>
        <v>0</v>
      </c>
      <c r="P256" s="166"/>
      <c r="Q256" s="173"/>
      <c r="R256" s="65"/>
      <c r="S256" s="173"/>
      <c r="T256" s="173"/>
      <c r="U256" s="166"/>
      <c r="V256" s="166"/>
      <c r="W256" s="65"/>
      <c r="X256" s="66"/>
      <c r="Y256" s="173"/>
      <c r="Z256" s="166"/>
      <c r="AA256" s="174"/>
      <c r="AB256" s="175"/>
      <c r="AC256" s="175"/>
      <c r="AD256" s="175"/>
      <c r="AE256" s="175"/>
      <c r="AF256" s="175"/>
      <c r="AG256" s="175"/>
      <c r="AH256" s="175"/>
      <c r="AI256" s="176"/>
      <c r="AJ256" s="177"/>
      <c r="AK256" s="178"/>
      <c r="AL256" s="178"/>
      <c r="AM256" s="178"/>
      <c r="AN256" s="178"/>
      <c r="AO256" s="179"/>
      <c r="AP256" s="64"/>
      <c r="AQ256" s="65"/>
      <c r="AR256" s="65"/>
      <c r="AS256" s="65"/>
      <c r="AT256" s="173"/>
      <c r="AU256" s="177"/>
      <c r="AV256" s="178"/>
      <c r="AW256" s="178"/>
      <c r="AX256" s="179"/>
      <c r="AZ256" s="166"/>
      <c r="BA256" s="177"/>
      <c r="BB256" s="178"/>
      <c r="BC256" s="178"/>
      <c r="BD256" s="178"/>
      <c r="BE256" s="178"/>
      <c r="BF256" s="178"/>
      <c r="BG256" s="178"/>
      <c r="BH256" s="178"/>
      <c r="BI256" s="179"/>
      <c r="BJ256" s="180"/>
      <c r="BK256" s="178"/>
      <c r="BL256" s="178"/>
      <c r="BM256" s="178"/>
      <c r="BN256" s="178"/>
      <c r="BO256" s="181"/>
      <c r="BP256" s="166"/>
      <c r="BQ256" s="177"/>
      <c r="BR256" s="178"/>
      <c r="BS256" s="179"/>
      <c r="BU256" s="166"/>
      <c r="BV256" s="166"/>
      <c r="BW256" s="166"/>
      <c r="BX256" s="166"/>
      <c r="BY256" s="166"/>
      <c r="BZ256" s="166"/>
      <c r="CA256" s="166"/>
      <c r="CB256" s="166"/>
      <c r="CC256" s="166"/>
      <c r="CD256" s="177"/>
      <c r="CE256" s="181"/>
      <c r="CF256" s="177"/>
      <c r="CG256" s="179"/>
      <c r="CH256" s="257"/>
      <c r="CI256" s="182"/>
      <c r="CJ256" s="177"/>
      <c r="CK256" s="182"/>
      <c r="CL256" s="177"/>
      <c r="CM256" s="182"/>
      <c r="CN256" s="177"/>
      <c r="CO256" s="182"/>
      <c r="CP256" s="177"/>
      <c r="CQ256" s="178"/>
      <c r="CR256" s="182"/>
      <c r="CS256" s="173"/>
      <c r="CT256" s="65"/>
      <c r="CU256" s="271" t="str">
        <f t="shared" si="2"/>
        <v/>
      </c>
    </row>
    <row r="257" ht="60.0" hidden="1" customHeight="1">
      <c r="A257" s="65"/>
      <c r="C257" s="167"/>
      <c r="D257" s="205"/>
      <c r="E257" s="262"/>
      <c r="F257" s="170"/>
      <c r="G257" s="170"/>
      <c r="H257" s="170"/>
      <c r="I257" s="170"/>
      <c r="J257" s="170"/>
      <c r="K257" s="171"/>
      <c r="L257" s="171"/>
      <c r="M257" s="171"/>
      <c r="N257" s="209"/>
      <c r="O257" s="172">
        <f t="shared" si="47"/>
        <v>0</v>
      </c>
      <c r="P257" s="166"/>
      <c r="Q257" s="173"/>
      <c r="R257" s="65"/>
      <c r="S257" s="173"/>
      <c r="T257" s="173"/>
      <c r="U257" s="166"/>
      <c r="V257" s="166"/>
      <c r="W257" s="65"/>
      <c r="X257" s="66"/>
      <c r="Y257" s="173"/>
      <c r="Z257" s="166"/>
      <c r="AA257" s="174"/>
      <c r="AB257" s="175"/>
      <c r="AC257" s="175"/>
      <c r="AD257" s="175"/>
      <c r="AE257" s="175"/>
      <c r="AF257" s="175"/>
      <c r="AG257" s="175"/>
      <c r="AH257" s="175"/>
      <c r="AI257" s="176"/>
      <c r="AJ257" s="177"/>
      <c r="AK257" s="178"/>
      <c r="AL257" s="178"/>
      <c r="AM257" s="178"/>
      <c r="AN257" s="178"/>
      <c r="AO257" s="179"/>
      <c r="AP257" s="64"/>
      <c r="AQ257" s="65"/>
      <c r="AR257" s="65"/>
      <c r="AS257" s="65"/>
      <c r="AT257" s="173"/>
      <c r="AU257" s="177"/>
      <c r="AV257" s="178"/>
      <c r="AW257" s="178"/>
      <c r="AX257" s="179"/>
      <c r="AZ257" s="166"/>
      <c r="BA257" s="177"/>
      <c r="BB257" s="178"/>
      <c r="BC257" s="178"/>
      <c r="BD257" s="178"/>
      <c r="BE257" s="178"/>
      <c r="BF257" s="178"/>
      <c r="BG257" s="178"/>
      <c r="BH257" s="178"/>
      <c r="BI257" s="179"/>
      <c r="BJ257" s="180"/>
      <c r="BK257" s="178"/>
      <c r="BL257" s="178"/>
      <c r="BM257" s="178"/>
      <c r="BN257" s="178"/>
      <c r="BO257" s="181"/>
      <c r="BP257" s="166"/>
      <c r="BQ257" s="177"/>
      <c r="BR257" s="178"/>
      <c r="BS257" s="179"/>
      <c r="BU257" s="166"/>
      <c r="BV257" s="166"/>
      <c r="BW257" s="166"/>
      <c r="BX257" s="166"/>
      <c r="BY257" s="166"/>
      <c r="BZ257" s="166"/>
      <c r="CA257" s="166"/>
      <c r="CB257" s="166"/>
      <c r="CC257" s="166"/>
      <c r="CD257" s="177"/>
      <c r="CE257" s="181"/>
      <c r="CF257" s="177"/>
      <c r="CG257" s="179"/>
      <c r="CH257" s="257"/>
      <c r="CI257" s="182"/>
      <c r="CJ257" s="177"/>
      <c r="CK257" s="182"/>
      <c r="CL257" s="177"/>
      <c r="CM257" s="182"/>
      <c r="CN257" s="177"/>
      <c r="CO257" s="182"/>
      <c r="CP257" s="177"/>
      <c r="CQ257" s="178"/>
      <c r="CR257" s="182"/>
      <c r="CS257" s="173"/>
      <c r="CT257" s="65"/>
      <c r="CU257" s="271" t="str">
        <f t="shared" si="2"/>
        <v/>
      </c>
    </row>
    <row r="258" ht="60.0" hidden="1" customHeight="1">
      <c r="A258" s="65"/>
      <c r="C258" s="167"/>
      <c r="D258" s="205"/>
      <c r="E258" s="262"/>
      <c r="F258" s="170"/>
      <c r="G258" s="170"/>
      <c r="H258" s="170"/>
      <c r="I258" s="170"/>
      <c r="J258" s="170"/>
      <c r="K258" s="171"/>
      <c r="L258" s="171"/>
      <c r="M258" s="171"/>
      <c r="N258" s="209"/>
      <c r="O258" s="172">
        <f t="shared" si="47"/>
        <v>0</v>
      </c>
      <c r="P258" s="166"/>
      <c r="Q258" s="173"/>
      <c r="R258" s="65"/>
      <c r="S258" s="173"/>
      <c r="T258" s="173"/>
      <c r="U258" s="166"/>
      <c r="V258" s="166"/>
      <c r="W258" s="65"/>
      <c r="X258" s="66"/>
      <c r="Y258" s="173"/>
      <c r="Z258" s="166"/>
      <c r="AA258" s="174"/>
      <c r="AB258" s="175"/>
      <c r="AC258" s="175"/>
      <c r="AD258" s="175"/>
      <c r="AE258" s="175"/>
      <c r="AF258" s="175"/>
      <c r="AG258" s="175"/>
      <c r="AH258" s="175"/>
      <c r="AI258" s="176"/>
      <c r="AJ258" s="177"/>
      <c r="AK258" s="178"/>
      <c r="AL258" s="178"/>
      <c r="AM258" s="178"/>
      <c r="AN258" s="178"/>
      <c r="AO258" s="179"/>
      <c r="AP258" s="64"/>
      <c r="AQ258" s="65"/>
      <c r="AR258" s="65"/>
      <c r="AS258" s="65"/>
      <c r="AT258" s="173"/>
      <c r="AU258" s="177"/>
      <c r="AV258" s="178"/>
      <c r="AW258" s="178"/>
      <c r="AX258" s="179"/>
      <c r="AZ258" s="166"/>
      <c r="BA258" s="177"/>
      <c r="BB258" s="178"/>
      <c r="BC258" s="178"/>
      <c r="BD258" s="178"/>
      <c r="BE258" s="178"/>
      <c r="BF258" s="178"/>
      <c r="BG258" s="178"/>
      <c r="BH258" s="178"/>
      <c r="BI258" s="179"/>
      <c r="BJ258" s="180"/>
      <c r="BK258" s="178"/>
      <c r="BL258" s="178"/>
      <c r="BM258" s="178"/>
      <c r="BN258" s="178"/>
      <c r="BO258" s="181"/>
      <c r="BP258" s="166"/>
      <c r="BQ258" s="177"/>
      <c r="BR258" s="178"/>
      <c r="BS258" s="179"/>
      <c r="BU258" s="166"/>
      <c r="BV258" s="166"/>
      <c r="BW258" s="166"/>
      <c r="BX258" s="166"/>
      <c r="BY258" s="166"/>
      <c r="BZ258" s="166"/>
      <c r="CA258" s="166"/>
      <c r="CB258" s="166"/>
      <c r="CC258" s="166"/>
      <c r="CD258" s="177"/>
      <c r="CE258" s="181"/>
      <c r="CF258" s="177"/>
      <c r="CG258" s="179"/>
      <c r="CH258" s="257"/>
      <c r="CI258" s="182"/>
      <c r="CJ258" s="177"/>
      <c r="CK258" s="182"/>
      <c r="CL258" s="177"/>
      <c r="CM258" s="182"/>
      <c r="CN258" s="177"/>
      <c r="CO258" s="182"/>
      <c r="CP258" s="177"/>
      <c r="CQ258" s="178"/>
      <c r="CR258" s="182"/>
      <c r="CS258" s="173"/>
      <c r="CT258" s="65"/>
      <c r="CU258" s="271" t="str">
        <f t="shared" si="2"/>
        <v/>
      </c>
    </row>
    <row r="259" ht="60.0" hidden="1" customHeight="1">
      <c r="A259" s="65"/>
      <c r="C259" s="167"/>
      <c r="D259" s="205"/>
      <c r="E259" s="262"/>
      <c r="F259" s="170"/>
      <c r="G259" s="170"/>
      <c r="H259" s="170"/>
      <c r="I259" s="170"/>
      <c r="J259" s="170"/>
      <c r="K259" s="171"/>
      <c r="L259" s="171"/>
      <c r="M259" s="171"/>
      <c r="N259" s="209"/>
      <c r="O259" s="172">
        <f t="shared" si="47"/>
        <v>0</v>
      </c>
      <c r="P259" s="166"/>
      <c r="Q259" s="173"/>
      <c r="R259" s="65"/>
      <c r="S259" s="173"/>
      <c r="T259" s="173"/>
      <c r="U259" s="166"/>
      <c r="V259" s="166"/>
      <c r="W259" s="65"/>
      <c r="X259" s="66"/>
      <c r="Y259" s="173"/>
      <c r="Z259" s="166"/>
      <c r="AA259" s="174"/>
      <c r="AB259" s="175"/>
      <c r="AC259" s="175"/>
      <c r="AD259" s="175"/>
      <c r="AE259" s="175"/>
      <c r="AF259" s="175"/>
      <c r="AG259" s="175"/>
      <c r="AH259" s="175"/>
      <c r="AI259" s="176"/>
      <c r="AJ259" s="177"/>
      <c r="AK259" s="178"/>
      <c r="AL259" s="178"/>
      <c r="AM259" s="178"/>
      <c r="AN259" s="178"/>
      <c r="AO259" s="179"/>
      <c r="AP259" s="64"/>
      <c r="AQ259" s="65"/>
      <c r="AR259" s="65"/>
      <c r="AS259" s="65"/>
      <c r="AT259" s="173"/>
      <c r="AU259" s="177"/>
      <c r="AV259" s="178"/>
      <c r="AW259" s="178"/>
      <c r="AX259" s="179"/>
      <c r="AZ259" s="166"/>
      <c r="BA259" s="177"/>
      <c r="BB259" s="178"/>
      <c r="BC259" s="178"/>
      <c r="BD259" s="178"/>
      <c r="BE259" s="178"/>
      <c r="BF259" s="178"/>
      <c r="BG259" s="178"/>
      <c r="BH259" s="178"/>
      <c r="BI259" s="179"/>
      <c r="BJ259" s="180"/>
      <c r="BK259" s="178"/>
      <c r="BL259" s="178"/>
      <c r="BM259" s="178"/>
      <c r="BN259" s="178"/>
      <c r="BO259" s="181"/>
      <c r="BP259" s="166"/>
      <c r="BQ259" s="177"/>
      <c r="BR259" s="178"/>
      <c r="BS259" s="179"/>
      <c r="BU259" s="166"/>
      <c r="BV259" s="166"/>
      <c r="BW259" s="166"/>
      <c r="BX259" s="166"/>
      <c r="BY259" s="166"/>
      <c r="BZ259" s="166"/>
      <c r="CA259" s="166"/>
      <c r="CB259" s="166"/>
      <c r="CC259" s="166"/>
      <c r="CD259" s="177"/>
      <c r="CE259" s="181"/>
      <c r="CF259" s="177"/>
      <c r="CG259" s="179"/>
      <c r="CH259" s="257"/>
      <c r="CI259" s="182"/>
      <c r="CJ259" s="177"/>
      <c r="CK259" s="182"/>
      <c r="CL259" s="177"/>
      <c r="CM259" s="182"/>
      <c r="CN259" s="177"/>
      <c r="CO259" s="182"/>
      <c r="CP259" s="177"/>
      <c r="CQ259" s="178"/>
      <c r="CR259" s="182"/>
      <c r="CS259" s="173"/>
      <c r="CT259" s="65"/>
      <c r="CU259" s="271" t="str">
        <f t="shared" si="2"/>
        <v/>
      </c>
    </row>
    <row r="260" ht="60.0" hidden="1" customHeight="1">
      <c r="A260" s="89"/>
      <c r="B260" s="6"/>
      <c r="C260" s="183"/>
      <c r="D260" s="210"/>
      <c r="E260" s="263"/>
      <c r="F260" s="186"/>
      <c r="G260" s="186"/>
      <c r="H260" s="186"/>
      <c r="I260" s="186"/>
      <c r="J260" s="186"/>
      <c r="K260" s="187"/>
      <c r="L260" s="187"/>
      <c r="M260" s="187"/>
      <c r="N260" s="214"/>
      <c r="O260" s="188">
        <f t="shared" ref="O260:O266" si="48">IF(AND(M260&lt;&gt;0,M260&lt;&gt;"m",M260&lt;&gt;"",RIGHT(K260,3)="Lec"),1,IF(AND(M260&lt;&gt;0,M260&lt;&gt;"m",M260&lt;&gt;"",OR(RIGHT(K260,3)="Lab",RIGHT(K260,3)="Tut")),0.5,IF(AND(M260&lt;&gt;0,M260&lt;&gt;"m",M260&lt;&gt;"",RIGHT(K260,2)="TL"),0.75,0)))</f>
        <v>0</v>
      </c>
      <c r="P260" s="63"/>
      <c r="Q260" s="69"/>
      <c r="R260" s="89"/>
      <c r="S260" s="69"/>
      <c r="T260" s="69"/>
      <c r="U260" s="63"/>
      <c r="V260" s="63"/>
      <c r="W260" s="89"/>
      <c r="X260" s="68"/>
      <c r="Y260" s="69"/>
      <c r="Z260" s="63"/>
      <c r="AA260" s="189"/>
      <c r="AB260" s="190"/>
      <c r="AC260" s="190"/>
      <c r="AD260" s="190"/>
      <c r="AE260" s="190"/>
      <c r="AF260" s="190"/>
      <c r="AG260" s="190"/>
      <c r="AH260" s="190"/>
      <c r="AI260" s="191"/>
      <c r="AJ260" s="192"/>
      <c r="AK260" s="193"/>
      <c r="AL260" s="193"/>
      <c r="AM260" s="193"/>
      <c r="AN260" s="193"/>
      <c r="AO260" s="194"/>
      <c r="AP260" s="103"/>
      <c r="AQ260" s="89"/>
      <c r="AR260" s="89"/>
      <c r="AS260" s="89"/>
      <c r="AT260" s="69"/>
      <c r="AU260" s="192"/>
      <c r="AV260" s="193"/>
      <c r="AW260" s="193"/>
      <c r="AX260" s="194"/>
      <c r="AY260" s="6"/>
      <c r="AZ260" s="63"/>
      <c r="BA260" s="192"/>
      <c r="BB260" s="193"/>
      <c r="BC260" s="193"/>
      <c r="BD260" s="193"/>
      <c r="BE260" s="193"/>
      <c r="BF260" s="193"/>
      <c r="BG260" s="193"/>
      <c r="BH260" s="193"/>
      <c r="BI260" s="194"/>
      <c r="BJ260" s="195"/>
      <c r="BK260" s="193"/>
      <c r="BL260" s="193"/>
      <c r="BM260" s="193"/>
      <c r="BN260" s="193"/>
      <c r="BO260" s="196"/>
      <c r="BP260" s="63"/>
      <c r="BQ260" s="192"/>
      <c r="BR260" s="193"/>
      <c r="BS260" s="194"/>
      <c r="BT260" s="6"/>
      <c r="BU260" s="63"/>
      <c r="BV260" s="63"/>
      <c r="BW260" s="63"/>
      <c r="BX260" s="63"/>
      <c r="BY260" s="63"/>
      <c r="BZ260" s="63"/>
      <c r="CA260" s="63"/>
      <c r="CB260" s="63"/>
      <c r="CC260" s="63"/>
      <c r="CD260" s="192"/>
      <c r="CE260" s="196"/>
      <c r="CF260" s="192"/>
      <c r="CG260" s="194"/>
      <c r="CH260" s="259"/>
      <c r="CI260" s="197"/>
      <c r="CJ260" s="192"/>
      <c r="CK260" s="197"/>
      <c r="CL260" s="192"/>
      <c r="CM260" s="197"/>
      <c r="CN260" s="192"/>
      <c r="CO260" s="197"/>
      <c r="CP260" s="192"/>
      <c r="CQ260" s="193"/>
      <c r="CR260" s="197"/>
      <c r="CS260" s="69"/>
      <c r="CT260" s="89"/>
      <c r="CU260" s="272" t="str">
        <f t="shared" si="2"/>
        <v/>
      </c>
    </row>
    <row r="261" ht="56.25" hidden="1" customHeight="1">
      <c r="A261" s="125">
        <v>24.0</v>
      </c>
      <c r="B261" s="199"/>
      <c r="C261" s="127"/>
      <c r="D261" s="128"/>
      <c r="E261" s="260"/>
      <c r="F261" s="261"/>
      <c r="G261" s="261"/>
      <c r="H261" s="261"/>
      <c r="I261" s="261"/>
      <c r="J261" s="170"/>
      <c r="K261" s="219"/>
      <c r="L261" s="219"/>
      <c r="M261" s="219"/>
      <c r="N261" s="220"/>
      <c r="O261" s="132">
        <f t="shared" si="48"/>
        <v>0</v>
      </c>
      <c r="P261" s="133">
        <f>COUNTIF(K261:K271,"TL")*0.75+COUNTIF(K261:K271,"Lec")*1+COUNTIF(K261:K271,"Lab")*0.5</f>
        <v>0</v>
      </c>
      <c r="Q261" s="134">
        <f>SUM((IF(LEFT(K261,1)="E",O261,0)),(IF(LEFT(K262,1)="E",O262,0)),(IF(LEFT(K263,1)="E",O263,0)),(IF(LEFT(K264,1)="E",O264,0)),(IF(LEFT(K265,1)="E",O265,0)),(IF(LEFT(K266,1)="E",O266,0)),(IF(LEFT(K267,1)="E",O267,0)),(IF(LEFT(K268,1)="E",O268,0)),(IF(LEFT(K269,1)="E",O269,0)),(IF(LEFT(K270,1)="E",O270,0)),(IF(LEFT(K271,1)="E",O271,0)))</f>
        <v>0</v>
      </c>
      <c r="R261" s="135">
        <f>SUM(IF(M267&lt;20,IF(K267="Plec",-1,IF(K267="PTL",-0.75,IF(K267="Plab",-0.5,0))),0),IF(M268&lt;20,IF(K268="Plec",-1,IF(K268="PTL",-0.75,IF(K268="Plab",-0.5,0))),0),IF(M269&lt;20,IF(K269="Plec",-1,IF(K269="PTL",-0.75,IF(K269="Plab",-0.5,0))),0),IF(M270&lt;20,IF(K270="Plec",-1,IF(K270="PTL",-0.75,IF(K270="Plab",-0.5,0))),0))</f>
        <v>0</v>
      </c>
      <c r="S261" s="134">
        <f>SUM(P261:R271)</f>
        <v>0</v>
      </c>
      <c r="T261" s="136">
        <f>SUM(IF(M261="M",IF(OR(K261="lec",K261="plec",K261="slec"),1,IF(OR(K261="lab",K261="plab",K261="slab",K261="tut",K261="ptut",K261="stut"),0.5,IF(OR(K261="TL",K261="pTL",K261="STL"),0.75,0))),0),IF(M262="M",IF(OR(K262="lec",K262="plec",K262="slec"),1,IF(OR(K262="lab",K262="plab",K262="slab",K262="tut",K262="ptut",K262="stut"),0.5,IF(OR(K262="TL",K262="pTL",K262="STL"),0.75,0))),0),IF(M263="M",IF(OR(K263="lec",K263="plec",K263="slec"),1,IF(OR(K263="lab",K263="plab",K263="slab",K263="tut",K263="ptut",K263="stut"),0.5,IF(OR(K263="TL",K263="pTL",K263="STL"),0.75,0))),0),IF(M264="M",IF(OR(K264="lec",K264="plec",K264="slec"),1,IF(OR(K264="lab",K264="plab",K264="slab",K264="tut",K264="ptut",K264="stut"),0.5,IF(OR(K264="TL",K264="pTL",K264="STL"),0.75,0))),0),IF(M265="M",IF(OR(K265="lec",K265="plec",K265="slec"),1,IF(OR(K265="lab",K265="plab",K265="slab",K265="tut",K265="ptut",K265="stut"),0.5,IF(OR(K265="TL",K265="pTL",K265="STL"),0.75,0))),0),IF(M266="M",IF(OR(K266="lec",K266="plec",K266="slec"),1,IF(OR(K266="lab",K266="plab",K266="slab",K266="tut",K266="ptut",K266="stut"),0.5,IF(OR(K266="TL",K266="pTL",K266="STL"),0.75,0))),0),IF(M267="M",IF(OR(K267="lec",K267="plec",K267="slec"),1,IF(OR(K267="lab",K267="plab",K267="slab",K267="tut",K267="ptut",K267="stut"),0.5,IF(OR(K267="TL",K267="pTL",K267="STL"),0.75,0))),0),IF(M268="M",IF(OR(K268="lec",K268="plec",K268="slec"),1,IF(OR(K268="lab",K268="plab",K268="slab",K268="tut",K268="ptut",K268="stut"),0.5,IF(OR(K268="TL",K268="pTL",K268="STL"),0.75,0))),0),IF(M269="M",IF(OR(K269="lec",K269="plec",K269="slec"),1,IF(OR(K269="lab",K269="plab",K269="slab",K269="tut",K269="ptut",K269="stut"),0.5,IF(OR(K269="TL",K269="pTL",K269="STL"),0.75,0))),0),IF(M270="M",IF(OR(K270="lec",K270="plec",K270="slec"),1,IF(OR(K270="lab",K270="plab",K270="slab",K270="tut",K270="ptut",K270="stut"),0.5,IF(OR(K270="TL",K270="pTL",K270="STL"),0.75,0))),0),IF(M271="M",IF(OR(K271="lec",K271="plec",K271="slec"),1,IF(OR(K271="lab",K271="plab",K271="slab",K271="tut",K271="ptut",K271="stut"),0.5,IF(OR(K271="TL",K271="pTL",K271="STL"),0.75,0))),0))</f>
        <v>0</v>
      </c>
      <c r="U261" s="137"/>
      <c r="V261" s="133"/>
      <c r="W261" s="138"/>
      <c r="X261" s="139">
        <f>S261-(T261+U261+V261+W261)</f>
        <v>0</v>
      </c>
      <c r="Y261" s="134" t="str">
        <f>CONCATENATE(SUM(O261:O271),"(",SUM(O261:O271)-X261,")")</f>
        <v>0(0)</v>
      </c>
      <c r="Z261" s="140"/>
      <c r="AA261" s="141"/>
      <c r="AB261" s="142"/>
      <c r="AC261" s="142"/>
      <c r="AD261" s="142"/>
      <c r="AE261" s="142"/>
      <c r="AF261" s="142"/>
      <c r="AG261" s="142"/>
      <c r="AH261" s="142"/>
      <c r="AI261" s="143"/>
      <c r="AJ261" s="144"/>
      <c r="AK261" s="145"/>
      <c r="AL261" s="145"/>
      <c r="AM261" s="145"/>
      <c r="AN261" s="145"/>
      <c r="AO261" s="146"/>
      <c r="AP261" s="147">
        <f>SUM(SUM(O261:O271),SUM(AI261:AI271)/2,AM261)</f>
        <v>0</v>
      </c>
      <c r="AQ261" s="148"/>
      <c r="AR261" s="148">
        <f>AP261*AQ261</f>
        <v>0</v>
      </c>
      <c r="AS261" s="148">
        <f>CT261</f>
        <v>0</v>
      </c>
      <c r="AT261" s="149">
        <f>AR261*0.75+AS261*0.25</f>
        <v>0</v>
      </c>
      <c r="AU261" s="150"/>
      <c r="AV261" s="151"/>
      <c r="AW261" s="151"/>
      <c r="AX261" s="152"/>
      <c r="AY261" s="153"/>
      <c r="AZ261" s="140"/>
      <c r="BA261" s="150"/>
      <c r="BB261" s="151"/>
      <c r="BC261" s="151"/>
      <c r="BD261" s="151"/>
      <c r="BE261" s="151"/>
      <c r="BF261" s="151"/>
      <c r="BG261" s="151"/>
      <c r="BH261" s="151"/>
      <c r="BI261" s="152"/>
      <c r="BJ261" s="154"/>
      <c r="BK261" s="151"/>
      <c r="BL261" s="151"/>
      <c r="BM261" s="151"/>
      <c r="BN261" s="151"/>
      <c r="BO261" s="155"/>
      <c r="BP261" s="140"/>
      <c r="BQ261" s="156"/>
      <c r="BR261" s="157"/>
      <c r="BS261" s="158"/>
      <c r="BT261" s="153"/>
      <c r="BU261" s="140"/>
      <c r="BV261" s="140"/>
      <c r="BW261" s="140"/>
      <c r="BX261" s="140"/>
      <c r="BY261" s="140"/>
      <c r="BZ261" s="140"/>
      <c r="CA261" s="140"/>
      <c r="CB261" s="140"/>
      <c r="CC261" s="140"/>
      <c r="CD261" s="150"/>
      <c r="CE261" s="155"/>
      <c r="CF261" s="150"/>
      <c r="CG261" s="152"/>
      <c r="CH261" s="252"/>
      <c r="CI261" s="160"/>
      <c r="CJ261" s="159"/>
      <c r="CK261" s="160"/>
      <c r="CL261" s="159"/>
      <c r="CM261" s="160"/>
      <c r="CN261" s="159"/>
      <c r="CO261" s="160"/>
      <c r="CP261" s="159"/>
      <c r="CQ261" s="162"/>
      <c r="CR261" s="160"/>
      <c r="CS261" s="253">
        <f>SUM(IF(AU261&lt;0,ABS(AU261),0),IF(AZ261&lt;0,ABS(AZ261),0),ABS(CI261),ABS(CK261),ABS(CM261),ABS(CO261),ABS(CQ261),ABS(CR261))</f>
        <v>0</v>
      </c>
      <c r="CT261" s="254">
        <f>SUM(AU261,AV261,AW261,AX261/400,AY261,AZ261,BG261,BH261*0.5,BI261*0.25,BJ261,BK261,BL261,BM261,BN261,BO261,BP261,BR261/20,BS261/100,BT261/60,BU261,BV261,BW261,BX261/4,SUM(BY261:CC271)/3,CE261,CG261/3,CI261,CK261,CM261,CO261,CQ261,CR261)</f>
        <v>0</v>
      </c>
      <c r="CU261" s="255" t="str">
        <f t="shared" si="2"/>
        <v/>
      </c>
    </row>
    <row r="262" ht="60.0" hidden="1" customHeight="1">
      <c r="A262" s="65"/>
      <c r="C262" s="167"/>
      <c r="D262" s="205"/>
      <c r="E262" s="262"/>
      <c r="F262" s="170"/>
      <c r="G262" s="170"/>
      <c r="H262" s="170"/>
      <c r="I262" s="170"/>
      <c r="J262" s="170"/>
      <c r="K262" s="171"/>
      <c r="L262" s="171"/>
      <c r="M262" s="171"/>
      <c r="N262" s="209"/>
      <c r="O262" s="172">
        <f t="shared" si="48"/>
        <v>0</v>
      </c>
      <c r="P262" s="166"/>
      <c r="Q262" s="173"/>
      <c r="R262" s="65"/>
      <c r="S262" s="173"/>
      <c r="T262" s="173"/>
      <c r="U262" s="166"/>
      <c r="V262" s="166"/>
      <c r="W262" s="65"/>
      <c r="X262" s="66"/>
      <c r="Y262" s="173"/>
      <c r="Z262" s="166"/>
      <c r="AA262" s="174"/>
      <c r="AB262" s="175"/>
      <c r="AC262" s="175"/>
      <c r="AD262" s="175"/>
      <c r="AE262" s="175"/>
      <c r="AF262" s="175"/>
      <c r="AG262" s="175"/>
      <c r="AH262" s="175"/>
      <c r="AI262" s="176"/>
      <c r="AJ262" s="177"/>
      <c r="AK262" s="178"/>
      <c r="AL262" s="178"/>
      <c r="AM262" s="178"/>
      <c r="AN262" s="178"/>
      <c r="AO262" s="179"/>
      <c r="AP262" s="64"/>
      <c r="AQ262" s="65"/>
      <c r="AR262" s="65"/>
      <c r="AS262" s="65"/>
      <c r="AT262" s="173"/>
      <c r="AU262" s="177"/>
      <c r="AV262" s="178"/>
      <c r="AW262" s="178"/>
      <c r="AX262" s="179"/>
      <c r="AZ262" s="166"/>
      <c r="BA262" s="177"/>
      <c r="BB262" s="178"/>
      <c r="BC262" s="178"/>
      <c r="BD262" s="178"/>
      <c r="BE262" s="178"/>
      <c r="BF262" s="178"/>
      <c r="BG262" s="178"/>
      <c r="BH262" s="178"/>
      <c r="BI262" s="179"/>
      <c r="BJ262" s="180"/>
      <c r="BK262" s="178"/>
      <c r="BL262" s="178"/>
      <c r="BM262" s="178"/>
      <c r="BN262" s="178"/>
      <c r="BO262" s="181"/>
      <c r="BP262" s="166"/>
      <c r="BQ262" s="177"/>
      <c r="BR262" s="178"/>
      <c r="BS262" s="179"/>
      <c r="BU262" s="166"/>
      <c r="BV262" s="166"/>
      <c r="BW262" s="166"/>
      <c r="BX262" s="166"/>
      <c r="BY262" s="166"/>
      <c r="BZ262" s="166"/>
      <c r="CA262" s="166"/>
      <c r="CB262" s="166"/>
      <c r="CC262" s="166"/>
      <c r="CD262" s="177"/>
      <c r="CE262" s="181"/>
      <c r="CF262" s="177"/>
      <c r="CG262" s="179"/>
      <c r="CH262" s="257"/>
      <c r="CI262" s="182"/>
      <c r="CJ262" s="177"/>
      <c r="CK262" s="182"/>
      <c r="CL262" s="177"/>
      <c r="CM262" s="182"/>
      <c r="CN262" s="177"/>
      <c r="CO262" s="182"/>
      <c r="CP262" s="177"/>
      <c r="CQ262" s="178"/>
      <c r="CR262" s="182"/>
      <c r="CS262" s="173"/>
      <c r="CT262" s="65"/>
      <c r="CU262" s="271" t="str">
        <f t="shared" si="2"/>
        <v/>
      </c>
    </row>
    <row r="263" ht="60.0" hidden="1" customHeight="1">
      <c r="A263" s="65"/>
      <c r="C263" s="167"/>
      <c r="D263" s="205"/>
      <c r="E263" s="262"/>
      <c r="F263" s="170"/>
      <c r="G263" s="170"/>
      <c r="H263" s="170"/>
      <c r="I263" s="170"/>
      <c r="J263" s="170"/>
      <c r="K263" s="171"/>
      <c r="L263" s="171"/>
      <c r="M263" s="171"/>
      <c r="N263" s="209"/>
      <c r="O263" s="172">
        <f t="shared" si="48"/>
        <v>0</v>
      </c>
      <c r="P263" s="166"/>
      <c r="Q263" s="173"/>
      <c r="R263" s="65"/>
      <c r="S263" s="173"/>
      <c r="T263" s="173"/>
      <c r="U263" s="166"/>
      <c r="V263" s="166"/>
      <c r="W263" s="65"/>
      <c r="X263" s="66"/>
      <c r="Y263" s="173"/>
      <c r="Z263" s="166"/>
      <c r="AA263" s="174"/>
      <c r="AB263" s="175"/>
      <c r="AC263" s="175"/>
      <c r="AD263" s="175"/>
      <c r="AE263" s="175"/>
      <c r="AF263" s="175"/>
      <c r="AG263" s="175"/>
      <c r="AH263" s="175"/>
      <c r="AI263" s="176"/>
      <c r="AJ263" s="177"/>
      <c r="AK263" s="178"/>
      <c r="AL263" s="178"/>
      <c r="AM263" s="178"/>
      <c r="AN263" s="178"/>
      <c r="AO263" s="179"/>
      <c r="AP263" s="64"/>
      <c r="AQ263" s="65"/>
      <c r="AR263" s="65"/>
      <c r="AS263" s="65"/>
      <c r="AT263" s="173"/>
      <c r="AU263" s="177"/>
      <c r="AV263" s="178"/>
      <c r="AW263" s="178"/>
      <c r="AX263" s="179"/>
      <c r="AZ263" s="166"/>
      <c r="BA263" s="177"/>
      <c r="BB263" s="178"/>
      <c r="BC263" s="178"/>
      <c r="BD263" s="178"/>
      <c r="BE263" s="178"/>
      <c r="BF263" s="178"/>
      <c r="BG263" s="178"/>
      <c r="BH263" s="178"/>
      <c r="BI263" s="179"/>
      <c r="BJ263" s="180"/>
      <c r="BK263" s="178"/>
      <c r="BL263" s="178"/>
      <c r="BM263" s="178"/>
      <c r="BN263" s="178"/>
      <c r="BO263" s="181"/>
      <c r="BP263" s="166"/>
      <c r="BQ263" s="177"/>
      <c r="BR263" s="178"/>
      <c r="BS263" s="179"/>
      <c r="BU263" s="166"/>
      <c r="BV263" s="166"/>
      <c r="BW263" s="166"/>
      <c r="BX263" s="166"/>
      <c r="BY263" s="166"/>
      <c r="BZ263" s="166"/>
      <c r="CA263" s="166"/>
      <c r="CB263" s="166"/>
      <c r="CC263" s="166"/>
      <c r="CD263" s="177"/>
      <c r="CE263" s="181"/>
      <c r="CF263" s="177"/>
      <c r="CG263" s="179"/>
      <c r="CH263" s="257"/>
      <c r="CI263" s="182"/>
      <c r="CJ263" s="177"/>
      <c r="CK263" s="182"/>
      <c r="CL263" s="177"/>
      <c r="CM263" s="182"/>
      <c r="CN263" s="177"/>
      <c r="CO263" s="182"/>
      <c r="CP263" s="177"/>
      <c r="CQ263" s="178"/>
      <c r="CR263" s="182"/>
      <c r="CS263" s="173"/>
      <c r="CT263" s="65"/>
      <c r="CU263" s="271" t="str">
        <f t="shared" si="2"/>
        <v/>
      </c>
    </row>
    <row r="264" ht="60.0" hidden="1" customHeight="1">
      <c r="A264" s="65"/>
      <c r="C264" s="167"/>
      <c r="D264" s="205"/>
      <c r="E264" s="262"/>
      <c r="F264" s="170"/>
      <c r="G264" s="170"/>
      <c r="H264" s="170"/>
      <c r="I264" s="170"/>
      <c r="J264" s="170"/>
      <c r="K264" s="171"/>
      <c r="L264" s="171"/>
      <c r="M264" s="171"/>
      <c r="N264" s="209"/>
      <c r="O264" s="172">
        <f t="shared" si="48"/>
        <v>0</v>
      </c>
      <c r="P264" s="166"/>
      <c r="Q264" s="173"/>
      <c r="R264" s="65"/>
      <c r="S264" s="173"/>
      <c r="T264" s="173"/>
      <c r="U264" s="166"/>
      <c r="V264" s="166"/>
      <c r="W264" s="65"/>
      <c r="X264" s="66"/>
      <c r="Y264" s="173"/>
      <c r="Z264" s="166"/>
      <c r="AA264" s="174"/>
      <c r="AB264" s="175"/>
      <c r="AC264" s="175"/>
      <c r="AD264" s="175"/>
      <c r="AE264" s="175"/>
      <c r="AF264" s="175"/>
      <c r="AG264" s="175"/>
      <c r="AH264" s="175"/>
      <c r="AI264" s="176"/>
      <c r="AJ264" s="177"/>
      <c r="AK264" s="178"/>
      <c r="AL264" s="178"/>
      <c r="AM264" s="178"/>
      <c r="AN264" s="178"/>
      <c r="AO264" s="179"/>
      <c r="AP264" s="64"/>
      <c r="AQ264" s="65"/>
      <c r="AR264" s="65"/>
      <c r="AS264" s="65"/>
      <c r="AT264" s="173"/>
      <c r="AU264" s="177"/>
      <c r="AV264" s="178"/>
      <c r="AW264" s="178"/>
      <c r="AX264" s="179"/>
      <c r="AZ264" s="166"/>
      <c r="BA264" s="177"/>
      <c r="BB264" s="178"/>
      <c r="BC264" s="178"/>
      <c r="BD264" s="178"/>
      <c r="BE264" s="178"/>
      <c r="BF264" s="178"/>
      <c r="BG264" s="178"/>
      <c r="BH264" s="178"/>
      <c r="BI264" s="179"/>
      <c r="BJ264" s="180"/>
      <c r="BK264" s="178"/>
      <c r="BL264" s="178"/>
      <c r="BM264" s="178"/>
      <c r="BN264" s="178"/>
      <c r="BO264" s="181"/>
      <c r="BP264" s="166"/>
      <c r="BQ264" s="177"/>
      <c r="BR264" s="178"/>
      <c r="BS264" s="179"/>
      <c r="BU264" s="166"/>
      <c r="BV264" s="166"/>
      <c r="BW264" s="166"/>
      <c r="BX264" s="166"/>
      <c r="BY264" s="166"/>
      <c r="BZ264" s="166"/>
      <c r="CA264" s="166"/>
      <c r="CB264" s="166"/>
      <c r="CC264" s="166"/>
      <c r="CD264" s="177"/>
      <c r="CE264" s="181"/>
      <c r="CF264" s="177"/>
      <c r="CG264" s="179"/>
      <c r="CH264" s="257"/>
      <c r="CI264" s="182"/>
      <c r="CJ264" s="177"/>
      <c r="CK264" s="182"/>
      <c r="CL264" s="177"/>
      <c r="CM264" s="182"/>
      <c r="CN264" s="177"/>
      <c r="CO264" s="182"/>
      <c r="CP264" s="177"/>
      <c r="CQ264" s="178"/>
      <c r="CR264" s="182"/>
      <c r="CS264" s="173"/>
      <c r="CT264" s="65"/>
      <c r="CU264" s="271" t="str">
        <f t="shared" si="2"/>
        <v/>
      </c>
    </row>
    <row r="265" ht="60.0" hidden="1" customHeight="1">
      <c r="A265" s="65"/>
      <c r="C265" s="167"/>
      <c r="D265" s="205"/>
      <c r="E265" s="262"/>
      <c r="F265" s="170"/>
      <c r="G265" s="170"/>
      <c r="H265" s="170"/>
      <c r="I265" s="170"/>
      <c r="J265" s="170"/>
      <c r="K265" s="171"/>
      <c r="L265" s="171"/>
      <c r="M265" s="171"/>
      <c r="N265" s="209"/>
      <c r="O265" s="172">
        <f t="shared" si="48"/>
        <v>0</v>
      </c>
      <c r="P265" s="166"/>
      <c r="Q265" s="173"/>
      <c r="R265" s="65"/>
      <c r="S265" s="173"/>
      <c r="T265" s="173"/>
      <c r="U265" s="166"/>
      <c r="V265" s="166"/>
      <c r="W265" s="65"/>
      <c r="X265" s="66"/>
      <c r="Y265" s="173"/>
      <c r="Z265" s="166"/>
      <c r="AA265" s="174"/>
      <c r="AB265" s="175"/>
      <c r="AC265" s="175"/>
      <c r="AD265" s="175"/>
      <c r="AE265" s="175"/>
      <c r="AF265" s="175"/>
      <c r="AG265" s="175"/>
      <c r="AH265" s="175"/>
      <c r="AI265" s="176"/>
      <c r="AJ265" s="177"/>
      <c r="AK265" s="178"/>
      <c r="AL265" s="178"/>
      <c r="AM265" s="178"/>
      <c r="AN265" s="178"/>
      <c r="AO265" s="179"/>
      <c r="AP265" s="64"/>
      <c r="AQ265" s="65"/>
      <c r="AR265" s="65"/>
      <c r="AS265" s="65"/>
      <c r="AT265" s="173"/>
      <c r="AU265" s="177"/>
      <c r="AV265" s="178"/>
      <c r="AW265" s="178"/>
      <c r="AX265" s="179"/>
      <c r="AZ265" s="166"/>
      <c r="BA265" s="177"/>
      <c r="BB265" s="178"/>
      <c r="BC265" s="178"/>
      <c r="BD265" s="178"/>
      <c r="BE265" s="178"/>
      <c r="BF265" s="178"/>
      <c r="BG265" s="178"/>
      <c r="BH265" s="178"/>
      <c r="BI265" s="179"/>
      <c r="BJ265" s="180"/>
      <c r="BK265" s="178"/>
      <c r="BL265" s="178"/>
      <c r="BM265" s="178"/>
      <c r="BN265" s="178"/>
      <c r="BO265" s="181"/>
      <c r="BP265" s="166"/>
      <c r="BQ265" s="177"/>
      <c r="BR265" s="178"/>
      <c r="BS265" s="179"/>
      <c r="BU265" s="166"/>
      <c r="BV265" s="166"/>
      <c r="BW265" s="166"/>
      <c r="BX265" s="166"/>
      <c r="BY265" s="166"/>
      <c r="BZ265" s="166"/>
      <c r="CA265" s="166"/>
      <c r="CB265" s="166"/>
      <c r="CC265" s="166"/>
      <c r="CD265" s="177"/>
      <c r="CE265" s="181"/>
      <c r="CF265" s="177"/>
      <c r="CG265" s="179"/>
      <c r="CH265" s="257"/>
      <c r="CI265" s="182"/>
      <c r="CJ265" s="177"/>
      <c r="CK265" s="182"/>
      <c r="CL265" s="177"/>
      <c r="CM265" s="182"/>
      <c r="CN265" s="177"/>
      <c r="CO265" s="182"/>
      <c r="CP265" s="177"/>
      <c r="CQ265" s="178"/>
      <c r="CR265" s="182"/>
      <c r="CS265" s="173"/>
      <c r="CT265" s="65"/>
      <c r="CU265" s="271" t="str">
        <f t="shared" si="2"/>
        <v/>
      </c>
    </row>
    <row r="266" ht="60.0" hidden="1" customHeight="1">
      <c r="A266" s="65"/>
      <c r="C266" s="167"/>
      <c r="D266" s="205"/>
      <c r="E266" s="262"/>
      <c r="F266" s="170"/>
      <c r="G266" s="170"/>
      <c r="H266" s="170"/>
      <c r="I266" s="170"/>
      <c r="J266" s="170"/>
      <c r="K266" s="171"/>
      <c r="L266" s="171"/>
      <c r="M266" s="171"/>
      <c r="N266" s="209"/>
      <c r="O266" s="172">
        <f t="shared" si="48"/>
        <v>0</v>
      </c>
      <c r="P266" s="166"/>
      <c r="Q266" s="173"/>
      <c r="R266" s="65"/>
      <c r="S266" s="173"/>
      <c r="T266" s="173"/>
      <c r="U266" s="166"/>
      <c r="V266" s="166"/>
      <c r="W266" s="65"/>
      <c r="X266" s="66"/>
      <c r="Y266" s="173"/>
      <c r="Z266" s="166"/>
      <c r="AA266" s="174"/>
      <c r="AB266" s="175"/>
      <c r="AC266" s="175"/>
      <c r="AD266" s="175"/>
      <c r="AE266" s="175"/>
      <c r="AF266" s="175"/>
      <c r="AG266" s="175"/>
      <c r="AH266" s="175"/>
      <c r="AI266" s="176"/>
      <c r="AJ266" s="177"/>
      <c r="AK266" s="178"/>
      <c r="AL266" s="178"/>
      <c r="AM266" s="178"/>
      <c r="AN266" s="178"/>
      <c r="AO266" s="179"/>
      <c r="AP266" s="64"/>
      <c r="AQ266" s="65"/>
      <c r="AR266" s="65"/>
      <c r="AS266" s="65"/>
      <c r="AT266" s="173"/>
      <c r="AU266" s="177"/>
      <c r="AV266" s="178"/>
      <c r="AW266" s="178"/>
      <c r="AX266" s="179"/>
      <c r="AZ266" s="166"/>
      <c r="BA266" s="177"/>
      <c r="BB266" s="178"/>
      <c r="BC266" s="178"/>
      <c r="BD266" s="178"/>
      <c r="BE266" s="178"/>
      <c r="BF266" s="178"/>
      <c r="BG266" s="178"/>
      <c r="BH266" s="178"/>
      <c r="BI266" s="179"/>
      <c r="BJ266" s="180"/>
      <c r="BK266" s="178"/>
      <c r="BL266" s="178"/>
      <c r="BM266" s="178"/>
      <c r="BN266" s="178"/>
      <c r="BO266" s="181"/>
      <c r="BP266" s="166"/>
      <c r="BQ266" s="177"/>
      <c r="BR266" s="178"/>
      <c r="BS266" s="179"/>
      <c r="BU266" s="166"/>
      <c r="BV266" s="166"/>
      <c r="BW266" s="166"/>
      <c r="BX266" s="166"/>
      <c r="BY266" s="166"/>
      <c r="BZ266" s="166"/>
      <c r="CA266" s="166"/>
      <c r="CB266" s="166"/>
      <c r="CC266" s="166"/>
      <c r="CD266" s="177"/>
      <c r="CE266" s="181"/>
      <c r="CF266" s="177"/>
      <c r="CG266" s="179"/>
      <c r="CH266" s="257"/>
      <c r="CI266" s="182"/>
      <c r="CJ266" s="177"/>
      <c r="CK266" s="182"/>
      <c r="CL266" s="177"/>
      <c r="CM266" s="182"/>
      <c r="CN266" s="177"/>
      <c r="CO266" s="182"/>
      <c r="CP266" s="177"/>
      <c r="CQ266" s="178"/>
      <c r="CR266" s="182"/>
      <c r="CS266" s="173"/>
      <c r="CT266" s="65"/>
      <c r="CU266" s="271" t="str">
        <f t="shared" si="2"/>
        <v/>
      </c>
    </row>
    <row r="267" ht="60.0" hidden="1" customHeight="1">
      <c r="A267" s="65"/>
      <c r="C267" s="167"/>
      <c r="D267" s="205"/>
      <c r="E267" s="262"/>
      <c r="F267" s="170"/>
      <c r="G267" s="170"/>
      <c r="H267" s="170"/>
      <c r="I267" s="170"/>
      <c r="J267" s="170"/>
      <c r="K267" s="171"/>
      <c r="L267" s="171"/>
      <c r="M267" s="171"/>
      <c r="N267" s="209"/>
      <c r="O267" s="172">
        <f t="shared" ref="O267:O270" si="49">IF(AND(M267&gt;=20,M267&lt;&gt;"m",RIGHT(K267,3)="Lec"),1,IF(AND(M267&gt;=20,M267&lt;&gt;"m",OR(RIGHT(K267,3)="Lab",RIGHT(K267,3)="Tut")),0.5,IF(AND(M267&gt;=20,M267&lt;&gt;"m",RIGHT(K267,2)="TL"),0.75,0)))</f>
        <v>0</v>
      </c>
      <c r="P267" s="166"/>
      <c r="Q267" s="173"/>
      <c r="R267" s="65"/>
      <c r="S267" s="173"/>
      <c r="T267" s="173"/>
      <c r="U267" s="166"/>
      <c r="V267" s="166"/>
      <c r="W267" s="65"/>
      <c r="X267" s="66"/>
      <c r="Y267" s="173"/>
      <c r="Z267" s="166"/>
      <c r="AA267" s="174"/>
      <c r="AB267" s="175"/>
      <c r="AC267" s="175"/>
      <c r="AD267" s="175"/>
      <c r="AE267" s="175"/>
      <c r="AF267" s="175"/>
      <c r="AG267" s="175"/>
      <c r="AH267" s="175"/>
      <c r="AI267" s="176"/>
      <c r="AJ267" s="177"/>
      <c r="AK267" s="178"/>
      <c r="AL267" s="178"/>
      <c r="AM267" s="178"/>
      <c r="AN267" s="178"/>
      <c r="AO267" s="179"/>
      <c r="AP267" s="64"/>
      <c r="AQ267" s="65"/>
      <c r="AR267" s="65"/>
      <c r="AS267" s="65"/>
      <c r="AT267" s="173"/>
      <c r="AU267" s="177"/>
      <c r="AV267" s="178"/>
      <c r="AW267" s="178"/>
      <c r="AX267" s="179"/>
      <c r="AZ267" s="166"/>
      <c r="BA267" s="177"/>
      <c r="BB267" s="178"/>
      <c r="BC267" s="178"/>
      <c r="BD267" s="178"/>
      <c r="BE267" s="178"/>
      <c r="BF267" s="178"/>
      <c r="BG267" s="178"/>
      <c r="BH267" s="178"/>
      <c r="BI267" s="179"/>
      <c r="BJ267" s="180"/>
      <c r="BK267" s="178"/>
      <c r="BL267" s="178"/>
      <c r="BM267" s="178"/>
      <c r="BN267" s="178"/>
      <c r="BO267" s="181"/>
      <c r="BP267" s="166"/>
      <c r="BQ267" s="177"/>
      <c r="BR267" s="178"/>
      <c r="BS267" s="179"/>
      <c r="BU267" s="166"/>
      <c r="BV267" s="166"/>
      <c r="BW267" s="166"/>
      <c r="BX267" s="166"/>
      <c r="BY267" s="166"/>
      <c r="BZ267" s="166"/>
      <c r="CA267" s="166"/>
      <c r="CB267" s="166"/>
      <c r="CC267" s="166"/>
      <c r="CD267" s="177"/>
      <c r="CE267" s="181"/>
      <c r="CF267" s="177"/>
      <c r="CG267" s="179"/>
      <c r="CH267" s="257"/>
      <c r="CI267" s="182"/>
      <c r="CJ267" s="177"/>
      <c r="CK267" s="182"/>
      <c r="CL267" s="177"/>
      <c r="CM267" s="182"/>
      <c r="CN267" s="177"/>
      <c r="CO267" s="182"/>
      <c r="CP267" s="177"/>
      <c r="CQ267" s="178"/>
      <c r="CR267" s="182"/>
      <c r="CS267" s="173"/>
      <c r="CT267" s="65"/>
      <c r="CU267" s="271" t="str">
        <f t="shared" si="2"/>
        <v/>
      </c>
    </row>
    <row r="268" ht="60.0" hidden="1" customHeight="1">
      <c r="A268" s="65"/>
      <c r="C268" s="167"/>
      <c r="D268" s="205"/>
      <c r="E268" s="262"/>
      <c r="F268" s="170"/>
      <c r="G268" s="170"/>
      <c r="H268" s="170"/>
      <c r="I268" s="170"/>
      <c r="J268" s="170"/>
      <c r="K268" s="171"/>
      <c r="L268" s="171"/>
      <c r="M268" s="171"/>
      <c r="N268" s="209"/>
      <c r="O268" s="172">
        <f t="shared" si="49"/>
        <v>0</v>
      </c>
      <c r="P268" s="166"/>
      <c r="Q268" s="173"/>
      <c r="R268" s="65"/>
      <c r="S268" s="173"/>
      <c r="T268" s="173"/>
      <c r="U268" s="166"/>
      <c r="V268" s="166"/>
      <c r="W268" s="65"/>
      <c r="X268" s="66"/>
      <c r="Y268" s="173"/>
      <c r="Z268" s="166"/>
      <c r="AA268" s="174"/>
      <c r="AB268" s="175"/>
      <c r="AC268" s="175"/>
      <c r="AD268" s="175"/>
      <c r="AE268" s="175"/>
      <c r="AF268" s="175"/>
      <c r="AG268" s="175"/>
      <c r="AH268" s="175"/>
      <c r="AI268" s="176"/>
      <c r="AJ268" s="177"/>
      <c r="AK268" s="178"/>
      <c r="AL268" s="178"/>
      <c r="AM268" s="178"/>
      <c r="AN268" s="178"/>
      <c r="AO268" s="179"/>
      <c r="AP268" s="64"/>
      <c r="AQ268" s="65"/>
      <c r="AR268" s="65"/>
      <c r="AS268" s="65"/>
      <c r="AT268" s="173"/>
      <c r="AU268" s="177"/>
      <c r="AV268" s="178"/>
      <c r="AW268" s="178"/>
      <c r="AX268" s="179"/>
      <c r="AZ268" s="166"/>
      <c r="BA268" s="177"/>
      <c r="BB268" s="178"/>
      <c r="BC268" s="178"/>
      <c r="BD268" s="178"/>
      <c r="BE268" s="178"/>
      <c r="BF268" s="178"/>
      <c r="BG268" s="178"/>
      <c r="BH268" s="178"/>
      <c r="BI268" s="179"/>
      <c r="BJ268" s="180"/>
      <c r="BK268" s="178"/>
      <c r="BL268" s="178"/>
      <c r="BM268" s="178"/>
      <c r="BN268" s="178"/>
      <c r="BO268" s="181"/>
      <c r="BP268" s="166"/>
      <c r="BQ268" s="177"/>
      <c r="BR268" s="178"/>
      <c r="BS268" s="179"/>
      <c r="BU268" s="166"/>
      <c r="BV268" s="166"/>
      <c r="BW268" s="166"/>
      <c r="BX268" s="166"/>
      <c r="BY268" s="166"/>
      <c r="BZ268" s="166"/>
      <c r="CA268" s="166"/>
      <c r="CB268" s="166"/>
      <c r="CC268" s="166"/>
      <c r="CD268" s="177"/>
      <c r="CE268" s="181"/>
      <c r="CF268" s="177"/>
      <c r="CG268" s="179"/>
      <c r="CH268" s="257"/>
      <c r="CI268" s="182"/>
      <c r="CJ268" s="177"/>
      <c r="CK268" s="182"/>
      <c r="CL268" s="177"/>
      <c r="CM268" s="182"/>
      <c r="CN268" s="177"/>
      <c r="CO268" s="182"/>
      <c r="CP268" s="177"/>
      <c r="CQ268" s="178"/>
      <c r="CR268" s="182"/>
      <c r="CS268" s="173"/>
      <c r="CT268" s="65"/>
      <c r="CU268" s="271" t="str">
        <f t="shared" si="2"/>
        <v/>
      </c>
    </row>
    <row r="269" ht="60.0" hidden="1" customHeight="1">
      <c r="A269" s="65"/>
      <c r="C269" s="167"/>
      <c r="D269" s="205"/>
      <c r="E269" s="262"/>
      <c r="F269" s="170"/>
      <c r="G269" s="170"/>
      <c r="H269" s="170"/>
      <c r="I269" s="170"/>
      <c r="J269" s="170"/>
      <c r="K269" s="171"/>
      <c r="L269" s="171"/>
      <c r="M269" s="171"/>
      <c r="N269" s="209"/>
      <c r="O269" s="172">
        <f t="shared" si="49"/>
        <v>0</v>
      </c>
      <c r="P269" s="166"/>
      <c r="Q269" s="173"/>
      <c r="R269" s="65"/>
      <c r="S269" s="173"/>
      <c r="T269" s="173"/>
      <c r="U269" s="166"/>
      <c r="V269" s="166"/>
      <c r="W269" s="65"/>
      <c r="X269" s="66"/>
      <c r="Y269" s="173"/>
      <c r="Z269" s="166"/>
      <c r="AA269" s="174"/>
      <c r="AB269" s="175"/>
      <c r="AC269" s="175"/>
      <c r="AD269" s="175"/>
      <c r="AE269" s="175"/>
      <c r="AF269" s="175"/>
      <c r="AG269" s="175"/>
      <c r="AH269" s="175"/>
      <c r="AI269" s="176"/>
      <c r="AJ269" s="177"/>
      <c r="AK269" s="178"/>
      <c r="AL269" s="178"/>
      <c r="AM269" s="178"/>
      <c r="AN269" s="178"/>
      <c r="AO269" s="179"/>
      <c r="AP269" s="64"/>
      <c r="AQ269" s="65"/>
      <c r="AR269" s="65"/>
      <c r="AS269" s="65"/>
      <c r="AT269" s="173"/>
      <c r="AU269" s="177"/>
      <c r="AV269" s="178"/>
      <c r="AW269" s="178"/>
      <c r="AX269" s="179"/>
      <c r="AZ269" s="166"/>
      <c r="BA269" s="177"/>
      <c r="BB269" s="178"/>
      <c r="BC269" s="178"/>
      <c r="BD269" s="178"/>
      <c r="BE269" s="178"/>
      <c r="BF269" s="178"/>
      <c r="BG269" s="178"/>
      <c r="BH269" s="178"/>
      <c r="BI269" s="179"/>
      <c r="BJ269" s="180"/>
      <c r="BK269" s="178"/>
      <c r="BL269" s="178"/>
      <c r="BM269" s="178"/>
      <c r="BN269" s="178"/>
      <c r="BO269" s="181"/>
      <c r="BP269" s="166"/>
      <c r="BQ269" s="177"/>
      <c r="BR269" s="178"/>
      <c r="BS269" s="179"/>
      <c r="BU269" s="166"/>
      <c r="BV269" s="166"/>
      <c r="BW269" s="166"/>
      <c r="BX269" s="166"/>
      <c r="BY269" s="166"/>
      <c r="BZ269" s="166"/>
      <c r="CA269" s="166"/>
      <c r="CB269" s="166"/>
      <c r="CC269" s="166"/>
      <c r="CD269" s="177"/>
      <c r="CE269" s="181"/>
      <c r="CF269" s="177"/>
      <c r="CG269" s="179"/>
      <c r="CH269" s="257"/>
      <c r="CI269" s="182"/>
      <c r="CJ269" s="177"/>
      <c r="CK269" s="182"/>
      <c r="CL269" s="177"/>
      <c r="CM269" s="182"/>
      <c r="CN269" s="177"/>
      <c r="CO269" s="182"/>
      <c r="CP269" s="177"/>
      <c r="CQ269" s="178"/>
      <c r="CR269" s="182"/>
      <c r="CS269" s="173"/>
      <c r="CT269" s="65"/>
      <c r="CU269" s="271" t="str">
        <f t="shared" si="2"/>
        <v/>
      </c>
    </row>
    <row r="270" ht="60.0" hidden="1" customHeight="1">
      <c r="A270" s="65"/>
      <c r="C270" s="167"/>
      <c r="D270" s="205"/>
      <c r="E270" s="262"/>
      <c r="F270" s="170"/>
      <c r="G270" s="170"/>
      <c r="H270" s="170"/>
      <c r="I270" s="170"/>
      <c r="J270" s="170"/>
      <c r="K270" s="171"/>
      <c r="L270" s="171"/>
      <c r="M270" s="171"/>
      <c r="N270" s="209"/>
      <c r="O270" s="172">
        <f t="shared" si="49"/>
        <v>0</v>
      </c>
      <c r="P270" s="166"/>
      <c r="Q270" s="173"/>
      <c r="R270" s="65"/>
      <c r="S270" s="173"/>
      <c r="T270" s="173"/>
      <c r="U270" s="166"/>
      <c r="V270" s="166"/>
      <c r="W270" s="65"/>
      <c r="X270" s="66"/>
      <c r="Y270" s="173"/>
      <c r="Z270" s="166"/>
      <c r="AA270" s="174"/>
      <c r="AB270" s="175"/>
      <c r="AC270" s="175"/>
      <c r="AD270" s="175"/>
      <c r="AE270" s="175"/>
      <c r="AF270" s="175"/>
      <c r="AG270" s="175"/>
      <c r="AH270" s="175"/>
      <c r="AI270" s="176"/>
      <c r="AJ270" s="177"/>
      <c r="AK270" s="178"/>
      <c r="AL270" s="178"/>
      <c r="AM270" s="178"/>
      <c r="AN270" s="178"/>
      <c r="AO270" s="179"/>
      <c r="AP270" s="64"/>
      <c r="AQ270" s="65"/>
      <c r="AR270" s="65"/>
      <c r="AS270" s="65"/>
      <c r="AT270" s="173"/>
      <c r="AU270" s="177"/>
      <c r="AV270" s="178"/>
      <c r="AW270" s="178"/>
      <c r="AX270" s="179"/>
      <c r="AZ270" s="166"/>
      <c r="BA270" s="177"/>
      <c r="BB270" s="178"/>
      <c r="BC270" s="178"/>
      <c r="BD270" s="178"/>
      <c r="BE270" s="178"/>
      <c r="BF270" s="178"/>
      <c r="BG270" s="178"/>
      <c r="BH270" s="178"/>
      <c r="BI270" s="179"/>
      <c r="BJ270" s="180"/>
      <c r="BK270" s="178"/>
      <c r="BL270" s="178"/>
      <c r="BM270" s="178"/>
      <c r="BN270" s="178"/>
      <c r="BO270" s="181"/>
      <c r="BP270" s="166"/>
      <c r="BQ270" s="177"/>
      <c r="BR270" s="178"/>
      <c r="BS270" s="179"/>
      <c r="BU270" s="166"/>
      <c r="BV270" s="166"/>
      <c r="BW270" s="166"/>
      <c r="BX270" s="166"/>
      <c r="BY270" s="166"/>
      <c r="BZ270" s="166"/>
      <c r="CA270" s="166"/>
      <c r="CB270" s="166"/>
      <c r="CC270" s="166"/>
      <c r="CD270" s="177"/>
      <c r="CE270" s="181"/>
      <c r="CF270" s="177"/>
      <c r="CG270" s="179"/>
      <c r="CH270" s="257"/>
      <c r="CI270" s="182"/>
      <c r="CJ270" s="177"/>
      <c r="CK270" s="182"/>
      <c r="CL270" s="177"/>
      <c r="CM270" s="182"/>
      <c r="CN270" s="177"/>
      <c r="CO270" s="182"/>
      <c r="CP270" s="177"/>
      <c r="CQ270" s="178"/>
      <c r="CR270" s="182"/>
      <c r="CS270" s="173"/>
      <c r="CT270" s="65"/>
      <c r="CU270" s="271" t="str">
        <f t="shared" si="2"/>
        <v/>
      </c>
    </row>
    <row r="271" ht="60.0" hidden="1" customHeight="1">
      <c r="A271" s="89"/>
      <c r="B271" s="6"/>
      <c r="C271" s="183"/>
      <c r="D271" s="210"/>
      <c r="E271" s="263"/>
      <c r="F271" s="186"/>
      <c r="G271" s="186"/>
      <c r="H271" s="186"/>
      <c r="I271" s="186"/>
      <c r="J271" s="186"/>
      <c r="K271" s="187"/>
      <c r="L271" s="187"/>
      <c r="M271" s="187"/>
      <c r="N271" s="214"/>
      <c r="O271" s="188">
        <f t="shared" ref="O271:O277" si="50">IF(AND(M271&lt;&gt;0,M271&lt;&gt;"m",M271&lt;&gt;"",RIGHT(K271,3)="Lec"),1,IF(AND(M271&lt;&gt;0,M271&lt;&gt;"m",M271&lt;&gt;"",OR(RIGHT(K271,3)="Lab",RIGHT(K271,3)="Tut")),0.5,IF(AND(M271&lt;&gt;0,M271&lt;&gt;"m",M271&lt;&gt;"",RIGHT(K271,2)="TL"),0.75,0)))</f>
        <v>0</v>
      </c>
      <c r="P271" s="63"/>
      <c r="Q271" s="69"/>
      <c r="R271" s="89"/>
      <c r="S271" s="69"/>
      <c r="T271" s="69"/>
      <c r="U271" s="63"/>
      <c r="V271" s="63"/>
      <c r="W271" s="89"/>
      <c r="X271" s="68"/>
      <c r="Y271" s="69"/>
      <c r="Z271" s="63"/>
      <c r="AA271" s="189"/>
      <c r="AB271" s="190"/>
      <c r="AC271" s="190"/>
      <c r="AD271" s="190"/>
      <c r="AE271" s="190"/>
      <c r="AF271" s="190"/>
      <c r="AG271" s="190"/>
      <c r="AH271" s="190"/>
      <c r="AI271" s="191"/>
      <c r="AJ271" s="192"/>
      <c r="AK271" s="193"/>
      <c r="AL271" s="193"/>
      <c r="AM271" s="193"/>
      <c r="AN271" s="193"/>
      <c r="AO271" s="194"/>
      <c r="AP271" s="103"/>
      <c r="AQ271" s="89"/>
      <c r="AR271" s="89"/>
      <c r="AS271" s="89"/>
      <c r="AT271" s="69"/>
      <c r="AU271" s="192"/>
      <c r="AV271" s="193"/>
      <c r="AW271" s="193"/>
      <c r="AX271" s="194"/>
      <c r="AY271" s="6"/>
      <c r="AZ271" s="63"/>
      <c r="BA271" s="192"/>
      <c r="BB271" s="193"/>
      <c r="BC271" s="193"/>
      <c r="BD271" s="193"/>
      <c r="BE271" s="193"/>
      <c r="BF271" s="193"/>
      <c r="BG271" s="193"/>
      <c r="BH271" s="193"/>
      <c r="BI271" s="194"/>
      <c r="BJ271" s="195"/>
      <c r="BK271" s="193"/>
      <c r="BL271" s="193"/>
      <c r="BM271" s="193"/>
      <c r="BN271" s="193"/>
      <c r="BO271" s="196"/>
      <c r="BP271" s="63"/>
      <c r="BQ271" s="192"/>
      <c r="BR271" s="193"/>
      <c r="BS271" s="194"/>
      <c r="BT271" s="6"/>
      <c r="BU271" s="63"/>
      <c r="BV271" s="63"/>
      <c r="BW271" s="63"/>
      <c r="BX271" s="63"/>
      <c r="BY271" s="63"/>
      <c r="BZ271" s="63"/>
      <c r="CA271" s="63"/>
      <c r="CB271" s="63"/>
      <c r="CC271" s="63"/>
      <c r="CD271" s="192"/>
      <c r="CE271" s="196"/>
      <c r="CF271" s="192"/>
      <c r="CG271" s="194"/>
      <c r="CH271" s="259"/>
      <c r="CI271" s="197"/>
      <c r="CJ271" s="192"/>
      <c r="CK271" s="197"/>
      <c r="CL271" s="192"/>
      <c r="CM271" s="197"/>
      <c r="CN271" s="192"/>
      <c r="CO271" s="197"/>
      <c r="CP271" s="192"/>
      <c r="CQ271" s="193"/>
      <c r="CR271" s="197"/>
      <c r="CS271" s="69"/>
      <c r="CT271" s="89"/>
      <c r="CU271" s="272" t="str">
        <f t="shared" si="2"/>
        <v/>
      </c>
    </row>
    <row r="272" ht="56.25" hidden="1" customHeight="1">
      <c r="A272" s="125">
        <v>25.0</v>
      </c>
      <c r="B272" s="199"/>
      <c r="C272" s="127"/>
      <c r="D272" s="128"/>
      <c r="E272" s="260"/>
      <c r="F272" s="261"/>
      <c r="G272" s="261"/>
      <c r="H272" s="261"/>
      <c r="I272" s="261"/>
      <c r="J272" s="170"/>
      <c r="K272" s="219"/>
      <c r="L272" s="219"/>
      <c r="M272" s="219"/>
      <c r="N272" s="220"/>
      <c r="O272" s="132">
        <f t="shared" si="50"/>
        <v>0</v>
      </c>
      <c r="P272" s="133">
        <f>COUNTIF(K272:K282,"TL")*0.75+COUNTIF(K272:K282,"Lec")*1+COUNTIF(K272:K282,"Lab")*0.5</f>
        <v>0</v>
      </c>
      <c r="Q272" s="134">
        <f>SUM((IF(LEFT(K272,1)="E",O272,0)),(IF(LEFT(K273,1)="E",O273,0)),(IF(LEFT(K274,1)="E",O274,0)),(IF(LEFT(K275,1)="E",O275,0)),(IF(LEFT(K276,1)="E",O276,0)),(IF(LEFT(K277,1)="E",O277,0)),(IF(LEFT(K278,1)="E",O278,0)),(IF(LEFT(K279,1)="E",O279,0)),(IF(LEFT(K280,1)="E",O280,0)),(IF(LEFT(K281,1)="E",O281,0)),(IF(LEFT(K282,1)="E",O282,0)))</f>
        <v>0</v>
      </c>
      <c r="R272" s="135">
        <f>SUM(IF(M278&lt;20,IF(K278="Plec",-1,IF(K278="PTL",-0.75,IF(K278="Plab",-0.5,0))),0),IF(M279&lt;20,IF(K279="Plec",-1,IF(K279="PTL",-0.75,IF(K279="Plab",-0.5,0))),0),IF(M280&lt;20,IF(K280="Plec",-1,IF(K280="PTL",-0.75,IF(K280="Plab",-0.5,0))),0),IF(M281&lt;20,IF(K281="Plec",-1,IF(K281="PTL",-0.75,IF(K281="Plab",-0.5,0))),0))</f>
        <v>0</v>
      </c>
      <c r="S272" s="134">
        <f>SUM(P272:R282)</f>
        <v>0</v>
      </c>
      <c r="T272" s="136">
        <f>SUM(IF(M272="M",IF(OR(K272="lec",K272="plec",K272="slec"),1,IF(OR(K272="lab",K272="plab",K272="slab",K272="tut",K272="ptut",K272="stut"),0.5,IF(OR(K272="TL",K272="pTL",K272="STL"),0.75,0))),0),IF(M273="M",IF(OR(K273="lec",K273="plec",K273="slec"),1,IF(OR(K273="lab",K273="plab",K273="slab",K273="tut",K273="ptut",K273="stut"),0.5,IF(OR(K273="TL",K273="pTL",K273="STL"),0.75,0))),0),IF(M274="M",IF(OR(K274="lec",K274="plec",K274="slec"),1,IF(OR(K274="lab",K274="plab",K274="slab",K274="tut",K274="ptut",K274="stut"),0.5,IF(OR(K274="TL",K274="pTL",K274="STL"),0.75,0))),0),IF(M275="M",IF(OR(K275="lec",K275="plec",K275="slec"),1,IF(OR(K275="lab",K275="plab",K275="slab",K275="tut",K275="ptut",K275="stut"),0.5,IF(OR(K275="TL",K275="pTL",K275="STL"),0.75,0))),0),IF(M276="M",IF(OR(K276="lec",K276="plec",K276="slec"),1,IF(OR(K276="lab",K276="plab",K276="slab",K276="tut",K276="ptut",K276="stut"),0.5,IF(OR(K276="TL",K276="pTL",K276="STL"),0.75,0))),0),IF(M277="M",IF(OR(K277="lec",K277="plec",K277="slec"),1,IF(OR(K277="lab",K277="plab",K277="slab",K277="tut",K277="ptut",K277="stut"),0.5,IF(OR(K277="TL",K277="pTL",K277="STL"),0.75,0))),0),IF(M278="M",IF(OR(K278="lec",K278="plec",K278="slec"),1,IF(OR(K278="lab",K278="plab",K278="slab",K278="tut",K278="ptut",K278="stut"),0.5,IF(OR(K278="TL",K278="pTL",K278="STL"),0.75,0))),0),IF(M279="M",IF(OR(K279="lec",K279="plec",K279="slec"),1,IF(OR(K279="lab",K279="plab",K279="slab",K279="tut",K279="ptut",K279="stut"),0.5,IF(OR(K279="TL",K279="pTL",K279="STL"),0.75,0))),0),IF(M280="M",IF(OR(K280="lec",K280="plec",K280="slec"),1,IF(OR(K280="lab",K280="plab",K280="slab",K280="tut",K280="ptut",K280="stut"),0.5,IF(OR(K280="TL",K280="pTL",K280="STL"),0.75,0))),0),IF(M281="M",IF(OR(K281="lec",K281="plec",K281="slec"),1,IF(OR(K281="lab",K281="plab",K281="slab",K281="tut",K281="ptut",K281="stut"),0.5,IF(OR(K281="TL",K281="pTL",K281="STL"),0.75,0))),0),IF(M282="M",IF(OR(K282="lec",K282="plec",K282="slec"),1,IF(OR(K282="lab",K282="plab",K282="slab",K282="tut",K282="ptut",K282="stut"),0.5,IF(OR(K282="TL",K282="pTL",K282="STL"),0.75,0))),0))</f>
        <v>0</v>
      </c>
      <c r="U272" s="137"/>
      <c r="V272" s="133"/>
      <c r="W272" s="138"/>
      <c r="X272" s="139">
        <f>S272-(T272+U272+V272+W272)</f>
        <v>0</v>
      </c>
      <c r="Y272" s="134" t="str">
        <f>CONCATENATE(SUM(O272:O282),"(",SUM(O272:O282)-X272,")")</f>
        <v>0(0)</v>
      </c>
      <c r="Z272" s="140"/>
      <c r="AA272" s="141"/>
      <c r="AB272" s="142"/>
      <c r="AC272" s="142"/>
      <c r="AD272" s="142"/>
      <c r="AE272" s="142"/>
      <c r="AF272" s="142"/>
      <c r="AG272" s="142"/>
      <c r="AH272" s="142"/>
      <c r="AI272" s="143"/>
      <c r="AJ272" s="144"/>
      <c r="AK272" s="145"/>
      <c r="AL272" s="145"/>
      <c r="AM272" s="145"/>
      <c r="AN272" s="145"/>
      <c r="AO272" s="146"/>
      <c r="AP272" s="147">
        <f>SUM(SUM(O272:O282),SUM(AI272:AI282)/2,AM272)</f>
        <v>0</v>
      </c>
      <c r="AQ272" s="148"/>
      <c r="AR272" s="148">
        <f>AP272*AQ272</f>
        <v>0</v>
      </c>
      <c r="AS272" s="148">
        <f>CT272</f>
        <v>0</v>
      </c>
      <c r="AT272" s="149">
        <f>AR272*0.75+AS272*0.25</f>
        <v>0</v>
      </c>
      <c r="AU272" s="150"/>
      <c r="AV272" s="151"/>
      <c r="AW272" s="151"/>
      <c r="AX272" s="152"/>
      <c r="AY272" s="153"/>
      <c r="AZ272" s="140"/>
      <c r="BA272" s="150"/>
      <c r="BB272" s="151"/>
      <c r="BC272" s="151"/>
      <c r="BD272" s="151"/>
      <c r="BE272" s="151"/>
      <c r="BF272" s="151"/>
      <c r="BG272" s="151"/>
      <c r="BH272" s="151"/>
      <c r="BI272" s="152"/>
      <c r="BJ272" s="154"/>
      <c r="BK272" s="151"/>
      <c r="BL272" s="151"/>
      <c r="BM272" s="151"/>
      <c r="BN272" s="151"/>
      <c r="BO272" s="155"/>
      <c r="BP272" s="140"/>
      <c r="BQ272" s="156"/>
      <c r="BR272" s="157"/>
      <c r="BS272" s="158"/>
      <c r="BT272" s="153"/>
      <c r="BU272" s="140"/>
      <c r="BV272" s="140"/>
      <c r="BW272" s="140"/>
      <c r="BX272" s="140"/>
      <c r="BY272" s="140"/>
      <c r="BZ272" s="140"/>
      <c r="CA272" s="140"/>
      <c r="CB272" s="140"/>
      <c r="CC272" s="140"/>
      <c r="CD272" s="150"/>
      <c r="CE272" s="155"/>
      <c r="CF272" s="150"/>
      <c r="CG272" s="152"/>
      <c r="CH272" s="252"/>
      <c r="CI272" s="160"/>
      <c r="CJ272" s="159"/>
      <c r="CK272" s="160"/>
      <c r="CL272" s="159"/>
      <c r="CM272" s="160"/>
      <c r="CN272" s="159"/>
      <c r="CO272" s="160"/>
      <c r="CP272" s="159"/>
      <c r="CQ272" s="162"/>
      <c r="CR272" s="160"/>
      <c r="CS272" s="253">
        <f>SUM(IF(AU272&lt;0,ABS(AU272),0),IF(AZ272&lt;0,ABS(AZ272),0),ABS(CI272),ABS(CK272),ABS(CM272),ABS(CO272),ABS(CQ272),ABS(CR272))</f>
        <v>0</v>
      </c>
      <c r="CT272" s="254">
        <f>SUM(AU272,AV272,AW272,AX272/400,AY272,AZ272,BG272,BH272*0.5,BI272*0.25,BJ272,BK272,BL272,BM272,BN272,BO272,BP272,BR272/20,BS272/100,BT272/60,BU272,BV272,BW272,BX272/5,SUM(BY272:CC282)/3,CE272,CG272/3,CI272,CK272,CM272,CO272,CQ272,CR272)</f>
        <v>0</v>
      </c>
      <c r="CU272" s="255" t="str">
        <f t="shared" si="2"/>
        <v/>
      </c>
    </row>
    <row r="273" ht="60.0" hidden="1" customHeight="1">
      <c r="A273" s="65"/>
      <c r="C273" s="167"/>
      <c r="D273" s="205"/>
      <c r="E273" s="262"/>
      <c r="F273" s="170"/>
      <c r="G273" s="170"/>
      <c r="H273" s="170"/>
      <c r="I273" s="170"/>
      <c r="J273" s="170"/>
      <c r="K273" s="171"/>
      <c r="L273" s="171"/>
      <c r="M273" s="171"/>
      <c r="N273" s="209"/>
      <c r="O273" s="172">
        <f t="shared" si="50"/>
        <v>0</v>
      </c>
      <c r="P273" s="166"/>
      <c r="Q273" s="173"/>
      <c r="R273" s="65"/>
      <c r="S273" s="173"/>
      <c r="T273" s="173"/>
      <c r="U273" s="166"/>
      <c r="V273" s="166"/>
      <c r="W273" s="65"/>
      <c r="X273" s="66"/>
      <c r="Y273" s="173"/>
      <c r="Z273" s="166"/>
      <c r="AA273" s="174"/>
      <c r="AB273" s="175"/>
      <c r="AC273" s="175"/>
      <c r="AD273" s="175"/>
      <c r="AE273" s="175"/>
      <c r="AF273" s="175"/>
      <c r="AG273" s="175"/>
      <c r="AH273" s="175"/>
      <c r="AI273" s="176"/>
      <c r="AJ273" s="177"/>
      <c r="AK273" s="178"/>
      <c r="AL273" s="178"/>
      <c r="AM273" s="178"/>
      <c r="AN273" s="178"/>
      <c r="AO273" s="179"/>
      <c r="AP273" s="64"/>
      <c r="AQ273" s="65"/>
      <c r="AR273" s="65"/>
      <c r="AS273" s="65"/>
      <c r="AT273" s="173"/>
      <c r="AU273" s="177"/>
      <c r="AV273" s="178"/>
      <c r="AW273" s="178"/>
      <c r="AX273" s="179"/>
      <c r="AZ273" s="166"/>
      <c r="BA273" s="177"/>
      <c r="BB273" s="178"/>
      <c r="BC273" s="178"/>
      <c r="BD273" s="178"/>
      <c r="BE273" s="178"/>
      <c r="BF273" s="178"/>
      <c r="BG273" s="178"/>
      <c r="BH273" s="178"/>
      <c r="BI273" s="179"/>
      <c r="BJ273" s="180"/>
      <c r="BK273" s="178"/>
      <c r="BL273" s="178"/>
      <c r="BM273" s="178"/>
      <c r="BN273" s="178"/>
      <c r="BO273" s="181"/>
      <c r="BP273" s="166"/>
      <c r="BQ273" s="177"/>
      <c r="BR273" s="178"/>
      <c r="BS273" s="179"/>
      <c r="BU273" s="166"/>
      <c r="BV273" s="166"/>
      <c r="BW273" s="166"/>
      <c r="BX273" s="166"/>
      <c r="BY273" s="166"/>
      <c r="BZ273" s="166"/>
      <c r="CA273" s="166"/>
      <c r="CB273" s="166"/>
      <c r="CC273" s="166"/>
      <c r="CD273" s="177"/>
      <c r="CE273" s="181"/>
      <c r="CF273" s="177"/>
      <c r="CG273" s="179"/>
      <c r="CH273" s="257"/>
      <c r="CI273" s="182"/>
      <c r="CJ273" s="177"/>
      <c r="CK273" s="182"/>
      <c r="CL273" s="177"/>
      <c r="CM273" s="182"/>
      <c r="CN273" s="177"/>
      <c r="CO273" s="182"/>
      <c r="CP273" s="177"/>
      <c r="CQ273" s="178"/>
      <c r="CR273" s="182"/>
      <c r="CS273" s="173"/>
      <c r="CT273" s="65"/>
      <c r="CU273" s="271" t="str">
        <f t="shared" si="2"/>
        <v/>
      </c>
    </row>
    <row r="274" ht="60.0" hidden="1" customHeight="1">
      <c r="A274" s="65"/>
      <c r="C274" s="167"/>
      <c r="D274" s="205"/>
      <c r="E274" s="262"/>
      <c r="F274" s="170"/>
      <c r="G274" s="170"/>
      <c r="H274" s="170"/>
      <c r="I274" s="170"/>
      <c r="J274" s="170"/>
      <c r="K274" s="171"/>
      <c r="L274" s="171"/>
      <c r="M274" s="171"/>
      <c r="N274" s="209"/>
      <c r="O274" s="172">
        <f t="shared" si="50"/>
        <v>0</v>
      </c>
      <c r="P274" s="166"/>
      <c r="Q274" s="173"/>
      <c r="R274" s="65"/>
      <c r="S274" s="173"/>
      <c r="T274" s="173"/>
      <c r="U274" s="166"/>
      <c r="V274" s="166"/>
      <c r="W274" s="65"/>
      <c r="X274" s="66"/>
      <c r="Y274" s="173"/>
      <c r="Z274" s="166"/>
      <c r="AA274" s="174"/>
      <c r="AB274" s="175"/>
      <c r="AC274" s="175"/>
      <c r="AD274" s="175"/>
      <c r="AE274" s="175"/>
      <c r="AF274" s="175"/>
      <c r="AG274" s="175"/>
      <c r="AH274" s="175"/>
      <c r="AI274" s="176"/>
      <c r="AJ274" s="177"/>
      <c r="AK274" s="178"/>
      <c r="AL274" s="178"/>
      <c r="AM274" s="178"/>
      <c r="AN274" s="178"/>
      <c r="AO274" s="179"/>
      <c r="AP274" s="64"/>
      <c r="AQ274" s="65"/>
      <c r="AR274" s="65"/>
      <c r="AS274" s="65"/>
      <c r="AT274" s="173"/>
      <c r="AU274" s="177"/>
      <c r="AV274" s="178"/>
      <c r="AW274" s="178"/>
      <c r="AX274" s="179"/>
      <c r="AZ274" s="166"/>
      <c r="BA274" s="177"/>
      <c r="BB274" s="178"/>
      <c r="BC274" s="178"/>
      <c r="BD274" s="178"/>
      <c r="BE274" s="178"/>
      <c r="BF274" s="178"/>
      <c r="BG274" s="178"/>
      <c r="BH274" s="178"/>
      <c r="BI274" s="179"/>
      <c r="BJ274" s="180"/>
      <c r="BK274" s="178"/>
      <c r="BL274" s="178"/>
      <c r="BM274" s="178"/>
      <c r="BN274" s="178"/>
      <c r="BO274" s="181"/>
      <c r="BP274" s="166"/>
      <c r="BQ274" s="177"/>
      <c r="BR274" s="178"/>
      <c r="BS274" s="179"/>
      <c r="BU274" s="166"/>
      <c r="BV274" s="166"/>
      <c r="BW274" s="166"/>
      <c r="BX274" s="166"/>
      <c r="BY274" s="166"/>
      <c r="BZ274" s="166"/>
      <c r="CA274" s="166"/>
      <c r="CB274" s="166"/>
      <c r="CC274" s="166"/>
      <c r="CD274" s="177"/>
      <c r="CE274" s="181"/>
      <c r="CF274" s="177"/>
      <c r="CG274" s="179"/>
      <c r="CH274" s="257"/>
      <c r="CI274" s="182"/>
      <c r="CJ274" s="177"/>
      <c r="CK274" s="182"/>
      <c r="CL274" s="177"/>
      <c r="CM274" s="182"/>
      <c r="CN274" s="177"/>
      <c r="CO274" s="182"/>
      <c r="CP274" s="177"/>
      <c r="CQ274" s="178"/>
      <c r="CR274" s="182"/>
      <c r="CS274" s="173"/>
      <c r="CT274" s="65"/>
      <c r="CU274" s="271" t="str">
        <f t="shared" si="2"/>
        <v/>
      </c>
    </row>
    <row r="275" ht="60.0" hidden="1" customHeight="1">
      <c r="A275" s="65"/>
      <c r="C275" s="167"/>
      <c r="D275" s="205"/>
      <c r="E275" s="262"/>
      <c r="F275" s="170"/>
      <c r="G275" s="170"/>
      <c r="H275" s="170"/>
      <c r="I275" s="170"/>
      <c r="J275" s="170"/>
      <c r="K275" s="171"/>
      <c r="L275" s="171"/>
      <c r="M275" s="171"/>
      <c r="N275" s="209"/>
      <c r="O275" s="172">
        <f t="shared" si="50"/>
        <v>0</v>
      </c>
      <c r="P275" s="166"/>
      <c r="Q275" s="173"/>
      <c r="R275" s="65"/>
      <c r="S275" s="173"/>
      <c r="T275" s="173"/>
      <c r="U275" s="166"/>
      <c r="V275" s="166"/>
      <c r="W275" s="65"/>
      <c r="X275" s="66"/>
      <c r="Y275" s="173"/>
      <c r="Z275" s="166"/>
      <c r="AA275" s="174"/>
      <c r="AB275" s="175"/>
      <c r="AC275" s="175"/>
      <c r="AD275" s="175"/>
      <c r="AE275" s="175"/>
      <c r="AF275" s="175"/>
      <c r="AG275" s="175"/>
      <c r="AH275" s="175"/>
      <c r="AI275" s="176"/>
      <c r="AJ275" s="177"/>
      <c r="AK275" s="178"/>
      <c r="AL275" s="178"/>
      <c r="AM275" s="178"/>
      <c r="AN275" s="178"/>
      <c r="AO275" s="179"/>
      <c r="AP275" s="64"/>
      <c r="AQ275" s="65"/>
      <c r="AR275" s="65"/>
      <c r="AS275" s="65"/>
      <c r="AT275" s="173"/>
      <c r="AU275" s="177"/>
      <c r="AV275" s="178"/>
      <c r="AW275" s="178"/>
      <c r="AX275" s="179"/>
      <c r="AZ275" s="166"/>
      <c r="BA275" s="177"/>
      <c r="BB275" s="178"/>
      <c r="BC275" s="178"/>
      <c r="BD275" s="178"/>
      <c r="BE275" s="178"/>
      <c r="BF275" s="178"/>
      <c r="BG275" s="178"/>
      <c r="BH275" s="178"/>
      <c r="BI275" s="179"/>
      <c r="BJ275" s="180"/>
      <c r="BK275" s="178"/>
      <c r="BL275" s="178"/>
      <c r="BM275" s="178"/>
      <c r="BN275" s="178"/>
      <c r="BO275" s="181"/>
      <c r="BP275" s="166"/>
      <c r="BQ275" s="177"/>
      <c r="BR275" s="178"/>
      <c r="BS275" s="179"/>
      <c r="BU275" s="166"/>
      <c r="BV275" s="166"/>
      <c r="BW275" s="166"/>
      <c r="BX275" s="166"/>
      <c r="BY275" s="166"/>
      <c r="BZ275" s="166"/>
      <c r="CA275" s="166"/>
      <c r="CB275" s="166"/>
      <c r="CC275" s="166"/>
      <c r="CD275" s="177"/>
      <c r="CE275" s="181"/>
      <c r="CF275" s="177"/>
      <c r="CG275" s="179"/>
      <c r="CH275" s="257"/>
      <c r="CI275" s="182"/>
      <c r="CJ275" s="177"/>
      <c r="CK275" s="182"/>
      <c r="CL275" s="177"/>
      <c r="CM275" s="182"/>
      <c r="CN275" s="177"/>
      <c r="CO275" s="182"/>
      <c r="CP275" s="177"/>
      <c r="CQ275" s="178"/>
      <c r="CR275" s="182"/>
      <c r="CS275" s="173"/>
      <c r="CT275" s="65"/>
      <c r="CU275" s="271" t="str">
        <f t="shared" si="2"/>
        <v/>
      </c>
    </row>
    <row r="276" ht="60.0" hidden="1" customHeight="1">
      <c r="A276" s="65"/>
      <c r="C276" s="167"/>
      <c r="D276" s="205"/>
      <c r="E276" s="262"/>
      <c r="F276" s="170"/>
      <c r="G276" s="170"/>
      <c r="H276" s="170"/>
      <c r="I276" s="170"/>
      <c r="J276" s="170"/>
      <c r="K276" s="171"/>
      <c r="L276" s="171"/>
      <c r="M276" s="171"/>
      <c r="N276" s="209"/>
      <c r="O276" s="172">
        <f t="shared" si="50"/>
        <v>0</v>
      </c>
      <c r="P276" s="166"/>
      <c r="Q276" s="173"/>
      <c r="R276" s="65"/>
      <c r="S276" s="173"/>
      <c r="T276" s="173"/>
      <c r="U276" s="166"/>
      <c r="V276" s="166"/>
      <c r="W276" s="65"/>
      <c r="X276" s="66"/>
      <c r="Y276" s="173"/>
      <c r="Z276" s="166"/>
      <c r="AA276" s="174"/>
      <c r="AB276" s="175"/>
      <c r="AC276" s="175"/>
      <c r="AD276" s="175"/>
      <c r="AE276" s="175"/>
      <c r="AF276" s="175"/>
      <c r="AG276" s="175"/>
      <c r="AH276" s="175"/>
      <c r="AI276" s="176"/>
      <c r="AJ276" s="177"/>
      <c r="AK276" s="178"/>
      <c r="AL276" s="178"/>
      <c r="AM276" s="178"/>
      <c r="AN276" s="178"/>
      <c r="AO276" s="179"/>
      <c r="AP276" s="64"/>
      <c r="AQ276" s="65"/>
      <c r="AR276" s="65"/>
      <c r="AS276" s="65"/>
      <c r="AT276" s="173"/>
      <c r="AU276" s="177"/>
      <c r="AV276" s="178"/>
      <c r="AW276" s="178"/>
      <c r="AX276" s="179"/>
      <c r="AZ276" s="166"/>
      <c r="BA276" s="177"/>
      <c r="BB276" s="178"/>
      <c r="BC276" s="178"/>
      <c r="BD276" s="178"/>
      <c r="BE276" s="178"/>
      <c r="BF276" s="178"/>
      <c r="BG276" s="178"/>
      <c r="BH276" s="178"/>
      <c r="BI276" s="179"/>
      <c r="BJ276" s="180"/>
      <c r="BK276" s="178"/>
      <c r="BL276" s="178"/>
      <c r="BM276" s="178"/>
      <c r="BN276" s="178"/>
      <c r="BO276" s="181"/>
      <c r="BP276" s="166"/>
      <c r="BQ276" s="177"/>
      <c r="BR276" s="178"/>
      <c r="BS276" s="179"/>
      <c r="BU276" s="166"/>
      <c r="BV276" s="166"/>
      <c r="BW276" s="166"/>
      <c r="BX276" s="166"/>
      <c r="BY276" s="166"/>
      <c r="BZ276" s="166"/>
      <c r="CA276" s="166"/>
      <c r="CB276" s="166"/>
      <c r="CC276" s="166"/>
      <c r="CD276" s="177"/>
      <c r="CE276" s="181"/>
      <c r="CF276" s="177"/>
      <c r="CG276" s="179"/>
      <c r="CH276" s="257"/>
      <c r="CI276" s="182"/>
      <c r="CJ276" s="177"/>
      <c r="CK276" s="182"/>
      <c r="CL276" s="177"/>
      <c r="CM276" s="182"/>
      <c r="CN276" s="177"/>
      <c r="CO276" s="182"/>
      <c r="CP276" s="177"/>
      <c r="CQ276" s="178"/>
      <c r="CR276" s="182"/>
      <c r="CS276" s="173"/>
      <c r="CT276" s="65"/>
      <c r="CU276" s="271" t="str">
        <f t="shared" si="2"/>
        <v/>
      </c>
    </row>
    <row r="277" ht="60.0" hidden="1" customHeight="1">
      <c r="A277" s="65"/>
      <c r="C277" s="167"/>
      <c r="D277" s="205"/>
      <c r="E277" s="262"/>
      <c r="F277" s="170"/>
      <c r="G277" s="170"/>
      <c r="H277" s="170"/>
      <c r="I277" s="170"/>
      <c r="J277" s="170"/>
      <c r="K277" s="171"/>
      <c r="L277" s="171"/>
      <c r="M277" s="171"/>
      <c r="N277" s="209"/>
      <c r="O277" s="172">
        <f t="shared" si="50"/>
        <v>0</v>
      </c>
      <c r="P277" s="166"/>
      <c r="Q277" s="173"/>
      <c r="R277" s="65"/>
      <c r="S277" s="173"/>
      <c r="T277" s="173"/>
      <c r="U277" s="166"/>
      <c r="V277" s="166"/>
      <c r="W277" s="65"/>
      <c r="X277" s="66"/>
      <c r="Y277" s="173"/>
      <c r="Z277" s="166"/>
      <c r="AA277" s="174"/>
      <c r="AB277" s="175"/>
      <c r="AC277" s="175"/>
      <c r="AD277" s="175"/>
      <c r="AE277" s="175"/>
      <c r="AF277" s="175"/>
      <c r="AG277" s="175"/>
      <c r="AH277" s="175"/>
      <c r="AI277" s="176"/>
      <c r="AJ277" s="177"/>
      <c r="AK277" s="178"/>
      <c r="AL277" s="178"/>
      <c r="AM277" s="178"/>
      <c r="AN277" s="178"/>
      <c r="AO277" s="179"/>
      <c r="AP277" s="64"/>
      <c r="AQ277" s="65"/>
      <c r="AR277" s="65"/>
      <c r="AS277" s="65"/>
      <c r="AT277" s="173"/>
      <c r="AU277" s="177"/>
      <c r="AV277" s="178"/>
      <c r="AW277" s="178"/>
      <c r="AX277" s="179"/>
      <c r="AZ277" s="166"/>
      <c r="BA277" s="177"/>
      <c r="BB277" s="178"/>
      <c r="BC277" s="178"/>
      <c r="BD277" s="178"/>
      <c r="BE277" s="178"/>
      <c r="BF277" s="178"/>
      <c r="BG277" s="178"/>
      <c r="BH277" s="178"/>
      <c r="BI277" s="179"/>
      <c r="BJ277" s="180"/>
      <c r="BK277" s="178"/>
      <c r="BL277" s="178"/>
      <c r="BM277" s="178"/>
      <c r="BN277" s="178"/>
      <c r="BO277" s="181"/>
      <c r="BP277" s="166"/>
      <c r="BQ277" s="177"/>
      <c r="BR277" s="178"/>
      <c r="BS277" s="179"/>
      <c r="BU277" s="166"/>
      <c r="BV277" s="166"/>
      <c r="BW277" s="166"/>
      <c r="BX277" s="166"/>
      <c r="BY277" s="166"/>
      <c r="BZ277" s="166"/>
      <c r="CA277" s="166"/>
      <c r="CB277" s="166"/>
      <c r="CC277" s="166"/>
      <c r="CD277" s="177"/>
      <c r="CE277" s="181"/>
      <c r="CF277" s="177"/>
      <c r="CG277" s="179"/>
      <c r="CH277" s="257"/>
      <c r="CI277" s="182"/>
      <c r="CJ277" s="177"/>
      <c r="CK277" s="182"/>
      <c r="CL277" s="177"/>
      <c r="CM277" s="182"/>
      <c r="CN277" s="177"/>
      <c r="CO277" s="182"/>
      <c r="CP277" s="177"/>
      <c r="CQ277" s="178"/>
      <c r="CR277" s="182"/>
      <c r="CS277" s="173"/>
      <c r="CT277" s="65"/>
      <c r="CU277" s="271" t="str">
        <f t="shared" si="2"/>
        <v/>
      </c>
    </row>
    <row r="278" ht="60.0" hidden="1" customHeight="1">
      <c r="A278" s="65"/>
      <c r="C278" s="167"/>
      <c r="D278" s="205"/>
      <c r="E278" s="262"/>
      <c r="F278" s="170"/>
      <c r="G278" s="170"/>
      <c r="H278" s="170"/>
      <c r="I278" s="170"/>
      <c r="J278" s="170"/>
      <c r="K278" s="171"/>
      <c r="L278" s="171"/>
      <c r="M278" s="171"/>
      <c r="N278" s="209"/>
      <c r="O278" s="172">
        <f t="shared" ref="O278:O281" si="51">IF(AND(M278&gt;=20,M278&lt;&gt;"m",RIGHT(K278,3)="Lec"),1,IF(AND(M278&gt;=20,M278&lt;&gt;"m",OR(RIGHT(K278,3)="Lab",RIGHT(K278,3)="Tut")),0.5,IF(AND(M278&gt;=20,M278&lt;&gt;"m",RIGHT(K278,2)="TL"),0.75,0)))</f>
        <v>0</v>
      </c>
      <c r="P278" s="166"/>
      <c r="Q278" s="173"/>
      <c r="R278" s="65"/>
      <c r="S278" s="173"/>
      <c r="T278" s="173"/>
      <c r="U278" s="166"/>
      <c r="V278" s="166"/>
      <c r="W278" s="65"/>
      <c r="X278" s="66"/>
      <c r="Y278" s="173"/>
      <c r="Z278" s="166"/>
      <c r="AA278" s="174"/>
      <c r="AB278" s="175"/>
      <c r="AC278" s="175"/>
      <c r="AD278" s="175"/>
      <c r="AE278" s="175"/>
      <c r="AF278" s="175"/>
      <c r="AG278" s="175"/>
      <c r="AH278" s="175"/>
      <c r="AI278" s="176"/>
      <c r="AJ278" s="177"/>
      <c r="AK278" s="178"/>
      <c r="AL278" s="178"/>
      <c r="AM278" s="178"/>
      <c r="AN278" s="178"/>
      <c r="AO278" s="179"/>
      <c r="AP278" s="64"/>
      <c r="AQ278" s="65"/>
      <c r="AR278" s="65"/>
      <c r="AS278" s="65"/>
      <c r="AT278" s="173"/>
      <c r="AU278" s="177"/>
      <c r="AV278" s="178"/>
      <c r="AW278" s="178"/>
      <c r="AX278" s="179"/>
      <c r="AZ278" s="166"/>
      <c r="BA278" s="177"/>
      <c r="BB278" s="178"/>
      <c r="BC278" s="178"/>
      <c r="BD278" s="178"/>
      <c r="BE278" s="178"/>
      <c r="BF278" s="178"/>
      <c r="BG278" s="178"/>
      <c r="BH278" s="178"/>
      <c r="BI278" s="179"/>
      <c r="BJ278" s="180"/>
      <c r="BK278" s="178"/>
      <c r="BL278" s="178"/>
      <c r="BM278" s="178"/>
      <c r="BN278" s="178"/>
      <c r="BO278" s="181"/>
      <c r="BP278" s="166"/>
      <c r="BQ278" s="177"/>
      <c r="BR278" s="178"/>
      <c r="BS278" s="179"/>
      <c r="BU278" s="166"/>
      <c r="BV278" s="166"/>
      <c r="BW278" s="166"/>
      <c r="BX278" s="166"/>
      <c r="BY278" s="166"/>
      <c r="BZ278" s="166"/>
      <c r="CA278" s="166"/>
      <c r="CB278" s="166"/>
      <c r="CC278" s="166"/>
      <c r="CD278" s="177"/>
      <c r="CE278" s="181"/>
      <c r="CF278" s="177"/>
      <c r="CG278" s="179"/>
      <c r="CH278" s="257"/>
      <c r="CI278" s="182"/>
      <c r="CJ278" s="177"/>
      <c r="CK278" s="182"/>
      <c r="CL278" s="177"/>
      <c r="CM278" s="182"/>
      <c r="CN278" s="177"/>
      <c r="CO278" s="182"/>
      <c r="CP278" s="177"/>
      <c r="CQ278" s="178"/>
      <c r="CR278" s="182"/>
      <c r="CS278" s="173"/>
      <c r="CT278" s="65"/>
      <c r="CU278" s="271" t="str">
        <f t="shared" si="2"/>
        <v/>
      </c>
    </row>
    <row r="279" ht="60.0" hidden="1" customHeight="1">
      <c r="A279" s="65"/>
      <c r="C279" s="167"/>
      <c r="D279" s="205"/>
      <c r="E279" s="262"/>
      <c r="F279" s="170"/>
      <c r="G279" s="170"/>
      <c r="H279" s="170"/>
      <c r="I279" s="170"/>
      <c r="J279" s="170"/>
      <c r="K279" s="171"/>
      <c r="L279" s="171"/>
      <c r="M279" s="171"/>
      <c r="N279" s="209"/>
      <c r="O279" s="172">
        <f t="shared" si="51"/>
        <v>0</v>
      </c>
      <c r="P279" s="166"/>
      <c r="Q279" s="173"/>
      <c r="R279" s="65"/>
      <c r="S279" s="173"/>
      <c r="T279" s="173"/>
      <c r="U279" s="166"/>
      <c r="V279" s="166"/>
      <c r="W279" s="65"/>
      <c r="X279" s="66"/>
      <c r="Y279" s="173"/>
      <c r="Z279" s="166"/>
      <c r="AA279" s="174"/>
      <c r="AB279" s="175"/>
      <c r="AC279" s="175"/>
      <c r="AD279" s="175"/>
      <c r="AE279" s="175"/>
      <c r="AF279" s="175"/>
      <c r="AG279" s="175"/>
      <c r="AH279" s="175"/>
      <c r="AI279" s="176"/>
      <c r="AJ279" s="177"/>
      <c r="AK279" s="178"/>
      <c r="AL279" s="178"/>
      <c r="AM279" s="178"/>
      <c r="AN279" s="178"/>
      <c r="AO279" s="179"/>
      <c r="AP279" s="64"/>
      <c r="AQ279" s="65"/>
      <c r="AR279" s="65"/>
      <c r="AS279" s="65"/>
      <c r="AT279" s="173"/>
      <c r="AU279" s="177"/>
      <c r="AV279" s="178"/>
      <c r="AW279" s="178"/>
      <c r="AX279" s="179"/>
      <c r="AZ279" s="166"/>
      <c r="BA279" s="177"/>
      <c r="BB279" s="178"/>
      <c r="BC279" s="178"/>
      <c r="BD279" s="178"/>
      <c r="BE279" s="178"/>
      <c r="BF279" s="178"/>
      <c r="BG279" s="178"/>
      <c r="BH279" s="178"/>
      <c r="BI279" s="179"/>
      <c r="BJ279" s="180"/>
      <c r="BK279" s="178"/>
      <c r="BL279" s="178"/>
      <c r="BM279" s="178"/>
      <c r="BN279" s="178"/>
      <c r="BO279" s="181"/>
      <c r="BP279" s="166"/>
      <c r="BQ279" s="177"/>
      <c r="BR279" s="178"/>
      <c r="BS279" s="179"/>
      <c r="BU279" s="166"/>
      <c r="BV279" s="166"/>
      <c r="BW279" s="166"/>
      <c r="BX279" s="166"/>
      <c r="BY279" s="166"/>
      <c r="BZ279" s="166"/>
      <c r="CA279" s="166"/>
      <c r="CB279" s="166"/>
      <c r="CC279" s="166"/>
      <c r="CD279" s="177"/>
      <c r="CE279" s="181"/>
      <c r="CF279" s="177"/>
      <c r="CG279" s="179"/>
      <c r="CH279" s="257"/>
      <c r="CI279" s="182"/>
      <c r="CJ279" s="177"/>
      <c r="CK279" s="182"/>
      <c r="CL279" s="177"/>
      <c r="CM279" s="182"/>
      <c r="CN279" s="177"/>
      <c r="CO279" s="182"/>
      <c r="CP279" s="177"/>
      <c r="CQ279" s="178"/>
      <c r="CR279" s="182"/>
      <c r="CS279" s="173"/>
      <c r="CT279" s="65"/>
      <c r="CU279" s="271" t="str">
        <f t="shared" si="2"/>
        <v/>
      </c>
    </row>
    <row r="280" ht="60.0" hidden="1" customHeight="1">
      <c r="A280" s="65"/>
      <c r="C280" s="167"/>
      <c r="D280" s="205"/>
      <c r="E280" s="262"/>
      <c r="F280" s="170"/>
      <c r="G280" s="170"/>
      <c r="H280" s="170"/>
      <c r="I280" s="170"/>
      <c r="J280" s="170"/>
      <c r="K280" s="171"/>
      <c r="L280" s="171"/>
      <c r="M280" s="171"/>
      <c r="N280" s="209"/>
      <c r="O280" s="172">
        <f t="shared" si="51"/>
        <v>0</v>
      </c>
      <c r="P280" s="166"/>
      <c r="Q280" s="173"/>
      <c r="R280" s="65"/>
      <c r="S280" s="173"/>
      <c r="T280" s="173"/>
      <c r="U280" s="166"/>
      <c r="V280" s="166"/>
      <c r="W280" s="65"/>
      <c r="X280" s="66"/>
      <c r="Y280" s="173"/>
      <c r="Z280" s="166"/>
      <c r="AA280" s="174"/>
      <c r="AB280" s="175"/>
      <c r="AC280" s="175"/>
      <c r="AD280" s="175"/>
      <c r="AE280" s="175"/>
      <c r="AF280" s="175"/>
      <c r="AG280" s="175"/>
      <c r="AH280" s="175"/>
      <c r="AI280" s="176"/>
      <c r="AJ280" s="177"/>
      <c r="AK280" s="178"/>
      <c r="AL280" s="178"/>
      <c r="AM280" s="178"/>
      <c r="AN280" s="178"/>
      <c r="AO280" s="179"/>
      <c r="AP280" s="64"/>
      <c r="AQ280" s="65"/>
      <c r="AR280" s="65"/>
      <c r="AS280" s="65"/>
      <c r="AT280" s="173"/>
      <c r="AU280" s="177"/>
      <c r="AV280" s="178"/>
      <c r="AW280" s="178"/>
      <c r="AX280" s="179"/>
      <c r="AZ280" s="166"/>
      <c r="BA280" s="177"/>
      <c r="BB280" s="178"/>
      <c r="BC280" s="178"/>
      <c r="BD280" s="178"/>
      <c r="BE280" s="178"/>
      <c r="BF280" s="178"/>
      <c r="BG280" s="178"/>
      <c r="BH280" s="178"/>
      <c r="BI280" s="179"/>
      <c r="BJ280" s="180"/>
      <c r="BK280" s="178"/>
      <c r="BL280" s="178"/>
      <c r="BM280" s="178"/>
      <c r="BN280" s="178"/>
      <c r="BO280" s="181"/>
      <c r="BP280" s="166"/>
      <c r="BQ280" s="177"/>
      <c r="BR280" s="178"/>
      <c r="BS280" s="179"/>
      <c r="BU280" s="166"/>
      <c r="BV280" s="166"/>
      <c r="BW280" s="166"/>
      <c r="BX280" s="166"/>
      <c r="BY280" s="166"/>
      <c r="BZ280" s="166"/>
      <c r="CA280" s="166"/>
      <c r="CB280" s="166"/>
      <c r="CC280" s="166"/>
      <c r="CD280" s="177"/>
      <c r="CE280" s="181"/>
      <c r="CF280" s="177"/>
      <c r="CG280" s="179"/>
      <c r="CH280" s="257"/>
      <c r="CI280" s="182"/>
      <c r="CJ280" s="177"/>
      <c r="CK280" s="182"/>
      <c r="CL280" s="177"/>
      <c r="CM280" s="182"/>
      <c r="CN280" s="177"/>
      <c r="CO280" s="182"/>
      <c r="CP280" s="177"/>
      <c r="CQ280" s="178"/>
      <c r="CR280" s="182"/>
      <c r="CS280" s="173"/>
      <c r="CT280" s="65"/>
      <c r="CU280" s="271" t="str">
        <f t="shared" si="2"/>
        <v/>
      </c>
    </row>
    <row r="281" ht="60.0" hidden="1" customHeight="1">
      <c r="A281" s="65"/>
      <c r="C281" s="167"/>
      <c r="D281" s="205"/>
      <c r="E281" s="262"/>
      <c r="F281" s="170"/>
      <c r="G281" s="170"/>
      <c r="H281" s="170"/>
      <c r="I281" s="170"/>
      <c r="J281" s="170"/>
      <c r="K281" s="171"/>
      <c r="L281" s="171"/>
      <c r="M281" s="171"/>
      <c r="N281" s="209"/>
      <c r="O281" s="172">
        <f t="shared" si="51"/>
        <v>0</v>
      </c>
      <c r="P281" s="166"/>
      <c r="Q281" s="173"/>
      <c r="R281" s="65"/>
      <c r="S281" s="173"/>
      <c r="T281" s="173"/>
      <c r="U281" s="166"/>
      <c r="V281" s="166"/>
      <c r="W281" s="65"/>
      <c r="X281" s="66"/>
      <c r="Y281" s="173"/>
      <c r="Z281" s="166"/>
      <c r="AA281" s="174"/>
      <c r="AB281" s="175"/>
      <c r="AC281" s="175"/>
      <c r="AD281" s="175"/>
      <c r="AE281" s="175"/>
      <c r="AF281" s="175"/>
      <c r="AG281" s="175"/>
      <c r="AH281" s="175"/>
      <c r="AI281" s="176"/>
      <c r="AJ281" s="177"/>
      <c r="AK281" s="178"/>
      <c r="AL281" s="178"/>
      <c r="AM281" s="178"/>
      <c r="AN281" s="178"/>
      <c r="AO281" s="179"/>
      <c r="AP281" s="64"/>
      <c r="AQ281" s="65"/>
      <c r="AR281" s="65"/>
      <c r="AS281" s="65"/>
      <c r="AT281" s="173"/>
      <c r="AU281" s="177"/>
      <c r="AV281" s="178"/>
      <c r="AW281" s="178"/>
      <c r="AX281" s="179"/>
      <c r="AZ281" s="166"/>
      <c r="BA281" s="177"/>
      <c r="BB281" s="178"/>
      <c r="BC281" s="178"/>
      <c r="BD281" s="178"/>
      <c r="BE281" s="178"/>
      <c r="BF281" s="178"/>
      <c r="BG281" s="178"/>
      <c r="BH281" s="178"/>
      <c r="BI281" s="179"/>
      <c r="BJ281" s="180"/>
      <c r="BK281" s="178"/>
      <c r="BL281" s="178"/>
      <c r="BM281" s="178"/>
      <c r="BN281" s="178"/>
      <c r="BO281" s="181"/>
      <c r="BP281" s="166"/>
      <c r="BQ281" s="177"/>
      <c r="BR281" s="178"/>
      <c r="BS281" s="179"/>
      <c r="BU281" s="166"/>
      <c r="BV281" s="166"/>
      <c r="BW281" s="166"/>
      <c r="BX281" s="166"/>
      <c r="BY281" s="166"/>
      <c r="BZ281" s="166"/>
      <c r="CA281" s="166"/>
      <c r="CB281" s="166"/>
      <c r="CC281" s="166"/>
      <c r="CD281" s="177"/>
      <c r="CE281" s="181"/>
      <c r="CF281" s="177"/>
      <c r="CG281" s="179"/>
      <c r="CH281" s="257"/>
      <c r="CI281" s="182"/>
      <c r="CJ281" s="177"/>
      <c r="CK281" s="182"/>
      <c r="CL281" s="177"/>
      <c r="CM281" s="182"/>
      <c r="CN281" s="177"/>
      <c r="CO281" s="182"/>
      <c r="CP281" s="177"/>
      <c r="CQ281" s="178"/>
      <c r="CR281" s="182"/>
      <c r="CS281" s="173"/>
      <c r="CT281" s="65"/>
      <c r="CU281" s="271" t="str">
        <f t="shared" si="2"/>
        <v/>
      </c>
    </row>
    <row r="282" ht="60.0" hidden="1" customHeight="1">
      <c r="A282" s="89"/>
      <c r="B282" s="6"/>
      <c r="C282" s="183"/>
      <c r="D282" s="210"/>
      <c r="E282" s="263"/>
      <c r="F282" s="186"/>
      <c r="G282" s="186"/>
      <c r="H282" s="186"/>
      <c r="I282" s="186"/>
      <c r="J282" s="186"/>
      <c r="K282" s="187"/>
      <c r="L282" s="187"/>
      <c r="M282" s="187"/>
      <c r="N282" s="214"/>
      <c r="O282" s="188">
        <f t="shared" ref="O282:O288" si="52">IF(AND(M282&lt;&gt;0,M282&lt;&gt;"m",M282&lt;&gt;"",RIGHT(K282,3)="Lec"),1,IF(AND(M282&lt;&gt;0,M282&lt;&gt;"m",M282&lt;&gt;"",OR(RIGHT(K282,3)="Lab",RIGHT(K282,3)="Tut")),0.5,IF(AND(M282&lt;&gt;0,M282&lt;&gt;"m",M282&lt;&gt;"",RIGHT(K282,2)="TL"),0.75,0)))</f>
        <v>0</v>
      </c>
      <c r="P282" s="63"/>
      <c r="Q282" s="69"/>
      <c r="R282" s="89"/>
      <c r="S282" s="69"/>
      <c r="T282" s="69"/>
      <c r="U282" s="63"/>
      <c r="V282" s="63"/>
      <c r="W282" s="89"/>
      <c r="X282" s="68"/>
      <c r="Y282" s="69"/>
      <c r="Z282" s="63"/>
      <c r="AA282" s="189"/>
      <c r="AB282" s="190"/>
      <c r="AC282" s="190"/>
      <c r="AD282" s="190"/>
      <c r="AE282" s="190"/>
      <c r="AF282" s="190"/>
      <c r="AG282" s="190"/>
      <c r="AH282" s="190"/>
      <c r="AI282" s="191"/>
      <c r="AJ282" s="192"/>
      <c r="AK282" s="193"/>
      <c r="AL282" s="193"/>
      <c r="AM282" s="193"/>
      <c r="AN282" s="193"/>
      <c r="AO282" s="194"/>
      <c r="AP282" s="103"/>
      <c r="AQ282" s="89"/>
      <c r="AR282" s="89"/>
      <c r="AS282" s="89"/>
      <c r="AT282" s="69"/>
      <c r="AU282" s="192"/>
      <c r="AV282" s="193"/>
      <c r="AW282" s="193"/>
      <c r="AX282" s="194"/>
      <c r="AY282" s="6"/>
      <c r="AZ282" s="63"/>
      <c r="BA282" s="192"/>
      <c r="BB282" s="193"/>
      <c r="BC282" s="193"/>
      <c r="BD282" s="193"/>
      <c r="BE282" s="193"/>
      <c r="BF282" s="193"/>
      <c r="BG282" s="193"/>
      <c r="BH282" s="193"/>
      <c r="BI282" s="194"/>
      <c r="BJ282" s="195"/>
      <c r="BK282" s="193"/>
      <c r="BL282" s="193"/>
      <c r="BM282" s="193"/>
      <c r="BN282" s="193"/>
      <c r="BO282" s="196"/>
      <c r="BP282" s="63"/>
      <c r="BQ282" s="192"/>
      <c r="BR282" s="193"/>
      <c r="BS282" s="194"/>
      <c r="BT282" s="6"/>
      <c r="BU282" s="63"/>
      <c r="BV282" s="63"/>
      <c r="BW282" s="63"/>
      <c r="BX282" s="63"/>
      <c r="BY282" s="63"/>
      <c r="BZ282" s="63"/>
      <c r="CA282" s="63"/>
      <c r="CB282" s="63"/>
      <c r="CC282" s="63"/>
      <c r="CD282" s="192"/>
      <c r="CE282" s="196"/>
      <c r="CF282" s="192"/>
      <c r="CG282" s="194"/>
      <c r="CH282" s="259"/>
      <c r="CI282" s="197"/>
      <c r="CJ282" s="192"/>
      <c r="CK282" s="197"/>
      <c r="CL282" s="192"/>
      <c r="CM282" s="197"/>
      <c r="CN282" s="192"/>
      <c r="CO282" s="197"/>
      <c r="CP282" s="192"/>
      <c r="CQ282" s="193"/>
      <c r="CR282" s="197"/>
      <c r="CS282" s="69"/>
      <c r="CT282" s="89"/>
      <c r="CU282" s="272" t="str">
        <f t="shared" si="2"/>
        <v/>
      </c>
    </row>
    <row r="283" ht="56.25" hidden="1" customHeight="1">
      <c r="A283" s="125">
        <v>26.0</v>
      </c>
      <c r="B283" s="199"/>
      <c r="C283" s="127"/>
      <c r="D283" s="128"/>
      <c r="E283" s="260"/>
      <c r="F283" s="261"/>
      <c r="G283" s="261"/>
      <c r="H283" s="261"/>
      <c r="I283" s="261"/>
      <c r="J283" s="170"/>
      <c r="K283" s="219"/>
      <c r="L283" s="219"/>
      <c r="M283" s="219"/>
      <c r="N283" s="220"/>
      <c r="O283" s="132">
        <f t="shared" si="52"/>
        <v>0</v>
      </c>
      <c r="P283" s="133">
        <f>COUNTIF(K283:K293,"TL")*0.75+COUNTIF(K283:K293,"Lec")*1+COUNTIF(K283:K293,"Lab")*0.5</f>
        <v>0</v>
      </c>
      <c r="Q283" s="134">
        <f>SUM((IF(LEFT(K283,1)="E",O283,0)),(IF(LEFT(K284,1)="E",O284,0)),(IF(LEFT(K285,1)="E",O285,0)),(IF(LEFT(K286,1)="E",O286,0)),(IF(LEFT(K287,1)="E",O287,0)),(IF(LEFT(K288,1)="E",O288,0)),(IF(LEFT(K289,1)="E",O289,0)),(IF(LEFT(K290,1)="E",O290,0)),(IF(LEFT(K291,1)="E",O291,0)),(IF(LEFT(K292,1)="E",O292,0)),(IF(LEFT(K293,1)="E",O293,0)))</f>
        <v>0</v>
      </c>
      <c r="R283" s="135">
        <f>SUM(IF(M289&lt;20,IF(K289="Plec",-1,IF(K289="PTL",-0.75,IF(K289="Plab",-0.5,0))),0),IF(M290&lt;20,IF(K290="Plec",-1,IF(K290="PTL",-0.75,IF(K290="Plab",-0.5,0))),0),IF(M291&lt;20,IF(K291="Plec",-1,IF(K291="PTL",-0.75,IF(K291="Plab",-0.5,0))),0),IF(M292&lt;20,IF(K292="Plec",-1,IF(K292="PTL",-0.75,IF(K292="Plab",-0.5,0))),0))</f>
        <v>0</v>
      </c>
      <c r="S283" s="134">
        <f>SUM(P283:R293)</f>
        <v>0</v>
      </c>
      <c r="T283" s="136">
        <f>SUM(IF(M283="M",IF(OR(K283="lec",K283="plec",K283="slec"),1,IF(OR(K283="lab",K283="plab",K283="slab",K283="tut",K283="ptut",K283="stut"),0.5,IF(OR(K283="TL",K283="pTL",K283="STL"),0.75,0))),0),IF(M284="M",IF(OR(K284="lec",K284="plec",K284="slec"),1,IF(OR(K284="lab",K284="plab",K284="slab",K284="tut",K284="ptut",K284="stut"),0.5,IF(OR(K284="TL",K284="pTL",K284="STL"),0.75,0))),0),IF(M285="M",IF(OR(K285="lec",K285="plec",K285="slec"),1,IF(OR(K285="lab",K285="plab",K285="slab",K285="tut",K285="ptut",K285="stut"),0.5,IF(OR(K285="TL",K285="pTL",K285="STL"),0.75,0))),0),IF(M286="M",IF(OR(K286="lec",K286="plec",K286="slec"),1,IF(OR(K286="lab",K286="plab",K286="slab",K286="tut",K286="ptut",K286="stut"),0.5,IF(OR(K286="TL",K286="pTL",K286="STL"),0.75,0))),0),IF(M287="M",IF(OR(K287="lec",K287="plec",K287="slec"),1,IF(OR(K287="lab",K287="plab",K287="slab",K287="tut",K287="ptut",K287="stut"),0.5,IF(OR(K287="TL",K287="pTL",K287="STL"),0.75,0))),0),IF(M288="M",IF(OR(K288="lec",K288="plec",K288="slec"),1,IF(OR(K288="lab",K288="plab",K288="slab",K288="tut",K288="ptut",K288="stut"),0.5,IF(OR(K288="TL",K288="pTL",K288="STL"),0.75,0))),0),IF(M289="M",IF(OR(K289="lec",K289="plec",K289="slec"),1,IF(OR(K289="lab",K289="plab",K289="slab",K289="tut",K289="ptut",K289="stut"),0.5,IF(OR(K289="TL",K289="pTL",K289="STL"),0.75,0))),0),IF(M290="M",IF(OR(K290="lec",K290="plec",K290="slec"),1,IF(OR(K290="lab",K290="plab",K290="slab",K290="tut",K290="ptut",K290="stut"),0.5,IF(OR(K290="TL",K290="pTL",K290="STL"),0.75,0))),0),IF(M291="M",IF(OR(K291="lec",K291="plec",K291="slec"),1,IF(OR(K291="lab",K291="plab",K291="slab",K291="tut",K291="ptut",K291="stut"),0.5,IF(OR(K291="TL",K291="pTL",K291="STL"),0.75,0))),0),IF(M292="M",IF(OR(K292="lec",K292="plec",K292="slec"),1,IF(OR(K292="lab",K292="plab",K292="slab",K292="tut",K292="ptut",K292="stut"),0.5,IF(OR(K292="TL",K292="pTL",K292="STL"),0.75,0))),0),IF(M293="M",IF(OR(K293="lec",K293="plec",K293="slec"),1,IF(OR(K293="lab",K293="plab",K293="slab",K293="tut",K293="ptut",K293="stut"),0.5,IF(OR(K293="TL",K293="pTL",K293="STL"),0.75,0))),0))</f>
        <v>0</v>
      </c>
      <c r="U283" s="137"/>
      <c r="V283" s="133"/>
      <c r="W283" s="138"/>
      <c r="X283" s="139">
        <f>S283-(T283+U283+V283+W283)</f>
        <v>0</v>
      </c>
      <c r="Y283" s="134" t="str">
        <f>CONCATENATE(SUM(O283:O293),"(",SUM(O283:O293)-X283,")")</f>
        <v>0(0)</v>
      </c>
      <c r="Z283" s="140"/>
      <c r="AA283" s="141"/>
      <c r="AB283" s="142"/>
      <c r="AC283" s="142"/>
      <c r="AD283" s="142"/>
      <c r="AE283" s="142"/>
      <c r="AF283" s="142"/>
      <c r="AG283" s="142"/>
      <c r="AH283" s="142"/>
      <c r="AI283" s="143"/>
      <c r="AJ283" s="144"/>
      <c r="AK283" s="145"/>
      <c r="AL283" s="145"/>
      <c r="AM283" s="145"/>
      <c r="AN283" s="145"/>
      <c r="AO283" s="146"/>
      <c r="AP283" s="147">
        <f>SUM(SUM(O283:O293),SUM(AI283:AI293)/2,AM283)</f>
        <v>0</v>
      </c>
      <c r="AQ283" s="148"/>
      <c r="AR283" s="148">
        <f>AP283*AQ283</f>
        <v>0</v>
      </c>
      <c r="AS283" s="148">
        <f>CT283</f>
        <v>0</v>
      </c>
      <c r="AT283" s="149">
        <f>AR283*0.75+AS283*0.25</f>
        <v>0</v>
      </c>
      <c r="AU283" s="150"/>
      <c r="AV283" s="151"/>
      <c r="AW283" s="151"/>
      <c r="AX283" s="152"/>
      <c r="AY283" s="153"/>
      <c r="AZ283" s="140"/>
      <c r="BA283" s="150"/>
      <c r="BB283" s="151"/>
      <c r="BC283" s="151"/>
      <c r="BD283" s="151"/>
      <c r="BE283" s="151"/>
      <c r="BF283" s="151"/>
      <c r="BG283" s="151"/>
      <c r="BH283" s="151"/>
      <c r="BI283" s="152"/>
      <c r="BJ283" s="154"/>
      <c r="BK283" s="151"/>
      <c r="BL283" s="151"/>
      <c r="BM283" s="151"/>
      <c r="BN283" s="151"/>
      <c r="BO283" s="155"/>
      <c r="BP283" s="140"/>
      <c r="BQ283" s="156"/>
      <c r="BR283" s="157"/>
      <c r="BS283" s="158"/>
      <c r="BT283" s="153"/>
      <c r="BU283" s="140"/>
      <c r="BV283" s="140"/>
      <c r="BW283" s="140"/>
      <c r="BX283" s="140"/>
      <c r="BY283" s="140"/>
      <c r="BZ283" s="140"/>
      <c r="CA283" s="140"/>
      <c r="CB283" s="140"/>
      <c r="CC283" s="140"/>
      <c r="CD283" s="150"/>
      <c r="CE283" s="155"/>
      <c r="CF283" s="150"/>
      <c r="CG283" s="152"/>
      <c r="CH283" s="252"/>
      <c r="CI283" s="160"/>
      <c r="CJ283" s="159"/>
      <c r="CK283" s="160"/>
      <c r="CL283" s="159"/>
      <c r="CM283" s="160"/>
      <c r="CN283" s="159"/>
      <c r="CO283" s="160"/>
      <c r="CP283" s="159"/>
      <c r="CQ283" s="162"/>
      <c r="CR283" s="160"/>
      <c r="CS283" s="253">
        <f>SUM(IF(AU283&lt;0,ABS(AU283),0),IF(AZ283&lt;0,ABS(AZ283),0),ABS(CI283),ABS(CK283),ABS(CM283),ABS(CO283),ABS(CQ283),ABS(CR283))</f>
        <v>0</v>
      </c>
      <c r="CT283" s="254">
        <f>SUM(AU283,AV283,AW283,AX283/400,AY283,AZ283,BG283,BH283*0.5,BI283*0.25,BJ283,BK283,BL283,BM283,BN283,BO283,BP283,BR283/20,BS283/100,BT283/60,BU283,BV283,BW283,BX283/5,SUM(BY283:CC293)/3,CE283,CG283/3,CI283,CK283,CM283,CO283,CQ283,CR283)</f>
        <v>0</v>
      </c>
      <c r="CU283" s="255" t="str">
        <f t="shared" si="2"/>
        <v/>
      </c>
    </row>
    <row r="284" ht="60.0" hidden="1" customHeight="1">
      <c r="A284" s="65"/>
      <c r="C284" s="167"/>
      <c r="D284" s="205"/>
      <c r="E284" s="262"/>
      <c r="F284" s="170"/>
      <c r="G284" s="170"/>
      <c r="H284" s="170"/>
      <c r="I284" s="170"/>
      <c r="J284" s="170"/>
      <c r="K284" s="171"/>
      <c r="L284" s="171"/>
      <c r="M284" s="171"/>
      <c r="N284" s="209"/>
      <c r="O284" s="172">
        <f t="shared" si="52"/>
        <v>0</v>
      </c>
      <c r="P284" s="166"/>
      <c r="Q284" s="173"/>
      <c r="R284" s="65"/>
      <c r="S284" s="173"/>
      <c r="T284" s="173"/>
      <c r="U284" s="166"/>
      <c r="V284" s="166"/>
      <c r="W284" s="65"/>
      <c r="X284" s="66"/>
      <c r="Y284" s="173"/>
      <c r="Z284" s="166"/>
      <c r="AA284" s="174"/>
      <c r="AB284" s="175"/>
      <c r="AC284" s="175"/>
      <c r="AD284" s="175"/>
      <c r="AE284" s="175"/>
      <c r="AF284" s="175"/>
      <c r="AG284" s="175"/>
      <c r="AH284" s="175"/>
      <c r="AI284" s="176"/>
      <c r="AJ284" s="177"/>
      <c r="AK284" s="178"/>
      <c r="AL284" s="178"/>
      <c r="AM284" s="178"/>
      <c r="AN284" s="178"/>
      <c r="AO284" s="179"/>
      <c r="AP284" s="64"/>
      <c r="AQ284" s="65"/>
      <c r="AR284" s="65"/>
      <c r="AS284" s="65"/>
      <c r="AT284" s="173"/>
      <c r="AU284" s="177"/>
      <c r="AV284" s="178"/>
      <c r="AW284" s="178"/>
      <c r="AX284" s="179"/>
      <c r="AZ284" s="166"/>
      <c r="BA284" s="177"/>
      <c r="BB284" s="178"/>
      <c r="BC284" s="178"/>
      <c r="BD284" s="178"/>
      <c r="BE284" s="178"/>
      <c r="BF284" s="178"/>
      <c r="BG284" s="178"/>
      <c r="BH284" s="178"/>
      <c r="BI284" s="179"/>
      <c r="BJ284" s="180"/>
      <c r="BK284" s="178"/>
      <c r="BL284" s="178"/>
      <c r="BM284" s="178"/>
      <c r="BN284" s="178"/>
      <c r="BO284" s="181"/>
      <c r="BP284" s="166"/>
      <c r="BQ284" s="177"/>
      <c r="BR284" s="178"/>
      <c r="BS284" s="179"/>
      <c r="BU284" s="166"/>
      <c r="BV284" s="166"/>
      <c r="BW284" s="166"/>
      <c r="BX284" s="166"/>
      <c r="BY284" s="166"/>
      <c r="BZ284" s="166"/>
      <c r="CA284" s="166"/>
      <c r="CB284" s="166"/>
      <c r="CC284" s="166"/>
      <c r="CD284" s="177"/>
      <c r="CE284" s="181"/>
      <c r="CF284" s="177"/>
      <c r="CG284" s="179"/>
      <c r="CH284" s="257"/>
      <c r="CI284" s="182"/>
      <c r="CJ284" s="177"/>
      <c r="CK284" s="182"/>
      <c r="CL284" s="177"/>
      <c r="CM284" s="182"/>
      <c r="CN284" s="177"/>
      <c r="CO284" s="182"/>
      <c r="CP284" s="177"/>
      <c r="CQ284" s="178"/>
      <c r="CR284" s="182"/>
      <c r="CS284" s="173"/>
      <c r="CT284" s="65"/>
      <c r="CU284" s="271" t="str">
        <f t="shared" si="2"/>
        <v/>
      </c>
    </row>
    <row r="285" ht="60.0" hidden="1" customHeight="1">
      <c r="A285" s="65"/>
      <c r="C285" s="167"/>
      <c r="D285" s="205"/>
      <c r="E285" s="262"/>
      <c r="F285" s="170"/>
      <c r="G285" s="170"/>
      <c r="H285" s="170"/>
      <c r="I285" s="170"/>
      <c r="J285" s="170"/>
      <c r="K285" s="171"/>
      <c r="L285" s="171"/>
      <c r="M285" s="171"/>
      <c r="N285" s="209"/>
      <c r="O285" s="172">
        <f t="shared" si="52"/>
        <v>0</v>
      </c>
      <c r="P285" s="166"/>
      <c r="Q285" s="173"/>
      <c r="R285" s="65"/>
      <c r="S285" s="173"/>
      <c r="T285" s="173"/>
      <c r="U285" s="166"/>
      <c r="V285" s="166"/>
      <c r="W285" s="65"/>
      <c r="X285" s="66"/>
      <c r="Y285" s="173"/>
      <c r="Z285" s="166"/>
      <c r="AA285" s="174"/>
      <c r="AB285" s="175"/>
      <c r="AC285" s="175"/>
      <c r="AD285" s="175"/>
      <c r="AE285" s="175"/>
      <c r="AF285" s="175"/>
      <c r="AG285" s="175"/>
      <c r="AH285" s="175"/>
      <c r="AI285" s="176"/>
      <c r="AJ285" s="177"/>
      <c r="AK285" s="178"/>
      <c r="AL285" s="178"/>
      <c r="AM285" s="178"/>
      <c r="AN285" s="178"/>
      <c r="AO285" s="179"/>
      <c r="AP285" s="64"/>
      <c r="AQ285" s="65"/>
      <c r="AR285" s="65"/>
      <c r="AS285" s="65"/>
      <c r="AT285" s="173"/>
      <c r="AU285" s="177"/>
      <c r="AV285" s="178"/>
      <c r="AW285" s="178"/>
      <c r="AX285" s="179"/>
      <c r="AZ285" s="166"/>
      <c r="BA285" s="177"/>
      <c r="BB285" s="178"/>
      <c r="BC285" s="178"/>
      <c r="BD285" s="178"/>
      <c r="BE285" s="178"/>
      <c r="BF285" s="178"/>
      <c r="BG285" s="178"/>
      <c r="BH285" s="178"/>
      <c r="BI285" s="179"/>
      <c r="BJ285" s="180"/>
      <c r="BK285" s="178"/>
      <c r="BL285" s="178"/>
      <c r="BM285" s="178"/>
      <c r="BN285" s="178"/>
      <c r="BO285" s="181"/>
      <c r="BP285" s="166"/>
      <c r="BQ285" s="177"/>
      <c r="BR285" s="178"/>
      <c r="BS285" s="179"/>
      <c r="BU285" s="166"/>
      <c r="BV285" s="166"/>
      <c r="BW285" s="166"/>
      <c r="BX285" s="166"/>
      <c r="BY285" s="166"/>
      <c r="BZ285" s="166"/>
      <c r="CA285" s="166"/>
      <c r="CB285" s="166"/>
      <c r="CC285" s="166"/>
      <c r="CD285" s="177"/>
      <c r="CE285" s="181"/>
      <c r="CF285" s="177"/>
      <c r="CG285" s="179"/>
      <c r="CH285" s="257"/>
      <c r="CI285" s="182"/>
      <c r="CJ285" s="177"/>
      <c r="CK285" s="182"/>
      <c r="CL285" s="177"/>
      <c r="CM285" s="182"/>
      <c r="CN285" s="177"/>
      <c r="CO285" s="182"/>
      <c r="CP285" s="177"/>
      <c r="CQ285" s="178"/>
      <c r="CR285" s="182"/>
      <c r="CS285" s="173"/>
      <c r="CT285" s="65"/>
      <c r="CU285" s="271" t="str">
        <f t="shared" si="2"/>
        <v/>
      </c>
    </row>
    <row r="286" ht="60.0" hidden="1" customHeight="1">
      <c r="A286" s="65"/>
      <c r="C286" s="167"/>
      <c r="D286" s="205"/>
      <c r="E286" s="262"/>
      <c r="F286" s="170"/>
      <c r="G286" s="170"/>
      <c r="H286" s="170"/>
      <c r="I286" s="170"/>
      <c r="J286" s="170"/>
      <c r="K286" s="171"/>
      <c r="L286" s="171"/>
      <c r="M286" s="171"/>
      <c r="N286" s="209"/>
      <c r="O286" s="172">
        <f t="shared" si="52"/>
        <v>0</v>
      </c>
      <c r="P286" s="166"/>
      <c r="Q286" s="173"/>
      <c r="R286" s="65"/>
      <c r="S286" s="173"/>
      <c r="T286" s="173"/>
      <c r="U286" s="166"/>
      <c r="V286" s="166"/>
      <c r="W286" s="65"/>
      <c r="X286" s="66"/>
      <c r="Y286" s="173"/>
      <c r="Z286" s="166"/>
      <c r="AA286" s="174"/>
      <c r="AB286" s="175"/>
      <c r="AC286" s="175"/>
      <c r="AD286" s="175"/>
      <c r="AE286" s="175"/>
      <c r="AF286" s="175"/>
      <c r="AG286" s="175"/>
      <c r="AH286" s="175"/>
      <c r="AI286" s="176"/>
      <c r="AJ286" s="177"/>
      <c r="AK286" s="178"/>
      <c r="AL286" s="178"/>
      <c r="AM286" s="178"/>
      <c r="AN286" s="178"/>
      <c r="AO286" s="179"/>
      <c r="AP286" s="64"/>
      <c r="AQ286" s="65"/>
      <c r="AR286" s="65"/>
      <c r="AS286" s="65"/>
      <c r="AT286" s="173"/>
      <c r="AU286" s="177"/>
      <c r="AV286" s="178"/>
      <c r="AW286" s="178"/>
      <c r="AX286" s="179"/>
      <c r="AZ286" s="166"/>
      <c r="BA286" s="177"/>
      <c r="BB286" s="178"/>
      <c r="BC286" s="178"/>
      <c r="BD286" s="178"/>
      <c r="BE286" s="178"/>
      <c r="BF286" s="178"/>
      <c r="BG286" s="178"/>
      <c r="BH286" s="178"/>
      <c r="BI286" s="179"/>
      <c r="BJ286" s="180"/>
      <c r="BK286" s="178"/>
      <c r="BL286" s="178"/>
      <c r="BM286" s="178"/>
      <c r="BN286" s="178"/>
      <c r="BO286" s="181"/>
      <c r="BP286" s="166"/>
      <c r="BQ286" s="177"/>
      <c r="BR286" s="178"/>
      <c r="BS286" s="179"/>
      <c r="BU286" s="166"/>
      <c r="BV286" s="166"/>
      <c r="BW286" s="166"/>
      <c r="BX286" s="166"/>
      <c r="BY286" s="166"/>
      <c r="BZ286" s="166"/>
      <c r="CA286" s="166"/>
      <c r="CB286" s="166"/>
      <c r="CC286" s="166"/>
      <c r="CD286" s="177"/>
      <c r="CE286" s="181"/>
      <c r="CF286" s="177"/>
      <c r="CG286" s="179"/>
      <c r="CH286" s="257"/>
      <c r="CI286" s="182"/>
      <c r="CJ286" s="177"/>
      <c r="CK286" s="182"/>
      <c r="CL286" s="177"/>
      <c r="CM286" s="182"/>
      <c r="CN286" s="177"/>
      <c r="CO286" s="182"/>
      <c r="CP286" s="177"/>
      <c r="CQ286" s="178"/>
      <c r="CR286" s="182"/>
      <c r="CS286" s="173"/>
      <c r="CT286" s="65"/>
      <c r="CU286" s="271" t="str">
        <f t="shared" si="2"/>
        <v/>
      </c>
    </row>
    <row r="287" ht="60.0" hidden="1" customHeight="1">
      <c r="A287" s="65"/>
      <c r="C287" s="167"/>
      <c r="D287" s="205"/>
      <c r="E287" s="262"/>
      <c r="F287" s="170"/>
      <c r="G287" s="170"/>
      <c r="H287" s="170"/>
      <c r="I287" s="170"/>
      <c r="J287" s="170"/>
      <c r="K287" s="171"/>
      <c r="L287" s="171"/>
      <c r="M287" s="171"/>
      <c r="N287" s="209"/>
      <c r="O287" s="172">
        <f t="shared" si="52"/>
        <v>0</v>
      </c>
      <c r="P287" s="166"/>
      <c r="Q287" s="173"/>
      <c r="R287" s="65"/>
      <c r="S287" s="173"/>
      <c r="T287" s="173"/>
      <c r="U287" s="166"/>
      <c r="V287" s="166"/>
      <c r="W287" s="65"/>
      <c r="X287" s="66"/>
      <c r="Y287" s="173"/>
      <c r="Z287" s="166"/>
      <c r="AA287" s="174"/>
      <c r="AB287" s="175"/>
      <c r="AC287" s="175"/>
      <c r="AD287" s="175"/>
      <c r="AE287" s="175"/>
      <c r="AF287" s="175"/>
      <c r="AG287" s="175"/>
      <c r="AH287" s="175"/>
      <c r="AI287" s="176"/>
      <c r="AJ287" s="177"/>
      <c r="AK287" s="178"/>
      <c r="AL287" s="178"/>
      <c r="AM287" s="178"/>
      <c r="AN287" s="178"/>
      <c r="AO287" s="179"/>
      <c r="AP287" s="64"/>
      <c r="AQ287" s="65"/>
      <c r="AR287" s="65"/>
      <c r="AS287" s="65"/>
      <c r="AT287" s="173"/>
      <c r="AU287" s="177"/>
      <c r="AV287" s="178"/>
      <c r="AW287" s="178"/>
      <c r="AX287" s="179"/>
      <c r="AZ287" s="166"/>
      <c r="BA287" s="177"/>
      <c r="BB287" s="178"/>
      <c r="BC287" s="178"/>
      <c r="BD287" s="178"/>
      <c r="BE287" s="178"/>
      <c r="BF287" s="178"/>
      <c r="BG287" s="178"/>
      <c r="BH287" s="178"/>
      <c r="BI287" s="179"/>
      <c r="BJ287" s="180"/>
      <c r="BK287" s="178"/>
      <c r="BL287" s="178"/>
      <c r="BM287" s="178"/>
      <c r="BN287" s="178"/>
      <c r="BO287" s="181"/>
      <c r="BP287" s="166"/>
      <c r="BQ287" s="177"/>
      <c r="BR287" s="178"/>
      <c r="BS287" s="179"/>
      <c r="BU287" s="166"/>
      <c r="BV287" s="166"/>
      <c r="BW287" s="166"/>
      <c r="BX287" s="166"/>
      <c r="BY287" s="166"/>
      <c r="BZ287" s="166"/>
      <c r="CA287" s="166"/>
      <c r="CB287" s="166"/>
      <c r="CC287" s="166"/>
      <c r="CD287" s="177"/>
      <c r="CE287" s="181"/>
      <c r="CF287" s="177"/>
      <c r="CG287" s="179"/>
      <c r="CH287" s="257"/>
      <c r="CI287" s="182"/>
      <c r="CJ287" s="177"/>
      <c r="CK287" s="182"/>
      <c r="CL287" s="177"/>
      <c r="CM287" s="182"/>
      <c r="CN287" s="177"/>
      <c r="CO287" s="182"/>
      <c r="CP287" s="177"/>
      <c r="CQ287" s="178"/>
      <c r="CR287" s="182"/>
      <c r="CS287" s="173"/>
      <c r="CT287" s="65"/>
      <c r="CU287" s="271" t="str">
        <f t="shared" si="2"/>
        <v/>
      </c>
    </row>
    <row r="288" ht="60.0" hidden="1" customHeight="1">
      <c r="A288" s="65"/>
      <c r="C288" s="167"/>
      <c r="D288" s="205"/>
      <c r="E288" s="262"/>
      <c r="F288" s="170"/>
      <c r="G288" s="170"/>
      <c r="H288" s="170"/>
      <c r="I288" s="170"/>
      <c r="J288" s="170"/>
      <c r="K288" s="171"/>
      <c r="L288" s="171"/>
      <c r="M288" s="171"/>
      <c r="N288" s="209"/>
      <c r="O288" s="172">
        <f t="shared" si="52"/>
        <v>0</v>
      </c>
      <c r="P288" s="166"/>
      <c r="Q288" s="173"/>
      <c r="R288" s="65"/>
      <c r="S288" s="173"/>
      <c r="T288" s="173"/>
      <c r="U288" s="166"/>
      <c r="V288" s="166"/>
      <c r="W288" s="65"/>
      <c r="X288" s="66"/>
      <c r="Y288" s="173"/>
      <c r="Z288" s="166"/>
      <c r="AA288" s="174"/>
      <c r="AB288" s="175"/>
      <c r="AC288" s="175"/>
      <c r="AD288" s="175"/>
      <c r="AE288" s="175"/>
      <c r="AF288" s="175"/>
      <c r="AG288" s="175"/>
      <c r="AH288" s="175"/>
      <c r="AI288" s="176"/>
      <c r="AJ288" s="177"/>
      <c r="AK288" s="178"/>
      <c r="AL288" s="178"/>
      <c r="AM288" s="178"/>
      <c r="AN288" s="178"/>
      <c r="AO288" s="179"/>
      <c r="AP288" s="64"/>
      <c r="AQ288" s="65"/>
      <c r="AR288" s="65"/>
      <c r="AS288" s="65"/>
      <c r="AT288" s="173"/>
      <c r="AU288" s="177"/>
      <c r="AV288" s="178"/>
      <c r="AW288" s="178"/>
      <c r="AX288" s="179"/>
      <c r="AZ288" s="166"/>
      <c r="BA288" s="177"/>
      <c r="BB288" s="178"/>
      <c r="BC288" s="178"/>
      <c r="BD288" s="178"/>
      <c r="BE288" s="178"/>
      <c r="BF288" s="178"/>
      <c r="BG288" s="178"/>
      <c r="BH288" s="178"/>
      <c r="BI288" s="179"/>
      <c r="BJ288" s="180"/>
      <c r="BK288" s="178"/>
      <c r="BL288" s="178"/>
      <c r="BM288" s="178"/>
      <c r="BN288" s="178"/>
      <c r="BO288" s="181"/>
      <c r="BP288" s="166"/>
      <c r="BQ288" s="177"/>
      <c r="BR288" s="178"/>
      <c r="BS288" s="179"/>
      <c r="BU288" s="166"/>
      <c r="BV288" s="166"/>
      <c r="BW288" s="166"/>
      <c r="BX288" s="166"/>
      <c r="BY288" s="166"/>
      <c r="BZ288" s="166"/>
      <c r="CA288" s="166"/>
      <c r="CB288" s="166"/>
      <c r="CC288" s="166"/>
      <c r="CD288" s="177"/>
      <c r="CE288" s="181"/>
      <c r="CF288" s="177"/>
      <c r="CG288" s="179"/>
      <c r="CH288" s="257"/>
      <c r="CI288" s="182"/>
      <c r="CJ288" s="177"/>
      <c r="CK288" s="182"/>
      <c r="CL288" s="177"/>
      <c r="CM288" s="182"/>
      <c r="CN288" s="177"/>
      <c r="CO288" s="182"/>
      <c r="CP288" s="177"/>
      <c r="CQ288" s="178"/>
      <c r="CR288" s="182"/>
      <c r="CS288" s="173"/>
      <c r="CT288" s="65"/>
      <c r="CU288" s="271" t="str">
        <f t="shared" si="2"/>
        <v/>
      </c>
    </row>
    <row r="289" ht="60.0" hidden="1" customHeight="1">
      <c r="A289" s="65"/>
      <c r="C289" s="167"/>
      <c r="D289" s="205"/>
      <c r="E289" s="262"/>
      <c r="F289" s="170"/>
      <c r="G289" s="170"/>
      <c r="H289" s="170"/>
      <c r="I289" s="170"/>
      <c r="J289" s="170"/>
      <c r="K289" s="171"/>
      <c r="L289" s="171"/>
      <c r="M289" s="171"/>
      <c r="N289" s="209"/>
      <c r="O289" s="172">
        <f t="shared" ref="O289:O292" si="53">IF(AND(M289&gt;=20,M289&lt;&gt;"m",RIGHT(K289,3)="Lec"),1,IF(AND(M289&gt;=20,M289&lt;&gt;"m",OR(RIGHT(K289,3)="Lab",RIGHT(K289,3)="Tut")),0.5,IF(AND(M289&gt;=20,M289&lt;&gt;"m",RIGHT(K289,2)="TL"),0.75,0)))</f>
        <v>0</v>
      </c>
      <c r="P289" s="166"/>
      <c r="Q289" s="173"/>
      <c r="R289" s="65"/>
      <c r="S289" s="173"/>
      <c r="T289" s="173"/>
      <c r="U289" s="166"/>
      <c r="V289" s="166"/>
      <c r="W289" s="65"/>
      <c r="X289" s="66"/>
      <c r="Y289" s="173"/>
      <c r="Z289" s="166"/>
      <c r="AA289" s="174"/>
      <c r="AB289" s="175"/>
      <c r="AC289" s="175"/>
      <c r="AD289" s="175"/>
      <c r="AE289" s="175"/>
      <c r="AF289" s="175"/>
      <c r="AG289" s="175"/>
      <c r="AH289" s="175"/>
      <c r="AI289" s="176"/>
      <c r="AJ289" s="177"/>
      <c r="AK289" s="178"/>
      <c r="AL289" s="178"/>
      <c r="AM289" s="178"/>
      <c r="AN289" s="178"/>
      <c r="AO289" s="179"/>
      <c r="AP289" s="64"/>
      <c r="AQ289" s="65"/>
      <c r="AR289" s="65"/>
      <c r="AS289" s="65"/>
      <c r="AT289" s="173"/>
      <c r="AU289" s="177"/>
      <c r="AV289" s="178"/>
      <c r="AW289" s="178"/>
      <c r="AX289" s="179"/>
      <c r="AZ289" s="166"/>
      <c r="BA289" s="177"/>
      <c r="BB289" s="178"/>
      <c r="BC289" s="178"/>
      <c r="BD289" s="178"/>
      <c r="BE289" s="178"/>
      <c r="BF289" s="178"/>
      <c r="BG289" s="178"/>
      <c r="BH289" s="178"/>
      <c r="BI289" s="179"/>
      <c r="BJ289" s="180"/>
      <c r="BK289" s="178"/>
      <c r="BL289" s="178"/>
      <c r="BM289" s="178"/>
      <c r="BN289" s="178"/>
      <c r="BO289" s="181"/>
      <c r="BP289" s="166"/>
      <c r="BQ289" s="177"/>
      <c r="BR289" s="178"/>
      <c r="BS289" s="179"/>
      <c r="BU289" s="166"/>
      <c r="BV289" s="166"/>
      <c r="BW289" s="166"/>
      <c r="BX289" s="166"/>
      <c r="BY289" s="166"/>
      <c r="BZ289" s="166"/>
      <c r="CA289" s="166"/>
      <c r="CB289" s="166"/>
      <c r="CC289" s="166"/>
      <c r="CD289" s="177"/>
      <c r="CE289" s="181"/>
      <c r="CF289" s="177"/>
      <c r="CG289" s="179"/>
      <c r="CH289" s="257"/>
      <c r="CI289" s="182"/>
      <c r="CJ289" s="177"/>
      <c r="CK289" s="182"/>
      <c r="CL289" s="177"/>
      <c r="CM289" s="182"/>
      <c r="CN289" s="177"/>
      <c r="CO289" s="182"/>
      <c r="CP289" s="177"/>
      <c r="CQ289" s="178"/>
      <c r="CR289" s="182"/>
      <c r="CS289" s="173"/>
      <c r="CT289" s="65"/>
      <c r="CU289" s="271" t="str">
        <f t="shared" si="2"/>
        <v/>
      </c>
    </row>
    <row r="290" ht="60.0" hidden="1" customHeight="1">
      <c r="A290" s="65"/>
      <c r="C290" s="167"/>
      <c r="D290" s="205"/>
      <c r="E290" s="262"/>
      <c r="F290" s="170"/>
      <c r="G290" s="170"/>
      <c r="H290" s="170"/>
      <c r="I290" s="170"/>
      <c r="J290" s="170"/>
      <c r="K290" s="171"/>
      <c r="L290" s="171"/>
      <c r="M290" s="171"/>
      <c r="N290" s="209"/>
      <c r="O290" s="172">
        <f t="shared" si="53"/>
        <v>0</v>
      </c>
      <c r="P290" s="166"/>
      <c r="Q290" s="173"/>
      <c r="R290" s="65"/>
      <c r="S290" s="173"/>
      <c r="T290" s="173"/>
      <c r="U290" s="166"/>
      <c r="V290" s="166"/>
      <c r="W290" s="65"/>
      <c r="X290" s="66"/>
      <c r="Y290" s="173"/>
      <c r="Z290" s="166"/>
      <c r="AA290" s="174"/>
      <c r="AB290" s="175"/>
      <c r="AC290" s="175"/>
      <c r="AD290" s="175"/>
      <c r="AE290" s="175"/>
      <c r="AF290" s="175"/>
      <c r="AG290" s="175"/>
      <c r="AH290" s="175"/>
      <c r="AI290" s="176"/>
      <c r="AJ290" s="177"/>
      <c r="AK290" s="178"/>
      <c r="AL290" s="178"/>
      <c r="AM290" s="178"/>
      <c r="AN290" s="178"/>
      <c r="AO290" s="179"/>
      <c r="AP290" s="64"/>
      <c r="AQ290" s="65"/>
      <c r="AR290" s="65"/>
      <c r="AS290" s="65"/>
      <c r="AT290" s="173"/>
      <c r="AU290" s="177"/>
      <c r="AV290" s="178"/>
      <c r="AW290" s="178"/>
      <c r="AX290" s="179"/>
      <c r="AZ290" s="166"/>
      <c r="BA290" s="177"/>
      <c r="BB290" s="178"/>
      <c r="BC290" s="178"/>
      <c r="BD290" s="178"/>
      <c r="BE290" s="178"/>
      <c r="BF290" s="178"/>
      <c r="BG290" s="178"/>
      <c r="BH290" s="178"/>
      <c r="BI290" s="179"/>
      <c r="BJ290" s="180"/>
      <c r="BK290" s="178"/>
      <c r="BL290" s="178"/>
      <c r="BM290" s="178"/>
      <c r="BN290" s="178"/>
      <c r="BO290" s="181"/>
      <c r="BP290" s="166"/>
      <c r="BQ290" s="177"/>
      <c r="BR290" s="178"/>
      <c r="BS290" s="179"/>
      <c r="BU290" s="166"/>
      <c r="BV290" s="166"/>
      <c r="BW290" s="166"/>
      <c r="BX290" s="166"/>
      <c r="BY290" s="166"/>
      <c r="BZ290" s="166"/>
      <c r="CA290" s="166"/>
      <c r="CB290" s="166"/>
      <c r="CC290" s="166"/>
      <c r="CD290" s="177"/>
      <c r="CE290" s="181"/>
      <c r="CF290" s="177"/>
      <c r="CG290" s="179"/>
      <c r="CH290" s="257"/>
      <c r="CI290" s="182"/>
      <c r="CJ290" s="177"/>
      <c r="CK290" s="182"/>
      <c r="CL290" s="177"/>
      <c r="CM290" s="182"/>
      <c r="CN290" s="177"/>
      <c r="CO290" s="182"/>
      <c r="CP290" s="177"/>
      <c r="CQ290" s="178"/>
      <c r="CR290" s="182"/>
      <c r="CS290" s="173"/>
      <c r="CT290" s="65"/>
      <c r="CU290" s="271" t="str">
        <f t="shared" si="2"/>
        <v/>
      </c>
    </row>
    <row r="291" ht="60.0" hidden="1" customHeight="1">
      <c r="A291" s="65"/>
      <c r="C291" s="167"/>
      <c r="D291" s="205"/>
      <c r="E291" s="262"/>
      <c r="F291" s="170"/>
      <c r="G291" s="170"/>
      <c r="H291" s="170"/>
      <c r="I291" s="170"/>
      <c r="J291" s="170"/>
      <c r="K291" s="171"/>
      <c r="L291" s="171"/>
      <c r="M291" s="171"/>
      <c r="N291" s="209"/>
      <c r="O291" s="172">
        <f t="shared" si="53"/>
        <v>0</v>
      </c>
      <c r="P291" s="166"/>
      <c r="Q291" s="173"/>
      <c r="R291" s="65"/>
      <c r="S291" s="173"/>
      <c r="T291" s="173"/>
      <c r="U291" s="166"/>
      <c r="V291" s="166"/>
      <c r="W291" s="65"/>
      <c r="X291" s="66"/>
      <c r="Y291" s="173"/>
      <c r="Z291" s="166"/>
      <c r="AA291" s="174"/>
      <c r="AB291" s="175"/>
      <c r="AC291" s="175"/>
      <c r="AD291" s="175"/>
      <c r="AE291" s="175"/>
      <c r="AF291" s="175"/>
      <c r="AG291" s="175"/>
      <c r="AH291" s="175"/>
      <c r="AI291" s="176"/>
      <c r="AJ291" s="177"/>
      <c r="AK291" s="178"/>
      <c r="AL291" s="178"/>
      <c r="AM291" s="178"/>
      <c r="AN291" s="178"/>
      <c r="AO291" s="179"/>
      <c r="AP291" s="64"/>
      <c r="AQ291" s="65"/>
      <c r="AR291" s="65"/>
      <c r="AS291" s="65"/>
      <c r="AT291" s="173"/>
      <c r="AU291" s="177"/>
      <c r="AV291" s="178"/>
      <c r="AW291" s="178"/>
      <c r="AX291" s="179"/>
      <c r="AZ291" s="166"/>
      <c r="BA291" s="177"/>
      <c r="BB291" s="178"/>
      <c r="BC291" s="178"/>
      <c r="BD291" s="178"/>
      <c r="BE291" s="178"/>
      <c r="BF291" s="178"/>
      <c r="BG291" s="178"/>
      <c r="BH291" s="178"/>
      <c r="BI291" s="179"/>
      <c r="BJ291" s="180"/>
      <c r="BK291" s="178"/>
      <c r="BL291" s="178"/>
      <c r="BM291" s="178"/>
      <c r="BN291" s="178"/>
      <c r="BO291" s="181"/>
      <c r="BP291" s="166"/>
      <c r="BQ291" s="177"/>
      <c r="BR291" s="178"/>
      <c r="BS291" s="179"/>
      <c r="BU291" s="166"/>
      <c r="BV291" s="166"/>
      <c r="BW291" s="166"/>
      <c r="BX291" s="166"/>
      <c r="BY291" s="166"/>
      <c r="BZ291" s="166"/>
      <c r="CA291" s="166"/>
      <c r="CB291" s="166"/>
      <c r="CC291" s="166"/>
      <c r="CD291" s="177"/>
      <c r="CE291" s="181"/>
      <c r="CF291" s="177"/>
      <c r="CG291" s="179"/>
      <c r="CH291" s="257"/>
      <c r="CI291" s="182"/>
      <c r="CJ291" s="177"/>
      <c r="CK291" s="182"/>
      <c r="CL291" s="177"/>
      <c r="CM291" s="182"/>
      <c r="CN291" s="177"/>
      <c r="CO291" s="182"/>
      <c r="CP291" s="177"/>
      <c r="CQ291" s="178"/>
      <c r="CR291" s="182"/>
      <c r="CS291" s="173"/>
      <c r="CT291" s="65"/>
      <c r="CU291" s="271" t="str">
        <f t="shared" si="2"/>
        <v/>
      </c>
    </row>
    <row r="292" ht="60.0" hidden="1" customHeight="1">
      <c r="A292" s="65"/>
      <c r="C292" s="167"/>
      <c r="D292" s="205"/>
      <c r="E292" s="262"/>
      <c r="F292" s="170"/>
      <c r="G292" s="170"/>
      <c r="H292" s="170"/>
      <c r="I292" s="170"/>
      <c r="J292" s="170"/>
      <c r="K292" s="171"/>
      <c r="L292" s="171"/>
      <c r="M292" s="171"/>
      <c r="N292" s="209"/>
      <c r="O292" s="172">
        <f t="shared" si="53"/>
        <v>0</v>
      </c>
      <c r="P292" s="166"/>
      <c r="Q292" s="173"/>
      <c r="R292" s="65"/>
      <c r="S292" s="173"/>
      <c r="T292" s="173"/>
      <c r="U292" s="166"/>
      <c r="V292" s="166"/>
      <c r="W292" s="65"/>
      <c r="X292" s="66"/>
      <c r="Y292" s="173"/>
      <c r="Z292" s="166"/>
      <c r="AA292" s="174"/>
      <c r="AB292" s="175"/>
      <c r="AC292" s="175"/>
      <c r="AD292" s="175"/>
      <c r="AE292" s="175"/>
      <c r="AF292" s="175"/>
      <c r="AG292" s="175"/>
      <c r="AH292" s="175"/>
      <c r="AI292" s="176"/>
      <c r="AJ292" s="177"/>
      <c r="AK292" s="178"/>
      <c r="AL292" s="178"/>
      <c r="AM292" s="178"/>
      <c r="AN292" s="178"/>
      <c r="AO292" s="179"/>
      <c r="AP292" s="64"/>
      <c r="AQ292" s="65"/>
      <c r="AR292" s="65"/>
      <c r="AS292" s="65"/>
      <c r="AT292" s="173"/>
      <c r="AU292" s="177"/>
      <c r="AV292" s="178"/>
      <c r="AW292" s="178"/>
      <c r="AX292" s="179"/>
      <c r="AZ292" s="166"/>
      <c r="BA292" s="177"/>
      <c r="BB292" s="178"/>
      <c r="BC292" s="178"/>
      <c r="BD292" s="178"/>
      <c r="BE292" s="178"/>
      <c r="BF292" s="178"/>
      <c r="BG292" s="178"/>
      <c r="BH292" s="178"/>
      <c r="BI292" s="179"/>
      <c r="BJ292" s="180"/>
      <c r="BK292" s="178"/>
      <c r="BL292" s="178"/>
      <c r="BM292" s="178"/>
      <c r="BN292" s="178"/>
      <c r="BO292" s="181"/>
      <c r="BP292" s="166"/>
      <c r="BQ292" s="177"/>
      <c r="BR292" s="178"/>
      <c r="BS292" s="179"/>
      <c r="BU292" s="166"/>
      <c r="BV292" s="166"/>
      <c r="BW292" s="166"/>
      <c r="BX292" s="166"/>
      <c r="BY292" s="166"/>
      <c r="BZ292" s="166"/>
      <c r="CA292" s="166"/>
      <c r="CB292" s="166"/>
      <c r="CC292" s="166"/>
      <c r="CD292" s="177"/>
      <c r="CE292" s="181"/>
      <c r="CF292" s="177"/>
      <c r="CG292" s="179"/>
      <c r="CH292" s="257"/>
      <c r="CI292" s="182"/>
      <c r="CJ292" s="177"/>
      <c r="CK292" s="182"/>
      <c r="CL292" s="177"/>
      <c r="CM292" s="182"/>
      <c r="CN292" s="177"/>
      <c r="CO292" s="182"/>
      <c r="CP292" s="177"/>
      <c r="CQ292" s="178"/>
      <c r="CR292" s="182"/>
      <c r="CS292" s="173"/>
      <c r="CT292" s="65"/>
      <c r="CU292" s="271" t="str">
        <f t="shared" si="2"/>
        <v/>
      </c>
    </row>
    <row r="293" ht="60.0" hidden="1" customHeight="1">
      <c r="A293" s="89"/>
      <c r="B293" s="6"/>
      <c r="C293" s="183"/>
      <c r="D293" s="210"/>
      <c r="E293" s="263"/>
      <c r="F293" s="186"/>
      <c r="G293" s="186"/>
      <c r="H293" s="186"/>
      <c r="I293" s="186"/>
      <c r="J293" s="186"/>
      <c r="K293" s="187"/>
      <c r="L293" s="187"/>
      <c r="M293" s="187"/>
      <c r="N293" s="214"/>
      <c r="O293" s="188">
        <f t="shared" ref="O293:O315" si="54">IF(AND(M293&lt;&gt;0,M293&lt;&gt;"m",M293&lt;&gt;"",RIGHT(K293,3)="Lec"),1,IF(AND(M293&lt;&gt;0,M293&lt;&gt;"m",M293&lt;&gt;"",OR(RIGHT(K293,3)="Lab",RIGHT(K293,3)="Tut")),0.5,IF(AND(M293&lt;&gt;0,M293&lt;&gt;"m",M293&lt;&gt;"",RIGHT(K293,2)="TL"),0.75,0)))</f>
        <v>0</v>
      </c>
      <c r="P293" s="63"/>
      <c r="Q293" s="69"/>
      <c r="R293" s="89"/>
      <c r="S293" s="69"/>
      <c r="T293" s="69"/>
      <c r="U293" s="63"/>
      <c r="V293" s="63"/>
      <c r="W293" s="89"/>
      <c r="X293" s="68"/>
      <c r="Y293" s="69"/>
      <c r="Z293" s="63"/>
      <c r="AA293" s="189"/>
      <c r="AB293" s="190"/>
      <c r="AC293" s="190"/>
      <c r="AD293" s="190"/>
      <c r="AE293" s="190"/>
      <c r="AF293" s="190"/>
      <c r="AG293" s="190"/>
      <c r="AH293" s="190"/>
      <c r="AI293" s="191"/>
      <c r="AJ293" s="192"/>
      <c r="AK293" s="193"/>
      <c r="AL293" s="193"/>
      <c r="AM293" s="193"/>
      <c r="AN293" s="193"/>
      <c r="AO293" s="194"/>
      <c r="AP293" s="103"/>
      <c r="AQ293" s="89"/>
      <c r="AR293" s="89"/>
      <c r="AS293" s="89"/>
      <c r="AT293" s="69"/>
      <c r="AU293" s="192"/>
      <c r="AV293" s="193"/>
      <c r="AW293" s="193"/>
      <c r="AX293" s="194"/>
      <c r="AY293" s="6"/>
      <c r="AZ293" s="63"/>
      <c r="BA293" s="192"/>
      <c r="BB293" s="193"/>
      <c r="BC293" s="193"/>
      <c r="BD293" s="193"/>
      <c r="BE293" s="193"/>
      <c r="BF293" s="193"/>
      <c r="BG293" s="193"/>
      <c r="BH293" s="193"/>
      <c r="BI293" s="194"/>
      <c r="BJ293" s="195"/>
      <c r="BK293" s="193"/>
      <c r="BL293" s="193"/>
      <c r="BM293" s="193"/>
      <c r="BN293" s="193"/>
      <c r="BO293" s="196"/>
      <c r="BP293" s="63"/>
      <c r="BQ293" s="192"/>
      <c r="BR293" s="193"/>
      <c r="BS293" s="194"/>
      <c r="BT293" s="6"/>
      <c r="BU293" s="63"/>
      <c r="BV293" s="63"/>
      <c r="BW293" s="63"/>
      <c r="BX293" s="63"/>
      <c r="BY293" s="63"/>
      <c r="BZ293" s="63"/>
      <c r="CA293" s="63"/>
      <c r="CB293" s="63"/>
      <c r="CC293" s="63"/>
      <c r="CD293" s="192"/>
      <c r="CE293" s="196"/>
      <c r="CF293" s="192"/>
      <c r="CG293" s="194"/>
      <c r="CH293" s="259"/>
      <c r="CI293" s="197"/>
      <c r="CJ293" s="192"/>
      <c r="CK293" s="197"/>
      <c r="CL293" s="192"/>
      <c r="CM293" s="197"/>
      <c r="CN293" s="192"/>
      <c r="CO293" s="197"/>
      <c r="CP293" s="192"/>
      <c r="CQ293" s="193"/>
      <c r="CR293" s="197"/>
      <c r="CS293" s="69"/>
      <c r="CT293" s="89"/>
      <c r="CU293" s="272" t="str">
        <f t="shared" si="2"/>
        <v/>
      </c>
    </row>
    <row r="294" ht="56.25" hidden="1" customHeight="1">
      <c r="A294" s="125">
        <v>27.0</v>
      </c>
      <c r="B294" s="199"/>
      <c r="C294" s="127"/>
      <c r="D294" s="128"/>
      <c r="E294" s="260"/>
      <c r="F294" s="261"/>
      <c r="G294" s="261"/>
      <c r="H294" s="261"/>
      <c r="I294" s="261"/>
      <c r="J294" s="170"/>
      <c r="K294" s="219"/>
      <c r="L294" s="219"/>
      <c r="M294" s="219"/>
      <c r="N294" s="220"/>
      <c r="O294" s="132">
        <f t="shared" si="54"/>
        <v>0</v>
      </c>
      <c r="P294" s="133">
        <f>COUNTIF(K294:K304,"TL")*0.75+COUNTIF(K294:K304,"Lec")*1+COUNTIF(K294:K304,"Lab")*0.5</f>
        <v>0</v>
      </c>
      <c r="Q294" s="134">
        <f>SUM((IF(LEFT(K294,1)="E",O294,0)),(IF(LEFT(K295,1)="E",O295,0)),(IF(LEFT(K296,1)="E",O296,0)),(IF(LEFT(K297,1)="E",O297,0)),(IF(LEFT(K298,1)="E",O298,0)),(IF(LEFT(K299,1)="E",O299,0)),(IF(LEFT(K300,1)="E",O300,0)),(IF(LEFT(K301,1)="E",O301,0)),(IF(LEFT(K302,1)="E",O302,0)),(IF(LEFT(K303,1)="E",O303,0)),(IF(LEFT(K304,1)="E",O304,0)))</f>
        <v>0</v>
      </c>
      <c r="R294" s="135">
        <f>SUM(IF(M300&lt;20,IF(K300="Plec",-1,IF(K300="PTL",-0.75,IF(K300="Plab",-0.5,0))),0),IF(M301&lt;20,IF(K301="Plec",-1,IF(K301="PTL",-0.75,IF(K301="Plab",-0.5,0))),0),IF(M302&lt;20,IF(K302="Plec",-1,IF(K302="PTL",-0.75,IF(K302="Plab",-0.5,0))),0),IF(M303&lt;20,IF(K303="Plec",-1,IF(K303="PTL",-0.75,IF(K303="Plab",-0.5,0))),0))</f>
        <v>0</v>
      </c>
      <c r="S294" s="134">
        <f>SUM(P294:R304)</f>
        <v>0</v>
      </c>
      <c r="T294" s="136">
        <f>SUM(IF(M294="M",IF(OR(K294="lec",K294="plec",K294="slec"),1,IF(OR(K294="lab",K294="plab",K294="slab",K294="tut",K294="ptut",K294="stut"),0.5,IF(OR(K294="TL",K294="pTL",K294="STL"),0.75,0))),0),IF(M295="M",IF(OR(K295="lec",K295="plec",K295="slec"),1,IF(OR(K295="lab",K295="plab",K295="slab",K295="tut",K295="ptut",K295="stut"),0.5,IF(OR(K295="TL",K295="pTL",K295="STL"),0.75,0))),0),IF(M296="M",IF(OR(K296="lec",K296="plec",K296="slec"),1,IF(OR(K296="lab",K296="plab",K296="slab",K296="tut",K296="ptut",K296="stut"),0.5,IF(OR(K296="TL",K296="pTL",K296="STL"),0.75,0))),0),IF(M297="M",IF(OR(K297="lec",K297="plec",K297="slec"),1,IF(OR(K297="lab",K297="plab",K297="slab",K297="tut",K297="ptut",K297="stut"),0.5,IF(OR(K297="TL",K297="pTL",K297="STL"),0.75,0))),0),IF(M298="M",IF(OR(K298="lec",K298="plec",K298="slec"),1,IF(OR(K298="lab",K298="plab",K298="slab",K298="tut",K298="ptut",K298="stut"),0.5,IF(OR(K298="TL",K298="pTL",K298="STL"),0.75,0))),0),IF(M299="M",IF(OR(K299="lec",K299="plec",K299="slec"),1,IF(OR(K299="lab",K299="plab",K299="slab",K299="tut",K299="ptut",K299="stut"),0.5,IF(OR(K299="TL",K299="pTL",K299="STL"),0.75,0))),0),IF(M300="M",IF(OR(K300="lec",K300="plec",K300="slec"),1,IF(OR(K300="lab",K300="plab",K300="slab",K300="tut",K300="ptut",K300="stut"),0.5,IF(OR(K300="TL",K300="pTL",K300="STL"),0.75,0))),0),IF(M301="M",IF(OR(K301="lec",K301="plec",K301="slec"),1,IF(OR(K301="lab",K301="plab",K301="slab",K301="tut",K301="ptut",K301="stut"),0.5,IF(OR(K301="TL",K301="pTL",K301="STL"),0.75,0))),0),IF(M302="M",IF(OR(K302="lec",K302="plec",K302="slec"),1,IF(OR(K302="lab",K302="plab",K302="slab",K302="tut",K302="ptut",K302="stut"),0.5,IF(OR(K302="TL",K302="pTL",K302="STL"),0.75,0))),0),IF(M303="M",IF(OR(K303="lec",K303="plec",K303="slec"),1,IF(OR(K303="lab",K303="plab",K303="slab",K303="tut",K303="ptut",K303="stut"),0.5,IF(OR(K303="TL",K303="pTL",K303="STL"),0.75,0))),0),IF(M304="M",IF(OR(K304="lec",K304="plec",K304="slec"),1,IF(OR(K304="lab",K304="plab",K304="slab",K304="tut",K304="ptut",K304="stut"),0.5,IF(OR(K304="TL",K304="pTL",K304="STL"),0.75,0))),0))</f>
        <v>0</v>
      </c>
      <c r="U294" s="137"/>
      <c r="V294" s="133"/>
      <c r="W294" s="138"/>
      <c r="X294" s="139">
        <f>S294-(T294+U294+V294+W294)</f>
        <v>0</v>
      </c>
      <c r="Y294" s="134" t="str">
        <f>CONCATENATE(SUM(O294:O304),"(",SUM(O294:O304)-X294,")")</f>
        <v>0(0)</v>
      </c>
      <c r="Z294" s="140"/>
      <c r="AA294" s="141"/>
      <c r="AB294" s="142"/>
      <c r="AC294" s="142"/>
      <c r="AD294" s="142"/>
      <c r="AE294" s="142"/>
      <c r="AF294" s="142"/>
      <c r="AG294" s="142"/>
      <c r="AH294" s="142"/>
      <c r="AI294" s="143"/>
      <c r="AJ294" s="144"/>
      <c r="AK294" s="145"/>
      <c r="AL294" s="145"/>
      <c r="AM294" s="145"/>
      <c r="AN294" s="145"/>
      <c r="AO294" s="146"/>
      <c r="AP294" s="147">
        <f>SUM(SUM(O294:O304),SUM(AI294:AI304)/2,AM294)</f>
        <v>0</v>
      </c>
      <c r="AQ294" s="148"/>
      <c r="AR294" s="148">
        <f>AP294*AQ294</f>
        <v>0</v>
      </c>
      <c r="AS294" s="148">
        <f>CT294</f>
        <v>0</v>
      </c>
      <c r="AT294" s="149">
        <f>AR294*0.75+AS294*0.25</f>
        <v>0</v>
      </c>
      <c r="AU294" s="150"/>
      <c r="AV294" s="151"/>
      <c r="AW294" s="151"/>
      <c r="AX294" s="152"/>
      <c r="AY294" s="153"/>
      <c r="AZ294" s="140"/>
      <c r="BA294" s="150"/>
      <c r="BB294" s="151"/>
      <c r="BC294" s="151"/>
      <c r="BD294" s="151"/>
      <c r="BE294" s="151"/>
      <c r="BF294" s="151"/>
      <c r="BG294" s="151"/>
      <c r="BH294" s="151"/>
      <c r="BI294" s="152"/>
      <c r="BJ294" s="154"/>
      <c r="BK294" s="151"/>
      <c r="BL294" s="151"/>
      <c r="BM294" s="151"/>
      <c r="BN294" s="151"/>
      <c r="BO294" s="155"/>
      <c r="BP294" s="140"/>
      <c r="BQ294" s="156"/>
      <c r="BR294" s="157"/>
      <c r="BS294" s="158"/>
      <c r="BT294" s="153"/>
      <c r="BU294" s="140"/>
      <c r="BV294" s="140"/>
      <c r="BW294" s="140"/>
      <c r="BX294" s="140"/>
      <c r="BY294" s="140"/>
      <c r="BZ294" s="140"/>
      <c r="CA294" s="140"/>
      <c r="CB294" s="140"/>
      <c r="CC294" s="140"/>
      <c r="CD294" s="150"/>
      <c r="CE294" s="155"/>
      <c r="CF294" s="150"/>
      <c r="CG294" s="152"/>
      <c r="CH294" s="252"/>
      <c r="CI294" s="160"/>
      <c r="CJ294" s="159"/>
      <c r="CK294" s="160"/>
      <c r="CL294" s="159"/>
      <c r="CM294" s="160"/>
      <c r="CN294" s="159"/>
      <c r="CO294" s="160"/>
      <c r="CP294" s="159"/>
      <c r="CQ294" s="162"/>
      <c r="CR294" s="160"/>
      <c r="CS294" s="253">
        <f>SUM(IF(AU294&lt;0,ABS(AU294),0),IF(AZ294&lt;0,ABS(AZ294),0),ABS(CI294),ABS(CK294),ABS(CM294),ABS(CO294),ABS(CQ294),ABS(CR294))</f>
        <v>0</v>
      </c>
      <c r="CT294" s="254">
        <f>SUM(AU294,AV294,AW294,AX294/400,AY294,AZ294,BG294,BH294*0.5,BI294*0.25,BJ294,BK294,BL294,BM294,BN294,BO294,BP294,BR294/20,BS294/100,BT294/60,BU294,BV294,BW294,BX294/5,SUM(BY294:CC304)/3,CE294,CG294/3,CI294,CK294,CM294,CO294,CQ294,CR294)</f>
        <v>0</v>
      </c>
      <c r="CU294" s="255" t="str">
        <f t="shared" si="2"/>
        <v/>
      </c>
    </row>
    <row r="295" ht="60.0" hidden="1" customHeight="1">
      <c r="A295" s="65"/>
      <c r="C295" s="167"/>
      <c r="D295" s="205"/>
      <c r="E295" s="262"/>
      <c r="F295" s="170"/>
      <c r="G295" s="170"/>
      <c r="H295" s="170"/>
      <c r="I295" s="170"/>
      <c r="J295" s="170"/>
      <c r="K295" s="171"/>
      <c r="L295" s="171"/>
      <c r="M295" s="171"/>
      <c r="N295" s="209"/>
      <c r="O295" s="172">
        <f t="shared" si="54"/>
        <v>0</v>
      </c>
      <c r="P295" s="166"/>
      <c r="Q295" s="173"/>
      <c r="R295" s="65"/>
      <c r="S295" s="173"/>
      <c r="T295" s="173"/>
      <c r="U295" s="166"/>
      <c r="V295" s="166"/>
      <c r="W295" s="65"/>
      <c r="X295" s="66"/>
      <c r="Y295" s="173"/>
      <c r="Z295" s="166"/>
      <c r="AA295" s="174"/>
      <c r="AB295" s="175"/>
      <c r="AC295" s="175"/>
      <c r="AD295" s="175"/>
      <c r="AE295" s="175"/>
      <c r="AF295" s="175"/>
      <c r="AG295" s="175"/>
      <c r="AH295" s="175"/>
      <c r="AI295" s="176"/>
      <c r="AJ295" s="177"/>
      <c r="AK295" s="178"/>
      <c r="AL295" s="178"/>
      <c r="AM295" s="178"/>
      <c r="AN295" s="178"/>
      <c r="AO295" s="179"/>
      <c r="AP295" s="64"/>
      <c r="AQ295" s="65"/>
      <c r="AR295" s="65"/>
      <c r="AS295" s="65"/>
      <c r="AT295" s="173"/>
      <c r="AU295" s="177"/>
      <c r="AV295" s="178"/>
      <c r="AW295" s="178"/>
      <c r="AX295" s="179"/>
      <c r="AZ295" s="166"/>
      <c r="BA295" s="177"/>
      <c r="BB295" s="178"/>
      <c r="BC295" s="178"/>
      <c r="BD295" s="178"/>
      <c r="BE295" s="178"/>
      <c r="BF295" s="178"/>
      <c r="BG295" s="178"/>
      <c r="BH295" s="178"/>
      <c r="BI295" s="179"/>
      <c r="BJ295" s="180"/>
      <c r="BK295" s="178"/>
      <c r="BL295" s="178"/>
      <c r="BM295" s="178"/>
      <c r="BN295" s="178"/>
      <c r="BO295" s="181"/>
      <c r="BP295" s="166"/>
      <c r="BQ295" s="177"/>
      <c r="BR295" s="178"/>
      <c r="BS295" s="179"/>
      <c r="BU295" s="166"/>
      <c r="BV295" s="166"/>
      <c r="BW295" s="166"/>
      <c r="BX295" s="166"/>
      <c r="BY295" s="166"/>
      <c r="BZ295" s="166"/>
      <c r="CA295" s="166"/>
      <c r="CB295" s="166"/>
      <c r="CC295" s="166"/>
      <c r="CD295" s="177"/>
      <c r="CE295" s="181"/>
      <c r="CF295" s="177"/>
      <c r="CG295" s="179"/>
      <c r="CH295" s="257"/>
      <c r="CI295" s="182"/>
      <c r="CJ295" s="177"/>
      <c r="CK295" s="182"/>
      <c r="CL295" s="177"/>
      <c r="CM295" s="182"/>
      <c r="CN295" s="177"/>
      <c r="CO295" s="182"/>
      <c r="CP295" s="177"/>
      <c r="CQ295" s="178"/>
      <c r="CR295" s="182"/>
      <c r="CS295" s="173"/>
      <c r="CT295" s="65"/>
      <c r="CU295" s="271" t="str">
        <f t="shared" si="2"/>
        <v/>
      </c>
    </row>
    <row r="296" ht="60.0" hidden="1" customHeight="1">
      <c r="A296" s="65"/>
      <c r="C296" s="167"/>
      <c r="D296" s="205"/>
      <c r="E296" s="262"/>
      <c r="F296" s="170"/>
      <c r="G296" s="170"/>
      <c r="H296" s="170"/>
      <c r="I296" s="170"/>
      <c r="J296" s="170"/>
      <c r="K296" s="171"/>
      <c r="L296" s="171"/>
      <c r="M296" s="171"/>
      <c r="N296" s="209"/>
      <c r="O296" s="172">
        <f t="shared" si="54"/>
        <v>0</v>
      </c>
      <c r="P296" s="166"/>
      <c r="Q296" s="173"/>
      <c r="R296" s="65"/>
      <c r="S296" s="173"/>
      <c r="T296" s="173"/>
      <c r="U296" s="166"/>
      <c r="V296" s="166"/>
      <c r="W296" s="65"/>
      <c r="X296" s="66"/>
      <c r="Y296" s="173"/>
      <c r="Z296" s="166"/>
      <c r="AA296" s="174"/>
      <c r="AB296" s="175"/>
      <c r="AC296" s="175"/>
      <c r="AD296" s="175"/>
      <c r="AE296" s="175"/>
      <c r="AF296" s="175"/>
      <c r="AG296" s="175"/>
      <c r="AH296" s="175"/>
      <c r="AI296" s="176"/>
      <c r="AJ296" s="177"/>
      <c r="AK296" s="178"/>
      <c r="AL296" s="178"/>
      <c r="AM296" s="178"/>
      <c r="AN296" s="178"/>
      <c r="AO296" s="179"/>
      <c r="AP296" s="64"/>
      <c r="AQ296" s="65"/>
      <c r="AR296" s="65"/>
      <c r="AS296" s="65"/>
      <c r="AT296" s="173"/>
      <c r="AU296" s="177"/>
      <c r="AV296" s="178"/>
      <c r="AW296" s="178"/>
      <c r="AX296" s="179"/>
      <c r="AZ296" s="166"/>
      <c r="BA296" s="177"/>
      <c r="BB296" s="178"/>
      <c r="BC296" s="178"/>
      <c r="BD296" s="178"/>
      <c r="BE296" s="178"/>
      <c r="BF296" s="178"/>
      <c r="BG296" s="178"/>
      <c r="BH296" s="178"/>
      <c r="BI296" s="179"/>
      <c r="BJ296" s="180"/>
      <c r="BK296" s="178"/>
      <c r="BL296" s="178"/>
      <c r="BM296" s="178"/>
      <c r="BN296" s="178"/>
      <c r="BO296" s="181"/>
      <c r="BP296" s="166"/>
      <c r="BQ296" s="177"/>
      <c r="BR296" s="178"/>
      <c r="BS296" s="179"/>
      <c r="BU296" s="166"/>
      <c r="BV296" s="166"/>
      <c r="BW296" s="166"/>
      <c r="BX296" s="166"/>
      <c r="BY296" s="166"/>
      <c r="BZ296" s="166"/>
      <c r="CA296" s="166"/>
      <c r="CB296" s="166"/>
      <c r="CC296" s="166"/>
      <c r="CD296" s="177"/>
      <c r="CE296" s="181"/>
      <c r="CF296" s="177"/>
      <c r="CG296" s="179"/>
      <c r="CH296" s="257"/>
      <c r="CI296" s="182"/>
      <c r="CJ296" s="177"/>
      <c r="CK296" s="182"/>
      <c r="CL296" s="177"/>
      <c r="CM296" s="182"/>
      <c r="CN296" s="177"/>
      <c r="CO296" s="182"/>
      <c r="CP296" s="177"/>
      <c r="CQ296" s="178"/>
      <c r="CR296" s="182"/>
      <c r="CS296" s="173"/>
      <c r="CT296" s="65"/>
      <c r="CU296" s="271" t="str">
        <f t="shared" si="2"/>
        <v/>
      </c>
    </row>
    <row r="297" ht="60.0" hidden="1" customHeight="1">
      <c r="A297" s="65"/>
      <c r="C297" s="167"/>
      <c r="D297" s="205"/>
      <c r="E297" s="262"/>
      <c r="F297" s="170"/>
      <c r="G297" s="170"/>
      <c r="H297" s="170"/>
      <c r="I297" s="170"/>
      <c r="J297" s="170"/>
      <c r="K297" s="171"/>
      <c r="L297" s="171"/>
      <c r="M297" s="171"/>
      <c r="N297" s="209"/>
      <c r="O297" s="172">
        <f t="shared" si="54"/>
        <v>0</v>
      </c>
      <c r="P297" s="166"/>
      <c r="Q297" s="173"/>
      <c r="R297" s="65"/>
      <c r="S297" s="173"/>
      <c r="T297" s="173"/>
      <c r="U297" s="166"/>
      <c r="V297" s="166"/>
      <c r="W297" s="65"/>
      <c r="X297" s="66"/>
      <c r="Y297" s="173"/>
      <c r="Z297" s="166"/>
      <c r="AA297" s="174"/>
      <c r="AB297" s="175"/>
      <c r="AC297" s="175"/>
      <c r="AD297" s="175"/>
      <c r="AE297" s="175"/>
      <c r="AF297" s="175"/>
      <c r="AG297" s="175"/>
      <c r="AH297" s="175"/>
      <c r="AI297" s="176"/>
      <c r="AJ297" s="177"/>
      <c r="AK297" s="178"/>
      <c r="AL297" s="178"/>
      <c r="AM297" s="178"/>
      <c r="AN297" s="178"/>
      <c r="AO297" s="179"/>
      <c r="AP297" s="64"/>
      <c r="AQ297" s="65"/>
      <c r="AR297" s="65"/>
      <c r="AS297" s="65"/>
      <c r="AT297" s="173"/>
      <c r="AU297" s="177"/>
      <c r="AV297" s="178"/>
      <c r="AW297" s="178"/>
      <c r="AX297" s="179"/>
      <c r="AZ297" s="166"/>
      <c r="BA297" s="177"/>
      <c r="BB297" s="178"/>
      <c r="BC297" s="178"/>
      <c r="BD297" s="178"/>
      <c r="BE297" s="178"/>
      <c r="BF297" s="178"/>
      <c r="BG297" s="178"/>
      <c r="BH297" s="178"/>
      <c r="BI297" s="179"/>
      <c r="BJ297" s="180"/>
      <c r="BK297" s="178"/>
      <c r="BL297" s="178"/>
      <c r="BM297" s="178"/>
      <c r="BN297" s="178"/>
      <c r="BO297" s="181"/>
      <c r="BP297" s="166"/>
      <c r="BQ297" s="177"/>
      <c r="BR297" s="178"/>
      <c r="BS297" s="179"/>
      <c r="BU297" s="166"/>
      <c r="BV297" s="166"/>
      <c r="BW297" s="166"/>
      <c r="BX297" s="166"/>
      <c r="BY297" s="166"/>
      <c r="BZ297" s="166"/>
      <c r="CA297" s="166"/>
      <c r="CB297" s="166"/>
      <c r="CC297" s="166"/>
      <c r="CD297" s="177"/>
      <c r="CE297" s="181"/>
      <c r="CF297" s="177"/>
      <c r="CG297" s="179"/>
      <c r="CH297" s="257"/>
      <c r="CI297" s="182"/>
      <c r="CJ297" s="177"/>
      <c r="CK297" s="182"/>
      <c r="CL297" s="177"/>
      <c r="CM297" s="182"/>
      <c r="CN297" s="177"/>
      <c r="CO297" s="182"/>
      <c r="CP297" s="177"/>
      <c r="CQ297" s="178"/>
      <c r="CR297" s="182"/>
      <c r="CS297" s="173"/>
      <c r="CT297" s="65"/>
      <c r="CU297" s="271" t="str">
        <f t="shared" si="2"/>
        <v/>
      </c>
    </row>
    <row r="298" ht="60.0" hidden="1" customHeight="1">
      <c r="A298" s="65"/>
      <c r="C298" s="167"/>
      <c r="D298" s="205"/>
      <c r="E298" s="262"/>
      <c r="F298" s="170"/>
      <c r="G298" s="170"/>
      <c r="H298" s="170"/>
      <c r="I298" s="170"/>
      <c r="J298" s="170"/>
      <c r="K298" s="171"/>
      <c r="L298" s="171"/>
      <c r="M298" s="171"/>
      <c r="N298" s="209"/>
      <c r="O298" s="172">
        <f t="shared" si="54"/>
        <v>0</v>
      </c>
      <c r="P298" s="166"/>
      <c r="Q298" s="173"/>
      <c r="R298" s="65"/>
      <c r="S298" s="173"/>
      <c r="T298" s="173"/>
      <c r="U298" s="166"/>
      <c r="V298" s="166"/>
      <c r="W298" s="65"/>
      <c r="X298" s="66"/>
      <c r="Y298" s="173"/>
      <c r="Z298" s="166"/>
      <c r="AA298" s="174"/>
      <c r="AB298" s="175"/>
      <c r="AC298" s="175"/>
      <c r="AD298" s="175"/>
      <c r="AE298" s="175"/>
      <c r="AF298" s="175"/>
      <c r="AG298" s="175"/>
      <c r="AH298" s="175"/>
      <c r="AI298" s="176"/>
      <c r="AJ298" s="177"/>
      <c r="AK298" s="178"/>
      <c r="AL298" s="178"/>
      <c r="AM298" s="178"/>
      <c r="AN298" s="178"/>
      <c r="AO298" s="179"/>
      <c r="AP298" s="64"/>
      <c r="AQ298" s="65"/>
      <c r="AR298" s="65"/>
      <c r="AS298" s="65"/>
      <c r="AT298" s="173"/>
      <c r="AU298" s="177"/>
      <c r="AV298" s="178"/>
      <c r="AW298" s="178"/>
      <c r="AX298" s="179"/>
      <c r="AZ298" s="166"/>
      <c r="BA298" s="177"/>
      <c r="BB298" s="178"/>
      <c r="BC298" s="178"/>
      <c r="BD298" s="178"/>
      <c r="BE298" s="178"/>
      <c r="BF298" s="178"/>
      <c r="BG298" s="178"/>
      <c r="BH298" s="178"/>
      <c r="BI298" s="179"/>
      <c r="BJ298" s="180"/>
      <c r="BK298" s="178"/>
      <c r="BL298" s="178"/>
      <c r="BM298" s="178"/>
      <c r="BN298" s="178"/>
      <c r="BO298" s="181"/>
      <c r="BP298" s="166"/>
      <c r="BQ298" s="177"/>
      <c r="BR298" s="178"/>
      <c r="BS298" s="179"/>
      <c r="BU298" s="166"/>
      <c r="BV298" s="166"/>
      <c r="BW298" s="166"/>
      <c r="BX298" s="166"/>
      <c r="BY298" s="166"/>
      <c r="BZ298" s="166"/>
      <c r="CA298" s="166"/>
      <c r="CB298" s="166"/>
      <c r="CC298" s="166"/>
      <c r="CD298" s="177"/>
      <c r="CE298" s="181"/>
      <c r="CF298" s="177"/>
      <c r="CG298" s="179"/>
      <c r="CH298" s="257"/>
      <c r="CI298" s="182"/>
      <c r="CJ298" s="177"/>
      <c r="CK298" s="182"/>
      <c r="CL298" s="177"/>
      <c r="CM298" s="182"/>
      <c r="CN298" s="177"/>
      <c r="CO298" s="182"/>
      <c r="CP298" s="177"/>
      <c r="CQ298" s="178"/>
      <c r="CR298" s="182"/>
      <c r="CS298" s="173"/>
      <c r="CT298" s="65"/>
      <c r="CU298" s="271" t="str">
        <f t="shared" si="2"/>
        <v/>
      </c>
    </row>
    <row r="299" ht="60.0" hidden="1" customHeight="1">
      <c r="A299" s="65"/>
      <c r="C299" s="167"/>
      <c r="D299" s="205"/>
      <c r="E299" s="262"/>
      <c r="F299" s="170"/>
      <c r="G299" s="170"/>
      <c r="H299" s="170"/>
      <c r="I299" s="170"/>
      <c r="J299" s="170"/>
      <c r="K299" s="171"/>
      <c r="L299" s="171"/>
      <c r="M299" s="171"/>
      <c r="N299" s="209"/>
      <c r="O299" s="172">
        <f t="shared" si="54"/>
        <v>0</v>
      </c>
      <c r="P299" s="166"/>
      <c r="Q299" s="173"/>
      <c r="R299" s="65"/>
      <c r="S299" s="173"/>
      <c r="T299" s="173"/>
      <c r="U299" s="166"/>
      <c r="V299" s="166"/>
      <c r="W299" s="65"/>
      <c r="X299" s="66"/>
      <c r="Y299" s="173"/>
      <c r="Z299" s="166"/>
      <c r="AA299" s="174"/>
      <c r="AB299" s="175"/>
      <c r="AC299" s="175"/>
      <c r="AD299" s="175"/>
      <c r="AE299" s="175"/>
      <c r="AF299" s="175"/>
      <c r="AG299" s="175"/>
      <c r="AH299" s="175"/>
      <c r="AI299" s="176"/>
      <c r="AJ299" s="177"/>
      <c r="AK299" s="178"/>
      <c r="AL299" s="178"/>
      <c r="AM299" s="178"/>
      <c r="AN299" s="178"/>
      <c r="AO299" s="179"/>
      <c r="AP299" s="64"/>
      <c r="AQ299" s="65"/>
      <c r="AR299" s="65"/>
      <c r="AS299" s="65"/>
      <c r="AT299" s="173"/>
      <c r="AU299" s="177"/>
      <c r="AV299" s="178"/>
      <c r="AW299" s="178"/>
      <c r="AX299" s="179"/>
      <c r="AZ299" s="166"/>
      <c r="BA299" s="177"/>
      <c r="BB299" s="178"/>
      <c r="BC299" s="178"/>
      <c r="BD299" s="178"/>
      <c r="BE299" s="178"/>
      <c r="BF299" s="178"/>
      <c r="BG299" s="178"/>
      <c r="BH299" s="178"/>
      <c r="BI299" s="179"/>
      <c r="BJ299" s="180"/>
      <c r="BK299" s="178"/>
      <c r="BL299" s="178"/>
      <c r="BM299" s="178"/>
      <c r="BN299" s="178"/>
      <c r="BO299" s="181"/>
      <c r="BP299" s="166"/>
      <c r="BQ299" s="177"/>
      <c r="BR299" s="178"/>
      <c r="BS299" s="179"/>
      <c r="BU299" s="166"/>
      <c r="BV299" s="166"/>
      <c r="BW299" s="166"/>
      <c r="BX299" s="166"/>
      <c r="BY299" s="166"/>
      <c r="BZ299" s="166"/>
      <c r="CA299" s="166"/>
      <c r="CB299" s="166"/>
      <c r="CC299" s="166"/>
      <c r="CD299" s="177"/>
      <c r="CE299" s="181"/>
      <c r="CF299" s="177"/>
      <c r="CG299" s="179"/>
      <c r="CH299" s="257"/>
      <c r="CI299" s="182"/>
      <c r="CJ299" s="177"/>
      <c r="CK299" s="182"/>
      <c r="CL299" s="177"/>
      <c r="CM299" s="182"/>
      <c r="CN299" s="177"/>
      <c r="CO299" s="182"/>
      <c r="CP299" s="177"/>
      <c r="CQ299" s="178"/>
      <c r="CR299" s="182"/>
      <c r="CS299" s="173"/>
      <c r="CT299" s="65"/>
      <c r="CU299" s="271" t="str">
        <f t="shared" si="2"/>
        <v/>
      </c>
    </row>
    <row r="300" ht="60.0" hidden="1" customHeight="1">
      <c r="A300" s="65"/>
      <c r="C300" s="167"/>
      <c r="D300" s="205"/>
      <c r="E300" s="262"/>
      <c r="F300" s="170"/>
      <c r="G300" s="170"/>
      <c r="H300" s="170"/>
      <c r="I300" s="170"/>
      <c r="J300" s="170"/>
      <c r="K300" s="171"/>
      <c r="L300" s="171"/>
      <c r="M300" s="171"/>
      <c r="N300" s="209"/>
      <c r="O300" s="172">
        <f t="shared" si="54"/>
        <v>0</v>
      </c>
      <c r="P300" s="166"/>
      <c r="Q300" s="173"/>
      <c r="R300" s="65"/>
      <c r="S300" s="173"/>
      <c r="T300" s="173"/>
      <c r="U300" s="166"/>
      <c r="V300" s="166"/>
      <c r="W300" s="65"/>
      <c r="X300" s="66"/>
      <c r="Y300" s="173"/>
      <c r="Z300" s="166"/>
      <c r="AA300" s="174"/>
      <c r="AB300" s="175"/>
      <c r="AC300" s="175"/>
      <c r="AD300" s="175"/>
      <c r="AE300" s="175"/>
      <c r="AF300" s="175"/>
      <c r="AG300" s="175"/>
      <c r="AH300" s="175"/>
      <c r="AI300" s="176"/>
      <c r="AJ300" s="177"/>
      <c r="AK300" s="178"/>
      <c r="AL300" s="178"/>
      <c r="AM300" s="178"/>
      <c r="AN300" s="178"/>
      <c r="AO300" s="179"/>
      <c r="AP300" s="64"/>
      <c r="AQ300" s="65"/>
      <c r="AR300" s="65"/>
      <c r="AS300" s="65"/>
      <c r="AT300" s="173"/>
      <c r="AU300" s="177"/>
      <c r="AV300" s="178"/>
      <c r="AW300" s="178"/>
      <c r="AX300" s="179"/>
      <c r="AZ300" s="166"/>
      <c r="BA300" s="177"/>
      <c r="BB300" s="178"/>
      <c r="BC300" s="178"/>
      <c r="BD300" s="178"/>
      <c r="BE300" s="178"/>
      <c r="BF300" s="178"/>
      <c r="BG300" s="178"/>
      <c r="BH300" s="178"/>
      <c r="BI300" s="179"/>
      <c r="BJ300" s="180"/>
      <c r="BK300" s="178"/>
      <c r="BL300" s="178"/>
      <c r="BM300" s="178"/>
      <c r="BN300" s="178"/>
      <c r="BO300" s="181"/>
      <c r="BP300" s="166"/>
      <c r="BQ300" s="177"/>
      <c r="BR300" s="178"/>
      <c r="BS300" s="179"/>
      <c r="BU300" s="166"/>
      <c r="BV300" s="166"/>
      <c r="BW300" s="166"/>
      <c r="BX300" s="166"/>
      <c r="BY300" s="166"/>
      <c r="BZ300" s="166"/>
      <c r="CA300" s="166"/>
      <c r="CB300" s="166"/>
      <c r="CC300" s="166"/>
      <c r="CD300" s="177"/>
      <c r="CE300" s="181"/>
      <c r="CF300" s="177"/>
      <c r="CG300" s="179"/>
      <c r="CH300" s="257"/>
      <c r="CI300" s="182"/>
      <c r="CJ300" s="177"/>
      <c r="CK300" s="182"/>
      <c r="CL300" s="177"/>
      <c r="CM300" s="182"/>
      <c r="CN300" s="177"/>
      <c r="CO300" s="182"/>
      <c r="CP300" s="177"/>
      <c r="CQ300" s="178"/>
      <c r="CR300" s="182"/>
      <c r="CS300" s="173"/>
      <c r="CT300" s="65"/>
      <c r="CU300" s="271" t="str">
        <f t="shared" si="2"/>
        <v/>
      </c>
    </row>
    <row r="301" ht="60.0" hidden="1" customHeight="1">
      <c r="A301" s="65"/>
      <c r="C301" s="167"/>
      <c r="D301" s="205"/>
      <c r="E301" s="262"/>
      <c r="F301" s="170"/>
      <c r="G301" s="170"/>
      <c r="H301" s="170"/>
      <c r="I301" s="170"/>
      <c r="J301" s="170"/>
      <c r="K301" s="171"/>
      <c r="L301" s="171"/>
      <c r="M301" s="171"/>
      <c r="N301" s="209"/>
      <c r="O301" s="172">
        <f t="shared" si="54"/>
        <v>0</v>
      </c>
      <c r="P301" s="166"/>
      <c r="Q301" s="173"/>
      <c r="R301" s="65"/>
      <c r="S301" s="173"/>
      <c r="T301" s="173"/>
      <c r="U301" s="166"/>
      <c r="V301" s="166"/>
      <c r="W301" s="65"/>
      <c r="X301" s="66"/>
      <c r="Y301" s="173"/>
      <c r="Z301" s="166"/>
      <c r="AA301" s="174"/>
      <c r="AB301" s="175"/>
      <c r="AC301" s="175"/>
      <c r="AD301" s="175"/>
      <c r="AE301" s="175"/>
      <c r="AF301" s="175"/>
      <c r="AG301" s="175"/>
      <c r="AH301" s="175"/>
      <c r="AI301" s="176"/>
      <c r="AJ301" s="177"/>
      <c r="AK301" s="178"/>
      <c r="AL301" s="178"/>
      <c r="AM301" s="178"/>
      <c r="AN301" s="178"/>
      <c r="AO301" s="179"/>
      <c r="AP301" s="64"/>
      <c r="AQ301" s="65"/>
      <c r="AR301" s="65"/>
      <c r="AS301" s="65"/>
      <c r="AT301" s="173"/>
      <c r="AU301" s="177"/>
      <c r="AV301" s="178"/>
      <c r="AW301" s="178"/>
      <c r="AX301" s="179"/>
      <c r="AZ301" s="166"/>
      <c r="BA301" s="177"/>
      <c r="BB301" s="178"/>
      <c r="BC301" s="178"/>
      <c r="BD301" s="178"/>
      <c r="BE301" s="178"/>
      <c r="BF301" s="178"/>
      <c r="BG301" s="178"/>
      <c r="BH301" s="178"/>
      <c r="BI301" s="179"/>
      <c r="BJ301" s="180"/>
      <c r="BK301" s="178"/>
      <c r="BL301" s="178"/>
      <c r="BM301" s="178"/>
      <c r="BN301" s="178"/>
      <c r="BO301" s="181"/>
      <c r="BP301" s="166"/>
      <c r="BQ301" s="177"/>
      <c r="BR301" s="178"/>
      <c r="BS301" s="179"/>
      <c r="BU301" s="166"/>
      <c r="BV301" s="166"/>
      <c r="BW301" s="166"/>
      <c r="BX301" s="166"/>
      <c r="BY301" s="166"/>
      <c r="BZ301" s="166"/>
      <c r="CA301" s="166"/>
      <c r="CB301" s="166"/>
      <c r="CC301" s="166"/>
      <c r="CD301" s="177"/>
      <c r="CE301" s="181"/>
      <c r="CF301" s="177"/>
      <c r="CG301" s="179"/>
      <c r="CH301" s="257"/>
      <c r="CI301" s="182"/>
      <c r="CJ301" s="177"/>
      <c r="CK301" s="182"/>
      <c r="CL301" s="177"/>
      <c r="CM301" s="182"/>
      <c r="CN301" s="177"/>
      <c r="CO301" s="182"/>
      <c r="CP301" s="177"/>
      <c r="CQ301" s="178"/>
      <c r="CR301" s="182"/>
      <c r="CS301" s="173"/>
      <c r="CT301" s="65"/>
      <c r="CU301" s="271" t="str">
        <f t="shared" si="2"/>
        <v/>
      </c>
    </row>
    <row r="302" ht="60.0" hidden="1" customHeight="1">
      <c r="A302" s="65"/>
      <c r="C302" s="167"/>
      <c r="D302" s="205"/>
      <c r="E302" s="262"/>
      <c r="F302" s="170"/>
      <c r="G302" s="170"/>
      <c r="H302" s="170"/>
      <c r="I302" s="170"/>
      <c r="J302" s="170"/>
      <c r="K302" s="171"/>
      <c r="L302" s="171"/>
      <c r="M302" s="171"/>
      <c r="N302" s="209"/>
      <c r="O302" s="172">
        <f t="shared" si="54"/>
        <v>0</v>
      </c>
      <c r="P302" s="166"/>
      <c r="Q302" s="173"/>
      <c r="R302" s="65"/>
      <c r="S302" s="173"/>
      <c r="T302" s="173"/>
      <c r="U302" s="166"/>
      <c r="V302" s="166"/>
      <c r="W302" s="65"/>
      <c r="X302" s="66"/>
      <c r="Y302" s="173"/>
      <c r="Z302" s="166"/>
      <c r="AA302" s="174"/>
      <c r="AB302" s="175"/>
      <c r="AC302" s="175"/>
      <c r="AD302" s="175"/>
      <c r="AE302" s="175"/>
      <c r="AF302" s="175"/>
      <c r="AG302" s="175"/>
      <c r="AH302" s="175"/>
      <c r="AI302" s="176"/>
      <c r="AJ302" s="177"/>
      <c r="AK302" s="178"/>
      <c r="AL302" s="178"/>
      <c r="AM302" s="178"/>
      <c r="AN302" s="178"/>
      <c r="AO302" s="179"/>
      <c r="AP302" s="64"/>
      <c r="AQ302" s="65"/>
      <c r="AR302" s="65"/>
      <c r="AS302" s="65"/>
      <c r="AT302" s="173"/>
      <c r="AU302" s="177"/>
      <c r="AV302" s="178"/>
      <c r="AW302" s="178"/>
      <c r="AX302" s="179"/>
      <c r="AZ302" s="166"/>
      <c r="BA302" s="177"/>
      <c r="BB302" s="178"/>
      <c r="BC302" s="178"/>
      <c r="BD302" s="178"/>
      <c r="BE302" s="178"/>
      <c r="BF302" s="178"/>
      <c r="BG302" s="178"/>
      <c r="BH302" s="178"/>
      <c r="BI302" s="179"/>
      <c r="BJ302" s="180"/>
      <c r="BK302" s="178"/>
      <c r="BL302" s="178"/>
      <c r="BM302" s="178"/>
      <c r="BN302" s="178"/>
      <c r="BO302" s="181"/>
      <c r="BP302" s="166"/>
      <c r="BQ302" s="177"/>
      <c r="BR302" s="178"/>
      <c r="BS302" s="179"/>
      <c r="BU302" s="166"/>
      <c r="BV302" s="166"/>
      <c r="BW302" s="166"/>
      <c r="BX302" s="166"/>
      <c r="BY302" s="166"/>
      <c r="BZ302" s="166"/>
      <c r="CA302" s="166"/>
      <c r="CB302" s="166"/>
      <c r="CC302" s="166"/>
      <c r="CD302" s="177"/>
      <c r="CE302" s="181"/>
      <c r="CF302" s="177"/>
      <c r="CG302" s="179"/>
      <c r="CH302" s="257"/>
      <c r="CI302" s="182"/>
      <c r="CJ302" s="177"/>
      <c r="CK302" s="182"/>
      <c r="CL302" s="177"/>
      <c r="CM302" s="182"/>
      <c r="CN302" s="177"/>
      <c r="CO302" s="182"/>
      <c r="CP302" s="177"/>
      <c r="CQ302" s="178"/>
      <c r="CR302" s="182"/>
      <c r="CS302" s="173"/>
      <c r="CT302" s="65"/>
      <c r="CU302" s="271" t="str">
        <f t="shared" si="2"/>
        <v/>
      </c>
    </row>
    <row r="303" ht="60.0" hidden="1" customHeight="1">
      <c r="A303" s="65"/>
      <c r="C303" s="167"/>
      <c r="D303" s="205"/>
      <c r="E303" s="262"/>
      <c r="F303" s="170"/>
      <c r="G303" s="170"/>
      <c r="H303" s="170"/>
      <c r="I303" s="170"/>
      <c r="J303" s="170"/>
      <c r="K303" s="171"/>
      <c r="L303" s="171"/>
      <c r="M303" s="171"/>
      <c r="N303" s="209"/>
      <c r="O303" s="172">
        <f t="shared" si="54"/>
        <v>0</v>
      </c>
      <c r="P303" s="166"/>
      <c r="Q303" s="173"/>
      <c r="R303" s="65"/>
      <c r="S303" s="173"/>
      <c r="T303" s="173"/>
      <c r="U303" s="166"/>
      <c r="V303" s="166"/>
      <c r="W303" s="65"/>
      <c r="X303" s="66"/>
      <c r="Y303" s="173"/>
      <c r="Z303" s="166"/>
      <c r="AA303" s="174"/>
      <c r="AB303" s="175"/>
      <c r="AC303" s="175"/>
      <c r="AD303" s="175"/>
      <c r="AE303" s="175"/>
      <c r="AF303" s="175"/>
      <c r="AG303" s="175"/>
      <c r="AH303" s="175"/>
      <c r="AI303" s="176"/>
      <c r="AJ303" s="177"/>
      <c r="AK303" s="178"/>
      <c r="AL303" s="178"/>
      <c r="AM303" s="178"/>
      <c r="AN303" s="178"/>
      <c r="AO303" s="179"/>
      <c r="AP303" s="64"/>
      <c r="AQ303" s="65"/>
      <c r="AR303" s="65"/>
      <c r="AS303" s="65"/>
      <c r="AT303" s="173"/>
      <c r="AU303" s="177"/>
      <c r="AV303" s="178"/>
      <c r="AW303" s="178"/>
      <c r="AX303" s="179"/>
      <c r="AZ303" s="166"/>
      <c r="BA303" s="177"/>
      <c r="BB303" s="178"/>
      <c r="BC303" s="178"/>
      <c r="BD303" s="178"/>
      <c r="BE303" s="178"/>
      <c r="BF303" s="178"/>
      <c r="BG303" s="178"/>
      <c r="BH303" s="178"/>
      <c r="BI303" s="179"/>
      <c r="BJ303" s="180"/>
      <c r="BK303" s="178"/>
      <c r="BL303" s="178"/>
      <c r="BM303" s="178"/>
      <c r="BN303" s="178"/>
      <c r="BO303" s="181"/>
      <c r="BP303" s="166"/>
      <c r="BQ303" s="177"/>
      <c r="BR303" s="178"/>
      <c r="BS303" s="179"/>
      <c r="BU303" s="166"/>
      <c r="BV303" s="166"/>
      <c r="BW303" s="166"/>
      <c r="BX303" s="166"/>
      <c r="BY303" s="166"/>
      <c r="BZ303" s="166"/>
      <c r="CA303" s="166"/>
      <c r="CB303" s="166"/>
      <c r="CC303" s="166"/>
      <c r="CD303" s="177"/>
      <c r="CE303" s="181"/>
      <c r="CF303" s="177"/>
      <c r="CG303" s="179"/>
      <c r="CH303" s="257"/>
      <c r="CI303" s="182"/>
      <c r="CJ303" s="177"/>
      <c r="CK303" s="182"/>
      <c r="CL303" s="177"/>
      <c r="CM303" s="182"/>
      <c r="CN303" s="177"/>
      <c r="CO303" s="182"/>
      <c r="CP303" s="177"/>
      <c r="CQ303" s="178"/>
      <c r="CR303" s="182"/>
      <c r="CS303" s="173"/>
      <c r="CT303" s="65"/>
      <c r="CU303" s="271" t="str">
        <f t="shared" si="2"/>
        <v/>
      </c>
    </row>
    <row r="304" ht="60.0" hidden="1" customHeight="1">
      <c r="A304" s="89"/>
      <c r="B304" s="6"/>
      <c r="C304" s="183"/>
      <c r="D304" s="210"/>
      <c r="E304" s="263"/>
      <c r="F304" s="186"/>
      <c r="G304" s="186"/>
      <c r="H304" s="186"/>
      <c r="I304" s="186"/>
      <c r="J304" s="186"/>
      <c r="K304" s="187"/>
      <c r="L304" s="187"/>
      <c r="M304" s="187"/>
      <c r="N304" s="214"/>
      <c r="O304" s="188">
        <f t="shared" si="54"/>
        <v>0</v>
      </c>
      <c r="P304" s="63"/>
      <c r="Q304" s="69"/>
      <c r="R304" s="89"/>
      <c r="S304" s="69"/>
      <c r="T304" s="69"/>
      <c r="U304" s="63"/>
      <c r="V304" s="63"/>
      <c r="W304" s="89"/>
      <c r="X304" s="68"/>
      <c r="Y304" s="69"/>
      <c r="Z304" s="63"/>
      <c r="AA304" s="189"/>
      <c r="AB304" s="190"/>
      <c r="AC304" s="190"/>
      <c r="AD304" s="190"/>
      <c r="AE304" s="190"/>
      <c r="AF304" s="190"/>
      <c r="AG304" s="190"/>
      <c r="AH304" s="190"/>
      <c r="AI304" s="191"/>
      <c r="AJ304" s="192"/>
      <c r="AK304" s="193"/>
      <c r="AL304" s="193"/>
      <c r="AM304" s="193"/>
      <c r="AN304" s="193"/>
      <c r="AO304" s="194"/>
      <c r="AP304" s="103"/>
      <c r="AQ304" s="89"/>
      <c r="AR304" s="89"/>
      <c r="AS304" s="89"/>
      <c r="AT304" s="69"/>
      <c r="AU304" s="192"/>
      <c r="AV304" s="193"/>
      <c r="AW304" s="193"/>
      <c r="AX304" s="194"/>
      <c r="AY304" s="6"/>
      <c r="AZ304" s="63"/>
      <c r="BA304" s="192"/>
      <c r="BB304" s="193"/>
      <c r="BC304" s="193"/>
      <c r="BD304" s="193"/>
      <c r="BE304" s="193"/>
      <c r="BF304" s="193"/>
      <c r="BG304" s="193"/>
      <c r="BH304" s="193"/>
      <c r="BI304" s="194"/>
      <c r="BJ304" s="195"/>
      <c r="BK304" s="193"/>
      <c r="BL304" s="193"/>
      <c r="BM304" s="193"/>
      <c r="BN304" s="193"/>
      <c r="BO304" s="196"/>
      <c r="BP304" s="63"/>
      <c r="BQ304" s="192"/>
      <c r="BR304" s="193"/>
      <c r="BS304" s="194"/>
      <c r="BT304" s="6"/>
      <c r="BU304" s="63"/>
      <c r="BV304" s="63"/>
      <c r="BW304" s="63"/>
      <c r="BX304" s="63"/>
      <c r="BY304" s="63"/>
      <c r="BZ304" s="63"/>
      <c r="CA304" s="63"/>
      <c r="CB304" s="63"/>
      <c r="CC304" s="63"/>
      <c r="CD304" s="192"/>
      <c r="CE304" s="196"/>
      <c r="CF304" s="192"/>
      <c r="CG304" s="194"/>
      <c r="CH304" s="259"/>
      <c r="CI304" s="197"/>
      <c r="CJ304" s="192"/>
      <c r="CK304" s="197"/>
      <c r="CL304" s="192"/>
      <c r="CM304" s="197"/>
      <c r="CN304" s="192"/>
      <c r="CO304" s="197"/>
      <c r="CP304" s="192"/>
      <c r="CQ304" s="193"/>
      <c r="CR304" s="197"/>
      <c r="CS304" s="69"/>
      <c r="CT304" s="89"/>
      <c r="CU304" s="272" t="str">
        <f t="shared" si="2"/>
        <v/>
      </c>
    </row>
    <row r="305" ht="56.25" hidden="1" customHeight="1">
      <c r="A305" s="125">
        <v>28.0</v>
      </c>
      <c r="B305" s="199"/>
      <c r="C305" s="127"/>
      <c r="D305" s="128"/>
      <c r="E305" s="260"/>
      <c r="F305" s="261"/>
      <c r="G305" s="261"/>
      <c r="H305" s="261"/>
      <c r="I305" s="261"/>
      <c r="J305" s="170"/>
      <c r="K305" s="219"/>
      <c r="L305" s="219"/>
      <c r="M305" s="219"/>
      <c r="N305" s="220"/>
      <c r="O305" s="132">
        <f t="shared" si="54"/>
        <v>0</v>
      </c>
      <c r="P305" s="133">
        <f>COUNTIF(K305:K315,"TL")*0.75+COUNTIF(K305:K315,"Lec")*1+COUNTIF(K305:K315,"Lab")*0.5</f>
        <v>0</v>
      </c>
      <c r="Q305" s="134">
        <f>SUM((IF(LEFT(K305,1)="E",O305,0)),(IF(LEFT(K306,1)="E",O306,0)),(IF(LEFT(K307,1)="E",O307,0)),(IF(LEFT(K308,1)="E",O308,0)),(IF(LEFT(K309,1)="E",O309,0)),(IF(LEFT(K310,1)="E",O310,0)),(IF(LEFT(K311,1)="E",O311,0)),(IF(LEFT(K312,1)="E",O312,0)),(IF(LEFT(K313,1)="E",O313,0)),(IF(LEFT(K314,1)="E",O314,0)),(IF(LEFT(K315,1)="E",O315,0)))</f>
        <v>0</v>
      </c>
      <c r="R305" s="135">
        <f>SUM(IF(M311&lt;20,IF(K311="Plec",-1,IF(K311="PTL",-0.75,IF(K311="Plab",-0.5,0))),0),IF(M312&lt;20,IF(K312="Plec",-1,IF(K312="PTL",-0.75,IF(K312="Plab",-0.5,0))),0),IF(M313&lt;20,IF(K313="Plec",-1,IF(K313="PTL",-0.75,IF(K313="Plab",-0.5,0))),0),IF(M314&lt;20,IF(K314="Plec",-1,IF(K314="PTL",-0.75,IF(K314="Plab",-0.5,0))),0))</f>
        <v>0</v>
      </c>
      <c r="S305" s="134">
        <f>SUM(P305:R315)</f>
        <v>0</v>
      </c>
      <c r="T305" s="136">
        <f>SUM(IF(M305="M",IF(OR(K305="lec",K305="plec",K305="slec"),1,IF(OR(K305="lab",K305="plab",K305="slab",K305="tut",K305="ptut",K305="stut"),0.5,IF(OR(K305="TL",K305="pTL",K305="STL"),0.75,0))),0),IF(M306="M",IF(OR(K306="lec",K306="plec",K306="slec"),1,IF(OR(K306="lab",K306="plab",K306="slab",K306="tut",K306="ptut",K306="stut"),0.5,IF(OR(K306="TL",K306="pTL",K306="STL"),0.75,0))),0),IF(M307="M",IF(OR(K307="lec",K307="plec",K307="slec"),1,IF(OR(K307="lab",K307="plab",K307="slab",K307="tut",K307="ptut",K307="stut"),0.5,IF(OR(K307="TL",K307="pTL",K307="STL"),0.75,0))),0),IF(M308="M",IF(OR(K308="lec",K308="plec",K308="slec"),1,IF(OR(K308="lab",K308="plab",K308="slab",K308="tut",K308="ptut",K308="stut"),0.5,IF(OR(K308="TL",K308="pTL",K308="STL"),0.75,0))),0),IF(M309="M",IF(OR(K309="lec",K309="plec",K309="slec"),1,IF(OR(K309="lab",K309="plab",K309="slab",K309="tut",K309="ptut",K309="stut"),0.5,IF(OR(K309="TL",K309="pTL",K309="STL"),0.75,0))),0),IF(M310="M",IF(OR(K310="lec",K310="plec",K310="slec"),1,IF(OR(K310="lab",K310="plab",K310="slab",K310="tut",K310="ptut",K310="stut"),0.5,IF(OR(K310="TL",K310="pTL",K310="STL"),0.75,0))),0),IF(M311="M",IF(OR(K311="lec",K311="plec",K311="slec"),1,IF(OR(K311="lab",K311="plab",K311="slab",K311="tut",K311="ptut",K311="stut"),0.5,IF(OR(K311="TL",K311="pTL",K311="STL"),0.75,0))),0),IF(M312="M",IF(OR(K312="lec",K312="plec",K312="slec"),1,IF(OR(K312="lab",K312="plab",K312="slab",K312="tut",K312="ptut",K312="stut"),0.5,IF(OR(K312="TL",K312="pTL",K312="STL"),0.75,0))),0),IF(M313="M",IF(OR(K313="lec",K313="plec",K313="slec"),1,IF(OR(K313="lab",K313="plab",K313="slab",K313="tut",K313="ptut",K313="stut"),0.5,IF(OR(K313="TL",K313="pTL",K313="STL"),0.75,0))),0),IF(M314="M",IF(OR(K314="lec",K314="plec",K314="slec"),1,IF(OR(K314="lab",K314="plab",K314="slab",K314="tut",K314="ptut",K314="stut"),0.5,IF(OR(K314="TL",K314="pTL",K314="STL"),0.75,0))),0),IF(M315="M",IF(OR(K315="lec",K315="plec",K315="slec"),1,IF(OR(K315="lab",K315="plab",K315="slab",K315="tut",K315="ptut",K315="stut"),0.5,IF(OR(K315="TL",K315="pTL",K315="STL"),0.75,0))),0))</f>
        <v>0</v>
      </c>
      <c r="U305" s="137"/>
      <c r="V305" s="133"/>
      <c r="W305" s="138"/>
      <c r="X305" s="139">
        <f>S305-(T305+U305+V305+W305)</f>
        <v>0</v>
      </c>
      <c r="Y305" s="134" t="str">
        <f>CONCATENATE(SUM(O305:O315),"(",SUM(O305:O315)-X305,")")</f>
        <v>0(0)</v>
      </c>
      <c r="Z305" s="140"/>
      <c r="AA305" s="141"/>
      <c r="AB305" s="142"/>
      <c r="AC305" s="142"/>
      <c r="AD305" s="142"/>
      <c r="AE305" s="142"/>
      <c r="AF305" s="142"/>
      <c r="AG305" s="142"/>
      <c r="AH305" s="142"/>
      <c r="AI305" s="143"/>
      <c r="AJ305" s="144"/>
      <c r="AK305" s="145"/>
      <c r="AL305" s="145"/>
      <c r="AM305" s="145"/>
      <c r="AN305" s="145"/>
      <c r="AO305" s="146"/>
      <c r="AP305" s="147">
        <f>SUM(SUM(O305:O315),SUM(AI305:AI315)/2,AM305)</f>
        <v>0</v>
      </c>
      <c r="AQ305" s="148"/>
      <c r="AR305" s="148">
        <f>AP305*AQ305</f>
        <v>0</v>
      </c>
      <c r="AS305" s="148">
        <f>CT305</f>
        <v>0</v>
      </c>
      <c r="AT305" s="149">
        <f>AR305*0.75+AS305*0.25</f>
        <v>0</v>
      </c>
      <c r="AU305" s="150"/>
      <c r="AV305" s="151"/>
      <c r="AW305" s="151"/>
      <c r="AX305" s="152"/>
      <c r="AY305" s="153"/>
      <c r="AZ305" s="140"/>
      <c r="BA305" s="150"/>
      <c r="BB305" s="151"/>
      <c r="BC305" s="151"/>
      <c r="BD305" s="151"/>
      <c r="BE305" s="151"/>
      <c r="BF305" s="151"/>
      <c r="BG305" s="151"/>
      <c r="BH305" s="151"/>
      <c r="BI305" s="152"/>
      <c r="BJ305" s="154"/>
      <c r="BK305" s="151"/>
      <c r="BL305" s="151"/>
      <c r="BM305" s="151"/>
      <c r="BN305" s="151"/>
      <c r="BO305" s="155"/>
      <c r="BP305" s="140"/>
      <c r="BQ305" s="156"/>
      <c r="BR305" s="157"/>
      <c r="BS305" s="158"/>
      <c r="BT305" s="153"/>
      <c r="BU305" s="140"/>
      <c r="BV305" s="140"/>
      <c r="BW305" s="140"/>
      <c r="BX305" s="140"/>
      <c r="BY305" s="140"/>
      <c r="BZ305" s="140"/>
      <c r="CA305" s="140"/>
      <c r="CB305" s="140"/>
      <c r="CC305" s="140"/>
      <c r="CD305" s="150"/>
      <c r="CE305" s="155"/>
      <c r="CF305" s="150"/>
      <c r="CG305" s="152"/>
      <c r="CH305" s="252"/>
      <c r="CI305" s="160"/>
      <c r="CJ305" s="159"/>
      <c r="CK305" s="160"/>
      <c r="CL305" s="159"/>
      <c r="CM305" s="160"/>
      <c r="CN305" s="159"/>
      <c r="CO305" s="160"/>
      <c r="CP305" s="159"/>
      <c r="CQ305" s="162"/>
      <c r="CR305" s="160"/>
      <c r="CS305" s="253">
        <f>SUM(IF(AU305&lt;0,ABS(AU305),0),IF(AZ305&lt;0,ABS(AZ305),0),ABS(CI305),ABS(CK305),ABS(CM305),ABS(CO305),ABS(CQ305),ABS(CR305))</f>
        <v>0</v>
      </c>
      <c r="CT305" s="254">
        <f>SUM(AU305,AV305,AW305,AX305/400,AY305,AZ305,BG305,BH305*0.5,BI305*0.25,BJ305,BK305,BL305,BM305,BN305,BO305,BP305,BR305/20,BS305/100,BT305/60,BU305,BV305,BW305,BX305/5,SUM(BY305:CC315)/3,CE305,CG305/3,CI305,CK305,CM305,CO305,CQ305,CR305)</f>
        <v>0</v>
      </c>
      <c r="CU305" s="255" t="str">
        <f t="shared" si="2"/>
        <v/>
      </c>
    </row>
    <row r="306" ht="60.0" hidden="1" customHeight="1">
      <c r="A306" s="65"/>
      <c r="C306" s="167"/>
      <c r="D306" s="205"/>
      <c r="E306" s="262"/>
      <c r="F306" s="170"/>
      <c r="G306" s="170"/>
      <c r="H306" s="170"/>
      <c r="I306" s="170"/>
      <c r="J306" s="170"/>
      <c r="K306" s="171"/>
      <c r="L306" s="171"/>
      <c r="M306" s="171"/>
      <c r="N306" s="209"/>
      <c r="O306" s="172">
        <f t="shared" si="54"/>
        <v>0</v>
      </c>
      <c r="P306" s="166"/>
      <c r="Q306" s="173"/>
      <c r="R306" s="65"/>
      <c r="S306" s="173"/>
      <c r="T306" s="173"/>
      <c r="U306" s="166"/>
      <c r="V306" s="166"/>
      <c r="W306" s="65"/>
      <c r="X306" s="66"/>
      <c r="Y306" s="173"/>
      <c r="Z306" s="166"/>
      <c r="AA306" s="174"/>
      <c r="AB306" s="175"/>
      <c r="AC306" s="175"/>
      <c r="AD306" s="175"/>
      <c r="AE306" s="175"/>
      <c r="AF306" s="175"/>
      <c r="AG306" s="175"/>
      <c r="AH306" s="175"/>
      <c r="AI306" s="176"/>
      <c r="AJ306" s="177"/>
      <c r="AK306" s="178"/>
      <c r="AL306" s="178"/>
      <c r="AM306" s="178"/>
      <c r="AN306" s="178"/>
      <c r="AO306" s="179"/>
      <c r="AP306" s="64"/>
      <c r="AQ306" s="65"/>
      <c r="AR306" s="65"/>
      <c r="AS306" s="65"/>
      <c r="AT306" s="173"/>
      <c r="AU306" s="177"/>
      <c r="AV306" s="178"/>
      <c r="AW306" s="178"/>
      <c r="AX306" s="179"/>
      <c r="AZ306" s="166"/>
      <c r="BA306" s="177"/>
      <c r="BB306" s="178"/>
      <c r="BC306" s="178"/>
      <c r="BD306" s="178"/>
      <c r="BE306" s="178"/>
      <c r="BF306" s="178"/>
      <c r="BG306" s="178"/>
      <c r="BH306" s="178"/>
      <c r="BI306" s="179"/>
      <c r="BJ306" s="180"/>
      <c r="BK306" s="178"/>
      <c r="BL306" s="178"/>
      <c r="BM306" s="178"/>
      <c r="BN306" s="178"/>
      <c r="BO306" s="181"/>
      <c r="BP306" s="166"/>
      <c r="BQ306" s="177"/>
      <c r="BR306" s="178"/>
      <c r="BS306" s="179"/>
      <c r="BU306" s="166"/>
      <c r="BV306" s="166"/>
      <c r="BW306" s="166"/>
      <c r="BX306" s="166"/>
      <c r="BY306" s="166"/>
      <c r="BZ306" s="166"/>
      <c r="CA306" s="166"/>
      <c r="CB306" s="166"/>
      <c r="CC306" s="166"/>
      <c r="CD306" s="177"/>
      <c r="CE306" s="181"/>
      <c r="CF306" s="177"/>
      <c r="CG306" s="179"/>
      <c r="CH306" s="257"/>
      <c r="CI306" s="182"/>
      <c r="CJ306" s="177"/>
      <c r="CK306" s="182"/>
      <c r="CL306" s="177"/>
      <c r="CM306" s="182"/>
      <c r="CN306" s="177"/>
      <c r="CO306" s="182"/>
      <c r="CP306" s="177"/>
      <c r="CQ306" s="178"/>
      <c r="CR306" s="182"/>
      <c r="CS306" s="173"/>
      <c r="CT306" s="65"/>
      <c r="CU306" s="271" t="str">
        <f t="shared" si="2"/>
        <v/>
      </c>
    </row>
    <row r="307" ht="60.0" hidden="1" customHeight="1">
      <c r="A307" s="65"/>
      <c r="C307" s="167"/>
      <c r="D307" s="205"/>
      <c r="E307" s="262"/>
      <c r="F307" s="170"/>
      <c r="G307" s="170"/>
      <c r="H307" s="170"/>
      <c r="I307" s="170"/>
      <c r="J307" s="170"/>
      <c r="K307" s="171"/>
      <c r="L307" s="171"/>
      <c r="M307" s="171"/>
      <c r="N307" s="209"/>
      <c r="O307" s="172">
        <f t="shared" si="54"/>
        <v>0</v>
      </c>
      <c r="P307" s="166"/>
      <c r="Q307" s="173"/>
      <c r="R307" s="65"/>
      <c r="S307" s="173"/>
      <c r="T307" s="173"/>
      <c r="U307" s="166"/>
      <c r="V307" s="166"/>
      <c r="W307" s="65"/>
      <c r="X307" s="66"/>
      <c r="Y307" s="173"/>
      <c r="Z307" s="166"/>
      <c r="AA307" s="174"/>
      <c r="AB307" s="175"/>
      <c r="AC307" s="175"/>
      <c r="AD307" s="175"/>
      <c r="AE307" s="175"/>
      <c r="AF307" s="175"/>
      <c r="AG307" s="175"/>
      <c r="AH307" s="175"/>
      <c r="AI307" s="176"/>
      <c r="AJ307" s="177"/>
      <c r="AK307" s="178"/>
      <c r="AL307" s="178"/>
      <c r="AM307" s="178"/>
      <c r="AN307" s="178"/>
      <c r="AO307" s="179"/>
      <c r="AP307" s="64"/>
      <c r="AQ307" s="65"/>
      <c r="AR307" s="65"/>
      <c r="AS307" s="65"/>
      <c r="AT307" s="173"/>
      <c r="AU307" s="177"/>
      <c r="AV307" s="178"/>
      <c r="AW307" s="178"/>
      <c r="AX307" s="179"/>
      <c r="AZ307" s="166"/>
      <c r="BA307" s="177"/>
      <c r="BB307" s="178"/>
      <c r="BC307" s="178"/>
      <c r="BD307" s="178"/>
      <c r="BE307" s="178"/>
      <c r="BF307" s="178"/>
      <c r="BG307" s="178"/>
      <c r="BH307" s="178"/>
      <c r="BI307" s="179"/>
      <c r="BJ307" s="180"/>
      <c r="BK307" s="178"/>
      <c r="BL307" s="178"/>
      <c r="BM307" s="178"/>
      <c r="BN307" s="178"/>
      <c r="BO307" s="181"/>
      <c r="BP307" s="166"/>
      <c r="BQ307" s="177"/>
      <c r="BR307" s="178"/>
      <c r="BS307" s="179"/>
      <c r="BU307" s="166"/>
      <c r="BV307" s="166"/>
      <c r="BW307" s="166"/>
      <c r="BX307" s="166"/>
      <c r="BY307" s="166"/>
      <c r="BZ307" s="166"/>
      <c r="CA307" s="166"/>
      <c r="CB307" s="166"/>
      <c r="CC307" s="166"/>
      <c r="CD307" s="177"/>
      <c r="CE307" s="181"/>
      <c r="CF307" s="177"/>
      <c r="CG307" s="179"/>
      <c r="CH307" s="257"/>
      <c r="CI307" s="182"/>
      <c r="CJ307" s="177"/>
      <c r="CK307" s="182"/>
      <c r="CL307" s="177"/>
      <c r="CM307" s="182"/>
      <c r="CN307" s="177"/>
      <c r="CO307" s="182"/>
      <c r="CP307" s="177"/>
      <c r="CQ307" s="178"/>
      <c r="CR307" s="182"/>
      <c r="CS307" s="173"/>
      <c r="CT307" s="65"/>
      <c r="CU307" s="271" t="str">
        <f t="shared" si="2"/>
        <v/>
      </c>
    </row>
    <row r="308" ht="60.0" hidden="1" customHeight="1">
      <c r="A308" s="65"/>
      <c r="C308" s="167"/>
      <c r="D308" s="205"/>
      <c r="E308" s="262"/>
      <c r="F308" s="170"/>
      <c r="G308" s="170"/>
      <c r="H308" s="170"/>
      <c r="I308" s="170"/>
      <c r="J308" s="170"/>
      <c r="K308" s="171"/>
      <c r="L308" s="171"/>
      <c r="M308" s="171"/>
      <c r="N308" s="209"/>
      <c r="O308" s="172">
        <f t="shared" si="54"/>
        <v>0</v>
      </c>
      <c r="P308" s="166"/>
      <c r="Q308" s="173"/>
      <c r="R308" s="65"/>
      <c r="S308" s="173"/>
      <c r="T308" s="173"/>
      <c r="U308" s="166"/>
      <c r="V308" s="166"/>
      <c r="W308" s="65"/>
      <c r="X308" s="66"/>
      <c r="Y308" s="173"/>
      <c r="Z308" s="166"/>
      <c r="AA308" s="174"/>
      <c r="AB308" s="175"/>
      <c r="AC308" s="175"/>
      <c r="AD308" s="175"/>
      <c r="AE308" s="175"/>
      <c r="AF308" s="175"/>
      <c r="AG308" s="175"/>
      <c r="AH308" s="175"/>
      <c r="AI308" s="176"/>
      <c r="AJ308" s="177"/>
      <c r="AK308" s="178"/>
      <c r="AL308" s="178"/>
      <c r="AM308" s="178"/>
      <c r="AN308" s="178"/>
      <c r="AO308" s="179"/>
      <c r="AP308" s="64"/>
      <c r="AQ308" s="65"/>
      <c r="AR308" s="65"/>
      <c r="AS308" s="65"/>
      <c r="AT308" s="173"/>
      <c r="AU308" s="177"/>
      <c r="AV308" s="178"/>
      <c r="AW308" s="178"/>
      <c r="AX308" s="179"/>
      <c r="AZ308" s="166"/>
      <c r="BA308" s="177"/>
      <c r="BB308" s="178"/>
      <c r="BC308" s="178"/>
      <c r="BD308" s="178"/>
      <c r="BE308" s="178"/>
      <c r="BF308" s="178"/>
      <c r="BG308" s="178"/>
      <c r="BH308" s="178"/>
      <c r="BI308" s="179"/>
      <c r="BJ308" s="180"/>
      <c r="BK308" s="178"/>
      <c r="BL308" s="178"/>
      <c r="BM308" s="178"/>
      <c r="BN308" s="178"/>
      <c r="BO308" s="181"/>
      <c r="BP308" s="166"/>
      <c r="BQ308" s="177"/>
      <c r="BR308" s="178"/>
      <c r="BS308" s="179"/>
      <c r="BU308" s="166"/>
      <c r="BV308" s="166"/>
      <c r="BW308" s="166"/>
      <c r="BX308" s="166"/>
      <c r="BY308" s="166"/>
      <c r="BZ308" s="166"/>
      <c r="CA308" s="166"/>
      <c r="CB308" s="166"/>
      <c r="CC308" s="166"/>
      <c r="CD308" s="177"/>
      <c r="CE308" s="181"/>
      <c r="CF308" s="177"/>
      <c r="CG308" s="179"/>
      <c r="CH308" s="257"/>
      <c r="CI308" s="182"/>
      <c r="CJ308" s="177"/>
      <c r="CK308" s="182"/>
      <c r="CL308" s="177"/>
      <c r="CM308" s="182"/>
      <c r="CN308" s="177"/>
      <c r="CO308" s="182"/>
      <c r="CP308" s="177"/>
      <c r="CQ308" s="178"/>
      <c r="CR308" s="182"/>
      <c r="CS308" s="173"/>
      <c r="CT308" s="65"/>
      <c r="CU308" s="271" t="str">
        <f t="shared" si="2"/>
        <v/>
      </c>
    </row>
    <row r="309" ht="60.0" hidden="1" customHeight="1">
      <c r="A309" s="65"/>
      <c r="C309" s="167"/>
      <c r="D309" s="205"/>
      <c r="E309" s="262"/>
      <c r="F309" s="170"/>
      <c r="G309" s="170"/>
      <c r="H309" s="170"/>
      <c r="I309" s="170"/>
      <c r="J309" s="170"/>
      <c r="K309" s="171"/>
      <c r="L309" s="171"/>
      <c r="M309" s="171"/>
      <c r="N309" s="209"/>
      <c r="O309" s="172">
        <f t="shared" si="54"/>
        <v>0</v>
      </c>
      <c r="P309" s="166"/>
      <c r="Q309" s="173"/>
      <c r="R309" s="65"/>
      <c r="S309" s="173"/>
      <c r="T309" s="173"/>
      <c r="U309" s="166"/>
      <c r="V309" s="166"/>
      <c r="W309" s="65"/>
      <c r="X309" s="66"/>
      <c r="Y309" s="173"/>
      <c r="Z309" s="166"/>
      <c r="AA309" s="174"/>
      <c r="AB309" s="175"/>
      <c r="AC309" s="175"/>
      <c r="AD309" s="175"/>
      <c r="AE309" s="175"/>
      <c r="AF309" s="175"/>
      <c r="AG309" s="175"/>
      <c r="AH309" s="175"/>
      <c r="AI309" s="176"/>
      <c r="AJ309" s="177"/>
      <c r="AK309" s="178"/>
      <c r="AL309" s="178"/>
      <c r="AM309" s="178"/>
      <c r="AN309" s="178"/>
      <c r="AO309" s="179"/>
      <c r="AP309" s="64"/>
      <c r="AQ309" s="65"/>
      <c r="AR309" s="65"/>
      <c r="AS309" s="65"/>
      <c r="AT309" s="173"/>
      <c r="AU309" s="177"/>
      <c r="AV309" s="178"/>
      <c r="AW309" s="178"/>
      <c r="AX309" s="179"/>
      <c r="AZ309" s="166"/>
      <c r="BA309" s="177"/>
      <c r="BB309" s="178"/>
      <c r="BC309" s="178"/>
      <c r="BD309" s="178"/>
      <c r="BE309" s="178"/>
      <c r="BF309" s="178"/>
      <c r="BG309" s="178"/>
      <c r="BH309" s="178"/>
      <c r="BI309" s="179"/>
      <c r="BJ309" s="180"/>
      <c r="BK309" s="178"/>
      <c r="BL309" s="178"/>
      <c r="BM309" s="178"/>
      <c r="BN309" s="178"/>
      <c r="BO309" s="181"/>
      <c r="BP309" s="166"/>
      <c r="BQ309" s="177"/>
      <c r="BR309" s="178"/>
      <c r="BS309" s="179"/>
      <c r="BU309" s="166"/>
      <c r="BV309" s="166"/>
      <c r="BW309" s="166"/>
      <c r="BX309" s="166"/>
      <c r="BY309" s="166"/>
      <c r="BZ309" s="166"/>
      <c r="CA309" s="166"/>
      <c r="CB309" s="166"/>
      <c r="CC309" s="166"/>
      <c r="CD309" s="177"/>
      <c r="CE309" s="181"/>
      <c r="CF309" s="177"/>
      <c r="CG309" s="179"/>
      <c r="CH309" s="257"/>
      <c r="CI309" s="182"/>
      <c r="CJ309" s="177"/>
      <c r="CK309" s="182"/>
      <c r="CL309" s="177"/>
      <c r="CM309" s="182"/>
      <c r="CN309" s="177"/>
      <c r="CO309" s="182"/>
      <c r="CP309" s="177"/>
      <c r="CQ309" s="178"/>
      <c r="CR309" s="182"/>
      <c r="CS309" s="173"/>
      <c r="CT309" s="65"/>
      <c r="CU309" s="271" t="str">
        <f t="shared" si="2"/>
        <v/>
      </c>
    </row>
    <row r="310" ht="60.0" hidden="1" customHeight="1">
      <c r="A310" s="65"/>
      <c r="C310" s="167"/>
      <c r="D310" s="205"/>
      <c r="E310" s="262"/>
      <c r="F310" s="170"/>
      <c r="G310" s="170"/>
      <c r="H310" s="170"/>
      <c r="I310" s="170"/>
      <c r="J310" s="170"/>
      <c r="K310" s="171"/>
      <c r="L310" s="171"/>
      <c r="M310" s="171"/>
      <c r="N310" s="209"/>
      <c r="O310" s="172">
        <f t="shared" si="54"/>
        <v>0</v>
      </c>
      <c r="P310" s="166"/>
      <c r="Q310" s="173"/>
      <c r="R310" s="65"/>
      <c r="S310" s="173"/>
      <c r="T310" s="173"/>
      <c r="U310" s="166"/>
      <c r="V310" s="166"/>
      <c r="W310" s="65"/>
      <c r="X310" s="66"/>
      <c r="Y310" s="173"/>
      <c r="Z310" s="166"/>
      <c r="AA310" s="174"/>
      <c r="AB310" s="175"/>
      <c r="AC310" s="175"/>
      <c r="AD310" s="175"/>
      <c r="AE310" s="175"/>
      <c r="AF310" s="175"/>
      <c r="AG310" s="175"/>
      <c r="AH310" s="175"/>
      <c r="AI310" s="176"/>
      <c r="AJ310" s="177"/>
      <c r="AK310" s="178"/>
      <c r="AL310" s="178"/>
      <c r="AM310" s="178"/>
      <c r="AN310" s="178"/>
      <c r="AO310" s="179"/>
      <c r="AP310" s="64"/>
      <c r="AQ310" s="65"/>
      <c r="AR310" s="65"/>
      <c r="AS310" s="65"/>
      <c r="AT310" s="173"/>
      <c r="AU310" s="177"/>
      <c r="AV310" s="178"/>
      <c r="AW310" s="178"/>
      <c r="AX310" s="179"/>
      <c r="AZ310" s="166"/>
      <c r="BA310" s="177"/>
      <c r="BB310" s="178"/>
      <c r="BC310" s="178"/>
      <c r="BD310" s="178"/>
      <c r="BE310" s="178"/>
      <c r="BF310" s="178"/>
      <c r="BG310" s="178"/>
      <c r="BH310" s="178"/>
      <c r="BI310" s="179"/>
      <c r="BJ310" s="180"/>
      <c r="BK310" s="178"/>
      <c r="BL310" s="178"/>
      <c r="BM310" s="178"/>
      <c r="BN310" s="178"/>
      <c r="BO310" s="181"/>
      <c r="BP310" s="166"/>
      <c r="BQ310" s="177"/>
      <c r="BR310" s="178"/>
      <c r="BS310" s="179"/>
      <c r="BU310" s="166"/>
      <c r="BV310" s="166"/>
      <c r="BW310" s="166"/>
      <c r="BX310" s="166"/>
      <c r="BY310" s="166"/>
      <c r="BZ310" s="166"/>
      <c r="CA310" s="166"/>
      <c r="CB310" s="166"/>
      <c r="CC310" s="166"/>
      <c r="CD310" s="177"/>
      <c r="CE310" s="181"/>
      <c r="CF310" s="177"/>
      <c r="CG310" s="179"/>
      <c r="CH310" s="257"/>
      <c r="CI310" s="182"/>
      <c r="CJ310" s="177"/>
      <c r="CK310" s="182"/>
      <c r="CL310" s="177"/>
      <c r="CM310" s="182"/>
      <c r="CN310" s="177"/>
      <c r="CO310" s="182"/>
      <c r="CP310" s="177"/>
      <c r="CQ310" s="178"/>
      <c r="CR310" s="182"/>
      <c r="CS310" s="173"/>
      <c r="CT310" s="65"/>
      <c r="CU310" s="271" t="str">
        <f t="shared" si="2"/>
        <v/>
      </c>
    </row>
    <row r="311" ht="60.0" hidden="1" customHeight="1">
      <c r="A311" s="65"/>
      <c r="C311" s="167"/>
      <c r="D311" s="205"/>
      <c r="E311" s="262"/>
      <c r="F311" s="170"/>
      <c r="G311" s="170"/>
      <c r="H311" s="170"/>
      <c r="I311" s="170"/>
      <c r="J311" s="170"/>
      <c r="K311" s="171"/>
      <c r="L311" s="171"/>
      <c r="M311" s="171"/>
      <c r="N311" s="209"/>
      <c r="O311" s="172">
        <f t="shared" si="54"/>
        <v>0</v>
      </c>
      <c r="P311" s="166"/>
      <c r="Q311" s="173"/>
      <c r="R311" s="65"/>
      <c r="S311" s="173"/>
      <c r="T311" s="173"/>
      <c r="U311" s="166"/>
      <c r="V311" s="166"/>
      <c r="W311" s="65"/>
      <c r="X311" s="66"/>
      <c r="Y311" s="173"/>
      <c r="Z311" s="166"/>
      <c r="AA311" s="174"/>
      <c r="AB311" s="175"/>
      <c r="AC311" s="175"/>
      <c r="AD311" s="175"/>
      <c r="AE311" s="175"/>
      <c r="AF311" s="175"/>
      <c r="AG311" s="175"/>
      <c r="AH311" s="175"/>
      <c r="AI311" s="176"/>
      <c r="AJ311" s="177"/>
      <c r="AK311" s="178"/>
      <c r="AL311" s="178"/>
      <c r="AM311" s="178"/>
      <c r="AN311" s="178"/>
      <c r="AO311" s="179"/>
      <c r="AP311" s="64"/>
      <c r="AQ311" s="65"/>
      <c r="AR311" s="65"/>
      <c r="AS311" s="65"/>
      <c r="AT311" s="173"/>
      <c r="AU311" s="177"/>
      <c r="AV311" s="178"/>
      <c r="AW311" s="178"/>
      <c r="AX311" s="179"/>
      <c r="AZ311" s="166"/>
      <c r="BA311" s="177"/>
      <c r="BB311" s="178"/>
      <c r="BC311" s="178"/>
      <c r="BD311" s="178"/>
      <c r="BE311" s="178"/>
      <c r="BF311" s="178"/>
      <c r="BG311" s="178"/>
      <c r="BH311" s="178"/>
      <c r="BI311" s="179"/>
      <c r="BJ311" s="180"/>
      <c r="BK311" s="178"/>
      <c r="BL311" s="178"/>
      <c r="BM311" s="178"/>
      <c r="BN311" s="178"/>
      <c r="BO311" s="181"/>
      <c r="BP311" s="166"/>
      <c r="BQ311" s="177"/>
      <c r="BR311" s="178"/>
      <c r="BS311" s="179"/>
      <c r="BU311" s="166"/>
      <c r="BV311" s="166"/>
      <c r="BW311" s="166"/>
      <c r="BX311" s="166"/>
      <c r="BY311" s="166"/>
      <c r="BZ311" s="166"/>
      <c r="CA311" s="166"/>
      <c r="CB311" s="166"/>
      <c r="CC311" s="166"/>
      <c r="CD311" s="177"/>
      <c r="CE311" s="181"/>
      <c r="CF311" s="177"/>
      <c r="CG311" s="179"/>
      <c r="CH311" s="257"/>
      <c r="CI311" s="182"/>
      <c r="CJ311" s="177"/>
      <c r="CK311" s="182"/>
      <c r="CL311" s="177"/>
      <c r="CM311" s="182"/>
      <c r="CN311" s="177"/>
      <c r="CO311" s="182"/>
      <c r="CP311" s="177"/>
      <c r="CQ311" s="178"/>
      <c r="CR311" s="182"/>
      <c r="CS311" s="173"/>
      <c r="CT311" s="65"/>
      <c r="CU311" s="271" t="str">
        <f t="shared" si="2"/>
        <v/>
      </c>
    </row>
    <row r="312" ht="60.0" hidden="1" customHeight="1">
      <c r="A312" s="65"/>
      <c r="C312" s="167"/>
      <c r="D312" s="205"/>
      <c r="E312" s="262"/>
      <c r="F312" s="170"/>
      <c r="G312" s="170"/>
      <c r="H312" s="170"/>
      <c r="I312" s="170"/>
      <c r="J312" s="170"/>
      <c r="K312" s="171"/>
      <c r="L312" s="171"/>
      <c r="M312" s="171"/>
      <c r="N312" s="209"/>
      <c r="O312" s="172">
        <f t="shared" si="54"/>
        <v>0</v>
      </c>
      <c r="P312" s="166"/>
      <c r="Q312" s="173"/>
      <c r="R312" s="65"/>
      <c r="S312" s="173"/>
      <c r="T312" s="173"/>
      <c r="U312" s="166"/>
      <c r="V312" s="166"/>
      <c r="W312" s="65"/>
      <c r="X312" s="66"/>
      <c r="Y312" s="173"/>
      <c r="Z312" s="166"/>
      <c r="AA312" s="174"/>
      <c r="AB312" s="175"/>
      <c r="AC312" s="175"/>
      <c r="AD312" s="175"/>
      <c r="AE312" s="175"/>
      <c r="AF312" s="175"/>
      <c r="AG312" s="175"/>
      <c r="AH312" s="175"/>
      <c r="AI312" s="176"/>
      <c r="AJ312" s="177"/>
      <c r="AK312" s="178"/>
      <c r="AL312" s="178"/>
      <c r="AM312" s="178"/>
      <c r="AN312" s="178"/>
      <c r="AO312" s="179"/>
      <c r="AP312" s="64"/>
      <c r="AQ312" s="65"/>
      <c r="AR312" s="65"/>
      <c r="AS312" s="65"/>
      <c r="AT312" s="173"/>
      <c r="AU312" s="177"/>
      <c r="AV312" s="178"/>
      <c r="AW312" s="178"/>
      <c r="AX312" s="179"/>
      <c r="AZ312" s="166"/>
      <c r="BA312" s="177"/>
      <c r="BB312" s="178"/>
      <c r="BC312" s="178"/>
      <c r="BD312" s="178"/>
      <c r="BE312" s="178"/>
      <c r="BF312" s="178"/>
      <c r="BG312" s="178"/>
      <c r="BH312" s="178"/>
      <c r="BI312" s="179"/>
      <c r="BJ312" s="180"/>
      <c r="BK312" s="178"/>
      <c r="BL312" s="178"/>
      <c r="BM312" s="178"/>
      <c r="BN312" s="178"/>
      <c r="BO312" s="181"/>
      <c r="BP312" s="166"/>
      <c r="BQ312" s="177"/>
      <c r="BR312" s="178"/>
      <c r="BS312" s="179"/>
      <c r="BU312" s="166"/>
      <c r="BV312" s="166"/>
      <c r="BW312" s="166"/>
      <c r="BX312" s="166"/>
      <c r="BY312" s="166"/>
      <c r="BZ312" s="166"/>
      <c r="CA312" s="166"/>
      <c r="CB312" s="166"/>
      <c r="CC312" s="166"/>
      <c r="CD312" s="177"/>
      <c r="CE312" s="181"/>
      <c r="CF312" s="177"/>
      <c r="CG312" s="179"/>
      <c r="CH312" s="257"/>
      <c r="CI312" s="182"/>
      <c r="CJ312" s="177"/>
      <c r="CK312" s="182"/>
      <c r="CL312" s="177"/>
      <c r="CM312" s="182"/>
      <c r="CN312" s="177"/>
      <c r="CO312" s="182"/>
      <c r="CP312" s="177"/>
      <c r="CQ312" s="178"/>
      <c r="CR312" s="182"/>
      <c r="CS312" s="173"/>
      <c r="CT312" s="65"/>
      <c r="CU312" s="271" t="str">
        <f t="shared" si="2"/>
        <v/>
      </c>
    </row>
    <row r="313" ht="60.0" hidden="1" customHeight="1">
      <c r="A313" s="65"/>
      <c r="C313" s="167"/>
      <c r="D313" s="205"/>
      <c r="E313" s="262"/>
      <c r="F313" s="170"/>
      <c r="G313" s="170"/>
      <c r="H313" s="170"/>
      <c r="I313" s="170"/>
      <c r="J313" s="170"/>
      <c r="K313" s="171"/>
      <c r="L313" s="171"/>
      <c r="M313" s="171"/>
      <c r="N313" s="209"/>
      <c r="O313" s="172">
        <f t="shared" si="54"/>
        <v>0</v>
      </c>
      <c r="P313" s="166"/>
      <c r="Q313" s="173"/>
      <c r="R313" s="65"/>
      <c r="S313" s="173"/>
      <c r="T313" s="173"/>
      <c r="U313" s="166"/>
      <c r="V313" s="166"/>
      <c r="W313" s="65"/>
      <c r="X313" s="66"/>
      <c r="Y313" s="173"/>
      <c r="Z313" s="166"/>
      <c r="AA313" s="174"/>
      <c r="AB313" s="175"/>
      <c r="AC313" s="175"/>
      <c r="AD313" s="175"/>
      <c r="AE313" s="175"/>
      <c r="AF313" s="175"/>
      <c r="AG313" s="175"/>
      <c r="AH313" s="175"/>
      <c r="AI313" s="176"/>
      <c r="AJ313" s="177"/>
      <c r="AK313" s="178"/>
      <c r="AL313" s="178"/>
      <c r="AM313" s="178"/>
      <c r="AN313" s="178"/>
      <c r="AO313" s="179"/>
      <c r="AP313" s="64"/>
      <c r="AQ313" s="65"/>
      <c r="AR313" s="65"/>
      <c r="AS313" s="65"/>
      <c r="AT313" s="173"/>
      <c r="AU313" s="177"/>
      <c r="AV313" s="178"/>
      <c r="AW313" s="178"/>
      <c r="AX313" s="179"/>
      <c r="AZ313" s="166"/>
      <c r="BA313" s="177"/>
      <c r="BB313" s="178"/>
      <c r="BC313" s="178"/>
      <c r="BD313" s="178"/>
      <c r="BE313" s="178"/>
      <c r="BF313" s="178"/>
      <c r="BG313" s="178"/>
      <c r="BH313" s="178"/>
      <c r="BI313" s="179"/>
      <c r="BJ313" s="180"/>
      <c r="BK313" s="178"/>
      <c r="BL313" s="178"/>
      <c r="BM313" s="178"/>
      <c r="BN313" s="178"/>
      <c r="BO313" s="181"/>
      <c r="BP313" s="166"/>
      <c r="BQ313" s="177"/>
      <c r="BR313" s="178"/>
      <c r="BS313" s="179"/>
      <c r="BU313" s="166"/>
      <c r="BV313" s="166"/>
      <c r="BW313" s="166"/>
      <c r="BX313" s="166"/>
      <c r="BY313" s="166"/>
      <c r="BZ313" s="166"/>
      <c r="CA313" s="166"/>
      <c r="CB313" s="166"/>
      <c r="CC313" s="166"/>
      <c r="CD313" s="177"/>
      <c r="CE313" s="181"/>
      <c r="CF313" s="177"/>
      <c r="CG313" s="179"/>
      <c r="CH313" s="257"/>
      <c r="CI313" s="182"/>
      <c r="CJ313" s="177"/>
      <c r="CK313" s="182"/>
      <c r="CL313" s="177"/>
      <c r="CM313" s="182"/>
      <c r="CN313" s="177"/>
      <c r="CO313" s="182"/>
      <c r="CP313" s="177"/>
      <c r="CQ313" s="178"/>
      <c r="CR313" s="182"/>
      <c r="CS313" s="173"/>
      <c r="CT313" s="65"/>
      <c r="CU313" s="271" t="str">
        <f t="shared" si="2"/>
        <v/>
      </c>
    </row>
    <row r="314" ht="60.0" hidden="1" customHeight="1">
      <c r="A314" s="65"/>
      <c r="C314" s="167"/>
      <c r="D314" s="205"/>
      <c r="E314" s="262"/>
      <c r="F314" s="170"/>
      <c r="G314" s="170"/>
      <c r="H314" s="170"/>
      <c r="I314" s="170"/>
      <c r="J314" s="170"/>
      <c r="K314" s="171"/>
      <c r="L314" s="171"/>
      <c r="M314" s="171"/>
      <c r="N314" s="209"/>
      <c r="O314" s="172">
        <f t="shared" si="54"/>
        <v>0</v>
      </c>
      <c r="P314" s="166"/>
      <c r="Q314" s="173"/>
      <c r="R314" s="65"/>
      <c r="S314" s="173"/>
      <c r="T314" s="173"/>
      <c r="U314" s="166"/>
      <c r="V314" s="166"/>
      <c r="W314" s="65"/>
      <c r="X314" s="66"/>
      <c r="Y314" s="173"/>
      <c r="Z314" s="166"/>
      <c r="AA314" s="174"/>
      <c r="AB314" s="175"/>
      <c r="AC314" s="175"/>
      <c r="AD314" s="175"/>
      <c r="AE314" s="175"/>
      <c r="AF314" s="175"/>
      <c r="AG314" s="175"/>
      <c r="AH314" s="175"/>
      <c r="AI314" s="176"/>
      <c r="AJ314" s="177"/>
      <c r="AK314" s="178"/>
      <c r="AL314" s="178"/>
      <c r="AM314" s="178"/>
      <c r="AN314" s="178"/>
      <c r="AO314" s="179"/>
      <c r="AP314" s="64"/>
      <c r="AQ314" s="65"/>
      <c r="AR314" s="65"/>
      <c r="AS314" s="65"/>
      <c r="AT314" s="173"/>
      <c r="AU314" s="177"/>
      <c r="AV314" s="178"/>
      <c r="AW314" s="178"/>
      <c r="AX314" s="179"/>
      <c r="AZ314" s="166"/>
      <c r="BA314" s="177"/>
      <c r="BB314" s="178"/>
      <c r="BC314" s="178"/>
      <c r="BD314" s="178"/>
      <c r="BE314" s="178"/>
      <c r="BF314" s="178"/>
      <c r="BG314" s="178"/>
      <c r="BH314" s="178"/>
      <c r="BI314" s="179"/>
      <c r="BJ314" s="180"/>
      <c r="BK314" s="178"/>
      <c r="BL314" s="178"/>
      <c r="BM314" s="178"/>
      <c r="BN314" s="178"/>
      <c r="BO314" s="181"/>
      <c r="BP314" s="166"/>
      <c r="BQ314" s="177"/>
      <c r="BR314" s="178"/>
      <c r="BS314" s="179"/>
      <c r="BU314" s="166"/>
      <c r="BV314" s="166"/>
      <c r="BW314" s="166"/>
      <c r="BX314" s="166"/>
      <c r="BY314" s="166"/>
      <c r="BZ314" s="166"/>
      <c r="CA314" s="166"/>
      <c r="CB314" s="166"/>
      <c r="CC314" s="166"/>
      <c r="CD314" s="177"/>
      <c r="CE314" s="181"/>
      <c r="CF314" s="177"/>
      <c r="CG314" s="179"/>
      <c r="CH314" s="257"/>
      <c r="CI314" s="182"/>
      <c r="CJ314" s="177"/>
      <c r="CK314" s="182"/>
      <c r="CL314" s="177"/>
      <c r="CM314" s="182"/>
      <c r="CN314" s="177"/>
      <c r="CO314" s="182"/>
      <c r="CP314" s="177"/>
      <c r="CQ314" s="178"/>
      <c r="CR314" s="182"/>
      <c r="CS314" s="173"/>
      <c r="CT314" s="65"/>
      <c r="CU314" s="271" t="str">
        <f t="shared" si="2"/>
        <v/>
      </c>
    </row>
    <row r="315" ht="60.0" hidden="1" customHeight="1">
      <c r="A315" s="89"/>
      <c r="B315" s="6"/>
      <c r="C315" s="183"/>
      <c r="D315" s="210"/>
      <c r="E315" s="264"/>
      <c r="F315" s="227"/>
      <c r="G315" s="227"/>
      <c r="H315" s="227"/>
      <c r="I315" s="227"/>
      <c r="J315" s="227"/>
      <c r="K315" s="228"/>
      <c r="L315" s="228"/>
      <c r="M315" s="228"/>
      <c r="N315" s="229"/>
      <c r="O315" s="188">
        <f t="shared" si="54"/>
        <v>0</v>
      </c>
      <c r="P315" s="63"/>
      <c r="Q315" s="69"/>
      <c r="R315" s="89"/>
      <c r="S315" s="69"/>
      <c r="T315" s="69"/>
      <c r="U315" s="63"/>
      <c r="V315" s="63"/>
      <c r="W315" s="89"/>
      <c r="X315" s="68"/>
      <c r="Y315" s="69"/>
      <c r="Z315" s="63"/>
      <c r="AA315" s="189"/>
      <c r="AB315" s="190"/>
      <c r="AC315" s="190"/>
      <c r="AD315" s="190"/>
      <c r="AE315" s="190"/>
      <c r="AF315" s="190"/>
      <c r="AG315" s="190"/>
      <c r="AH315" s="190"/>
      <c r="AI315" s="191"/>
      <c r="AJ315" s="192"/>
      <c r="AK315" s="193"/>
      <c r="AL315" s="193"/>
      <c r="AM315" s="193"/>
      <c r="AN315" s="193"/>
      <c r="AO315" s="194"/>
      <c r="AP315" s="103"/>
      <c r="AQ315" s="89"/>
      <c r="AR315" s="89"/>
      <c r="AS315" s="89"/>
      <c r="AT315" s="69"/>
      <c r="AU315" s="192"/>
      <c r="AV315" s="193"/>
      <c r="AW315" s="193"/>
      <c r="AX315" s="194"/>
      <c r="AY315" s="6"/>
      <c r="AZ315" s="63"/>
      <c r="BA315" s="192"/>
      <c r="BB315" s="193"/>
      <c r="BC315" s="193"/>
      <c r="BD315" s="193"/>
      <c r="BE315" s="193"/>
      <c r="BF315" s="193"/>
      <c r="BG315" s="193"/>
      <c r="BH315" s="193"/>
      <c r="BI315" s="194"/>
      <c r="BJ315" s="195"/>
      <c r="BK315" s="193"/>
      <c r="BL315" s="193"/>
      <c r="BM315" s="193"/>
      <c r="BN315" s="193"/>
      <c r="BO315" s="196"/>
      <c r="BP315" s="63"/>
      <c r="BQ315" s="192"/>
      <c r="BR315" s="193"/>
      <c r="BS315" s="194"/>
      <c r="BT315" s="6"/>
      <c r="BU315" s="63"/>
      <c r="BV315" s="63"/>
      <c r="BW315" s="63"/>
      <c r="BX315" s="63"/>
      <c r="BY315" s="63"/>
      <c r="BZ315" s="63"/>
      <c r="CA315" s="63"/>
      <c r="CB315" s="63"/>
      <c r="CC315" s="63"/>
      <c r="CD315" s="192"/>
      <c r="CE315" s="196"/>
      <c r="CF315" s="192"/>
      <c r="CG315" s="194"/>
      <c r="CH315" s="259"/>
      <c r="CI315" s="197"/>
      <c r="CJ315" s="192"/>
      <c r="CK315" s="197"/>
      <c r="CL315" s="192"/>
      <c r="CM315" s="197"/>
      <c r="CN315" s="192"/>
      <c r="CO315" s="197"/>
      <c r="CP315" s="192"/>
      <c r="CQ315" s="193"/>
      <c r="CR315" s="197"/>
      <c r="CS315" s="69"/>
      <c r="CT315" s="89"/>
      <c r="CU315" s="272" t="str">
        <f t="shared" si="2"/>
        <v/>
      </c>
    </row>
    <row r="316" ht="57.0" customHeight="1">
      <c r="A316" s="233"/>
      <c r="B316" s="235"/>
      <c r="C316" s="265"/>
      <c r="D316" s="265"/>
      <c r="E316" s="230"/>
      <c r="F316" s="231"/>
      <c r="G316" s="231"/>
      <c r="H316" s="231"/>
      <c r="I316" s="231"/>
      <c r="J316" s="231"/>
      <c r="K316" s="231"/>
      <c r="L316" s="231"/>
      <c r="M316" s="231"/>
      <c r="N316" s="237"/>
      <c r="O316" s="238">
        <f t="shared" ref="O316:X316" si="55">SUM(O8:O315)</f>
        <v>0</v>
      </c>
      <c r="P316" s="239">
        <f t="shared" si="55"/>
        <v>0</v>
      </c>
      <c r="Q316" s="239">
        <f t="shared" si="55"/>
        <v>0</v>
      </c>
      <c r="R316" s="239">
        <f t="shared" si="55"/>
        <v>0</v>
      </c>
      <c r="S316" s="239">
        <f t="shared" si="55"/>
        <v>0</v>
      </c>
      <c r="T316" s="239">
        <f t="shared" si="55"/>
        <v>0</v>
      </c>
      <c r="U316" s="239">
        <f t="shared" si="55"/>
        <v>0</v>
      </c>
      <c r="V316" s="239">
        <f t="shared" si="55"/>
        <v>0</v>
      </c>
      <c r="W316" s="239">
        <f t="shared" si="55"/>
        <v>0</v>
      </c>
      <c r="X316" s="239">
        <f t="shared" si="55"/>
        <v>0</v>
      </c>
      <c r="Y316" s="240">
        <f>SUM(SUM(O8:O18)-X8,SUM(O19:O29)-X19,SUM(O30:O40)-X30,SUM(O41:O51)-X41,SUM(O52:O62)-X52,SUM(O63:O73)-X63,SUM(O74:O84)-X74,SUM(O85:O95)-X85,SUM(O96:O106)-X96,SUM(O107:O117)-X107,SUM(O118:O128)-X118,SUM(O129:O139)-X129,SUM(O140:O150)-X140,SUM(O151:O161)-X151,SUM(O162:O172)-X162,SUM(O173:O183)-X173,SUM(O184:O194)-X184,SUM(O195:O205)-X195,SUM(O206:O216)-X206,SUM(O217:O227)-X217,SUM(O228:O238)-X228,SUM(O239:O249)-X239,SUM(O250:O260)-X250,SUM(O261:O271)-X261,SUM(O272:O282)-X272,SUM(O283:O293)-X283,SUM(O294:O304)-X294,SUM(O305:O315)-X305)</f>
        <v>0</v>
      </c>
      <c r="Z316" s="239">
        <f t="shared" ref="Z316:CT316" si="56">SUM(Z8:Z315)</f>
        <v>0</v>
      </c>
      <c r="AA316" s="239">
        <f t="shared" si="56"/>
        <v>0</v>
      </c>
      <c r="AB316" s="239">
        <f t="shared" si="56"/>
        <v>0</v>
      </c>
      <c r="AC316" s="239">
        <f t="shared" si="56"/>
        <v>0</v>
      </c>
      <c r="AD316" s="239">
        <f t="shared" si="56"/>
        <v>0</v>
      </c>
      <c r="AE316" s="239">
        <f t="shared" si="56"/>
        <v>0</v>
      </c>
      <c r="AF316" s="239">
        <f t="shared" si="56"/>
        <v>0</v>
      </c>
      <c r="AG316" s="239">
        <f t="shared" si="56"/>
        <v>0</v>
      </c>
      <c r="AH316" s="239">
        <f t="shared" si="56"/>
        <v>0</v>
      </c>
      <c r="AI316" s="239">
        <f t="shared" si="56"/>
        <v>0</v>
      </c>
      <c r="AJ316" s="239">
        <f t="shared" si="56"/>
        <v>0</v>
      </c>
      <c r="AK316" s="239">
        <f t="shared" si="56"/>
        <v>0</v>
      </c>
      <c r="AL316" s="239">
        <f t="shared" si="56"/>
        <v>0</v>
      </c>
      <c r="AM316" s="239">
        <f t="shared" si="56"/>
        <v>0</v>
      </c>
      <c r="AN316" s="239">
        <f t="shared" si="56"/>
        <v>0</v>
      </c>
      <c r="AO316" s="239">
        <f t="shared" si="56"/>
        <v>0</v>
      </c>
      <c r="AP316" s="239">
        <f t="shared" si="56"/>
        <v>0</v>
      </c>
      <c r="AQ316" s="239">
        <f t="shared" si="56"/>
        <v>0</v>
      </c>
      <c r="AR316" s="239">
        <f t="shared" si="56"/>
        <v>0</v>
      </c>
      <c r="AS316" s="239">
        <f t="shared" si="56"/>
        <v>60.02466667</v>
      </c>
      <c r="AT316" s="239">
        <f t="shared" si="56"/>
        <v>15.00616667</v>
      </c>
      <c r="AU316" s="239">
        <f t="shared" si="56"/>
        <v>0</v>
      </c>
      <c r="AV316" s="239">
        <f t="shared" si="56"/>
        <v>0</v>
      </c>
      <c r="AW316" s="239">
        <f t="shared" si="56"/>
        <v>0</v>
      </c>
      <c r="AX316" s="239">
        <f t="shared" si="56"/>
        <v>0</v>
      </c>
      <c r="AY316" s="239">
        <f t="shared" si="56"/>
        <v>0</v>
      </c>
      <c r="AZ316" s="239">
        <f t="shared" si="56"/>
        <v>0</v>
      </c>
      <c r="BA316" s="239">
        <f t="shared" si="56"/>
        <v>16</v>
      </c>
      <c r="BB316" s="239">
        <f t="shared" si="56"/>
        <v>0</v>
      </c>
      <c r="BC316" s="239">
        <f t="shared" si="56"/>
        <v>45316</v>
      </c>
      <c r="BD316" s="239">
        <f t="shared" si="56"/>
        <v>404</v>
      </c>
      <c r="BE316" s="239">
        <f t="shared" si="56"/>
        <v>0</v>
      </c>
      <c r="BF316" s="239">
        <f t="shared" si="56"/>
        <v>0</v>
      </c>
      <c r="BG316" s="239">
        <f t="shared" si="56"/>
        <v>17</v>
      </c>
      <c r="BH316" s="239">
        <f t="shared" si="56"/>
        <v>0</v>
      </c>
      <c r="BI316" s="239">
        <f t="shared" si="56"/>
        <v>32</v>
      </c>
      <c r="BJ316" s="239">
        <f t="shared" si="56"/>
        <v>8</v>
      </c>
      <c r="BK316" s="239">
        <f t="shared" si="56"/>
        <v>0</v>
      </c>
      <c r="BL316" s="239">
        <f t="shared" si="56"/>
        <v>0</v>
      </c>
      <c r="BM316" s="239">
        <f t="shared" si="56"/>
        <v>18.998</v>
      </c>
      <c r="BN316" s="239">
        <f t="shared" si="56"/>
        <v>0</v>
      </c>
      <c r="BO316" s="239">
        <f t="shared" si="56"/>
        <v>0</v>
      </c>
      <c r="BP316" s="239">
        <f t="shared" si="56"/>
        <v>0</v>
      </c>
      <c r="BQ316" s="239">
        <f t="shared" si="56"/>
        <v>0</v>
      </c>
      <c r="BR316" s="239">
        <f t="shared" si="56"/>
        <v>0</v>
      </c>
      <c r="BS316" s="239">
        <f t="shared" si="56"/>
        <v>0</v>
      </c>
      <c r="BT316" s="239">
        <f t="shared" si="56"/>
        <v>0</v>
      </c>
      <c r="BU316" s="239">
        <f t="shared" si="56"/>
        <v>0</v>
      </c>
      <c r="BV316" s="239">
        <f t="shared" si="56"/>
        <v>0</v>
      </c>
      <c r="BW316" s="239">
        <f t="shared" si="56"/>
        <v>0</v>
      </c>
      <c r="BX316" s="239">
        <f t="shared" si="56"/>
        <v>0</v>
      </c>
      <c r="BY316" s="239">
        <f t="shared" si="56"/>
        <v>0</v>
      </c>
      <c r="BZ316" s="239">
        <f t="shared" si="56"/>
        <v>0</v>
      </c>
      <c r="CA316" s="239">
        <f t="shared" si="56"/>
        <v>0</v>
      </c>
      <c r="CB316" s="239">
        <f t="shared" si="56"/>
        <v>0</v>
      </c>
      <c r="CC316" s="239">
        <f t="shared" si="56"/>
        <v>0</v>
      </c>
      <c r="CD316" s="239">
        <f t="shared" si="56"/>
        <v>0</v>
      </c>
      <c r="CE316" s="239">
        <f t="shared" si="56"/>
        <v>0</v>
      </c>
      <c r="CF316" s="239">
        <f t="shared" si="56"/>
        <v>0</v>
      </c>
      <c r="CG316" s="239">
        <f t="shared" si="56"/>
        <v>24.08</v>
      </c>
      <c r="CH316" s="239">
        <f t="shared" si="56"/>
        <v>0</v>
      </c>
      <c r="CI316" s="239">
        <f t="shared" si="56"/>
        <v>0</v>
      </c>
      <c r="CJ316" s="239">
        <f t="shared" si="56"/>
        <v>0</v>
      </c>
      <c r="CK316" s="239">
        <f t="shared" si="56"/>
        <v>0</v>
      </c>
      <c r="CL316" s="239">
        <f t="shared" si="56"/>
        <v>0</v>
      </c>
      <c r="CM316" s="239">
        <f t="shared" si="56"/>
        <v>0</v>
      </c>
      <c r="CN316" s="239">
        <f t="shared" si="56"/>
        <v>0</v>
      </c>
      <c r="CO316" s="239">
        <f t="shared" si="56"/>
        <v>0</v>
      </c>
      <c r="CP316" s="239">
        <f t="shared" si="56"/>
        <v>0</v>
      </c>
      <c r="CQ316" s="239">
        <f t="shared" si="56"/>
        <v>0</v>
      </c>
      <c r="CR316" s="239">
        <f t="shared" si="56"/>
        <v>0</v>
      </c>
      <c r="CS316" s="239">
        <f t="shared" si="56"/>
        <v>0</v>
      </c>
      <c r="CT316" s="239">
        <f t="shared" si="56"/>
        <v>60.02466667</v>
      </c>
      <c r="CU316" s="236"/>
    </row>
  </sheetData>
  <mergeCells count="2183">
    <mergeCell ref="CN151:CN161"/>
    <mergeCell ref="CO151:CO161"/>
    <mergeCell ref="CP151:CP161"/>
    <mergeCell ref="CQ151:CQ161"/>
    <mergeCell ref="CR151:CR161"/>
    <mergeCell ref="CS151:CS161"/>
    <mergeCell ref="CT151:CT161"/>
    <mergeCell ref="CG151:CG161"/>
    <mergeCell ref="CH151:CH161"/>
    <mergeCell ref="CI151:CI161"/>
    <mergeCell ref="CJ151:CJ161"/>
    <mergeCell ref="CK151:CK161"/>
    <mergeCell ref="CL151:CL161"/>
    <mergeCell ref="CM151:CM161"/>
    <mergeCell ref="AQ151:AQ161"/>
    <mergeCell ref="AR151:AR161"/>
    <mergeCell ref="AS151:AS161"/>
    <mergeCell ref="AT151:AT161"/>
    <mergeCell ref="AU151:AU161"/>
    <mergeCell ref="AV151:AV161"/>
    <mergeCell ref="AW151:AW161"/>
    <mergeCell ref="AX151:AX161"/>
    <mergeCell ref="AY151:AY161"/>
    <mergeCell ref="AZ151:AZ161"/>
    <mergeCell ref="BA151:BA161"/>
    <mergeCell ref="BB151:BB161"/>
    <mergeCell ref="BC151:BC161"/>
    <mergeCell ref="BD151:BD161"/>
    <mergeCell ref="BE151:BE161"/>
    <mergeCell ref="BF151:BF161"/>
    <mergeCell ref="BG151:BG161"/>
    <mergeCell ref="BH151:BH161"/>
    <mergeCell ref="BI151:BI161"/>
    <mergeCell ref="BJ151:BJ161"/>
    <mergeCell ref="BK151:BK161"/>
    <mergeCell ref="BL151:BL161"/>
    <mergeCell ref="BM151:BM161"/>
    <mergeCell ref="BN151:BN161"/>
    <mergeCell ref="BO151:BO161"/>
    <mergeCell ref="BP151:BP161"/>
    <mergeCell ref="BQ151:BQ161"/>
    <mergeCell ref="BR151:BR161"/>
    <mergeCell ref="BS151:BS161"/>
    <mergeCell ref="BT151:BT161"/>
    <mergeCell ref="BU151:BU161"/>
    <mergeCell ref="BV151:BV161"/>
    <mergeCell ref="BW151:BW161"/>
    <mergeCell ref="BX151:BX161"/>
    <mergeCell ref="BY151:BY161"/>
    <mergeCell ref="BZ151:BZ161"/>
    <mergeCell ref="CA151:CA161"/>
    <mergeCell ref="CB151:CB161"/>
    <mergeCell ref="CC151:CC161"/>
    <mergeCell ref="CD151:CD161"/>
    <mergeCell ref="CE151:CE161"/>
    <mergeCell ref="CF151:CF161"/>
    <mergeCell ref="AJ151:AJ161"/>
    <mergeCell ref="AK151:AK161"/>
    <mergeCell ref="AL151:AL161"/>
    <mergeCell ref="AM151:AM161"/>
    <mergeCell ref="AN151:AN161"/>
    <mergeCell ref="AO151:AO161"/>
    <mergeCell ref="AP151:AP161"/>
    <mergeCell ref="CN96:CN106"/>
    <mergeCell ref="CO96:CO106"/>
    <mergeCell ref="CG96:CG106"/>
    <mergeCell ref="CH96:CH106"/>
    <mergeCell ref="CI96:CI106"/>
    <mergeCell ref="CJ96:CJ106"/>
    <mergeCell ref="CK96:CK106"/>
    <mergeCell ref="CL96:CL106"/>
    <mergeCell ref="CM96:CM106"/>
    <mergeCell ref="AQ96:AQ106"/>
    <mergeCell ref="AR96:AR106"/>
    <mergeCell ref="AS96:AS106"/>
    <mergeCell ref="AT96:AT106"/>
    <mergeCell ref="AU96:AU106"/>
    <mergeCell ref="AV96:AV106"/>
    <mergeCell ref="AW96:AW106"/>
    <mergeCell ref="AX96:AX106"/>
    <mergeCell ref="AY96:AY106"/>
    <mergeCell ref="AZ96:AZ106"/>
    <mergeCell ref="BA96:BA106"/>
    <mergeCell ref="BB96:BB106"/>
    <mergeCell ref="BC96:BC106"/>
    <mergeCell ref="BD96:BD106"/>
    <mergeCell ref="BE96:BE106"/>
    <mergeCell ref="BF96:BF106"/>
    <mergeCell ref="BG96:BG106"/>
    <mergeCell ref="BH96:BH106"/>
    <mergeCell ref="BI96:BI106"/>
    <mergeCell ref="BJ96:BJ106"/>
    <mergeCell ref="BK96:BK106"/>
    <mergeCell ref="BL96:BL106"/>
    <mergeCell ref="BM96:BM106"/>
    <mergeCell ref="BN96:BN106"/>
    <mergeCell ref="BO96:BO106"/>
    <mergeCell ref="BP96:BP106"/>
    <mergeCell ref="BQ96:BQ106"/>
    <mergeCell ref="BR96:BR106"/>
    <mergeCell ref="BS96:BS106"/>
    <mergeCell ref="BT96:BT106"/>
    <mergeCell ref="BU96:BU106"/>
    <mergeCell ref="BV96:BV106"/>
    <mergeCell ref="BW96:BW106"/>
    <mergeCell ref="BX96:BX106"/>
    <mergeCell ref="BY96:BY106"/>
    <mergeCell ref="BZ96:BZ106"/>
    <mergeCell ref="CA96:CA106"/>
    <mergeCell ref="CB96:CB106"/>
    <mergeCell ref="CC96:CC106"/>
    <mergeCell ref="CD96:CD106"/>
    <mergeCell ref="CE96:CE106"/>
    <mergeCell ref="CF96:CF106"/>
    <mergeCell ref="AJ96:AJ106"/>
    <mergeCell ref="AK96:AK106"/>
    <mergeCell ref="AL96:AL106"/>
    <mergeCell ref="AM96:AM106"/>
    <mergeCell ref="AN96:AN106"/>
    <mergeCell ref="AO96:AO106"/>
    <mergeCell ref="AP96:AP106"/>
    <mergeCell ref="CN107:CN117"/>
    <mergeCell ref="CO107:CO117"/>
    <mergeCell ref="CP107:CP117"/>
    <mergeCell ref="CQ107:CQ117"/>
    <mergeCell ref="CR107:CR117"/>
    <mergeCell ref="CS107:CS117"/>
    <mergeCell ref="CT107:CT117"/>
    <mergeCell ref="CG107:CG117"/>
    <mergeCell ref="CH107:CH117"/>
    <mergeCell ref="CI107:CI117"/>
    <mergeCell ref="CJ107:CJ117"/>
    <mergeCell ref="CK107:CK117"/>
    <mergeCell ref="CL107:CL117"/>
    <mergeCell ref="CM107:CM117"/>
    <mergeCell ref="AQ107:AQ117"/>
    <mergeCell ref="AR107:AR117"/>
    <mergeCell ref="AS107:AS117"/>
    <mergeCell ref="AT107:AT117"/>
    <mergeCell ref="AU107:AU117"/>
    <mergeCell ref="AV107:AV117"/>
    <mergeCell ref="AW107:AW117"/>
    <mergeCell ref="AX107:AX117"/>
    <mergeCell ref="AY107:AY117"/>
    <mergeCell ref="AZ107:AZ117"/>
    <mergeCell ref="BA107:BA117"/>
    <mergeCell ref="BB107:BB117"/>
    <mergeCell ref="BC107:BC117"/>
    <mergeCell ref="BD107:BD117"/>
    <mergeCell ref="BE107:BE117"/>
    <mergeCell ref="BF107:BF117"/>
    <mergeCell ref="BG107:BG117"/>
    <mergeCell ref="BH107:BH117"/>
    <mergeCell ref="BI107:BI117"/>
    <mergeCell ref="BJ107:BJ117"/>
    <mergeCell ref="BK107:BK117"/>
    <mergeCell ref="BL107:BL117"/>
    <mergeCell ref="BM107:BM117"/>
    <mergeCell ref="BN107:BN117"/>
    <mergeCell ref="BO107:BO117"/>
    <mergeCell ref="BP107:BP117"/>
    <mergeCell ref="BQ107:BQ117"/>
    <mergeCell ref="BR107:BR117"/>
    <mergeCell ref="BS107:BS117"/>
    <mergeCell ref="BT107:BT117"/>
    <mergeCell ref="BU107:BU117"/>
    <mergeCell ref="BV107:BV117"/>
    <mergeCell ref="BW107:BW117"/>
    <mergeCell ref="BX107:BX117"/>
    <mergeCell ref="BY107:BY117"/>
    <mergeCell ref="BZ107:BZ117"/>
    <mergeCell ref="CA107:CA117"/>
    <mergeCell ref="CB107:CB117"/>
    <mergeCell ref="CC107:CC117"/>
    <mergeCell ref="CD107:CD117"/>
    <mergeCell ref="CE107:CE117"/>
    <mergeCell ref="CF107:CF117"/>
    <mergeCell ref="AJ107:AJ117"/>
    <mergeCell ref="AK107:AK117"/>
    <mergeCell ref="AL107:AL117"/>
    <mergeCell ref="AM107:AM117"/>
    <mergeCell ref="AN107:AN117"/>
    <mergeCell ref="AO107:AO117"/>
    <mergeCell ref="AP107:AP117"/>
    <mergeCell ref="CN118:CN128"/>
    <mergeCell ref="CO118:CO128"/>
    <mergeCell ref="CP118:CP128"/>
    <mergeCell ref="CQ118:CQ128"/>
    <mergeCell ref="CR118:CR128"/>
    <mergeCell ref="CS118:CS128"/>
    <mergeCell ref="CT118:CT128"/>
    <mergeCell ref="CG118:CG128"/>
    <mergeCell ref="CH118:CH128"/>
    <mergeCell ref="CI118:CI128"/>
    <mergeCell ref="CJ118:CJ128"/>
    <mergeCell ref="CK118:CK128"/>
    <mergeCell ref="CL118:CL128"/>
    <mergeCell ref="CM118:CM128"/>
    <mergeCell ref="AQ118:AQ128"/>
    <mergeCell ref="AR118:AR128"/>
    <mergeCell ref="AS118:AS128"/>
    <mergeCell ref="AT118:AT128"/>
    <mergeCell ref="AU118:AU128"/>
    <mergeCell ref="AV118:AV128"/>
    <mergeCell ref="AW118:AW128"/>
    <mergeCell ref="AX118:AX128"/>
    <mergeCell ref="AY118:AY128"/>
    <mergeCell ref="AZ118:AZ128"/>
    <mergeCell ref="BA118:BA128"/>
    <mergeCell ref="BB118:BB128"/>
    <mergeCell ref="BC118:BC128"/>
    <mergeCell ref="BD118:BD128"/>
    <mergeCell ref="BE118:BE128"/>
    <mergeCell ref="BF118:BF128"/>
    <mergeCell ref="BG118:BG128"/>
    <mergeCell ref="BH118:BH128"/>
    <mergeCell ref="BI118:BI128"/>
    <mergeCell ref="BJ118:BJ128"/>
    <mergeCell ref="BK118:BK128"/>
    <mergeCell ref="BL118:BL128"/>
    <mergeCell ref="BM118:BM128"/>
    <mergeCell ref="BN118:BN128"/>
    <mergeCell ref="BO118:BO128"/>
    <mergeCell ref="BP118:BP128"/>
    <mergeCell ref="BQ118:BQ128"/>
    <mergeCell ref="BR118:BR128"/>
    <mergeCell ref="BS118:BS128"/>
    <mergeCell ref="BT118:BT128"/>
    <mergeCell ref="BU118:BU128"/>
    <mergeCell ref="BV118:BV128"/>
    <mergeCell ref="BW118:BW128"/>
    <mergeCell ref="BX118:BX128"/>
    <mergeCell ref="BY118:BY128"/>
    <mergeCell ref="BZ118:BZ128"/>
    <mergeCell ref="CA118:CA128"/>
    <mergeCell ref="CB118:CB128"/>
    <mergeCell ref="CC118:CC128"/>
    <mergeCell ref="CD118:CD128"/>
    <mergeCell ref="CE118:CE128"/>
    <mergeCell ref="CF118:CF128"/>
    <mergeCell ref="AJ118:AJ128"/>
    <mergeCell ref="AK118:AK128"/>
    <mergeCell ref="AL118:AL128"/>
    <mergeCell ref="AM118:AM128"/>
    <mergeCell ref="AN118:AN128"/>
    <mergeCell ref="AO118:AO128"/>
    <mergeCell ref="AP118:AP128"/>
    <mergeCell ref="CN162:CN172"/>
    <mergeCell ref="CO162:CO172"/>
    <mergeCell ref="CP162:CP172"/>
    <mergeCell ref="CQ162:CQ172"/>
    <mergeCell ref="CR162:CR172"/>
    <mergeCell ref="CS162:CS172"/>
    <mergeCell ref="CT162:CT172"/>
    <mergeCell ref="CG162:CG172"/>
    <mergeCell ref="CH162:CH172"/>
    <mergeCell ref="CI162:CI172"/>
    <mergeCell ref="CJ162:CJ172"/>
    <mergeCell ref="CK162:CK172"/>
    <mergeCell ref="CL162:CL172"/>
    <mergeCell ref="CM162:CM172"/>
    <mergeCell ref="AJ162:AJ172"/>
    <mergeCell ref="AK162:AK172"/>
    <mergeCell ref="AL162:AL172"/>
    <mergeCell ref="AM162:AM172"/>
    <mergeCell ref="AN162:AN172"/>
    <mergeCell ref="AO162:AO172"/>
    <mergeCell ref="AP162:AP172"/>
    <mergeCell ref="AQ162:AQ172"/>
    <mergeCell ref="AR162:AR172"/>
    <mergeCell ref="AS162:AS172"/>
    <mergeCell ref="AT162:AT172"/>
    <mergeCell ref="AU162:AU172"/>
    <mergeCell ref="AV162:AV172"/>
    <mergeCell ref="AW162:AW172"/>
    <mergeCell ref="AX162:AX172"/>
    <mergeCell ref="AY162:AY172"/>
    <mergeCell ref="AZ162:AZ172"/>
    <mergeCell ref="BA162:BA172"/>
    <mergeCell ref="BB162:BB172"/>
    <mergeCell ref="BC162:BC172"/>
    <mergeCell ref="BD162:BD172"/>
    <mergeCell ref="BE162:BE172"/>
    <mergeCell ref="BF162:BF172"/>
    <mergeCell ref="BG162:BG172"/>
    <mergeCell ref="BH162:BH172"/>
    <mergeCell ref="BI162:BI172"/>
    <mergeCell ref="BJ162:BJ172"/>
    <mergeCell ref="BK162:BK172"/>
    <mergeCell ref="BL162:BL172"/>
    <mergeCell ref="BM162:BM172"/>
    <mergeCell ref="BN162:BN172"/>
    <mergeCell ref="BO162:BO172"/>
    <mergeCell ref="BP162:BP172"/>
    <mergeCell ref="BQ162:BQ172"/>
    <mergeCell ref="BR162:BR172"/>
    <mergeCell ref="BS162:BS172"/>
    <mergeCell ref="BT162:BT172"/>
    <mergeCell ref="BU162:BU172"/>
    <mergeCell ref="BV162:BV172"/>
    <mergeCell ref="BW162:BW172"/>
    <mergeCell ref="BX162:BX172"/>
    <mergeCell ref="BY162:BY172"/>
    <mergeCell ref="BZ162:BZ172"/>
    <mergeCell ref="CA162:CA172"/>
    <mergeCell ref="CB162:CB172"/>
    <mergeCell ref="CC162:CC172"/>
    <mergeCell ref="CD162:CD172"/>
    <mergeCell ref="CE162:CE172"/>
    <mergeCell ref="CF162:CF172"/>
    <mergeCell ref="CN206:CN216"/>
    <mergeCell ref="CO206:CO216"/>
    <mergeCell ref="CP206:CP216"/>
    <mergeCell ref="CQ206:CQ216"/>
    <mergeCell ref="CR206:CR216"/>
    <mergeCell ref="CS206:CS216"/>
    <mergeCell ref="CT206:CT216"/>
    <mergeCell ref="CG206:CG216"/>
    <mergeCell ref="CH206:CH216"/>
    <mergeCell ref="CI206:CI216"/>
    <mergeCell ref="CJ206:CJ216"/>
    <mergeCell ref="CK206:CK216"/>
    <mergeCell ref="CL206:CL216"/>
    <mergeCell ref="CM206:CM216"/>
    <mergeCell ref="AQ206:AQ216"/>
    <mergeCell ref="AR206:AR216"/>
    <mergeCell ref="AS206:AS216"/>
    <mergeCell ref="AT206:AT216"/>
    <mergeCell ref="AU206:AU216"/>
    <mergeCell ref="AV206:AV216"/>
    <mergeCell ref="AW206:AW216"/>
    <mergeCell ref="AX206:AX216"/>
    <mergeCell ref="AY206:AY216"/>
    <mergeCell ref="AZ206:AZ216"/>
    <mergeCell ref="BA206:BA216"/>
    <mergeCell ref="BB206:BB216"/>
    <mergeCell ref="BC206:BC216"/>
    <mergeCell ref="BD206:BD216"/>
    <mergeCell ref="BE206:BE216"/>
    <mergeCell ref="BF206:BF216"/>
    <mergeCell ref="BG206:BG216"/>
    <mergeCell ref="BH206:BH216"/>
    <mergeCell ref="BI206:BI216"/>
    <mergeCell ref="BJ206:BJ216"/>
    <mergeCell ref="BK206:BK216"/>
    <mergeCell ref="BL206:BL216"/>
    <mergeCell ref="BM206:BM216"/>
    <mergeCell ref="BN206:BN216"/>
    <mergeCell ref="BO206:BO216"/>
    <mergeCell ref="BP206:BP216"/>
    <mergeCell ref="BQ206:BQ216"/>
    <mergeCell ref="BR206:BR216"/>
    <mergeCell ref="BS206:BS216"/>
    <mergeCell ref="BT206:BT216"/>
    <mergeCell ref="BU206:BU216"/>
    <mergeCell ref="BV206:BV216"/>
    <mergeCell ref="BW206:BW216"/>
    <mergeCell ref="BX206:BX216"/>
    <mergeCell ref="BY206:BY216"/>
    <mergeCell ref="BZ206:BZ216"/>
    <mergeCell ref="CA206:CA216"/>
    <mergeCell ref="CB206:CB216"/>
    <mergeCell ref="CC206:CC216"/>
    <mergeCell ref="CD206:CD216"/>
    <mergeCell ref="CE206:CE216"/>
    <mergeCell ref="CF206:CF216"/>
    <mergeCell ref="AJ206:AJ216"/>
    <mergeCell ref="AK206:AK216"/>
    <mergeCell ref="AL206:AL216"/>
    <mergeCell ref="AM206:AM216"/>
    <mergeCell ref="AN206:AN216"/>
    <mergeCell ref="AO206:AO216"/>
    <mergeCell ref="AP206:AP216"/>
    <mergeCell ref="CC173:CC183"/>
    <mergeCell ref="CD173:CD183"/>
    <mergeCell ref="CE173:CE183"/>
    <mergeCell ref="CF173:CF183"/>
    <mergeCell ref="CG173:CG183"/>
    <mergeCell ref="CH173:CH183"/>
    <mergeCell ref="CI173:CI183"/>
    <mergeCell ref="CQ173:CQ183"/>
    <mergeCell ref="CR173:CR183"/>
    <mergeCell ref="CS173:CS183"/>
    <mergeCell ref="CT173:CT183"/>
    <mergeCell ref="CJ173:CJ183"/>
    <mergeCell ref="CK173:CK183"/>
    <mergeCell ref="CL173:CL183"/>
    <mergeCell ref="CM173:CM183"/>
    <mergeCell ref="CN173:CN183"/>
    <mergeCell ref="CO173:CO183"/>
    <mergeCell ref="CP173:CP183"/>
    <mergeCell ref="W173:W183"/>
    <mergeCell ref="X173:X183"/>
    <mergeCell ref="Y173:Y183"/>
    <mergeCell ref="Z173:Z183"/>
    <mergeCell ref="AJ173:AJ183"/>
    <mergeCell ref="AK173:AK183"/>
    <mergeCell ref="AL173:AL183"/>
    <mergeCell ref="AT173:AT183"/>
    <mergeCell ref="AU173:AU183"/>
    <mergeCell ref="AV173:AV183"/>
    <mergeCell ref="AW173:AW183"/>
    <mergeCell ref="AX173:AX183"/>
    <mergeCell ref="AY173:AY183"/>
    <mergeCell ref="AZ173:AZ183"/>
    <mergeCell ref="BA173:BA183"/>
    <mergeCell ref="BB173:BB183"/>
    <mergeCell ref="BC173:BC183"/>
    <mergeCell ref="BD173:BD183"/>
    <mergeCell ref="BE173:BE183"/>
    <mergeCell ref="BF173:BF183"/>
    <mergeCell ref="BG173:BG183"/>
    <mergeCell ref="BH173:BH183"/>
    <mergeCell ref="BI173:BI183"/>
    <mergeCell ref="BJ173:BJ183"/>
    <mergeCell ref="BK173:BK183"/>
    <mergeCell ref="BL173:BL183"/>
    <mergeCell ref="BM173:BM183"/>
    <mergeCell ref="BN173:BN183"/>
    <mergeCell ref="BO173:BO183"/>
    <mergeCell ref="BP173:BP183"/>
    <mergeCell ref="BQ173:BQ183"/>
    <mergeCell ref="BR173:BR183"/>
    <mergeCell ref="BS173:BS183"/>
    <mergeCell ref="BT173:BT183"/>
    <mergeCell ref="BU173:BU183"/>
    <mergeCell ref="BV173:BV183"/>
    <mergeCell ref="BW173:BW183"/>
    <mergeCell ref="BX173:BX183"/>
    <mergeCell ref="BY173:BY183"/>
    <mergeCell ref="BZ173:BZ183"/>
    <mergeCell ref="CA173:CA183"/>
    <mergeCell ref="CB173:CB183"/>
    <mergeCell ref="AM173:AM183"/>
    <mergeCell ref="AN173:AN183"/>
    <mergeCell ref="AO173:AO183"/>
    <mergeCell ref="AP173:AP183"/>
    <mergeCell ref="AQ173:AQ183"/>
    <mergeCell ref="AR173:AR183"/>
    <mergeCell ref="AS173:AS183"/>
    <mergeCell ref="CN184:CN194"/>
    <mergeCell ref="CO184:CO194"/>
    <mergeCell ref="CP184:CP194"/>
    <mergeCell ref="CQ184:CQ194"/>
    <mergeCell ref="CR184:CR194"/>
    <mergeCell ref="CS184:CS194"/>
    <mergeCell ref="CT184:CT194"/>
    <mergeCell ref="CG184:CG194"/>
    <mergeCell ref="CH184:CH194"/>
    <mergeCell ref="CI184:CI194"/>
    <mergeCell ref="CJ184:CJ194"/>
    <mergeCell ref="CK184:CK194"/>
    <mergeCell ref="CL184:CL194"/>
    <mergeCell ref="CM184:CM194"/>
    <mergeCell ref="AQ184:AQ194"/>
    <mergeCell ref="AR184:AR194"/>
    <mergeCell ref="AS184:AS194"/>
    <mergeCell ref="AT184:AT194"/>
    <mergeCell ref="AU184:AU194"/>
    <mergeCell ref="AV184:AV194"/>
    <mergeCell ref="AW184:AW194"/>
    <mergeCell ref="AX184:AX194"/>
    <mergeCell ref="AY184:AY194"/>
    <mergeCell ref="AZ184:AZ194"/>
    <mergeCell ref="BA184:BA194"/>
    <mergeCell ref="BB184:BB194"/>
    <mergeCell ref="BC184:BC194"/>
    <mergeCell ref="BD184:BD194"/>
    <mergeCell ref="BE184:BE194"/>
    <mergeCell ref="BF184:BF194"/>
    <mergeCell ref="BG184:BG194"/>
    <mergeCell ref="BH184:BH194"/>
    <mergeCell ref="BI184:BI194"/>
    <mergeCell ref="BJ184:BJ194"/>
    <mergeCell ref="BK184:BK194"/>
    <mergeCell ref="BL184:BL194"/>
    <mergeCell ref="BM184:BM194"/>
    <mergeCell ref="BN184:BN194"/>
    <mergeCell ref="BO184:BO194"/>
    <mergeCell ref="BP184:BP194"/>
    <mergeCell ref="BQ184:BQ194"/>
    <mergeCell ref="BR184:BR194"/>
    <mergeCell ref="BS184:BS194"/>
    <mergeCell ref="BT184:BT194"/>
    <mergeCell ref="BU184:BU194"/>
    <mergeCell ref="BV184:BV194"/>
    <mergeCell ref="BW184:BW194"/>
    <mergeCell ref="BX184:BX194"/>
    <mergeCell ref="BY184:BY194"/>
    <mergeCell ref="BZ184:BZ194"/>
    <mergeCell ref="CA184:CA194"/>
    <mergeCell ref="CB184:CB194"/>
    <mergeCell ref="CC184:CC194"/>
    <mergeCell ref="CD184:CD194"/>
    <mergeCell ref="CE184:CE194"/>
    <mergeCell ref="CF184:CF194"/>
    <mergeCell ref="AJ184:AJ194"/>
    <mergeCell ref="AK184:AK194"/>
    <mergeCell ref="AL184:AL194"/>
    <mergeCell ref="AM184:AM194"/>
    <mergeCell ref="AN184:AN194"/>
    <mergeCell ref="AO184:AO194"/>
    <mergeCell ref="AP184:AP194"/>
    <mergeCell ref="CN195:CN205"/>
    <mergeCell ref="CO195:CO205"/>
    <mergeCell ref="CP195:CP205"/>
    <mergeCell ref="CQ195:CQ205"/>
    <mergeCell ref="CR195:CR205"/>
    <mergeCell ref="CS195:CS205"/>
    <mergeCell ref="CT195:CT205"/>
    <mergeCell ref="CG195:CG205"/>
    <mergeCell ref="CH195:CH205"/>
    <mergeCell ref="CI195:CI205"/>
    <mergeCell ref="CJ195:CJ205"/>
    <mergeCell ref="CK195:CK205"/>
    <mergeCell ref="CL195:CL205"/>
    <mergeCell ref="CM195:CM205"/>
    <mergeCell ref="AQ195:AQ205"/>
    <mergeCell ref="AR195:AR205"/>
    <mergeCell ref="AS195:AS205"/>
    <mergeCell ref="AT195:AT205"/>
    <mergeCell ref="AU195:AU205"/>
    <mergeCell ref="AV195:AV205"/>
    <mergeCell ref="AW195:AW205"/>
    <mergeCell ref="AX195:AX205"/>
    <mergeCell ref="AY195:AY205"/>
    <mergeCell ref="AZ195:AZ205"/>
    <mergeCell ref="BA195:BA205"/>
    <mergeCell ref="BB195:BB205"/>
    <mergeCell ref="BC195:BC205"/>
    <mergeCell ref="BD195:BD205"/>
    <mergeCell ref="BE195:BE205"/>
    <mergeCell ref="BF195:BF205"/>
    <mergeCell ref="BG195:BG205"/>
    <mergeCell ref="BH195:BH205"/>
    <mergeCell ref="BI195:BI205"/>
    <mergeCell ref="BJ195:BJ205"/>
    <mergeCell ref="BK195:BK205"/>
    <mergeCell ref="BL195:BL205"/>
    <mergeCell ref="BM195:BM205"/>
    <mergeCell ref="BN195:BN205"/>
    <mergeCell ref="BO195:BO205"/>
    <mergeCell ref="BP195:BP205"/>
    <mergeCell ref="BQ195:BQ205"/>
    <mergeCell ref="BR195:BR205"/>
    <mergeCell ref="BS195:BS205"/>
    <mergeCell ref="BT195:BT205"/>
    <mergeCell ref="BU195:BU205"/>
    <mergeCell ref="BV195:BV205"/>
    <mergeCell ref="BW195:BW205"/>
    <mergeCell ref="BX195:BX205"/>
    <mergeCell ref="BY195:BY205"/>
    <mergeCell ref="BZ195:BZ205"/>
    <mergeCell ref="CA195:CA205"/>
    <mergeCell ref="CB195:CB205"/>
    <mergeCell ref="CC195:CC205"/>
    <mergeCell ref="CD195:CD205"/>
    <mergeCell ref="CE195:CE205"/>
    <mergeCell ref="CF195:CF205"/>
    <mergeCell ref="AJ195:AJ205"/>
    <mergeCell ref="AK195:AK205"/>
    <mergeCell ref="AL195:AL205"/>
    <mergeCell ref="AM195:AM205"/>
    <mergeCell ref="AN195:AN205"/>
    <mergeCell ref="AO195:AO205"/>
    <mergeCell ref="AP195:AP205"/>
    <mergeCell ref="CN217:CN227"/>
    <mergeCell ref="CO217:CO227"/>
    <mergeCell ref="CP217:CP227"/>
    <mergeCell ref="CQ217:CQ227"/>
    <mergeCell ref="CR217:CR227"/>
    <mergeCell ref="CS217:CS227"/>
    <mergeCell ref="CT217:CT227"/>
    <mergeCell ref="CG217:CG227"/>
    <mergeCell ref="CH217:CH227"/>
    <mergeCell ref="CI217:CI227"/>
    <mergeCell ref="CJ217:CJ227"/>
    <mergeCell ref="CK217:CK227"/>
    <mergeCell ref="CL217:CL227"/>
    <mergeCell ref="CM217:CM227"/>
    <mergeCell ref="AJ217:AJ227"/>
    <mergeCell ref="AK217:AK227"/>
    <mergeCell ref="AL217:AL227"/>
    <mergeCell ref="AM217:AM227"/>
    <mergeCell ref="AN217:AN227"/>
    <mergeCell ref="AO217:AO227"/>
    <mergeCell ref="AP217:AP227"/>
    <mergeCell ref="AQ217:AQ227"/>
    <mergeCell ref="AR217:AR227"/>
    <mergeCell ref="AS217:AS227"/>
    <mergeCell ref="AT217:AT227"/>
    <mergeCell ref="AU217:AU227"/>
    <mergeCell ref="AV217:AV227"/>
    <mergeCell ref="AW217:AW227"/>
    <mergeCell ref="AX217:AX227"/>
    <mergeCell ref="AY217:AY227"/>
    <mergeCell ref="AZ217:AZ227"/>
    <mergeCell ref="BA217:BA227"/>
    <mergeCell ref="BB217:BB227"/>
    <mergeCell ref="BC217:BC227"/>
    <mergeCell ref="BD217:BD227"/>
    <mergeCell ref="BE217:BE227"/>
    <mergeCell ref="BF217:BF227"/>
    <mergeCell ref="BG217:BG227"/>
    <mergeCell ref="BH217:BH227"/>
    <mergeCell ref="BI217:BI227"/>
    <mergeCell ref="BJ217:BJ227"/>
    <mergeCell ref="BK217:BK227"/>
    <mergeCell ref="BL217:BL227"/>
    <mergeCell ref="BM217:BM227"/>
    <mergeCell ref="BN217:BN227"/>
    <mergeCell ref="BO217:BO227"/>
    <mergeCell ref="BP217:BP227"/>
    <mergeCell ref="BQ217:BQ227"/>
    <mergeCell ref="BR217:BR227"/>
    <mergeCell ref="BS217:BS227"/>
    <mergeCell ref="BT217:BT227"/>
    <mergeCell ref="BU217:BU227"/>
    <mergeCell ref="BV217:BV227"/>
    <mergeCell ref="BW217:BW227"/>
    <mergeCell ref="BX217:BX227"/>
    <mergeCell ref="BY217:BY227"/>
    <mergeCell ref="BZ217:BZ227"/>
    <mergeCell ref="CA217:CA227"/>
    <mergeCell ref="CB217:CB227"/>
    <mergeCell ref="CC217:CC227"/>
    <mergeCell ref="CD217:CD227"/>
    <mergeCell ref="CE217:CE227"/>
    <mergeCell ref="CF217:CF227"/>
    <mergeCell ref="CN261:CN271"/>
    <mergeCell ref="CO261:CO271"/>
    <mergeCell ref="CP261:CP271"/>
    <mergeCell ref="CQ261:CQ271"/>
    <mergeCell ref="CR261:CR271"/>
    <mergeCell ref="CS261:CS271"/>
    <mergeCell ref="CT261:CT271"/>
    <mergeCell ref="CG261:CG271"/>
    <mergeCell ref="CH261:CH271"/>
    <mergeCell ref="CI261:CI271"/>
    <mergeCell ref="CJ261:CJ271"/>
    <mergeCell ref="CK261:CK271"/>
    <mergeCell ref="CL261:CL271"/>
    <mergeCell ref="CM261:CM271"/>
    <mergeCell ref="AJ261:AJ271"/>
    <mergeCell ref="AK261:AK271"/>
    <mergeCell ref="AL261:AL271"/>
    <mergeCell ref="AM261:AM271"/>
    <mergeCell ref="AN261:AN271"/>
    <mergeCell ref="AO261:AO271"/>
    <mergeCell ref="AP261:AP271"/>
    <mergeCell ref="AQ261:AQ271"/>
    <mergeCell ref="AR261:AR271"/>
    <mergeCell ref="AS261:AS271"/>
    <mergeCell ref="AT261:AT271"/>
    <mergeCell ref="AU261:AU271"/>
    <mergeCell ref="AV261:AV271"/>
    <mergeCell ref="AW261:AW271"/>
    <mergeCell ref="AX261:AX271"/>
    <mergeCell ref="AY261:AY271"/>
    <mergeCell ref="AZ261:AZ271"/>
    <mergeCell ref="BA261:BA271"/>
    <mergeCell ref="BB261:BB271"/>
    <mergeCell ref="BC261:BC271"/>
    <mergeCell ref="BD261:BD271"/>
    <mergeCell ref="BE261:BE271"/>
    <mergeCell ref="BF261:BF271"/>
    <mergeCell ref="BG261:BG271"/>
    <mergeCell ref="BH261:BH271"/>
    <mergeCell ref="BI261:BI271"/>
    <mergeCell ref="BJ261:BJ271"/>
    <mergeCell ref="BK261:BK271"/>
    <mergeCell ref="BL261:BL271"/>
    <mergeCell ref="BM261:BM271"/>
    <mergeCell ref="BN261:BN271"/>
    <mergeCell ref="BO261:BO271"/>
    <mergeCell ref="BP261:BP271"/>
    <mergeCell ref="BQ261:BQ271"/>
    <mergeCell ref="BR261:BR271"/>
    <mergeCell ref="BS261:BS271"/>
    <mergeCell ref="BT261:BT271"/>
    <mergeCell ref="BU261:BU271"/>
    <mergeCell ref="BV261:BV271"/>
    <mergeCell ref="BW261:BW271"/>
    <mergeCell ref="BX261:BX271"/>
    <mergeCell ref="BY261:BY271"/>
    <mergeCell ref="BZ261:BZ271"/>
    <mergeCell ref="CA261:CA271"/>
    <mergeCell ref="CB261:CB271"/>
    <mergeCell ref="CC261:CC271"/>
    <mergeCell ref="CD261:CD271"/>
    <mergeCell ref="CE261:CE271"/>
    <mergeCell ref="CF261:CF271"/>
    <mergeCell ref="W184:W194"/>
    <mergeCell ref="X184:X194"/>
    <mergeCell ref="Y184:Y194"/>
    <mergeCell ref="Z184:Z194"/>
    <mergeCell ref="P184:P194"/>
    <mergeCell ref="Q184:Q194"/>
    <mergeCell ref="R184:R194"/>
    <mergeCell ref="S184:S194"/>
    <mergeCell ref="T184:T194"/>
    <mergeCell ref="U184:U194"/>
    <mergeCell ref="V184:V194"/>
    <mergeCell ref="W195:W205"/>
    <mergeCell ref="X195:X205"/>
    <mergeCell ref="Y195:Y205"/>
    <mergeCell ref="Z195:Z205"/>
    <mergeCell ref="P195:P205"/>
    <mergeCell ref="Q195:Q205"/>
    <mergeCell ref="R195:R205"/>
    <mergeCell ref="S195:S205"/>
    <mergeCell ref="T195:T205"/>
    <mergeCell ref="U195:U205"/>
    <mergeCell ref="V195:V205"/>
    <mergeCell ref="W206:W216"/>
    <mergeCell ref="X206:X216"/>
    <mergeCell ref="Y206:Y216"/>
    <mergeCell ref="Z206:Z216"/>
    <mergeCell ref="P206:P216"/>
    <mergeCell ref="Q206:Q216"/>
    <mergeCell ref="R206:R216"/>
    <mergeCell ref="S206:S216"/>
    <mergeCell ref="T206:T216"/>
    <mergeCell ref="U206:U216"/>
    <mergeCell ref="V206:V216"/>
    <mergeCell ref="W228:W238"/>
    <mergeCell ref="X228:X238"/>
    <mergeCell ref="Y228:Y238"/>
    <mergeCell ref="Z228:Z238"/>
    <mergeCell ref="P228:P238"/>
    <mergeCell ref="Q228:Q238"/>
    <mergeCell ref="R228:R238"/>
    <mergeCell ref="S228:S238"/>
    <mergeCell ref="T228:T238"/>
    <mergeCell ref="U228:U238"/>
    <mergeCell ref="V228:V238"/>
    <mergeCell ref="BV228:BV238"/>
    <mergeCell ref="BW228:BW238"/>
    <mergeCell ref="BX228:BX238"/>
    <mergeCell ref="BY228:BY238"/>
    <mergeCell ref="BZ228:BZ238"/>
    <mergeCell ref="CA228:CA238"/>
    <mergeCell ref="CB228:CB238"/>
    <mergeCell ref="CC228:CC238"/>
    <mergeCell ref="CD228:CD238"/>
    <mergeCell ref="CE228:CE238"/>
    <mergeCell ref="CF228:CF238"/>
    <mergeCell ref="CG228:CG238"/>
    <mergeCell ref="CH228:CH238"/>
    <mergeCell ref="CI228:CI238"/>
    <mergeCell ref="CQ228:CQ238"/>
    <mergeCell ref="CR228:CR238"/>
    <mergeCell ref="CS228:CS238"/>
    <mergeCell ref="CT228:CT238"/>
    <mergeCell ref="CJ228:CJ238"/>
    <mergeCell ref="CK228:CK238"/>
    <mergeCell ref="CL228:CL238"/>
    <mergeCell ref="CM228:CM238"/>
    <mergeCell ref="CN228:CN238"/>
    <mergeCell ref="CO228:CO238"/>
    <mergeCell ref="CP228:CP238"/>
    <mergeCell ref="P217:P227"/>
    <mergeCell ref="Q217:Q227"/>
    <mergeCell ref="R217:R227"/>
    <mergeCell ref="S217:S227"/>
    <mergeCell ref="T217:T227"/>
    <mergeCell ref="U217:U227"/>
    <mergeCell ref="V217:V227"/>
    <mergeCell ref="W217:W227"/>
    <mergeCell ref="X217:X227"/>
    <mergeCell ref="Y217:Y227"/>
    <mergeCell ref="Z217:Z227"/>
    <mergeCell ref="AJ228:AJ238"/>
    <mergeCell ref="AK228:AK238"/>
    <mergeCell ref="AL228:AL238"/>
    <mergeCell ref="AT228:AT238"/>
    <mergeCell ref="AU228:AU238"/>
    <mergeCell ref="AV228:AV238"/>
    <mergeCell ref="AW228:AW238"/>
    <mergeCell ref="AX228:AX238"/>
    <mergeCell ref="AY228:AY238"/>
    <mergeCell ref="AZ228:AZ238"/>
    <mergeCell ref="BA228:BA238"/>
    <mergeCell ref="BB228:BB238"/>
    <mergeCell ref="BC228:BC238"/>
    <mergeCell ref="BD228:BD238"/>
    <mergeCell ref="BE228:BE238"/>
    <mergeCell ref="BF228:BF238"/>
    <mergeCell ref="BG228:BG238"/>
    <mergeCell ref="BH228:BH238"/>
    <mergeCell ref="BI228:BI238"/>
    <mergeCell ref="BJ228:BJ238"/>
    <mergeCell ref="BK228:BK238"/>
    <mergeCell ref="BL228:BL238"/>
    <mergeCell ref="BM228:BM238"/>
    <mergeCell ref="BN228:BN238"/>
    <mergeCell ref="BO228:BO238"/>
    <mergeCell ref="BP228:BP238"/>
    <mergeCell ref="BQ228:BQ238"/>
    <mergeCell ref="BR228:BR238"/>
    <mergeCell ref="BS228:BS238"/>
    <mergeCell ref="BT228:BT238"/>
    <mergeCell ref="BU228:BU238"/>
    <mergeCell ref="AM228:AM238"/>
    <mergeCell ref="AN228:AN238"/>
    <mergeCell ref="AO228:AO238"/>
    <mergeCell ref="AP228:AP238"/>
    <mergeCell ref="AQ228:AQ238"/>
    <mergeCell ref="AR228:AR238"/>
    <mergeCell ref="AS228:AS238"/>
    <mergeCell ref="CN239:CN249"/>
    <mergeCell ref="CO239:CO249"/>
    <mergeCell ref="CP239:CP249"/>
    <mergeCell ref="CQ239:CQ249"/>
    <mergeCell ref="CR239:CR249"/>
    <mergeCell ref="CS239:CS249"/>
    <mergeCell ref="CT239:CT249"/>
    <mergeCell ref="CG239:CG249"/>
    <mergeCell ref="CH239:CH249"/>
    <mergeCell ref="CI239:CI249"/>
    <mergeCell ref="CJ239:CJ249"/>
    <mergeCell ref="CK239:CK249"/>
    <mergeCell ref="CL239:CL249"/>
    <mergeCell ref="CM239:CM249"/>
    <mergeCell ref="AQ239:AQ249"/>
    <mergeCell ref="AR239:AR249"/>
    <mergeCell ref="AS239:AS249"/>
    <mergeCell ref="AT239:AT249"/>
    <mergeCell ref="AU239:AU249"/>
    <mergeCell ref="AV239:AV249"/>
    <mergeCell ref="AW239:AW249"/>
    <mergeCell ref="AX239:AX249"/>
    <mergeCell ref="AY239:AY249"/>
    <mergeCell ref="AZ239:AZ249"/>
    <mergeCell ref="BA239:BA249"/>
    <mergeCell ref="BB239:BB249"/>
    <mergeCell ref="BC239:BC249"/>
    <mergeCell ref="BD239:BD249"/>
    <mergeCell ref="BE239:BE249"/>
    <mergeCell ref="BF239:BF249"/>
    <mergeCell ref="BG239:BG249"/>
    <mergeCell ref="BH239:BH249"/>
    <mergeCell ref="BI239:BI249"/>
    <mergeCell ref="BJ239:BJ249"/>
    <mergeCell ref="BK239:BK249"/>
    <mergeCell ref="BL239:BL249"/>
    <mergeCell ref="BM239:BM249"/>
    <mergeCell ref="BN239:BN249"/>
    <mergeCell ref="BO239:BO249"/>
    <mergeCell ref="BP239:BP249"/>
    <mergeCell ref="BQ239:BQ249"/>
    <mergeCell ref="BR239:BR249"/>
    <mergeCell ref="BS239:BS249"/>
    <mergeCell ref="BT239:BT249"/>
    <mergeCell ref="BU239:BU249"/>
    <mergeCell ref="BV239:BV249"/>
    <mergeCell ref="BW239:BW249"/>
    <mergeCell ref="BX239:BX249"/>
    <mergeCell ref="BY239:BY249"/>
    <mergeCell ref="BZ239:BZ249"/>
    <mergeCell ref="CA239:CA249"/>
    <mergeCell ref="CB239:CB249"/>
    <mergeCell ref="CC239:CC249"/>
    <mergeCell ref="CD239:CD249"/>
    <mergeCell ref="CE239:CE249"/>
    <mergeCell ref="CF239:CF249"/>
    <mergeCell ref="AJ239:AJ249"/>
    <mergeCell ref="AK239:AK249"/>
    <mergeCell ref="AL239:AL249"/>
    <mergeCell ref="AM239:AM249"/>
    <mergeCell ref="AN239:AN249"/>
    <mergeCell ref="AO239:AO249"/>
    <mergeCell ref="AP239:AP249"/>
    <mergeCell ref="CN250:CN260"/>
    <mergeCell ref="CO250:CO260"/>
    <mergeCell ref="CP250:CP260"/>
    <mergeCell ref="CQ250:CQ260"/>
    <mergeCell ref="CR250:CR260"/>
    <mergeCell ref="CS250:CS260"/>
    <mergeCell ref="CT250:CT260"/>
    <mergeCell ref="CG250:CG260"/>
    <mergeCell ref="CH250:CH260"/>
    <mergeCell ref="CI250:CI260"/>
    <mergeCell ref="CJ250:CJ260"/>
    <mergeCell ref="CK250:CK260"/>
    <mergeCell ref="CL250:CL260"/>
    <mergeCell ref="CM250:CM260"/>
    <mergeCell ref="AQ250:AQ260"/>
    <mergeCell ref="AR250:AR260"/>
    <mergeCell ref="AS250:AS260"/>
    <mergeCell ref="AT250:AT260"/>
    <mergeCell ref="AU250:AU260"/>
    <mergeCell ref="AV250:AV260"/>
    <mergeCell ref="AW250:AW260"/>
    <mergeCell ref="AX250:AX260"/>
    <mergeCell ref="AY250:AY260"/>
    <mergeCell ref="AZ250:AZ260"/>
    <mergeCell ref="BA250:BA260"/>
    <mergeCell ref="BB250:BB260"/>
    <mergeCell ref="BC250:BC260"/>
    <mergeCell ref="BD250:BD260"/>
    <mergeCell ref="BE250:BE260"/>
    <mergeCell ref="BF250:BF260"/>
    <mergeCell ref="BG250:BG260"/>
    <mergeCell ref="BH250:BH260"/>
    <mergeCell ref="BI250:BI260"/>
    <mergeCell ref="BJ250:BJ260"/>
    <mergeCell ref="BK250:BK260"/>
    <mergeCell ref="BL250:BL260"/>
    <mergeCell ref="BM250:BM260"/>
    <mergeCell ref="BN250:BN260"/>
    <mergeCell ref="BO250:BO260"/>
    <mergeCell ref="BP250:BP260"/>
    <mergeCell ref="BQ250:BQ260"/>
    <mergeCell ref="BR250:BR260"/>
    <mergeCell ref="BS250:BS260"/>
    <mergeCell ref="BT250:BT260"/>
    <mergeCell ref="BU250:BU260"/>
    <mergeCell ref="BV250:BV260"/>
    <mergeCell ref="BW250:BW260"/>
    <mergeCell ref="BX250:BX260"/>
    <mergeCell ref="BY250:BY260"/>
    <mergeCell ref="BZ250:BZ260"/>
    <mergeCell ref="CA250:CA260"/>
    <mergeCell ref="CB250:CB260"/>
    <mergeCell ref="CC250:CC260"/>
    <mergeCell ref="CD250:CD260"/>
    <mergeCell ref="CE250:CE260"/>
    <mergeCell ref="CF250:CF260"/>
    <mergeCell ref="AJ250:AJ260"/>
    <mergeCell ref="AK250:AK260"/>
    <mergeCell ref="AL250:AL260"/>
    <mergeCell ref="AM250:AM260"/>
    <mergeCell ref="AN250:AN260"/>
    <mergeCell ref="AO250:AO260"/>
    <mergeCell ref="AP250:AP260"/>
    <mergeCell ref="CN305:CN315"/>
    <mergeCell ref="CO305:CO315"/>
    <mergeCell ref="CP305:CP315"/>
    <mergeCell ref="CQ305:CQ315"/>
    <mergeCell ref="CR305:CR315"/>
    <mergeCell ref="CS305:CS315"/>
    <mergeCell ref="CT305:CT315"/>
    <mergeCell ref="CG305:CG315"/>
    <mergeCell ref="CH305:CH315"/>
    <mergeCell ref="CI305:CI315"/>
    <mergeCell ref="CJ305:CJ315"/>
    <mergeCell ref="CK305:CK315"/>
    <mergeCell ref="CL305:CL315"/>
    <mergeCell ref="CM305:CM315"/>
    <mergeCell ref="AJ305:AJ315"/>
    <mergeCell ref="AK305:AK315"/>
    <mergeCell ref="AL305:AL315"/>
    <mergeCell ref="AM305:AM315"/>
    <mergeCell ref="AN305:AN315"/>
    <mergeCell ref="AO305:AO315"/>
    <mergeCell ref="AP305:AP315"/>
    <mergeCell ref="AQ305:AQ315"/>
    <mergeCell ref="AR305:AR315"/>
    <mergeCell ref="AS305:AS315"/>
    <mergeCell ref="AT305:AT315"/>
    <mergeCell ref="AU305:AU315"/>
    <mergeCell ref="AV305:AV315"/>
    <mergeCell ref="AW305:AW315"/>
    <mergeCell ref="AX305:AX315"/>
    <mergeCell ref="AY305:AY315"/>
    <mergeCell ref="AZ305:AZ315"/>
    <mergeCell ref="BA305:BA315"/>
    <mergeCell ref="BB305:BB315"/>
    <mergeCell ref="BC305:BC315"/>
    <mergeCell ref="BD305:BD315"/>
    <mergeCell ref="BE305:BE315"/>
    <mergeCell ref="BF305:BF315"/>
    <mergeCell ref="BG305:BG315"/>
    <mergeCell ref="BH305:BH315"/>
    <mergeCell ref="BI305:BI315"/>
    <mergeCell ref="BJ305:BJ315"/>
    <mergeCell ref="BK305:BK315"/>
    <mergeCell ref="BL305:BL315"/>
    <mergeCell ref="BM305:BM315"/>
    <mergeCell ref="BN305:BN315"/>
    <mergeCell ref="BO305:BO315"/>
    <mergeCell ref="BP305:BP315"/>
    <mergeCell ref="BQ305:BQ315"/>
    <mergeCell ref="BR305:BR315"/>
    <mergeCell ref="BS305:BS315"/>
    <mergeCell ref="BT305:BT315"/>
    <mergeCell ref="BU305:BU315"/>
    <mergeCell ref="BV305:BV315"/>
    <mergeCell ref="BW305:BW315"/>
    <mergeCell ref="BX305:BX315"/>
    <mergeCell ref="BY305:BY315"/>
    <mergeCell ref="BZ305:BZ315"/>
    <mergeCell ref="CA305:CA315"/>
    <mergeCell ref="CB305:CB315"/>
    <mergeCell ref="CC305:CC315"/>
    <mergeCell ref="CD305:CD315"/>
    <mergeCell ref="CE305:CE315"/>
    <mergeCell ref="CF305:CF315"/>
    <mergeCell ref="W239:W249"/>
    <mergeCell ref="X239:X249"/>
    <mergeCell ref="Y239:Y249"/>
    <mergeCell ref="Z239:Z249"/>
    <mergeCell ref="P239:P249"/>
    <mergeCell ref="Q239:Q249"/>
    <mergeCell ref="R239:R249"/>
    <mergeCell ref="S239:S249"/>
    <mergeCell ref="T239:T249"/>
    <mergeCell ref="U239:U249"/>
    <mergeCell ref="V239:V249"/>
    <mergeCell ref="W250:W260"/>
    <mergeCell ref="X250:X260"/>
    <mergeCell ref="Y250:Y260"/>
    <mergeCell ref="Z250:Z260"/>
    <mergeCell ref="P250:P260"/>
    <mergeCell ref="Q250:Q260"/>
    <mergeCell ref="R250:R260"/>
    <mergeCell ref="S250:S260"/>
    <mergeCell ref="T250:T260"/>
    <mergeCell ref="U250:U260"/>
    <mergeCell ref="V250:V260"/>
    <mergeCell ref="W261:W271"/>
    <mergeCell ref="X261:X271"/>
    <mergeCell ref="Y261:Y271"/>
    <mergeCell ref="Z261:Z271"/>
    <mergeCell ref="P261:P271"/>
    <mergeCell ref="Q261:Q271"/>
    <mergeCell ref="R261:R271"/>
    <mergeCell ref="S261:S271"/>
    <mergeCell ref="T261:T271"/>
    <mergeCell ref="U261:U271"/>
    <mergeCell ref="V261:V271"/>
    <mergeCell ref="P272:P282"/>
    <mergeCell ref="Q272:Q282"/>
    <mergeCell ref="R272:R282"/>
    <mergeCell ref="S272:S282"/>
    <mergeCell ref="T272:T282"/>
    <mergeCell ref="U272:U282"/>
    <mergeCell ref="V272:V282"/>
    <mergeCell ref="CC272:CC282"/>
    <mergeCell ref="CD272:CD282"/>
    <mergeCell ref="CE272:CE282"/>
    <mergeCell ref="CF272:CF282"/>
    <mergeCell ref="CG272:CG282"/>
    <mergeCell ref="CH272:CH282"/>
    <mergeCell ref="CI272:CI282"/>
    <mergeCell ref="CQ272:CQ282"/>
    <mergeCell ref="CR272:CR282"/>
    <mergeCell ref="CS272:CS282"/>
    <mergeCell ref="CT272:CT282"/>
    <mergeCell ref="CJ272:CJ282"/>
    <mergeCell ref="CK272:CK282"/>
    <mergeCell ref="CL272:CL282"/>
    <mergeCell ref="CM272:CM282"/>
    <mergeCell ref="CN272:CN282"/>
    <mergeCell ref="CO272:CO282"/>
    <mergeCell ref="CP272:CP282"/>
    <mergeCell ref="W272:W282"/>
    <mergeCell ref="X272:X282"/>
    <mergeCell ref="Y272:Y282"/>
    <mergeCell ref="Z272:Z282"/>
    <mergeCell ref="AJ272:AJ282"/>
    <mergeCell ref="AK272:AK282"/>
    <mergeCell ref="AL272:AL282"/>
    <mergeCell ref="AT272:AT282"/>
    <mergeCell ref="AU272:AU282"/>
    <mergeCell ref="AV272:AV282"/>
    <mergeCell ref="AW272:AW282"/>
    <mergeCell ref="AX272:AX282"/>
    <mergeCell ref="AY272:AY282"/>
    <mergeCell ref="AZ272:AZ282"/>
    <mergeCell ref="BA272:BA282"/>
    <mergeCell ref="BB272:BB282"/>
    <mergeCell ref="BC272:BC282"/>
    <mergeCell ref="BD272:BD282"/>
    <mergeCell ref="BE272:BE282"/>
    <mergeCell ref="BF272:BF282"/>
    <mergeCell ref="BG272:BG282"/>
    <mergeCell ref="BH272:BH282"/>
    <mergeCell ref="BI272:BI282"/>
    <mergeCell ref="BJ272:BJ282"/>
    <mergeCell ref="BK272:BK282"/>
    <mergeCell ref="BL272:BL282"/>
    <mergeCell ref="BM272:BM282"/>
    <mergeCell ref="BN272:BN282"/>
    <mergeCell ref="BO272:BO282"/>
    <mergeCell ref="BP272:BP282"/>
    <mergeCell ref="BQ272:BQ282"/>
    <mergeCell ref="BR272:BR282"/>
    <mergeCell ref="BS272:BS282"/>
    <mergeCell ref="BT272:BT282"/>
    <mergeCell ref="BU272:BU282"/>
    <mergeCell ref="BV272:BV282"/>
    <mergeCell ref="BW272:BW282"/>
    <mergeCell ref="BX272:BX282"/>
    <mergeCell ref="BY272:BY282"/>
    <mergeCell ref="BZ272:BZ282"/>
    <mergeCell ref="CA272:CA282"/>
    <mergeCell ref="CB272:CB282"/>
    <mergeCell ref="AM272:AM282"/>
    <mergeCell ref="AN272:AN282"/>
    <mergeCell ref="AO272:AO282"/>
    <mergeCell ref="AP272:AP282"/>
    <mergeCell ref="AQ272:AQ282"/>
    <mergeCell ref="AR272:AR282"/>
    <mergeCell ref="AS272:AS282"/>
    <mergeCell ref="CN283:CN293"/>
    <mergeCell ref="CO283:CO293"/>
    <mergeCell ref="CP283:CP293"/>
    <mergeCell ref="CQ283:CQ293"/>
    <mergeCell ref="CR283:CR293"/>
    <mergeCell ref="CS283:CS293"/>
    <mergeCell ref="CT283:CT293"/>
    <mergeCell ref="CG283:CG293"/>
    <mergeCell ref="CH283:CH293"/>
    <mergeCell ref="CI283:CI293"/>
    <mergeCell ref="CJ283:CJ293"/>
    <mergeCell ref="CK283:CK293"/>
    <mergeCell ref="CL283:CL293"/>
    <mergeCell ref="CM283:CM293"/>
    <mergeCell ref="AQ283:AQ293"/>
    <mergeCell ref="AR283:AR293"/>
    <mergeCell ref="AS283:AS293"/>
    <mergeCell ref="AT283:AT293"/>
    <mergeCell ref="AU283:AU293"/>
    <mergeCell ref="AV283:AV293"/>
    <mergeCell ref="AW283:AW293"/>
    <mergeCell ref="AX283:AX293"/>
    <mergeCell ref="AY283:AY293"/>
    <mergeCell ref="AZ283:AZ293"/>
    <mergeCell ref="BA283:BA293"/>
    <mergeCell ref="BB283:BB293"/>
    <mergeCell ref="BC283:BC293"/>
    <mergeCell ref="BD283:BD293"/>
    <mergeCell ref="BE283:BE293"/>
    <mergeCell ref="BF283:BF293"/>
    <mergeCell ref="BG283:BG293"/>
    <mergeCell ref="BH283:BH293"/>
    <mergeCell ref="BI283:BI293"/>
    <mergeCell ref="BJ283:BJ293"/>
    <mergeCell ref="BK283:BK293"/>
    <mergeCell ref="BL283:BL293"/>
    <mergeCell ref="BM283:BM293"/>
    <mergeCell ref="BN283:BN293"/>
    <mergeCell ref="BO283:BO293"/>
    <mergeCell ref="BP283:BP293"/>
    <mergeCell ref="BQ283:BQ293"/>
    <mergeCell ref="BR283:BR293"/>
    <mergeCell ref="BS283:BS293"/>
    <mergeCell ref="BT283:BT293"/>
    <mergeCell ref="BU283:BU293"/>
    <mergeCell ref="BV283:BV293"/>
    <mergeCell ref="BW283:BW293"/>
    <mergeCell ref="BX283:BX293"/>
    <mergeCell ref="BY283:BY293"/>
    <mergeCell ref="BZ283:BZ293"/>
    <mergeCell ref="CA283:CA293"/>
    <mergeCell ref="CB283:CB293"/>
    <mergeCell ref="CC283:CC293"/>
    <mergeCell ref="CD283:CD293"/>
    <mergeCell ref="CE283:CE293"/>
    <mergeCell ref="CF283:CF293"/>
    <mergeCell ref="AJ283:AJ293"/>
    <mergeCell ref="AK283:AK293"/>
    <mergeCell ref="AL283:AL293"/>
    <mergeCell ref="AM283:AM293"/>
    <mergeCell ref="AN283:AN293"/>
    <mergeCell ref="AO283:AO293"/>
    <mergeCell ref="AP283:AP293"/>
    <mergeCell ref="CN294:CN304"/>
    <mergeCell ref="CO294:CO304"/>
    <mergeCell ref="CP294:CP304"/>
    <mergeCell ref="CQ294:CQ304"/>
    <mergeCell ref="CR294:CR304"/>
    <mergeCell ref="CS294:CS304"/>
    <mergeCell ref="CT294:CT304"/>
    <mergeCell ref="CG294:CG304"/>
    <mergeCell ref="CH294:CH304"/>
    <mergeCell ref="CI294:CI304"/>
    <mergeCell ref="CJ294:CJ304"/>
    <mergeCell ref="CK294:CK304"/>
    <mergeCell ref="CL294:CL304"/>
    <mergeCell ref="CM294:CM304"/>
    <mergeCell ref="AQ294:AQ304"/>
    <mergeCell ref="AR294:AR304"/>
    <mergeCell ref="AS294:AS304"/>
    <mergeCell ref="AT294:AT304"/>
    <mergeCell ref="AU294:AU304"/>
    <mergeCell ref="AV294:AV304"/>
    <mergeCell ref="AW294:AW304"/>
    <mergeCell ref="AX294:AX304"/>
    <mergeCell ref="AY294:AY304"/>
    <mergeCell ref="AZ294:AZ304"/>
    <mergeCell ref="BA294:BA304"/>
    <mergeCell ref="BB294:BB304"/>
    <mergeCell ref="BC294:BC304"/>
    <mergeCell ref="BD294:BD304"/>
    <mergeCell ref="BE294:BE304"/>
    <mergeCell ref="BF294:BF304"/>
    <mergeCell ref="BG294:BG304"/>
    <mergeCell ref="BH294:BH304"/>
    <mergeCell ref="BI294:BI304"/>
    <mergeCell ref="BJ294:BJ304"/>
    <mergeCell ref="BK294:BK304"/>
    <mergeCell ref="BL294:BL304"/>
    <mergeCell ref="BM294:BM304"/>
    <mergeCell ref="BN294:BN304"/>
    <mergeCell ref="BO294:BO304"/>
    <mergeCell ref="BP294:BP304"/>
    <mergeCell ref="BQ294:BQ304"/>
    <mergeCell ref="BR294:BR304"/>
    <mergeCell ref="BS294:BS304"/>
    <mergeCell ref="BT294:BT304"/>
    <mergeCell ref="BU294:BU304"/>
    <mergeCell ref="BV294:BV304"/>
    <mergeCell ref="BW294:BW304"/>
    <mergeCell ref="BX294:BX304"/>
    <mergeCell ref="BY294:BY304"/>
    <mergeCell ref="BZ294:BZ304"/>
    <mergeCell ref="CA294:CA304"/>
    <mergeCell ref="CB294:CB304"/>
    <mergeCell ref="CC294:CC304"/>
    <mergeCell ref="CD294:CD304"/>
    <mergeCell ref="CE294:CE304"/>
    <mergeCell ref="CF294:CF304"/>
    <mergeCell ref="AJ294:AJ304"/>
    <mergeCell ref="AK294:AK304"/>
    <mergeCell ref="AL294:AL304"/>
    <mergeCell ref="AM294:AM304"/>
    <mergeCell ref="AN294:AN304"/>
    <mergeCell ref="AO294:AO304"/>
    <mergeCell ref="AP294:AP304"/>
    <mergeCell ref="AR5:AR7"/>
    <mergeCell ref="AS5:AS7"/>
    <mergeCell ref="AT5:AT7"/>
    <mergeCell ref="AU5:AX5"/>
    <mergeCell ref="AY5:AY6"/>
    <mergeCell ref="AZ5:AZ6"/>
    <mergeCell ref="BA5:BO5"/>
    <mergeCell ref="BP5:BU5"/>
    <mergeCell ref="BV5:BW5"/>
    <mergeCell ref="BX5:CG5"/>
    <mergeCell ref="BV6:BV7"/>
    <mergeCell ref="BW6:BW7"/>
    <mergeCell ref="BX6:CE6"/>
    <mergeCell ref="CF6:CG6"/>
    <mergeCell ref="A6:A7"/>
    <mergeCell ref="B6:B7"/>
    <mergeCell ref="C6:C7"/>
    <mergeCell ref="D6:D7"/>
    <mergeCell ref="A1:AT1"/>
    <mergeCell ref="AU1:CT1"/>
    <mergeCell ref="A2:AT2"/>
    <mergeCell ref="AU2:CT2"/>
    <mergeCell ref="A3:AT3"/>
    <mergeCell ref="AU3:CT3"/>
    <mergeCell ref="A4:AR4"/>
    <mergeCell ref="CH6:CI6"/>
    <mergeCell ref="CJ6:CK6"/>
    <mergeCell ref="CL6:CM6"/>
    <mergeCell ref="CN6:CO6"/>
    <mergeCell ref="CP6:CP7"/>
    <mergeCell ref="CQ6:CQ7"/>
    <mergeCell ref="CR6:CR7"/>
    <mergeCell ref="CS6:CS7"/>
    <mergeCell ref="CT6:CT7"/>
    <mergeCell ref="AU4:CG4"/>
    <mergeCell ref="CH4:CS5"/>
    <mergeCell ref="A5:Z5"/>
    <mergeCell ref="AJ5:AO6"/>
    <mergeCell ref="AP5:AP7"/>
    <mergeCell ref="AQ5:AQ7"/>
    <mergeCell ref="N6:N7"/>
    <mergeCell ref="AW8:AW18"/>
    <mergeCell ref="AX8:AX18"/>
    <mergeCell ref="AP8:AP18"/>
    <mergeCell ref="AQ8:AQ18"/>
    <mergeCell ref="AR8:AR18"/>
    <mergeCell ref="AS8:AS18"/>
    <mergeCell ref="AT8:AT18"/>
    <mergeCell ref="AU8:AU18"/>
    <mergeCell ref="AV8:AV18"/>
    <mergeCell ref="BK8:BK18"/>
    <mergeCell ref="BL8:BL18"/>
    <mergeCell ref="BD8:BD18"/>
    <mergeCell ref="BE8:BE18"/>
    <mergeCell ref="BF8:BF18"/>
    <mergeCell ref="BG8:BG18"/>
    <mergeCell ref="BH8:BH18"/>
    <mergeCell ref="BI8:BI18"/>
    <mergeCell ref="BJ8:BJ18"/>
    <mergeCell ref="BP6:BP7"/>
    <mergeCell ref="BQ6:BS6"/>
    <mergeCell ref="BM8:BM18"/>
    <mergeCell ref="BN8:BN18"/>
    <mergeCell ref="BO8:BO18"/>
    <mergeCell ref="BP8:BP18"/>
    <mergeCell ref="BQ8:BQ18"/>
    <mergeCell ref="BR8:BR18"/>
    <mergeCell ref="BS8:BS18"/>
    <mergeCell ref="BT8:BT18"/>
    <mergeCell ref="BU8:BU18"/>
    <mergeCell ref="BV8:BV18"/>
    <mergeCell ref="BW8:BW18"/>
    <mergeCell ref="BX8:BX18"/>
    <mergeCell ref="CM8:CM18"/>
    <mergeCell ref="CN8:CN18"/>
    <mergeCell ref="CO8:CO18"/>
    <mergeCell ref="CP8:CP18"/>
    <mergeCell ref="CQ8:CQ18"/>
    <mergeCell ref="CR8:CR18"/>
    <mergeCell ref="CS8:CS18"/>
    <mergeCell ref="CT8:CT18"/>
    <mergeCell ref="CF8:CF18"/>
    <mergeCell ref="CG8:CG18"/>
    <mergeCell ref="CH8:CH18"/>
    <mergeCell ref="CI8:CI18"/>
    <mergeCell ref="CJ8:CJ18"/>
    <mergeCell ref="CK8:CK18"/>
    <mergeCell ref="CL8:CL18"/>
    <mergeCell ref="CM19:CM29"/>
    <mergeCell ref="CN19:CN29"/>
    <mergeCell ref="CO19:CO29"/>
    <mergeCell ref="CP19:CP29"/>
    <mergeCell ref="CQ19:CQ29"/>
    <mergeCell ref="CR19:CR29"/>
    <mergeCell ref="CS19:CS29"/>
    <mergeCell ref="CT19:CT29"/>
    <mergeCell ref="CF19:CF29"/>
    <mergeCell ref="CG19:CG29"/>
    <mergeCell ref="CH19:CH29"/>
    <mergeCell ref="CI19:CI29"/>
    <mergeCell ref="CJ19:CJ29"/>
    <mergeCell ref="CK19:CK29"/>
    <mergeCell ref="CL19:CL29"/>
    <mergeCell ref="BH19:BH29"/>
    <mergeCell ref="BI19:BI29"/>
    <mergeCell ref="BA19:BA29"/>
    <mergeCell ref="BB19:BB29"/>
    <mergeCell ref="BC19:BC29"/>
    <mergeCell ref="BD19:BD29"/>
    <mergeCell ref="BE19:BE29"/>
    <mergeCell ref="BF19:BF29"/>
    <mergeCell ref="BG19:BG29"/>
    <mergeCell ref="CQ52:CQ62"/>
    <mergeCell ref="CR52:CR62"/>
    <mergeCell ref="CJ52:CJ62"/>
    <mergeCell ref="CK52:CK62"/>
    <mergeCell ref="CL52:CL62"/>
    <mergeCell ref="CM52:CM62"/>
    <mergeCell ref="CN52:CN62"/>
    <mergeCell ref="CO52:CO62"/>
    <mergeCell ref="CP52:CP62"/>
    <mergeCell ref="AM52:AM62"/>
    <mergeCell ref="AN52:AN62"/>
    <mergeCell ref="AO52:AO62"/>
    <mergeCell ref="AP52:AP62"/>
    <mergeCell ref="AQ52:AQ62"/>
    <mergeCell ref="AR52:AR62"/>
    <mergeCell ref="AS52:AS62"/>
    <mergeCell ref="AT52:AT62"/>
    <mergeCell ref="AU52:AU62"/>
    <mergeCell ref="AV52:AV62"/>
    <mergeCell ref="AW52:AW62"/>
    <mergeCell ref="AX52:AX62"/>
    <mergeCell ref="AY52:AY62"/>
    <mergeCell ref="AZ52:AZ62"/>
    <mergeCell ref="BA52:BA62"/>
    <mergeCell ref="BB52:BB62"/>
    <mergeCell ref="BC52:BC62"/>
    <mergeCell ref="BD52:BD62"/>
    <mergeCell ref="BE52:BE62"/>
    <mergeCell ref="BF52:BF62"/>
    <mergeCell ref="BG52:BG62"/>
    <mergeCell ref="BH52:BH62"/>
    <mergeCell ref="BI52:BI62"/>
    <mergeCell ref="BJ52:BJ62"/>
    <mergeCell ref="BK52:BK62"/>
    <mergeCell ref="BL52:BL62"/>
    <mergeCell ref="BM52:BM62"/>
    <mergeCell ref="BN52:BN62"/>
    <mergeCell ref="BO52:BO62"/>
    <mergeCell ref="BP52:BP62"/>
    <mergeCell ref="BQ52:BQ62"/>
    <mergeCell ref="BR52:BR62"/>
    <mergeCell ref="BS52:BS62"/>
    <mergeCell ref="BT52:BT62"/>
    <mergeCell ref="BU52:BU62"/>
    <mergeCell ref="BV52:BV62"/>
    <mergeCell ref="BW52:BW62"/>
    <mergeCell ref="BX52:BX62"/>
    <mergeCell ref="BY52:BY62"/>
    <mergeCell ref="BZ52:BZ62"/>
    <mergeCell ref="CA52:CA62"/>
    <mergeCell ref="CB52:CB62"/>
    <mergeCell ref="CC52:CC62"/>
    <mergeCell ref="CD52:CD62"/>
    <mergeCell ref="CE52:CE62"/>
    <mergeCell ref="CF52:CF62"/>
    <mergeCell ref="CG52:CG62"/>
    <mergeCell ref="CH52:CH62"/>
    <mergeCell ref="CI52:CI62"/>
    <mergeCell ref="AU6:AU7"/>
    <mergeCell ref="AV6:AV7"/>
    <mergeCell ref="BA6:BI6"/>
    <mergeCell ref="BL6:BN6"/>
    <mergeCell ref="BT6:BT7"/>
    <mergeCell ref="BU6:BU7"/>
    <mergeCell ref="E6:L6"/>
    <mergeCell ref="M6:M7"/>
    <mergeCell ref="A8:A18"/>
    <mergeCell ref="B8:B18"/>
    <mergeCell ref="P8:P18"/>
    <mergeCell ref="Q8:Q18"/>
    <mergeCell ref="R8:R18"/>
    <mergeCell ref="AA5:AI6"/>
    <mergeCell ref="Z6:Z7"/>
    <mergeCell ref="AK8:AK18"/>
    <mergeCell ref="AL8:AL18"/>
    <mergeCell ref="AM8:AM18"/>
    <mergeCell ref="AN8:AN18"/>
    <mergeCell ref="AO8:AO18"/>
    <mergeCell ref="AW6:AW7"/>
    <mergeCell ref="AX6:AX7"/>
    <mergeCell ref="AY8:AY18"/>
    <mergeCell ref="AZ8:AZ18"/>
    <mergeCell ref="BA8:BA18"/>
    <mergeCell ref="BB8:BB18"/>
    <mergeCell ref="BC8:BC18"/>
    <mergeCell ref="BY8:BY18"/>
    <mergeCell ref="BZ8:BZ18"/>
    <mergeCell ref="CA8:CA18"/>
    <mergeCell ref="CB8:CB18"/>
    <mergeCell ref="CC8:CC18"/>
    <mergeCell ref="CD8:CD18"/>
    <mergeCell ref="CE8:CE18"/>
    <mergeCell ref="BJ19:BJ29"/>
    <mergeCell ref="BK19:BK29"/>
    <mergeCell ref="BL19:BL29"/>
    <mergeCell ref="BM19:BM29"/>
    <mergeCell ref="BN19:BN29"/>
    <mergeCell ref="BO19:BO29"/>
    <mergeCell ref="BP19:BP29"/>
    <mergeCell ref="BX19:BX29"/>
    <mergeCell ref="BY19:BY29"/>
    <mergeCell ref="BZ19:BZ29"/>
    <mergeCell ref="CA19:CA29"/>
    <mergeCell ref="CB19:CB29"/>
    <mergeCell ref="CC19:CC29"/>
    <mergeCell ref="CD19:CD29"/>
    <mergeCell ref="CE19:CE29"/>
    <mergeCell ref="BQ19:BQ29"/>
    <mergeCell ref="BR19:BR29"/>
    <mergeCell ref="BS19:BS29"/>
    <mergeCell ref="BT19:BT29"/>
    <mergeCell ref="BU19:BU29"/>
    <mergeCell ref="BV19:BV29"/>
    <mergeCell ref="BW19:BW29"/>
    <mergeCell ref="AQ30:AQ40"/>
    <mergeCell ref="AR30:AR40"/>
    <mergeCell ref="AS30:AS40"/>
    <mergeCell ref="AT30:AT40"/>
    <mergeCell ref="AU30:AU40"/>
    <mergeCell ref="AV30:AV40"/>
    <mergeCell ref="AW30:AW40"/>
    <mergeCell ref="AX30:AX40"/>
    <mergeCell ref="AY30:AY40"/>
    <mergeCell ref="BA30:BA40"/>
    <mergeCell ref="BB30:BB40"/>
    <mergeCell ref="BC30:BC40"/>
    <mergeCell ref="BD30:BD40"/>
    <mergeCell ref="BE30:BE40"/>
    <mergeCell ref="BF30:BF40"/>
    <mergeCell ref="BG30:BG40"/>
    <mergeCell ref="BH30:BH40"/>
    <mergeCell ref="BI30:BI40"/>
    <mergeCell ref="BJ30:BJ40"/>
    <mergeCell ref="BK30:BK40"/>
    <mergeCell ref="BL30:BL40"/>
    <mergeCell ref="BM30:BM40"/>
    <mergeCell ref="BN30:BN40"/>
    <mergeCell ref="BO30:BO40"/>
    <mergeCell ref="BP30:BP40"/>
    <mergeCell ref="BQ30:BQ40"/>
    <mergeCell ref="BR30:BR40"/>
    <mergeCell ref="BS30:BS40"/>
    <mergeCell ref="BT30:BT40"/>
    <mergeCell ref="BU30:BU40"/>
    <mergeCell ref="BV30:BV40"/>
    <mergeCell ref="BW30:BW40"/>
    <mergeCell ref="BX30:BX40"/>
    <mergeCell ref="BY30:BY40"/>
    <mergeCell ref="BZ30:BZ40"/>
    <mergeCell ref="CA30:CA40"/>
    <mergeCell ref="CB30:CB40"/>
    <mergeCell ref="CC30:CC40"/>
    <mergeCell ref="CD30:CD40"/>
    <mergeCell ref="CE30:CE40"/>
    <mergeCell ref="CF30:CF40"/>
    <mergeCell ref="CG30:CG40"/>
    <mergeCell ref="CO30:CO40"/>
    <mergeCell ref="CP30:CP40"/>
    <mergeCell ref="CQ30:CQ40"/>
    <mergeCell ref="CR30:CR40"/>
    <mergeCell ref="CS30:CS40"/>
    <mergeCell ref="CT30:CT40"/>
    <mergeCell ref="CH30:CH40"/>
    <mergeCell ref="CI30:CI40"/>
    <mergeCell ref="CJ30:CJ40"/>
    <mergeCell ref="CK30:CK40"/>
    <mergeCell ref="CL30:CL40"/>
    <mergeCell ref="CM30:CM40"/>
    <mergeCell ref="CN30:CN40"/>
    <mergeCell ref="Z8:Z18"/>
    <mergeCell ref="AJ8:AJ18"/>
    <mergeCell ref="A19:A29"/>
    <mergeCell ref="B19:B29"/>
    <mergeCell ref="A30:A40"/>
    <mergeCell ref="B30:B40"/>
    <mergeCell ref="S8:S18"/>
    <mergeCell ref="T8:T18"/>
    <mergeCell ref="U8:U18"/>
    <mergeCell ref="V8:V18"/>
    <mergeCell ref="W8:W18"/>
    <mergeCell ref="X8:X18"/>
    <mergeCell ref="Y8:Y18"/>
    <mergeCell ref="W19:W29"/>
    <mergeCell ref="X19:X29"/>
    <mergeCell ref="Y19:Y29"/>
    <mergeCell ref="Z19:Z29"/>
    <mergeCell ref="AJ19:AJ29"/>
    <mergeCell ref="AK19:AK29"/>
    <mergeCell ref="AL19:AL29"/>
    <mergeCell ref="AT19:AT29"/>
    <mergeCell ref="AU19:AU29"/>
    <mergeCell ref="AV19:AV29"/>
    <mergeCell ref="AW19:AW29"/>
    <mergeCell ref="AX19:AX29"/>
    <mergeCell ref="AY19:AY29"/>
    <mergeCell ref="AZ19:AZ29"/>
    <mergeCell ref="AZ30:AZ40"/>
    <mergeCell ref="P19:P29"/>
    <mergeCell ref="Q19:Q29"/>
    <mergeCell ref="R19:R29"/>
    <mergeCell ref="S19:S29"/>
    <mergeCell ref="T19:T29"/>
    <mergeCell ref="U19:U29"/>
    <mergeCell ref="V19:V29"/>
    <mergeCell ref="AM19:AM29"/>
    <mergeCell ref="AN19:AN29"/>
    <mergeCell ref="AO19:AO29"/>
    <mergeCell ref="AP19:AP29"/>
    <mergeCell ref="AQ19:AQ29"/>
    <mergeCell ref="AR19:AR29"/>
    <mergeCell ref="AS19:AS29"/>
    <mergeCell ref="BX41:BX51"/>
    <mergeCell ref="BY41:BY51"/>
    <mergeCell ref="BZ41:BZ51"/>
    <mergeCell ref="CA41:CA51"/>
    <mergeCell ref="CB41:CB51"/>
    <mergeCell ref="CC41:CC51"/>
    <mergeCell ref="CD41:CD51"/>
    <mergeCell ref="CE41:CE51"/>
    <mergeCell ref="CF41:CF51"/>
    <mergeCell ref="CG41:CG51"/>
    <mergeCell ref="CH41:CH51"/>
    <mergeCell ref="CI41:CI51"/>
    <mergeCell ref="CJ41:CJ51"/>
    <mergeCell ref="CK41:CK51"/>
    <mergeCell ref="CS41:CS51"/>
    <mergeCell ref="CT41:CT51"/>
    <mergeCell ref="CS52:CS62"/>
    <mergeCell ref="CT52:CT62"/>
    <mergeCell ref="CL41:CL51"/>
    <mergeCell ref="CM41:CM51"/>
    <mergeCell ref="CN41:CN51"/>
    <mergeCell ref="CO41:CO51"/>
    <mergeCell ref="CP41:CP51"/>
    <mergeCell ref="CQ41:CQ51"/>
    <mergeCell ref="CR41:CR51"/>
    <mergeCell ref="Y30:Y40"/>
    <mergeCell ref="Z30:Z40"/>
    <mergeCell ref="AJ30:AJ40"/>
    <mergeCell ref="AK30:AK40"/>
    <mergeCell ref="AL30:AL40"/>
    <mergeCell ref="AM30:AM40"/>
    <mergeCell ref="AN30:AN40"/>
    <mergeCell ref="AO30:AO40"/>
    <mergeCell ref="AP30:AP40"/>
    <mergeCell ref="AJ41:AJ51"/>
    <mergeCell ref="AK41:AK51"/>
    <mergeCell ref="AL41:AL51"/>
    <mergeCell ref="AM41:AM51"/>
    <mergeCell ref="AN41:AN51"/>
    <mergeCell ref="AO41:AO51"/>
    <mergeCell ref="AP41:AP51"/>
    <mergeCell ref="AQ41:AQ51"/>
    <mergeCell ref="AR41:AR51"/>
    <mergeCell ref="AS41:AS51"/>
    <mergeCell ref="AT41:AT51"/>
    <mergeCell ref="AU41:AU51"/>
    <mergeCell ref="AV41:AV51"/>
    <mergeCell ref="AW41:AW51"/>
    <mergeCell ref="AX41:AX51"/>
    <mergeCell ref="AY41:AY51"/>
    <mergeCell ref="AZ41:AZ51"/>
    <mergeCell ref="BA41:BA51"/>
    <mergeCell ref="BB41:BB51"/>
    <mergeCell ref="BC41:BC51"/>
    <mergeCell ref="BD41:BD51"/>
    <mergeCell ref="BE41:BE51"/>
    <mergeCell ref="BF41:BF51"/>
    <mergeCell ref="BG41:BG51"/>
    <mergeCell ref="BH41:BH51"/>
    <mergeCell ref="BI41:BI51"/>
    <mergeCell ref="BJ41:BJ51"/>
    <mergeCell ref="BK41:BK51"/>
    <mergeCell ref="BL41:BL51"/>
    <mergeCell ref="BM41:BM51"/>
    <mergeCell ref="BN41:BN51"/>
    <mergeCell ref="BO41:BO51"/>
    <mergeCell ref="BP41:BP51"/>
    <mergeCell ref="BQ41:BQ51"/>
    <mergeCell ref="BR41:BR51"/>
    <mergeCell ref="BS41:BS51"/>
    <mergeCell ref="BT41:BT51"/>
    <mergeCell ref="BU41:BU51"/>
    <mergeCell ref="BV41:BV51"/>
    <mergeCell ref="BW41:BW51"/>
    <mergeCell ref="CN63:CN73"/>
    <mergeCell ref="CO63:CO73"/>
    <mergeCell ref="CP63:CP73"/>
    <mergeCell ref="CQ63:CQ73"/>
    <mergeCell ref="CR63:CR73"/>
    <mergeCell ref="CS63:CS73"/>
    <mergeCell ref="CT63:CT73"/>
    <mergeCell ref="CG63:CG73"/>
    <mergeCell ref="CH63:CH73"/>
    <mergeCell ref="CI63:CI73"/>
    <mergeCell ref="CJ63:CJ73"/>
    <mergeCell ref="CK63:CK73"/>
    <mergeCell ref="CL63:CL73"/>
    <mergeCell ref="CM63:CM73"/>
    <mergeCell ref="AJ63:AJ73"/>
    <mergeCell ref="AK63:AK73"/>
    <mergeCell ref="AL63:AL73"/>
    <mergeCell ref="AM63:AM73"/>
    <mergeCell ref="AN63:AN73"/>
    <mergeCell ref="AO63:AO73"/>
    <mergeCell ref="AP63:AP73"/>
    <mergeCell ref="AQ63:AQ73"/>
    <mergeCell ref="AR63:AR73"/>
    <mergeCell ref="AS63:AS73"/>
    <mergeCell ref="AT63:AT73"/>
    <mergeCell ref="AU63:AU73"/>
    <mergeCell ref="AV63:AV73"/>
    <mergeCell ref="AW63:AW73"/>
    <mergeCell ref="AX63:AX73"/>
    <mergeCell ref="AY63:AY73"/>
    <mergeCell ref="AZ63:AZ73"/>
    <mergeCell ref="BA63:BA73"/>
    <mergeCell ref="BB63:BB73"/>
    <mergeCell ref="BC63:BC73"/>
    <mergeCell ref="BD63:BD73"/>
    <mergeCell ref="BE63:BE73"/>
    <mergeCell ref="BF63:BF73"/>
    <mergeCell ref="BG63:BG73"/>
    <mergeCell ref="BH63:BH73"/>
    <mergeCell ref="BI63:BI73"/>
    <mergeCell ref="BJ63:BJ73"/>
    <mergeCell ref="BK63:BK73"/>
    <mergeCell ref="BL63:BL73"/>
    <mergeCell ref="BM63:BM73"/>
    <mergeCell ref="BN63:BN73"/>
    <mergeCell ref="BO63:BO73"/>
    <mergeCell ref="BP63:BP73"/>
    <mergeCell ref="BQ63:BQ73"/>
    <mergeCell ref="BR63:BR73"/>
    <mergeCell ref="BS63:BS73"/>
    <mergeCell ref="BT63:BT73"/>
    <mergeCell ref="BU63:BU73"/>
    <mergeCell ref="BV63:BV73"/>
    <mergeCell ref="BW63:BW73"/>
    <mergeCell ref="BX63:BX73"/>
    <mergeCell ref="BY63:BY73"/>
    <mergeCell ref="BZ63:BZ73"/>
    <mergeCell ref="CA63:CA73"/>
    <mergeCell ref="CB63:CB73"/>
    <mergeCell ref="CC63:CC73"/>
    <mergeCell ref="CD63:CD73"/>
    <mergeCell ref="CE63:CE73"/>
    <mergeCell ref="CF63:CF73"/>
    <mergeCell ref="W63:W73"/>
    <mergeCell ref="X63:X73"/>
    <mergeCell ref="P63:P73"/>
    <mergeCell ref="Q63:Q73"/>
    <mergeCell ref="R63:R73"/>
    <mergeCell ref="S63:S73"/>
    <mergeCell ref="T63:T73"/>
    <mergeCell ref="U63:U73"/>
    <mergeCell ref="V63:V73"/>
    <mergeCell ref="CN74:CN84"/>
    <mergeCell ref="CO74:CO84"/>
    <mergeCell ref="CP74:CP84"/>
    <mergeCell ref="CQ74:CQ84"/>
    <mergeCell ref="CR74:CR84"/>
    <mergeCell ref="CS74:CS84"/>
    <mergeCell ref="CT74:CT84"/>
    <mergeCell ref="CG74:CG84"/>
    <mergeCell ref="CH74:CH84"/>
    <mergeCell ref="CI74:CI84"/>
    <mergeCell ref="CJ74:CJ84"/>
    <mergeCell ref="CK74:CK84"/>
    <mergeCell ref="CL74:CL84"/>
    <mergeCell ref="CM74:CM84"/>
    <mergeCell ref="AJ74:AJ84"/>
    <mergeCell ref="AK74:AK84"/>
    <mergeCell ref="AL74:AL84"/>
    <mergeCell ref="AM74:AM84"/>
    <mergeCell ref="AN74:AN84"/>
    <mergeCell ref="AO74:AO84"/>
    <mergeCell ref="AP74:AP84"/>
    <mergeCell ref="AQ74:AQ84"/>
    <mergeCell ref="AR74:AR84"/>
    <mergeCell ref="AS74:AS84"/>
    <mergeCell ref="AT74:AT84"/>
    <mergeCell ref="AU74:AU84"/>
    <mergeCell ref="AV74:AV84"/>
    <mergeCell ref="AW74:AW84"/>
    <mergeCell ref="AX74:AX84"/>
    <mergeCell ref="AY74:AY84"/>
    <mergeCell ref="AZ74:AZ84"/>
    <mergeCell ref="BA74:BA84"/>
    <mergeCell ref="BB74:BB84"/>
    <mergeCell ref="BC74:BC84"/>
    <mergeCell ref="BD74:BD84"/>
    <mergeCell ref="BE74:BE84"/>
    <mergeCell ref="BF74:BF84"/>
    <mergeCell ref="BG74:BG84"/>
    <mergeCell ref="BH74:BH84"/>
    <mergeCell ref="BI74:BI84"/>
    <mergeCell ref="BJ74:BJ84"/>
    <mergeCell ref="BK74:BK84"/>
    <mergeCell ref="BL74:BL84"/>
    <mergeCell ref="BM74:BM84"/>
    <mergeCell ref="BN74:BN84"/>
    <mergeCell ref="BO74:BO84"/>
    <mergeCell ref="BP74:BP84"/>
    <mergeCell ref="BQ74:BQ84"/>
    <mergeCell ref="BR74:BR84"/>
    <mergeCell ref="BS74:BS84"/>
    <mergeCell ref="BT74:BT84"/>
    <mergeCell ref="BU74:BU84"/>
    <mergeCell ref="BV74:BV84"/>
    <mergeCell ref="BW74:BW84"/>
    <mergeCell ref="BX74:BX84"/>
    <mergeCell ref="BY74:BY84"/>
    <mergeCell ref="BZ74:BZ84"/>
    <mergeCell ref="CA74:CA84"/>
    <mergeCell ref="CB74:CB84"/>
    <mergeCell ref="CC74:CC84"/>
    <mergeCell ref="CD74:CD84"/>
    <mergeCell ref="CE74:CE84"/>
    <mergeCell ref="CF74:CF84"/>
    <mergeCell ref="W52:W62"/>
    <mergeCell ref="X52:X62"/>
    <mergeCell ref="Y52:Y62"/>
    <mergeCell ref="Z52:Z62"/>
    <mergeCell ref="AJ52:AJ62"/>
    <mergeCell ref="AK52:AK62"/>
    <mergeCell ref="AL52:AL62"/>
    <mergeCell ref="P52:P62"/>
    <mergeCell ref="Q52:Q62"/>
    <mergeCell ref="R52:R62"/>
    <mergeCell ref="S52:S62"/>
    <mergeCell ref="T52:T62"/>
    <mergeCell ref="U52:U62"/>
    <mergeCell ref="V52:V62"/>
    <mergeCell ref="BX85:BX95"/>
    <mergeCell ref="BY85:BY95"/>
    <mergeCell ref="BZ85:BZ95"/>
    <mergeCell ref="CA85:CA95"/>
    <mergeCell ref="CB85:CB95"/>
    <mergeCell ref="CC85:CC95"/>
    <mergeCell ref="CD85:CD95"/>
    <mergeCell ref="CE85:CE95"/>
    <mergeCell ref="CF85:CF95"/>
    <mergeCell ref="CG85:CG95"/>
    <mergeCell ref="CH85:CH95"/>
    <mergeCell ref="CI85:CI95"/>
    <mergeCell ref="CJ85:CJ95"/>
    <mergeCell ref="CK85:CK95"/>
    <mergeCell ref="CS85:CS95"/>
    <mergeCell ref="CT85:CT95"/>
    <mergeCell ref="CP96:CP106"/>
    <mergeCell ref="CQ96:CQ106"/>
    <mergeCell ref="CR96:CR106"/>
    <mergeCell ref="CS96:CS106"/>
    <mergeCell ref="CT96:CT106"/>
    <mergeCell ref="CL85:CL95"/>
    <mergeCell ref="CM85:CM95"/>
    <mergeCell ref="CN85:CN95"/>
    <mergeCell ref="CO85:CO95"/>
    <mergeCell ref="CP85:CP95"/>
    <mergeCell ref="CQ85:CQ95"/>
    <mergeCell ref="CR85:CR95"/>
    <mergeCell ref="A74:A84"/>
    <mergeCell ref="A85:A95"/>
    <mergeCell ref="A96:A106"/>
    <mergeCell ref="A41:A51"/>
    <mergeCell ref="B41:B51"/>
    <mergeCell ref="A52:A62"/>
    <mergeCell ref="B52:B62"/>
    <mergeCell ref="A63:A73"/>
    <mergeCell ref="B63:B73"/>
    <mergeCell ref="B74:B84"/>
    <mergeCell ref="P74:P84"/>
    <mergeCell ref="Q74:Q84"/>
    <mergeCell ref="R74:R84"/>
    <mergeCell ref="S74:S84"/>
    <mergeCell ref="T74:T84"/>
    <mergeCell ref="U74:U84"/>
    <mergeCell ref="V74:V84"/>
    <mergeCell ref="W74:W84"/>
    <mergeCell ref="X74:X84"/>
    <mergeCell ref="AJ85:AJ95"/>
    <mergeCell ref="AK85:AK95"/>
    <mergeCell ref="AL85:AL95"/>
    <mergeCell ref="AM85:AM95"/>
    <mergeCell ref="AN85:AN95"/>
    <mergeCell ref="AV85:AV95"/>
    <mergeCell ref="AW85:AW95"/>
    <mergeCell ref="AX85:AX95"/>
    <mergeCell ref="AY85:AY95"/>
    <mergeCell ref="AZ85:AZ95"/>
    <mergeCell ref="BA85:BA95"/>
    <mergeCell ref="BB85:BB95"/>
    <mergeCell ref="BC85:BC95"/>
    <mergeCell ref="BD85:BD95"/>
    <mergeCell ref="BE85:BE95"/>
    <mergeCell ref="BF85:BF95"/>
    <mergeCell ref="BG85:BG95"/>
    <mergeCell ref="BH85:BH95"/>
    <mergeCell ref="BI85:BI95"/>
    <mergeCell ref="BJ85:BJ95"/>
    <mergeCell ref="BK85:BK95"/>
    <mergeCell ref="BL85:BL95"/>
    <mergeCell ref="BM85:BM95"/>
    <mergeCell ref="BN85:BN95"/>
    <mergeCell ref="BO85:BO95"/>
    <mergeCell ref="BP85:BP95"/>
    <mergeCell ref="BQ85:BQ95"/>
    <mergeCell ref="BR85:BR95"/>
    <mergeCell ref="BS85:BS95"/>
    <mergeCell ref="BT85:BT95"/>
    <mergeCell ref="BU85:BU95"/>
    <mergeCell ref="BV85:BV95"/>
    <mergeCell ref="BW85:BW95"/>
    <mergeCell ref="AO85:AO95"/>
    <mergeCell ref="AP85:AP95"/>
    <mergeCell ref="AQ85:AQ95"/>
    <mergeCell ref="AR85:AR95"/>
    <mergeCell ref="AS85:AS95"/>
    <mergeCell ref="AT85:AT95"/>
    <mergeCell ref="AU85:AU95"/>
    <mergeCell ref="CN129:CN139"/>
    <mergeCell ref="CO129:CO139"/>
    <mergeCell ref="CP129:CP139"/>
    <mergeCell ref="CQ129:CQ139"/>
    <mergeCell ref="CR129:CR139"/>
    <mergeCell ref="CS129:CS139"/>
    <mergeCell ref="CT129:CT139"/>
    <mergeCell ref="CG129:CG139"/>
    <mergeCell ref="CH129:CH139"/>
    <mergeCell ref="CI129:CI139"/>
    <mergeCell ref="CJ129:CJ139"/>
    <mergeCell ref="CK129:CK139"/>
    <mergeCell ref="CL129:CL139"/>
    <mergeCell ref="CM129:CM139"/>
    <mergeCell ref="AQ129:AQ139"/>
    <mergeCell ref="AR129:AR139"/>
    <mergeCell ref="AS129:AS139"/>
    <mergeCell ref="AT129:AT139"/>
    <mergeCell ref="AU129:AU139"/>
    <mergeCell ref="AV129:AV139"/>
    <mergeCell ref="AW129:AW139"/>
    <mergeCell ref="AX129:AX139"/>
    <mergeCell ref="AY129:AY139"/>
    <mergeCell ref="AZ129:AZ139"/>
    <mergeCell ref="BA129:BA139"/>
    <mergeCell ref="BB129:BB139"/>
    <mergeCell ref="BC129:BC139"/>
    <mergeCell ref="BD129:BD139"/>
    <mergeCell ref="BE129:BE139"/>
    <mergeCell ref="BF129:BF139"/>
    <mergeCell ref="BG129:BG139"/>
    <mergeCell ref="BH129:BH139"/>
    <mergeCell ref="BI129:BI139"/>
    <mergeCell ref="BJ129:BJ139"/>
    <mergeCell ref="BK129:BK139"/>
    <mergeCell ref="BL129:BL139"/>
    <mergeCell ref="BM129:BM139"/>
    <mergeCell ref="BN129:BN139"/>
    <mergeCell ref="BO129:BO139"/>
    <mergeCell ref="BP129:BP139"/>
    <mergeCell ref="BQ129:BQ139"/>
    <mergeCell ref="BR129:BR139"/>
    <mergeCell ref="BS129:BS139"/>
    <mergeCell ref="BT129:BT139"/>
    <mergeCell ref="BU129:BU139"/>
    <mergeCell ref="BV129:BV139"/>
    <mergeCell ref="BW129:BW139"/>
    <mergeCell ref="BX129:BX139"/>
    <mergeCell ref="BY129:BY139"/>
    <mergeCell ref="BZ129:BZ139"/>
    <mergeCell ref="CA129:CA139"/>
    <mergeCell ref="CB129:CB139"/>
    <mergeCell ref="CC129:CC139"/>
    <mergeCell ref="CD129:CD139"/>
    <mergeCell ref="CE129:CE139"/>
    <mergeCell ref="CF129:CF139"/>
    <mergeCell ref="AJ129:AJ139"/>
    <mergeCell ref="AK129:AK139"/>
    <mergeCell ref="AL129:AL139"/>
    <mergeCell ref="AM129:AM139"/>
    <mergeCell ref="AN129:AN139"/>
    <mergeCell ref="AO129:AO139"/>
    <mergeCell ref="AP129:AP139"/>
    <mergeCell ref="CN140:CN150"/>
    <mergeCell ref="CO140:CO150"/>
    <mergeCell ref="CP140:CP150"/>
    <mergeCell ref="CQ140:CQ150"/>
    <mergeCell ref="CR140:CR150"/>
    <mergeCell ref="CS140:CS150"/>
    <mergeCell ref="CT140:CT150"/>
    <mergeCell ref="CG140:CG150"/>
    <mergeCell ref="CH140:CH150"/>
    <mergeCell ref="CI140:CI150"/>
    <mergeCell ref="CJ140:CJ150"/>
    <mergeCell ref="CK140:CK150"/>
    <mergeCell ref="CL140:CL150"/>
    <mergeCell ref="CM140:CM150"/>
    <mergeCell ref="AQ140:AQ150"/>
    <mergeCell ref="AR140:AR150"/>
    <mergeCell ref="AS140:AS150"/>
    <mergeCell ref="AT140:AT150"/>
    <mergeCell ref="AU140:AU150"/>
    <mergeCell ref="AV140:AV150"/>
    <mergeCell ref="AW140:AW150"/>
    <mergeCell ref="AX140:AX150"/>
    <mergeCell ref="AY140:AY150"/>
    <mergeCell ref="AZ140:AZ150"/>
    <mergeCell ref="BA140:BA150"/>
    <mergeCell ref="BB140:BB150"/>
    <mergeCell ref="BC140:BC150"/>
    <mergeCell ref="BD140:BD150"/>
    <mergeCell ref="BE140:BE150"/>
    <mergeCell ref="BF140:BF150"/>
    <mergeCell ref="BG140:BG150"/>
    <mergeCell ref="BH140:BH150"/>
    <mergeCell ref="BI140:BI150"/>
    <mergeCell ref="BJ140:BJ150"/>
    <mergeCell ref="BK140:BK150"/>
    <mergeCell ref="BL140:BL150"/>
    <mergeCell ref="BM140:BM150"/>
    <mergeCell ref="BN140:BN150"/>
    <mergeCell ref="BO140:BO150"/>
    <mergeCell ref="BP140:BP150"/>
    <mergeCell ref="BQ140:BQ150"/>
    <mergeCell ref="BR140:BR150"/>
    <mergeCell ref="BS140:BS150"/>
    <mergeCell ref="BT140:BT150"/>
    <mergeCell ref="BU140:BU150"/>
    <mergeCell ref="BV140:BV150"/>
    <mergeCell ref="BW140:BW150"/>
    <mergeCell ref="BX140:BX150"/>
    <mergeCell ref="BY140:BY150"/>
    <mergeCell ref="BZ140:BZ150"/>
    <mergeCell ref="CA140:CA150"/>
    <mergeCell ref="CB140:CB150"/>
    <mergeCell ref="CC140:CC150"/>
    <mergeCell ref="CD140:CD150"/>
    <mergeCell ref="CE140:CE150"/>
    <mergeCell ref="CF140:CF150"/>
    <mergeCell ref="AJ140:AJ150"/>
    <mergeCell ref="AK140:AK150"/>
    <mergeCell ref="AL140:AL150"/>
    <mergeCell ref="AM140:AM150"/>
    <mergeCell ref="AN140:AN150"/>
    <mergeCell ref="AO140:AO150"/>
    <mergeCell ref="AP140:AP150"/>
    <mergeCell ref="W96:W106"/>
    <mergeCell ref="X96:X106"/>
    <mergeCell ref="P96:P106"/>
    <mergeCell ref="Q96:Q106"/>
    <mergeCell ref="R96:R106"/>
    <mergeCell ref="S96:S106"/>
    <mergeCell ref="T96:T106"/>
    <mergeCell ref="U96:U106"/>
    <mergeCell ref="V96:V106"/>
    <mergeCell ref="W107:W117"/>
    <mergeCell ref="X107:X117"/>
    <mergeCell ref="P107:P117"/>
    <mergeCell ref="Q107:Q117"/>
    <mergeCell ref="R107:R117"/>
    <mergeCell ref="S107:S117"/>
    <mergeCell ref="T107:T117"/>
    <mergeCell ref="U107:U117"/>
    <mergeCell ref="V107:V117"/>
    <mergeCell ref="W118:W128"/>
    <mergeCell ref="X118:X128"/>
    <mergeCell ref="P118:P128"/>
    <mergeCell ref="Q118:Q128"/>
    <mergeCell ref="R118:R128"/>
    <mergeCell ref="S118:S128"/>
    <mergeCell ref="T118:T128"/>
    <mergeCell ref="U118:U128"/>
    <mergeCell ref="V118:V128"/>
    <mergeCell ref="W85:W95"/>
    <mergeCell ref="X85:X95"/>
    <mergeCell ref="Y85:Y95"/>
    <mergeCell ref="Z85:Z95"/>
    <mergeCell ref="Y96:Y106"/>
    <mergeCell ref="Z96:Z106"/>
    <mergeCell ref="Z107:Z117"/>
    <mergeCell ref="P85:P95"/>
    <mergeCell ref="Q85:Q95"/>
    <mergeCell ref="R85:R95"/>
    <mergeCell ref="S85:S95"/>
    <mergeCell ref="T85:T95"/>
    <mergeCell ref="U85:U95"/>
    <mergeCell ref="V85:V95"/>
    <mergeCell ref="B85:B95"/>
    <mergeCell ref="B96:B106"/>
    <mergeCell ref="A107:A117"/>
    <mergeCell ref="B107:B117"/>
    <mergeCell ref="A118:A128"/>
    <mergeCell ref="B118:B128"/>
    <mergeCell ref="B129:B139"/>
    <mergeCell ref="A129:A139"/>
    <mergeCell ref="A140:A150"/>
    <mergeCell ref="A151:A161"/>
    <mergeCell ref="A162:A172"/>
    <mergeCell ref="A173:A183"/>
    <mergeCell ref="A184:A194"/>
    <mergeCell ref="A195:A205"/>
    <mergeCell ref="B140:B150"/>
    <mergeCell ref="B151:B161"/>
    <mergeCell ref="B162:B172"/>
    <mergeCell ref="B173:B183"/>
    <mergeCell ref="B184:B194"/>
    <mergeCell ref="B195:B205"/>
    <mergeCell ref="B206:B216"/>
    <mergeCell ref="A283:A293"/>
    <mergeCell ref="A294:A304"/>
    <mergeCell ref="A305:A315"/>
    <mergeCell ref="A206:A216"/>
    <mergeCell ref="A217:A227"/>
    <mergeCell ref="A228:A238"/>
    <mergeCell ref="A239:A249"/>
    <mergeCell ref="A250:A260"/>
    <mergeCell ref="A261:A271"/>
    <mergeCell ref="A272:A282"/>
    <mergeCell ref="B294:B304"/>
    <mergeCell ref="B305:B315"/>
    <mergeCell ref="B217:B227"/>
    <mergeCell ref="B228:B238"/>
    <mergeCell ref="B239:B249"/>
    <mergeCell ref="B250:B260"/>
    <mergeCell ref="B261:B271"/>
    <mergeCell ref="B272:B282"/>
    <mergeCell ref="B283:B293"/>
    <mergeCell ref="W30:W40"/>
    <mergeCell ref="X30:X40"/>
    <mergeCell ref="P30:P40"/>
    <mergeCell ref="Q30:Q40"/>
    <mergeCell ref="R30:R40"/>
    <mergeCell ref="S30:S40"/>
    <mergeCell ref="T30:T40"/>
    <mergeCell ref="U30:U40"/>
    <mergeCell ref="V30:V40"/>
    <mergeCell ref="W41:W51"/>
    <mergeCell ref="X41:X51"/>
    <mergeCell ref="Y41:Y51"/>
    <mergeCell ref="Z41:Z51"/>
    <mergeCell ref="Y63:Y73"/>
    <mergeCell ref="Z63:Z73"/>
    <mergeCell ref="Y74:Y84"/>
    <mergeCell ref="Z74:Z84"/>
    <mergeCell ref="P41:P51"/>
    <mergeCell ref="Q41:Q51"/>
    <mergeCell ref="R41:R51"/>
    <mergeCell ref="S41:S51"/>
    <mergeCell ref="T41:T51"/>
    <mergeCell ref="U41:U51"/>
    <mergeCell ref="V41:V51"/>
    <mergeCell ref="Y107:Y117"/>
    <mergeCell ref="Y118:Y128"/>
    <mergeCell ref="Z118:Z128"/>
    <mergeCell ref="W129:W139"/>
    <mergeCell ref="X129:X139"/>
    <mergeCell ref="Y129:Y139"/>
    <mergeCell ref="Z129:Z139"/>
    <mergeCell ref="P129:P139"/>
    <mergeCell ref="Q129:Q139"/>
    <mergeCell ref="R129:R139"/>
    <mergeCell ref="S129:S139"/>
    <mergeCell ref="T129:T139"/>
    <mergeCell ref="U129:U139"/>
    <mergeCell ref="V129:V139"/>
    <mergeCell ref="W283:W293"/>
    <mergeCell ref="X283:X293"/>
    <mergeCell ref="Y283:Y293"/>
    <mergeCell ref="Z283:Z293"/>
    <mergeCell ref="P283:P293"/>
    <mergeCell ref="Q283:Q293"/>
    <mergeCell ref="R283:R293"/>
    <mergeCell ref="S283:S293"/>
    <mergeCell ref="T283:T293"/>
    <mergeCell ref="U283:U293"/>
    <mergeCell ref="V283:V293"/>
    <mergeCell ref="W294:W304"/>
    <mergeCell ref="X294:X304"/>
    <mergeCell ref="Y294:Y304"/>
    <mergeCell ref="Z294:Z304"/>
    <mergeCell ref="P294:P304"/>
    <mergeCell ref="Q294:Q304"/>
    <mergeCell ref="R294:R304"/>
    <mergeCell ref="S294:S304"/>
    <mergeCell ref="T294:T304"/>
    <mergeCell ref="U294:U304"/>
    <mergeCell ref="V294:V304"/>
    <mergeCell ref="W305:W315"/>
    <mergeCell ref="X305:X315"/>
    <mergeCell ref="Y305:Y315"/>
    <mergeCell ref="Z305:Z315"/>
    <mergeCell ref="P305:P315"/>
    <mergeCell ref="Q305:Q315"/>
    <mergeCell ref="R305:R315"/>
    <mergeCell ref="S305:S315"/>
    <mergeCell ref="T305:T315"/>
    <mergeCell ref="U305:U315"/>
    <mergeCell ref="V305:V315"/>
    <mergeCell ref="W140:W150"/>
    <mergeCell ref="X140:X150"/>
    <mergeCell ref="Y140:Y150"/>
    <mergeCell ref="Z140:Z150"/>
    <mergeCell ref="P140:P150"/>
    <mergeCell ref="Q140:Q150"/>
    <mergeCell ref="R140:R150"/>
    <mergeCell ref="S140:S150"/>
    <mergeCell ref="T140:T150"/>
    <mergeCell ref="U140:U150"/>
    <mergeCell ref="V140:V150"/>
    <mergeCell ref="W151:W161"/>
    <mergeCell ref="X151:X161"/>
    <mergeCell ref="Y151:Y161"/>
    <mergeCell ref="Z151:Z161"/>
    <mergeCell ref="P151:P161"/>
    <mergeCell ref="Q151:Q161"/>
    <mergeCell ref="R151:R161"/>
    <mergeCell ref="S151:S161"/>
    <mergeCell ref="T151:T161"/>
    <mergeCell ref="U151:U161"/>
    <mergeCell ref="V151:V161"/>
    <mergeCell ref="W162:W172"/>
    <mergeCell ref="X162:X172"/>
    <mergeCell ref="Y162:Y172"/>
    <mergeCell ref="Z162:Z172"/>
    <mergeCell ref="P162:P172"/>
    <mergeCell ref="Q162:Q172"/>
    <mergeCell ref="R162:R172"/>
    <mergeCell ref="S162:S172"/>
    <mergeCell ref="T162:T172"/>
    <mergeCell ref="U162:U172"/>
    <mergeCell ref="V162:V172"/>
    <mergeCell ref="P173:P183"/>
    <mergeCell ref="Q173:Q183"/>
    <mergeCell ref="R173:R183"/>
    <mergeCell ref="S173:S183"/>
    <mergeCell ref="T173:T183"/>
    <mergeCell ref="U173:U183"/>
    <mergeCell ref="V173:V183"/>
  </mergeCells>
  <conditionalFormatting sqref="E228:N315">
    <cfRule type="expression" dxfId="0" priority="1">
      <formula>AND($F228&lt;&gt;"",OR($M228=0,$M228=""))</formula>
    </cfRule>
  </conditionalFormatting>
  <conditionalFormatting sqref="E228:N315">
    <cfRule type="expression" dxfId="1" priority="2">
      <formula>LEFT($K228,1)="E"</formula>
    </cfRule>
  </conditionalFormatting>
  <conditionalFormatting sqref="E228:N315">
    <cfRule type="expression" dxfId="2" priority="3">
      <formula>LEFT($K228,1)="P"</formula>
    </cfRule>
  </conditionalFormatting>
  <conditionalFormatting sqref="E228:N315">
    <cfRule type="expression" dxfId="3" priority="4">
      <formula>LEFT($K228,1)="S"</formula>
    </cfRule>
  </conditionalFormatting>
  <conditionalFormatting sqref="E162:N227">
    <cfRule type="expression" dxfId="0" priority="5">
      <formula>AND($F162&lt;&gt;"",OR($M162=0,$M162=""))</formula>
    </cfRule>
  </conditionalFormatting>
  <conditionalFormatting sqref="E162:N227">
    <cfRule type="expression" dxfId="1" priority="6">
      <formula>LEFT($K162,1)="E"</formula>
    </cfRule>
  </conditionalFormatting>
  <conditionalFormatting sqref="E162:N227">
    <cfRule type="expression" dxfId="2" priority="7">
      <formula>LEFT($K162,1)="P"</formula>
    </cfRule>
  </conditionalFormatting>
  <conditionalFormatting sqref="E162:N227">
    <cfRule type="expression" dxfId="3" priority="8">
      <formula>LEFT($K162,1)="S"</formula>
    </cfRule>
  </conditionalFormatting>
  <conditionalFormatting sqref="E8:N8">
    <cfRule type="expression" dxfId="0" priority="9">
      <formula>AND($F8&lt;&gt;"",OR($M8=0,$M8=""))</formula>
    </cfRule>
  </conditionalFormatting>
  <conditionalFormatting sqref="E8:N8">
    <cfRule type="expression" dxfId="1" priority="10">
      <formula>LEFT($K8,1)="E"</formula>
    </cfRule>
  </conditionalFormatting>
  <conditionalFormatting sqref="E8:N8">
    <cfRule type="expression" dxfId="2" priority="11">
      <formula>LEFT($K8,1)="P"</formula>
    </cfRule>
  </conditionalFormatting>
  <conditionalFormatting sqref="E8:N8">
    <cfRule type="expression" dxfId="3" priority="12">
      <formula>LEFT($K8,1)="S"</formula>
    </cfRule>
  </conditionalFormatting>
  <conditionalFormatting sqref="E9:N9">
    <cfRule type="expression" dxfId="0" priority="13">
      <formula>AND($F9&lt;&gt;"",OR($M9=0,$M9=""))</formula>
    </cfRule>
  </conditionalFormatting>
  <conditionalFormatting sqref="E9:N9">
    <cfRule type="expression" dxfId="1" priority="14">
      <formula>LEFT($K9,1)="E"</formula>
    </cfRule>
  </conditionalFormatting>
  <conditionalFormatting sqref="E9:N9">
    <cfRule type="expression" dxfId="2" priority="15">
      <formula>LEFT($K9,1)="P"</formula>
    </cfRule>
  </conditionalFormatting>
  <conditionalFormatting sqref="E9:N9">
    <cfRule type="expression" dxfId="3" priority="16">
      <formula>LEFT($K9,1)="S"</formula>
    </cfRule>
  </conditionalFormatting>
  <conditionalFormatting sqref="E10:N18">
    <cfRule type="expression" dxfId="0" priority="17">
      <formula>AND($F10&lt;&gt;"",OR($M10=0,$M10=""))</formula>
    </cfRule>
  </conditionalFormatting>
  <conditionalFormatting sqref="E10:N18">
    <cfRule type="expression" dxfId="1" priority="18">
      <formula>LEFT($K10,1)="E"</formula>
    </cfRule>
  </conditionalFormatting>
  <conditionalFormatting sqref="E10:N18">
    <cfRule type="expression" dxfId="2" priority="19">
      <formula>LEFT($K10,1)="P"</formula>
    </cfRule>
  </conditionalFormatting>
  <conditionalFormatting sqref="E10:N18">
    <cfRule type="expression" dxfId="3" priority="20">
      <formula>LEFT($K10,1)="S"</formula>
    </cfRule>
  </conditionalFormatting>
  <conditionalFormatting sqref="E10">
    <cfRule type="expression" dxfId="0" priority="21">
      <formula>AND($F10&lt;&gt;"",OR($M10=0,$M10=""))</formula>
    </cfRule>
  </conditionalFormatting>
  <conditionalFormatting sqref="E10">
    <cfRule type="expression" dxfId="1" priority="22">
      <formula>LEFT($K10,1)="E"</formula>
    </cfRule>
  </conditionalFormatting>
  <conditionalFormatting sqref="E10">
    <cfRule type="expression" dxfId="2" priority="23">
      <formula>LEFT($K10,1)="P"</formula>
    </cfRule>
  </conditionalFormatting>
  <conditionalFormatting sqref="E10">
    <cfRule type="expression" dxfId="3" priority="24">
      <formula>LEFT($K10,1)="S"</formula>
    </cfRule>
  </conditionalFormatting>
  <conditionalFormatting sqref="E11">
    <cfRule type="expression" dxfId="0" priority="25">
      <formula>AND($F11&lt;&gt;"",OR($M11=0,$M11=""))</formula>
    </cfRule>
  </conditionalFormatting>
  <conditionalFormatting sqref="E11">
    <cfRule type="expression" dxfId="1" priority="26">
      <formula>LEFT($K11,1)="E"</formula>
    </cfRule>
  </conditionalFormatting>
  <conditionalFormatting sqref="E11">
    <cfRule type="expression" dxfId="2" priority="27">
      <formula>LEFT($K11,1)="P"</formula>
    </cfRule>
  </conditionalFormatting>
  <conditionalFormatting sqref="E11">
    <cfRule type="expression" dxfId="3" priority="28">
      <formula>LEFT($K11,1)="S"</formula>
    </cfRule>
  </conditionalFormatting>
  <conditionalFormatting sqref="E8:N8">
    <cfRule type="expression" dxfId="0" priority="29">
      <formula>AND($F8&lt;&gt;"",OR($M8=0,$M8=""))</formula>
    </cfRule>
  </conditionalFormatting>
  <conditionalFormatting sqref="E8:N8">
    <cfRule type="expression" dxfId="1" priority="30">
      <formula>LEFT($K8,1)="E"</formula>
    </cfRule>
  </conditionalFormatting>
  <conditionalFormatting sqref="E8:N8">
    <cfRule type="expression" dxfId="2" priority="31">
      <formula>LEFT($K8,1)="P"</formula>
    </cfRule>
  </conditionalFormatting>
  <conditionalFormatting sqref="E8:N8">
    <cfRule type="expression" dxfId="3" priority="32">
      <formula>LEFT($K8,1)="S"</formula>
    </cfRule>
  </conditionalFormatting>
  <conditionalFormatting sqref="E9:N9">
    <cfRule type="expression" dxfId="0" priority="33">
      <formula>AND($F9&lt;&gt;"",OR($M9=0,$M9=""))</formula>
    </cfRule>
  </conditionalFormatting>
  <conditionalFormatting sqref="E9:N9">
    <cfRule type="expression" dxfId="1" priority="34">
      <formula>LEFT($K9,1)="E"</formula>
    </cfRule>
  </conditionalFormatting>
  <conditionalFormatting sqref="E9:N9">
    <cfRule type="expression" dxfId="2" priority="35">
      <formula>LEFT($K9,1)="P"</formula>
    </cfRule>
  </conditionalFormatting>
  <conditionalFormatting sqref="E9:N9">
    <cfRule type="expression" dxfId="3" priority="36">
      <formula>LEFT($K9,1)="S"</formula>
    </cfRule>
  </conditionalFormatting>
  <conditionalFormatting sqref="E10:N18">
    <cfRule type="expression" dxfId="0" priority="37">
      <formula>AND($F10&lt;&gt;"",OR($M10=0,$M10=""))</formula>
    </cfRule>
  </conditionalFormatting>
  <conditionalFormatting sqref="E10:N18">
    <cfRule type="expression" dxfId="1" priority="38">
      <formula>LEFT($K10,1)="E"</formula>
    </cfRule>
  </conditionalFormatting>
  <conditionalFormatting sqref="E10:N18">
    <cfRule type="expression" dxfId="2" priority="39">
      <formula>LEFT($K10,1)="P"</formula>
    </cfRule>
  </conditionalFormatting>
  <conditionalFormatting sqref="E10:N18">
    <cfRule type="expression" dxfId="3" priority="40">
      <formula>LEFT($K10,1)="S"</formula>
    </cfRule>
  </conditionalFormatting>
  <conditionalFormatting sqref="E10">
    <cfRule type="expression" dxfId="0" priority="41">
      <formula>AND($F10&lt;&gt;"",OR($M10=0,$M10=""))</formula>
    </cfRule>
  </conditionalFormatting>
  <conditionalFormatting sqref="E10">
    <cfRule type="expression" dxfId="1" priority="42">
      <formula>LEFT($K10,1)="E"</formula>
    </cfRule>
  </conditionalFormatting>
  <conditionalFormatting sqref="E10">
    <cfRule type="expression" dxfId="2" priority="43">
      <formula>LEFT($K10,1)="P"</formula>
    </cfRule>
  </conditionalFormatting>
  <conditionalFormatting sqref="E10">
    <cfRule type="expression" dxfId="3" priority="44">
      <formula>LEFT($K10,1)="S"</formula>
    </cfRule>
  </conditionalFormatting>
  <conditionalFormatting sqref="E11">
    <cfRule type="expression" dxfId="0" priority="45">
      <formula>AND($F11&lt;&gt;"",OR($M11=0,$M11=""))</formula>
    </cfRule>
  </conditionalFormatting>
  <conditionalFormatting sqref="E11">
    <cfRule type="expression" dxfId="1" priority="46">
      <formula>LEFT($K11,1)="E"</formula>
    </cfRule>
  </conditionalFormatting>
  <conditionalFormatting sqref="E11">
    <cfRule type="expression" dxfId="2" priority="47">
      <formula>LEFT($K11,1)="P"</formula>
    </cfRule>
  </conditionalFormatting>
  <conditionalFormatting sqref="E11">
    <cfRule type="expression" dxfId="3" priority="48">
      <formula>LEFT($K11,1)="S"</formula>
    </cfRule>
  </conditionalFormatting>
  <conditionalFormatting sqref="E19:N19 E30:N30 E41:N41 E52:N52 E63:N63 E74:N74 E85:N85 E96:N96 E107:N107 E118:N118 E129:N129 E140:N140 E151:N151">
    <cfRule type="expression" dxfId="0" priority="49">
      <formula>AND($F19&lt;&gt;"",OR($M19=0,$M19=""))</formula>
    </cfRule>
  </conditionalFormatting>
  <conditionalFormatting sqref="E19:N19 E30:N30 E41:N41 E52:N52 E63:N63 E74:N74 E85:N85 E96:N96 E107:N107 E118:N118 E129:N129 E140:N140 E151:N151">
    <cfRule type="expression" dxfId="1" priority="50">
      <formula>LEFT($K19,1)="E"</formula>
    </cfRule>
  </conditionalFormatting>
  <conditionalFormatting sqref="E19:N19 E30:N30 E41:N41 E52:N52 E63:N63 E74:N74 E85:N85 E96:N96 E107:N107 E118:N118 E129:N129 E140:N140 E151:N151">
    <cfRule type="expression" dxfId="2" priority="51">
      <formula>LEFT($K19,1)="P"</formula>
    </cfRule>
  </conditionalFormatting>
  <conditionalFormatting sqref="E19:N19 E30:N30 E41:N41 E52:N52 E63:N63 E74:N74 E85:N85 E96:N96 E107:N107 E118:N118 E129:N129 E140:N140 E151:N151">
    <cfRule type="expression" dxfId="3" priority="52">
      <formula>LEFT($K19,1)="S"</formula>
    </cfRule>
  </conditionalFormatting>
  <conditionalFormatting sqref="E20:N20 E31:N31 E42:N42 E53:N53 E64:N64 E75:N75 E86:N86 E97:N97 E108:N108 E119:N119 E130:N130 E141:N141 E152:N152">
    <cfRule type="expression" dxfId="0" priority="53">
      <formula>AND($F20&lt;&gt;"",OR($M20=0,$M20=""))</formula>
    </cfRule>
  </conditionalFormatting>
  <conditionalFormatting sqref="E20:N20 E31:N31 E42:N42 E53:N53 E64:N64 E75:N75 E86:N86 E97:N97 E108:N108 E119:N119 E130:N130 E141:N141 E152:N152">
    <cfRule type="expression" dxfId="1" priority="54">
      <formula>LEFT($K20,1)="E"</formula>
    </cfRule>
  </conditionalFormatting>
  <conditionalFormatting sqref="E20:N20 E31:N31 E42:N42 E53:N53 E64:N64 E75:N75 E86:N86 E97:N97 E108:N108 E119:N119 E130:N130 E141:N141 E152:N152">
    <cfRule type="expression" dxfId="2" priority="55">
      <formula>LEFT($K20,1)="P"</formula>
    </cfRule>
  </conditionalFormatting>
  <conditionalFormatting sqref="E20:N20 E31:N31 E42:N42 E53:N53 E64:N64 E75:N75 E86:N86 E97:N97 E108:N108 E119:N119 E130:N130 E141:N141 E152:N152">
    <cfRule type="expression" dxfId="3" priority="56">
      <formula>LEFT($K20,1)="S"</formula>
    </cfRule>
  </conditionalFormatting>
  <conditionalFormatting sqref="E21:N29 E32:N40 E43:N51 E54:N62 E65:N73 E76:N84 E87:N95 E98:N106 E109:N117 E120:N128 E131:N139 E142:N150 E153:N161">
    <cfRule type="expression" dxfId="0" priority="57">
      <formula>AND($F21&lt;&gt;"",OR($M21=0,$M21=""))</formula>
    </cfRule>
  </conditionalFormatting>
  <conditionalFormatting sqref="E21:N29 E32:N40 E43:N51 E54:N62 E65:N73 E76:N84 E87:N95 E98:N106 E109:N117 E120:N128 E131:N139 E142:N150 E153:N161">
    <cfRule type="expression" dxfId="1" priority="58">
      <formula>LEFT($K21,1)="E"</formula>
    </cfRule>
  </conditionalFormatting>
  <conditionalFormatting sqref="E21:N29 E32:N40 E43:N51 E54:N62 E65:N73 E76:N84 E87:N95 E98:N106 E109:N117 E120:N128 E131:N139 E142:N150 E153:N161">
    <cfRule type="expression" dxfId="2" priority="59">
      <formula>LEFT($K21,1)="P"</formula>
    </cfRule>
  </conditionalFormatting>
  <conditionalFormatting sqref="E21:N29 E32:N40 E43:N51 E54:N62 E65:N73 E76:N84 E87:N95 E98:N106 E109:N117 E120:N128 E131:N139 E142:N150 E153:N161">
    <cfRule type="expression" dxfId="3" priority="60">
      <formula>LEFT($K21,1)="S"</formula>
    </cfRule>
  </conditionalFormatting>
  <conditionalFormatting sqref="E21 E32 E43 E54 E65 E76 E87 E98 E109 E120 E131 E142 E153">
    <cfRule type="expression" dxfId="0" priority="61">
      <formula>AND($F21&lt;&gt;"",OR($M21=0,$M21=""))</formula>
    </cfRule>
  </conditionalFormatting>
  <conditionalFormatting sqref="E21 E32 E43 E54 E65 E76 E87 E98 E109 E120 E131 E142 E153">
    <cfRule type="expression" dxfId="1" priority="62">
      <formula>LEFT($K21,1)="E"</formula>
    </cfRule>
  </conditionalFormatting>
  <conditionalFormatting sqref="E21 E32 E43 E54 E65 E76 E87 E98 E109 E120 E131 E142 E153">
    <cfRule type="expression" dxfId="2" priority="63">
      <formula>LEFT($K21,1)="P"</formula>
    </cfRule>
  </conditionalFormatting>
  <conditionalFormatting sqref="E21 E32 E43 E54 E65 E76 E87 E98 E109 E120 E131 E142 E153">
    <cfRule type="expression" dxfId="3" priority="64">
      <formula>LEFT($K21,1)="S"</formula>
    </cfRule>
  </conditionalFormatting>
  <conditionalFormatting sqref="E22 E33 E44 E55 E66 E77 E88 E99 E110 E121 E132 E143 E154">
    <cfRule type="expression" dxfId="0" priority="65">
      <formula>AND($F22&lt;&gt;"",OR($M22=0,$M22=""))</formula>
    </cfRule>
  </conditionalFormatting>
  <conditionalFormatting sqref="E22 E33 E44 E55 E66 E77 E88 E99 E110 E121 E132 E143 E154">
    <cfRule type="expression" dxfId="1" priority="66">
      <formula>LEFT($K22,1)="E"</formula>
    </cfRule>
  </conditionalFormatting>
  <conditionalFormatting sqref="E22 E33 E44 E55 E66 E77 E88 E99 E110 E121 E132 E143 E154">
    <cfRule type="expression" dxfId="2" priority="67">
      <formula>LEFT($K22,1)="P"</formula>
    </cfRule>
  </conditionalFormatting>
  <conditionalFormatting sqref="E22 E33 E44 E55 E66 E77 E88 E99 E110 E121 E132 E143 E154">
    <cfRule type="expression" dxfId="3" priority="68">
      <formula>LEFT($K22,1)="S"</formula>
    </cfRule>
  </conditionalFormatting>
  <conditionalFormatting sqref="E19:N19 E30:N30 E41:N41 E52:N52 E63:N63 E74:N74 E85:N85 E96:N96 E107:N107 E118:N118 E129:N129 E140:N140 E151:N151">
    <cfRule type="expression" dxfId="0" priority="69">
      <formula>AND($F19&lt;&gt;"",OR($M19=0,$M19=""))</formula>
    </cfRule>
  </conditionalFormatting>
  <conditionalFormatting sqref="E19:N19 E30:N30 E41:N41 E52:N52 E63:N63 E74:N74 E85:N85 E96:N96 E107:N107 E118:N118 E129:N129 E140:N140 E151:N151">
    <cfRule type="expression" dxfId="1" priority="70">
      <formula>LEFT($K19,1)="E"</formula>
    </cfRule>
  </conditionalFormatting>
  <conditionalFormatting sqref="E19:N19 E30:N30 E41:N41 E52:N52 E63:N63 E74:N74 E85:N85 E96:N96 E107:N107 E118:N118 E129:N129 E140:N140 E151:N151">
    <cfRule type="expression" dxfId="2" priority="71">
      <formula>LEFT($K19,1)="P"</formula>
    </cfRule>
  </conditionalFormatting>
  <conditionalFormatting sqref="E19:N19 E30:N30 E41:N41 E52:N52 E63:N63 E74:N74 E85:N85 E96:N96 E107:N107 E118:N118 E129:N129 E140:N140 E151:N151">
    <cfRule type="expression" dxfId="3" priority="72">
      <formula>LEFT($K19,1)="S"</formula>
    </cfRule>
  </conditionalFormatting>
  <conditionalFormatting sqref="E20:N20 E31:N31 E42:N42 E53:N53 E64:N64 E75:N75 E86:N86 E97:N97 E108:N108 E119:N119 E130:N130 E141:N141 E152:N152">
    <cfRule type="expression" dxfId="0" priority="73">
      <formula>AND($F20&lt;&gt;"",OR($M20=0,$M20=""))</formula>
    </cfRule>
  </conditionalFormatting>
  <conditionalFormatting sqref="E20:N20 E31:N31 E42:N42 E53:N53 E64:N64 E75:N75 E86:N86 E97:N97 E108:N108 E119:N119 E130:N130 E141:N141 E152:N152">
    <cfRule type="expression" dxfId="1" priority="74">
      <formula>LEFT($K20,1)="E"</formula>
    </cfRule>
  </conditionalFormatting>
  <conditionalFormatting sqref="E20:N20 E31:N31 E42:N42 E53:N53 E64:N64 E75:N75 E86:N86 E97:N97 E108:N108 E119:N119 E130:N130 E141:N141 E152:N152">
    <cfRule type="expression" dxfId="2" priority="75">
      <formula>LEFT($K20,1)="P"</formula>
    </cfRule>
  </conditionalFormatting>
  <conditionalFormatting sqref="E20:N20 E31:N31 E42:N42 E53:N53 E64:N64 E75:N75 E86:N86 E97:N97 E108:N108 E119:N119 E130:N130 E141:N141 E152:N152">
    <cfRule type="expression" dxfId="3" priority="76">
      <formula>LEFT($K20,1)="S"</formula>
    </cfRule>
  </conditionalFormatting>
  <conditionalFormatting sqref="E21:N29 E32:N40 E43:N51 E54:N62 E65:N73 E76:N84 E87:N95 E98:N106 E109:N117 E120:N128 E131:N139 E142:N150 E153:N161">
    <cfRule type="expression" dxfId="0" priority="77">
      <formula>AND($F21&lt;&gt;"",OR($M21=0,$M21=""))</formula>
    </cfRule>
  </conditionalFormatting>
  <conditionalFormatting sqref="E21:N29 E32:N40 E43:N51 E54:N62 E65:N73 E76:N84 E87:N95 E98:N106 E109:N117 E120:N128 E131:N139 E142:N150 E153:N161">
    <cfRule type="expression" dxfId="1" priority="78">
      <formula>LEFT($K21,1)="E"</formula>
    </cfRule>
  </conditionalFormatting>
  <conditionalFormatting sqref="E21:N29 E32:N40 E43:N51 E54:N62 E65:N73 E76:N84 E87:N95 E98:N106 E109:N117 E120:N128 E131:N139 E142:N150 E153:N161">
    <cfRule type="expression" dxfId="2" priority="79">
      <formula>LEFT($K21,1)="P"</formula>
    </cfRule>
  </conditionalFormatting>
  <conditionalFormatting sqref="E21:N29 E32:N40 E43:N51 E54:N62 E65:N73 E76:N84 E87:N95 E98:N106 E109:N117 E120:N128 E131:N139 E142:N150 E153:N161">
    <cfRule type="expression" dxfId="3" priority="80">
      <formula>LEFT($K21,1)="S"</formula>
    </cfRule>
  </conditionalFormatting>
  <conditionalFormatting sqref="E21 E32 E43 E54 E65 E76 E87 E98 E109 E120 E131 E142 E153">
    <cfRule type="expression" dxfId="0" priority="81">
      <formula>AND($F21&lt;&gt;"",OR($M21=0,$M21=""))</formula>
    </cfRule>
  </conditionalFormatting>
  <conditionalFormatting sqref="E21 E32 E43 E54 E65 E76 E87 E98 E109 E120 E131 E142 E153">
    <cfRule type="expression" dxfId="1" priority="82">
      <formula>LEFT($K21,1)="E"</formula>
    </cfRule>
  </conditionalFormatting>
  <conditionalFormatting sqref="E21 E32 E43 E54 E65 E76 E87 E98 E109 E120 E131 E142 E153">
    <cfRule type="expression" dxfId="2" priority="83">
      <formula>LEFT($K21,1)="P"</formula>
    </cfRule>
  </conditionalFormatting>
  <conditionalFormatting sqref="E21 E32 E43 E54 E65 E76 E87 E98 E109 E120 E131 E142 E153">
    <cfRule type="expression" dxfId="3" priority="84">
      <formula>LEFT($K21,1)="S"</formula>
    </cfRule>
  </conditionalFormatting>
  <conditionalFormatting sqref="E22 E33 E44 E55 E66 E77 E88 E99 E110 E121 E132 E143 E154">
    <cfRule type="expression" dxfId="0" priority="85">
      <formula>AND($F22&lt;&gt;"",OR($M22=0,$M22=""))</formula>
    </cfRule>
  </conditionalFormatting>
  <conditionalFormatting sqref="E22 E33 E44 E55 E66 E77 E88 E99 E110 E121 E132 E143 E154">
    <cfRule type="expression" dxfId="1" priority="86">
      <formula>LEFT($K22,1)="E"</formula>
    </cfRule>
  </conditionalFormatting>
  <conditionalFormatting sqref="E22 E33 E44 E55 E66 E77 E88 E99 E110 E121 E132 E143 E154">
    <cfRule type="expression" dxfId="2" priority="87">
      <formula>LEFT($K22,1)="P"</formula>
    </cfRule>
  </conditionalFormatting>
  <conditionalFormatting sqref="E22 E33 E44 E55 E66 E77 E88 E99 E110 E121 E132 E143 E154">
    <cfRule type="expression" dxfId="3" priority="88">
      <formula>LEFT($K22,1)="S"</formula>
    </cfRule>
  </conditionalFormatting>
  <printOptions/>
  <pageMargins bottom="0.75" footer="0.0" header="0.0" left="0.7" right="0.7" top="0.75"/>
  <pageSetup paperSize="8" orientation="landscape"/>
  <rowBreaks count="1" manualBreakCount="1">
    <brk id="218" man="1"/>
  </rowBreaks>
  <colBreaks count="1" manualBreakCount="1">
    <brk id="44"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4.43" defaultRowHeight="15.0"/>
  <cols>
    <col customWidth="1" min="1" max="1" width="29.86"/>
    <col customWidth="1" min="2" max="2" width="72.86"/>
    <col customWidth="1" min="3" max="3" width="38.14"/>
    <col customWidth="1" min="4" max="7" width="30.14"/>
    <col customWidth="1" min="8" max="8" width="42.86"/>
    <col customWidth="1" min="9" max="11" width="30.14"/>
    <col customWidth="1" min="12" max="20" width="29.43"/>
    <col customWidth="1" min="21" max="21" width="61.0"/>
    <col customWidth="1" min="22" max="22" width="40.14"/>
    <col customWidth="1" min="23" max="29" width="29.43"/>
    <col customWidth="1" min="30" max="50" width="24.43"/>
    <col customWidth="1" min="51" max="51" width="30.43"/>
    <col customWidth="1" min="52" max="52" width="24.43"/>
    <col customWidth="1" min="53" max="53" width="20.86"/>
    <col customWidth="1" min="54" max="57" width="24.43"/>
    <col customWidth="1" min="58" max="58" width="41.86"/>
    <col customWidth="1" min="59" max="59" width="24.43"/>
    <col customWidth="1" min="60" max="60" width="41.86"/>
    <col customWidth="1" min="61" max="61" width="24.43"/>
    <col customWidth="1" min="62" max="62" width="33.43"/>
    <col customWidth="1" min="63" max="63" width="24.43"/>
    <col customWidth="1" min="64" max="64" width="41.86"/>
    <col customWidth="1" min="65" max="65" width="24.43"/>
    <col customWidth="1" min="66" max="66" width="35.86"/>
    <col customWidth="1" min="67" max="67" width="24.43"/>
    <col customWidth="1" min="68" max="68" width="30.43"/>
    <col customWidth="1" min="69" max="73" width="29.43"/>
    <col customWidth="1" min="74" max="74" width="26.86"/>
    <col customWidth="1" min="75" max="75" width="22.43"/>
    <col customWidth="1" min="76" max="76" width="8.71"/>
  </cols>
  <sheetData>
    <row r="1" ht="92.25" customHeight="1">
      <c r="A1" s="286" t="str">
        <f>CONCATENATE("WEEKLY REPORT   ","                                                      WEEK NO :  ",MID(CELL("filename",A1),FIND("K",CELL("filename",A1),1)+1,3),"                      WEEK START DATE : ",MID(CELL("filename",A1),FIND("K",CELL("filename",A1),1)+5,6),"                                            WEEK END DATE: ",MID(CELL("filename",A1),FIND("K",CELL("filename",A1),1)+12,7))</f>
        <v>#VALUE!</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39"/>
      <c r="AD1" s="286" t="str">
        <f>A1</f>
        <v>#VALUE!</v>
      </c>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39"/>
      <c r="BW1" s="287"/>
      <c r="BX1" s="288"/>
    </row>
    <row r="2" ht="59.25" customHeight="1">
      <c r="A2" s="266"/>
      <c r="AC2" s="76"/>
      <c r="AD2" s="266"/>
      <c r="BW2" s="289"/>
      <c r="BX2" s="242"/>
    </row>
    <row r="3" ht="123.0" customHeight="1">
      <c r="A3" s="290" t="s">
        <v>334</v>
      </c>
      <c r="B3" s="6"/>
      <c r="C3" s="6"/>
      <c r="D3" s="6"/>
      <c r="E3" s="6"/>
      <c r="F3" s="6"/>
      <c r="G3" s="6"/>
      <c r="H3" s="6"/>
      <c r="I3" s="6"/>
      <c r="J3" s="6"/>
      <c r="K3" s="6"/>
      <c r="L3" s="6"/>
      <c r="M3" s="6"/>
      <c r="N3" s="6"/>
      <c r="O3" s="6"/>
      <c r="P3" s="6"/>
      <c r="Q3" s="6"/>
      <c r="R3" s="6"/>
      <c r="S3" s="6"/>
      <c r="T3" s="6"/>
      <c r="U3" s="6"/>
      <c r="V3" s="6"/>
      <c r="W3" s="6"/>
      <c r="X3" s="6"/>
      <c r="Y3" s="6"/>
      <c r="Z3" s="6"/>
      <c r="AA3" s="6"/>
      <c r="AB3" s="6"/>
      <c r="AC3" s="7"/>
      <c r="AD3" s="291" t="str">
        <f>A3</f>
        <v>COLLEGE NAME :  L.J. INSTITUTE OF ENGINEERING AND TECHNOLOGY             DEPARTMENT NAME :  SY4(CST CS&amp;IT)           YEAR : 2024-25       SEMESTER : III</v>
      </c>
      <c r="AE3" s="292"/>
      <c r="AF3" s="292"/>
      <c r="AG3" s="292"/>
      <c r="AH3" s="292"/>
      <c r="AI3" s="292"/>
      <c r="AJ3" s="292"/>
      <c r="AK3" s="292"/>
      <c r="AL3" s="292"/>
      <c r="AM3" s="292"/>
      <c r="AN3" s="292"/>
      <c r="AO3" s="292"/>
      <c r="AP3" s="292"/>
      <c r="AQ3" s="292"/>
      <c r="AR3" s="292"/>
      <c r="AS3" s="292"/>
      <c r="AT3" s="292"/>
      <c r="AU3" s="292"/>
      <c r="AV3" s="292"/>
      <c r="AW3" s="292"/>
      <c r="AX3" s="292"/>
      <c r="AY3" s="292"/>
      <c r="AZ3" s="292"/>
      <c r="BA3" s="292"/>
      <c r="BB3" s="292"/>
      <c r="BC3" s="292"/>
      <c r="BD3" s="292"/>
      <c r="BE3" s="292"/>
      <c r="BF3" s="292"/>
      <c r="BG3" s="292"/>
      <c r="BH3" s="292"/>
      <c r="BI3" s="292"/>
      <c r="BJ3" s="292"/>
      <c r="BK3" s="292"/>
      <c r="BL3" s="292"/>
      <c r="BM3" s="292"/>
      <c r="BN3" s="292"/>
      <c r="BO3" s="292"/>
      <c r="BP3" s="292"/>
      <c r="BQ3" s="292"/>
      <c r="BR3" s="292"/>
      <c r="BS3" s="292"/>
      <c r="BT3" s="292"/>
      <c r="BU3" s="292"/>
      <c r="BV3" s="293"/>
      <c r="BW3" s="287"/>
      <c r="BX3" s="288"/>
    </row>
    <row r="4" ht="80.25" customHeight="1">
      <c r="A4" s="294" t="s">
        <v>1</v>
      </c>
      <c r="B4" s="9"/>
      <c r="C4" s="9"/>
      <c r="D4" s="9"/>
      <c r="E4" s="9"/>
      <c r="F4" s="9"/>
      <c r="G4" s="9"/>
      <c r="H4" s="9"/>
      <c r="I4" s="9"/>
      <c r="J4" s="9"/>
      <c r="K4" s="9"/>
      <c r="L4" s="9"/>
      <c r="M4" s="9"/>
      <c r="N4" s="9"/>
      <c r="O4" s="9"/>
      <c r="P4" s="9"/>
      <c r="Q4" s="9"/>
      <c r="R4" s="9"/>
      <c r="S4" s="9"/>
      <c r="T4" s="9"/>
      <c r="U4" s="9"/>
      <c r="V4" s="9"/>
      <c r="W4" s="9"/>
      <c r="X4" s="9"/>
      <c r="Y4" s="9"/>
      <c r="Z4" s="9"/>
      <c r="AA4" s="9"/>
      <c r="AB4" s="9"/>
      <c r="AC4" s="11"/>
      <c r="AD4" s="17" t="s">
        <v>2</v>
      </c>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8"/>
      <c r="BJ4" s="295" t="s">
        <v>3</v>
      </c>
      <c r="BK4" s="2"/>
      <c r="BL4" s="2"/>
      <c r="BM4" s="2"/>
      <c r="BN4" s="2"/>
      <c r="BO4" s="2"/>
      <c r="BP4" s="2"/>
      <c r="BQ4" s="2"/>
      <c r="BR4" s="2"/>
      <c r="BS4" s="2"/>
      <c r="BT4" s="2"/>
      <c r="BU4" s="3"/>
      <c r="BV4" s="296"/>
      <c r="BW4" s="297"/>
      <c r="BX4" s="298"/>
    </row>
    <row r="5" ht="80.25" customHeight="1">
      <c r="A5" s="299"/>
      <c r="B5" s="300" t="s">
        <v>335</v>
      </c>
      <c r="C5" s="9"/>
      <c r="D5" s="9"/>
      <c r="E5" s="9"/>
      <c r="F5" s="9"/>
      <c r="G5" s="9"/>
      <c r="H5" s="9"/>
      <c r="I5" s="9"/>
      <c r="J5" s="9"/>
      <c r="K5" s="9"/>
      <c r="L5" s="9"/>
      <c r="M5" s="9"/>
      <c r="N5" s="9"/>
      <c r="O5" s="9"/>
      <c r="P5" s="9"/>
      <c r="Q5" s="9"/>
      <c r="R5" s="9"/>
      <c r="S5" s="9"/>
      <c r="T5" s="9"/>
      <c r="U5" s="9"/>
      <c r="V5" s="9"/>
      <c r="W5" s="9"/>
      <c r="X5" s="9"/>
      <c r="Y5" s="9"/>
      <c r="Z5" s="9"/>
      <c r="AA5" s="9"/>
      <c r="AB5" s="9"/>
      <c r="AC5" s="11"/>
      <c r="AD5" s="301" t="s">
        <v>12</v>
      </c>
      <c r="AE5" s="34"/>
      <c r="AF5" s="34"/>
      <c r="AG5" s="35"/>
      <c r="AH5" s="67" t="s">
        <v>13</v>
      </c>
      <c r="AI5" s="302" t="s">
        <v>14</v>
      </c>
      <c r="AJ5" s="303" t="s">
        <v>15</v>
      </c>
      <c r="AK5" s="9"/>
      <c r="AL5" s="9"/>
      <c r="AM5" s="9"/>
      <c r="AN5" s="9"/>
      <c r="AO5" s="9"/>
      <c r="AP5" s="9"/>
      <c r="AQ5" s="9"/>
      <c r="AR5" s="11"/>
      <c r="AS5" s="303" t="s">
        <v>16</v>
      </c>
      <c r="AT5" s="9"/>
      <c r="AU5" s="9"/>
      <c r="AV5" s="9"/>
      <c r="AW5" s="11"/>
      <c r="AX5" s="304" t="s">
        <v>17</v>
      </c>
      <c r="AY5" s="14"/>
      <c r="AZ5" s="303" t="s">
        <v>18</v>
      </c>
      <c r="BA5" s="9"/>
      <c r="BB5" s="9"/>
      <c r="BC5" s="9"/>
      <c r="BD5" s="9"/>
      <c r="BE5" s="9"/>
      <c r="BF5" s="9"/>
      <c r="BG5" s="9"/>
      <c r="BH5" s="9"/>
      <c r="BI5" s="305"/>
      <c r="BJ5" s="63"/>
      <c r="BK5" s="6"/>
      <c r="BL5" s="6"/>
      <c r="BM5" s="6"/>
      <c r="BN5" s="6"/>
      <c r="BO5" s="6"/>
      <c r="BP5" s="6"/>
      <c r="BQ5" s="6"/>
      <c r="BR5" s="6"/>
      <c r="BS5" s="6"/>
      <c r="BT5" s="6"/>
      <c r="BU5" s="7"/>
      <c r="BV5" s="68"/>
      <c r="BW5" s="198"/>
      <c r="BX5" s="288"/>
    </row>
    <row r="6" ht="315.0" customHeight="1">
      <c r="A6" s="306" t="s">
        <v>19</v>
      </c>
      <c r="B6" s="307" t="s">
        <v>20</v>
      </c>
      <c r="C6" s="308" t="s">
        <v>336</v>
      </c>
      <c r="D6" s="309" t="s">
        <v>337</v>
      </c>
      <c r="E6" s="310" t="s">
        <v>338</v>
      </c>
      <c r="F6" s="310" t="s">
        <v>339</v>
      </c>
      <c r="G6" s="310" t="s">
        <v>340</v>
      </c>
      <c r="H6" s="310" t="s">
        <v>341</v>
      </c>
      <c r="I6" s="310" t="s">
        <v>342</v>
      </c>
      <c r="J6" s="311" t="s">
        <v>343</v>
      </c>
      <c r="K6" s="312" t="s">
        <v>344</v>
      </c>
      <c r="L6" s="313" t="s">
        <v>345</v>
      </c>
      <c r="M6" s="314" t="s">
        <v>346</v>
      </c>
      <c r="N6" s="315" t="s">
        <v>347</v>
      </c>
      <c r="O6" s="316" t="s">
        <v>348</v>
      </c>
      <c r="P6" s="317" t="s">
        <v>349</v>
      </c>
      <c r="Q6" s="317" t="s">
        <v>350</v>
      </c>
      <c r="R6" s="317" t="s">
        <v>351</v>
      </c>
      <c r="S6" s="318" t="s">
        <v>352</v>
      </c>
      <c r="T6" s="319" t="s">
        <v>353</v>
      </c>
      <c r="U6" s="320" t="s">
        <v>354</v>
      </c>
      <c r="V6" s="321" t="s">
        <v>355</v>
      </c>
      <c r="W6" s="322" t="s">
        <v>356</v>
      </c>
      <c r="X6" s="322" t="s">
        <v>357</v>
      </c>
      <c r="Y6" s="323" t="s">
        <v>7</v>
      </c>
      <c r="Z6" s="323" t="s">
        <v>8</v>
      </c>
      <c r="AA6" s="324" t="s">
        <v>9</v>
      </c>
      <c r="AB6" s="324" t="s">
        <v>358</v>
      </c>
      <c r="AC6" s="325" t="s">
        <v>11</v>
      </c>
      <c r="AD6" s="67" t="s">
        <v>359</v>
      </c>
      <c r="AE6" s="67" t="s">
        <v>39</v>
      </c>
      <c r="AF6" s="51" t="s">
        <v>40</v>
      </c>
      <c r="AG6" s="78" t="s">
        <v>41</v>
      </c>
      <c r="AH6" s="65"/>
      <c r="AJ6" s="70" t="s">
        <v>360</v>
      </c>
      <c r="AK6" s="46"/>
      <c r="AL6" s="71"/>
      <c r="AM6" s="326" t="s">
        <v>43</v>
      </c>
      <c r="AN6" s="326" t="s">
        <v>44</v>
      </c>
      <c r="AO6" s="327" t="s">
        <v>45</v>
      </c>
      <c r="AP6" s="328"/>
      <c r="AQ6" s="329"/>
      <c r="AR6" s="326" t="s">
        <v>46</v>
      </c>
      <c r="AS6" s="59" t="s">
        <v>361</v>
      </c>
      <c r="AT6" s="330" t="s">
        <v>48</v>
      </c>
      <c r="AU6" s="7"/>
      <c r="AV6" s="75" t="s">
        <v>362</v>
      </c>
      <c r="AW6" s="75" t="s">
        <v>363</v>
      </c>
      <c r="AX6" s="51" t="s">
        <v>364</v>
      </c>
      <c r="AY6" s="273" t="s">
        <v>365</v>
      </c>
      <c r="AZ6" s="77" t="s">
        <v>366</v>
      </c>
      <c r="BA6" s="9"/>
      <c r="BB6" s="9"/>
      <c r="BC6" s="9"/>
      <c r="BD6" s="9"/>
      <c r="BE6" s="9"/>
      <c r="BF6" s="9"/>
      <c r="BG6" s="11"/>
      <c r="BH6" s="78" t="s">
        <v>54</v>
      </c>
      <c r="BI6" s="3"/>
      <c r="BJ6" s="331" t="s">
        <v>55</v>
      </c>
      <c r="BK6" s="80"/>
      <c r="BL6" s="81" t="s">
        <v>56</v>
      </c>
      <c r="BM6" s="82"/>
      <c r="BN6" s="81" t="s">
        <v>57</v>
      </c>
      <c r="BO6" s="82"/>
      <c r="BP6" s="81" t="s">
        <v>58</v>
      </c>
      <c r="BQ6" s="82"/>
      <c r="BR6" s="84" t="s">
        <v>59</v>
      </c>
      <c r="BS6" s="84" t="s">
        <v>367</v>
      </c>
      <c r="BT6" s="85" t="s">
        <v>368</v>
      </c>
      <c r="BU6" s="332" t="s">
        <v>369</v>
      </c>
      <c r="BV6" s="333" t="s">
        <v>63</v>
      </c>
      <c r="BW6" s="334" t="s">
        <v>370</v>
      </c>
      <c r="BX6" s="335"/>
    </row>
    <row r="7" ht="124.5" customHeight="1">
      <c r="A7" s="63"/>
      <c r="B7" s="336"/>
      <c r="C7" s="6"/>
      <c r="D7" s="192"/>
      <c r="E7" s="193"/>
      <c r="F7" s="193"/>
      <c r="G7" s="193"/>
      <c r="H7" s="193"/>
      <c r="I7" s="193"/>
      <c r="J7" s="337" t="s">
        <v>371</v>
      </c>
      <c r="K7" s="338" t="s">
        <v>372</v>
      </c>
      <c r="L7" s="339" t="s">
        <v>73</v>
      </c>
      <c r="M7" s="340" t="s">
        <v>74</v>
      </c>
      <c r="N7" s="341" t="s">
        <v>75</v>
      </c>
      <c r="O7" s="342" t="s">
        <v>76</v>
      </c>
      <c r="P7" s="342" t="s">
        <v>77</v>
      </c>
      <c r="Q7" s="342" t="s">
        <v>78</v>
      </c>
      <c r="R7" s="342" t="s">
        <v>79</v>
      </c>
      <c r="S7" s="343" t="s">
        <v>80</v>
      </c>
      <c r="T7" s="344" t="s">
        <v>373</v>
      </c>
      <c r="U7" s="345" t="s">
        <v>82</v>
      </c>
      <c r="V7" s="6"/>
      <c r="W7" s="346" t="s">
        <v>374</v>
      </c>
      <c r="X7" s="346" t="s">
        <v>95</v>
      </c>
      <c r="Y7" s="89"/>
      <c r="Z7" s="89"/>
      <c r="AA7" s="89"/>
      <c r="AB7" s="89"/>
      <c r="AC7" s="69"/>
      <c r="AD7" s="89"/>
      <c r="AE7" s="89"/>
      <c r="AF7" s="89"/>
      <c r="AG7" s="63"/>
      <c r="AH7" s="347" t="s">
        <v>125</v>
      </c>
      <c r="AI7" s="348" t="s">
        <v>125</v>
      </c>
      <c r="AJ7" s="106" t="s">
        <v>375</v>
      </c>
      <c r="AK7" s="107" t="s">
        <v>376</v>
      </c>
      <c r="AL7" s="349" t="s">
        <v>377</v>
      </c>
      <c r="AM7" s="75" t="s">
        <v>125</v>
      </c>
      <c r="AN7" s="75" t="s">
        <v>125</v>
      </c>
      <c r="AO7" s="350" t="s">
        <v>378</v>
      </c>
      <c r="AP7" s="351" t="s">
        <v>379</v>
      </c>
      <c r="AQ7" s="352" t="s">
        <v>380</v>
      </c>
      <c r="AR7" s="59" t="s">
        <v>381</v>
      </c>
      <c r="AS7" s="63"/>
      <c r="AT7" s="353" t="s">
        <v>382</v>
      </c>
      <c r="AU7" s="354" t="s">
        <v>383</v>
      </c>
      <c r="AV7" s="63"/>
      <c r="AW7" s="63"/>
      <c r="AX7" s="89"/>
      <c r="AY7" s="63"/>
      <c r="AZ7" s="100" t="s">
        <v>118</v>
      </c>
      <c r="BA7" s="101" t="s">
        <v>119</v>
      </c>
      <c r="BB7" s="101" t="s">
        <v>120</v>
      </c>
      <c r="BC7" s="101" t="s">
        <v>121</v>
      </c>
      <c r="BD7" s="101" t="s">
        <v>122</v>
      </c>
      <c r="BE7" s="117" t="s">
        <v>123</v>
      </c>
      <c r="BF7" s="111" t="s">
        <v>124</v>
      </c>
      <c r="BG7" s="355" t="s">
        <v>125</v>
      </c>
      <c r="BH7" s="356" t="s">
        <v>126</v>
      </c>
      <c r="BI7" s="119" t="s">
        <v>127</v>
      </c>
      <c r="BJ7" s="357" t="s">
        <v>384</v>
      </c>
      <c r="BK7" s="358" t="s">
        <v>385</v>
      </c>
      <c r="BL7" s="359" t="s">
        <v>130</v>
      </c>
      <c r="BM7" s="360" t="s">
        <v>386</v>
      </c>
      <c r="BN7" s="359" t="s">
        <v>132</v>
      </c>
      <c r="BO7" s="361" t="s">
        <v>387</v>
      </c>
      <c r="BP7" s="362" t="s">
        <v>134</v>
      </c>
      <c r="BQ7" s="123" t="s">
        <v>388</v>
      </c>
      <c r="BR7" s="69"/>
      <c r="BS7" s="69"/>
      <c r="BT7" s="69"/>
      <c r="BU7" s="89"/>
      <c r="BV7" s="68"/>
      <c r="BW7" s="198"/>
      <c r="BX7" s="335"/>
    </row>
    <row r="8" ht="61.5" customHeight="1">
      <c r="A8" s="363">
        <v>1.0</v>
      </c>
      <c r="B8" s="199" t="s">
        <v>136</v>
      </c>
      <c r="C8" s="168" t="s">
        <v>137</v>
      </c>
      <c r="D8" s="364"/>
      <c r="E8" s="365"/>
      <c r="F8" s="365"/>
      <c r="G8" s="365"/>
      <c r="H8" s="365"/>
      <c r="I8" s="365"/>
      <c r="J8" s="366"/>
      <c r="K8" s="367">
        <f t="shared" ref="K8:K315" si="1">J8*0.75</f>
        <v>0</v>
      </c>
      <c r="L8" s="368">
        <f>SUM(I8:I18)+SUM(K8:K18)*1</f>
        <v>0</v>
      </c>
      <c r="M8" s="368">
        <f>SUM('21 Oct Mon'!Q8:Q18,'22 Oct Tues'!Q8:Q18,'23 Oct Wed'!Q8:Q18,'24 Oct Thurs'!Q8:Q18,'25 Oct Fri'!Q8:Q18,'26 Oct Sat'!Q8:Q18)</f>
        <v>0</v>
      </c>
      <c r="N8" s="369">
        <f>SUM('21 Oct Mon'!R8:R18,'22 Oct Tues'!R8:R18,'23 Oct Wed'!R8:R18,'24 Oct Thurs'!R8:R18,'25 Oct Fri'!R8:R18,'26 Oct Sat'!R8:R18)</f>
        <v>0</v>
      </c>
      <c r="O8" s="370">
        <f>SUM(L8:N18)</f>
        <v>0</v>
      </c>
      <c r="P8" s="370">
        <f>SUM('21 Oct Mon'!T8:T18,'22 Oct Tues'!T8:T18,'23 Oct Wed'!T8:T18,'24 Oct Thurs'!T8:T18,'25 Oct Fri'!T8:T18,'26 Oct Sat'!T8:T18)</f>
        <v>0</v>
      </c>
      <c r="Q8" s="370">
        <f>SUM('21 Oct Mon'!U8:U18,'22 Oct Tues'!U8:U18,'23 Oct Wed'!U8:U18,'24 Oct Thurs'!U8:U18,'25 Oct Fri'!U8:U18,'26 Oct Sat'!U8:U18)</f>
        <v>0</v>
      </c>
      <c r="R8" s="370">
        <f>SUM('21 Oct Mon'!V8:V18,'22 Oct Tues'!V8:V18,'23 Oct Wed'!V8:V18,'24 Oct Thurs'!V8:V18,'25 Oct Fri'!V8:V18,'26 Oct Sat'!V8:V18)</f>
        <v>0</v>
      </c>
      <c r="S8" s="371">
        <f>SUM('21 Oct Mon'!W8:W18,'22 Oct Tues'!W8:W18,'23 Oct Wed'!W8:W18,'24 Oct Thurs'!W8:W18,'25 Oct Fri'!W8:W18,'26 Oct Sat'!W8:W18)</f>
        <v>0</v>
      </c>
      <c r="T8" s="372">
        <f>O8-P8-Q8-R8-S8</f>
        <v>0</v>
      </c>
      <c r="U8" s="373" t="str">
        <f>CONCATENATE(SUM('21 Oct Mon'!O8:O18,'22 Oct Tues'!O8:O18,'23 Oct Wed'!O8:O18,'24 Oct Thurs'!O8:O18,'25 Oct Fri'!O8:O18,'26 Oct Sat'!O8:O18),"
(",(SUM('21 Oct Mon'!O8:O18,'22 Oct Tues'!O8:O18,'23 Oct Wed'!O8:O18,'24 Oct Thurs'!O8:O18,'25 Oct Fri'!O8:O18,'26 Oct Sat'!O8:O18)-T8),")")</f>
        <v>0
(0)</v>
      </c>
      <c r="V8" s="374" t="str">
        <f>CONCATENATE("Mon-",'21 Oct Mon'!Z8:Z18,",Tues-",'22 Oct Tues'!Z8:Z18,",Wed-",'23 Oct Wed'!Z8:Z18,",Thurs-",'24 Oct Thurs'!Z8:Z18,",Fri-",'25 Oct Fri'!Z8:Z18,",Sat-",'26 Oct Sat'!Z8:Z18)</f>
        <v>Mon-,Tues-,Wed-,Thurs-,Fri-,Sat-</v>
      </c>
      <c r="W8" s="375">
        <f>SUM('21 Oct Mon'!AI8:AI18,'22 Oct Tues'!AI8:AI18,'23 Oct Wed'!AI8:AI18,'24 Oct Thurs'!AI8:AI18,'25 Oct Fri'!AI8:AI18,'26 Oct Sat'!AI8:AI18)</f>
        <v>0</v>
      </c>
      <c r="X8" s="375">
        <f>SUM('21 Oct Mon'!AM8:AM18,'22 Oct Tues'!AM8:AM18,'23 Oct Wed'!AM8:AM18,'24 Oct Thurs'!AM8:AM18,'25 Oct Fri'!AM8:AM18,'26 Oct Sat'!AM8:AM18)</f>
        <v>0</v>
      </c>
      <c r="Y8" s="376">
        <f>SUM('21 Oct Mon'!AP8:AP18,'22 Oct Tues'!AP8:AP18,'23 Oct Wed'!AP8:AP18,'24 Oct Thurs'!AP8:AP18,'25 Oct Fri'!AP8:AP18,'26 Oct Sat'!AP8:AP18)</f>
        <v>0</v>
      </c>
      <c r="Z8" s="376">
        <f>SUM('21 Oct Mon'!AQ8:AQ18,'22 Oct Tues'!AQ8:AQ18,'23 Oct Wed'!AQ8:AQ18,'24 Oct Thurs'!AQ8:AQ18,'25 Oct Fri'!AQ8:AQ18,'26 Oct Sat'!AQ8:AQ18)</f>
        <v>0</v>
      </c>
      <c r="AA8" s="377">
        <f>SUM('21 Oct Mon'!AR8:AR18,'22 Oct Tues'!AR8:AR18,'23 Oct Wed'!AR8:AR18,'24 Oct Thurs'!AR8:AR18,'25 Oct Fri'!AR8:AR18,'26 Oct Sat'!AR8:AR18)</f>
        <v>0</v>
      </c>
      <c r="AB8" s="377">
        <f>SUM('21 Oct Mon'!AS8:AS18,'22 Oct Tues'!AS8:AS18,'23 Oct Wed'!AS8:AS18,'24 Oct Thurs'!AS8:AS18,'25 Oct Fri'!AS8:AS18,'26 Oct Sat'!AS8:AS18)</f>
        <v>1</v>
      </c>
      <c r="AC8" s="378">
        <f>SUM('21 Oct Mon'!AT8:AT18,'22 Oct Tues'!AT8:AT18,'23 Oct Wed'!AT8:AT18,'24 Oct Thurs'!AT8:AT18,'25 Oct Fri'!AT8:AT18,'26 Oct Sat'!AT8:AT18)</f>
        <v>0.25</v>
      </c>
      <c r="AD8" s="379">
        <f>SUM('21 Oct Mon'!AU8:AU18,'22 Oct Tues'!AU8:AU18,'23 Oct Wed'!AU8:AU18,'24 Oct Thurs'!AU8:AU18,'25 Oct Fri'!AU8:AU18,'26 Oct Sat'!AU8:AU18)</f>
        <v>0</v>
      </c>
      <c r="AE8" s="379">
        <f>SUM('21 Oct Mon'!AV8:AV18,'22 Oct Tues'!AV8:AV18,'23 Oct Wed'!AV8:AV18,'24 Oct Thurs'!AV8:AV18,'25 Oct Fri'!AV8:AV18,'26 Oct Sat'!AV8:AV18)</f>
        <v>0</v>
      </c>
      <c r="AF8" s="379">
        <f>SUM('21 Oct Mon'!AW8:AW18,'22 Oct Tues'!AW8:AW18,'23 Oct Wed'!AW8:AW18,'24 Oct Thurs'!AW8:AW18,'25 Oct Fri'!AW8:AW18,'26 Oct Sat'!AW8:AW18)</f>
        <v>0</v>
      </c>
      <c r="AG8" s="379">
        <f>SUM('21 Oct Mon'!AX8:AX18,'22 Oct Tues'!AX8:AX18,'23 Oct Wed'!AX8:AX18,'24 Oct Thurs'!AX8:AX18,'25 Oct Fri'!AX8:AX18,'26 Oct Sat'!AX8:AX18)</f>
        <v>0</v>
      </c>
      <c r="AH8" s="380">
        <f>SUM('21 Oct Mon'!AY8:AY18,'22 Oct Tues'!AY8:AY18,'23 Oct Wed'!AY8:AY18,'24 Oct Thurs'!AY8:AY18,'25 Oct Fri'!AY8:AY18,'26 Oct Sat'!AY8:AY18)</f>
        <v>0</v>
      </c>
      <c r="AI8" s="381">
        <f>SUM('21 Oct Mon'!AZ8:AZ18,'22 Oct Tues'!AZ8:AZ18,'23 Oct Wed'!AZ8:AZ18,'24 Oct Thurs'!AZ8:AZ18,'25 Oct Fri'!AZ8:AZ18,'26 Oct Sat'!AZ8:AZ18)</f>
        <v>0</v>
      </c>
      <c r="AJ8" s="382">
        <f>SUM('21 Oct Mon'!BG8:BG18,'22 Oct Tues'!BG8:BG18,'23 Oct Wed'!BG8:BG18,'24 Oct Thurs'!BG8:BG18,'25 Oct Fri'!BG8:BG18,'26 Oct Sat'!BG8:BG18)</f>
        <v>0</v>
      </c>
      <c r="AK8" s="383">
        <f>SUM('21 Oct Mon'!BH8:BH18,'22 Oct Tues'!BH8:BH18,'23 Oct Wed'!BH8:BH18,'24 Oct Thurs'!BH8:BH18,'25 Oct Fri'!BH8:BH18,'26 Oct Sat'!BH8:BH18)</f>
        <v>0</v>
      </c>
      <c r="AL8" s="384">
        <f>SUM('21 Oct Mon'!BI8:BI18,'22 Oct Tues'!BI8:BI18,'23 Oct Wed'!BI8:BI18,'24 Oct Thurs'!BI8:BI18,'25 Oct Fri'!BI8:BI18,'26 Oct Sat'!BI8:BI18)</f>
        <v>0</v>
      </c>
      <c r="AM8" s="379">
        <f>SUM('21 Oct Mon'!BJ8:BJ18,'22 Oct Tues'!BJ8:BJ18,'23 Oct Wed'!BJ8:BJ18,'24 Oct Thurs'!BJ8:BJ18,'25 Oct Fri'!BJ8:BJ18,'26 Oct Sat'!BJ8:BJ18)</f>
        <v>0</v>
      </c>
      <c r="AN8" s="379">
        <f>SUM('21 Oct Mon'!BK8:BK18,'22 Oct Tues'!BK8:BK18,'23 Oct Wed'!BK8:BK18,'24 Oct Thurs'!BK8:BK18,'25 Oct Fri'!BK8:BK18,'26 Oct Sat'!BK8:BK18)</f>
        <v>0</v>
      </c>
      <c r="AO8" s="385">
        <f>SUM('21 Oct Mon'!BL8:BL18,'22 Oct Tues'!BL8:BL18,'23 Oct Wed'!BL8:BL18,'24 Oct Thurs'!BL8:BL18,'25 Oct Fri'!BL8:BL18,'26 Oct Sat'!BL8:BL18)</f>
        <v>0</v>
      </c>
      <c r="AP8" s="386">
        <f>SUM('21 Oct Mon'!BM8:BM18,'22 Oct Tues'!BM8:BM18,'23 Oct Wed'!BM8:BM18,'24 Oct Thurs'!BM8:BM18,'25 Oct Fri'!BM8:BM18,'26 Oct Sat'!BM8:BM18)</f>
        <v>0</v>
      </c>
      <c r="AQ8" s="387">
        <f>SUM('21 Oct Mon'!BN8:BN18,'22 Oct Tues'!BN8:BN18,'23 Oct Wed'!BN8:BN18,'24 Oct Thurs'!BN8:BN18,'25 Oct Fri'!BN8:BN18,'26 Oct Sat'!BN8:BN18)</f>
        <v>0</v>
      </c>
      <c r="AR8" s="379">
        <f>SUM('21 Oct Mon'!BO8:BO18,'22 Oct Tues'!BO8:BO18,'23 Oct Wed'!BO8:BO18,'24 Oct Thurs'!BO8:BO18,'25 Oct Fri'!BO8:BO18,'26 Oct Sat'!BO8:BO18)</f>
        <v>0</v>
      </c>
      <c r="AS8" s="379">
        <f>SUM('21 Oct Mon'!BP8:BP18,'22 Oct Tues'!BP8:BP18,'23 Oct Wed'!BP8:BP18,'24 Oct Thurs'!BP8:BP18,'25 Oct Fri'!BP8:BP18,'26 Oct Sat'!BP8:BP18)</f>
        <v>0</v>
      </c>
      <c r="AT8" s="382">
        <f>SUM('21 Oct Mon'!BR8:BR18,'22 Oct Tues'!BR8:BR18,'23 Oct Wed'!BR8:BR18,'24 Oct Thurs'!BR8:BR18,'25 Oct Fri'!BR8:BR18,'26 Oct Sat'!BR8:BR18)</f>
        <v>0</v>
      </c>
      <c r="AU8" s="384">
        <f>SUM('21 Oct Mon'!BS8:BS18,'22 Oct Tues'!BS8:BS18,'23 Oct Wed'!BS8:BS18,'24 Oct Thurs'!BS8:BS18,'25 Oct Fri'!BS8:BS18,'26 Oct Sat'!BS8:BS18)</f>
        <v>0</v>
      </c>
      <c r="AV8" s="379">
        <f>SUM('21 Oct Mon'!BT8:BT18,'22 Oct Tues'!BT8:BT18,'23 Oct Wed'!BT8:BT18,'24 Oct Thurs'!BT8:BT18,'25 Oct Fri'!BT8:BT18,'26 Oct Sat'!BT8:BT18)</f>
        <v>0</v>
      </c>
      <c r="AW8" s="379">
        <f>SUM('21 Oct Mon'!BU8:BU18,'22 Oct Tues'!BU8:BU18,'23 Oct Wed'!BU8:BU18,'24 Oct Thurs'!BU8:BU18,'25 Oct Fri'!BU8:BU18,'26 Oct Sat'!BU8:BU18)</f>
        <v>1</v>
      </c>
      <c r="AX8" s="382">
        <f>SUM('21 Oct Mon'!BV8:BV18,'22 Oct Tues'!BV8:BV18,'23 Oct Wed'!BV8:BV18,'24 Oct Thurs'!BV8:BV18,'25 Oct Fri'!BV8:BV18,'26 Oct Sat'!BV8:BV18)</f>
        <v>0</v>
      </c>
      <c r="AY8" s="379">
        <f>SUM('21 Oct Mon'!BW8:BW18,'22 Oct Tues'!BW8:BW18,'23 Oct Wed'!BW8:BW18,'24 Oct Thurs'!BW8:BW18,'25 Oct Fri'!BW8:BW18,'26 Oct Sat'!BW8:BW18)</f>
        <v>0</v>
      </c>
      <c r="AZ8" s="385">
        <f>SUM('21 Oct Mon'!BX8:BX18,'22 Oct Tues'!BX8:BX18,'23 Oct Wed'!BX8:BX18,'24 Oct Thurs'!BX8:BX18,'25 Oct Fri'!BX8:BX18,'26 Oct Sat'!BX8:BX18)</f>
        <v>0</v>
      </c>
      <c r="BA8" s="386">
        <f>SUM('21 Oct Mon'!BY8:BY18,'22 Oct Tues'!BY8:BY18,'23 Oct Wed'!BY8:BY18,'24 Oct Thurs'!BY8:BY18,'25 Oct Fri'!BY8:BY18,'26 Oct Sat'!BY8:BY18)</f>
        <v>0</v>
      </c>
      <c r="BB8" s="386">
        <f>SUM('21 Oct Mon'!BZ8:BZ18,'22 Oct Tues'!BZ8:BZ18,'23 Oct Wed'!BZ8:BZ18,'24 Oct Thurs'!BZ8:BZ18,'25 Oct Fri'!BZ8:BZ18,'26 Oct Sat'!BZ8:BZ18)</f>
        <v>0</v>
      </c>
      <c r="BC8" s="386">
        <f>SUM('21 Oct Mon'!CA8:CA18,'22 Oct Tues'!CA8:CA18,'23 Oct Wed'!CA8:CA18,'24 Oct Thurs'!CA8:CA18,'25 Oct Fri'!CA8:CA18,'26 Oct Sat'!CA8:CA18)</f>
        <v>0</v>
      </c>
      <c r="BD8" s="386">
        <f>SUM('21 Oct Mon'!CB8:CB18,'22 Oct Tues'!CB8:CB18,'23 Oct Wed'!CB8:CB18,'24 Oct Thurs'!CB8:CB18,'25 Oct Fri'!CB8:CB18,'26 Oct Sat'!CB8:CB18)</f>
        <v>0</v>
      </c>
      <c r="BE8" s="386">
        <f>SUM('21 Oct Mon'!CC8:CC18,'22 Oct Tues'!CC8:CC18,'23 Oct Wed'!CC8:CC18,'24 Oct Thurs'!CC8:CC18,'25 Oct Fri'!CC8:CC18,'26 Oct Sat'!CC8:CC18)</f>
        <v>0</v>
      </c>
      <c r="BF8" s="386" t="str">
        <f>CONCATENATE("Mon-",'21 Oct Mon'!CD8:CD18,",Tues-",'22 Oct Tues'!CD8:CD18,",Wed-",'23 Oct Wed'!CD8:CD18,",Thurs-",'24 Oct Thurs'!CD8:CD18,",Fri-",'25 Oct Fri'!CD8:CD18,",Sat-",'26 Oct Sat'!CD8:CD18)</f>
        <v>Mon-,Tues-,Wed-,Thurs-,Fri-,Sat-</v>
      </c>
      <c r="BG8" s="388">
        <f>SUM('21 Oct Mon'!CE8:CE18,'22 Oct Tues'!CE8:CE18,'23 Oct Wed'!CE8:CE18,'24 Oct Thurs'!CE8:CE18,'25 Oct Fri'!CE8:CE18,'26 Oct Sat'!CE8:CE18)</f>
        <v>0</v>
      </c>
      <c r="BH8" s="389" t="str">
        <f>CONCATENATE("Mon-",'21 Oct Mon'!CF8:CF18,",Tues-",'22 Oct Tues'!CF8:CF18,",Wed-",'23 Oct Wed'!CF8:CF18,",Thurs-",'24 Oct Thurs'!CF8:CF18,",Fri-",'25 Oct Fri'!CF8:CF18,",Sat-",'26 Oct Sat'!CF8:CF18)</f>
        <v>Mon-3 PTM Done on Saturday (19th Oct ) ,Tues-,Wed-,Thurs-,Fri-,Sat-</v>
      </c>
      <c r="BI8" s="383">
        <f>SUM('21 Oct Mon'!CG8:CG18,'22 Oct Tues'!CG8:CG18,'23 Oct Wed'!CG8:CG18,'24 Oct Thurs'!CG8:CG18,'25 Oct Fri'!CG8:CG18,'26 Oct Sat'!CG8:CG18)</f>
        <v>0</v>
      </c>
      <c r="BJ8" s="382">
        <f>SUM('21 Oct Mon'!CH8:CH18,'22 Oct Tues'!CH8:CH18,'23 Oct Wed'!CH8:CH18,'24 Oct Thurs'!CH8:CH18,'25 Oct Fri'!CH8:CH18,'26 Oct Sat'!CH8:CH18)</f>
        <v>0</v>
      </c>
      <c r="BK8" s="384">
        <f>SUM('21 Oct Mon'!CI8:CI18,'22 Oct Tues'!CI8:CI18,'23 Oct Wed'!CI8:CI18,'24 Oct Thurs'!CI8:CI18,'25 Oct Fri'!CI8:CI18,'26 Oct Sat'!CI8:CI18)</f>
        <v>0</v>
      </c>
      <c r="BL8" s="382" t="str">
        <f>CONCATENATE("Mon-",'21 Oct Mon'!CJ8:CJ18,",Tues-",'22 Oct Tues'!CJ8:CJ18,",Wed-",'23 Oct Wed'!CJ8:CJ18,",Thurs-",'24 Oct Thurs'!CJ8:CJ18,",Fri-",'25 Oct Fri'!CJ8:CJ18,",Sat-",'26 Oct Sat'!CJ8:CJ18)</f>
        <v>Mon-,Tues-,Wed-,Thurs-,Fri-,Sat-</v>
      </c>
      <c r="BM8" s="384">
        <f>SUM('21 Oct Mon'!CK8:CK18,'22 Oct Tues'!CK8:CK18,'23 Oct Wed'!CK8:CK18,'24 Oct Thurs'!CK8:CK18,'25 Oct Fri'!CK8:CK18,'26 Oct Sat'!CK8:CK18)</f>
        <v>0</v>
      </c>
      <c r="BN8" s="382" t="str">
        <f>CONCATENATE("Mon-",'21 Oct Mon'!CL8:CL18,",Tues-",'22 Oct Tues'!CL8:CL18,",Wed-",'23 Oct Wed'!CL8:CL18,",Thurs-",'24 Oct Thurs'!CL8:CL18,",Fri-",'25 Oct Fri'!CL8:CL18,",Sat-",'26 Oct Sat'!CL8:CL18)</f>
        <v>Mon-,Tues-,Wed-,Thurs-,Fri-,Sat-</v>
      </c>
      <c r="BO8" s="384">
        <f>SUM('21 Oct Mon'!CM8:CM18,'22 Oct Tues'!CM8:CM18,'23 Oct Wed'!CM8:CM18,'24 Oct Thurs'!CM8:CM18,'25 Oct Fri'!CM8:CM18,'26 Oct Sat'!CM8:CM18)</f>
        <v>0</v>
      </c>
      <c r="BP8" s="385" t="str">
        <f>CONCATENATE("Mon-",'21 Oct Mon'!CN8:CN18,",Tues-",'22 Oct Tues'!CN8:CN18,",Wed-",'23 Oct Wed'!CN8:CN18,",Thurs-",'24 Oct Thurs'!CN8:CN18,",Fri-",'25 Oct Fri'!CN8:CN18,",Sat-",'26 Oct Sat'!CN8:CN18)</f>
        <v>Mon-,Tues-,Wed-,Thurs-,Fri-,Sat-</v>
      </c>
      <c r="BQ8" s="387">
        <f>SUM('21 Oct Mon'!CO8:CO18,'22 Oct Tues'!CO8:CO18,'23 Oct Wed'!CO8:CO18,'24 Oct Thurs'!CO8:CO18,'25 Oct Fri'!CO8:CO18,'26 Oct Sat'!CO8:CO18)</f>
        <v>0</v>
      </c>
      <c r="BR8" s="379" t="str">
        <f>CONCATENATE("Mon-",'21 Oct Mon'!CP8:CP18,",Tues-",'22 Oct Tues'!CP8:CP18,",Wed-",'23 Oct Wed'!CP8:CP18,",Thurs-",'24 Oct Thurs'!CP8:CP18,",Fri-",'25 Oct Fri'!CP8:CP18,",Sat-",'26 Oct Sat'!CP8:CP18)</f>
        <v>Mon-,Tues-,Wed-,Thurs-,Fri-,Sat-</v>
      </c>
      <c r="BS8" s="390">
        <f>SUM('21 Oct Mon'!CQ8:CQ18,'22 Oct Tues'!CQ8:CQ18,'23 Oct Wed'!CQ8:CQ18,'24 Oct Thurs'!CQ8:CQ18,'25 Oct Fri'!CQ8:CQ18,'26 Oct Sat'!CQ8:CQ18)</f>
        <v>0</v>
      </c>
      <c r="BT8" s="390">
        <f>SUM('21 Oct Mon'!CR8:CR18,'22 Oct Tues'!CR8:CR18,'23 Oct Wed'!CR8:CR18,'24 Oct Thurs'!CR8:CR18,'25 Oct Fri'!CR8:CR18,'26 Oct Sat'!CR8:CR18)</f>
        <v>0</v>
      </c>
      <c r="BU8" s="391">
        <f>SUM('21 Oct Mon'!CS8:CS18,'22 Oct Tues'!CS8:CS18,'23 Oct Wed'!CS8:CS18,'24 Oct Thurs'!CS8:CS18,'25 Oct Fri'!CS8:CS18,'26 Oct Sat'!CS8:CS18)</f>
        <v>3</v>
      </c>
      <c r="BV8" s="392">
        <f>SUM('21 Oct Mon'!CT8:CT18,'22 Oct Tues'!CT8:CT18,'23 Oct Wed'!CT8:CT18,'24 Oct Thurs'!CT8:CT18,'25 Oct Fri'!CT8:CT18,'26 Oct Sat'!CT8:CT18)</f>
        <v>1</v>
      </c>
      <c r="BW8" s="393" t="str">
        <f>LEFT(U8,FIND("(",U8,1)-2)</f>
        <v>0</v>
      </c>
      <c r="BX8" s="394"/>
    </row>
    <row r="9">
      <c r="A9" s="177"/>
      <c r="C9" s="205" t="s">
        <v>137</v>
      </c>
      <c r="D9" s="395"/>
      <c r="E9" s="396"/>
      <c r="F9" s="396"/>
      <c r="G9" s="396"/>
      <c r="H9" s="396"/>
      <c r="I9" s="396"/>
      <c r="J9" s="397"/>
      <c r="K9" s="398">
        <f t="shared" si="1"/>
        <v>0</v>
      </c>
      <c r="L9" s="173"/>
      <c r="M9" s="173"/>
      <c r="N9" s="177"/>
      <c r="O9" s="178"/>
      <c r="P9" s="178"/>
      <c r="Q9" s="178"/>
      <c r="R9" s="178"/>
      <c r="S9" s="182"/>
      <c r="T9" s="65"/>
      <c r="U9" s="64"/>
      <c r="V9" s="66"/>
      <c r="W9" s="173"/>
      <c r="X9" s="173"/>
      <c r="Y9" s="65"/>
      <c r="Z9" s="65"/>
      <c r="AA9" s="65"/>
      <c r="AB9" s="65"/>
      <c r="AC9" s="173"/>
      <c r="AD9" s="166"/>
      <c r="AE9" s="166"/>
      <c r="AF9" s="166"/>
      <c r="AG9" s="166"/>
      <c r="AH9" s="65"/>
      <c r="AJ9" s="177"/>
      <c r="AK9" s="178"/>
      <c r="AL9" s="181"/>
      <c r="AM9" s="166"/>
      <c r="AN9" s="166"/>
      <c r="AO9" s="177"/>
      <c r="AP9" s="178"/>
      <c r="AQ9" s="181"/>
      <c r="AR9" s="166"/>
      <c r="AS9" s="166"/>
      <c r="AT9" s="177"/>
      <c r="AU9" s="181"/>
      <c r="AV9" s="166"/>
      <c r="AW9" s="166"/>
      <c r="AX9" s="177"/>
      <c r="AY9" s="166"/>
      <c r="AZ9" s="177"/>
      <c r="BA9" s="178"/>
      <c r="BB9" s="178"/>
      <c r="BC9" s="178"/>
      <c r="BD9" s="178"/>
      <c r="BE9" s="178"/>
      <c r="BF9" s="178"/>
      <c r="BG9" s="179"/>
      <c r="BH9" s="180"/>
      <c r="BI9" s="178"/>
      <c r="BJ9" s="177"/>
      <c r="BK9" s="181"/>
      <c r="BL9" s="177"/>
      <c r="BM9" s="181"/>
      <c r="BN9" s="177"/>
      <c r="BO9" s="181"/>
      <c r="BP9" s="177"/>
      <c r="BQ9" s="181"/>
      <c r="BR9" s="166"/>
      <c r="BS9" s="166"/>
      <c r="BT9" s="166"/>
      <c r="BU9" s="65"/>
      <c r="BW9" s="178"/>
      <c r="BX9" s="399"/>
    </row>
    <row r="10">
      <c r="A10" s="177"/>
      <c r="C10" s="205" t="s">
        <v>137</v>
      </c>
      <c r="D10" s="395"/>
      <c r="E10" s="396"/>
      <c r="F10" s="396"/>
      <c r="G10" s="396"/>
      <c r="H10" s="396"/>
      <c r="I10" s="396"/>
      <c r="J10" s="397"/>
      <c r="K10" s="398">
        <f t="shared" si="1"/>
        <v>0</v>
      </c>
      <c r="L10" s="173"/>
      <c r="M10" s="173"/>
      <c r="N10" s="177"/>
      <c r="O10" s="178"/>
      <c r="P10" s="178"/>
      <c r="Q10" s="178"/>
      <c r="R10" s="178"/>
      <c r="S10" s="182"/>
      <c r="T10" s="65"/>
      <c r="U10" s="64"/>
      <c r="V10" s="66"/>
      <c r="W10" s="173"/>
      <c r="X10" s="173"/>
      <c r="Y10" s="65"/>
      <c r="Z10" s="65"/>
      <c r="AA10" s="65"/>
      <c r="AB10" s="65"/>
      <c r="AC10" s="173"/>
      <c r="AD10" s="166"/>
      <c r="AE10" s="166"/>
      <c r="AF10" s="166"/>
      <c r="AG10" s="166"/>
      <c r="AH10" s="65"/>
      <c r="AJ10" s="177"/>
      <c r="AK10" s="178"/>
      <c r="AL10" s="181"/>
      <c r="AM10" s="166"/>
      <c r="AN10" s="166"/>
      <c r="AO10" s="177"/>
      <c r="AP10" s="178"/>
      <c r="AQ10" s="181"/>
      <c r="AR10" s="166"/>
      <c r="AS10" s="166"/>
      <c r="AT10" s="177"/>
      <c r="AU10" s="181"/>
      <c r="AV10" s="166"/>
      <c r="AW10" s="166"/>
      <c r="AX10" s="177"/>
      <c r="AY10" s="166"/>
      <c r="AZ10" s="177"/>
      <c r="BA10" s="178"/>
      <c r="BB10" s="178"/>
      <c r="BC10" s="178"/>
      <c r="BD10" s="178"/>
      <c r="BE10" s="178"/>
      <c r="BF10" s="178"/>
      <c r="BG10" s="179"/>
      <c r="BH10" s="180"/>
      <c r="BI10" s="178"/>
      <c r="BJ10" s="177"/>
      <c r="BK10" s="181"/>
      <c r="BL10" s="177"/>
      <c r="BM10" s="181"/>
      <c r="BN10" s="177"/>
      <c r="BO10" s="181"/>
      <c r="BP10" s="177"/>
      <c r="BQ10" s="181"/>
      <c r="BR10" s="166"/>
      <c r="BS10" s="166"/>
      <c r="BT10" s="166"/>
      <c r="BU10" s="65"/>
      <c r="BW10" s="178"/>
      <c r="BX10" s="399"/>
    </row>
    <row r="11">
      <c r="A11" s="177"/>
      <c r="C11" s="205" t="s">
        <v>137</v>
      </c>
      <c r="D11" s="395"/>
      <c r="E11" s="396"/>
      <c r="F11" s="396"/>
      <c r="G11" s="396"/>
      <c r="H11" s="396"/>
      <c r="I11" s="396"/>
      <c r="J11" s="397"/>
      <c r="K11" s="398">
        <f t="shared" si="1"/>
        <v>0</v>
      </c>
      <c r="L11" s="173"/>
      <c r="M11" s="173"/>
      <c r="N11" s="177"/>
      <c r="O11" s="178"/>
      <c r="P11" s="178"/>
      <c r="Q11" s="178"/>
      <c r="R11" s="178"/>
      <c r="S11" s="182"/>
      <c r="T11" s="65"/>
      <c r="U11" s="64"/>
      <c r="V11" s="66"/>
      <c r="W11" s="173"/>
      <c r="X11" s="173"/>
      <c r="Y11" s="65"/>
      <c r="Z11" s="65"/>
      <c r="AA11" s="65"/>
      <c r="AB11" s="65"/>
      <c r="AC11" s="173"/>
      <c r="AD11" s="166"/>
      <c r="AE11" s="166"/>
      <c r="AF11" s="166"/>
      <c r="AG11" s="166"/>
      <c r="AH11" s="65"/>
      <c r="AJ11" s="177"/>
      <c r="AK11" s="178"/>
      <c r="AL11" s="181"/>
      <c r="AM11" s="166"/>
      <c r="AN11" s="166"/>
      <c r="AO11" s="177"/>
      <c r="AP11" s="178"/>
      <c r="AQ11" s="181"/>
      <c r="AR11" s="166"/>
      <c r="AS11" s="166"/>
      <c r="AT11" s="177"/>
      <c r="AU11" s="181"/>
      <c r="AV11" s="166"/>
      <c r="AW11" s="166"/>
      <c r="AX11" s="177"/>
      <c r="AY11" s="166"/>
      <c r="AZ11" s="177"/>
      <c r="BA11" s="178"/>
      <c r="BB11" s="178"/>
      <c r="BC11" s="178"/>
      <c r="BD11" s="178"/>
      <c r="BE11" s="178"/>
      <c r="BF11" s="178"/>
      <c r="BG11" s="179"/>
      <c r="BH11" s="180"/>
      <c r="BI11" s="178"/>
      <c r="BJ11" s="177"/>
      <c r="BK11" s="181"/>
      <c r="BL11" s="177"/>
      <c r="BM11" s="181"/>
      <c r="BN11" s="177"/>
      <c r="BO11" s="181"/>
      <c r="BP11" s="177"/>
      <c r="BQ11" s="181"/>
      <c r="BR11" s="166"/>
      <c r="BS11" s="166"/>
      <c r="BT11" s="166"/>
      <c r="BU11" s="65"/>
      <c r="BW11" s="178"/>
      <c r="BX11" s="399"/>
    </row>
    <row r="12">
      <c r="A12" s="177"/>
      <c r="C12" s="205" t="s">
        <v>137</v>
      </c>
      <c r="D12" s="395"/>
      <c r="E12" s="396"/>
      <c r="F12" s="396"/>
      <c r="G12" s="396"/>
      <c r="H12" s="396"/>
      <c r="I12" s="396"/>
      <c r="J12" s="397"/>
      <c r="K12" s="398">
        <f t="shared" si="1"/>
        <v>0</v>
      </c>
      <c r="L12" s="173"/>
      <c r="M12" s="173"/>
      <c r="N12" s="177"/>
      <c r="O12" s="178"/>
      <c r="P12" s="178"/>
      <c r="Q12" s="178"/>
      <c r="R12" s="178"/>
      <c r="S12" s="182"/>
      <c r="T12" s="65"/>
      <c r="U12" s="64"/>
      <c r="V12" s="66"/>
      <c r="W12" s="173"/>
      <c r="X12" s="173"/>
      <c r="Y12" s="65"/>
      <c r="Z12" s="65"/>
      <c r="AA12" s="65"/>
      <c r="AB12" s="65"/>
      <c r="AC12" s="173"/>
      <c r="AD12" s="166"/>
      <c r="AE12" s="166"/>
      <c r="AF12" s="166"/>
      <c r="AG12" s="166"/>
      <c r="AH12" s="65"/>
      <c r="AJ12" s="177"/>
      <c r="AK12" s="178"/>
      <c r="AL12" s="181"/>
      <c r="AM12" s="166"/>
      <c r="AN12" s="166"/>
      <c r="AO12" s="177"/>
      <c r="AP12" s="178"/>
      <c r="AQ12" s="181"/>
      <c r="AR12" s="166"/>
      <c r="AS12" s="166"/>
      <c r="AT12" s="177"/>
      <c r="AU12" s="181"/>
      <c r="AV12" s="166"/>
      <c r="AW12" s="166"/>
      <c r="AX12" s="177"/>
      <c r="AY12" s="166"/>
      <c r="AZ12" s="177"/>
      <c r="BA12" s="178"/>
      <c r="BB12" s="178"/>
      <c r="BC12" s="178"/>
      <c r="BD12" s="178"/>
      <c r="BE12" s="178"/>
      <c r="BF12" s="178"/>
      <c r="BG12" s="179"/>
      <c r="BH12" s="180"/>
      <c r="BI12" s="178"/>
      <c r="BJ12" s="177"/>
      <c r="BK12" s="181"/>
      <c r="BL12" s="177"/>
      <c r="BM12" s="181"/>
      <c r="BN12" s="177"/>
      <c r="BO12" s="181"/>
      <c r="BP12" s="177"/>
      <c r="BQ12" s="181"/>
      <c r="BR12" s="166"/>
      <c r="BS12" s="166"/>
      <c r="BT12" s="166"/>
      <c r="BU12" s="65"/>
      <c r="BW12" s="178"/>
      <c r="BX12" s="399"/>
    </row>
    <row r="13">
      <c r="A13" s="177"/>
      <c r="C13" s="205" t="s">
        <v>137</v>
      </c>
      <c r="D13" s="395"/>
      <c r="E13" s="396"/>
      <c r="F13" s="396"/>
      <c r="G13" s="396"/>
      <c r="H13" s="396"/>
      <c r="I13" s="396"/>
      <c r="J13" s="397"/>
      <c r="K13" s="398">
        <f t="shared" si="1"/>
        <v>0</v>
      </c>
      <c r="L13" s="173"/>
      <c r="M13" s="173"/>
      <c r="N13" s="177"/>
      <c r="O13" s="178"/>
      <c r="P13" s="178"/>
      <c r="Q13" s="178"/>
      <c r="R13" s="178"/>
      <c r="S13" s="182"/>
      <c r="T13" s="65"/>
      <c r="U13" s="64"/>
      <c r="V13" s="66"/>
      <c r="W13" s="173"/>
      <c r="X13" s="173"/>
      <c r="Y13" s="65"/>
      <c r="Z13" s="65"/>
      <c r="AA13" s="65"/>
      <c r="AB13" s="65"/>
      <c r="AC13" s="173"/>
      <c r="AD13" s="166"/>
      <c r="AE13" s="166"/>
      <c r="AF13" s="166"/>
      <c r="AG13" s="166"/>
      <c r="AH13" s="65"/>
      <c r="AJ13" s="177"/>
      <c r="AK13" s="178"/>
      <c r="AL13" s="181"/>
      <c r="AM13" s="166"/>
      <c r="AN13" s="166"/>
      <c r="AO13" s="177"/>
      <c r="AP13" s="178"/>
      <c r="AQ13" s="181"/>
      <c r="AR13" s="166"/>
      <c r="AS13" s="166"/>
      <c r="AT13" s="177"/>
      <c r="AU13" s="181"/>
      <c r="AV13" s="166"/>
      <c r="AW13" s="166"/>
      <c r="AX13" s="177"/>
      <c r="AY13" s="166"/>
      <c r="AZ13" s="177"/>
      <c r="BA13" s="178"/>
      <c r="BB13" s="178"/>
      <c r="BC13" s="178"/>
      <c r="BD13" s="178"/>
      <c r="BE13" s="178"/>
      <c r="BF13" s="178"/>
      <c r="BG13" s="179"/>
      <c r="BH13" s="180"/>
      <c r="BI13" s="178"/>
      <c r="BJ13" s="177"/>
      <c r="BK13" s="181"/>
      <c r="BL13" s="177"/>
      <c r="BM13" s="181"/>
      <c r="BN13" s="177"/>
      <c r="BO13" s="181"/>
      <c r="BP13" s="177"/>
      <c r="BQ13" s="181"/>
      <c r="BR13" s="166"/>
      <c r="BS13" s="166"/>
      <c r="BT13" s="166"/>
      <c r="BU13" s="65"/>
      <c r="BW13" s="178"/>
      <c r="BX13" s="399"/>
    </row>
    <row r="14">
      <c r="A14" s="177"/>
      <c r="C14" s="205" t="s">
        <v>137</v>
      </c>
      <c r="D14" s="395"/>
      <c r="E14" s="396"/>
      <c r="F14" s="396"/>
      <c r="G14" s="396"/>
      <c r="H14" s="396"/>
      <c r="I14" s="396"/>
      <c r="J14" s="397"/>
      <c r="K14" s="398">
        <f t="shared" si="1"/>
        <v>0</v>
      </c>
      <c r="L14" s="173"/>
      <c r="M14" s="173"/>
      <c r="N14" s="177"/>
      <c r="O14" s="178"/>
      <c r="P14" s="178"/>
      <c r="Q14" s="178"/>
      <c r="R14" s="178"/>
      <c r="S14" s="182"/>
      <c r="T14" s="65"/>
      <c r="U14" s="64"/>
      <c r="V14" s="66"/>
      <c r="W14" s="173"/>
      <c r="X14" s="173"/>
      <c r="Y14" s="65"/>
      <c r="Z14" s="65"/>
      <c r="AA14" s="65"/>
      <c r="AB14" s="65"/>
      <c r="AC14" s="173"/>
      <c r="AD14" s="166"/>
      <c r="AE14" s="166"/>
      <c r="AF14" s="166"/>
      <c r="AG14" s="166"/>
      <c r="AH14" s="65"/>
      <c r="AJ14" s="177"/>
      <c r="AK14" s="178"/>
      <c r="AL14" s="181"/>
      <c r="AM14" s="166"/>
      <c r="AN14" s="166"/>
      <c r="AO14" s="177"/>
      <c r="AP14" s="178"/>
      <c r="AQ14" s="181"/>
      <c r="AR14" s="166"/>
      <c r="AS14" s="166"/>
      <c r="AT14" s="177"/>
      <c r="AU14" s="181"/>
      <c r="AV14" s="166"/>
      <c r="AW14" s="166"/>
      <c r="AX14" s="177"/>
      <c r="AY14" s="166"/>
      <c r="AZ14" s="177"/>
      <c r="BA14" s="178"/>
      <c r="BB14" s="178"/>
      <c r="BC14" s="178"/>
      <c r="BD14" s="178"/>
      <c r="BE14" s="178"/>
      <c r="BF14" s="178"/>
      <c r="BG14" s="179"/>
      <c r="BH14" s="180"/>
      <c r="BI14" s="178"/>
      <c r="BJ14" s="177"/>
      <c r="BK14" s="181"/>
      <c r="BL14" s="177"/>
      <c r="BM14" s="181"/>
      <c r="BN14" s="177"/>
      <c r="BO14" s="181"/>
      <c r="BP14" s="177"/>
      <c r="BQ14" s="181"/>
      <c r="BR14" s="166"/>
      <c r="BS14" s="166"/>
      <c r="BT14" s="166"/>
      <c r="BU14" s="65"/>
      <c r="BW14" s="178"/>
      <c r="BX14" s="399"/>
    </row>
    <row r="15">
      <c r="A15" s="177"/>
      <c r="C15" s="205" t="s">
        <v>137</v>
      </c>
      <c r="D15" s="395"/>
      <c r="E15" s="396"/>
      <c r="F15" s="396"/>
      <c r="G15" s="396"/>
      <c r="H15" s="396"/>
      <c r="I15" s="396"/>
      <c r="J15" s="397"/>
      <c r="K15" s="398">
        <f t="shared" si="1"/>
        <v>0</v>
      </c>
      <c r="L15" s="173"/>
      <c r="M15" s="173"/>
      <c r="N15" s="177"/>
      <c r="O15" s="178"/>
      <c r="P15" s="178"/>
      <c r="Q15" s="178"/>
      <c r="R15" s="178"/>
      <c r="S15" s="182"/>
      <c r="T15" s="65"/>
      <c r="U15" s="64"/>
      <c r="V15" s="66"/>
      <c r="W15" s="173"/>
      <c r="X15" s="173"/>
      <c r="Y15" s="65"/>
      <c r="Z15" s="65"/>
      <c r="AA15" s="65"/>
      <c r="AB15" s="65"/>
      <c r="AC15" s="173"/>
      <c r="AD15" s="166"/>
      <c r="AE15" s="166"/>
      <c r="AF15" s="166"/>
      <c r="AG15" s="166"/>
      <c r="AH15" s="65"/>
      <c r="AJ15" s="177"/>
      <c r="AK15" s="178"/>
      <c r="AL15" s="181"/>
      <c r="AM15" s="166"/>
      <c r="AN15" s="166"/>
      <c r="AO15" s="177"/>
      <c r="AP15" s="178"/>
      <c r="AQ15" s="181"/>
      <c r="AR15" s="166"/>
      <c r="AS15" s="166"/>
      <c r="AT15" s="177"/>
      <c r="AU15" s="181"/>
      <c r="AV15" s="166"/>
      <c r="AW15" s="166"/>
      <c r="AX15" s="177"/>
      <c r="AY15" s="166"/>
      <c r="AZ15" s="177"/>
      <c r="BA15" s="178"/>
      <c r="BB15" s="178"/>
      <c r="BC15" s="178"/>
      <c r="BD15" s="178"/>
      <c r="BE15" s="178"/>
      <c r="BF15" s="178"/>
      <c r="BG15" s="179"/>
      <c r="BH15" s="180"/>
      <c r="BI15" s="178"/>
      <c r="BJ15" s="177"/>
      <c r="BK15" s="181"/>
      <c r="BL15" s="177"/>
      <c r="BM15" s="181"/>
      <c r="BN15" s="177"/>
      <c r="BO15" s="181"/>
      <c r="BP15" s="177"/>
      <c r="BQ15" s="181"/>
      <c r="BR15" s="166"/>
      <c r="BS15" s="166"/>
      <c r="BT15" s="166"/>
      <c r="BU15" s="65"/>
      <c r="BW15" s="178"/>
      <c r="BX15" s="399"/>
    </row>
    <row r="16">
      <c r="A16" s="177"/>
      <c r="C16" s="205" t="s">
        <v>137</v>
      </c>
      <c r="D16" s="395"/>
      <c r="E16" s="396"/>
      <c r="F16" s="396"/>
      <c r="G16" s="396"/>
      <c r="H16" s="396"/>
      <c r="I16" s="396"/>
      <c r="J16" s="397"/>
      <c r="K16" s="398">
        <f t="shared" si="1"/>
        <v>0</v>
      </c>
      <c r="L16" s="173"/>
      <c r="M16" s="173"/>
      <c r="N16" s="177"/>
      <c r="O16" s="178"/>
      <c r="P16" s="178"/>
      <c r="Q16" s="178"/>
      <c r="R16" s="178"/>
      <c r="S16" s="182"/>
      <c r="T16" s="65"/>
      <c r="U16" s="64"/>
      <c r="V16" s="66"/>
      <c r="W16" s="173"/>
      <c r="X16" s="173"/>
      <c r="Y16" s="65"/>
      <c r="Z16" s="65"/>
      <c r="AA16" s="65"/>
      <c r="AB16" s="65"/>
      <c r="AC16" s="173"/>
      <c r="AD16" s="166"/>
      <c r="AE16" s="166"/>
      <c r="AF16" s="166"/>
      <c r="AG16" s="166"/>
      <c r="AH16" s="65"/>
      <c r="AJ16" s="177"/>
      <c r="AK16" s="178"/>
      <c r="AL16" s="181"/>
      <c r="AM16" s="166"/>
      <c r="AN16" s="166"/>
      <c r="AO16" s="177"/>
      <c r="AP16" s="178"/>
      <c r="AQ16" s="181"/>
      <c r="AR16" s="166"/>
      <c r="AS16" s="166"/>
      <c r="AT16" s="177"/>
      <c r="AU16" s="181"/>
      <c r="AV16" s="166"/>
      <c r="AW16" s="166"/>
      <c r="AX16" s="177"/>
      <c r="AY16" s="166"/>
      <c r="AZ16" s="177"/>
      <c r="BA16" s="178"/>
      <c r="BB16" s="178"/>
      <c r="BC16" s="178"/>
      <c r="BD16" s="178"/>
      <c r="BE16" s="178"/>
      <c r="BF16" s="178"/>
      <c r="BG16" s="179"/>
      <c r="BH16" s="180"/>
      <c r="BI16" s="178"/>
      <c r="BJ16" s="177"/>
      <c r="BK16" s="181"/>
      <c r="BL16" s="177"/>
      <c r="BM16" s="181"/>
      <c r="BN16" s="177"/>
      <c r="BO16" s="181"/>
      <c r="BP16" s="177"/>
      <c r="BQ16" s="181"/>
      <c r="BR16" s="166"/>
      <c r="BS16" s="166"/>
      <c r="BT16" s="166"/>
      <c r="BU16" s="65"/>
      <c r="BW16" s="178"/>
      <c r="BX16" s="399"/>
    </row>
    <row r="17">
      <c r="A17" s="177"/>
      <c r="C17" s="205" t="s">
        <v>137</v>
      </c>
      <c r="D17" s="395"/>
      <c r="E17" s="396"/>
      <c r="F17" s="396"/>
      <c r="G17" s="396"/>
      <c r="H17" s="396"/>
      <c r="I17" s="396"/>
      <c r="J17" s="397"/>
      <c r="K17" s="398">
        <f t="shared" si="1"/>
        <v>0</v>
      </c>
      <c r="L17" s="173"/>
      <c r="M17" s="173"/>
      <c r="N17" s="177"/>
      <c r="O17" s="178"/>
      <c r="P17" s="178"/>
      <c r="Q17" s="178"/>
      <c r="R17" s="178"/>
      <c r="S17" s="182"/>
      <c r="T17" s="65"/>
      <c r="U17" s="64"/>
      <c r="V17" s="66"/>
      <c r="W17" s="173"/>
      <c r="X17" s="173"/>
      <c r="Y17" s="65"/>
      <c r="Z17" s="65"/>
      <c r="AA17" s="65"/>
      <c r="AB17" s="65"/>
      <c r="AC17" s="173"/>
      <c r="AD17" s="166"/>
      <c r="AE17" s="166"/>
      <c r="AF17" s="166"/>
      <c r="AG17" s="166"/>
      <c r="AH17" s="65"/>
      <c r="AJ17" s="177"/>
      <c r="AK17" s="178"/>
      <c r="AL17" s="181"/>
      <c r="AM17" s="166"/>
      <c r="AN17" s="166"/>
      <c r="AO17" s="177"/>
      <c r="AP17" s="178"/>
      <c r="AQ17" s="181"/>
      <c r="AR17" s="166"/>
      <c r="AS17" s="166"/>
      <c r="AT17" s="177"/>
      <c r="AU17" s="181"/>
      <c r="AV17" s="166"/>
      <c r="AW17" s="166"/>
      <c r="AX17" s="177"/>
      <c r="AY17" s="166"/>
      <c r="AZ17" s="177"/>
      <c r="BA17" s="178"/>
      <c r="BB17" s="178"/>
      <c r="BC17" s="178"/>
      <c r="BD17" s="178"/>
      <c r="BE17" s="178"/>
      <c r="BF17" s="178"/>
      <c r="BG17" s="179"/>
      <c r="BH17" s="180"/>
      <c r="BI17" s="178"/>
      <c r="BJ17" s="177"/>
      <c r="BK17" s="181"/>
      <c r="BL17" s="177"/>
      <c r="BM17" s="181"/>
      <c r="BN17" s="177"/>
      <c r="BO17" s="181"/>
      <c r="BP17" s="177"/>
      <c r="BQ17" s="181"/>
      <c r="BR17" s="166"/>
      <c r="BS17" s="166"/>
      <c r="BT17" s="166"/>
      <c r="BU17" s="65"/>
      <c r="BW17" s="178"/>
      <c r="BX17" s="399"/>
    </row>
    <row r="18">
      <c r="A18" s="192"/>
      <c r="B18" s="6"/>
      <c r="C18" s="210" t="s">
        <v>137</v>
      </c>
      <c r="D18" s="400"/>
      <c r="E18" s="401"/>
      <c r="F18" s="401"/>
      <c r="G18" s="401"/>
      <c r="H18" s="401"/>
      <c r="I18" s="401"/>
      <c r="J18" s="402"/>
      <c r="K18" s="403">
        <f t="shared" si="1"/>
        <v>0</v>
      </c>
      <c r="L18" s="69"/>
      <c r="M18" s="69"/>
      <c r="N18" s="192"/>
      <c r="O18" s="193"/>
      <c r="P18" s="193"/>
      <c r="Q18" s="193"/>
      <c r="R18" s="193"/>
      <c r="S18" s="197"/>
      <c r="T18" s="89"/>
      <c r="U18" s="103"/>
      <c r="V18" s="68"/>
      <c r="W18" s="69"/>
      <c r="X18" s="69"/>
      <c r="Y18" s="89"/>
      <c r="Z18" s="89"/>
      <c r="AA18" s="89"/>
      <c r="AB18" s="89"/>
      <c r="AC18" s="69"/>
      <c r="AD18" s="63"/>
      <c r="AE18" s="63"/>
      <c r="AF18" s="63"/>
      <c r="AG18" s="63"/>
      <c r="AH18" s="89"/>
      <c r="AI18" s="6"/>
      <c r="AJ18" s="192"/>
      <c r="AK18" s="193"/>
      <c r="AL18" s="196"/>
      <c r="AM18" s="63"/>
      <c r="AN18" s="63"/>
      <c r="AO18" s="192"/>
      <c r="AP18" s="193"/>
      <c r="AQ18" s="196"/>
      <c r="AR18" s="63"/>
      <c r="AS18" s="63"/>
      <c r="AT18" s="192"/>
      <c r="AU18" s="196"/>
      <c r="AV18" s="63"/>
      <c r="AW18" s="63"/>
      <c r="AX18" s="192"/>
      <c r="AY18" s="63"/>
      <c r="AZ18" s="192"/>
      <c r="BA18" s="193"/>
      <c r="BB18" s="193"/>
      <c r="BC18" s="193"/>
      <c r="BD18" s="193"/>
      <c r="BE18" s="193"/>
      <c r="BF18" s="193"/>
      <c r="BG18" s="194"/>
      <c r="BH18" s="195"/>
      <c r="BI18" s="193"/>
      <c r="BJ18" s="192"/>
      <c r="BK18" s="196"/>
      <c r="BL18" s="192"/>
      <c r="BM18" s="196"/>
      <c r="BN18" s="192"/>
      <c r="BO18" s="196"/>
      <c r="BP18" s="192"/>
      <c r="BQ18" s="196"/>
      <c r="BR18" s="63"/>
      <c r="BS18" s="63"/>
      <c r="BT18" s="63"/>
      <c r="BU18" s="89"/>
      <c r="BV18" s="6"/>
      <c r="BW18" s="198"/>
      <c r="BX18" s="404"/>
    </row>
    <row r="19" ht="61.5" customHeight="1">
      <c r="A19" s="405">
        <v>2.0</v>
      </c>
      <c r="B19" s="406" t="s">
        <v>146</v>
      </c>
      <c r="C19" s="407" t="s">
        <v>147</v>
      </c>
      <c r="D19" s="408"/>
      <c r="E19" s="409"/>
      <c r="F19" s="409"/>
      <c r="G19" s="409"/>
      <c r="H19" s="409"/>
      <c r="I19" s="409"/>
      <c r="J19" s="366"/>
      <c r="K19" s="367">
        <f t="shared" si="1"/>
        <v>0</v>
      </c>
      <c r="L19" s="368">
        <f>SUM(I19:I29)+SUM(K19:K29)*1</f>
        <v>0</v>
      </c>
      <c r="M19" s="368">
        <f>SUM('21 Oct Mon'!Q19:Q29,'22 Oct Tues'!Q19:Q29,'23 Oct Wed'!Q19:Q29,'24 Oct Thurs'!Q19:Q29,'25 Oct Fri'!Q19:Q29,'26 Oct Sat'!Q19:Q29)</f>
        <v>0</v>
      </c>
      <c r="N19" s="369">
        <f>SUM('21 Oct Mon'!R19:R29,'22 Oct Tues'!R19:R29,'23 Oct Wed'!R19:R29,'24 Oct Thurs'!R19:R29,'25 Oct Fri'!R19:R29,'26 Oct Sat'!R19:R29)</f>
        <v>0</v>
      </c>
      <c r="O19" s="370">
        <f>SUM(L19:N29)</f>
        <v>0</v>
      </c>
      <c r="P19" s="370">
        <f>SUM('21 Oct Mon'!T19:T29,'22 Oct Tues'!T19:T29,'23 Oct Wed'!T19:T29,'24 Oct Thurs'!T19:T29,'25 Oct Fri'!T19:T29,'26 Oct Sat'!T19:T29)</f>
        <v>0</v>
      </c>
      <c r="Q19" s="370">
        <f>SUM('21 Oct Mon'!U19:U29,'22 Oct Tues'!U19:U29,'23 Oct Wed'!U19:U29,'24 Oct Thurs'!U19:U29,'25 Oct Fri'!U19:U29,'26 Oct Sat'!U19:U29)</f>
        <v>0</v>
      </c>
      <c r="R19" s="370">
        <f>SUM('21 Oct Mon'!V19:V29,'22 Oct Tues'!V19:V29,'23 Oct Wed'!V19:V29,'24 Oct Thurs'!V19:V29,'25 Oct Fri'!V19:V29,'26 Oct Sat'!V19:V29)</f>
        <v>0</v>
      </c>
      <c r="S19" s="371">
        <f>SUM('21 Oct Mon'!W19:W29,'22 Oct Tues'!W19:W29,'23 Oct Wed'!W19:W29,'24 Oct Thurs'!W19:W29,'25 Oct Fri'!W19:W29,'26 Oct Sat'!W19:W29)</f>
        <v>0</v>
      </c>
      <c r="T19" s="372">
        <f>O19-P19-Q19-R19-S19</f>
        <v>0</v>
      </c>
      <c r="U19" s="373" t="str">
        <f>CONCATENATE(SUM('21 Oct Mon'!O19:O29,'22 Oct Tues'!O19:O29,'23 Oct Wed'!O19:O29,'24 Oct Thurs'!O19:O29,'25 Oct Fri'!O19:O29,'26 Oct Sat'!O19:O29),"
(",(SUM('21 Oct Mon'!O19:O29,'22 Oct Tues'!O19:O29,'23 Oct Wed'!O19:O29,'24 Oct Thurs'!O19:O29,'25 Oct Fri'!O19:O29,'26 Oct Sat'!O19:O29)-T19),")")</f>
        <v>0
(0)</v>
      </c>
      <c r="V19" s="374" t="str">
        <f>CONCATENATE("Mon-",'21 Oct Mon'!Z19:Z29,",Tues-",'22 Oct Tues'!Z19:Z29,",Wed-",'23 Oct Wed'!Z19:Z29,",Thurs-",'24 Oct Thurs'!Z19:Z29,",Fri-",'25 Oct Fri'!Z19:Z29,",Sat-",'26 Oct Sat'!Z19:Z29)</f>
        <v>Mon-,Tues-,Wed-,Thurs-,Fri-,Sat-</v>
      </c>
      <c r="W19" s="375">
        <f>SUM('21 Oct Mon'!AI19:AI29,'22 Oct Tues'!AI19:AI29,'23 Oct Wed'!AI19:AI29,'24 Oct Thurs'!AI19:AI29,'25 Oct Fri'!AI19:AI29,'26 Oct Sat'!AI19:AI29)</f>
        <v>0</v>
      </c>
      <c r="X19" s="375">
        <f>SUM('21 Oct Mon'!AM19:AM29,'22 Oct Tues'!AM19:AM29,'23 Oct Wed'!AM19:AM29,'24 Oct Thurs'!AM19:AM29,'25 Oct Fri'!AM19:AM29,'26 Oct Sat'!AM19:AM29)</f>
        <v>0</v>
      </c>
      <c r="Y19" s="376">
        <f>SUM('21 Oct Mon'!AP19:AP29,'22 Oct Tues'!AP19:AP29,'23 Oct Wed'!AP19:AP29,'24 Oct Thurs'!AP19:AP29,'25 Oct Fri'!AP19:AP29,'26 Oct Sat'!AP19:AP29)</f>
        <v>0</v>
      </c>
      <c r="Z19" s="376">
        <f>SUM('21 Oct Mon'!AQ19:AQ29,'22 Oct Tues'!AQ19:AQ29,'23 Oct Wed'!AQ19:AQ29,'24 Oct Thurs'!AQ19:AQ29,'25 Oct Fri'!AQ19:AQ29,'26 Oct Sat'!AQ19:AQ29)</f>
        <v>0</v>
      </c>
      <c r="AA19" s="377">
        <f>SUM('21 Oct Mon'!AR19:AR29,'22 Oct Tues'!AR19:AR29,'23 Oct Wed'!AR19:AR29,'24 Oct Thurs'!AR19:AR29,'25 Oct Fri'!AR19:AR29,'26 Oct Sat'!AR19:AR29)</f>
        <v>0</v>
      </c>
      <c r="AB19" s="377">
        <f>SUM('21 Oct Mon'!AS19:AS29,'22 Oct Tues'!AS19:AS29,'23 Oct Wed'!AS19:AS29,'24 Oct Thurs'!AS19:AS29,'25 Oct Fri'!AS19:AS29,'26 Oct Sat'!AS19:AS29)</f>
        <v>10.55</v>
      </c>
      <c r="AC19" s="378">
        <f>SUM('21 Oct Mon'!AT19:AT29,'22 Oct Tues'!AT19:AT29,'23 Oct Wed'!AT19:AT29,'24 Oct Thurs'!AT19:AT29,'25 Oct Fri'!AT19:AT29,'26 Oct Sat'!AT19:AT29)</f>
        <v>2.6375</v>
      </c>
      <c r="AD19" s="379">
        <f>SUM('21 Oct Mon'!AU19:AU29,'22 Oct Tues'!AU19:AU29,'23 Oct Wed'!AU19:AU29,'24 Oct Thurs'!AU19:AU29,'25 Oct Fri'!AU19:AU29,'26 Oct Sat'!AU19:AU29)</f>
        <v>0</v>
      </c>
      <c r="AE19" s="379">
        <f>SUM('21 Oct Mon'!AV19:AV29,'22 Oct Tues'!AV19:AV29,'23 Oct Wed'!AV19:AV29,'24 Oct Thurs'!AV19:AV29,'25 Oct Fri'!AV19:AV29,'26 Oct Sat'!AV19:AV29)</f>
        <v>0</v>
      </c>
      <c r="AF19" s="379">
        <f>SUM('21 Oct Mon'!AW19:AW29,'22 Oct Tues'!AW19:AW29,'23 Oct Wed'!AW19:AW29,'24 Oct Thurs'!AW19:AW29,'25 Oct Fri'!AW19:AW29,'26 Oct Sat'!AW19:AW29)</f>
        <v>0</v>
      </c>
      <c r="AG19" s="379">
        <f>SUM('21 Oct Mon'!AX19:AX29,'22 Oct Tues'!AX19:AX29,'23 Oct Wed'!AX19:AX29,'24 Oct Thurs'!AX19:AX29,'25 Oct Fri'!AX19:AX29,'26 Oct Sat'!AX19:AX29)</f>
        <v>0</v>
      </c>
      <c r="AH19" s="380">
        <f>SUM('21 Oct Mon'!AY19:AY29,'22 Oct Tues'!AY19:AY29,'23 Oct Wed'!AY19:AY29,'24 Oct Thurs'!AY19:AY29,'25 Oct Fri'!AY19:AY29,'26 Oct Sat'!AY19:AY29)</f>
        <v>0</v>
      </c>
      <c r="AI19" s="381">
        <f>SUM('21 Oct Mon'!AZ19:AZ29,'22 Oct Tues'!AZ19:AZ29,'23 Oct Wed'!AZ19:AZ29,'24 Oct Thurs'!AZ19:AZ29,'25 Oct Fri'!AZ19:AZ29,'26 Oct Sat'!AZ19:AZ29)</f>
        <v>0</v>
      </c>
      <c r="AJ19" s="382">
        <f>SUM('21 Oct Mon'!BG19:BG29,'22 Oct Tues'!BG19:BG29,'23 Oct Wed'!BG19:BG29,'24 Oct Thurs'!BG19:BG29,'25 Oct Fri'!BG19:BG29,'26 Oct Sat'!BG19:BG29)</f>
        <v>4</v>
      </c>
      <c r="AK19" s="383">
        <f>SUM('21 Oct Mon'!BH19:BH29,'22 Oct Tues'!BH19:BH29,'23 Oct Wed'!BH19:BH29,'24 Oct Thurs'!BH19:BH29,'25 Oct Fri'!BH19:BH29,'26 Oct Sat'!BH19:BH29)</f>
        <v>0</v>
      </c>
      <c r="AL19" s="384">
        <f>SUM('21 Oct Mon'!BI19:BI29,'22 Oct Tues'!BI19:BI29,'23 Oct Wed'!BI19:BI29,'24 Oct Thurs'!BI19:BI29,'25 Oct Fri'!BI19:BI29,'26 Oct Sat'!BI19:BI29)</f>
        <v>0</v>
      </c>
      <c r="AM19" s="379">
        <f>SUM('21 Oct Mon'!BJ19:BJ29,'22 Oct Tues'!BJ19:BJ29,'23 Oct Wed'!BJ19:BJ29,'24 Oct Thurs'!BJ19:BJ29,'25 Oct Fri'!BJ19:BJ29,'26 Oct Sat'!BJ19:BJ29)</f>
        <v>6</v>
      </c>
      <c r="AN19" s="379">
        <f>SUM('21 Oct Mon'!BK19:BK29,'22 Oct Tues'!BK19:BK29,'23 Oct Wed'!BK19:BK29,'24 Oct Thurs'!BK19:BK29,'25 Oct Fri'!BK19:BK29,'26 Oct Sat'!BK19:BK29)</f>
        <v>0</v>
      </c>
      <c r="AO19" s="385">
        <f>SUM('21 Oct Mon'!BL19:BL29,'22 Oct Tues'!BL19:BL29,'23 Oct Wed'!BL19:BL29,'24 Oct Thurs'!BL19:BL29,'25 Oct Fri'!BL19:BL29,'26 Oct Sat'!BL19:BL29)</f>
        <v>0</v>
      </c>
      <c r="AP19" s="386">
        <f>SUM('21 Oct Mon'!BM19:BM29,'22 Oct Tues'!BM19:BM29,'23 Oct Wed'!BM19:BM29,'24 Oct Thurs'!BM19:BM29,'25 Oct Fri'!BM19:BM29,'26 Oct Sat'!BM19:BM29)</f>
        <v>0</v>
      </c>
      <c r="AQ19" s="387">
        <f>SUM('21 Oct Mon'!BN19:BN29,'22 Oct Tues'!BN19:BN29,'23 Oct Wed'!BN19:BN29,'24 Oct Thurs'!BN19:BN29,'25 Oct Fri'!BN19:BN29,'26 Oct Sat'!BN19:BN29)</f>
        <v>0</v>
      </c>
      <c r="AR19" s="379">
        <f>SUM('21 Oct Mon'!BO19:BO29,'22 Oct Tues'!BO19:BO29,'23 Oct Wed'!BO19:BO29,'24 Oct Thurs'!BO19:BO29,'25 Oct Fri'!BO19:BO29,'26 Oct Sat'!BO19:BO29)</f>
        <v>0</v>
      </c>
      <c r="AS19" s="379">
        <f>SUM('21 Oct Mon'!BP19:BP29,'22 Oct Tues'!BP19:BP29,'23 Oct Wed'!BP19:BP29,'24 Oct Thurs'!BP19:BP29,'25 Oct Fri'!BP19:BP29,'26 Oct Sat'!BP19:BP29)</f>
        <v>0</v>
      </c>
      <c r="AT19" s="382">
        <f>SUM('21 Oct Mon'!BR19:BR29,'22 Oct Tues'!BR19:BR29,'23 Oct Wed'!BR19:BR29,'24 Oct Thurs'!BR19:BR29,'25 Oct Fri'!BR19:BR29,'26 Oct Sat'!BR19:BR29)</f>
        <v>11</v>
      </c>
      <c r="AU19" s="384">
        <f>SUM('21 Oct Mon'!BS19:BS29,'22 Oct Tues'!BS19:BS29,'23 Oct Wed'!BS19:BS29,'24 Oct Thurs'!BS19:BS29,'25 Oct Fri'!BS19:BS29,'26 Oct Sat'!BS19:BS29)</f>
        <v>0</v>
      </c>
      <c r="AV19" s="379">
        <f>SUM('21 Oct Mon'!BT19:BT29,'22 Oct Tues'!BT19:BT29,'23 Oct Wed'!BT19:BT29,'24 Oct Thurs'!BT19:BT29,'25 Oct Fri'!BT19:BT29,'26 Oct Sat'!BT19:BT29)</f>
        <v>0</v>
      </c>
      <c r="AW19" s="379">
        <f>SUM('21 Oct Mon'!BU19:BU29,'22 Oct Tues'!BU19:BU29,'23 Oct Wed'!BU19:BU29,'24 Oct Thurs'!BU19:BU29,'25 Oct Fri'!BU19:BU29,'26 Oct Sat'!BU19:BU29)</f>
        <v>0</v>
      </c>
      <c r="AX19" s="382">
        <f>SUM('21 Oct Mon'!BV19:BV29,'22 Oct Tues'!BV19:BV29,'23 Oct Wed'!BV19:BV29,'24 Oct Thurs'!BV19:BV29,'25 Oct Fri'!BV19:BV29,'26 Oct Sat'!BV19:BV29)</f>
        <v>0</v>
      </c>
      <c r="AY19" s="379">
        <f>SUM('21 Oct Mon'!BW19:BW29,'22 Oct Tues'!BW19:BW29,'23 Oct Wed'!BW19:BW29,'24 Oct Thurs'!BW19:BW29,'25 Oct Fri'!BW19:BW29,'26 Oct Sat'!BW19:BW29)</f>
        <v>0</v>
      </c>
      <c r="AZ19" s="385">
        <f>SUM('21 Oct Mon'!BX19:BX29,'22 Oct Tues'!BX19:BX29,'23 Oct Wed'!BX19:BX29,'24 Oct Thurs'!BX19:BX29,'25 Oct Fri'!BX19:BX29,'26 Oct Sat'!BX19:BX29)</f>
        <v>0</v>
      </c>
      <c r="BA19" s="386">
        <f>SUM('21 Oct Mon'!BY19:BY29,'22 Oct Tues'!BY19:BY29,'23 Oct Wed'!BY19:BY29,'24 Oct Thurs'!BY19:BY29,'25 Oct Fri'!BY19:BY29,'26 Oct Sat'!BY19:BY29)</f>
        <v>0</v>
      </c>
      <c r="BB19" s="386">
        <f>SUM('21 Oct Mon'!BZ19:BZ29,'22 Oct Tues'!BZ19:BZ29,'23 Oct Wed'!BZ19:BZ29,'24 Oct Thurs'!BZ19:BZ29,'25 Oct Fri'!BZ19:BZ29,'26 Oct Sat'!BZ19:BZ29)</f>
        <v>0</v>
      </c>
      <c r="BC19" s="386">
        <f>SUM('21 Oct Mon'!CA19:CA29,'22 Oct Tues'!CA19:CA29,'23 Oct Wed'!CA19:CA29,'24 Oct Thurs'!CA19:CA29,'25 Oct Fri'!CA19:CA29,'26 Oct Sat'!CA19:CA29)</f>
        <v>0</v>
      </c>
      <c r="BD19" s="386">
        <f>SUM('21 Oct Mon'!CB19:CB29,'22 Oct Tues'!CB19:CB29,'23 Oct Wed'!CB19:CB29,'24 Oct Thurs'!CB19:CB29,'25 Oct Fri'!CB19:CB29,'26 Oct Sat'!CB19:CB29)</f>
        <v>0</v>
      </c>
      <c r="BE19" s="386">
        <f>SUM('21 Oct Mon'!CC19:CC29,'22 Oct Tues'!CC19:CC29,'23 Oct Wed'!CC19:CC29,'24 Oct Thurs'!CC19:CC29,'25 Oct Fri'!CC19:CC29,'26 Oct Sat'!CC19:CC29)</f>
        <v>0</v>
      </c>
      <c r="BF19" s="386" t="str">
        <f>CONCATENATE("Mon-",'21 Oct Mon'!CD19:CD29,",Tues-",'22 Oct Tues'!CD19:CD29,",Wed-",'23 Oct Wed'!CD19:CD29,",Thurs-",'24 Oct Thurs'!CD19:CD29,",Fri-",'25 Oct Fri'!CD19:CD29,",Sat-",'26 Oct Sat'!CD19:CD29)</f>
        <v>Mon-,Tues-,Wed-,Thurs-,Fri-,Sat-</v>
      </c>
      <c r="BG19" s="388">
        <f>SUM('21 Oct Mon'!CE19:CE29,'22 Oct Tues'!CE19:CE29,'23 Oct Wed'!CE19:CE29,'24 Oct Thurs'!CE19:CE29,'25 Oct Fri'!CE19:CE29,'26 Oct Sat'!CE19:CE29)</f>
        <v>0</v>
      </c>
      <c r="BH19" s="389" t="str">
        <f>CONCATENATE("Mon-",'21 Oct Mon'!CF19:CF29,",Tues-",'22 Oct Tues'!CF19:CF29,",Wed-",'23 Oct Wed'!CF19:CF29,",Thurs-",'24 Oct Thurs'!CF19:CF29,",Fri-",'25 Oct Fri'!CF19:CF29,",Sat-",'26 Oct Sat'!CF19:CF29)</f>
        <v>Mon-Paper setting of SEM-III DE-T1 Exam,Tues-,Wed-,Thurs-,Fri-,Sat-supervision of FCSP-1 on 25/10/2024 from 2:30 to 5:30 PM,COA REM paper setting summer-2024</v>
      </c>
      <c r="BI19" s="383">
        <f>SUM('21 Oct Mon'!CG19:CG29,'22 Oct Tues'!CG19:CG29,'23 Oct Wed'!CG19:CG29,'24 Oct Thurs'!CG19:CG29,'25 Oct Fri'!CG19:CG29,'26 Oct Sat'!CG19:CG29)</f>
        <v>0</v>
      </c>
      <c r="BJ19" s="382">
        <f>SUM('21 Oct Mon'!CH19:CH29,'22 Oct Tues'!CH19:CH29,'23 Oct Wed'!CH19:CH29,'24 Oct Thurs'!CH19:CH29,'25 Oct Fri'!CH19:CH29,'26 Oct Sat'!CH19:CH29)</f>
        <v>0</v>
      </c>
      <c r="BK19" s="384">
        <f>SUM('21 Oct Mon'!CI19:CI29,'22 Oct Tues'!CI19:CI29,'23 Oct Wed'!CI19:CI29,'24 Oct Thurs'!CI19:CI29,'25 Oct Fri'!CI19:CI29,'26 Oct Sat'!CI19:CI29)</f>
        <v>0</v>
      </c>
      <c r="BL19" s="382" t="str">
        <f>CONCATENATE("Mon-",'21 Oct Mon'!CJ19:CJ29,",Tues-",'22 Oct Tues'!CJ19:CJ29,",Wed-",'23 Oct Wed'!CJ19:CJ29,",Thurs-",'24 Oct Thurs'!CJ19:CJ29,",Fri-",'25 Oct Fri'!CJ19:CJ29,",Sat-",'26 Oct Sat'!CJ19:CJ29)</f>
        <v>Mon-,Tues-,Wed-,Thurs-,Fri-,Sat-</v>
      </c>
      <c r="BM19" s="384">
        <f>SUM('21 Oct Mon'!CK19:CK29,'22 Oct Tues'!CK19:CK29,'23 Oct Wed'!CK19:CK29,'24 Oct Thurs'!CK19:CK29,'25 Oct Fri'!CK19:CK29,'26 Oct Sat'!CK19:CK29)</f>
        <v>0</v>
      </c>
      <c r="BN19" s="382" t="str">
        <f>CONCATENATE("Mon-",'21 Oct Mon'!CL19:CL29,",Tues-",'22 Oct Tues'!CL19:CL29,",Wed-",'23 Oct Wed'!CL19:CL29,",Thurs-",'24 Oct Thurs'!CL19:CL29,",Fri-",'25 Oct Fri'!CL19:CL29,",Sat-",'26 Oct Sat'!CL19:CL29)</f>
        <v>Mon-,Tues-,Wed-,Thurs-,Fri-,Sat-</v>
      </c>
      <c r="BO19" s="384">
        <f>SUM('21 Oct Mon'!CM19:CM29,'22 Oct Tues'!CM19:CM29,'23 Oct Wed'!CM19:CM29,'24 Oct Thurs'!CM19:CM29,'25 Oct Fri'!CM19:CM29,'26 Oct Sat'!CM19:CM29)</f>
        <v>0</v>
      </c>
      <c r="BP19" s="385" t="str">
        <f>CONCATENATE("Mon-",'21 Oct Mon'!CN19:CN29,",Tues-",'22 Oct Tues'!CN19:CN29,",Wed-",'23 Oct Wed'!CN19:CN29,",Thurs-",'24 Oct Thurs'!CN19:CN29,",Fri-",'25 Oct Fri'!CN19:CN29,",Sat-",'26 Oct Sat'!CN19:CN29)</f>
        <v>Mon-,Tues-,Wed-,Thurs-,Fri-,Sat-</v>
      </c>
      <c r="BQ19" s="387">
        <f>SUM('21 Oct Mon'!CO19:CO29,'22 Oct Tues'!CO19:CO29,'23 Oct Wed'!CO19:CO29,'24 Oct Thurs'!CO19:CO29,'25 Oct Fri'!CO19:CO29,'26 Oct Sat'!CO19:CO29)</f>
        <v>0</v>
      </c>
      <c r="BR19" s="379" t="str">
        <f>CONCATENATE("Mon-",'21 Oct Mon'!CP19:CP29,",Tues-",'22 Oct Tues'!CP19:CP29,",Wed-",'23 Oct Wed'!CP19:CP29,",Thurs-",'24 Oct Thurs'!CP19:CP29,",Fri-",'25 Oct Fri'!CP19:CP29,",Sat-",'26 Oct Sat'!CP19:CP29)</f>
        <v>Mon-,Tues-,Wed-,Thurs-,Fri-,Sat-</v>
      </c>
      <c r="BS19" s="390">
        <f>SUM('21 Oct Mon'!CQ19:CQ29,'22 Oct Tues'!CQ19:CQ29,'23 Oct Wed'!CQ19:CQ29,'24 Oct Thurs'!CQ19:CQ29,'25 Oct Fri'!CQ19:CQ29,'26 Oct Sat'!CQ19:CQ29)</f>
        <v>0</v>
      </c>
      <c r="BT19" s="390">
        <f>SUM('21 Oct Mon'!CR19:CR29,'22 Oct Tues'!CR19:CR29,'23 Oct Wed'!CR19:CR29,'24 Oct Thurs'!CR19:CR29,'25 Oct Fri'!CR19:CR29,'26 Oct Sat'!CR19:CR29)</f>
        <v>0</v>
      </c>
      <c r="BU19" s="391">
        <f>SUM('21 Oct Mon'!CS19:CS29,'22 Oct Tues'!CS19:CS29,'23 Oct Wed'!CS19:CS29,'24 Oct Thurs'!CS19:CS29,'25 Oct Fri'!CS19:CS29,'26 Oct Sat'!CS19:CS29)</f>
        <v>0</v>
      </c>
      <c r="BV19" s="392">
        <f>SUM('21 Oct Mon'!CT19:CT29,'22 Oct Tues'!CT19:CT29,'23 Oct Wed'!CT19:CT29,'24 Oct Thurs'!CT19:CT29,'25 Oct Fri'!CT19:CT29,'26 Oct Sat'!CT19:CT29)</f>
        <v>10.55</v>
      </c>
      <c r="BW19" s="393" t="str">
        <f>LEFT(U19,FIND("(",U19,1)-2)</f>
        <v>0</v>
      </c>
      <c r="BX19" s="394"/>
    </row>
    <row r="20" ht="61.5" customHeight="1">
      <c r="A20" s="177"/>
      <c r="B20" s="178"/>
      <c r="C20" s="410" t="s">
        <v>147</v>
      </c>
      <c r="D20" s="408"/>
      <c r="E20" s="409"/>
      <c r="F20" s="409"/>
      <c r="G20" s="409"/>
      <c r="H20" s="409"/>
      <c r="I20" s="409"/>
      <c r="J20" s="366"/>
      <c r="K20" s="398">
        <f t="shared" si="1"/>
        <v>0</v>
      </c>
      <c r="L20" s="173"/>
      <c r="M20" s="173"/>
      <c r="N20" s="177"/>
      <c r="O20" s="178"/>
      <c r="P20" s="178"/>
      <c r="Q20" s="178"/>
      <c r="R20" s="178"/>
      <c r="S20" s="182"/>
      <c r="T20" s="65"/>
      <c r="U20" s="64"/>
      <c r="V20" s="66"/>
      <c r="W20" s="173"/>
      <c r="X20" s="173"/>
      <c r="Y20" s="65"/>
      <c r="Z20" s="65"/>
      <c r="AA20" s="65"/>
      <c r="AB20" s="65"/>
      <c r="AC20" s="173"/>
      <c r="AD20" s="166"/>
      <c r="AE20" s="166"/>
      <c r="AF20" s="166"/>
      <c r="AG20" s="166"/>
      <c r="AH20" s="65"/>
      <c r="AJ20" s="177"/>
      <c r="AK20" s="178"/>
      <c r="AL20" s="181"/>
      <c r="AM20" s="166"/>
      <c r="AN20" s="166"/>
      <c r="AO20" s="177"/>
      <c r="AP20" s="178"/>
      <c r="AQ20" s="181"/>
      <c r="AR20" s="166"/>
      <c r="AS20" s="166"/>
      <c r="AT20" s="177"/>
      <c r="AU20" s="181"/>
      <c r="AV20" s="166"/>
      <c r="AW20" s="166"/>
      <c r="AX20" s="177"/>
      <c r="AY20" s="166"/>
      <c r="AZ20" s="177"/>
      <c r="BA20" s="178"/>
      <c r="BB20" s="178"/>
      <c r="BC20" s="178"/>
      <c r="BD20" s="178"/>
      <c r="BE20" s="178"/>
      <c r="BF20" s="178"/>
      <c r="BG20" s="179"/>
      <c r="BH20" s="180"/>
      <c r="BI20" s="178"/>
      <c r="BJ20" s="177"/>
      <c r="BK20" s="181"/>
      <c r="BL20" s="177"/>
      <c r="BM20" s="181"/>
      <c r="BN20" s="177"/>
      <c r="BO20" s="181"/>
      <c r="BP20" s="177"/>
      <c r="BQ20" s="181"/>
      <c r="BR20" s="166"/>
      <c r="BS20" s="166"/>
      <c r="BT20" s="166"/>
      <c r="BU20" s="65"/>
      <c r="BW20" s="178"/>
      <c r="BX20" s="399"/>
    </row>
    <row r="21" ht="61.5" customHeight="1">
      <c r="A21" s="177"/>
      <c r="B21" s="178"/>
      <c r="C21" s="410" t="s">
        <v>147</v>
      </c>
      <c r="D21" s="408"/>
      <c r="E21" s="409"/>
      <c r="F21" s="409"/>
      <c r="G21" s="409"/>
      <c r="H21" s="409"/>
      <c r="I21" s="409"/>
      <c r="J21" s="366"/>
      <c r="K21" s="398">
        <f t="shared" si="1"/>
        <v>0</v>
      </c>
      <c r="L21" s="173"/>
      <c r="M21" s="173"/>
      <c r="N21" s="177"/>
      <c r="O21" s="178"/>
      <c r="P21" s="178"/>
      <c r="Q21" s="178"/>
      <c r="R21" s="178"/>
      <c r="S21" s="182"/>
      <c r="T21" s="65"/>
      <c r="U21" s="64"/>
      <c r="V21" s="66"/>
      <c r="W21" s="173"/>
      <c r="X21" s="173"/>
      <c r="Y21" s="65"/>
      <c r="Z21" s="65"/>
      <c r="AA21" s="65"/>
      <c r="AB21" s="65"/>
      <c r="AC21" s="173"/>
      <c r="AD21" s="166"/>
      <c r="AE21" s="166"/>
      <c r="AF21" s="166"/>
      <c r="AG21" s="166"/>
      <c r="AH21" s="65"/>
      <c r="AJ21" s="177"/>
      <c r="AK21" s="178"/>
      <c r="AL21" s="181"/>
      <c r="AM21" s="166"/>
      <c r="AN21" s="166"/>
      <c r="AO21" s="177"/>
      <c r="AP21" s="178"/>
      <c r="AQ21" s="181"/>
      <c r="AR21" s="166"/>
      <c r="AS21" s="166"/>
      <c r="AT21" s="177"/>
      <c r="AU21" s="181"/>
      <c r="AV21" s="166"/>
      <c r="AW21" s="166"/>
      <c r="AX21" s="177"/>
      <c r="AY21" s="166"/>
      <c r="AZ21" s="177"/>
      <c r="BA21" s="178"/>
      <c r="BB21" s="178"/>
      <c r="BC21" s="178"/>
      <c r="BD21" s="178"/>
      <c r="BE21" s="178"/>
      <c r="BF21" s="178"/>
      <c r="BG21" s="179"/>
      <c r="BH21" s="180"/>
      <c r="BI21" s="178"/>
      <c r="BJ21" s="177"/>
      <c r="BK21" s="181"/>
      <c r="BL21" s="177"/>
      <c r="BM21" s="181"/>
      <c r="BN21" s="177"/>
      <c r="BO21" s="181"/>
      <c r="BP21" s="177"/>
      <c r="BQ21" s="181"/>
      <c r="BR21" s="166"/>
      <c r="BS21" s="166"/>
      <c r="BT21" s="166"/>
      <c r="BU21" s="65"/>
      <c r="BW21" s="178"/>
      <c r="BX21" s="399"/>
    </row>
    <row r="22" ht="61.5" customHeight="1">
      <c r="A22" s="177"/>
      <c r="B22" s="178"/>
      <c r="C22" s="410" t="s">
        <v>147</v>
      </c>
      <c r="D22" s="395"/>
      <c r="E22" s="396"/>
      <c r="F22" s="396"/>
      <c r="G22" s="396"/>
      <c r="H22" s="396"/>
      <c r="I22" s="396"/>
      <c r="J22" s="397"/>
      <c r="K22" s="398">
        <f t="shared" si="1"/>
        <v>0</v>
      </c>
      <c r="L22" s="173"/>
      <c r="M22" s="173"/>
      <c r="N22" s="177"/>
      <c r="O22" s="178"/>
      <c r="P22" s="178"/>
      <c r="Q22" s="178"/>
      <c r="R22" s="178"/>
      <c r="S22" s="182"/>
      <c r="T22" s="65"/>
      <c r="U22" s="64"/>
      <c r="V22" s="66"/>
      <c r="W22" s="173"/>
      <c r="X22" s="173"/>
      <c r="Y22" s="65"/>
      <c r="Z22" s="65"/>
      <c r="AA22" s="65"/>
      <c r="AB22" s="65"/>
      <c r="AC22" s="173"/>
      <c r="AD22" s="166"/>
      <c r="AE22" s="166"/>
      <c r="AF22" s="166"/>
      <c r="AG22" s="166"/>
      <c r="AH22" s="65"/>
      <c r="AJ22" s="177"/>
      <c r="AK22" s="178"/>
      <c r="AL22" s="181"/>
      <c r="AM22" s="166"/>
      <c r="AN22" s="166"/>
      <c r="AO22" s="177"/>
      <c r="AP22" s="178"/>
      <c r="AQ22" s="181"/>
      <c r="AR22" s="166"/>
      <c r="AS22" s="166"/>
      <c r="AT22" s="177"/>
      <c r="AU22" s="181"/>
      <c r="AV22" s="166"/>
      <c r="AW22" s="166"/>
      <c r="AX22" s="177"/>
      <c r="AY22" s="166"/>
      <c r="AZ22" s="177"/>
      <c r="BA22" s="178"/>
      <c r="BB22" s="178"/>
      <c r="BC22" s="178"/>
      <c r="BD22" s="178"/>
      <c r="BE22" s="178"/>
      <c r="BF22" s="178"/>
      <c r="BG22" s="179"/>
      <c r="BH22" s="180"/>
      <c r="BI22" s="178"/>
      <c r="BJ22" s="177"/>
      <c r="BK22" s="181"/>
      <c r="BL22" s="177"/>
      <c r="BM22" s="181"/>
      <c r="BN22" s="177"/>
      <c r="BO22" s="181"/>
      <c r="BP22" s="177"/>
      <c r="BQ22" s="181"/>
      <c r="BR22" s="166"/>
      <c r="BS22" s="166"/>
      <c r="BT22" s="166"/>
      <c r="BU22" s="65"/>
      <c r="BW22" s="178"/>
      <c r="BX22" s="399"/>
    </row>
    <row r="23" ht="61.5" customHeight="1">
      <c r="A23" s="177"/>
      <c r="B23" s="178"/>
      <c r="C23" s="410" t="s">
        <v>147</v>
      </c>
      <c r="D23" s="395"/>
      <c r="E23" s="396"/>
      <c r="F23" s="396"/>
      <c r="G23" s="396"/>
      <c r="H23" s="396"/>
      <c r="I23" s="396"/>
      <c r="J23" s="397"/>
      <c r="K23" s="398">
        <f t="shared" si="1"/>
        <v>0</v>
      </c>
      <c r="L23" s="173"/>
      <c r="M23" s="173"/>
      <c r="N23" s="177"/>
      <c r="O23" s="178"/>
      <c r="P23" s="178"/>
      <c r="Q23" s="178"/>
      <c r="R23" s="178"/>
      <c r="S23" s="182"/>
      <c r="T23" s="65"/>
      <c r="U23" s="64"/>
      <c r="V23" s="66"/>
      <c r="W23" s="173"/>
      <c r="X23" s="173"/>
      <c r="Y23" s="65"/>
      <c r="Z23" s="65"/>
      <c r="AA23" s="65"/>
      <c r="AB23" s="65"/>
      <c r="AC23" s="173"/>
      <c r="AD23" s="166"/>
      <c r="AE23" s="166"/>
      <c r="AF23" s="166"/>
      <c r="AG23" s="166"/>
      <c r="AH23" s="65"/>
      <c r="AJ23" s="177"/>
      <c r="AK23" s="178"/>
      <c r="AL23" s="181"/>
      <c r="AM23" s="166"/>
      <c r="AN23" s="166"/>
      <c r="AO23" s="177"/>
      <c r="AP23" s="178"/>
      <c r="AQ23" s="181"/>
      <c r="AR23" s="166"/>
      <c r="AS23" s="166"/>
      <c r="AT23" s="177"/>
      <c r="AU23" s="181"/>
      <c r="AV23" s="166"/>
      <c r="AW23" s="166"/>
      <c r="AX23" s="177"/>
      <c r="AY23" s="166"/>
      <c r="AZ23" s="177"/>
      <c r="BA23" s="178"/>
      <c r="BB23" s="178"/>
      <c r="BC23" s="178"/>
      <c r="BD23" s="178"/>
      <c r="BE23" s="178"/>
      <c r="BF23" s="178"/>
      <c r="BG23" s="179"/>
      <c r="BH23" s="180"/>
      <c r="BI23" s="178"/>
      <c r="BJ23" s="177"/>
      <c r="BK23" s="181"/>
      <c r="BL23" s="177"/>
      <c r="BM23" s="181"/>
      <c r="BN23" s="177"/>
      <c r="BO23" s="181"/>
      <c r="BP23" s="177"/>
      <c r="BQ23" s="181"/>
      <c r="BR23" s="166"/>
      <c r="BS23" s="166"/>
      <c r="BT23" s="166"/>
      <c r="BU23" s="65"/>
      <c r="BW23" s="178"/>
      <c r="BX23" s="399"/>
    </row>
    <row r="24" ht="61.5" customHeight="1">
      <c r="A24" s="177"/>
      <c r="B24" s="178"/>
      <c r="C24" s="410" t="s">
        <v>147</v>
      </c>
      <c r="D24" s="395"/>
      <c r="E24" s="396"/>
      <c r="F24" s="396"/>
      <c r="G24" s="396"/>
      <c r="H24" s="396"/>
      <c r="I24" s="396"/>
      <c r="J24" s="397"/>
      <c r="K24" s="398">
        <f t="shared" si="1"/>
        <v>0</v>
      </c>
      <c r="L24" s="173"/>
      <c r="M24" s="173"/>
      <c r="N24" s="177"/>
      <c r="O24" s="178"/>
      <c r="P24" s="178"/>
      <c r="Q24" s="178"/>
      <c r="R24" s="178"/>
      <c r="S24" s="182"/>
      <c r="T24" s="65"/>
      <c r="U24" s="64"/>
      <c r="V24" s="66"/>
      <c r="W24" s="173"/>
      <c r="X24" s="173"/>
      <c r="Y24" s="65"/>
      <c r="Z24" s="65"/>
      <c r="AA24" s="65"/>
      <c r="AB24" s="65"/>
      <c r="AC24" s="173"/>
      <c r="AD24" s="166"/>
      <c r="AE24" s="166"/>
      <c r="AF24" s="166"/>
      <c r="AG24" s="166"/>
      <c r="AH24" s="65"/>
      <c r="AJ24" s="177"/>
      <c r="AK24" s="178"/>
      <c r="AL24" s="181"/>
      <c r="AM24" s="166"/>
      <c r="AN24" s="166"/>
      <c r="AO24" s="177"/>
      <c r="AP24" s="178"/>
      <c r="AQ24" s="181"/>
      <c r="AR24" s="166"/>
      <c r="AS24" s="166"/>
      <c r="AT24" s="177"/>
      <c r="AU24" s="181"/>
      <c r="AV24" s="166"/>
      <c r="AW24" s="166"/>
      <c r="AX24" s="177"/>
      <c r="AY24" s="166"/>
      <c r="AZ24" s="177"/>
      <c r="BA24" s="178"/>
      <c r="BB24" s="178"/>
      <c r="BC24" s="178"/>
      <c r="BD24" s="178"/>
      <c r="BE24" s="178"/>
      <c r="BF24" s="178"/>
      <c r="BG24" s="179"/>
      <c r="BH24" s="180"/>
      <c r="BI24" s="178"/>
      <c r="BJ24" s="177"/>
      <c r="BK24" s="181"/>
      <c r="BL24" s="177"/>
      <c r="BM24" s="181"/>
      <c r="BN24" s="177"/>
      <c r="BO24" s="181"/>
      <c r="BP24" s="177"/>
      <c r="BQ24" s="181"/>
      <c r="BR24" s="166"/>
      <c r="BS24" s="166"/>
      <c r="BT24" s="166"/>
      <c r="BU24" s="65"/>
      <c r="BW24" s="178"/>
      <c r="BX24" s="399"/>
    </row>
    <row r="25" ht="61.5" customHeight="1">
      <c r="A25" s="177"/>
      <c r="B25" s="178"/>
      <c r="C25" s="410" t="s">
        <v>147</v>
      </c>
      <c r="D25" s="395"/>
      <c r="E25" s="396"/>
      <c r="F25" s="396"/>
      <c r="G25" s="396"/>
      <c r="H25" s="396"/>
      <c r="I25" s="396"/>
      <c r="J25" s="397"/>
      <c r="K25" s="398">
        <f t="shared" si="1"/>
        <v>0</v>
      </c>
      <c r="L25" s="173"/>
      <c r="M25" s="173"/>
      <c r="N25" s="177"/>
      <c r="O25" s="178"/>
      <c r="P25" s="178"/>
      <c r="Q25" s="178"/>
      <c r="R25" s="178"/>
      <c r="S25" s="182"/>
      <c r="T25" s="65"/>
      <c r="U25" s="64"/>
      <c r="V25" s="66"/>
      <c r="W25" s="173"/>
      <c r="X25" s="173"/>
      <c r="Y25" s="65"/>
      <c r="Z25" s="65"/>
      <c r="AA25" s="65"/>
      <c r="AB25" s="65"/>
      <c r="AC25" s="173"/>
      <c r="AD25" s="166"/>
      <c r="AE25" s="166"/>
      <c r="AF25" s="166"/>
      <c r="AG25" s="166"/>
      <c r="AH25" s="65"/>
      <c r="AJ25" s="177"/>
      <c r="AK25" s="178"/>
      <c r="AL25" s="181"/>
      <c r="AM25" s="166"/>
      <c r="AN25" s="166"/>
      <c r="AO25" s="177"/>
      <c r="AP25" s="178"/>
      <c r="AQ25" s="181"/>
      <c r="AR25" s="166"/>
      <c r="AS25" s="166"/>
      <c r="AT25" s="177"/>
      <c r="AU25" s="181"/>
      <c r="AV25" s="166"/>
      <c r="AW25" s="166"/>
      <c r="AX25" s="177"/>
      <c r="AY25" s="166"/>
      <c r="AZ25" s="177"/>
      <c r="BA25" s="178"/>
      <c r="BB25" s="178"/>
      <c r="BC25" s="178"/>
      <c r="BD25" s="178"/>
      <c r="BE25" s="178"/>
      <c r="BF25" s="178"/>
      <c r="BG25" s="179"/>
      <c r="BH25" s="180"/>
      <c r="BI25" s="178"/>
      <c r="BJ25" s="177"/>
      <c r="BK25" s="181"/>
      <c r="BL25" s="177"/>
      <c r="BM25" s="181"/>
      <c r="BN25" s="177"/>
      <c r="BO25" s="181"/>
      <c r="BP25" s="177"/>
      <c r="BQ25" s="181"/>
      <c r="BR25" s="166"/>
      <c r="BS25" s="166"/>
      <c r="BT25" s="166"/>
      <c r="BU25" s="65"/>
      <c r="BW25" s="178"/>
      <c r="BX25" s="399"/>
    </row>
    <row r="26" ht="61.5" customHeight="1">
      <c r="A26" s="177"/>
      <c r="B26" s="178"/>
      <c r="C26" s="410" t="s">
        <v>147</v>
      </c>
      <c r="D26" s="395"/>
      <c r="E26" s="396"/>
      <c r="F26" s="396"/>
      <c r="G26" s="396"/>
      <c r="H26" s="396"/>
      <c r="I26" s="396"/>
      <c r="J26" s="397"/>
      <c r="K26" s="398">
        <f t="shared" si="1"/>
        <v>0</v>
      </c>
      <c r="L26" s="173"/>
      <c r="M26" s="173"/>
      <c r="N26" s="177"/>
      <c r="O26" s="178"/>
      <c r="P26" s="178"/>
      <c r="Q26" s="178"/>
      <c r="R26" s="178"/>
      <c r="S26" s="182"/>
      <c r="T26" s="65"/>
      <c r="U26" s="64"/>
      <c r="V26" s="66"/>
      <c r="W26" s="173"/>
      <c r="X26" s="173"/>
      <c r="Y26" s="65"/>
      <c r="Z26" s="65"/>
      <c r="AA26" s="65"/>
      <c r="AB26" s="65"/>
      <c r="AC26" s="173"/>
      <c r="AD26" s="166"/>
      <c r="AE26" s="166"/>
      <c r="AF26" s="166"/>
      <c r="AG26" s="166"/>
      <c r="AH26" s="65"/>
      <c r="AJ26" s="177"/>
      <c r="AK26" s="178"/>
      <c r="AL26" s="181"/>
      <c r="AM26" s="166"/>
      <c r="AN26" s="166"/>
      <c r="AO26" s="177"/>
      <c r="AP26" s="178"/>
      <c r="AQ26" s="181"/>
      <c r="AR26" s="166"/>
      <c r="AS26" s="166"/>
      <c r="AT26" s="177"/>
      <c r="AU26" s="181"/>
      <c r="AV26" s="166"/>
      <c r="AW26" s="166"/>
      <c r="AX26" s="177"/>
      <c r="AY26" s="166"/>
      <c r="AZ26" s="177"/>
      <c r="BA26" s="178"/>
      <c r="BB26" s="178"/>
      <c r="BC26" s="178"/>
      <c r="BD26" s="178"/>
      <c r="BE26" s="178"/>
      <c r="BF26" s="178"/>
      <c r="BG26" s="179"/>
      <c r="BH26" s="180"/>
      <c r="BI26" s="178"/>
      <c r="BJ26" s="177"/>
      <c r="BK26" s="181"/>
      <c r="BL26" s="177"/>
      <c r="BM26" s="181"/>
      <c r="BN26" s="177"/>
      <c r="BO26" s="181"/>
      <c r="BP26" s="177"/>
      <c r="BQ26" s="181"/>
      <c r="BR26" s="166"/>
      <c r="BS26" s="166"/>
      <c r="BT26" s="166"/>
      <c r="BU26" s="65"/>
      <c r="BW26" s="178"/>
      <c r="BX26" s="399"/>
    </row>
    <row r="27" ht="61.5" customHeight="1">
      <c r="A27" s="177"/>
      <c r="B27" s="178"/>
      <c r="C27" s="410" t="s">
        <v>147</v>
      </c>
      <c r="D27" s="395"/>
      <c r="E27" s="396"/>
      <c r="F27" s="396"/>
      <c r="G27" s="396"/>
      <c r="H27" s="396"/>
      <c r="I27" s="396"/>
      <c r="J27" s="397"/>
      <c r="K27" s="398">
        <f t="shared" si="1"/>
        <v>0</v>
      </c>
      <c r="L27" s="173"/>
      <c r="M27" s="173"/>
      <c r="N27" s="177"/>
      <c r="O27" s="178"/>
      <c r="P27" s="178"/>
      <c r="Q27" s="178"/>
      <c r="R27" s="178"/>
      <c r="S27" s="182"/>
      <c r="T27" s="65"/>
      <c r="U27" s="64"/>
      <c r="V27" s="66"/>
      <c r="W27" s="173"/>
      <c r="X27" s="173"/>
      <c r="Y27" s="65"/>
      <c r="Z27" s="65"/>
      <c r="AA27" s="65"/>
      <c r="AB27" s="65"/>
      <c r="AC27" s="173"/>
      <c r="AD27" s="166"/>
      <c r="AE27" s="166"/>
      <c r="AF27" s="166"/>
      <c r="AG27" s="166"/>
      <c r="AH27" s="65"/>
      <c r="AJ27" s="177"/>
      <c r="AK27" s="178"/>
      <c r="AL27" s="181"/>
      <c r="AM27" s="166"/>
      <c r="AN27" s="166"/>
      <c r="AO27" s="177"/>
      <c r="AP27" s="178"/>
      <c r="AQ27" s="181"/>
      <c r="AR27" s="166"/>
      <c r="AS27" s="166"/>
      <c r="AT27" s="177"/>
      <c r="AU27" s="181"/>
      <c r="AV27" s="166"/>
      <c r="AW27" s="166"/>
      <c r="AX27" s="177"/>
      <c r="AY27" s="166"/>
      <c r="AZ27" s="177"/>
      <c r="BA27" s="178"/>
      <c r="BB27" s="178"/>
      <c r="BC27" s="178"/>
      <c r="BD27" s="178"/>
      <c r="BE27" s="178"/>
      <c r="BF27" s="178"/>
      <c r="BG27" s="179"/>
      <c r="BH27" s="180"/>
      <c r="BI27" s="178"/>
      <c r="BJ27" s="177"/>
      <c r="BK27" s="181"/>
      <c r="BL27" s="177"/>
      <c r="BM27" s="181"/>
      <c r="BN27" s="177"/>
      <c r="BO27" s="181"/>
      <c r="BP27" s="177"/>
      <c r="BQ27" s="181"/>
      <c r="BR27" s="166"/>
      <c r="BS27" s="166"/>
      <c r="BT27" s="166"/>
      <c r="BU27" s="65"/>
      <c r="BW27" s="178"/>
      <c r="BX27" s="399"/>
    </row>
    <row r="28" ht="61.5" customHeight="1">
      <c r="A28" s="177"/>
      <c r="B28" s="178"/>
      <c r="C28" s="410" t="s">
        <v>147</v>
      </c>
      <c r="D28" s="395"/>
      <c r="E28" s="396"/>
      <c r="F28" s="396"/>
      <c r="G28" s="396"/>
      <c r="H28" s="396"/>
      <c r="I28" s="396"/>
      <c r="J28" s="397"/>
      <c r="K28" s="398">
        <f t="shared" si="1"/>
        <v>0</v>
      </c>
      <c r="L28" s="173"/>
      <c r="M28" s="173"/>
      <c r="N28" s="177"/>
      <c r="O28" s="178"/>
      <c r="P28" s="178"/>
      <c r="Q28" s="178"/>
      <c r="R28" s="178"/>
      <c r="S28" s="182"/>
      <c r="T28" s="65"/>
      <c r="U28" s="64"/>
      <c r="V28" s="66"/>
      <c r="W28" s="173"/>
      <c r="X28" s="173"/>
      <c r="Y28" s="65"/>
      <c r="Z28" s="65"/>
      <c r="AA28" s="65"/>
      <c r="AB28" s="65"/>
      <c r="AC28" s="173"/>
      <c r="AD28" s="166"/>
      <c r="AE28" s="166"/>
      <c r="AF28" s="166"/>
      <c r="AG28" s="166"/>
      <c r="AH28" s="65"/>
      <c r="AJ28" s="177"/>
      <c r="AK28" s="178"/>
      <c r="AL28" s="181"/>
      <c r="AM28" s="166"/>
      <c r="AN28" s="166"/>
      <c r="AO28" s="177"/>
      <c r="AP28" s="178"/>
      <c r="AQ28" s="181"/>
      <c r="AR28" s="166"/>
      <c r="AS28" s="166"/>
      <c r="AT28" s="177"/>
      <c r="AU28" s="181"/>
      <c r="AV28" s="166"/>
      <c r="AW28" s="166"/>
      <c r="AX28" s="177"/>
      <c r="AY28" s="166"/>
      <c r="AZ28" s="177"/>
      <c r="BA28" s="178"/>
      <c r="BB28" s="178"/>
      <c r="BC28" s="178"/>
      <c r="BD28" s="178"/>
      <c r="BE28" s="178"/>
      <c r="BF28" s="178"/>
      <c r="BG28" s="179"/>
      <c r="BH28" s="180"/>
      <c r="BI28" s="178"/>
      <c r="BJ28" s="177"/>
      <c r="BK28" s="181"/>
      <c r="BL28" s="177"/>
      <c r="BM28" s="181"/>
      <c r="BN28" s="177"/>
      <c r="BO28" s="181"/>
      <c r="BP28" s="177"/>
      <c r="BQ28" s="181"/>
      <c r="BR28" s="166"/>
      <c r="BS28" s="166"/>
      <c r="BT28" s="166"/>
      <c r="BU28" s="65"/>
      <c r="BW28" s="178"/>
      <c r="BX28" s="399"/>
    </row>
    <row r="29" ht="61.5" customHeight="1">
      <c r="A29" s="192"/>
      <c r="B29" s="411"/>
      <c r="C29" s="412" t="s">
        <v>147</v>
      </c>
      <c r="D29" s="400"/>
      <c r="E29" s="401"/>
      <c r="F29" s="401"/>
      <c r="G29" s="401"/>
      <c r="H29" s="401"/>
      <c r="I29" s="401"/>
      <c r="J29" s="402"/>
      <c r="K29" s="403">
        <f t="shared" si="1"/>
        <v>0</v>
      </c>
      <c r="L29" s="69"/>
      <c r="M29" s="69"/>
      <c r="N29" s="192"/>
      <c r="O29" s="193"/>
      <c r="P29" s="193"/>
      <c r="Q29" s="193"/>
      <c r="R29" s="193"/>
      <c r="S29" s="197"/>
      <c r="T29" s="89"/>
      <c r="U29" s="103"/>
      <c r="V29" s="68"/>
      <c r="W29" s="69"/>
      <c r="X29" s="69"/>
      <c r="Y29" s="89"/>
      <c r="Z29" s="89"/>
      <c r="AA29" s="89"/>
      <c r="AB29" s="89"/>
      <c r="AC29" s="69"/>
      <c r="AD29" s="63"/>
      <c r="AE29" s="63"/>
      <c r="AF29" s="63"/>
      <c r="AG29" s="63"/>
      <c r="AH29" s="89"/>
      <c r="AI29" s="6"/>
      <c r="AJ29" s="192"/>
      <c r="AK29" s="193"/>
      <c r="AL29" s="196"/>
      <c r="AM29" s="63"/>
      <c r="AN29" s="63"/>
      <c r="AO29" s="192"/>
      <c r="AP29" s="193"/>
      <c r="AQ29" s="196"/>
      <c r="AR29" s="63"/>
      <c r="AS29" s="63"/>
      <c r="AT29" s="192"/>
      <c r="AU29" s="196"/>
      <c r="AV29" s="63"/>
      <c r="AW29" s="63"/>
      <c r="AX29" s="192"/>
      <c r="AY29" s="63"/>
      <c r="AZ29" s="192"/>
      <c r="BA29" s="193"/>
      <c r="BB29" s="193"/>
      <c r="BC29" s="193"/>
      <c r="BD29" s="193"/>
      <c r="BE29" s="193"/>
      <c r="BF29" s="193"/>
      <c r="BG29" s="194"/>
      <c r="BH29" s="195"/>
      <c r="BI29" s="193"/>
      <c r="BJ29" s="192"/>
      <c r="BK29" s="196"/>
      <c r="BL29" s="192"/>
      <c r="BM29" s="196"/>
      <c r="BN29" s="192"/>
      <c r="BO29" s="196"/>
      <c r="BP29" s="192"/>
      <c r="BQ29" s="196"/>
      <c r="BR29" s="63"/>
      <c r="BS29" s="63"/>
      <c r="BT29" s="63"/>
      <c r="BU29" s="89"/>
      <c r="BV29" s="6"/>
      <c r="BW29" s="198"/>
      <c r="BX29" s="404"/>
    </row>
    <row r="30" ht="61.5" customHeight="1">
      <c r="A30" s="413">
        <v>3.0</v>
      </c>
      <c r="B30" s="414" t="s">
        <v>153</v>
      </c>
      <c r="C30" s="415" t="s">
        <v>154</v>
      </c>
      <c r="D30" s="408"/>
      <c r="E30" s="409"/>
      <c r="F30" s="409"/>
      <c r="G30" s="409"/>
      <c r="H30" s="409"/>
      <c r="I30" s="409"/>
      <c r="J30" s="366"/>
      <c r="K30" s="367">
        <f t="shared" si="1"/>
        <v>0</v>
      </c>
      <c r="L30" s="368">
        <f>SUM(I30:I40)+SUM(K30:K40)*1</f>
        <v>0</v>
      </c>
      <c r="M30" s="368">
        <f>SUM('21 Oct Mon'!Q30:Q40,'22 Oct Tues'!Q30:Q40,'23 Oct Wed'!Q30:Q40,'24 Oct Thurs'!Q30:Q40,'25 Oct Fri'!Q30:Q40,'26 Oct Sat'!Q30:Q40)</f>
        <v>0</v>
      </c>
      <c r="N30" s="369">
        <f>SUM('21 Oct Mon'!R30:R40,'22 Oct Tues'!R30:R40,'23 Oct Wed'!R30:R40,'24 Oct Thurs'!R30:R40,'25 Oct Fri'!R30:R40,'26 Oct Sat'!R30:R40)</f>
        <v>0</v>
      </c>
      <c r="O30" s="370">
        <f>SUM(L30:N40)</f>
        <v>0</v>
      </c>
      <c r="P30" s="370">
        <f>SUM('21 Oct Mon'!T30:T40,'22 Oct Tues'!T30:T40,'23 Oct Wed'!T30:T40,'24 Oct Thurs'!T30:T40,'25 Oct Fri'!T30:T40,'26 Oct Sat'!T30:T40)</f>
        <v>0</v>
      </c>
      <c r="Q30" s="370">
        <f>SUM('21 Oct Mon'!U30:U40,'22 Oct Tues'!U30:U40,'23 Oct Wed'!U30:U40,'24 Oct Thurs'!U30:U40,'25 Oct Fri'!U30:U40,'26 Oct Sat'!U30:U40)</f>
        <v>0</v>
      </c>
      <c r="R30" s="370">
        <f>SUM('21 Oct Mon'!V30:V40,'22 Oct Tues'!V30:V40,'23 Oct Wed'!V30:V40,'24 Oct Thurs'!V30:V40,'25 Oct Fri'!V30:V40,'26 Oct Sat'!V30:V40)</f>
        <v>0</v>
      </c>
      <c r="S30" s="371">
        <f>SUM('21 Oct Mon'!W30:W40,'22 Oct Tues'!W30:W40,'23 Oct Wed'!W30:W40,'24 Oct Thurs'!W30:W40,'25 Oct Fri'!W30:W40,'26 Oct Sat'!W30:W40)</f>
        <v>0</v>
      </c>
      <c r="T30" s="372">
        <f>O30-P30-Q30-R30-S30</f>
        <v>0</v>
      </c>
      <c r="U30" s="373" t="str">
        <f>CONCATENATE(SUM('21 Oct Mon'!O30:O40,'22 Oct Tues'!O30:O40,'23 Oct Wed'!O30:O40,'24 Oct Thurs'!O30:O40,'25 Oct Fri'!O30:O40,'26 Oct Sat'!O30:O40),"
(",(SUM('21 Oct Mon'!O30:O40,'22 Oct Tues'!O30:O40,'23 Oct Wed'!O30:O40,'24 Oct Thurs'!O30:O40,'25 Oct Fri'!O30:O40,'26 Oct Sat'!O30:O40)-T30),")")</f>
        <v>0
(0)</v>
      </c>
      <c r="V30" s="374" t="str">
        <f>CONCATENATE("Mon-",'21 Oct Mon'!Z30:Z40,",Tues-",'22 Oct Tues'!Z30:Z40,",Wed-",'23 Oct Wed'!Z30:Z40,",Thurs-",'24 Oct Thurs'!Z30:Z40,",Fri-",'25 Oct Fri'!Z30:Z40,",Sat-",'26 Oct Sat'!Z30:Z40)</f>
        <v>Mon-,Tues-,Wed-,Thurs-,Fri-,Sat-</v>
      </c>
      <c r="W30" s="375">
        <f>SUM('21 Oct Mon'!AI30:AI40,'22 Oct Tues'!AI30:AI40,'23 Oct Wed'!AI30:AI40,'24 Oct Thurs'!AI30:AI40,'25 Oct Fri'!AI30:AI40,'26 Oct Sat'!AI30:AI40)</f>
        <v>0</v>
      </c>
      <c r="X30" s="375">
        <f>SUM('21 Oct Mon'!AM30:AM40,'22 Oct Tues'!AM30:AM40,'23 Oct Wed'!AM30:AM40,'24 Oct Thurs'!AM30:AM40,'25 Oct Fri'!AM30:AM40,'26 Oct Sat'!AM30:AM40)</f>
        <v>0</v>
      </c>
      <c r="Y30" s="376">
        <f>SUM('21 Oct Mon'!AP30:AP40,'22 Oct Tues'!AP30:AP40,'23 Oct Wed'!AP30:AP40,'24 Oct Thurs'!AP30:AP40,'25 Oct Fri'!AP30:AP40,'26 Oct Sat'!AP30:AP40)</f>
        <v>0</v>
      </c>
      <c r="Z30" s="376">
        <f>SUM('21 Oct Mon'!AQ30:AQ40,'22 Oct Tues'!AQ30:AQ40,'23 Oct Wed'!AQ30:AQ40,'24 Oct Thurs'!AQ30:AQ40,'25 Oct Fri'!AQ30:AQ40,'26 Oct Sat'!AQ30:AQ40)</f>
        <v>0</v>
      </c>
      <c r="AA30" s="377">
        <f>SUM('21 Oct Mon'!AR30:AR40,'22 Oct Tues'!AR30:AR40,'23 Oct Wed'!AR30:AR40,'24 Oct Thurs'!AR30:AR40,'25 Oct Fri'!AR30:AR40,'26 Oct Sat'!AR30:AR40)</f>
        <v>0</v>
      </c>
      <c r="AB30" s="377">
        <f>SUM('21 Oct Mon'!AS30:AS40,'22 Oct Tues'!AS30:AS40,'23 Oct Wed'!AS30:AS40,'24 Oct Thurs'!AS30:AS40,'25 Oct Fri'!AS30:AS40,'26 Oct Sat'!AS30:AS40)</f>
        <v>20.21</v>
      </c>
      <c r="AC30" s="378">
        <f>SUM('21 Oct Mon'!AT30:AT40,'22 Oct Tues'!AT30:AT40,'23 Oct Wed'!AT30:AT40,'24 Oct Thurs'!AT30:AT40,'25 Oct Fri'!AT30:AT40,'26 Oct Sat'!AT30:AT40)</f>
        <v>5.0525</v>
      </c>
      <c r="AD30" s="379">
        <f>SUM('21 Oct Mon'!AU30:AU40,'22 Oct Tues'!AU30:AU40,'23 Oct Wed'!AU30:AU40,'24 Oct Thurs'!AU30:AU40,'25 Oct Fri'!AU30:AU40,'26 Oct Sat'!AU30:AU40)</f>
        <v>0</v>
      </c>
      <c r="AE30" s="379">
        <f>SUM('21 Oct Mon'!AV30:AV40,'22 Oct Tues'!AV30:AV40,'23 Oct Wed'!AV30:AV40,'24 Oct Thurs'!AV30:AV40,'25 Oct Fri'!AV30:AV40,'26 Oct Sat'!AV30:AV40)</f>
        <v>0</v>
      </c>
      <c r="AF30" s="379">
        <f>SUM('21 Oct Mon'!AW30:AW40,'22 Oct Tues'!AW30:AW40,'23 Oct Wed'!AW30:AW40,'24 Oct Thurs'!AW30:AW40,'25 Oct Fri'!AW30:AW40,'26 Oct Sat'!AW30:AW40)</f>
        <v>0</v>
      </c>
      <c r="AG30" s="379">
        <f>SUM('21 Oct Mon'!AX30:AX40,'22 Oct Tues'!AX30:AX40,'23 Oct Wed'!AX30:AX40,'24 Oct Thurs'!AX30:AX40,'25 Oct Fri'!AX30:AX40,'26 Oct Sat'!AX30:AX40)</f>
        <v>0</v>
      </c>
      <c r="AH30" s="380">
        <f>SUM('21 Oct Mon'!AY30:AY40,'22 Oct Tues'!AY30:AY40,'23 Oct Wed'!AY30:AY40,'24 Oct Thurs'!AY30:AY40,'25 Oct Fri'!AY30:AY40,'26 Oct Sat'!AY30:AY40)</f>
        <v>0</v>
      </c>
      <c r="AI30" s="381">
        <f>SUM('21 Oct Mon'!AZ30:AZ40,'22 Oct Tues'!AZ30:AZ40,'23 Oct Wed'!AZ30:AZ40,'24 Oct Thurs'!AZ30:AZ40,'25 Oct Fri'!AZ30:AZ40,'26 Oct Sat'!AZ30:AZ40)</f>
        <v>0</v>
      </c>
      <c r="AJ30" s="382">
        <f>SUM('21 Oct Mon'!BG30:BG40,'22 Oct Tues'!BG30:BG40,'23 Oct Wed'!BG30:BG40,'24 Oct Thurs'!BG30:BG40,'25 Oct Fri'!BG30:BG40,'26 Oct Sat'!BG30:BG40)</f>
        <v>8</v>
      </c>
      <c r="AK30" s="383">
        <f>SUM('21 Oct Mon'!BH30:BH40,'22 Oct Tues'!BH30:BH40,'23 Oct Wed'!BH30:BH40,'24 Oct Thurs'!BH30:BH40,'25 Oct Fri'!BH30:BH40,'26 Oct Sat'!BH30:BH40)</f>
        <v>0</v>
      </c>
      <c r="AL30" s="384">
        <f>SUM('21 Oct Mon'!BI30:BI40,'22 Oct Tues'!BI30:BI40,'23 Oct Wed'!BI30:BI40,'24 Oct Thurs'!BI30:BI40,'25 Oct Fri'!BI30:BI40,'26 Oct Sat'!BI30:BI40)</f>
        <v>0</v>
      </c>
      <c r="AM30" s="379">
        <f>SUM('21 Oct Mon'!BJ30:BJ40,'22 Oct Tues'!BJ30:BJ40,'23 Oct Wed'!BJ30:BJ40,'24 Oct Thurs'!BJ30:BJ40,'25 Oct Fri'!BJ30:BJ40,'26 Oct Sat'!BJ30:BJ40)</f>
        <v>4</v>
      </c>
      <c r="AN30" s="379">
        <f>SUM('21 Oct Mon'!BK30:BK40,'22 Oct Tues'!BK30:BK40,'23 Oct Wed'!BK30:BK40,'24 Oct Thurs'!BK30:BK40,'25 Oct Fri'!BK30:BK40,'26 Oct Sat'!BK30:BK40)</f>
        <v>0</v>
      </c>
      <c r="AO30" s="385">
        <f>SUM('21 Oct Mon'!BL30:BL40,'22 Oct Tues'!BL30:BL40,'23 Oct Wed'!BL30:BL40,'24 Oct Thurs'!BL30:BL40,'25 Oct Fri'!BL30:BL40,'26 Oct Sat'!BL30:BL40)</f>
        <v>0</v>
      </c>
      <c r="AP30" s="386">
        <f>SUM('21 Oct Mon'!BM30:BM40,'22 Oct Tues'!BM30:BM40,'23 Oct Wed'!BM30:BM40,'24 Oct Thurs'!BM30:BM40,'25 Oct Fri'!BM30:BM40,'26 Oct Sat'!BM30:BM40)</f>
        <v>5.3</v>
      </c>
      <c r="AQ30" s="387">
        <f>SUM('21 Oct Mon'!BN30:BN40,'22 Oct Tues'!BN30:BN40,'23 Oct Wed'!BN30:BN40,'24 Oct Thurs'!BN30:BN40,'25 Oct Fri'!BN30:BN40,'26 Oct Sat'!BN30:BN40)</f>
        <v>3.2</v>
      </c>
      <c r="AR30" s="379">
        <f>SUM('21 Oct Mon'!BO30:BO40,'22 Oct Tues'!BO30:BO40,'23 Oct Wed'!BO30:BO40,'24 Oct Thurs'!BO30:BO40,'25 Oct Fri'!BO30:BO40,'26 Oct Sat'!BO30:BO40)</f>
        <v>0</v>
      </c>
      <c r="AS30" s="379">
        <f>SUM('21 Oct Mon'!BP30:BP40,'22 Oct Tues'!BP30:BP40,'23 Oct Wed'!BP30:BP40,'24 Oct Thurs'!BP30:BP40,'25 Oct Fri'!BP30:BP40,'26 Oct Sat'!BP30:BP40)</f>
        <v>0</v>
      </c>
      <c r="AT30" s="382">
        <f>SUM('21 Oct Mon'!BR30:BR40,'22 Oct Tues'!BR30:BR40,'23 Oct Wed'!BR30:BR40,'24 Oct Thurs'!BR30:BR40,'25 Oct Fri'!BR30:BR40,'26 Oct Sat'!BR30:BR40)</f>
        <v>14</v>
      </c>
      <c r="AU30" s="384">
        <f>SUM('21 Oct Mon'!BS30:BS40,'22 Oct Tues'!BS30:BS40,'23 Oct Wed'!BS30:BS40,'24 Oct Thurs'!BS30:BS40,'25 Oct Fri'!BS30:BS40,'26 Oct Sat'!BS30:BS40)</f>
        <v>1</v>
      </c>
      <c r="AV30" s="379">
        <f>SUM('21 Oct Mon'!BT30:BT40,'22 Oct Tues'!BT30:BT40,'23 Oct Wed'!BT30:BT40,'24 Oct Thurs'!BT30:BT40,'25 Oct Fri'!BT30:BT40,'26 Oct Sat'!BT30:BT40)</f>
        <v>0</v>
      </c>
      <c r="AW30" s="379">
        <f>SUM('21 Oct Mon'!BU30:BU40,'22 Oct Tues'!BU30:BU40,'23 Oct Wed'!BU30:BU40,'24 Oct Thurs'!BU30:BU40,'25 Oct Fri'!BU30:BU40,'26 Oct Sat'!BU30:BU40)</f>
        <v>0</v>
      </c>
      <c r="AX30" s="382">
        <f>SUM('21 Oct Mon'!BV30:BV40,'22 Oct Tues'!BV30:BV40,'23 Oct Wed'!BV30:BV40,'24 Oct Thurs'!BV30:BV40,'25 Oct Fri'!BV30:BV40,'26 Oct Sat'!BV30:BV40)</f>
        <v>0</v>
      </c>
      <c r="AY30" s="379">
        <f>SUM('21 Oct Mon'!BW30:BW40,'22 Oct Tues'!BW30:BW40,'23 Oct Wed'!BW30:BW40,'24 Oct Thurs'!BW30:BW40,'25 Oct Fri'!BW30:BW40,'26 Oct Sat'!BW30:BW40)</f>
        <v>0</v>
      </c>
      <c r="AZ30" s="385">
        <f>SUM('21 Oct Mon'!BX30:BX40,'22 Oct Tues'!BX30:BX40,'23 Oct Wed'!BX30:BX40,'24 Oct Thurs'!BX30:BX40,'25 Oct Fri'!BX30:BX40,'26 Oct Sat'!BX30:BX40)</f>
        <v>0</v>
      </c>
      <c r="BA30" s="386">
        <f>SUM('21 Oct Mon'!BY30:BY40,'22 Oct Tues'!BY30:BY40,'23 Oct Wed'!BY30:BY40,'24 Oct Thurs'!BY30:BY40,'25 Oct Fri'!BY30:BY40,'26 Oct Sat'!BY30:BY40)</f>
        <v>0</v>
      </c>
      <c r="BB30" s="386">
        <f>SUM('21 Oct Mon'!BZ30:BZ40,'22 Oct Tues'!BZ30:BZ40,'23 Oct Wed'!BZ30:BZ40,'24 Oct Thurs'!BZ30:BZ40,'25 Oct Fri'!BZ30:BZ40,'26 Oct Sat'!BZ30:BZ40)</f>
        <v>0</v>
      </c>
      <c r="BC30" s="386">
        <f>SUM('21 Oct Mon'!CA30:CA40,'22 Oct Tues'!CA30:CA40,'23 Oct Wed'!CA30:CA40,'24 Oct Thurs'!CA30:CA40,'25 Oct Fri'!CA30:CA40,'26 Oct Sat'!CA30:CA40)</f>
        <v>0</v>
      </c>
      <c r="BD30" s="386">
        <f>SUM('21 Oct Mon'!CB30:CB40,'22 Oct Tues'!CB30:CB40,'23 Oct Wed'!CB30:CB40,'24 Oct Thurs'!CB30:CB40,'25 Oct Fri'!CB30:CB40,'26 Oct Sat'!CB30:CB40)</f>
        <v>0</v>
      </c>
      <c r="BE30" s="386">
        <f>SUM('21 Oct Mon'!CC30:CC40,'22 Oct Tues'!CC30:CC40,'23 Oct Wed'!CC30:CC40,'24 Oct Thurs'!CC30:CC40,'25 Oct Fri'!CC30:CC40,'26 Oct Sat'!CC30:CC40)</f>
        <v>0</v>
      </c>
      <c r="BF30" s="386" t="str">
        <f>CONCATENATE("Mon-",'21 Oct Mon'!CD30:CD40,",Tues-",'22 Oct Tues'!CD30:CD40,",Wed-",'23 Oct Wed'!CD30:CD40,",Thurs-",'24 Oct Thurs'!CD30:CD40,",Fri-",'25 Oct Fri'!CD30:CD40,",Sat-",'26 Oct Sat'!CD30:CD40)</f>
        <v>Mon-,Tues-,Wed-,Thurs-,Fri-,Sat-</v>
      </c>
      <c r="BG30" s="388">
        <f>SUM('21 Oct Mon'!CE30:CE40,'22 Oct Tues'!CE30:CE40,'23 Oct Wed'!CE30:CE40,'24 Oct Thurs'!CE30:CE40,'25 Oct Fri'!CE30:CE40,'26 Oct Sat'!CE30:CE40)</f>
        <v>0</v>
      </c>
      <c r="BH30" s="389" t="str">
        <f>CONCATENATE("Mon-",'21 Oct Mon'!CF30:CF40,",Tues-",'22 Oct Tues'!CF30:CF40,",Wed-",'23 Oct Wed'!CF30:CF40,",Thurs-",'24 Oct Thurs'!CF30:CF40,",Fri-",'25 Oct Fri'!CF30:CF40,",Sat-",'26 Oct Sat'!CF30:CF40)</f>
        <v>Mon-Paper setting of SEM-III -PS - T1 Exam,Tues-DONE PAPER EVALUATION OF PS T-1 EXAM IN SY-2 DEPARTMENT 83 PAPERS,Wed-,Thurs-done paper evaluation of  remidial exam of PS subject (16 papers),Fri-,Sat-done supervision of FCSP-1 on 25/10/2024 from 2:30 to 5:30 PM and EA supervision done on 26/10/2024 from 11:00 to 2:00</v>
      </c>
      <c r="BI30" s="383">
        <f>SUM('21 Oct Mon'!CG30:CG40,'22 Oct Tues'!CG30:CG40,'23 Oct Wed'!CG30:CG40,'24 Oct Thurs'!CG30:CG40,'25 Oct Fri'!CG30:CG40,'26 Oct Sat'!CG30:CG40)</f>
        <v>0</v>
      </c>
      <c r="BJ30" s="382">
        <f>SUM('21 Oct Mon'!CH30:CH40,'22 Oct Tues'!CH30:CH40,'23 Oct Wed'!CH30:CH40,'24 Oct Thurs'!CH30:CH40,'25 Oct Fri'!CH30:CH40,'26 Oct Sat'!CH30:CH40)</f>
        <v>0</v>
      </c>
      <c r="BK30" s="384">
        <f>SUM('21 Oct Mon'!CI30:CI40,'22 Oct Tues'!CI30:CI40,'23 Oct Wed'!CI30:CI40,'24 Oct Thurs'!CI30:CI40,'25 Oct Fri'!CI30:CI40,'26 Oct Sat'!CI30:CI40)</f>
        <v>0</v>
      </c>
      <c r="BL30" s="382" t="str">
        <f>CONCATENATE("Mon-",'21 Oct Mon'!CJ30:CJ40,",Tues-",'22 Oct Tues'!CJ30:CJ40,",Wed-",'23 Oct Wed'!CJ30:CJ40,",Thurs-",'24 Oct Thurs'!CJ30:CJ40,",Fri-",'25 Oct Fri'!CJ30:CJ40,",Sat-",'26 Oct Sat'!CJ30:CJ40)</f>
        <v>Mon-DR count mismatchDR(19, 21), Attendance Sheet(22, 22),Tues-,Wed-,Thurs-,Fri-,Sat-</v>
      </c>
      <c r="BM30" s="384">
        <f>SUM('21 Oct Mon'!CK30:CK40,'22 Oct Tues'!CK30:CK40,'23 Oct Wed'!CK30:CK40,'24 Oct Thurs'!CK30:CK40,'25 Oct Fri'!CK30:CK40,'26 Oct Sat'!CK30:CK40)</f>
        <v>-1</v>
      </c>
      <c r="BN30" s="382" t="str">
        <f>CONCATENATE("Mon-",'21 Oct Mon'!CL30:CL40,",Tues-",'22 Oct Tues'!CL30:CL40,",Wed-",'23 Oct Wed'!CL30:CL40,",Thurs-",'24 Oct Thurs'!CL30:CL40,",Fri-",'25 Oct Fri'!CL30:CL40,",Sat-",'26 Oct Sat'!CL30:CL40)</f>
        <v>Mon-,Tues-,Wed-,Thurs-,Fri-,Sat-</v>
      </c>
      <c r="BO30" s="384">
        <f>SUM('21 Oct Mon'!CM30:CM40,'22 Oct Tues'!CM30:CM40,'23 Oct Wed'!CM30:CM40,'24 Oct Thurs'!CM30:CM40,'25 Oct Fri'!CM30:CM40,'26 Oct Sat'!CM30:CM40)</f>
        <v>0</v>
      </c>
      <c r="BP30" s="385" t="str">
        <f>CONCATENATE("Mon-",'21 Oct Mon'!CN30:CN40,",Tues-",'22 Oct Tues'!CN30:CN40,",Wed-",'23 Oct Wed'!CN30:CN40,",Thurs-",'24 Oct Thurs'!CN30:CN40,",Fri-",'25 Oct Fri'!CN30:CN40,",Sat-",'26 Oct Sat'!CN30:CN40)</f>
        <v>Mon-,Tues-,Wed-,Thurs-,Fri-,Sat-</v>
      </c>
      <c r="BQ30" s="387">
        <f>SUM('21 Oct Mon'!CO30:CO40,'22 Oct Tues'!CO30:CO40,'23 Oct Wed'!CO30:CO40,'24 Oct Thurs'!CO30:CO40,'25 Oct Fri'!CO30:CO40,'26 Oct Sat'!CO30:CO40)</f>
        <v>0</v>
      </c>
      <c r="BR30" s="379" t="str">
        <f>CONCATENATE("Mon-",'21 Oct Mon'!CP30:CP40,",Tues-",'22 Oct Tues'!CP30:CP40,",Wed-",'23 Oct Wed'!CP30:CP40,",Thurs-",'24 Oct Thurs'!CP30:CP40,",Fri-",'25 Oct Fri'!CP30:CP40,",Sat-",'26 Oct Sat'!CP30:CP40)</f>
        <v>Mon-,Tues-,Wed-,Thurs-,Fri-,Sat-</v>
      </c>
      <c r="BS30" s="390">
        <f>SUM('21 Oct Mon'!CQ30:CQ40,'22 Oct Tues'!CQ30:CQ40,'23 Oct Wed'!CQ30:CQ40,'24 Oct Thurs'!CQ30:CQ40,'25 Oct Fri'!CQ30:CQ40,'26 Oct Sat'!CQ30:CQ40)</f>
        <v>0</v>
      </c>
      <c r="BT30" s="390">
        <f>SUM('21 Oct Mon'!CR30:CR40,'22 Oct Tues'!CR30:CR40,'23 Oct Wed'!CR30:CR40,'24 Oct Thurs'!CR30:CR40,'25 Oct Fri'!CR30:CR40,'26 Oct Sat'!CR30:CR40)</f>
        <v>0</v>
      </c>
      <c r="BU30" s="391">
        <f>SUM('21 Oct Mon'!CS30:CS40,'22 Oct Tues'!CS30:CS40,'23 Oct Wed'!CS30:CS40,'24 Oct Thurs'!CS30:CS40,'25 Oct Fri'!CS30:CS40,'26 Oct Sat'!CS30:CS40)</f>
        <v>1</v>
      </c>
      <c r="BV30" s="392">
        <f>SUM('21 Oct Mon'!CT30:CT40,'22 Oct Tues'!CT30:CT40,'23 Oct Wed'!CT30:CT40,'24 Oct Thurs'!CT30:CT40,'25 Oct Fri'!CT30:CT40,'26 Oct Sat'!CT30:CT40)</f>
        <v>20.21</v>
      </c>
      <c r="BW30" s="393" t="str">
        <f>LEFT(U30,FIND("(",U30,1)-2)</f>
        <v>0</v>
      </c>
      <c r="BX30" s="394"/>
    </row>
    <row r="31" ht="61.5" customHeight="1">
      <c r="A31" s="173"/>
      <c r="B31" s="65"/>
      <c r="C31" s="416" t="s">
        <v>154</v>
      </c>
      <c r="D31" s="408"/>
      <c r="E31" s="409"/>
      <c r="F31" s="409"/>
      <c r="G31" s="409"/>
      <c r="H31" s="409"/>
      <c r="I31" s="409"/>
      <c r="J31" s="397"/>
      <c r="K31" s="398">
        <f t="shared" si="1"/>
        <v>0</v>
      </c>
      <c r="L31" s="173"/>
      <c r="M31" s="173"/>
      <c r="N31" s="177"/>
      <c r="O31" s="178"/>
      <c r="P31" s="178"/>
      <c r="Q31" s="178"/>
      <c r="R31" s="178"/>
      <c r="S31" s="182"/>
      <c r="T31" s="65"/>
      <c r="U31" s="64"/>
      <c r="V31" s="66"/>
      <c r="W31" s="173"/>
      <c r="X31" s="173"/>
      <c r="Y31" s="65"/>
      <c r="Z31" s="65"/>
      <c r="AA31" s="65"/>
      <c r="AB31" s="65"/>
      <c r="AC31" s="173"/>
      <c r="AD31" s="166"/>
      <c r="AE31" s="166"/>
      <c r="AF31" s="166"/>
      <c r="AG31" s="166"/>
      <c r="AH31" s="65"/>
      <c r="AJ31" s="177"/>
      <c r="AK31" s="178"/>
      <c r="AL31" s="181"/>
      <c r="AM31" s="166"/>
      <c r="AN31" s="166"/>
      <c r="AO31" s="177"/>
      <c r="AP31" s="178"/>
      <c r="AQ31" s="181"/>
      <c r="AR31" s="166"/>
      <c r="AS31" s="166"/>
      <c r="AT31" s="177"/>
      <c r="AU31" s="181"/>
      <c r="AV31" s="166"/>
      <c r="AW31" s="166"/>
      <c r="AX31" s="177"/>
      <c r="AY31" s="166"/>
      <c r="AZ31" s="177"/>
      <c r="BA31" s="178"/>
      <c r="BB31" s="178"/>
      <c r="BC31" s="178"/>
      <c r="BD31" s="178"/>
      <c r="BE31" s="178"/>
      <c r="BF31" s="178"/>
      <c r="BG31" s="179"/>
      <c r="BH31" s="180"/>
      <c r="BI31" s="178"/>
      <c r="BJ31" s="177"/>
      <c r="BK31" s="181"/>
      <c r="BL31" s="177"/>
      <c r="BM31" s="181"/>
      <c r="BN31" s="177"/>
      <c r="BO31" s="181"/>
      <c r="BP31" s="177"/>
      <c r="BQ31" s="181"/>
      <c r="BR31" s="166"/>
      <c r="BS31" s="166"/>
      <c r="BT31" s="166"/>
      <c r="BU31" s="65"/>
      <c r="BW31" s="178"/>
      <c r="BX31" s="399"/>
    </row>
    <row r="32" ht="61.5" customHeight="1">
      <c r="A32" s="173"/>
      <c r="B32" s="65"/>
      <c r="C32" s="416" t="s">
        <v>154</v>
      </c>
      <c r="D32" s="408"/>
      <c r="E32" s="409"/>
      <c r="F32" s="409"/>
      <c r="G32" s="409"/>
      <c r="H32" s="409"/>
      <c r="I32" s="409"/>
      <c r="J32" s="397"/>
      <c r="K32" s="398">
        <f t="shared" si="1"/>
        <v>0</v>
      </c>
      <c r="L32" s="173"/>
      <c r="M32" s="173"/>
      <c r="N32" s="177"/>
      <c r="O32" s="178"/>
      <c r="P32" s="178"/>
      <c r="Q32" s="178"/>
      <c r="R32" s="178"/>
      <c r="S32" s="182"/>
      <c r="T32" s="65"/>
      <c r="U32" s="64"/>
      <c r="V32" s="66"/>
      <c r="W32" s="173"/>
      <c r="X32" s="173"/>
      <c r="Y32" s="65"/>
      <c r="Z32" s="65"/>
      <c r="AA32" s="65"/>
      <c r="AB32" s="65"/>
      <c r="AC32" s="173"/>
      <c r="AD32" s="166"/>
      <c r="AE32" s="166"/>
      <c r="AF32" s="166"/>
      <c r="AG32" s="166"/>
      <c r="AH32" s="65"/>
      <c r="AJ32" s="177"/>
      <c r="AK32" s="178"/>
      <c r="AL32" s="181"/>
      <c r="AM32" s="166"/>
      <c r="AN32" s="166"/>
      <c r="AO32" s="177"/>
      <c r="AP32" s="178"/>
      <c r="AQ32" s="181"/>
      <c r="AR32" s="166"/>
      <c r="AS32" s="166"/>
      <c r="AT32" s="177"/>
      <c r="AU32" s="181"/>
      <c r="AV32" s="166"/>
      <c r="AW32" s="166"/>
      <c r="AX32" s="177"/>
      <c r="AY32" s="166"/>
      <c r="AZ32" s="177"/>
      <c r="BA32" s="178"/>
      <c r="BB32" s="178"/>
      <c r="BC32" s="178"/>
      <c r="BD32" s="178"/>
      <c r="BE32" s="178"/>
      <c r="BF32" s="178"/>
      <c r="BG32" s="179"/>
      <c r="BH32" s="180"/>
      <c r="BI32" s="178"/>
      <c r="BJ32" s="177"/>
      <c r="BK32" s="181"/>
      <c r="BL32" s="177"/>
      <c r="BM32" s="181"/>
      <c r="BN32" s="177"/>
      <c r="BO32" s="181"/>
      <c r="BP32" s="177"/>
      <c r="BQ32" s="181"/>
      <c r="BR32" s="166"/>
      <c r="BS32" s="166"/>
      <c r="BT32" s="166"/>
      <c r="BU32" s="65"/>
      <c r="BW32" s="178"/>
      <c r="BX32" s="399"/>
    </row>
    <row r="33" ht="61.5" customHeight="1">
      <c r="A33" s="173"/>
      <c r="B33" s="65"/>
      <c r="C33" s="416" t="s">
        <v>154</v>
      </c>
      <c r="D33" s="408"/>
      <c r="E33" s="409"/>
      <c r="F33" s="409"/>
      <c r="G33" s="409"/>
      <c r="H33" s="409"/>
      <c r="I33" s="409"/>
      <c r="J33" s="397"/>
      <c r="K33" s="398">
        <f t="shared" si="1"/>
        <v>0</v>
      </c>
      <c r="L33" s="173"/>
      <c r="M33" s="173"/>
      <c r="N33" s="177"/>
      <c r="O33" s="178"/>
      <c r="P33" s="178"/>
      <c r="Q33" s="178"/>
      <c r="R33" s="178"/>
      <c r="S33" s="182"/>
      <c r="T33" s="65"/>
      <c r="U33" s="64"/>
      <c r="V33" s="66"/>
      <c r="W33" s="173"/>
      <c r="X33" s="173"/>
      <c r="Y33" s="65"/>
      <c r="Z33" s="65"/>
      <c r="AA33" s="65"/>
      <c r="AB33" s="65"/>
      <c r="AC33" s="173"/>
      <c r="AD33" s="166"/>
      <c r="AE33" s="166"/>
      <c r="AF33" s="166"/>
      <c r="AG33" s="166"/>
      <c r="AH33" s="65"/>
      <c r="AJ33" s="177"/>
      <c r="AK33" s="178"/>
      <c r="AL33" s="181"/>
      <c r="AM33" s="166"/>
      <c r="AN33" s="166"/>
      <c r="AO33" s="177"/>
      <c r="AP33" s="178"/>
      <c r="AQ33" s="181"/>
      <c r="AR33" s="166"/>
      <c r="AS33" s="166"/>
      <c r="AT33" s="177"/>
      <c r="AU33" s="181"/>
      <c r="AV33" s="166"/>
      <c r="AW33" s="166"/>
      <c r="AX33" s="177"/>
      <c r="AY33" s="166"/>
      <c r="AZ33" s="177"/>
      <c r="BA33" s="178"/>
      <c r="BB33" s="178"/>
      <c r="BC33" s="178"/>
      <c r="BD33" s="178"/>
      <c r="BE33" s="178"/>
      <c r="BF33" s="178"/>
      <c r="BG33" s="179"/>
      <c r="BH33" s="180"/>
      <c r="BI33" s="178"/>
      <c r="BJ33" s="177"/>
      <c r="BK33" s="181"/>
      <c r="BL33" s="177"/>
      <c r="BM33" s="181"/>
      <c r="BN33" s="177"/>
      <c r="BO33" s="181"/>
      <c r="BP33" s="177"/>
      <c r="BQ33" s="181"/>
      <c r="BR33" s="166"/>
      <c r="BS33" s="166"/>
      <c r="BT33" s="166"/>
      <c r="BU33" s="65"/>
      <c r="BW33" s="178"/>
      <c r="BX33" s="399"/>
    </row>
    <row r="34" ht="61.5" customHeight="1">
      <c r="A34" s="173"/>
      <c r="B34" s="65"/>
      <c r="C34" s="416" t="s">
        <v>154</v>
      </c>
      <c r="D34" s="408"/>
      <c r="E34" s="409"/>
      <c r="F34" s="409"/>
      <c r="G34" s="409"/>
      <c r="H34" s="409"/>
      <c r="I34" s="409"/>
      <c r="J34" s="397"/>
      <c r="K34" s="398">
        <f t="shared" si="1"/>
        <v>0</v>
      </c>
      <c r="L34" s="173"/>
      <c r="M34" s="173"/>
      <c r="N34" s="177"/>
      <c r="O34" s="178"/>
      <c r="P34" s="178"/>
      <c r="Q34" s="178"/>
      <c r="R34" s="178"/>
      <c r="S34" s="182"/>
      <c r="T34" s="65"/>
      <c r="U34" s="64"/>
      <c r="V34" s="66"/>
      <c r="W34" s="173"/>
      <c r="X34" s="173"/>
      <c r="Y34" s="65"/>
      <c r="Z34" s="65"/>
      <c r="AA34" s="65"/>
      <c r="AB34" s="65"/>
      <c r="AC34" s="173"/>
      <c r="AD34" s="166"/>
      <c r="AE34" s="166"/>
      <c r="AF34" s="166"/>
      <c r="AG34" s="166"/>
      <c r="AH34" s="65"/>
      <c r="AJ34" s="177"/>
      <c r="AK34" s="178"/>
      <c r="AL34" s="181"/>
      <c r="AM34" s="166"/>
      <c r="AN34" s="166"/>
      <c r="AO34" s="177"/>
      <c r="AP34" s="178"/>
      <c r="AQ34" s="181"/>
      <c r="AR34" s="166"/>
      <c r="AS34" s="166"/>
      <c r="AT34" s="177"/>
      <c r="AU34" s="181"/>
      <c r="AV34" s="166"/>
      <c r="AW34" s="166"/>
      <c r="AX34" s="177"/>
      <c r="AY34" s="166"/>
      <c r="AZ34" s="177"/>
      <c r="BA34" s="178"/>
      <c r="BB34" s="178"/>
      <c r="BC34" s="178"/>
      <c r="BD34" s="178"/>
      <c r="BE34" s="178"/>
      <c r="BF34" s="178"/>
      <c r="BG34" s="179"/>
      <c r="BH34" s="180"/>
      <c r="BI34" s="178"/>
      <c r="BJ34" s="177"/>
      <c r="BK34" s="181"/>
      <c r="BL34" s="177"/>
      <c r="BM34" s="181"/>
      <c r="BN34" s="177"/>
      <c r="BO34" s="181"/>
      <c r="BP34" s="177"/>
      <c r="BQ34" s="181"/>
      <c r="BR34" s="166"/>
      <c r="BS34" s="166"/>
      <c r="BT34" s="166"/>
      <c r="BU34" s="65"/>
      <c r="BW34" s="178"/>
      <c r="BX34" s="399"/>
    </row>
    <row r="35" ht="61.5" customHeight="1">
      <c r="A35" s="173"/>
      <c r="B35" s="65"/>
      <c r="C35" s="416" t="s">
        <v>154</v>
      </c>
      <c r="D35" s="395"/>
      <c r="E35" s="396"/>
      <c r="F35" s="396"/>
      <c r="G35" s="396"/>
      <c r="H35" s="396"/>
      <c r="I35" s="396"/>
      <c r="J35" s="397"/>
      <c r="K35" s="398">
        <f t="shared" si="1"/>
        <v>0</v>
      </c>
      <c r="L35" s="173"/>
      <c r="M35" s="173"/>
      <c r="N35" s="177"/>
      <c r="O35" s="178"/>
      <c r="P35" s="178"/>
      <c r="Q35" s="178"/>
      <c r="R35" s="178"/>
      <c r="S35" s="182"/>
      <c r="T35" s="65"/>
      <c r="U35" s="64"/>
      <c r="V35" s="66"/>
      <c r="W35" s="173"/>
      <c r="X35" s="173"/>
      <c r="Y35" s="65"/>
      <c r="Z35" s="65"/>
      <c r="AA35" s="65"/>
      <c r="AB35" s="65"/>
      <c r="AC35" s="173"/>
      <c r="AD35" s="166"/>
      <c r="AE35" s="166"/>
      <c r="AF35" s="166"/>
      <c r="AG35" s="166"/>
      <c r="AH35" s="65"/>
      <c r="AJ35" s="177"/>
      <c r="AK35" s="178"/>
      <c r="AL35" s="181"/>
      <c r="AM35" s="166"/>
      <c r="AN35" s="166"/>
      <c r="AO35" s="177"/>
      <c r="AP35" s="178"/>
      <c r="AQ35" s="181"/>
      <c r="AR35" s="166"/>
      <c r="AS35" s="166"/>
      <c r="AT35" s="177"/>
      <c r="AU35" s="181"/>
      <c r="AV35" s="166"/>
      <c r="AW35" s="166"/>
      <c r="AX35" s="177"/>
      <c r="AY35" s="166"/>
      <c r="AZ35" s="177"/>
      <c r="BA35" s="178"/>
      <c r="BB35" s="178"/>
      <c r="BC35" s="178"/>
      <c r="BD35" s="178"/>
      <c r="BE35" s="178"/>
      <c r="BF35" s="178"/>
      <c r="BG35" s="179"/>
      <c r="BH35" s="180"/>
      <c r="BI35" s="178"/>
      <c r="BJ35" s="177"/>
      <c r="BK35" s="181"/>
      <c r="BL35" s="177"/>
      <c r="BM35" s="181"/>
      <c r="BN35" s="177"/>
      <c r="BO35" s="181"/>
      <c r="BP35" s="177"/>
      <c r="BQ35" s="181"/>
      <c r="BR35" s="166"/>
      <c r="BS35" s="166"/>
      <c r="BT35" s="166"/>
      <c r="BU35" s="65"/>
      <c r="BW35" s="178"/>
      <c r="BX35" s="399"/>
    </row>
    <row r="36" ht="61.5" customHeight="1">
      <c r="A36" s="173"/>
      <c r="B36" s="65"/>
      <c r="C36" s="416" t="s">
        <v>154</v>
      </c>
      <c r="D36" s="395"/>
      <c r="E36" s="396"/>
      <c r="F36" s="396"/>
      <c r="G36" s="396"/>
      <c r="H36" s="396"/>
      <c r="I36" s="396"/>
      <c r="J36" s="397"/>
      <c r="K36" s="398">
        <f t="shared" si="1"/>
        <v>0</v>
      </c>
      <c r="L36" s="173"/>
      <c r="M36" s="173"/>
      <c r="N36" s="177"/>
      <c r="O36" s="178"/>
      <c r="P36" s="178"/>
      <c r="Q36" s="178"/>
      <c r="R36" s="178"/>
      <c r="S36" s="182"/>
      <c r="T36" s="65"/>
      <c r="U36" s="64"/>
      <c r="V36" s="66"/>
      <c r="W36" s="173"/>
      <c r="X36" s="173"/>
      <c r="Y36" s="65"/>
      <c r="Z36" s="65"/>
      <c r="AA36" s="65"/>
      <c r="AB36" s="65"/>
      <c r="AC36" s="173"/>
      <c r="AD36" s="166"/>
      <c r="AE36" s="166"/>
      <c r="AF36" s="166"/>
      <c r="AG36" s="166"/>
      <c r="AH36" s="65"/>
      <c r="AJ36" s="177"/>
      <c r="AK36" s="178"/>
      <c r="AL36" s="181"/>
      <c r="AM36" s="166"/>
      <c r="AN36" s="166"/>
      <c r="AO36" s="177"/>
      <c r="AP36" s="178"/>
      <c r="AQ36" s="181"/>
      <c r="AR36" s="166"/>
      <c r="AS36" s="166"/>
      <c r="AT36" s="177"/>
      <c r="AU36" s="181"/>
      <c r="AV36" s="166"/>
      <c r="AW36" s="166"/>
      <c r="AX36" s="177"/>
      <c r="AY36" s="166"/>
      <c r="AZ36" s="177"/>
      <c r="BA36" s="178"/>
      <c r="BB36" s="178"/>
      <c r="BC36" s="178"/>
      <c r="BD36" s="178"/>
      <c r="BE36" s="178"/>
      <c r="BF36" s="178"/>
      <c r="BG36" s="179"/>
      <c r="BH36" s="180"/>
      <c r="BI36" s="178"/>
      <c r="BJ36" s="177"/>
      <c r="BK36" s="181"/>
      <c r="BL36" s="177"/>
      <c r="BM36" s="181"/>
      <c r="BN36" s="177"/>
      <c r="BO36" s="181"/>
      <c r="BP36" s="177"/>
      <c r="BQ36" s="181"/>
      <c r="BR36" s="166"/>
      <c r="BS36" s="166"/>
      <c r="BT36" s="166"/>
      <c r="BU36" s="65"/>
      <c r="BW36" s="178"/>
      <c r="BX36" s="399"/>
    </row>
    <row r="37" ht="61.5" customHeight="1">
      <c r="A37" s="173"/>
      <c r="B37" s="65"/>
      <c r="C37" s="416" t="s">
        <v>154</v>
      </c>
      <c r="D37" s="395"/>
      <c r="E37" s="396"/>
      <c r="F37" s="396"/>
      <c r="G37" s="396"/>
      <c r="H37" s="396"/>
      <c r="I37" s="396"/>
      <c r="J37" s="397"/>
      <c r="K37" s="398">
        <f t="shared" si="1"/>
        <v>0</v>
      </c>
      <c r="L37" s="173"/>
      <c r="M37" s="173"/>
      <c r="N37" s="177"/>
      <c r="O37" s="178"/>
      <c r="P37" s="178"/>
      <c r="Q37" s="178"/>
      <c r="R37" s="178"/>
      <c r="S37" s="182"/>
      <c r="T37" s="65"/>
      <c r="U37" s="64"/>
      <c r="V37" s="66"/>
      <c r="W37" s="173"/>
      <c r="X37" s="173"/>
      <c r="Y37" s="65"/>
      <c r="Z37" s="65"/>
      <c r="AA37" s="65"/>
      <c r="AB37" s="65"/>
      <c r="AC37" s="173"/>
      <c r="AD37" s="166"/>
      <c r="AE37" s="166"/>
      <c r="AF37" s="166"/>
      <c r="AG37" s="166"/>
      <c r="AH37" s="65"/>
      <c r="AJ37" s="177"/>
      <c r="AK37" s="178"/>
      <c r="AL37" s="181"/>
      <c r="AM37" s="166"/>
      <c r="AN37" s="166"/>
      <c r="AO37" s="177"/>
      <c r="AP37" s="178"/>
      <c r="AQ37" s="181"/>
      <c r="AR37" s="166"/>
      <c r="AS37" s="166"/>
      <c r="AT37" s="177"/>
      <c r="AU37" s="181"/>
      <c r="AV37" s="166"/>
      <c r="AW37" s="166"/>
      <c r="AX37" s="177"/>
      <c r="AY37" s="166"/>
      <c r="AZ37" s="177"/>
      <c r="BA37" s="178"/>
      <c r="BB37" s="178"/>
      <c r="BC37" s="178"/>
      <c r="BD37" s="178"/>
      <c r="BE37" s="178"/>
      <c r="BF37" s="178"/>
      <c r="BG37" s="179"/>
      <c r="BH37" s="180"/>
      <c r="BI37" s="178"/>
      <c r="BJ37" s="177"/>
      <c r="BK37" s="181"/>
      <c r="BL37" s="177"/>
      <c r="BM37" s="181"/>
      <c r="BN37" s="177"/>
      <c r="BO37" s="181"/>
      <c r="BP37" s="177"/>
      <c r="BQ37" s="181"/>
      <c r="BR37" s="166"/>
      <c r="BS37" s="166"/>
      <c r="BT37" s="166"/>
      <c r="BU37" s="65"/>
      <c r="BW37" s="178"/>
      <c r="BX37" s="399"/>
    </row>
    <row r="38" ht="61.5" customHeight="1">
      <c r="A38" s="173"/>
      <c r="B38" s="65"/>
      <c r="C38" s="416" t="s">
        <v>154</v>
      </c>
      <c r="D38" s="395"/>
      <c r="E38" s="396"/>
      <c r="F38" s="396"/>
      <c r="G38" s="396"/>
      <c r="H38" s="396"/>
      <c r="I38" s="396"/>
      <c r="J38" s="397"/>
      <c r="K38" s="398">
        <f t="shared" si="1"/>
        <v>0</v>
      </c>
      <c r="L38" s="173"/>
      <c r="M38" s="173"/>
      <c r="N38" s="177"/>
      <c r="O38" s="178"/>
      <c r="P38" s="178"/>
      <c r="Q38" s="178"/>
      <c r="R38" s="178"/>
      <c r="S38" s="182"/>
      <c r="T38" s="65"/>
      <c r="U38" s="64"/>
      <c r="V38" s="66"/>
      <c r="W38" s="173"/>
      <c r="X38" s="173"/>
      <c r="Y38" s="65"/>
      <c r="Z38" s="65"/>
      <c r="AA38" s="65"/>
      <c r="AB38" s="65"/>
      <c r="AC38" s="173"/>
      <c r="AD38" s="166"/>
      <c r="AE38" s="166"/>
      <c r="AF38" s="166"/>
      <c r="AG38" s="166"/>
      <c r="AH38" s="65"/>
      <c r="AJ38" s="177"/>
      <c r="AK38" s="178"/>
      <c r="AL38" s="181"/>
      <c r="AM38" s="166"/>
      <c r="AN38" s="166"/>
      <c r="AO38" s="177"/>
      <c r="AP38" s="178"/>
      <c r="AQ38" s="181"/>
      <c r="AR38" s="166"/>
      <c r="AS38" s="166"/>
      <c r="AT38" s="177"/>
      <c r="AU38" s="181"/>
      <c r="AV38" s="166"/>
      <c r="AW38" s="166"/>
      <c r="AX38" s="177"/>
      <c r="AY38" s="166"/>
      <c r="AZ38" s="177"/>
      <c r="BA38" s="178"/>
      <c r="BB38" s="178"/>
      <c r="BC38" s="178"/>
      <c r="BD38" s="178"/>
      <c r="BE38" s="178"/>
      <c r="BF38" s="178"/>
      <c r="BG38" s="179"/>
      <c r="BH38" s="180"/>
      <c r="BI38" s="178"/>
      <c r="BJ38" s="177"/>
      <c r="BK38" s="181"/>
      <c r="BL38" s="177"/>
      <c r="BM38" s="181"/>
      <c r="BN38" s="177"/>
      <c r="BO38" s="181"/>
      <c r="BP38" s="177"/>
      <c r="BQ38" s="181"/>
      <c r="BR38" s="166"/>
      <c r="BS38" s="166"/>
      <c r="BT38" s="166"/>
      <c r="BU38" s="65"/>
      <c r="BW38" s="178"/>
      <c r="BX38" s="399"/>
    </row>
    <row r="39" ht="61.5" customHeight="1">
      <c r="A39" s="173"/>
      <c r="B39" s="65"/>
      <c r="C39" s="416" t="s">
        <v>154</v>
      </c>
      <c r="D39" s="395"/>
      <c r="E39" s="396"/>
      <c r="F39" s="396"/>
      <c r="G39" s="396"/>
      <c r="H39" s="396"/>
      <c r="I39" s="396"/>
      <c r="J39" s="397"/>
      <c r="K39" s="398">
        <f t="shared" si="1"/>
        <v>0</v>
      </c>
      <c r="L39" s="173"/>
      <c r="M39" s="173"/>
      <c r="N39" s="177"/>
      <c r="O39" s="178"/>
      <c r="P39" s="178"/>
      <c r="Q39" s="178"/>
      <c r="R39" s="178"/>
      <c r="S39" s="182"/>
      <c r="T39" s="65"/>
      <c r="U39" s="64"/>
      <c r="V39" s="66"/>
      <c r="W39" s="173"/>
      <c r="X39" s="173"/>
      <c r="Y39" s="65"/>
      <c r="Z39" s="65"/>
      <c r="AA39" s="65"/>
      <c r="AB39" s="65"/>
      <c r="AC39" s="173"/>
      <c r="AD39" s="166"/>
      <c r="AE39" s="166"/>
      <c r="AF39" s="166"/>
      <c r="AG39" s="166"/>
      <c r="AH39" s="65"/>
      <c r="AJ39" s="177"/>
      <c r="AK39" s="178"/>
      <c r="AL39" s="181"/>
      <c r="AM39" s="166"/>
      <c r="AN39" s="166"/>
      <c r="AO39" s="177"/>
      <c r="AP39" s="178"/>
      <c r="AQ39" s="181"/>
      <c r="AR39" s="166"/>
      <c r="AS39" s="166"/>
      <c r="AT39" s="177"/>
      <c r="AU39" s="181"/>
      <c r="AV39" s="166"/>
      <c r="AW39" s="166"/>
      <c r="AX39" s="177"/>
      <c r="AY39" s="166"/>
      <c r="AZ39" s="177"/>
      <c r="BA39" s="178"/>
      <c r="BB39" s="178"/>
      <c r="BC39" s="178"/>
      <c r="BD39" s="178"/>
      <c r="BE39" s="178"/>
      <c r="BF39" s="178"/>
      <c r="BG39" s="179"/>
      <c r="BH39" s="180"/>
      <c r="BI39" s="178"/>
      <c r="BJ39" s="177"/>
      <c r="BK39" s="181"/>
      <c r="BL39" s="177"/>
      <c r="BM39" s="181"/>
      <c r="BN39" s="177"/>
      <c r="BO39" s="181"/>
      <c r="BP39" s="177"/>
      <c r="BQ39" s="181"/>
      <c r="BR39" s="166"/>
      <c r="BS39" s="166"/>
      <c r="BT39" s="166"/>
      <c r="BU39" s="65"/>
      <c r="BW39" s="178"/>
      <c r="BX39" s="399"/>
    </row>
    <row r="40" ht="61.5" customHeight="1">
      <c r="A40" s="69"/>
      <c r="B40" s="89"/>
      <c r="C40" s="417" t="s">
        <v>154</v>
      </c>
      <c r="D40" s="400"/>
      <c r="E40" s="401"/>
      <c r="F40" s="401"/>
      <c r="G40" s="401"/>
      <c r="H40" s="401"/>
      <c r="I40" s="401"/>
      <c r="J40" s="402"/>
      <c r="K40" s="403">
        <f t="shared" si="1"/>
        <v>0</v>
      </c>
      <c r="L40" s="69"/>
      <c r="M40" s="69"/>
      <c r="N40" s="192"/>
      <c r="O40" s="193"/>
      <c r="P40" s="193"/>
      <c r="Q40" s="193"/>
      <c r="R40" s="193"/>
      <c r="S40" s="197"/>
      <c r="T40" s="89"/>
      <c r="U40" s="103"/>
      <c r="V40" s="68"/>
      <c r="W40" s="69"/>
      <c r="X40" s="69"/>
      <c r="Y40" s="89"/>
      <c r="Z40" s="89"/>
      <c r="AA40" s="89"/>
      <c r="AB40" s="89"/>
      <c r="AC40" s="69"/>
      <c r="AD40" s="63"/>
      <c r="AE40" s="63"/>
      <c r="AF40" s="63"/>
      <c r="AG40" s="63"/>
      <c r="AH40" s="89"/>
      <c r="AI40" s="6"/>
      <c r="AJ40" s="192"/>
      <c r="AK40" s="193"/>
      <c r="AL40" s="196"/>
      <c r="AM40" s="63"/>
      <c r="AN40" s="63"/>
      <c r="AO40" s="192"/>
      <c r="AP40" s="193"/>
      <c r="AQ40" s="196"/>
      <c r="AR40" s="63"/>
      <c r="AS40" s="63"/>
      <c r="AT40" s="192"/>
      <c r="AU40" s="196"/>
      <c r="AV40" s="63"/>
      <c r="AW40" s="63"/>
      <c r="AX40" s="192"/>
      <c r="AY40" s="63"/>
      <c r="AZ40" s="192"/>
      <c r="BA40" s="193"/>
      <c r="BB40" s="193"/>
      <c r="BC40" s="193"/>
      <c r="BD40" s="193"/>
      <c r="BE40" s="193"/>
      <c r="BF40" s="193"/>
      <c r="BG40" s="194"/>
      <c r="BH40" s="195"/>
      <c r="BI40" s="193"/>
      <c r="BJ40" s="192"/>
      <c r="BK40" s="196"/>
      <c r="BL40" s="192"/>
      <c r="BM40" s="196"/>
      <c r="BN40" s="192"/>
      <c r="BO40" s="196"/>
      <c r="BP40" s="192"/>
      <c r="BQ40" s="196"/>
      <c r="BR40" s="63"/>
      <c r="BS40" s="63"/>
      <c r="BT40" s="63"/>
      <c r="BU40" s="89"/>
      <c r="BV40" s="6"/>
      <c r="BW40" s="198"/>
      <c r="BX40" s="404"/>
    </row>
    <row r="41" ht="61.5" customHeight="1">
      <c r="A41" s="363">
        <v>4.0</v>
      </c>
      <c r="B41" s="418" t="s">
        <v>157</v>
      </c>
      <c r="C41" s="168" t="s">
        <v>158</v>
      </c>
      <c r="D41" s="408"/>
      <c r="E41" s="409"/>
      <c r="F41" s="409"/>
      <c r="G41" s="409"/>
      <c r="H41" s="409"/>
      <c r="I41" s="409"/>
      <c r="J41" s="366"/>
      <c r="K41" s="367">
        <f t="shared" si="1"/>
        <v>0</v>
      </c>
      <c r="L41" s="368">
        <f>SUM(I41:I51)+SUM(K41:K51)*1</f>
        <v>0</v>
      </c>
      <c r="M41" s="368">
        <f>SUM('21 Oct Mon'!Q41:Q51,'22 Oct Tues'!Q41:Q51,'23 Oct Wed'!Q41:Q51,'24 Oct Thurs'!Q41:Q51,'25 Oct Fri'!Q41:Q51,'26 Oct Sat'!Q41:Q51)</f>
        <v>0</v>
      </c>
      <c r="N41" s="369">
        <f>SUM('21 Oct Mon'!R41:R51,'22 Oct Tues'!R41:R51,'23 Oct Wed'!R41:R51,'24 Oct Thurs'!R41:R51,'25 Oct Fri'!R41:R51,'26 Oct Sat'!R41:R51)</f>
        <v>0</v>
      </c>
      <c r="O41" s="370">
        <f>SUM(L41:N51)</f>
        <v>0</v>
      </c>
      <c r="P41" s="370">
        <f>SUM('21 Oct Mon'!T41:T51,'22 Oct Tues'!T41:T51,'23 Oct Wed'!T41:T51,'24 Oct Thurs'!T41:T51,'25 Oct Fri'!T41:T51,'26 Oct Sat'!T41:T51)</f>
        <v>0</v>
      </c>
      <c r="Q41" s="370">
        <f>SUM('21 Oct Mon'!U41:U51,'22 Oct Tues'!U41:U51,'23 Oct Wed'!U41:U51,'24 Oct Thurs'!U41:U51,'25 Oct Fri'!U41:U51,'26 Oct Sat'!U41:U51)</f>
        <v>0</v>
      </c>
      <c r="R41" s="370">
        <f>SUM('21 Oct Mon'!V41:V51,'22 Oct Tues'!V41:V51,'23 Oct Wed'!V41:V51,'24 Oct Thurs'!V41:V51,'25 Oct Fri'!V41:V51,'26 Oct Sat'!V41:V51)</f>
        <v>0</v>
      </c>
      <c r="S41" s="371">
        <f>SUM('21 Oct Mon'!W41:W51,'22 Oct Tues'!W41:W51,'23 Oct Wed'!W41:W51,'24 Oct Thurs'!W41:W51,'25 Oct Fri'!W41:W51,'26 Oct Sat'!W41:W51)</f>
        <v>0</v>
      </c>
      <c r="T41" s="372">
        <f>O41-P41-Q41-R41-S41</f>
        <v>0</v>
      </c>
      <c r="U41" s="373" t="str">
        <f>CONCATENATE(SUM('21 Oct Mon'!O41:O51,'22 Oct Tues'!O41:O51,'23 Oct Wed'!O41:O51,'24 Oct Thurs'!O41:O51,'25 Oct Fri'!O41:O51,'26 Oct Sat'!O41:O51),"
(",(SUM('21 Oct Mon'!O41:O51,'22 Oct Tues'!O41:O51,'23 Oct Wed'!O41:O51,'24 Oct Thurs'!O41:O51,'25 Oct Fri'!O41:O51,'26 Oct Sat'!O41:O51)-T41),")")</f>
        <v>0
(0)</v>
      </c>
      <c r="V41" s="374" t="str">
        <f>CONCATENATE("Mon-",'21 Oct Mon'!Z41:Z51,",Tues-",'22 Oct Tues'!Z41:Z51,",Wed-",'23 Oct Wed'!Z41:Z51,",Thurs-",'24 Oct Thurs'!Z41:Z51,",Fri-",'25 Oct Fri'!Z41:Z51,",Sat-",'26 Oct Sat'!Z41:Z51)</f>
        <v>Mon-,Tues-,Wed-,Thurs-,Fri-,Sat-</v>
      </c>
      <c r="W41" s="375">
        <f>SUM('21 Oct Mon'!AI41:AI51,'22 Oct Tues'!AI41:AI51,'23 Oct Wed'!AI41:AI51,'24 Oct Thurs'!AI41:AI51,'25 Oct Fri'!AI41:AI51,'26 Oct Sat'!AI41:AI51)</f>
        <v>0</v>
      </c>
      <c r="X41" s="375">
        <f>SUM('21 Oct Mon'!AM41:AM51,'22 Oct Tues'!AM41:AM51,'23 Oct Wed'!AM41:AM51,'24 Oct Thurs'!AM41:AM51,'25 Oct Fri'!AM41:AM51,'26 Oct Sat'!AM41:AM51)</f>
        <v>0</v>
      </c>
      <c r="Y41" s="376">
        <f>SUM('21 Oct Mon'!AP41:AP51,'22 Oct Tues'!AP41:AP51,'23 Oct Wed'!AP41:AP51,'24 Oct Thurs'!AP41:AP51,'25 Oct Fri'!AP41:AP51,'26 Oct Sat'!AP41:AP51)</f>
        <v>0</v>
      </c>
      <c r="Z41" s="376">
        <f>SUM('21 Oct Mon'!AQ41:AQ51,'22 Oct Tues'!AQ41:AQ51,'23 Oct Wed'!AQ41:AQ51,'24 Oct Thurs'!AQ41:AQ51,'25 Oct Fri'!AQ41:AQ51,'26 Oct Sat'!AQ41:AQ51)</f>
        <v>0</v>
      </c>
      <c r="AA41" s="377">
        <f>SUM('21 Oct Mon'!AR41:AR51,'22 Oct Tues'!AR41:AR51,'23 Oct Wed'!AR41:AR51,'24 Oct Thurs'!AR41:AR51,'25 Oct Fri'!AR41:AR51,'26 Oct Sat'!AR41:AR51)</f>
        <v>0</v>
      </c>
      <c r="AB41" s="377">
        <f>SUM('21 Oct Mon'!AS41:AS51,'22 Oct Tues'!AS41:AS51,'23 Oct Wed'!AS41:AS51,'24 Oct Thurs'!AS41:AS51,'25 Oct Fri'!AS41:AS51,'26 Oct Sat'!AS41:AS51)</f>
        <v>27.23044444</v>
      </c>
      <c r="AC41" s="378">
        <f>SUM('21 Oct Mon'!AT41:AT51,'22 Oct Tues'!AT41:AT51,'23 Oct Wed'!AT41:AT51,'24 Oct Thurs'!AT41:AT51,'25 Oct Fri'!AT41:AT51,'26 Oct Sat'!AT41:AT51)</f>
        <v>6.807611111</v>
      </c>
      <c r="AD41" s="379">
        <f>SUM('21 Oct Mon'!AU41:AU51,'22 Oct Tues'!AU41:AU51,'23 Oct Wed'!AU41:AU51,'24 Oct Thurs'!AU41:AU51,'25 Oct Fri'!AU41:AU51,'26 Oct Sat'!AU41:AU51)</f>
        <v>0</v>
      </c>
      <c r="AE41" s="379">
        <f>SUM('21 Oct Mon'!AV41:AV51,'22 Oct Tues'!AV41:AV51,'23 Oct Wed'!AV41:AV51,'24 Oct Thurs'!AV41:AV51,'25 Oct Fri'!AV41:AV51,'26 Oct Sat'!AV41:AV51)</f>
        <v>0</v>
      </c>
      <c r="AF41" s="379">
        <f>SUM('21 Oct Mon'!AW41:AW51,'22 Oct Tues'!AW41:AW51,'23 Oct Wed'!AW41:AW51,'24 Oct Thurs'!AW41:AW51,'25 Oct Fri'!AW41:AW51,'26 Oct Sat'!AW41:AW51)</f>
        <v>0</v>
      </c>
      <c r="AG41" s="379">
        <f>SUM('21 Oct Mon'!AX41:AX51,'22 Oct Tues'!AX41:AX51,'23 Oct Wed'!AX41:AX51,'24 Oct Thurs'!AX41:AX51,'25 Oct Fri'!AX41:AX51,'26 Oct Sat'!AX41:AX51)</f>
        <v>0</v>
      </c>
      <c r="AH41" s="380">
        <f>SUM('21 Oct Mon'!AY41:AY51,'22 Oct Tues'!AY41:AY51,'23 Oct Wed'!AY41:AY51,'24 Oct Thurs'!AY41:AY51,'25 Oct Fri'!AY41:AY51,'26 Oct Sat'!AY41:AY51)</f>
        <v>0</v>
      </c>
      <c r="AI41" s="381">
        <f>SUM('21 Oct Mon'!AZ41:AZ51,'22 Oct Tues'!AZ41:AZ51,'23 Oct Wed'!AZ41:AZ51,'24 Oct Thurs'!AZ41:AZ51,'25 Oct Fri'!AZ41:AZ51,'26 Oct Sat'!AZ41:AZ51)</f>
        <v>0</v>
      </c>
      <c r="AJ41" s="382">
        <f>SUM('21 Oct Mon'!BG41:BG51,'22 Oct Tues'!BG41:BG51,'23 Oct Wed'!BG41:BG51,'24 Oct Thurs'!BG41:BG51,'25 Oct Fri'!BG41:BG51,'26 Oct Sat'!BG41:BG51)</f>
        <v>2</v>
      </c>
      <c r="AK41" s="383">
        <f>SUM('21 Oct Mon'!BH41:BH51,'22 Oct Tues'!BH41:BH51,'23 Oct Wed'!BH41:BH51,'24 Oct Thurs'!BH41:BH51,'25 Oct Fri'!BH41:BH51,'26 Oct Sat'!BH41:BH51)</f>
        <v>0</v>
      </c>
      <c r="AL41" s="384">
        <f>SUM('21 Oct Mon'!BI41:BI51,'22 Oct Tues'!BI41:BI51,'23 Oct Wed'!BI41:BI51,'24 Oct Thurs'!BI41:BI51,'25 Oct Fri'!BI41:BI51,'26 Oct Sat'!BI41:BI51)</f>
        <v>28</v>
      </c>
      <c r="AM41" s="379">
        <f>SUM('21 Oct Mon'!BJ41:BJ51,'22 Oct Tues'!BJ41:BJ51,'23 Oct Wed'!BJ41:BJ51,'24 Oct Thurs'!BJ41:BJ51,'25 Oct Fri'!BJ41:BJ51,'26 Oct Sat'!BJ41:BJ51)</f>
        <v>6</v>
      </c>
      <c r="AN41" s="379">
        <f>SUM('21 Oct Mon'!BK41:BK51,'22 Oct Tues'!BK41:BK51,'23 Oct Wed'!BK41:BK51,'24 Oct Thurs'!BK41:BK51,'25 Oct Fri'!BK41:BK51,'26 Oct Sat'!BK41:BK51)</f>
        <v>0</v>
      </c>
      <c r="AO41" s="385">
        <f>SUM('21 Oct Mon'!BL41:BL51,'22 Oct Tues'!BL41:BL51,'23 Oct Wed'!BL41:BL51,'24 Oct Thurs'!BL41:BL51,'25 Oct Fri'!BL41:BL51,'26 Oct Sat'!BL41:BL51)</f>
        <v>0</v>
      </c>
      <c r="AP41" s="386">
        <f>SUM('21 Oct Mon'!BM41:BM51,'22 Oct Tues'!BM41:BM51,'23 Oct Wed'!BM41:BM51,'24 Oct Thurs'!BM41:BM51,'25 Oct Fri'!BM41:BM51,'26 Oct Sat'!BM41:BM51)</f>
        <v>9.086</v>
      </c>
      <c r="AQ41" s="387">
        <f>SUM('21 Oct Mon'!BN41:BN51,'22 Oct Tues'!BN41:BN51,'23 Oct Wed'!BN41:BN51,'24 Oct Thurs'!BN41:BN51,'25 Oct Fri'!BN41:BN51,'26 Oct Sat'!BN41:BN51)</f>
        <v>0</v>
      </c>
      <c r="AR41" s="379">
        <f>SUM('21 Oct Mon'!BO41:BO51,'22 Oct Tues'!BO41:BO51,'23 Oct Wed'!BO41:BO51,'24 Oct Thurs'!BO41:BO51,'25 Oct Fri'!BO41:BO51,'26 Oct Sat'!BO41:BO51)</f>
        <v>0</v>
      </c>
      <c r="AS41" s="379">
        <f>SUM('21 Oct Mon'!BP41:BP51,'22 Oct Tues'!BP41:BP51,'23 Oct Wed'!BP41:BP51,'24 Oct Thurs'!BP41:BP51,'25 Oct Fri'!BP41:BP51,'26 Oct Sat'!BP41:BP51)</f>
        <v>0</v>
      </c>
      <c r="AT41" s="382">
        <f>SUM('21 Oct Mon'!BR41:BR51,'22 Oct Tues'!BR41:BR51,'23 Oct Wed'!BR41:BR51,'24 Oct Thurs'!BR41:BR51,'25 Oct Fri'!BR41:BR51,'26 Oct Sat'!BR41:BR51)</f>
        <v>9</v>
      </c>
      <c r="AU41" s="384">
        <f>SUM('21 Oct Mon'!BS41:BS51,'22 Oct Tues'!BS41:BS51,'23 Oct Wed'!BS41:BS51,'24 Oct Thurs'!BS41:BS51,'25 Oct Fri'!BS41:BS51,'26 Oct Sat'!BS41:BS51)</f>
        <v>0</v>
      </c>
      <c r="AV41" s="379">
        <f>SUM('21 Oct Mon'!BT41:BT51,'22 Oct Tues'!BT41:BT51,'23 Oct Wed'!BT41:BT51,'24 Oct Thurs'!BT41:BT51,'25 Oct Fri'!BT41:BT51,'26 Oct Sat'!BT41:BT51)</f>
        <v>0</v>
      </c>
      <c r="AW41" s="379">
        <f>SUM('21 Oct Mon'!BU41:BU51,'22 Oct Tues'!BU41:BU51,'23 Oct Wed'!BU41:BU51,'24 Oct Thurs'!BU41:BU51,'25 Oct Fri'!BU41:BU51,'26 Oct Sat'!BU41:BU51)</f>
        <v>0</v>
      </c>
      <c r="AX41" s="382">
        <f>SUM('21 Oct Mon'!BV41:BV51,'22 Oct Tues'!BV41:BV51,'23 Oct Wed'!BV41:BV51,'24 Oct Thurs'!BV41:BV51,'25 Oct Fri'!BV41:BV51,'26 Oct Sat'!BV41:BV51)</f>
        <v>0</v>
      </c>
      <c r="AY41" s="379">
        <f>SUM('21 Oct Mon'!BW41:BW51,'22 Oct Tues'!BW41:BW51,'23 Oct Wed'!BW41:BW51,'24 Oct Thurs'!BW41:BW51,'25 Oct Fri'!BW41:BW51,'26 Oct Sat'!BW41:BW51)</f>
        <v>0</v>
      </c>
      <c r="AZ41" s="385">
        <f>SUM('21 Oct Mon'!BX41:BX51,'22 Oct Tues'!BX41:BX51,'23 Oct Wed'!BX41:BX51,'24 Oct Thurs'!BX41:BX51,'25 Oct Fri'!BX41:BX51,'26 Oct Sat'!BX41:BX51)</f>
        <v>0</v>
      </c>
      <c r="BA41" s="386">
        <f>SUM('21 Oct Mon'!BY41:BY51,'22 Oct Tues'!BY41:BY51,'23 Oct Wed'!BY41:BY51,'24 Oct Thurs'!BY41:BY51,'25 Oct Fri'!BY41:BY51,'26 Oct Sat'!BY41:BY51)</f>
        <v>0</v>
      </c>
      <c r="BB41" s="386">
        <f>SUM('21 Oct Mon'!BZ41:BZ51,'22 Oct Tues'!BZ41:BZ51,'23 Oct Wed'!BZ41:BZ51,'24 Oct Thurs'!BZ41:BZ51,'25 Oct Fri'!BZ41:BZ51,'26 Oct Sat'!BZ41:BZ51)</f>
        <v>0</v>
      </c>
      <c r="BC41" s="386">
        <f>SUM('21 Oct Mon'!CA41:CA51,'22 Oct Tues'!CA41:CA51,'23 Oct Wed'!CA41:CA51,'24 Oct Thurs'!CA41:CA51,'25 Oct Fri'!CA41:CA51,'26 Oct Sat'!CA41:CA51)</f>
        <v>0</v>
      </c>
      <c r="BD41" s="386">
        <f>SUM('21 Oct Mon'!CB41:CB51,'22 Oct Tues'!CB41:CB51,'23 Oct Wed'!CB41:CB51,'24 Oct Thurs'!CB41:CB51,'25 Oct Fri'!CB41:CB51,'26 Oct Sat'!CB41:CB51)</f>
        <v>0</v>
      </c>
      <c r="BE41" s="386">
        <f>SUM('21 Oct Mon'!CC41:CC51,'22 Oct Tues'!CC41:CC51,'23 Oct Wed'!CC41:CC51,'24 Oct Thurs'!CC41:CC51,'25 Oct Fri'!CC41:CC51,'26 Oct Sat'!CC41:CC51)</f>
        <v>0</v>
      </c>
      <c r="BF41" s="386" t="str">
        <f>CONCATENATE("Mon-",'21 Oct Mon'!CD41:CD51,",Tues-",'22 Oct Tues'!CD41:CD51,",Wed-",'23 Oct Wed'!CD41:CD51,",Thurs-",'24 Oct Thurs'!CD41:CD51,",Fri-",'25 Oct Fri'!CD41:CD51,",Sat-",'26 Oct Sat'!CD41:CD51)</f>
        <v>Mon-,Tues-,Wed-,Thurs-,Fri-,Sat-</v>
      </c>
      <c r="BG41" s="388">
        <f>SUM('21 Oct Mon'!CE41:CE51,'22 Oct Tues'!CE41:CE51,'23 Oct Wed'!CE41:CE51,'24 Oct Thurs'!CE41:CE51,'25 Oct Fri'!CE41:CE51,'26 Oct Sat'!CE41:CE51)</f>
        <v>0</v>
      </c>
      <c r="BH41" s="389" t="str">
        <f>CONCATENATE("Mon-",'21 Oct Mon'!CF41:CF51,",Tues-",'22 Oct Tues'!CF41:CF51,",Wed-",'23 Oct Wed'!CF41:CF51,",Thurs-",'24 Oct Thurs'!CF41:CF51,",Fri-",'25 Oct Fri'!CF41:CF51,",Sat-",'26 Oct Sat'!CF41:CF51)</f>
        <v>Mon-Paper Setting of SEM-III FCSP-1 T1 Exam,Tues-,Wed-,Thurs-Remedial exam supervision done on 23/10/2024,Fri-,Sat-FCSP-2 REM paper setting summer-2024
&amp;
107 answer sheet checked of FCSP-1
&amp;
date:25/10/24
Present in college during the vacation period for the Python-1 exam.
(1:20 pm to 5:45 pm)
(265 min)
&amp;
date:26/10/24
Present in college during the vacation period for Python-1 paper checking.
(9:50 am to 1:30 pm)
(220 min)</v>
      </c>
      <c r="BI41" s="383">
        <f>SUM('21 Oct Mon'!CG41:CG51,'22 Oct Tues'!CG41:CG51,'23 Oct Wed'!CG41:CG51,'24 Oct Thurs'!CG41:CG51,'25 Oct Fri'!CG41:CG51,'26 Oct Sat'!CG41:CG51)</f>
        <v>8.083333333</v>
      </c>
      <c r="BJ41" s="382">
        <f>SUM('21 Oct Mon'!CH41:CH51,'22 Oct Tues'!CH41:CH51,'23 Oct Wed'!CH41:CH51,'24 Oct Thurs'!CH41:CH51,'25 Oct Fri'!CH41:CH51,'26 Oct Sat'!CH41:CH51)</f>
        <v>1</v>
      </c>
      <c r="BK41" s="384">
        <f>SUM('21 Oct Mon'!CI41:CI51,'22 Oct Tues'!CI41:CI51,'23 Oct Wed'!CI41:CI51,'24 Oct Thurs'!CI41:CI51,'25 Oct Fri'!CI41:CI51,'26 Oct Sat'!CI41:CI51)</f>
        <v>0</v>
      </c>
      <c r="BL41" s="382" t="str">
        <f>CONCATENATE("Mon-",'21 Oct Mon'!CJ41:CJ51,",Tues-",'22 Oct Tues'!CJ41:CJ51,",Wed-",'23 Oct Wed'!CJ41:CJ51,",Thurs-",'24 Oct Thurs'!CJ41:CJ51,",Fri-",'25 Oct Fri'!CJ41:CJ51,",Sat-",'26 Oct Sat'!CJ41:CJ51)</f>
        <v>Mon-,Tues-,Wed-,Thurs-,Fri-,Sat-</v>
      </c>
      <c r="BM41" s="384">
        <f>SUM('21 Oct Mon'!CK41:CK51,'22 Oct Tues'!CK41:CK51,'23 Oct Wed'!CK41:CK51,'24 Oct Thurs'!CK41:CK51,'25 Oct Fri'!CK41:CK51,'26 Oct Sat'!CK41:CK51)</f>
        <v>0</v>
      </c>
      <c r="BN41" s="382" t="str">
        <f>CONCATENATE("Mon-",'21 Oct Mon'!CL41:CL51,",Tues-",'22 Oct Tues'!CL41:CL51,",Wed-",'23 Oct Wed'!CL41:CL51,",Thurs-",'24 Oct Thurs'!CL41:CL51,",Fri-",'25 Oct Fri'!CL41:CL51,",Sat-",'26 Oct Sat'!CL41:CL51)</f>
        <v>Mon-,Tues-,Wed-,Thurs-,Fri-,Sat-</v>
      </c>
      <c r="BO41" s="384">
        <f>SUM('21 Oct Mon'!CM41:CM51,'22 Oct Tues'!CM41:CM51,'23 Oct Wed'!CM41:CM51,'24 Oct Thurs'!CM41:CM51,'25 Oct Fri'!CM41:CM51,'26 Oct Sat'!CM41:CM51)</f>
        <v>0</v>
      </c>
      <c r="BP41" s="385" t="str">
        <f>CONCATENATE("Mon-",'21 Oct Mon'!CN41:CN51,",Tues-",'22 Oct Tues'!CN41:CN51,",Wed-",'23 Oct Wed'!CN41:CN51,",Thurs-",'24 Oct Thurs'!CN41:CN51,",Fri-",'25 Oct Fri'!CN41:CN51,",Sat-",'26 Oct Sat'!CN41:CN51)</f>
        <v>Mon-,Tues-,Wed-,Thurs-,Fri-,Sat-</v>
      </c>
      <c r="BQ41" s="387">
        <f>SUM('21 Oct Mon'!CO41:CO51,'22 Oct Tues'!CO41:CO51,'23 Oct Wed'!CO41:CO51,'24 Oct Thurs'!CO41:CO51,'25 Oct Fri'!CO41:CO51,'26 Oct Sat'!CO41:CO51)</f>
        <v>0</v>
      </c>
      <c r="BR41" s="379" t="str">
        <f>CONCATENATE("Mon-",'21 Oct Mon'!CP41:CP51,",Tues-",'22 Oct Tues'!CP41:CP51,",Wed-",'23 Oct Wed'!CP41:CP51,",Thurs-",'24 Oct Thurs'!CP41:CP51,",Fri-",'25 Oct Fri'!CP41:CP51,",Sat-",'26 Oct Sat'!CP41:CP51)</f>
        <v>Mon-,Tues-,Wed-,Thurs-,Fri-,Sat-</v>
      </c>
      <c r="BS41" s="390">
        <f>SUM('21 Oct Mon'!CQ41:CQ51,'22 Oct Tues'!CQ41:CQ51,'23 Oct Wed'!CQ41:CQ51,'24 Oct Thurs'!CQ41:CQ51,'25 Oct Fri'!CQ41:CQ51,'26 Oct Sat'!CQ41:CQ51)</f>
        <v>0</v>
      </c>
      <c r="BT41" s="390">
        <f>SUM('21 Oct Mon'!CR41:CR51,'22 Oct Tues'!CR41:CR51,'23 Oct Wed'!CR41:CR51,'24 Oct Thurs'!CR41:CR51,'25 Oct Fri'!CR41:CR51,'26 Oct Sat'!CR41:CR51)</f>
        <v>0</v>
      </c>
      <c r="BU41" s="391">
        <f>SUM('21 Oct Mon'!CS41:CS51,'22 Oct Tues'!CS41:CS51,'23 Oct Wed'!CS41:CS51,'24 Oct Thurs'!CS41:CS51,'25 Oct Fri'!CS41:CS51,'26 Oct Sat'!CS41:CS51)</f>
        <v>0</v>
      </c>
      <c r="BV41" s="392">
        <f>SUM('21 Oct Mon'!CT41:CT51,'22 Oct Tues'!CT41:CT51,'23 Oct Wed'!CT41:CT51,'24 Oct Thurs'!CT41:CT51,'25 Oct Fri'!CT41:CT51,'26 Oct Sat'!CT41:CT51)</f>
        <v>27.23044444</v>
      </c>
      <c r="BW41" s="393" t="str">
        <f>LEFT(U41,FIND("(",U41,1)-2)</f>
        <v>0</v>
      </c>
      <c r="BX41" s="394"/>
    </row>
    <row r="42" ht="61.5" customHeight="1">
      <c r="A42" s="177"/>
      <c r="C42" s="205" t="s">
        <v>158</v>
      </c>
      <c r="D42" s="408"/>
      <c r="E42" s="409"/>
      <c r="F42" s="409"/>
      <c r="G42" s="409"/>
      <c r="H42" s="409"/>
      <c r="I42" s="409"/>
      <c r="J42" s="397"/>
      <c r="K42" s="398">
        <f t="shared" si="1"/>
        <v>0</v>
      </c>
      <c r="L42" s="173"/>
      <c r="M42" s="173"/>
      <c r="N42" s="177"/>
      <c r="O42" s="178"/>
      <c r="P42" s="178"/>
      <c r="Q42" s="178"/>
      <c r="R42" s="178"/>
      <c r="S42" s="182"/>
      <c r="T42" s="65"/>
      <c r="U42" s="64"/>
      <c r="V42" s="66"/>
      <c r="W42" s="173"/>
      <c r="X42" s="173"/>
      <c r="Y42" s="65"/>
      <c r="Z42" s="65"/>
      <c r="AA42" s="65"/>
      <c r="AB42" s="65"/>
      <c r="AC42" s="173"/>
      <c r="AD42" s="166"/>
      <c r="AE42" s="166"/>
      <c r="AF42" s="166"/>
      <c r="AG42" s="166"/>
      <c r="AH42" s="65"/>
      <c r="AJ42" s="177"/>
      <c r="AK42" s="178"/>
      <c r="AL42" s="181"/>
      <c r="AM42" s="166"/>
      <c r="AN42" s="166"/>
      <c r="AO42" s="177"/>
      <c r="AP42" s="178"/>
      <c r="AQ42" s="181"/>
      <c r="AR42" s="166"/>
      <c r="AS42" s="166"/>
      <c r="AT42" s="177"/>
      <c r="AU42" s="181"/>
      <c r="AV42" s="166"/>
      <c r="AW42" s="166"/>
      <c r="AX42" s="177"/>
      <c r="AY42" s="166"/>
      <c r="AZ42" s="177"/>
      <c r="BA42" s="178"/>
      <c r="BB42" s="178"/>
      <c r="BC42" s="178"/>
      <c r="BD42" s="178"/>
      <c r="BE42" s="178"/>
      <c r="BF42" s="178"/>
      <c r="BG42" s="179"/>
      <c r="BH42" s="180"/>
      <c r="BI42" s="178"/>
      <c r="BJ42" s="177"/>
      <c r="BK42" s="181"/>
      <c r="BL42" s="177"/>
      <c r="BM42" s="181"/>
      <c r="BN42" s="177"/>
      <c r="BO42" s="181"/>
      <c r="BP42" s="177"/>
      <c r="BQ42" s="181"/>
      <c r="BR42" s="166"/>
      <c r="BS42" s="166"/>
      <c r="BT42" s="166"/>
      <c r="BU42" s="65"/>
      <c r="BW42" s="178"/>
      <c r="BX42" s="399"/>
    </row>
    <row r="43" ht="61.5" customHeight="1">
      <c r="A43" s="177"/>
      <c r="C43" s="205" t="s">
        <v>158</v>
      </c>
      <c r="D43" s="408"/>
      <c r="E43" s="409"/>
      <c r="F43" s="409"/>
      <c r="G43" s="409"/>
      <c r="H43" s="409"/>
      <c r="I43" s="409"/>
      <c r="J43" s="397"/>
      <c r="K43" s="398">
        <f t="shared" si="1"/>
        <v>0</v>
      </c>
      <c r="L43" s="173"/>
      <c r="M43" s="173"/>
      <c r="N43" s="177"/>
      <c r="O43" s="178"/>
      <c r="P43" s="178"/>
      <c r="Q43" s="178"/>
      <c r="R43" s="178"/>
      <c r="S43" s="182"/>
      <c r="T43" s="65"/>
      <c r="U43" s="64"/>
      <c r="V43" s="66"/>
      <c r="W43" s="173"/>
      <c r="X43" s="173"/>
      <c r="Y43" s="65"/>
      <c r="Z43" s="65"/>
      <c r="AA43" s="65"/>
      <c r="AB43" s="65"/>
      <c r="AC43" s="173"/>
      <c r="AD43" s="166"/>
      <c r="AE43" s="166"/>
      <c r="AF43" s="166"/>
      <c r="AG43" s="166"/>
      <c r="AH43" s="65"/>
      <c r="AJ43" s="177"/>
      <c r="AK43" s="178"/>
      <c r="AL43" s="181"/>
      <c r="AM43" s="166"/>
      <c r="AN43" s="166"/>
      <c r="AO43" s="177"/>
      <c r="AP43" s="178"/>
      <c r="AQ43" s="181"/>
      <c r="AR43" s="166"/>
      <c r="AS43" s="166"/>
      <c r="AT43" s="177"/>
      <c r="AU43" s="181"/>
      <c r="AV43" s="166"/>
      <c r="AW43" s="166"/>
      <c r="AX43" s="177"/>
      <c r="AY43" s="166"/>
      <c r="AZ43" s="177"/>
      <c r="BA43" s="178"/>
      <c r="BB43" s="178"/>
      <c r="BC43" s="178"/>
      <c r="BD43" s="178"/>
      <c r="BE43" s="178"/>
      <c r="BF43" s="178"/>
      <c r="BG43" s="179"/>
      <c r="BH43" s="180"/>
      <c r="BI43" s="178"/>
      <c r="BJ43" s="177"/>
      <c r="BK43" s="181"/>
      <c r="BL43" s="177"/>
      <c r="BM43" s="181"/>
      <c r="BN43" s="177"/>
      <c r="BO43" s="181"/>
      <c r="BP43" s="177"/>
      <c r="BQ43" s="181"/>
      <c r="BR43" s="166"/>
      <c r="BS43" s="166"/>
      <c r="BT43" s="166"/>
      <c r="BU43" s="65"/>
      <c r="BW43" s="178"/>
      <c r="BX43" s="399"/>
    </row>
    <row r="44" ht="61.5" customHeight="1">
      <c r="A44" s="177"/>
      <c r="C44" s="205" t="s">
        <v>158</v>
      </c>
      <c r="D44" s="408"/>
      <c r="E44" s="409"/>
      <c r="F44" s="409"/>
      <c r="G44" s="409"/>
      <c r="H44" s="409"/>
      <c r="I44" s="409"/>
      <c r="J44" s="397"/>
      <c r="K44" s="398">
        <f t="shared" si="1"/>
        <v>0</v>
      </c>
      <c r="L44" s="173"/>
      <c r="M44" s="173"/>
      <c r="N44" s="177"/>
      <c r="O44" s="178"/>
      <c r="P44" s="178"/>
      <c r="Q44" s="178"/>
      <c r="R44" s="178"/>
      <c r="S44" s="182"/>
      <c r="T44" s="65"/>
      <c r="U44" s="64"/>
      <c r="V44" s="66"/>
      <c r="W44" s="173"/>
      <c r="X44" s="173"/>
      <c r="Y44" s="65"/>
      <c r="Z44" s="65"/>
      <c r="AA44" s="65"/>
      <c r="AB44" s="65"/>
      <c r="AC44" s="173"/>
      <c r="AD44" s="166"/>
      <c r="AE44" s="166"/>
      <c r="AF44" s="166"/>
      <c r="AG44" s="166"/>
      <c r="AH44" s="65"/>
      <c r="AJ44" s="177"/>
      <c r="AK44" s="178"/>
      <c r="AL44" s="181"/>
      <c r="AM44" s="166"/>
      <c r="AN44" s="166"/>
      <c r="AO44" s="177"/>
      <c r="AP44" s="178"/>
      <c r="AQ44" s="181"/>
      <c r="AR44" s="166"/>
      <c r="AS44" s="166"/>
      <c r="AT44" s="177"/>
      <c r="AU44" s="181"/>
      <c r="AV44" s="166"/>
      <c r="AW44" s="166"/>
      <c r="AX44" s="177"/>
      <c r="AY44" s="166"/>
      <c r="AZ44" s="177"/>
      <c r="BA44" s="178"/>
      <c r="BB44" s="178"/>
      <c r="BC44" s="178"/>
      <c r="BD44" s="178"/>
      <c r="BE44" s="178"/>
      <c r="BF44" s="178"/>
      <c r="BG44" s="179"/>
      <c r="BH44" s="180"/>
      <c r="BI44" s="178"/>
      <c r="BJ44" s="177"/>
      <c r="BK44" s="181"/>
      <c r="BL44" s="177"/>
      <c r="BM44" s="181"/>
      <c r="BN44" s="177"/>
      <c r="BO44" s="181"/>
      <c r="BP44" s="177"/>
      <c r="BQ44" s="181"/>
      <c r="BR44" s="166"/>
      <c r="BS44" s="166"/>
      <c r="BT44" s="166"/>
      <c r="BU44" s="65"/>
      <c r="BW44" s="178"/>
      <c r="BX44" s="399"/>
    </row>
    <row r="45" ht="61.5" customHeight="1">
      <c r="A45" s="177"/>
      <c r="C45" s="205" t="s">
        <v>158</v>
      </c>
      <c r="D45" s="395"/>
      <c r="E45" s="396"/>
      <c r="F45" s="396"/>
      <c r="G45" s="396"/>
      <c r="H45" s="396"/>
      <c r="I45" s="396"/>
      <c r="J45" s="397"/>
      <c r="K45" s="398">
        <f t="shared" si="1"/>
        <v>0</v>
      </c>
      <c r="L45" s="173"/>
      <c r="M45" s="173"/>
      <c r="N45" s="177"/>
      <c r="O45" s="178"/>
      <c r="P45" s="178"/>
      <c r="Q45" s="178"/>
      <c r="R45" s="178"/>
      <c r="S45" s="182"/>
      <c r="T45" s="65"/>
      <c r="U45" s="64"/>
      <c r="V45" s="66"/>
      <c r="W45" s="173"/>
      <c r="X45" s="173"/>
      <c r="Y45" s="65"/>
      <c r="Z45" s="65"/>
      <c r="AA45" s="65"/>
      <c r="AB45" s="65"/>
      <c r="AC45" s="173"/>
      <c r="AD45" s="166"/>
      <c r="AE45" s="166"/>
      <c r="AF45" s="166"/>
      <c r="AG45" s="166"/>
      <c r="AH45" s="65"/>
      <c r="AJ45" s="177"/>
      <c r="AK45" s="178"/>
      <c r="AL45" s="181"/>
      <c r="AM45" s="166"/>
      <c r="AN45" s="166"/>
      <c r="AO45" s="177"/>
      <c r="AP45" s="178"/>
      <c r="AQ45" s="181"/>
      <c r="AR45" s="166"/>
      <c r="AS45" s="166"/>
      <c r="AT45" s="177"/>
      <c r="AU45" s="181"/>
      <c r="AV45" s="166"/>
      <c r="AW45" s="166"/>
      <c r="AX45" s="177"/>
      <c r="AY45" s="166"/>
      <c r="AZ45" s="177"/>
      <c r="BA45" s="178"/>
      <c r="BB45" s="178"/>
      <c r="BC45" s="178"/>
      <c r="BD45" s="178"/>
      <c r="BE45" s="178"/>
      <c r="BF45" s="178"/>
      <c r="BG45" s="179"/>
      <c r="BH45" s="180"/>
      <c r="BI45" s="178"/>
      <c r="BJ45" s="177"/>
      <c r="BK45" s="181"/>
      <c r="BL45" s="177"/>
      <c r="BM45" s="181"/>
      <c r="BN45" s="177"/>
      <c r="BO45" s="181"/>
      <c r="BP45" s="177"/>
      <c r="BQ45" s="181"/>
      <c r="BR45" s="166"/>
      <c r="BS45" s="166"/>
      <c r="BT45" s="166"/>
      <c r="BU45" s="65"/>
      <c r="BW45" s="178"/>
      <c r="BX45" s="399"/>
    </row>
    <row r="46" ht="61.5" customHeight="1">
      <c r="A46" s="177"/>
      <c r="C46" s="205" t="s">
        <v>158</v>
      </c>
      <c r="D46" s="395"/>
      <c r="E46" s="396"/>
      <c r="F46" s="396"/>
      <c r="G46" s="396"/>
      <c r="H46" s="396"/>
      <c r="I46" s="396"/>
      <c r="J46" s="397"/>
      <c r="K46" s="398">
        <f t="shared" si="1"/>
        <v>0</v>
      </c>
      <c r="L46" s="173"/>
      <c r="M46" s="173"/>
      <c r="N46" s="177"/>
      <c r="O46" s="178"/>
      <c r="P46" s="178"/>
      <c r="Q46" s="178"/>
      <c r="R46" s="178"/>
      <c r="S46" s="182"/>
      <c r="T46" s="65"/>
      <c r="U46" s="64"/>
      <c r="V46" s="66"/>
      <c r="W46" s="173"/>
      <c r="X46" s="173"/>
      <c r="Y46" s="65"/>
      <c r="Z46" s="65"/>
      <c r="AA46" s="65"/>
      <c r="AB46" s="65"/>
      <c r="AC46" s="173"/>
      <c r="AD46" s="166"/>
      <c r="AE46" s="166"/>
      <c r="AF46" s="166"/>
      <c r="AG46" s="166"/>
      <c r="AH46" s="65"/>
      <c r="AJ46" s="177"/>
      <c r="AK46" s="178"/>
      <c r="AL46" s="181"/>
      <c r="AM46" s="166"/>
      <c r="AN46" s="166"/>
      <c r="AO46" s="177"/>
      <c r="AP46" s="178"/>
      <c r="AQ46" s="181"/>
      <c r="AR46" s="166"/>
      <c r="AS46" s="166"/>
      <c r="AT46" s="177"/>
      <c r="AU46" s="181"/>
      <c r="AV46" s="166"/>
      <c r="AW46" s="166"/>
      <c r="AX46" s="177"/>
      <c r="AY46" s="166"/>
      <c r="AZ46" s="177"/>
      <c r="BA46" s="178"/>
      <c r="BB46" s="178"/>
      <c r="BC46" s="178"/>
      <c r="BD46" s="178"/>
      <c r="BE46" s="178"/>
      <c r="BF46" s="178"/>
      <c r="BG46" s="179"/>
      <c r="BH46" s="180"/>
      <c r="BI46" s="178"/>
      <c r="BJ46" s="177"/>
      <c r="BK46" s="181"/>
      <c r="BL46" s="177"/>
      <c r="BM46" s="181"/>
      <c r="BN46" s="177"/>
      <c r="BO46" s="181"/>
      <c r="BP46" s="177"/>
      <c r="BQ46" s="181"/>
      <c r="BR46" s="166"/>
      <c r="BS46" s="166"/>
      <c r="BT46" s="166"/>
      <c r="BU46" s="65"/>
      <c r="BW46" s="178"/>
      <c r="BX46" s="399"/>
    </row>
    <row r="47" ht="61.5" customHeight="1">
      <c r="A47" s="177"/>
      <c r="C47" s="205" t="s">
        <v>158</v>
      </c>
      <c r="D47" s="395"/>
      <c r="E47" s="396"/>
      <c r="F47" s="396"/>
      <c r="G47" s="396"/>
      <c r="H47" s="396"/>
      <c r="I47" s="396"/>
      <c r="J47" s="397"/>
      <c r="K47" s="398">
        <f t="shared" si="1"/>
        <v>0</v>
      </c>
      <c r="L47" s="173"/>
      <c r="M47" s="173"/>
      <c r="N47" s="177"/>
      <c r="O47" s="178"/>
      <c r="P47" s="178"/>
      <c r="Q47" s="178"/>
      <c r="R47" s="178"/>
      <c r="S47" s="182"/>
      <c r="T47" s="65"/>
      <c r="U47" s="64"/>
      <c r="V47" s="66"/>
      <c r="W47" s="173"/>
      <c r="X47" s="173"/>
      <c r="Y47" s="65"/>
      <c r="Z47" s="65"/>
      <c r="AA47" s="65"/>
      <c r="AB47" s="65"/>
      <c r="AC47" s="173"/>
      <c r="AD47" s="166"/>
      <c r="AE47" s="166"/>
      <c r="AF47" s="166"/>
      <c r="AG47" s="166"/>
      <c r="AH47" s="65"/>
      <c r="AJ47" s="177"/>
      <c r="AK47" s="178"/>
      <c r="AL47" s="181"/>
      <c r="AM47" s="166"/>
      <c r="AN47" s="166"/>
      <c r="AO47" s="177"/>
      <c r="AP47" s="178"/>
      <c r="AQ47" s="181"/>
      <c r="AR47" s="166"/>
      <c r="AS47" s="166"/>
      <c r="AT47" s="177"/>
      <c r="AU47" s="181"/>
      <c r="AV47" s="166"/>
      <c r="AW47" s="166"/>
      <c r="AX47" s="177"/>
      <c r="AY47" s="166"/>
      <c r="AZ47" s="177"/>
      <c r="BA47" s="178"/>
      <c r="BB47" s="178"/>
      <c r="BC47" s="178"/>
      <c r="BD47" s="178"/>
      <c r="BE47" s="178"/>
      <c r="BF47" s="178"/>
      <c r="BG47" s="179"/>
      <c r="BH47" s="180"/>
      <c r="BI47" s="178"/>
      <c r="BJ47" s="177"/>
      <c r="BK47" s="181"/>
      <c r="BL47" s="177"/>
      <c r="BM47" s="181"/>
      <c r="BN47" s="177"/>
      <c r="BO47" s="181"/>
      <c r="BP47" s="177"/>
      <c r="BQ47" s="181"/>
      <c r="BR47" s="166"/>
      <c r="BS47" s="166"/>
      <c r="BT47" s="166"/>
      <c r="BU47" s="65"/>
      <c r="BW47" s="178"/>
      <c r="BX47" s="399"/>
    </row>
    <row r="48" ht="61.5" customHeight="1">
      <c r="A48" s="177"/>
      <c r="C48" s="205" t="s">
        <v>158</v>
      </c>
      <c r="D48" s="395"/>
      <c r="E48" s="396"/>
      <c r="F48" s="396"/>
      <c r="G48" s="396"/>
      <c r="H48" s="396"/>
      <c r="I48" s="396"/>
      <c r="J48" s="397"/>
      <c r="K48" s="398">
        <f t="shared" si="1"/>
        <v>0</v>
      </c>
      <c r="L48" s="173"/>
      <c r="M48" s="173"/>
      <c r="N48" s="177"/>
      <c r="O48" s="178"/>
      <c r="P48" s="178"/>
      <c r="Q48" s="178"/>
      <c r="R48" s="178"/>
      <c r="S48" s="182"/>
      <c r="T48" s="65"/>
      <c r="U48" s="64"/>
      <c r="V48" s="66"/>
      <c r="W48" s="173"/>
      <c r="X48" s="173"/>
      <c r="Y48" s="65"/>
      <c r="Z48" s="65"/>
      <c r="AA48" s="65"/>
      <c r="AB48" s="65"/>
      <c r="AC48" s="173"/>
      <c r="AD48" s="166"/>
      <c r="AE48" s="166"/>
      <c r="AF48" s="166"/>
      <c r="AG48" s="166"/>
      <c r="AH48" s="65"/>
      <c r="AJ48" s="177"/>
      <c r="AK48" s="178"/>
      <c r="AL48" s="181"/>
      <c r="AM48" s="166"/>
      <c r="AN48" s="166"/>
      <c r="AO48" s="177"/>
      <c r="AP48" s="178"/>
      <c r="AQ48" s="181"/>
      <c r="AR48" s="166"/>
      <c r="AS48" s="166"/>
      <c r="AT48" s="177"/>
      <c r="AU48" s="181"/>
      <c r="AV48" s="166"/>
      <c r="AW48" s="166"/>
      <c r="AX48" s="177"/>
      <c r="AY48" s="166"/>
      <c r="AZ48" s="177"/>
      <c r="BA48" s="178"/>
      <c r="BB48" s="178"/>
      <c r="BC48" s="178"/>
      <c r="BD48" s="178"/>
      <c r="BE48" s="178"/>
      <c r="BF48" s="178"/>
      <c r="BG48" s="179"/>
      <c r="BH48" s="180"/>
      <c r="BI48" s="178"/>
      <c r="BJ48" s="177"/>
      <c r="BK48" s="181"/>
      <c r="BL48" s="177"/>
      <c r="BM48" s="181"/>
      <c r="BN48" s="177"/>
      <c r="BO48" s="181"/>
      <c r="BP48" s="177"/>
      <c r="BQ48" s="181"/>
      <c r="BR48" s="166"/>
      <c r="BS48" s="166"/>
      <c r="BT48" s="166"/>
      <c r="BU48" s="65"/>
      <c r="BW48" s="178"/>
      <c r="BX48" s="399"/>
    </row>
    <row r="49" ht="61.5" customHeight="1">
      <c r="A49" s="177"/>
      <c r="C49" s="205" t="s">
        <v>158</v>
      </c>
      <c r="D49" s="395"/>
      <c r="E49" s="396"/>
      <c r="F49" s="396"/>
      <c r="G49" s="396"/>
      <c r="H49" s="396"/>
      <c r="I49" s="396"/>
      <c r="J49" s="397"/>
      <c r="K49" s="398">
        <f t="shared" si="1"/>
        <v>0</v>
      </c>
      <c r="L49" s="173"/>
      <c r="M49" s="173"/>
      <c r="N49" s="177"/>
      <c r="O49" s="178"/>
      <c r="P49" s="178"/>
      <c r="Q49" s="178"/>
      <c r="R49" s="178"/>
      <c r="S49" s="182"/>
      <c r="T49" s="65"/>
      <c r="U49" s="64"/>
      <c r="V49" s="66"/>
      <c r="W49" s="173"/>
      <c r="X49" s="173"/>
      <c r="Y49" s="65"/>
      <c r="Z49" s="65"/>
      <c r="AA49" s="65"/>
      <c r="AB49" s="65"/>
      <c r="AC49" s="173"/>
      <c r="AD49" s="166"/>
      <c r="AE49" s="166"/>
      <c r="AF49" s="166"/>
      <c r="AG49" s="166"/>
      <c r="AH49" s="65"/>
      <c r="AJ49" s="177"/>
      <c r="AK49" s="178"/>
      <c r="AL49" s="181"/>
      <c r="AM49" s="166"/>
      <c r="AN49" s="166"/>
      <c r="AO49" s="177"/>
      <c r="AP49" s="178"/>
      <c r="AQ49" s="181"/>
      <c r="AR49" s="166"/>
      <c r="AS49" s="166"/>
      <c r="AT49" s="177"/>
      <c r="AU49" s="181"/>
      <c r="AV49" s="166"/>
      <c r="AW49" s="166"/>
      <c r="AX49" s="177"/>
      <c r="AY49" s="166"/>
      <c r="AZ49" s="177"/>
      <c r="BA49" s="178"/>
      <c r="BB49" s="178"/>
      <c r="BC49" s="178"/>
      <c r="BD49" s="178"/>
      <c r="BE49" s="178"/>
      <c r="BF49" s="178"/>
      <c r="BG49" s="179"/>
      <c r="BH49" s="180"/>
      <c r="BI49" s="178"/>
      <c r="BJ49" s="177"/>
      <c r="BK49" s="181"/>
      <c r="BL49" s="177"/>
      <c r="BM49" s="181"/>
      <c r="BN49" s="177"/>
      <c r="BO49" s="181"/>
      <c r="BP49" s="177"/>
      <c r="BQ49" s="181"/>
      <c r="BR49" s="166"/>
      <c r="BS49" s="166"/>
      <c r="BT49" s="166"/>
      <c r="BU49" s="65"/>
      <c r="BW49" s="178"/>
      <c r="BX49" s="399"/>
    </row>
    <row r="50" ht="61.5" customHeight="1">
      <c r="A50" s="177"/>
      <c r="C50" s="205" t="s">
        <v>158</v>
      </c>
      <c r="D50" s="395"/>
      <c r="E50" s="396"/>
      <c r="F50" s="396"/>
      <c r="G50" s="396"/>
      <c r="H50" s="396"/>
      <c r="I50" s="396"/>
      <c r="J50" s="397"/>
      <c r="K50" s="398">
        <f t="shared" si="1"/>
        <v>0</v>
      </c>
      <c r="L50" s="173"/>
      <c r="M50" s="173"/>
      <c r="N50" s="177"/>
      <c r="O50" s="178"/>
      <c r="P50" s="178"/>
      <c r="Q50" s="178"/>
      <c r="R50" s="178"/>
      <c r="S50" s="182"/>
      <c r="T50" s="65"/>
      <c r="U50" s="64"/>
      <c r="V50" s="66"/>
      <c r="W50" s="173"/>
      <c r="X50" s="173"/>
      <c r="Y50" s="65"/>
      <c r="Z50" s="65"/>
      <c r="AA50" s="65"/>
      <c r="AB50" s="65"/>
      <c r="AC50" s="173"/>
      <c r="AD50" s="166"/>
      <c r="AE50" s="166"/>
      <c r="AF50" s="166"/>
      <c r="AG50" s="166"/>
      <c r="AH50" s="65"/>
      <c r="AJ50" s="177"/>
      <c r="AK50" s="178"/>
      <c r="AL50" s="181"/>
      <c r="AM50" s="166"/>
      <c r="AN50" s="166"/>
      <c r="AO50" s="177"/>
      <c r="AP50" s="178"/>
      <c r="AQ50" s="181"/>
      <c r="AR50" s="166"/>
      <c r="AS50" s="166"/>
      <c r="AT50" s="177"/>
      <c r="AU50" s="181"/>
      <c r="AV50" s="166"/>
      <c r="AW50" s="166"/>
      <c r="AX50" s="177"/>
      <c r="AY50" s="166"/>
      <c r="AZ50" s="177"/>
      <c r="BA50" s="178"/>
      <c r="BB50" s="178"/>
      <c r="BC50" s="178"/>
      <c r="BD50" s="178"/>
      <c r="BE50" s="178"/>
      <c r="BF50" s="178"/>
      <c r="BG50" s="179"/>
      <c r="BH50" s="180"/>
      <c r="BI50" s="178"/>
      <c r="BJ50" s="177"/>
      <c r="BK50" s="181"/>
      <c r="BL50" s="177"/>
      <c r="BM50" s="181"/>
      <c r="BN50" s="177"/>
      <c r="BO50" s="181"/>
      <c r="BP50" s="177"/>
      <c r="BQ50" s="181"/>
      <c r="BR50" s="166"/>
      <c r="BS50" s="166"/>
      <c r="BT50" s="166"/>
      <c r="BU50" s="65"/>
      <c r="BW50" s="178"/>
      <c r="BX50" s="399"/>
    </row>
    <row r="51" ht="61.5" customHeight="1">
      <c r="A51" s="192"/>
      <c r="B51" s="6"/>
      <c r="C51" s="210" t="s">
        <v>158</v>
      </c>
      <c r="D51" s="400"/>
      <c r="E51" s="401"/>
      <c r="F51" s="401"/>
      <c r="G51" s="401"/>
      <c r="H51" s="401"/>
      <c r="I51" s="401"/>
      <c r="J51" s="402"/>
      <c r="K51" s="403">
        <f t="shared" si="1"/>
        <v>0</v>
      </c>
      <c r="L51" s="69"/>
      <c r="M51" s="69"/>
      <c r="N51" s="192"/>
      <c r="O51" s="193"/>
      <c r="P51" s="193"/>
      <c r="Q51" s="193"/>
      <c r="R51" s="193"/>
      <c r="S51" s="197"/>
      <c r="T51" s="89"/>
      <c r="U51" s="103"/>
      <c r="V51" s="68"/>
      <c r="W51" s="69"/>
      <c r="X51" s="69"/>
      <c r="Y51" s="89"/>
      <c r="Z51" s="89"/>
      <c r="AA51" s="89"/>
      <c r="AB51" s="89"/>
      <c r="AC51" s="69"/>
      <c r="AD51" s="63"/>
      <c r="AE51" s="63"/>
      <c r="AF51" s="63"/>
      <c r="AG51" s="63"/>
      <c r="AH51" s="89"/>
      <c r="AI51" s="6"/>
      <c r="AJ51" s="192"/>
      <c r="AK51" s="193"/>
      <c r="AL51" s="196"/>
      <c r="AM51" s="63"/>
      <c r="AN51" s="63"/>
      <c r="AO51" s="192"/>
      <c r="AP51" s="193"/>
      <c r="AQ51" s="196"/>
      <c r="AR51" s="63"/>
      <c r="AS51" s="63"/>
      <c r="AT51" s="192"/>
      <c r="AU51" s="196"/>
      <c r="AV51" s="63"/>
      <c r="AW51" s="63"/>
      <c r="AX51" s="192"/>
      <c r="AY51" s="63"/>
      <c r="AZ51" s="192"/>
      <c r="BA51" s="193"/>
      <c r="BB51" s="193"/>
      <c r="BC51" s="193"/>
      <c r="BD51" s="193"/>
      <c r="BE51" s="193"/>
      <c r="BF51" s="193"/>
      <c r="BG51" s="194"/>
      <c r="BH51" s="195"/>
      <c r="BI51" s="193"/>
      <c r="BJ51" s="192"/>
      <c r="BK51" s="196"/>
      <c r="BL51" s="192"/>
      <c r="BM51" s="196"/>
      <c r="BN51" s="192"/>
      <c r="BO51" s="196"/>
      <c r="BP51" s="192"/>
      <c r="BQ51" s="196"/>
      <c r="BR51" s="63"/>
      <c r="BS51" s="63"/>
      <c r="BT51" s="63"/>
      <c r="BU51" s="89"/>
      <c r="BV51" s="6"/>
      <c r="BW51" s="198"/>
      <c r="BX51" s="404"/>
    </row>
    <row r="52" ht="61.5" customHeight="1">
      <c r="A52" s="363">
        <v>5.0</v>
      </c>
      <c r="B52" s="199" t="s">
        <v>161</v>
      </c>
      <c r="C52" s="168" t="s">
        <v>162</v>
      </c>
      <c r="D52" s="408"/>
      <c r="E52" s="409"/>
      <c r="F52" s="409"/>
      <c r="G52" s="409"/>
      <c r="H52" s="409"/>
      <c r="I52" s="409"/>
      <c r="J52" s="366"/>
      <c r="K52" s="367">
        <f t="shared" si="1"/>
        <v>0</v>
      </c>
      <c r="L52" s="368">
        <f>SUM(I52:I62)+SUM(K52:K62)*1</f>
        <v>0</v>
      </c>
      <c r="M52" s="368">
        <f>SUM('21 Oct Mon'!Q52:Q62,'22 Oct Tues'!Q52:Q62,'23 Oct Wed'!Q52:Q62,'24 Oct Thurs'!Q52:Q62,'25 Oct Fri'!Q52:Q62,'26 Oct Sat'!Q52:Q62)</f>
        <v>0</v>
      </c>
      <c r="N52" s="369">
        <f>SUM('21 Oct Mon'!R52:R62,'22 Oct Tues'!R52:R62,'23 Oct Wed'!R52:R62,'24 Oct Thurs'!R52:R62,'25 Oct Fri'!R52:R62,'26 Oct Sat'!R52:R62)</f>
        <v>0</v>
      </c>
      <c r="O52" s="370">
        <f>SUM(L52:N62)</f>
        <v>0</v>
      </c>
      <c r="P52" s="370">
        <f>SUM('21 Oct Mon'!T52:T62,'22 Oct Tues'!T52:T62,'23 Oct Wed'!T52:T62,'24 Oct Thurs'!T52:T62,'25 Oct Fri'!T52:T62,'26 Oct Sat'!T52:T62)</f>
        <v>0</v>
      </c>
      <c r="Q52" s="370">
        <f>SUM('21 Oct Mon'!U52:U62,'22 Oct Tues'!U52:U62,'23 Oct Wed'!U52:U62,'24 Oct Thurs'!U52:U62,'25 Oct Fri'!U52:U62,'26 Oct Sat'!U52:U62)</f>
        <v>0</v>
      </c>
      <c r="R52" s="370">
        <f>SUM('21 Oct Mon'!V52:V62,'22 Oct Tues'!V52:V62,'23 Oct Wed'!V52:V62,'24 Oct Thurs'!V52:V62,'25 Oct Fri'!V52:V62,'26 Oct Sat'!V52:V62)</f>
        <v>0</v>
      </c>
      <c r="S52" s="371">
        <f>SUM('21 Oct Mon'!W52:W62,'22 Oct Tues'!W52:W62,'23 Oct Wed'!W52:W62,'24 Oct Thurs'!W52:W62,'25 Oct Fri'!W52:W62,'26 Oct Sat'!W52:W62)</f>
        <v>0</v>
      </c>
      <c r="T52" s="372">
        <f>O52-P52-Q52-R52-S52</f>
        <v>0</v>
      </c>
      <c r="U52" s="373" t="str">
        <f>CONCATENATE(SUM('21 Oct Mon'!O52:O62,'22 Oct Tues'!O52:O62,'23 Oct Wed'!O52:O62,'24 Oct Thurs'!O52:O62,'25 Oct Fri'!O52:O62,'26 Oct Sat'!O52:O62),"
(",(SUM('21 Oct Mon'!O52:O62,'22 Oct Tues'!O52:O62,'23 Oct Wed'!O52:O62,'24 Oct Thurs'!O52:O62,'25 Oct Fri'!O52:O62,'26 Oct Sat'!O52:O62)-T52),")")</f>
        <v>0
(0)</v>
      </c>
      <c r="V52" s="374" t="str">
        <f>CONCATENATE("Mon-",'21 Oct Mon'!Z52:Z62,",Tues-",'22 Oct Tues'!Z52:Z62,",Wed-",'23 Oct Wed'!Z52:Z62,",Thurs-",'24 Oct Thurs'!Z52:Z62,",Fri-",'25 Oct Fri'!Z52:Z62,",Sat-",'26 Oct Sat'!Z52:Z62)</f>
        <v>Mon-,Tues-,Wed-,Thurs-,Fri-,Sat-</v>
      </c>
      <c r="W52" s="375">
        <f>SUM('21 Oct Mon'!AI52:AI62,'22 Oct Tues'!AI52:AI62,'23 Oct Wed'!AI52:AI62,'24 Oct Thurs'!AI52:AI62,'25 Oct Fri'!AI52:AI62,'26 Oct Sat'!AI52:AI62)</f>
        <v>0</v>
      </c>
      <c r="X52" s="375">
        <f>SUM('21 Oct Mon'!AM52:AM62,'22 Oct Tues'!AM52:AM62,'23 Oct Wed'!AM52:AM62,'24 Oct Thurs'!AM52:AM62,'25 Oct Fri'!AM52:AM62,'26 Oct Sat'!AM52:AM62)</f>
        <v>0</v>
      </c>
      <c r="Y52" s="376">
        <f>SUM('21 Oct Mon'!AP52:AP62,'22 Oct Tues'!AP52:AP62,'23 Oct Wed'!AP52:AP62,'24 Oct Thurs'!AP52:AP62,'25 Oct Fri'!AP52:AP62,'26 Oct Sat'!AP52:AP62)</f>
        <v>0</v>
      </c>
      <c r="Z52" s="376">
        <f>SUM('21 Oct Mon'!AQ52:AQ62,'22 Oct Tues'!AQ52:AQ62,'23 Oct Wed'!AQ52:AQ62,'24 Oct Thurs'!AQ52:AQ62,'25 Oct Fri'!AQ52:AQ62,'26 Oct Sat'!AQ52:AQ62)</f>
        <v>0</v>
      </c>
      <c r="AA52" s="377">
        <f>SUM('21 Oct Mon'!AR52:AR62,'22 Oct Tues'!AR52:AR62,'23 Oct Wed'!AR52:AR62,'24 Oct Thurs'!AR52:AR62,'25 Oct Fri'!AR52:AR62,'26 Oct Sat'!AR52:AR62)</f>
        <v>0</v>
      </c>
      <c r="AB52" s="377">
        <f>SUM('21 Oct Mon'!AS52:AS62,'22 Oct Tues'!AS52:AS62,'23 Oct Wed'!AS52:AS62,'24 Oct Thurs'!AS52:AS62,'25 Oct Fri'!AS52:AS62,'26 Oct Sat'!AS52:AS62)</f>
        <v>24</v>
      </c>
      <c r="AC52" s="378">
        <f>SUM('21 Oct Mon'!AT52:AT62,'22 Oct Tues'!AT52:AT62,'23 Oct Wed'!AT52:AT62,'24 Oct Thurs'!AT52:AT62,'25 Oct Fri'!AT52:AT62,'26 Oct Sat'!AT52:AT62)</f>
        <v>6</v>
      </c>
      <c r="AD52" s="379">
        <f>SUM('21 Oct Mon'!AU52:AU62,'22 Oct Tues'!AU52:AU62,'23 Oct Wed'!AU52:AU62,'24 Oct Thurs'!AU52:AU62,'25 Oct Fri'!AU52:AU62,'26 Oct Sat'!AU52:AU62)</f>
        <v>0</v>
      </c>
      <c r="AE52" s="379">
        <f>SUM('21 Oct Mon'!AV52:AV62,'22 Oct Tues'!AV52:AV62,'23 Oct Wed'!AV52:AV62,'24 Oct Thurs'!AV52:AV62,'25 Oct Fri'!AV52:AV62,'26 Oct Sat'!AV52:AV62)</f>
        <v>0</v>
      </c>
      <c r="AF52" s="379">
        <f>SUM('21 Oct Mon'!AW52:AW62,'22 Oct Tues'!AW52:AW62,'23 Oct Wed'!AW52:AW62,'24 Oct Thurs'!AW52:AW62,'25 Oct Fri'!AW52:AW62,'26 Oct Sat'!AW52:AW62)</f>
        <v>0</v>
      </c>
      <c r="AG52" s="379">
        <f>SUM('21 Oct Mon'!AX52:AX62,'22 Oct Tues'!AX52:AX62,'23 Oct Wed'!AX52:AX62,'24 Oct Thurs'!AX52:AX62,'25 Oct Fri'!AX52:AX62,'26 Oct Sat'!AX52:AX62)</f>
        <v>0</v>
      </c>
      <c r="AH52" s="380">
        <f>SUM('21 Oct Mon'!AY52:AY62,'22 Oct Tues'!AY52:AY62,'23 Oct Wed'!AY52:AY62,'24 Oct Thurs'!AY52:AY62,'25 Oct Fri'!AY52:AY62,'26 Oct Sat'!AY52:AY62)</f>
        <v>0</v>
      </c>
      <c r="AI52" s="381">
        <f>SUM('21 Oct Mon'!AZ52:AZ62,'22 Oct Tues'!AZ52:AZ62,'23 Oct Wed'!AZ52:AZ62,'24 Oct Thurs'!AZ52:AZ62,'25 Oct Fri'!AZ52:AZ62,'26 Oct Sat'!AZ52:AZ62)</f>
        <v>0</v>
      </c>
      <c r="AJ52" s="382">
        <f>SUM('21 Oct Mon'!BG52:BG62,'22 Oct Tues'!BG52:BG62,'23 Oct Wed'!BG52:BG62,'24 Oct Thurs'!BG52:BG62,'25 Oct Fri'!BG52:BG62,'26 Oct Sat'!BG52:BG62)</f>
        <v>2</v>
      </c>
      <c r="AK52" s="383">
        <f>SUM('21 Oct Mon'!BH52:BH62,'22 Oct Tues'!BH52:BH62,'23 Oct Wed'!BH52:BH62,'24 Oct Thurs'!BH52:BH62,'25 Oct Fri'!BH52:BH62,'26 Oct Sat'!BH52:BH62)</f>
        <v>0</v>
      </c>
      <c r="AL52" s="384">
        <f>SUM('21 Oct Mon'!BI52:BI62,'22 Oct Tues'!BI52:BI62,'23 Oct Wed'!BI52:BI62,'24 Oct Thurs'!BI52:BI62,'25 Oct Fri'!BI52:BI62,'26 Oct Sat'!BI52:BI62)</f>
        <v>28</v>
      </c>
      <c r="AM52" s="379">
        <f>SUM('21 Oct Mon'!BJ52:BJ62,'22 Oct Tues'!BJ52:BJ62,'23 Oct Wed'!BJ52:BJ62,'24 Oct Thurs'!BJ52:BJ62,'25 Oct Fri'!BJ52:BJ62,'26 Oct Sat'!BJ52:BJ62)</f>
        <v>4</v>
      </c>
      <c r="AN52" s="379">
        <f>SUM('21 Oct Mon'!BK52:BK62,'22 Oct Tues'!BK52:BK62,'23 Oct Wed'!BK52:BK62,'24 Oct Thurs'!BK52:BK62,'25 Oct Fri'!BK52:BK62,'26 Oct Sat'!BK52:BK62)</f>
        <v>0</v>
      </c>
      <c r="AO52" s="385">
        <f>SUM('21 Oct Mon'!BL52:BL62,'22 Oct Tues'!BL52:BL62,'23 Oct Wed'!BL52:BL62,'24 Oct Thurs'!BL52:BL62,'25 Oct Fri'!BL52:BL62,'26 Oct Sat'!BL52:BL62)</f>
        <v>0</v>
      </c>
      <c r="AP52" s="386">
        <f>SUM('21 Oct Mon'!BM52:BM62,'22 Oct Tues'!BM52:BM62,'23 Oct Wed'!BM52:BM62,'24 Oct Thurs'!BM52:BM62,'25 Oct Fri'!BM52:BM62,'26 Oct Sat'!BM52:BM62)</f>
        <v>6.2</v>
      </c>
      <c r="AQ52" s="387">
        <f>SUM('21 Oct Mon'!BN52:BN62,'22 Oct Tues'!BN52:BN62,'23 Oct Wed'!BN52:BN62,'24 Oct Thurs'!BN52:BN62,'25 Oct Fri'!BN52:BN62,'26 Oct Sat'!BN52:BN62)</f>
        <v>4.2</v>
      </c>
      <c r="AR52" s="379">
        <f>SUM('21 Oct Mon'!BO52:BO62,'22 Oct Tues'!BO52:BO62,'23 Oct Wed'!BO52:BO62,'24 Oct Thurs'!BO52:BO62,'25 Oct Fri'!BO52:BO62,'26 Oct Sat'!BO52:BO62)</f>
        <v>0</v>
      </c>
      <c r="AS52" s="379">
        <f>SUM('21 Oct Mon'!BP52:BP62,'22 Oct Tues'!BP52:BP62,'23 Oct Wed'!BP52:BP62,'24 Oct Thurs'!BP52:BP62,'25 Oct Fri'!BP52:BP62,'26 Oct Sat'!BP52:BP62)</f>
        <v>0</v>
      </c>
      <c r="AT52" s="382">
        <f>SUM('21 Oct Mon'!BR52:BR62,'22 Oct Tues'!BR52:BR62,'23 Oct Wed'!BR52:BR62,'24 Oct Thurs'!BR52:BR62,'25 Oct Fri'!BR52:BR62,'26 Oct Sat'!BR52:BR62)</f>
        <v>12</v>
      </c>
      <c r="AU52" s="384">
        <f>SUM('21 Oct Mon'!BS52:BS62,'22 Oct Tues'!BS52:BS62,'23 Oct Wed'!BS52:BS62,'24 Oct Thurs'!BS52:BS62,'25 Oct Fri'!BS52:BS62,'26 Oct Sat'!BS52:BS62)</f>
        <v>0</v>
      </c>
      <c r="AV52" s="379">
        <f>SUM('21 Oct Mon'!BT52:BT62,'22 Oct Tues'!BT52:BT62,'23 Oct Wed'!BT52:BT62,'24 Oct Thurs'!BT52:BT62,'25 Oct Fri'!BT52:BT62,'26 Oct Sat'!BT52:BT62)</f>
        <v>0</v>
      </c>
      <c r="AW52" s="379">
        <f>SUM('21 Oct Mon'!BU52:BU62,'22 Oct Tues'!BU52:BU62,'23 Oct Wed'!BU52:BU62,'24 Oct Thurs'!BU52:BU62,'25 Oct Fri'!BU52:BU62,'26 Oct Sat'!BU52:BU62)</f>
        <v>0</v>
      </c>
      <c r="AX52" s="382">
        <f>SUM('21 Oct Mon'!BV52:BV62,'22 Oct Tues'!BV52:BV62,'23 Oct Wed'!BV52:BV62,'24 Oct Thurs'!BV52:BV62,'25 Oct Fri'!BV52:BV62,'26 Oct Sat'!BV52:BV62)</f>
        <v>0</v>
      </c>
      <c r="AY52" s="379">
        <f>SUM('21 Oct Mon'!BW52:BW62,'22 Oct Tues'!BW52:BW62,'23 Oct Wed'!BW52:BW62,'24 Oct Thurs'!BW52:BW62,'25 Oct Fri'!BW52:BW62,'26 Oct Sat'!BW52:BW62)</f>
        <v>0</v>
      </c>
      <c r="AZ52" s="385">
        <f>SUM('21 Oct Mon'!BX52:BX62,'22 Oct Tues'!BX52:BX62,'23 Oct Wed'!BX52:BX62,'24 Oct Thurs'!BX52:BX62,'25 Oct Fri'!BX52:BX62,'26 Oct Sat'!BX52:BX62)</f>
        <v>0</v>
      </c>
      <c r="BA52" s="386">
        <f>SUM('21 Oct Mon'!BY52:BY62,'22 Oct Tues'!BY52:BY62,'23 Oct Wed'!BY52:BY62,'24 Oct Thurs'!BY52:BY62,'25 Oct Fri'!BY52:BY62,'26 Oct Sat'!BY52:BY62)</f>
        <v>0</v>
      </c>
      <c r="BB52" s="386">
        <f>SUM('21 Oct Mon'!BZ52:BZ62,'22 Oct Tues'!BZ52:BZ62,'23 Oct Wed'!BZ52:BZ62,'24 Oct Thurs'!BZ52:BZ62,'25 Oct Fri'!BZ52:BZ62,'26 Oct Sat'!BZ52:BZ62)</f>
        <v>0</v>
      </c>
      <c r="BC52" s="386">
        <f>SUM('21 Oct Mon'!CA52:CA62,'22 Oct Tues'!CA52:CA62,'23 Oct Wed'!CA52:CA62,'24 Oct Thurs'!CA52:CA62,'25 Oct Fri'!CA52:CA62,'26 Oct Sat'!CA52:CA62)</f>
        <v>0</v>
      </c>
      <c r="BD52" s="386">
        <f>SUM('21 Oct Mon'!CB52:CB62,'22 Oct Tues'!CB52:CB62,'23 Oct Wed'!CB52:CB62,'24 Oct Thurs'!CB52:CB62,'25 Oct Fri'!CB52:CB62,'26 Oct Sat'!CB52:CB62)</f>
        <v>0</v>
      </c>
      <c r="BE52" s="386">
        <f>SUM('21 Oct Mon'!CC52:CC62,'22 Oct Tues'!CC52:CC62,'23 Oct Wed'!CC52:CC62,'24 Oct Thurs'!CC52:CC62,'25 Oct Fri'!CC52:CC62,'26 Oct Sat'!CC52:CC62)</f>
        <v>0</v>
      </c>
      <c r="BF52" s="386" t="str">
        <f>CONCATENATE("Mon-",'21 Oct Mon'!CD52:CD62,",Tues-",'22 Oct Tues'!CD52:CD62,",Wed-",'23 Oct Wed'!CD52:CD62,",Thurs-",'24 Oct Thurs'!CD52:CD62,",Fri-",'25 Oct Fri'!CD52:CD62,",Sat-",'26 Oct Sat'!CD52:CD62)</f>
        <v>Mon-,Tues-,Wed-,Thurs-,Fri-,Sat-</v>
      </c>
      <c r="BG52" s="388">
        <f>SUM('21 Oct Mon'!CE52:CE62,'22 Oct Tues'!CE52:CE62,'23 Oct Wed'!CE52:CE62,'24 Oct Thurs'!CE52:CE62,'25 Oct Fri'!CE52:CE62,'26 Oct Sat'!CE52:CE62)</f>
        <v>0</v>
      </c>
      <c r="BH52" s="389" t="str">
        <f>CONCATENATE("Mon-",'21 Oct Mon'!CF52:CF62,",Tues-",'22 Oct Tues'!CF52:CF62,",Wed-",'23 Oct Wed'!CF52:CF62,",Thurs-",'24 Oct Thurs'!CF52:CF62,",Fri-",'25 Oct Fri'!CF52:CF62,",Sat-",'26 Oct Sat'!CF52:CF62)</f>
        <v>Mon-Paper Setting of SEM-III PS T1 Exam,Tues-,Wed-Supervision done in SY CE/IT of FSD-1 on 22/10/2024 and paper checking 92 SY-3 ,Thurs-Paper Checking done of PS subject Remedial Exam (21 papers),Fri-,Sat-</v>
      </c>
      <c r="BI52" s="383">
        <f>SUM('21 Oct Mon'!CG52:CG62,'22 Oct Tues'!CG52:CG62,'23 Oct Wed'!CG52:CG62,'24 Oct Thurs'!CG52:CG62,'25 Oct Fri'!CG52:CG62,'26 Oct Sat'!CG52:CG62)</f>
        <v>0</v>
      </c>
      <c r="BJ52" s="382">
        <f>SUM('21 Oct Mon'!CH52:CH62,'22 Oct Tues'!CH52:CH62,'23 Oct Wed'!CH52:CH62,'24 Oct Thurs'!CH52:CH62,'25 Oct Fri'!CH52:CH62,'26 Oct Sat'!CH52:CH62)</f>
        <v>0</v>
      </c>
      <c r="BK52" s="384">
        <f>SUM('21 Oct Mon'!CI52:CI62,'22 Oct Tues'!CI52:CI62,'23 Oct Wed'!CI52:CI62,'24 Oct Thurs'!CI52:CI62,'25 Oct Fri'!CI52:CI62,'26 Oct Sat'!CI52:CI62)</f>
        <v>0</v>
      </c>
      <c r="BL52" s="382" t="str">
        <f>CONCATENATE("Mon-",'21 Oct Mon'!CJ52:CJ62,",Tues-",'22 Oct Tues'!CJ52:CJ62,",Wed-",'23 Oct Wed'!CJ52:CJ62,",Thurs-",'24 Oct Thurs'!CJ52:CJ62,",Fri-",'25 Oct Fri'!CJ52:CJ62,",Sat-",'26 Oct Sat'!CJ52:CJ62)</f>
        <v>Mon-,Tues-,Wed-,Thurs-,Fri-,Sat-</v>
      </c>
      <c r="BM52" s="384">
        <f>SUM('21 Oct Mon'!CK52:CK62,'22 Oct Tues'!CK52:CK62,'23 Oct Wed'!CK52:CK62,'24 Oct Thurs'!CK52:CK62,'25 Oct Fri'!CK52:CK62,'26 Oct Sat'!CK52:CK62)</f>
        <v>0</v>
      </c>
      <c r="BN52" s="382" t="str">
        <f>CONCATENATE("Mon-",'21 Oct Mon'!CL52:CL62,",Tues-",'22 Oct Tues'!CL52:CL62,",Wed-",'23 Oct Wed'!CL52:CL62,",Thurs-",'24 Oct Thurs'!CL52:CL62,",Fri-",'25 Oct Fri'!CL52:CL62,",Sat-",'26 Oct Sat'!CL52:CL62)</f>
        <v>Mon-,Tues-,Wed-,Thurs-,Fri-,Sat-</v>
      </c>
      <c r="BO52" s="384">
        <f>SUM('21 Oct Mon'!CM52:CM62,'22 Oct Tues'!CM52:CM62,'23 Oct Wed'!CM52:CM62,'24 Oct Thurs'!CM52:CM62,'25 Oct Fri'!CM52:CM62,'26 Oct Sat'!CM52:CM62)</f>
        <v>0</v>
      </c>
      <c r="BP52" s="385" t="str">
        <f>CONCATENATE("Mon-",'21 Oct Mon'!CN52:CN62,",Tues-",'22 Oct Tues'!CN52:CN62,",Wed-",'23 Oct Wed'!CN52:CN62,",Thurs-",'24 Oct Thurs'!CN52:CN62,",Fri-",'25 Oct Fri'!CN52:CN62,",Sat-",'26 Oct Sat'!CN52:CN62)</f>
        <v>Mon-,Tues-,Wed-,Thurs-,Fri-,Sat-</v>
      </c>
      <c r="BQ52" s="387">
        <f>SUM('21 Oct Mon'!CO52:CO62,'22 Oct Tues'!CO52:CO62,'23 Oct Wed'!CO52:CO62,'24 Oct Thurs'!CO52:CO62,'25 Oct Fri'!CO52:CO62,'26 Oct Sat'!CO52:CO62)</f>
        <v>0</v>
      </c>
      <c r="BR52" s="379" t="str">
        <f>CONCATENATE("Mon-",'21 Oct Mon'!CP52:CP62,",Tues-",'22 Oct Tues'!CP52:CP62,",Wed-",'23 Oct Wed'!CP52:CP62,",Thurs-",'24 Oct Thurs'!CP52:CP62,",Fri-",'25 Oct Fri'!CP52:CP62,",Sat-",'26 Oct Sat'!CP52:CP62)</f>
        <v>Mon-,Tues-,Wed-,Thurs-,Fri-,Sat-</v>
      </c>
      <c r="BS52" s="390">
        <f>SUM('21 Oct Mon'!CQ52:CQ62,'22 Oct Tues'!CQ52:CQ62,'23 Oct Wed'!CQ52:CQ62,'24 Oct Thurs'!CQ52:CQ62,'25 Oct Fri'!CQ52:CQ62,'26 Oct Sat'!CQ52:CQ62)</f>
        <v>0</v>
      </c>
      <c r="BT52" s="390">
        <f>SUM('21 Oct Mon'!CR52:CR62,'22 Oct Tues'!CR52:CR62,'23 Oct Wed'!CR52:CR62,'24 Oct Thurs'!CR52:CR62,'25 Oct Fri'!CR52:CR62,'26 Oct Sat'!CR52:CR62)</f>
        <v>0</v>
      </c>
      <c r="BU52" s="391">
        <f>SUM('21 Oct Mon'!CS52:CS62,'22 Oct Tues'!CS52:CS62,'23 Oct Wed'!CS52:CS62,'24 Oct Thurs'!CS52:CS62,'25 Oct Fri'!CS52:CS62,'26 Oct Sat'!CS52:CS62)</f>
        <v>0</v>
      </c>
      <c r="BV52" s="392">
        <f>SUM('21 Oct Mon'!CT52:CT62,'22 Oct Tues'!CT52:CT62,'23 Oct Wed'!CT52:CT62,'24 Oct Thurs'!CT52:CT62,'25 Oct Fri'!CT52:CT62,'26 Oct Sat'!CT52:CT62)</f>
        <v>24</v>
      </c>
      <c r="BW52" s="393" t="str">
        <f>LEFT(U52,FIND("(",U52,1)-2)</f>
        <v>0</v>
      </c>
      <c r="BX52" s="394"/>
    </row>
    <row r="53" ht="61.5" customHeight="1">
      <c r="A53" s="177"/>
      <c r="C53" s="205" t="s">
        <v>162</v>
      </c>
      <c r="D53" s="408"/>
      <c r="E53" s="409"/>
      <c r="F53" s="409"/>
      <c r="G53" s="409"/>
      <c r="H53" s="409"/>
      <c r="I53" s="409"/>
      <c r="J53" s="397"/>
      <c r="K53" s="398">
        <f t="shared" si="1"/>
        <v>0</v>
      </c>
      <c r="L53" s="173"/>
      <c r="M53" s="173"/>
      <c r="N53" s="177"/>
      <c r="O53" s="178"/>
      <c r="P53" s="178"/>
      <c r="Q53" s="178"/>
      <c r="R53" s="178"/>
      <c r="S53" s="182"/>
      <c r="T53" s="65"/>
      <c r="U53" s="64"/>
      <c r="V53" s="66"/>
      <c r="W53" s="173"/>
      <c r="X53" s="173"/>
      <c r="Y53" s="65"/>
      <c r="Z53" s="65"/>
      <c r="AA53" s="65"/>
      <c r="AB53" s="65"/>
      <c r="AC53" s="173"/>
      <c r="AD53" s="166"/>
      <c r="AE53" s="166"/>
      <c r="AF53" s="166"/>
      <c r="AG53" s="166"/>
      <c r="AH53" s="65"/>
      <c r="AJ53" s="177"/>
      <c r="AK53" s="178"/>
      <c r="AL53" s="181"/>
      <c r="AM53" s="166"/>
      <c r="AN53" s="166"/>
      <c r="AO53" s="177"/>
      <c r="AP53" s="178"/>
      <c r="AQ53" s="181"/>
      <c r="AR53" s="166"/>
      <c r="AS53" s="166"/>
      <c r="AT53" s="177"/>
      <c r="AU53" s="181"/>
      <c r="AV53" s="166"/>
      <c r="AW53" s="166"/>
      <c r="AX53" s="177"/>
      <c r="AY53" s="166"/>
      <c r="AZ53" s="177"/>
      <c r="BA53" s="178"/>
      <c r="BB53" s="178"/>
      <c r="BC53" s="178"/>
      <c r="BD53" s="178"/>
      <c r="BE53" s="178"/>
      <c r="BF53" s="178"/>
      <c r="BG53" s="179"/>
      <c r="BH53" s="180"/>
      <c r="BI53" s="178"/>
      <c r="BJ53" s="177"/>
      <c r="BK53" s="181"/>
      <c r="BL53" s="177"/>
      <c r="BM53" s="181"/>
      <c r="BN53" s="177"/>
      <c r="BO53" s="181"/>
      <c r="BP53" s="177"/>
      <c r="BQ53" s="181"/>
      <c r="BR53" s="166"/>
      <c r="BS53" s="166"/>
      <c r="BT53" s="166"/>
      <c r="BU53" s="65"/>
      <c r="BW53" s="178"/>
      <c r="BX53" s="399"/>
    </row>
    <row r="54" ht="61.5" customHeight="1">
      <c r="A54" s="177"/>
      <c r="C54" s="205" t="s">
        <v>162</v>
      </c>
      <c r="D54" s="408"/>
      <c r="E54" s="409"/>
      <c r="F54" s="409"/>
      <c r="G54" s="409"/>
      <c r="H54" s="409"/>
      <c r="I54" s="409"/>
      <c r="J54" s="397"/>
      <c r="K54" s="398">
        <f t="shared" si="1"/>
        <v>0</v>
      </c>
      <c r="L54" s="173"/>
      <c r="M54" s="173"/>
      <c r="N54" s="177"/>
      <c r="O54" s="178"/>
      <c r="P54" s="178"/>
      <c r="Q54" s="178"/>
      <c r="R54" s="178"/>
      <c r="S54" s="182"/>
      <c r="T54" s="65"/>
      <c r="U54" s="64"/>
      <c r="V54" s="66"/>
      <c r="W54" s="173"/>
      <c r="X54" s="173"/>
      <c r="Y54" s="65"/>
      <c r="Z54" s="65"/>
      <c r="AA54" s="65"/>
      <c r="AB54" s="65"/>
      <c r="AC54" s="173"/>
      <c r="AD54" s="166"/>
      <c r="AE54" s="166"/>
      <c r="AF54" s="166"/>
      <c r="AG54" s="166"/>
      <c r="AH54" s="65"/>
      <c r="AJ54" s="177"/>
      <c r="AK54" s="178"/>
      <c r="AL54" s="181"/>
      <c r="AM54" s="166"/>
      <c r="AN54" s="166"/>
      <c r="AO54" s="177"/>
      <c r="AP54" s="178"/>
      <c r="AQ54" s="181"/>
      <c r="AR54" s="166"/>
      <c r="AS54" s="166"/>
      <c r="AT54" s="177"/>
      <c r="AU54" s="181"/>
      <c r="AV54" s="166"/>
      <c r="AW54" s="166"/>
      <c r="AX54" s="177"/>
      <c r="AY54" s="166"/>
      <c r="AZ54" s="177"/>
      <c r="BA54" s="178"/>
      <c r="BB54" s="178"/>
      <c r="BC54" s="178"/>
      <c r="BD54" s="178"/>
      <c r="BE54" s="178"/>
      <c r="BF54" s="178"/>
      <c r="BG54" s="179"/>
      <c r="BH54" s="180"/>
      <c r="BI54" s="178"/>
      <c r="BJ54" s="177"/>
      <c r="BK54" s="181"/>
      <c r="BL54" s="177"/>
      <c r="BM54" s="181"/>
      <c r="BN54" s="177"/>
      <c r="BO54" s="181"/>
      <c r="BP54" s="177"/>
      <c r="BQ54" s="181"/>
      <c r="BR54" s="166"/>
      <c r="BS54" s="166"/>
      <c r="BT54" s="166"/>
      <c r="BU54" s="65"/>
      <c r="BW54" s="178"/>
      <c r="BX54" s="399"/>
    </row>
    <row r="55" ht="61.5" customHeight="1">
      <c r="A55" s="177"/>
      <c r="C55" s="205" t="s">
        <v>162</v>
      </c>
      <c r="D55" s="408"/>
      <c r="E55" s="409"/>
      <c r="F55" s="409"/>
      <c r="G55" s="409"/>
      <c r="H55" s="409"/>
      <c r="I55" s="409"/>
      <c r="J55" s="397"/>
      <c r="K55" s="398">
        <f t="shared" si="1"/>
        <v>0</v>
      </c>
      <c r="L55" s="173"/>
      <c r="M55" s="173"/>
      <c r="N55" s="177"/>
      <c r="O55" s="178"/>
      <c r="P55" s="178"/>
      <c r="Q55" s="178"/>
      <c r="R55" s="178"/>
      <c r="S55" s="182"/>
      <c r="T55" s="65"/>
      <c r="U55" s="64"/>
      <c r="V55" s="66"/>
      <c r="W55" s="173"/>
      <c r="X55" s="173"/>
      <c r="Y55" s="65"/>
      <c r="Z55" s="65"/>
      <c r="AA55" s="65"/>
      <c r="AB55" s="65"/>
      <c r="AC55" s="173"/>
      <c r="AD55" s="166"/>
      <c r="AE55" s="166"/>
      <c r="AF55" s="166"/>
      <c r="AG55" s="166"/>
      <c r="AH55" s="65"/>
      <c r="AJ55" s="177"/>
      <c r="AK55" s="178"/>
      <c r="AL55" s="181"/>
      <c r="AM55" s="166"/>
      <c r="AN55" s="166"/>
      <c r="AO55" s="177"/>
      <c r="AP55" s="178"/>
      <c r="AQ55" s="181"/>
      <c r="AR55" s="166"/>
      <c r="AS55" s="166"/>
      <c r="AT55" s="177"/>
      <c r="AU55" s="181"/>
      <c r="AV55" s="166"/>
      <c r="AW55" s="166"/>
      <c r="AX55" s="177"/>
      <c r="AY55" s="166"/>
      <c r="AZ55" s="177"/>
      <c r="BA55" s="178"/>
      <c r="BB55" s="178"/>
      <c r="BC55" s="178"/>
      <c r="BD55" s="178"/>
      <c r="BE55" s="178"/>
      <c r="BF55" s="178"/>
      <c r="BG55" s="179"/>
      <c r="BH55" s="180"/>
      <c r="BI55" s="178"/>
      <c r="BJ55" s="177"/>
      <c r="BK55" s="181"/>
      <c r="BL55" s="177"/>
      <c r="BM55" s="181"/>
      <c r="BN55" s="177"/>
      <c r="BO55" s="181"/>
      <c r="BP55" s="177"/>
      <c r="BQ55" s="181"/>
      <c r="BR55" s="166"/>
      <c r="BS55" s="166"/>
      <c r="BT55" s="166"/>
      <c r="BU55" s="65"/>
      <c r="BW55" s="178"/>
      <c r="BX55" s="399"/>
    </row>
    <row r="56" ht="61.5" customHeight="1">
      <c r="A56" s="177"/>
      <c r="C56" s="205" t="s">
        <v>162</v>
      </c>
      <c r="D56" s="408"/>
      <c r="E56" s="409"/>
      <c r="F56" s="409"/>
      <c r="G56" s="409"/>
      <c r="H56" s="409"/>
      <c r="I56" s="409"/>
      <c r="J56" s="397"/>
      <c r="K56" s="398">
        <f t="shared" si="1"/>
        <v>0</v>
      </c>
      <c r="L56" s="173"/>
      <c r="M56" s="173"/>
      <c r="N56" s="177"/>
      <c r="O56" s="178"/>
      <c r="P56" s="178"/>
      <c r="Q56" s="178"/>
      <c r="R56" s="178"/>
      <c r="S56" s="182"/>
      <c r="T56" s="65"/>
      <c r="U56" s="64"/>
      <c r="V56" s="66"/>
      <c r="W56" s="173"/>
      <c r="X56" s="173"/>
      <c r="Y56" s="65"/>
      <c r="Z56" s="65"/>
      <c r="AA56" s="65"/>
      <c r="AB56" s="65"/>
      <c r="AC56" s="173"/>
      <c r="AD56" s="166"/>
      <c r="AE56" s="166"/>
      <c r="AF56" s="166"/>
      <c r="AG56" s="166"/>
      <c r="AH56" s="65"/>
      <c r="AJ56" s="177"/>
      <c r="AK56" s="178"/>
      <c r="AL56" s="181"/>
      <c r="AM56" s="166"/>
      <c r="AN56" s="166"/>
      <c r="AO56" s="177"/>
      <c r="AP56" s="178"/>
      <c r="AQ56" s="181"/>
      <c r="AR56" s="166"/>
      <c r="AS56" s="166"/>
      <c r="AT56" s="177"/>
      <c r="AU56" s="181"/>
      <c r="AV56" s="166"/>
      <c r="AW56" s="166"/>
      <c r="AX56" s="177"/>
      <c r="AY56" s="166"/>
      <c r="AZ56" s="177"/>
      <c r="BA56" s="178"/>
      <c r="BB56" s="178"/>
      <c r="BC56" s="178"/>
      <c r="BD56" s="178"/>
      <c r="BE56" s="178"/>
      <c r="BF56" s="178"/>
      <c r="BG56" s="179"/>
      <c r="BH56" s="180"/>
      <c r="BI56" s="178"/>
      <c r="BJ56" s="177"/>
      <c r="BK56" s="181"/>
      <c r="BL56" s="177"/>
      <c r="BM56" s="181"/>
      <c r="BN56" s="177"/>
      <c r="BO56" s="181"/>
      <c r="BP56" s="177"/>
      <c r="BQ56" s="181"/>
      <c r="BR56" s="166"/>
      <c r="BS56" s="166"/>
      <c r="BT56" s="166"/>
      <c r="BU56" s="65"/>
      <c r="BW56" s="178"/>
      <c r="BX56" s="399"/>
    </row>
    <row r="57" ht="61.5" customHeight="1">
      <c r="A57" s="177"/>
      <c r="C57" s="205" t="s">
        <v>162</v>
      </c>
      <c r="D57" s="395"/>
      <c r="E57" s="396"/>
      <c r="F57" s="396"/>
      <c r="G57" s="396"/>
      <c r="H57" s="396"/>
      <c r="I57" s="396"/>
      <c r="J57" s="397"/>
      <c r="K57" s="398">
        <f t="shared" si="1"/>
        <v>0</v>
      </c>
      <c r="L57" s="173"/>
      <c r="M57" s="173"/>
      <c r="N57" s="177"/>
      <c r="O57" s="178"/>
      <c r="P57" s="178"/>
      <c r="Q57" s="178"/>
      <c r="R57" s="178"/>
      <c r="S57" s="182"/>
      <c r="T57" s="65"/>
      <c r="U57" s="64"/>
      <c r="V57" s="66"/>
      <c r="W57" s="173"/>
      <c r="X57" s="173"/>
      <c r="Y57" s="65"/>
      <c r="Z57" s="65"/>
      <c r="AA57" s="65"/>
      <c r="AB57" s="65"/>
      <c r="AC57" s="173"/>
      <c r="AD57" s="166"/>
      <c r="AE57" s="166"/>
      <c r="AF57" s="166"/>
      <c r="AG57" s="166"/>
      <c r="AH57" s="65"/>
      <c r="AJ57" s="177"/>
      <c r="AK57" s="178"/>
      <c r="AL57" s="181"/>
      <c r="AM57" s="166"/>
      <c r="AN57" s="166"/>
      <c r="AO57" s="177"/>
      <c r="AP57" s="178"/>
      <c r="AQ57" s="181"/>
      <c r="AR57" s="166"/>
      <c r="AS57" s="166"/>
      <c r="AT57" s="177"/>
      <c r="AU57" s="181"/>
      <c r="AV57" s="166"/>
      <c r="AW57" s="166"/>
      <c r="AX57" s="177"/>
      <c r="AY57" s="166"/>
      <c r="AZ57" s="177"/>
      <c r="BA57" s="178"/>
      <c r="BB57" s="178"/>
      <c r="BC57" s="178"/>
      <c r="BD57" s="178"/>
      <c r="BE57" s="178"/>
      <c r="BF57" s="178"/>
      <c r="BG57" s="179"/>
      <c r="BH57" s="180"/>
      <c r="BI57" s="178"/>
      <c r="BJ57" s="177"/>
      <c r="BK57" s="181"/>
      <c r="BL57" s="177"/>
      <c r="BM57" s="181"/>
      <c r="BN57" s="177"/>
      <c r="BO57" s="181"/>
      <c r="BP57" s="177"/>
      <c r="BQ57" s="181"/>
      <c r="BR57" s="166"/>
      <c r="BS57" s="166"/>
      <c r="BT57" s="166"/>
      <c r="BU57" s="65"/>
      <c r="BW57" s="178"/>
      <c r="BX57" s="399"/>
    </row>
    <row r="58" ht="61.5" customHeight="1">
      <c r="A58" s="177"/>
      <c r="C58" s="205" t="s">
        <v>162</v>
      </c>
      <c r="D58" s="395"/>
      <c r="E58" s="396"/>
      <c r="F58" s="396"/>
      <c r="G58" s="396"/>
      <c r="H58" s="396"/>
      <c r="I58" s="396"/>
      <c r="J58" s="397"/>
      <c r="K58" s="398">
        <f t="shared" si="1"/>
        <v>0</v>
      </c>
      <c r="L58" s="173"/>
      <c r="M58" s="173"/>
      <c r="N58" s="177"/>
      <c r="O58" s="178"/>
      <c r="P58" s="178"/>
      <c r="Q58" s="178"/>
      <c r="R58" s="178"/>
      <c r="S58" s="182"/>
      <c r="T58" s="65"/>
      <c r="U58" s="64"/>
      <c r="V58" s="66"/>
      <c r="W58" s="173"/>
      <c r="X58" s="173"/>
      <c r="Y58" s="65"/>
      <c r="Z58" s="65"/>
      <c r="AA58" s="65"/>
      <c r="AB58" s="65"/>
      <c r="AC58" s="173"/>
      <c r="AD58" s="166"/>
      <c r="AE58" s="166"/>
      <c r="AF58" s="166"/>
      <c r="AG58" s="166"/>
      <c r="AH58" s="65"/>
      <c r="AJ58" s="177"/>
      <c r="AK58" s="178"/>
      <c r="AL58" s="181"/>
      <c r="AM58" s="166"/>
      <c r="AN58" s="166"/>
      <c r="AO58" s="177"/>
      <c r="AP58" s="178"/>
      <c r="AQ58" s="181"/>
      <c r="AR58" s="166"/>
      <c r="AS58" s="166"/>
      <c r="AT58" s="177"/>
      <c r="AU58" s="181"/>
      <c r="AV58" s="166"/>
      <c r="AW58" s="166"/>
      <c r="AX58" s="177"/>
      <c r="AY58" s="166"/>
      <c r="AZ58" s="177"/>
      <c r="BA58" s="178"/>
      <c r="BB58" s="178"/>
      <c r="BC58" s="178"/>
      <c r="BD58" s="178"/>
      <c r="BE58" s="178"/>
      <c r="BF58" s="178"/>
      <c r="BG58" s="179"/>
      <c r="BH58" s="180"/>
      <c r="BI58" s="178"/>
      <c r="BJ58" s="177"/>
      <c r="BK58" s="181"/>
      <c r="BL58" s="177"/>
      <c r="BM58" s="181"/>
      <c r="BN58" s="177"/>
      <c r="BO58" s="181"/>
      <c r="BP58" s="177"/>
      <c r="BQ58" s="181"/>
      <c r="BR58" s="166"/>
      <c r="BS58" s="166"/>
      <c r="BT58" s="166"/>
      <c r="BU58" s="65"/>
      <c r="BW58" s="178"/>
      <c r="BX58" s="399"/>
    </row>
    <row r="59" ht="61.5" customHeight="1">
      <c r="A59" s="177"/>
      <c r="C59" s="205" t="s">
        <v>162</v>
      </c>
      <c r="D59" s="395"/>
      <c r="E59" s="396"/>
      <c r="F59" s="396"/>
      <c r="G59" s="396"/>
      <c r="H59" s="396"/>
      <c r="I59" s="396"/>
      <c r="J59" s="397"/>
      <c r="K59" s="398">
        <f t="shared" si="1"/>
        <v>0</v>
      </c>
      <c r="L59" s="173"/>
      <c r="M59" s="173"/>
      <c r="N59" s="177"/>
      <c r="O59" s="178"/>
      <c r="P59" s="178"/>
      <c r="Q59" s="178"/>
      <c r="R59" s="178"/>
      <c r="S59" s="182"/>
      <c r="T59" s="65"/>
      <c r="U59" s="64"/>
      <c r="V59" s="66"/>
      <c r="W59" s="173"/>
      <c r="X59" s="173"/>
      <c r="Y59" s="65"/>
      <c r="Z59" s="65"/>
      <c r="AA59" s="65"/>
      <c r="AB59" s="65"/>
      <c r="AC59" s="173"/>
      <c r="AD59" s="166"/>
      <c r="AE59" s="166"/>
      <c r="AF59" s="166"/>
      <c r="AG59" s="166"/>
      <c r="AH59" s="65"/>
      <c r="AJ59" s="177"/>
      <c r="AK59" s="178"/>
      <c r="AL59" s="181"/>
      <c r="AM59" s="166"/>
      <c r="AN59" s="166"/>
      <c r="AO59" s="177"/>
      <c r="AP59" s="178"/>
      <c r="AQ59" s="181"/>
      <c r="AR59" s="166"/>
      <c r="AS59" s="166"/>
      <c r="AT59" s="177"/>
      <c r="AU59" s="181"/>
      <c r="AV59" s="166"/>
      <c r="AW59" s="166"/>
      <c r="AX59" s="177"/>
      <c r="AY59" s="166"/>
      <c r="AZ59" s="177"/>
      <c r="BA59" s="178"/>
      <c r="BB59" s="178"/>
      <c r="BC59" s="178"/>
      <c r="BD59" s="178"/>
      <c r="BE59" s="178"/>
      <c r="BF59" s="178"/>
      <c r="BG59" s="179"/>
      <c r="BH59" s="180"/>
      <c r="BI59" s="178"/>
      <c r="BJ59" s="177"/>
      <c r="BK59" s="181"/>
      <c r="BL59" s="177"/>
      <c r="BM59" s="181"/>
      <c r="BN59" s="177"/>
      <c r="BO59" s="181"/>
      <c r="BP59" s="177"/>
      <c r="BQ59" s="181"/>
      <c r="BR59" s="166"/>
      <c r="BS59" s="166"/>
      <c r="BT59" s="166"/>
      <c r="BU59" s="65"/>
      <c r="BW59" s="178"/>
      <c r="BX59" s="399"/>
    </row>
    <row r="60" ht="61.5" customHeight="1">
      <c r="A60" s="177"/>
      <c r="C60" s="205" t="s">
        <v>162</v>
      </c>
      <c r="D60" s="395"/>
      <c r="E60" s="396"/>
      <c r="F60" s="396"/>
      <c r="G60" s="396"/>
      <c r="H60" s="396"/>
      <c r="I60" s="396"/>
      <c r="J60" s="397"/>
      <c r="K60" s="398">
        <f t="shared" si="1"/>
        <v>0</v>
      </c>
      <c r="L60" s="173"/>
      <c r="M60" s="173"/>
      <c r="N60" s="177"/>
      <c r="O60" s="178"/>
      <c r="P60" s="178"/>
      <c r="Q60" s="178"/>
      <c r="R60" s="178"/>
      <c r="S60" s="182"/>
      <c r="T60" s="65"/>
      <c r="U60" s="64"/>
      <c r="V60" s="66"/>
      <c r="W60" s="173"/>
      <c r="X60" s="173"/>
      <c r="Y60" s="65"/>
      <c r="Z60" s="65"/>
      <c r="AA60" s="65"/>
      <c r="AB60" s="65"/>
      <c r="AC60" s="173"/>
      <c r="AD60" s="166"/>
      <c r="AE60" s="166"/>
      <c r="AF60" s="166"/>
      <c r="AG60" s="166"/>
      <c r="AH60" s="65"/>
      <c r="AJ60" s="177"/>
      <c r="AK60" s="178"/>
      <c r="AL60" s="181"/>
      <c r="AM60" s="166"/>
      <c r="AN60" s="166"/>
      <c r="AO60" s="177"/>
      <c r="AP60" s="178"/>
      <c r="AQ60" s="181"/>
      <c r="AR60" s="166"/>
      <c r="AS60" s="166"/>
      <c r="AT60" s="177"/>
      <c r="AU60" s="181"/>
      <c r="AV60" s="166"/>
      <c r="AW60" s="166"/>
      <c r="AX60" s="177"/>
      <c r="AY60" s="166"/>
      <c r="AZ60" s="177"/>
      <c r="BA60" s="178"/>
      <c r="BB60" s="178"/>
      <c r="BC60" s="178"/>
      <c r="BD60" s="178"/>
      <c r="BE60" s="178"/>
      <c r="BF60" s="178"/>
      <c r="BG60" s="179"/>
      <c r="BH60" s="180"/>
      <c r="BI60" s="178"/>
      <c r="BJ60" s="177"/>
      <c r="BK60" s="181"/>
      <c r="BL60" s="177"/>
      <c r="BM60" s="181"/>
      <c r="BN60" s="177"/>
      <c r="BO60" s="181"/>
      <c r="BP60" s="177"/>
      <c r="BQ60" s="181"/>
      <c r="BR60" s="166"/>
      <c r="BS60" s="166"/>
      <c r="BT60" s="166"/>
      <c r="BU60" s="65"/>
      <c r="BW60" s="178"/>
      <c r="BX60" s="399"/>
    </row>
    <row r="61" ht="61.5" customHeight="1">
      <c r="A61" s="177"/>
      <c r="C61" s="205" t="s">
        <v>162</v>
      </c>
      <c r="D61" s="395"/>
      <c r="E61" s="396"/>
      <c r="F61" s="396"/>
      <c r="G61" s="396"/>
      <c r="H61" s="396"/>
      <c r="I61" s="396"/>
      <c r="J61" s="397"/>
      <c r="K61" s="398">
        <f t="shared" si="1"/>
        <v>0</v>
      </c>
      <c r="L61" s="173"/>
      <c r="M61" s="173"/>
      <c r="N61" s="177"/>
      <c r="O61" s="178"/>
      <c r="P61" s="178"/>
      <c r="Q61" s="178"/>
      <c r="R61" s="178"/>
      <c r="S61" s="182"/>
      <c r="T61" s="65"/>
      <c r="U61" s="64"/>
      <c r="V61" s="66"/>
      <c r="W61" s="173"/>
      <c r="X61" s="173"/>
      <c r="Y61" s="65"/>
      <c r="Z61" s="65"/>
      <c r="AA61" s="65"/>
      <c r="AB61" s="65"/>
      <c r="AC61" s="173"/>
      <c r="AD61" s="166"/>
      <c r="AE61" s="166"/>
      <c r="AF61" s="166"/>
      <c r="AG61" s="166"/>
      <c r="AH61" s="65"/>
      <c r="AJ61" s="177"/>
      <c r="AK61" s="178"/>
      <c r="AL61" s="181"/>
      <c r="AM61" s="166"/>
      <c r="AN61" s="166"/>
      <c r="AO61" s="177"/>
      <c r="AP61" s="178"/>
      <c r="AQ61" s="181"/>
      <c r="AR61" s="166"/>
      <c r="AS61" s="166"/>
      <c r="AT61" s="177"/>
      <c r="AU61" s="181"/>
      <c r="AV61" s="166"/>
      <c r="AW61" s="166"/>
      <c r="AX61" s="177"/>
      <c r="AY61" s="166"/>
      <c r="AZ61" s="177"/>
      <c r="BA61" s="178"/>
      <c r="BB61" s="178"/>
      <c r="BC61" s="178"/>
      <c r="BD61" s="178"/>
      <c r="BE61" s="178"/>
      <c r="BF61" s="178"/>
      <c r="BG61" s="179"/>
      <c r="BH61" s="180"/>
      <c r="BI61" s="178"/>
      <c r="BJ61" s="177"/>
      <c r="BK61" s="181"/>
      <c r="BL61" s="177"/>
      <c r="BM61" s="181"/>
      <c r="BN61" s="177"/>
      <c r="BO61" s="181"/>
      <c r="BP61" s="177"/>
      <c r="BQ61" s="181"/>
      <c r="BR61" s="166"/>
      <c r="BS61" s="166"/>
      <c r="BT61" s="166"/>
      <c r="BU61" s="65"/>
      <c r="BW61" s="178"/>
      <c r="BX61" s="399"/>
    </row>
    <row r="62" ht="61.5" customHeight="1">
      <c r="A62" s="192"/>
      <c r="B62" s="6"/>
      <c r="C62" s="210" t="s">
        <v>162</v>
      </c>
      <c r="D62" s="400"/>
      <c r="E62" s="401"/>
      <c r="F62" s="401"/>
      <c r="G62" s="401"/>
      <c r="H62" s="401"/>
      <c r="I62" s="401"/>
      <c r="J62" s="419"/>
      <c r="K62" s="403">
        <f t="shared" si="1"/>
        <v>0</v>
      </c>
      <c r="L62" s="69"/>
      <c r="M62" s="69"/>
      <c r="N62" s="192"/>
      <c r="O62" s="193"/>
      <c r="P62" s="193"/>
      <c r="Q62" s="193"/>
      <c r="R62" s="193"/>
      <c r="S62" s="197"/>
      <c r="T62" s="89"/>
      <c r="U62" s="103"/>
      <c r="V62" s="68"/>
      <c r="W62" s="69"/>
      <c r="X62" s="69"/>
      <c r="Y62" s="89"/>
      <c r="Z62" s="89"/>
      <c r="AA62" s="89"/>
      <c r="AB62" s="89"/>
      <c r="AC62" s="69"/>
      <c r="AD62" s="63"/>
      <c r="AE62" s="63"/>
      <c r="AF62" s="63"/>
      <c r="AG62" s="63"/>
      <c r="AH62" s="89"/>
      <c r="AI62" s="6"/>
      <c r="AJ62" s="192"/>
      <c r="AK62" s="193"/>
      <c r="AL62" s="196"/>
      <c r="AM62" s="63"/>
      <c r="AN62" s="63"/>
      <c r="AO62" s="192"/>
      <c r="AP62" s="193"/>
      <c r="AQ62" s="196"/>
      <c r="AR62" s="63"/>
      <c r="AS62" s="63"/>
      <c r="AT62" s="192"/>
      <c r="AU62" s="196"/>
      <c r="AV62" s="63"/>
      <c r="AW62" s="63"/>
      <c r="AX62" s="192"/>
      <c r="AY62" s="63"/>
      <c r="AZ62" s="192"/>
      <c r="BA62" s="193"/>
      <c r="BB62" s="193"/>
      <c r="BC62" s="193"/>
      <c r="BD62" s="193"/>
      <c r="BE62" s="193"/>
      <c r="BF62" s="193"/>
      <c r="BG62" s="194"/>
      <c r="BH62" s="195"/>
      <c r="BI62" s="193"/>
      <c r="BJ62" s="192"/>
      <c r="BK62" s="196"/>
      <c r="BL62" s="192"/>
      <c r="BM62" s="196"/>
      <c r="BN62" s="192"/>
      <c r="BO62" s="196"/>
      <c r="BP62" s="192"/>
      <c r="BQ62" s="196"/>
      <c r="BR62" s="63"/>
      <c r="BS62" s="63"/>
      <c r="BT62" s="63"/>
      <c r="BU62" s="89"/>
      <c r="BV62" s="6"/>
      <c r="BW62" s="198"/>
      <c r="BX62" s="404"/>
    </row>
    <row r="63" ht="61.5" customHeight="1">
      <c r="A63" s="363">
        <v>6.0</v>
      </c>
      <c r="B63" s="199" t="s">
        <v>164</v>
      </c>
      <c r="C63" s="168" t="s">
        <v>165</v>
      </c>
      <c r="D63" s="408"/>
      <c r="E63" s="409"/>
      <c r="F63" s="409"/>
      <c r="G63" s="409"/>
      <c r="H63" s="409"/>
      <c r="I63" s="409"/>
      <c r="J63" s="420"/>
      <c r="K63" s="367">
        <f t="shared" si="1"/>
        <v>0</v>
      </c>
      <c r="L63" s="421">
        <f>SUM(I63:I73)+SUM(K63:K73)*1</f>
        <v>0</v>
      </c>
      <c r="M63" s="368">
        <f>SUM('21 Oct Mon'!Q63:Q73,'22 Oct Tues'!Q63:Q73,'23 Oct Wed'!Q63:Q73,'24 Oct Thurs'!Q63:Q73,'25 Oct Fri'!Q63:Q73,'26 Oct Sat'!Q63:Q73)</f>
        <v>0</v>
      </c>
      <c r="N63" s="369">
        <f>SUM('21 Oct Mon'!R63:R73,'22 Oct Tues'!R63:R73,'23 Oct Wed'!R63:R73,'24 Oct Thurs'!R63:R73,'25 Oct Fri'!R63:R73,'26 Oct Sat'!R63:R73)</f>
        <v>0</v>
      </c>
      <c r="O63" s="370">
        <f>SUM(L63:N73)</f>
        <v>0</v>
      </c>
      <c r="P63" s="370">
        <f>SUM('21 Oct Mon'!T63:T73,'22 Oct Tues'!T63:T73,'23 Oct Wed'!T63:T73,'24 Oct Thurs'!T63:T73,'25 Oct Fri'!T63:T73,'26 Oct Sat'!T63:T73)</f>
        <v>0</v>
      </c>
      <c r="Q63" s="370">
        <f>SUM('21 Oct Mon'!U63:U73,'22 Oct Tues'!U63:U73,'23 Oct Wed'!U63:U73,'24 Oct Thurs'!U63:U73,'25 Oct Fri'!U63:U73,'26 Oct Sat'!U63:U73)</f>
        <v>0</v>
      </c>
      <c r="R63" s="370">
        <f>SUM('21 Oct Mon'!V63:V73,'22 Oct Tues'!V63:V73,'23 Oct Wed'!V63:V73,'24 Oct Thurs'!V63:V73,'25 Oct Fri'!V63:V73,'26 Oct Sat'!V63:V73)</f>
        <v>0</v>
      </c>
      <c r="S63" s="371">
        <f>SUM('21 Oct Mon'!W63:W73,'22 Oct Tues'!W63:W73,'23 Oct Wed'!W63:W73,'24 Oct Thurs'!W63:W73,'25 Oct Fri'!W63:W73,'26 Oct Sat'!W63:W73)</f>
        <v>0</v>
      </c>
      <c r="T63" s="372">
        <f>O63-P63-Q63-R63-S63</f>
        <v>0</v>
      </c>
      <c r="U63" s="373" t="str">
        <f>CONCATENATE(SUM('21 Oct Mon'!O63:O73,'22 Oct Tues'!O63:O73,'23 Oct Wed'!O63:O73,'24 Oct Thurs'!O63:O73,'25 Oct Fri'!O63:O73,'26 Oct Sat'!O63:O73),"
(",(SUM('21 Oct Mon'!O63:O73,'22 Oct Tues'!O63:O73,'23 Oct Wed'!O63:O73,'24 Oct Thurs'!O63:O73,'25 Oct Fri'!O63:O73,'26 Oct Sat'!O63:O73)-T63),")")</f>
        <v>0
(0)</v>
      </c>
      <c r="V63" s="374" t="str">
        <f>CONCATENATE("Mon-",'21 Oct Mon'!Z63:Z73,",Tues-",'22 Oct Tues'!Z63:Z73,",Wed-",'23 Oct Wed'!Z63:Z73,",Thurs-",'24 Oct Thurs'!Z63:Z73,",Fri-",'25 Oct Fri'!Z63:Z73,",Sat-",'26 Oct Sat'!Z63:Z73)</f>
        <v>Mon-,Tues-,Wed-,Thurs-,Fri-,Sat-</v>
      </c>
      <c r="W63" s="375">
        <f>SUM('21 Oct Mon'!AI63:AI73,'22 Oct Tues'!AI63:AI73,'23 Oct Wed'!AI63:AI73,'24 Oct Thurs'!AI63:AI73,'25 Oct Fri'!AI63:AI73,'26 Oct Sat'!AI63:AI73)</f>
        <v>0.5</v>
      </c>
      <c r="X63" s="375">
        <f>SUM('21 Oct Mon'!AM63:AM73,'22 Oct Tues'!AM63:AM73,'23 Oct Wed'!AM63:AM73,'24 Oct Thurs'!AM63:AM73,'25 Oct Fri'!AM63:AM73,'26 Oct Sat'!AM63:AM73)</f>
        <v>0</v>
      </c>
      <c r="Y63" s="376">
        <f>SUM('21 Oct Mon'!AP63:AP73,'22 Oct Tues'!AP63:AP73,'23 Oct Wed'!AP63:AP73,'24 Oct Thurs'!AP63:AP73,'25 Oct Fri'!AP63:AP73,'26 Oct Sat'!AP63:AP73)</f>
        <v>0.25</v>
      </c>
      <c r="Z63" s="376">
        <f>SUM('21 Oct Mon'!AQ63:AQ73,'22 Oct Tues'!AQ63:AQ73,'23 Oct Wed'!AQ63:AQ73,'24 Oct Thurs'!AQ63:AQ73,'25 Oct Fri'!AQ63:AQ73,'26 Oct Sat'!AQ63:AQ73)</f>
        <v>0</v>
      </c>
      <c r="AA63" s="377">
        <f>SUM('21 Oct Mon'!AR63:AR73,'22 Oct Tues'!AR63:AR73,'23 Oct Wed'!AR63:AR73,'24 Oct Thurs'!AR63:AR73,'25 Oct Fri'!AR63:AR73,'26 Oct Sat'!AR63:AR73)</f>
        <v>0</v>
      </c>
      <c r="AB63" s="377">
        <f>SUM('21 Oct Mon'!AS63:AS73,'22 Oct Tues'!AS63:AS73,'23 Oct Wed'!AS63:AS73,'24 Oct Thurs'!AS63:AS73,'25 Oct Fri'!AS63:AS73,'26 Oct Sat'!AS63:AS73)</f>
        <v>14.75</v>
      </c>
      <c r="AC63" s="378">
        <f>SUM('21 Oct Mon'!AT63:AT73,'22 Oct Tues'!AT63:AT73,'23 Oct Wed'!AT63:AT73,'24 Oct Thurs'!AT63:AT73,'25 Oct Fri'!AT63:AT73,'26 Oct Sat'!AT63:AT73)</f>
        <v>3.6875</v>
      </c>
      <c r="AD63" s="379">
        <f>SUM('21 Oct Mon'!AU63:AU73,'22 Oct Tues'!AU63:AU73,'23 Oct Wed'!AU63:AU73,'24 Oct Thurs'!AU63:AU73,'25 Oct Fri'!AU63:AU73,'26 Oct Sat'!AU63:AU73)</f>
        <v>0</v>
      </c>
      <c r="AE63" s="379">
        <f>SUM('21 Oct Mon'!AV63:AV73,'22 Oct Tues'!AV63:AV73,'23 Oct Wed'!AV63:AV73,'24 Oct Thurs'!AV63:AV73,'25 Oct Fri'!AV63:AV73,'26 Oct Sat'!AV63:AV73)</f>
        <v>0</v>
      </c>
      <c r="AF63" s="379">
        <f>SUM('21 Oct Mon'!AW63:AW73,'22 Oct Tues'!AW63:AW73,'23 Oct Wed'!AW63:AW73,'24 Oct Thurs'!AW63:AW73,'25 Oct Fri'!AW63:AW73,'26 Oct Sat'!AW63:AW73)</f>
        <v>0</v>
      </c>
      <c r="AG63" s="379">
        <f>SUM('21 Oct Mon'!AX63:AX73,'22 Oct Tues'!AX63:AX73,'23 Oct Wed'!AX63:AX73,'24 Oct Thurs'!AX63:AX73,'25 Oct Fri'!AX63:AX73,'26 Oct Sat'!AX63:AX73)</f>
        <v>0</v>
      </c>
      <c r="AH63" s="380">
        <f>SUM('21 Oct Mon'!AY63:AY73,'22 Oct Tues'!AY63:AY73,'23 Oct Wed'!AY63:AY73,'24 Oct Thurs'!AY63:AY73,'25 Oct Fri'!AY63:AY73,'26 Oct Sat'!AY63:AY73)</f>
        <v>0</v>
      </c>
      <c r="AI63" s="381">
        <f>SUM('21 Oct Mon'!AZ63:AZ73,'22 Oct Tues'!AZ63:AZ73,'23 Oct Wed'!AZ63:AZ73,'24 Oct Thurs'!AZ63:AZ73,'25 Oct Fri'!AZ63:AZ73,'26 Oct Sat'!AZ63:AZ73)</f>
        <v>0</v>
      </c>
      <c r="AJ63" s="382">
        <f>SUM('21 Oct Mon'!BG63:BG73,'22 Oct Tues'!BG63:BG73,'23 Oct Wed'!BG63:BG73,'24 Oct Thurs'!BG63:BG73,'25 Oct Fri'!BG63:BG73,'26 Oct Sat'!BG63:BG73)</f>
        <v>4</v>
      </c>
      <c r="AK63" s="383">
        <f>SUM('21 Oct Mon'!BH63:BH73,'22 Oct Tues'!BH63:BH73,'23 Oct Wed'!BH63:BH73,'24 Oct Thurs'!BH63:BH73,'25 Oct Fri'!BH63:BH73,'26 Oct Sat'!BH63:BH73)</f>
        <v>0</v>
      </c>
      <c r="AL63" s="384">
        <f>SUM('21 Oct Mon'!BI63:BI73,'22 Oct Tues'!BI63:BI73,'23 Oct Wed'!BI63:BI73,'24 Oct Thurs'!BI63:BI73,'25 Oct Fri'!BI63:BI73,'26 Oct Sat'!BI63:BI73)</f>
        <v>0</v>
      </c>
      <c r="AM63" s="379">
        <f>SUM('21 Oct Mon'!BJ63:BJ73,'22 Oct Tues'!BJ63:BJ73,'23 Oct Wed'!BJ63:BJ73,'24 Oct Thurs'!BJ63:BJ73,'25 Oct Fri'!BJ63:BJ73,'26 Oct Sat'!BJ63:BJ73)</f>
        <v>4</v>
      </c>
      <c r="AN63" s="379">
        <f>SUM('21 Oct Mon'!BK63:BK73,'22 Oct Tues'!BK63:BK73,'23 Oct Wed'!BK63:BK73,'24 Oct Thurs'!BK63:BK73,'25 Oct Fri'!BK63:BK73,'26 Oct Sat'!BK63:BK73)</f>
        <v>0</v>
      </c>
      <c r="AO63" s="385">
        <f>SUM('21 Oct Mon'!BL63:BL73,'22 Oct Tues'!BL63:BL73,'23 Oct Wed'!BL63:BL73,'24 Oct Thurs'!BL63:BL73,'25 Oct Fri'!BL63:BL73,'26 Oct Sat'!BL63:BL73)</f>
        <v>0</v>
      </c>
      <c r="AP63" s="386">
        <f>SUM('21 Oct Mon'!BM63:BM73,'22 Oct Tues'!BM63:BM73,'23 Oct Wed'!BM63:BM73,'24 Oct Thurs'!BM63:BM73,'25 Oct Fri'!BM63:BM73,'26 Oct Sat'!BM63:BM73)</f>
        <v>6.2</v>
      </c>
      <c r="AQ63" s="387">
        <f>SUM('21 Oct Mon'!BN63:BN73,'22 Oct Tues'!BN63:BN73,'23 Oct Wed'!BN63:BN73,'24 Oct Thurs'!BN63:BN73,'25 Oct Fri'!BN63:BN73,'26 Oct Sat'!BN63:BN73)</f>
        <v>0</v>
      </c>
      <c r="AR63" s="379">
        <f>SUM('21 Oct Mon'!BO63:BO73,'22 Oct Tues'!BO63:BO73,'23 Oct Wed'!BO63:BO73,'24 Oct Thurs'!BO63:BO73,'25 Oct Fri'!BO63:BO73,'26 Oct Sat'!BO63:BO73)</f>
        <v>0</v>
      </c>
      <c r="AS63" s="379">
        <f>SUM('21 Oct Mon'!BP63:BP73,'22 Oct Tues'!BP63:BP73,'23 Oct Wed'!BP63:BP73,'24 Oct Thurs'!BP63:BP73,'25 Oct Fri'!BP63:BP73,'26 Oct Sat'!BP63:BP73)</f>
        <v>0</v>
      </c>
      <c r="AT63" s="382">
        <f>SUM('21 Oct Mon'!BR63:BR73,'22 Oct Tues'!BR63:BR73,'23 Oct Wed'!BR63:BR73,'24 Oct Thurs'!BR63:BR73,'25 Oct Fri'!BR63:BR73,'26 Oct Sat'!BR63:BR73)</f>
        <v>11</v>
      </c>
      <c r="AU63" s="384">
        <f>SUM('21 Oct Mon'!BS63:BS73,'22 Oct Tues'!BS63:BS73,'23 Oct Wed'!BS63:BS73,'24 Oct Thurs'!BS63:BS73,'25 Oct Fri'!BS63:BS73,'26 Oct Sat'!BS63:BS73)</f>
        <v>0</v>
      </c>
      <c r="AV63" s="379">
        <f>SUM('21 Oct Mon'!BT63:BT73,'22 Oct Tues'!BT63:BT73,'23 Oct Wed'!BT63:BT73,'24 Oct Thurs'!BT63:BT73,'25 Oct Fri'!BT63:BT73,'26 Oct Sat'!BT63:BT73)</f>
        <v>0</v>
      </c>
      <c r="AW63" s="379">
        <f>SUM('21 Oct Mon'!BU63:BU73,'22 Oct Tues'!BU63:BU73,'23 Oct Wed'!BU63:BU73,'24 Oct Thurs'!BU63:BU73,'25 Oct Fri'!BU63:BU73,'26 Oct Sat'!BU63:BU73)</f>
        <v>0</v>
      </c>
      <c r="AX63" s="382">
        <f>SUM('21 Oct Mon'!BV63:BV73,'22 Oct Tues'!BV63:BV73,'23 Oct Wed'!BV63:BV73,'24 Oct Thurs'!BV63:BV73,'25 Oct Fri'!BV63:BV73,'26 Oct Sat'!BV63:BV73)</f>
        <v>0</v>
      </c>
      <c r="AY63" s="379">
        <f>SUM('21 Oct Mon'!BW63:BW73,'22 Oct Tues'!BW63:BW73,'23 Oct Wed'!BW63:BW73,'24 Oct Thurs'!BW63:BW73,'25 Oct Fri'!BW63:BW73,'26 Oct Sat'!BW63:BW73)</f>
        <v>0</v>
      </c>
      <c r="AZ63" s="385">
        <f>SUM('21 Oct Mon'!BX63:BX73,'22 Oct Tues'!BX63:BX73,'23 Oct Wed'!BX63:BX73,'24 Oct Thurs'!BX63:BX73,'25 Oct Fri'!BX63:BX73,'26 Oct Sat'!BX63:BX73)</f>
        <v>0</v>
      </c>
      <c r="BA63" s="386">
        <f>SUM('21 Oct Mon'!BY63:BY73,'22 Oct Tues'!BY63:BY73,'23 Oct Wed'!BY63:BY73,'24 Oct Thurs'!BY63:BY73,'25 Oct Fri'!BY63:BY73,'26 Oct Sat'!BY63:BY73)</f>
        <v>0</v>
      </c>
      <c r="BB63" s="386">
        <f>SUM('21 Oct Mon'!BZ63:BZ73,'22 Oct Tues'!BZ63:BZ73,'23 Oct Wed'!BZ63:BZ73,'24 Oct Thurs'!BZ63:BZ73,'25 Oct Fri'!BZ63:BZ73,'26 Oct Sat'!BZ63:BZ73)</f>
        <v>0</v>
      </c>
      <c r="BC63" s="386">
        <f>SUM('21 Oct Mon'!CA63:CA73,'22 Oct Tues'!CA63:CA73,'23 Oct Wed'!CA63:CA73,'24 Oct Thurs'!CA63:CA73,'25 Oct Fri'!CA63:CA73,'26 Oct Sat'!CA63:CA73)</f>
        <v>0</v>
      </c>
      <c r="BD63" s="386">
        <f>SUM('21 Oct Mon'!CB63:CB73,'22 Oct Tues'!CB63:CB73,'23 Oct Wed'!CB63:CB73,'24 Oct Thurs'!CB63:CB73,'25 Oct Fri'!CB63:CB73,'26 Oct Sat'!CB63:CB73)</f>
        <v>0</v>
      </c>
      <c r="BE63" s="386">
        <f>SUM('21 Oct Mon'!CC63:CC73,'22 Oct Tues'!CC63:CC73,'23 Oct Wed'!CC63:CC73,'24 Oct Thurs'!CC63:CC73,'25 Oct Fri'!CC63:CC73,'26 Oct Sat'!CC63:CC73)</f>
        <v>0</v>
      </c>
      <c r="BF63" s="386" t="str">
        <f>CONCATENATE("Mon-",'21 Oct Mon'!CD63:CD73,",Tues-",'22 Oct Tues'!CD63:CD73,",Wed-",'23 Oct Wed'!CD63:CD73,",Thurs-",'24 Oct Thurs'!CD63:CD73,",Fri-",'25 Oct Fri'!CD63:CD73,",Sat-",'26 Oct Sat'!CD63:CD73)</f>
        <v>Mon-,Tues-,Wed-,Thurs-FSD-1 T1 paper evaluation done of  SY2 BLOCK 1 to 4 (total 92 papers),Fri-,Sat-</v>
      </c>
      <c r="BG63" s="388">
        <f>SUM('21 Oct Mon'!CE63:CE73,'22 Oct Tues'!CE63:CE73,'23 Oct Wed'!CE63:CE73,'24 Oct Thurs'!CE63:CE73,'25 Oct Fri'!CE63:CE73,'26 Oct Sat'!CE63:CE73)</f>
        <v>0</v>
      </c>
      <c r="BH63" s="389" t="str">
        <f>CONCATENATE("Mon-",'21 Oct Mon'!CF63:CF73,",Tues-",'22 Oct Tues'!CF63:CF73,",Wed-",'23 Oct Wed'!CF63:CF73,",Thurs-",'24 Oct Thurs'!CF63:CF73,",Fri-",'25 Oct Fri'!CF63:CF73,",Sat-",'26 Oct Sat'!CF63:CF73)</f>
        <v>Mon-Paper setting of FSD-1 T1 (set A/B/C),Tues-,Wed-,Thurs-,Fri-,Sat-</v>
      </c>
      <c r="BI63" s="383">
        <f>SUM('21 Oct Mon'!CG63:CG73,'22 Oct Tues'!CG63:CG73,'23 Oct Wed'!CG63:CG73,'24 Oct Thurs'!CG63:CG73,'25 Oct Fri'!CG63:CG73,'26 Oct Sat'!CG63:CG73)</f>
        <v>0</v>
      </c>
      <c r="BJ63" s="382">
        <f>SUM('21 Oct Mon'!CH63:CH73,'22 Oct Tues'!CH63:CH73,'23 Oct Wed'!CH63:CH73,'24 Oct Thurs'!CH63:CH73,'25 Oct Fri'!CH63:CH73,'26 Oct Sat'!CH63:CH73)</f>
        <v>0</v>
      </c>
      <c r="BK63" s="384">
        <f>SUM('21 Oct Mon'!CI63:CI73,'22 Oct Tues'!CI63:CI73,'23 Oct Wed'!CI63:CI73,'24 Oct Thurs'!CI63:CI73,'25 Oct Fri'!CI63:CI73,'26 Oct Sat'!CI63:CI73)</f>
        <v>0</v>
      </c>
      <c r="BL63" s="382" t="str">
        <f>CONCATENATE("Mon-",'21 Oct Mon'!CJ63:CJ73,",Tues-",'22 Oct Tues'!CJ63:CJ73,",Wed-",'23 Oct Wed'!CJ63:CJ73,",Thurs-",'24 Oct Thurs'!CJ63:CJ73,",Fri-",'25 Oct Fri'!CJ63:CJ73,",Sat-",'26 Oct Sat'!CJ63:CJ73)</f>
        <v>Mon-,Tues-,Wed-,Thurs-,Fri-,Sat-</v>
      </c>
      <c r="BM63" s="384">
        <f>SUM('21 Oct Mon'!CK63:CK73,'22 Oct Tues'!CK63:CK73,'23 Oct Wed'!CK63:CK73,'24 Oct Thurs'!CK63:CK73,'25 Oct Fri'!CK63:CK73,'26 Oct Sat'!CK63:CK73)</f>
        <v>0</v>
      </c>
      <c r="BN63" s="382" t="str">
        <f>CONCATENATE("Mon-",'21 Oct Mon'!CL63:CL73,",Tues-",'22 Oct Tues'!CL63:CL73,",Wed-",'23 Oct Wed'!CL63:CL73,",Thurs-",'24 Oct Thurs'!CL63:CL73,",Fri-",'25 Oct Fri'!CL63:CL73,",Sat-",'26 Oct Sat'!CL63:CL73)</f>
        <v>Mon-,Tues-,Wed-,Thurs-,Fri-,Sat-</v>
      </c>
      <c r="BO63" s="384">
        <f>SUM('21 Oct Mon'!CM63:CM73,'22 Oct Tues'!CM63:CM73,'23 Oct Wed'!CM63:CM73,'24 Oct Thurs'!CM63:CM73,'25 Oct Fri'!CM63:CM73,'26 Oct Sat'!CM63:CM73)</f>
        <v>0</v>
      </c>
      <c r="BP63" s="385" t="str">
        <f>CONCATENATE("Mon-",'21 Oct Mon'!CN63:CN73,",Tues-",'22 Oct Tues'!CN63:CN73,",Wed-",'23 Oct Wed'!CN63:CN73,",Thurs-",'24 Oct Thurs'!CN63:CN73,",Fri-",'25 Oct Fri'!CN63:CN73,",Sat-",'26 Oct Sat'!CN63:CN73)</f>
        <v>Mon-,Tues-,Wed-,Thurs-,Fri-,Sat-</v>
      </c>
      <c r="BQ63" s="387">
        <f>SUM('21 Oct Mon'!CO63:CO73,'22 Oct Tues'!CO63:CO73,'23 Oct Wed'!CO63:CO73,'24 Oct Thurs'!CO63:CO73,'25 Oct Fri'!CO63:CO73,'26 Oct Sat'!CO63:CO73)</f>
        <v>0</v>
      </c>
      <c r="BR63" s="379" t="str">
        <f>CONCATENATE("Mon-",'21 Oct Mon'!CP63:CP73,",Tues-",'22 Oct Tues'!CP63:CP73,",Wed-",'23 Oct Wed'!CP63:CP73,",Thurs-",'24 Oct Thurs'!CP63:CP73,",Fri-",'25 Oct Fri'!CP63:CP73,",Sat-",'26 Oct Sat'!CP63:CP73)</f>
        <v>Mon-,Tues-,Wed-,Thurs-,Fri-,Sat-</v>
      </c>
      <c r="BS63" s="390">
        <f>SUM('21 Oct Mon'!CQ63:CQ73,'22 Oct Tues'!CQ63:CQ73,'23 Oct Wed'!CQ63:CQ73,'24 Oct Thurs'!CQ63:CQ73,'25 Oct Fri'!CQ63:CQ73,'26 Oct Sat'!CQ63:CQ73)</f>
        <v>0</v>
      </c>
      <c r="BT63" s="390">
        <f>SUM('21 Oct Mon'!CR63:CR73,'22 Oct Tues'!CR63:CR73,'23 Oct Wed'!CR63:CR73,'24 Oct Thurs'!CR63:CR73,'25 Oct Fri'!CR63:CR73,'26 Oct Sat'!CR63:CR73)</f>
        <v>0</v>
      </c>
      <c r="BU63" s="391">
        <f>SUM('21 Oct Mon'!CS63:CS73,'22 Oct Tues'!CS63:CS73,'23 Oct Wed'!CS63:CS73,'24 Oct Thurs'!CS63:CS73,'25 Oct Fri'!CS63:CS73,'26 Oct Sat'!CS63:CS73)</f>
        <v>0</v>
      </c>
      <c r="BV63" s="392">
        <f>SUM('21 Oct Mon'!CT63:CT73,'22 Oct Tues'!CT63:CT73,'23 Oct Wed'!CT63:CT73,'24 Oct Thurs'!CT63:CT73,'25 Oct Fri'!CT63:CT73,'26 Oct Sat'!CT63:CT73)</f>
        <v>14.75</v>
      </c>
      <c r="BW63" s="393" t="str">
        <f>LEFT(U63,FIND("(",U63,1)-2)</f>
        <v>0</v>
      </c>
      <c r="BX63" s="394"/>
    </row>
    <row r="64" ht="61.5" customHeight="1">
      <c r="A64" s="177"/>
      <c r="C64" s="205" t="s">
        <v>165</v>
      </c>
      <c r="D64" s="408"/>
      <c r="E64" s="409"/>
      <c r="F64" s="409"/>
      <c r="G64" s="409"/>
      <c r="H64" s="409"/>
      <c r="I64" s="409"/>
      <c r="J64" s="422"/>
      <c r="K64" s="398">
        <f t="shared" si="1"/>
        <v>0</v>
      </c>
      <c r="L64" s="66"/>
      <c r="M64" s="173"/>
      <c r="N64" s="177"/>
      <c r="O64" s="178"/>
      <c r="P64" s="178"/>
      <c r="Q64" s="178"/>
      <c r="R64" s="178"/>
      <c r="S64" s="182"/>
      <c r="T64" s="65"/>
      <c r="U64" s="64"/>
      <c r="V64" s="66"/>
      <c r="W64" s="173"/>
      <c r="X64" s="173"/>
      <c r="Y64" s="65"/>
      <c r="Z64" s="65"/>
      <c r="AA64" s="65"/>
      <c r="AB64" s="65"/>
      <c r="AC64" s="173"/>
      <c r="AD64" s="166"/>
      <c r="AE64" s="166"/>
      <c r="AF64" s="166"/>
      <c r="AG64" s="166"/>
      <c r="AH64" s="65"/>
      <c r="AJ64" s="177"/>
      <c r="AK64" s="178"/>
      <c r="AL64" s="181"/>
      <c r="AM64" s="166"/>
      <c r="AN64" s="166"/>
      <c r="AO64" s="177"/>
      <c r="AP64" s="178"/>
      <c r="AQ64" s="181"/>
      <c r="AR64" s="166"/>
      <c r="AS64" s="166"/>
      <c r="AT64" s="177"/>
      <c r="AU64" s="181"/>
      <c r="AV64" s="166"/>
      <c r="AW64" s="166"/>
      <c r="AX64" s="177"/>
      <c r="AY64" s="166"/>
      <c r="AZ64" s="177"/>
      <c r="BA64" s="178"/>
      <c r="BB64" s="178"/>
      <c r="BC64" s="178"/>
      <c r="BD64" s="178"/>
      <c r="BE64" s="178"/>
      <c r="BF64" s="178"/>
      <c r="BG64" s="179"/>
      <c r="BH64" s="180"/>
      <c r="BI64" s="178"/>
      <c r="BJ64" s="177"/>
      <c r="BK64" s="181"/>
      <c r="BL64" s="177"/>
      <c r="BM64" s="181"/>
      <c r="BN64" s="177"/>
      <c r="BO64" s="181"/>
      <c r="BP64" s="177"/>
      <c r="BQ64" s="181"/>
      <c r="BR64" s="166"/>
      <c r="BS64" s="166"/>
      <c r="BT64" s="166"/>
      <c r="BU64" s="65"/>
      <c r="BW64" s="178"/>
      <c r="BX64" s="399"/>
    </row>
    <row r="65" ht="61.5" customHeight="1">
      <c r="A65" s="177"/>
      <c r="C65" s="205" t="s">
        <v>165</v>
      </c>
      <c r="D65" s="395"/>
      <c r="E65" s="396"/>
      <c r="F65" s="396"/>
      <c r="G65" s="396"/>
      <c r="H65" s="396"/>
      <c r="I65" s="396"/>
      <c r="J65" s="422"/>
      <c r="K65" s="398">
        <f t="shared" si="1"/>
        <v>0</v>
      </c>
      <c r="L65" s="66"/>
      <c r="M65" s="173"/>
      <c r="N65" s="177"/>
      <c r="O65" s="178"/>
      <c r="P65" s="178"/>
      <c r="Q65" s="178"/>
      <c r="R65" s="178"/>
      <c r="S65" s="182"/>
      <c r="T65" s="65"/>
      <c r="U65" s="64"/>
      <c r="V65" s="66"/>
      <c r="W65" s="173"/>
      <c r="X65" s="173"/>
      <c r="Y65" s="65"/>
      <c r="Z65" s="65"/>
      <c r="AA65" s="65"/>
      <c r="AB65" s="65"/>
      <c r="AC65" s="173"/>
      <c r="AD65" s="166"/>
      <c r="AE65" s="166"/>
      <c r="AF65" s="166"/>
      <c r="AG65" s="166"/>
      <c r="AH65" s="65"/>
      <c r="AJ65" s="177"/>
      <c r="AK65" s="178"/>
      <c r="AL65" s="181"/>
      <c r="AM65" s="166"/>
      <c r="AN65" s="166"/>
      <c r="AO65" s="177"/>
      <c r="AP65" s="178"/>
      <c r="AQ65" s="181"/>
      <c r="AR65" s="166"/>
      <c r="AS65" s="166"/>
      <c r="AT65" s="177"/>
      <c r="AU65" s="181"/>
      <c r="AV65" s="166"/>
      <c r="AW65" s="166"/>
      <c r="AX65" s="177"/>
      <c r="AY65" s="166"/>
      <c r="AZ65" s="177"/>
      <c r="BA65" s="178"/>
      <c r="BB65" s="178"/>
      <c r="BC65" s="178"/>
      <c r="BD65" s="178"/>
      <c r="BE65" s="178"/>
      <c r="BF65" s="178"/>
      <c r="BG65" s="179"/>
      <c r="BH65" s="180"/>
      <c r="BI65" s="178"/>
      <c r="BJ65" s="177"/>
      <c r="BK65" s="181"/>
      <c r="BL65" s="177"/>
      <c r="BM65" s="181"/>
      <c r="BN65" s="177"/>
      <c r="BO65" s="181"/>
      <c r="BP65" s="177"/>
      <c r="BQ65" s="181"/>
      <c r="BR65" s="166"/>
      <c r="BS65" s="166"/>
      <c r="BT65" s="166"/>
      <c r="BU65" s="65"/>
      <c r="BW65" s="178"/>
      <c r="BX65" s="399"/>
    </row>
    <row r="66" ht="61.5" customHeight="1">
      <c r="A66" s="177"/>
      <c r="C66" s="205" t="s">
        <v>165</v>
      </c>
      <c r="D66" s="395"/>
      <c r="E66" s="396"/>
      <c r="F66" s="396"/>
      <c r="G66" s="396"/>
      <c r="H66" s="396"/>
      <c r="I66" s="396"/>
      <c r="J66" s="398"/>
      <c r="K66" s="398">
        <f t="shared" si="1"/>
        <v>0</v>
      </c>
      <c r="L66" s="66"/>
      <c r="M66" s="173"/>
      <c r="N66" s="177"/>
      <c r="O66" s="178"/>
      <c r="P66" s="178"/>
      <c r="Q66" s="178"/>
      <c r="R66" s="178"/>
      <c r="S66" s="182"/>
      <c r="T66" s="65"/>
      <c r="U66" s="64"/>
      <c r="V66" s="66"/>
      <c r="W66" s="173"/>
      <c r="X66" s="173"/>
      <c r="Y66" s="65"/>
      <c r="Z66" s="65"/>
      <c r="AA66" s="65"/>
      <c r="AB66" s="65"/>
      <c r="AC66" s="173"/>
      <c r="AD66" s="166"/>
      <c r="AE66" s="166"/>
      <c r="AF66" s="166"/>
      <c r="AG66" s="166"/>
      <c r="AH66" s="65"/>
      <c r="AJ66" s="177"/>
      <c r="AK66" s="178"/>
      <c r="AL66" s="181"/>
      <c r="AM66" s="166"/>
      <c r="AN66" s="166"/>
      <c r="AO66" s="177"/>
      <c r="AP66" s="178"/>
      <c r="AQ66" s="181"/>
      <c r="AR66" s="166"/>
      <c r="AS66" s="166"/>
      <c r="AT66" s="177"/>
      <c r="AU66" s="181"/>
      <c r="AV66" s="166"/>
      <c r="AW66" s="166"/>
      <c r="AX66" s="177"/>
      <c r="AY66" s="166"/>
      <c r="AZ66" s="177"/>
      <c r="BA66" s="178"/>
      <c r="BB66" s="178"/>
      <c r="BC66" s="178"/>
      <c r="BD66" s="178"/>
      <c r="BE66" s="178"/>
      <c r="BF66" s="178"/>
      <c r="BG66" s="179"/>
      <c r="BH66" s="180"/>
      <c r="BI66" s="178"/>
      <c r="BJ66" s="177"/>
      <c r="BK66" s="181"/>
      <c r="BL66" s="177"/>
      <c r="BM66" s="181"/>
      <c r="BN66" s="177"/>
      <c r="BO66" s="181"/>
      <c r="BP66" s="177"/>
      <c r="BQ66" s="181"/>
      <c r="BR66" s="166"/>
      <c r="BS66" s="166"/>
      <c r="BT66" s="166"/>
      <c r="BU66" s="65"/>
      <c r="BW66" s="178"/>
      <c r="BX66" s="399"/>
    </row>
    <row r="67" ht="61.5" customHeight="1">
      <c r="A67" s="177"/>
      <c r="C67" s="205" t="s">
        <v>165</v>
      </c>
      <c r="D67" s="395"/>
      <c r="E67" s="396"/>
      <c r="F67" s="396"/>
      <c r="G67" s="396"/>
      <c r="H67" s="396"/>
      <c r="I67" s="396"/>
      <c r="J67" s="398"/>
      <c r="K67" s="398">
        <f t="shared" si="1"/>
        <v>0</v>
      </c>
      <c r="L67" s="66"/>
      <c r="M67" s="173"/>
      <c r="N67" s="177"/>
      <c r="O67" s="178"/>
      <c r="P67" s="178"/>
      <c r="Q67" s="178"/>
      <c r="R67" s="178"/>
      <c r="S67" s="182"/>
      <c r="T67" s="65"/>
      <c r="U67" s="64"/>
      <c r="V67" s="66"/>
      <c r="W67" s="173"/>
      <c r="X67" s="173"/>
      <c r="Y67" s="65"/>
      <c r="Z67" s="65"/>
      <c r="AA67" s="65"/>
      <c r="AB67" s="65"/>
      <c r="AC67" s="173"/>
      <c r="AD67" s="166"/>
      <c r="AE67" s="166"/>
      <c r="AF67" s="166"/>
      <c r="AG67" s="166"/>
      <c r="AH67" s="65"/>
      <c r="AJ67" s="177"/>
      <c r="AK67" s="178"/>
      <c r="AL67" s="181"/>
      <c r="AM67" s="166"/>
      <c r="AN67" s="166"/>
      <c r="AO67" s="177"/>
      <c r="AP67" s="178"/>
      <c r="AQ67" s="181"/>
      <c r="AR67" s="166"/>
      <c r="AS67" s="166"/>
      <c r="AT67" s="177"/>
      <c r="AU67" s="181"/>
      <c r="AV67" s="166"/>
      <c r="AW67" s="166"/>
      <c r="AX67" s="177"/>
      <c r="AY67" s="166"/>
      <c r="AZ67" s="177"/>
      <c r="BA67" s="178"/>
      <c r="BB67" s="178"/>
      <c r="BC67" s="178"/>
      <c r="BD67" s="178"/>
      <c r="BE67" s="178"/>
      <c r="BF67" s="178"/>
      <c r="BG67" s="179"/>
      <c r="BH67" s="180"/>
      <c r="BI67" s="178"/>
      <c r="BJ67" s="177"/>
      <c r="BK67" s="181"/>
      <c r="BL67" s="177"/>
      <c r="BM67" s="181"/>
      <c r="BN67" s="177"/>
      <c r="BO67" s="181"/>
      <c r="BP67" s="177"/>
      <c r="BQ67" s="181"/>
      <c r="BR67" s="166"/>
      <c r="BS67" s="166"/>
      <c r="BT67" s="166"/>
      <c r="BU67" s="65"/>
      <c r="BW67" s="178"/>
      <c r="BX67" s="399"/>
    </row>
    <row r="68" ht="61.5" customHeight="1">
      <c r="A68" s="177"/>
      <c r="C68" s="205" t="s">
        <v>165</v>
      </c>
      <c r="D68" s="395"/>
      <c r="E68" s="396"/>
      <c r="F68" s="396"/>
      <c r="G68" s="396"/>
      <c r="H68" s="396"/>
      <c r="I68" s="396"/>
      <c r="J68" s="398"/>
      <c r="K68" s="398">
        <f t="shared" si="1"/>
        <v>0</v>
      </c>
      <c r="L68" s="66"/>
      <c r="M68" s="173"/>
      <c r="N68" s="177"/>
      <c r="O68" s="178"/>
      <c r="P68" s="178"/>
      <c r="Q68" s="178"/>
      <c r="R68" s="178"/>
      <c r="S68" s="182"/>
      <c r="T68" s="65"/>
      <c r="U68" s="64"/>
      <c r="V68" s="66"/>
      <c r="W68" s="173"/>
      <c r="X68" s="173"/>
      <c r="Y68" s="65"/>
      <c r="Z68" s="65"/>
      <c r="AA68" s="65"/>
      <c r="AB68" s="65"/>
      <c r="AC68" s="173"/>
      <c r="AD68" s="166"/>
      <c r="AE68" s="166"/>
      <c r="AF68" s="166"/>
      <c r="AG68" s="166"/>
      <c r="AH68" s="65"/>
      <c r="AJ68" s="177"/>
      <c r="AK68" s="178"/>
      <c r="AL68" s="181"/>
      <c r="AM68" s="166"/>
      <c r="AN68" s="166"/>
      <c r="AO68" s="177"/>
      <c r="AP68" s="178"/>
      <c r="AQ68" s="181"/>
      <c r="AR68" s="166"/>
      <c r="AS68" s="166"/>
      <c r="AT68" s="177"/>
      <c r="AU68" s="181"/>
      <c r="AV68" s="166"/>
      <c r="AW68" s="166"/>
      <c r="AX68" s="177"/>
      <c r="AY68" s="166"/>
      <c r="AZ68" s="177"/>
      <c r="BA68" s="178"/>
      <c r="BB68" s="178"/>
      <c r="BC68" s="178"/>
      <c r="BD68" s="178"/>
      <c r="BE68" s="178"/>
      <c r="BF68" s="178"/>
      <c r="BG68" s="179"/>
      <c r="BH68" s="180"/>
      <c r="BI68" s="178"/>
      <c r="BJ68" s="177"/>
      <c r="BK68" s="181"/>
      <c r="BL68" s="177"/>
      <c r="BM68" s="181"/>
      <c r="BN68" s="177"/>
      <c r="BO68" s="181"/>
      <c r="BP68" s="177"/>
      <c r="BQ68" s="181"/>
      <c r="BR68" s="166"/>
      <c r="BS68" s="166"/>
      <c r="BT68" s="166"/>
      <c r="BU68" s="65"/>
      <c r="BW68" s="178"/>
      <c r="BX68" s="399"/>
    </row>
    <row r="69" ht="61.5" customHeight="1">
      <c r="A69" s="177"/>
      <c r="C69" s="205" t="s">
        <v>165</v>
      </c>
      <c r="D69" s="395"/>
      <c r="E69" s="396"/>
      <c r="F69" s="396"/>
      <c r="G69" s="396"/>
      <c r="H69" s="396"/>
      <c r="I69" s="396"/>
      <c r="J69" s="398"/>
      <c r="K69" s="398">
        <f t="shared" si="1"/>
        <v>0</v>
      </c>
      <c r="L69" s="66"/>
      <c r="M69" s="173"/>
      <c r="N69" s="177"/>
      <c r="O69" s="178"/>
      <c r="P69" s="178"/>
      <c r="Q69" s="178"/>
      <c r="R69" s="178"/>
      <c r="S69" s="182"/>
      <c r="T69" s="65"/>
      <c r="U69" s="64"/>
      <c r="V69" s="66"/>
      <c r="W69" s="173"/>
      <c r="X69" s="173"/>
      <c r="Y69" s="65"/>
      <c r="Z69" s="65"/>
      <c r="AA69" s="65"/>
      <c r="AB69" s="65"/>
      <c r="AC69" s="173"/>
      <c r="AD69" s="166"/>
      <c r="AE69" s="166"/>
      <c r="AF69" s="166"/>
      <c r="AG69" s="166"/>
      <c r="AH69" s="65"/>
      <c r="AJ69" s="177"/>
      <c r="AK69" s="178"/>
      <c r="AL69" s="181"/>
      <c r="AM69" s="166"/>
      <c r="AN69" s="166"/>
      <c r="AO69" s="177"/>
      <c r="AP69" s="178"/>
      <c r="AQ69" s="181"/>
      <c r="AR69" s="166"/>
      <c r="AS69" s="166"/>
      <c r="AT69" s="177"/>
      <c r="AU69" s="181"/>
      <c r="AV69" s="166"/>
      <c r="AW69" s="166"/>
      <c r="AX69" s="177"/>
      <c r="AY69" s="166"/>
      <c r="AZ69" s="177"/>
      <c r="BA69" s="178"/>
      <c r="BB69" s="178"/>
      <c r="BC69" s="178"/>
      <c r="BD69" s="178"/>
      <c r="BE69" s="178"/>
      <c r="BF69" s="178"/>
      <c r="BG69" s="179"/>
      <c r="BH69" s="180"/>
      <c r="BI69" s="178"/>
      <c r="BJ69" s="177"/>
      <c r="BK69" s="181"/>
      <c r="BL69" s="177"/>
      <c r="BM69" s="181"/>
      <c r="BN69" s="177"/>
      <c r="BO69" s="181"/>
      <c r="BP69" s="177"/>
      <c r="BQ69" s="181"/>
      <c r="BR69" s="166"/>
      <c r="BS69" s="166"/>
      <c r="BT69" s="166"/>
      <c r="BU69" s="65"/>
      <c r="BW69" s="178"/>
      <c r="BX69" s="399"/>
    </row>
    <row r="70" ht="61.5" customHeight="1">
      <c r="A70" s="177"/>
      <c r="C70" s="205" t="s">
        <v>165</v>
      </c>
      <c r="D70" s="395"/>
      <c r="E70" s="396"/>
      <c r="F70" s="396"/>
      <c r="G70" s="396"/>
      <c r="H70" s="396"/>
      <c r="I70" s="396"/>
      <c r="J70" s="398"/>
      <c r="K70" s="398">
        <f t="shared" si="1"/>
        <v>0</v>
      </c>
      <c r="L70" s="66"/>
      <c r="M70" s="173"/>
      <c r="N70" s="177"/>
      <c r="O70" s="178"/>
      <c r="P70" s="178"/>
      <c r="Q70" s="178"/>
      <c r="R70" s="178"/>
      <c r="S70" s="182"/>
      <c r="T70" s="65"/>
      <c r="U70" s="64"/>
      <c r="V70" s="66"/>
      <c r="W70" s="173"/>
      <c r="X70" s="173"/>
      <c r="Y70" s="65"/>
      <c r="Z70" s="65"/>
      <c r="AA70" s="65"/>
      <c r="AB70" s="65"/>
      <c r="AC70" s="173"/>
      <c r="AD70" s="166"/>
      <c r="AE70" s="166"/>
      <c r="AF70" s="166"/>
      <c r="AG70" s="166"/>
      <c r="AH70" s="65"/>
      <c r="AJ70" s="177"/>
      <c r="AK70" s="178"/>
      <c r="AL70" s="181"/>
      <c r="AM70" s="166"/>
      <c r="AN70" s="166"/>
      <c r="AO70" s="177"/>
      <c r="AP70" s="178"/>
      <c r="AQ70" s="181"/>
      <c r="AR70" s="166"/>
      <c r="AS70" s="166"/>
      <c r="AT70" s="177"/>
      <c r="AU70" s="181"/>
      <c r="AV70" s="166"/>
      <c r="AW70" s="166"/>
      <c r="AX70" s="177"/>
      <c r="AY70" s="166"/>
      <c r="AZ70" s="177"/>
      <c r="BA70" s="178"/>
      <c r="BB70" s="178"/>
      <c r="BC70" s="178"/>
      <c r="BD70" s="178"/>
      <c r="BE70" s="178"/>
      <c r="BF70" s="178"/>
      <c r="BG70" s="179"/>
      <c r="BH70" s="180"/>
      <c r="BI70" s="178"/>
      <c r="BJ70" s="177"/>
      <c r="BK70" s="181"/>
      <c r="BL70" s="177"/>
      <c r="BM70" s="181"/>
      <c r="BN70" s="177"/>
      <c r="BO70" s="181"/>
      <c r="BP70" s="177"/>
      <c r="BQ70" s="181"/>
      <c r="BR70" s="166"/>
      <c r="BS70" s="166"/>
      <c r="BT70" s="166"/>
      <c r="BU70" s="65"/>
      <c r="BW70" s="178"/>
      <c r="BX70" s="399"/>
    </row>
    <row r="71" ht="61.5" customHeight="1">
      <c r="A71" s="177"/>
      <c r="C71" s="205" t="s">
        <v>165</v>
      </c>
      <c r="D71" s="395"/>
      <c r="E71" s="396"/>
      <c r="F71" s="396"/>
      <c r="G71" s="396"/>
      <c r="H71" s="396"/>
      <c r="I71" s="396"/>
      <c r="J71" s="398"/>
      <c r="K71" s="398">
        <f t="shared" si="1"/>
        <v>0</v>
      </c>
      <c r="L71" s="66"/>
      <c r="M71" s="173"/>
      <c r="N71" s="177"/>
      <c r="O71" s="178"/>
      <c r="P71" s="178"/>
      <c r="Q71" s="178"/>
      <c r="R71" s="178"/>
      <c r="S71" s="182"/>
      <c r="T71" s="65"/>
      <c r="U71" s="64"/>
      <c r="V71" s="66"/>
      <c r="W71" s="173"/>
      <c r="X71" s="173"/>
      <c r="Y71" s="65"/>
      <c r="Z71" s="65"/>
      <c r="AA71" s="65"/>
      <c r="AB71" s="65"/>
      <c r="AC71" s="173"/>
      <c r="AD71" s="166"/>
      <c r="AE71" s="166"/>
      <c r="AF71" s="166"/>
      <c r="AG71" s="166"/>
      <c r="AH71" s="65"/>
      <c r="AJ71" s="177"/>
      <c r="AK71" s="178"/>
      <c r="AL71" s="181"/>
      <c r="AM71" s="166"/>
      <c r="AN71" s="166"/>
      <c r="AO71" s="177"/>
      <c r="AP71" s="178"/>
      <c r="AQ71" s="181"/>
      <c r="AR71" s="166"/>
      <c r="AS71" s="166"/>
      <c r="AT71" s="177"/>
      <c r="AU71" s="181"/>
      <c r="AV71" s="166"/>
      <c r="AW71" s="166"/>
      <c r="AX71" s="177"/>
      <c r="AY71" s="166"/>
      <c r="AZ71" s="177"/>
      <c r="BA71" s="178"/>
      <c r="BB71" s="178"/>
      <c r="BC71" s="178"/>
      <c r="BD71" s="178"/>
      <c r="BE71" s="178"/>
      <c r="BF71" s="178"/>
      <c r="BG71" s="179"/>
      <c r="BH71" s="180"/>
      <c r="BI71" s="178"/>
      <c r="BJ71" s="177"/>
      <c r="BK71" s="181"/>
      <c r="BL71" s="177"/>
      <c r="BM71" s="181"/>
      <c r="BN71" s="177"/>
      <c r="BO71" s="181"/>
      <c r="BP71" s="177"/>
      <c r="BQ71" s="181"/>
      <c r="BR71" s="166"/>
      <c r="BS71" s="166"/>
      <c r="BT71" s="166"/>
      <c r="BU71" s="65"/>
      <c r="BW71" s="178"/>
      <c r="BX71" s="399"/>
    </row>
    <row r="72" ht="61.5" customHeight="1">
      <c r="A72" s="177"/>
      <c r="C72" s="205" t="s">
        <v>165</v>
      </c>
      <c r="D72" s="395"/>
      <c r="E72" s="396"/>
      <c r="F72" s="396"/>
      <c r="G72" s="396"/>
      <c r="H72" s="396"/>
      <c r="I72" s="396"/>
      <c r="J72" s="398"/>
      <c r="K72" s="398">
        <f t="shared" si="1"/>
        <v>0</v>
      </c>
      <c r="L72" s="66"/>
      <c r="M72" s="173"/>
      <c r="N72" s="177"/>
      <c r="O72" s="178"/>
      <c r="P72" s="178"/>
      <c r="Q72" s="178"/>
      <c r="R72" s="178"/>
      <c r="S72" s="182"/>
      <c r="T72" s="65"/>
      <c r="U72" s="64"/>
      <c r="V72" s="66"/>
      <c r="W72" s="173"/>
      <c r="X72" s="173"/>
      <c r="Y72" s="65"/>
      <c r="Z72" s="65"/>
      <c r="AA72" s="65"/>
      <c r="AB72" s="65"/>
      <c r="AC72" s="173"/>
      <c r="AD72" s="166"/>
      <c r="AE72" s="166"/>
      <c r="AF72" s="166"/>
      <c r="AG72" s="166"/>
      <c r="AH72" s="65"/>
      <c r="AJ72" s="177"/>
      <c r="AK72" s="178"/>
      <c r="AL72" s="181"/>
      <c r="AM72" s="166"/>
      <c r="AN72" s="166"/>
      <c r="AO72" s="177"/>
      <c r="AP72" s="178"/>
      <c r="AQ72" s="181"/>
      <c r="AR72" s="166"/>
      <c r="AS72" s="166"/>
      <c r="AT72" s="177"/>
      <c r="AU72" s="181"/>
      <c r="AV72" s="166"/>
      <c r="AW72" s="166"/>
      <c r="AX72" s="177"/>
      <c r="AY72" s="166"/>
      <c r="AZ72" s="177"/>
      <c r="BA72" s="178"/>
      <c r="BB72" s="178"/>
      <c r="BC72" s="178"/>
      <c r="BD72" s="178"/>
      <c r="BE72" s="178"/>
      <c r="BF72" s="178"/>
      <c r="BG72" s="179"/>
      <c r="BH72" s="180"/>
      <c r="BI72" s="178"/>
      <c r="BJ72" s="177"/>
      <c r="BK72" s="181"/>
      <c r="BL72" s="177"/>
      <c r="BM72" s="181"/>
      <c r="BN72" s="177"/>
      <c r="BO72" s="181"/>
      <c r="BP72" s="177"/>
      <c r="BQ72" s="181"/>
      <c r="BR72" s="166"/>
      <c r="BS72" s="166"/>
      <c r="BT72" s="166"/>
      <c r="BU72" s="65"/>
      <c r="BW72" s="178"/>
      <c r="BX72" s="399"/>
    </row>
    <row r="73" ht="61.5" customHeight="1">
      <c r="A73" s="192"/>
      <c r="B73" s="6"/>
      <c r="C73" s="210" t="s">
        <v>165</v>
      </c>
      <c r="D73" s="400"/>
      <c r="E73" s="401"/>
      <c r="F73" s="401"/>
      <c r="G73" s="401"/>
      <c r="H73" s="401"/>
      <c r="I73" s="401"/>
      <c r="J73" s="403"/>
      <c r="K73" s="403">
        <f t="shared" si="1"/>
        <v>0</v>
      </c>
      <c r="L73" s="68"/>
      <c r="M73" s="69"/>
      <c r="N73" s="192"/>
      <c r="O73" s="193"/>
      <c r="P73" s="193"/>
      <c r="Q73" s="193"/>
      <c r="R73" s="193"/>
      <c r="S73" s="197"/>
      <c r="T73" s="89"/>
      <c r="U73" s="103"/>
      <c r="V73" s="68"/>
      <c r="W73" s="69"/>
      <c r="X73" s="69"/>
      <c r="Y73" s="89"/>
      <c r="Z73" s="89"/>
      <c r="AA73" s="89"/>
      <c r="AB73" s="89"/>
      <c r="AC73" s="69"/>
      <c r="AD73" s="63"/>
      <c r="AE73" s="63"/>
      <c r="AF73" s="63"/>
      <c r="AG73" s="63"/>
      <c r="AH73" s="89"/>
      <c r="AI73" s="6"/>
      <c r="AJ73" s="192"/>
      <c r="AK73" s="193"/>
      <c r="AL73" s="196"/>
      <c r="AM73" s="63"/>
      <c r="AN73" s="63"/>
      <c r="AO73" s="192"/>
      <c r="AP73" s="193"/>
      <c r="AQ73" s="196"/>
      <c r="AR73" s="63"/>
      <c r="AS73" s="63"/>
      <c r="AT73" s="192"/>
      <c r="AU73" s="196"/>
      <c r="AV73" s="63"/>
      <c r="AW73" s="63"/>
      <c r="AX73" s="192"/>
      <c r="AY73" s="63"/>
      <c r="AZ73" s="192"/>
      <c r="BA73" s="193"/>
      <c r="BB73" s="193"/>
      <c r="BC73" s="193"/>
      <c r="BD73" s="193"/>
      <c r="BE73" s="193"/>
      <c r="BF73" s="193"/>
      <c r="BG73" s="194"/>
      <c r="BH73" s="195"/>
      <c r="BI73" s="193"/>
      <c r="BJ73" s="192"/>
      <c r="BK73" s="196"/>
      <c r="BL73" s="192"/>
      <c r="BM73" s="196"/>
      <c r="BN73" s="192"/>
      <c r="BO73" s="196"/>
      <c r="BP73" s="192"/>
      <c r="BQ73" s="196"/>
      <c r="BR73" s="63"/>
      <c r="BS73" s="63"/>
      <c r="BT73" s="63"/>
      <c r="BU73" s="89"/>
      <c r="BV73" s="6"/>
      <c r="BW73" s="198"/>
      <c r="BX73" s="404"/>
    </row>
    <row r="74" ht="61.5" customHeight="1">
      <c r="A74" s="363">
        <v>7.0</v>
      </c>
      <c r="B74" s="199" t="s">
        <v>169</v>
      </c>
      <c r="C74" s="168" t="s">
        <v>170</v>
      </c>
      <c r="D74" s="408"/>
      <c r="E74" s="409"/>
      <c r="F74" s="409"/>
      <c r="G74" s="409"/>
      <c r="H74" s="409"/>
      <c r="I74" s="409"/>
      <c r="J74" s="420"/>
      <c r="K74" s="367">
        <f t="shared" si="1"/>
        <v>0</v>
      </c>
      <c r="L74" s="421">
        <f>SUM(I74:I84)+SUM(K74:K84)*1</f>
        <v>0</v>
      </c>
      <c r="M74" s="368">
        <f>SUM('21 Oct Mon'!Q74:Q84,'22 Oct Tues'!Q74:Q84,'23 Oct Wed'!Q74:Q84,'24 Oct Thurs'!Q74:Q84,'25 Oct Fri'!Q74:Q84,'26 Oct Sat'!Q74:Q84)</f>
        <v>0</v>
      </c>
      <c r="N74" s="369">
        <f>SUM('21 Oct Mon'!R74:R84,'22 Oct Tues'!R74:R84,'23 Oct Wed'!R74:R84,'24 Oct Thurs'!R74:R84,'25 Oct Fri'!R74:R84,'26 Oct Sat'!R74:R84)</f>
        <v>0</v>
      </c>
      <c r="O74" s="370">
        <f>SUM(L74:N84)</f>
        <v>0</v>
      </c>
      <c r="P74" s="370">
        <f>SUM('21 Oct Mon'!T74:T84,'22 Oct Tues'!T74:T84,'23 Oct Wed'!T74:T84,'24 Oct Thurs'!T74:T84,'25 Oct Fri'!T74:T84,'26 Oct Sat'!T74:T84)</f>
        <v>0</v>
      </c>
      <c r="Q74" s="370">
        <f>SUM('21 Oct Mon'!U74:U84,'22 Oct Tues'!U74:U84,'23 Oct Wed'!U74:U84,'24 Oct Thurs'!U74:U84,'25 Oct Fri'!U74:U84,'26 Oct Sat'!U74:U84)</f>
        <v>0</v>
      </c>
      <c r="R74" s="370">
        <f>SUM('21 Oct Mon'!V74:V84,'22 Oct Tues'!V74:V84,'23 Oct Wed'!V74:V84,'24 Oct Thurs'!V74:V84,'25 Oct Fri'!V74:V84,'26 Oct Sat'!V74:V84)</f>
        <v>0</v>
      </c>
      <c r="S74" s="371">
        <f>SUM('21 Oct Mon'!W74:W84,'22 Oct Tues'!W74:W84,'23 Oct Wed'!W74:W84,'24 Oct Thurs'!W74:W84,'25 Oct Fri'!W74:W84,'26 Oct Sat'!W74:W84)</f>
        <v>0</v>
      </c>
      <c r="T74" s="372">
        <f>O74-P74-Q74-R74-S74</f>
        <v>0</v>
      </c>
      <c r="U74" s="373" t="str">
        <f>CONCATENATE(SUM('21 Oct Mon'!O74:O84,'22 Oct Tues'!O74:O84,'23 Oct Wed'!O74:O84,'24 Oct Thurs'!O74:O84,'25 Oct Fri'!O74:O84,'26 Oct Sat'!O74:O84),"
(",(SUM('21 Oct Mon'!O74:O84,'22 Oct Tues'!O74:O84,'23 Oct Wed'!O74:O84,'24 Oct Thurs'!O74:O84,'25 Oct Fri'!O74:O84,'26 Oct Sat'!O74:O84)-T74),")")</f>
        <v>0
(0)</v>
      </c>
      <c r="V74" s="374" t="str">
        <f>CONCATENATE("Mon-",'21 Oct Mon'!Z74:Z84,",Tues-",'22 Oct Tues'!Z74:Z84,",Wed-",'23 Oct Wed'!Z74:Z84,",Thurs-",'24 Oct Thurs'!Z74:Z84,",Fri-",'25 Oct Fri'!Z74:Z84,",Sat-",'26 Oct Sat'!Z74:Z84)</f>
        <v>Mon-,Tues-,Wed-,Thurs-,Fri-,Sat-</v>
      </c>
      <c r="W74" s="375">
        <f>SUM('21 Oct Mon'!AI74:AI84,'22 Oct Tues'!AI74:AI84,'23 Oct Wed'!AI74:AI84,'24 Oct Thurs'!AI74:AI84,'25 Oct Fri'!AI74:AI84,'26 Oct Sat'!AI74:AI84)</f>
        <v>0</v>
      </c>
      <c r="X74" s="375">
        <f>SUM('21 Oct Mon'!AM74:AM84,'22 Oct Tues'!AM74:AM84,'23 Oct Wed'!AM74:AM84,'24 Oct Thurs'!AM74:AM84,'25 Oct Fri'!AM74:AM84,'26 Oct Sat'!AM74:AM84)</f>
        <v>0</v>
      </c>
      <c r="Y74" s="376">
        <f>SUM('21 Oct Mon'!AP74:AP84,'22 Oct Tues'!AP74:AP84,'23 Oct Wed'!AP74:AP84,'24 Oct Thurs'!AP74:AP84,'25 Oct Fri'!AP74:AP84,'26 Oct Sat'!AP74:AP84)</f>
        <v>0</v>
      </c>
      <c r="Z74" s="376">
        <f>SUM('21 Oct Mon'!AQ74:AQ84,'22 Oct Tues'!AQ74:AQ84,'23 Oct Wed'!AQ74:AQ84,'24 Oct Thurs'!AQ74:AQ84,'25 Oct Fri'!AQ74:AQ84,'26 Oct Sat'!AQ74:AQ84)</f>
        <v>0</v>
      </c>
      <c r="AA74" s="377">
        <f>SUM('21 Oct Mon'!AR74:AR84,'22 Oct Tues'!AR74:AR84,'23 Oct Wed'!AR74:AR84,'24 Oct Thurs'!AR74:AR84,'25 Oct Fri'!AR74:AR84,'26 Oct Sat'!AR74:AR84)</f>
        <v>0</v>
      </c>
      <c r="AB74" s="377">
        <f>SUM('21 Oct Mon'!AS74:AS84,'22 Oct Tues'!AS74:AS84,'23 Oct Wed'!AS74:AS84,'24 Oct Thurs'!AS74:AS84,'25 Oct Fri'!AS74:AS84,'26 Oct Sat'!AS74:AS84)</f>
        <v>12.02777778</v>
      </c>
      <c r="AC74" s="378">
        <f>SUM('21 Oct Mon'!AT74:AT84,'22 Oct Tues'!AT74:AT84,'23 Oct Wed'!AT74:AT84,'24 Oct Thurs'!AT74:AT84,'25 Oct Fri'!AT74:AT84,'26 Oct Sat'!AT74:AT84)</f>
        <v>3.006944444</v>
      </c>
      <c r="AD74" s="379">
        <f>SUM('21 Oct Mon'!AU74:AU84,'22 Oct Tues'!AU74:AU84,'23 Oct Wed'!AU74:AU84,'24 Oct Thurs'!AU74:AU84,'25 Oct Fri'!AU74:AU84,'26 Oct Sat'!AU74:AU84)</f>
        <v>0</v>
      </c>
      <c r="AE74" s="379">
        <f>SUM('21 Oct Mon'!AV74:AV84,'22 Oct Tues'!AV74:AV84,'23 Oct Wed'!AV74:AV84,'24 Oct Thurs'!AV74:AV84,'25 Oct Fri'!AV74:AV84,'26 Oct Sat'!AV74:AV84)</f>
        <v>0</v>
      </c>
      <c r="AF74" s="379">
        <f>SUM('21 Oct Mon'!AW74:AW84,'22 Oct Tues'!AW74:AW84,'23 Oct Wed'!AW74:AW84,'24 Oct Thurs'!AW74:AW84,'25 Oct Fri'!AW74:AW84,'26 Oct Sat'!AW74:AW84)</f>
        <v>0</v>
      </c>
      <c r="AG74" s="379">
        <f>SUM('21 Oct Mon'!AX74:AX84,'22 Oct Tues'!AX74:AX84,'23 Oct Wed'!AX74:AX84,'24 Oct Thurs'!AX74:AX84,'25 Oct Fri'!AX74:AX84,'26 Oct Sat'!AX74:AX84)</f>
        <v>0</v>
      </c>
      <c r="AH74" s="380">
        <f>SUM('21 Oct Mon'!AY74:AY84,'22 Oct Tues'!AY74:AY84,'23 Oct Wed'!AY74:AY84,'24 Oct Thurs'!AY74:AY84,'25 Oct Fri'!AY74:AY84,'26 Oct Sat'!AY74:AY84)</f>
        <v>0</v>
      </c>
      <c r="AI74" s="381">
        <f>SUM('21 Oct Mon'!AZ74:AZ84,'22 Oct Tues'!AZ74:AZ84,'23 Oct Wed'!AZ74:AZ84,'24 Oct Thurs'!AZ74:AZ84,'25 Oct Fri'!AZ74:AZ84,'26 Oct Sat'!AZ74:AZ84)</f>
        <v>0</v>
      </c>
      <c r="AJ74" s="382">
        <f>SUM('21 Oct Mon'!BG74:BG84,'22 Oct Tues'!BG74:BG84,'23 Oct Wed'!BG74:BG84,'24 Oct Thurs'!BG74:BG84,'25 Oct Fri'!BG74:BG84,'26 Oct Sat'!BG74:BG84)</f>
        <v>4</v>
      </c>
      <c r="AK74" s="383">
        <f>SUM('21 Oct Mon'!BH74:BH84,'22 Oct Tues'!BH74:BH84,'23 Oct Wed'!BH74:BH84,'24 Oct Thurs'!BH74:BH84,'25 Oct Fri'!BH74:BH84,'26 Oct Sat'!BH74:BH84)</f>
        <v>0</v>
      </c>
      <c r="AL74" s="384">
        <f>SUM('21 Oct Mon'!BI74:BI84,'22 Oct Tues'!BI74:BI84,'23 Oct Wed'!BI74:BI84,'24 Oct Thurs'!BI74:BI84,'25 Oct Fri'!BI74:BI84,'26 Oct Sat'!BI74:BI84)</f>
        <v>0</v>
      </c>
      <c r="AM74" s="379">
        <f>SUM('21 Oct Mon'!BJ74:BJ84,'22 Oct Tues'!BJ74:BJ84,'23 Oct Wed'!BJ74:BJ84,'24 Oct Thurs'!BJ74:BJ84,'25 Oct Fri'!BJ74:BJ84,'26 Oct Sat'!BJ74:BJ84)</f>
        <v>6</v>
      </c>
      <c r="AN74" s="379">
        <f>SUM('21 Oct Mon'!BK74:BK84,'22 Oct Tues'!BK74:BK84,'23 Oct Wed'!BK74:BK84,'24 Oct Thurs'!BK74:BK84,'25 Oct Fri'!BK74:BK84,'26 Oct Sat'!BK74:BK84)</f>
        <v>0</v>
      </c>
      <c r="AO74" s="385">
        <f>SUM('21 Oct Mon'!BL74:BL84,'22 Oct Tues'!BL74:BL84,'23 Oct Wed'!BL74:BL84,'24 Oct Thurs'!BL74:BL84,'25 Oct Fri'!BL74:BL84,'26 Oct Sat'!BL74:BL84)</f>
        <v>0</v>
      </c>
      <c r="AP74" s="386">
        <f>SUM('21 Oct Mon'!BM74:BM84,'22 Oct Tues'!BM74:BM84,'23 Oct Wed'!BM74:BM84,'24 Oct Thurs'!BM74:BM84,'25 Oct Fri'!BM74:BM84,'26 Oct Sat'!BM74:BM84)</f>
        <v>0</v>
      </c>
      <c r="AQ74" s="387">
        <f>SUM('21 Oct Mon'!BN74:BN84,'22 Oct Tues'!BN74:BN84,'23 Oct Wed'!BN74:BN84,'24 Oct Thurs'!BN74:BN84,'25 Oct Fri'!BN74:BN84,'26 Oct Sat'!BN74:BN84)</f>
        <v>0</v>
      </c>
      <c r="AR74" s="379">
        <f>SUM('21 Oct Mon'!BO74:BO84,'22 Oct Tues'!BO74:BO84,'23 Oct Wed'!BO74:BO84,'24 Oct Thurs'!BO74:BO84,'25 Oct Fri'!BO74:BO84,'26 Oct Sat'!BO74:BO84)</f>
        <v>0</v>
      </c>
      <c r="AS74" s="379">
        <f>SUM('21 Oct Mon'!BP74:BP84,'22 Oct Tues'!BP74:BP84,'23 Oct Wed'!BP74:BP84,'24 Oct Thurs'!BP74:BP84,'25 Oct Fri'!BP74:BP84,'26 Oct Sat'!BP74:BP84)</f>
        <v>0</v>
      </c>
      <c r="AT74" s="382">
        <f>SUM('21 Oct Mon'!BR74:BR84,'22 Oct Tues'!BR74:BR84,'23 Oct Wed'!BR74:BR84,'24 Oct Thurs'!BR74:BR84,'25 Oct Fri'!BR74:BR84,'26 Oct Sat'!BR74:BR84)</f>
        <v>15</v>
      </c>
      <c r="AU74" s="384">
        <f>SUM('21 Oct Mon'!BS74:BS84,'22 Oct Tues'!BS74:BS84,'23 Oct Wed'!BS74:BS84,'24 Oct Thurs'!BS74:BS84,'25 Oct Fri'!BS74:BS84,'26 Oct Sat'!BS74:BS84)</f>
        <v>0</v>
      </c>
      <c r="AV74" s="379">
        <f>SUM('21 Oct Mon'!BT74:BT84,'22 Oct Tues'!BT74:BT84,'23 Oct Wed'!BT74:BT84,'24 Oct Thurs'!BT74:BT84,'25 Oct Fri'!BT74:BT84,'26 Oct Sat'!BT74:BT84)</f>
        <v>0</v>
      </c>
      <c r="AW74" s="379">
        <f>SUM('21 Oct Mon'!BU74:BU84,'22 Oct Tues'!BU74:BU84,'23 Oct Wed'!BU74:BU84,'24 Oct Thurs'!BU74:BU84,'25 Oct Fri'!BU74:BU84,'26 Oct Sat'!BU74:BU84)</f>
        <v>0</v>
      </c>
      <c r="AX74" s="382">
        <f>SUM('21 Oct Mon'!BV74:BV84,'22 Oct Tues'!BV74:BV84,'23 Oct Wed'!BV74:BV84,'24 Oct Thurs'!BV74:BV84,'25 Oct Fri'!BV74:BV84,'26 Oct Sat'!BV74:BV84)</f>
        <v>0</v>
      </c>
      <c r="AY74" s="379">
        <f>SUM('21 Oct Mon'!BW74:BW84,'22 Oct Tues'!BW74:BW84,'23 Oct Wed'!BW74:BW84,'24 Oct Thurs'!BW74:BW84,'25 Oct Fri'!BW74:BW84,'26 Oct Sat'!BW74:BW84)</f>
        <v>0</v>
      </c>
      <c r="AZ74" s="385">
        <f>SUM('21 Oct Mon'!BX74:BX84,'22 Oct Tues'!BX74:BX84,'23 Oct Wed'!BX74:BX84,'24 Oct Thurs'!BX74:BX84,'25 Oct Fri'!BX74:BX84,'26 Oct Sat'!BX74:BX84)</f>
        <v>0</v>
      </c>
      <c r="BA74" s="386">
        <f>SUM('21 Oct Mon'!BY74:BY84,'22 Oct Tues'!BY74:BY84,'23 Oct Wed'!BY74:BY84,'24 Oct Thurs'!BY74:BY84,'25 Oct Fri'!BY74:BY84,'26 Oct Sat'!BY74:BY84)</f>
        <v>0</v>
      </c>
      <c r="BB74" s="386">
        <f>SUM('21 Oct Mon'!BZ74:BZ84,'22 Oct Tues'!BZ74:BZ84,'23 Oct Wed'!BZ74:BZ84,'24 Oct Thurs'!BZ74:BZ84,'25 Oct Fri'!BZ74:BZ84,'26 Oct Sat'!BZ74:BZ84)</f>
        <v>0</v>
      </c>
      <c r="BC74" s="386">
        <f>SUM('21 Oct Mon'!CA74:CA84,'22 Oct Tues'!CA74:CA84,'23 Oct Wed'!CA74:CA84,'24 Oct Thurs'!CA74:CA84,'25 Oct Fri'!CA74:CA84,'26 Oct Sat'!CA74:CA84)</f>
        <v>0</v>
      </c>
      <c r="BD74" s="386">
        <f>SUM('21 Oct Mon'!CB74:CB84,'22 Oct Tues'!CB74:CB84,'23 Oct Wed'!CB74:CB84,'24 Oct Thurs'!CB74:CB84,'25 Oct Fri'!CB74:CB84,'26 Oct Sat'!CB74:CB84)</f>
        <v>0</v>
      </c>
      <c r="BE74" s="386">
        <f>SUM('21 Oct Mon'!CC74:CC84,'22 Oct Tues'!CC74:CC84,'23 Oct Wed'!CC74:CC84,'24 Oct Thurs'!CC74:CC84,'25 Oct Fri'!CC74:CC84,'26 Oct Sat'!CC74:CC84)</f>
        <v>0</v>
      </c>
      <c r="BF74" s="386" t="str">
        <f>CONCATENATE("Mon-",'21 Oct Mon'!CD74:CD84,",Tues-",'22 Oct Tues'!CD74:CD84,",Wed-",'23 Oct Wed'!CD74:CD84,",Thurs-",'24 Oct Thurs'!CD74:CD84,",Fri-",'25 Oct Fri'!CD74:CD84,",Sat-",'26 Oct Sat'!CD74:CD84)</f>
        <v>Mon-,Tues-,Wed-,Thurs-,Fri-,Sat-</v>
      </c>
      <c r="BG74" s="388">
        <f>SUM('21 Oct Mon'!CE74:CE84,'22 Oct Tues'!CE74:CE84,'23 Oct Wed'!CE74:CE84,'24 Oct Thurs'!CE74:CE84,'25 Oct Fri'!CE74:CE84,'26 Oct Sat'!CE74:CE84)</f>
        <v>0</v>
      </c>
      <c r="BH74" s="389" t="str">
        <f>CONCATENATE("Mon-",'21 Oct Mon'!CF74:CF84,",Tues-",'22 Oct Tues'!CF74:CF84,",Wed-",'23 Oct Wed'!CF74:CF84,",Thurs-",'24 Oct Thurs'!CF74:CF84,",Fri-",'25 Oct Fri'!CF74:CF84,",Sat-",'26 Oct Sat'!CF74:CF84)</f>
        <v>Mon-Paper Setting of SEM-III DE T1 Exam,Tues-,Wed-,Thurs-Internship drive supervision 11:45am to 01:05pm (80 Min),Fri-Supervision of Practical Round in Internship drive
(1:35pm to 4:05pm-150min),Sat-Paper setting of Remedial SEM-IV TOC Exam</v>
      </c>
      <c r="BI74" s="383">
        <f>SUM('21 Oct Mon'!CG74:CG84,'22 Oct Tues'!CG74:CG84,'23 Oct Wed'!CG74:CG84,'24 Oct Thurs'!CG74:CG84,'25 Oct Fri'!CG74:CG84,'26 Oct Sat'!CG74:CG84)</f>
        <v>3.833333333</v>
      </c>
      <c r="BJ74" s="382">
        <f>SUM('21 Oct Mon'!CH74:CH84,'22 Oct Tues'!CH74:CH84,'23 Oct Wed'!CH74:CH84,'24 Oct Thurs'!CH74:CH84,'25 Oct Fri'!CH74:CH84,'26 Oct Sat'!CH74:CH84)</f>
        <v>0</v>
      </c>
      <c r="BK74" s="384">
        <f>SUM('21 Oct Mon'!CI74:CI84,'22 Oct Tues'!CI74:CI84,'23 Oct Wed'!CI74:CI84,'24 Oct Thurs'!CI74:CI84,'25 Oct Fri'!CI74:CI84,'26 Oct Sat'!CI74:CI84)</f>
        <v>0</v>
      </c>
      <c r="BL74" s="382" t="str">
        <f>CONCATENATE("Mon-",'21 Oct Mon'!CJ74:CJ84,",Tues-",'22 Oct Tues'!CJ74:CJ84,",Wed-",'23 Oct Wed'!CJ74:CJ84,",Thurs-",'24 Oct Thurs'!CJ74:CJ84,",Fri-",'25 Oct Fri'!CJ74:CJ84,",Sat-",'26 Oct Sat'!CJ74:CJ84)</f>
        <v>Mon-,Tues-,Wed-,Thurs-,Fri-,Sat-</v>
      </c>
      <c r="BM74" s="384">
        <f>SUM('21 Oct Mon'!CK74:CK84,'22 Oct Tues'!CK74:CK84,'23 Oct Wed'!CK74:CK84,'24 Oct Thurs'!CK74:CK84,'25 Oct Fri'!CK74:CK84,'26 Oct Sat'!CK74:CK84)</f>
        <v>0</v>
      </c>
      <c r="BN74" s="382" t="str">
        <f>CONCATENATE("Mon-",'21 Oct Mon'!CL74:CL84,",Tues-",'22 Oct Tues'!CL74:CL84,",Wed-",'23 Oct Wed'!CL74:CL84,",Thurs-",'24 Oct Thurs'!CL74:CL84,",Fri-",'25 Oct Fri'!CL74:CL84,",Sat-",'26 Oct Sat'!CL74:CL84)</f>
        <v>Mon-,Tues-,Wed-,Thurs-,Fri-,Sat-</v>
      </c>
      <c r="BO74" s="384">
        <f>SUM('21 Oct Mon'!CM74:CM84,'22 Oct Tues'!CM74:CM84,'23 Oct Wed'!CM74:CM84,'24 Oct Thurs'!CM74:CM84,'25 Oct Fri'!CM74:CM84,'26 Oct Sat'!CM74:CM84)</f>
        <v>0</v>
      </c>
      <c r="BP74" s="385" t="str">
        <f>CONCATENATE("Mon-",'21 Oct Mon'!CN74:CN84,",Tues-",'22 Oct Tues'!CN74:CN84,",Wed-",'23 Oct Wed'!CN74:CN84,",Thurs-",'24 Oct Thurs'!CN74:CN84,",Fri-",'25 Oct Fri'!CN74:CN84,",Sat-",'26 Oct Sat'!CN74:CN84)</f>
        <v>Mon-,Tues-,Wed-,Thurs-,Fri-,Sat-</v>
      </c>
      <c r="BQ74" s="387">
        <f>SUM('21 Oct Mon'!CO74:CO84,'22 Oct Tues'!CO74:CO84,'23 Oct Wed'!CO74:CO84,'24 Oct Thurs'!CO74:CO84,'25 Oct Fri'!CO74:CO84,'26 Oct Sat'!CO74:CO84)</f>
        <v>0</v>
      </c>
      <c r="BR74" s="379" t="str">
        <f>CONCATENATE("Mon-",'21 Oct Mon'!CP74:CP84,",Tues-",'22 Oct Tues'!CP74:CP84,",Wed-",'23 Oct Wed'!CP74:CP84,",Thurs-",'24 Oct Thurs'!CP74:CP84,",Fri-",'25 Oct Fri'!CP74:CP84,",Sat-",'26 Oct Sat'!CP74:CP84)</f>
        <v>Mon-,Tues-,Wed-,Thurs-,Fri-,Sat-</v>
      </c>
      <c r="BS74" s="390">
        <f>SUM('21 Oct Mon'!CQ74:CQ84,'22 Oct Tues'!CQ74:CQ84,'23 Oct Wed'!CQ74:CQ84,'24 Oct Thurs'!CQ74:CQ84,'25 Oct Fri'!CQ74:CQ84,'26 Oct Sat'!CQ74:CQ84)</f>
        <v>0</v>
      </c>
      <c r="BT74" s="390">
        <f>SUM('21 Oct Mon'!CR74:CR84,'22 Oct Tues'!CR74:CR84,'23 Oct Wed'!CR74:CR84,'24 Oct Thurs'!CR74:CR84,'25 Oct Fri'!CR74:CR84,'26 Oct Sat'!CR74:CR84)</f>
        <v>0</v>
      </c>
      <c r="BU74" s="391">
        <f>SUM('21 Oct Mon'!CS74:CS84,'22 Oct Tues'!CS74:CS84,'23 Oct Wed'!CS74:CS84,'24 Oct Thurs'!CS74:CS84,'25 Oct Fri'!CS74:CS84,'26 Oct Sat'!CS74:CS84)</f>
        <v>0</v>
      </c>
      <c r="BV74" s="392">
        <f>SUM('21 Oct Mon'!CT74:CT84,'22 Oct Tues'!CT74:CT84,'23 Oct Wed'!CT74:CT84,'24 Oct Thurs'!CT74:CT84,'25 Oct Fri'!CT74:CT84,'26 Oct Sat'!CT74:CT84)</f>
        <v>12.02777778</v>
      </c>
      <c r="BW74" s="393" t="str">
        <f>LEFT(U74,FIND("(",U74,1)-2)</f>
        <v>0</v>
      </c>
      <c r="BX74" s="394"/>
    </row>
    <row r="75" ht="61.5" customHeight="1">
      <c r="A75" s="177"/>
      <c r="C75" s="205" t="s">
        <v>170</v>
      </c>
      <c r="D75" s="408"/>
      <c r="E75" s="409"/>
      <c r="F75" s="409"/>
      <c r="G75" s="409"/>
      <c r="H75" s="409"/>
      <c r="I75" s="409"/>
      <c r="J75" s="398"/>
      <c r="K75" s="398">
        <f t="shared" si="1"/>
        <v>0</v>
      </c>
      <c r="L75" s="66"/>
      <c r="M75" s="173"/>
      <c r="N75" s="177"/>
      <c r="O75" s="178"/>
      <c r="P75" s="178"/>
      <c r="Q75" s="178"/>
      <c r="R75" s="178"/>
      <c r="S75" s="182"/>
      <c r="T75" s="65"/>
      <c r="U75" s="64"/>
      <c r="V75" s="66"/>
      <c r="W75" s="173"/>
      <c r="X75" s="173"/>
      <c r="Y75" s="65"/>
      <c r="Z75" s="65"/>
      <c r="AA75" s="65"/>
      <c r="AB75" s="65"/>
      <c r="AC75" s="173"/>
      <c r="AD75" s="166"/>
      <c r="AE75" s="166"/>
      <c r="AF75" s="166"/>
      <c r="AG75" s="166"/>
      <c r="AH75" s="65"/>
      <c r="AJ75" s="177"/>
      <c r="AK75" s="178"/>
      <c r="AL75" s="181"/>
      <c r="AM75" s="166"/>
      <c r="AN75" s="166"/>
      <c r="AO75" s="177"/>
      <c r="AP75" s="178"/>
      <c r="AQ75" s="181"/>
      <c r="AR75" s="166"/>
      <c r="AS75" s="166"/>
      <c r="AT75" s="177"/>
      <c r="AU75" s="181"/>
      <c r="AV75" s="166"/>
      <c r="AW75" s="166"/>
      <c r="AX75" s="177"/>
      <c r="AY75" s="166"/>
      <c r="AZ75" s="177"/>
      <c r="BA75" s="178"/>
      <c r="BB75" s="178"/>
      <c r="BC75" s="178"/>
      <c r="BD75" s="178"/>
      <c r="BE75" s="178"/>
      <c r="BF75" s="178"/>
      <c r="BG75" s="179"/>
      <c r="BH75" s="180"/>
      <c r="BI75" s="178"/>
      <c r="BJ75" s="177"/>
      <c r="BK75" s="181"/>
      <c r="BL75" s="177"/>
      <c r="BM75" s="181"/>
      <c r="BN75" s="177"/>
      <c r="BO75" s="181"/>
      <c r="BP75" s="177"/>
      <c r="BQ75" s="181"/>
      <c r="BR75" s="166"/>
      <c r="BS75" s="166"/>
      <c r="BT75" s="166"/>
      <c r="BU75" s="65"/>
      <c r="BW75" s="178"/>
      <c r="BX75" s="399"/>
    </row>
    <row r="76" ht="61.5" customHeight="1">
      <c r="A76" s="177"/>
      <c r="C76" s="205" t="s">
        <v>170</v>
      </c>
      <c r="D76" s="408"/>
      <c r="E76" s="409"/>
      <c r="F76" s="409"/>
      <c r="G76" s="409"/>
      <c r="H76" s="409"/>
      <c r="I76" s="409"/>
      <c r="J76" s="398"/>
      <c r="K76" s="398">
        <f t="shared" si="1"/>
        <v>0</v>
      </c>
      <c r="L76" s="66"/>
      <c r="M76" s="173"/>
      <c r="N76" s="177"/>
      <c r="O76" s="178"/>
      <c r="P76" s="178"/>
      <c r="Q76" s="178"/>
      <c r="R76" s="178"/>
      <c r="S76" s="182"/>
      <c r="T76" s="65"/>
      <c r="U76" s="64"/>
      <c r="V76" s="66"/>
      <c r="W76" s="173"/>
      <c r="X76" s="173"/>
      <c r="Y76" s="65"/>
      <c r="Z76" s="65"/>
      <c r="AA76" s="65"/>
      <c r="AB76" s="65"/>
      <c r="AC76" s="173"/>
      <c r="AD76" s="166"/>
      <c r="AE76" s="166"/>
      <c r="AF76" s="166"/>
      <c r="AG76" s="166"/>
      <c r="AH76" s="65"/>
      <c r="AJ76" s="177"/>
      <c r="AK76" s="178"/>
      <c r="AL76" s="181"/>
      <c r="AM76" s="166"/>
      <c r="AN76" s="166"/>
      <c r="AO76" s="177"/>
      <c r="AP76" s="178"/>
      <c r="AQ76" s="181"/>
      <c r="AR76" s="166"/>
      <c r="AS76" s="166"/>
      <c r="AT76" s="177"/>
      <c r="AU76" s="181"/>
      <c r="AV76" s="166"/>
      <c r="AW76" s="166"/>
      <c r="AX76" s="177"/>
      <c r="AY76" s="166"/>
      <c r="AZ76" s="177"/>
      <c r="BA76" s="178"/>
      <c r="BB76" s="178"/>
      <c r="BC76" s="178"/>
      <c r="BD76" s="178"/>
      <c r="BE76" s="178"/>
      <c r="BF76" s="178"/>
      <c r="BG76" s="179"/>
      <c r="BH76" s="180"/>
      <c r="BI76" s="178"/>
      <c r="BJ76" s="177"/>
      <c r="BK76" s="181"/>
      <c r="BL76" s="177"/>
      <c r="BM76" s="181"/>
      <c r="BN76" s="177"/>
      <c r="BO76" s="181"/>
      <c r="BP76" s="177"/>
      <c r="BQ76" s="181"/>
      <c r="BR76" s="166"/>
      <c r="BS76" s="166"/>
      <c r="BT76" s="166"/>
      <c r="BU76" s="65"/>
      <c r="BW76" s="178"/>
      <c r="BX76" s="399"/>
    </row>
    <row r="77" ht="61.5" customHeight="1">
      <c r="A77" s="177"/>
      <c r="C77" s="205" t="s">
        <v>170</v>
      </c>
      <c r="D77" s="408"/>
      <c r="E77" s="409"/>
      <c r="F77" s="409"/>
      <c r="G77" s="409"/>
      <c r="H77" s="409"/>
      <c r="I77" s="409"/>
      <c r="J77" s="398"/>
      <c r="K77" s="398">
        <f t="shared" si="1"/>
        <v>0</v>
      </c>
      <c r="L77" s="66"/>
      <c r="M77" s="173"/>
      <c r="N77" s="177"/>
      <c r="O77" s="178"/>
      <c r="P77" s="178"/>
      <c r="Q77" s="178"/>
      <c r="R77" s="178"/>
      <c r="S77" s="182"/>
      <c r="T77" s="65"/>
      <c r="U77" s="64"/>
      <c r="V77" s="66"/>
      <c r="W77" s="173"/>
      <c r="X77" s="173"/>
      <c r="Y77" s="65"/>
      <c r="Z77" s="65"/>
      <c r="AA77" s="65"/>
      <c r="AB77" s="65"/>
      <c r="AC77" s="173"/>
      <c r="AD77" s="166"/>
      <c r="AE77" s="166"/>
      <c r="AF77" s="166"/>
      <c r="AG77" s="166"/>
      <c r="AH77" s="65"/>
      <c r="AJ77" s="177"/>
      <c r="AK77" s="178"/>
      <c r="AL77" s="181"/>
      <c r="AM77" s="166"/>
      <c r="AN77" s="166"/>
      <c r="AO77" s="177"/>
      <c r="AP77" s="178"/>
      <c r="AQ77" s="181"/>
      <c r="AR77" s="166"/>
      <c r="AS77" s="166"/>
      <c r="AT77" s="177"/>
      <c r="AU77" s="181"/>
      <c r="AV77" s="166"/>
      <c r="AW77" s="166"/>
      <c r="AX77" s="177"/>
      <c r="AY77" s="166"/>
      <c r="AZ77" s="177"/>
      <c r="BA77" s="178"/>
      <c r="BB77" s="178"/>
      <c r="BC77" s="178"/>
      <c r="BD77" s="178"/>
      <c r="BE77" s="178"/>
      <c r="BF77" s="178"/>
      <c r="BG77" s="179"/>
      <c r="BH77" s="180"/>
      <c r="BI77" s="178"/>
      <c r="BJ77" s="177"/>
      <c r="BK77" s="181"/>
      <c r="BL77" s="177"/>
      <c r="BM77" s="181"/>
      <c r="BN77" s="177"/>
      <c r="BO77" s="181"/>
      <c r="BP77" s="177"/>
      <c r="BQ77" s="181"/>
      <c r="BR77" s="166"/>
      <c r="BS77" s="166"/>
      <c r="BT77" s="166"/>
      <c r="BU77" s="65"/>
      <c r="BW77" s="178"/>
      <c r="BX77" s="399"/>
    </row>
    <row r="78" ht="61.5" customHeight="1">
      <c r="A78" s="177"/>
      <c r="C78" s="205" t="s">
        <v>170</v>
      </c>
      <c r="D78" s="395"/>
      <c r="E78" s="396"/>
      <c r="F78" s="396"/>
      <c r="G78" s="396"/>
      <c r="H78" s="396"/>
      <c r="I78" s="396"/>
      <c r="J78" s="398"/>
      <c r="K78" s="398">
        <f t="shared" si="1"/>
        <v>0</v>
      </c>
      <c r="L78" s="66"/>
      <c r="M78" s="173"/>
      <c r="N78" s="177"/>
      <c r="O78" s="178"/>
      <c r="P78" s="178"/>
      <c r="Q78" s="178"/>
      <c r="R78" s="178"/>
      <c r="S78" s="182"/>
      <c r="T78" s="65"/>
      <c r="U78" s="64"/>
      <c r="V78" s="66"/>
      <c r="W78" s="173"/>
      <c r="X78" s="173"/>
      <c r="Y78" s="65"/>
      <c r="Z78" s="65"/>
      <c r="AA78" s="65"/>
      <c r="AB78" s="65"/>
      <c r="AC78" s="173"/>
      <c r="AD78" s="166"/>
      <c r="AE78" s="166"/>
      <c r="AF78" s="166"/>
      <c r="AG78" s="166"/>
      <c r="AH78" s="65"/>
      <c r="AJ78" s="177"/>
      <c r="AK78" s="178"/>
      <c r="AL78" s="181"/>
      <c r="AM78" s="166"/>
      <c r="AN78" s="166"/>
      <c r="AO78" s="177"/>
      <c r="AP78" s="178"/>
      <c r="AQ78" s="181"/>
      <c r="AR78" s="166"/>
      <c r="AS78" s="166"/>
      <c r="AT78" s="177"/>
      <c r="AU78" s="181"/>
      <c r="AV78" s="166"/>
      <c r="AW78" s="166"/>
      <c r="AX78" s="177"/>
      <c r="AY78" s="166"/>
      <c r="AZ78" s="177"/>
      <c r="BA78" s="178"/>
      <c r="BB78" s="178"/>
      <c r="BC78" s="178"/>
      <c r="BD78" s="178"/>
      <c r="BE78" s="178"/>
      <c r="BF78" s="178"/>
      <c r="BG78" s="179"/>
      <c r="BH78" s="180"/>
      <c r="BI78" s="178"/>
      <c r="BJ78" s="177"/>
      <c r="BK78" s="181"/>
      <c r="BL78" s="177"/>
      <c r="BM78" s="181"/>
      <c r="BN78" s="177"/>
      <c r="BO78" s="181"/>
      <c r="BP78" s="177"/>
      <c r="BQ78" s="181"/>
      <c r="BR78" s="166"/>
      <c r="BS78" s="166"/>
      <c r="BT78" s="166"/>
      <c r="BU78" s="65"/>
      <c r="BW78" s="178"/>
      <c r="BX78" s="399"/>
    </row>
    <row r="79" ht="61.5" customHeight="1">
      <c r="A79" s="177"/>
      <c r="C79" s="205" t="s">
        <v>170</v>
      </c>
      <c r="D79" s="395"/>
      <c r="E79" s="396"/>
      <c r="F79" s="396"/>
      <c r="G79" s="396"/>
      <c r="H79" s="396"/>
      <c r="I79" s="396"/>
      <c r="J79" s="398"/>
      <c r="K79" s="398">
        <f t="shared" si="1"/>
        <v>0</v>
      </c>
      <c r="L79" s="66"/>
      <c r="M79" s="173"/>
      <c r="N79" s="177"/>
      <c r="O79" s="178"/>
      <c r="P79" s="178"/>
      <c r="Q79" s="178"/>
      <c r="R79" s="178"/>
      <c r="S79" s="182"/>
      <c r="T79" s="65"/>
      <c r="U79" s="64"/>
      <c r="V79" s="66"/>
      <c r="W79" s="173"/>
      <c r="X79" s="173"/>
      <c r="Y79" s="65"/>
      <c r="Z79" s="65"/>
      <c r="AA79" s="65"/>
      <c r="AB79" s="65"/>
      <c r="AC79" s="173"/>
      <c r="AD79" s="166"/>
      <c r="AE79" s="166"/>
      <c r="AF79" s="166"/>
      <c r="AG79" s="166"/>
      <c r="AH79" s="65"/>
      <c r="AJ79" s="177"/>
      <c r="AK79" s="178"/>
      <c r="AL79" s="181"/>
      <c r="AM79" s="166"/>
      <c r="AN79" s="166"/>
      <c r="AO79" s="177"/>
      <c r="AP79" s="178"/>
      <c r="AQ79" s="181"/>
      <c r="AR79" s="166"/>
      <c r="AS79" s="166"/>
      <c r="AT79" s="177"/>
      <c r="AU79" s="181"/>
      <c r="AV79" s="166"/>
      <c r="AW79" s="166"/>
      <c r="AX79" s="177"/>
      <c r="AY79" s="166"/>
      <c r="AZ79" s="177"/>
      <c r="BA79" s="178"/>
      <c r="BB79" s="178"/>
      <c r="BC79" s="178"/>
      <c r="BD79" s="178"/>
      <c r="BE79" s="178"/>
      <c r="BF79" s="178"/>
      <c r="BG79" s="179"/>
      <c r="BH79" s="180"/>
      <c r="BI79" s="178"/>
      <c r="BJ79" s="177"/>
      <c r="BK79" s="181"/>
      <c r="BL79" s="177"/>
      <c r="BM79" s="181"/>
      <c r="BN79" s="177"/>
      <c r="BO79" s="181"/>
      <c r="BP79" s="177"/>
      <c r="BQ79" s="181"/>
      <c r="BR79" s="166"/>
      <c r="BS79" s="166"/>
      <c r="BT79" s="166"/>
      <c r="BU79" s="65"/>
      <c r="BW79" s="178"/>
      <c r="BX79" s="399"/>
    </row>
    <row r="80" ht="61.5" customHeight="1">
      <c r="A80" s="177"/>
      <c r="C80" s="205" t="s">
        <v>170</v>
      </c>
      <c r="D80" s="395"/>
      <c r="E80" s="396"/>
      <c r="F80" s="396"/>
      <c r="G80" s="396"/>
      <c r="H80" s="396"/>
      <c r="I80" s="396"/>
      <c r="J80" s="398"/>
      <c r="K80" s="398">
        <f t="shared" si="1"/>
        <v>0</v>
      </c>
      <c r="L80" s="66"/>
      <c r="M80" s="173"/>
      <c r="N80" s="177"/>
      <c r="O80" s="178"/>
      <c r="P80" s="178"/>
      <c r="Q80" s="178"/>
      <c r="R80" s="178"/>
      <c r="S80" s="182"/>
      <c r="T80" s="65"/>
      <c r="U80" s="64"/>
      <c r="V80" s="66"/>
      <c r="W80" s="173"/>
      <c r="X80" s="173"/>
      <c r="Y80" s="65"/>
      <c r="Z80" s="65"/>
      <c r="AA80" s="65"/>
      <c r="AB80" s="65"/>
      <c r="AC80" s="173"/>
      <c r="AD80" s="166"/>
      <c r="AE80" s="166"/>
      <c r="AF80" s="166"/>
      <c r="AG80" s="166"/>
      <c r="AH80" s="65"/>
      <c r="AJ80" s="177"/>
      <c r="AK80" s="178"/>
      <c r="AL80" s="181"/>
      <c r="AM80" s="166"/>
      <c r="AN80" s="166"/>
      <c r="AO80" s="177"/>
      <c r="AP80" s="178"/>
      <c r="AQ80" s="181"/>
      <c r="AR80" s="166"/>
      <c r="AS80" s="166"/>
      <c r="AT80" s="177"/>
      <c r="AU80" s="181"/>
      <c r="AV80" s="166"/>
      <c r="AW80" s="166"/>
      <c r="AX80" s="177"/>
      <c r="AY80" s="166"/>
      <c r="AZ80" s="177"/>
      <c r="BA80" s="178"/>
      <c r="BB80" s="178"/>
      <c r="BC80" s="178"/>
      <c r="BD80" s="178"/>
      <c r="BE80" s="178"/>
      <c r="BF80" s="178"/>
      <c r="BG80" s="179"/>
      <c r="BH80" s="180"/>
      <c r="BI80" s="178"/>
      <c r="BJ80" s="177"/>
      <c r="BK80" s="181"/>
      <c r="BL80" s="177"/>
      <c r="BM80" s="181"/>
      <c r="BN80" s="177"/>
      <c r="BO80" s="181"/>
      <c r="BP80" s="177"/>
      <c r="BQ80" s="181"/>
      <c r="BR80" s="166"/>
      <c r="BS80" s="166"/>
      <c r="BT80" s="166"/>
      <c r="BU80" s="65"/>
      <c r="BW80" s="178"/>
      <c r="BX80" s="399"/>
    </row>
    <row r="81" ht="61.5" customHeight="1">
      <c r="A81" s="177"/>
      <c r="C81" s="205" t="s">
        <v>170</v>
      </c>
      <c r="D81" s="395"/>
      <c r="E81" s="396"/>
      <c r="F81" s="396"/>
      <c r="G81" s="396"/>
      <c r="H81" s="396"/>
      <c r="I81" s="396"/>
      <c r="J81" s="398"/>
      <c r="K81" s="398">
        <f t="shared" si="1"/>
        <v>0</v>
      </c>
      <c r="L81" s="66"/>
      <c r="M81" s="173"/>
      <c r="N81" s="177"/>
      <c r="O81" s="178"/>
      <c r="P81" s="178"/>
      <c r="Q81" s="178"/>
      <c r="R81" s="178"/>
      <c r="S81" s="182"/>
      <c r="T81" s="65"/>
      <c r="U81" s="64"/>
      <c r="V81" s="66"/>
      <c r="W81" s="173"/>
      <c r="X81" s="173"/>
      <c r="Y81" s="65"/>
      <c r="Z81" s="65"/>
      <c r="AA81" s="65"/>
      <c r="AB81" s="65"/>
      <c r="AC81" s="173"/>
      <c r="AD81" s="166"/>
      <c r="AE81" s="166"/>
      <c r="AF81" s="166"/>
      <c r="AG81" s="166"/>
      <c r="AH81" s="65"/>
      <c r="AJ81" s="177"/>
      <c r="AK81" s="178"/>
      <c r="AL81" s="181"/>
      <c r="AM81" s="166"/>
      <c r="AN81" s="166"/>
      <c r="AO81" s="177"/>
      <c r="AP81" s="178"/>
      <c r="AQ81" s="181"/>
      <c r="AR81" s="166"/>
      <c r="AS81" s="166"/>
      <c r="AT81" s="177"/>
      <c r="AU81" s="181"/>
      <c r="AV81" s="166"/>
      <c r="AW81" s="166"/>
      <c r="AX81" s="177"/>
      <c r="AY81" s="166"/>
      <c r="AZ81" s="177"/>
      <c r="BA81" s="178"/>
      <c r="BB81" s="178"/>
      <c r="BC81" s="178"/>
      <c r="BD81" s="178"/>
      <c r="BE81" s="178"/>
      <c r="BF81" s="178"/>
      <c r="BG81" s="179"/>
      <c r="BH81" s="180"/>
      <c r="BI81" s="178"/>
      <c r="BJ81" s="177"/>
      <c r="BK81" s="181"/>
      <c r="BL81" s="177"/>
      <c r="BM81" s="181"/>
      <c r="BN81" s="177"/>
      <c r="BO81" s="181"/>
      <c r="BP81" s="177"/>
      <c r="BQ81" s="181"/>
      <c r="BR81" s="166"/>
      <c r="BS81" s="166"/>
      <c r="BT81" s="166"/>
      <c r="BU81" s="65"/>
      <c r="BW81" s="178"/>
      <c r="BX81" s="399"/>
    </row>
    <row r="82" ht="61.5" customHeight="1">
      <c r="A82" s="177"/>
      <c r="C82" s="205" t="s">
        <v>170</v>
      </c>
      <c r="D82" s="395"/>
      <c r="E82" s="396"/>
      <c r="F82" s="396"/>
      <c r="G82" s="396"/>
      <c r="H82" s="396"/>
      <c r="I82" s="396"/>
      <c r="J82" s="398"/>
      <c r="K82" s="398">
        <f t="shared" si="1"/>
        <v>0</v>
      </c>
      <c r="L82" s="66"/>
      <c r="M82" s="173"/>
      <c r="N82" s="177"/>
      <c r="O82" s="178"/>
      <c r="P82" s="178"/>
      <c r="Q82" s="178"/>
      <c r="R82" s="178"/>
      <c r="S82" s="182"/>
      <c r="T82" s="65"/>
      <c r="U82" s="64"/>
      <c r="V82" s="66"/>
      <c r="W82" s="173"/>
      <c r="X82" s="173"/>
      <c r="Y82" s="65"/>
      <c r="Z82" s="65"/>
      <c r="AA82" s="65"/>
      <c r="AB82" s="65"/>
      <c r="AC82" s="173"/>
      <c r="AD82" s="166"/>
      <c r="AE82" s="166"/>
      <c r="AF82" s="166"/>
      <c r="AG82" s="166"/>
      <c r="AH82" s="65"/>
      <c r="AJ82" s="177"/>
      <c r="AK82" s="178"/>
      <c r="AL82" s="181"/>
      <c r="AM82" s="166"/>
      <c r="AN82" s="166"/>
      <c r="AO82" s="177"/>
      <c r="AP82" s="178"/>
      <c r="AQ82" s="181"/>
      <c r="AR82" s="166"/>
      <c r="AS82" s="166"/>
      <c r="AT82" s="177"/>
      <c r="AU82" s="181"/>
      <c r="AV82" s="166"/>
      <c r="AW82" s="166"/>
      <c r="AX82" s="177"/>
      <c r="AY82" s="166"/>
      <c r="AZ82" s="177"/>
      <c r="BA82" s="178"/>
      <c r="BB82" s="178"/>
      <c r="BC82" s="178"/>
      <c r="BD82" s="178"/>
      <c r="BE82" s="178"/>
      <c r="BF82" s="178"/>
      <c r="BG82" s="179"/>
      <c r="BH82" s="180"/>
      <c r="BI82" s="178"/>
      <c r="BJ82" s="177"/>
      <c r="BK82" s="181"/>
      <c r="BL82" s="177"/>
      <c r="BM82" s="181"/>
      <c r="BN82" s="177"/>
      <c r="BO82" s="181"/>
      <c r="BP82" s="177"/>
      <c r="BQ82" s="181"/>
      <c r="BR82" s="166"/>
      <c r="BS82" s="166"/>
      <c r="BT82" s="166"/>
      <c r="BU82" s="65"/>
      <c r="BW82" s="178"/>
      <c r="BX82" s="399"/>
    </row>
    <row r="83" ht="61.5" customHeight="1">
      <c r="A83" s="177"/>
      <c r="C83" s="205" t="s">
        <v>170</v>
      </c>
      <c r="D83" s="395"/>
      <c r="E83" s="396"/>
      <c r="F83" s="396"/>
      <c r="G83" s="396"/>
      <c r="H83" s="396"/>
      <c r="I83" s="396"/>
      <c r="J83" s="398"/>
      <c r="K83" s="398">
        <f t="shared" si="1"/>
        <v>0</v>
      </c>
      <c r="L83" s="66"/>
      <c r="M83" s="173"/>
      <c r="N83" s="177"/>
      <c r="O83" s="178"/>
      <c r="P83" s="178"/>
      <c r="Q83" s="178"/>
      <c r="R83" s="178"/>
      <c r="S83" s="182"/>
      <c r="T83" s="65"/>
      <c r="U83" s="64"/>
      <c r="V83" s="66"/>
      <c r="W83" s="173"/>
      <c r="X83" s="173"/>
      <c r="Y83" s="65"/>
      <c r="Z83" s="65"/>
      <c r="AA83" s="65"/>
      <c r="AB83" s="65"/>
      <c r="AC83" s="173"/>
      <c r="AD83" s="166"/>
      <c r="AE83" s="166"/>
      <c r="AF83" s="166"/>
      <c r="AG83" s="166"/>
      <c r="AH83" s="65"/>
      <c r="AJ83" s="177"/>
      <c r="AK83" s="178"/>
      <c r="AL83" s="181"/>
      <c r="AM83" s="166"/>
      <c r="AN83" s="166"/>
      <c r="AO83" s="177"/>
      <c r="AP83" s="178"/>
      <c r="AQ83" s="181"/>
      <c r="AR83" s="166"/>
      <c r="AS83" s="166"/>
      <c r="AT83" s="177"/>
      <c r="AU83" s="181"/>
      <c r="AV83" s="166"/>
      <c r="AW83" s="166"/>
      <c r="AX83" s="177"/>
      <c r="AY83" s="166"/>
      <c r="AZ83" s="177"/>
      <c r="BA83" s="178"/>
      <c r="BB83" s="178"/>
      <c r="BC83" s="178"/>
      <c r="BD83" s="178"/>
      <c r="BE83" s="178"/>
      <c r="BF83" s="178"/>
      <c r="BG83" s="179"/>
      <c r="BH83" s="180"/>
      <c r="BI83" s="178"/>
      <c r="BJ83" s="177"/>
      <c r="BK83" s="181"/>
      <c r="BL83" s="177"/>
      <c r="BM83" s="181"/>
      <c r="BN83" s="177"/>
      <c r="BO83" s="181"/>
      <c r="BP83" s="177"/>
      <c r="BQ83" s="181"/>
      <c r="BR83" s="166"/>
      <c r="BS83" s="166"/>
      <c r="BT83" s="166"/>
      <c r="BU83" s="65"/>
      <c r="BW83" s="178"/>
      <c r="BX83" s="399"/>
    </row>
    <row r="84" ht="61.5" customHeight="1">
      <c r="A84" s="192"/>
      <c r="B84" s="6"/>
      <c r="C84" s="210" t="s">
        <v>170</v>
      </c>
      <c r="D84" s="400"/>
      <c r="E84" s="401"/>
      <c r="F84" s="401"/>
      <c r="G84" s="401"/>
      <c r="H84" s="401"/>
      <c r="I84" s="401"/>
      <c r="J84" s="403"/>
      <c r="K84" s="403">
        <f t="shared" si="1"/>
        <v>0</v>
      </c>
      <c r="L84" s="68"/>
      <c r="M84" s="69"/>
      <c r="N84" s="192"/>
      <c r="O84" s="193"/>
      <c r="P84" s="193"/>
      <c r="Q84" s="193"/>
      <c r="R84" s="193"/>
      <c r="S84" s="197"/>
      <c r="T84" s="89"/>
      <c r="U84" s="103"/>
      <c r="V84" s="68"/>
      <c r="W84" s="69"/>
      <c r="X84" s="69"/>
      <c r="Y84" s="89"/>
      <c r="Z84" s="89"/>
      <c r="AA84" s="89"/>
      <c r="AB84" s="89"/>
      <c r="AC84" s="69"/>
      <c r="AD84" s="63"/>
      <c r="AE84" s="63"/>
      <c r="AF84" s="63"/>
      <c r="AG84" s="63"/>
      <c r="AH84" s="89"/>
      <c r="AI84" s="6"/>
      <c r="AJ84" s="192"/>
      <c r="AK84" s="193"/>
      <c r="AL84" s="196"/>
      <c r="AM84" s="63"/>
      <c r="AN84" s="63"/>
      <c r="AO84" s="192"/>
      <c r="AP84" s="193"/>
      <c r="AQ84" s="196"/>
      <c r="AR84" s="63"/>
      <c r="AS84" s="63"/>
      <c r="AT84" s="192"/>
      <c r="AU84" s="196"/>
      <c r="AV84" s="63"/>
      <c r="AW84" s="63"/>
      <c r="AX84" s="192"/>
      <c r="AY84" s="63"/>
      <c r="AZ84" s="192"/>
      <c r="BA84" s="193"/>
      <c r="BB84" s="193"/>
      <c r="BC84" s="193"/>
      <c r="BD84" s="193"/>
      <c r="BE84" s="193"/>
      <c r="BF84" s="193"/>
      <c r="BG84" s="194"/>
      <c r="BH84" s="195"/>
      <c r="BI84" s="193"/>
      <c r="BJ84" s="192"/>
      <c r="BK84" s="196"/>
      <c r="BL84" s="192"/>
      <c r="BM84" s="196"/>
      <c r="BN84" s="192"/>
      <c r="BO84" s="196"/>
      <c r="BP84" s="192"/>
      <c r="BQ84" s="196"/>
      <c r="BR84" s="63"/>
      <c r="BS84" s="63"/>
      <c r="BT84" s="63"/>
      <c r="BU84" s="89"/>
      <c r="BV84" s="6"/>
      <c r="BW84" s="198"/>
      <c r="BX84" s="404"/>
    </row>
    <row r="85" ht="61.5" customHeight="1">
      <c r="A85" s="363">
        <v>8.0</v>
      </c>
      <c r="B85" s="199" t="s">
        <v>174</v>
      </c>
      <c r="C85" s="168" t="s">
        <v>175</v>
      </c>
      <c r="D85" s="423"/>
      <c r="E85" s="424"/>
      <c r="F85" s="409"/>
      <c r="G85" s="409"/>
      <c r="H85" s="409"/>
      <c r="I85" s="409"/>
      <c r="J85" s="366"/>
      <c r="K85" s="367">
        <f t="shared" si="1"/>
        <v>0</v>
      </c>
      <c r="L85" s="368">
        <f>SUM(I85:I95)+SUM(K85:K95)*1</f>
        <v>0</v>
      </c>
      <c r="M85" s="368">
        <f>SUM('21 Oct Mon'!Q85:Q95,'22 Oct Tues'!Q85:Q95,'23 Oct Wed'!Q85:Q95,'24 Oct Thurs'!Q85:Q95,'25 Oct Fri'!Q85:Q95,'26 Oct Sat'!Q85:Q95)</f>
        <v>0</v>
      </c>
      <c r="N85" s="369">
        <f>SUM('21 Oct Mon'!R85:R95,'22 Oct Tues'!R85:R95,'23 Oct Wed'!R85:R95,'24 Oct Thurs'!R85:R95,'25 Oct Fri'!R85:R95,'26 Oct Sat'!R85:R95)</f>
        <v>0</v>
      </c>
      <c r="O85" s="370">
        <f>SUM(L85:N95)</f>
        <v>0</v>
      </c>
      <c r="P85" s="370">
        <f>SUM('21 Oct Mon'!T85:T95,'22 Oct Tues'!T85:T95,'23 Oct Wed'!T85:T95,'24 Oct Thurs'!T85:T95,'25 Oct Fri'!T85:T95,'26 Oct Sat'!T85:T95)</f>
        <v>0</v>
      </c>
      <c r="Q85" s="370">
        <f>SUM('21 Oct Mon'!U85:U95,'22 Oct Tues'!U85:U95,'23 Oct Wed'!U85:U95,'24 Oct Thurs'!U85:U95,'25 Oct Fri'!U85:U95,'26 Oct Sat'!U85:U95)</f>
        <v>0</v>
      </c>
      <c r="R85" s="370">
        <f>SUM('21 Oct Mon'!V85:V95,'22 Oct Tues'!V85:V95,'23 Oct Wed'!V85:V95,'24 Oct Thurs'!V85:V95,'25 Oct Fri'!V85:V95,'26 Oct Sat'!V85:V95)</f>
        <v>0</v>
      </c>
      <c r="S85" s="371">
        <f>SUM('21 Oct Mon'!W85:W95,'22 Oct Tues'!W85:W95,'23 Oct Wed'!W85:W95,'24 Oct Thurs'!W85:W95,'25 Oct Fri'!W85:W95,'26 Oct Sat'!W85:W95)</f>
        <v>0</v>
      </c>
      <c r="T85" s="372">
        <f>O85-P85-Q85-R85-S85</f>
        <v>0</v>
      </c>
      <c r="U85" s="373" t="str">
        <f>CONCATENATE(SUM('21 Oct Mon'!O85:O95,'22 Oct Tues'!O85:O95,'23 Oct Wed'!O85:O95,'24 Oct Thurs'!O85:O95,'25 Oct Fri'!O85:O95,'26 Oct Sat'!O85:O95),"
(",(SUM('21 Oct Mon'!O85:O95,'22 Oct Tues'!O85:O95,'23 Oct Wed'!O85:O95,'24 Oct Thurs'!O85:O95,'25 Oct Fri'!O85:O95,'26 Oct Sat'!O85:O95)-T85),")")</f>
        <v>0
(0)</v>
      </c>
      <c r="V85" s="374" t="str">
        <f>CONCATENATE("Mon-",'21 Oct Mon'!Z85:Z95,",Tues-",'22 Oct Tues'!Z85:Z95,",Wed-",'23 Oct Wed'!Z85:Z95,",Thurs-",'24 Oct Thurs'!Z85:Z95,",Fri-",'25 Oct Fri'!Z85:Z95,",Sat-",'26 Oct Sat'!Z85:Z95)</f>
        <v>Mon-,Tues-,Wed-,Thurs-,Fri-,Sat-</v>
      </c>
      <c r="W85" s="375">
        <f>SUM('21 Oct Mon'!AI85:AI95,'22 Oct Tues'!AI85:AI95,'23 Oct Wed'!AI85:AI95,'24 Oct Thurs'!AI85:AI95,'25 Oct Fri'!AI85:AI95,'26 Oct Sat'!AI85:AI95)</f>
        <v>0</v>
      </c>
      <c r="X85" s="375">
        <f>SUM('21 Oct Mon'!AM85:AM95,'22 Oct Tues'!AM85:AM95,'23 Oct Wed'!AM85:AM95,'24 Oct Thurs'!AM85:AM95,'25 Oct Fri'!AM85:AM95,'26 Oct Sat'!AM85:AM95)</f>
        <v>0</v>
      </c>
      <c r="Y85" s="376">
        <f>SUM('21 Oct Mon'!AP85:AP95,'22 Oct Tues'!AP85:AP95,'23 Oct Wed'!AP85:AP95,'24 Oct Thurs'!AP85:AP95,'25 Oct Fri'!AP85:AP95,'26 Oct Sat'!AP85:AP95)</f>
        <v>0</v>
      </c>
      <c r="Z85" s="376">
        <f>SUM('21 Oct Mon'!AQ85:AQ95,'22 Oct Tues'!AQ85:AQ95,'23 Oct Wed'!AQ85:AQ95,'24 Oct Thurs'!AQ85:AQ95,'25 Oct Fri'!AQ85:AQ95,'26 Oct Sat'!AQ85:AQ95)</f>
        <v>0</v>
      </c>
      <c r="AA85" s="377">
        <f>SUM('21 Oct Mon'!AR85:AR95,'22 Oct Tues'!AR85:AR95,'23 Oct Wed'!AR85:AR95,'24 Oct Thurs'!AR85:AR95,'25 Oct Fri'!AR85:AR95,'26 Oct Sat'!AR85:AR95)</f>
        <v>0</v>
      </c>
      <c r="AB85" s="377">
        <f>SUM('21 Oct Mon'!AS85:AS95,'22 Oct Tues'!AS85:AS95,'23 Oct Wed'!AS85:AS95,'24 Oct Thurs'!AS85:AS95,'25 Oct Fri'!AS85:AS95,'26 Oct Sat'!AS85:AS95)</f>
        <v>23.57755556</v>
      </c>
      <c r="AC85" s="378">
        <f>SUM('21 Oct Mon'!AT85:AT95,'22 Oct Tues'!AT85:AT95,'23 Oct Wed'!AT85:AT95,'24 Oct Thurs'!AT85:AT95,'25 Oct Fri'!AT85:AT95,'26 Oct Sat'!AT85:AT95)</f>
        <v>5.894388889</v>
      </c>
      <c r="AD85" s="379">
        <f>SUM('21 Oct Mon'!AU85:AU95,'22 Oct Tues'!AU85:AU95,'23 Oct Wed'!AU85:AU95,'24 Oct Thurs'!AU85:AU95,'25 Oct Fri'!AU85:AU95,'26 Oct Sat'!AU85:AU95)</f>
        <v>0</v>
      </c>
      <c r="AE85" s="379">
        <f>SUM('21 Oct Mon'!AV85:AV95,'22 Oct Tues'!AV85:AV95,'23 Oct Wed'!AV85:AV95,'24 Oct Thurs'!AV85:AV95,'25 Oct Fri'!AV85:AV95,'26 Oct Sat'!AV85:AV95)</f>
        <v>0</v>
      </c>
      <c r="AF85" s="379">
        <f>SUM('21 Oct Mon'!AW85:AW95,'22 Oct Tues'!AW85:AW95,'23 Oct Wed'!AW85:AW95,'24 Oct Thurs'!AW85:AW95,'25 Oct Fri'!AW85:AW95,'26 Oct Sat'!AW85:AW95)</f>
        <v>0</v>
      </c>
      <c r="AG85" s="379">
        <f>SUM('21 Oct Mon'!AX85:AX95,'22 Oct Tues'!AX85:AX95,'23 Oct Wed'!AX85:AX95,'24 Oct Thurs'!AX85:AX95,'25 Oct Fri'!AX85:AX95,'26 Oct Sat'!AX85:AX95)</f>
        <v>0</v>
      </c>
      <c r="AH85" s="380">
        <f>SUM('21 Oct Mon'!AY85:AY95,'22 Oct Tues'!AY85:AY95,'23 Oct Wed'!AY85:AY95,'24 Oct Thurs'!AY85:AY95,'25 Oct Fri'!AY85:AY95,'26 Oct Sat'!AY85:AY95)</f>
        <v>0</v>
      </c>
      <c r="AI85" s="381">
        <f>SUM('21 Oct Mon'!AZ85:AZ95,'22 Oct Tues'!AZ85:AZ95,'23 Oct Wed'!AZ85:AZ95,'24 Oct Thurs'!AZ85:AZ95,'25 Oct Fri'!AZ85:AZ95,'26 Oct Sat'!AZ85:AZ95)</f>
        <v>0</v>
      </c>
      <c r="AJ85" s="382">
        <f>SUM('21 Oct Mon'!BG85:BG95,'22 Oct Tues'!BG85:BG95,'23 Oct Wed'!BG85:BG95,'24 Oct Thurs'!BG85:BG95,'25 Oct Fri'!BG85:BG95,'26 Oct Sat'!BG85:BG95)</f>
        <v>4</v>
      </c>
      <c r="AK85" s="383">
        <f>SUM('21 Oct Mon'!BH85:BH95,'22 Oct Tues'!BH85:BH95,'23 Oct Wed'!BH85:BH95,'24 Oct Thurs'!BH85:BH95,'25 Oct Fri'!BH85:BH95,'26 Oct Sat'!BH85:BH95)</f>
        <v>0</v>
      </c>
      <c r="AL85" s="384">
        <f>SUM('21 Oct Mon'!BI85:BI95,'22 Oct Tues'!BI85:BI95,'23 Oct Wed'!BI85:BI95,'24 Oct Thurs'!BI85:BI95,'25 Oct Fri'!BI85:BI95,'26 Oct Sat'!BI85:BI95)</f>
        <v>0</v>
      </c>
      <c r="AM85" s="379">
        <f>SUM('21 Oct Mon'!BJ85:BJ95,'22 Oct Tues'!BJ85:BJ95,'23 Oct Wed'!BJ85:BJ95,'24 Oct Thurs'!BJ85:BJ95,'25 Oct Fri'!BJ85:BJ95,'26 Oct Sat'!BJ85:BJ95)</f>
        <v>6</v>
      </c>
      <c r="AN85" s="379">
        <f>SUM('21 Oct Mon'!BK85:BK95,'22 Oct Tues'!BK85:BK95,'23 Oct Wed'!BK85:BK95,'24 Oct Thurs'!BK85:BK95,'25 Oct Fri'!BK85:BK95,'26 Oct Sat'!BK85:BK95)</f>
        <v>0</v>
      </c>
      <c r="AO85" s="385">
        <f>SUM('21 Oct Mon'!BL85:BL95,'22 Oct Tues'!BL85:BL95,'23 Oct Wed'!BL85:BL95,'24 Oct Thurs'!BL85:BL95,'25 Oct Fri'!BL85:BL95,'26 Oct Sat'!BL85:BL95)</f>
        <v>0</v>
      </c>
      <c r="AP85" s="386">
        <f>SUM('21 Oct Mon'!BM85:BM95,'22 Oct Tues'!BM85:BM95,'23 Oct Wed'!BM85:BM95,'24 Oct Thurs'!BM85:BM95,'25 Oct Fri'!BM85:BM95,'26 Oct Sat'!BM85:BM95)</f>
        <v>9.912</v>
      </c>
      <c r="AQ85" s="387">
        <f>SUM('21 Oct Mon'!BN85:BN95,'22 Oct Tues'!BN85:BN95,'23 Oct Wed'!BN85:BN95,'24 Oct Thurs'!BN85:BN95,'25 Oct Fri'!BN85:BN95,'26 Oct Sat'!BN85:BN95)</f>
        <v>0</v>
      </c>
      <c r="AR85" s="379">
        <f>SUM('21 Oct Mon'!BO85:BO95,'22 Oct Tues'!BO85:BO95,'23 Oct Wed'!BO85:BO95,'24 Oct Thurs'!BO85:BO95,'25 Oct Fri'!BO85:BO95,'26 Oct Sat'!BO85:BO95)</f>
        <v>0</v>
      </c>
      <c r="AS85" s="379">
        <f>SUM('21 Oct Mon'!BP85:BP95,'22 Oct Tues'!BP85:BP95,'23 Oct Wed'!BP85:BP95,'24 Oct Thurs'!BP85:BP95,'25 Oct Fri'!BP85:BP95,'26 Oct Sat'!BP85:BP95)</f>
        <v>0</v>
      </c>
      <c r="AT85" s="382">
        <f>SUM('21 Oct Mon'!BR85:BR95,'22 Oct Tues'!BR85:BR95,'23 Oct Wed'!BR85:BR95,'24 Oct Thurs'!BR85:BR95,'25 Oct Fri'!BR85:BR95,'26 Oct Sat'!BR85:BR95)</f>
        <v>10</v>
      </c>
      <c r="AU85" s="384">
        <f>SUM('21 Oct Mon'!BS85:BS95,'22 Oct Tues'!BS85:BS95,'23 Oct Wed'!BS85:BS95,'24 Oct Thurs'!BS85:BS95,'25 Oct Fri'!BS85:BS95,'26 Oct Sat'!BS85:BS95)</f>
        <v>0</v>
      </c>
      <c r="AV85" s="379">
        <f>SUM('21 Oct Mon'!BT85:BT95,'22 Oct Tues'!BT85:BT95,'23 Oct Wed'!BT85:BT95,'24 Oct Thurs'!BT85:BT95,'25 Oct Fri'!BT85:BT95,'26 Oct Sat'!BT85:BT95)</f>
        <v>0</v>
      </c>
      <c r="AW85" s="379">
        <f>SUM('21 Oct Mon'!BU85:BU95,'22 Oct Tues'!BU85:BU95,'23 Oct Wed'!BU85:BU95,'24 Oct Thurs'!BU85:BU95,'25 Oct Fri'!BU85:BU95,'26 Oct Sat'!BU85:BU95)</f>
        <v>0</v>
      </c>
      <c r="AX85" s="382">
        <f>SUM('21 Oct Mon'!BV85:BV95,'22 Oct Tues'!BV85:BV95,'23 Oct Wed'!BV85:BV95,'24 Oct Thurs'!BV85:BV95,'25 Oct Fri'!BV85:BV95,'26 Oct Sat'!BV85:BV95)</f>
        <v>0</v>
      </c>
      <c r="AY85" s="379">
        <f>SUM('21 Oct Mon'!BW85:BW95,'22 Oct Tues'!BW85:BW95,'23 Oct Wed'!BW85:BW95,'24 Oct Thurs'!BW85:BW95,'25 Oct Fri'!BW85:BW95,'26 Oct Sat'!BW85:BW95)</f>
        <v>0</v>
      </c>
      <c r="AZ85" s="385">
        <f>SUM('21 Oct Mon'!BX85:BX95,'22 Oct Tues'!BX85:BX95,'23 Oct Wed'!BX85:BX95,'24 Oct Thurs'!BX85:BX95,'25 Oct Fri'!BX85:BX95,'26 Oct Sat'!BX85:BX95)</f>
        <v>0</v>
      </c>
      <c r="BA85" s="386">
        <f>SUM('21 Oct Mon'!BY85:BY95,'22 Oct Tues'!BY85:BY95,'23 Oct Wed'!BY85:BY95,'24 Oct Thurs'!BY85:BY95,'25 Oct Fri'!BY85:BY95,'26 Oct Sat'!BY85:BY95)</f>
        <v>0</v>
      </c>
      <c r="BB85" s="386">
        <f>SUM('21 Oct Mon'!BZ85:BZ95,'22 Oct Tues'!BZ85:BZ95,'23 Oct Wed'!BZ85:BZ95,'24 Oct Thurs'!BZ85:BZ95,'25 Oct Fri'!BZ85:BZ95,'26 Oct Sat'!BZ85:BZ95)</f>
        <v>0</v>
      </c>
      <c r="BC85" s="386">
        <f>SUM('21 Oct Mon'!CA85:CA95,'22 Oct Tues'!CA85:CA95,'23 Oct Wed'!CA85:CA95,'24 Oct Thurs'!CA85:CA95,'25 Oct Fri'!CA85:CA95,'26 Oct Sat'!CA85:CA95)</f>
        <v>0</v>
      </c>
      <c r="BD85" s="386">
        <f>SUM('21 Oct Mon'!CB85:CB95,'22 Oct Tues'!CB85:CB95,'23 Oct Wed'!CB85:CB95,'24 Oct Thurs'!CB85:CB95,'25 Oct Fri'!CB85:CB95,'26 Oct Sat'!CB85:CB95)</f>
        <v>0</v>
      </c>
      <c r="BE85" s="386">
        <f>SUM('21 Oct Mon'!CC85:CC95,'22 Oct Tues'!CC85:CC95,'23 Oct Wed'!CC85:CC95,'24 Oct Thurs'!CC85:CC95,'25 Oct Fri'!CC85:CC95,'26 Oct Sat'!CC85:CC95)</f>
        <v>0</v>
      </c>
      <c r="BF85" s="386" t="str">
        <f>CONCATENATE("Mon-",'21 Oct Mon'!CD85:CD95,",Tues-",'22 Oct Tues'!CD85:CD95,",Wed-",'23 Oct Wed'!CD85:CD95,",Thurs-",'24 Oct Thurs'!CD85:CD95,",Fri-",'25 Oct Fri'!CD85:CD95,",Sat-",'26 Oct Sat'!CD85:CD95)</f>
        <v>Mon-,Tues-,Wed-,Thurs-,Fri-,Sat-</v>
      </c>
      <c r="BG85" s="388">
        <f>SUM('21 Oct Mon'!CE85:CE95,'22 Oct Tues'!CE85:CE95,'23 Oct Wed'!CE85:CE95,'24 Oct Thurs'!CE85:CE95,'25 Oct Fri'!CE85:CE95,'26 Oct Sat'!CE85:CE95)</f>
        <v>0</v>
      </c>
      <c r="BH85" s="389" t="str">
        <f>CONCATENATE("Mon-",'21 Oct Mon'!CF85:CF95,",Tues-",'22 Oct Tues'!CF85:CF95,",Wed-",'23 Oct Wed'!CF85:CF95,",Thurs-",'24 Oct Thurs'!CF85:CF95,",Fri-",'25 Oct Fri'!CF85:CF95,",Sat-",'26 Oct Sat'!CF85:CF95)</f>
        <v>Mon-Paper Setting of SEM-III FCSP-1 T1 Exam,Tues-SUPERVISION DONE IN INTERNSHIP DRIVE(MAGNUS MIND)ON 22-OCT2024, 11:35 TO 12:45,Wed-,Thurs-,Fri-,Sat-FCSP-2 REM paper setting summer-2024, present DURING VACATION LEAVE for FCSP-1 supervision duty on 25-10-2024 (1:20pm TO 5:40pm,4hrs20min),114 answer sheet checkedof FCSP-1,present DURING VACATION LEAVE for FCSP-1 online paper checking on 26-10-2024 (8:30am TO 12:30pm,4hrs)</v>
      </c>
      <c r="BI85" s="383">
        <f>SUM('21 Oct Mon'!CG85:CG95,'22 Oct Tues'!CG85:CG95,'23 Oct Wed'!CG85:CG95,'24 Oct Thurs'!CG85:CG95,'25 Oct Fri'!CG85:CG95,'26 Oct Sat'!CG85:CG95)</f>
        <v>9.496666667</v>
      </c>
      <c r="BJ85" s="382">
        <f>SUM('21 Oct Mon'!CH85:CH95,'22 Oct Tues'!CH85:CH95,'23 Oct Wed'!CH85:CH95,'24 Oct Thurs'!CH85:CH95,'25 Oct Fri'!CH85:CH95,'26 Oct Sat'!CH85:CH95)</f>
        <v>0</v>
      </c>
      <c r="BK85" s="384">
        <f>SUM('21 Oct Mon'!CI85:CI95,'22 Oct Tues'!CI85:CI95,'23 Oct Wed'!CI85:CI95,'24 Oct Thurs'!CI85:CI95,'25 Oct Fri'!CI85:CI95,'26 Oct Sat'!CI85:CI95)</f>
        <v>0</v>
      </c>
      <c r="BL85" s="382" t="str">
        <f>CONCATENATE("Mon-",'21 Oct Mon'!CJ85:CJ95,",Tues-",'22 Oct Tues'!CJ85:CJ95,",Wed-",'23 Oct Wed'!CJ85:CJ95,",Thurs-",'24 Oct Thurs'!CJ85:CJ95,",Fri-",'25 Oct Fri'!CJ85:CJ95,",Sat-",'26 Oct Sat'!CJ85:CJ95)</f>
        <v>Mon-,Tues-,Wed-,Thurs-,Fri-,Sat-</v>
      </c>
      <c r="BM85" s="384">
        <f>SUM('21 Oct Mon'!CK85:CK95,'22 Oct Tues'!CK85:CK95,'23 Oct Wed'!CK85:CK95,'24 Oct Thurs'!CK85:CK95,'25 Oct Fri'!CK85:CK95,'26 Oct Sat'!CK85:CK95)</f>
        <v>0</v>
      </c>
      <c r="BN85" s="382" t="str">
        <f>CONCATENATE("Mon-",'21 Oct Mon'!CL85:CL95,",Tues-",'22 Oct Tues'!CL85:CL95,",Wed-",'23 Oct Wed'!CL85:CL95,",Thurs-",'24 Oct Thurs'!CL85:CL95,",Fri-",'25 Oct Fri'!CL85:CL95,",Sat-",'26 Oct Sat'!CL85:CL95)</f>
        <v>Mon-,Tues-,Wed-,Thurs-,Fri-,Sat-</v>
      </c>
      <c r="BO85" s="384">
        <f>SUM('21 Oct Mon'!CM85:CM95,'22 Oct Tues'!CM85:CM95,'23 Oct Wed'!CM85:CM95,'24 Oct Thurs'!CM85:CM95,'25 Oct Fri'!CM85:CM95,'26 Oct Sat'!CM85:CM95)</f>
        <v>0</v>
      </c>
      <c r="BP85" s="385" t="str">
        <f>CONCATENATE("Mon-",'21 Oct Mon'!CN85:CN95,",Tues-",'22 Oct Tues'!CN85:CN95,",Wed-",'23 Oct Wed'!CN85:CN95,",Thurs-",'24 Oct Thurs'!CN85:CN95,",Fri-",'25 Oct Fri'!CN85:CN95,",Sat-",'26 Oct Sat'!CN85:CN95)</f>
        <v>Mon-,Tues-,Wed-,Thurs-,Fri-,Sat-</v>
      </c>
      <c r="BQ85" s="387">
        <f>SUM('21 Oct Mon'!CO85:CO95,'22 Oct Tues'!CO85:CO95,'23 Oct Wed'!CO85:CO95,'24 Oct Thurs'!CO85:CO95,'25 Oct Fri'!CO85:CO95,'26 Oct Sat'!CO85:CO95)</f>
        <v>0</v>
      </c>
      <c r="BR85" s="379" t="str">
        <f>CONCATENATE("Mon-",'21 Oct Mon'!CP85:CP95,",Tues-",'22 Oct Tues'!CP85:CP95,",Wed-",'23 Oct Wed'!CP85:CP95,",Thurs-",'24 Oct Thurs'!CP85:CP95,",Fri-",'25 Oct Fri'!CP85:CP95,",Sat-",'26 Oct Sat'!CP85:CP95)</f>
        <v>Mon-,Tues-,Wed-,Thurs-,Fri-,Sat-</v>
      </c>
      <c r="BS85" s="390">
        <f>SUM('21 Oct Mon'!CQ85:CQ95,'22 Oct Tues'!CQ85:CQ95,'23 Oct Wed'!CQ85:CQ95,'24 Oct Thurs'!CQ85:CQ95,'25 Oct Fri'!CQ85:CQ95,'26 Oct Sat'!CQ85:CQ95)</f>
        <v>0</v>
      </c>
      <c r="BT85" s="390">
        <f>SUM('21 Oct Mon'!CR85:CR95,'22 Oct Tues'!CR85:CR95,'23 Oct Wed'!CR85:CR95,'24 Oct Thurs'!CR85:CR95,'25 Oct Fri'!CR85:CR95,'26 Oct Sat'!CR85:CR95)</f>
        <v>0</v>
      </c>
      <c r="BU85" s="391">
        <f>SUM('21 Oct Mon'!CS85:CS95,'22 Oct Tues'!CS85:CS95,'23 Oct Wed'!CS85:CS95,'24 Oct Thurs'!CS85:CS95,'25 Oct Fri'!CS85:CS95,'26 Oct Sat'!CS85:CS95)</f>
        <v>0</v>
      </c>
      <c r="BV85" s="392">
        <f>SUM('21 Oct Mon'!CT85:CT95,'22 Oct Tues'!CT85:CT95,'23 Oct Wed'!CT85:CT95,'24 Oct Thurs'!CT85:CT95,'25 Oct Fri'!CT85:CT95,'26 Oct Sat'!CT85:CT95)</f>
        <v>23.57755556</v>
      </c>
      <c r="BW85" s="393" t="str">
        <f>LEFT(U85,FIND("(",U85,1)-2)</f>
        <v>0</v>
      </c>
      <c r="BX85" s="394"/>
    </row>
    <row r="86" ht="61.5" customHeight="1">
      <c r="A86" s="177"/>
      <c r="C86" s="205" t="s">
        <v>175</v>
      </c>
      <c r="D86" s="423"/>
      <c r="E86" s="425"/>
      <c r="F86" s="409"/>
      <c r="G86" s="409"/>
      <c r="H86" s="409"/>
      <c r="I86" s="409"/>
      <c r="J86" s="397"/>
      <c r="K86" s="398">
        <f t="shared" si="1"/>
        <v>0</v>
      </c>
      <c r="L86" s="173"/>
      <c r="M86" s="173"/>
      <c r="N86" s="177"/>
      <c r="O86" s="178"/>
      <c r="P86" s="178"/>
      <c r="Q86" s="178"/>
      <c r="R86" s="178"/>
      <c r="S86" s="182"/>
      <c r="T86" s="65"/>
      <c r="U86" s="64"/>
      <c r="V86" s="66"/>
      <c r="W86" s="173"/>
      <c r="X86" s="173"/>
      <c r="Y86" s="65"/>
      <c r="Z86" s="65"/>
      <c r="AA86" s="65"/>
      <c r="AB86" s="65"/>
      <c r="AC86" s="173"/>
      <c r="AD86" s="166"/>
      <c r="AE86" s="166"/>
      <c r="AF86" s="166"/>
      <c r="AG86" s="166"/>
      <c r="AH86" s="65"/>
      <c r="AJ86" s="177"/>
      <c r="AK86" s="178"/>
      <c r="AL86" s="181"/>
      <c r="AM86" s="166"/>
      <c r="AN86" s="166"/>
      <c r="AO86" s="177"/>
      <c r="AP86" s="178"/>
      <c r="AQ86" s="181"/>
      <c r="AR86" s="166"/>
      <c r="AS86" s="166"/>
      <c r="AT86" s="177"/>
      <c r="AU86" s="181"/>
      <c r="AV86" s="166"/>
      <c r="AW86" s="166"/>
      <c r="AX86" s="177"/>
      <c r="AY86" s="166"/>
      <c r="AZ86" s="177"/>
      <c r="BA86" s="178"/>
      <c r="BB86" s="178"/>
      <c r="BC86" s="178"/>
      <c r="BD86" s="178"/>
      <c r="BE86" s="178"/>
      <c r="BF86" s="178"/>
      <c r="BG86" s="179"/>
      <c r="BH86" s="180"/>
      <c r="BI86" s="178"/>
      <c r="BJ86" s="177"/>
      <c r="BK86" s="181"/>
      <c r="BL86" s="177"/>
      <c r="BM86" s="181"/>
      <c r="BN86" s="177"/>
      <c r="BO86" s="181"/>
      <c r="BP86" s="177"/>
      <c r="BQ86" s="181"/>
      <c r="BR86" s="166"/>
      <c r="BS86" s="166"/>
      <c r="BT86" s="166"/>
      <c r="BU86" s="65"/>
      <c r="BW86" s="178"/>
      <c r="BX86" s="399"/>
    </row>
    <row r="87" ht="61.5" customHeight="1">
      <c r="A87" s="177"/>
      <c r="C87" s="205" t="s">
        <v>175</v>
      </c>
      <c r="D87" s="395"/>
      <c r="E87" s="396"/>
      <c r="F87" s="396"/>
      <c r="G87" s="396"/>
      <c r="H87" s="396"/>
      <c r="I87" s="396"/>
      <c r="J87" s="397"/>
      <c r="K87" s="398">
        <f t="shared" si="1"/>
        <v>0</v>
      </c>
      <c r="L87" s="173"/>
      <c r="M87" s="173"/>
      <c r="N87" s="177"/>
      <c r="O87" s="178"/>
      <c r="P87" s="178"/>
      <c r="Q87" s="178"/>
      <c r="R87" s="178"/>
      <c r="S87" s="182"/>
      <c r="T87" s="65"/>
      <c r="U87" s="64"/>
      <c r="V87" s="66"/>
      <c r="W87" s="173"/>
      <c r="X87" s="173"/>
      <c r="Y87" s="65"/>
      <c r="Z87" s="65"/>
      <c r="AA87" s="65"/>
      <c r="AB87" s="65"/>
      <c r="AC87" s="173"/>
      <c r="AD87" s="166"/>
      <c r="AE87" s="166"/>
      <c r="AF87" s="166"/>
      <c r="AG87" s="166"/>
      <c r="AH87" s="65"/>
      <c r="AJ87" s="177"/>
      <c r="AK87" s="178"/>
      <c r="AL87" s="181"/>
      <c r="AM87" s="166"/>
      <c r="AN87" s="166"/>
      <c r="AO87" s="177"/>
      <c r="AP87" s="178"/>
      <c r="AQ87" s="181"/>
      <c r="AR87" s="166"/>
      <c r="AS87" s="166"/>
      <c r="AT87" s="177"/>
      <c r="AU87" s="181"/>
      <c r="AV87" s="166"/>
      <c r="AW87" s="166"/>
      <c r="AX87" s="177"/>
      <c r="AY87" s="166"/>
      <c r="AZ87" s="177"/>
      <c r="BA87" s="178"/>
      <c r="BB87" s="178"/>
      <c r="BC87" s="178"/>
      <c r="BD87" s="178"/>
      <c r="BE87" s="178"/>
      <c r="BF87" s="178"/>
      <c r="BG87" s="179"/>
      <c r="BH87" s="180"/>
      <c r="BI87" s="178"/>
      <c r="BJ87" s="177"/>
      <c r="BK87" s="181"/>
      <c r="BL87" s="177"/>
      <c r="BM87" s="181"/>
      <c r="BN87" s="177"/>
      <c r="BO87" s="181"/>
      <c r="BP87" s="177"/>
      <c r="BQ87" s="181"/>
      <c r="BR87" s="166"/>
      <c r="BS87" s="166"/>
      <c r="BT87" s="166"/>
      <c r="BU87" s="65"/>
      <c r="BW87" s="178"/>
      <c r="BX87" s="399"/>
    </row>
    <row r="88" ht="61.5" customHeight="1">
      <c r="A88" s="177"/>
      <c r="C88" s="205" t="s">
        <v>175</v>
      </c>
      <c r="D88" s="395"/>
      <c r="E88" s="396"/>
      <c r="F88" s="396"/>
      <c r="G88" s="396"/>
      <c r="H88" s="396"/>
      <c r="I88" s="396"/>
      <c r="J88" s="397"/>
      <c r="K88" s="398">
        <f t="shared" si="1"/>
        <v>0</v>
      </c>
      <c r="L88" s="173"/>
      <c r="M88" s="173"/>
      <c r="N88" s="177"/>
      <c r="O88" s="178"/>
      <c r="P88" s="178"/>
      <c r="Q88" s="178"/>
      <c r="R88" s="178"/>
      <c r="S88" s="182"/>
      <c r="T88" s="65"/>
      <c r="U88" s="64"/>
      <c r="V88" s="66"/>
      <c r="W88" s="173"/>
      <c r="X88" s="173"/>
      <c r="Y88" s="65"/>
      <c r="Z88" s="65"/>
      <c r="AA88" s="65"/>
      <c r="AB88" s="65"/>
      <c r="AC88" s="173"/>
      <c r="AD88" s="166"/>
      <c r="AE88" s="166"/>
      <c r="AF88" s="166"/>
      <c r="AG88" s="166"/>
      <c r="AH88" s="65"/>
      <c r="AJ88" s="177"/>
      <c r="AK88" s="178"/>
      <c r="AL88" s="181"/>
      <c r="AM88" s="166"/>
      <c r="AN88" s="166"/>
      <c r="AO88" s="177"/>
      <c r="AP88" s="178"/>
      <c r="AQ88" s="181"/>
      <c r="AR88" s="166"/>
      <c r="AS88" s="166"/>
      <c r="AT88" s="177"/>
      <c r="AU88" s="181"/>
      <c r="AV88" s="166"/>
      <c r="AW88" s="166"/>
      <c r="AX88" s="177"/>
      <c r="AY88" s="166"/>
      <c r="AZ88" s="177"/>
      <c r="BA88" s="178"/>
      <c r="BB88" s="178"/>
      <c r="BC88" s="178"/>
      <c r="BD88" s="178"/>
      <c r="BE88" s="178"/>
      <c r="BF88" s="178"/>
      <c r="BG88" s="179"/>
      <c r="BH88" s="180"/>
      <c r="BI88" s="178"/>
      <c r="BJ88" s="177"/>
      <c r="BK88" s="181"/>
      <c r="BL88" s="177"/>
      <c r="BM88" s="181"/>
      <c r="BN88" s="177"/>
      <c r="BO88" s="181"/>
      <c r="BP88" s="177"/>
      <c r="BQ88" s="181"/>
      <c r="BR88" s="166"/>
      <c r="BS88" s="166"/>
      <c r="BT88" s="166"/>
      <c r="BU88" s="65"/>
      <c r="BW88" s="178"/>
      <c r="BX88" s="399"/>
    </row>
    <row r="89" ht="61.5" customHeight="1">
      <c r="A89" s="177"/>
      <c r="C89" s="205" t="s">
        <v>175</v>
      </c>
      <c r="D89" s="395"/>
      <c r="E89" s="396"/>
      <c r="F89" s="396"/>
      <c r="G89" s="396"/>
      <c r="H89" s="396"/>
      <c r="I89" s="396"/>
      <c r="J89" s="397"/>
      <c r="K89" s="398">
        <f t="shared" si="1"/>
        <v>0</v>
      </c>
      <c r="L89" s="173"/>
      <c r="M89" s="173"/>
      <c r="N89" s="177"/>
      <c r="O89" s="178"/>
      <c r="P89" s="178"/>
      <c r="Q89" s="178"/>
      <c r="R89" s="178"/>
      <c r="S89" s="182"/>
      <c r="T89" s="65"/>
      <c r="U89" s="64"/>
      <c r="V89" s="66"/>
      <c r="W89" s="173"/>
      <c r="X89" s="173"/>
      <c r="Y89" s="65"/>
      <c r="Z89" s="65"/>
      <c r="AA89" s="65"/>
      <c r="AB89" s="65"/>
      <c r="AC89" s="173"/>
      <c r="AD89" s="166"/>
      <c r="AE89" s="166"/>
      <c r="AF89" s="166"/>
      <c r="AG89" s="166"/>
      <c r="AH89" s="65"/>
      <c r="AJ89" s="177"/>
      <c r="AK89" s="178"/>
      <c r="AL89" s="181"/>
      <c r="AM89" s="166"/>
      <c r="AN89" s="166"/>
      <c r="AO89" s="177"/>
      <c r="AP89" s="178"/>
      <c r="AQ89" s="181"/>
      <c r="AR89" s="166"/>
      <c r="AS89" s="166"/>
      <c r="AT89" s="177"/>
      <c r="AU89" s="181"/>
      <c r="AV89" s="166"/>
      <c r="AW89" s="166"/>
      <c r="AX89" s="177"/>
      <c r="AY89" s="166"/>
      <c r="AZ89" s="177"/>
      <c r="BA89" s="178"/>
      <c r="BB89" s="178"/>
      <c r="BC89" s="178"/>
      <c r="BD89" s="178"/>
      <c r="BE89" s="178"/>
      <c r="BF89" s="178"/>
      <c r="BG89" s="179"/>
      <c r="BH89" s="180"/>
      <c r="BI89" s="178"/>
      <c r="BJ89" s="177"/>
      <c r="BK89" s="181"/>
      <c r="BL89" s="177"/>
      <c r="BM89" s="181"/>
      <c r="BN89" s="177"/>
      <c r="BO89" s="181"/>
      <c r="BP89" s="177"/>
      <c r="BQ89" s="181"/>
      <c r="BR89" s="166"/>
      <c r="BS89" s="166"/>
      <c r="BT89" s="166"/>
      <c r="BU89" s="65"/>
      <c r="BW89" s="178"/>
      <c r="BX89" s="399"/>
    </row>
    <row r="90" ht="61.5" customHeight="1">
      <c r="A90" s="177"/>
      <c r="C90" s="205" t="s">
        <v>175</v>
      </c>
      <c r="D90" s="395"/>
      <c r="E90" s="396"/>
      <c r="F90" s="396"/>
      <c r="G90" s="396"/>
      <c r="H90" s="396"/>
      <c r="I90" s="396"/>
      <c r="J90" s="397"/>
      <c r="K90" s="398">
        <f t="shared" si="1"/>
        <v>0</v>
      </c>
      <c r="L90" s="173"/>
      <c r="M90" s="173"/>
      <c r="N90" s="177"/>
      <c r="O90" s="178"/>
      <c r="P90" s="178"/>
      <c r="Q90" s="178"/>
      <c r="R90" s="178"/>
      <c r="S90" s="182"/>
      <c r="T90" s="65"/>
      <c r="U90" s="64"/>
      <c r="V90" s="66"/>
      <c r="W90" s="173"/>
      <c r="X90" s="173"/>
      <c r="Y90" s="65"/>
      <c r="Z90" s="65"/>
      <c r="AA90" s="65"/>
      <c r="AB90" s="65"/>
      <c r="AC90" s="173"/>
      <c r="AD90" s="166"/>
      <c r="AE90" s="166"/>
      <c r="AF90" s="166"/>
      <c r="AG90" s="166"/>
      <c r="AH90" s="65"/>
      <c r="AJ90" s="177"/>
      <c r="AK90" s="178"/>
      <c r="AL90" s="181"/>
      <c r="AM90" s="166"/>
      <c r="AN90" s="166"/>
      <c r="AO90" s="177"/>
      <c r="AP90" s="178"/>
      <c r="AQ90" s="181"/>
      <c r="AR90" s="166"/>
      <c r="AS90" s="166"/>
      <c r="AT90" s="177"/>
      <c r="AU90" s="181"/>
      <c r="AV90" s="166"/>
      <c r="AW90" s="166"/>
      <c r="AX90" s="177"/>
      <c r="AY90" s="166"/>
      <c r="AZ90" s="177"/>
      <c r="BA90" s="178"/>
      <c r="BB90" s="178"/>
      <c r="BC90" s="178"/>
      <c r="BD90" s="178"/>
      <c r="BE90" s="178"/>
      <c r="BF90" s="178"/>
      <c r="BG90" s="179"/>
      <c r="BH90" s="180"/>
      <c r="BI90" s="178"/>
      <c r="BJ90" s="177"/>
      <c r="BK90" s="181"/>
      <c r="BL90" s="177"/>
      <c r="BM90" s="181"/>
      <c r="BN90" s="177"/>
      <c r="BO90" s="181"/>
      <c r="BP90" s="177"/>
      <c r="BQ90" s="181"/>
      <c r="BR90" s="166"/>
      <c r="BS90" s="166"/>
      <c r="BT90" s="166"/>
      <c r="BU90" s="65"/>
      <c r="BW90" s="178"/>
      <c r="BX90" s="399"/>
    </row>
    <row r="91" ht="61.5" customHeight="1">
      <c r="A91" s="177"/>
      <c r="C91" s="205" t="s">
        <v>175</v>
      </c>
      <c r="D91" s="395"/>
      <c r="E91" s="396"/>
      <c r="F91" s="396"/>
      <c r="G91" s="396"/>
      <c r="H91" s="396"/>
      <c r="I91" s="396"/>
      <c r="J91" s="397"/>
      <c r="K91" s="398">
        <f t="shared" si="1"/>
        <v>0</v>
      </c>
      <c r="L91" s="173"/>
      <c r="M91" s="173"/>
      <c r="N91" s="177"/>
      <c r="O91" s="178"/>
      <c r="P91" s="178"/>
      <c r="Q91" s="178"/>
      <c r="R91" s="178"/>
      <c r="S91" s="182"/>
      <c r="T91" s="65"/>
      <c r="U91" s="64"/>
      <c r="V91" s="66"/>
      <c r="W91" s="173"/>
      <c r="X91" s="173"/>
      <c r="Y91" s="65"/>
      <c r="Z91" s="65"/>
      <c r="AA91" s="65"/>
      <c r="AB91" s="65"/>
      <c r="AC91" s="173"/>
      <c r="AD91" s="166"/>
      <c r="AE91" s="166"/>
      <c r="AF91" s="166"/>
      <c r="AG91" s="166"/>
      <c r="AH91" s="65"/>
      <c r="AJ91" s="177"/>
      <c r="AK91" s="178"/>
      <c r="AL91" s="181"/>
      <c r="AM91" s="166"/>
      <c r="AN91" s="166"/>
      <c r="AO91" s="177"/>
      <c r="AP91" s="178"/>
      <c r="AQ91" s="181"/>
      <c r="AR91" s="166"/>
      <c r="AS91" s="166"/>
      <c r="AT91" s="177"/>
      <c r="AU91" s="181"/>
      <c r="AV91" s="166"/>
      <c r="AW91" s="166"/>
      <c r="AX91" s="177"/>
      <c r="AY91" s="166"/>
      <c r="AZ91" s="177"/>
      <c r="BA91" s="178"/>
      <c r="BB91" s="178"/>
      <c r="BC91" s="178"/>
      <c r="BD91" s="178"/>
      <c r="BE91" s="178"/>
      <c r="BF91" s="178"/>
      <c r="BG91" s="179"/>
      <c r="BH91" s="180"/>
      <c r="BI91" s="178"/>
      <c r="BJ91" s="177"/>
      <c r="BK91" s="181"/>
      <c r="BL91" s="177"/>
      <c r="BM91" s="181"/>
      <c r="BN91" s="177"/>
      <c r="BO91" s="181"/>
      <c r="BP91" s="177"/>
      <c r="BQ91" s="181"/>
      <c r="BR91" s="166"/>
      <c r="BS91" s="166"/>
      <c r="BT91" s="166"/>
      <c r="BU91" s="65"/>
      <c r="BW91" s="178"/>
      <c r="BX91" s="399"/>
    </row>
    <row r="92" ht="61.5" customHeight="1">
      <c r="A92" s="177"/>
      <c r="C92" s="205" t="s">
        <v>175</v>
      </c>
      <c r="D92" s="395"/>
      <c r="E92" s="396"/>
      <c r="F92" s="396"/>
      <c r="G92" s="396"/>
      <c r="H92" s="396"/>
      <c r="I92" s="396"/>
      <c r="J92" s="397"/>
      <c r="K92" s="398">
        <f t="shared" si="1"/>
        <v>0</v>
      </c>
      <c r="L92" s="173"/>
      <c r="M92" s="173"/>
      <c r="N92" s="177"/>
      <c r="O92" s="178"/>
      <c r="P92" s="178"/>
      <c r="Q92" s="178"/>
      <c r="R92" s="178"/>
      <c r="S92" s="182"/>
      <c r="T92" s="65"/>
      <c r="U92" s="64"/>
      <c r="V92" s="66"/>
      <c r="W92" s="173"/>
      <c r="X92" s="173"/>
      <c r="Y92" s="65"/>
      <c r="Z92" s="65"/>
      <c r="AA92" s="65"/>
      <c r="AB92" s="65"/>
      <c r="AC92" s="173"/>
      <c r="AD92" s="166"/>
      <c r="AE92" s="166"/>
      <c r="AF92" s="166"/>
      <c r="AG92" s="166"/>
      <c r="AH92" s="65"/>
      <c r="AJ92" s="177"/>
      <c r="AK92" s="178"/>
      <c r="AL92" s="181"/>
      <c r="AM92" s="166"/>
      <c r="AN92" s="166"/>
      <c r="AO92" s="177"/>
      <c r="AP92" s="178"/>
      <c r="AQ92" s="181"/>
      <c r="AR92" s="166"/>
      <c r="AS92" s="166"/>
      <c r="AT92" s="177"/>
      <c r="AU92" s="181"/>
      <c r="AV92" s="166"/>
      <c r="AW92" s="166"/>
      <c r="AX92" s="177"/>
      <c r="AY92" s="166"/>
      <c r="AZ92" s="177"/>
      <c r="BA92" s="178"/>
      <c r="BB92" s="178"/>
      <c r="BC92" s="178"/>
      <c r="BD92" s="178"/>
      <c r="BE92" s="178"/>
      <c r="BF92" s="178"/>
      <c r="BG92" s="179"/>
      <c r="BH92" s="180"/>
      <c r="BI92" s="178"/>
      <c r="BJ92" s="177"/>
      <c r="BK92" s="181"/>
      <c r="BL92" s="177"/>
      <c r="BM92" s="181"/>
      <c r="BN92" s="177"/>
      <c r="BO92" s="181"/>
      <c r="BP92" s="177"/>
      <c r="BQ92" s="181"/>
      <c r="BR92" s="166"/>
      <c r="BS92" s="166"/>
      <c r="BT92" s="166"/>
      <c r="BU92" s="65"/>
      <c r="BW92" s="178"/>
      <c r="BX92" s="399"/>
    </row>
    <row r="93" ht="61.5" customHeight="1">
      <c r="A93" s="177"/>
      <c r="C93" s="205" t="s">
        <v>175</v>
      </c>
      <c r="D93" s="395"/>
      <c r="E93" s="396"/>
      <c r="F93" s="396"/>
      <c r="G93" s="396"/>
      <c r="H93" s="396"/>
      <c r="I93" s="396"/>
      <c r="J93" s="397"/>
      <c r="K93" s="398">
        <f t="shared" si="1"/>
        <v>0</v>
      </c>
      <c r="L93" s="173"/>
      <c r="M93" s="173"/>
      <c r="N93" s="177"/>
      <c r="O93" s="178"/>
      <c r="P93" s="178"/>
      <c r="Q93" s="178"/>
      <c r="R93" s="178"/>
      <c r="S93" s="182"/>
      <c r="T93" s="65"/>
      <c r="U93" s="64"/>
      <c r="V93" s="66"/>
      <c r="W93" s="173"/>
      <c r="X93" s="173"/>
      <c r="Y93" s="65"/>
      <c r="Z93" s="65"/>
      <c r="AA93" s="65"/>
      <c r="AB93" s="65"/>
      <c r="AC93" s="173"/>
      <c r="AD93" s="166"/>
      <c r="AE93" s="166"/>
      <c r="AF93" s="166"/>
      <c r="AG93" s="166"/>
      <c r="AH93" s="65"/>
      <c r="AJ93" s="177"/>
      <c r="AK93" s="178"/>
      <c r="AL93" s="181"/>
      <c r="AM93" s="166"/>
      <c r="AN93" s="166"/>
      <c r="AO93" s="177"/>
      <c r="AP93" s="178"/>
      <c r="AQ93" s="181"/>
      <c r="AR93" s="166"/>
      <c r="AS93" s="166"/>
      <c r="AT93" s="177"/>
      <c r="AU93" s="181"/>
      <c r="AV93" s="166"/>
      <c r="AW93" s="166"/>
      <c r="AX93" s="177"/>
      <c r="AY93" s="166"/>
      <c r="AZ93" s="177"/>
      <c r="BA93" s="178"/>
      <c r="BB93" s="178"/>
      <c r="BC93" s="178"/>
      <c r="BD93" s="178"/>
      <c r="BE93" s="178"/>
      <c r="BF93" s="178"/>
      <c r="BG93" s="179"/>
      <c r="BH93" s="180"/>
      <c r="BI93" s="178"/>
      <c r="BJ93" s="177"/>
      <c r="BK93" s="181"/>
      <c r="BL93" s="177"/>
      <c r="BM93" s="181"/>
      <c r="BN93" s="177"/>
      <c r="BO93" s="181"/>
      <c r="BP93" s="177"/>
      <c r="BQ93" s="181"/>
      <c r="BR93" s="166"/>
      <c r="BS93" s="166"/>
      <c r="BT93" s="166"/>
      <c r="BU93" s="65"/>
      <c r="BW93" s="178"/>
      <c r="BX93" s="399"/>
    </row>
    <row r="94" ht="61.5" customHeight="1">
      <c r="A94" s="177"/>
      <c r="C94" s="205" t="s">
        <v>175</v>
      </c>
      <c r="D94" s="395"/>
      <c r="E94" s="396"/>
      <c r="F94" s="396"/>
      <c r="G94" s="396"/>
      <c r="H94" s="396"/>
      <c r="I94" s="396"/>
      <c r="J94" s="397"/>
      <c r="K94" s="398">
        <f t="shared" si="1"/>
        <v>0</v>
      </c>
      <c r="L94" s="173"/>
      <c r="M94" s="173"/>
      <c r="N94" s="177"/>
      <c r="O94" s="178"/>
      <c r="P94" s="178"/>
      <c r="Q94" s="178"/>
      <c r="R94" s="178"/>
      <c r="S94" s="182"/>
      <c r="T94" s="65"/>
      <c r="U94" s="64"/>
      <c r="V94" s="66"/>
      <c r="W94" s="173"/>
      <c r="X94" s="173"/>
      <c r="Y94" s="65"/>
      <c r="Z94" s="65"/>
      <c r="AA94" s="65"/>
      <c r="AB94" s="65"/>
      <c r="AC94" s="173"/>
      <c r="AD94" s="166"/>
      <c r="AE94" s="166"/>
      <c r="AF94" s="166"/>
      <c r="AG94" s="166"/>
      <c r="AH94" s="65"/>
      <c r="AJ94" s="177"/>
      <c r="AK94" s="178"/>
      <c r="AL94" s="181"/>
      <c r="AM94" s="166"/>
      <c r="AN94" s="166"/>
      <c r="AO94" s="177"/>
      <c r="AP94" s="178"/>
      <c r="AQ94" s="181"/>
      <c r="AR94" s="166"/>
      <c r="AS94" s="166"/>
      <c r="AT94" s="177"/>
      <c r="AU94" s="181"/>
      <c r="AV94" s="166"/>
      <c r="AW94" s="166"/>
      <c r="AX94" s="177"/>
      <c r="AY94" s="166"/>
      <c r="AZ94" s="177"/>
      <c r="BA94" s="178"/>
      <c r="BB94" s="178"/>
      <c r="BC94" s="178"/>
      <c r="BD94" s="178"/>
      <c r="BE94" s="178"/>
      <c r="BF94" s="178"/>
      <c r="BG94" s="179"/>
      <c r="BH94" s="180"/>
      <c r="BI94" s="178"/>
      <c r="BJ94" s="177"/>
      <c r="BK94" s="181"/>
      <c r="BL94" s="177"/>
      <c r="BM94" s="181"/>
      <c r="BN94" s="177"/>
      <c r="BO94" s="181"/>
      <c r="BP94" s="177"/>
      <c r="BQ94" s="181"/>
      <c r="BR94" s="166"/>
      <c r="BS94" s="166"/>
      <c r="BT94" s="166"/>
      <c r="BU94" s="65"/>
      <c r="BW94" s="178"/>
      <c r="BX94" s="399"/>
    </row>
    <row r="95" ht="61.5" customHeight="1">
      <c r="A95" s="192"/>
      <c r="B95" s="6"/>
      <c r="C95" s="210" t="s">
        <v>175</v>
      </c>
      <c r="D95" s="400"/>
      <c r="E95" s="401"/>
      <c r="F95" s="401"/>
      <c r="G95" s="401"/>
      <c r="H95" s="401"/>
      <c r="I95" s="401"/>
      <c r="J95" s="402"/>
      <c r="K95" s="403">
        <f t="shared" si="1"/>
        <v>0</v>
      </c>
      <c r="L95" s="69"/>
      <c r="M95" s="69"/>
      <c r="N95" s="192"/>
      <c r="O95" s="193"/>
      <c r="P95" s="193"/>
      <c r="Q95" s="193"/>
      <c r="R95" s="193"/>
      <c r="S95" s="197"/>
      <c r="T95" s="89"/>
      <c r="U95" s="103"/>
      <c r="V95" s="68"/>
      <c r="W95" s="69"/>
      <c r="X95" s="69"/>
      <c r="Y95" s="89"/>
      <c r="Z95" s="89"/>
      <c r="AA95" s="89"/>
      <c r="AB95" s="89"/>
      <c r="AC95" s="69"/>
      <c r="AD95" s="63"/>
      <c r="AE95" s="63"/>
      <c r="AF95" s="63"/>
      <c r="AG95" s="63"/>
      <c r="AH95" s="89"/>
      <c r="AI95" s="6"/>
      <c r="AJ95" s="192"/>
      <c r="AK95" s="193"/>
      <c r="AL95" s="196"/>
      <c r="AM95" s="63"/>
      <c r="AN95" s="63"/>
      <c r="AO95" s="192"/>
      <c r="AP95" s="193"/>
      <c r="AQ95" s="196"/>
      <c r="AR95" s="63"/>
      <c r="AS95" s="63"/>
      <c r="AT95" s="192"/>
      <c r="AU95" s="196"/>
      <c r="AV95" s="63"/>
      <c r="AW95" s="63"/>
      <c r="AX95" s="192"/>
      <c r="AY95" s="63"/>
      <c r="AZ95" s="192"/>
      <c r="BA95" s="193"/>
      <c r="BB95" s="193"/>
      <c r="BC95" s="193"/>
      <c r="BD95" s="193"/>
      <c r="BE95" s="193"/>
      <c r="BF95" s="193"/>
      <c r="BG95" s="194"/>
      <c r="BH95" s="195"/>
      <c r="BI95" s="193"/>
      <c r="BJ95" s="192"/>
      <c r="BK95" s="196"/>
      <c r="BL95" s="192"/>
      <c r="BM95" s="196"/>
      <c r="BN95" s="192"/>
      <c r="BO95" s="196"/>
      <c r="BP95" s="192"/>
      <c r="BQ95" s="196"/>
      <c r="BR95" s="63"/>
      <c r="BS95" s="63"/>
      <c r="BT95" s="63"/>
      <c r="BU95" s="89"/>
      <c r="BV95" s="6"/>
      <c r="BW95" s="198"/>
      <c r="BX95" s="404"/>
    </row>
    <row r="96" ht="61.5" customHeight="1">
      <c r="A96" s="363">
        <v>9.0</v>
      </c>
      <c r="B96" s="199" t="s">
        <v>179</v>
      </c>
      <c r="C96" s="168" t="s">
        <v>180</v>
      </c>
      <c r="D96" s="408"/>
      <c r="E96" s="409"/>
      <c r="F96" s="409"/>
      <c r="G96" s="409"/>
      <c r="H96" s="409"/>
      <c r="I96" s="409"/>
      <c r="J96" s="397"/>
      <c r="K96" s="367">
        <f t="shared" si="1"/>
        <v>0</v>
      </c>
      <c r="L96" s="368">
        <f>SUM(I96:I106)+SUM(K96:K106)*1</f>
        <v>0</v>
      </c>
      <c r="M96" s="368">
        <f>SUM('21 Oct Mon'!Q96:Q106,'22 Oct Tues'!Q96:Q106,'23 Oct Wed'!Q96:Q106,'24 Oct Thurs'!Q96:Q106,'25 Oct Fri'!Q96:Q106,'26 Oct Sat'!Q96:Q106)</f>
        <v>0</v>
      </c>
      <c r="N96" s="369">
        <f>SUM('21 Oct Mon'!R96:R106,'22 Oct Tues'!R96:R106,'23 Oct Wed'!R96:R106,'24 Oct Thurs'!R96:R106,'25 Oct Fri'!R96:R106,'26 Oct Sat'!R96:R106)</f>
        <v>0</v>
      </c>
      <c r="O96" s="370">
        <f>SUM(L96:N106)</f>
        <v>0</v>
      </c>
      <c r="P96" s="370">
        <f>SUM('21 Oct Mon'!T96:T106,'22 Oct Tues'!T96:T106,'23 Oct Wed'!T96:T106,'24 Oct Thurs'!T96:T106,'25 Oct Fri'!T96:T106,'26 Oct Sat'!T96:T106)</f>
        <v>0</v>
      </c>
      <c r="Q96" s="370">
        <f>SUM('21 Oct Mon'!U96:U106,'22 Oct Tues'!U96:U106,'23 Oct Wed'!U96:U106,'24 Oct Thurs'!U96:U106,'25 Oct Fri'!U96:U106,'26 Oct Sat'!U96:U106)</f>
        <v>0</v>
      </c>
      <c r="R96" s="370">
        <f>SUM('21 Oct Mon'!V96:V106,'22 Oct Tues'!V96:V106,'23 Oct Wed'!V96:V106,'24 Oct Thurs'!V96:V106,'25 Oct Fri'!V96:V106,'26 Oct Sat'!V96:V106)</f>
        <v>0</v>
      </c>
      <c r="S96" s="371">
        <f>SUM('21 Oct Mon'!W96:W106,'22 Oct Tues'!W96:W106,'23 Oct Wed'!W96:W106,'24 Oct Thurs'!W96:W106,'25 Oct Fri'!W96:W106,'26 Oct Sat'!W96:W106)</f>
        <v>0</v>
      </c>
      <c r="T96" s="372">
        <f>O96-P96-Q96-R96-S96</f>
        <v>0</v>
      </c>
      <c r="U96" s="373" t="str">
        <f>CONCATENATE(SUM('21 Oct Mon'!O96:O106,'22 Oct Tues'!O96:O106,'23 Oct Wed'!O96:O106,'24 Oct Thurs'!O96:O106,'25 Oct Fri'!O96:O106,'26 Oct Sat'!O96:O106),"
(",(SUM('21 Oct Mon'!O96:O106,'22 Oct Tues'!O96:O106,'23 Oct Wed'!O96:O106,'24 Oct Thurs'!O96:O106,'25 Oct Fri'!O96:O106,'26 Oct Sat'!O96:O106)-T96),")")</f>
        <v>0
(0)</v>
      </c>
      <c r="V96" s="374" t="str">
        <f>CONCATENATE("Mon-",'21 Oct Mon'!Z96:Z106,",Tues-",'22 Oct Tues'!Z96:Z106,",Wed-",'23 Oct Wed'!Z96:Z106,",Thurs-",'24 Oct Thurs'!Z96:Z106,",Fri-",'25 Oct Fri'!Z96:Z106,",Sat-",'26 Oct Sat'!Z96:Z106)</f>
        <v>Mon-,Tues-,Wed-,Thurs-,Fri-,Sat-</v>
      </c>
      <c r="W96" s="375">
        <f>SUM('21 Oct Mon'!AI96:AI106,'22 Oct Tues'!AI96:AI106,'23 Oct Wed'!AI96:AI106,'24 Oct Thurs'!AI96:AI106,'25 Oct Fri'!AI96:AI106,'26 Oct Sat'!AI96:AI106)</f>
        <v>0</v>
      </c>
      <c r="X96" s="375">
        <f>SUM('21 Oct Mon'!AM96:AM106,'22 Oct Tues'!AM96:AM106,'23 Oct Wed'!AM96:AM106,'24 Oct Thurs'!AM96:AM106,'25 Oct Fri'!AM96:AM106,'26 Oct Sat'!AM96:AM106)</f>
        <v>0</v>
      </c>
      <c r="Y96" s="376">
        <f>SUM('21 Oct Mon'!AP96:AP106,'22 Oct Tues'!AP96:AP106,'23 Oct Wed'!AP96:AP106,'24 Oct Thurs'!AP96:AP106,'25 Oct Fri'!AP96:AP106,'26 Oct Sat'!AP96:AP106)</f>
        <v>0</v>
      </c>
      <c r="Z96" s="376">
        <f>SUM('21 Oct Mon'!AQ96:AQ106,'22 Oct Tues'!AQ96:AQ106,'23 Oct Wed'!AQ96:AQ106,'24 Oct Thurs'!AQ96:AQ106,'25 Oct Fri'!AQ96:AQ106,'26 Oct Sat'!AQ96:AQ106)</f>
        <v>0</v>
      </c>
      <c r="AA96" s="377">
        <f>SUM('21 Oct Mon'!AR96:AR106,'22 Oct Tues'!AR96:AR106,'23 Oct Wed'!AR96:AR106,'24 Oct Thurs'!AR96:AR106,'25 Oct Fri'!AR96:AR106,'26 Oct Sat'!AR96:AR106)</f>
        <v>0</v>
      </c>
      <c r="AB96" s="377">
        <f>SUM('21 Oct Mon'!AS96:AS106,'22 Oct Tues'!AS96:AS106,'23 Oct Wed'!AS96:AS106,'24 Oct Thurs'!AS96:AS106,'25 Oct Fri'!AS96:AS106,'26 Oct Sat'!AS96:AS106)</f>
        <v>15.25</v>
      </c>
      <c r="AC96" s="378">
        <f>SUM('21 Oct Mon'!AT96:AT106,'22 Oct Tues'!AT96:AT106,'23 Oct Wed'!AT96:AT106,'24 Oct Thurs'!AT96:AT106,'25 Oct Fri'!AT96:AT106,'26 Oct Sat'!AT96:AT106)</f>
        <v>3.8125</v>
      </c>
      <c r="AD96" s="379">
        <f>SUM('21 Oct Mon'!AU96:AU106,'22 Oct Tues'!AU96:AU106,'23 Oct Wed'!AU96:AU106,'24 Oct Thurs'!AU96:AU106,'25 Oct Fri'!AU96:AU106,'26 Oct Sat'!AU96:AU106)</f>
        <v>0</v>
      </c>
      <c r="AE96" s="379">
        <f>SUM('21 Oct Mon'!AV96:AV106,'22 Oct Tues'!AV96:AV106,'23 Oct Wed'!AV96:AV106,'24 Oct Thurs'!AV96:AV106,'25 Oct Fri'!AV96:AV106,'26 Oct Sat'!AV96:AV106)</f>
        <v>0</v>
      </c>
      <c r="AF96" s="379">
        <f>SUM('21 Oct Mon'!AW96:AW106,'22 Oct Tues'!AW96:AW106,'23 Oct Wed'!AW96:AW106,'24 Oct Thurs'!AW96:AW106,'25 Oct Fri'!AW96:AW106,'26 Oct Sat'!AW96:AW106)</f>
        <v>0</v>
      </c>
      <c r="AG96" s="379">
        <f>SUM('21 Oct Mon'!AX96:AX106,'22 Oct Tues'!AX96:AX106,'23 Oct Wed'!AX96:AX106,'24 Oct Thurs'!AX96:AX106,'25 Oct Fri'!AX96:AX106,'26 Oct Sat'!AX96:AX106)</f>
        <v>0</v>
      </c>
      <c r="AH96" s="380">
        <f>SUM('21 Oct Mon'!AY96:AY106,'22 Oct Tues'!AY96:AY106,'23 Oct Wed'!AY96:AY106,'24 Oct Thurs'!AY96:AY106,'25 Oct Fri'!AY96:AY106,'26 Oct Sat'!AY96:AY106)</f>
        <v>0</v>
      </c>
      <c r="AI96" s="381">
        <f>SUM('21 Oct Mon'!AZ96:AZ106,'22 Oct Tues'!AZ96:AZ106,'23 Oct Wed'!AZ96:AZ106,'24 Oct Thurs'!AZ96:AZ106,'25 Oct Fri'!AZ96:AZ106,'26 Oct Sat'!AZ96:AZ106)</f>
        <v>0</v>
      </c>
      <c r="AJ96" s="382">
        <f>SUM('21 Oct Mon'!BG96:BG106,'22 Oct Tues'!BG96:BG106,'23 Oct Wed'!BG96:BG106,'24 Oct Thurs'!BG96:BG106,'25 Oct Fri'!BG96:BG106,'26 Oct Sat'!BG96:BG106)</f>
        <v>4</v>
      </c>
      <c r="AK96" s="383">
        <f>SUM('21 Oct Mon'!BH96:BH106,'22 Oct Tues'!BH96:BH106,'23 Oct Wed'!BH96:BH106,'24 Oct Thurs'!BH96:BH106,'25 Oct Fri'!BH96:BH106,'26 Oct Sat'!BH96:BH106)</f>
        <v>0</v>
      </c>
      <c r="AL96" s="384">
        <f>SUM('21 Oct Mon'!BI96:BI106,'22 Oct Tues'!BI96:BI106,'23 Oct Wed'!BI96:BI106,'24 Oct Thurs'!BI96:BI106,'25 Oct Fri'!BI96:BI106,'26 Oct Sat'!BI96:BI106)</f>
        <v>0</v>
      </c>
      <c r="AM96" s="379">
        <f>SUM('21 Oct Mon'!BJ96:BJ106,'22 Oct Tues'!BJ96:BJ106,'23 Oct Wed'!BJ96:BJ106,'24 Oct Thurs'!BJ96:BJ106,'25 Oct Fri'!BJ96:BJ106,'26 Oct Sat'!BJ96:BJ106)</f>
        <v>4</v>
      </c>
      <c r="AN96" s="379">
        <f>SUM('21 Oct Mon'!BK96:BK106,'22 Oct Tues'!BK96:BK106,'23 Oct Wed'!BK96:BK106,'24 Oct Thurs'!BK96:BK106,'25 Oct Fri'!BK96:BK106,'26 Oct Sat'!BK96:BK106)</f>
        <v>0</v>
      </c>
      <c r="AO96" s="385">
        <f>SUM('21 Oct Mon'!BL96:BL106,'22 Oct Tues'!BL96:BL106,'23 Oct Wed'!BL96:BL106,'24 Oct Thurs'!BL96:BL106,'25 Oct Fri'!BL96:BL106,'26 Oct Sat'!BL96:BL106)</f>
        <v>6.9</v>
      </c>
      <c r="AP96" s="386">
        <f>SUM('21 Oct Mon'!BM96:BM106,'22 Oct Tues'!BM96:BM106,'23 Oct Wed'!BM96:BM106,'24 Oct Thurs'!BM96:BM106,'25 Oct Fri'!BM96:BM106,'26 Oct Sat'!BM96:BM106)</f>
        <v>0</v>
      </c>
      <c r="AQ96" s="387">
        <f>SUM('21 Oct Mon'!BN96:BN106,'22 Oct Tues'!BN96:BN106,'23 Oct Wed'!BN96:BN106,'24 Oct Thurs'!BN96:BN106,'25 Oct Fri'!BN96:BN106,'26 Oct Sat'!BN96:BN106)</f>
        <v>0</v>
      </c>
      <c r="AR96" s="379">
        <f>SUM('21 Oct Mon'!BO96:BO106,'22 Oct Tues'!BO96:BO106,'23 Oct Wed'!BO96:BO106,'24 Oct Thurs'!BO96:BO106,'25 Oct Fri'!BO96:BO106,'26 Oct Sat'!BO96:BO106)</f>
        <v>0</v>
      </c>
      <c r="AS96" s="379">
        <f>SUM('21 Oct Mon'!BP96:BP106,'22 Oct Tues'!BP96:BP106,'23 Oct Wed'!BP96:BP106,'24 Oct Thurs'!BP96:BP106,'25 Oct Fri'!BP96:BP106,'26 Oct Sat'!BP96:BP106)</f>
        <v>0</v>
      </c>
      <c r="AT96" s="382">
        <f>SUM('21 Oct Mon'!BR96:BR106,'22 Oct Tues'!BR96:BR106,'23 Oct Wed'!BR96:BR106,'24 Oct Thurs'!BR96:BR106,'25 Oct Fri'!BR96:BR106,'26 Oct Sat'!BR96:BR106)</f>
        <v>7</v>
      </c>
      <c r="AU96" s="384">
        <f>SUM('21 Oct Mon'!BS96:BS106,'22 Oct Tues'!BS96:BS106,'23 Oct Wed'!BS96:BS106,'24 Oct Thurs'!BS96:BS106,'25 Oct Fri'!BS96:BS106,'26 Oct Sat'!BS96:BS106)</f>
        <v>0</v>
      </c>
      <c r="AV96" s="379">
        <f>SUM('21 Oct Mon'!BT96:BT106,'22 Oct Tues'!BT96:BT106,'23 Oct Wed'!BT96:BT106,'24 Oct Thurs'!BT96:BT106,'25 Oct Fri'!BT96:BT106,'26 Oct Sat'!BT96:BT106)</f>
        <v>0</v>
      </c>
      <c r="AW96" s="379">
        <f>SUM('21 Oct Mon'!BU96:BU106,'22 Oct Tues'!BU96:BU106,'23 Oct Wed'!BU96:BU106,'24 Oct Thurs'!BU96:BU106,'25 Oct Fri'!BU96:BU106,'26 Oct Sat'!BU96:BU106)</f>
        <v>0</v>
      </c>
      <c r="AX96" s="382">
        <f>SUM('21 Oct Mon'!BV96:BV106,'22 Oct Tues'!BV96:BV106,'23 Oct Wed'!BV96:BV106,'24 Oct Thurs'!BV96:BV106,'25 Oct Fri'!BV96:BV106,'26 Oct Sat'!BV96:BV106)</f>
        <v>0</v>
      </c>
      <c r="AY96" s="379">
        <f>SUM('21 Oct Mon'!BW96:BW106,'22 Oct Tues'!BW96:BW106,'23 Oct Wed'!BW96:BW106,'24 Oct Thurs'!BW96:BW106,'25 Oct Fri'!BW96:BW106,'26 Oct Sat'!BW96:BW106)</f>
        <v>0</v>
      </c>
      <c r="AZ96" s="385">
        <f>SUM('21 Oct Mon'!BX96:BX106,'22 Oct Tues'!BX96:BX106,'23 Oct Wed'!BX96:BX106,'24 Oct Thurs'!BX96:BX106,'25 Oct Fri'!BX96:BX106,'26 Oct Sat'!BX96:BX106)</f>
        <v>0</v>
      </c>
      <c r="BA96" s="386">
        <f>SUM('21 Oct Mon'!BY96:BY106,'22 Oct Tues'!BY96:BY106,'23 Oct Wed'!BY96:BY106,'24 Oct Thurs'!BY96:BY106,'25 Oct Fri'!BY96:BY106,'26 Oct Sat'!BY96:BY106)</f>
        <v>0</v>
      </c>
      <c r="BB96" s="386">
        <f>SUM('21 Oct Mon'!BZ96:BZ106,'22 Oct Tues'!BZ96:BZ106,'23 Oct Wed'!BZ96:BZ106,'24 Oct Thurs'!BZ96:BZ106,'25 Oct Fri'!BZ96:BZ106,'26 Oct Sat'!BZ96:BZ106)</f>
        <v>0</v>
      </c>
      <c r="BC96" s="386">
        <f>SUM('21 Oct Mon'!CA96:CA106,'22 Oct Tues'!CA96:CA106,'23 Oct Wed'!CA96:CA106,'24 Oct Thurs'!CA96:CA106,'25 Oct Fri'!CA96:CA106,'26 Oct Sat'!CA96:CA106)</f>
        <v>0</v>
      </c>
      <c r="BD96" s="386">
        <f>SUM('21 Oct Mon'!CB96:CB106,'22 Oct Tues'!CB96:CB106,'23 Oct Wed'!CB96:CB106,'24 Oct Thurs'!CB96:CB106,'25 Oct Fri'!CB96:CB106,'26 Oct Sat'!CB96:CB106)</f>
        <v>0</v>
      </c>
      <c r="BE96" s="386">
        <f>SUM('21 Oct Mon'!CC96:CC106,'22 Oct Tues'!CC96:CC106,'23 Oct Wed'!CC96:CC106,'24 Oct Thurs'!CC96:CC106,'25 Oct Fri'!CC96:CC106,'26 Oct Sat'!CC96:CC106)</f>
        <v>0</v>
      </c>
      <c r="BF96" s="386" t="str">
        <f>CONCATENATE("Mon-",'21 Oct Mon'!CD96:CD106,",Tues-",'22 Oct Tues'!CD96:CD106,",Wed-",'23 Oct Wed'!CD96:CD106,",Thurs-",'24 Oct Thurs'!CD96:CD106,",Fri-",'25 Oct Fri'!CD96:CD106,",Sat-",'26 Oct Sat'!CD96:CD106)</f>
        <v>Mon-,Tues-,Wed-,Thurs-,Fri-,Sat-</v>
      </c>
      <c r="BG96" s="388">
        <f>SUM('21 Oct Mon'!CE96:CE106,'22 Oct Tues'!CE96:CE106,'23 Oct Wed'!CE96:CE106,'24 Oct Thurs'!CE96:CE106,'25 Oct Fri'!CE96:CE106,'26 Oct Sat'!CE96:CE106)</f>
        <v>0</v>
      </c>
      <c r="BH96" s="389" t="str">
        <f>CONCATENATE("Mon-",'21 Oct Mon'!CF96:CF106,",Tues-",'22 Oct Tues'!CF96:CF106,",Wed-",'23 Oct Wed'!CF96:CF106,",Thurs-",'24 Oct Thurs'!CF96:CF106,",Fri-",'25 Oct Fri'!CF96:CF106,",Sat-",'26 Oct Sat'!CF96:CF106)</f>
        <v>Mon-FSD-1 _T1 paper setting ,Tues-,Wed-,Thurs-FSD-1 T1 paper evalutioin in SY1 total 99,Fri-,Sat-done supervision of FCSP-1 on 25/10/2024 from 2:30 to 5:30 PM</v>
      </c>
      <c r="BI96" s="383">
        <f>SUM('21 Oct Mon'!CG96:CG106,'22 Oct Tues'!CG96:CG106,'23 Oct Wed'!CG96:CG106,'24 Oct Thurs'!CG96:CG106,'25 Oct Fri'!CG96:CG106,'26 Oct Sat'!CG96:CG106)</f>
        <v>0</v>
      </c>
      <c r="BJ96" s="382">
        <f>SUM('21 Oct Mon'!CH96:CH106,'22 Oct Tues'!CH96:CH106,'23 Oct Wed'!CH96:CH106,'24 Oct Thurs'!CH96:CH106,'25 Oct Fri'!CH96:CH106,'26 Oct Sat'!CH96:CH106)</f>
        <v>1</v>
      </c>
      <c r="BK96" s="384">
        <f>SUM('21 Oct Mon'!CI96:CI106,'22 Oct Tues'!CI96:CI106,'23 Oct Wed'!CI96:CI106,'24 Oct Thurs'!CI96:CI106,'25 Oct Fri'!CI96:CI106,'26 Oct Sat'!CI96:CI106)</f>
        <v>0</v>
      </c>
      <c r="BL96" s="382" t="str">
        <f>CONCATENATE("Mon-",'21 Oct Mon'!CJ96:CJ106,",Tues-",'22 Oct Tues'!CJ96:CJ106,",Wed-",'23 Oct Wed'!CJ96:CJ106,",Thurs-",'24 Oct Thurs'!CJ96:CJ106,",Fri-",'25 Oct Fri'!CJ96:CJ106,",Sat-",'26 Oct Sat'!CJ96:CJ106)</f>
        <v>Mon-,Tues-,Wed-,Thurs-,Fri-,Sat-</v>
      </c>
      <c r="BM96" s="384">
        <f>SUM('21 Oct Mon'!CK96:CK106,'22 Oct Tues'!CK96:CK106,'23 Oct Wed'!CK96:CK106,'24 Oct Thurs'!CK96:CK106,'25 Oct Fri'!CK96:CK106,'26 Oct Sat'!CK96:CK106)</f>
        <v>0</v>
      </c>
      <c r="BN96" s="382" t="str">
        <f>CONCATENATE("Mon-",'21 Oct Mon'!CL96:CL106,",Tues-",'22 Oct Tues'!CL96:CL106,",Wed-",'23 Oct Wed'!CL96:CL106,",Thurs-",'24 Oct Thurs'!CL96:CL106,",Fri-",'25 Oct Fri'!CL96:CL106,",Sat-",'26 Oct Sat'!CL96:CL106)</f>
        <v>Mon-,Tues-,Wed-,Thurs-,Fri-,Sat-</v>
      </c>
      <c r="BO96" s="384">
        <f>SUM('21 Oct Mon'!CM96:CM106,'22 Oct Tues'!CM96:CM106,'23 Oct Wed'!CM96:CM106,'24 Oct Thurs'!CM96:CM106,'25 Oct Fri'!CM96:CM106,'26 Oct Sat'!CM96:CM106)</f>
        <v>0</v>
      </c>
      <c r="BP96" s="385" t="str">
        <f>CONCATENATE("Mon-",'21 Oct Mon'!CN96:CN106,",Tues-",'22 Oct Tues'!CN96:CN106,",Wed-",'23 Oct Wed'!CN96:CN106,",Thurs-",'24 Oct Thurs'!CN96:CN106,",Fri-",'25 Oct Fri'!CN96:CN106,",Sat-",'26 Oct Sat'!CN96:CN106)</f>
        <v>Mon-,Tues-,Wed-,Thurs-,Fri-,Sat-</v>
      </c>
      <c r="BQ96" s="387">
        <f>SUM('21 Oct Mon'!CO96:CO106,'22 Oct Tues'!CO96:CO106,'23 Oct Wed'!CO96:CO106,'24 Oct Thurs'!CO96:CO106,'25 Oct Fri'!CO96:CO106,'26 Oct Sat'!CO96:CO106)</f>
        <v>0</v>
      </c>
      <c r="BR96" s="379" t="str">
        <f>CONCATENATE("Mon-",'21 Oct Mon'!CP96:CP106,",Tues-",'22 Oct Tues'!CP96:CP106,",Wed-",'23 Oct Wed'!CP96:CP106,",Thurs-",'24 Oct Thurs'!CP96:CP106,",Fri-",'25 Oct Fri'!CP96:CP106,",Sat-",'26 Oct Sat'!CP96:CP106)</f>
        <v>Mon-,Tues-,Wed-,Thurs-,Fri-,Sat-</v>
      </c>
      <c r="BS96" s="390">
        <f>SUM('21 Oct Mon'!CQ96:CQ106,'22 Oct Tues'!CQ96:CQ106,'23 Oct Wed'!CQ96:CQ106,'24 Oct Thurs'!CQ96:CQ106,'25 Oct Fri'!CQ96:CQ106,'26 Oct Sat'!CQ96:CQ106)</f>
        <v>0</v>
      </c>
      <c r="BT96" s="390">
        <f>SUM('21 Oct Mon'!CR96:CR106,'22 Oct Tues'!CR96:CR106,'23 Oct Wed'!CR96:CR106,'24 Oct Thurs'!CR96:CR106,'25 Oct Fri'!CR96:CR106,'26 Oct Sat'!CR96:CR106)</f>
        <v>0</v>
      </c>
      <c r="BU96" s="391">
        <f>SUM('21 Oct Mon'!CS96:CS106,'22 Oct Tues'!CS96:CS106,'23 Oct Wed'!CS96:CS106,'24 Oct Thurs'!CS96:CS106,'25 Oct Fri'!CS96:CS106,'26 Oct Sat'!CS96:CS106)</f>
        <v>0</v>
      </c>
      <c r="BV96" s="392">
        <f>SUM('21 Oct Mon'!CT96:CT106,'22 Oct Tues'!CT96:CT106,'23 Oct Wed'!CT96:CT106,'24 Oct Thurs'!CT96:CT106,'25 Oct Fri'!CT96:CT106,'26 Oct Sat'!CT96:CT106)</f>
        <v>15.25</v>
      </c>
      <c r="BW96" s="393" t="str">
        <f>LEFT(U96,FIND("(",U96,1)-2)</f>
        <v>0</v>
      </c>
      <c r="BX96" s="394"/>
    </row>
    <row r="97" ht="61.5" customHeight="1">
      <c r="A97" s="177"/>
      <c r="C97" s="205" t="s">
        <v>180</v>
      </c>
      <c r="D97" s="408"/>
      <c r="E97" s="409"/>
      <c r="F97" s="409"/>
      <c r="G97" s="409"/>
      <c r="H97" s="409"/>
      <c r="I97" s="409"/>
      <c r="J97" s="397"/>
      <c r="K97" s="398">
        <f t="shared" si="1"/>
        <v>0</v>
      </c>
      <c r="L97" s="173"/>
      <c r="M97" s="173"/>
      <c r="N97" s="177"/>
      <c r="O97" s="178"/>
      <c r="P97" s="178"/>
      <c r="Q97" s="178"/>
      <c r="R97" s="178"/>
      <c r="S97" s="182"/>
      <c r="T97" s="65"/>
      <c r="U97" s="64"/>
      <c r="V97" s="66"/>
      <c r="W97" s="173"/>
      <c r="X97" s="173"/>
      <c r="Y97" s="65"/>
      <c r="Z97" s="65"/>
      <c r="AA97" s="65"/>
      <c r="AB97" s="65"/>
      <c r="AC97" s="173"/>
      <c r="AD97" s="166"/>
      <c r="AE97" s="166"/>
      <c r="AF97" s="166"/>
      <c r="AG97" s="166"/>
      <c r="AH97" s="65"/>
      <c r="AJ97" s="177"/>
      <c r="AK97" s="178"/>
      <c r="AL97" s="181"/>
      <c r="AM97" s="166"/>
      <c r="AN97" s="166"/>
      <c r="AO97" s="177"/>
      <c r="AP97" s="178"/>
      <c r="AQ97" s="181"/>
      <c r="AR97" s="166"/>
      <c r="AS97" s="166"/>
      <c r="AT97" s="177"/>
      <c r="AU97" s="181"/>
      <c r="AV97" s="166"/>
      <c r="AW97" s="166"/>
      <c r="AX97" s="177"/>
      <c r="AY97" s="166"/>
      <c r="AZ97" s="177"/>
      <c r="BA97" s="178"/>
      <c r="BB97" s="178"/>
      <c r="BC97" s="178"/>
      <c r="BD97" s="178"/>
      <c r="BE97" s="178"/>
      <c r="BF97" s="178"/>
      <c r="BG97" s="179"/>
      <c r="BH97" s="180"/>
      <c r="BI97" s="178"/>
      <c r="BJ97" s="177"/>
      <c r="BK97" s="181"/>
      <c r="BL97" s="177"/>
      <c r="BM97" s="181"/>
      <c r="BN97" s="177"/>
      <c r="BO97" s="181"/>
      <c r="BP97" s="177"/>
      <c r="BQ97" s="181"/>
      <c r="BR97" s="166"/>
      <c r="BS97" s="166"/>
      <c r="BT97" s="166"/>
      <c r="BU97" s="65"/>
      <c r="BW97" s="178"/>
      <c r="BX97" s="399"/>
    </row>
    <row r="98" ht="61.5" customHeight="1">
      <c r="A98" s="177"/>
      <c r="C98" s="205" t="s">
        <v>180</v>
      </c>
      <c r="D98" s="408"/>
      <c r="E98" s="409"/>
      <c r="F98" s="409"/>
      <c r="G98" s="409"/>
      <c r="H98" s="409"/>
      <c r="I98" s="409"/>
      <c r="J98" s="397"/>
      <c r="K98" s="398">
        <f t="shared" si="1"/>
        <v>0</v>
      </c>
      <c r="L98" s="173"/>
      <c r="M98" s="173"/>
      <c r="N98" s="177"/>
      <c r="O98" s="178"/>
      <c r="P98" s="178"/>
      <c r="Q98" s="178"/>
      <c r="R98" s="178"/>
      <c r="S98" s="182"/>
      <c r="T98" s="65"/>
      <c r="U98" s="64"/>
      <c r="V98" s="66"/>
      <c r="W98" s="173"/>
      <c r="X98" s="173"/>
      <c r="Y98" s="65"/>
      <c r="Z98" s="65"/>
      <c r="AA98" s="65"/>
      <c r="AB98" s="65"/>
      <c r="AC98" s="173"/>
      <c r="AD98" s="166"/>
      <c r="AE98" s="166"/>
      <c r="AF98" s="166"/>
      <c r="AG98" s="166"/>
      <c r="AH98" s="65"/>
      <c r="AJ98" s="177"/>
      <c r="AK98" s="178"/>
      <c r="AL98" s="181"/>
      <c r="AM98" s="166"/>
      <c r="AN98" s="166"/>
      <c r="AO98" s="177"/>
      <c r="AP98" s="178"/>
      <c r="AQ98" s="181"/>
      <c r="AR98" s="166"/>
      <c r="AS98" s="166"/>
      <c r="AT98" s="177"/>
      <c r="AU98" s="181"/>
      <c r="AV98" s="166"/>
      <c r="AW98" s="166"/>
      <c r="AX98" s="177"/>
      <c r="AY98" s="166"/>
      <c r="AZ98" s="177"/>
      <c r="BA98" s="178"/>
      <c r="BB98" s="178"/>
      <c r="BC98" s="178"/>
      <c r="BD98" s="178"/>
      <c r="BE98" s="178"/>
      <c r="BF98" s="178"/>
      <c r="BG98" s="179"/>
      <c r="BH98" s="180"/>
      <c r="BI98" s="178"/>
      <c r="BJ98" s="177"/>
      <c r="BK98" s="181"/>
      <c r="BL98" s="177"/>
      <c r="BM98" s="181"/>
      <c r="BN98" s="177"/>
      <c r="BO98" s="181"/>
      <c r="BP98" s="177"/>
      <c r="BQ98" s="181"/>
      <c r="BR98" s="166"/>
      <c r="BS98" s="166"/>
      <c r="BT98" s="166"/>
      <c r="BU98" s="65"/>
      <c r="BW98" s="178"/>
      <c r="BX98" s="399"/>
    </row>
    <row r="99" ht="61.5" customHeight="1">
      <c r="A99" s="177"/>
      <c r="C99" s="205" t="s">
        <v>180</v>
      </c>
      <c r="D99" s="408"/>
      <c r="E99" s="409"/>
      <c r="F99" s="409"/>
      <c r="G99" s="409"/>
      <c r="H99" s="409"/>
      <c r="I99" s="409"/>
      <c r="J99" s="397"/>
      <c r="K99" s="398">
        <f t="shared" si="1"/>
        <v>0</v>
      </c>
      <c r="L99" s="173"/>
      <c r="M99" s="173"/>
      <c r="N99" s="177"/>
      <c r="O99" s="178"/>
      <c r="P99" s="178"/>
      <c r="Q99" s="178"/>
      <c r="R99" s="178"/>
      <c r="S99" s="182"/>
      <c r="T99" s="65"/>
      <c r="U99" s="64"/>
      <c r="V99" s="66"/>
      <c r="W99" s="173"/>
      <c r="X99" s="173"/>
      <c r="Y99" s="65"/>
      <c r="Z99" s="65"/>
      <c r="AA99" s="65"/>
      <c r="AB99" s="65"/>
      <c r="AC99" s="173"/>
      <c r="AD99" s="166"/>
      <c r="AE99" s="166"/>
      <c r="AF99" s="166"/>
      <c r="AG99" s="166"/>
      <c r="AH99" s="65"/>
      <c r="AJ99" s="177"/>
      <c r="AK99" s="178"/>
      <c r="AL99" s="181"/>
      <c r="AM99" s="166"/>
      <c r="AN99" s="166"/>
      <c r="AO99" s="177"/>
      <c r="AP99" s="178"/>
      <c r="AQ99" s="181"/>
      <c r="AR99" s="166"/>
      <c r="AS99" s="166"/>
      <c r="AT99" s="177"/>
      <c r="AU99" s="181"/>
      <c r="AV99" s="166"/>
      <c r="AW99" s="166"/>
      <c r="AX99" s="177"/>
      <c r="AY99" s="166"/>
      <c r="AZ99" s="177"/>
      <c r="BA99" s="178"/>
      <c r="BB99" s="178"/>
      <c r="BC99" s="178"/>
      <c r="BD99" s="178"/>
      <c r="BE99" s="178"/>
      <c r="BF99" s="178"/>
      <c r="BG99" s="179"/>
      <c r="BH99" s="180"/>
      <c r="BI99" s="178"/>
      <c r="BJ99" s="177"/>
      <c r="BK99" s="181"/>
      <c r="BL99" s="177"/>
      <c r="BM99" s="181"/>
      <c r="BN99" s="177"/>
      <c r="BO99" s="181"/>
      <c r="BP99" s="177"/>
      <c r="BQ99" s="181"/>
      <c r="BR99" s="166"/>
      <c r="BS99" s="166"/>
      <c r="BT99" s="166"/>
      <c r="BU99" s="65"/>
      <c r="BW99" s="178"/>
      <c r="BX99" s="399"/>
    </row>
    <row r="100" ht="61.5" customHeight="1">
      <c r="A100" s="177"/>
      <c r="C100" s="205" t="s">
        <v>180</v>
      </c>
      <c r="D100" s="395"/>
      <c r="E100" s="396"/>
      <c r="F100" s="396"/>
      <c r="G100" s="396"/>
      <c r="H100" s="396"/>
      <c r="I100" s="396"/>
      <c r="J100" s="397"/>
      <c r="K100" s="398">
        <f t="shared" si="1"/>
        <v>0</v>
      </c>
      <c r="L100" s="173"/>
      <c r="M100" s="173"/>
      <c r="N100" s="177"/>
      <c r="O100" s="178"/>
      <c r="P100" s="178"/>
      <c r="Q100" s="178"/>
      <c r="R100" s="178"/>
      <c r="S100" s="182"/>
      <c r="T100" s="65"/>
      <c r="U100" s="64"/>
      <c r="V100" s="66"/>
      <c r="W100" s="173"/>
      <c r="X100" s="173"/>
      <c r="Y100" s="65"/>
      <c r="Z100" s="65"/>
      <c r="AA100" s="65"/>
      <c r="AB100" s="65"/>
      <c r="AC100" s="173"/>
      <c r="AD100" s="166"/>
      <c r="AE100" s="166"/>
      <c r="AF100" s="166"/>
      <c r="AG100" s="166"/>
      <c r="AH100" s="65"/>
      <c r="AJ100" s="177"/>
      <c r="AK100" s="178"/>
      <c r="AL100" s="181"/>
      <c r="AM100" s="166"/>
      <c r="AN100" s="166"/>
      <c r="AO100" s="177"/>
      <c r="AP100" s="178"/>
      <c r="AQ100" s="181"/>
      <c r="AR100" s="166"/>
      <c r="AS100" s="166"/>
      <c r="AT100" s="177"/>
      <c r="AU100" s="181"/>
      <c r="AV100" s="166"/>
      <c r="AW100" s="166"/>
      <c r="AX100" s="177"/>
      <c r="AY100" s="166"/>
      <c r="AZ100" s="177"/>
      <c r="BA100" s="178"/>
      <c r="BB100" s="178"/>
      <c r="BC100" s="178"/>
      <c r="BD100" s="178"/>
      <c r="BE100" s="178"/>
      <c r="BF100" s="178"/>
      <c r="BG100" s="179"/>
      <c r="BH100" s="180"/>
      <c r="BI100" s="178"/>
      <c r="BJ100" s="177"/>
      <c r="BK100" s="181"/>
      <c r="BL100" s="177"/>
      <c r="BM100" s="181"/>
      <c r="BN100" s="177"/>
      <c r="BO100" s="181"/>
      <c r="BP100" s="177"/>
      <c r="BQ100" s="181"/>
      <c r="BR100" s="166"/>
      <c r="BS100" s="166"/>
      <c r="BT100" s="166"/>
      <c r="BU100" s="65"/>
      <c r="BW100" s="178"/>
      <c r="BX100" s="399"/>
    </row>
    <row r="101" ht="61.5" customHeight="1">
      <c r="A101" s="177"/>
      <c r="C101" s="205" t="s">
        <v>180</v>
      </c>
      <c r="D101" s="395"/>
      <c r="E101" s="396"/>
      <c r="F101" s="396"/>
      <c r="G101" s="396"/>
      <c r="H101" s="396"/>
      <c r="I101" s="396"/>
      <c r="J101" s="397"/>
      <c r="K101" s="398">
        <f t="shared" si="1"/>
        <v>0</v>
      </c>
      <c r="L101" s="173"/>
      <c r="M101" s="173"/>
      <c r="N101" s="177"/>
      <c r="O101" s="178"/>
      <c r="P101" s="178"/>
      <c r="Q101" s="178"/>
      <c r="R101" s="178"/>
      <c r="S101" s="182"/>
      <c r="T101" s="65"/>
      <c r="U101" s="64"/>
      <c r="V101" s="66"/>
      <c r="W101" s="173"/>
      <c r="X101" s="173"/>
      <c r="Y101" s="65"/>
      <c r="Z101" s="65"/>
      <c r="AA101" s="65"/>
      <c r="AB101" s="65"/>
      <c r="AC101" s="173"/>
      <c r="AD101" s="166"/>
      <c r="AE101" s="166"/>
      <c r="AF101" s="166"/>
      <c r="AG101" s="166"/>
      <c r="AH101" s="65"/>
      <c r="AJ101" s="177"/>
      <c r="AK101" s="178"/>
      <c r="AL101" s="181"/>
      <c r="AM101" s="166"/>
      <c r="AN101" s="166"/>
      <c r="AO101" s="177"/>
      <c r="AP101" s="178"/>
      <c r="AQ101" s="181"/>
      <c r="AR101" s="166"/>
      <c r="AS101" s="166"/>
      <c r="AT101" s="177"/>
      <c r="AU101" s="181"/>
      <c r="AV101" s="166"/>
      <c r="AW101" s="166"/>
      <c r="AX101" s="177"/>
      <c r="AY101" s="166"/>
      <c r="AZ101" s="177"/>
      <c r="BA101" s="178"/>
      <c r="BB101" s="178"/>
      <c r="BC101" s="178"/>
      <c r="BD101" s="178"/>
      <c r="BE101" s="178"/>
      <c r="BF101" s="178"/>
      <c r="BG101" s="179"/>
      <c r="BH101" s="180"/>
      <c r="BI101" s="178"/>
      <c r="BJ101" s="177"/>
      <c r="BK101" s="181"/>
      <c r="BL101" s="177"/>
      <c r="BM101" s="181"/>
      <c r="BN101" s="177"/>
      <c r="BO101" s="181"/>
      <c r="BP101" s="177"/>
      <c r="BQ101" s="181"/>
      <c r="BR101" s="166"/>
      <c r="BS101" s="166"/>
      <c r="BT101" s="166"/>
      <c r="BU101" s="65"/>
      <c r="BW101" s="178"/>
      <c r="BX101" s="399"/>
    </row>
    <row r="102" ht="61.5" customHeight="1">
      <c r="A102" s="177"/>
      <c r="C102" s="205" t="s">
        <v>180</v>
      </c>
      <c r="D102" s="395"/>
      <c r="E102" s="396"/>
      <c r="F102" s="396"/>
      <c r="G102" s="396"/>
      <c r="H102" s="396"/>
      <c r="I102" s="396"/>
      <c r="J102" s="397"/>
      <c r="K102" s="398">
        <f t="shared" si="1"/>
        <v>0</v>
      </c>
      <c r="L102" s="173"/>
      <c r="M102" s="173"/>
      <c r="N102" s="177"/>
      <c r="O102" s="178"/>
      <c r="P102" s="178"/>
      <c r="Q102" s="178"/>
      <c r="R102" s="178"/>
      <c r="S102" s="182"/>
      <c r="T102" s="65"/>
      <c r="U102" s="64"/>
      <c r="V102" s="66"/>
      <c r="W102" s="173"/>
      <c r="X102" s="173"/>
      <c r="Y102" s="65"/>
      <c r="Z102" s="65"/>
      <c r="AA102" s="65"/>
      <c r="AB102" s="65"/>
      <c r="AC102" s="173"/>
      <c r="AD102" s="166"/>
      <c r="AE102" s="166"/>
      <c r="AF102" s="166"/>
      <c r="AG102" s="166"/>
      <c r="AH102" s="65"/>
      <c r="AJ102" s="177"/>
      <c r="AK102" s="178"/>
      <c r="AL102" s="181"/>
      <c r="AM102" s="166"/>
      <c r="AN102" s="166"/>
      <c r="AO102" s="177"/>
      <c r="AP102" s="178"/>
      <c r="AQ102" s="181"/>
      <c r="AR102" s="166"/>
      <c r="AS102" s="166"/>
      <c r="AT102" s="177"/>
      <c r="AU102" s="181"/>
      <c r="AV102" s="166"/>
      <c r="AW102" s="166"/>
      <c r="AX102" s="177"/>
      <c r="AY102" s="166"/>
      <c r="AZ102" s="177"/>
      <c r="BA102" s="178"/>
      <c r="BB102" s="178"/>
      <c r="BC102" s="178"/>
      <c r="BD102" s="178"/>
      <c r="BE102" s="178"/>
      <c r="BF102" s="178"/>
      <c r="BG102" s="179"/>
      <c r="BH102" s="180"/>
      <c r="BI102" s="178"/>
      <c r="BJ102" s="177"/>
      <c r="BK102" s="181"/>
      <c r="BL102" s="177"/>
      <c r="BM102" s="181"/>
      <c r="BN102" s="177"/>
      <c r="BO102" s="181"/>
      <c r="BP102" s="177"/>
      <c r="BQ102" s="181"/>
      <c r="BR102" s="166"/>
      <c r="BS102" s="166"/>
      <c r="BT102" s="166"/>
      <c r="BU102" s="65"/>
      <c r="BW102" s="178"/>
      <c r="BX102" s="399"/>
    </row>
    <row r="103" ht="61.5" customHeight="1">
      <c r="A103" s="177"/>
      <c r="C103" s="205" t="s">
        <v>180</v>
      </c>
      <c r="D103" s="395"/>
      <c r="E103" s="396"/>
      <c r="F103" s="396"/>
      <c r="G103" s="396"/>
      <c r="H103" s="396"/>
      <c r="I103" s="396"/>
      <c r="J103" s="397"/>
      <c r="K103" s="398">
        <f t="shared" si="1"/>
        <v>0</v>
      </c>
      <c r="L103" s="173"/>
      <c r="M103" s="173"/>
      <c r="N103" s="177"/>
      <c r="O103" s="178"/>
      <c r="P103" s="178"/>
      <c r="Q103" s="178"/>
      <c r="R103" s="178"/>
      <c r="S103" s="182"/>
      <c r="T103" s="65"/>
      <c r="U103" s="64"/>
      <c r="V103" s="66"/>
      <c r="W103" s="173"/>
      <c r="X103" s="173"/>
      <c r="Y103" s="65"/>
      <c r="Z103" s="65"/>
      <c r="AA103" s="65"/>
      <c r="AB103" s="65"/>
      <c r="AC103" s="173"/>
      <c r="AD103" s="166"/>
      <c r="AE103" s="166"/>
      <c r="AF103" s="166"/>
      <c r="AG103" s="166"/>
      <c r="AH103" s="65"/>
      <c r="AJ103" s="177"/>
      <c r="AK103" s="178"/>
      <c r="AL103" s="181"/>
      <c r="AM103" s="166"/>
      <c r="AN103" s="166"/>
      <c r="AO103" s="177"/>
      <c r="AP103" s="178"/>
      <c r="AQ103" s="181"/>
      <c r="AR103" s="166"/>
      <c r="AS103" s="166"/>
      <c r="AT103" s="177"/>
      <c r="AU103" s="181"/>
      <c r="AV103" s="166"/>
      <c r="AW103" s="166"/>
      <c r="AX103" s="177"/>
      <c r="AY103" s="166"/>
      <c r="AZ103" s="177"/>
      <c r="BA103" s="178"/>
      <c r="BB103" s="178"/>
      <c r="BC103" s="178"/>
      <c r="BD103" s="178"/>
      <c r="BE103" s="178"/>
      <c r="BF103" s="178"/>
      <c r="BG103" s="179"/>
      <c r="BH103" s="180"/>
      <c r="BI103" s="178"/>
      <c r="BJ103" s="177"/>
      <c r="BK103" s="181"/>
      <c r="BL103" s="177"/>
      <c r="BM103" s="181"/>
      <c r="BN103" s="177"/>
      <c r="BO103" s="181"/>
      <c r="BP103" s="177"/>
      <c r="BQ103" s="181"/>
      <c r="BR103" s="166"/>
      <c r="BS103" s="166"/>
      <c r="BT103" s="166"/>
      <c r="BU103" s="65"/>
      <c r="BW103" s="178"/>
      <c r="BX103" s="399"/>
    </row>
    <row r="104" ht="61.5" customHeight="1">
      <c r="A104" s="177"/>
      <c r="C104" s="205" t="s">
        <v>180</v>
      </c>
      <c r="D104" s="395"/>
      <c r="E104" s="396"/>
      <c r="F104" s="396"/>
      <c r="G104" s="396"/>
      <c r="H104" s="396"/>
      <c r="I104" s="396"/>
      <c r="J104" s="397"/>
      <c r="K104" s="398">
        <f t="shared" si="1"/>
        <v>0</v>
      </c>
      <c r="L104" s="173"/>
      <c r="M104" s="173"/>
      <c r="N104" s="177"/>
      <c r="O104" s="178"/>
      <c r="P104" s="178"/>
      <c r="Q104" s="178"/>
      <c r="R104" s="178"/>
      <c r="S104" s="182"/>
      <c r="T104" s="65"/>
      <c r="U104" s="64"/>
      <c r="V104" s="66"/>
      <c r="W104" s="173"/>
      <c r="X104" s="173"/>
      <c r="Y104" s="65"/>
      <c r="Z104" s="65"/>
      <c r="AA104" s="65"/>
      <c r="AB104" s="65"/>
      <c r="AC104" s="173"/>
      <c r="AD104" s="166"/>
      <c r="AE104" s="166"/>
      <c r="AF104" s="166"/>
      <c r="AG104" s="166"/>
      <c r="AH104" s="65"/>
      <c r="AJ104" s="177"/>
      <c r="AK104" s="178"/>
      <c r="AL104" s="181"/>
      <c r="AM104" s="166"/>
      <c r="AN104" s="166"/>
      <c r="AO104" s="177"/>
      <c r="AP104" s="178"/>
      <c r="AQ104" s="181"/>
      <c r="AR104" s="166"/>
      <c r="AS104" s="166"/>
      <c r="AT104" s="177"/>
      <c r="AU104" s="181"/>
      <c r="AV104" s="166"/>
      <c r="AW104" s="166"/>
      <c r="AX104" s="177"/>
      <c r="AY104" s="166"/>
      <c r="AZ104" s="177"/>
      <c r="BA104" s="178"/>
      <c r="BB104" s="178"/>
      <c r="BC104" s="178"/>
      <c r="BD104" s="178"/>
      <c r="BE104" s="178"/>
      <c r="BF104" s="178"/>
      <c r="BG104" s="179"/>
      <c r="BH104" s="180"/>
      <c r="BI104" s="178"/>
      <c r="BJ104" s="177"/>
      <c r="BK104" s="181"/>
      <c r="BL104" s="177"/>
      <c r="BM104" s="181"/>
      <c r="BN104" s="177"/>
      <c r="BO104" s="181"/>
      <c r="BP104" s="177"/>
      <c r="BQ104" s="181"/>
      <c r="BR104" s="166"/>
      <c r="BS104" s="166"/>
      <c r="BT104" s="166"/>
      <c r="BU104" s="65"/>
      <c r="BW104" s="178"/>
      <c r="BX104" s="399"/>
    </row>
    <row r="105" ht="61.5" customHeight="1">
      <c r="A105" s="177"/>
      <c r="C105" s="205" t="s">
        <v>180</v>
      </c>
      <c r="D105" s="395"/>
      <c r="E105" s="396"/>
      <c r="F105" s="396"/>
      <c r="G105" s="396"/>
      <c r="H105" s="396"/>
      <c r="I105" s="396"/>
      <c r="J105" s="397"/>
      <c r="K105" s="398">
        <f t="shared" si="1"/>
        <v>0</v>
      </c>
      <c r="L105" s="173"/>
      <c r="M105" s="173"/>
      <c r="N105" s="177"/>
      <c r="O105" s="178"/>
      <c r="P105" s="178"/>
      <c r="Q105" s="178"/>
      <c r="R105" s="178"/>
      <c r="S105" s="182"/>
      <c r="T105" s="65"/>
      <c r="U105" s="64"/>
      <c r="V105" s="66"/>
      <c r="W105" s="173"/>
      <c r="X105" s="173"/>
      <c r="Y105" s="65"/>
      <c r="Z105" s="65"/>
      <c r="AA105" s="65"/>
      <c r="AB105" s="65"/>
      <c r="AC105" s="173"/>
      <c r="AD105" s="166"/>
      <c r="AE105" s="166"/>
      <c r="AF105" s="166"/>
      <c r="AG105" s="166"/>
      <c r="AH105" s="65"/>
      <c r="AJ105" s="177"/>
      <c r="AK105" s="178"/>
      <c r="AL105" s="181"/>
      <c r="AM105" s="166"/>
      <c r="AN105" s="166"/>
      <c r="AO105" s="177"/>
      <c r="AP105" s="178"/>
      <c r="AQ105" s="181"/>
      <c r="AR105" s="166"/>
      <c r="AS105" s="166"/>
      <c r="AT105" s="177"/>
      <c r="AU105" s="181"/>
      <c r="AV105" s="166"/>
      <c r="AW105" s="166"/>
      <c r="AX105" s="177"/>
      <c r="AY105" s="166"/>
      <c r="AZ105" s="177"/>
      <c r="BA105" s="178"/>
      <c r="BB105" s="178"/>
      <c r="BC105" s="178"/>
      <c r="BD105" s="178"/>
      <c r="BE105" s="178"/>
      <c r="BF105" s="178"/>
      <c r="BG105" s="179"/>
      <c r="BH105" s="180"/>
      <c r="BI105" s="178"/>
      <c r="BJ105" s="177"/>
      <c r="BK105" s="181"/>
      <c r="BL105" s="177"/>
      <c r="BM105" s="181"/>
      <c r="BN105" s="177"/>
      <c r="BO105" s="181"/>
      <c r="BP105" s="177"/>
      <c r="BQ105" s="181"/>
      <c r="BR105" s="166"/>
      <c r="BS105" s="166"/>
      <c r="BT105" s="166"/>
      <c r="BU105" s="65"/>
      <c r="BW105" s="178"/>
      <c r="BX105" s="399"/>
    </row>
    <row r="106" ht="61.5" customHeight="1">
      <c r="A106" s="192"/>
      <c r="B106" s="6"/>
      <c r="C106" s="210" t="s">
        <v>180</v>
      </c>
      <c r="D106" s="400"/>
      <c r="E106" s="401"/>
      <c r="F106" s="401"/>
      <c r="G106" s="401"/>
      <c r="H106" s="401"/>
      <c r="I106" s="401"/>
      <c r="J106" s="402"/>
      <c r="K106" s="403">
        <f t="shared" si="1"/>
        <v>0</v>
      </c>
      <c r="L106" s="69"/>
      <c r="M106" s="69"/>
      <c r="N106" s="192"/>
      <c r="O106" s="193"/>
      <c r="P106" s="193"/>
      <c r="Q106" s="193"/>
      <c r="R106" s="193"/>
      <c r="S106" s="197"/>
      <c r="T106" s="89"/>
      <c r="U106" s="103"/>
      <c r="V106" s="68"/>
      <c r="W106" s="69"/>
      <c r="X106" s="69"/>
      <c r="Y106" s="89"/>
      <c r="Z106" s="89"/>
      <c r="AA106" s="89"/>
      <c r="AB106" s="89"/>
      <c r="AC106" s="69"/>
      <c r="AD106" s="63"/>
      <c r="AE106" s="63"/>
      <c r="AF106" s="63"/>
      <c r="AG106" s="63"/>
      <c r="AH106" s="89"/>
      <c r="AI106" s="6"/>
      <c r="AJ106" s="192"/>
      <c r="AK106" s="193"/>
      <c r="AL106" s="196"/>
      <c r="AM106" s="63"/>
      <c r="AN106" s="63"/>
      <c r="AO106" s="192"/>
      <c r="AP106" s="193"/>
      <c r="AQ106" s="196"/>
      <c r="AR106" s="63"/>
      <c r="AS106" s="63"/>
      <c r="AT106" s="192"/>
      <c r="AU106" s="196"/>
      <c r="AV106" s="63"/>
      <c r="AW106" s="63"/>
      <c r="AX106" s="192"/>
      <c r="AY106" s="63"/>
      <c r="AZ106" s="192"/>
      <c r="BA106" s="193"/>
      <c r="BB106" s="193"/>
      <c r="BC106" s="193"/>
      <c r="BD106" s="193"/>
      <c r="BE106" s="193"/>
      <c r="BF106" s="193"/>
      <c r="BG106" s="194"/>
      <c r="BH106" s="195"/>
      <c r="BI106" s="193"/>
      <c r="BJ106" s="192"/>
      <c r="BK106" s="196"/>
      <c r="BL106" s="192"/>
      <c r="BM106" s="196"/>
      <c r="BN106" s="192"/>
      <c r="BO106" s="196"/>
      <c r="BP106" s="192"/>
      <c r="BQ106" s="196"/>
      <c r="BR106" s="63"/>
      <c r="BS106" s="63"/>
      <c r="BT106" s="63"/>
      <c r="BU106" s="89"/>
      <c r="BV106" s="6"/>
      <c r="BW106" s="198"/>
      <c r="BX106" s="404"/>
    </row>
    <row r="107" ht="61.5" customHeight="1">
      <c r="A107" s="363">
        <v>10.0</v>
      </c>
      <c r="B107" s="199" t="s">
        <v>184</v>
      </c>
      <c r="C107" s="168" t="s">
        <v>185</v>
      </c>
      <c r="D107" s="408"/>
      <c r="E107" s="409"/>
      <c r="F107" s="409"/>
      <c r="G107" s="409"/>
      <c r="H107" s="409"/>
      <c r="I107" s="409"/>
      <c r="J107" s="397"/>
      <c r="K107" s="367">
        <f t="shared" si="1"/>
        <v>0</v>
      </c>
      <c r="L107" s="368">
        <f>SUM(I107:I117)+SUM(K107:K117)*1</f>
        <v>0</v>
      </c>
      <c r="M107" s="368">
        <f>SUM('21 Oct Mon'!Q107:Q117,'22 Oct Tues'!Q107:Q117,'23 Oct Wed'!Q107:Q117,'24 Oct Thurs'!Q107:Q117,'25 Oct Fri'!Q107:Q117,'26 Oct Sat'!Q107:Q117)</f>
        <v>0</v>
      </c>
      <c r="N107" s="369">
        <f>SUM('21 Oct Mon'!R107:R117,'22 Oct Tues'!R107:R117,'23 Oct Wed'!R107:R117,'24 Oct Thurs'!R107:R117,'25 Oct Fri'!R107:R117,'26 Oct Sat'!R107:R117)</f>
        <v>0</v>
      </c>
      <c r="O107" s="370">
        <f>SUM(L107:N117)</f>
        <v>0</v>
      </c>
      <c r="P107" s="370">
        <f>SUM('21 Oct Mon'!T107:T117,'22 Oct Tues'!T107:T117,'23 Oct Wed'!T107:T117,'24 Oct Thurs'!T107:T117,'25 Oct Fri'!T107:T117,'26 Oct Sat'!T107:T117)</f>
        <v>0</v>
      </c>
      <c r="Q107" s="370">
        <f>SUM('21 Oct Mon'!U107:U117,'22 Oct Tues'!U107:U117,'23 Oct Wed'!U107:U117,'24 Oct Thurs'!U107:U117,'25 Oct Fri'!U107:U117,'26 Oct Sat'!U107:U117)</f>
        <v>0</v>
      </c>
      <c r="R107" s="370">
        <f>SUM('21 Oct Mon'!V107:V117,'22 Oct Tues'!V107:V117,'23 Oct Wed'!V107:V117,'24 Oct Thurs'!V107:V117,'25 Oct Fri'!V107:V117,'26 Oct Sat'!V107:V117)</f>
        <v>0</v>
      </c>
      <c r="S107" s="371">
        <f>SUM('21 Oct Mon'!W107:W117,'22 Oct Tues'!W107:W117,'23 Oct Wed'!W107:W117,'24 Oct Thurs'!W107:W117,'25 Oct Fri'!W107:W117,'26 Oct Sat'!W107:W117)</f>
        <v>0</v>
      </c>
      <c r="T107" s="372">
        <f>O107-P107-Q107-R107-S107</f>
        <v>0</v>
      </c>
      <c r="U107" s="373" t="str">
        <f>CONCATENATE(SUM('21 Oct Mon'!O107:O117,'22 Oct Tues'!O107:O117,'23 Oct Wed'!O107:O117,'24 Oct Thurs'!O107:O117,'25 Oct Fri'!O107:O117,'26 Oct Sat'!O107:O117),"
(",(SUM('21 Oct Mon'!O107:O117,'22 Oct Tues'!O107:O117,'23 Oct Wed'!O107:O117,'24 Oct Thurs'!O107:O117,'25 Oct Fri'!O107:O117,'26 Oct Sat'!O107:O117)-T107),")")</f>
        <v>0
(0)</v>
      </c>
      <c r="V107" s="374" t="str">
        <f>CONCATENATE("Mon-",'21 Oct Mon'!Z107:Z117,",Tues-",'22 Oct Tues'!Z107:Z117,",Wed-",'23 Oct Wed'!Z107:Z117,",Thurs-",'24 Oct Thurs'!Z107:Z117,",Fri-",'25 Oct Fri'!Z107:Z117,",Sat-",'26 Oct Sat'!Z107:Z117)</f>
        <v>Mon-,Tues-,Wed-,Thurs-,Fri-,Sat-</v>
      </c>
      <c r="W107" s="375">
        <f>SUM('21 Oct Mon'!AI107:AI117,'22 Oct Tues'!AI107:AI117,'23 Oct Wed'!AI107:AI117,'24 Oct Thurs'!AI107:AI117,'25 Oct Fri'!AI107:AI117,'26 Oct Sat'!AI107:AI117)</f>
        <v>0.3333333333</v>
      </c>
      <c r="X107" s="375">
        <f>SUM('21 Oct Mon'!AM107:AM117,'22 Oct Tues'!AM107:AM117,'23 Oct Wed'!AM107:AM117,'24 Oct Thurs'!AM107:AM117,'25 Oct Fri'!AM107:AM117,'26 Oct Sat'!AM107:AM117)</f>
        <v>0</v>
      </c>
      <c r="Y107" s="376">
        <f>SUM('21 Oct Mon'!AP107:AP117,'22 Oct Tues'!AP107:AP117,'23 Oct Wed'!AP107:AP117,'24 Oct Thurs'!AP107:AP117,'25 Oct Fri'!AP107:AP117,'26 Oct Sat'!AP107:AP117)</f>
        <v>0.1666666667</v>
      </c>
      <c r="Z107" s="376">
        <f>SUM('21 Oct Mon'!AQ107:AQ117,'22 Oct Tues'!AQ107:AQ117,'23 Oct Wed'!AQ107:AQ117,'24 Oct Thurs'!AQ107:AQ117,'25 Oct Fri'!AQ107:AQ117,'26 Oct Sat'!AQ107:AQ117)</f>
        <v>0</v>
      </c>
      <c r="AA107" s="377">
        <f>SUM('21 Oct Mon'!AR107:AR117,'22 Oct Tues'!AR107:AR117,'23 Oct Wed'!AR107:AR117,'24 Oct Thurs'!AR107:AR117,'25 Oct Fri'!AR107:AR117,'26 Oct Sat'!AR107:AR117)</f>
        <v>0</v>
      </c>
      <c r="AB107" s="377">
        <f>SUM('21 Oct Mon'!AS107:AS117,'22 Oct Tues'!AS107:AS117,'23 Oct Wed'!AS107:AS117,'24 Oct Thurs'!AS107:AS117,'25 Oct Fri'!AS107:AS117,'26 Oct Sat'!AS107:AS117)</f>
        <v>17.10555556</v>
      </c>
      <c r="AC107" s="378">
        <f>SUM('21 Oct Mon'!AT107:AT117,'22 Oct Tues'!AT107:AT117,'23 Oct Wed'!AT107:AT117,'24 Oct Thurs'!AT107:AT117,'25 Oct Fri'!AT107:AT117,'26 Oct Sat'!AT107:AT117)</f>
        <v>4.276388889</v>
      </c>
      <c r="AD107" s="379">
        <f>SUM('21 Oct Mon'!AU107:AU117,'22 Oct Tues'!AU107:AU117,'23 Oct Wed'!AU107:AU117,'24 Oct Thurs'!AU107:AU117,'25 Oct Fri'!AU107:AU117,'26 Oct Sat'!AU107:AU117)</f>
        <v>0</v>
      </c>
      <c r="AE107" s="379">
        <f>SUM('21 Oct Mon'!AV107:AV117,'22 Oct Tues'!AV107:AV117,'23 Oct Wed'!AV107:AV117,'24 Oct Thurs'!AV107:AV117,'25 Oct Fri'!AV107:AV117,'26 Oct Sat'!AV107:AV117)</f>
        <v>0</v>
      </c>
      <c r="AF107" s="379">
        <f>SUM('21 Oct Mon'!AW107:AW117,'22 Oct Tues'!AW107:AW117,'23 Oct Wed'!AW107:AW117,'24 Oct Thurs'!AW107:AW117,'25 Oct Fri'!AW107:AW117,'26 Oct Sat'!AW107:AW117)</f>
        <v>0</v>
      </c>
      <c r="AG107" s="379">
        <f>SUM('21 Oct Mon'!AX107:AX117,'22 Oct Tues'!AX107:AX117,'23 Oct Wed'!AX107:AX117,'24 Oct Thurs'!AX107:AX117,'25 Oct Fri'!AX107:AX117,'26 Oct Sat'!AX107:AX117)</f>
        <v>0</v>
      </c>
      <c r="AH107" s="380">
        <f>SUM('21 Oct Mon'!AY107:AY117,'22 Oct Tues'!AY107:AY117,'23 Oct Wed'!AY107:AY117,'24 Oct Thurs'!AY107:AY117,'25 Oct Fri'!AY107:AY117,'26 Oct Sat'!AY107:AY117)</f>
        <v>0</v>
      </c>
      <c r="AI107" s="381">
        <f>SUM('21 Oct Mon'!AZ107:AZ117,'22 Oct Tues'!AZ107:AZ117,'23 Oct Wed'!AZ107:AZ117,'24 Oct Thurs'!AZ107:AZ117,'25 Oct Fri'!AZ107:AZ117,'26 Oct Sat'!AZ107:AZ117)</f>
        <v>0</v>
      </c>
      <c r="AJ107" s="382">
        <f>SUM('21 Oct Mon'!BG107:BG117,'22 Oct Tues'!BG107:BG117,'23 Oct Wed'!BG107:BG117,'24 Oct Thurs'!BG107:BG117,'25 Oct Fri'!BG107:BG117,'26 Oct Sat'!BG107:BG117)</f>
        <v>4</v>
      </c>
      <c r="AK107" s="383">
        <f>SUM('21 Oct Mon'!BH107:BH117,'22 Oct Tues'!BH107:BH117,'23 Oct Wed'!BH107:BH117,'24 Oct Thurs'!BH107:BH117,'25 Oct Fri'!BH107:BH117,'26 Oct Sat'!BH107:BH117)</f>
        <v>0</v>
      </c>
      <c r="AL107" s="384">
        <f>SUM('21 Oct Mon'!BI107:BI117,'22 Oct Tues'!BI107:BI117,'23 Oct Wed'!BI107:BI117,'24 Oct Thurs'!BI107:BI117,'25 Oct Fri'!BI107:BI117,'26 Oct Sat'!BI107:BI117)</f>
        <v>0</v>
      </c>
      <c r="AM107" s="379">
        <f>SUM('21 Oct Mon'!BJ107:BJ117,'22 Oct Tues'!BJ107:BJ117,'23 Oct Wed'!BJ107:BJ117,'24 Oct Thurs'!BJ107:BJ117,'25 Oct Fri'!BJ107:BJ117,'26 Oct Sat'!BJ107:BJ117)</f>
        <v>4</v>
      </c>
      <c r="AN107" s="379">
        <f>SUM('21 Oct Mon'!BK107:BK117,'22 Oct Tues'!BK107:BK117,'23 Oct Wed'!BK107:BK117,'24 Oct Thurs'!BK107:BK117,'25 Oct Fri'!BK107:BK117,'26 Oct Sat'!BK107:BK117)</f>
        <v>0</v>
      </c>
      <c r="AO107" s="385">
        <f>SUM('21 Oct Mon'!BL107:BL117,'22 Oct Tues'!BL107:BL117,'23 Oct Wed'!BL107:BL117,'24 Oct Thurs'!BL107:BL117,'25 Oct Fri'!BL107:BL117,'26 Oct Sat'!BL107:BL117)</f>
        <v>8.2</v>
      </c>
      <c r="AP107" s="386">
        <f>SUM('21 Oct Mon'!BM107:BM117,'22 Oct Tues'!BM107:BM117,'23 Oct Wed'!BM107:BM117,'24 Oct Thurs'!BM107:BM117,'25 Oct Fri'!BM107:BM117,'26 Oct Sat'!BM107:BM117)</f>
        <v>0</v>
      </c>
      <c r="AQ107" s="387">
        <f>SUM('21 Oct Mon'!BN107:BN117,'22 Oct Tues'!BN107:BN117,'23 Oct Wed'!BN107:BN117,'24 Oct Thurs'!BN107:BN117,'25 Oct Fri'!BN107:BN117,'26 Oct Sat'!BN107:BN117)</f>
        <v>0</v>
      </c>
      <c r="AR107" s="379">
        <f>SUM('21 Oct Mon'!BO107:BO117,'22 Oct Tues'!BO107:BO117,'23 Oct Wed'!BO107:BO117,'24 Oct Thurs'!BO107:BO117,'25 Oct Fri'!BO107:BO117,'26 Oct Sat'!BO107:BO117)</f>
        <v>0</v>
      </c>
      <c r="AS107" s="379">
        <f>SUM('21 Oct Mon'!BP107:BP117,'22 Oct Tues'!BP107:BP117,'23 Oct Wed'!BP107:BP117,'24 Oct Thurs'!BP107:BP117,'25 Oct Fri'!BP107:BP117,'26 Oct Sat'!BP107:BP117)</f>
        <v>0</v>
      </c>
      <c r="AT107" s="382">
        <f>SUM('21 Oct Mon'!BR107:BR117,'22 Oct Tues'!BR107:BR117,'23 Oct Wed'!BR107:BR117,'24 Oct Thurs'!BR107:BR117,'25 Oct Fri'!BR107:BR117,'26 Oct Sat'!BR107:BR117)</f>
        <v>7</v>
      </c>
      <c r="AU107" s="384">
        <f>SUM('21 Oct Mon'!BS107:BS117,'22 Oct Tues'!BS107:BS117,'23 Oct Wed'!BS107:BS117,'24 Oct Thurs'!BS107:BS117,'25 Oct Fri'!BS107:BS117,'26 Oct Sat'!BS107:BS117)</f>
        <v>0</v>
      </c>
      <c r="AV107" s="379">
        <f>SUM('21 Oct Mon'!BT107:BT117,'22 Oct Tues'!BT107:BT117,'23 Oct Wed'!BT107:BT117,'24 Oct Thurs'!BT107:BT117,'25 Oct Fri'!BT107:BT117,'26 Oct Sat'!BT107:BT117)</f>
        <v>0</v>
      </c>
      <c r="AW107" s="379">
        <f>SUM('21 Oct Mon'!BU107:BU117,'22 Oct Tues'!BU107:BU117,'23 Oct Wed'!BU107:BU117,'24 Oct Thurs'!BU107:BU117,'25 Oct Fri'!BU107:BU117,'26 Oct Sat'!BU107:BU117)</f>
        <v>0</v>
      </c>
      <c r="AX107" s="382">
        <f>SUM('21 Oct Mon'!BV107:BV117,'22 Oct Tues'!BV107:BV117,'23 Oct Wed'!BV107:BV117,'24 Oct Thurs'!BV107:BV117,'25 Oct Fri'!BV107:BV117,'26 Oct Sat'!BV107:BV117)</f>
        <v>0</v>
      </c>
      <c r="AY107" s="379">
        <f>SUM('21 Oct Mon'!BW107:BW117,'22 Oct Tues'!BW107:BW117,'23 Oct Wed'!BW107:BW117,'24 Oct Thurs'!BW107:BW117,'25 Oct Fri'!BW107:BW117,'26 Oct Sat'!BW107:BW117)</f>
        <v>0</v>
      </c>
      <c r="AZ107" s="385">
        <f>SUM('21 Oct Mon'!BX107:BX117,'22 Oct Tues'!BX107:BX117,'23 Oct Wed'!BX107:BX117,'24 Oct Thurs'!BX107:BX117,'25 Oct Fri'!BX107:BX117,'26 Oct Sat'!BX107:BX117)</f>
        <v>0</v>
      </c>
      <c r="BA107" s="386">
        <f>SUM('21 Oct Mon'!BY107:BY117,'22 Oct Tues'!BY107:BY117,'23 Oct Wed'!BY107:BY117,'24 Oct Thurs'!BY107:BY117,'25 Oct Fri'!BY107:BY117,'26 Oct Sat'!BY107:BY117)</f>
        <v>0</v>
      </c>
      <c r="BB107" s="386">
        <f>SUM('21 Oct Mon'!BZ107:BZ117,'22 Oct Tues'!BZ107:BZ117,'23 Oct Wed'!BZ107:BZ117,'24 Oct Thurs'!BZ107:BZ117,'25 Oct Fri'!BZ107:BZ117,'26 Oct Sat'!BZ107:BZ117)</f>
        <v>0</v>
      </c>
      <c r="BC107" s="386">
        <f>SUM('21 Oct Mon'!CA107:CA117,'22 Oct Tues'!CA107:CA117,'23 Oct Wed'!CA107:CA117,'24 Oct Thurs'!CA107:CA117,'25 Oct Fri'!CA107:CA117,'26 Oct Sat'!CA107:CA117)</f>
        <v>0</v>
      </c>
      <c r="BD107" s="386">
        <f>SUM('21 Oct Mon'!CB107:CB117,'22 Oct Tues'!CB107:CB117,'23 Oct Wed'!CB107:CB117,'24 Oct Thurs'!CB107:CB117,'25 Oct Fri'!CB107:CB117,'26 Oct Sat'!CB107:CB117)</f>
        <v>0</v>
      </c>
      <c r="BE107" s="386">
        <f>SUM('21 Oct Mon'!CC107:CC117,'22 Oct Tues'!CC107:CC117,'23 Oct Wed'!CC107:CC117,'24 Oct Thurs'!CC107:CC117,'25 Oct Fri'!CC107:CC117,'26 Oct Sat'!CC107:CC117)</f>
        <v>0</v>
      </c>
      <c r="BF107" s="386" t="str">
        <f>CONCATENATE("Mon-",'21 Oct Mon'!CD107:CD117,",Tues-",'22 Oct Tues'!CD107:CD117,",Wed-",'23 Oct Wed'!CD107:CD117,",Thurs-",'24 Oct Thurs'!CD107:CD117,",Fri-",'25 Oct Fri'!CD107:CD117,",Sat-",'26 Oct Sat'!CD107:CD117)</f>
        <v>Mon-,Tues-,Wed-,Thurs-,Fri-,Sat-</v>
      </c>
      <c r="BG107" s="388">
        <f>SUM('21 Oct Mon'!CE107:CE117,'22 Oct Tues'!CE107:CE117,'23 Oct Wed'!CE107:CE117,'24 Oct Thurs'!CE107:CE117,'25 Oct Fri'!CE107:CE117,'26 Oct Sat'!CE107:CE117)</f>
        <v>0</v>
      </c>
      <c r="BH107" s="389" t="str">
        <f>CONCATENATE("Mon-",'21 Oct Mon'!CF107:CF117,",Tues-",'22 Oct Tues'!CF107:CF117,",Wed-",'23 Oct Wed'!CF107:CF117,",Thurs-",'24 Oct Thurs'!CF107:CF117,",Fri-",'25 Oct Fri'!CF107:CF117,",Sat-",'26 Oct Sat'!CF107:CF117)</f>
        <v>Mon-Paper setting of FSD-1 T1 (set A/B/C), Doubt solving done today 12:05 to 12:25 p.m.
,Tues-,Wed-,Thurs-FSD-1 T1 paper evalutioin in SY1 total 112 (Block 5 to 9),Fri-,Sat-Present for FCSP-1 supervision duty during VACATION LEAVE on 25-10-2024 (1:00pm TO 5:40pm, 4hrs 40min)</v>
      </c>
      <c r="BI107" s="383">
        <f>SUM('21 Oct Mon'!CG107:CG117,'22 Oct Tues'!CG107:CG117,'23 Oct Wed'!CG107:CG117,'24 Oct Thurs'!CG107:CG117,'25 Oct Fri'!CG107:CG117,'26 Oct Sat'!CG107:CG117)</f>
        <v>4.666666667</v>
      </c>
      <c r="BJ107" s="382">
        <f>SUM('21 Oct Mon'!CH107:CH117,'22 Oct Tues'!CH107:CH117,'23 Oct Wed'!CH107:CH117,'24 Oct Thurs'!CH107:CH117,'25 Oct Fri'!CH107:CH117,'26 Oct Sat'!CH107:CH117)</f>
        <v>0</v>
      </c>
      <c r="BK107" s="384">
        <f>SUM('21 Oct Mon'!CI107:CI117,'22 Oct Tues'!CI107:CI117,'23 Oct Wed'!CI107:CI117,'24 Oct Thurs'!CI107:CI117,'25 Oct Fri'!CI107:CI117,'26 Oct Sat'!CI107:CI117)</f>
        <v>0</v>
      </c>
      <c r="BL107" s="382" t="str">
        <f>CONCATENATE("Mon-",'21 Oct Mon'!CJ107:CJ117,",Tues-",'22 Oct Tues'!CJ107:CJ117,",Wed-",'23 Oct Wed'!CJ107:CJ117,",Thurs-",'24 Oct Thurs'!CJ107:CJ117,",Fri-",'25 Oct Fri'!CJ107:CJ117,",Sat-",'26 Oct Sat'!CJ107:CJ117)</f>
        <v>Mon-DR count mismatchDR(30, 31), Attendance Sheet(30, 29),Tues-,Wed-,Thurs-,Fri-,Sat-</v>
      </c>
      <c r="BM107" s="384">
        <f>SUM('21 Oct Mon'!CK107:CK117,'22 Oct Tues'!CK107:CK117,'23 Oct Wed'!CK107:CK117,'24 Oct Thurs'!CK107:CK117,'25 Oct Fri'!CK107:CK117,'26 Oct Sat'!CK107:CK117)</f>
        <v>-1</v>
      </c>
      <c r="BN107" s="382" t="str">
        <f>CONCATENATE("Mon-",'21 Oct Mon'!CL107:CL117,",Tues-",'22 Oct Tues'!CL107:CL117,",Wed-",'23 Oct Wed'!CL107:CL117,",Thurs-",'24 Oct Thurs'!CL107:CL117,",Fri-",'25 Oct Fri'!CL107:CL117,",Sat-",'26 Oct Sat'!CL107:CL117)</f>
        <v>Mon-,Tues-,Wed-,Thurs-,Fri-,Sat-</v>
      </c>
      <c r="BO107" s="384">
        <f>SUM('21 Oct Mon'!CM107:CM117,'22 Oct Tues'!CM107:CM117,'23 Oct Wed'!CM107:CM117,'24 Oct Thurs'!CM107:CM117,'25 Oct Fri'!CM107:CM117,'26 Oct Sat'!CM107:CM117)</f>
        <v>0</v>
      </c>
      <c r="BP107" s="385" t="str">
        <f>CONCATENATE("Mon-",'21 Oct Mon'!CN107:CN117,",Tues-",'22 Oct Tues'!CN107:CN117,",Wed-",'23 Oct Wed'!CN107:CN117,",Thurs-",'24 Oct Thurs'!CN107:CN117,",Fri-",'25 Oct Fri'!CN107:CN117,",Sat-",'26 Oct Sat'!CN107:CN117)</f>
        <v>Mon-,Tues-,Wed-,Thurs-,Fri-,Sat-</v>
      </c>
      <c r="BQ107" s="387">
        <f>SUM('21 Oct Mon'!CO107:CO117,'22 Oct Tues'!CO107:CO117,'23 Oct Wed'!CO107:CO117,'24 Oct Thurs'!CO107:CO117,'25 Oct Fri'!CO107:CO117,'26 Oct Sat'!CO107:CO117)</f>
        <v>0</v>
      </c>
      <c r="BR107" s="379" t="str">
        <f>CONCATENATE("Mon-",'21 Oct Mon'!CP107:CP117,",Tues-",'22 Oct Tues'!CP107:CP117,",Wed-",'23 Oct Wed'!CP107:CP117,",Thurs-",'24 Oct Thurs'!CP107:CP117,",Fri-",'25 Oct Fri'!CP107:CP117,",Sat-",'26 Oct Sat'!CP107:CP117)</f>
        <v>Mon-,Tues-,Wed-,Thurs-,Fri-,Sat-</v>
      </c>
      <c r="BS107" s="390">
        <f>SUM('21 Oct Mon'!CQ107:CQ117,'22 Oct Tues'!CQ107:CQ117,'23 Oct Wed'!CQ107:CQ117,'24 Oct Thurs'!CQ107:CQ117,'25 Oct Fri'!CQ107:CQ117,'26 Oct Sat'!CQ107:CQ117)</f>
        <v>0</v>
      </c>
      <c r="BT107" s="390">
        <f>SUM('21 Oct Mon'!CR107:CR117,'22 Oct Tues'!CR107:CR117,'23 Oct Wed'!CR107:CR117,'24 Oct Thurs'!CR107:CR117,'25 Oct Fri'!CR107:CR117,'26 Oct Sat'!CR107:CR117)</f>
        <v>0</v>
      </c>
      <c r="BU107" s="391">
        <f>SUM('21 Oct Mon'!CS107:CS117,'22 Oct Tues'!CS107:CS117,'23 Oct Wed'!CS107:CS117,'24 Oct Thurs'!CS107:CS117,'25 Oct Fri'!CS107:CS117,'26 Oct Sat'!CS107:CS117)</f>
        <v>1</v>
      </c>
      <c r="BV107" s="392">
        <f>SUM('21 Oct Mon'!CT107:CT117,'22 Oct Tues'!CT107:CT117,'23 Oct Wed'!CT107:CT117,'24 Oct Thurs'!CT107:CT117,'25 Oct Fri'!CT107:CT117,'26 Oct Sat'!CT107:CT117)</f>
        <v>17.10555556</v>
      </c>
      <c r="BW107" s="393" t="str">
        <f>LEFT(U107,FIND("(",U107,1)-2)</f>
        <v>0</v>
      </c>
      <c r="BX107" s="394"/>
    </row>
    <row r="108" ht="61.5" customHeight="1">
      <c r="A108" s="177"/>
      <c r="C108" s="205" t="s">
        <v>185</v>
      </c>
      <c r="D108" s="408"/>
      <c r="E108" s="409"/>
      <c r="F108" s="409"/>
      <c r="G108" s="409"/>
      <c r="H108" s="409"/>
      <c r="I108" s="409"/>
      <c r="J108" s="397"/>
      <c r="K108" s="398">
        <f t="shared" si="1"/>
        <v>0</v>
      </c>
      <c r="L108" s="173"/>
      <c r="M108" s="173"/>
      <c r="N108" s="177"/>
      <c r="O108" s="178"/>
      <c r="P108" s="178"/>
      <c r="Q108" s="178"/>
      <c r="R108" s="178"/>
      <c r="S108" s="182"/>
      <c r="T108" s="65"/>
      <c r="U108" s="64"/>
      <c r="V108" s="66"/>
      <c r="W108" s="173"/>
      <c r="X108" s="173"/>
      <c r="Y108" s="65"/>
      <c r="Z108" s="65"/>
      <c r="AA108" s="65"/>
      <c r="AB108" s="65"/>
      <c r="AC108" s="173"/>
      <c r="AD108" s="166"/>
      <c r="AE108" s="166"/>
      <c r="AF108" s="166"/>
      <c r="AG108" s="166"/>
      <c r="AH108" s="65"/>
      <c r="AJ108" s="177"/>
      <c r="AK108" s="178"/>
      <c r="AL108" s="181"/>
      <c r="AM108" s="166"/>
      <c r="AN108" s="166"/>
      <c r="AO108" s="177"/>
      <c r="AP108" s="178"/>
      <c r="AQ108" s="181"/>
      <c r="AR108" s="166"/>
      <c r="AS108" s="166"/>
      <c r="AT108" s="177"/>
      <c r="AU108" s="181"/>
      <c r="AV108" s="166"/>
      <c r="AW108" s="166"/>
      <c r="AX108" s="177"/>
      <c r="AY108" s="166"/>
      <c r="AZ108" s="177"/>
      <c r="BA108" s="178"/>
      <c r="BB108" s="178"/>
      <c r="BC108" s="178"/>
      <c r="BD108" s="178"/>
      <c r="BE108" s="178"/>
      <c r="BF108" s="178"/>
      <c r="BG108" s="179"/>
      <c r="BH108" s="180"/>
      <c r="BI108" s="178"/>
      <c r="BJ108" s="177"/>
      <c r="BK108" s="181"/>
      <c r="BL108" s="177"/>
      <c r="BM108" s="181"/>
      <c r="BN108" s="177"/>
      <c r="BO108" s="181"/>
      <c r="BP108" s="177"/>
      <c r="BQ108" s="181"/>
      <c r="BR108" s="166"/>
      <c r="BS108" s="166"/>
      <c r="BT108" s="166"/>
      <c r="BU108" s="65"/>
      <c r="BW108" s="178"/>
      <c r="BX108" s="399"/>
    </row>
    <row r="109" ht="61.5" customHeight="1">
      <c r="A109" s="177"/>
      <c r="C109" s="205" t="s">
        <v>185</v>
      </c>
      <c r="D109" s="408"/>
      <c r="E109" s="409"/>
      <c r="F109" s="409"/>
      <c r="G109" s="409"/>
      <c r="H109" s="409"/>
      <c r="I109" s="409"/>
      <c r="J109" s="397"/>
      <c r="K109" s="398">
        <f t="shared" si="1"/>
        <v>0</v>
      </c>
      <c r="L109" s="173"/>
      <c r="M109" s="173"/>
      <c r="N109" s="177"/>
      <c r="O109" s="178"/>
      <c r="P109" s="178"/>
      <c r="Q109" s="178"/>
      <c r="R109" s="178"/>
      <c r="S109" s="182"/>
      <c r="T109" s="65"/>
      <c r="U109" s="64"/>
      <c r="V109" s="66"/>
      <c r="W109" s="173"/>
      <c r="X109" s="173"/>
      <c r="Y109" s="65"/>
      <c r="Z109" s="65"/>
      <c r="AA109" s="65"/>
      <c r="AB109" s="65"/>
      <c r="AC109" s="173"/>
      <c r="AD109" s="166"/>
      <c r="AE109" s="166"/>
      <c r="AF109" s="166"/>
      <c r="AG109" s="166"/>
      <c r="AH109" s="65"/>
      <c r="AJ109" s="177"/>
      <c r="AK109" s="178"/>
      <c r="AL109" s="181"/>
      <c r="AM109" s="166"/>
      <c r="AN109" s="166"/>
      <c r="AO109" s="177"/>
      <c r="AP109" s="178"/>
      <c r="AQ109" s="181"/>
      <c r="AR109" s="166"/>
      <c r="AS109" s="166"/>
      <c r="AT109" s="177"/>
      <c r="AU109" s="181"/>
      <c r="AV109" s="166"/>
      <c r="AW109" s="166"/>
      <c r="AX109" s="177"/>
      <c r="AY109" s="166"/>
      <c r="AZ109" s="177"/>
      <c r="BA109" s="178"/>
      <c r="BB109" s="178"/>
      <c r="BC109" s="178"/>
      <c r="BD109" s="178"/>
      <c r="BE109" s="178"/>
      <c r="BF109" s="178"/>
      <c r="BG109" s="179"/>
      <c r="BH109" s="180"/>
      <c r="BI109" s="178"/>
      <c r="BJ109" s="177"/>
      <c r="BK109" s="181"/>
      <c r="BL109" s="177"/>
      <c r="BM109" s="181"/>
      <c r="BN109" s="177"/>
      <c r="BO109" s="181"/>
      <c r="BP109" s="177"/>
      <c r="BQ109" s="181"/>
      <c r="BR109" s="166"/>
      <c r="BS109" s="166"/>
      <c r="BT109" s="166"/>
      <c r="BU109" s="65"/>
      <c r="BW109" s="178"/>
      <c r="BX109" s="399"/>
    </row>
    <row r="110" ht="61.5" customHeight="1">
      <c r="A110" s="177"/>
      <c r="C110" s="205" t="s">
        <v>185</v>
      </c>
      <c r="D110" s="408"/>
      <c r="E110" s="409"/>
      <c r="F110" s="409"/>
      <c r="G110" s="409"/>
      <c r="H110" s="409"/>
      <c r="I110" s="409"/>
      <c r="J110" s="397"/>
      <c r="K110" s="398">
        <f t="shared" si="1"/>
        <v>0</v>
      </c>
      <c r="L110" s="173"/>
      <c r="M110" s="173"/>
      <c r="N110" s="177"/>
      <c r="O110" s="178"/>
      <c r="P110" s="178"/>
      <c r="Q110" s="178"/>
      <c r="R110" s="178"/>
      <c r="S110" s="182"/>
      <c r="T110" s="65"/>
      <c r="U110" s="64"/>
      <c r="V110" s="66"/>
      <c r="W110" s="173"/>
      <c r="X110" s="173"/>
      <c r="Y110" s="65"/>
      <c r="Z110" s="65"/>
      <c r="AA110" s="65"/>
      <c r="AB110" s="65"/>
      <c r="AC110" s="173"/>
      <c r="AD110" s="166"/>
      <c r="AE110" s="166"/>
      <c r="AF110" s="166"/>
      <c r="AG110" s="166"/>
      <c r="AH110" s="65"/>
      <c r="AJ110" s="177"/>
      <c r="AK110" s="178"/>
      <c r="AL110" s="181"/>
      <c r="AM110" s="166"/>
      <c r="AN110" s="166"/>
      <c r="AO110" s="177"/>
      <c r="AP110" s="178"/>
      <c r="AQ110" s="181"/>
      <c r="AR110" s="166"/>
      <c r="AS110" s="166"/>
      <c r="AT110" s="177"/>
      <c r="AU110" s="181"/>
      <c r="AV110" s="166"/>
      <c r="AW110" s="166"/>
      <c r="AX110" s="177"/>
      <c r="AY110" s="166"/>
      <c r="AZ110" s="177"/>
      <c r="BA110" s="178"/>
      <c r="BB110" s="178"/>
      <c r="BC110" s="178"/>
      <c r="BD110" s="178"/>
      <c r="BE110" s="178"/>
      <c r="BF110" s="178"/>
      <c r="BG110" s="179"/>
      <c r="BH110" s="180"/>
      <c r="BI110" s="178"/>
      <c r="BJ110" s="177"/>
      <c r="BK110" s="181"/>
      <c r="BL110" s="177"/>
      <c r="BM110" s="181"/>
      <c r="BN110" s="177"/>
      <c r="BO110" s="181"/>
      <c r="BP110" s="177"/>
      <c r="BQ110" s="181"/>
      <c r="BR110" s="166"/>
      <c r="BS110" s="166"/>
      <c r="BT110" s="166"/>
      <c r="BU110" s="65"/>
      <c r="BW110" s="178"/>
      <c r="BX110" s="399"/>
    </row>
    <row r="111" ht="61.5" customHeight="1">
      <c r="A111" s="177"/>
      <c r="C111" s="205" t="s">
        <v>185</v>
      </c>
      <c r="D111" s="395"/>
      <c r="E111" s="396"/>
      <c r="F111" s="396"/>
      <c r="G111" s="396"/>
      <c r="H111" s="396"/>
      <c r="I111" s="396"/>
      <c r="J111" s="397"/>
      <c r="K111" s="398">
        <f t="shared" si="1"/>
        <v>0</v>
      </c>
      <c r="L111" s="173"/>
      <c r="M111" s="173"/>
      <c r="N111" s="177"/>
      <c r="O111" s="178"/>
      <c r="P111" s="178"/>
      <c r="Q111" s="178"/>
      <c r="R111" s="178"/>
      <c r="S111" s="182"/>
      <c r="T111" s="65"/>
      <c r="U111" s="64"/>
      <c r="V111" s="66"/>
      <c r="W111" s="173"/>
      <c r="X111" s="173"/>
      <c r="Y111" s="65"/>
      <c r="Z111" s="65"/>
      <c r="AA111" s="65"/>
      <c r="AB111" s="65"/>
      <c r="AC111" s="173"/>
      <c r="AD111" s="166"/>
      <c r="AE111" s="166"/>
      <c r="AF111" s="166"/>
      <c r="AG111" s="166"/>
      <c r="AH111" s="65"/>
      <c r="AJ111" s="177"/>
      <c r="AK111" s="178"/>
      <c r="AL111" s="181"/>
      <c r="AM111" s="166"/>
      <c r="AN111" s="166"/>
      <c r="AO111" s="177"/>
      <c r="AP111" s="178"/>
      <c r="AQ111" s="181"/>
      <c r="AR111" s="166"/>
      <c r="AS111" s="166"/>
      <c r="AT111" s="177"/>
      <c r="AU111" s="181"/>
      <c r="AV111" s="166"/>
      <c r="AW111" s="166"/>
      <c r="AX111" s="177"/>
      <c r="AY111" s="166"/>
      <c r="AZ111" s="177"/>
      <c r="BA111" s="178"/>
      <c r="BB111" s="178"/>
      <c r="BC111" s="178"/>
      <c r="BD111" s="178"/>
      <c r="BE111" s="178"/>
      <c r="BF111" s="178"/>
      <c r="BG111" s="179"/>
      <c r="BH111" s="180"/>
      <c r="BI111" s="178"/>
      <c r="BJ111" s="177"/>
      <c r="BK111" s="181"/>
      <c r="BL111" s="177"/>
      <c r="BM111" s="181"/>
      <c r="BN111" s="177"/>
      <c r="BO111" s="181"/>
      <c r="BP111" s="177"/>
      <c r="BQ111" s="181"/>
      <c r="BR111" s="166"/>
      <c r="BS111" s="166"/>
      <c r="BT111" s="166"/>
      <c r="BU111" s="65"/>
      <c r="BW111" s="178"/>
      <c r="BX111" s="399"/>
    </row>
    <row r="112" ht="61.5" customHeight="1">
      <c r="A112" s="177"/>
      <c r="C112" s="205" t="s">
        <v>185</v>
      </c>
      <c r="D112" s="395"/>
      <c r="E112" s="396"/>
      <c r="F112" s="396"/>
      <c r="G112" s="396"/>
      <c r="H112" s="396"/>
      <c r="I112" s="396"/>
      <c r="J112" s="397"/>
      <c r="K112" s="398">
        <f t="shared" si="1"/>
        <v>0</v>
      </c>
      <c r="L112" s="173"/>
      <c r="M112" s="173"/>
      <c r="N112" s="177"/>
      <c r="O112" s="178"/>
      <c r="P112" s="178"/>
      <c r="Q112" s="178"/>
      <c r="R112" s="178"/>
      <c r="S112" s="182"/>
      <c r="T112" s="65"/>
      <c r="U112" s="64"/>
      <c r="V112" s="66"/>
      <c r="W112" s="173"/>
      <c r="X112" s="173"/>
      <c r="Y112" s="65"/>
      <c r="Z112" s="65"/>
      <c r="AA112" s="65"/>
      <c r="AB112" s="65"/>
      <c r="AC112" s="173"/>
      <c r="AD112" s="166"/>
      <c r="AE112" s="166"/>
      <c r="AF112" s="166"/>
      <c r="AG112" s="166"/>
      <c r="AH112" s="65"/>
      <c r="AJ112" s="177"/>
      <c r="AK112" s="178"/>
      <c r="AL112" s="181"/>
      <c r="AM112" s="166"/>
      <c r="AN112" s="166"/>
      <c r="AO112" s="177"/>
      <c r="AP112" s="178"/>
      <c r="AQ112" s="181"/>
      <c r="AR112" s="166"/>
      <c r="AS112" s="166"/>
      <c r="AT112" s="177"/>
      <c r="AU112" s="181"/>
      <c r="AV112" s="166"/>
      <c r="AW112" s="166"/>
      <c r="AX112" s="177"/>
      <c r="AY112" s="166"/>
      <c r="AZ112" s="177"/>
      <c r="BA112" s="178"/>
      <c r="BB112" s="178"/>
      <c r="BC112" s="178"/>
      <c r="BD112" s="178"/>
      <c r="BE112" s="178"/>
      <c r="BF112" s="178"/>
      <c r="BG112" s="179"/>
      <c r="BH112" s="180"/>
      <c r="BI112" s="178"/>
      <c r="BJ112" s="177"/>
      <c r="BK112" s="181"/>
      <c r="BL112" s="177"/>
      <c r="BM112" s="181"/>
      <c r="BN112" s="177"/>
      <c r="BO112" s="181"/>
      <c r="BP112" s="177"/>
      <c r="BQ112" s="181"/>
      <c r="BR112" s="166"/>
      <c r="BS112" s="166"/>
      <c r="BT112" s="166"/>
      <c r="BU112" s="65"/>
      <c r="BW112" s="178"/>
      <c r="BX112" s="399"/>
    </row>
    <row r="113" ht="61.5" customHeight="1">
      <c r="A113" s="177"/>
      <c r="C113" s="205" t="s">
        <v>185</v>
      </c>
      <c r="D113" s="395"/>
      <c r="E113" s="396"/>
      <c r="F113" s="396"/>
      <c r="G113" s="396"/>
      <c r="H113" s="396"/>
      <c r="I113" s="396"/>
      <c r="J113" s="397"/>
      <c r="K113" s="398">
        <f t="shared" si="1"/>
        <v>0</v>
      </c>
      <c r="L113" s="173"/>
      <c r="M113" s="173"/>
      <c r="N113" s="177"/>
      <c r="O113" s="178"/>
      <c r="P113" s="178"/>
      <c r="Q113" s="178"/>
      <c r="R113" s="178"/>
      <c r="S113" s="182"/>
      <c r="T113" s="65"/>
      <c r="U113" s="64"/>
      <c r="V113" s="66"/>
      <c r="W113" s="173"/>
      <c r="X113" s="173"/>
      <c r="Y113" s="65"/>
      <c r="Z113" s="65"/>
      <c r="AA113" s="65"/>
      <c r="AB113" s="65"/>
      <c r="AC113" s="173"/>
      <c r="AD113" s="166"/>
      <c r="AE113" s="166"/>
      <c r="AF113" s="166"/>
      <c r="AG113" s="166"/>
      <c r="AH113" s="65"/>
      <c r="AJ113" s="177"/>
      <c r="AK113" s="178"/>
      <c r="AL113" s="181"/>
      <c r="AM113" s="166"/>
      <c r="AN113" s="166"/>
      <c r="AO113" s="177"/>
      <c r="AP113" s="178"/>
      <c r="AQ113" s="181"/>
      <c r="AR113" s="166"/>
      <c r="AS113" s="166"/>
      <c r="AT113" s="177"/>
      <c r="AU113" s="181"/>
      <c r="AV113" s="166"/>
      <c r="AW113" s="166"/>
      <c r="AX113" s="177"/>
      <c r="AY113" s="166"/>
      <c r="AZ113" s="177"/>
      <c r="BA113" s="178"/>
      <c r="BB113" s="178"/>
      <c r="BC113" s="178"/>
      <c r="BD113" s="178"/>
      <c r="BE113" s="178"/>
      <c r="BF113" s="178"/>
      <c r="BG113" s="179"/>
      <c r="BH113" s="180"/>
      <c r="BI113" s="178"/>
      <c r="BJ113" s="177"/>
      <c r="BK113" s="181"/>
      <c r="BL113" s="177"/>
      <c r="BM113" s="181"/>
      <c r="BN113" s="177"/>
      <c r="BO113" s="181"/>
      <c r="BP113" s="177"/>
      <c r="BQ113" s="181"/>
      <c r="BR113" s="166"/>
      <c r="BS113" s="166"/>
      <c r="BT113" s="166"/>
      <c r="BU113" s="65"/>
      <c r="BW113" s="178"/>
      <c r="BX113" s="399"/>
    </row>
    <row r="114" ht="61.5" customHeight="1">
      <c r="A114" s="177"/>
      <c r="C114" s="205" t="s">
        <v>185</v>
      </c>
      <c r="D114" s="395"/>
      <c r="E114" s="396"/>
      <c r="F114" s="396"/>
      <c r="G114" s="396"/>
      <c r="H114" s="396"/>
      <c r="I114" s="396"/>
      <c r="J114" s="397"/>
      <c r="K114" s="398">
        <f t="shared" si="1"/>
        <v>0</v>
      </c>
      <c r="L114" s="173"/>
      <c r="M114" s="173"/>
      <c r="N114" s="177"/>
      <c r="O114" s="178"/>
      <c r="P114" s="178"/>
      <c r="Q114" s="178"/>
      <c r="R114" s="178"/>
      <c r="S114" s="182"/>
      <c r="T114" s="65"/>
      <c r="U114" s="64"/>
      <c r="V114" s="66"/>
      <c r="W114" s="173"/>
      <c r="X114" s="173"/>
      <c r="Y114" s="65"/>
      <c r="Z114" s="65"/>
      <c r="AA114" s="65"/>
      <c r="AB114" s="65"/>
      <c r="AC114" s="173"/>
      <c r="AD114" s="166"/>
      <c r="AE114" s="166"/>
      <c r="AF114" s="166"/>
      <c r="AG114" s="166"/>
      <c r="AH114" s="65"/>
      <c r="AJ114" s="177"/>
      <c r="AK114" s="178"/>
      <c r="AL114" s="181"/>
      <c r="AM114" s="166"/>
      <c r="AN114" s="166"/>
      <c r="AO114" s="177"/>
      <c r="AP114" s="178"/>
      <c r="AQ114" s="181"/>
      <c r="AR114" s="166"/>
      <c r="AS114" s="166"/>
      <c r="AT114" s="177"/>
      <c r="AU114" s="181"/>
      <c r="AV114" s="166"/>
      <c r="AW114" s="166"/>
      <c r="AX114" s="177"/>
      <c r="AY114" s="166"/>
      <c r="AZ114" s="177"/>
      <c r="BA114" s="178"/>
      <c r="BB114" s="178"/>
      <c r="BC114" s="178"/>
      <c r="BD114" s="178"/>
      <c r="BE114" s="178"/>
      <c r="BF114" s="178"/>
      <c r="BG114" s="179"/>
      <c r="BH114" s="180"/>
      <c r="BI114" s="178"/>
      <c r="BJ114" s="177"/>
      <c r="BK114" s="181"/>
      <c r="BL114" s="177"/>
      <c r="BM114" s="181"/>
      <c r="BN114" s="177"/>
      <c r="BO114" s="181"/>
      <c r="BP114" s="177"/>
      <c r="BQ114" s="181"/>
      <c r="BR114" s="166"/>
      <c r="BS114" s="166"/>
      <c r="BT114" s="166"/>
      <c r="BU114" s="65"/>
      <c r="BW114" s="178"/>
      <c r="BX114" s="399"/>
    </row>
    <row r="115" ht="61.5" customHeight="1">
      <c r="A115" s="177"/>
      <c r="C115" s="205" t="s">
        <v>185</v>
      </c>
      <c r="D115" s="395"/>
      <c r="E115" s="396"/>
      <c r="F115" s="396"/>
      <c r="G115" s="396"/>
      <c r="H115" s="396"/>
      <c r="I115" s="396"/>
      <c r="J115" s="397"/>
      <c r="K115" s="398">
        <f t="shared" si="1"/>
        <v>0</v>
      </c>
      <c r="L115" s="173"/>
      <c r="M115" s="173"/>
      <c r="N115" s="177"/>
      <c r="O115" s="178"/>
      <c r="P115" s="178"/>
      <c r="Q115" s="178"/>
      <c r="R115" s="178"/>
      <c r="S115" s="182"/>
      <c r="T115" s="65"/>
      <c r="U115" s="64"/>
      <c r="V115" s="66"/>
      <c r="W115" s="173"/>
      <c r="X115" s="173"/>
      <c r="Y115" s="65"/>
      <c r="Z115" s="65"/>
      <c r="AA115" s="65"/>
      <c r="AB115" s="65"/>
      <c r="AC115" s="173"/>
      <c r="AD115" s="166"/>
      <c r="AE115" s="166"/>
      <c r="AF115" s="166"/>
      <c r="AG115" s="166"/>
      <c r="AH115" s="65"/>
      <c r="AJ115" s="177"/>
      <c r="AK115" s="178"/>
      <c r="AL115" s="181"/>
      <c r="AM115" s="166"/>
      <c r="AN115" s="166"/>
      <c r="AO115" s="177"/>
      <c r="AP115" s="178"/>
      <c r="AQ115" s="181"/>
      <c r="AR115" s="166"/>
      <c r="AS115" s="166"/>
      <c r="AT115" s="177"/>
      <c r="AU115" s="181"/>
      <c r="AV115" s="166"/>
      <c r="AW115" s="166"/>
      <c r="AX115" s="177"/>
      <c r="AY115" s="166"/>
      <c r="AZ115" s="177"/>
      <c r="BA115" s="178"/>
      <c r="BB115" s="178"/>
      <c r="BC115" s="178"/>
      <c r="BD115" s="178"/>
      <c r="BE115" s="178"/>
      <c r="BF115" s="178"/>
      <c r="BG115" s="179"/>
      <c r="BH115" s="180"/>
      <c r="BI115" s="178"/>
      <c r="BJ115" s="177"/>
      <c r="BK115" s="181"/>
      <c r="BL115" s="177"/>
      <c r="BM115" s="181"/>
      <c r="BN115" s="177"/>
      <c r="BO115" s="181"/>
      <c r="BP115" s="177"/>
      <c r="BQ115" s="181"/>
      <c r="BR115" s="166"/>
      <c r="BS115" s="166"/>
      <c r="BT115" s="166"/>
      <c r="BU115" s="65"/>
      <c r="BW115" s="178"/>
      <c r="BX115" s="399"/>
    </row>
    <row r="116" ht="61.5" customHeight="1">
      <c r="A116" s="177"/>
      <c r="C116" s="205" t="s">
        <v>185</v>
      </c>
      <c r="D116" s="395"/>
      <c r="E116" s="396"/>
      <c r="F116" s="396"/>
      <c r="G116" s="396"/>
      <c r="H116" s="396"/>
      <c r="I116" s="396"/>
      <c r="J116" s="397"/>
      <c r="K116" s="398">
        <f t="shared" si="1"/>
        <v>0</v>
      </c>
      <c r="L116" s="173"/>
      <c r="M116" s="173"/>
      <c r="N116" s="177"/>
      <c r="O116" s="178"/>
      <c r="P116" s="178"/>
      <c r="Q116" s="178"/>
      <c r="R116" s="178"/>
      <c r="S116" s="182"/>
      <c r="T116" s="65"/>
      <c r="U116" s="64"/>
      <c r="V116" s="66"/>
      <c r="W116" s="173"/>
      <c r="X116" s="173"/>
      <c r="Y116" s="65"/>
      <c r="Z116" s="65"/>
      <c r="AA116" s="65"/>
      <c r="AB116" s="65"/>
      <c r="AC116" s="173"/>
      <c r="AD116" s="166"/>
      <c r="AE116" s="166"/>
      <c r="AF116" s="166"/>
      <c r="AG116" s="166"/>
      <c r="AH116" s="65"/>
      <c r="AJ116" s="177"/>
      <c r="AK116" s="178"/>
      <c r="AL116" s="181"/>
      <c r="AM116" s="166"/>
      <c r="AN116" s="166"/>
      <c r="AO116" s="177"/>
      <c r="AP116" s="178"/>
      <c r="AQ116" s="181"/>
      <c r="AR116" s="166"/>
      <c r="AS116" s="166"/>
      <c r="AT116" s="177"/>
      <c r="AU116" s="181"/>
      <c r="AV116" s="166"/>
      <c r="AW116" s="166"/>
      <c r="AX116" s="177"/>
      <c r="AY116" s="166"/>
      <c r="AZ116" s="177"/>
      <c r="BA116" s="178"/>
      <c r="BB116" s="178"/>
      <c r="BC116" s="178"/>
      <c r="BD116" s="178"/>
      <c r="BE116" s="178"/>
      <c r="BF116" s="178"/>
      <c r="BG116" s="179"/>
      <c r="BH116" s="180"/>
      <c r="BI116" s="178"/>
      <c r="BJ116" s="177"/>
      <c r="BK116" s="181"/>
      <c r="BL116" s="177"/>
      <c r="BM116" s="181"/>
      <c r="BN116" s="177"/>
      <c r="BO116" s="181"/>
      <c r="BP116" s="177"/>
      <c r="BQ116" s="181"/>
      <c r="BR116" s="166"/>
      <c r="BS116" s="166"/>
      <c r="BT116" s="166"/>
      <c r="BU116" s="65"/>
      <c r="BW116" s="178"/>
      <c r="BX116" s="399"/>
    </row>
    <row r="117" ht="61.5" customHeight="1">
      <c r="A117" s="192"/>
      <c r="B117" s="6"/>
      <c r="C117" s="210" t="s">
        <v>185</v>
      </c>
      <c r="D117" s="400"/>
      <c r="E117" s="401"/>
      <c r="F117" s="401"/>
      <c r="G117" s="401"/>
      <c r="H117" s="401"/>
      <c r="I117" s="401"/>
      <c r="J117" s="402"/>
      <c r="K117" s="403">
        <f t="shared" si="1"/>
        <v>0</v>
      </c>
      <c r="L117" s="69"/>
      <c r="M117" s="69"/>
      <c r="N117" s="192"/>
      <c r="O117" s="193"/>
      <c r="P117" s="193"/>
      <c r="Q117" s="193"/>
      <c r="R117" s="193"/>
      <c r="S117" s="197"/>
      <c r="T117" s="89"/>
      <c r="U117" s="103"/>
      <c r="V117" s="68"/>
      <c r="W117" s="69"/>
      <c r="X117" s="69"/>
      <c r="Y117" s="89"/>
      <c r="Z117" s="89"/>
      <c r="AA117" s="89"/>
      <c r="AB117" s="89"/>
      <c r="AC117" s="69"/>
      <c r="AD117" s="63"/>
      <c r="AE117" s="63"/>
      <c r="AF117" s="63"/>
      <c r="AG117" s="63"/>
      <c r="AH117" s="89"/>
      <c r="AI117" s="6"/>
      <c r="AJ117" s="192"/>
      <c r="AK117" s="193"/>
      <c r="AL117" s="196"/>
      <c r="AM117" s="63"/>
      <c r="AN117" s="63"/>
      <c r="AO117" s="192"/>
      <c r="AP117" s="193"/>
      <c r="AQ117" s="196"/>
      <c r="AR117" s="63"/>
      <c r="AS117" s="63"/>
      <c r="AT117" s="192"/>
      <c r="AU117" s="196"/>
      <c r="AV117" s="63"/>
      <c r="AW117" s="63"/>
      <c r="AX117" s="192"/>
      <c r="AY117" s="63"/>
      <c r="AZ117" s="192"/>
      <c r="BA117" s="193"/>
      <c r="BB117" s="193"/>
      <c r="BC117" s="193"/>
      <c r="BD117" s="193"/>
      <c r="BE117" s="193"/>
      <c r="BF117" s="193"/>
      <c r="BG117" s="194"/>
      <c r="BH117" s="195"/>
      <c r="BI117" s="193"/>
      <c r="BJ117" s="192"/>
      <c r="BK117" s="196"/>
      <c r="BL117" s="192"/>
      <c r="BM117" s="196"/>
      <c r="BN117" s="192"/>
      <c r="BO117" s="196"/>
      <c r="BP117" s="192"/>
      <c r="BQ117" s="196"/>
      <c r="BR117" s="63"/>
      <c r="BS117" s="63"/>
      <c r="BT117" s="63"/>
      <c r="BU117" s="89"/>
      <c r="BV117" s="6"/>
      <c r="BW117" s="198"/>
      <c r="BX117" s="404"/>
    </row>
    <row r="118" ht="61.5" customHeight="1">
      <c r="A118" s="363">
        <v>11.0</v>
      </c>
      <c r="B118" s="199" t="s">
        <v>194</v>
      </c>
      <c r="C118" s="168" t="s">
        <v>195</v>
      </c>
      <c r="D118" s="408"/>
      <c r="E118" s="409"/>
      <c r="F118" s="409"/>
      <c r="G118" s="409"/>
      <c r="H118" s="409"/>
      <c r="I118" s="409"/>
      <c r="J118" s="366"/>
      <c r="K118" s="367">
        <f t="shared" si="1"/>
        <v>0</v>
      </c>
      <c r="L118" s="368">
        <f>SUM(I118:I128)+SUM(K118:K128)*1</f>
        <v>0</v>
      </c>
      <c r="M118" s="368">
        <f>SUM('21 Oct Mon'!Q118:Q128,'22 Oct Tues'!Q118:Q128,'23 Oct Wed'!Q118:Q128,'24 Oct Thurs'!Q118:Q128,'25 Oct Fri'!Q118:Q128,'26 Oct Sat'!Q118:Q128)</f>
        <v>0</v>
      </c>
      <c r="N118" s="369">
        <f>SUM('21 Oct Mon'!R118:R128,'22 Oct Tues'!R118:R128,'23 Oct Wed'!R118:R128,'24 Oct Thurs'!R118:R128,'25 Oct Fri'!R118:R128,'26 Oct Sat'!R118:R128)</f>
        <v>0</v>
      </c>
      <c r="O118" s="370">
        <f>SUM(L118:N128)</f>
        <v>0</v>
      </c>
      <c r="P118" s="370">
        <f>SUM('21 Oct Mon'!T118:T128,'22 Oct Tues'!T118:T128,'23 Oct Wed'!T118:T128,'24 Oct Thurs'!T118:T128,'25 Oct Fri'!T118:T128,'26 Oct Sat'!T118:T128)</f>
        <v>0</v>
      </c>
      <c r="Q118" s="370">
        <f>SUM('21 Oct Mon'!U118:U128,'22 Oct Tues'!U118:U128,'23 Oct Wed'!U118:U128,'24 Oct Thurs'!U118:U128,'25 Oct Fri'!U118:U128,'26 Oct Sat'!U118:U128)</f>
        <v>0</v>
      </c>
      <c r="R118" s="370">
        <f>SUM('21 Oct Mon'!V118:V128,'22 Oct Tues'!V118:V128,'23 Oct Wed'!V118:V128,'24 Oct Thurs'!V118:V128,'25 Oct Fri'!V118:V128,'26 Oct Sat'!V118:V128)</f>
        <v>0</v>
      </c>
      <c r="S118" s="371">
        <f>SUM('21 Oct Mon'!W118:W128,'22 Oct Tues'!W118:W128,'23 Oct Wed'!W118:W128,'24 Oct Thurs'!W118:W128,'25 Oct Fri'!W118:W128,'26 Oct Sat'!W118:W128)</f>
        <v>0</v>
      </c>
      <c r="T118" s="372">
        <f>O118-P118-Q118-R118-S118</f>
        <v>0</v>
      </c>
      <c r="U118" s="373" t="str">
        <f>CONCATENATE(SUM('21 Oct Mon'!O118:O128,'22 Oct Tues'!O118:O128,'23 Oct Wed'!O118:O128,'24 Oct Thurs'!O118:O128,'25 Oct Fri'!O118:O128,'26 Oct Sat'!O118:O128),"
(",(SUM('21 Oct Mon'!O118:O128,'22 Oct Tues'!O118:O128,'23 Oct Wed'!O118:O128,'24 Oct Thurs'!O118:O128,'25 Oct Fri'!O118:O128,'26 Oct Sat'!O118:O128)-T118),")")</f>
        <v>0
(0)</v>
      </c>
      <c r="V118" s="374" t="str">
        <f>CONCATENATE("Mon-",'21 Oct Mon'!Z118:Z128,",Tues-",'22 Oct Tues'!Z118:Z128,",Wed-",'23 Oct Wed'!Z118:Z128,",Thurs-",'24 Oct Thurs'!Z118:Z128,",Fri-",'25 Oct Fri'!Z118:Z128,",Sat-",'26 Oct Sat'!Z118:Z128)</f>
        <v>Mon-,Tues-,Wed-,Thurs-,Fri-,Sat-</v>
      </c>
      <c r="W118" s="375">
        <f>SUM('21 Oct Mon'!AI118:AI128,'22 Oct Tues'!AI118:AI128,'23 Oct Wed'!AI118:AI128,'24 Oct Thurs'!AI118:AI128,'25 Oct Fri'!AI118:AI128,'26 Oct Sat'!AI118:AI128)</f>
        <v>0</v>
      </c>
      <c r="X118" s="375">
        <f>SUM('21 Oct Mon'!AM118:AM128,'22 Oct Tues'!AM118:AM128,'23 Oct Wed'!AM118:AM128,'24 Oct Thurs'!AM118:AM128,'25 Oct Fri'!AM118:AM128,'26 Oct Sat'!AM118:AM128)</f>
        <v>0</v>
      </c>
      <c r="Y118" s="376">
        <f>SUM('21 Oct Mon'!AP118:AP128,'22 Oct Tues'!AP118:AP128,'23 Oct Wed'!AP118:AP128,'24 Oct Thurs'!AP118:AP128,'25 Oct Fri'!AP118:AP128,'26 Oct Sat'!AP118:AP128)</f>
        <v>0</v>
      </c>
      <c r="Z118" s="376">
        <f>SUM('21 Oct Mon'!AQ118:AQ128,'22 Oct Tues'!AQ118:AQ128,'23 Oct Wed'!AQ118:AQ128,'24 Oct Thurs'!AQ118:AQ128,'25 Oct Fri'!AQ118:AQ128,'26 Oct Sat'!AQ118:AQ128)</f>
        <v>0</v>
      </c>
      <c r="AA118" s="377">
        <f>SUM('21 Oct Mon'!AR118:AR128,'22 Oct Tues'!AR118:AR128,'23 Oct Wed'!AR118:AR128,'24 Oct Thurs'!AR118:AR128,'25 Oct Fri'!AR118:AR128,'26 Oct Sat'!AR118:AR128)</f>
        <v>0</v>
      </c>
      <c r="AB118" s="377">
        <f>SUM('21 Oct Mon'!AS118:AS128,'22 Oct Tues'!AS118:AS128,'23 Oct Wed'!AS118:AS128,'24 Oct Thurs'!AS118:AS128,'25 Oct Fri'!AS118:AS128,'26 Oct Sat'!AS118:AS128)</f>
        <v>0</v>
      </c>
      <c r="AC118" s="378">
        <f>SUM('21 Oct Mon'!AT118:AT128,'22 Oct Tues'!AT118:AT128,'23 Oct Wed'!AT118:AT128,'24 Oct Thurs'!AT118:AT128,'25 Oct Fri'!AT118:AT128,'26 Oct Sat'!AT118:AT128)</f>
        <v>0</v>
      </c>
      <c r="AD118" s="379">
        <f>SUM('21 Oct Mon'!AU118:AU128,'22 Oct Tues'!AU118:AU128,'23 Oct Wed'!AU118:AU128,'24 Oct Thurs'!AU118:AU128,'25 Oct Fri'!AU118:AU128,'26 Oct Sat'!AU118:AU128)</f>
        <v>0</v>
      </c>
      <c r="AE118" s="379">
        <f>SUM('21 Oct Mon'!AV118:AV128,'22 Oct Tues'!AV118:AV128,'23 Oct Wed'!AV118:AV128,'24 Oct Thurs'!AV118:AV128,'25 Oct Fri'!AV118:AV128,'26 Oct Sat'!AV118:AV128)</f>
        <v>0</v>
      </c>
      <c r="AF118" s="379">
        <f>SUM('21 Oct Mon'!AW118:AW128,'22 Oct Tues'!AW118:AW128,'23 Oct Wed'!AW118:AW128,'24 Oct Thurs'!AW118:AW128,'25 Oct Fri'!AW118:AW128,'26 Oct Sat'!AW118:AW128)</f>
        <v>0</v>
      </c>
      <c r="AG118" s="379">
        <f>SUM('21 Oct Mon'!AX118:AX128,'22 Oct Tues'!AX118:AX128,'23 Oct Wed'!AX118:AX128,'24 Oct Thurs'!AX118:AX128,'25 Oct Fri'!AX118:AX128,'26 Oct Sat'!AX118:AX128)</f>
        <v>0</v>
      </c>
      <c r="AH118" s="380">
        <f>SUM('21 Oct Mon'!AY118:AY128,'22 Oct Tues'!AY118:AY128,'23 Oct Wed'!AY118:AY128,'24 Oct Thurs'!AY118:AY128,'25 Oct Fri'!AY118:AY128,'26 Oct Sat'!AY118:AY128)</f>
        <v>0</v>
      </c>
      <c r="AI118" s="381">
        <f>SUM('21 Oct Mon'!AZ118:AZ128,'22 Oct Tues'!AZ118:AZ128,'23 Oct Wed'!AZ118:AZ128,'24 Oct Thurs'!AZ118:AZ128,'25 Oct Fri'!AZ118:AZ128,'26 Oct Sat'!AZ118:AZ128)</f>
        <v>0</v>
      </c>
      <c r="AJ118" s="382">
        <f>SUM('21 Oct Mon'!BG118:BG128,'22 Oct Tues'!BG118:BG128,'23 Oct Wed'!BG118:BG128,'24 Oct Thurs'!BG118:BG128,'25 Oct Fri'!BG118:BG128,'26 Oct Sat'!BG118:BG128)</f>
        <v>0</v>
      </c>
      <c r="AK118" s="383">
        <f>SUM('21 Oct Mon'!BH118:BH128,'22 Oct Tues'!BH118:BH128,'23 Oct Wed'!BH118:BH128,'24 Oct Thurs'!BH118:BH128,'25 Oct Fri'!BH118:BH128,'26 Oct Sat'!BH118:BH128)</f>
        <v>0</v>
      </c>
      <c r="AL118" s="384">
        <f>SUM('21 Oct Mon'!BI118:BI128,'22 Oct Tues'!BI118:BI128,'23 Oct Wed'!BI118:BI128,'24 Oct Thurs'!BI118:BI128,'25 Oct Fri'!BI118:BI128,'26 Oct Sat'!BI118:BI128)</f>
        <v>0</v>
      </c>
      <c r="AM118" s="379">
        <f>SUM('21 Oct Mon'!BJ118:BJ128,'22 Oct Tues'!BJ118:BJ128,'23 Oct Wed'!BJ118:BJ128,'24 Oct Thurs'!BJ118:BJ128,'25 Oct Fri'!BJ118:BJ128,'26 Oct Sat'!BJ118:BJ128)</f>
        <v>0</v>
      </c>
      <c r="AN118" s="379">
        <f>SUM('21 Oct Mon'!BK118:BK128,'22 Oct Tues'!BK118:BK128,'23 Oct Wed'!BK118:BK128,'24 Oct Thurs'!BK118:BK128,'25 Oct Fri'!BK118:BK128,'26 Oct Sat'!BK118:BK128)</f>
        <v>0</v>
      </c>
      <c r="AO118" s="385">
        <f>SUM('21 Oct Mon'!BL118:BL128,'22 Oct Tues'!BL118:BL128,'23 Oct Wed'!BL118:BL128,'24 Oct Thurs'!BL118:BL128,'25 Oct Fri'!BL118:BL128,'26 Oct Sat'!BL118:BL128)</f>
        <v>0</v>
      </c>
      <c r="AP118" s="386">
        <f>SUM('21 Oct Mon'!BM118:BM128,'22 Oct Tues'!BM118:BM128,'23 Oct Wed'!BM118:BM128,'24 Oct Thurs'!BM118:BM128,'25 Oct Fri'!BM118:BM128,'26 Oct Sat'!BM118:BM128)</f>
        <v>0</v>
      </c>
      <c r="AQ118" s="387">
        <f>SUM('21 Oct Mon'!BN118:BN128,'22 Oct Tues'!BN118:BN128,'23 Oct Wed'!BN118:BN128,'24 Oct Thurs'!BN118:BN128,'25 Oct Fri'!BN118:BN128,'26 Oct Sat'!BN118:BN128)</f>
        <v>0</v>
      </c>
      <c r="AR118" s="379">
        <f>SUM('21 Oct Mon'!BO118:BO128,'22 Oct Tues'!BO118:BO128,'23 Oct Wed'!BO118:BO128,'24 Oct Thurs'!BO118:BO128,'25 Oct Fri'!BO118:BO128,'26 Oct Sat'!BO118:BO128)</f>
        <v>0</v>
      </c>
      <c r="AS118" s="379">
        <f>SUM('21 Oct Mon'!BP118:BP128,'22 Oct Tues'!BP118:BP128,'23 Oct Wed'!BP118:BP128,'24 Oct Thurs'!BP118:BP128,'25 Oct Fri'!BP118:BP128,'26 Oct Sat'!BP118:BP128)</f>
        <v>0</v>
      </c>
      <c r="AT118" s="382">
        <f>SUM('21 Oct Mon'!BR118:BR128,'22 Oct Tues'!BR118:BR128,'23 Oct Wed'!BR118:BR128,'24 Oct Thurs'!BR118:BR128,'25 Oct Fri'!BR118:BR128,'26 Oct Sat'!BR118:BR128)</f>
        <v>0</v>
      </c>
      <c r="AU118" s="384">
        <f>SUM('21 Oct Mon'!BS118:BS128,'22 Oct Tues'!BS118:BS128,'23 Oct Wed'!BS118:BS128,'24 Oct Thurs'!BS118:BS128,'25 Oct Fri'!BS118:BS128,'26 Oct Sat'!BS118:BS128)</f>
        <v>0</v>
      </c>
      <c r="AV118" s="379">
        <f>SUM('21 Oct Mon'!BT118:BT128,'22 Oct Tues'!BT118:BT128,'23 Oct Wed'!BT118:BT128,'24 Oct Thurs'!BT118:BT128,'25 Oct Fri'!BT118:BT128,'26 Oct Sat'!BT118:BT128)</f>
        <v>0</v>
      </c>
      <c r="AW118" s="379">
        <f>SUM('21 Oct Mon'!BU118:BU128,'22 Oct Tues'!BU118:BU128,'23 Oct Wed'!BU118:BU128,'24 Oct Thurs'!BU118:BU128,'25 Oct Fri'!BU118:BU128,'26 Oct Sat'!BU118:BU128)</f>
        <v>0</v>
      </c>
      <c r="AX118" s="382">
        <f>SUM('21 Oct Mon'!BV118:BV128,'22 Oct Tues'!BV118:BV128,'23 Oct Wed'!BV118:BV128,'24 Oct Thurs'!BV118:BV128,'25 Oct Fri'!BV118:BV128,'26 Oct Sat'!BV118:BV128)</f>
        <v>0</v>
      </c>
      <c r="AY118" s="379">
        <f>SUM('21 Oct Mon'!BW118:BW128,'22 Oct Tues'!BW118:BW128,'23 Oct Wed'!BW118:BW128,'24 Oct Thurs'!BW118:BW128,'25 Oct Fri'!BW118:BW128,'26 Oct Sat'!BW118:BW128)</f>
        <v>0</v>
      </c>
      <c r="AZ118" s="385">
        <f>SUM('21 Oct Mon'!BX118:BX128,'22 Oct Tues'!BX118:BX128,'23 Oct Wed'!BX118:BX128,'24 Oct Thurs'!BX118:BX128,'25 Oct Fri'!BX118:BX128,'26 Oct Sat'!BX118:BX128)</f>
        <v>0</v>
      </c>
      <c r="BA118" s="386">
        <f>SUM('21 Oct Mon'!BY118:BY128,'22 Oct Tues'!BY118:BY128,'23 Oct Wed'!BY118:BY128,'24 Oct Thurs'!BY118:BY128,'25 Oct Fri'!BY118:BY128,'26 Oct Sat'!BY118:BY128)</f>
        <v>0</v>
      </c>
      <c r="BB118" s="386">
        <f>SUM('21 Oct Mon'!BZ118:BZ128,'22 Oct Tues'!BZ118:BZ128,'23 Oct Wed'!BZ118:BZ128,'24 Oct Thurs'!BZ118:BZ128,'25 Oct Fri'!BZ118:BZ128,'26 Oct Sat'!BZ118:BZ128)</f>
        <v>0</v>
      </c>
      <c r="BC118" s="386">
        <f>SUM('21 Oct Mon'!CA118:CA128,'22 Oct Tues'!CA118:CA128,'23 Oct Wed'!CA118:CA128,'24 Oct Thurs'!CA118:CA128,'25 Oct Fri'!CA118:CA128,'26 Oct Sat'!CA118:CA128)</f>
        <v>0</v>
      </c>
      <c r="BD118" s="386">
        <f>SUM('21 Oct Mon'!CB118:CB128,'22 Oct Tues'!CB118:CB128,'23 Oct Wed'!CB118:CB128,'24 Oct Thurs'!CB118:CB128,'25 Oct Fri'!CB118:CB128,'26 Oct Sat'!CB118:CB128)</f>
        <v>0</v>
      </c>
      <c r="BE118" s="386">
        <f>SUM('21 Oct Mon'!CC118:CC128,'22 Oct Tues'!CC118:CC128,'23 Oct Wed'!CC118:CC128,'24 Oct Thurs'!CC118:CC128,'25 Oct Fri'!CC118:CC128,'26 Oct Sat'!CC118:CC128)</f>
        <v>0</v>
      </c>
      <c r="BF118" s="386" t="str">
        <f>CONCATENATE("Mon-",'21 Oct Mon'!CD118:CD128,",Tues-",'22 Oct Tues'!CD118:CD128,",Wed-",'23 Oct Wed'!CD118:CD128,",Thurs-",'24 Oct Thurs'!CD118:CD128,",Fri-",'25 Oct Fri'!CD118:CD128,",Sat-",'26 Oct Sat'!CD118:CD128)</f>
        <v>Mon-,Tues-,Wed-,Thurs-,Fri-,Sat-</v>
      </c>
      <c r="BG118" s="388">
        <f>SUM('21 Oct Mon'!CE118:CE128,'22 Oct Tues'!CE118:CE128,'23 Oct Wed'!CE118:CE128,'24 Oct Thurs'!CE118:CE128,'25 Oct Fri'!CE118:CE128,'26 Oct Sat'!CE118:CE128)</f>
        <v>0</v>
      </c>
      <c r="BH118" s="389" t="str">
        <f>CONCATENATE("Mon-",'21 Oct Mon'!CF118:CF128,",Tues-",'22 Oct Tues'!CF118:CF128,",Wed-",'23 Oct Wed'!CF118:CF128,",Thurs-",'24 Oct Thurs'!CF118:CF128,",Fri-",'25 Oct Fri'!CF118:CF128,",Sat-",'26 Oct Sat'!CF118:CF128)</f>
        <v>Mon-,Tues-,Wed-,Thurs-,Fri-,Sat-</v>
      </c>
      <c r="BI118" s="383">
        <f>SUM('21 Oct Mon'!CG118:CG128,'22 Oct Tues'!CG118:CG128,'23 Oct Wed'!CG118:CG128,'24 Oct Thurs'!CG118:CG128,'25 Oct Fri'!CG118:CG128,'26 Oct Sat'!CG118:CG128)</f>
        <v>0</v>
      </c>
      <c r="BJ118" s="382">
        <f>SUM('21 Oct Mon'!CH118:CH128,'22 Oct Tues'!CH118:CH128,'23 Oct Wed'!CH118:CH128,'24 Oct Thurs'!CH118:CH128,'25 Oct Fri'!CH118:CH128,'26 Oct Sat'!CH118:CH128)</f>
        <v>0</v>
      </c>
      <c r="BK118" s="384">
        <f>SUM('21 Oct Mon'!CI118:CI128,'22 Oct Tues'!CI118:CI128,'23 Oct Wed'!CI118:CI128,'24 Oct Thurs'!CI118:CI128,'25 Oct Fri'!CI118:CI128,'26 Oct Sat'!CI118:CI128)</f>
        <v>0</v>
      </c>
      <c r="BL118" s="382" t="str">
        <f>CONCATENATE("Mon-",'21 Oct Mon'!CJ118:CJ128,",Tues-",'22 Oct Tues'!CJ118:CJ128,",Wed-",'23 Oct Wed'!CJ118:CJ128,",Thurs-",'24 Oct Thurs'!CJ118:CJ128,",Fri-",'25 Oct Fri'!CJ118:CJ128,",Sat-",'26 Oct Sat'!CJ118:CJ128)</f>
        <v>Mon-,Tues-,Wed-,Thurs-,Fri-,Sat-</v>
      </c>
      <c r="BM118" s="384">
        <f>SUM('21 Oct Mon'!CK118:CK128,'22 Oct Tues'!CK118:CK128,'23 Oct Wed'!CK118:CK128,'24 Oct Thurs'!CK118:CK128,'25 Oct Fri'!CK118:CK128,'26 Oct Sat'!CK118:CK128)</f>
        <v>0</v>
      </c>
      <c r="BN118" s="382" t="str">
        <f>CONCATENATE("Mon-",'21 Oct Mon'!CL118:CL128,",Tues-",'22 Oct Tues'!CL118:CL128,",Wed-",'23 Oct Wed'!CL118:CL128,",Thurs-",'24 Oct Thurs'!CL118:CL128,",Fri-",'25 Oct Fri'!CL118:CL128,",Sat-",'26 Oct Sat'!CL118:CL128)</f>
        <v>Mon-,Tues-,Wed-,Thurs-,Fri-,Sat-</v>
      </c>
      <c r="BO118" s="384">
        <f>SUM('21 Oct Mon'!CM118:CM128,'22 Oct Tues'!CM118:CM128,'23 Oct Wed'!CM118:CM128,'24 Oct Thurs'!CM118:CM128,'25 Oct Fri'!CM118:CM128,'26 Oct Sat'!CM118:CM128)</f>
        <v>0</v>
      </c>
      <c r="BP118" s="385" t="str">
        <f>CONCATENATE("Mon-",'21 Oct Mon'!CN118:CN128,",Tues-",'22 Oct Tues'!CN118:CN128,",Wed-",'23 Oct Wed'!CN118:CN128,",Thurs-",'24 Oct Thurs'!CN118:CN128,",Fri-",'25 Oct Fri'!CN118:CN128,",Sat-",'26 Oct Sat'!CN118:CN128)</f>
        <v>Mon-,Tues-,Wed-,Thurs-,Fri-,Sat-</v>
      </c>
      <c r="BQ118" s="387">
        <f>SUM('21 Oct Mon'!CO118:CO128,'22 Oct Tues'!CO118:CO128,'23 Oct Wed'!CO118:CO128,'24 Oct Thurs'!CO118:CO128,'25 Oct Fri'!CO118:CO128,'26 Oct Sat'!CO118:CO128)</f>
        <v>0</v>
      </c>
      <c r="BR118" s="379" t="str">
        <f>CONCATENATE("Mon-",'21 Oct Mon'!CP118:CP128,",Tues-",'22 Oct Tues'!CP118:CP128,",Wed-",'23 Oct Wed'!CP118:CP128,",Thurs-",'24 Oct Thurs'!CP118:CP128,",Fri-",'25 Oct Fri'!CP118:CP128,",Sat-",'26 Oct Sat'!CP118:CP128)</f>
        <v>Mon-,Tues-,Wed-,Thurs-,Fri-,Sat-</v>
      </c>
      <c r="BS118" s="390">
        <f>SUM('21 Oct Mon'!CQ118:CQ128,'22 Oct Tues'!CQ118:CQ128,'23 Oct Wed'!CQ118:CQ128,'24 Oct Thurs'!CQ118:CQ128,'25 Oct Fri'!CQ118:CQ128,'26 Oct Sat'!CQ118:CQ128)</f>
        <v>0</v>
      </c>
      <c r="BT118" s="390">
        <f>SUM('21 Oct Mon'!CR118:CR128,'22 Oct Tues'!CR118:CR128,'23 Oct Wed'!CR118:CR128,'24 Oct Thurs'!CR118:CR128,'25 Oct Fri'!CR118:CR128,'26 Oct Sat'!CR118:CR128)</f>
        <v>0</v>
      </c>
      <c r="BU118" s="391">
        <f>SUM('21 Oct Mon'!CS118:CS128,'22 Oct Tues'!CS118:CS128,'23 Oct Wed'!CS118:CS128,'24 Oct Thurs'!CS118:CS128,'25 Oct Fri'!CS118:CS128,'26 Oct Sat'!CS118:CS128)</f>
        <v>0</v>
      </c>
      <c r="BV118" s="392">
        <f>SUM('21 Oct Mon'!CT118:CT128,'22 Oct Tues'!CT118:CT128,'23 Oct Wed'!CT118:CT128,'24 Oct Thurs'!CT118:CT128,'25 Oct Fri'!CT118:CT128,'26 Oct Sat'!CT118:CT128)</f>
        <v>0</v>
      </c>
      <c r="BW118" s="393" t="str">
        <f>LEFT(U118,FIND("(",U118,1)-2)</f>
        <v>0</v>
      </c>
      <c r="BX118" s="394"/>
    </row>
    <row r="119" ht="61.5" customHeight="1">
      <c r="A119" s="177"/>
      <c r="C119" s="205" t="s">
        <v>195</v>
      </c>
      <c r="D119" s="408"/>
      <c r="E119" s="409"/>
      <c r="F119" s="409"/>
      <c r="G119" s="409"/>
      <c r="H119" s="409"/>
      <c r="I119" s="409"/>
      <c r="J119" s="397"/>
      <c r="K119" s="398">
        <f t="shared" si="1"/>
        <v>0</v>
      </c>
      <c r="L119" s="173"/>
      <c r="M119" s="173"/>
      <c r="N119" s="177"/>
      <c r="O119" s="178"/>
      <c r="P119" s="178"/>
      <c r="Q119" s="178"/>
      <c r="R119" s="178"/>
      <c r="S119" s="182"/>
      <c r="T119" s="65"/>
      <c r="U119" s="64"/>
      <c r="V119" s="66"/>
      <c r="W119" s="173"/>
      <c r="X119" s="173"/>
      <c r="Y119" s="65"/>
      <c r="Z119" s="65"/>
      <c r="AA119" s="65"/>
      <c r="AB119" s="65"/>
      <c r="AC119" s="173"/>
      <c r="AD119" s="166"/>
      <c r="AE119" s="166"/>
      <c r="AF119" s="166"/>
      <c r="AG119" s="166"/>
      <c r="AH119" s="65"/>
      <c r="AJ119" s="177"/>
      <c r="AK119" s="178"/>
      <c r="AL119" s="181"/>
      <c r="AM119" s="166"/>
      <c r="AN119" s="166"/>
      <c r="AO119" s="177"/>
      <c r="AP119" s="178"/>
      <c r="AQ119" s="181"/>
      <c r="AR119" s="166"/>
      <c r="AS119" s="166"/>
      <c r="AT119" s="177"/>
      <c r="AU119" s="181"/>
      <c r="AV119" s="166"/>
      <c r="AW119" s="166"/>
      <c r="AX119" s="177"/>
      <c r="AY119" s="166"/>
      <c r="AZ119" s="177"/>
      <c r="BA119" s="178"/>
      <c r="BB119" s="178"/>
      <c r="BC119" s="178"/>
      <c r="BD119" s="178"/>
      <c r="BE119" s="178"/>
      <c r="BF119" s="178"/>
      <c r="BG119" s="179"/>
      <c r="BH119" s="180"/>
      <c r="BI119" s="178"/>
      <c r="BJ119" s="177"/>
      <c r="BK119" s="181"/>
      <c r="BL119" s="177"/>
      <c r="BM119" s="181"/>
      <c r="BN119" s="177"/>
      <c r="BO119" s="181"/>
      <c r="BP119" s="177"/>
      <c r="BQ119" s="181"/>
      <c r="BR119" s="166"/>
      <c r="BS119" s="166"/>
      <c r="BT119" s="166"/>
      <c r="BU119" s="65"/>
      <c r="BW119" s="178"/>
      <c r="BX119" s="399"/>
    </row>
    <row r="120" ht="61.5" customHeight="1">
      <c r="A120" s="177"/>
      <c r="C120" s="205" t="s">
        <v>195</v>
      </c>
      <c r="D120" s="408"/>
      <c r="E120" s="409"/>
      <c r="F120" s="409"/>
      <c r="G120" s="409"/>
      <c r="H120" s="409"/>
      <c r="I120" s="409"/>
      <c r="J120" s="397"/>
      <c r="K120" s="398">
        <f t="shared" si="1"/>
        <v>0</v>
      </c>
      <c r="L120" s="173"/>
      <c r="M120" s="173"/>
      <c r="N120" s="177"/>
      <c r="O120" s="178"/>
      <c r="P120" s="178"/>
      <c r="Q120" s="178"/>
      <c r="R120" s="178"/>
      <c r="S120" s="182"/>
      <c r="T120" s="65"/>
      <c r="U120" s="64"/>
      <c r="V120" s="66"/>
      <c r="W120" s="173"/>
      <c r="X120" s="173"/>
      <c r="Y120" s="65"/>
      <c r="Z120" s="65"/>
      <c r="AA120" s="65"/>
      <c r="AB120" s="65"/>
      <c r="AC120" s="173"/>
      <c r="AD120" s="166"/>
      <c r="AE120" s="166"/>
      <c r="AF120" s="166"/>
      <c r="AG120" s="166"/>
      <c r="AH120" s="65"/>
      <c r="AJ120" s="177"/>
      <c r="AK120" s="178"/>
      <c r="AL120" s="181"/>
      <c r="AM120" s="166"/>
      <c r="AN120" s="166"/>
      <c r="AO120" s="177"/>
      <c r="AP120" s="178"/>
      <c r="AQ120" s="181"/>
      <c r="AR120" s="166"/>
      <c r="AS120" s="166"/>
      <c r="AT120" s="177"/>
      <c r="AU120" s="181"/>
      <c r="AV120" s="166"/>
      <c r="AW120" s="166"/>
      <c r="AX120" s="177"/>
      <c r="AY120" s="166"/>
      <c r="AZ120" s="177"/>
      <c r="BA120" s="178"/>
      <c r="BB120" s="178"/>
      <c r="BC120" s="178"/>
      <c r="BD120" s="178"/>
      <c r="BE120" s="178"/>
      <c r="BF120" s="178"/>
      <c r="BG120" s="179"/>
      <c r="BH120" s="180"/>
      <c r="BI120" s="178"/>
      <c r="BJ120" s="177"/>
      <c r="BK120" s="181"/>
      <c r="BL120" s="177"/>
      <c r="BM120" s="181"/>
      <c r="BN120" s="177"/>
      <c r="BO120" s="181"/>
      <c r="BP120" s="177"/>
      <c r="BQ120" s="181"/>
      <c r="BR120" s="166"/>
      <c r="BS120" s="166"/>
      <c r="BT120" s="166"/>
      <c r="BU120" s="65"/>
      <c r="BW120" s="178"/>
      <c r="BX120" s="399"/>
    </row>
    <row r="121" ht="61.5" customHeight="1">
      <c r="A121" s="177"/>
      <c r="C121" s="205" t="s">
        <v>195</v>
      </c>
      <c r="D121" s="395"/>
      <c r="E121" s="396"/>
      <c r="F121" s="396"/>
      <c r="G121" s="396"/>
      <c r="H121" s="396"/>
      <c r="I121" s="396"/>
      <c r="J121" s="397"/>
      <c r="K121" s="398">
        <f t="shared" si="1"/>
        <v>0</v>
      </c>
      <c r="L121" s="173"/>
      <c r="M121" s="173"/>
      <c r="N121" s="177"/>
      <c r="O121" s="178"/>
      <c r="P121" s="178"/>
      <c r="Q121" s="178"/>
      <c r="R121" s="178"/>
      <c r="S121" s="182"/>
      <c r="T121" s="65"/>
      <c r="U121" s="64"/>
      <c r="V121" s="66"/>
      <c r="W121" s="173"/>
      <c r="X121" s="173"/>
      <c r="Y121" s="65"/>
      <c r="Z121" s="65"/>
      <c r="AA121" s="65"/>
      <c r="AB121" s="65"/>
      <c r="AC121" s="173"/>
      <c r="AD121" s="166"/>
      <c r="AE121" s="166"/>
      <c r="AF121" s="166"/>
      <c r="AG121" s="166"/>
      <c r="AH121" s="65"/>
      <c r="AJ121" s="177"/>
      <c r="AK121" s="178"/>
      <c r="AL121" s="181"/>
      <c r="AM121" s="166"/>
      <c r="AN121" s="166"/>
      <c r="AO121" s="177"/>
      <c r="AP121" s="178"/>
      <c r="AQ121" s="181"/>
      <c r="AR121" s="166"/>
      <c r="AS121" s="166"/>
      <c r="AT121" s="177"/>
      <c r="AU121" s="181"/>
      <c r="AV121" s="166"/>
      <c r="AW121" s="166"/>
      <c r="AX121" s="177"/>
      <c r="AY121" s="166"/>
      <c r="AZ121" s="177"/>
      <c r="BA121" s="178"/>
      <c r="BB121" s="178"/>
      <c r="BC121" s="178"/>
      <c r="BD121" s="178"/>
      <c r="BE121" s="178"/>
      <c r="BF121" s="178"/>
      <c r="BG121" s="179"/>
      <c r="BH121" s="180"/>
      <c r="BI121" s="178"/>
      <c r="BJ121" s="177"/>
      <c r="BK121" s="181"/>
      <c r="BL121" s="177"/>
      <c r="BM121" s="181"/>
      <c r="BN121" s="177"/>
      <c r="BO121" s="181"/>
      <c r="BP121" s="177"/>
      <c r="BQ121" s="181"/>
      <c r="BR121" s="166"/>
      <c r="BS121" s="166"/>
      <c r="BT121" s="166"/>
      <c r="BU121" s="65"/>
      <c r="BW121" s="178"/>
      <c r="BX121" s="399"/>
    </row>
    <row r="122" ht="61.5" customHeight="1">
      <c r="A122" s="177"/>
      <c r="C122" s="205" t="s">
        <v>195</v>
      </c>
      <c r="D122" s="395"/>
      <c r="E122" s="396"/>
      <c r="F122" s="396"/>
      <c r="G122" s="396"/>
      <c r="H122" s="396"/>
      <c r="I122" s="396"/>
      <c r="J122" s="397"/>
      <c r="K122" s="398">
        <f t="shared" si="1"/>
        <v>0</v>
      </c>
      <c r="L122" s="173"/>
      <c r="M122" s="173"/>
      <c r="N122" s="177"/>
      <c r="O122" s="178"/>
      <c r="P122" s="178"/>
      <c r="Q122" s="178"/>
      <c r="R122" s="178"/>
      <c r="S122" s="182"/>
      <c r="T122" s="65"/>
      <c r="U122" s="64"/>
      <c r="V122" s="66"/>
      <c r="W122" s="173"/>
      <c r="X122" s="173"/>
      <c r="Y122" s="65"/>
      <c r="Z122" s="65"/>
      <c r="AA122" s="65"/>
      <c r="AB122" s="65"/>
      <c r="AC122" s="173"/>
      <c r="AD122" s="166"/>
      <c r="AE122" s="166"/>
      <c r="AF122" s="166"/>
      <c r="AG122" s="166"/>
      <c r="AH122" s="65"/>
      <c r="AJ122" s="177"/>
      <c r="AK122" s="178"/>
      <c r="AL122" s="181"/>
      <c r="AM122" s="166"/>
      <c r="AN122" s="166"/>
      <c r="AO122" s="177"/>
      <c r="AP122" s="178"/>
      <c r="AQ122" s="181"/>
      <c r="AR122" s="166"/>
      <c r="AS122" s="166"/>
      <c r="AT122" s="177"/>
      <c r="AU122" s="181"/>
      <c r="AV122" s="166"/>
      <c r="AW122" s="166"/>
      <c r="AX122" s="177"/>
      <c r="AY122" s="166"/>
      <c r="AZ122" s="177"/>
      <c r="BA122" s="178"/>
      <c r="BB122" s="178"/>
      <c r="BC122" s="178"/>
      <c r="BD122" s="178"/>
      <c r="BE122" s="178"/>
      <c r="BF122" s="178"/>
      <c r="BG122" s="179"/>
      <c r="BH122" s="180"/>
      <c r="BI122" s="178"/>
      <c r="BJ122" s="177"/>
      <c r="BK122" s="181"/>
      <c r="BL122" s="177"/>
      <c r="BM122" s="181"/>
      <c r="BN122" s="177"/>
      <c r="BO122" s="181"/>
      <c r="BP122" s="177"/>
      <c r="BQ122" s="181"/>
      <c r="BR122" s="166"/>
      <c r="BS122" s="166"/>
      <c r="BT122" s="166"/>
      <c r="BU122" s="65"/>
      <c r="BW122" s="178"/>
      <c r="BX122" s="399"/>
    </row>
    <row r="123" ht="61.5" customHeight="1">
      <c r="A123" s="177"/>
      <c r="C123" s="205" t="s">
        <v>195</v>
      </c>
      <c r="D123" s="395"/>
      <c r="E123" s="396"/>
      <c r="F123" s="396"/>
      <c r="G123" s="396"/>
      <c r="H123" s="396"/>
      <c r="I123" s="396"/>
      <c r="J123" s="397"/>
      <c r="K123" s="398">
        <f t="shared" si="1"/>
        <v>0</v>
      </c>
      <c r="L123" s="173"/>
      <c r="M123" s="173"/>
      <c r="N123" s="177"/>
      <c r="O123" s="178"/>
      <c r="P123" s="178"/>
      <c r="Q123" s="178"/>
      <c r="R123" s="178"/>
      <c r="S123" s="182"/>
      <c r="T123" s="65"/>
      <c r="U123" s="64"/>
      <c r="V123" s="66"/>
      <c r="W123" s="173"/>
      <c r="X123" s="173"/>
      <c r="Y123" s="65"/>
      <c r="Z123" s="65"/>
      <c r="AA123" s="65"/>
      <c r="AB123" s="65"/>
      <c r="AC123" s="173"/>
      <c r="AD123" s="166"/>
      <c r="AE123" s="166"/>
      <c r="AF123" s="166"/>
      <c r="AG123" s="166"/>
      <c r="AH123" s="65"/>
      <c r="AJ123" s="177"/>
      <c r="AK123" s="178"/>
      <c r="AL123" s="181"/>
      <c r="AM123" s="166"/>
      <c r="AN123" s="166"/>
      <c r="AO123" s="177"/>
      <c r="AP123" s="178"/>
      <c r="AQ123" s="181"/>
      <c r="AR123" s="166"/>
      <c r="AS123" s="166"/>
      <c r="AT123" s="177"/>
      <c r="AU123" s="181"/>
      <c r="AV123" s="166"/>
      <c r="AW123" s="166"/>
      <c r="AX123" s="177"/>
      <c r="AY123" s="166"/>
      <c r="AZ123" s="177"/>
      <c r="BA123" s="178"/>
      <c r="BB123" s="178"/>
      <c r="BC123" s="178"/>
      <c r="BD123" s="178"/>
      <c r="BE123" s="178"/>
      <c r="BF123" s="178"/>
      <c r="BG123" s="179"/>
      <c r="BH123" s="180"/>
      <c r="BI123" s="178"/>
      <c r="BJ123" s="177"/>
      <c r="BK123" s="181"/>
      <c r="BL123" s="177"/>
      <c r="BM123" s="181"/>
      <c r="BN123" s="177"/>
      <c r="BO123" s="181"/>
      <c r="BP123" s="177"/>
      <c r="BQ123" s="181"/>
      <c r="BR123" s="166"/>
      <c r="BS123" s="166"/>
      <c r="BT123" s="166"/>
      <c r="BU123" s="65"/>
      <c r="BW123" s="178"/>
      <c r="BX123" s="399"/>
    </row>
    <row r="124" ht="61.5" customHeight="1">
      <c r="A124" s="177"/>
      <c r="C124" s="205" t="s">
        <v>195</v>
      </c>
      <c r="D124" s="395"/>
      <c r="E124" s="396"/>
      <c r="F124" s="396"/>
      <c r="G124" s="396"/>
      <c r="H124" s="396"/>
      <c r="I124" s="396"/>
      <c r="J124" s="397"/>
      <c r="K124" s="398">
        <f t="shared" si="1"/>
        <v>0</v>
      </c>
      <c r="L124" s="173"/>
      <c r="M124" s="173"/>
      <c r="N124" s="177"/>
      <c r="O124" s="178"/>
      <c r="P124" s="178"/>
      <c r="Q124" s="178"/>
      <c r="R124" s="178"/>
      <c r="S124" s="182"/>
      <c r="T124" s="65"/>
      <c r="U124" s="64"/>
      <c r="V124" s="66"/>
      <c r="W124" s="173"/>
      <c r="X124" s="173"/>
      <c r="Y124" s="65"/>
      <c r="Z124" s="65"/>
      <c r="AA124" s="65"/>
      <c r="AB124" s="65"/>
      <c r="AC124" s="173"/>
      <c r="AD124" s="166"/>
      <c r="AE124" s="166"/>
      <c r="AF124" s="166"/>
      <c r="AG124" s="166"/>
      <c r="AH124" s="65"/>
      <c r="AJ124" s="177"/>
      <c r="AK124" s="178"/>
      <c r="AL124" s="181"/>
      <c r="AM124" s="166"/>
      <c r="AN124" s="166"/>
      <c r="AO124" s="177"/>
      <c r="AP124" s="178"/>
      <c r="AQ124" s="181"/>
      <c r="AR124" s="166"/>
      <c r="AS124" s="166"/>
      <c r="AT124" s="177"/>
      <c r="AU124" s="181"/>
      <c r="AV124" s="166"/>
      <c r="AW124" s="166"/>
      <c r="AX124" s="177"/>
      <c r="AY124" s="166"/>
      <c r="AZ124" s="177"/>
      <c r="BA124" s="178"/>
      <c r="BB124" s="178"/>
      <c r="BC124" s="178"/>
      <c r="BD124" s="178"/>
      <c r="BE124" s="178"/>
      <c r="BF124" s="178"/>
      <c r="BG124" s="179"/>
      <c r="BH124" s="180"/>
      <c r="BI124" s="178"/>
      <c r="BJ124" s="177"/>
      <c r="BK124" s="181"/>
      <c r="BL124" s="177"/>
      <c r="BM124" s="181"/>
      <c r="BN124" s="177"/>
      <c r="BO124" s="181"/>
      <c r="BP124" s="177"/>
      <c r="BQ124" s="181"/>
      <c r="BR124" s="166"/>
      <c r="BS124" s="166"/>
      <c r="BT124" s="166"/>
      <c r="BU124" s="65"/>
      <c r="BW124" s="178"/>
      <c r="BX124" s="399"/>
    </row>
    <row r="125" ht="61.5" customHeight="1">
      <c r="A125" s="177"/>
      <c r="C125" s="205" t="s">
        <v>195</v>
      </c>
      <c r="D125" s="395"/>
      <c r="E125" s="396"/>
      <c r="F125" s="396"/>
      <c r="G125" s="396"/>
      <c r="H125" s="396"/>
      <c r="I125" s="396"/>
      <c r="J125" s="397"/>
      <c r="K125" s="398">
        <f t="shared" si="1"/>
        <v>0</v>
      </c>
      <c r="L125" s="173"/>
      <c r="M125" s="173"/>
      <c r="N125" s="177"/>
      <c r="O125" s="178"/>
      <c r="P125" s="178"/>
      <c r="Q125" s="178"/>
      <c r="R125" s="178"/>
      <c r="S125" s="182"/>
      <c r="T125" s="65"/>
      <c r="U125" s="64"/>
      <c r="V125" s="66"/>
      <c r="W125" s="173"/>
      <c r="X125" s="173"/>
      <c r="Y125" s="65"/>
      <c r="Z125" s="65"/>
      <c r="AA125" s="65"/>
      <c r="AB125" s="65"/>
      <c r="AC125" s="173"/>
      <c r="AD125" s="166"/>
      <c r="AE125" s="166"/>
      <c r="AF125" s="166"/>
      <c r="AG125" s="166"/>
      <c r="AH125" s="65"/>
      <c r="AJ125" s="177"/>
      <c r="AK125" s="178"/>
      <c r="AL125" s="181"/>
      <c r="AM125" s="166"/>
      <c r="AN125" s="166"/>
      <c r="AO125" s="177"/>
      <c r="AP125" s="178"/>
      <c r="AQ125" s="181"/>
      <c r="AR125" s="166"/>
      <c r="AS125" s="166"/>
      <c r="AT125" s="177"/>
      <c r="AU125" s="181"/>
      <c r="AV125" s="166"/>
      <c r="AW125" s="166"/>
      <c r="AX125" s="177"/>
      <c r="AY125" s="166"/>
      <c r="AZ125" s="177"/>
      <c r="BA125" s="178"/>
      <c r="BB125" s="178"/>
      <c r="BC125" s="178"/>
      <c r="BD125" s="178"/>
      <c r="BE125" s="178"/>
      <c r="BF125" s="178"/>
      <c r="BG125" s="179"/>
      <c r="BH125" s="180"/>
      <c r="BI125" s="178"/>
      <c r="BJ125" s="177"/>
      <c r="BK125" s="181"/>
      <c r="BL125" s="177"/>
      <c r="BM125" s="181"/>
      <c r="BN125" s="177"/>
      <c r="BO125" s="181"/>
      <c r="BP125" s="177"/>
      <c r="BQ125" s="181"/>
      <c r="BR125" s="166"/>
      <c r="BS125" s="166"/>
      <c r="BT125" s="166"/>
      <c r="BU125" s="65"/>
      <c r="BW125" s="178"/>
      <c r="BX125" s="399"/>
    </row>
    <row r="126" ht="61.5" customHeight="1">
      <c r="A126" s="177"/>
      <c r="C126" s="205" t="s">
        <v>195</v>
      </c>
      <c r="D126" s="395"/>
      <c r="E126" s="396"/>
      <c r="F126" s="396"/>
      <c r="G126" s="396"/>
      <c r="H126" s="396"/>
      <c r="I126" s="396"/>
      <c r="J126" s="397"/>
      <c r="K126" s="398">
        <f t="shared" si="1"/>
        <v>0</v>
      </c>
      <c r="L126" s="173"/>
      <c r="M126" s="173"/>
      <c r="N126" s="177"/>
      <c r="O126" s="178"/>
      <c r="P126" s="178"/>
      <c r="Q126" s="178"/>
      <c r="R126" s="178"/>
      <c r="S126" s="182"/>
      <c r="T126" s="65"/>
      <c r="U126" s="64"/>
      <c r="V126" s="66"/>
      <c r="W126" s="173"/>
      <c r="X126" s="173"/>
      <c r="Y126" s="65"/>
      <c r="Z126" s="65"/>
      <c r="AA126" s="65"/>
      <c r="AB126" s="65"/>
      <c r="AC126" s="173"/>
      <c r="AD126" s="166"/>
      <c r="AE126" s="166"/>
      <c r="AF126" s="166"/>
      <c r="AG126" s="166"/>
      <c r="AH126" s="65"/>
      <c r="AJ126" s="177"/>
      <c r="AK126" s="178"/>
      <c r="AL126" s="181"/>
      <c r="AM126" s="166"/>
      <c r="AN126" s="166"/>
      <c r="AO126" s="177"/>
      <c r="AP126" s="178"/>
      <c r="AQ126" s="181"/>
      <c r="AR126" s="166"/>
      <c r="AS126" s="166"/>
      <c r="AT126" s="177"/>
      <c r="AU126" s="181"/>
      <c r="AV126" s="166"/>
      <c r="AW126" s="166"/>
      <c r="AX126" s="177"/>
      <c r="AY126" s="166"/>
      <c r="AZ126" s="177"/>
      <c r="BA126" s="178"/>
      <c r="BB126" s="178"/>
      <c r="BC126" s="178"/>
      <c r="BD126" s="178"/>
      <c r="BE126" s="178"/>
      <c r="BF126" s="178"/>
      <c r="BG126" s="179"/>
      <c r="BH126" s="180"/>
      <c r="BI126" s="178"/>
      <c r="BJ126" s="177"/>
      <c r="BK126" s="181"/>
      <c r="BL126" s="177"/>
      <c r="BM126" s="181"/>
      <c r="BN126" s="177"/>
      <c r="BO126" s="181"/>
      <c r="BP126" s="177"/>
      <c r="BQ126" s="181"/>
      <c r="BR126" s="166"/>
      <c r="BS126" s="166"/>
      <c r="BT126" s="166"/>
      <c r="BU126" s="65"/>
      <c r="BW126" s="178"/>
      <c r="BX126" s="399"/>
    </row>
    <row r="127" ht="61.5" customHeight="1">
      <c r="A127" s="177"/>
      <c r="C127" s="205" t="s">
        <v>195</v>
      </c>
      <c r="D127" s="395"/>
      <c r="E127" s="396"/>
      <c r="F127" s="396"/>
      <c r="G127" s="396"/>
      <c r="H127" s="396"/>
      <c r="I127" s="396"/>
      <c r="J127" s="397"/>
      <c r="K127" s="398">
        <f t="shared" si="1"/>
        <v>0</v>
      </c>
      <c r="L127" s="173"/>
      <c r="M127" s="173"/>
      <c r="N127" s="177"/>
      <c r="O127" s="178"/>
      <c r="P127" s="178"/>
      <c r="Q127" s="178"/>
      <c r="R127" s="178"/>
      <c r="S127" s="182"/>
      <c r="T127" s="65"/>
      <c r="U127" s="64"/>
      <c r="V127" s="66"/>
      <c r="W127" s="173"/>
      <c r="X127" s="173"/>
      <c r="Y127" s="65"/>
      <c r="Z127" s="65"/>
      <c r="AA127" s="65"/>
      <c r="AB127" s="65"/>
      <c r="AC127" s="173"/>
      <c r="AD127" s="166"/>
      <c r="AE127" s="166"/>
      <c r="AF127" s="166"/>
      <c r="AG127" s="166"/>
      <c r="AH127" s="65"/>
      <c r="AJ127" s="177"/>
      <c r="AK127" s="178"/>
      <c r="AL127" s="181"/>
      <c r="AM127" s="166"/>
      <c r="AN127" s="166"/>
      <c r="AO127" s="177"/>
      <c r="AP127" s="178"/>
      <c r="AQ127" s="181"/>
      <c r="AR127" s="166"/>
      <c r="AS127" s="166"/>
      <c r="AT127" s="177"/>
      <c r="AU127" s="181"/>
      <c r="AV127" s="166"/>
      <c r="AW127" s="166"/>
      <c r="AX127" s="177"/>
      <c r="AY127" s="166"/>
      <c r="AZ127" s="177"/>
      <c r="BA127" s="178"/>
      <c r="BB127" s="178"/>
      <c r="BC127" s="178"/>
      <c r="BD127" s="178"/>
      <c r="BE127" s="178"/>
      <c r="BF127" s="178"/>
      <c r="BG127" s="179"/>
      <c r="BH127" s="180"/>
      <c r="BI127" s="178"/>
      <c r="BJ127" s="177"/>
      <c r="BK127" s="181"/>
      <c r="BL127" s="177"/>
      <c r="BM127" s="181"/>
      <c r="BN127" s="177"/>
      <c r="BO127" s="181"/>
      <c r="BP127" s="177"/>
      <c r="BQ127" s="181"/>
      <c r="BR127" s="166"/>
      <c r="BS127" s="166"/>
      <c r="BT127" s="166"/>
      <c r="BU127" s="65"/>
      <c r="BW127" s="178"/>
      <c r="BX127" s="399"/>
    </row>
    <row r="128" ht="61.5" customHeight="1">
      <c r="A128" s="192"/>
      <c r="B128" s="6"/>
      <c r="C128" s="210" t="s">
        <v>195</v>
      </c>
      <c r="D128" s="400"/>
      <c r="E128" s="401"/>
      <c r="F128" s="401"/>
      <c r="G128" s="401"/>
      <c r="H128" s="401"/>
      <c r="I128" s="401"/>
      <c r="J128" s="402"/>
      <c r="K128" s="403">
        <f t="shared" si="1"/>
        <v>0</v>
      </c>
      <c r="L128" s="69"/>
      <c r="M128" s="69"/>
      <c r="N128" s="192"/>
      <c r="O128" s="193"/>
      <c r="P128" s="193"/>
      <c r="Q128" s="193"/>
      <c r="R128" s="193"/>
      <c r="S128" s="197"/>
      <c r="T128" s="89"/>
      <c r="U128" s="103"/>
      <c r="V128" s="68"/>
      <c r="W128" s="69"/>
      <c r="X128" s="69"/>
      <c r="Y128" s="89"/>
      <c r="Z128" s="89"/>
      <c r="AA128" s="89"/>
      <c r="AB128" s="89"/>
      <c r="AC128" s="69"/>
      <c r="AD128" s="63"/>
      <c r="AE128" s="63"/>
      <c r="AF128" s="63"/>
      <c r="AG128" s="63"/>
      <c r="AH128" s="89"/>
      <c r="AI128" s="6"/>
      <c r="AJ128" s="192"/>
      <c r="AK128" s="193"/>
      <c r="AL128" s="196"/>
      <c r="AM128" s="63"/>
      <c r="AN128" s="63"/>
      <c r="AO128" s="192"/>
      <c r="AP128" s="193"/>
      <c r="AQ128" s="196"/>
      <c r="AR128" s="63"/>
      <c r="AS128" s="63"/>
      <c r="AT128" s="192"/>
      <c r="AU128" s="196"/>
      <c r="AV128" s="63"/>
      <c r="AW128" s="63"/>
      <c r="AX128" s="192"/>
      <c r="AY128" s="63"/>
      <c r="AZ128" s="192"/>
      <c r="BA128" s="193"/>
      <c r="BB128" s="193"/>
      <c r="BC128" s="193"/>
      <c r="BD128" s="193"/>
      <c r="BE128" s="193"/>
      <c r="BF128" s="193"/>
      <c r="BG128" s="194"/>
      <c r="BH128" s="195"/>
      <c r="BI128" s="193"/>
      <c r="BJ128" s="192"/>
      <c r="BK128" s="196"/>
      <c r="BL128" s="192"/>
      <c r="BM128" s="196"/>
      <c r="BN128" s="192"/>
      <c r="BO128" s="196"/>
      <c r="BP128" s="192"/>
      <c r="BQ128" s="196"/>
      <c r="BR128" s="63"/>
      <c r="BS128" s="63"/>
      <c r="BT128" s="63"/>
      <c r="BU128" s="89"/>
      <c r="BV128" s="6"/>
      <c r="BW128" s="198"/>
      <c r="BX128" s="404"/>
    </row>
    <row r="129" ht="57.75" customHeight="1">
      <c r="A129" s="363">
        <v>12.0</v>
      </c>
      <c r="B129" s="199" t="s">
        <v>196</v>
      </c>
      <c r="C129" s="168" t="s">
        <v>197</v>
      </c>
      <c r="D129" s="408"/>
      <c r="E129" s="409"/>
      <c r="F129" s="409"/>
      <c r="G129" s="409"/>
      <c r="H129" s="409"/>
      <c r="I129" s="409"/>
      <c r="J129" s="366"/>
      <c r="K129" s="367">
        <f t="shared" si="1"/>
        <v>0</v>
      </c>
      <c r="L129" s="368">
        <f>SUM(I129:I139)+SUM(K129:K139)*1</f>
        <v>0</v>
      </c>
      <c r="M129" s="368">
        <f>SUM('21 Oct Mon'!Q129:Q139,'22 Oct Tues'!Q129:Q139,'23 Oct Wed'!Q129:Q139,'24 Oct Thurs'!Q129:Q139,'25 Oct Fri'!Q129:Q139,'26 Oct Sat'!Q129:Q139)</f>
        <v>0</v>
      </c>
      <c r="N129" s="369">
        <f>SUM('21 Oct Mon'!R129:R139,'22 Oct Tues'!R129:R139,'23 Oct Wed'!R129:R139,'24 Oct Thurs'!R129:R139,'25 Oct Fri'!R129:R139,'26 Oct Sat'!R129:R139)</f>
        <v>0</v>
      </c>
      <c r="O129" s="370">
        <f>SUM(L129:N139)</f>
        <v>0</v>
      </c>
      <c r="P129" s="370">
        <f>SUM('21 Oct Mon'!T129:T139,'22 Oct Tues'!T129:T139,'23 Oct Wed'!T129:T139,'24 Oct Thurs'!T129:T139,'25 Oct Fri'!T129:T139,'26 Oct Sat'!T129:T139)</f>
        <v>0</v>
      </c>
      <c r="Q129" s="370">
        <f>SUM('21 Oct Mon'!U129:U139,'22 Oct Tues'!U129:U139,'23 Oct Wed'!U129:U139,'24 Oct Thurs'!U129:U139,'25 Oct Fri'!U129:U139,'26 Oct Sat'!U129:U139)</f>
        <v>0</v>
      </c>
      <c r="R129" s="370">
        <f>SUM('21 Oct Mon'!V129:V139,'22 Oct Tues'!V129:V139,'23 Oct Wed'!V129:V139,'24 Oct Thurs'!V129:V139,'25 Oct Fri'!V129:V139,'26 Oct Sat'!V129:V139)</f>
        <v>0</v>
      </c>
      <c r="S129" s="371">
        <f>SUM('21 Oct Mon'!W129:W139,'22 Oct Tues'!W129:W139,'23 Oct Wed'!W129:W139,'24 Oct Thurs'!W129:W139,'25 Oct Fri'!W129:W139,'26 Oct Sat'!W129:W139)</f>
        <v>0</v>
      </c>
      <c r="T129" s="372">
        <f>O129-P129-Q129-R129-S129</f>
        <v>0</v>
      </c>
      <c r="U129" s="373" t="str">
        <f>CONCATENATE(SUM('21 Oct Mon'!O129:O139,'22 Oct Tues'!O129:O139,'23 Oct Wed'!O129:O139,'24 Oct Thurs'!O129:O139,'25 Oct Fri'!O129:O139,'26 Oct Sat'!O129:O139),"
(",(SUM('21 Oct Mon'!O129:O139,'22 Oct Tues'!O129:O139,'23 Oct Wed'!O129:O139,'24 Oct Thurs'!O129:O139,'25 Oct Fri'!O129:O139,'26 Oct Sat'!O129:O139)-T129),")")</f>
        <v>0
(0)</v>
      </c>
      <c r="V129" s="374" t="str">
        <f>CONCATENATE("Mon-",'21 Oct Mon'!Z129:Z139,",Tues-",'22 Oct Tues'!Z129:Z139,",Wed-",'23 Oct Wed'!Z129:Z139,",Thurs-",'24 Oct Thurs'!Z129:Z139,",Fri-",'25 Oct Fri'!Z129:Z139,",Sat-",'26 Oct Sat'!Z129:Z139)</f>
        <v>Mon-,Tues-,Wed-,Thurs-,Fri-,Sat-</v>
      </c>
      <c r="W129" s="375">
        <f>SUM('21 Oct Mon'!AI129:AI139,'22 Oct Tues'!AI129:AI139,'23 Oct Wed'!AI129:AI139,'24 Oct Thurs'!AI129:AI139,'25 Oct Fri'!AI129:AI139,'26 Oct Sat'!AI129:AI139)</f>
        <v>0</v>
      </c>
      <c r="X129" s="375">
        <f>SUM('21 Oct Mon'!AM129:AM139,'22 Oct Tues'!AM129:AM139,'23 Oct Wed'!AM129:AM139,'24 Oct Thurs'!AM129:AM139,'25 Oct Fri'!AM129:AM139,'26 Oct Sat'!AM129:AM139)</f>
        <v>0</v>
      </c>
      <c r="Y129" s="376">
        <f>SUM('21 Oct Mon'!AP129:AP139,'22 Oct Tues'!AP129:AP139,'23 Oct Wed'!AP129:AP139,'24 Oct Thurs'!AP129:AP139,'25 Oct Fri'!AP129:AP139,'26 Oct Sat'!AP129:AP139)</f>
        <v>0</v>
      </c>
      <c r="Z129" s="376">
        <f>SUM('21 Oct Mon'!AQ129:AQ139,'22 Oct Tues'!AQ129:AQ139,'23 Oct Wed'!AQ129:AQ139,'24 Oct Thurs'!AQ129:AQ139,'25 Oct Fri'!AQ129:AQ139,'26 Oct Sat'!AQ129:AQ139)</f>
        <v>0</v>
      </c>
      <c r="AA129" s="377">
        <f>SUM('21 Oct Mon'!AR129:AR139,'22 Oct Tues'!AR129:AR139,'23 Oct Wed'!AR129:AR139,'24 Oct Thurs'!AR129:AR139,'25 Oct Fri'!AR129:AR139,'26 Oct Sat'!AR129:AR139)</f>
        <v>0</v>
      </c>
      <c r="AB129" s="377">
        <f>SUM('21 Oct Mon'!AS129:AS139,'22 Oct Tues'!AS129:AS139,'23 Oct Wed'!AS129:AS139,'24 Oct Thurs'!AS129:AS139,'25 Oct Fri'!AS129:AS139,'26 Oct Sat'!AS129:AS139)</f>
        <v>-1</v>
      </c>
      <c r="AC129" s="378">
        <f>SUM('21 Oct Mon'!AT129:AT139,'22 Oct Tues'!AT129:AT139,'23 Oct Wed'!AT129:AT139,'24 Oct Thurs'!AT129:AT139,'25 Oct Fri'!AT129:AT139,'26 Oct Sat'!AT129:AT139)</f>
        <v>-0.25</v>
      </c>
      <c r="AD129" s="379">
        <f>SUM('21 Oct Mon'!AU129:AU139,'22 Oct Tues'!AU129:AU139,'23 Oct Wed'!AU129:AU139,'24 Oct Thurs'!AU129:AU139,'25 Oct Fri'!AU129:AU139,'26 Oct Sat'!AU129:AU139)</f>
        <v>0</v>
      </c>
      <c r="AE129" s="379">
        <f>SUM('21 Oct Mon'!AV129:AV139,'22 Oct Tues'!AV129:AV139,'23 Oct Wed'!AV129:AV139,'24 Oct Thurs'!AV129:AV139,'25 Oct Fri'!AV129:AV139,'26 Oct Sat'!AV129:AV139)</f>
        <v>0</v>
      </c>
      <c r="AF129" s="379">
        <f>SUM('21 Oct Mon'!AW129:AW139,'22 Oct Tues'!AW129:AW139,'23 Oct Wed'!AW129:AW139,'24 Oct Thurs'!AW129:AW139,'25 Oct Fri'!AW129:AW139,'26 Oct Sat'!AW129:AW139)</f>
        <v>0</v>
      </c>
      <c r="AG129" s="379">
        <f>SUM('21 Oct Mon'!AX129:AX139,'22 Oct Tues'!AX129:AX139,'23 Oct Wed'!AX129:AX139,'24 Oct Thurs'!AX129:AX139,'25 Oct Fri'!AX129:AX139,'26 Oct Sat'!AX129:AX139)</f>
        <v>0</v>
      </c>
      <c r="AH129" s="380">
        <f>SUM('21 Oct Mon'!AY129:AY139,'22 Oct Tues'!AY129:AY139,'23 Oct Wed'!AY129:AY139,'24 Oct Thurs'!AY129:AY139,'25 Oct Fri'!AY129:AY139,'26 Oct Sat'!AY129:AY139)</f>
        <v>0</v>
      </c>
      <c r="AI129" s="381">
        <f>SUM('21 Oct Mon'!AZ129:AZ139,'22 Oct Tues'!AZ129:AZ139,'23 Oct Wed'!AZ129:AZ139,'24 Oct Thurs'!AZ129:AZ139,'25 Oct Fri'!AZ129:AZ139,'26 Oct Sat'!AZ129:AZ139)</f>
        <v>0</v>
      </c>
      <c r="AJ129" s="382">
        <f>SUM('21 Oct Mon'!BG129:BG139,'22 Oct Tues'!BG129:BG139,'23 Oct Wed'!BG129:BG139,'24 Oct Thurs'!BG129:BG139,'25 Oct Fri'!BG129:BG139,'26 Oct Sat'!BG129:BG139)</f>
        <v>0</v>
      </c>
      <c r="AK129" s="383">
        <f>SUM('21 Oct Mon'!BH129:BH139,'22 Oct Tues'!BH129:BH139,'23 Oct Wed'!BH129:BH139,'24 Oct Thurs'!BH129:BH139,'25 Oct Fri'!BH129:BH139,'26 Oct Sat'!BH129:BH139)</f>
        <v>0</v>
      </c>
      <c r="AL129" s="384">
        <f>SUM('21 Oct Mon'!BI129:BI139,'22 Oct Tues'!BI129:BI139,'23 Oct Wed'!BI129:BI139,'24 Oct Thurs'!BI129:BI139,'25 Oct Fri'!BI129:BI139,'26 Oct Sat'!BI129:BI139)</f>
        <v>0</v>
      </c>
      <c r="AM129" s="379">
        <f>SUM('21 Oct Mon'!BJ129:BJ139,'22 Oct Tues'!BJ129:BJ139,'23 Oct Wed'!BJ129:BJ139,'24 Oct Thurs'!BJ129:BJ139,'25 Oct Fri'!BJ129:BJ139,'26 Oct Sat'!BJ129:BJ139)</f>
        <v>0</v>
      </c>
      <c r="AN129" s="379">
        <f>SUM('21 Oct Mon'!BK129:BK139,'22 Oct Tues'!BK129:BK139,'23 Oct Wed'!BK129:BK139,'24 Oct Thurs'!BK129:BK139,'25 Oct Fri'!BK129:BK139,'26 Oct Sat'!BK129:BK139)</f>
        <v>0</v>
      </c>
      <c r="AO129" s="385">
        <f>SUM('21 Oct Mon'!BL129:BL139,'22 Oct Tues'!BL129:BL139,'23 Oct Wed'!BL129:BL139,'24 Oct Thurs'!BL129:BL139,'25 Oct Fri'!BL129:BL139,'26 Oct Sat'!BL129:BL139)</f>
        <v>0</v>
      </c>
      <c r="AP129" s="386">
        <f>SUM('21 Oct Mon'!BM129:BM139,'22 Oct Tues'!BM129:BM139,'23 Oct Wed'!BM129:BM139,'24 Oct Thurs'!BM129:BM139,'25 Oct Fri'!BM129:BM139,'26 Oct Sat'!BM129:BM139)</f>
        <v>0</v>
      </c>
      <c r="AQ129" s="387">
        <f>SUM('21 Oct Mon'!BN129:BN139,'22 Oct Tues'!BN129:BN139,'23 Oct Wed'!BN129:BN139,'24 Oct Thurs'!BN129:BN139,'25 Oct Fri'!BN129:BN139,'26 Oct Sat'!BN129:BN139)</f>
        <v>0</v>
      </c>
      <c r="AR129" s="379">
        <f>SUM('21 Oct Mon'!BO129:BO139,'22 Oct Tues'!BO129:BO139,'23 Oct Wed'!BO129:BO139,'24 Oct Thurs'!BO129:BO139,'25 Oct Fri'!BO129:BO139,'26 Oct Sat'!BO129:BO139)</f>
        <v>0</v>
      </c>
      <c r="AS129" s="379">
        <f>SUM('21 Oct Mon'!BP129:BP139,'22 Oct Tues'!BP129:BP139,'23 Oct Wed'!BP129:BP139,'24 Oct Thurs'!BP129:BP139,'25 Oct Fri'!BP129:BP139,'26 Oct Sat'!BP129:BP139)</f>
        <v>0</v>
      </c>
      <c r="AT129" s="382">
        <f>SUM('21 Oct Mon'!BR129:BR139,'22 Oct Tues'!BR129:BR139,'23 Oct Wed'!BR129:BR139,'24 Oct Thurs'!BR129:BR139,'25 Oct Fri'!BR129:BR139,'26 Oct Sat'!BR129:BR139)</f>
        <v>0</v>
      </c>
      <c r="AU129" s="384">
        <f>SUM('21 Oct Mon'!BS129:BS139,'22 Oct Tues'!BS129:BS139,'23 Oct Wed'!BS129:BS139,'24 Oct Thurs'!BS129:BS139,'25 Oct Fri'!BS129:BS139,'26 Oct Sat'!BS129:BS139)</f>
        <v>0</v>
      </c>
      <c r="AV129" s="379">
        <f>SUM('21 Oct Mon'!BT129:BT139,'22 Oct Tues'!BT129:BT139,'23 Oct Wed'!BT129:BT139,'24 Oct Thurs'!BT129:BT139,'25 Oct Fri'!BT129:BT139,'26 Oct Sat'!BT129:BT139)</f>
        <v>0</v>
      </c>
      <c r="AW129" s="379">
        <f>SUM('21 Oct Mon'!BU129:BU139,'22 Oct Tues'!BU129:BU139,'23 Oct Wed'!BU129:BU139,'24 Oct Thurs'!BU129:BU139,'25 Oct Fri'!BU129:BU139,'26 Oct Sat'!BU129:BU139)</f>
        <v>0</v>
      </c>
      <c r="AX129" s="382">
        <f>SUM('21 Oct Mon'!BV129:BV139,'22 Oct Tues'!BV129:BV139,'23 Oct Wed'!BV129:BV139,'24 Oct Thurs'!BV129:BV139,'25 Oct Fri'!BV129:BV139,'26 Oct Sat'!BV129:BV139)</f>
        <v>0</v>
      </c>
      <c r="AY129" s="379">
        <f>SUM('21 Oct Mon'!BW129:BW139,'22 Oct Tues'!BW129:BW139,'23 Oct Wed'!BW129:BW139,'24 Oct Thurs'!BW129:BW139,'25 Oct Fri'!BW129:BW139,'26 Oct Sat'!BW129:BW139)</f>
        <v>0</v>
      </c>
      <c r="AZ129" s="385">
        <f>SUM('21 Oct Mon'!BX129:BX139,'22 Oct Tues'!BX129:BX139,'23 Oct Wed'!BX129:BX139,'24 Oct Thurs'!BX129:BX139,'25 Oct Fri'!BX129:BX139,'26 Oct Sat'!BX129:BX139)</f>
        <v>0</v>
      </c>
      <c r="BA129" s="386">
        <f>SUM('21 Oct Mon'!BY129:BY139,'22 Oct Tues'!BY129:BY139,'23 Oct Wed'!BY129:BY139,'24 Oct Thurs'!BY129:BY139,'25 Oct Fri'!BY129:BY139,'26 Oct Sat'!BY129:BY139)</f>
        <v>0</v>
      </c>
      <c r="BB129" s="386">
        <f>SUM('21 Oct Mon'!BZ129:BZ139,'22 Oct Tues'!BZ129:BZ139,'23 Oct Wed'!BZ129:BZ139,'24 Oct Thurs'!BZ129:BZ139,'25 Oct Fri'!BZ129:BZ139,'26 Oct Sat'!BZ129:BZ139)</f>
        <v>0</v>
      </c>
      <c r="BC129" s="386">
        <f>SUM('21 Oct Mon'!CA129:CA139,'22 Oct Tues'!CA129:CA139,'23 Oct Wed'!CA129:CA139,'24 Oct Thurs'!CA129:CA139,'25 Oct Fri'!CA129:CA139,'26 Oct Sat'!CA129:CA139)</f>
        <v>0</v>
      </c>
      <c r="BD129" s="386">
        <f>SUM('21 Oct Mon'!CB129:CB139,'22 Oct Tues'!CB129:CB139,'23 Oct Wed'!CB129:CB139,'24 Oct Thurs'!CB129:CB139,'25 Oct Fri'!CB129:CB139,'26 Oct Sat'!CB129:CB139)</f>
        <v>0</v>
      </c>
      <c r="BE129" s="386">
        <f>SUM('21 Oct Mon'!CC129:CC139,'22 Oct Tues'!CC129:CC139,'23 Oct Wed'!CC129:CC139,'24 Oct Thurs'!CC129:CC139,'25 Oct Fri'!CC129:CC139,'26 Oct Sat'!CC129:CC139)</f>
        <v>0</v>
      </c>
      <c r="BF129" s="386" t="str">
        <f>CONCATENATE("Mon-",'21 Oct Mon'!CD129:CD139,",Tues-",'22 Oct Tues'!CD129:CD139,",Wed-",'23 Oct Wed'!CD129:CD139,",Thurs-",'24 Oct Thurs'!CD129:CD139,",Fri-",'25 Oct Fri'!CD129:CD139,",Sat-",'26 Oct Sat'!CD129:CD139)</f>
        <v>Mon-,Tues-,Wed-,Thurs-,Fri-,Sat-</v>
      </c>
      <c r="BG129" s="388">
        <f>SUM('21 Oct Mon'!CE129:CE139,'22 Oct Tues'!CE129:CE139,'23 Oct Wed'!CE129:CE139,'24 Oct Thurs'!CE129:CE139,'25 Oct Fri'!CE129:CE139,'26 Oct Sat'!CE129:CE139)</f>
        <v>0</v>
      </c>
      <c r="BH129" s="389" t="str">
        <f>CONCATENATE("Mon-",'21 Oct Mon'!CF129:CF139,",Tues-",'22 Oct Tues'!CF129:CF139,",Wed-",'23 Oct Wed'!CF129:CF139,",Thurs-",'24 Oct Thurs'!CF129:CF139,",Fri-",'25 Oct Fri'!CF129:CF139,",Sat-",'26 Oct Sat'!CF129:CF139)</f>
        <v>Mon-,Tues-,Wed-,Thurs-,Fri-,Sat-</v>
      </c>
      <c r="BI129" s="383">
        <f>SUM('21 Oct Mon'!CG129:CG139,'22 Oct Tues'!CG129:CG139,'23 Oct Wed'!CG129:CG139,'24 Oct Thurs'!CG129:CG139,'25 Oct Fri'!CG129:CG139,'26 Oct Sat'!CG129:CG139)</f>
        <v>0</v>
      </c>
      <c r="BJ129" s="382">
        <f>SUM('21 Oct Mon'!CH129:CH139,'22 Oct Tues'!CH129:CH139,'23 Oct Wed'!CH129:CH139,'24 Oct Thurs'!CH129:CH139,'25 Oct Fri'!CH129:CH139,'26 Oct Sat'!CH129:CH139)</f>
        <v>0</v>
      </c>
      <c r="BK129" s="384">
        <f>SUM('21 Oct Mon'!CI129:CI139,'22 Oct Tues'!CI129:CI139,'23 Oct Wed'!CI129:CI139,'24 Oct Thurs'!CI129:CI139,'25 Oct Fri'!CI129:CI139,'26 Oct Sat'!CI129:CI139)</f>
        <v>0</v>
      </c>
      <c r="BL129" s="382" t="str">
        <f>CONCATENATE("Mon-",'21 Oct Mon'!CJ129:CJ139,",Tues-",'22 Oct Tues'!CJ129:CJ139,",Wed-",'23 Oct Wed'!CJ129:CJ139,",Thurs-",'24 Oct Thurs'!CJ129:CJ139,",Fri-",'25 Oct Fri'!CJ129:CJ139,",Sat-",'26 Oct Sat'!CJ129:CJ139)</f>
        <v>Mon-In DR of 19th Oct Instead of lecture 3 &amp; 4 Entry done in 1 &amp; 2,Tues-,Wed-,Thurs-,Fri-,Sat-</v>
      </c>
      <c r="BM129" s="384">
        <f>SUM('21 Oct Mon'!CK129:CK139,'22 Oct Tues'!CK129:CK139,'23 Oct Wed'!CK129:CK139,'24 Oct Thurs'!CK129:CK139,'25 Oct Fri'!CK129:CK139,'26 Oct Sat'!CK129:CK139)</f>
        <v>-1</v>
      </c>
      <c r="BN129" s="382" t="str">
        <f>CONCATENATE("Mon-",'21 Oct Mon'!CL129:CL139,",Tues-",'22 Oct Tues'!CL129:CL139,",Wed-",'23 Oct Wed'!CL129:CL139,",Thurs-",'24 Oct Thurs'!CL129:CL139,",Fri-",'25 Oct Fri'!CL129:CL139,",Sat-",'26 Oct Sat'!CL129:CL139)</f>
        <v>Mon-,Tues-,Wed-,Thurs-,Fri-,Sat-</v>
      </c>
      <c r="BO129" s="384">
        <f>SUM('21 Oct Mon'!CM129:CM139,'22 Oct Tues'!CM129:CM139,'23 Oct Wed'!CM129:CM139,'24 Oct Thurs'!CM129:CM139,'25 Oct Fri'!CM129:CM139,'26 Oct Sat'!CM129:CM139)</f>
        <v>0</v>
      </c>
      <c r="BP129" s="385" t="str">
        <f>CONCATENATE("Mon-",'21 Oct Mon'!CN129:CN139,",Tues-",'22 Oct Tues'!CN129:CN139,",Wed-",'23 Oct Wed'!CN129:CN139,",Thurs-",'24 Oct Thurs'!CN129:CN139,",Fri-",'25 Oct Fri'!CN129:CN139,",Sat-",'26 Oct Sat'!CN129:CN139)</f>
        <v>Mon-,Tues-,Wed-,Thurs-,Fri-,Sat-</v>
      </c>
      <c r="BQ129" s="387">
        <f>SUM('21 Oct Mon'!CO129:CO139,'22 Oct Tues'!CO129:CO139,'23 Oct Wed'!CO129:CO139,'24 Oct Thurs'!CO129:CO139,'25 Oct Fri'!CO129:CO139,'26 Oct Sat'!CO129:CO139)</f>
        <v>0</v>
      </c>
      <c r="BR129" s="379" t="str">
        <f>CONCATENATE("Mon-",'21 Oct Mon'!CP129:CP139,",Tues-",'22 Oct Tues'!CP129:CP139,",Wed-",'23 Oct Wed'!CP129:CP139,",Thurs-",'24 Oct Thurs'!CP129:CP139,",Fri-",'25 Oct Fri'!CP129:CP139,",Sat-",'26 Oct Sat'!CP129:CP139)</f>
        <v>Mon-,Tues-,Wed-,Thurs-,Fri-,Sat-</v>
      </c>
      <c r="BS129" s="390">
        <f>SUM('21 Oct Mon'!CQ129:CQ139,'22 Oct Tues'!CQ129:CQ139,'23 Oct Wed'!CQ129:CQ139,'24 Oct Thurs'!CQ129:CQ139,'25 Oct Fri'!CQ129:CQ139,'26 Oct Sat'!CQ129:CQ139)</f>
        <v>0</v>
      </c>
      <c r="BT129" s="390">
        <f>SUM('21 Oct Mon'!CR129:CR139,'22 Oct Tues'!CR129:CR139,'23 Oct Wed'!CR129:CR139,'24 Oct Thurs'!CR129:CR139,'25 Oct Fri'!CR129:CR139,'26 Oct Sat'!CR129:CR139)</f>
        <v>0</v>
      </c>
      <c r="BU129" s="391">
        <f>SUM('21 Oct Mon'!CS129:CS139,'22 Oct Tues'!CS129:CS139,'23 Oct Wed'!CS129:CS139,'24 Oct Thurs'!CS129:CS139,'25 Oct Fri'!CS129:CS139,'26 Oct Sat'!CS129:CS139)</f>
        <v>1</v>
      </c>
      <c r="BV129" s="392">
        <f>SUM('21 Oct Mon'!CT129:CT139,'22 Oct Tues'!CT129:CT139,'23 Oct Wed'!CT129:CT139,'24 Oct Thurs'!CT129:CT139,'25 Oct Fri'!CT129:CT139,'26 Oct Sat'!CT129:CT139)</f>
        <v>-1</v>
      </c>
      <c r="BW129" s="393" t="str">
        <f>LEFT(U129,FIND("(",U129,1)-2)</f>
        <v>0</v>
      </c>
      <c r="BX129" s="394"/>
    </row>
    <row r="130" ht="64.5" customHeight="1">
      <c r="A130" s="177"/>
      <c r="C130" s="205" t="s">
        <v>197</v>
      </c>
      <c r="D130" s="395"/>
      <c r="E130" s="396"/>
      <c r="F130" s="396"/>
      <c r="G130" s="396"/>
      <c r="H130" s="396"/>
      <c r="I130" s="396"/>
      <c r="J130" s="397"/>
      <c r="K130" s="398">
        <f t="shared" si="1"/>
        <v>0</v>
      </c>
      <c r="L130" s="173"/>
      <c r="M130" s="173"/>
      <c r="N130" s="177"/>
      <c r="O130" s="178"/>
      <c r="P130" s="178"/>
      <c r="Q130" s="178"/>
      <c r="R130" s="178"/>
      <c r="S130" s="182"/>
      <c r="T130" s="65"/>
      <c r="U130" s="64"/>
      <c r="V130" s="66"/>
      <c r="W130" s="173"/>
      <c r="X130" s="173"/>
      <c r="Y130" s="65"/>
      <c r="Z130" s="65"/>
      <c r="AA130" s="65"/>
      <c r="AB130" s="65"/>
      <c r="AC130" s="173"/>
      <c r="AD130" s="166"/>
      <c r="AE130" s="166"/>
      <c r="AF130" s="166"/>
      <c r="AG130" s="166"/>
      <c r="AH130" s="65"/>
      <c r="AJ130" s="177"/>
      <c r="AK130" s="178"/>
      <c r="AL130" s="181"/>
      <c r="AM130" s="166"/>
      <c r="AN130" s="166"/>
      <c r="AO130" s="177"/>
      <c r="AP130" s="178"/>
      <c r="AQ130" s="181"/>
      <c r="AR130" s="166"/>
      <c r="AS130" s="166"/>
      <c r="AT130" s="177"/>
      <c r="AU130" s="181"/>
      <c r="AV130" s="166"/>
      <c r="AW130" s="166"/>
      <c r="AX130" s="177"/>
      <c r="AY130" s="166"/>
      <c r="AZ130" s="177"/>
      <c r="BA130" s="178"/>
      <c r="BB130" s="178"/>
      <c r="BC130" s="178"/>
      <c r="BD130" s="178"/>
      <c r="BE130" s="178"/>
      <c r="BF130" s="178"/>
      <c r="BG130" s="179"/>
      <c r="BH130" s="180"/>
      <c r="BI130" s="178"/>
      <c r="BJ130" s="177"/>
      <c r="BK130" s="181"/>
      <c r="BL130" s="177"/>
      <c r="BM130" s="181"/>
      <c r="BN130" s="177"/>
      <c r="BO130" s="181"/>
      <c r="BP130" s="177"/>
      <c r="BQ130" s="181"/>
      <c r="BR130" s="166"/>
      <c r="BS130" s="166"/>
      <c r="BT130" s="166"/>
      <c r="BU130" s="65"/>
      <c r="BW130" s="178"/>
      <c r="BX130" s="399"/>
    </row>
    <row r="131" ht="53.25" customHeight="1">
      <c r="A131" s="177"/>
      <c r="C131" s="205" t="s">
        <v>197</v>
      </c>
      <c r="D131" s="395"/>
      <c r="E131" s="396"/>
      <c r="F131" s="396"/>
      <c r="G131" s="396"/>
      <c r="H131" s="396"/>
      <c r="I131" s="396"/>
      <c r="J131" s="397"/>
      <c r="K131" s="398">
        <f t="shared" si="1"/>
        <v>0</v>
      </c>
      <c r="L131" s="173"/>
      <c r="M131" s="173"/>
      <c r="N131" s="177"/>
      <c r="O131" s="178"/>
      <c r="P131" s="178"/>
      <c r="Q131" s="178"/>
      <c r="R131" s="178"/>
      <c r="S131" s="182"/>
      <c r="T131" s="65"/>
      <c r="U131" s="64"/>
      <c r="V131" s="66"/>
      <c r="W131" s="173"/>
      <c r="X131" s="173"/>
      <c r="Y131" s="65"/>
      <c r="Z131" s="65"/>
      <c r="AA131" s="65"/>
      <c r="AB131" s="65"/>
      <c r="AC131" s="173"/>
      <c r="AD131" s="166"/>
      <c r="AE131" s="166"/>
      <c r="AF131" s="166"/>
      <c r="AG131" s="166"/>
      <c r="AH131" s="65"/>
      <c r="AJ131" s="177"/>
      <c r="AK131" s="178"/>
      <c r="AL131" s="181"/>
      <c r="AM131" s="166"/>
      <c r="AN131" s="166"/>
      <c r="AO131" s="177"/>
      <c r="AP131" s="178"/>
      <c r="AQ131" s="181"/>
      <c r="AR131" s="166"/>
      <c r="AS131" s="166"/>
      <c r="AT131" s="177"/>
      <c r="AU131" s="181"/>
      <c r="AV131" s="166"/>
      <c r="AW131" s="166"/>
      <c r="AX131" s="177"/>
      <c r="AY131" s="166"/>
      <c r="AZ131" s="177"/>
      <c r="BA131" s="178"/>
      <c r="BB131" s="178"/>
      <c r="BC131" s="178"/>
      <c r="BD131" s="178"/>
      <c r="BE131" s="178"/>
      <c r="BF131" s="178"/>
      <c r="BG131" s="179"/>
      <c r="BH131" s="180"/>
      <c r="BI131" s="178"/>
      <c r="BJ131" s="177"/>
      <c r="BK131" s="181"/>
      <c r="BL131" s="177"/>
      <c r="BM131" s="181"/>
      <c r="BN131" s="177"/>
      <c r="BO131" s="181"/>
      <c r="BP131" s="177"/>
      <c r="BQ131" s="181"/>
      <c r="BR131" s="166"/>
      <c r="BS131" s="166"/>
      <c r="BT131" s="166"/>
      <c r="BU131" s="65"/>
      <c r="BW131" s="178"/>
      <c r="BX131" s="399"/>
    </row>
    <row r="132" ht="53.25" customHeight="1">
      <c r="A132" s="177"/>
      <c r="C132" s="205" t="s">
        <v>197</v>
      </c>
      <c r="D132" s="395"/>
      <c r="E132" s="396"/>
      <c r="F132" s="396"/>
      <c r="G132" s="396"/>
      <c r="H132" s="396"/>
      <c r="I132" s="396"/>
      <c r="J132" s="397"/>
      <c r="K132" s="398">
        <f t="shared" si="1"/>
        <v>0</v>
      </c>
      <c r="L132" s="173"/>
      <c r="M132" s="173"/>
      <c r="N132" s="177"/>
      <c r="O132" s="178"/>
      <c r="P132" s="178"/>
      <c r="Q132" s="178"/>
      <c r="R132" s="178"/>
      <c r="S132" s="182"/>
      <c r="T132" s="65"/>
      <c r="U132" s="64"/>
      <c r="V132" s="66"/>
      <c r="W132" s="173"/>
      <c r="X132" s="173"/>
      <c r="Y132" s="65"/>
      <c r="Z132" s="65"/>
      <c r="AA132" s="65"/>
      <c r="AB132" s="65"/>
      <c r="AC132" s="173"/>
      <c r="AD132" s="166"/>
      <c r="AE132" s="166"/>
      <c r="AF132" s="166"/>
      <c r="AG132" s="166"/>
      <c r="AH132" s="65"/>
      <c r="AJ132" s="177"/>
      <c r="AK132" s="178"/>
      <c r="AL132" s="181"/>
      <c r="AM132" s="166"/>
      <c r="AN132" s="166"/>
      <c r="AO132" s="177"/>
      <c r="AP132" s="178"/>
      <c r="AQ132" s="181"/>
      <c r="AR132" s="166"/>
      <c r="AS132" s="166"/>
      <c r="AT132" s="177"/>
      <c r="AU132" s="181"/>
      <c r="AV132" s="166"/>
      <c r="AW132" s="166"/>
      <c r="AX132" s="177"/>
      <c r="AY132" s="166"/>
      <c r="AZ132" s="177"/>
      <c r="BA132" s="178"/>
      <c r="BB132" s="178"/>
      <c r="BC132" s="178"/>
      <c r="BD132" s="178"/>
      <c r="BE132" s="178"/>
      <c r="BF132" s="178"/>
      <c r="BG132" s="179"/>
      <c r="BH132" s="180"/>
      <c r="BI132" s="178"/>
      <c r="BJ132" s="177"/>
      <c r="BK132" s="181"/>
      <c r="BL132" s="177"/>
      <c r="BM132" s="181"/>
      <c r="BN132" s="177"/>
      <c r="BO132" s="181"/>
      <c r="BP132" s="177"/>
      <c r="BQ132" s="181"/>
      <c r="BR132" s="166"/>
      <c r="BS132" s="166"/>
      <c r="BT132" s="166"/>
      <c r="BU132" s="65"/>
      <c r="BW132" s="178"/>
      <c r="BX132" s="399"/>
    </row>
    <row r="133" ht="53.25" customHeight="1">
      <c r="A133" s="177"/>
      <c r="C133" s="205" t="s">
        <v>197</v>
      </c>
      <c r="D133" s="395"/>
      <c r="E133" s="396"/>
      <c r="F133" s="396"/>
      <c r="G133" s="396"/>
      <c r="H133" s="396"/>
      <c r="I133" s="396"/>
      <c r="J133" s="397"/>
      <c r="K133" s="398">
        <f t="shared" si="1"/>
        <v>0</v>
      </c>
      <c r="L133" s="173"/>
      <c r="M133" s="173"/>
      <c r="N133" s="177"/>
      <c r="O133" s="178"/>
      <c r="P133" s="178"/>
      <c r="Q133" s="178"/>
      <c r="R133" s="178"/>
      <c r="S133" s="182"/>
      <c r="T133" s="65"/>
      <c r="U133" s="64"/>
      <c r="V133" s="66"/>
      <c r="W133" s="173"/>
      <c r="X133" s="173"/>
      <c r="Y133" s="65"/>
      <c r="Z133" s="65"/>
      <c r="AA133" s="65"/>
      <c r="AB133" s="65"/>
      <c r="AC133" s="173"/>
      <c r="AD133" s="166"/>
      <c r="AE133" s="166"/>
      <c r="AF133" s="166"/>
      <c r="AG133" s="166"/>
      <c r="AH133" s="65"/>
      <c r="AJ133" s="177"/>
      <c r="AK133" s="178"/>
      <c r="AL133" s="181"/>
      <c r="AM133" s="166"/>
      <c r="AN133" s="166"/>
      <c r="AO133" s="177"/>
      <c r="AP133" s="178"/>
      <c r="AQ133" s="181"/>
      <c r="AR133" s="166"/>
      <c r="AS133" s="166"/>
      <c r="AT133" s="177"/>
      <c r="AU133" s="181"/>
      <c r="AV133" s="166"/>
      <c r="AW133" s="166"/>
      <c r="AX133" s="177"/>
      <c r="AY133" s="166"/>
      <c r="AZ133" s="177"/>
      <c r="BA133" s="178"/>
      <c r="BB133" s="178"/>
      <c r="BC133" s="178"/>
      <c r="BD133" s="178"/>
      <c r="BE133" s="178"/>
      <c r="BF133" s="178"/>
      <c r="BG133" s="179"/>
      <c r="BH133" s="180"/>
      <c r="BI133" s="178"/>
      <c r="BJ133" s="177"/>
      <c r="BK133" s="181"/>
      <c r="BL133" s="177"/>
      <c r="BM133" s="181"/>
      <c r="BN133" s="177"/>
      <c r="BO133" s="181"/>
      <c r="BP133" s="177"/>
      <c r="BQ133" s="181"/>
      <c r="BR133" s="166"/>
      <c r="BS133" s="166"/>
      <c r="BT133" s="166"/>
      <c r="BU133" s="65"/>
      <c r="BW133" s="178"/>
      <c r="BX133" s="399"/>
    </row>
    <row r="134" ht="64.5" customHeight="1">
      <c r="A134" s="177"/>
      <c r="C134" s="205" t="s">
        <v>197</v>
      </c>
      <c r="D134" s="395"/>
      <c r="E134" s="396"/>
      <c r="F134" s="396"/>
      <c r="G134" s="396"/>
      <c r="H134" s="396"/>
      <c r="I134" s="396"/>
      <c r="J134" s="397"/>
      <c r="K134" s="398">
        <f t="shared" si="1"/>
        <v>0</v>
      </c>
      <c r="L134" s="173"/>
      <c r="M134" s="173"/>
      <c r="N134" s="177"/>
      <c r="O134" s="178"/>
      <c r="P134" s="178"/>
      <c r="Q134" s="178"/>
      <c r="R134" s="178"/>
      <c r="S134" s="182"/>
      <c r="T134" s="65"/>
      <c r="U134" s="64"/>
      <c r="V134" s="66"/>
      <c r="W134" s="173"/>
      <c r="X134" s="173"/>
      <c r="Y134" s="65"/>
      <c r="Z134" s="65"/>
      <c r="AA134" s="65"/>
      <c r="AB134" s="65"/>
      <c r="AC134" s="173"/>
      <c r="AD134" s="166"/>
      <c r="AE134" s="166"/>
      <c r="AF134" s="166"/>
      <c r="AG134" s="166"/>
      <c r="AH134" s="65"/>
      <c r="AJ134" s="177"/>
      <c r="AK134" s="178"/>
      <c r="AL134" s="181"/>
      <c r="AM134" s="166"/>
      <c r="AN134" s="166"/>
      <c r="AO134" s="177"/>
      <c r="AP134" s="178"/>
      <c r="AQ134" s="181"/>
      <c r="AR134" s="166"/>
      <c r="AS134" s="166"/>
      <c r="AT134" s="177"/>
      <c r="AU134" s="181"/>
      <c r="AV134" s="166"/>
      <c r="AW134" s="166"/>
      <c r="AX134" s="177"/>
      <c r="AY134" s="166"/>
      <c r="AZ134" s="177"/>
      <c r="BA134" s="178"/>
      <c r="BB134" s="178"/>
      <c r="BC134" s="178"/>
      <c r="BD134" s="178"/>
      <c r="BE134" s="178"/>
      <c r="BF134" s="178"/>
      <c r="BG134" s="179"/>
      <c r="BH134" s="180"/>
      <c r="BI134" s="178"/>
      <c r="BJ134" s="177"/>
      <c r="BK134" s="181"/>
      <c r="BL134" s="177"/>
      <c r="BM134" s="181"/>
      <c r="BN134" s="177"/>
      <c r="BO134" s="181"/>
      <c r="BP134" s="177"/>
      <c r="BQ134" s="181"/>
      <c r="BR134" s="166"/>
      <c r="BS134" s="166"/>
      <c r="BT134" s="166"/>
      <c r="BU134" s="65"/>
      <c r="BW134" s="178"/>
      <c r="BX134" s="399"/>
    </row>
    <row r="135" ht="60.75" customHeight="1">
      <c r="A135" s="177"/>
      <c r="C135" s="205" t="s">
        <v>197</v>
      </c>
      <c r="D135" s="395"/>
      <c r="E135" s="396"/>
      <c r="F135" s="396"/>
      <c r="G135" s="396"/>
      <c r="H135" s="396"/>
      <c r="I135" s="396"/>
      <c r="J135" s="397"/>
      <c r="K135" s="398">
        <f t="shared" si="1"/>
        <v>0</v>
      </c>
      <c r="L135" s="173"/>
      <c r="M135" s="173"/>
      <c r="N135" s="177"/>
      <c r="O135" s="178"/>
      <c r="P135" s="178"/>
      <c r="Q135" s="178"/>
      <c r="R135" s="178"/>
      <c r="S135" s="182"/>
      <c r="T135" s="65"/>
      <c r="U135" s="64"/>
      <c r="V135" s="66"/>
      <c r="W135" s="173"/>
      <c r="X135" s="173"/>
      <c r="Y135" s="65"/>
      <c r="Z135" s="65"/>
      <c r="AA135" s="65"/>
      <c r="AB135" s="65"/>
      <c r="AC135" s="173"/>
      <c r="AD135" s="166"/>
      <c r="AE135" s="166"/>
      <c r="AF135" s="166"/>
      <c r="AG135" s="166"/>
      <c r="AH135" s="65"/>
      <c r="AJ135" s="177"/>
      <c r="AK135" s="178"/>
      <c r="AL135" s="181"/>
      <c r="AM135" s="166"/>
      <c r="AN135" s="166"/>
      <c r="AO135" s="177"/>
      <c r="AP135" s="178"/>
      <c r="AQ135" s="181"/>
      <c r="AR135" s="166"/>
      <c r="AS135" s="166"/>
      <c r="AT135" s="177"/>
      <c r="AU135" s="181"/>
      <c r="AV135" s="166"/>
      <c r="AW135" s="166"/>
      <c r="AX135" s="177"/>
      <c r="AY135" s="166"/>
      <c r="AZ135" s="177"/>
      <c r="BA135" s="178"/>
      <c r="BB135" s="178"/>
      <c r="BC135" s="178"/>
      <c r="BD135" s="178"/>
      <c r="BE135" s="178"/>
      <c r="BF135" s="178"/>
      <c r="BG135" s="179"/>
      <c r="BH135" s="180"/>
      <c r="BI135" s="178"/>
      <c r="BJ135" s="177"/>
      <c r="BK135" s="181"/>
      <c r="BL135" s="177"/>
      <c r="BM135" s="181"/>
      <c r="BN135" s="177"/>
      <c r="BO135" s="181"/>
      <c r="BP135" s="177"/>
      <c r="BQ135" s="181"/>
      <c r="BR135" s="166"/>
      <c r="BS135" s="166"/>
      <c r="BT135" s="166"/>
      <c r="BU135" s="65"/>
      <c r="BW135" s="178"/>
      <c r="BX135" s="399"/>
    </row>
    <row r="136" ht="45.75" customHeight="1">
      <c r="A136" s="177"/>
      <c r="C136" s="205" t="s">
        <v>197</v>
      </c>
      <c r="D136" s="395"/>
      <c r="E136" s="396"/>
      <c r="F136" s="396"/>
      <c r="G136" s="396"/>
      <c r="H136" s="396"/>
      <c r="I136" s="396"/>
      <c r="J136" s="397"/>
      <c r="K136" s="398">
        <f t="shared" si="1"/>
        <v>0</v>
      </c>
      <c r="L136" s="173"/>
      <c r="M136" s="173"/>
      <c r="N136" s="177"/>
      <c r="O136" s="178"/>
      <c r="P136" s="178"/>
      <c r="Q136" s="178"/>
      <c r="R136" s="178"/>
      <c r="S136" s="182"/>
      <c r="T136" s="65"/>
      <c r="U136" s="64"/>
      <c r="V136" s="66"/>
      <c r="W136" s="173"/>
      <c r="X136" s="173"/>
      <c r="Y136" s="65"/>
      <c r="Z136" s="65"/>
      <c r="AA136" s="65"/>
      <c r="AB136" s="65"/>
      <c r="AC136" s="173"/>
      <c r="AD136" s="166"/>
      <c r="AE136" s="166"/>
      <c r="AF136" s="166"/>
      <c r="AG136" s="166"/>
      <c r="AH136" s="65"/>
      <c r="AJ136" s="177"/>
      <c r="AK136" s="178"/>
      <c r="AL136" s="181"/>
      <c r="AM136" s="166"/>
      <c r="AN136" s="166"/>
      <c r="AO136" s="177"/>
      <c r="AP136" s="178"/>
      <c r="AQ136" s="181"/>
      <c r="AR136" s="166"/>
      <c r="AS136" s="166"/>
      <c r="AT136" s="177"/>
      <c r="AU136" s="181"/>
      <c r="AV136" s="166"/>
      <c r="AW136" s="166"/>
      <c r="AX136" s="177"/>
      <c r="AY136" s="166"/>
      <c r="AZ136" s="177"/>
      <c r="BA136" s="178"/>
      <c r="BB136" s="178"/>
      <c r="BC136" s="178"/>
      <c r="BD136" s="178"/>
      <c r="BE136" s="178"/>
      <c r="BF136" s="178"/>
      <c r="BG136" s="179"/>
      <c r="BH136" s="180"/>
      <c r="BI136" s="178"/>
      <c r="BJ136" s="177"/>
      <c r="BK136" s="181"/>
      <c r="BL136" s="177"/>
      <c r="BM136" s="181"/>
      <c r="BN136" s="177"/>
      <c r="BO136" s="181"/>
      <c r="BP136" s="177"/>
      <c r="BQ136" s="181"/>
      <c r="BR136" s="166"/>
      <c r="BS136" s="166"/>
      <c r="BT136" s="166"/>
      <c r="BU136" s="65"/>
      <c r="BW136" s="178"/>
      <c r="BX136" s="399"/>
    </row>
    <row r="137" ht="49.5" customHeight="1">
      <c r="A137" s="177"/>
      <c r="C137" s="205" t="s">
        <v>197</v>
      </c>
      <c r="D137" s="395"/>
      <c r="E137" s="396"/>
      <c r="F137" s="396"/>
      <c r="G137" s="396"/>
      <c r="H137" s="396"/>
      <c r="I137" s="396"/>
      <c r="J137" s="397"/>
      <c r="K137" s="398">
        <f t="shared" si="1"/>
        <v>0</v>
      </c>
      <c r="L137" s="173"/>
      <c r="M137" s="173"/>
      <c r="N137" s="177"/>
      <c r="O137" s="178"/>
      <c r="P137" s="178"/>
      <c r="Q137" s="178"/>
      <c r="R137" s="178"/>
      <c r="S137" s="182"/>
      <c r="T137" s="65"/>
      <c r="U137" s="64"/>
      <c r="V137" s="66"/>
      <c r="W137" s="173"/>
      <c r="X137" s="173"/>
      <c r="Y137" s="65"/>
      <c r="Z137" s="65"/>
      <c r="AA137" s="65"/>
      <c r="AB137" s="65"/>
      <c r="AC137" s="173"/>
      <c r="AD137" s="166"/>
      <c r="AE137" s="166"/>
      <c r="AF137" s="166"/>
      <c r="AG137" s="166"/>
      <c r="AH137" s="65"/>
      <c r="AJ137" s="177"/>
      <c r="AK137" s="178"/>
      <c r="AL137" s="181"/>
      <c r="AM137" s="166"/>
      <c r="AN137" s="166"/>
      <c r="AO137" s="177"/>
      <c r="AP137" s="178"/>
      <c r="AQ137" s="181"/>
      <c r="AR137" s="166"/>
      <c r="AS137" s="166"/>
      <c r="AT137" s="177"/>
      <c r="AU137" s="181"/>
      <c r="AV137" s="166"/>
      <c r="AW137" s="166"/>
      <c r="AX137" s="177"/>
      <c r="AY137" s="166"/>
      <c r="AZ137" s="177"/>
      <c r="BA137" s="178"/>
      <c r="BB137" s="178"/>
      <c r="BC137" s="178"/>
      <c r="BD137" s="178"/>
      <c r="BE137" s="178"/>
      <c r="BF137" s="178"/>
      <c r="BG137" s="179"/>
      <c r="BH137" s="180"/>
      <c r="BI137" s="178"/>
      <c r="BJ137" s="177"/>
      <c r="BK137" s="181"/>
      <c r="BL137" s="177"/>
      <c r="BM137" s="181"/>
      <c r="BN137" s="177"/>
      <c r="BO137" s="181"/>
      <c r="BP137" s="177"/>
      <c r="BQ137" s="181"/>
      <c r="BR137" s="166"/>
      <c r="BS137" s="166"/>
      <c r="BT137" s="166"/>
      <c r="BU137" s="65"/>
      <c r="BW137" s="178"/>
      <c r="BX137" s="399"/>
    </row>
    <row r="138" ht="60.75" customHeight="1">
      <c r="A138" s="177"/>
      <c r="C138" s="205" t="s">
        <v>197</v>
      </c>
      <c r="D138" s="395"/>
      <c r="E138" s="396"/>
      <c r="F138" s="396"/>
      <c r="G138" s="396"/>
      <c r="H138" s="396"/>
      <c r="I138" s="396"/>
      <c r="J138" s="397"/>
      <c r="K138" s="398">
        <f t="shared" si="1"/>
        <v>0</v>
      </c>
      <c r="L138" s="173"/>
      <c r="M138" s="173"/>
      <c r="N138" s="177"/>
      <c r="O138" s="178"/>
      <c r="P138" s="178"/>
      <c r="Q138" s="178"/>
      <c r="R138" s="178"/>
      <c r="S138" s="182"/>
      <c r="T138" s="65"/>
      <c r="U138" s="64"/>
      <c r="V138" s="66"/>
      <c r="W138" s="173"/>
      <c r="X138" s="173"/>
      <c r="Y138" s="65"/>
      <c r="Z138" s="65"/>
      <c r="AA138" s="65"/>
      <c r="AB138" s="65"/>
      <c r="AC138" s="173"/>
      <c r="AD138" s="166"/>
      <c r="AE138" s="166"/>
      <c r="AF138" s="166"/>
      <c r="AG138" s="166"/>
      <c r="AH138" s="65"/>
      <c r="AJ138" s="177"/>
      <c r="AK138" s="178"/>
      <c r="AL138" s="181"/>
      <c r="AM138" s="166"/>
      <c r="AN138" s="166"/>
      <c r="AO138" s="177"/>
      <c r="AP138" s="178"/>
      <c r="AQ138" s="181"/>
      <c r="AR138" s="166"/>
      <c r="AS138" s="166"/>
      <c r="AT138" s="177"/>
      <c r="AU138" s="181"/>
      <c r="AV138" s="166"/>
      <c r="AW138" s="166"/>
      <c r="AX138" s="177"/>
      <c r="AY138" s="166"/>
      <c r="AZ138" s="177"/>
      <c r="BA138" s="178"/>
      <c r="BB138" s="178"/>
      <c r="BC138" s="178"/>
      <c r="BD138" s="178"/>
      <c r="BE138" s="178"/>
      <c r="BF138" s="178"/>
      <c r="BG138" s="179"/>
      <c r="BH138" s="180"/>
      <c r="BI138" s="178"/>
      <c r="BJ138" s="177"/>
      <c r="BK138" s="181"/>
      <c r="BL138" s="177"/>
      <c r="BM138" s="181"/>
      <c r="BN138" s="177"/>
      <c r="BO138" s="181"/>
      <c r="BP138" s="177"/>
      <c r="BQ138" s="181"/>
      <c r="BR138" s="166"/>
      <c r="BS138" s="166"/>
      <c r="BT138" s="166"/>
      <c r="BU138" s="65"/>
      <c r="BW138" s="178"/>
      <c r="BX138" s="399"/>
    </row>
    <row r="139" ht="45.75" customHeight="1">
      <c r="A139" s="192"/>
      <c r="B139" s="6"/>
      <c r="C139" s="210" t="s">
        <v>197</v>
      </c>
      <c r="D139" s="400"/>
      <c r="E139" s="401"/>
      <c r="F139" s="401"/>
      <c r="G139" s="401"/>
      <c r="H139" s="401"/>
      <c r="I139" s="401"/>
      <c r="J139" s="402"/>
      <c r="K139" s="403">
        <f t="shared" si="1"/>
        <v>0</v>
      </c>
      <c r="L139" s="69"/>
      <c r="M139" s="69"/>
      <c r="N139" s="192"/>
      <c r="O139" s="193"/>
      <c r="P139" s="193"/>
      <c r="Q139" s="193"/>
      <c r="R139" s="193"/>
      <c r="S139" s="197"/>
      <c r="T139" s="89"/>
      <c r="U139" s="103"/>
      <c r="V139" s="68"/>
      <c r="W139" s="69"/>
      <c r="X139" s="69"/>
      <c r="Y139" s="89"/>
      <c r="Z139" s="89"/>
      <c r="AA139" s="89"/>
      <c r="AB139" s="89"/>
      <c r="AC139" s="69"/>
      <c r="AD139" s="63"/>
      <c r="AE139" s="63"/>
      <c r="AF139" s="63"/>
      <c r="AG139" s="63"/>
      <c r="AH139" s="89"/>
      <c r="AI139" s="6"/>
      <c r="AJ139" s="192"/>
      <c r="AK139" s="193"/>
      <c r="AL139" s="196"/>
      <c r="AM139" s="63"/>
      <c r="AN139" s="63"/>
      <c r="AO139" s="192"/>
      <c r="AP139" s="193"/>
      <c r="AQ139" s="196"/>
      <c r="AR139" s="63"/>
      <c r="AS139" s="63"/>
      <c r="AT139" s="192"/>
      <c r="AU139" s="196"/>
      <c r="AV139" s="63"/>
      <c r="AW139" s="63"/>
      <c r="AX139" s="192"/>
      <c r="AY139" s="63"/>
      <c r="AZ139" s="192"/>
      <c r="BA139" s="193"/>
      <c r="BB139" s="193"/>
      <c r="BC139" s="193"/>
      <c r="BD139" s="193"/>
      <c r="BE139" s="193"/>
      <c r="BF139" s="193"/>
      <c r="BG139" s="194"/>
      <c r="BH139" s="195"/>
      <c r="BI139" s="193"/>
      <c r="BJ139" s="192"/>
      <c r="BK139" s="196"/>
      <c r="BL139" s="192"/>
      <c r="BM139" s="196"/>
      <c r="BN139" s="192"/>
      <c r="BO139" s="196"/>
      <c r="BP139" s="192"/>
      <c r="BQ139" s="196"/>
      <c r="BR139" s="63"/>
      <c r="BS139" s="63"/>
      <c r="BT139" s="63"/>
      <c r="BU139" s="89"/>
      <c r="BV139" s="6"/>
      <c r="BW139" s="198"/>
      <c r="BX139" s="404"/>
    </row>
    <row r="140" ht="69.0" customHeight="1">
      <c r="A140" s="363">
        <v>13.0</v>
      </c>
      <c r="B140" s="199" t="s">
        <v>199</v>
      </c>
      <c r="C140" s="168" t="s">
        <v>200</v>
      </c>
      <c r="D140" s="408"/>
      <c r="E140" s="409"/>
      <c r="F140" s="409"/>
      <c r="G140" s="409"/>
      <c r="H140" s="409"/>
      <c r="I140" s="409"/>
      <c r="J140" s="366"/>
      <c r="K140" s="367">
        <f t="shared" si="1"/>
        <v>0</v>
      </c>
      <c r="L140" s="368">
        <f>SUM(I140:I150)+SUM(K140:K150)*1</f>
        <v>0</v>
      </c>
      <c r="M140" s="368">
        <f>SUM('21 Oct Mon'!Q140:Q150,'22 Oct Tues'!Q140:Q150,'23 Oct Wed'!Q140:Q150,'24 Oct Thurs'!Q140:Q150,'25 Oct Fri'!Q140:Q150,'26 Oct Sat'!Q140:Q150)</f>
        <v>0</v>
      </c>
      <c r="N140" s="369">
        <f>SUM('21 Oct Mon'!R140:R150,'22 Oct Tues'!R140:R150,'23 Oct Wed'!R140:R150,'24 Oct Thurs'!R140:R150,'25 Oct Fri'!R140:R150,'26 Oct Sat'!R140:R150)</f>
        <v>0</v>
      </c>
      <c r="O140" s="370">
        <f>SUM(L140:N150)</f>
        <v>0</v>
      </c>
      <c r="P140" s="370">
        <f>SUM('21 Oct Mon'!T140:T150,'22 Oct Tues'!T140:T150,'23 Oct Wed'!T140:T150,'24 Oct Thurs'!T140:T150,'25 Oct Fri'!T140:T150,'26 Oct Sat'!T140:T150)</f>
        <v>0</v>
      </c>
      <c r="Q140" s="370">
        <f>SUM('21 Oct Mon'!U140:U150,'22 Oct Tues'!U140:U150,'23 Oct Wed'!U140:U150,'24 Oct Thurs'!U140:U150,'25 Oct Fri'!U140:U150,'26 Oct Sat'!U140:U150)</f>
        <v>0</v>
      </c>
      <c r="R140" s="370">
        <f>SUM('21 Oct Mon'!V140:V150,'22 Oct Tues'!V140:V150,'23 Oct Wed'!V140:V150,'24 Oct Thurs'!V140:V150,'25 Oct Fri'!V140:V150,'26 Oct Sat'!V140:V150)</f>
        <v>0</v>
      </c>
      <c r="S140" s="371">
        <f>SUM('21 Oct Mon'!W140:W150,'22 Oct Tues'!W140:W150,'23 Oct Wed'!W140:W150,'24 Oct Thurs'!W140:W150,'25 Oct Fri'!W140:W150,'26 Oct Sat'!W140:W150)</f>
        <v>0</v>
      </c>
      <c r="T140" s="372">
        <f>O140-P140-Q140-R140-S140</f>
        <v>0</v>
      </c>
      <c r="U140" s="373" t="str">
        <f>CONCATENATE(SUM('21 Oct Mon'!O140:O150,'22 Oct Tues'!O140:O150,'23 Oct Wed'!O140:O150,'24 Oct Thurs'!O140:O150,'25 Oct Fri'!O140:O150,'26 Oct Sat'!O140:O150),"
(",(SUM('21 Oct Mon'!O140:O150,'22 Oct Tues'!O140:O150,'23 Oct Wed'!O140:O150,'24 Oct Thurs'!O140:O150,'25 Oct Fri'!O140:O150,'26 Oct Sat'!O140:O150)-T140),")")</f>
        <v>0
(0)</v>
      </c>
      <c r="V140" s="374" t="str">
        <f>CONCATENATE("Mon-",'21 Oct Mon'!Z140:Z150,",Tues-",'22 Oct Tues'!Z140:Z150,",Wed-",'23 Oct Wed'!Z140:Z150,",Thurs-",'24 Oct Thurs'!Z140:Z150,",Fri-",'25 Oct Fri'!Z140:Z150,",Sat-",'26 Oct Sat'!Z140:Z150)</f>
        <v>Mon-,Tues-,Wed-,Thurs-,Fri-,Sat-</v>
      </c>
      <c r="W140" s="375">
        <f>SUM('21 Oct Mon'!AI140:AI150,'22 Oct Tues'!AI140:AI150,'23 Oct Wed'!AI140:AI150,'24 Oct Thurs'!AI140:AI150,'25 Oct Fri'!AI140:AI150,'26 Oct Sat'!AI140:AI150)</f>
        <v>0</v>
      </c>
      <c r="X140" s="375">
        <f>SUM('21 Oct Mon'!AM140:AM150,'22 Oct Tues'!AM140:AM150,'23 Oct Wed'!AM140:AM150,'24 Oct Thurs'!AM140:AM150,'25 Oct Fri'!AM140:AM150,'26 Oct Sat'!AM140:AM150)</f>
        <v>0</v>
      </c>
      <c r="Y140" s="376">
        <f>SUM('21 Oct Mon'!AP140:AP150,'22 Oct Tues'!AP140:AP150,'23 Oct Wed'!AP140:AP150,'24 Oct Thurs'!AP140:AP150,'25 Oct Fri'!AP140:AP150,'26 Oct Sat'!AP140:AP150)</f>
        <v>0</v>
      </c>
      <c r="Z140" s="376">
        <f>SUM('21 Oct Mon'!AQ140:AQ150,'22 Oct Tues'!AQ140:AQ150,'23 Oct Wed'!AQ140:AQ150,'24 Oct Thurs'!AQ140:AQ150,'25 Oct Fri'!AQ140:AQ150,'26 Oct Sat'!AQ140:AQ150)</f>
        <v>0</v>
      </c>
      <c r="AA140" s="377">
        <f>SUM('21 Oct Mon'!AR140:AR150,'22 Oct Tues'!AR140:AR150,'23 Oct Wed'!AR140:AR150,'24 Oct Thurs'!AR140:AR150,'25 Oct Fri'!AR140:AR150,'26 Oct Sat'!AR140:AR150)</f>
        <v>0</v>
      </c>
      <c r="AB140" s="377">
        <f>SUM('21 Oct Mon'!AS140:AS150,'22 Oct Tues'!AS140:AS150,'23 Oct Wed'!AS140:AS150,'24 Oct Thurs'!AS140:AS150,'25 Oct Fri'!AS140:AS150,'26 Oct Sat'!AS140:AS150)</f>
        <v>3.416666667</v>
      </c>
      <c r="AC140" s="378">
        <f>SUM('21 Oct Mon'!AT140:AT150,'22 Oct Tues'!AT140:AT150,'23 Oct Wed'!AT140:AT150,'24 Oct Thurs'!AT140:AT150,'25 Oct Fri'!AT140:AT150,'26 Oct Sat'!AT140:AT150)</f>
        <v>0.8541666667</v>
      </c>
      <c r="AD140" s="379">
        <f>SUM('21 Oct Mon'!AU140:AU150,'22 Oct Tues'!AU140:AU150,'23 Oct Wed'!AU140:AU150,'24 Oct Thurs'!AU140:AU150,'25 Oct Fri'!AU140:AU150,'26 Oct Sat'!AU140:AU150)</f>
        <v>0</v>
      </c>
      <c r="AE140" s="379">
        <f>SUM('21 Oct Mon'!AV140:AV150,'22 Oct Tues'!AV140:AV150,'23 Oct Wed'!AV140:AV150,'24 Oct Thurs'!AV140:AV150,'25 Oct Fri'!AV140:AV150,'26 Oct Sat'!AV140:AV150)</f>
        <v>0</v>
      </c>
      <c r="AF140" s="379">
        <f>SUM('21 Oct Mon'!AW140:AW150,'22 Oct Tues'!AW140:AW150,'23 Oct Wed'!AW140:AW150,'24 Oct Thurs'!AW140:AW150,'25 Oct Fri'!AW140:AW150,'26 Oct Sat'!AW140:AW150)</f>
        <v>0</v>
      </c>
      <c r="AG140" s="379">
        <f>SUM('21 Oct Mon'!AX140:AX150,'22 Oct Tues'!AX140:AX150,'23 Oct Wed'!AX140:AX150,'24 Oct Thurs'!AX140:AX150,'25 Oct Fri'!AX140:AX150,'26 Oct Sat'!AX140:AX150)</f>
        <v>0</v>
      </c>
      <c r="AH140" s="380">
        <f>SUM('21 Oct Mon'!AY140:AY150,'22 Oct Tues'!AY140:AY150,'23 Oct Wed'!AY140:AY150,'24 Oct Thurs'!AY140:AY150,'25 Oct Fri'!AY140:AY150,'26 Oct Sat'!AY140:AY150)</f>
        <v>0</v>
      </c>
      <c r="AI140" s="381">
        <f>SUM('21 Oct Mon'!AZ140:AZ150,'22 Oct Tues'!AZ140:AZ150,'23 Oct Wed'!AZ140:AZ150,'24 Oct Thurs'!AZ140:AZ150,'25 Oct Fri'!AZ140:AZ150,'26 Oct Sat'!AZ140:AZ150)</f>
        <v>0</v>
      </c>
      <c r="AJ140" s="382">
        <f>SUM('21 Oct Mon'!BG140:BG150,'22 Oct Tues'!BG140:BG150,'23 Oct Wed'!BG140:BG150,'24 Oct Thurs'!BG140:BG150,'25 Oct Fri'!BG140:BG150,'26 Oct Sat'!BG140:BG150)</f>
        <v>2</v>
      </c>
      <c r="AK140" s="383">
        <f>SUM('21 Oct Mon'!BH140:BH150,'22 Oct Tues'!BH140:BH150,'23 Oct Wed'!BH140:BH150,'24 Oct Thurs'!BH140:BH150,'25 Oct Fri'!BH140:BH150,'26 Oct Sat'!BH140:BH150)</f>
        <v>0</v>
      </c>
      <c r="AL140" s="384">
        <f>SUM('21 Oct Mon'!BI140:BI150,'22 Oct Tues'!BI140:BI150,'23 Oct Wed'!BI140:BI150,'24 Oct Thurs'!BI140:BI150,'25 Oct Fri'!BI140:BI150,'26 Oct Sat'!BI140:BI150)</f>
        <v>0</v>
      </c>
      <c r="AM140" s="379">
        <f>SUM('21 Oct Mon'!BJ140:BJ150,'22 Oct Tues'!BJ140:BJ150,'23 Oct Wed'!BJ140:BJ150,'24 Oct Thurs'!BJ140:BJ150,'25 Oct Fri'!BJ140:BJ150,'26 Oct Sat'!BJ140:BJ150)</f>
        <v>0</v>
      </c>
      <c r="AN140" s="379">
        <f>SUM('21 Oct Mon'!BK140:BK150,'22 Oct Tues'!BK140:BK150,'23 Oct Wed'!BK140:BK150,'24 Oct Thurs'!BK140:BK150,'25 Oct Fri'!BK140:BK150,'26 Oct Sat'!BK140:BK150)</f>
        <v>0</v>
      </c>
      <c r="AO140" s="385">
        <f>SUM('21 Oct Mon'!BL140:BL150,'22 Oct Tues'!BL140:BL150,'23 Oct Wed'!BL140:BL150,'24 Oct Thurs'!BL140:BL150,'25 Oct Fri'!BL140:BL150,'26 Oct Sat'!BL140:BL150)</f>
        <v>0</v>
      </c>
      <c r="AP140" s="386">
        <f>SUM('21 Oct Mon'!BM140:BM150,'22 Oct Tues'!BM140:BM150,'23 Oct Wed'!BM140:BM150,'24 Oct Thurs'!BM140:BM150,'25 Oct Fri'!BM140:BM150,'26 Oct Sat'!BM140:BM150)</f>
        <v>0</v>
      </c>
      <c r="AQ140" s="387">
        <f>SUM('21 Oct Mon'!BN140:BN150,'22 Oct Tues'!BN140:BN150,'23 Oct Wed'!BN140:BN150,'24 Oct Thurs'!BN140:BN150,'25 Oct Fri'!BN140:BN150,'26 Oct Sat'!BN140:BN150)</f>
        <v>0</v>
      </c>
      <c r="AR140" s="379">
        <f>SUM('21 Oct Mon'!BO140:BO150,'22 Oct Tues'!BO140:BO150,'23 Oct Wed'!BO140:BO150,'24 Oct Thurs'!BO140:BO150,'25 Oct Fri'!BO140:BO150,'26 Oct Sat'!BO140:BO150)</f>
        <v>0</v>
      </c>
      <c r="AS140" s="379">
        <f>SUM('21 Oct Mon'!BP140:BP150,'22 Oct Tues'!BP140:BP150,'23 Oct Wed'!BP140:BP150,'24 Oct Thurs'!BP140:BP150,'25 Oct Fri'!BP140:BP150,'26 Oct Sat'!BP140:BP150)</f>
        <v>0</v>
      </c>
      <c r="AT140" s="382">
        <f>SUM('21 Oct Mon'!BR140:BR150,'22 Oct Tues'!BR140:BR150,'23 Oct Wed'!BR140:BR150,'24 Oct Thurs'!BR140:BR150,'25 Oct Fri'!BR140:BR150,'26 Oct Sat'!BR140:BR150)</f>
        <v>0</v>
      </c>
      <c r="AU140" s="384">
        <f>SUM('21 Oct Mon'!BS140:BS150,'22 Oct Tues'!BS140:BS150,'23 Oct Wed'!BS140:BS150,'24 Oct Thurs'!BS140:BS150,'25 Oct Fri'!BS140:BS150,'26 Oct Sat'!BS140:BS150)</f>
        <v>0</v>
      </c>
      <c r="AV140" s="379">
        <f>SUM('21 Oct Mon'!BT140:BT150,'22 Oct Tues'!BT140:BT150,'23 Oct Wed'!BT140:BT150,'24 Oct Thurs'!BT140:BT150,'25 Oct Fri'!BT140:BT150,'26 Oct Sat'!BT140:BT150)</f>
        <v>0</v>
      </c>
      <c r="AW140" s="379">
        <f>SUM('21 Oct Mon'!BU140:BU150,'22 Oct Tues'!BU140:BU150,'23 Oct Wed'!BU140:BU150,'24 Oct Thurs'!BU140:BU150,'25 Oct Fri'!BU140:BU150,'26 Oct Sat'!BU140:BU150)</f>
        <v>0</v>
      </c>
      <c r="AX140" s="382">
        <f>SUM('21 Oct Mon'!BV140:BV150,'22 Oct Tues'!BV140:BV150,'23 Oct Wed'!BV140:BV150,'24 Oct Thurs'!BV140:BV150,'25 Oct Fri'!BV140:BV150,'26 Oct Sat'!BV140:BV150)</f>
        <v>0</v>
      </c>
      <c r="AY140" s="379">
        <f>SUM('21 Oct Mon'!BW140:BW150,'22 Oct Tues'!BW140:BW150,'23 Oct Wed'!BW140:BW150,'24 Oct Thurs'!BW140:BW150,'25 Oct Fri'!BW140:BW150,'26 Oct Sat'!BW140:BW150)</f>
        <v>0</v>
      </c>
      <c r="AZ140" s="385">
        <f>SUM('21 Oct Mon'!BX140:BX150,'22 Oct Tues'!BX140:BX150,'23 Oct Wed'!BX140:BX150,'24 Oct Thurs'!BX140:BX150,'25 Oct Fri'!BX140:BX150,'26 Oct Sat'!BX140:BX150)</f>
        <v>0</v>
      </c>
      <c r="BA140" s="386">
        <f>SUM('21 Oct Mon'!BY140:BY150,'22 Oct Tues'!BY140:BY150,'23 Oct Wed'!BY140:BY150,'24 Oct Thurs'!BY140:BY150,'25 Oct Fri'!BY140:BY150,'26 Oct Sat'!BY140:BY150)</f>
        <v>0</v>
      </c>
      <c r="BB140" s="386">
        <f>SUM('21 Oct Mon'!BZ140:BZ150,'22 Oct Tues'!BZ140:BZ150,'23 Oct Wed'!BZ140:BZ150,'24 Oct Thurs'!BZ140:BZ150,'25 Oct Fri'!BZ140:BZ150,'26 Oct Sat'!BZ140:BZ150)</f>
        <v>0</v>
      </c>
      <c r="BC140" s="386">
        <f>SUM('21 Oct Mon'!CA140:CA150,'22 Oct Tues'!CA140:CA150,'23 Oct Wed'!CA140:CA150,'24 Oct Thurs'!CA140:CA150,'25 Oct Fri'!CA140:CA150,'26 Oct Sat'!CA140:CA150)</f>
        <v>0</v>
      </c>
      <c r="BD140" s="386">
        <f>SUM('21 Oct Mon'!CB140:CB150,'22 Oct Tues'!CB140:CB150,'23 Oct Wed'!CB140:CB150,'24 Oct Thurs'!CB140:CB150,'25 Oct Fri'!CB140:CB150,'26 Oct Sat'!CB140:CB150)</f>
        <v>0</v>
      </c>
      <c r="BE140" s="386">
        <f>SUM('21 Oct Mon'!CC140:CC150,'22 Oct Tues'!CC140:CC150,'23 Oct Wed'!CC140:CC150,'24 Oct Thurs'!CC140:CC150,'25 Oct Fri'!CC140:CC150,'26 Oct Sat'!CC140:CC150)</f>
        <v>0</v>
      </c>
      <c r="BF140" s="386" t="str">
        <f>CONCATENATE("Mon-",'21 Oct Mon'!CD140:CD150,",Tues-",'22 Oct Tues'!CD140:CD150,",Wed-",'23 Oct Wed'!CD140:CD150,",Thurs-",'24 Oct Thurs'!CD140:CD150,",Fri-",'25 Oct Fri'!CD140:CD150,",Sat-",'26 Oct Sat'!CD140:CD150)</f>
        <v>Mon-,Tues-,Wed-,Thurs-,Fri-,Sat-</v>
      </c>
      <c r="BG140" s="388">
        <f>SUM('21 Oct Mon'!CE140:CE150,'22 Oct Tues'!CE140:CE150,'23 Oct Wed'!CE140:CE150,'24 Oct Thurs'!CE140:CE150,'25 Oct Fri'!CE140:CE150,'26 Oct Sat'!CE140:CE150)</f>
        <v>0</v>
      </c>
      <c r="BH140" s="389" t="str">
        <f>CONCATENATE("Mon-",'21 Oct Mon'!CF140:CF150,",Tues-",'22 Oct Tues'!CF140:CF150,",Wed-",'23 Oct Wed'!CF140:CF150,",Thurs-",'24 Oct Thurs'!CF140:CF150,",Fri-",'25 Oct Fri'!CF140:CF150,",Sat-",'26 Oct Sat'!CF140:CF150)</f>
        <v>Mon-Done Supervision in PS Exam ( 10:30 AM to 11:45 AM ),Tues-,Wed-,Thurs-,Fri-,Sat-Done Supervision in TY EA Sem-V exam on 26-10-24 (11:00 AM to 2:00 PM)</v>
      </c>
      <c r="BI140" s="383">
        <f>SUM('21 Oct Mon'!CG140:CG150,'22 Oct Tues'!CG140:CG150,'23 Oct Wed'!CG140:CG150,'24 Oct Thurs'!CG140:CG150,'25 Oct Fri'!CG140:CG150,'26 Oct Sat'!CG140:CG150)</f>
        <v>4.25</v>
      </c>
      <c r="BJ140" s="382">
        <f>SUM('21 Oct Mon'!CH140:CH150,'22 Oct Tues'!CH140:CH150,'23 Oct Wed'!CH140:CH150,'24 Oct Thurs'!CH140:CH150,'25 Oct Fri'!CH140:CH150,'26 Oct Sat'!CH140:CH150)</f>
        <v>0</v>
      </c>
      <c r="BK140" s="384">
        <f>SUM('21 Oct Mon'!CI140:CI150,'22 Oct Tues'!CI140:CI150,'23 Oct Wed'!CI140:CI150,'24 Oct Thurs'!CI140:CI150,'25 Oct Fri'!CI140:CI150,'26 Oct Sat'!CI140:CI150)</f>
        <v>0</v>
      </c>
      <c r="BL140" s="382" t="str">
        <f>CONCATENATE("Mon-",'21 Oct Mon'!CJ140:CJ150,",Tues-",'22 Oct Tues'!CJ140:CJ150,",Wed-",'23 Oct Wed'!CJ140:CJ150,",Thurs-",'24 Oct Thurs'!CJ140:CJ150,",Fri-",'25 Oct Fri'!CJ140:CJ150,",Sat-",'26 Oct Sat'!CJ140:CJ150)</f>
        <v>Mon-,Tues-,Wed-,Thurs-,Fri-,Sat-</v>
      </c>
      <c r="BM140" s="384">
        <f>SUM('21 Oct Mon'!CK140:CK150,'22 Oct Tues'!CK140:CK150,'23 Oct Wed'!CK140:CK150,'24 Oct Thurs'!CK140:CK150,'25 Oct Fri'!CK140:CK150,'26 Oct Sat'!CK140:CK150)</f>
        <v>0</v>
      </c>
      <c r="BN140" s="382" t="str">
        <f>CONCATENATE("Mon-",'21 Oct Mon'!CL140:CL150,",Tues-",'22 Oct Tues'!CL140:CL150,",Wed-",'23 Oct Wed'!CL140:CL150,",Thurs-",'24 Oct Thurs'!CL140:CL150,",Fri-",'25 Oct Fri'!CL140:CL150,",Sat-",'26 Oct Sat'!CL140:CL150)</f>
        <v>Mon-,Tues-,Wed-,Thurs-,Fri-,Sat-</v>
      </c>
      <c r="BO140" s="384">
        <f>SUM('21 Oct Mon'!CM140:CM150,'22 Oct Tues'!CM140:CM150,'23 Oct Wed'!CM140:CM150,'24 Oct Thurs'!CM140:CM150,'25 Oct Fri'!CM140:CM150,'26 Oct Sat'!CM140:CM150)</f>
        <v>0</v>
      </c>
      <c r="BP140" s="385" t="str">
        <f>CONCATENATE("Mon-",'21 Oct Mon'!CN140:CN150,",Tues-",'22 Oct Tues'!CN140:CN150,",Wed-",'23 Oct Wed'!CN140:CN150,",Thurs-",'24 Oct Thurs'!CN140:CN150,",Fri-",'25 Oct Fri'!CN140:CN150,",Sat-",'26 Oct Sat'!CN140:CN150)</f>
        <v>Mon-,Tues-,Wed-,Thurs-,Fri-,Sat-</v>
      </c>
      <c r="BQ140" s="387">
        <f>SUM('21 Oct Mon'!CO140:CO150,'22 Oct Tues'!CO140:CO150,'23 Oct Wed'!CO140:CO150,'24 Oct Thurs'!CO140:CO150,'25 Oct Fri'!CO140:CO150,'26 Oct Sat'!CO140:CO150)</f>
        <v>0</v>
      </c>
      <c r="BR140" s="379" t="str">
        <f>CONCATENATE("Mon-",'21 Oct Mon'!CP140:CP150,",Tues-",'22 Oct Tues'!CP140:CP150,",Wed-",'23 Oct Wed'!CP140:CP150,",Thurs-",'24 Oct Thurs'!CP140:CP150,",Fri-",'25 Oct Fri'!CP140:CP150,",Sat-",'26 Oct Sat'!CP140:CP150)</f>
        <v>Mon-,Tues-,Wed-,Thurs-,Fri-,Sat-</v>
      </c>
      <c r="BS140" s="390">
        <f>SUM('21 Oct Mon'!CQ140:CQ150,'22 Oct Tues'!CQ140:CQ150,'23 Oct Wed'!CQ140:CQ150,'24 Oct Thurs'!CQ140:CQ150,'25 Oct Fri'!CQ140:CQ150,'26 Oct Sat'!CQ140:CQ150)</f>
        <v>0</v>
      </c>
      <c r="BT140" s="390">
        <f>SUM('21 Oct Mon'!CR140:CR150,'22 Oct Tues'!CR140:CR150,'23 Oct Wed'!CR140:CR150,'24 Oct Thurs'!CR140:CR150,'25 Oct Fri'!CR140:CR150,'26 Oct Sat'!CR140:CR150)</f>
        <v>0</v>
      </c>
      <c r="BU140" s="391">
        <f>SUM('21 Oct Mon'!CS140:CS150,'22 Oct Tues'!CS140:CS150,'23 Oct Wed'!CS140:CS150,'24 Oct Thurs'!CS140:CS150,'25 Oct Fri'!CS140:CS150,'26 Oct Sat'!CS140:CS150)</f>
        <v>0</v>
      </c>
      <c r="BV140" s="392">
        <f>SUM('21 Oct Mon'!CT140:CT150,'22 Oct Tues'!CT140:CT150,'23 Oct Wed'!CT140:CT150,'24 Oct Thurs'!CT140:CT150,'25 Oct Fri'!CT140:CT150,'26 Oct Sat'!CT140:CT150)</f>
        <v>3.416666667</v>
      </c>
      <c r="BW140" s="393" t="str">
        <f>LEFT(U140,FIND("(",U140,1)-2)</f>
        <v>0</v>
      </c>
      <c r="BX140" s="394"/>
    </row>
    <row r="141" ht="53.25" customHeight="1">
      <c r="A141" s="177"/>
      <c r="C141" s="205" t="s">
        <v>200</v>
      </c>
      <c r="D141" s="395"/>
      <c r="E141" s="396"/>
      <c r="F141" s="396"/>
      <c r="G141" s="396"/>
      <c r="H141" s="396"/>
      <c r="I141" s="396"/>
      <c r="J141" s="397"/>
      <c r="K141" s="398">
        <f t="shared" si="1"/>
        <v>0</v>
      </c>
      <c r="L141" s="173"/>
      <c r="M141" s="173"/>
      <c r="N141" s="177"/>
      <c r="O141" s="178"/>
      <c r="P141" s="178"/>
      <c r="Q141" s="178"/>
      <c r="R141" s="178"/>
      <c r="S141" s="182"/>
      <c r="T141" s="65"/>
      <c r="U141" s="64"/>
      <c r="V141" s="66"/>
      <c r="W141" s="173"/>
      <c r="X141" s="173"/>
      <c r="Y141" s="65"/>
      <c r="Z141" s="65"/>
      <c r="AA141" s="65"/>
      <c r="AB141" s="65"/>
      <c r="AC141" s="173"/>
      <c r="AD141" s="166"/>
      <c r="AE141" s="166"/>
      <c r="AF141" s="166"/>
      <c r="AG141" s="166"/>
      <c r="AH141" s="65"/>
      <c r="AJ141" s="177"/>
      <c r="AK141" s="178"/>
      <c r="AL141" s="181"/>
      <c r="AM141" s="166"/>
      <c r="AN141" s="166"/>
      <c r="AO141" s="177"/>
      <c r="AP141" s="178"/>
      <c r="AQ141" s="181"/>
      <c r="AR141" s="166"/>
      <c r="AS141" s="166"/>
      <c r="AT141" s="177"/>
      <c r="AU141" s="181"/>
      <c r="AV141" s="166"/>
      <c r="AW141" s="166"/>
      <c r="AX141" s="177"/>
      <c r="AY141" s="166"/>
      <c r="AZ141" s="177"/>
      <c r="BA141" s="178"/>
      <c r="BB141" s="178"/>
      <c r="BC141" s="178"/>
      <c r="BD141" s="178"/>
      <c r="BE141" s="178"/>
      <c r="BF141" s="178"/>
      <c r="BG141" s="179"/>
      <c r="BH141" s="180"/>
      <c r="BI141" s="178"/>
      <c r="BJ141" s="177"/>
      <c r="BK141" s="181"/>
      <c r="BL141" s="177"/>
      <c r="BM141" s="181"/>
      <c r="BN141" s="177"/>
      <c r="BO141" s="181"/>
      <c r="BP141" s="177"/>
      <c r="BQ141" s="181"/>
      <c r="BR141" s="166"/>
      <c r="BS141" s="166"/>
      <c r="BT141" s="166"/>
      <c r="BU141" s="65"/>
      <c r="BW141" s="178"/>
      <c r="BX141" s="399"/>
    </row>
    <row r="142" ht="60.75" customHeight="1">
      <c r="A142" s="177"/>
      <c r="C142" s="205" t="s">
        <v>200</v>
      </c>
      <c r="D142" s="395"/>
      <c r="E142" s="396"/>
      <c r="F142" s="396"/>
      <c r="G142" s="396"/>
      <c r="H142" s="396"/>
      <c r="I142" s="396"/>
      <c r="J142" s="397"/>
      <c r="K142" s="398">
        <f t="shared" si="1"/>
        <v>0</v>
      </c>
      <c r="L142" s="173"/>
      <c r="M142" s="173"/>
      <c r="N142" s="177"/>
      <c r="O142" s="178"/>
      <c r="P142" s="178"/>
      <c r="Q142" s="178"/>
      <c r="R142" s="178"/>
      <c r="S142" s="182"/>
      <c r="T142" s="65"/>
      <c r="U142" s="64"/>
      <c r="V142" s="66"/>
      <c r="W142" s="173"/>
      <c r="X142" s="173"/>
      <c r="Y142" s="65"/>
      <c r="Z142" s="65"/>
      <c r="AA142" s="65"/>
      <c r="AB142" s="65"/>
      <c r="AC142" s="173"/>
      <c r="AD142" s="166"/>
      <c r="AE142" s="166"/>
      <c r="AF142" s="166"/>
      <c r="AG142" s="166"/>
      <c r="AH142" s="65"/>
      <c r="AJ142" s="177"/>
      <c r="AK142" s="178"/>
      <c r="AL142" s="181"/>
      <c r="AM142" s="166"/>
      <c r="AN142" s="166"/>
      <c r="AO142" s="177"/>
      <c r="AP142" s="178"/>
      <c r="AQ142" s="181"/>
      <c r="AR142" s="166"/>
      <c r="AS142" s="166"/>
      <c r="AT142" s="177"/>
      <c r="AU142" s="181"/>
      <c r="AV142" s="166"/>
      <c r="AW142" s="166"/>
      <c r="AX142" s="177"/>
      <c r="AY142" s="166"/>
      <c r="AZ142" s="177"/>
      <c r="BA142" s="178"/>
      <c r="BB142" s="178"/>
      <c r="BC142" s="178"/>
      <c r="BD142" s="178"/>
      <c r="BE142" s="178"/>
      <c r="BF142" s="178"/>
      <c r="BG142" s="179"/>
      <c r="BH142" s="180"/>
      <c r="BI142" s="178"/>
      <c r="BJ142" s="177"/>
      <c r="BK142" s="181"/>
      <c r="BL142" s="177"/>
      <c r="BM142" s="181"/>
      <c r="BN142" s="177"/>
      <c r="BO142" s="181"/>
      <c r="BP142" s="177"/>
      <c r="BQ142" s="181"/>
      <c r="BR142" s="166"/>
      <c r="BS142" s="166"/>
      <c r="BT142" s="166"/>
      <c r="BU142" s="65"/>
      <c r="BW142" s="178"/>
      <c r="BX142" s="399"/>
    </row>
    <row r="143" ht="57.0" customHeight="1">
      <c r="A143" s="177"/>
      <c r="C143" s="205" t="s">
        <v>200</v>
      </c>
      <c r="D143" s="395"/>
      <c r="E143" s="396"/>
      <c r="F143" s="396"/>
      <c r="G143" s="396"/>
      <c r="H143" s="396"/>
      <c r="I143" s="396"/>
      <c r="J143" s="397"/>
      <c r="K143" s="398">
        <f t="shared" si="1"/>
        <v>0</v>
      </c>
      <c r="L143" s="173"/>
      <c r="M143" s="173"/>
      <c r="N143" s="177"/>
      <c r="O143" s="178"/>
      <c r="P143" s="178"/>
      <c r="Q143" s="178"/>
      <c r="R143" s="178"/>
      <c r="S143" s="182"/>
      <c r="T143" s="65"/>
      <c r="U143" s="64"/>
      <c r="V143" s="66"/>
      <c r="W143" s="173"/>
      <c r="X143" s="173"/>
      <c r="Y143" s="65"/>
      <c r="Z143" s="65"/>
      <c r="AA143" s="65"/>
      <c r="AB143" s="65"/>
      <c r="AC143" s="173"/>
      <c r="AD143" s="166"/>
      <c r="AE143" s="166"/>
      <c r="AF143" s="166"/>
      <c r="AG143" s="166"/>
      <c r="AH143" s="65"/>
      <c r="AJ143" s="177"/>
      <c r="AK143" s="178"/>
      <c r="AL143" s="181"/>
      <c r="AM143" s="166"/>
      <c r="AN143" s="166"/>
      <c r="AO143" s="177"/>
      <c r="AP143" s="178"/>
      <c r="AQ143" s="181"/>
      <c r="AR143" s="166"/>
      <c r="AS143" s="166"/>
      <c r="AT143" s="177"/>
      <c r="AU143" s="181"/>
      <c r="AV143" s="166"/>
      <c r="AW143" s="166"/>
      <c r="AX143" s="177"/>
      <c r="AY143" s="166"/>
      <c r="AZ143" s="177"/>
      <c r="BA143" s="178"/>
      <c r="BB143" s="178"/>
      <c r="BC143" s="178"/>
      <c r="BD143" s="178"/>
      <c r="BE143" s="178"/>
      <c r="BF143" s="178"/>
      <c r="BG143" s="179"/>
      <c r="BH143" s="180"/>
      <c r="BI143" s="178"/>
      <c r="BJ143" s="177"/>
      <c r="BK143" s="181"/>
      <c r="BL143" s="177"/>
      <c r="BM143" s="181"/>
      <c r="BN143" s="177"/>
      <c r="BO143" s="181"/>
      <c r="BP143" s="177"/>
      <c r="BQ143" s="181"/>
      <c r="BR143" s="166"/>
      <c r="BS143" s="166"/>
      <c r="BT143" s="166"/>
      <c r="BU143" s="65"/>
      <c r="BW143" s="178"/>
      <c r="BX143" s="399"/>
    </row>
    <row r="144" ht="60.75" customHeight="1">
      <c r="A144" s="177"/>
      <c r="C144" s="205" t="s">
        <v>200</v>
      </c>
      <c r="D144" s="395"/>
      <c r="E144" s="396"/>
      <c r="F144" s="396"/>
      <c r="G144" s="396"/>
      <c r="H144" s="396"/>
      <c r="I144" s="396"/>
      <c r="J144" s="397"/>
      <c r="K144" s="398">
        <f t="shared" si="1"/>
        <v>0</v>
      </c>
      <c r="L144" s="173"/>
      <c r="M144" s="173"/>
      <c r="N144" s="177"/>
      <c r="O144" s="178"/>
      <c r="P144" s="178"/>
      <c r="Q144" s="178"/>
      <c r="R144" s="178"/>
      <c r="S144" s="182"/>
      <c r="T144" s="65"/>
      <c r="U144" s="64"/>
      <c r="V144" s="66"/>
      <c r="W144" s="173"/>
      <c r="X144" s="173"/>
      <c r="Y144" s="65"/>
      <c r="Z144" s="65"/>
      <c r="AA144" s="65"/>
      <c r="AB144" s="65"/>
      <c r="AC144" s="173"/>
      <c r="AD144" s="166"/>
      <c r="AE144" s="166"/>
      <c r="AF144" s="166"/>
      <c r="AG144" s="166"/>
      <c r="AH144" s="65"/>
      <c r="AJ144" s="177"/>
      <c r="AK144" s="178"/>
      <c r="AL144" s="181"/>
      <c r="AM144" s="166"/>
      <c r="AN144" s="166"/>
      <c r="AO144" s="177"/>
      <c r="AP144" s="178"/>
      <c r="AQ144" s="181"/>
      <c r="AR144" s="166"/>
      <c r="AS144" s="166"/>
      <c r="AT144" s="177"/>
      <c r="AU144" s="181"/>
      <c r="AV144" s="166"/>
      <c r="AW144" s="166"/>
      <c r="AX144" s="177"/>
      <c r="AY144" s="166"/>
      <c r="AZ144" s="177"/>
      <c r="BA144" s="178"/>
      <c r="BB144" s="178"/>
      <c r="BC144" s="178"/>
      <c r="BD144" s="178"/>
      <c r="BE144" s="178"/>
      <c r="BF144" s="178"/>
      <c r="BG144" s="179"/>
      <c r="BH144" s="180"/>
      <c r="BI144" s="178"/>
      <c r="BJ144" s="177"/>
      <c r="BK144" s="181"/>
      <c r="BL144" s="177"/>
      <c r="BM144" s="181"/>
      <c r="BN144" s="177"/>
      <c r="BO144" s="181"/>
      <c r="BP144" s="177"/>
      <c r="BQ144" s="181"/>
      <c r="BR144" s="166"/>
      <c r="BS144" s="166"/>
      <c r="BT144" s="166"/>
      <c r="BU144" s="65"/>
      <c r="BW144" s="178"/>
      <c r="BX144" s="399"/>
    </row>
    <row r="145" ht="68.25" customHeight="1">
      <c r="A145" s="177"/>
      <c r="C145" s="205" t="s">
        <v>200</v>
      </c>
      <c r="D145" s="395"/>
      <c r="E145" s="396"/>
      <c r="F145" s="396"/>
      <c r="G145" s="396"/>
      <c r="H145" s="396"/>
      <c r="I145" s="396"/>
      <c r="J145" s="397"/>
      <c r="K145" s="398">
        <f t="shared" si="1"/>
        <v>0</v>
      </c>
      <c r="L145" s="173"/>
      <c r="M145" s="173"/>
      <c r="N145" s="177"/>
      <c r="O145" s="178"/>
      <c r="P145" s="178"/>
      <c r="Q145" s="178"/>
      <c r="R145" s="178"/>
      <c r="S145" s="182"/>
      <c r="T145" s="65"/>
      <c r="U145" s="64"/>
      <c r="V145" s="66"/>
      <c r="W145" s="173"/>
      <c r="X145" s="173"/>
      <c r="Y145" s="65"/>
      <c r="Z145" s="65"/>
      <c r="AA145" s="65"/>
      <c r="AB145" s="65"/>
      <c r="AC145" s="173"/>
      <c r="AD145" s="166"/>
      <c r="AE145" s="166"/>
      <c r="AF145" s="166"/>
      <c r="AG145" s="166"/>
      <c r="AH145" s="65"/>
      <c r="AJ145" s="177"/>
      <c r="AK145" s="178"/>
      <c r="AL145" s="181"/>
      <c r="AM145" s="166"/>
      <c r="AN145" s="166"/>
      <c r="AO145" s="177"/>
      <c r="AP145" s="178"/>
      <c r="AQ145" s="181"/>
      <c r="AR145" s="166"/>
      <c r="AS145" s="166"/>
      <c r="AT145" s="177"/>
      <c r="AU145" s="181"/>
      <c r="AV145" s="166"/>
      <c r="AW145" s="166"/>
      <c r="AX145" s="177"/>
      <c r="AY145" s="166"/>
      <c r="AZ145" s="177"/>
      <c r="BA145" s="178"/>
      <c r="BB145" s="178"/>
      <c r="BC145" s="178"/>
      <c r="BD145" s="178"/>
      <c r="BE145" s="178"/>
      <c r="BF145" s="178"/>
      <c r="BG145" s="179"/>
      <c r="BH145" s="180"/>
      <c r="BI145" s="178"/>
      <c r="BJ145" s="177"/>
      <c r="BK145" s="181"/>
      <c r="BL145" s="177"/>
      <c r="BM145" s="181"/>
      <c r="BN145" s="177"/>
      <c r="BO145" s="181"/>
      <c r="BP145" s="177"/>
      <c r="BQ145" s="181"/>
      <c r="BR145" s="166"/>
      <c r="BS145" s="166"/>
      <c r="BT145" s="166"/>
      <c r="BU145" s="65"/>
      <c r="BW145" s="178"/>
      <c r="BX145" s="399"/>
    </row>
    <row r="146" ht="49.5" customHeight="1">
      <c r="A146" s="177"/>
      <c r="C146" s="205" t="s">
        <v>200</v>
      </c>
      <c r="D146" s="395"/>
      <c r="E146" s="396"/>
      <c r="F146" s="396"/>
      <c r="G146" s="396"/>
      <c r="H146" s="396"/>
      <c r="I146" s="396"/>
      <c r="J146" s="397"/>
      <c r="K146" s="398">
        <f t="shared" si="1"/>
        <v>0</v>
      </c>
      <c r="L146" s="173"/>
      <c r="M146" s="173"/>
      <c r="N146" s="177"/>
      <c r="O146" s="178"/>
      <c r="P146" s="178"/>
      <c r="Q146" s="178"/>
      <c r="R146" s="178"/>
      <c r="S146" s="182"/>
      <c r="T146" s="65"/>
      <c r="U146" s="64"/>
      <c r="V146" s="66"/>
      <c r="W146" s="173"/>
      <c r="X146" s="173"/>
      <c r="Y146" s="65"/>
      <c r="Z146" s="65"/>
      <c r="AA146" s="65"/>
      <c r="AB146" s="65"/>
      <c r="AC146" s="173"/>
      <c r="AD146" s="166"/>
      <c r="AE146" s="166"/>
      <c r="AF146" s="166"/>
      <c r="AG146" s="166"/>
      <c r="AH146" s="65"/>
      <c r="AJ146" s="177"/>
      <c r="AK146" s="178"/>
      <c r="AL146" s="181"/>
      <c r="AM146" s="166"/>
      <c r="AN146" s="166"/>
      <c r="AO146" s="177"/>
      <c r="AP146" s="178"/>
      <c r="AQ146" s="181"/>
      <c r="AR146" s="166"/>
      <c r="AS146" s="166"/>
      <c r="AT146" s="177"/>
      <c r="AU146" s="181"/>
      <c r="AV146" s="166"/>
      <c r="AW146" s="166"/>
      <c r="AX146" s="177"/>
      <c r="AY146" s="166"/>
      <c r="AZ146" s="177"/>
      <c r="BA146" s="178"/>
      <c r="BB146" s="178"/>
      <c r="BC146" s="178"/>
      <c r="BD146" s="178"/>
      <c r="BE146" s="178"/>
      <c r="BF146" s="178"/>
      <c r="BG146" s="179"/>
      <c r="BH146" s="180"/>
      <c r="BI146" s="178"/>
      <c r="BJ146" s="177"/>
      <c r="BK146" s="181"/>
      <c r="BL146" s="177"/>
      <c r="BM146" s="181"/>
      <c r="BN146" s="177"/>
      <c r="BO146" s="181"/>
      <c r="BP146" s="177"/>
      <c r="BQ146" s="181"/>
      <c r="BR146" s="166"/>
      <c r="BS146" s="166"/>
      <c r="BT146" s="166"/>
      <c r="BU146" s="65"/>
      <c r="BW146" s="178"/>
      <c r="BX146" s="399"/>
    </row>
    <row r="147" ht="60.75" customHeight="1">
      <c r="A147" s="177"/>
      <c r="C147" s="205" t="s">
        <v>200</v>
      </c>
      <c r="D147" s="395"/>
      <c r="E147" s="396"/>
      <c r="F147" s="396"/>
      <c r="G147" s="396"/>
      <c r="H147" s="396"/>
      <c r="I147" s="396"/>
      <c r="J147" s="397"/>
      <c r="K147" s="398">
        <f t="shared" si="1"/>
        <v>0</v>
      </c>
      <c r="L147" s="173"/>
      <c r="M147" s="173"/>
      <c r="N147" s="177"/>
      <c r="O147" s="178"/>
      <c r="P147" s="178"/>
      <c r="Q147" s="178"/>
      <c r="R147" s="178"/>
      <c r="S147" s="182"/>
      <c r="T147" s="65"/>
      <c r="U147" s="64"/>
      <c r="V147" s="66"/>
      <c r="W147" s="173"/>
      <c r="X147" s="173"/>
      <c r="Y147" s="65"/>
      <c r="Z147" s="65"/>
      <c r="AA147" s="65"/>
      <c r="AB147" s="65"/>
      <c r="AC147" s="173"/>
      <c r="AD147" s="166"/>
      <c r="AE147" s="166"/>
      <c r="AF147" s="166"/>
      <c r="AG147" s="166"/>
      <c r="AH147" s="65"/>
      <c r="AJ147" s="177"/>
      <c r="AK147" s="178"/>
      <c r="AL147" s="181"/>
      <c r="AM147" s="166"/>
      <c r="AN147" s="166"/>
      <c r="AO147" s="177"/>
      <c r="AP147" s="178"/>
      <c r="AQ147" s="181"/>
      <c r="AR147" s="166"/>
      <c r="AS147" s="166"/>
      <c r="AT147" s="177"/>
      <c r="AU147" s="181"/>
      <c r="AV147" s="166"/>
      <c r="AW147" s="166"/>
      <c r="AX147" s="177"/>
      <c r="AY147" s="166"/>
      <c r="AZ147" s="177"/>
      <c r="BA147" s="178"/>
      <c r="BB147" s="178"/>
      <c r="BC147" s="178"/>
      <c r="BD147" s="178"/>
      <c r="BE147" s="178"/>
      <c r="BF147" s="178"/>
      <c r="BG147" s="179"/>
      <c r="BH147" s="180"/>
      <c r="BI147" s="178"/>
      <c r="BJ147" s="177"/>
      <c r="BK147" s="181"/>
      <c r="BL147" s="177"/>
      <c r="BM147" s="181"/>
      <c r="BN147" s="177"/>
      <c r="BO147" s="181"/>
      <c r="BP147" s="177"/>
      <c r="BQ147" s="181"/>
      <c r="BR147" s="166"/>
      <c r="BS147" s="166"/>
      <c r="BT147" s="166"/>
      <c r="BU147" s="65"/>
      <c r="BW147" s="178"/>
      <c r="BX147" s="399"/>
    </row>
    <row r="148" ht="72.0" customHeight="1">
      <c r="A148" s="177"/>
      <c r="C148" s="205" t="s">
        <v>200</v>
      </c>
      <c r="D148" s="395"/>
      <c r="E148" s="396"/>
      <c r="F148" s="396"/>
      <c r="G148" s="396"/>
      <c r="H148" s="396"/>
      <c r="I148" s="396"/>
      <c r="J148" s="397"/>
      <c r="K148" s="398">
        <f t="shared" si="1"/>
        <v>0</v>
      </c>
      <c r="L148" s="173"/>
      <c r="M148" s="173"/>
      <c r="N148" s="177"/>
      <c r="O148" s="178"/>
      <c r="P148" s="178"/>
      <c r="Q148" s="178"/>
      <c r="R148" s="178"/>
      <c r="S148" s="182"/>
      <c r="T148" s="65"/>
      <c r="U148" s="64"/>
      <c r="V148" s="66"/>
      <c r="W148" s="173"/>
      <c r="X148" s="173"/>
      <c r="Y148" s="65"/>
      <c r="Z148" s="65"/>
      <c r="AA148" s="65"/>
      <c r="AB148" s="65"/>
      <c r="AC148" s="173"/>
      <c r="AD148" s="166"/>
      <c r="AE148" s="166"/>
      <c r="AF148" s="166"/>
      <c r="AG148" s="166"/>
      <c r="AH148" s="65"/>
      <c r="AJ148" s="177"/>
      <c r="AK148" s="178"/>
      <c r="AL148" s="181"/>
      <c r="AM148" s="166"/>
      <c r="AN148" s="166"/>
      <c r="AO148" s="177"/>
      <c r="AP148" s="178"/>
      <c r="AQ148" s="181"/>
      <c r="AR148" s="166"/>
      <c r="AS148" s="166"/>
      <c r="AT148" s="177"/>
      <c r="AU148" s="181"/>
      <c r="AV148" s="166"/>
      <c r="AW148" s="166"/>
      <c r="AX148" s="177"/>
      <c r="AY148" s="166"/>
      <c r="AZ148" s="177"/>
      <c r="BA148" s="178"/>
      <c r="BB148" s="178"/>
      <c r="BC148" s="178"/>
      <c r="BD148" s="178"/>
      <c r="BE148" s="178"/>
      <c r="BF148" s="178"/>
      <c r="BG148" s="179"/>
      <c r="BH148" s="180"/>
      <c r="BI148" s="178"/>
      <c r="BJ148" s="177"/>
      <c r="BK148" s="181"/>
      <c r="BL148" s="177"/>
      <c r="BM148" s="181"/>
      <c r="BN148" s="177"/>
      <c r="BO148" s="181"/>
      <c r="BP148" s="177"/>
      <c r="BQ148" s="181"/>
      <c r="BR148" s="166"/>
      <c r="BS148" s="166"/>
      <c r="BT148" s="166"/>
      <c r="BU148" s="65"/>
      <c r="BW148" s="178"/>
      <c r="BX148" s="399"/>
    </row>
    <row r="149" ht="64.5" customHeight="1">
      <c r="A149" s="177"/>
      <c r="C149" s="205" t="s">
        <v>200</v>
      </c>
      <c r="D149" s="395"/>
      <c r="E149" s="396"/>
      <c r="F149" s="396"/>
      <c r="G149" s="396"/>
      <c r="H149" s="396"/>
      <c r="I149" s="396"/>
      <c r="J149" s="397"/>
      <c r="K149" s="398">
        <f t="shared" si="1"/>
        <v>0</v>
      </c>
      <c r="L149" s="173"/>
      <c r="M149" s="173"/>
      <c r="N149" s="177"/>
      <c r="O149" s="178"/>
      <c r="P149" s="178"/>
      <c r="Q149" s="178"/>
      <c r="R149" s="178"/>
      <c r="S149" s="182"/>
      <c r="T149" s="65"/>
      <c r="U149" s="64"/>
      <c r="V149" s="66"/>
      <c r="W149" s="173"/>
      <c r="X149" s="173"/>
      <c r="Y149" s="65"/>
      <c r="Z149" s="65"/>
      <c r="AA149" s="65"/>
      <c r="AB149" s="65"/>
      <c r="AC149" s="173"/>
      <c r="AD149" s="166"/>
      <c r="AE149" s="166"/>
      <c r="AF149" s="166"/>
      <c r="AG149" s="166"/>
      <c r="AH149" s="65"/>
      <c r="AJ149" s="177"/>
      <c r="AK149" s="178"/>
      <c r="AL149" s="181"/>
      <c r="AM149" s="166"/>
      <c r="AN149" s="166"/>
      <c r="AO149" s="177"/>
      <c r="AP149" s="178"/>
      <c r="AQ149" s="181"/>
      <c r="AR149" s="166"/>
      <c r="AS149" s="166"/>
      <c r="AT149" s="177"/>
      <c r="AU149" s="181"/>
      <c r="AV149" s="166"/>
      <c r="AW149" s="166"/>
      <c r="AX149" s="177"/>
      <c r="AY149" s="166"/>
      <c r="AZ149" s="177"/>
      <c r="BA149" s="178"/>
      <c r="BB149" s="178"/>
      <c r="BC149" s="178"/>
      <c r="BD149" s="178"/>
      <c r="BE149" s="178"/>
      <c r="BF149" s="178"/>
      <c r="BG149" s="179"/>
      <c r="BH149" s="180"/>
      <c r="BI149" s="178"/>
      <c r="BJ149" s="177"/>
      <c r="BK149" s="181"/>
      <c r="BL149" s="177"/>
      <c r="BM149" s="181"/>
      <c r="BN149" s="177"/>
      <c r="BO149" s="181"/>
      <c r="BP149" s="177"/>
      <c r="BQ149" s="181"/>
      <c r="BR149" s="166"/>
      <c r="BS149" s="166"/>
      <c r="BT149" s="166"/>
      <c r="BU149" s="65"/>
      <c r="BW149" s="178"/>
      <c r="BX149" s="399"/>
    </row>
    <row r="150" ht="72.0" customHeight="1">
      <c r="A150" s="192"/>
      <c r="B150" s="6"/>
      <c r="C150" s="210" t="s">
        <v>200</v>
      </c>
      <c r="D150" s="400"/>
      <c r="E150" s="401"/>
      <c r="F150" s="401"/>
      <c r="G150" s="401"/>
      <c r="H150" s="401"/>
      <c r="I150" s="401"/>
      <c r="J150" s="402"/>
      <c r="K150" s="403">
        <f t="shared" si="1"/>
        <v>0</v>
      </c>
      <c r="L150" s="69"/>
      <c r="M150" s="69"/>
      <c r="N150" s="192"/>
      <c r="O150" s="193"/>
      <c r="P150" s="193"/>
      <c r="Q150" s="193"/>
      <c r="R150" s="193"/>
      <c r="S150" s="197"/>
      <c r="T150" s="89"/>
      <c r="U150" s="103"/>
      <c r="V150" s="68"/>
      <c r="W150" s="69"/>
      <c r="X150" s="69"/>
      <c r="Y150" s="89"/>
      <c r="Z150" s="89"/>
      <c r="AA150" s="89"/>
      <c r="AB150" s="89"/>
      <c r="AC150" s="69"/>
      <c r="AD150" s="63"/>
      <c r="AE150" s="63"/>
      <c r="AF150" s="63"/>
      <c r="AG150" s="63"/>
      <c r="AH150" s="89"/>
      <c r="AI150" s="6"/>
      <c r="AJ150" s="192"/>
      <c r="AK150" s="193"/>
      <c r="AL150" s="196"/>
      <c r="AM150" s="63"/>
      <c r="AN150" s="63"/>
      <c r="AO150" s="192"/>
      <c r="AP150" s="193"/>
      <c r="AQ150" s="196"/>
      <c r="AR150" s="63"/>
      <c r="AS150" s="63"/>
      <c r="AT150" s="192"/>
      <c r="AU150" s="196"/>
      <c r="AV150" s="63"/>
      <c r="AW150" s="63"/>
      <c r="AX150" s="192"/>
      <c r="AY150" s="63"/>
      <c r="AZ150" s="192"/>
      <c r="BA150" s="193"/>
      <c r="BB150" s="193"/>
      <c r="BC150" s="193"/>
      <c r="BD150" s="193"/>
      <c r="BE150" s="193"/>
      <c r="BF150" s="193"/>
      <c r="BG150" s="194"/>
      <c r="BH150" s="195"/>
      <c r="BI150" s="193"/>
      <c r="BJ150" s="192"/>
      <c r="BK150" s="196"/>
      <c r="BL150" s="192"/>
      <c r="BM150" s="196"/>
      <c r="BN150" s="192"/>
      <c r="BO150" s="196"/>
      <c r="BP150" s="192"/>
      <c r="BQ150" s="196"/>
      <c r="BR150" s="63"/>
      <c r="BS150" s="63"/>
      <c r="BT150" s="63"/>
      <c r="BU150" s="89"/>
      <c r="BV150" s="6"/>
      <c r="BW150" s="198"/>
      <c r="BX150" s="404"/>
    </row>
    <row r="151" ht="61.5" customHeight="1">
      <c r="A151" s="125">
        <v>14.0</v>
      </c>
      <c r="B151" s="426" t="s">
        <v>204</v>
      </c>
      <c r="C151" s="427" t="s">
        <v>205</v>
      </c>
      <c r="D151" s="428"/>
      <c r="E151" s="429"/>
      <c r="F151" s="429"/>
      <c r="G151" s="429"/>
      <c r="H151" s="429"/>
      <c r="I151" s="429"/>
      <c r="J151" s="366"/>
      <c r="K151" s="367">
        <f t="shared" si="1"/>
        <v>0</v>
      </c>
      <c r="L151" s="368">
        <f>SUM(I151:I161)+SUM(K151:K161)*1</f>
        <v>0</v>
      </c>
      <c r="M151" s="368">
        <f>SUM('21 Oct Mon'!Q151:Q161,'22 Oct Tues'!Q151:Q161,'23 Oct Wed'!Q151:Q161,'24 Oct Thurs'!Q151:Q161,'25 Oct Fri'!Q151:Q161,'26 Oct Sat'!Q151:Q161)</f>
        <v>0</v>
      </c>
      <c r="N151" s="369">
        <f>SUM('21 Oct Mon'!R151:R161,'22 Oct Tues'!R151:R161,'23 Oct Wed'!R151:R161,'24 Oct Thurs'!R151:R161,'25 Oct Fri'!R151:R161,'26 Oct Sat'!R151:R161)</f>
        <v>0</v>
      </c>
      <c r="O151" s="370">
        <f>SUM(L151:N161)</f>
        <v>0</v>
      </c>
      <c r="P151" s="370">
        <f>SUM('21 Oct Mon'!T151:T161,'22 Oct Tues'!T151:T161,'23 Oct Wed'!T151:T161,'24 Oct Thurs'!T151:T161,'25 Oct Fri'!T151:T161,'26 Oct Sat'!T151:T161)</f>
        <v>0</v>
      </c>
      <c r="Q151" s="370">
        <f>SUM('21 Oct Mon'!U151:U161,'22 Oct Tues'!U151:U161,'23 Oct Wed'!U151:U161,'24 Oct Thurs'!U151:U161,'25 Oct Fri'!U151:U161,'26 Oct Sat'!U151:U161)</f>
        <v>0</v>
      </c>
      <c r="R151" s="370">
        <f>SUM('21 Oct Mon'!V151:V161,'22 Oct Tues'!V151:V161,'23 Oct Wed'!V151:V161,'24 Oct Thurs'!V151:V161,'25 Oct Fri'!V151:V161,'26 Oct Sat'!V151:V161)</f>
        <v>0</v>
      </c>
      <c r="S151" s="371">
        <f>SUM('21 Oct Mon'!W151:W161,'22 Oct Tues'!W151:W161,'23 Oct Wed'!W151:W161,'24 Oct Thurs'!W151:W161,'25 Oct Fri'!W151:W161,'26 Oct Sat'!W151:W161)</f>
        <v>0</v>
      </c>
      <c r="T151" s="372">
        <f>O151-P151-Q151-R151-S151</f>
        <v>0</v>
      </c>
      <c r="U151" s="373" t="str">
        <f>CONCATENATE(SUM('21 Oct Mon'!O151:O161,'22 Oct Tues'!O151:O161,'23 Oct Wed'!O151:O161,'24 Oct Thurs'!O151:O161,'25 Oct Fri'!O151:O161,'26 Oct Sat'!O151:O161),"
(",(SUM('21 Oct Mon'!O151:O161,'22 Oct Tues'!O151:O161,'23 Oct Wed'!O151:O161,'24 Oct Thurs'!O151:O161,'25 Oct Fri'!O151:O161,'26 Oct Sat'!O151:O161)-T151),")")</f>
        <v>0
(0)</v>
      </c>
      <c r="V151" s="374" t="str">
        <f>CONCATENATE("Mon-",'21 Oct Mon'!Z151:Z161,",Tues-",'22 Oct Tues'!Z151:Z161,",Wed-",'23 Oct Wed'!Z151:Z161,",Thurs-",'24 Oct Thurs'!Z151:Z161,",Fri-",'25 Oct Fri'!Z151:Z161,",Sat-",'26 Oct Sat'!Z151:Z161)</f>
        <v>Mon-,Tues-,Wed-,Thurs-,Fri-,Sat-</v>
      </c>
      <c r="W151" s="375">
        <f>SUM('21 Oct Mon'!AI151:AI161,'22 Oct Tues'!AI151:AI161,'23 Oct Wed'!AI151:AI161,'24 Oct Thurs'!AI151:AI161,'25 Oct Fri'!AI151:AI161,'26 Oct Sat'!AI151:AI161)</f>
        <v>0</v>
      </c>
      <c r="X151" s="375">
        <f>SUM('21 Oct Mon'!AM151:AM161,'22 Oct Tues'!AM151:AM161,'23 Oct Wed'!AM151:AM161,'24 Oct Thurs'!AM151:AM161,'25 Oct Fri'!AM151:AM161,'26 Oct Sat'!AM151:AM161)</f>
        <v>0</v>
      </c>
      <c r="Y151" s="376">
        <f>SUM('21 Oct Mon'!AP151:AP161,'22 Oct Tues'!AP151:AP161,'23 Oct Wed'!AP151:AP161,'24 Oct Thurs'!AP151:AP161,'25 Oct Fri'!AP151:AP161,'26 Oct Sat'!AP151:AP161)</f>
        <v>0</v>
      </c>
      <c r="Z151" s="376">
        <f>SUM('21 Oct Mon'!AQ151:AQ161,'22 Oct Tues'!AQ151:AQ161,'23 Oct Wed'!AQ151:AQ161,'24 Oct Thurs'!AQ151:AQ161,'25 Oct Fri'!AQ151:AQ161,'26 Oct Sat'!AQ151:AQ161)</f>
        <v>0</v>
      </c>
      <c r="AA151" s="377">
        <f>SUM('21 Oct Mon'!AR151:AR161,'22 Oct Tues'!AR151:AR161,'23 Oct Wed'!AR151:AR161,'24 Oct Thurs'!AR151:AR161,'25 Oct Fri'!AR151:AR161,'26 Oct Sat'!AR151:AR161)</f>
        <v>0</v>
      </c>
      <c r="AB151" s="377">
        <f>SUM('21 Oct Mon'!AS151:AS161,'22 Oct Tues'!AS151:AS161,'23 Oct Wed'!AS151:AS161,'24 Oct Thurs'!AS151:AS161,'25 Oct Fri'!AS151:AS161,'26 Oct Sat'!AS151:AS161)</f>
        <v>0.1388888889</v>
      </c>
      <c r="AC151" s="378">
        <f>SUM('21 Oct Mon'!AT151:AT161,'22 Oct Tues'!AT151:AT161,'23 Oct Wed'!AT151:AT161,'24 Oct Thurs'!AT151:AT161,'25 Oct Fri'!AT151:AT161,'26 Oct Sat'!AT151:AT161)</f>
        <v>0.03472222222</v>
      </c>
      <c r="AD151" s="379">
        <f>SUM('21 Oct Mon'!AU151:AU161,'22 Oct Tues'!AU151:AU161,'23 Oct Wed'!AU151:AU161,'24 Oct Thurs'!AU151:AU161,'25 Oct Fri'!AU151:AU161,'26 Oct Sat'!AU151:AU161)</f>
        <v>0</v>
      </c>
      <c r="AE151" s="379">
        <f>SUM('21 Oct Mon'!AV151:AV161,'22 Oct Tues'!AV151:AV161,'23 Oct Wed'!AV151:AV161,'24 Oct Thurs'!AV151:AV161,'25 Oct Fri'!AV151:AV161,'26 Oct Sat'!AV151:AV161)</f>
        <v>0</v>
      </c>
      <c r="AF151" s="379">
        <f>SUM('21 Oct Mon'!AW151:AW161,'22 Oct Tues'!AW151:AW161,'23 Oct Wed'!AW151:AW161,'24 Oct Thurs'!AW151:AW161,'25 Oct Fri'!AW151:AW161,'26 Oct Sat'!AW151:AW161)</f>
        <v>0</v>
      </c>
      <c r="AG151" s="379">
        <f>SUM('21 Oct Mon'!AX151:AX161,'22 Oct Tues'!AX151:AX161,'23 Oct Wed'!AX151:AX161,'24 Oct Thurs'!AX151:AX161,'25 Oct Fri'!AX151:AX161,'26 Oct Sat'!AX151:AX161)</f>
        <v>0</v>
      </c>
      <c r="AH151" s="380">
        <f>SUM('21 Oct Mon'!AY151:AY161,'22 Oct Tues'!AY151:AY161,'23 Oct Wed'!AY151:AY161,'24 Oct Thurs'!AY151:AY161,'25 Oct Fri'!AY151:AY161,'26 Oct Sat'!AY151:AY161)</f>
        <v>0</v>
      </c>
      <c r="AI151" s="381">
        <f>SUM('21 Oct Mon'!AZ151:AZ161,'22 Oct Tues'!AZ151:AZ161,'23 Oct Wed'!AZ151:AZ161,'24 Oct Thurs'!AZ151:AZ161,'25 Oct Fri'!AZ151:AZ161,'26 Oct Sat'!AZ151:AZ161)</f>
        <v>0</v>
      </c>
      <c r="AJ151" s="382">
        <f>SUM('21 Oct Mon'!BG151:BG161,'22 Oct Tues'!BG151:BG161,'23 Oct Wed'!BG151:BG161,'24 Oct Thurs'!BG151:BG161,'25 Oct Fri'!BG151:BG161,'26 Oct Sat'!BG151:BG161)</f>
        <v>0</v>
      </c>
      <c r="AK151" s="383">
        <f>SUM('21 Oct Mon'!BH151:BH161,'22 Oct Tues'!BH151:BH161,'23 Oct Wed'!BH151:BH161,'24 Oct Thurs'!BH151:BH161,'25 Oct Fri'!BH151:BH161,'26 Oct Sat'!BH151:BH161)</f>
        <v>0</v>
      </c>
      <c r="AL151" s="384">
        <f>SUM('21 Oct Mon'!BI151:BI161,'22 Oct Tues'!BI151:BI161,'23 Oct Wed'!BI151:BI161,'24 Oct Thurs'!BI151:BI161,'25 Oct Fri'!BI151:BI161,'26 Oct Sat'!BI151:BI161)</f>
        <v>0</v>
      </c>
      <c r="AM151" s="379">
        <f>SUM('21 Oct Mon'!BJ151:BJ161,'22 Oct Tues'!BJ151:BJ161,'23 Oct Wed'!BJ151:BJ161,'24 Oct Thurs'!BJ151:BJ161,'25 Oct Fri'!BJ151:BJ161,'26 Oct Sat'!BJ151:BJ161)</f>
        <v>0</v>
      </c>
      <c r="AN151" s="379">
        <f>SUM('21 Oct Mon'!BK151:BK161,'22 Oct Tues'!BK151:BK161,'23 Oct Wed'!BK151:BK161,'24 Oct Thurs'!BK151:BK161,'25 Oct Fri'!BK151:BK161,'26 Oct Sat'!BK151:BK161)</f>
        <v>0</v>
      </c>
      <c r="AO151" s="385">
        <f>SUM('21 Oct Mon'!BL151:BL161,'22 Oct Tues'!BL151:BL161,'23 Oct Wed'!BL151:BL161,'24 Oct Thurs'!BL151:BL161,'25 Oct Fri'!BL151:BL161,'26 Oct Sat'!BL151:BL161)</f>
        <v>0</v>
      </c>
      <c r="AP151" s="386">
        <f>SUM('21 Oct Mon'!BM151:BM161,'22 Oct Tues'!BM151:BM161,'23 Oct Wed'!BM151:BM161,'24 Oct Thurs'!BM151:BM161,'25 Oct Fri'!BM151:BM161,'26 Oct Sat'!BM151:BM161)</f>
        <v>0</v>
      </c>
      <c r="AQ151" s="387">
        <f>SUM('21 Oct Mon'!BN151:BN161,'22 Oct Tues'!BN151:BN161,'23 Oct Wed'!BN151:BN161,'24 Oct Thurs'!BN151:BN161,'25 Oct Fri'!BN151:BN161,'26 Oct Sat'!BN151:BN161)</f>
        <v>0</v>
      </c>
      <c r="AR151" s="379">
        <f>SUM('21 Oct Mon'!BO151:BO161,'22 Oct Tues'!BO151:BO161,'23 Oct Wed'!BO151:BO161,'24 Oct Thurs'!BO151:BO161,'25 Oct Fri'!BO151:BO161,'26 Oct Sat'!BO151:BO161)</f>
        <v>0</v>
      </c>
      <c r="AS151" s="379">
        <f>SUM('21 Oct Mon'!BP151:BP161,'22 Oct Tues'!BP151:BP161,'23 Oct Wed'!BP151:BP161,'24 Oct Thurs'!BP151:BP161,'25 Oct Fri'!BP151:BP161,'26 Oct Sat'!BP151:BP161)</f>
        <v>0</v>
      </c>
      <c r="AT151" s="382">
        <f>SUM('21 Oct Mon'!BR151:BR161,'22 Oct Tues'!BR151:BR161,'23 Oct Wed'!BR151:BR161,'24 Oct Thurs'!BR151:BR161,'25 Oct Fri'!BR151:BR161,'26 Oct Sat'!BR151:BR161)</f>
        <v>0</v>
      </c>
      <c r="AU151" s="384">
        <f>SUM('21 Oct Mon'!BS151:BS161,'22 Oct Tues'!BS151:BS161,'23 Oct Wed'!BS151:BS161,'24 Oct Thurs'!BS151:BS161,'25 Oct Fri'!BS151:BS161,'26 Oct Sat'!BS151:BS161)</f>
        <v>0</v>
      </c>
      <c r="AV151" s="379">
        <f>SUM('21 Oct Mon'!BT151:BT161,'22 Oct Tues'!BT151:BT161,'23 Oct Wed'!BT151:BT161,'24 Oct Thurs'!BT151:BT161,'25 Oct Fri'!BT151:BT161,'26 Oct Sat'!BT151:BT161)</f>
        <v>0</v>
      </c>
      <c r="AW151" s="379">
        <f>SUM('21 Oct Mon'!BU151:BU161,'22 Oct Tues'!BU151:BU161,'23 Oct Wed'!BU151:BU161,'24 Oct Thurs'!BU151:BU161,'25 Oct Fri'!BU151:BU161,'26 Oct Sat'!BU151:BU161)</f>
        <v>0</v>
      </c>
      <c r="AX151" s="382">
        <f>SUM('21 Oct Mon'!BV151:BV161,'22 Oct Tues'!BV151:BV161,'23 Oct Wed'!BV151:BV161,'24 Oct Thurs'!BV151:BV161,'25 Oct Fri'!BV151:BV161,'26 Oct Sat'!BV151:BV161)</f>
        <v>0</v>
      </c>
      <c r="AY151" s="379">
        <f>SUM('21 Oct Mon'!BW151:BW161,'22 Oct Tues'!BW151:BW161,'23 Oct Wed'!BW151:BW161,'24 Oct Thurs'!BW151:BW161,'25 Oct Fri'!BW151:BW161,'26 Oct Sat'!BW151:BW161)</f>
        <v>0</v>
      </c>
      <c r="AZ151" s="385">
        <f>SUM('21 Oct Mon'!BX151:BX161,'22 Oct Tues'!BX151:BX161,'23 Oct Wed'!BX151:BX161,'24 Oct Thurs'!BX151:BX161,'25 Oct Fri'!BX151:BX161,'26 Oct Sat'!BX151:BX161)</f>
        <v>0</v>
      </c>
      <c r="BA151" s="386">
        <f>SUM('21 Oct Mon'!BY151:BY161,'22 Oct Tues'!BY151:BY161,'23 Oct Wed'!BY151:BY161,'24 Oct Thurs'!BY151:BY161,'25 Oct Fri'!BY151:BY161,'26 Oct Sat'!BY151:BY161)</f>
        <v>0</v>
      </c>
      <c r="BB151" s="386">
        <f>SUM('21 Oct Mon'!BZ151:BZ161,'22 Oct Tues'!BZ151:BZ161,'23 Oct Wed'!BZ151:BZ161,'24 Oct Thurs'!BZ151:BZ161,'25 Oct Fri'!BZ151:BZ161,'26 Oct Sat'!BZ151:BZ161)</f>
        <v>0</v>
      </c>
      <c r="BC151" s="386">
        <f>SUM('21 Oct Mon'!CA151:CA161,'22 Oct Tues'!CA151:CA161,'23 Oct Wed'!CA151:CA161,'24 Oct Thurs'!CA151:CA161,'25 Oct Fri'!CA151:CA161,'26 Oct Sat'!CA151:CA161)</f>
        <v>0</v>
      </c>
      <c r="BD151" s="386">
        <f>SUM('21 Oct Mon'!CB151:CB161,'22 Oct Tues'!CB151:CB161,'23 Oct Wed'!CB151:CB161,'24 Oct Thurs'!CB151:CB161,'25 Oct Fri'!CB151:CB161,'26 Oct Sat'!CB151:CB161)</f>
        <v>0</v>
      </c>
      <c r="BE151" s="386">
        <f>SUM('21 Oct Mon'!CC151:CC161,'22 Oct Tues'!CC151:CC161,'23 Oct Wed'!CC151:CC161,'24 Oct Thurs'!CC151:CC161,'25 Oct Fri'!CC151:CC161,'26 Oct Sat'!CC151:CC161)</f>
        <v>0</v>
      </c>
      <c r="BF151" s="386" t="str">
        <f>CONCATENATE("Mon-",'21 Oct Mon'!CD151:CD161,",Tues-",'22 Oct Tues'!CD151:CD161,",Wed-",'23 Oct Wed'!CD151:CD161,",Thurs-",'24 Oct Thurs'!CD151:CD161,",Fri-",'25 Oct Fri'!CD151:CD161,",Sat-",'26 Oct Sat'!CD151:CD161)</f>
        <v>Mon-,Tues-,Wed-,Thurs-,Fri-,Sat-</v>
      </c>
      <c r="BG151" s="388">
        <f>SUM('21 Oct Mon'!CE151:CE161,'22 Oct Tues'!CE151:CE161,'23 Oct Wed'!CE151:CE161,'24 Oct Thurs'!CE151:CE161,'25 Oct Fri'!CE151:CE161,'26 Oct Sat'!CE151:CE161)</f>
        <v>0</v>
      </c>
      <c r="BH151" s="389" t="str">
        <f>CONCATENATE("Mon-",'21 Oct Mon'!CF151:CF161,",Tues-",'22 Oct Tues'!CF151:CF161,",Wed-",'23 Oct Wed'!CF151:CF161,",Thurs-",'24 Oct Thurs'!CF151:CF161,",Fri-",'25 Oct Fri'!CF151:CF161,",Sat-",'26 Oct Sat'!CF151:CF161)</f>
        <v>Mon-Shifting of GTU Answersheet instructed by HNM (1:45 to 2:10 p.m.),Tues-,Wed-,Thurs-,Fri-,Sat-</v>
      </c>
      <c r="BI151" s="383">
        <f>SUM('21 Oct Mon'!CG151:CG161,'22 Oct Tues'!CG151:CG161,'23 Oct Wed'!CG151:CG161,'24 Oct Thurs'!CG151:CG161,'25 Oct Fri'!CG151:CG161,'26 Oct Sat'!CG151:CG161)</f>
        <v>0.4166666667</v>
      </c>
      <c r="BJ151" s="382">
        <f>SUM('21 Oct Mon'!CH151:CH161,'22 Oct Tues'!CH151:CH161,'23 Oct Wed'!CH151:CH161,'24 Oct Thurs'!CH151:CH161,'25 Oct Fri'!CH151:CH161,'26 Oct Sat'!CH151:CH161)</f>
        <v>0.5</v>
      </c>
      <c r="BK151" s="384">
        <f>SUM('21 Oct Mon'!CI151:CI161,'22 Oct Tues'!CI151:CI161,'23 Oct Wed'!CI151:CI161,'24 Oct Thurs'!CI151:CI161,'25 Oct Fri'!CI151:CI161,'26 Oct Sat'!CI151:CI161)</f>
        <v>0</v>
      </c>
      <c r="BL151" s="382" t="str">
        <f>CONCATENATE("Mon-",'21 Oct Mon'!CJ151:CJ161,",Tues-",'22 Oct Tues'!CJ151:CJ161,",Wed-",'23 Oct Wed'!CJ151:CJ161,",Thurs-",'24 Oct Thurs'!CJ151:CJ161,",Fri-",'25 Oct Fri'!CJ151:CJ161,",Sat-",'26 Oct Sat'!CJ151:CJ161)</f>
        <v>Mon-,Tues-,Wed-,Thurs-,Fri-,Sat-</v>
      </c>
      <c r="BM151" s="384">
        <f>SUM('21 Oct Mon'!CK151:CK161,'22 Oct Tues'!CK151:CK161,'23 Oct Wed'!CK151:CK161,'24 Oct Thurs'!CK151:CK161,'25 Oct Fri'!CK151:CK161,'26 Oct Sat'!CK151:CK161)</f>
        <v>0</v>
      </c>
      <c r="BN151" s="382" t="str">
        <f>CONCATENATE("Mon-",'21 Oct Mon'!CL151:CL161,",Tues-",'22 Oct Tues'!CL151:CL161,",Wed-",'23 Oct Wed'!CL151:CL161,",Thurs-",'24 Oct Thurs'!CL151:CL161,",Fri-",'25 Oct Fri'!CL151:CL161,",Sat-",'26 Oct Sat'!CL151:CL161)</f>
        <v>Mon-,Tues-,Wed-,Thurs-,Fri-,Sat-</v>
      </c>
      <c r="BO151" s="384">
        <f>SUM('21 Oct Mon'!CM151:CM161,'22 Oct Tues'!CM151:CM161,'23 Oct Wed'!CM151:CM161,'24 Oct Thurs'!CM151:CM161,'25 Oct Fri'!CM151:CM161,'26 Oct Sat'!CM151:CM161)</f>
        <v>0</v>
      </c>
      <c r="BP151" s="385" t="str">
        <f>CONCATENATE("Mon-",'21 Oct Mon'!CN151:CN161,",Tues-",'22 Oct Tues'!CN151:CN161,",Wed-",'23 Oct Wed'!CN151:CN161,",Thurs-",'24 Oct Thurs'!CN151:CN161,",Fri-",'25 Oct Fri'!CN151:CN161,",Sat-",'26 Oct Sat'!CN151:CN161)</f>
        <v>Mon-,Tues-,Wed-,Thurs-,Fri-,Sat-</v>
      </c>
      <c r="BQ151" s="387">
        <f>SUM('21 Oct Mon'!CO151:CO161,'22 Oct Tues'!CO151:CO161,'23 Oct Wed'!CO151:CO161,'24 Oct Thurs'!CO151:CO161,'25 Oct Fri'!CO151:CO161,'26 Oct Sat'!CO151:CO161)</f>
        <v>0</v>
      </c>
      <c r="BR151" s="379" t="str">
        <f>CONCATENATE("Mon-",'21 Oct Mon'!CP151:CP161,",Tues-",'22 Oct Tues'!CP151:CP161,",Wed-",'23 Oct Wed'!CP151:CP161,",Thurs-",'24 Oct Thurs'!CP151:CP161,",Fri-",'25 Oct Fri'!CP151:CP161,",Sat-",'26 Oct Sat'!CP151:CP161)</f>
        <v>Mon-,Tues-,Wed-,Thurs-,Fri-,Sat-</v>
      </c>
      <c r="BS151" s="390">
        <f>SUM('21 Oct Mon'!CQ151:CQ161,'22 Oct Tues'!CQ151:CQ161,'23 Oct Wed'!CQ151:CQ161,'24 Oct Thurs'!CQ151:CQ161,'25 Oct Fri'!CQ151:CQ161,'26 Oct Sat'!CQ151:CQ161)</f>
        <v>0</v>
      </c>
      <c r="BT151" s="390">
        <f>SUM('21 Oct Mon'!CR151:CR161,'22 Oct Tues'!CR151:CR161,'23 Oct Wed'!CR151:CR161,'24 Oct Thurs'!CR151:CR161,'25 Oct Fri'!CR151:CR161,'26 Oct Sat'!CR151:CR161)</f>
        <v>0</v>
      </c>
      <c r="BU151" s="391">
        <f>SUM('21 Oct Mon'!CS151:CS161,'22 Oct Tues'!CS151:CS161,'23 Oct Wed'!CS151:CS161,'24 Oct Thurs'!CS151:CS161,'25 Oct Fri'!CS151:CS161,'26 Oct Sat'!CS151:CS161)</f>
        <v>0</v>
      </c>
      <c r="BV151" s="392">
        <f>SUM('21 Oct Mon'!CT151:CT161,'22 Oct Tues'!CT151:CT161,'23 Oct Wed'!CT151:CT161,'24 Oct Thurs'!CT151:CT161,'25 Oct Fri'!CT151:CT161,'26 Oct Sat'!CT151:CT161)</f>
        <v>0.1388888889</v>
      </c>
      <c r="BW151" s="393" t="str">
        <f>LEFT(U151,FIND("(",U151,1)-2)</f>
        <v>0</v>
      </c>
      <c r="BX151" s="394"/>
    </row>
    <row r="152" ht="57.0" customHeight="1">
      <c r="A152" s="65"/>
      <c r="B152" s="177"/>
      <c r="C152" s="416" t="s">
        <v>205</v>
      </c>
      <c r="D152" s="430"/>
      <c r="E152" s="431"/>
      <c r="F152" s="431"/>
      <c r="G152" s="431"/>
      <c r="H152" s="429"/>
      <c r="I152" s="431"/>
      <c r="J152" s="397"/>
      <c r="K152" s="398">
        <f t="shared" si="1"/>
        <v>0</v>
      </c>
      <c r="L152" s="173"/>
      <c r="M152" s="173"/>
      <c r="N152" s="177"/>
      <c r="O152" s="178"/>
      <c r="P152" s="178"/>
      <c r="Q152" s="178"/>
      <c r="R152" s="178"/>
      <c r="S152" s="182"/>
      <c r="T152" s="65"/>
      <c r="U152" s="64"/>
      <c r="V152" s="66"/>
      <c r="W152" s="173"/>
      <c r="X152" s="173"/>
      <c r="Y152" s="65"/>
      <c r="Z152" s="65"/>
      <c r="AA152" s="65"/>
      <c r="AB152" s="65"/>
      <c r="AC152" s="173"/>
      <c r="AD152" s="166"/>
      <c r="AE152" s="166"/>
      <c r="AF152" s="166"/>
      <c r="AG152" s="166"/>
      <c r="AH152" s="65"/>
      <c r="AJ152" s="177"/>
      <c r="AK152" s="178"/>
      <c r="AL152" s="181"/>
      <c r="AM152" s="166"/>
      <c r="AN152" s="166"/>
      <c r="AO152" s="177"/>
      <c r="AP152" s="178"/>
      <c r="AQ152" s="181"/>
      <c r="AR152" s="166"/>
      <c r="AS152" s="166"/>
      <c r="AT152" s="177"/>
      <c r="AU152" s="181"/>
      <c r="AV152" s="166"/>
      <c r="AW152" s="166"/>
      <c r="AX152" s="177"/>
      <c r="AY152" s="166"/>
      <c r="AZ152" s="177"/>
      <c r="BA152" s="178"/>
      <c r="BB152" s="178"/>
      <c r="BC152" s="178"/>
      <c r="BD152" s="178"/>
      <c r="BE152" s="178"/>
      <c r="BF152" s="178"/>
      <c r="BG152" s="179"/>
      <c r="BH152" s="180"/>
      <c r="BI152" s="178"/>
      <c r="BJ152" s="177"/>
      <c r="BK152" s="181"/>
      <c r="BL152" s="177"/>
      <c r="BM152" s="181"/>
      <c r="BN152" s="177"/>
      <c r="BO152" s="181"/>
      <c r="BP152" s="177"/>
      <c r="BQ152" s="181"/>
      <c r="BR152" s="166"/>
      <c r="BS152" s="166"/>
      <c r="BT152" s="166"/>
      <c r="BU152" s="65"/>
      <c r="BW152" s="178"/>
      <c r="BX152" s="399"/>
    </row>
    <row r="153" ht="72.0" customHeight="1">
      <c r="A153" s="65"/>
      <c r="B153" s="177"/>
      <c r="C153" s="416" t="s">
        <v>205</v>
      </c>
      <c r="D153" s="430"/>
      <c r="E153" s="431"/>
      <c r="F153" s="431"/>
      <c r="G153" s="431"/>
      <c r="H153" s="431"/>
      <c r="I153" s="431"/>
      <c r="J153" s="397"/>
      <c r="K153" s="398">
        <f t="shared" si="1"/>
        <v>0</v>
      </c>
      <c r="L153" s="173"/>
      <c r="M153" s="173"/>
      <c r="N153" s="177"/>
      <c r="O153" s="178"/>
      <c r="P153" s="178"/>
      <c r="Q153" s="178"/>
      <c r="R153" s="178"/>
      <c r="S153" s="182"/>
      <c r="T153" s="65"/>
      <c r="U153" s="64"/>
      <c r="V153" s="66"/>
      <c r="W153" s="173"/>
      <c r="X153" s="173"/>
      <c r="Y153" s="65"/>
      <c r="Z153" s="65"/>
      <c r="AA153" s="65"/>
      <c r="AB153" s="65"/>
      <c r="AC153" s="173"/>
      <c r="AD153" s="166"/>
      <c r="AE153" s="166"/>
      <c r="AF153" s="166"/>
      <c r="AG153" s="166"/>
      <c r="AH153" s="65"/>
      <c r="AJ153" s="177"/>
      <c r="AK153" s="178"/>
      <c r="AL153" s="181"/>
      <c r="AM153" s="166"/>
      <c r="AN153" s="166"/>
      <c r="AO153" s="177"/>
      <c r="AP153" s="178"/>
      <c r="AQ153" s="181"/>
      <c r="AR153" s="166"/>
      <c r="AS153" s="166"/>
      <c r="AT153" s="177"/>
      <c r="AU153" s="181"/>
      <c r="AV153" s="166"/>
      <c r="AW153" s="166"/>
      <c r="AX153" s="177"/>
      <c r="AY153" s="166"/>
      <c r="AZ153" s="177"/>
      <c r="BA153" s="178"/>
      <c r="BB153" s="178"/>
      <c r="BC153" s="178"/>
      <c r="BD153" s="178"/>
      <c r="BE153" s="178"/>
      <c r="BF153" s="178"/>
      <c r="BG153" s="179"/>
      <c r="BH153" s="180"/>
      <c r="BI153" s="178"/>
      <c r="BJ153" s="177"/>
      <c r="BK153" s="181"/>
      <c r="BL153" s="177"/>
      <c r="BM153" s="181"/>
      <c r="BN153" s="177"/>
      <c r="BO153" s="181"/>
      <c r="BP153" s="177"/>
      <c r="BQ153" s="181"/>
      <c r="BR153" s="166"/>
      <c r="BS153" s="166"/>
      <c r="BT153" s="166"/>
      <c r="BU153" s="65"/>
      <c r="BW153" s="178"/>
      <c r="BX153" s="399"/>
    </row>
    <row r="154" ht="68.25" customHeight="1">
      <c r="A154" s="65"/>
      <c r="B154" s="177"/>
      <c r="C154" s="416" t="s">
        <v>205</v>
      </c>
      <c r="D154" s="430"/>
      <c r="E154" s="431"/>
      <c r="F154" s="431"/>
      <c r="G154" s="431"/>
      <c r="H154" s="431"/>
      <c r="I154" s="431"/>
      <c r="J154" s="397"/>
      <c r="K154" s="398">
        <f t="shared" si="1"/>
        <v>0</v>
      </c>
      <c r="L154" s="173"/>
      <c r="M154" s="173"/>
      <c r="N154" s="177"/>
      <c r="O154" s="178"/>
      <c r="P154" s="178"/>
      <c r="Q154" s="178"/>
      <c r="R154" s="178"/>
      <c r="S154" s="182"/>
      <c r="T154" s="65"/>
      <c r="U154" s="64"/>
      <c r="V154" s="66"/>
      <c r="W154" s="173"/>
      <c r="X154" s="173"/>
      <c r="Y154" s="65"/>
      <c r="Z154" s="65"/>
      <c r="AA154" s="65"/>
      <c r="AB154" s="65"/>
      <c r="AC154" s="173"/>
      <c r="AD154" s="166"/>
      <c r="AE154" s="166"/>
      <c r="AF154" s="166"/>
      <c r="AG154" s="166"/>
      <c r="AH154" s="65"/>
      <c r="AJ154" s="177"/>
      <c r="AK154" s="178"/>
      <c r="AL154" s="181"/>
      <c r="AM154" s="166"/>
      <c r="AN154" s="166"/>
      <c r="AO154" s="177"/>
      <c r="AP154" s="178"/>
      <c r="AQ154" s="181"/>
      <c r="AR154" s="166"/>
      <c r="AS154" s="166"/>
      <c r="AT154" s="177"/>
      <c r="AU154" s="181"/>
      <c r="AV154" s="166"/>
      <c r="AW154" s="166"/>
      <c r="AX154" s="177"/>
      <c r="AY154" s="166"/>
      <c r="AZ154" s="177"/>
      <c r="BA154" s="178"/>
      <c r="BB154" s="178"/>
      <c r="BC154" s="178"/>
      <c r="BD154" s="178"/>
      <c r="BE154" s="178"/>
      <c r="BF154" s="178"/>
      <c r="BG154" s="179"/>
      <c r="BH154" s="180"/>
      <c r="BI154" s="178"/>
      <c r="BJ154" s="177"/>
      <c r="BK154" s="181"/>
      <c r="BL154" s="177"/>
      <c r="BM154" s="181"/>
      <c r="BN154" s="177"/>
      <c r="BO154" s="181"/>
      <c r="BP154" s="177"/>
      <c r="BQ154" s="181"/>
      <c r="BR154" s="166"/>
      <c r="BS154" s="166"/>
      <c r="BT154" s="166"/>
      <c r="BU154" s="65"/>
      <c r="BW154" s="178"/>
      <c r="BX154" s="399"/>
    </row>
    <row r="155" ht="60.75" customHeight="1">
      <c r="A155" s="65"/>
      <c r="B155" s="177"/>
      <c r="C155" s="416" t="s">
        <v>205</v>
      </c>
      <c r="D155" s="430"/>
      <c r="E155" s="431"/>
      <c r="F155" s="431"/>
      <c r="G155" s="431"/>
      <c r="H155" s="431"/>
      <c r="I155" s="431"/>
      <c r="J155" s="397"/>
      <c r="K155" s="398">
        <f t="shared" si="1"/>
        <v>0</v>
      </c>
      <c r="L155" s="173"/>
      <c r="M155" s="173"/>
      <c r="N155" s="177"/>
      <c r="O155" s="178"/>
      <c r="P155" s="178"/>
      <c r="Q155" s="178"/>
      <c r="R155" s="178"/>
      <c r="S155" s="182"/>
      <c r="T155" s="65"/>
      <c r="U155" s="64"/>
      <c r="V155" s="66"/>
      <c r="W155" s="173"/>
      <c r="X155" s="173"/>
      <c r="Y155" s="65"/>
      <c r="Z155" s="65"/>
      <c r="AA155" s="65"/>
      <c r="AB155" s="65"/>
      <c r="AC155" s="173"/>
      <c r="AD155" s="166"/>
      <c r="AE155" s="166"/>
      <c r="AF155" s="166"/>
      <c r="AG155" s="166"/>
      <c r="AH155" s="65"/>
      <c r="AJ155" s="177"/>
      <c r="AK155" s="178"/>
      <c r="AL155" s="181"/>
      <c r="AM155" s="166"/>
      <c r="AN155" s="166"/>
      <c r="AO155" s="177"/>
      <c r="AP155" s="178"/>
      <c r="AQ155" s="181"/>
      <c r="AR155" s="166"/>
      <c r="AS155" s="166"/>
      <c r="AT155" s="177"/>
      <c r="AU155" s="181"/>
      <c r="AV155" s="166"/>
      <c r="AW155" s="166"/>
      <c r="AX155" s="177"/>
      <c r="AY155" s="166"/>
      <c r="AZ155" s="177"/>
      <c r="BA155" s="178"/>
      <c r="BB155" s="178"/>
      <c r="BC155" s="178"/>
      <c r="BD155" s="178"/>
      <c r="BE155" s="178"/>
      <c r="BF155" s="178"/>
      <c r="BG155" s="179"/>
      <c r="BH155" s="180"/>
      <c r="BI155" s="178"/>
      <c r="BJ155" s="177"/>
      <c r="BK155" s="181"/>
      <c r="BL155" s="177"/>
      <c r="BM155" s="181"/>
      <c r="BN155" s="177"/>
      <c r="BO155" s="181"/>
      <c r="BP155" s="177"/>
      <c r="BQ155" s="181"/>
      <c r="BR155" s="166"/>
      <c r="BS155" s="166"/>
      <c r="BT155" s="166"/>
      <c r="BU155" s="65"/>
      <c r="BW155" s="178"/>
      <c r="BX155" s="399"/>
    </row>
    <row r="156" ht="60.75" customHeight="1">
      <c r="A156" s="65"/>
      <c r="B156" s="177"/>
      <c r="C156" s="416" t="s">
        <v>205</v>
      </c>
      <c r="D156" s="430"/>
      <c r="E156" s="431"/>
      <c r="F156" s="431"/>
      <c r="G156" s="431"/>
      <c r="H156" s="431"/>
      <c r="I156" s="431"/>
      <c r="J156" s="397"/>
      <c r="K156" s="398">
        <f t="shared" si="1"/>
        <v>0</v>
      </c>
      <c r="L156" s="173"/>
      <c r="M156" s="173"/>
      <c r="N156" s="177"/>
      <c r="O156" s="178"/>
      <c r="P156" s="178"/>
      <c r="Q156" s="178"/>
      <c r="R156" s="178"/>
      <c r="S156" s="182"/>
      <c r="T156" s="65"/>
      <c r="U156" s="64"/>
      <c r="V156" s="66"/>
      <c r="W156" s="173"/>
      <c r="X156" s="173"/>
      <c r="Y156" s="65"/>
      <c r="Z156" s="65"/>
      <c r="AA156" s="65"/>
      <c r="AB156" s="65"/>
      <c r="AC156" s="173"/>
      <c r="AD156" s="166"/>
      <c r="AE156" s="166"/>
      <c r="AF156" s="166"/>
      <c r="AG156" s="166"/>
      <c r="AH156" s="65"/>
      <c r="AJ156" s="177"/>
      <c r="AK156" s="178"/>
      <c r="AL156" s="181"/>
      <c r="AM156" s="166"/>
      <c r="AN156" s="166"/>
      <c r="AO156" s="177"/>
      <c r="AP156" s="178"/>
      <c r="AQ156" s="181"/>
      <c r="AR156" s="166"/>
      <c r="AS156" s="166"/>
      <c r="AT156" s="177"/>
      <c r="AU156" s="181"/>
      <c r="AV156" s="166"/>
      <c r="AW156" s="166"/>
      <c r="AX156" s="177"/>
      <c r="AY156" s="166"/>
      <c r="AZ156" s="177"/>
      <c r="BA156" s="178"/>
      <c r="BB156" s="178"/>
      <c r="BC156" s="178"/>
      <c r="BD156" s="178"/>
      <c r="BE156" s="178"/>
      <c r="BF156" s="178"/>
      <c r="BG156" s="179"/>
      <c r="BH156" s="180"/>
      <c r="BI156" s="178"/>
      <c r="BJ156" s="177"/>
      <c r="BK156" s="181"/>
      <c r="BL156" s="177"/>
      <c r="BM156" s="181"/>
      <c r="BN156" s="177"/>
      <c r="BO156" s="181"/>
      <c r="BP156" s="177"/>
      <c r="BQ156" s="181"/>
      <c r="BR156" s="166"/>
      <c r="BS156" s="166"/>
      <c r="BT156" s="166"/>
      <c r="BU156" s="65"/>
      <c r="BW156" s="178"/>
      <c r="BX156" s="399"/>
    </row>
    <row r="157" ht="72.0" customHeight="1">
      <c r="A157" s="65"/>
      <c r="B157" s="177"/>
      <c r="C157" s="416" t="s">
        <v>205</v>
      </c>
      <c r="D157" s="430"/>
      <c r="E157" s="431"/>
      <c r="F157" s="431"/>
      <c r="G157" s="431"/>
      <c r="H157" s="431"/>
      <c r="I157" s="431"/>
      <c r="J157" s="397"/>
      <c r="K157" s="398">
        <f t="shared" si="1"/>
        <v>0</v>
      </c>
      <c r="L157" s="173"/>
      <c r="M157" s="173"/>
      <c r="N157" s="177"/>
      <c r="O157" s="178"/>
      <c r="P157" s="178"/>
      <c r="Q157" s="178"/>
      <c r="R157" s="178"/>
      <c r="S157" s="182"/>
      <c r="T157" s="65"/>
      <c r="U157" s="64"/>
      <c r="V157" s="66"/>
      <c r="W157" s="173"/>
      <c r="X157" s="173"/>
      <c r="Y157" s="65"/>
      <c r="Z157" s="65"/>
      <c r="AA157" s="65"/>
      <c r="AB157" s="65"/>
      <c r="AC157" s="173"/>
      <c r="AD157" s="166"/>
      <c r="AE157" s="166"/>
      <c r="AF157" s="166"/>
      <c r="AG157" s="166"/>
      <c r="AH157" s="65"/>
      <c r="AJ157" s="177"/>
      <c r="AK157" s="178"/>
      <c r="AL157" s="181"/>
      <c r="AM157" s="166"/>
      <c r="AN157" s="166"/>
      <c r="AO157" s="177"/>
      <c r="AP157" s="178"/>
      <c r="AQ157" s="181"/>
      <c r="AR157" s="166"/>
      <c r="AS157" s="166"/>
      <c r="AT157" s="177"/>
      <c r="AU157" s="181"/>
      <c r="AV157" s="166"/>
      <c r="AW157" s="166"/>
      <c r="AX157" s="177"/>
      <c r="AY157" s="166"/>
      <c r="AZ157" s="177"/>
      <c r="BA157" s="178"/>
      <c r="BB157" s="178"/>
      <c r="BC157" s="178"/>
      <c r="BD157" s="178"/>
      <c r="BE157" s="178"/>
      <c r="BF157" s="178"/>
      <c r="BG157" s="179"/>
      <c r="BH157" s="180"/>
      <c r="BI157" s="178"/>
      <c r="BJ157" s="177"/>
      <c r="BK157" s="181"/>
      <c r="BL157" s="177"/>
      <c r="BM157" s="181"/>
      <c r="BN157" s="177"/>
      <c r="BO157" s="181"/>
      <c r="BP157" s="177"/>
      <c r="BQ157" s="181"/>
      <c r="BR157" s="166"/>
      <c r="BS157" s="166"/>
      <c r="BT157" s="166"/>
      <c r="BU157" s="65"/>
      <c r="BW157" s="178"/>
      <c r="BX157" s="399"/>
    </row>
    <row r="158" ht="64.5" customHeight="1">
      <c r="A158" s="65"/>
      <c r="B158" s="177"/>
      <c r="C158" s="416" t="s">
        <v>205</v>
      </c>
      <c r="D158" s="430"/>
      <c r="E158" s="431"/>
      <c r="F158" s="431"/>
      <c r="G158" s="431"/>
      <c r="H158" s="431"/>
      <c r="I158" s="431"/>
      <c r="J158" s="397"/>
      <c r="K158" s="398">
        <f t="shared" si="1"/>
        <v>0</v>
      </c>
      <c r="L158" s="173"/>
      <c r="M158" s="173"/>
      <c r="N158" s="177"/>
      <c r="O158" s="178"/>
      <c r="P158" s="178"/>
      <c r="Q158" s="178"/>
      <c r="R158" s="178"/>
      <c r="S158" s="182"/>
      <c r="T158" s="65"/>
      <c r="U158" s="64"/>
      <c r="V158" s="66"/>
      <c r="W158" s="173"/>
      <c r="X158" s="173"/>
      <c r="Y158" s="65"/>
      <c r="Z158" s="65"/>
      <c r="AA158" s="65"/>
      <c r="AB158" s="65"/>
      <c r="AC158" s="173"/>
      <c r="AD158" s="166"/>
      <c r="AE158" s="166"/>
      <c r="AF158" s="166"/>
      <c r="AG158" s="166"/>
      <c r="AH158" s="65"/>
      <c r="AJ158" s="177"/>
      <c r="AK158" s="178"/>
      <c r="AL158" s="181"/>
      <c r="AM158" s="166"/>
      <c r="AN158" s="166"/>
      <c r="AO158" s="177"/>
      <c r="AP158" s="178"/>
      <c r="AQ158" s="181"/>
      <c r="AR158" s="166"/>
      <c r="AS158" s="166"/>
      <c r="AT158" s="177"/>
      <c r="AU158" s="181"/>
      <c r="AV158" s="166"/>
      <c r="AW158" s="166"/>
      <c r="AX158" s="177"/>
      <c r="AY158" s="166"/>
      <c r="AZ158" s="177"/>
      <c r="BA158" s="178"/>
      <c r="BB158" s="178"/>
      <c r="BC158" s="178"/>
      <c r="BD158" s="178"/>
      <c r="BE158" s="178"/>
      <c r="BF158" s="178"/>
      <c r="BG158" s="179"/>
      <c r="BH158" s="180"/>
      <c r="BI158" s="178"/>
      <c r="BJ158" s="177"/>
      <c r="BK158" s="181"/>
      <c r="BL158" s="177"/>
      <c r="BM158" s="181"/>
      <c r="BN158" s="177"/>
      <c r="BO158" s="181"/>
      <c r="BP158" s="177"/>
      <c r="BQ158" s="181"/>
      <c r="BR158" s="166"/>
      <c r="BS158" s="166"/>
      <c r="BT158" s="166"/>
      <c r="BU158" s="65"/>
      <c r="BW158" s="178"/>
      <c r="BX158" s="399"/>
    </row>
    <row r="159" ht="75.75" customHeight="1">
      <c r="A159" s="65"/>
      <c r="B159" s="177"/>
      <c r="C159" s="416" t="s">
        <v>205</v>
      </c>
      <c r="D159" s="430"/>
      <c r="E159" s="431"/>
      <c r="F159" s="431"/>
      <c r="G159" s="431"/>
      <c r="H159" s="431"/>
      <c r="I159" s="431"/>
      <c r="J159" s="397"/>
      <c r="K159" s="398">
        <f t="shared" si="1"/>
        <v>0</v>
      </c>
      <c r="L159" s="173"/>
      <c r="M159" s="173"/>
      <c r="N159" s="177"/>
      <c r="O159" s="178"/>
      <c r="P159" s="178"/>
      <c r="Q159" s="178"/>
      <c r="R159" s="178"/>
      <c r="S159" s="182"/>
      <c r="T159" s="65"/>
      <c r="U159" s="64"/>
      <c r="V159" s="66"/>
      <c r="W159" s="173"/>
      <c r="X159" s="173"/>
      <c r="Y159" s="65"/>
      <c r="Z159" s="65"/>
      <c r="AA159" s="65"/>
      <c r="AB159" s="65"/>
      <c r="AC159" s="173"/>
      <c r="AD159" s="166"/>
      <c r="AE159" s="166"/>
      <c r="AF159" s="166"/>
      <c r="AG159" s="166"/>
      <c r="AH159" s="65"/>
      <c r="AJ159" s="177"/>
      <c r="AK159" s="178"/>
      <c r="AL159" s="181"/>
      <c r="AM159" s="166"/>
      <c r="AN159" s="166"/>
      <c r="AO159" s="177"/>
      <c r="AP159" s="178"/>
      <c r="AQ159" s="181"/>
      <c r="AR159" s="166"/>
      <c r="AS159" s="166"/>
      <c r="AT159" s="177"/>
      <c r="AU159" s="181"/>
      <c r="AV159" s="166"/>
      <c r="AW159" s="166"/>
      <c r="AX159" s="177"/>
      <c r="AY159" s="166"/>
      <c r="AZ159" s="177"/>
      <c r="BA159" s="178"/>
      <c r="BB159" s="178"/>
      <c r="BC159" s="178"/>
      <c r="BD159" s="178"/>
      <c r="BE159" s="178"/>
      <c r="BF159" s="178"/>
      <c r="BG159" s="179"/>
      <c r="BH159" s="180"/>
      <c r="BI159" s="178"/>
      <c r="BJ159" s="177"/>
      <c r="BK159" s="181"/>
      <c r="BL159" s="177"/>
      <c r="BM159" s="181"/>
      <c r="BN159" s="177"/>
      <c r="BO159" s="181"/>
      <c r="BP159" s="177"/>
      <c r="BQ159" s="181"/>
      <c r="BR159" s="166"/>
      <c r="BS159" s="166"/>
      <c r="BT159" s="166"/>
      <c r="BU159" s="65"/>
      <c r="BW159" s="178"/>
      <c r="BX159" s="399"/>
    </row>
    <row r="160" ht="64.5" customHeight="1">
      <c r="A160" s="65"/>
      <c r="B160" s="177"/>
      <c r="C160" s="416" t="s">
        <v>205</v>
      </c>
      <c r="D160" s="430"/>
      <c r="E160" s="431"/>
      <c r="F160" s="431"/>
      <c r="G160" s="431"/>
      <c r="H160" s="431"/>
      <c r="I160" s="431"/>
      <c r="J160" s="397"/>
      <c r="K160" s="398">
        <f t="shared" si="1"/>
        <v>0</v>
      </c>
      <c r="L160" s="173"/>
      <c r="M160" s="173"/>
      <c r="N160" s="177"/>
      <c r="O160" s="178"/>
      <c r="P160" s="178"/>
      <c r="Q160" s="178"/>
      <c r="R160" s="178"/>
      <c r="S160" s="182"/>
      <c r="T160" s="65"/>
      <c r="U160" s="64"/>
      <c r="V160" s="66"/>
      <c r="W160" s="173"/>
      <c r="X160" s="173"/>
      <c r="Y160" s="65"/>
      <c r="Z160" s="65"/>
      <c r="AA160" s="65"/>
      <c r="AB160" s="65"/>
      <c r="AC160" s="173"/>
      <c r="AD160" s="166"/>
      <c r="AE160" s="166"/>
      <c r="AF160" s="166"/>
      <c r="AG160" s="166"/>
      <c r="AH160" s="65"/>
      <c r="AJ160" s="177"/>
      <c r="AK160" s="178"/>
      <c r="AL160" s="181"/>
      <c r="AM160" s="166"/>
      <c r="AN160" s="166"/>
      <c r="AO160" s="177"/>
      <c r="AP160" s="178"/>
      <c r="AQ160" s="181"/>
      <c r="AR160" s="166"/>
      <c r="AS160" s="166"/>
      <c r="AT160" s="177"/>
      <c r="AU160" s="181"/>
      <c r="AV160" s="166"/>
      <c r="AW160" s="166"/>
      <c r="AX160" s="177"/>
      <c r="AY160" s="166"/>
      <c r="AZ160" s="177"/>
      <c r="BA160" s="178"/>
      <c r="BB160" s="178"/>
      <c r="BC160" s="178"/>
      <c r="BD160" s="178"/>
      <c r="BE160" s="178"/>
      <c r="BF160" s="178"/>
      <c r="BG160" s="179"/>
      <c r="BH160" s="180"/>
      <c r="BI160" s="178"/>
      <c r="BJ160" s="177"/>
      <c r="BK160" s="181"/>
      <c r="BL160" s="177"/>
      <c r="BM160" s="181"/>
      <c r="BN160" s="177"/>
      <c r="BO160" s="181"/>
      <c r="BP160" s="177"/>
      <c r="BQ160" s="181"/>
      <c r="BR160" s="166"/>
      <c r="BS160" s="166"/>
      <c r="BT160" s="166"/>
      <c r="BU160" s="65"/>
      <c r="BW160" s="178"/>
      <c r="BX160" s="399"/>
    </row>
    <row r="161" ht="83.25" customHeight="1">
      <c r="A161" s="89"/>
      <c r="B161" s="192"/>
      <c r="C161" s="417" t="s">
        <v>205</v>
      </c>
      <c r="D161" s="432"/>
      <c r="E161" s="433"/>
      <c r="F161" s="433"/>
      <c r="G161" s="433"/>
      <c r="H161" s="433"/>
      <c r="I161" s="433"/>
      <c r="J161" s="402"/>
      <c r="K161" s="403">
        <f t="shared" si="1"/>
        <v>0</v>
      </c>
      <c r="L161" s="69"/>
      <c r="M161" s="69"/>
      <c r="N161" s="192"/>
      <c r="O161" s="193"/>
      <c r="P161" s="193"/>
      <c r="Q161" s="193"/>
      <c r="R161" s="193"/>
      <c r="S161" s="197"/>
      <c r="T161" s="89"/>
      <c r="U161" s="103"/>
      <c r="V161" s="68"/>
      <c r="W161" s="69"/>
      <c r="X161" s="69"/>
      <c r="Y161" s="89"/>
      <c r="Z161" s="89"/>
      <c r="AA161" s="89"/>
      <c r="AB161" s="89"/>
      <c r="AC161" s="69"/>
      <c r="AD161" s="63"/>
      <c r="AE161" s="63"/>
      <c r="AF161" s="63"/>
      <c r="AG161" s="63"/>
      <c r="AH161" s="89"/>
      <c r="AI161" s="6"/>
      <c r="AJ161" s="192"/>
      <c r="AK161" s="193"/>
      <c r="AL161" s="196"/>
      <c r="AM161" s="63"/>
      <c r="AN161" s="63"/>
      <c r="AO161" s="192"/>
      <c r="AP161" s="193"/>
      <c r="AQ161" s="196"/>
      <c r="AR161" s="63"/>
      <c r="AS161" s="63"/>
      <c r="AT161" s="192"/>
      <c r="AU161" s="196"/>
      <c r="AV161" s="63"/>
      <c r="AW161" s="63"/>
      <c r="AX161" s="192"/>
      <c r="AY161" s="63"/>
      <c r="AZ161" s="192"/>
      <c r="BA161" s="193"/>
      <c r="BB161" s="193"/>
      <c r="BC161" s="193"/>
      <c r="BD161" s="193"/>
      <c r="BE161" s="193"/>
      <c r="BF161" s="193"/>
      <c r="BG161" s="194"/>
      <c r="BH161" s="195"/>
      <c r="BI161" s="193"/>
      <c r="BJ161" s="192"/>
      <c r="BK161" s="196"/>
      <c r="BL161" s="192"/>
      <c r="BM161" s="196"/>
      <c r="BN161" s="192"/>
      <c r="BO161" s="196"/>
      <c r="BP161" s="192"/>
      <c r="BQ161" s="196"/>
      <c r="BR161" s="63"/>
      <c r="BS161" s="63"/>
      <c r="BT161" s="63"/>
      <c r="BU161" s="89"/>
      <c r="BV161" s="6"/>
      <c r="BW161" s="198"/>
      <c r="BX161" s="404"/>
    </row>
    <row r="162" ht="61.5" hidden="1" customHeight="1">
      <c r="A162" s="125"/>
      <c r="B162" s="274"/>
      <c r="C162" s="427"/>
      <c r="D162" s="428"/>
      <c r="E162" s="429"/>
      <c r="F162" s="429"/>
      <c r="G162" s="429"/>
      <c r="H162" s="429"/>
      <c r="I162" s="429"/>
      <c r="J162" s="366"/>
      <c r="K162" s="367">
        <f t="shared" si="1"/>
        <v>0</v>
      </c>
      <c r="L162" s="368">
        <f>SUM(I162:I172)+SUM(K162:K172)*1</f>
        <v>0</v>
      </c>
      <c r="M162" s="368">
        <f>SUM('21 Oct Mon'!Q162:Q172,'22 Oct Tues'!Q162:Q172,'23 Oct Wed'!Q162:Q172,'24 Oct Thurs'!Q162:Q172,'25 Oct Fri'!Q162:Q172,'26 Oct Sat'!Q162:Q172)</f>
        <v>0</v>
      </c>
      <c r="N162" s="369">
        <f>SUM('21 Oct Mon'!R162:R172,'22 Oct Tues'!R162:R172,'23 Oct Wed'!R162:R172,'24 Oct Thurs'!R162:R172,'25 Oct Fri'!R162:R172,'26 Oct Sat'!R162:R172)</f>
        <v>0</v>
      </c>
      <c r="O162" s="370">
        <f>SUM(L162:N172)</f>
        <v>0</v>
      </c>
      <c r="P162" s="370">
        <f>SUM('21 Oct Mon'!T162:T172,'22 Oct Tues'!T162:T172,'23 Oct Wed'!T162:T172,'24 Oct Thurs'!T162:T172,'25 Oct Fri'!T162:T172,'26 Oct Sat'!T162:T172)</f>
        <v>0</v>
      </c>
      <c r="Q162" s="370">
        <f>SUM('21 Oct Mon'!U162:U172,'22 Oct Tues'!U162:U172,'23 Oct Wed'!U162:U172,'24 Oct Thurs'!U162:U172,'25 Oct Fri'!U162:U172,'26 Oct Sat'!U162:U172)</f>
        <v>0</v>
      </c>
      <c r="R162" s="370">
        <f>SUM('21 Oct Mon'!V162:V172,'22 Oct Tues'!V162:V172,'23 Oct Wed'!V162:V172,'24 Oct Thurs'!V162:V172,'25 Oct Fri'!V162:V172,'26 Oct Sat'!V162:V172)</f>
        <v>0</v>
      </c>
      <c r="S162" s="371">
        <f>SUM('21 Oct Mon'!W162:W172,'22 Oct Tues'!W162:W172,'23 Oct Wed'!W162:W172,'24 Oct Thurs'!W162:W172,'25 Oct Fri'!W162:W172,'26 Oct Sat'!W162:W172)</f>
        <v>0</v>
      </c>
      <c r="T162" s="372">
        <f>O162-P162-Q162-R162-S162</f>
        <v>0</v>
      </c>
      <c r="U162" s="373" t="str">
        <f>CONCATENATE(SUM('21 Oct Mon'!O162:O172,'22 Oct Tues'!O162:O172,'23 Oct Wed'!O162:O172,'24 Oct Thurs'!O162:O172,'25 Oct Fri'!O162:O172,'26 Oct Sat'!O162:O172),"
(",(SUM('21 Oct Mon'!O162:O172,'22 Oct Tues'!O162:O172,'23 Oct Wed'!O162:O172,'24 Oct Thurs'!O162:O172,'25 Oct Fri'!O162:O172,'26 Oct Sat'!O162:O172)-T162),")")</f>
        <v>0
(0)</v>
      </c>
      <c r="V162" s="374" t="str">
        <f>CONCATENATE("Mon-",'21 Oct Mon'!Z162:Z172,",Tues-",'22 Oct Tues'!Z162:Z172,",Wed-",'23 Oct Wed'!Z162:Z172,",Thurs-",'24 Oct Thurs'!Z162:Z172,",Fri-",'25 Oct Fri'!Z162:Z172,",Sat-",'26 Oct Sat'!Z162:Z172)</f>
        <v>Mon-,Tues-,Wed-,Thurs-,Fri-,Sat-</v>
      </c>
      <c r="W162" s="375">
        <f>SUM('21 Oct Mon'!AI162:AI172,'22 Oct Tues'!AI162:AI172,'23 Oct Wed'!AI162:AI172,'24 Oct Thurs'!AI162:AI172,'25 Oct Fri'!AI162:AI172,'26 Oct Sat'!AI162:AI172)</f>
        <v>0</v>
      </c>
      <c r="X162" s="375">
        <f>SUM('21 Oct Mon'!AM162:AM172,'22 Oct Tues'!AM162:AM172,'23 Oct Wed'!AM162:AM172,'24 Oct Thurs'!AM162:AM172,'25 Oct Fri'!AM162:AM172,'26 Oct Sat'!AM162:AM172)</f>
        <v>0</v>
      </c>
      <c r="Y162" s="376">
        <f>SUM('21 Oct Mon'!AP162:AP172,'22 Oct Tues'!AP162:AP172,'23 Oct Wed'!AP162:AP172,'24 Oct Thurs'!AP162:AP172,'25 Oct Fri'!AP162:AP172,'26 Oct Sat'!AP162:AP172)</f>
        <v>0</v>
      </c>
      <c r="Z162" s="376">
        <f>SUM('21 Oct Mon'!AQ162:AQ172,'22 Oct Tues'!AQ162:AQ172,'23 Oct Wed'!AQ162:AQ172,'24 Oct Thurs'!AQ162:AQ172,'25 Oct Fri'!AQ162:AQ172,'26 Oct Sat'!AQ162:AQ172)</f>
        <v>0</v>
      </c>
      <c r="AA162" s="377">
        <f>SUM('21 Oct Mon'!AR162:AR172,'22 Oct Tues'!AR162:AR172,'23 Oct Wed'!AR162:AR172,'24 Oct Thurs'!AR162:AR172,'25 Oct Fri'!AR162:AR172,'26 Oct Sat'!AR162:AR172)</f>
        <v>0</v>
      </c>
      <c r="AB162" s="377">
        <f>SUM('21 Oct Mon'!AS162:AS172,'22 Oct Tues'!AS162:AS172,'23 Oct Wed'!AS162:AS172,'24 Oct Thurs'!AS162:AS172,'25 Oct Fri'!AS162:AS172,'26 Oct Sat'!AS162:AS172)</f>
        <v>0</v>
      </c>
      <c r="AC162" s="378">
        <f>SUM('21 Oct Mon'!AT162:AT172,'22 Oct Tues'!AT162:AT172,'23 Oct Wed'!AT162:AT172,'24 Oct Thurs'!AT162:AT172,'25 Oct Fri'!AT162:AT172,'26 Oct Sat'!AT162:AT172)</f>
        <v>0</v>
      </c>
      <c r="AD162" s="379">
        <f>SUM('21 Oct Mon'!AU162:AU172,'22 Oct Tues'!AU162:AU172,'23 Oct Wed'!AU162:AU172,'24 Oct Thurs'!AU162:AU172,'25 Oct Fri'!AU162:AU172,'26 Oct Sat'!AU162:AU172)</f>
        <v>0</v>
      </c>
      <c r="AE162" s="379">
        <f>SUM('21 Oct Mon'!AV162:AV172,'22 Oct Tues'!AV162:AV172,'23 Oct Wed'!AV162:AV172,'24 Oct Thurs'!AV162:AV172,'25 Oct Fri'!AV162:AV172,'26 Oct Sat'!AV162:AV172)</f>
        <v>0</v>
      </c>
      <c r="AF162" s="379">
        <f>SUM('21 Oct Mon'!AW162:AW172,'22 Oct Tues'!AW162:AW172,'23 Oct Wed'!AW162:AW172,'24 Oct Thurs'!AW162:AW172,'25 Oct Fri'!AW162:AW172,'26 Oct Sat'!AW162:AW172)</f>
        <v>0</v>
      </c>
      <c r="AG162" s="379">
        <f>SUM('21 Oct Mon'!AX162:AX172,'22 Oct Tues'!AX162:AX172,'23 Oct Wed'!AX162:AX172,'24 Oct Thurs'!AX162:AX172,'25 Oct Fri'!AX162:AX172,'26 Oct Sat'!AX162:AX172)</f>
        <v>0</v>
      </c>
      <c r="AH162" s="380">
        <f>SUM('21 Oct Mon'!AY162:AY172,'22 Oct Tues'!AY162:AY172,'23 Oct Wed'!AY162:AY172,'24 Oct Thurs'!AY162:AY172,'25 Oct Fri'!AY162:AY172,'26 Oct Sat'!AY162:AY172)</f>
        <v>0</v>
      </c>
      <c r="AI162" s="381">
        <f>SUM('21 Oct Mon'!AZ162:AZ172,'22 Oct Tues'!AZ162:AZ172,'23 Oct Wed'!AZ162:AZ172,'24 Oct Thurs'!AZ162:AZ172,'25 Oct Fri'!AZ162:AZ172,'26 Oct Sat'!AZ162:AZ172)</f>
        <v>0</v>
      </c>
      <c r="AJ162" s="382">
        <f>SUM('21 Oct Mon'!BG162:BG172,'22 Oct Tues'!BG162:BG172,'23 Oct Wed'!BG162:BG172,'24 Oct Thurs'!BG162:BG172,'25 Oct Fri'!BG162:BG172,'26 Oct Sat'!BG162:BG172)</f>
        <v>0</v>
      </c>
      <c r="AK162" s="383">
        <f>SUM('21 Oct Mon'!BH162:BH172,'22 Oct Tues'!BH162:BH172,'23 Oct Wed'!BH162:BH172,'24 Oct Thurs'!BH162:BH172,'25 Oct Fri'!BH162:BH172,'26 Oct Sat'!BH162:BH172)</f>
        <v>0</v>
      </c>
      <c r="AL162" s="384">
        <f>SUM('21 Oct Mon'!BI162:BI172,'22 Oct Tues'!BI162:BI172,'23 Oct Wed'!BI162:BI172,'24 Oct Thurs'!BI162:BI172,'25 Oct Fri'!BI162:BI172,'26 Oct Sat'!BI162:BI172)</f>
        <v>0</v>
      </c>
      <c r="AM162" s="379">
        <f>SUM('21 Oct Mon'!BJ162:BJ172,'22 Oct Tues'!BJ162:BJ172,'23 Oct Wed'!BJ162:BJ172,'24 Oct Thurs'!BJ162:BJ172,'25 Oct Fri'!BJ162:BJ172,'26 Oct Sat'!BJ162:BJ172)</f>
        <v>0</v>
      </c>
      <c r="AN162" s="379">
        <f>SUM('21 Oct Mon'!BK162:BK172,'22 Oct Tues'!BK162:BK172,'23 Oct Wed'!BK162:BK172,'24 Oct Thurs'!BK162:BK172,'25 Oct Fri'!BK162:BK172,'26 Oct Sat'!BK162:BK172)</f>
        <v>0</v>
      </c>
      <c r="AO162" s="385">
        <f>SUM('21 Oct Mon'!BL162:BL172,'22 Oct Tues'!BL162:BL172,'23 Oct Wed'!BL162:BL172,'24 Oct Thurs'!BL162:BL172,'25 Oct Fri'!BL162:BL172,'26 Oct Sat'!BL162:BL172)</f>
        <v>0</v>
      </c>
      <c r="AP162" s="386">
        <f>SUM('21 Oct Mon'!BM162:BM172,'22 Oct Tues'!BM162:BM172,'23 Oct Wed'!BM162:BM172,'24 Oct Thurs'!BM162:BM172,'25 Oct Fri'!BM162:BM172,'26 Oct Sat'!BM162:BM172)</f>
        <v>0</v>
      </c>
      <c r="AQ162" s="387">
        <f>SUM('21 Oct Mon'!BN162:BN172,'22 Oct Tues'!BN162:BN172,'23 Oct Wed'!BN162:BN172,'24 Oct Thurs'!BN162:BN172,'25 Oct Fri'!BN162:BN172,'26 Oct Sat'!BN162:BN172)</f>
        <v>0</v>
      </c>
      <c r="AR162" s="379">
        <f>SUM('21 Oct Mon'!BO162:BO172,'22 Oct Tues'!BO162:BO172,'23 Oct Wed'!BO162:BO172,'24 Oct Thurs'!BO162:BO172,'25 Oct Fri'!BO162:BO172,'26 Oct Sat'!BO162:BO172)</f>
        <v>0</v>
      </c>
      <c r="AS162" s="379">
        <f>SUM('21 Oct Mon'!BP162:BP172,'22 Oct Tues'!BP162:BP172,'23 Oct Wed'!BP162:BP172,'24 Oct Thurs'!BP162:BP172,'25 Oct Fri'!BP162:BP172,'26 Oct Sat'!BP162:BP172)</f>
        <v>0</v>
      </c>
      <c r="AT162" s="382">
        <f>SUM('21 Oct Mon'!BR162:BR172,'22 Oct Tues'!BR162:BR172,'23 Oct Wed'!BR162:BR172,'24 Oct Thurs'!BR162:BR172,'25 Oct Fri'!BR162:BR172,'26 Oct Sat'!BR162:BR172)</f>
        <v>0</v>
      </c>
      <c r="AU162" s="384">
        <f>SUM('21 Oct Mon'!BS162:BS172,'22 Oct Tues'!BS162:BS172,'23 Oct Wed'!BS162:BS172,'24 Oct Thurs'!BS162:BS172,'25 Oct Fri'!BS162:BS172,'26 Oct Sat'!BS162:BS172)</f>
        <v>0</v>
      </c>
      <c r="AV162" s="379">
        <f>SUM('21 Oct Mon'!BT162:BT172,'22 Oct Tues'!BT162:BT172,'23 Oct Wed'!BT162:BT172,'24 Oct Thurs'!BT162:BT172,'25 Oct Fri'!BT162:BT172,'26 Oct Sat'!BT162:BT172)</f>
        <v>0</v>
      </c>
      <c r="AW162" s="379">
        <f>SUM('21 Oct Mon'!BU162:BU172,'22 Oct Tues'!BU162:BU172,'23 Oct Wed'!BU162:BU172,'24 Oct Thurs'!BU162:BU172,'25 Oct Fri'!BU162:BU172,'26 Oct Sat'!BU162:BU172)</f>
        <v>0</v>
      </c>
      <c r="AX162" s="382">
        <f>SUM('21 Oct Mon'!BV162:BV172,'22 Oct Tues'!BV162:BV172,'23 Oct Wed'!BV162:BV172,'24 Oct Thurs'!BV162:BV172,'25 Oct Fri'!BV162:BV172,'26 Oct Sat'!BV162:BV172)</f>
        <v>0</v>
      </c>
      <c r="AY162" s="379">
        <f>SUM('21 Oct Mon'!BW162:BW172,'22 Oct Tues'!BW162:BW172,'23 Oct Wed'!BW162:BW172,'24 Oct Thurs'!BW162:BW172,'25 Oct Fri'!BW162:BW172,'26 Oct Sat'!BW162:BW172)</f>
        <v>0</v>
      </c>
      <c r="AZ162" s="385">
        <f>SUM('21 Oct Mon'!BX162:BX172,'22 Oct Tues'!BX162:BX172,'23 Oct Wed'!BX162:BX172,'24 Oct Thurs'!BX162:BX172,'25 Oct Fri'!BX162:BX172,'26 Oct Sat'!BX162:BX172)</f>
        <v>0</v>
      </c>
      <c r="BA162" s="386">
        <f>SUM('21 Oct Mon'!BY162:BY172,'22 Oct Tues'!BY162:BY172,'23 Oct Wed'!BY162:BY172,'24 Oct Thurs'!BY162:BY172,'25 Oct Fri'!BY162:BY172,'26 Oct Sat'!BY162:BY172)</f>
        <v>0</v>
      </c>
      <c r="BB162" s="386">
        <f>SUM('21 Oct Mon'!BZ162:BZ172,'22 Oct Tues'!BZ162:BZ172,'23 Oct Wed'!BZ162:BZ172,'24 Oct Thurs'!BZ162:BZ172,'25 Oct Fri'!BZ162:BZ172,'26 Oct Sat'!BZ162:BZ172)</f>
        <v>0</v>
      </c>
      <c r="BC162" s="386">
        <f>SUM('21 Oct Mon'!CA162:CA172,'22 Oct Tues'!CA162:CA172,'23 Oct Wed'!CA162:CA172,'24 Oct Thurs'!CA162:CA172,'25 Oct Fri'!CA162:CA172,'26 Oct Sat'!CA162:CA172)</f>
        <v>0</v>
      </c>
      <c r="BD162" s="386">
        <f>SUM('21 Oct Mon'!CB162:CB172,'22 Oct Tues'!CB162:CB172,'23 Oct Wed'!CB162:CB172,'24 Oct Thurs'!CB162:CB172,'25 Oct Fri'!CB162:CB172,'26 Oct Sat'!CB162:CB172)</f>
        <v>0</v>
      </c>
      <c r="BE162" s="386">
        <f>SUM('21 Oct Mon'!CC162:CC172,'22 Oct Tues'!CC162:CC172,'23 Oct Wed'!CC162:CC172,'24 Oct Thurs'!CC162:CC172,'25 Oct Fri'!CC162:CC172,'26 Oct Sat'!CC162:CC172)</f>
        <v>0</v>
      </c>
      <c r="BF162" s="386" t="str">
        <f>CONCATENATE("Mon-",'21 Oct Mon'!CD162:CD172,",Tues-",'22 Oct Tues'!CD162:CD172,",Wed-",'23 Oct Wed'!CD162:CD172,",Thurs-",'24 Oct Thurs'!CD162:CD172,",Fri-",'25 Oct Fri'!CD162:CD172,",Sat-",'26 Oct Sat'!CD162:CD172)</f>
        <v>Mon-,Tues-,Wed-,Thurs-,Fri-,Sat-</v>
      </c>
      <c r="BG162" s="388">
        <f>SUM('21 Oct Mon'!CE162:CE172,'22 Oct Tues'!CE162:CE172,'23 Oct Wed'!CE162:CE172,'24 Oct Thurs'!CE162:CE172,'25 Oct Fri'!CE162:CE172,'26 Oct Sat'!CE162:CE172)</f>
        <v>0</v>
      </c>
      <c r="BH162" s="389" t="str">
        <f>CONCATENATE("Mon-",'21 Oct Mon'!CF162:CF172,",Tues-",'22 Oct Tues'!CF162:CF172,",Wed-",'23 Oct Wed'!CF162:CF172,",Thurs-",'24 Oct Thurs'!CF162:CF172,",Fri-",'25 Oct Fri'!CF162:CF172,",Sat-",'26 Oct Sat'!CF162:CF172)</f>
        <v>Mon-,Tues-,Wed-,Thurs-,Fri-,Sat-</v>
      </c>
      <c r="BI162" s="383">
        <f>SUM('21 Oct Mon'!CG162:CG172,'22 Oct Tues'!CG162:CG172,'23 Oct Wed'!CG162:CG172,'24 Oct Thurs'!CG162:CG172,'25 Oct Fri'!CG162:CG172,'26 Oct Sat'!CG162:CG172)</f>
        <v>0</v>
      </c>
      <c r="BJ162" s="382">
        <f>SUM('21 Oct Mon'!CH162:CH172,'22 Oct Tues'!CH162:CH172,'23 Oct Wed'!CH162:CH172,'24 Oct Thurs'!CH162:CH172,'25 Oct Fri'!CH162:CH172,'26 Oct Sat'!CH162:CH172)</f>
        <v>0</v>
      </c>
      <c r="BK162" s="384">
        <f>SUM('21 Oct Mon'!CI162:CI172,'22 Oct Tues'!CI162:CI172,'23 Oct Wed'!CI162:CI172,'24 Oct Thurs'!CI162:CI172,'25 Oct Fri'!CI162:CI172,'26 Oct Sat'!CI162:CI172)</f>
        <v>0</v>
      </c>
      <c r="BL162" s="382" t="str">
        <f>CONCATENATE("Mon-",'21 Oct Mon'!CJ162:CJ172,",Tues-",'22 Oct Tues'!CJ162:CJ172,",Wed-",'23 Oct Wed'!CJ162:CJ172,",Thurs-",'24 Oct Thurs'!CJ162:CJ172,",Fri-",'25 Oct Fri'!CJ162:CJ172,",Sat-",'26 Oct Sat'!CJ162:CJ172)</f>
        <v>Mon-,Tues-,Wed-,Thurs-,Fri-,Sat-</v>
      </c>
      <c r="BM162" s="384">
        <f>SUM('21 Oct Mon'!CK162:CK172,'22 Oct Tues'!CK162:CK172,'23 Oct Wed'!CK162:CK172,'24 Oct Thurs'!CK162:CK172,'25 Oct Fri'!CK162:CK172,'26 Oct Sat'!CK162:CK172)</f>
        <v>0</v>
      </c>
      <c r="BN162" s="382" t="str">
        <f>CONCATENATE("Mon-",'21 Oct Mon'!CL162:CL172,",Tues-",'22 Oct Tues'!CL162:CL172,",Wed-",'23 Oct Wed'!CL162:CL172,",Thurs-",'24 Oct Thurs'!CL162:CL172,",Fri-",'25 Oct Fri'!CL162:CL172,",Sat-",'26 Oct Sat'!CL162:CL172)</f>
        <v>Mon-,Tues-,Wed-,Thurs-,Fri-,Sat-</v>
      </c>
      <c r="BO162" s="384">
        <f>SUM('21 Oct Mon'!CM162:CM172,'22 Oct Tues'!CM162:CM172,'23 Oct Wed'!CM162:CM172,'24 Oct Thurs'!CM162:CM172,'25 Oct Fri'!CM162:CM172,'26 Oct Sat'!CM162:CM172)</f>
        <v>0</v>
      </c>
      <c r="BP162" s="385" t="str">
        <f>CONCATENATE("Mon-",'21 Oct Mon'!CN162:CN172,",Tues-",'22 Oct Tues'!CN162:CN172,",Wed-",'23 Oct Wed'!CN162:CN172,",Thurs-",'24 Oct Thurs'!CN162:CN172,",Fri-",'25 Oct Fri'!CN162:CN172,",Sat-",'26 Oct Sat'!CN162:CN172)</f>
        <v>Mon-,Tues-,Wed-,Thurs-,Fri-,Sat-</v>
      </c>
      <c r="BQ162" s="387">
        <f>SUM('21 Oct Mon'!CO162:CO172,'22 Oct Tues'!CO162:CO172,'23 Oct Wed'!CO162:CO172,'24 Oct Thurs'!CO162:CO172,'25 Oct Fri'!CO162:CO172,'26 Oct Sat'!CO162:CO172)</f>
        <v>0</v>
      </c>
      <c r="BR162" s="379" t="str">
        <f>CONCATENATE("Mon-",'21 Oct Mon'!CP162:CP172,",Tues-",'22 Oct Tues'!CP162:CP172,",Wed-",'23 Oct Wed'!CP162:CP172,",Thurs-",'24 Oct Thurs'!CP162:CP172,",Fri-",'25 Oct Fri'!CP162:CP172,",Sat-",'26 Oct Sat'!CP162:CP172)</f>
        <v>Mon-,Tues-,Wed-,Thurs-,Fri-,Sat-</v>
      </c>
      <c r="BS162" s="390">
        <f>SUM('21 Oct Mon'!CQ162:CQ172,'22 Oct Tues'!CQ162:CQ172,'23 Oct Wed'!CQ162:CQ172,'24 Oct Thurs'!CQ162:CQ172,'25 Oct Fri'!CQ162:CQ172,'26 Oct Sat'!CQ162:CQ172)</f>
        <v>0</v>
      </c>
      <c r="BT162" s="390">
        <f>SUM('21 Oct Mon'!CR162:CR172,'22 Oct Tues'!CR162:CR172,'23 Oct Wed'!CR162:CR172,'24 Oct Thurs'!CR162:CR172,'25 Oct Fri'!CR162:CR172,'26 Oct Sat'!CR162:CR172)</f>
        <v>0</v>
      </c>
      <c r="BU162" s="391">
        <f>SUM('21 Oct Mon'!CS162:CS172,'22 Oct Tues'!CS162:CS172,'23 Oct Wed'!CS162:CS172,'24 Oct Thurs'!CS162:CS172,'25 Oct Fri'!CS162:CS172,'26 Oct Sat'!CS162:CS172)</f>
        <v>0</v>
      </c>
      <c r="BV162" s="392">
        <f>SUM('21 Oct Mon'!CT162:CT172,'22 Oct Tues'!CT162:CT172,'23 Oct Wed'!CT162:CT172,'24 Oct Thurs'!CT162:CT172,'25 Oct Fri'!CT162:CT172,'26 Oct Sat'!CT162:CT172)</f>
        <v>0</v>
      </c>
      <c r="BW162" s="393" t="str">
        <f>LEFT(U162,FIND("(",U162,1)-2)</f>
        <v>0</v>
      </c>
      <c r="BX162" s="394"/>
    </row>
    <row r="163" ht="15.75" hidden="1" customHeight="1">
      <c r="A163" s="65"/>
      <c r="B163" s="65"/>
      <c r="C163" s="416"/>
      <c r="D163" s="430"/>
      <c r="E163" s="431"/>
      <c r="F163" s="431"/>
      <c r="G163" s="431"/>
      <c r="H163" s="429"/>
      <c r="I163" s="431"/>
      <c r="J163" s="397"/>
      <c r="K163" s="398">
        <f t="shared" si="1"/>
        <v>0</v>
      </c>
      <c r="L163" s="173"/>
      <c r="M163" s="173"/>
      <c r="N163" s="177"/>
      <c r="O163" s="178"/>
      <c r="P163" s="178"/>
      <c r="Q163" s="178"/>
      <c r="R163" s="178"/>
      <c r="S163" s="182"/>
      <c r="T163" s="65"/>
      <c r="U163" s="64"/>
      <c r="V163" s="66"/>
      <c r="W163" s="173"/>
      <c r="X163" s="173"/>
      <c r="Y163" s="65"/>
      <c r="Z163" s="65"/>
      <c r="AA163" s="65"/>
      <c r="AB163" s="65"/>
      <c r="AC163" s="173"/>
      <c r="AD163" s="166"/>
      <c r="AE163" s="166"/>
      <c r="AF163" s="166"/>
      <c r="AG163" s="166"/>
      <c r="AH163" s="65"/>
      <c r="AJ163" s="177"/>
      <c r="AK163" s="178"/>
      <c r="AL163" s="181"/>
      <c r="AM163" s="166"/>
      <c r="AN163" s="166"/>
      <c r="AO163" s="177"/>
      <c r="AP163" s="178"/>
      <c r="AQ163" s="181"/>
      <c r="AR163" s="166"/>
      <c r="AS163" s="166"/>
      <c r="AT163" s="177"/>
      <c r="AU163" s="181"/>
      <c r="AV163" s="166"/>
      <c r="AW163" s="166"/>
      <c r="AX163" s="177"/>
      <c r="AY163" s="166"/>
      <c r="AZ163" s="177"/>
      <c r="BA163" s="178"/>
      <c r="BB163" s="178"/>
      <c r="BC163" s="178"/>
      <c r="BD163" s="178"/>
      <c r="BE163" s="178"/>
      <c r="BF163" s="178"/>
      <c r="BG163" s="179"/>
      <c r="BH163" s="180"/>
      <c r="BI163" s="178"/>
      <c r="BJ163" s="177"/>
      <c r="BK163" s="181"/>
      <c r="BL163" s="177"/>
      <c r="BM163" s="181"/>
      <c r="BN163" s="177"/>
      <c r="BO163" s="181"/>
      <c r="BP163" s="177"/>
      <c r="BQ163" s="181"/>
      <c r="BR163" s="166"/>
      <c r="BS163" s="166"/>
      <c r="BT163" s="166"/>
      <c r="BU163" s="65"/>
      <c r="BW163" s="178"/>
      <c r="BX163" s="399"/>
    </row>
    <row r="164" ht="15.75" hidden="1" customHeight="1">
      <c r="A164" s="65"/>
      <c r="B164" s="65"/>
      <c r="C164" s="416"/>
      <c r="D164" s="430"/>
      <c r="E164" s="431"/>
      <c r="F164" s="431"/>
      <c r="G164" s="431"/>
      <c r="H164" s="431"/>
      <c r="I164" s="431"/>
      <c r="J164" s="397"/>
      <c r="K164" s="398">
        <f t="shared" si="1"/>
        <v>0</v>
      </c>
      <c r="L164" s="173"/>
      <c r="M164" s="173"/>
      <c r="N164" s="177"/>
      <c r="O164" s="178"/>
      <c r="P164" s="178"/>
      <c r="Q164" s="178"/>
      <c r="R164" s="178"/>
      <c r="S164" s="182"/>
      <c r="T164" s="65"/>
      <c r="U164" s="64"/>
      <c r="V164" s="66"/>
      <c r="W164" s="173"/>
      <c r="X164" s="173"/>
      <c r="Y164" s="65"/>
      <c r="Z164" s="65"/>
      <c r="AA164" s="65"/>
      <c r="AB164" s="65"/>
      <c r="AC164" s="173"/>
      <c r="AD164" s="166"/>
      <c r="AE164" s="166"/>
      <c r="AF164" s="166"/>
      <c r="AG164" s="166"/>
      <c r="AH164" s="65"/>
      <c r="AJ164" s="177"/>
      <c r="AK164" s="178"/>
      <c r="AL164" s="181"/>
      <c r="AM164" s="166"/>
      <c r="AN164" s="166"/>
      <c r="AO164" s="177"/>
      <c r="AP164" s="178"/>
      <c r="AQ164" s="181"/>
      <c r="AR164" s="166"/>
      <c r="AS164" s="166"/>
      <c r="AT164" s="177"/>
      <c r="AU164" s="181"/>
      <c r="AV164" s="166"/>
      <c r="AW164" s="166"/>
      <c r="AX164" s="177"/>
      <c r="AY164" s="166"/>
      <c r="AZ164" s="177"/>
      <c r="BA164" s="178"/>
      <c r="BB164" s="178"/>
      <c r="BC164" s="178"/>
      <c r="BD164" s="178"/>
      <c r="BE164" s="178"/>
      <c r="BF164" s="178"/>
      <c r="BG164" s="179"/>
      <c r="BH164" s="180"/>
      <c r="BI164" s="178"/>
      <c r="BJ164" s="177"/>
      <c r="BK164" s="181"/>
      <c r="BL164" s="177"/>
      <c r="BM164" s="181"/>
      <c r="BN164" s="177"/>
      <c r="BO164" s="181"/>
      <c r="BP164" s="177"/>
      <c r="BQ164" s="181"/>
      <c r="BR164" s="166"/>
      <c r="BS164" s="166"/>
      <c r="BT164" s="166"/>
      <c r="BU164" s="65"/>
      <c r="BW164" s="178"/>
      <c r="BX164" s="399"/>
    </row>
    <row r="165" ht="15.75" hidden="1" customHeight="1">
      <c r="A165" s="65"/>
      <c r="B165" s="65"/>
      <c r="C165" s="416"/>
      <c r="D165" s="430"/>
      <c r="E165" s="431"/>
      <c r="F165" s="431"/>
      <c r="G165" s="431"/>
      <c r="H165" s="431"/>
      <c r="I165" s="431"/>
      <c r="J165" s="397"/>
      <c r="K165" s="398">
        <f t="shared" si="1"/>
        <v>0</v>
      </c>
      <c r="L165" s="173"/>
      <c r="M165" s="173"/>
      <c r="N165" s="177"/>
      <c r="O165" s="178"/>
      <c r="P165" s="178"/>
      <c r="Q165" s="178"/>
      <c r="R165" s="178"/>
      <c r="S165" s="182"/>
      <c r="T165" s="65"/>
      <c r="U165" s="64"/>
      <c r="V165" s="66"/>
      <c r="W165" s="173"/>
      <c r="X165" s="173"/>
      <c r="Y165" s="65"/>
      <c r="Z165" s="65"/>
      <c r="AA165" s="65"/>
      <c r="AB165" s="65"/>
      <c r="AC165" s="173"/>
      <c r="AD165" s="166"/>
      <c r="AE165" s="166"/>
      <c r="AF165" s="166"/>
      <c r="AG165" s="166"/>
      <c r="AH165" s="65"/>
      <c r="AJ165" s="177"/>
      <c r="AK165" s="178"/>
      <c r="AL165" s="181"/>
      <c r="AM165" s="166"/>
      <c r="AN165" s="166"/>
      <c r="AO165" s="177"/>
      <c r="AP165" s="178"/>
      <c r="AQ165" s="181"/>
      <c r="AR165" s="166"/>
      <c r="AS165" s="166"/>
      <c r="AT165" s="177"/>
      <c r="AU165" s="181"/>
      <c r="AV165" s="166"/>
      <c r="AW165" s="166"/>
      <c r="AX165" s="177"/>
      <c r="AY165" s="166"/>
      <c r="AZ165" s="177"/>
      <c r="BA165" s="178"/>
      <c r="BB165" s="178"/>
      <c r="BC165" s="178"/>
      <c r="BD165" s="178"/>
      <c r="BE165" s="178"/>
      <c r="BF165" s="178"/>
      <c r="BG165" s="179"/>
      <c r="BH165" s="180"/>
      <c r="BI165" s="178"/>
      <c r="BJ165" s="177"/>
      <c r="BK165" s="181"/>
      <c r="BL165" s="177"/>
      <c r="BM165" s="181"/>
      <c r="BN165" s="177"/>
      <c r="BO165" s="181"/>
      <c r="BP165" s="177"/>
      <c r="BQ165" s="181"/>
      <c r="BR165" s="166"/>
      <c r="BS165" s="166"/>
      <c r="BT165" s="166"/>
      <c r="BU165" s="65"/>
      <c r="BW165" s="178"/>
      <c r="BX165" s="399"/>
    </row>
    <row r="166" ht="15.75" hidden="1" customHeight="1">
      <c r="A166" s="65"/>
      <c r="B166" s="65"/>
      <c r="C166" s="416"/>
      <c r="D166" s="430"/>
      <c r="E166" s="431"/>
      <c r="F166" s="431"/>
      <c r="G166" s="431"/>
      <c r="H166" s="431"/>
      <c r="I166" s="431"/>
      <c r="J166" s="397"/>
      <c r="K166" s="398">
        <f t="shared" si="1"/>
        <v>0</v>
      </c>
      <c r="L166" s="173"/>
      <c r="M166" s="173"/>
      <c r="N166" s="177"/>
      <c r="O166" s="178"/>
      <c r="P166" s="178"/>
      <c r="Q166" s="178"/>
      <c r="R166" s="178"/>
      <c r="S166" s="182"/>
      <c r="T166" s="65"/>
      <c r="U166" s="64"/>
      <c r="V166" s="66"/>
      <c r="W166" s="173"/>
      <c r="X166" s="173"/>
      <c r="Y166" s="65"/>
      <c r="Z166" s="65"/>
      <c r="AA166" s="65"/>
      <c r="AB166" s="65"/>
      <c r="AC166" s="173"/>
      <c r="AD166" s="166"/>
      <c r="AE166" s="166"/>
      <c r="AF166" s="166"/>
      <c r="AG166" s="166"/>
      <c r="AH166" s="65"/>
      <c r="AJ166" s="177"/>
      <c r="AK166" s="178"/>
      <c r="AL166" s="181"/>
      <c r="AM166" s="166"/>
      <c r="AN166" s="166"/>
      <c r="AO166" s="177"/>
      <c r="AP166" s="178"/>
      <c r="AQ166" s="181"/>
      <c r="AR166" s="166"/>
      <c r="AS166" s="166"/>
      <c r="AT166" s="177"/>
      <c r="AU166" s="181"/>
      <c r="AV166" s="166"/>
      <c r="AW166" s="166"/>
      <c r="AX166" s="177"/>
      <c r="AY166" s="166"/>
      <c r="AZ166" s="177"/>
      <c r="BA166" s="178"/>
      <c r="BB166" s="178"/>
      <c r="BC166" s="178"/>
      <c r="BD166" s="178"/>
      <c r="BE166" s="178"/>
      <c r="BF166" s="178"/>
      <c r="BG166" s="179"/>
      <c r="BH166" s="180"/>
      <c r="BI166" s="178"/>
      <c r="BJ166" s="177"/>
      <c r="BK166" s="181"/>
      <c r="BL166" s="177"/>
      <c r="BM166" s="181"/>
      <c r="BN166" s="177"/>
      <c r="BO166" s="181"/>
      <c r="BP166" s="177"/>
      <c r="BQ166" s="181"/>
      <c r="BR166" s="166"/>
      <c r="BS166" s="166"/>
      <c r="BT166" s="166"/>
      <c r="BU166" s="65"/>
      <c r="BW166" s="178"/>
      <c r="BX166" s="399"/>
    </row>
    <row r="167" ht="15.75" hidden="1" customHeight="1">
      <c r="A167" s="65"/>
      <c r="B167" s="65"/>
      <c r="C167" s="416"/>
      <c r="D167" s="430"/>
      <c r="E167" s="431"/>
      <c r="F167" s="431"/>
      <c r="G167" s="431"/>
      <c r="H167" s="431"/>
      <c r="I167" s="431"/>
      <c r="J167" s="397"/>
      <c r="K167" s="398">
        <f t="shared" si="1"/>
        <v>0</v>
      </c>
      <c r="L167" s="173"/>
      <c r="M167" s="173"/>
      <c r="N167" s="177"/>
      <c r="O167" s="178"/>
      <c r="P167" s="178"/>
      <c r="Q167" s="178"/>
      <c r="R167" s="178"/>
      <c r="S167" s="182"/>
      <c r="T167" s="65"/>
      <c r="U167" s="64"/>
      <c r="V167" s="66"/>
      <c r="W167" s="173"/>
      <c r="X167" s="173"/>
      <c r="Y167" s="65"/>
      <c r="Z167" s="65"/>
      <c r="AA167" s="65"/>
      <c r="AB167" s="65"/>
      <c r="AC167" s="173"/>
      <c r="AD167" s="166"/>
      <c r="AE167" s="166"/>
      <c r="AF167" s="166"/>
      <c r="AG167" s="166"/>
      <c r="AH167" s="65"/>
      <c r="AJ167" s="177"/>
      <c r="AK167" s="178"/>
      <c r="AL167" s="181"/>
      <c r="AM167" s="166"/>
      <c r="AN167" s="166"/>
      <c r="AO167" s="177"/>
      <c r="AP167" s="178"/>
      <c r="AQ167" s="181"/>
      <c r="AR167" s="166"/>
      <c r="AS167" s="166"/>
      <c r="AT167" s="177"/>
      <c r="AU167" s="181"/>
      <c r="AV167" s="166"/>
      <c r="AW167" s="166"/>
      <c r="AX167" s="177"/>
      <c r="AY167" s="166"/>
      <c r="AZ167" s="177"/>
      <c r="BA167" s="178"/>
      <c r="BB167" s="178"/>
      <c r="BC167" s="178"/>
      <c r="BD167" s="178"/>
      <c r="BE167" s="178"/>
      <c r="BF167" s="178"/>
      <c r="BG167" s="179"/>
      <c r="BH167" s="180"/>
      <c r="BI167" s="178"/>
      <c r="BJ167" s="177"/>
      <c r="BK167" s="181"/>
      <c r="BL167" s="177"/>
      <c r="BM167" s="181"/>
      <c r="BN167" s="177"/>
      <c r="BO167" s="181"/>
      <c r="BP167" s="177"/>
      <c r="BQ167" s="181"/>
      <c r="BR167" s="166"/>
      <c r="BS167" s="166"/>
      <c r="BT167" s="166"/>
      <c r="BU167" s="65"/>
      <c r="BW167" s="178"/>
      <c r="BX167" s="399"/>
    </row>
    <row r="168" ht="15.75" hidden="1" customHeight="1">
      <c r="A168" s="65"/>
      <c r="B168" s="65"/>
      <c r="C168" s="416"/>
      <c r="D168" s="430"/>
      <c r="E168" s="431"/>
      <c r="F168" s="431"/>
      <c r="G168" s="431"/>
      <c r="H168" s="431"/>
      <c r="I168" s="431"/>
      <c r="J168" s="397"/>
      <c r="K168" s="398">
        <f t="shared" si="1"/>
        <v>0</v>
      </c>
      <c r="L168" s="173"/>
      <c r="M168" s="173"/>
      <c r="N168" s="177"/>
      <c r="O168" s="178"/>
      <c r="P168" s="178"/>
      <c r="Q168" s="178"/>
      <c r="R168" s="178"/>
      <c r="S168" s="182"/>
      <c r="T168" s="65"/>
      <c r="U168" s="64"/>
      <c r="V168" s="66"/>
      <c r="W168" s="173"/>
      <c r="X168" s="173"/>
      <c r="Y168" s="65"/>
      <c r="Z168" s="65"/>
      <c r="AA168" s="65"/>
      <c r="AB168" s="65"/>
      <c r="AC168" s="173"/>
      <c r="AD168" s="166"/>
      <c r="AE168" s="166"/>
      <c r="AF168" s="166"/>
      <c r="AG168" s="166"/>
      <c r="AH168" s="65"/>
      <c r="AJ168" s="177"/>
      <c r="AK168" s="178"/>
      <c r="AL168" s="181"/>
      <c r="AM168" s="166"/>
      <c r="AN168" s="166"/>
      <c r="AO168" s="177"/>
      <c r="AP168" s="178"/>
      <c r="AQ168" s="181"/>
      <c r="AR168" s="166"/>
      <c r="AS168" s="166"/>
      <c r="AT168" s="177"/>
      <c r="AU168" s="181"/>
      <c r="AV168" s="166"/>
      <c r="AW168" s="166"/>
      <c r="AX168" s="177"/>
      <c r="AY168" s="166"/>
      <c r="AZ168" s="177"/>
      <c r="BA168" s="178"/>
      <c r="BB168" s="178"/>
      <c r="BC168" s="178"/>
      <c r="BD168" s="178"/>
      <c r="BE168" s="178"/>
      <c r="BF168" s="178"/>
      <c r="BG168" s="179"/>
      <c r="BH168" s="180"/>
      <c r="BI168" s="178"/>
      <c r="BJ168" s="177"/>
      <c r="BK168" s="181"/>
      <c r="BL168" s="177"/>
      <c r="BM168" s="181"/>
      <c r="BN168" s="177"/>
      <c r="BO168" s="181"/>
      <c r="BP168" s="177"/>
      <c r="BQ168" s="181"/>
      <c r="BR168" s="166"/>
      <c r="BS168" s="166"/>
      <c r="BT168" s="166"/>
      <c r="BU168" s="65"/>
      <c r="BW168" s="178"/>
      <c r="BX168" s="399"/>
    </row>
    <row r="169" ht="15.75" hidden="1" customHeight="1">
      <c r="A169" s="65"/>
      <c r="B169" s="65"/>
      <c r="C169" s="416"/>
      <c r="D169" s="430"/>
      <c r="E169" s="431"/>
      <c r="F169" s="431"/>
      <c r="G169" s="431"/>
      <c r="H169" s="431"/>
      <c r="I169" s="431"/>
      <c r="J169" s="397"/>
      <c r="K169" s="398">
        <f t="shared" si="1"/>
        <v>0</v>
      </c>
      <c r="L169" s="173"/>
      <c r="M169" s="173"/>
      <c r="N169" s="177"/>
      <c r="O169" s="178"/>
      <c r="P169" s="178"/>
      <c r="Q169" s="178"/>
      <c r="R169" s="178"/>
      <c r="S169" s="182"/>
      <c r="T169" s="65"/>
      <c r="U169" s="64"/>
      <c r="V169" s="66"/>
      <c r="W169" s="173"/>
      <c r="X169" s="173"/>
      <c r="Y169" s="65"/>
      <c r="Z169" s="65"/>
      <c r="AA169" s="65"/>
      <c r="AB169" s="65"/>
      <c r="AC169" s="173"/>
      <c r="AD169" s="166"/>
      <c r="AE169" s="166"/>
      <c r="AF169" s="166"/>
      <c r="AG169" s="166"/>
      <c r="AH169" s="65"/>
      <c r="AJ169" s="177"/>
      <c r="AK169" s="178"/>
      <c r="AL169" s="181"/>
      <c r="AM169" s="166"/>
      <c r="AN169" s="166"/>
      <c r="AO169" s="177"/>
      <c r="AP169" s="178"/>
      <c r="AQ169" s="181"/>
      <c r="AR169" s="166"/>
      <c r="AS169" s="166"/>
      <c r="AT169" s="177"/>
      <c r="AU169" s="181"/>
      <c r="AV169" s="166"/>
      <c r="AW169" s="166"/>
      <c r="AX169" s="177"/>
      <c r="AY169" s="166"/>
      <c r="AZ169" s="177"/>
      <c r="BA169" s="178"/>
      <c r="BB169" s="178"/>
      <c r="BC169" s="178"/>
      <c r="BD169" s="178"/>
      <c r="BE169" s="178"/>
      <c r="BF169" s="178"/>
      <c r="BG169" s="179"/>
      <c r="BH169" s="180"/>
      <c r="BI169" s="178"/>
      <c r="BJ169" s="177"/>
      <c r="BK169" s="181"/>
      <c r="BL169" s="177"/>
      <c r="BM169" s="181"/>
      <c r="BN169" s="177"/>
      <c r="BO169" s="181"/>
      <c r="BP169" s="177"/>
      <c r="BQ169" s="181"/>
      <c r="BR169" s="166"/>
      <c r="BS169" s="166"/>
      <c r="BT169" s="166"/>
      <c r="BU169" s="65"/>
      <c r="BW169" s="178"/>
      <c r="BX169" s="399"/>
    </row>
    <row r="170" ht="15.75" hidden="1" customHeight="1">
      <c r="A170" s="65"/>
      <c r="B170" s="65"/>
      <c r="C170" s="416"/>
      <c r="D170" s="430"/>
      <c r="E170" s="431"/>
      <c r="F170" s="431"/>
      <c r="G170" s="431"/>
      <c r="H170" s="431"/>
      <c r="I170" s="431"/>
      <c r="J170" s="397"/>
      <c r="K170" s="398">
        <f t="shared" si="1"/>
        <v>0</v>
      </c>
      <c r="L170" s="173"/>
      <c r="M170" s="173"/>
      <c r="N170" s="177"/>
      <c r="O170" s="178"/>
      <c r="P170" s="178"/>
      <c r="Q170" s="178"/>
      <c r="R170" s="178"/>
      <c r="S170" s="182"/>
      <c r="T170" s="65"/>
      <c r="U170" s="64"/>
      <c r="V170" s="66"/>
      <c r="W170" s="173"/>
      <c r="X170" s="173"/>
      <c r="Y170" s="65"/>
      <c r="Z170" s="65"/>
      <c r="AA170" s="65"/>
      <c r="AB170" s="65"/>
      <c r="AC170" s="173"/>
      <c r="AD170" s="166"/>
      <c r="AE170" s="166"/>
      <c r="AF170" s="166"/>
      <c r="AG170" s="166"/>
      <c r="AH170" s="65"/>
      <c r="AJ170" s="177"/>
      <c r="AK170" s="178"/>
      <c r="AL170" s="181"/>
      <c r="AM170" s="166"/>
      <c r="AN170" s="166"/>
      <c r="AO170" s="177"/>
      <c r="AP170" s="178"/>
      <c r="AQ170" s="181"/>
      <c r="AR170" s="166"/>
      <c r="AS170" s="166"/>
      <c r="AT170" s="177"/>
      <c r="AU170" s="181"/>
      <c r="AV170" s="166"/>
      <c r="AW170" s="166"/>
      <c r="AX170" s="177"/>
      <c r="AY170" s="166"/>
      <c r="AZ170" s="177"/>
      <c r="BA170" s="178"/>
      <c r="BB170" s="178"/>
      <c r="BC170" s="178"/>
      <c r="BD170" s="178"/>
      <c r="BE170" s="178"/>
      <c r="BF170" s="178"/>
      <c r="BG170" s="179"/>
      <c r="BH170" s="180"/>
      <c r="BI170" s="178"/>
      <c r="BJ170" s="177"/>
      <c r="BK170" s="181"/>
      <c r="BL170" s="177"/>
      <c r="BM170" s="181"/>
      <c r="BN170" s="177"/>
      <c r="BO170" s="181"/>
      <c r="BP170" s="177"/>
      <c r="BQ170" s="181"/>
      <c r="BR170" s="166"/>
      <c r="BS170" s="166"/>
      <c r="BT170" s="166"/>
      <c r="BU170" s="65"/>
      <c r="BW170" s="178"/>
      <c r="BX170" s="399"/>
    </row>
    <row r="171" ht="15.75" hidden="1" customHeight="1">
      <c r="A171" s="65"/>
      <c r="B171" s="65"/>
      <c r="C171" s="416"/>
      <c r="D171" s="430"/>
      <c r="E171" s="431"/>
      <c r="F171" s="431"/>
      <c r="G171" s="431"/>
      <c r="H171" s="431"/>
      <c r="I171" s="431"/>
      <c r="J171" s="397"/>
      <c r="K171" s="398">
        <f t="shared" si="1"/>
        <v>0</v>
      </c>
      <c r="L171" s="173"/>
      <c r="M171" s="173"/>
      <c r="N171" s="177"/>
      <c r="O171" s="178"/>
      <c r="P171" s="178"/>
      <c r="Q171" s="178"/>
      <c r="R171" s="178"/>
      <c r="S171" s="182"/>
      <c r="T171" s="65"/>
      <c r="U171" s="64"/>
      <c r="V171" s="66"/>
      <c r="W171" s="173"/>
      <c r="X171" s="173"/>
      <c r="Y171" s="65"/>
      <c r="Z171" s="65"/>
      <c r="AA171" s="65"/>
      <c r="AB171" s="65"/>
      <c r="AC171" s="173"/>
      <c r="AD171" s="166"/>
      <c r="AE171" s="166"/>
      <c r="AF171" s="166"/>
      <c r="AG171" s="166"/>
      <c r="AH171" s="65"/>
      <c r="AJ171" s="177"/>
      <c r="AK171" s="178"/>
      <c r="AL171" s="181"/>
      <c r="AM171" s="166"/>
      <c r="AN171" s="166"/>
      <c r="AO171" s="177"/>
      <c r="AP171" s="178"/>
      <c r="AQ171" s="181"/>
      <c r="AR171" s="166"/>
      <c r="AS171" s="166"/>
      <c r="AT171" s="177"/>
      <c r="AU171" s="181"/>
      <c r="AV171" s="166"/>
      <c r="AW171" s="166"/>
      <c r="AX171" s="177"/>
      <c r="AY171" s="166"/>
      <c r="AZ171" s="177"/>
      <c r="BA171" s="178"/>
      <c r="BB171" s="178"/>
      <c r="BC171" s="178"/>
      <c r="BD171" s="178"/>
      <c r="BE171" s="178"/>
      <c r="BF171" s="178"/>
      <c r="BG171" s="179"/>
      <c r="BH171" s="180"/>
      <c r="BI171" s="178"/>
      <c r="BJ171" s="177"/>
      <c r="BK171" s="181"/>
      <c r="BL171" s="177"/>
      <c r="BM171" s="181"/>
      <c r="BN171" s="177"/>
      <c r="BO171" s="181"/>
      <c r="BP171" s="177"/>
      <c r="BQ171" s="181"/>
      <c r="BR171" s="166"/>
      <c r="BS171" s="166"/>
      <c r="BT171" s="166"/>
      <c r="BU171" s="65"/>
      <c r="BW171" s="178"/>
      <c r="BX171" s="399"/>
    </row>
    <row r="172" ht="15.75" hidden="1" customHeight="1">
      <c r="A172" s="89"/>
      <c r="B172" s="89"/>
      <c r="C172" s="417"/>
      <c r="D172" s="432"/>
      <c r="E172" s="433"/>
      <c r="F172" s="433"/>
      <c r="G172" s="433"/>
      <c r="H172" s="433"/>
      <c r="I172" s="433"/>
      <c r="J172" s="402"/>
      <c r="K172" s="403">
        <f t="shared" si="1"/>
        <v>0</v>
      </c>
      <c r="L172" s="69"/>
      <c r="M172" s="69"/>
      <c r="N172" s="192"/>
      <c r="O172" s="193"/>
      <c r="P172" s="193"/>
      <c r="Q172" s="193"/>
      <c r="R172" s="193"/>
      <c r="S172" s="197"/>
      <c r="T172" s="89"/>
      <c r="U172" s="103"/>
      <c r="V172" s="68"/>
      <c r="W172" s="69"/>
      <c r="X172" s="69"/>
      <c r="Y172" s="89"/>
      <c r="Z172" s="89"/>
      <c r="AA172" s="89"/>
      <c r="AB172" s="89"/>
      <c r="AC172" s="69"/>
      <c r="AD172" s="63"/>
      <c r="AE172" s="63"/>
      <c r="AF172" s="63"/>
      <c r="AG172" s="63"/>
      <c r="AH172" s="89"/>
      <c r="AI172" s="6"/>
      <c r="AJ172" s="192"/>
      <c r="AK172" s="193"/>
      <c r="AL172" s="196"/>
      <c r="AM172" s="63"/>
      <c r="AN172" s="63"/>
      <c r="AO172" s="192"/>
      <c r="AP172" s="193"/>
      <c r="AQ172" s="196"/>
      <c r="AR172" s="63"/>
      <c r="AS172" s="63"/>
      <c r="AT172" s="192"/>
      <c r="AU172" s="196"/>
      <c r="AV172" s="63"/>
      <c r="AW172" s="63"/>
      <c r="AX172" s="192"/>
      <c r="AY172" s="63"/>
      <c r="AZ172" s="192"/>
      <c r="BA172" s="193"/>
      <c r="BB172" s="193"/>
      <c r="BC172" s="193"/>
      <c r="BD172" s="193"/>
      <c r="BE172" s="193"/>
      <c r="BF172" s="193"/>
      <c r="BG172" s="194"/>
      <c r="BH172" s="195"/>
      <c r="BI172" s="193"/>
      <c r="BJ172" s="192"/>
      <c r="BK172" s="196"/>
      <c r="BL172" s="192"/>
      <c r="BM172" s="196"/>
      <c r="BN172" s="192"/>
      <c r="BO172" s="196"/>
      <c r="BP172" s="192"/>
      <c r="BQ172" s="196"/>
      <c r="BR172" s="63"/>
      <c r="BS172" s="63"/>
      <c r="BT172" s="63"/>
      <c r="BU172" s="89"/>
      <c r="BV172" s="6"/>
      <c r="BW172" s="198"/>
      <c r="BX172" s="404"/>
    </row>
    <row r="173" ht="61.5" hidden="1" customHeight="1">
      <c r="A173" s="125">
        <v>16.0</v>
      </c>
      <c r="B173" s="274"/>
      <c r="C173" s="427"/>
      <c r="D173" s="428"/>
      <c r="E173" s="429"/>
      <c r="F173" s="429"/>
      <c r="G173" s="429"/>
      <c r="H173" s="429"/>
      <c r="I173" s="429"/>
      <c r="J173" s="366"/>
      <c r="K173" s="367">
        <f t="shared" si="1"/>
        <v>0</v>
      </c>
      <c r="L173" s="368">
        <f>SUM(I173:I183)+SUM(K173:K183)*1</f>
        <v>0</v>
      </c>
      <c r="M173" s="368">
        <f>SUM('21 Oct Mon'!Q173:Q183,'22 Oct Tues'!Q173:Q183,'23 Oct Wed'!Q173:Q183,'24 Oct Thurs'!Q173:Q183,'25 Oct Fri'!Q173:Q183,'26 Oct Sat'!Q173:Q183)</f>
        <v>0</v>
      </c>
      <c r="N173" s="369">
        <f>SUM('21 Oct Mon'!R173:R183,'22 Oct Tues'!R173:R183,'23 Oct Wed'!R173:R183,'24 Oct Thurs'!R173:R183,'25 Oct Fri'!R173:R183,'26 Oct Sat'!R173:R183)</f>
        <v>0</v>
      </c>
      <c r="O173" s="370">
        <f>SUM(L173:N183)</f>
        <v>0</v>
      </c>
      <c r="P173" s="370">
        <f>SUM('21 Oct Mon'!T173:T183,'22 Oct Tues'!T173:T183,'23 Oct Wed'!T173:T183,'24 Oct Thurs'!T173:T183,'25 Oct Fri'!T173:T183,'26 Oct Sat'!T173:T183)</f>
        <v>0</v>
      </c>
      <c r="Q173" s="370">
        <f>SUM('21 Oct Mon'!U173:U183,'22 Oct Tues'!U173:U183,'23 Oct Wed'!U173:U183,'24 Oct Thurs'!U173:U183,'25 Oct Fri'!U173:U183,'26 Oct Sat'!U173:U183)</f>
        <v>0</v>
      </c>
      <c r="R173" s="370">
        <f>SUM('21 Oct Mon'!V173:V183,'22 Oct Tues'!V173:V183,'23 Oct Wed'!V173:V183,'24 Oct Thurs'!V173:V183,'25 Oct Fri'!V173:V183,'26 Oct Sat'!V173:V183)</f>
        <v>0</v>
      </c>
      <c r="S173" s="371">
        <f>SUM('21 Oct Mon'!W173:W183,'22 Oct Tues'!W173:W183,'23 Oct Wed'!W173:W183,'24 Oct Thurs'!W173:W183,'25 Oct Fri'!W173:W183,'26 Oct Sat'!W173:W183)</f>
        <v>0</v>
      </c>
      <c r="T173" s="372">
        <f>O173-P173-Q173-R173-S173</f>
        <v>0</v>
      </c>
      <c r="U173" s="373" t="str">
        <f>CONCATENATE(SUM('21 Oct Mon'!O173:O183,'22 Oct Tues'!O173:O183,'23 Oct Wed'!O173:O183,'24 Oct Thurs'!O173:O183,'25 Oct Fri'!O173:O183,'26 Oct Sat'!O173:O183),"
(",(SUM('21 Oct Mon'!O173:O183,'22 Oct Tues'!O173:O183,'23 Oct Wed'!O173:O183,'24 Oct Thurs'!O173:O183,'25 Oct Fri'!O173:O183,'26 Oct Sat'!O173:O183)-T173),")")</f>
        <v>0
(0)</v>
      </c>
      <c r="V173" s="374" t="str">
        <f>CONCATENATE("Mon-",'21 Oct Mon'!Z173:Z183,",Tues-",'22 Oct Tues'!Z173:Z183,",Wed-",'23 Oct Wed'!Z173:Z183,",Thurs-",'24 Oct Thurs'!Z173:Z183,",Fri-",'25 Oct Fri'!Z173:Z183,",Sat-",'26 Oct Sat'!Z173:Z183)</f>
        <v>Mon-,Tues-,Wed-,Thurs-,Fri-,Sat-</v>
      </c>
      <c r="W173" s="375">
        <f>SUM('21 Oct Mon'!AI173:AI183,'22 Oct Tues'!AI173:AI183,'23 Oct Wed'!AI173:AI183,'24 Oct Thurs'!AI173:AI183,'25 Oct Fri'!AI173:AI183,'26 Oct Sat'!AI173:AI183)</f>
        <v>0</v>
      </c>
      <c r="X173" s="375">
        <f>SUM('21 Oct Mon'!AM173:AM183,'22 Oct Tues'!AM173:AM183,'23 Oct Wed'!AM173:AM183,'24 Oct Thurs'!AM173:AM183,'25 Oct Fri'!AM173:AM183,'26 Oct Sat'!AM173:AM183)</f>
        <v>0</v>
      </c>
      <c r="Y173" s="376">
        <f>SUM('21 Oct Mon'!AP173:AP183,'22 Oct Tues'!AP173:AP183,'23 Oct Wed'!AP173:AP183,'24 Oct Thurs'!AP173:AP183,'25 Oct Fri'!AP173:AP183,'26 Oct Sat'!AP173:AP183)</f>
        <v>0</v>
      </c>
      <c r="Z173" s="376">
        <f>SUM('21 Oct Mon'!AQ173:AQ183,'22 Oct Tues'!AQ173:AQ183,'23 Oct Wed'!AQ173:AQ183,'24 Oct Thurs'!AQ173:AQ183,'25 Oct Fri'!AQ173:AQ183,'26 Oct Sat'!AQ173:AQ183)</f>
        <v>0</v>
      </c>
      <c r="AA173" s="377">
        <f>SUM('21 Oct Mon'!AR173:AR183,'22 Oct Tues'!AR173:AR183,'23 Oct Wed'!AR173:AR183,'24 Oct Thurs'!AR173:AR183,'25 Oct Fri'!AR173:AR183,'26 Oct Sat'!AR173:AR183)</f>
        <v>0</v>
      </c>
      <c r="AB173" s="377">
        <f>SUM('21 Oct Mon'!AS173:AS183,'22 Oct Tues'!AS173:AS183,'23 Oct Wed'!AS173:AS183,'24 Oct Thurs'!AS173:AS183,'25 Oct Fri'!AS173:AS183,'26 Oct Sat'!AS173:AS183)</f>
        <v>0</v>
      </c>
      <c r="AC173" s="378">
        <f>SUM('21 Oct Mon'!AT173:AT183,'22 Oct Tues'!AT173:AT183,'23 Oct Wed'!AT173:AT183,'24 Oct Thurs'!AT173:AT183,'25 Oct Fri'!AT173:AT183,'26 Oct Sat'!AT173:AT183)</f>
        <v>0</v>
      </c>
      <c r="AD173" s="379">
        <f>SUM('21 Oct Mon'!AU173:AU183,'22 Oct Tues'!AU173:AU183,'23 Oct Wed'!AU173:AU183,'24 Oct Thurs'!AU173:AU183,'25 Oct Fri'!AU173:AU183,'26 Oct Sat'!AU173:AU183)</f>
        <v>0</v>
      </c>
      <c r="AE173" s="379">
        <f>SUM('21 Oct Mon'!AV173:AV183,'22 Oct Tues'!AV173:AV183,'23 Oct Wed'!AV173:AV183,'24 Oct Thurs'!AV173:AV183,'25 Oct Fri'!AV173:AV183,'26 Oct Sat'!AV173:AV183)</f>
        <v>0</v>
      </c>
      <c r="AF173" s="379">
        <f>SUM('21 Oct Mon'!AW173:AW183,'22 Oct Tues'!AW173:AW183,'23 Oct Wed'!AW173:AW183,'24 Oct Thurs'!AW173:AW183,'25 Oct Fri'!AW173:AW183,'26 Oct Sat'!AW173:AW183)</f>
        <v>0</v>
      </c>
      <c r="AG173" s="379">
        <f>SUM('21 Oct Mon'!AX173:AX183,'22 Oct Tues'!AX173:AX183,'23 Oct Wed'!AX173:AX183,'24 Oct Thurs'!AX173:AX183,'25 Oct Fri'!AX173:AX183,'26 Oct Sat'!AX173:AX183)</f>
        <v>0</v>
      </c>
      <c r="AH173" s="380">
        <f>SUM('21 Oct Mon'!AY173:AY183,'22 Oct Tues'!AY173:AY183,'23 Oct Wed'!AY173:AY183,'24 Oct Thurs'!AY173:AY183,'25 Oct Fri'!AY173:AY183,'26 Oct Sat'!AY173:AY183)</f>
        <v>0</v>
      </c>
      <c r="AI173" s="381">
        <f>SUM('21 Oct Mon'!AZ173:AZ183,'22 Oct Tues'!AZ173:AZ183,'23 Oct Wed'!AZ173:AZ183,'24 Oct Thurs'!AZ173:AZ183,'25 Oct Fri'!AZ173:AZ183,'26 Oct Sat'!AZ173:AZ183)</f>
        <v>0</v>
      </c>
      <c r="AJ173" s="382">
        <f>SUM('21 Oct Mon'!BG173:BG183,'22 Oct Tues'!BG173:BG183,'23 Oct Wed'!BG173:BG183,'24 Oct Thurs'!BG173:BG183,'25 Oct Fri'!BG173:BG183,'26 Oct Sat'!BG173:BG183)</f>
        <v>0</v>
      </c>
      <c r="AK173" s="383">
        <f>SUM('21 Oct Mon'!BH173:BH183,'22 Oct Tues'!BH173:BH183,'23 Oct Wed'!BH173:BH183,'24 Oct Thurs'!BH173:BH183,'25 Oct Fri'!BH173:BH183,'26 Oct Sat'!BH173:BH183)</f>
        <v>0</v>
      </c>
      <c r="AL173" s="384">
        <f>SUM('21 Oct Mon'!BI173:BI183,'22 Oct Tues'!BI173:BI183,'23 Oct Wed'!BI173:BI183,'24 Oct Thurs'!BI173:BI183,'25 Oct Fri'!BI173:BI183,'26 Oct Sat'!BI173:BI183)</f>
        <v>0</v>
      </c>
      <c r="AM173" s="379">
        <f>SUM('21 Oct Mon'!BJ173:BJ183,'22 Oct Tues'!BJ173:BJ183,'23 Oct Wed'!BJ173:BJ183,'24 Oct Thurs'!BJ173:BJ183,'25 Oct Fri'!BJ173:BJ183,'26 Oct Sat'!BJ173:BJ183)</f>
        <v>0</v>
      </c>
      <c r="AN173" s="379">
        <f>SUM('21 Oct Mon'!BK173:BK183,'22 Oct Tues'!BK173:BK183,'23 Oct Wed'!BK173:BK183,'24 Oct Thurs'!BK173:BK183,'25 Oct Fri'!BK173:BK183,'26 Oct Sat'!BK173:BK183)</f>
        <v>0</v>
      </c>
      <c r="AO173" s="385">
        <f>SUM('21 Oct Mon'!BL173:BL183,'22 Oct Tues'!BL173:BL183,'23 Oct Wed'!BL173:BL183,'24 Oct Thurs'!BL173:BL183,'25 Oct Fri'!BL173:BL183,'26 Oct Sat'!BL173:BL183)</f>
        <v>0</v>
      </c>
      <c r="AP173" s="386">
        <f>SUM('21 Oct Mon'!BM173:BM183,'22 Oct Tues'!BM173:BM183,'23 Oct Wed'!BM173:BM183,'24 Oct Thurs'!BM173:BM183,'25 Oct Fri'!BM173:BM183,'26 Oct Sat'!BM173:BM183)</f>
        <v>0</v>
      </c>
      <c r="AQ173" s="387">
        <f>SUM('21 Oct Mon'!BN173:BN183,'22 Oct Tues'!BN173:BN183,'23 Oct Wed'!BN173:BN183,'24 Oct Thurs'!BN173:BN183,'25 Oct Fri'!BN173:BN183,'26 Oct Sat'!BN173:BN183)</f>
        <v>0</v>
      </c>
      <c r="AR173" s="379">
        <f>SUM('21 Oct Mon'!BO173:BO183,'22 Oct Tues'!BO173:BO183,'23 Oct Wed'!BO173:BO183,'24 Oct Thurs'!BO173:BO183,'25 Oct Fri'!BO173:BO183,'26 Oct Sat'!BO173:BO183)</f>
        <v>0</v>
      </c>
      <c r="AS173" s="379">
        <f>SUM('21 Oct Mon'!BP173:BP183,'22 Oct Tues'!BP173:BP183,'23 Oct Wed'!BP173:BP183,'24 Oct Thurs'!BP173:BP183,'25 Oct Fri'!BP173:BP183,'26 Oct Sat'!BP173:BP183)</f>
        <v>0</v>
      </c>
      <c r="AT173" s="382">
        <f>SUM('21 Oct Mon'!BR173:BR183,'22 Oct Tues'!BR173:BR183,'23 Oct Wed'!BR173:BR183,'24 Oct Thurs'!BR173:BR183,'25 Oct Fri'!BR173:BR183,'26 Oct Sat'!BR173:BR183)</f>
        <v>0</v>
      </c>
      <c r="AU173" s="384">
        <f>SUM('21 Oct Mon'!BS173:BS183,'22 Oct Tues'!BS173:BS183,'23 Oct Wed'!BS173:BS183,'24 Oct Thurs'!BS173:BS183,'25 Oct Fri'!BS173:BS183,'26 Oct Sat'!BS173:BS183)</f>
        <v>0</v>
      </c>
      <c r="AV173" s="379">
        <f>SUM('21 Oct Mon'!BT173:BT183,'22 Oct Tues'!BT173:BT183,'23 Oct Wed'!BT173:BT183,'24 Oct Thurs'!BT173:BT183,'25 Oct Fri'!BT173:BT183,'26 Oct Sat'!BT173:BT183)</f>
        <v>0</v>
      </c>
      <c r="AW173" s="379">
        <f>SUM('21 Oct Mon'!BU173:BU183,'22 Oct Tues'!BU173:BU183,'23 Oct Wed'!BU173:BU183,'24 Oct Thurs'!BU173:BU183,'25 Oct Fri'!BU173:BU183,'26 Oct Sat'!BU173:BU183)</f>
        <v>0</v>
      </c>
      <c r="AX173" s="382">
        <f>SUM('21 Oct Mon'!BV173:BV183,'22 Oct Tues'!BV173:BV183,'23 Oct Wed'!BV173:BV183,'24 Oct Thurs'!BV173:BV183,'25 Oct Fri'!BV173:BV183,'26 Oct Sat'!BV173:BV183)</f>
        <v>0</v>
      </c>
      <c r="AY173" s="379">
        <f>SUM('21 Oct Mon'!BW173:BW183,'22 Oct Tues'!BW173:BW183,'23 Oct Wed'!BW173:BW183,'24 Oct Thurs'!BW173:BW183,'25 Oct Fri'!BW173:BW183,'26 Oct Sat'!BW173:BW183)</f>
        <v>0</v>
      </c>
      <c r="AZ173" s="385">
        <f>SUM('21 Oct Mon'!BX173:BX183,'22 Oct Tues'!BX173:BX183,'23 Oct Wed'!BX173:BX183,'24 Oct Thurs'!BX173:BX183,'25 Oct Fri'!BX173:BX183,'26 Oct Sat'!BX173:BX183)</f>
        <v>0</v>
      </c>
      <c r="BA173" s="386">
        <f>SUM('21 Oct Mon'!BY173:BY183,'22 Oct Tues'!BY173:BY183,'23 Oct Wed'!BY173:BY183,'24 Oct Thurs'!BY173:BY183,'25 Oct Fri'!BY173:BY183,'26 Oct Sat'!BY173:BY183)</f>
        <v>0</v>
      </c>
      <c r="BB173" s="386">
        <f>SUM('21 Oct Mon'!BZ173:BZ183,'22 Oct Tues'!BZ173:BZ183,'23 Oct Wed'!BZ173:BZ183,'24 Oct Thurs'!BZ173:BZ183,'25 Oct Fri'!BZ173:BZ183,'26 Oct Sat'!BZ173:BZ183)</f>
        <v>0</v>
      </c>
      <c r="BC173" s="386">
        <f>SUM('21 Oct Mon'!CA173:CA183,'22 Oct Tues'!CA173:CA183,'23 Oct Wed'!CA173:CA183,'24 Oct Thurs'!CA173:CA183,'25 Oct Fri'!CA173:CA183,'26 Oct Sat'!CA173:CA183)</f>
        <v>0</v>
      </c>
      <c r="BD173" s="386">
        <f>SUM('21 Oct Mon'!CB173:CB183,'22 Oct Tues'!CB173:CB183,'23 Oct Wed'!CB173:CB183,'24 Oct Thurs'!CB173:CB183,'25 Oct Fri'!CB173:CB183,'26 Oct Sat'!CB173:CB183)</f>
        <v>0</v>
      </c>
      <c r="BE173" s="386">
        <f>SUM('21 Oct Mon'!CC173:CC183,'22 Oct Tues'!CC173:CC183,'23 Oct Wed'!CC173:CC183,'24 Oct Thurs'!CC173:CC183,'25 Oct Fri'!CC173:CC183,'26 Oct Sat'!CC173:CC183)</f>
        <v>0</v>
      </c>
      <c r="BF173" s="386" t="str">
        <f>CONCATENATE("Mon-",'21 Oct Mon'!CD173:CD183,",Tues-",'22 Oct Tues'!CD173:CD183,",Wed-",'23 Oct Wed'!CD173:CD183,",Thurs-",'24 Oct Thurs'!CD173:CD183,",Fri-",'25 Oct Fri'!CD173:CD183,",Sat-",'26 Oct Sat'!CD173:CD183)</f>
        <v>Mon-,Tues-,Wed-,Thurs-,Fri-,Sat-</v>
      </c>
      <c r="BG173" s="388">
        <f>SUM('21 Oct Mon'!CE173:CE183,'22 Oct Tues'!CE173:CE183,'23 Oct Wed'!CE173:CE183,'24 Oct Thurs'!CE173:CE183,'25 Oct Fri'!CE173:CE183,'26 Oct Sat'!CE173:CE183)</f>
        <v>0</v>
      </c>
      <c r="BH173" s="389" t="str">
        <f>CONCATENATE("Mon-",'21 Oct Mon'!CF173:CF183,",Tues-",'22 Oct Tues'!CF173:CF183,",Wed-",'23 Oct Wed'!CF173:CF183,",Thurs-",'24 Oct Thurs'!CF173:CF183,",Fri-",'25 Oct Fri'!CF173:CF183,",Sat-",'26 Oct Sat'!CF173:CF183)</f>
        <v>Mon-,Tues-,Wed-,Thurs-,Fri-,Sat-</v>
      </c>
      <c r="BI173" s="383">
        <f>SUM('21 Oct Mon'!CG173:CG183,'22 Oct Tues'!CG173:CG183,'23 Oct Wed'!CG173:CG183,'24 Oct Thurs'!CG173:CG183,'25 Oct Fri'!CG173:CG183,'26 Oct Sat'!CG173:CG183)</f>
        <v>0</v>
      </c>
      <c r="BJ173" s="382">
        <f>SUM('21 Oct Mon'!CH173:CH183,'22 Oct Tues'!CH173:CH183,'23 Oct Wed'!CH173:CH183,'24 Oct Thurs'!CH173:CH183,'25 Oct Fri'!CH173:CH183,'26 Oct Sat'!CH173:CH183)</f>
        <v>0</v>
      </c>
      <c r="BK173" s="384">
        <f>SUM('21 Oct Mon'!CI173:CI183,'22 Oct Tues'!CI173:CI183,'23 Oct Wed'!CI173:CI183,'24 Oct Thurs'!CI173:CI183,'25 Oct Fri'!CI173:CI183,'26 Oct Sat'!CI173:CI183)</f>
        <v>0</v>
      </c>
      <c r="BL173" s="382" t="str">
        <f>CONCATENATE("Mon-",'21 Oct Mon'!CJ173:CJ183,",Tues-",'22 Oct Tues'!CJ173:CJ183,",Wed-",'23 Oct Wed'!CJ173:CJ183,",Thurs-",'24 Oct Thurs'!CJ173:CJ183,",Fri-",'25 Oct Fri'!CJ173:CJ183,",Sat-",'26 Oct Sat'!CJ173:CJ183)</f>
        <v>Mon-,Tues-,Wed-,Thurs-,Fri-,Sat-</v>
      </c>
      <c r="BM173" s="384">
        <f>SUM('21 Oct Mon'!CK173:CK183,'22 Oct Tues'!CK173:CK183,'23 Oct Wed'!CK173:CK183,'24 Oct Thurs'!CK173:CK183,'25 Oct Fri'!CK173:CK183,'26 Oct Sat'!CK173:CK183)</f>
        <v>0</v>
      </c>
      <c r="BN173" s="382" t="str">
        <f>CONCATENATE("Mon-",'21 Oct Mon'!CL173:CL183,",Tues-",'22 Oct Tues'!CL173:CL183,",Wed-",'23 Oct Wed'!CL173:CL183,",Thurs-",'24 Oct Thurs'!CL173:CL183,",Fri-",'25 Oct Fri'!CL173:CL183,",Sat-",'26 Oct Sat'!CL173:CL183)</f>
        <v>Mon-,Tues-,Wed-,Thurs-,Fri-,Sat-</v>
      </c>
      <c r="BO173" s="384">
        <f>SUM('21 Oct Mon'!CM173:CM183,'22 Oct Tues'!CM173:CM183,'23 Oct Wed'!CM173:CM183,'24 Oct Thurs'!CM173:CM183,'25 Oct Fri'!CM173:CM183,'26 Oct Sat'!CM173:CM183)</f>
        <v>0</v>
      </c>
      <c r="BP173" s="385" t="str">
        <f>CONCATENATE("Mon-",'21 Oct Mon'!CN173:CN183,",Tues-",'22 Oct Tues'!CN173:CN183,",Wed-",'23 Oct Wed'!CN173:CN183,",Thurs-",'24 Oct Thurs'!CN173:CN183,",Fri-",'25 Oct Fri'!CN173:CN183,",Sat-",'26 Oct Sat'!CN173:CN183)</f>
        <v>Mon-,Tues-,Wed-,Thurs-,Fri-,Sat-</v>
      </c>
      <c r="BQ173" s="387">
        <f>SUM('21 Oct Mon'!CO173:CO183,'22 Oct Tues'!CO173:CO183,'23 Oct Wed'!CO173:CO183,'24 Oct Thurs'!CO173:CO183,'25 Oct Fri'!CO173:CO183,'26 Oct Sat'!CO173:CO183)</f>
        <v>0</v>
      </c>
      <c r="BR173" s="379" t="str">
        <f>CONCATENATE("Mon-",'21 Oct Mon'!CP173:CP183,",Tues-",'22 Oct Tues'!CP173:CP183,",Wed-",'23 Oct Wed'!CP173:CP183,",Thurs-",'24 Oct Thurs'!CP173:CP183,",Fri-",'25 Oct Fri'!CP173:CP183,",Sat-",'26 Oct Sat'!CP173:CP183)</f>
        <v>Mon-,Tues-,Wed-,Thurs-,Fri-,Sat-</v>
      </c>
      <c r="BS173" s="390">
        <f>SUM('21 Oct Mon'!CQ173:CQ183,'22 Oct Tues'!CQ173:CQ183,'23 Oct Wed'!CQ173:CQ183,'24 Oct Thurs'!CQ173:CQ183,'25 Oct Fri'!CQ173:CQ183,'26 Oct Sat'!CQ173:CQ183)</f>
        <v>0</v>
      </c>
      <c r="BT173" s="390">
        <f>SUM('21 Oct Mon'!CR173:CR183,'22 Oct Tues'!CR173:CR183,'23 Oct Wed'!CR173:CR183,'24 Oct Thurs'!CR173:CR183,'25 Oct Fri'!CR173:CR183,'26 Oct Sat'!CR173:CR183)</f>
        <v>0</v>
      </c>
      <c r="BU173" s="391">
        <f>SUM('21 Oct Mon'!CS173:CS183,'22 Oct Tues'!CS173:CS183,'23 Oct Wed'!CS173:CS183,'24 Oct Thurs'!CS173:CS183,'25 Oct Fri'!CS173:CS183,'26 Oct Sat'!CS173:CS183)</f>
        <v>0</v>
      </c>
      <c r="BV173" s="392">
        <f>SUM('21 Oct Mon'!CT173:CT183,'22 Oct Tues'!CT173:CT183,'23 Oct Wed'!CT173:CT183,'24 Oct Thurs'!CT173:CT183,'25 Oct Fri'!CT173:CT183,'26 Oct Sat'!CT173:CT183)</f>
        <v>0</v>
      </c>
      <c r="BW173" s="393" t="str">
        <f>LEFT(U173,FIND("(",U173,1)-2)</f>
        <v>0</v>
      </c>
      <c r="BX173" s="394"/>
    </row>
    <row r="174" ht="15.75" hidden="1" customHeight="1">
      <c r="A174" s="65"/>
      <c r="B174" s="65"/>
      <c r="C174" s="416"/>
      <c r="D174" s="430"/>
      <c r="E174" s="431"/>
      <c r="F174" s="431"/>
      <c r="G174" s="431"/>
      <c r="H174" s="429"/>
      <c r="I174" s="431"/>
      <c r="J174" s="397"/>
      <c r="K174" s="398">
        <f t="shared" si="1"/>
        <v>0</v>
      </c>
      <c r="L174" s="173"/>
      <c r="M174" s="173"/>
      <c r="N174" s="177"/>
      <c r="O174" s="178"/>
      <c r="P174" s="178"/>
      <c r="Q174" s="178"/>
      <c r="R174" s="178"/>
      <c r="S174" s="182"/>
      <c r="T174" s="65"/>
      <c r="U174" s="64"/>
      <c r="V174" s="66"/>
      <c r="W174" s="173"/>
      <c r="X174" s="173"/>
      <c r="Y174" s="65"/>
      <c r="Z174" s="65"/>
      <c r="AA174" s="65"/>
      <c r="AB174" s="65"/>
      <c r="AC174" s="173"/>
      <c r="AD174" s="166"/>
      <c r="AE174" s="166"/>
      <c r="AF174" s="166"/>
      <c r="AG174" s="166"/>
      <c r="AH174" s="65"/>
      <c r="AJ174" s="177"/>
      <c r="AK174" s="178"/>
      <c r="AL174" s="181"/>
      <c r="AM174" s="166"/>
      <c r="AN174" s="166"/>
      <c r="AO174" s="177"/>
      <c r="AP174" s="178"/>
      <c r="AQ174" s="181"/>
      <c r="AR174" s="166"/>
      <c r="AS174" s="166"/>
      <c r="AT174" s="177"/>
      <c r="AU174" s="181"/>
      <c r="AV174" s="166"/>
      <c r="AW174" s="166"/>
      <c r="AX174" s="177"/>
      <c r="AY174" s="166"/>
      <c r="AZ174" s="177"/>
      <c r="BA174" s="178"/>
      <c r="BB174" s="178"/>
      <c r="BC174" s="178"/>
      <c r="BD174" s="178"/>
      <c r="BE174" s="178"/>
      <c r="BF174" s="178"/>
      <c r="BG174" s="179"/>
      <c r="BH174" s="180"/>
      <c r="BI174" s="178"/>
      <c r="BJ174" s="177"/>
      <c r="BK174" s="181"/>
      <c r="BL174" s="177"/>
      <c r="BM174" s="181"/>
      <c r="BN174" s="177"/>
      <c r="BO174" s="181"/>
      <c r="BP174" s="177"/>
      <c r="BQ174" s="181"/>
      <c r="BR174" s="166"/>
      <c r="BS174" s="166"/>
      <c r="BT174" s="166"/>
      <c r="BU174" s="65"/>
      <c r="BW174" s="178"/>
      <c r="BX174" s="399"/>
    </row>
    <row r="175" ht="15.75" hidden="1" customHeight="1">
      <c r="A175" s="65"/>
      <c r="B175" s="65"/>
      <c r="C175" s="416"/>
      <c r="D175" s="430"/>
      <c r="E175" s="431"/>
      <c r="F175" s="431"/>
      <c r="G175" s="431"/>
      <c r="H175" s="431"/>
      <c r="I175" s="431"/>
      <c r="J175" s="397"/>
      <c r="K175" s="398">
        <f t="shared" si="1"/>
        <v>0</v>
      </c>
      <c r="L175" s="173"/>
      <c r="M175" s="173"/>
      <c r="N175" s="177"/>
      <c r="O175" s="178"/>
      <c r="P175" s="178"/>
      <c r="Q175" s="178"/>
      <c r="R175" s="178"/>
      <c r="S175" s="182"/>
      <c r="T175" s="65"/>
      <c r="U175" s="64"/>
      <c r="V175" s="66"/>
      <c r="W175" s="173"/>
      <c r="X175" s="173"/>
      <c r="Y175" s="65"/>
      <c r="Z175" s="65"/>
      <c r="AA175" s="65"/>
      <c r="AB175" s="65"/>
      <c r="AC175" s="173"/>
      <c r="AD175" s="166"/>
      <c r="AE175" s="166"/>
      <c r="AF175" s="166"/>
      <c r="AG175" s="166"/>
      <c r="AH175" s="65"/>
      <c r="AJ175" s="177"/>
      <c r="AK175" s="178"/>
      <c r="AL175" s="181"/>
      <c r="AM175" s="166"/>
      <c r="AN175" s="166"/>
      <c r="AO175" s="177"/>
      <c r="AP175" s="178"/>
      <c r="AQ175" s="181"/>
      <c r="AR175" s="166"/>
      <c r="AS175" s="166"/>
      <c r="AT175" s="177"/>
      <c r="AU175" s="181"/>
      <c r="AV175" s="166"/>
      <c r="AW175" s="166"/>
      <c r="AX175" s="177"/>
      <c r="AY175" s="166"/>
      <c r="AZ175" s="177"/>
      <c r="BA175" s="178"/>
      <c r="BB175" s="178"/>
      <c r="BC175" s="178"/>
      <c r="BD175" s="178"/>
      <c r="BE175" s="178"/>
      <c r="BF175" s="178"/>
      <c r="BG175" s="179"/>
      <c r="BH175" s="180"/>
      <c r="BI175" s="178"/>
      <c r="BJ175" s="177"/>
      <c r="BK175" s="181"/>
      <c r="BL175" s="177"/>
      <c r="BM175" s="181"/>
      <c r="BN175" s="177"/>
      <c r="BO175" s="181"/>
      <c r="BP175" s="177"/>
      <c r="BQ175" s="181"/>
      <c r="BR175" s="166"/>
      <c r="BS175" s="166"/>
      <c r="BT175" s="166"/>
      <c r="BU175" s="65"/>
      <c r="BW175" s="178"/>
      <c r="BX175" s="399"/>
    </row>
    <row r="176" ht="15.75" hidden="1" customHeight="1">
      <c r="A176" s="65"/>
      <c r="B176" s="65"/>
      <c r="C176" s="416"/>
      <c r="D176" s="430"/>
      <c r="E176" s="431"/>
      <c r="F176" s="431"/>
      <c r="G176" s="431"/>
      <c r="H176" s="431"/>
      <c r="I176" s="431"/>
      <c r="J176" s="397"/>
      <c r="K176" s="398">
        <f t="shared" si="1"/>
        <v>0</v>
      </c>
      <c r="L176" s="173"/>
      <c r="M176" s="173"/>
      <c r="N176" s="177"/>
      <c r="O176" s="178"/>
      <c r="P176" s="178"/>
      <c r="Q176" s="178"/>
      <c r="R176" s="178"/>
      <c r="S176" s="182"/>
      <c r="T176" s="65"/>
      <c r="U176" s="64"/>
      <c r="V176" s="66"/>
      <c r="W176" s="173"/>
      <c r="X176" s="173"/>
      <c r="Y176" s="65"/>
      <c r="Z176" s="65"/>
      <c r="AA176" s="65"/>
      <c r="AB176" s="65"/>
      <c r="AC176" s="173"/>
      <c r="AD176" s="166"/>
      <c r="AE176" s="166"/>
      <c r="AF176" s="166"/>
      <c r="AG176" s="166"/>
      <c r="AH176" s="65"/>
      <c r="AJ176" s="177"/>
      <c r="AK176" s="178"/>
      <c r="AL176" s="181"/>
      <c r="AM176" s="166"/>
      <c r="AN176" s="166"/>
      <c r="AO176" s="177"/>
      <c r="AP176" s="178"/>
      <c r="AQ176" s="181"/>
      <c r="AR176" s="166"/>
      <c r="AS176" s="166"/>
      <c r="AT176" s="177"/>
      <c r="AU176" s="181"/>
      <c r="AV176" s="166"/>
      <c r="AW176" s="166"/>
      <c r="AX176" s="177"/>
      <c r="AY176" s="166"/>
      <c r="AZ176" s="177"/>
      <c r="BA176" s="178"/>
      <c r="BB176" s="178"/>
      <c r="BC176" s="178"/>
      <c r="BD176" s="178"/>
      <c r="BE176" s="178"/>
      <c r="BF176" s="178"/>
      <c r="BG176" s="179"/>
      <c r="BH176" s="180"/>
      <c r="BI176" s="178"/>
      <c r="BJ176" s="177"/>
      <c r="BK176" s="181"/>
      <c r="BL176" s="177"/>
      <c r="BM176" s="181"/>
      <c r="BN176" s="177"/>
      <c r="BO176" s="181"/>
      <c r="BP176" s="177"/>
      <c r="BQ176" s="181"/>
      <c r="BR176" s="166"/>
      <c r="BS176" s="166"/>
      <c r="BT176" s="166"/>
      <c r="BU176" s="65"/>
      <c r="BW176" s="178"/>
      <c r="BX176" s="399"/>
    </row>
    <row r="177" ht="15.75" hidden="1" customHeight="1">
      <c r="A177" s="65"/>
      <c r="B177" s="65"/>
      <c r="C177" s="416"/>
      <c r="D177" s="430"/>
      <c r="E177" s="431"/>
      <c r="F177" s="431"/>
      <c r="G177" s="431"/>
      <c r="H177" s="431"/>
      <c r="I177" s="431"/>
      <c r="J177" s="397"/>
      <c r="K177" s="398">
        <f t="shared" si="1"/>
        <v>0</v>
      </c>
      <c r="L177" s="173"/>
      <c r="M177" s="173"/>
      <c r="N177" s="177"/>
      <c r="O177" s="178"/>
      <c r="P177" s="178"/>
      <c r="Q177" s="178"/>
      <c r="R177" s="178"/>
      <c r="S177" s="182"/>
      <c r="T177" s="65"/>
      <c r="U177" s="64"/>
      <c r="V177" s="66"/>
      <c r="W177" s="173"/>
      <c r="X177" s="173"/>
      <c r="Y177" s="65"/>
      <c r="Z177" s="65"/>
      <c r="AA177" s="65"/>
      <c r="AB177" s="65"/>
      <c r="AC177" s="173"/>
      <c r="AD177" s="166"/>
      <c r="AE177" s="166"/>
      <c r="AF177" s="166"/>
      <c r="AG177" s="166"/>
      <c r="AH177" s="65"/>
      <c r="AJ177" s="177"/>
      <c r="AK177" s="178"/>
      <c r="AL177" s="181"/>
      <c r="AM177" s="166"/>
      <c r="AN177" s="166"/>
      <c r="AO177" s="177"/>
      <c r="AP177" s="178"/>
      <c r="AQ177" s="181"/>
      <c r="AR177" s="166"/>
      <c r="AS177" s="166"/>
      <c r="AT177" s="177"/>
      <c r="AU177" s="181"/>
      <c r="AV177" s="166"/>
      <c r="AW177" s="166"/>
      <c r="AX177" s="177"/>
      <c r="AY177" s="166"/>
      <c r="AZ177" s="177"/>
      <c r="BA177" s="178"/>
      <c r="BB177" s="178"/>
      <c r="BC177" s="178"/>
      <c r="BD177" s="178"/>
      <c r="BE177" s="178"/>
      <c r="BF177" s="178"/>
      <c r="BG177" s="179"/>
      <c r="BH177" s="180"/>
      <c r="BI177" s="178"/>
      <c r="BJ177" s="177"/>
      <c r="BK177" s="181"/>
      <c r="BL177" s="177"/>
      <c r="BM177" s="181"/>
      <c r="BN177" s="177"/>
      <c r="BO177" s="181"/>
      <c r="BP177" s="177"/>
      <c r="BQ177" s="181"/>
      <c r="BR177" s="166"/>
      <c r="BS177" s="166"/>
      <c r="BT177" s="166"/>
      <c r="BU177" s="65"/>
      <c r="BW177" s="178"/>
      <c r="BX177" s="399"/>
    </row>
    <row r="178" ht="15.75" hidden="1" customHeight="1">
      <c r="A178" s="65"/>
      <c r="B178" s="65"/>
      <c r="C178" s="416"/>
      <c r="D178" s="430"/>
      <c r="E178" s="431"/>
      <c r="F178" s="431"/>
      <c r="G178" s="431"/>
      <c r="H178" s="431"/>
      <c r="I178" s="431"/>
      <c r="J178" s="397"/>
      <c r="K178" s="398">
        <f t="shared" si="1"/>
        <v>0</v>
      </c>
      <c r="L178" s="173"/>
      <c r="M178" s="173"/>
      <c r="N178" s="177"/>
      <c r="O178" s="178"/>
      <c r="P178" s="178"/>
      <c r="Q178" s="178"/>
      <c r="R178" s="178"/>
      <c r="S178" s="182"/>
      <c r="T178" s="65"/>
      <c r="U178" s="64"/>
      <c r="V178" s="66"/>
      <c r="W178" s="173"/>
      <c r="X178" s="173"/>
      <c r="Y178" s="65"/>
      <c r="Z178" s="65"/>
      <c r="AA178" s="65"/>
      <c r="AB178" s="65"/>
      <c r="AC178" s="173"/>
      <c r="AD178" s="166"/>
      <c r="AE178" s="166"/>
      <c r="AF178" s="166"/>
      <c r="AG178" s="166"/>
      <c r="AH178" s="65"/>
      <c r="AJ178" s="177"/>
      <c r="AK178" s="178"/>
      <c r="AL178" s="181"/>
      <c r="AM178" s="166"/>
      <c r="AN178" s="166"/>
      <c r="AO178" s="177"/>
      <c r="AP178" s="178"/>
      <c r="AQ178" s="181"/>
      <c r="AR178" s="166"/>
      <c r="AS178" s="166"/>
      <c r="AT178" s="177"/>
      <c r="AU178" s="181"/>
      <c r="AV178" s="166"/>
      <c r="AW178" s="166"/>
      <c r="AX178" s="177"/>
      <c r="AY178" s="166"/>
      <c r="AZ178" s="177"/>
      <c r="BA178" s="178"/>
      <c r="BB178" s="178"/>
      <c r="BC178" s="178"/>
      <c r="BD178" s="178"/>
      <c r="BE178" s="178"/>
      <c r="BF178" s="178"/>
      <c r="BG178" s="179"/>
      <c r="BH178" s="180"/>
      <c r="BI178" s="178"/>
      <c r="BJ178" s="177"/>
      <c r="BK178" s="181"/>
      <c r="BL178" s="177"/>
      <c r="BM178" s="181"/>
      <c r="BN178" s="177"/>
      <c r="BO178" s="181"/>
      <c r="BP178" s="177"/>
      <c r="BQ178" s="181"/>
      <c r="BR178" s="166"/>
      <c r="BS178" s="166"/>
      <c r="BT178" s="166"/>
      <c r="BU178" s="65"/>
      <c r="BW178" s="178"/>
      <c r="BX178" s="399"/>
    </row>
    <row r="179" ht="15.75" hidden="1" customHeight="1">
      <c r="A179" s="65"/>
      <c r="B179" s="65"/>
      <c r="C179" s="416"/>
      <c r="D179" s="430"/>
      <c r="E179" s="431"/>
      <c r="F179" s="431"/>
      <c r="G179" s="431"/>
      <c r="H179" s="431"/>
      <c r="I179" s="431"/>
      <c r="J179" s="397"/>
      <c r="K179" s="398">
        <f t="shared" si="1"/>
        <v>0</v>
      </c>
      <c r="L179" s="173"/>
      <c r="M179" s="173"/>
      <c r="N179" s="177"/>
      <c r="O179" s="178"/>
      <c r="P179" s="178"/>
      <c r="Q179" s="178"/>
      <c r="R179" s="178"/>
      <c r="S179" s="182"/>
      <c r="T179" s="65"/>
      <c r="U179" s="64"/>
      <c r="V179" s="66"/>
      <c r="W179" s="173"/>
      <c r="X179" s="173"/>
      <c r="Y179" s="65"/>
      <c r="Z179" s="65"/>
      <c r="AA179" s="65"/>
      <c r="AB179" s="65"/>
      <c r="AC179" s="173"/>
      <c r="AD179" s="166"/>
      <c r="AE179" s="166"/>
      <c r="AF179" s="166"/>
      <c r="AG179" s="166"/>
      <c r="AH179" s="65"/>
      <c r="AJ179" s="177"/>
      <c r="AK179" s="178"/>
      <c r="AL179" s="181"/>
      <c r="AM179" s="166"/>
      <c r="AN179" s="166"/>
      <c r="AO179" s="177"/>
      <c r="AP179" s="178"/>
      <c r="AQ179" s="181"/>
      <c r="AR179" s="166"/>
      <c r="AS179" s="166"/>
      <c r="AT179" s="177"/>
      <c r="AU179" s="181"/>
      <c r="AV179" s="166"/>
      <c r="AW179" s="166"/>
      <c r="AX179" s="177"/>
      <c r="AY179" s="166"/>
      <c r="AZ179" s="177"/>
      <c r="BA179" s="178"/>
      <c r="BB179" s="178"/>
      <c r="BC179" s="178"/>
      <c r="BD179" s="178"/>
      <c r="BE179" s="178"/>
      <c r="BF179" s="178"/>
      <c r="BG179" s="179"/>
      <c r="BH179" s="180"/>
      <c r="BI179" s="178"/>
      <c r="BJ179" s="177"/>
      <c r="BK179" s="181"/>
      <c r="BL179" s="177"/>
      <c r="BM179" s="181"/>
      <c r="BN179" s="177"/>
      <c r="BO179" s="181"/>
      <c r="BP179" s="177"/>
      <c r="BQ179" s="181"/>
      <c r="BR179" s="166"/>
      <c r="BS179" s="166"/>
      <c r="BT179" s="166"/>
      <c r="BU179" s="65"/>
      <c r="BW179" s="178"/>
      <c r="BX179" s="399"/>
    </row>
    <row r="180" ht="15.75" hidden="1" customHeight="1">
      <c r="A180" s="65"/>
      <c r="B180" s="65"/>
      <c r="C180" s="416"/>
      <c r="D180" s="430"/>
      <c r="E180" s="431"/>
      <c r="F180" s="431"/>
      <c r="G180" s="431"/>
      <c r="H180" s="431"/>
      <c r="I180" s="431"/>
      <c r="J180" s="397"/>
      <c r="K180" s="398">
        <f t="shared" si="1"/>
        <v>0</v>
      </c>
      <c r="L180" s="173"/>
      <c r="M180" s="173"/>
      <c r="N180" s="177"/>
      <c r="O180" s="178"/>
      <c r="P180" s="178"/>
      <c r="Q180" s="178"/>
      <c r="R180" s="178"/>
      <c r="S180" s="182"/>
      <c r="T180" s="65"/>
      <c r="U180" s="64"/>
      <c r="V180" s="66"/>
      <c r="W180" s="173"/>
      <c r="X180" s="173"/>
      <c r="Y180" s="65"/>
      <c r="Z180" s="65"/>
      <c r="AA180" s="65"/>
      <c r="AB180" s="65"/>
      <c r="AC180" s="173"/>
      <c r="AD180" s="166"/>
      <c r="AE180" s="166"/>
      <c r="AF180" s="166"/>
      <c r="AG180" s="166"/>
      <c r="AH180" s="65"/>
      <c r="AJ180" s="177"/>
      <c r="AK180" s="178"/>
      <c r="AL180" s="181"/>
      <c r="AM180" s="166"/>
      <c r="AN180" s="166"/>
      <c r="AO180" s="177"/>
      <c r="AP180" s="178"/>
      <c r="AQ180" s="181"/>
      <c r="AR180" s="166"/>
      <c r="AS180" s="166"/>
      <c r="AT180" s="177"/>
      <c r="AU180" s="181"/>
      <c r="AV180" s="166"/>
      <c r="AW180" s="166"/>
      <c r="AX180" s="177"/>
      <c r="AY180" s="166"/>
      <c r="AZ180" s="177"/>
      <c r="BA180" s="178"/>
      <c r="BB180" s="178"/>
      <c r="BC180" s="178"/>
      <c r="BD180" s="178"/>
      <c r="BE180" s="178"/>
      <c r="BF180" s="178"/>
      <c r="BG180" s="179"/>
      <c r="BH180" s="180"/>
      <c r="BI180" s="178"/>
      <c r="BJ180" s="177"/>
      <c r="BK180" s="181"/>
      <c r="BL180" s="177"/>
      <c r="BM180" s="181"/>
      <c r="BN180" s="177"/>
      <c r="BO180" s="181"/>
      <c r="BP180" s="177"/>
      <c r="BQ180" s="181"/>
      <c r="BR180" s="166"/>
      <c r="BS180" s="166"/>
      <c r="BT180" s="166"/>
      <c r="BU180" s="65"/>
      <c r="BW180" s="178"/>
      <c r="BX180" s="399"/>
    </row>
    <row r="181" ht="15.75" hidden="1" customHeight="1">
      <c r="A181" s="65"/>
      <c r="B181" s="65"/>
      <c r="C181" s="416"/>
      <c r="D181" s="430"/>
      <c r="E181" s="431"/>
      <c r="F181" s="431"/>
      <c r="G181" s="431"/>
      <c r="H181" s="431"/>
      <c r="I181" s="431"/>
      <c r="J181" s="397"/>
      <c r="K181" s="398">
        <f t="shared" si="1"/>
        <v>0</v>
      </c>
      <c r="L181" s="173"/>
      <c r="M181" s="173"/>
      <c r="N181" s="177"/>
      <c r="O181" s="178"/>
      <c r="P181" s="178"/>
      <c r="Q181" s="178"/>
      <c r="R181" s="178"/>
      <c r="S181" s="182"/>
      <c r="T181" s="65"/>
      <c r="U181" s="64"/>
      <c r="V181" s="66"/>
      <c r="W181" s="173"/>
      <c r="X181" s="173"/>
      <c r="Y181" s="65"/>
      <c r="Z181" s="65"/>
      <c r="AA181" s="65"/>
      <c r="AB181" s="65"/>
      <c r="AC181" s="173"/>
      <c r="AD181" s="166"/>
      <c r="AE181" s="166"/>
      <c r="AF181" s="166"/>
      <c r="AG181" s="166"/>
      <c r="AH181" s="65"/>
      <c r="AJ181" s="177"/>
      <c r="AK181" s="178"/>
      <c r="AL181" s="181"/>
      <c r="AM181" s="166"/>
      <c r="AN181" s="166"/>
      <c r="AO181" s="177"/>
      <c r="AP181" s="178"/>
      <c r="AQ181" s="181"/>
      <c r="AR181" s="166"/>
      <c r="AS181" s="166"/>
      <c r="AT181" s="177"/>
      <c r="AU181" s="181"/>
      <c r="AV181" s="166"/>
      <c r="AW181" s="166"/>
      <c r="AX181" s="177"/>
      <c r="AY181" s="166"/>
      <c r="AZ181" s="177"/>
      <c r="BA181" s="178"/>
      <c r="BB181" s="178"/>
      <c r="BC181" s="178"/>
      <c r="BD181" s="178"/>
      <c r="BE181" s="178"/>
      <c r="BF181" s="178"/>
      <c r="BG181" s="179"/>
      <c r="BH181" s="180"/>
      <c r="BI181" s="178"/>
      <c r="BJ181" s="177"/>
      <c r="BK181" s="181"/>
      <c r="BL181" s="177"/>
      <c r="BM181" s="181"/>
      <c r="BN181" s="177"/>
      <c r="BO181" s="181"/>
      <c r="BP181" s="177"/>
      <c r="BQ181" s="181"/>
      <c r="BR181" s="166"/>
      <c r="BS181" s="166"/>
      <c r="BT181" s="166"/>
      <c r="BU181" s="65"/>
      <c r="BW181" s="178"/>
      <c r="BX181" s="399"/>
    </row>
    <row r="182" ht="15.75" hidden="1" customHeight="1">
      <c r="A182" s="65"/>
      <c r="B182" s="65"/>
      <c r="C182" s="416"/>
      <c r="D182" s="430"/>
      <c r="E182" s="431"/>
      <c r="F182" s="431"/>
      <c r="G182" s="431"/>
      <c r="H182" s="431"/>
      <c r="I182" s="431"/>
      <c r="J182" s="397"/>
      <c r="K182" s="398">
        <f t="shared" si="1"/>
        <v>0</v>
      </c>
      <c r="L182" s="173"/>
      <c r="M182" s="173"/>
      <c r="N182" s="177"/>
      <c r="O182" s="178"/>
      <c r="P182" s="178"/>
      <c r="Q182" s="178"/>
      <c r="R182" s="178"/>
      <c r="S182" s="182"/>
      <c r="T182" s="65"/>
      <c r="U182" s="64"/>
      <c r="V182" s="66"/>
      <c r="W182" s="173"/>
      <c r="X182" s="173"/>
      <c r="Y182" s="65"/>
      <c r="Z182" s="65"/>
      <c r="AA182" s="65"/>
      <c r="AB182" s="65"/>
      <c r="AC182" s="173"/>
      <c r="AD182" s="166"/>
      <c r="AE182" s="166"/>
      <c r="AF182" s="166"/>
      <c r="AG182" s="166"/>
      <c r="AH182" s="65"/>
      <c r="AJ182" s="177"/>
      <c r="AK182" s="178"/>
      <c r="AL182" s="181"/>
      <c r="AM182" s="166"/>
      <c r="AN182" s="166"/>
      <c r="AO182" s="177"/>
      <c r="AP182" s="178"/>
      <c r="AQ182" s="181"/>
      <c r="AR182" s="166"/>
      <c r="AS182" s="166"/>
      <c r="AT182" s="177"/>
      <c r="AU182" s="181"/>
      <c r="AV182" s="166"/>
      <c r="AW182" s="166"/>
      <c r="AX182" s="177"/>
      <c r="AY182" s="166"/>
      <c r="AZ182" s="177"/>
      <c r="BA182" s="178"/>
      <c r="BB182" s="178"/>
      <c r="BC182" s="178"/>
      <c r="BD182" s="178"/>
      <c r="BE182" s="178"/>
      <c r="BF182" s="178"/>
      <c r="BG182" s="179"/>
      <c r="BH182" s="180"/>
      <c r="BI182" s="178"/>
      <c r="BJ182" s="177"/>
      <c r="BK182" s="181"/>
      <c r="BL182" s="177"/>
      <c r="BM182" s="181"/>
      <c r="BN182" s="177"/>
      <c r="BO182" s="181"/>
      <c r="BP182" s="177"/>
      <c r="BQ182" s="181"/>
      <c r="BR182" s="166"/>
      <c r="BS182" s="166"/>
      <c r="BT182" s="166"/>
      <c r="BU182" s="65"/>
      <c r="BW182" s="178"/>
      <c r="BX182" s="399"/>
    </row>
    <row r="183" ht="15.75" hidden="1" customHeight="1">
      <c r="A183" s="89"/>
      <c r="B183" s="89"/>
      <c r="C183" s="417"/>
      <c r="D183" s="432"/>
      <c r="E183" s="433"/>
      <c r="F183" s="433"/>
      <c r="G183" s="433"/>
      <c r="H183" s="433"/>
      <c r="I183" s="433"/>
      <c r="J183" s="402"/>
      <c r="K183" s="403">
        <f t="shared" si="1"/>
        <v>0</v>
      </c>
      <c r="L183" s="69"/>
      <c r="M183" s="69"/>
      <c r="N183" s="192"/>
      <c r="O183" s="193"/>
      <c r="P183" s="193"/>
      <c r="Q183" s="193"/>
      <c r="R183" s="193"/>
      <c r="S183" s="197"/>
      <c r="T183" s="89"/>
      <c r="U183" s="103"/>
      <c r="V183" s="68"/>
      <c r="W183" s="69"/>
      <c r="X183" s="69"/>
      <c r="Y183" s="89"/>
      <c r="Z183" s="89"/>
      <c r="AA183" s="89"/>
      <c r="AB183" s="89"/>
      <c r="AC183" s="69"/>
      <c r="AD183" s="63"/>
      <c r="AE183" s="63"/>
      <c r="AF183" s="63"/>
      <c r="AG183" s="63"/>
      <c r="AH183" s="89"/>
      <c r="AI183" s="6"/>
      <c r="AJ183" s="192"/>
      <c r="AK183" s="193"/>
      <c r="AL183" s="196"/>
      <c r="AM183" s="63"/>
      <c r="AN183" s="63"/>
      <c r="AO183" s="192"/>
      <c r="AP183" s="193"/>
      <c r="AQ183" s="196"/>
      <c r="AR183" s="63"/>
      <c r="AS183" s="63"/>
      <c r="AT183" s="192"/>
      <c r="AU183" s="196"/>
      <c r="AV183" s="63"/>
      <c r="AW183" s="63"/>
      <c r="AX183" s="192"/>
      <c r="AY183" s="63"/>
      <c r="AZ183" s="192"/>
      <c r="BA183" s="193"/>
      <c r="BB183" s="193"/>
      <c r="BC183" s="193"/>
      <c r="BD183" s="193"/>
      <c r="BE183" s="193"/>
      <c r="BF183" s="193"/>
      <c r="BG183" s="194"/>
      <c r="BH183" s="195"/>
      <c r="BI183" s="193"/>
      <c r="BJ183" s="192"/>
      <c r="BK183" s="196"/>
      <c r="BL183" s="192"/>
      <c r="BM183" s="196"/>
      <c r="BN183" s="192"/>
      <c r="BO183" s="196"/>
      <c r="BP183" s="192"/>
      <c r="BQ183" s="196"/>
      <c r="BR183" s="63"/>
      <c r="BS183" s="63"/>
      <c r="BT183" s="63"/>
      <c r="BU183" s="89"/>
      <c r="BV183" s="6"/>
      <c r="BW183" s="198"/>
      <c r="BX183" s="404"/>
    </row>
    <row r="184" ht="61.5" hidden="1" customHeight="1">
      <c r="A184" s="125">
        <v>17.0</v>
      </c>
      <c r="B184" s="274"/>
      <c r="C184" s="427"/>
      <c r="D184" s="428"/>
      <c r="E184" s="429"/>
      <c r="F184" s="429"/>
      <c r="G184" s="429"/>
      <c r="H184" s="429"/>
      <c r="I184" s="429"/>
      <c r="J184" s="366"/>
      <c r="K184" s="367">
        <f t="shared" si="1"/>
        <v>0</v>
      </c>
      <c r="L184" s="368">
        <f>SUM(I184:I194)+SUM(K184:K194)*1</f>
        <v>0</v>
      </c>
      <c r="M184" s="368">
        <f>SUM('21 Oct Mon'!Q184:Q194,'22 Oct Tues'!Q184:Q194,'23 Oct Wed'!Q184:Q194,'24 Oct Thurs'!Q184:Q194,'25 Oct Fri'!Q184:Q194,'26 Oct Sat'!Q184:Q194)</f>
        <v>0</v>
      </c>
      <c r="N184" s="369">
        <f>SUM('21 Oct Mon'!R184:R194,'22 Oct Tues'!R184:R194,'23 Oct Wed'!R184:R194,'24 Oct Thurs'!R184:R194,'25 Oct Fri'!R184:R194,'26 Oct Sat'!R184:R194)</f>
        <v>0</v>
      </c>
      <c r="O184" s="370">
        <f>SUM(L184:N194)</f>
        <v>0</v>
      </c>
      <c r="P184" s="370">
        <f>SUM('21 Oct Mon'!T184:T194,'22 Oct Tues'!T184:T194,'23 Oct Wed'!T184:T194,'24 Oct Thurs'!T184:T194,'25 Oct Fri'!T184:T194,'26 Oct Sat'!T184:T194)</f>
        <v>0</v>
      </c>
      <c r="Q184" s="370">
        <f>SUM('21 Oct Mon'!U184:U194,'22 Oct Tues'!U184:U194,'23 Oct Wed'!U184:U194,'24 Oct Thurs'!U184:U194,'25 Oct Fri'!U184:U194,'26 Oct Sat'!U184:U194)</f>
        <v>0</v>
      </c>
      <c r="R184" s="370">
        <f>SUM('21 Oct Mon'!V184:V194,'22 Oct Tues'!V184:V194,'23 Oct Wed'!V184:V194,'24 Oct Thurs'!V184:V194,'25 Oct Fri'!V184:V194,'26 Oct Sat'!V184:V194)</f>
        <v>0</v>
      </c>
      <c r="S184" s="371">
        <f>SUM('21 Oct Mon'!W184:W194,'22 Oct Tues'!W184:W194,'23 Oct Wed'!W184:W194,'24 Oct Thurs'!W184:W194,'25 Oct Fri'!W184:W194,'26 Oct Sat'!W184:W194)</f>
        <v>0</v>
      </c>
      <c r="T184" s="372">
        <f>O184-P184-Q184-R184-S184</f>
        <v>0</v>
      </c>
      <c r="U184" s="373" t="str">
        <f>CONCATENATE(SUM('21 Oct Mon'!O184:O194,'22 Oct Tues'!O184:O194,'23 Oct Wed'!O184:O194,'24 Oct Thurs'!O184:O194,'25 Oct Fri'!O184:O194,'26 Oct Sat'!O184:O194),"
(",(SUM('21 Oct Mon'!O184:O194,'22 Oct Tues'!O184:O194,'23 Oct Wed'!O184:O194,'24 Oct Thurs'!O184:O194,'25 Oct Fri'!O184:O194,'26 Oct Sat'!O184:O194)-T184),")")</f>
        <v>0
(0)</v>
      </c>
      <c r="V184" s="374" t="str">
        <f>CONCATENATE("Mon-",'21 Oct Mon'!Z184:Z194,",Tues-",'22 Oct Tues'!Z184:Z194,",Wed-",'23 Oct Wed'!Z184:Z194,",Thurs-",'24 Oct Thurs'!Z184:Z194,",Fri-",'25 Oct Fri'!Z184:Z194,",Sat-",'26 Oct Sat'!Z184:Z194)</f>
        <v>Mon-,Tues-,Wed-,Thurs-,Fri-,Sat-</v>
      </c>
      <c r="W184" s="375">
        <f>SUM('21 Oct Mon'!AI184:AI194,'22 Oct Tues'!AI184:AI194,'23 Oct Wed'!AI184:AI194,'24 Oct Thurs'!AI184:AI194,'25 Oct Fri'!AI184:AI194,'26 Oct Sat'!AI184:AI194)</f>
        <v>0</v>
      </c>
      <c r="X184" s="375">
        <f>SUM('21 Oct Mon'!AM184:AM194,'22 Oct Tues'!AM184:AM194,'23 Oct Wed'!AM184:AM194,'24 Oct Thurs'!AM184:AM194,'25 Oct Fri'!AM184:AM194,'26 Oct Sat'!AM184:AM194)</f>
        <v>0</v>
      </c>
      <c r="Y184" s="376">
        <f>SUM('21 Oct Mon'!AP184:AP194,'22 Oct Tues'!AP184:AP194,'23 Oct Wed'!AP184:AP194,'24 Oct Thurs'!AP184:AP194,'25 Oct Fri'!AP184:AP194,'26 Oct Sat'!AP184:AP194)</f>
        <v>0</v>
      </c>
      <c r="Z184" s="376">
        <f>SUM('21 Oct Mon'!AQ184:AQ194,'22 Oct Tues'!AQ184:AQ194,'23 Oct Wed'!AQ184:AQ194,'24 Oct Thurs'!AQ184:AQ194,'25 Oct Fri'!AQ184:AQ194,'26 Oct Sat'!AQ184:AQ194)</f>
        <v>0</v>
      </c>
      <c r="AA184" s="377">
        <f>SUM('21 Oct Mon'!AR184:AR194,'22 Oct Tues'!AR184:AR194,'23 Oct Wed'!AR184:AR194,'24 Oct Thurs'!AR184:AR194,'25 Oct Fri'!AR184:AR194,'26 Oct Sat'!AR184:AR194)</f>
        <v>0</v>
      </c>
      <c r="AB184" s="377">
        <f>SUM('21 Oct Mon'!AS184:AS194,'22 Oct Tues'!AS184:AS194,'23 Oct Wed'!AS184:AS194,'24 Oct Thurs'!AS184:AS194,'25 Oct Fri'!AS184:AS194,'26 Oct Sat'!AS184:AS194)</f>
        <v>0</v>
      </c>
      <c r="AC184" s="378">
        <f>SUM('21 Oct Mon'!AT184:AT194,'22 Oct Tues'!AT184:AT194,'23 Oct Wed'!AT184:AT194,'24 Oct Thurs'!AT184:AT194,'25 Oct Fri'!AT184:AT194,'26 Oct Sat'!AT184:AT194)</f>
        <v>0</v>
      </c>
      <c r="AD184" s="379">
        <f>SUM('21 Oct Mon'!AU184:AU194,'22 Oct Tues'!AU184:AU194,'23 Oct Wed'!AU184:AU194,'24 Oct Thurs'!AU184:AU194,'25 Oct Fri'!AU184:AU194,'26 Oct Sat'!AU184:AU194)</f>
        <v>0</v>
      </c>
      <c r="AE184" s="379">
        <f>SUM('21 Oct Mon'!AV184:AV194,'22 Oct Tues'!AV184:AV194,'23 Oct Wed'!AV184:AV194,'24 Oct Thurs'!AV184:AV194,'25 Oct Fri'!AV184:AV194,'26 Oct Sat'!AV184:AV194)</f>
        <v>0</v>
      </c>
      <c r="AF184" s="379">
        <f>SUM('21 Oct Mon'!AW184:AW194,'22 Oct Tues'!AW184:AW194,'23 Oct Wed'!AW184:AW194,'24 Oct Thurs'!AW184:AW194,'25 Oct Fri'!AW184:AW194,'26 Oct Sat'!AW184:AW194)</f>
        <v>0</v>
      </c>
      <c r="AG184" s="379">
        <f>SUM('21 Oct Mon'!AX184:AX194,'22 Oct Tues'!AX184:AX194,'23 Oct Wed'!AX184:AX194,'24 Oct Thurs'!AX184:AX194,'25 Oct Fri'!AX184:AX194,'26 Oct Sat'!AX184:AX194)</f>
        <v>0</v>
      </c>
      <c r="AH184" s="380">
        <f>SUM('21 Oct Mon'!AY184:AY194,'22 Oct Tues'!AY184:AY194,'23 Oct Wed'!AY184:AY194,'24 Oct Thurs'!AY184:AY194,'25 Oct Fri'!AY184:AY194,'26 Oct Sat'!AY184:AY194)</f>
        <v>0</v>
      </c>
      <c r="AI184" s="381">
        <f>SUM('21 Oct Mon'!AZ184:AZ194,'22 Oct Tues'!AZ184:AZ194,'23 Oct Wed'!AZ184:AZ194,'24 Oct Thurs'!AZ184:AZ194,'25 Oct Fri'!AZ184:AZ194,'26 Oct Sat'!AZ184:AZ194)</f>
        <v>0</v>
      </c>
      <c r="AJ184" s="382">
        <f>SUM('21 Oct Mon'!BG184:BG194,'22 Oct Tues'!BG184:BG194,'23 Oct Wed'!BG184:BG194,'24 Oct Thurs'!BG184:BG194,'25 Oct Fri'!BG184:BG194,'26 Oct Sat'!BG184:BG194)</f>
        <v>0</v>
      </c>
      <c r="AK184" s="383">
        <f>SUM('21 Oct Mon'!BH184:BH194,'22 Oct Tues'!BH184:BH194,'23 Oct Wed'!BH184:BH194,'24 Oct Thurs'!BH184:BH194,'25 Oct Fri'!BH184:BH194,'26 Oct Sat'!BH184:BH194)</f>
        <v>0</v>
      </c>
      <c r="AL184" s="384">
        <f>SUM('21 Oct Mon'!BI184:BI194,'22 Oct Tues'!BI184:BI194,'23 Oct Wed'!BI184:BI194,'24 Oct Thurs'!BI184:BI194,'25 Oct Fri'!BI184:BI194,'26 Oct Sat'!BI184:BI194)</f>
        <v>0</v>
      </c>
      <c r="AM184" s="379">
        <f>SUM('21 Oct Mon'!BJ184:BJ194,'22 Oct Tues'!BJ184:BJ194,'23 Oct Wed'!BJ184:BJ194,'24 Oct Thurs'!BJ184:BJ194,'25 Oct Fri'!BJ184:BJ194,'26 Oct Sat'!BJ184:BJ194)</f>
        <v>0</v>
      </c>
      <c r="AN184" s="379">
        <f>SUM('21 Oct Mon'!BK184:BK194,'22 Oct Tues'!BK184:BK194,'23 Oct Wed'!BK184:BK194,'24 Oct Thurs'!BK184:BK194,'25 Oct Fri'!BK184:BK194,'26 Oct Sat'!BK184:BK194)</f>
        <v>0</v>
      </c>
      <c r="AO184" s="385">
        <f>SUM('21 Oct Mon'!BL184:BL194,'22 Oct Tues'!BL184:BL194,'23 Oct Wed'!BL184:BL194,'24 Oct Thurs'!BL184:BL194,'25 Oct Fri'!BL184:BL194,'26 Oct Sat'!BL184:BL194)</f>
        <v>0</v>
      </c>
      <c r="AP184" s="386">
        <f>SUM('21 Oct Mon'!BM184:BM194,'22 Oct Tues'!BM184:BM194,'23 Oct Wed'!BM184:BM194,'24 Oct Thurs'!BM184:BM194,'25 Oct Fri'!BM184:BM194,'26 Oct Sat'!BM184:BM194)</f>
        <v>0</v>
      </c>
      <c r="AQ184" s="387">
        <f>SUM('21 Oct Mon'!BN184:BN194,'22 Oct Tues'!BN184:BN194,'23 Oct Wed'!BN184:BN194,'24 Oct Thurs'!BN184:BN194,'25 Oct Fri'!BN184:BN194,'26 Oct Sat'!BN184:BN194)</f>
        <v>0</v>
      </c>
      <c r="AR184" s="379">
        <f>SUM('21 Oct Mon'!BO184:BO194,'22 Oct Tues'!BO184:BO194,'23 Oct Wed'!BO184:BO194,'24 Oct Thurs'!BO184:BO194,'25 Oct Fri'!BO184:BO194,'26 Oct Sat'!BO184:BO194)</f>
        <v>0</v>
      </c>
      <c r="AS184" s="379">
        <f>SUM('21 Oct Mon'!BP184:BP194,'22 Oct Tues'!BP184:BP194,'23 Oct Wed'!BP184:BP194,'24 Oct Thurs'!BP184:BP194,'25 Oct Fri'!BP184:BP194,'26 Oct Sat'!BP184:BP194)</f>
        <v>0</v>
      </c>
      <c r="AT184" s="382">
        <f>SUM('21 Oct Mon'!BR184:BR194,'22 Oct Tues'!BR184:BR194,'23 Oct Wed'!BR184:BR194,'24 Oct Thurs'!BR184:BR194,'25 Oct Fri'!BR184:BR194,'26 Oct Sat'!BR184:BR194)</f>
        <v>0</v>
      </c>
      <c r="AU184" s="384">
        <f>SUM('21 Oct Mon'!BS184:BS194,'22 Oct Tues'!BS184:BS194,'23 Oct Wed'!BS184:BS194,'24 Oct Thurs'!BS184:BS194,'25 Oct Fri'!BS184:BS194,'26 Oct Sat'!BS184:BS194)</f>
        <v>0</v>
      </c>
      <c r="AV184" s="379">
        <f>SUM('21 Oct Mon'!BT184:BT194,'22 Oct Tues'!BT184:BT194,'23 Oct Wed'!BT184:BT194,'24 Oct Thurs'!BT184:BT194,'25 Oct Fri'!BT184:BT194,'26 Oct Sat'!BT184:BT194)</f>
        <v>0</v>
      </c>
      <c r="AW184" s="379">
        <f>SUM('21 Oct Mon'!BU184:BU194,'22 Oct Tues'!BU184:BU194,'23 Oct Wed'!BU184:BU194,'24 Oct Thurs'!BU184:BU194,'25 Oct Fri'!BU184:BU194,'26 Oct Sat'!BU184:BU194)</f>
        <v>0</v>
      </c>
      <c r="AX184" s="382">
        <f>SUM('21 Oct Mon'!BV184:BV194,'22 Oct Tues'!BV184:BV194,'23 Oct Wed'!BV184:BV194,'24 Oct Thurs'!BV184:BV194,'25 Oct Fri'!BV184:BV194,'26 Oct Sat'!BV184:BV194)</f>
        <v>0</v>
      </c>
      <c r="AY184" s="379">
        <f>SUM('21 Oct Mon'!BW184:BW194,'22 Oct Tues'!BW184:BW194,'23 Oct Wed'!BW184:BW194,'24 Oct Thurs'!BW184:BW194,'25 Oct Fri'!BW184:BW194,'26 Oct Sat'!BW184:BW194)</f>
        <v>0</v>
      </c>
      <c r="AZ184" s="385">
        <f>SUM('21 Oct Mon'!BX184:BX194,'22 Oct Tues'!BX184:BX194,'23 Oct Wed'!BX184:BX194,'24 Oct Thurs'!BX184:BX194,'25 Oct Fri'!BX184:BX194,'26 Oct Sat'!BX184:BX194)</f>
        <v>0</v>
      </c>
      <c r="BA184" s="386">
        <f>SUM('21 Oct Mon'!BY184:BY194,'22 Oct Tues'!BY184:BY194,'23 Oct Wed'!BY184:BY194,'24 Oct Thurs'!BY184:BY194,'25 Oct Fri'!BY184:BY194,'26 Oct Sat'!BY184:BY194)</f>
        <v>0</v>
      </c>
      <c r="BB184" s="386">
        <f>SUM('21 Oct Mon'!BZ184:BZ194,'22 Oct Tues'!BZ184:BZ194,'23 Oct Wed'!BZ184:BZ194,'24 Oct Thurs'!BZ184:BZ194,'25 Oct Fri'!BZ184:BZ194,'26 Oct Sat'!BZ184:BZ194)</f>
        <v>0</v>
      </c>
      <c r="BC184" s="386">
        <f>SUM('21 Oct Mon'!CA184:CA194,'22 Oct Tues'!CA184:CA194,'23 Oct Wed'!CA184:CA194,'24 Oct Thurs'!CA184:CA194,'25 Oct Fri'!CA184:CA194,'26 Oct Sat'!CA184:CA194)</f>
        <v>0</v>
      </c>
      <c r="BD184" s="386">
        <f>SUM('21 Oct Mon'!CB184:CB194,'22 Oct Tues'!CB184:CB194,'23 Oct Wed'!CB184:CB194,'24 Oct Thurs'!CB184:CB194,'25 Oct Fri'!CB184:CB194,'26 Oct Sat'!CB184:CB194)</f>
        <v>0</v>
      </c>
      <c r="BE184" s="386">
        <f>SUM('21 Oct Mon'!CC184:CC194,'22 Oct Tues'!CC184:CC194,'23 Oct Wed'!CC184:CC194,'24 Oct Thurs'!CC184:CC194,'25 Oct Fri'!CC184:CC194,'26 Oct Sat'!CC184:CC194)</f>
        <v>0</v>
      </c>
      <c r="BF184" s="386" t="str">
        <f>CONCATENATE("Mon-",'21 Oct Mon'!CD184:CD194,",Tues-",'22 Oct Tues'!CD184:CD194,",Wed-",'23 Oct Wed'!CD184:CD194,",Thurs-",'24 Oct Thurs'!CD184:CD194,",Fri-",'25 Oct Fri'!CD184:CD194,",Sat-",'26 Oct Sat'!CD184:CD194)</f>
        <v>Mon-,Tues-,Wed-,Thurs-,Fri-,Sat-</v>
      </c>
      <c r="BG184" s="388">
        <f>SUM('21 Oct Mon'!CE184:CE194,'22 Oct Tues'!CE184:CE194,'23 Oct Wed'!CE184:CE194,'24 Oct Thurs'!CE184:CE194,'25 Oct Fri'!CE184:CE194,'26 Oct Sat'!CE184:CE194)</f>
        <v>0</v>
      </c>
      <c r="BH184" s="389" t="str">
        <f>CONCATENATE("Mon-",'21 Oct Mon'!CF184:CF194,",Tues-",'22 Oct Tues'!CF184:CF194,",Wed-",'23 Oct Wed'!CF184:CF194,",Thurs-",'24 Oct Thurs'!CF184:CF194,",Fri-",'25 Oct Fri'!CF184:CF194,",Sat-",'26 Oct Sat'!CF184:CF194)</f>
        <v>Mon-,Tues-,Wed-,Thurs-,Fri-,Sat-</v>
      </c>
      <c r="BI184" s="383">
        <f>SUM('21 Oct Mon'!CG184:CG194,'22 Oct Tues'!CG184:CG194,'23 Oct Wed'!CG184:CG194,'24 Oct Thurs'!CG184:CG194,'25 Oct Fri'!CG184:CG194,'26 Oct Sat'!CG184:CG194)</f>
        <v>0</v>
      </c>
      <c r="BJ184" s="382">
        <f>SUM('21 Oct Mon'!CH184:CH194,'22 Oct Tues'!CH184:CH194,'23 Oct Wed'!CH184:CH194,'24 Oct Thurs'!CH184:CH194,'25 Oct Fri'!CH184:CH194,'26 Oct Sat'!CH184:CH194)</f>
        <v>0</v>
      </c>
      <c r="BK184" s="384">
        <f>SUM('21 Oct Mon'!CI184:CI194,'22 Oct Tues'!CI184:CI194,'23 Oct Wed'!CI184:CI194,'24 Oct Thurs'!CI184:CI194,'25 Oct Fri'!CI184:CI194,'26 Oct Sat'!CI184:CI194)</f>
        <v>0</v>
      </c>
      <c r="BL184" s="382" t="str">
        <f>CONCATENATE("Mon-",'21 Oct Mon'!CJ184:CJ194,",Tues-",'22 Oct Tues'!CJ184:CJ194,",Wed-",'23 Oct Wed'!CJ184:CJ194,",Thurs-",'24 Oct Thurs'!CJ184:CJ194,",Fri-",'25 Oct Fri'!CJ184:CJ194,",Sat-",'26 Oct Sat'!CJ184:CJ194)</f>
        <v>Mon-,Tues-,Wed-,Thurs-,Fri-,Sat-</v>
      </c>
      <c r="BM184" s="384">
        <f>SUM('21 Oct Mon'!CK184:CK194,'22 Oct Tues'!CK184:CK194,'23 Oct Wed'!CK184:CK194,'24 Oct Thurs'!CK184:CK194,'25 Oct Fri'!CK184:CK194,'26 Oct Sat'!CK184:CK194)</f>
        <v>0</v>
      </c>
      <c r="BN184" s="382" t="str">
        <f>CONCATENATE("Mon-",'21 Oct Mon'!CL184:CL194,",Tues-",'22 Oct Tues'!CL184:CL194,",Wed-",'23 Oct Wed'!CL184:CL194,",Thurs-",'24 Oct Thurs'!CL184:CL194,",Fri-",'25 Oct Fri'!CL184:CL194,",Sat-",'26 Oct Sat'!CL184:CL194)</f>
        <v>Mon-,Tues-,Wed-,Thurs-,Fri-,Sat-</v>
      </c>
      <c r="BO184" s="384">
        <f>SUM('21 Oct Mon'!CM184:CM194,'22 Oct Tues'!CM184:CM194,'23 Oct Wed'!CM184:CM194,'24 Oct Thurs'!CM184:CM194,'25 Oct Fri'!CM184:CM194,'26 Oct Sat'!CM184:CM194)</f>
        <v>0</v>
      </c>
      <c r="BP184" s="385" t="str">
        <f>CONCATENATE("Mon-",'21 Oct Mon'!CN184:CN194,",Tues-",'22 Oct Tues'!CN184:CN194,",Wed-",'23 Oct Wed'!CN184:CN194,",Thurs-",'24 Oct Thurs'!CN184:CN194,",Fri-",'25 Oct Fri'!CN184:CN194,",Sat-",'26 Oct Sat'!CN184:CN194)</f>
        <v>Mon-,Tues-,Wed-,Thurs-,Fri-,Sat-</v>
      </c>
      <c r="BQ184" s="387">
        <f>SUM('21 Oct Mon'!CO184:CO194,'22 Oct Tues'!CO184:CO194,'23 Oct Wed'!CO184:CO194,'24 Oct Thurs'!CO184:CO194,'25 Oct Fri'!CO184:CO194,'26 Oct Sat'!CO184:CO194)</f>
        <v>0</v>
      </c>
      <c r="BR184" s="379" t="str">
        <f>CONCATENATE("Mon-",'21 Oct Mon'!CP184:CP194,",Tues-",'22 Oct Tues'!CP184:CP194,",Wed-",'23 Oct Wed'!CP184:CP194,",Thurs-",'24 Oct Thurs'!CP184:CP194,",Fri-",'25 Oct Fri'!CP184:CP194,",Sat-",'26 Oct Sat'!CP184:CP194)</f>
        <v>Mon-,Tues-,Wed-,Thurs-,Fri-,Sat-</v>
      </c>
      <c r="BS184" s="390">
        <f>SUM('21 Oct Mon'!CQ184:CQ194,'22 Oct Tues'!CQ184:CQ194,'23 Oct Wed'!CQ184:CQ194,'24 Oct Thurs'!CQ184:CQ194,'25 Oct Fri'!CQ184:CQ194,'26 Oct Sat'!CQ184:CQ194)</f>
        <v>0</v>
      </c>
      <c r="BT184" s="390">
        <f>SUM('21 Oct Mon'!CR184:CR194,'22 Oct Tues'!CR184:CR194,'23 Oct Wed'!CR184:CR194,'24 Oct Thurs'!CR184:CR194,'25 Oct Fri'!CR184:CR194,'26 Oct Sat'!CR184:CR194)</f>
        <v>0</v>
      </c>
      <c r="BU184" s="391">
        <f>SUM('21 Oct Mon'!CS184:CS194,'22 Oct Tues'!CS184:CS194,'23 Oct Wed'!CS184:CS194,'24 Oct Thurs'!CS184:CS194,'25 Oct Fri'!CS184:CS194,'26 Oct Sat'!CS184:CS194)</f>
        <v>0</v>
      </c>
      <c r="BV184" s="392">
        <f>SUM('21 Oct Mon'!CT184:CT194,'22 Oct Tues'!CT184:CT194,'23 Oct Wed'!CT184:CT194,'24 Oct Thurs'!CT184:CT194,'25 Oct Fri'!CT184:CT194,'26 Oct Sat'!CT184:CT194)</f>
        <v>0</v>
      </c>
      <c r="BW184" s="393" t="str">
        <f>LEFT(U184,FIND("(",U184,1)-2)</f>
        <v>0</v>
      </c>
      <c r="BX184" s="394"/>
    </row>
    <row r="185" ht="15.75" hidden="1" customHeight="1">
      <c r="A185" s="65"/>
      <c r="B185" s="65"/>
      <c r="C185" s="416"/>
      <c r="D185" s="430"/>
      <c r="E185" s="431"/>
      <c r="F185" s="431"/>
      <c r="G185" s="431"/>
      <c r="H185" s="429"/>
      <c r="I185" s="431"/>
      <c r="J185" s="397"/>
      <c r="K185" s="398">
        <f t="shared" si="1"/>
        <v>0</v>
      </c>
      <c r="L185" s="173"/>
      <c r="M185" s="173"/>
      <c r="N185" s="177"/>
      <c r="O185" s="178"/>
      <c r="P185" s="178"/>
      <c r="Q185" s="178"/>
      <c r="R185" s="178"/>
      <c r="S185" s="182"/>
      <c r="T185" s="65"/>
      <c r="U185" s="64"/>
      <c r="V185" s="66"/>
      <c r="W185" s="173"/>
      <c r="X185" s="173"/>
      <c r="Y185" s="65"/>
      <c r="Z185" s="65"/>
      <c r="AA185" s="65"/>
      <c r="AB185" s="65"/>
      <c r="AC185" s="173"/>
      <c r="AD185" s="166"/>
      <c r="AE185" s="166"/>
      <c r="AF185" s="166"/>
      <c r="AG185" s="166"/>
      <c r="AH185" s="65"/>
      <c r="AJ185" s="177"/>
      <c r="AK185" s="178"/>
      <c r="AL185" s="181"/>
      <c r="AM185" s="166"/>
      <c r="AN185" s="166"/>
      <c r="AO185" s="177"/>
      <c r="AP185" s="178"/>
      <c r="AQ185" s="181"/>
      <c r="AR185" s="166"/>
      <c r="AS185" s="166"/>
      <c r="AT185" s="177"/>
      <c r="AU185" s="181"/>
      <c r="AV185" s="166"/>
      <c r="AW185" s="166"/>
      <c r="AX185" s="177"/>
      <c r="AY185" s="166"/>
      <c r="AZ185" s="177"/>
      <c r="BA185" s="178"/>
      <c r="BB185" s="178"/>
      <c r="BC185" s="178"/>
      <c r="BD185" s="178"/>
      <c r="BE185" s="178"/>
      <c r="BF185" s="178"/>
      <c r="BG185" s="179"/>
      <c r="BH185" s="180"/>
      <c r="BI185" s="178"/>
      <c r="BJ185" s="177"/>
      <c r="BK185" s="181"/>
      <c r="BL185" s="177"/>
      <c r="BM185" s="181"/>
      <c r="BN185" s="177"/>
      <c r="BO185" s="181"/>
      <c r="BP185" s="177"/>
      <c r="BQ185" s="181"/>
      <c r="BR185" s="166"/>
      <c r="BS185" s="166"/>
      <c r="BT185" s="166"/>
      <c r="BU185" s="65"/>
      <c r="BW185" s="178"/>
      <c r="BX185" s="399"/>
    </row>
    <row r="186" ht="15.75" hidden="1" customHeight="1">
      <c r="A186" s="65"/>
      <c r="B186" s="65"/>
      <c r="C186" s="416"/>
      <c r="D186" s="430"/>
      <c r="E186" s="431"/>
      <c r="F186" s="431"/>
      <c r="G186" s="431"/>
      <c r="H186" s="431"/>
      <c r="I186" s="431"/>
      <c r="J186" s="397"/>
      <c r="K186" s="398">
        <f t="shared" si="1"/>
        <v>0</v>
      </c>
      <c r="L186" s="173"/>
      <c r="M186" s="173"/>
      <c r="N186" s="177"/>
      <c r="O186" s="178"/>
      <c r="P186" s="178"/>
      <c r="Q186" s="178"/>
      <c r="R186" s="178"/>
      <c r="S186" s="182"/>
      <c r="T186" s="65"/>
      <c r="U186" s="64"/>
      <c r="V186" s="66"/>
      <c r="W186" s="173"/>
      <c r="X186" s="173"/>
      <c r="Y186" s="65"/>
      <c r="Z186" s="65"/>
      <c r="AA186" s="65"/>
      <c r="AB186" s="65"/>
      <c r="AC186" s="173"/>
      <c r="AD186" s="166"/>
      <c r="AE186" s="166"/>
      <c r="AF186" s="166"/>
      <c r="AG186" s="166"/>
      <c r="AH186" s="65"/>
      <c r="AJ186" s="177"/>
      <c r="AK186" s="178"/>
      <c r="AL186" s="181"/>
      <c r="AM186" s="166"/>
      <c r="AN186" s="166"/>
      <c r="AO186" s="177"/>
      <c r="AP186" s="178"/>
      <c r="AQ186" s="181"/>
      <c r="AR186" s="166"/>
      <c r="AS186" s="166"/>
      <c r="AT186" s="177"/>
      <c r="AU186" s="181"/>
      <c r="AV186" s="166"/>
      <c r="AW186" s="166"/>
      <c r="AX186" s="177"/>
      <c r="AY186" s="166"/>
      <c r="AZ186" s="177"/>
      <c r="BA186" s="178"/>
      <c r="BB186" s="178"/>
      <c r="BC186" s="178"/>
      <c r="BD186" s="178"/>
      <c r="BE186" s="178"/>
      <c r="BF186" s="178"/>
      <c r="BG186" s="179"/>
      <c r="BH186" s="180"/>
      <c r="BI186" s="178"/>
      <c r="BJ186" s="177"/>
      <c r="BK186" s="181"/>
      <c r="BL186" s="177"/>
      <c r="BM186" s="181"/>
      <c r="BN186" s="177"/>
      <c r="BO186" s="181"/>
      <c r="BP186" s="177"/>
      <c r="BQ186" s="181"/>
      <c r="BR186" s="166"/>
      <c r="BS186" s="166"/>
      <c r="BT186" s="166"/>
      <c r="BU186" s="65"/>
      <c r="BW186" s="178"/>
      <c r="BX186" s="399"/>
    </row>
    <row r="187" ht="15.75" hidden="1" customHeight="1">
      <c r="A187" s="65"/>
      <c r="B187" s="65"/>
      <c r="C187" s="416"/>
      <c r="D187" s="430"/>
      <c r="E187" s="431"/>
      <c r="F187" s="431"/>
      <c r="G187" s="431"/>
      <c r="H187" s="431"/>
      <c r="I187" s="431"/>
      <c r="J187" s="397"/>
      <c r="K187" s="398">
        <f t="shared" si="1"/>
        <v>0</v>
      </c>
      <c r="L187" s="173"/>
      <c r="M187" s="173"/>
      <c r="N187" s="177"/>
      <c r="O187" s="178"/>
      <c r="P187" s="178"/>
      <c r="Q187" s="178"/>
      <c r="R187" s="178"/>
      <c r="S187" s="182"/>
      <c r="T187" s="65"/>
      <c r="U187" s="64"/>
      <c r="V187" s="66"/>
      <c r="W187" s="173"/>
      <c r="X187" s="173"/>
      <c r="Y187" s="65"/>
      <c r="Z187" s="65"/>
      <c r="AA187" s="65"/>
      <c r="AB187" s="65"/>
      <c r="AC187" s="173"/>
      <c r="AD187" s="166"/>
      <c r="AE187" s="166"/>
      <c r="AF187" s="166"/>
      <c r="AG187" s="166"/>
      <c r="AH187" s="65"/>
      <c r="AJ187" s="177"/>
      <c r="AK187" s="178"/>
      <c r="AL187" s="181"/>
      <c r="AM187" s="166"/>
      <c r="AN187" s="166"/>
      <c r="AO187" s="177"/>
      <c r="AP187" s="178"/>
      <c r="AQ187" s="181"/>
      <c r="AR187" s="166"/>
      <c r="AS187" s="166"/>
      <c r="AT187" s="177"/>
      <c r="AU187" s="181"/>
      <c r="AV187" s="166"/>
      <c r="AW187" s="166"/>
      <c r="AX187" s="177"/>
      <c r="AY187" s="166"/>
      <c r="AZ187" s="177"/>
      <c r="BA187" s="178"/>
      <c r="BB187" s="178"/>
      <c r="BC187" s="178"/>
      <c r="BD187" s="178"/>
      <c r="BE187" s="178"/>
      <c r="BF187" s="178"/>
      <c r="BG187" s="179"/>
      <c r="BH187" s="180"/>
      <c r="BI187" s="178"/>
      <c r="BJ187" s="177"/>
      <c r="BK187" s="181"/>
      <c r="BL187" s="177"/>
      <c r="BM187" s="181"/>
      <c r="BN187" s="177"/>
      <c r="BO187" s="181"/>
      <c r="BP187" s="177"/>
      <c r="BQ187" s="181"/>
      <c r="BR187" s="166"/>
      <c r="BS187" s="166"/>
      <c r="BT187" s="166"/>
      <c r="BU187" s="65"/>
      <c r="BW187" s="178"/>
      <c r="BX187" s="399"/>
    </row>
    <row r="188" ht="15.75" hidden="1" customHeight="1">
      <c r="A188" s="65"/>
      <c r="B188" s="65"/>
      <c r="C188" s="416"/>
      <c r="D188" s="430"/>
      <c r="E188" s="431"/>
      <c r="F188" s="431"/>
      <c r="G188" s="431"/>
      <c r="H188" s="431"/>
      <c r="I188" s="431"/>
      <c r="J188" s="397"/>
      <c r="K188" s="398">
        <f t="shared" si="1"/>
        <v>0</v>
      </c>
      <c r="L188" s="173"/>
      <c r="M188" s="173"/>
      <c r="N188" s="177"/>
      <c r="O188" s="178"/>
      <c r="P188" s="178"/>
      <c r="Q188" s="178"/>
      <c r="R188" s="178"/>
      <c r="S188" s="182"/>
      <c r="T188" s="65"/>
      <c r="U188" s="64"/>
      <c r="V188" s="66"/>
      <c r="W188" s="173"/>
      <c r="X188" s="173"/>
      <c r="Y188" s="65"/>
      <c r="Z188" s="65"/>
      <c r="AA188" s="65"/>
      <c r="AB188" s="65"/>
      <c r="AC188" s="173"/>
      <c r="AD188" s="166"/>
      <c r="AE188" s="166"/>
      <c r="AF188" s="166"/>
      <c r="AG188" s="166"/>
      <c r="AH188" s="65"/>
      <c r="AJ188" s="177"/>
      <c r="AK188" s="178"/>
      <c r="AL188" s="181"/>
      <c r="AM188" s="166"/>
      <c r="AN188" s="166"/>
      <c r="AO188" s="177"/>
      <c r="AP188" s="178"/>
      <c r="AQ188" s="181"/>
      <c r="AR188" s="166"/>
      <c r="AS188" s="166"/>
      <c r="AT188" s="177"/>
      <c r="AU188" s="181"/>
      <c r="AV188" s="166"/>
      <c r="AW188" s="166"/>
      <c r="AX188" s="177"/>
      <c r="AY188" s="166"/>
      <c r="AZ188" s="177"/>
      <c r="BA188" s="178"/>
      <c r="BB188" s="178"/>
      <c r="BC188" s="178"/>
      <c r="BD188" s="178"/>
      <c r="BE188" s="178"/>
      <c r="BF188" s="178"/>
      <c r="BG188" s="179"/>
      <c r="BH188" s="180"/>
      <c r="BI188" s="178"/>
      <c r="BJ188" s="177"/>
      <c r="BK188" s="181"/>
      <c r="BL188" s="177"/>
      <c r="BM188" s="181"/>
      <c r="BN188" s="177"/>
      <c r="BO188" s="181"/>
      <c r="BP188" s="177"/>
      <c r="BQ188" s="181"/>
      <c r="BR188" s="166"/>
      <c r="BS188" s="166"/>
      <c r="BT188" s="166"/>
      <c r="BU188" s="65"/>
      <c r="BW188" s="178"/>
      <c r="BX188" s="399"/>
    </row>
    <row r="189" ht="15.75" hidden="1" customHeight="1">
      <c r="A189" s="65"/>
      <c r="B189" s="65"/>
      <c r="C189" s="416"/>
      <c r="D189" s="430"/>
      <c r="E189" s="431"/>
      <c r="F189" s="431"/>
      <c r="G189" s="431"/>
      <c r="H189" s="431"/>
      <c r="I189" s="431"/>
      <c r="J189" s="397"/>
      <c r="K189" s="398">
        <f t="shared" si="1"/>
        <v>0</v>
      </c>
      <c r="L189" s="173"/>
      <c r="M189" s="173"/>
      <c r="N189" s="177"/>
      <c r="O189" s="178"/>
      <c r="P189" s="178"/>
      <c r="Q189" s="178"/>
      <c r="R189" s="178"/>
      <c r="S189" s="182"/>
      <c r="T189" s="65"/>
      <c r="U189" s="64"/>
      <c r="V189" s="66"/>
      <c r="W189" s="173"/>
      <c r="X189" s="173"/>
      <c r="Y189" s="65"/>
      <c r="Z189" s="65"/>
      <c r="AA189" s="65"/>
      <c r="AB189" s="65"/>
      <c r="AC189" s="173"/>
      <c r="AD189" s="166"/>
      <c r="AE189" s="166"/>
      <c r="AF189" s="166"/>
      <c r="AG189" s="166"/>
      <c r="AH189" s="65"/>
      <c r="AJ189" s="177"/>
      <c r="AK189" s="178"/>
      <c r="AL189" s="181"/>
      <c r="AM189" s="166"/>
      <c r="AN189" s="166"/>
      <c r="AO189" s="177"/>
      <c r="AP189" s="178"/>
      <c r="AQ189" s="181"/>
      <c r="AR189" s="166"/>
      <c r="AS189" s="166"/>
      <c r="AT189" s="177"/>
      <c r="AU189" s="181"/>
      <c r="AV189" s="166"/>
      <c r="AW189" s="166"/>
      <c r="AX189" s="177"/>
      <c r="AY189" s="166"/>
      <c r="AZ189" s="177"/>
      <c r="BA189" s="178"/>
      <c r="BB189" s="178"/>
      <c r="BC189" s="178"/>
      <c r="BD189" s="178"/>
      <c r="BE189" s="178"/>
      <c r="BF189" s="178"/>
      <c r="BG189" s="179"/>
      <c r="BH189" s="180"/>
      <c r="BI189" s="178"/>
      <c r="BJ189" s="177"/>
      <c r="BK189" s="181"/>
      <c r="BL189" s="177"/>
      <c r="BM189" s="181"/>
      <c r="BN189" s="177"/>
      <c r="BO189" s="181"/>
      <c r="BP189" s="177"/>
      <c r="BQ189" s="181"/>
      <c r="BR189" s="166"/>
      <c r="BS189" s="166"/>
      <c r="BT189" s="166"/>
      <c r="BU189" s="65"/>
      <c r="BW189" s="178"/>
      <c r="BX189" s="399"/>
    </row>
    <row r="190" ht="15.75" hidden="1" customHeight="1">
      <c r="A190" s="65"/>
      <c r="B190" s="65"/>
      <c r="C190" s="416"/>
      <c r="D190" s="430"/>
      <c r="E190" s="431"/>
      <c r="F190" s="431"/>
      <c r="G190" s="431"/>
      <c r="H190" s="431"/>
      <c r="I190" s="431"/>
      <c r="J190" s="397"/>
      <c r="K190" s="398">
        <f t="shared" si="1"/>
        <v>0</v>
      </c>
      <c r="L190" s="173"/>
      <c r="M190" s="173"/>
      <c r="N190" s="177"/>
      <c r="O190" s="178"/>
      <c r="P190" s="178"/>
      <c r="Q190" s="178"/>
      <c r="R190" s="178"/>
      <c r="S190" s="182"/>
      <c r="T190" s="65"/>
      <c r="U190" s="64"/>
      <c r="V190" s="66"/>
      <c r="W190" s="173"/>
      <c r="X190" s="173"/>
      <c r="Y190" s="65"/>
      <c r="Z190" s="65"/>
      <c r="AA190" s="65"/>
      <c r="AB190" s="65"/>
      <c r="AC190" s="173"/>
      <c r="AD190" s="166"/>
      <c r="AE190" s="166"/>
      <c r="AF190" s="166"/>
      <c r="AG190" s="166"/>
      <c r="AH190" s="65"/>
      <c r="AJ190" s="177"/>
      <c r="AK190" s="178"/>
      <c r="AL190" s="181"/>
      <c r="AM190" s="166"/>
      <c r="AN190" s="166"/>
      <c r="AO190" s="177"/>
      <c r="AP190" s="178"/>
      <c r="AQ190" s="181"/>
      <c r="AR190" s="166"/>
      <c r="AS190" s="166"/>
      <c r="AT190" s="177"/>
      <c r="AU190" s="181"/>
      <c r="AV190" s="166"/>
      <c r="AW190" s="166"/>
      <c r="AX190" s="177"/>
      <c r="AY190" s="166"/>
      <c r="AZ190" s="177"/>
      <c r="BA190" s="178"/>
      <c r="BB190" s="178"/>
      <c r="BC190" s="178"/>
      <c r="BD190" s="178"/>
      <c r="BE190" s="178"/>
      <c r="BF190" s="178"/>
      <c r="BG190" s="179"/>
      <c r="BH190" s="180"/>
      <c r="BI190" s="178"/>
      <c r="BJ190" s="177"/>
      <c r="BK190" s="181"/>
      <c r="BL190" s="177"/>
      <c r="BM190" s="181"/>
      <c r="BN190" s="177"/>
      <c r="BO190" s="181"/>
      <c r="BP190" s="177"/>
      <c r="BQ190" s="181"/>
      <c r="BR190" s="166"/>
      <c r="BS190" s="166"/>
      <c r="BT190" s="166"/>
      <c r="BU190" s="65"/>
      <c r="BW190" s="178"/>
      <c r="BX190" s="399"/>
    </row>
    <row r="191" ht="15.75" hidden="1" customHeight="1">
      <c r="A191" s="65"/>
      <c r="B191" s="65"/>
      <c r="C191" s="416"/>
      <c r="D191" s="430"/>
      <c r="E191" s="431"/>
      <c r="F191" s="431"/>
      <c r="G191" s="431"/>
      <c r="H191" s="431"/>
      <c r="I191" s="431"/>
      <c r="J191" s="397"/>
      <c r="K191" s="398">
        <f t="shared" si="1"/>
        <v>0</v>
      </c>
      <c r="L191" s="173"/>
      <c r="M191" s="173"/>
      <c r="N191" s="177"/>
      <c r="O191" s="178"/>
      <c r="P191" s="178"/>
      <c r="Q191" s="178"/>
      <c r="R191" s="178"/>
      <c r="S191" s="182"/>
      <c r="T191" s="65"/>
      <c r="U191" s="64"/>
      <c r="V191" s="66"/>
      <c r="W191" s="173"/>
      <c r="X191" s="173"/>
      <c r="Y191" s="65"/>
      <c r="Z191" s="65"/>
      <c r="AA191" s="65"/>
      <c r="AB191" s="65"/>
      <c r="AC191" s="173"/>
      <c r="AD191" s="166"/>
      <c r="AE191" s="166"/>
      <c r="AF191" s="166"/>
      <c r="AG191" s="166"/>
      <c r="AH191" s="65"/>
      <c r="AJ191" s="177"/>
      <c r="AK191" s="178"/>
      <c r="AL191" s="181"/>
      <c r="AM191" s="166"/>
      <c r="AN191" s="166"/>
      <c r="AO191" s="177"/>
      <c r="AP191" s="178"/>
      <c r="AQ191" s="181"/>
      <c r="AR191" s="166"/>
      <c r="AS191" s="166"/>
      <c r="AT191" s="177"/>
      <c r="AU191" s="181"/>
      <c r="AV191" s="166"/>
      <c r="AW191" s="166"/>
      <c r="AX191" s="177"/>
      <c r="AY191" s="166"/>
      <c r="AZ191" s="177"/>
      <c r="BA191" s="178"/>
      <c r="BB191" s="178"/>
      <c r="BC191" s="178"/>
      <c r="BD191" s="178"/>
      <c r="BE191" s="178"/>
      <c r="BF191" s="178"/>
      <c r="BG191" s="179"/>
      <c r="BH191" s="180"/>
      <c r="BI191" s="178"/>
      <c r="BJ191" s="177"/>
      <c r="BK191" s="181"/>
      <c r="BL191" s="177"/>
      <c r="BM191" s="181"/>
      <c r="BN191" s="177"/>
      <c r="BO191" s="181"/>
      <c r="BP191" s="177"/>
      <c r="BQ191" s="181"/>
      <c r="BR191" s="166"/>
      <c r="BS191" s="166"/>
      <c r="BT191" s="166"/>
      <c r="BU191" s="65"/>
      <c r="BW191" s="178"/>
      <c r="BX191" s="399"/>
    </row>
    <row r="192" ht="15.75" hidden="1" customHeight="1">
      <c r="A192" s="65"/>
      <c r="B192" s="65"/>
      <c r="C192" s="416"/>
      <c r="D192" s="430"/>
      <c r="E192" s="431"/>
      <c r="F192" s="431"/>
      <c r="G192" s="431"/>
      <c r="H192" s="431"/>
      <c r="I192" s="431"/>
      <c r="J192" s="397"/>
      <c r="K192" s="398">
        <f t="shared" si="1"/>
        <v>0</v>
      </c>
      <c r="L192" s="173"/>
      <c r="M192" s="173"/>
      <c r="N192" s="177"/>
      <c r="O192" s="178"/>
      <c r="P192" s="178"/>
      <c r="Q192" s="178"/>
      <c r="R192" s="178"/>
      <c r="S192" s="182"/>
      <c r="T192" s="65"/>
      <c r="U192" s="64"/>
      <c r="V192" s="66"/>
      <c r="W192" s="173"/>
      <c r="X192" s="173"/>
      <c r="Y192" s="65"/>
      <c r="Z192" s="65"/>
      <c r="AA192" s="65"/>
      <c r="AB192" s="65"/>
      <c r="AC192" s="173"/>
      <c r="AD192" s="166"/>
      <c r="AE192" s="166"/>
      <c r="AF192" s="166"/>
      <c r="AG192" s="166"/>
      <c r="AH192" s="65"/>
      <c r="AJ192" s="177"/>
      <c r="AK192" s="178"/>
      <c r="AL192" s="181"/>
      <c r="AM192" s="166"/>
      <c r="AN192" s="166"/>
      <c r="AO192" s="177"/>
      <c r="AP192" s="178"/>
      <c r="AQ192" s="181"/>
      <c r="AR192" s="166"/>
      <c r="AS192" s="166"/>
      <c r="AT192" s="177"/>
      <c r="AU192" s="181"/>
      <c r="AV192" s="166"/>
      <c r="AW192" s="166"/>
      <c r="AX192" s="177"/>
      <c r="AY192" s="166"/>
      <c r="AZ192" s="177"/>
      <c r="BA192" s="178"/>
      <c r="BB192" s="178"/>
      <c r="BC192" s="178"/>
      <c r="BD192" s="178"/>
      <c r="BE192" s="178"/>
      <c r="BF192" s="178"/>
      <c r="BG192" s="179"/>
      <c r="BH192" s="180"/>
      <c r="BI192" s="178"/>
      <c r="BJ192" s="177"/>
      <c r="BK192" s="181"/>
      <c r="BL192" s="177"/>
      <c r="BM192" s="181"/>
      <c r="BN192" s="177"/>
      <c r="BO192" s="181"/>
      <c r="BP192" s="177"/>
      <c r="BQ192" s="181"/>
      <c r="BR192" s="166"/>
      <c r="BS192" s="166"/>
      <c r="BT192" s="166"/>
      <c r="BU192" s="65"/>
      <c r="BW192" s="178"/>
      <c r="BX192" s="399"/>
    </row>
    <row r="193" ht="15.75" hidden="1" customHeight="1">
      <c r="A193" s="65"/>
      <c r="B193" s="65"/>
      <c r="C193" s="416"/>
      <c r="D193" s="430"/>
      <c r="E193" s="431"/>
      <c r="F193" s="431"/>
      <c r="G193" s="431"/>
      <c r="H193" s="431"/>
      <c r="I193" s="431"/>
      <c r="J193" s="397"/>
      <c r="K193" s="398">
        <f t="shared" si="1"/>
        <v>0</v>
      </c>
      <c r="L193" s="173"/>
      <c r="M193" s="173"/>
      <c r="N193" s="177"/>
      <c r="O193" s="178"/>
      <c r="P193" s="178"/>
      <c r="Q193" s="178"/>
      <c r="R193" s="178"/>
      <c r="S193" s="182"/>
      <c r="T193" s="65"/>
      <c r="U193" s="64"/>
      <c r="V193" s="66"/>
      <c r="W193" s="173"/>
      <c r="X193" s="173"/>
      <c r="Y193" s="65"/>
      <c r="Z193" s="65"/>
      <c r="AA193" s="65"/>
      <c r="AB193" s="65"/>
      <c r="AC193" s="173"/>
      <c r="AD193" s="166"/>
      <c r="AE193" s="166"/>
      <c r="AF193" s="166"/>
      <c r="AG193" s="166"/>
      <c r="AH193" s="65"/>
      <c r="AJ193" s="177"/>
      <c r="AK193" s="178"/>
      <c r="AL193" s="181"/>
      <c r="AM193" s="166"/>
      <c r="AN193" s="166"/>
      <c r="AO193" s="177"/>
      <c r="AP193" s="178"/>
      <c r="AQ193" s="181"/>
      <c r="AR193" s="166"/>
      <c r="AS193" s="166"/>
      <c r="AT193" s="177"/>
      <c r="AU193" s="181"/>
      <c r="AV193" s="166"/>
      <c r="AW193" s="166"/>
      <c r="AX193" s="177"/>
      <c r="AY193" s="166"/>
      <c r="AZ193" s="177"/>
      <c r="BA193" s="178"/>
      <c r="BB193" s="178"/>
      <c r="BC193" s="178"/>
      <c r="BD193" s="178"/>
      <c r="BE193" s="178"/>
      <c r="BF193" s="178"/>
      <c r="BG193" s="179"/>
      <c r="BH193" s="180"/>
      <c r="BI193" s="178"/>
      <c r="BJ193" s="177"/>
      <c r="BK193" s="181"/>
      <c r="BL193" s="177"/>
      <c r="BM193" s="181"/>
      <c r="BN193" s="177"/>
      <c r="BO193" s="181"/>
      <c r="BP193" s="177"/>
      <c r="BQ193" s="181"/>
      <c r="BR193" s="166"/>
      <c r="BS193" s="166"/>
      <c r="BT193" s="166"/>
      <c r="BU193" s="65"/>
      <c r="BW193" s="178"/>
      <c r="BX193" s="399"/>
    </row>
    <row r="194" ht="15.75" hidden="1" customHeight="1">
      <c r="A194" s="89"/>
      <c r="B194" s="89"/>
      <c r="C194" s="417"/>
      <c r="D194" s="432"/>
      <c r="E194" s="433"/>
      <c r="F194" s="433"/>
      <c r="G194" s="433"/>
      <c r="H194" s="433"/>
      <c r="I194" s="433"/>
      <c r="J194" s="402"/>
      <c r="K194" s="403">
        <f t="shared" si="1"/>
        <v>0</v>
      </c>
      <c r="L194" s="69"/>
      <c r="M194" s="69"/>
      <c r="N194" s="192"/>
      <c r="O194" s="193"/>
      <c r="P194" s="193"/>
      <c r="Q194" s="193"/>
      <c r="R194" s="193"/>
      <c r="S194" s="197"/>
      <c r="T194" s="89"/>
      <c r="U194" s="103"/>
      <c r="V194" s="68"/>
      <c r="W194" s="69"/>
      <c r="X194" s="69"/>
      <c r="Y194" s="89"/>
      <c r="Z194" s="89"/>
      <c r="AA194" s="89"/>
      <c r="AB194" s="89"/>
      <c r="AC194" s="69"/>
      <c r="AD194" s="63"/>
      <c r="AE194" s="63"/>
      <c r="AF194" s="63"/>
      <c r="AG194" s="63"/>
      <c r="AH194" s="89"/>
      <c r="AI194" s="6"/>
      <c r="AJ194" s="192"/>
      <c r="AK194" s="193"/>
      <c r="AL194" s="196"/>
      <c r="AM194" s="63"/>
      <c r="AN194" s="63"/>
      <c r="AO194" s="192"/>
      <c r="AP194" s="193"/>
      <c r="AQ194" s="196"/>
      <c r="AR194" s="63"/>
      <c r="AS194" s="63"/>
      <c r="AT194" s="192"/>
      <c r="AU194" s="196"/>
      <c r="AV194" s="63"/>
      <c r="AW194" s="63"/>
      <c r="AX194" s="192"/>
      <c r="AY194" s="63"/>
      <c r="AZ194" s="192"/>
      <c r="BA194" s="193"/>
      <c r="BB194" s="193"/>
      <c r="BC194" s="193"/>
      <c r="BD194" s="193"/>
      <c r="BE194" s="193"/>
      <c r="BF194" s="193"/>
      <c r="BG194" s="194"/>
      <c r="BH194" s="195"/>
      <c r="BI194" s="193"/>
      <c r="BJ194" s="192"/>
      <c r="BK194" s="196"/>
      <c r="BL194" s="192"/>
      <c r="BM194" s="196"/>
      <c r="BN194" s="192"/>
      <c r="BO194" s="196"/>
      <c r="BP194" s="192"/>
      <c r="BQ194" s="196"/>
      <c r="BR194" s="63"/>
      <c r="BS194" s="63"/>
      <c r="BT194" s="63"/>
      <c r="BU194" s="89"/>
      <c r="BV194" s="6"/>
      <c r="BW194" s="198"/>
      <c r="BX194" s="404"/>
    </row>
    <row r="195" ht="61.5" hidden="1" customHeight="1">
      <c r="A195" s="125">
        <v>18.0</v>
      </c>
      <c r="B195" s="274"/>
      <c r="C195" s="427"/>
      <c r="D195" s="428"/>
      <c r="E195" s="429"/>
      <c r="F195" s="429"/>
      <c r="G195" s="429"/>
      <c r="H195" s="429"/>
      <c r="I195" s="429"/>
      <c r="J195" s="366"/>
      <c r="K195" s="367">
        <f t="shared" si="1"/>
        <v>0</v>
      </c>
      <c r="L195" s="368">
        <f>SUM(I195:I205)+SUM(K195:K205)*1</f>
        <v>0</v>
      </c>
      <c r="M195" s="368">
        <f>SUM('21 Oct Mon'!Q195:Q205,'22 Oct Tues'!Q195:Q205,'23 Oct Wed'!Q195:Q205,'24 Oct Thurs'!Q195:Q205,'25 Oct Fri'!Q195:Q205,'26 Oct Sat'!Q195:Q205)</f>
        <v>0</v>
      </c>
      <c r="N195" s="369">
        <f>SUM('21 Oct Mon'!R195:R205,'22 Oct Tues'!R195:R205,'23 Oct Wed'!R195:R205,'24 Oct Thurs'!R195:R205,'25 Oct Fri'!R195:R205,'26 Oct Sat'!R195:R205)</f>
        <v>0</v>
      </c>
      <c r="O195" s="370">
        <f>SUM(L195:N205)</f>
        <v>0</v>
      </c>
      <c r="P195" s="370">
        <f>SUM('21 Oct Mon'!T195:T205,'22 Oct Tues'!T195:T205,'23 Oct Wed'!T195:T205,'24 Oct Thurs'!T195:T205,'25 Oct Fri'!T195:T205,'26 Oct Sat'!T195:T205)</f>
        <v>0</v>
      </c>
      <c r="Q195" s="370">
        <f>SUM('21 Oct Mon'!U195:U205,'22 Oct Tues'!U195:U205,'23 Oct Wed'!U195:U205,'24 Oct Thurs'!U195:U205,'25 Oct Fri'!U195:U205,'26 Oct Sat'!U195:U205)</f>
        <v>0</v>
      </c>
      <c r="R195" s="370">
        <f>SUM('21 Oct Mon'!V195:V205,'22 Oct Tues'!V195:V205,'23 Oct Wed'!V195:V205,'24 Oct Thurs'!V195:V205,'25 Oct Fri'!V195:V205,'26 Oct Sat'!V195:V205)</f>
        <v>0</v>
      </c>
      <c r="S195" s="371">
        <f>SUM('21 Oct Mon'!W195:W205,'22 Oct Tues'!W195:W205,'23 Oct Wed'!W195:W205,'24 Oct Thurs'!W195:W205,'25 Oct Fri'!W195:W205,'26 Oct Sat'!W195:W205)</f>
        <v>0</v>
      </c>
      <c r="T195" s="372">
        <f>O195-P195-Q195-R195-S195</f>
        <v>0</v>
      </c>
      <c r="U195" s="373" t="str">
        <f>CONCATENATE(SUM('21 Oct Mon'!O195:O205,'22 Oct Tues'!O195:O205,'23 Oct Wed'!O195:O205,'24 Oct Thurs'!O195:O205,'25 Oct Fri'!O195:O205,'26 Oct Sat'!O195:O205),"
(",(SUM('21 Oct Mon'!O195:O205,'22 Oct Tues'!O195:O205,'23 Oct Wed'!O195:O205,'24 Oct Thurs'!O195:O205,'25 Oct Fri'!O195:O205,'26 Oct Sat'!O195:O205)-T195),")")</f>
        <v>0
(0)</v>
      </c>
      <c r="V195" s="374" t="str">
        <f>CONCATENATE("Mon-",'21 Oct Mon'!Z195:Z205,",Tues-",'22 Oct Tues'!Z195:Z205,",Wed-",'23 Oct Wed'!Z195:Z205,",Thurs-",'24 Oct Thurs'!Z195:Z205,",Fri-",'25 Oct Fri'!Z195:Z205,",Sat-",'26 Oct Sat'!Z195:Z205)</f>
        <v>Mon-,Tues-,Wed-,Thurs-,Fri-,Sat-</v>
      </c>
      <c r="W195" s="375">
        <f>SUM('21 Oct Mon'!AI195:AI205,'22 Oct Tues'!AI195:AI205,'23 Oct Wed'!AI195:AI205,'24 Oct Thurs'!AI195:AI205,'25 Oct Fri'!AI195:AI205,'26 Oct Sat'!AI195:AI205)</f>
        <v>0</v>
      </c>
      <c r="X195" s="375">
        <f>SUM('21 Oct Mon'!AM195:AM205,'22 Oct Tues'!AM195:AM205,'23 Oct Wed'!AM195:AM205,'24 Oct Thurs'!AM195:AM205,'25 Oct Fri'!AM195:AM205,'26 Oct Sat'!AM195:AM205)</f>
        <v>0</v>
      </c>
      <c r="Y195" s="376">
        <f>SUM('21 Oct Mon'!AP195:AP205,'22 Oct Tues'!AP195:AP205,'23 Oct Wed'!AP195:AP205,'24 Oct Thurs'!AP195:AP205,'25 Oct Fri'!AP195:AP205,'26 Oct Sat'!AP195:AP205)</f>
        <v>0</v>
      </c>
      <c r="Z195" s="376">
        <f>SUM('21 Oct Mon'!AQ195:AQ205,'22 Oct Tues'!AQ195:AQ205,'23 Oct Wed'!AQ195:AQ205,'24 Oct Thurs'!AQ195:AQ205,'25 Oct Fri'!AQ195:AQ205,'26 Oct Sat'!AQ195:AQ205)</f>
        <v>0</v>
      </c>
      <c r="AA195" s="377">
        <f>SUM('21 Oct Mon'!AR195:AR205,'22 Oct Tues'!AR195:AR205,'23 Oct Wed'!AR195:AR205,'24 Oct Thurs'!AR195:AR205,'25 Oct Fri'!AR195:AR205,'26 Oct Sat'!AR195:AR205)</f>
        <v>0</v>
      </c>
      <c r="AB195" s="377">
        <f>SUM('21 Oct Mon'!AS195:AS205,'22 Oct Tues'!AS195:AS205,'23 Oct Wed'!AS195:AS205,'24 Oct Thurs'!AS195:AS205,'25 Oct Fri'!AS195:AS205,'26 Oct Sat'!AS195:AS205)</f>
        <v>0</v>
      </c>
      <c r="AC195" s="378">
        <f>SUM('21 Oct Mon'!AT195:AT205,'22 Oct Tues'!AT195:AT205,'23 Oct Wed'!AT195:AT205,'24 Oct Thurs'!AT195:AT205,'25 Oct Fri'!AT195:AT205,'26 Oct Sat'!AT195:AT205)</f>
        <v>0</v>
      </c>
      <c r="AD195" s="379">
        <f>SUM('21 Oct Mon'!AU195:AU205,'22 Oct Tues'!AU195:AU205,'23 Oct Wed'!AU195:AU205,'24 Oct Thurs'!AU195:AU205,'25 Oct Fri'!AU195:AU205,'26 Oct Sat'!AU195:AU205)</f>
        <v>0</v>
      </c>
      <c r="AE195" s="379">
        <f>SUM('21 Oct Mon'!AV195:AV205,'22 Oct Tues'!AV195:AV205,'23 Oct Wed'!AV195:AV205,'24 Oct Thurs'!AV195:AV205,'25 Oct Fri'!AV195:AV205,'26 Oct Sat'!AV195:AV205)</f>
        <v>0</v>
      </c>
      <c r="AF195" s="379">
        <f>SUM('21 Oct Mon'!AW195:AW205,'22 Oct Tues'!AW195:AW205,'23 Oct Wed'!AW195:AW205,'24 Oct Thurs'!AW195:AW205,'25 Oct Fri'!AW195:AW205,'26 Oct Sat'!AW195:AW205)</f>
        <v>0</v>
      </c>
      <c r="AG195" s="379">
        <f>SUM('21 Oct Mon'!AX195:AX205,'22 Oct Tues'!AX195:AX205,'23 Oct Wed'!AX195:AX205,'24 Oct Thurs'!AX195:AX205,'25 Oct Fri'!AX195:AX205,'26 Oct Sat'!AX195:AX205)</f>
        <v>0</v>
      </c>
      <c r="AH195" s="380">
        <f>SUM('21 Oct Mon'!AY195:AY205,'22 Oct Tues'!AY195:AY205,'23 Oct Wed'!AY195:AY205,'24 Oct Thurs'!AY195:AY205,'25 Oct Fri'!AY195:AY205,'26 Oct Sat'!AY195:AY205)</f>
        <v>0</v>
      </c>
      <c r="AI195" s="381">
        <f>SUM('21 Oct Mon'!AZ195:AZ205,'22 Oct Tues'!AZ195:AZ205,'23 Oct Wed'!AZ195:AZ205,'24 Oct Thurs'!AZ195:AZ205,'25 Oct Fri'!AZ195:AZ205,'26 Oct Sat'!AZ195:AZ205)</f>
        <v>0</v>
      </c>
      <c r="AJ195" s="382">
        <f>SUM('21 Oct Mon'!BG195:BG205,'22 Oct Tues'!BG195:BG205,'23 Oct Wed'!BG195:BG205,'24 Oct Thurs'!BG195:BG205,'25 Oct Fri'!BG195:BG205,'26 Oct Sat'!BG195:BG205)</f>
        <v>0</v>
      </c>
      <c r="AK195" s="383">
        <f>SUM('21 Oct Mon'!BH195:BH205,'22 Oct Tues'!BH195:BH205,'23 Oct Wed'!BH195:BH205,'24 Oct Thurs'!BH195:BH205,'25 Oct Fri'!BH195:BH205,'26 Oct Sat'!BH195:BH205)</f>
        <v>0</v>
      </c>
      <c r="AL195" s="384">
        <f>SUM('21 Oct Mon'!BI195:BI205,'22 Oct Tues'!BI195:BI205,'23 Oct Wed'!BI195:BI205,'24 Oct Thurs'!BI195:BI205,'25 Oct Fri'!BI195:BI205,'26 Oct Sat'!BI195:BI205)</f>
        <v>0</v>
      </c>
      <c r="AM195" s="379">
        <f>SUM('21 Oct Mon'!BJ195:BJ205,'22 Oct Tues'!BJ195:BJ205,'23 Oct Wed'!BJ195:BJ205,'24 Oct Thurs'!BJ195:BJ205,'25 Oct Fri'!BJ195:BJ205,'26 Oct Sat'!BJ195:BJ205)</f>
        <v>0</v>
      </c>
      <c r="AN195" s="379">
        <f>SUM('21 Oct Mon'!BK195:BK205,'22 Oct Tues'!BK195:BK205,'23 Oct Wed'!BK195:BK205,'24 Oct Thurs'!BK195:BK205,'25 Oct Fri'!BK195:BK205,'26 Oct Sat'!BK195:BK205)</f>
        <v>0</v>
      </c>
      <c r="AO195" s="385">
        <f>SUM('21 Oct Mon'!BL195:BL205,'22 Oct Tues'!BL195:BL205,'23 Oct Wed'!BL195:BL205,'24 Oct Thurs'!BL195:BL205,'25 Oct Fri'!BL195:BL205,'26 Oct Sat'!BL195:BL205)</f>
        <v>0</v>
      </c>
      <c r="AP195" s="386">
        <f>SUM('21 Oct Mon'!BM195:BM205,'22 Oct Tues'!BM195:BM205,'23 Oct Wed'!BM195:BM205,'24 Oct Thurs'!BM195:BM205,'25 Oct Fri'!BM195:BM205,'26 Oct Sat'!BM195:BM205)</f>
        <v>0</v>
      </c>
      <c r="AQ195" s="387">
        <f>SUM('21 Oct Mon'!BN195:BN205,'22 Oct Tues'!BN195:BN205,'23 Oct Wed'!BN195:BN205,'24 Oct Thurs'!BN195:BN205,'25 Oct Fri'!BN195:BN205,'26 Oct Sat'!BN195:BN205)</f>
        <v>0</v>
      </c>
      <c r="AR195" s="379">
        <f>SUM('21 Oct Mon'!BO195:BO205,'22 Oct Tues'!BO195:BO205,'23 Oct Wed'!BO195:BO205,'24 Oct Thurs'!BO195:BO205,'25 Oct Fri'!BO195:BO205,'26 Oct Sat'!BO195:BO205)</f>
        <v>0</v>
      </c>
      <c r="AS195" s="379">
        <f>SUM('21 Oct Mon'!BP195:BP205,'22 Oct Tues'!BP195:BP205,'23 Oct Wed'!BP195:BP205,'24 Oct Thurs'!BP195:BP205,'25 Oct Fri'!BP195:BP205,'26 Oct Sat'!BP195:BP205)</f>
        <v>0</v>
      </c>
      <c r="AT195" s="382">
        <f>SUM('21 Oct Mon'!BR195:BR205,'22 Oct Tues'!BR195:BR205,'23 Oct Wed'!BR195:BR205,'24 Oct Thurs'!BR195:BR205,'25 Oct Fri'!BR195:BR205,'26 Oct Sat'!BR195:BR205)</f>
        <v>0</v>
      </c>
      <c r="AU195" s="384">
        <f>SUM('21 Oct Mon'!BS195:BS205,'22 Oct Tues'!BS195:BS205,'23 Oct Wed'!BS195:BS205,'24 Oct Thurs'!BS195:BS205,'25 Oct Fri'!BS195:BS205,'26 Oct Sat'!BS195:BS205)</f>
        <v>0</v>
      </c>
      <c r="AV195" s="379">
        <f>SUM('21 Oct Mon'!BT195:BT205,'22 Oct Tues'!BT195:BT205,'23 Oct Wed'!BT195:BT205,'24 Oct Thurs'!BT195:BT205,'25 Oct Fri'!BT195:BT205,'26 Oct Sat'!BT195:BT205)</f>
        <v>0</v>
      </c>
      <c r="AW195" s="379">
        <f>SUM('21 Oct Mon'!BU195:BU205,'22 Oct Tues'!BU195:BU205,'23 Oct Wed'!BU195:BU205,'24 Oct Thurs'!BU195:BU205,'25 Oct Fri'!BU195:BU205,'26 Oct Sat'!BU195:BU205)</f>
        <v>0</v>
      </c>
      <c r="AX195" s="382">
        <f>SUM('21 Oct Mon'!BV195:BV205,'22 Oct Tues'!BV195:BV205,'23 Oct Wed'!BV195:BV205,'24 Oct Thurs'!BV195:BV205,'25 Oct Fri'!BV195:BV205,'26 Oct Sat'!BV195:BV205)</f>
        <v>0</v>
      </c>
      <c r="AY195" s="379">
        <f>SUM('21 Oct Mon'!BW195:BW205,'22 Oct Tues'!BW195:BW205,'23 Oct Wed'!BW195:BW205,'24 Oct Thurs'!BW195:BW205,'25 Oct Fri'!BW195:BW205,'26 Oct Sat'!BW195:BW205)</f>
        <v>0</v>
      </c>
      <c r="AZ195" s="385">
        <f>SUM('21 Oct Mon'!BX195:BX205,'22 Oct Tues'!BX195:BX205,'23 Oct Wed'!BX195:BX205,'24 Oct Thurs'!BX195:BX205,'25 Oct Fri'!BX195:BX205,'26 Oct Sat'!BX195:BX205)</f>
        <v>0</v>
      </c>
      <c r="BA195" s="386">
        <f>SUM('21 Oct Mon'!BY195:BY205,'22 Oct Tues'!BY195:BY205,'23 Oct Wed'!BY195:BY205,'24 Oct Thurs'!BY195:BY205,'25 Oct Fri'!BY195:BY205,'26 Oct Sat'!BY195:BY205)</f>
        <v>0</v>
      </c>
      <c r="BB195" s="386">
        <f>SUM('21 Oct Mon'!BZ195:BZ205,'22 Oct Tues'!BZ195:BZ205,'23 Oct Wed'!BZ195:BZ205,'24 Oct Thurs'!BZ195:BZ205,'25 Oct Fri'!BZ195:BZ205,'26 Oct Sat'!BZ195:BZ205)</f>
        <v>0</v>
      </c>
      <c r="BC195" s="386">
        <f>SUM('21 Oct Mon'!CA195:CA205,'22 Oct Tues'!CA195:CA205,'23 Oct Wed'!CA195:CA205,'24 Oct Thurs'!CA195:CA205,'25 Oct Fri'!CA195:CA205,'26 Oct Sat'!CA195:CA205)</f>
        <v>0</v>
      </c>
      <c r="BD195" s="386">
        <f>SUM('21 Oct Mon'!CB195:CB205,'22 Oct Tues'!CB195:CB205,'23 Oct Wed'!CB195:CB205,'24 Oct Thurs'!CB195:CB205,'25 Oct Fri'!CB195:CB205,'26 Oct Sat'!CB195:CB205)</f>
        <v>0</v>
      </c>
      <c r="BE195" s="386">
        <f>SUM('21 Oct Mon'!CC195:CC205,'22 Oct Tues'!CC195:CC205,'23 Oct Wed'!CC195:CC205,'24 Oct Thurs'!CC195:CC205,'25 Oct Fri'!CC195:CC205,'26 Oct Sat'!CC195:CC205)</f>
        <v>0</v>
      </c>
      <c r="BF195" s="386" t="str">
        <f>CONCATENATE("Mon-",'21 Oct Mon'!CD195:CD205,",Tues-",'22 Oct Tues'!CD195:CD205,",Wed-",'23 Oct Wed'!CD195:CD205,",Thurs-",'24 Oct Thurs'!CD195:CD205,",Fri-",'25 Oct Fri'!CD195:CD205,",Sat-",'26 Oct Sat'!CD195:CD205)</f>
        <v>Mon-,Tues-,Wed-,Thurs-,Fri-,Sat-</v>
      </c>
      <c r="BG195" s="388">
        <f>SUM('21 Oct Mon'!CE195:CE205,'22 Oct Tues'!CE195:CE205,'23 Oct Wed'!CE195:CE205,'24 Oct Thurs'!CE195:CE205,'25 Oct Fri'!CE195:CE205,'26 Oct Sat'!CE195:CE205)</f>
        <v>0</v>
      </c>
      <c r="BH195" s="389" t="str">
        <f>CONCATENATE("Mon-",'21 Oct Mon'!CF195:CF205,",Tues-",'22 Oct Tues'!CF195:CF205,",Wed-",'23 Oct Wed'!CF195:CF205,",Thurs-",'24 Oct Thurs'!CF195:CF205,",Fri-",'25 Oct Fri'!CF195:CF205,",Sat-",'26 Oct Sat'!CF195:CF205)</f>
        <v>Mon-,Tues-,Wed-,Thurs-,Fri-,Sat-</v>
      </c>
      <c r="BI195" s="383">
        <f>SUM('21 Oct Mon'!CG195:CG205,'22 Oct Tues'!CG195:CG205,'23 Oct Wed'!CG195:CG205,'24 Oct Thurs'!CG195:CG205,'25 Oct Fri'!CG195:CG205,'26 Oct Sat'!CG195:CG205)</f>
        <v>0</v>
      </c>
      <c r="BJ195" s="382">
        <f>SUM('21 Oct Mon'!CH195:CH205,'22 Oct Tues'!CH195:CH205,'23 Oct Wed'!CH195:CH205,'24 Oct Thurs'!CH195:CH205,'25 Oct Fri'!CH195:CH205,'26 Oct Sat'!CH195:CH205)</f>
        <v>0</v>
      </c>
      <c r="BK195" s="384">
        <f>SUM('21 Oct Mon'!CI195:CI205,'22 Oct Tues'!CI195:CI205,'23 Oct Wed'!CI195:CI205,'24 Oct Thurs'!CI195:CI205,'25 Oct Fri'!CI195:CI205,'26 Oct Sat'!CI195:CI205)</f>
        <v>0</v>
      </c>
      <c r="BL195" s="382" t="str">
        <f>CONCATENATE("Mon-",'21 Oct Mon'!CJ195:CJ205,",Tues-",'22 Oct Tues'!CJ195:CJ205,",Wed-",'23 Oct Wed'!CJ195:CJ205,",Thurs-",'24 Oct Thurs'!CJ195:CJ205,",Fri-",'25 Oct Fri'!CJ195:CJ205,",Sat-",'26 Oct Sat'!CJ195:CJ205)</f>
        <v>Mon-,Tues-,Wed-,Thurs-,Fri-,Sat-</v>
      </c>
      <c r="BM195" s="384">
        <f>SUM('21 Oct Mon'!CK195:CK205,'22 Oct Tues'!CK195:CK205,'23 Oct Wed'!CK195:CK205,'24 Oct Thurs'!CK195:CK205,'25 Oct Fri'!CK195:CK205,'26 Oct Sat'!CK195:CK205)</f>
        <v>0</v>
      </c>
      <c r="BN195" s="382" t="str">
        <f>CONCATENATE("Mon-",'21 Oct Mon'!CL195:CL205,",Tues-",'22 Oct Tues'!CL195:CL205,",Wed-",'23 Oct Wed'!CL195:CL205,",Thurs-",'24 Oct Thurs'!CL195:CL205,",Fri-",'25 Oct Fri'!CL195:CL205,",Sat-",'26 Oct Sat'!CL195:CL205)</f>
        <v>Mon-,Tues-,Wed-,Thurs-,Fri-,Sat-</v>
      </c>
      <c r="BO195" s="384">
        <f>SUM('21 Oct Mon'!CM195:CM205,'22 Oct Tues'!CM195:CM205,'23 Oct Wed'!CM195:CM205,'24 Oct Thurs'!CM195:CM205,'25 Oct Fri'!CM195:CM205,'26 Oct Sat'!CM195:CM205)</f>
        <v>0</v>
      </c>
      <c r="BP195" s="385" t="str">
        <f>CONCATENATE("Mon-",'21 Oct Mon'!CN195:CN205,",Tues-",'22 Oct Tues'!CN195:CN205,",Wed-",'23 Oct Wed'!CN195:CN205,",Thurs-",'24 Oct Thurs'!CN195:CN205,",Fri-",'25 Oct Fri'!CN195:CN205,",Sat-",'26 Oct Sat'!CN195:CN205)</f>
        <v>Mon-,Tues-,Wed-,Thurs-,Fri-,Sat-</v>
      </c>
      <c r="BQ195" s="387">
        <f>SUM('21 Oct Mon'!CO195:CO205,'22 Oct Tues'!CO195:CO205,'23 Oct Wed'!CO195:CO205,'24 Oct Thurs'!CO195:CO205,'25 Oct Fri'!CO195:CO205,'26 Oct Sat'!CO195:CO205)</f>
        <v>0</v>
      </c>
      <c r="BR195" s="379" t="str">
        <f>CONCATENATE("Mon-",'21 Oct Mon'!CP195:CP205,",Tues-",'22 Oct Tues'!CP195:CP205,",Wed-",'23 Oct Wed'!CP195:CP205,",Thurs-",'24 Oct Thurs'!CP195:CP205,",Fri-",'25 Oct Fri'!CP195:CP205,",Sat-",'26 Oct Sat'!CP195:CP205)</f>
        <v>Mon-,Tues-,Wed-,Thurs-,Fri-,Sat-</v>
      </c>
      <c r="BS195" s="390">
        <f>SUM('21 Oct Mon'!CQ195:CQ205,'22 Oct Tues'!CQ195:CQ205,'23 Oct Wed'!CQ195:CQ205,'24 Oct Thurs'!CQ195:CQ205,'25 Oct Fri'!CQ195:CQ205,'26 Oct Sat'!CQ195:CQ205)</f>
        <v>0</v>
      </c>
      <c r="BT195" s="390">
        <f>SUM('21 Oct Mon'!CR195:CR205,'22 Oct Tues'!CR195:CR205,'23 Oct Wed'!CR195:CR205,'24 Oct Thurs'!CR195:CR205,'25 Oct Fri'!CR195:CR205,'26 Oct Sat'!CR195:CR205)</f>
        <v>0</v>
      </c>
      <c r="BU195" s="391">
        <f>SUM('21 Oct Mon'!CS195:CS205,'22 Oct Tues'!CS195:CS205,'23 Oct Wed'!CS195:CS205,'24 Oct Thurs'!CS195:CS205,'25 Oct Fri'!CS195:CS205,'26 Oct Sat'!CS195:CS205)</f>
        <v>0</v>
      </c>
      <c r="BV195" s="392">
        <f>SUM('21 Oct Mon'!CT195:CT205,'22 Oct Tues'!CT195:CT205,'23 Oct Wed'!CT195:CT205,'24 Oct Thurs'!CT195:CT205,'25 Oct Fri'!CT195:CT205,'26 Oct Sat'!CT195:CT205)</f>
        <v>0</v>
      </c>
      <c r="BW195" s="393" t="str">
        <f>LEFT(U195,FIND("(",U195,1)-2)</f>
        <v>0</v>
      </c>
      <c r="BX195" s="394"/>
    </row>
    <row r="196" ht="15.75" hidden="1" customHeight="1">
      <c r="A196" s="65"/>
      <c r="B196" s="65"/>
      <c r="C196" s="416"/>
      <c r="D196" s="430"/>
      <c r="E196" s="431"/>
      <c r="F196" s="431"/>
      <c r="G196" s="431"/>
      <c r="H196" s="429"/>
      <c r="I196" s="431"/>
      <c r="J196" s="397"/>
      <c r="K196" s="398">
        <f t="shared" si="1"/>
        <v>0</v>
      </c>
      <c r="L196" s="173"/>
      <c r="M196" s="173"/>
      <c r="N196" s="177"/>
      <c r="O196" s="178"/>
      <c r="P196" s="178"/>
      <c r="Q196" s="178"/>
      <c r="R196" s="178"/>
      <c r="S196" s="182"/>
      <c r="T196" s="65"/>
      <c r="U196" s="64"/>
      <c r="V196" s="66"/>
      <c r="W196" s="173"/>
      <c r="X196" s="173"/>
      <c r="Y196" s="65"/>
      <c r="Z196" s="65"/>
      <c r="AA196" s="65"/>
      <c r="AB196" s="65"/>
      <c r="AC196" s="173"/>
      <c r="AD196" s="166"/>
      <c r="AE196" s="166"/>
      <c r="AF196" s="166"/>
      <c r="AG196" s="166"/>
      <c r="AH196" s="65"/>
      <c r="AJ196" s="177"/>
      <c r="AK196" s="178"/>
      <c r="AL196" s="181"/>
      <c r="AM196" s="166"/>
      <c r="AN196" s="166"/>
      <c r="AO196" s="177"/>
      <c r="AP196" s="178"/>
      <c r="AQ196" s="181"/>
      <c r="AR196" s="166"/>
      <c r="AS196" s="166"/>
      <c r="AT196" s="177"/>
      <c r="AU196" s="181"/>
      <c r="AV196" s="166"/>
      <c r="AW196" s="166"/>
      <c r="AX196" s="177"/>
      <c r="AY196" s="166"/>
      <c r="AZ196" s="177"/>
      <c r="BA196" s="178"/>
      <c r="BB196" s="178"/>
      <c r="BC196" s="178"/>
      <c r="BD196" s="178"/>
      <c r="BE196" s="178"/>
      <c r="BF196" s="178"/>
      <c r="BG196" s="179"/>
      <c r="BH196" s="180"/>
      <c r="BI196" s="178"/>
      <c r="BJ196" s="177"/>
      <c r="BK196" s="181"/>
      <c r="BL196" s="177"/>
      <c r="BM196" s="181"/>
      <c r="BN196" s="177"/>
      <c r="BO196" s="181"/>
      <c r="BP196" s="177"/>
      <c r="BQ196" s="181"/>
      <c r="BR196" s="166"/>
      <c r="BS196" s="166"/>
      <c r="BT196" s="166"/>
      <c r="BU196" s="65"/>
      <c r="BW196" s="178"/>
      <c r="BX196" s="399"/>
    </row>
    <row r="197" ht="15.75" hidden="1" customHeight="1">
      <c r="A197" s="65"/>
      <c r="B197" s="65"/>
      <c r="C197" s="416"/>
      <c r="D197" s="430"/>
      <c r="E197" s="431"/>
      <c r="F197" s="431"/>
      <c r="G197" s="431"/>
      <c r="H197" s="431"/>
      <c r="I197" s="431"/>
      <c r="J197" s="397"/>
      <c r="K197" s="398">
        <f t="shared" si="1"/>
        <v>0</v>
      </c>
      <c r="L197" s="173"/>
      <c r="M197" s="173"/>
      <c r="N197" s="177"/>
      <c r="O197" s="178"/>
      <c r="P197" s="178"/>
      <c r="Q197" s="178"/>
      <c r="R197" s="178"/>
      <c r="S197" s="182"/>
      <c r="T197" s="65"/>
      <c r="U197" s="64"/>
      <c r="V197" s="66"/>
      <c r="W197" s="173"/>
      <c r="X197" s="173"/>
      <c r="Y197" s="65"/>
      <c r="Z197" s="65"/>
      <c r="AA197" s="65"/>
      <c r="AB197" s="65"/>
      <c r="AC197" s="173"/>
      <c r="AD197" s="166"/>
      <c r="AE197" s="166"/>
      <c r="AF197" s="166"/>
      <c r="AG197" s="166"/>
      <c r="AH197" s="65"/>
      <c r="AJ197" s="177"/>
      <c r="AK197" s="178"/>
      <c r="AL197" s="181"/>
      <c r="AM197" s="166"/>
      <c r="AN197" s="166"/>
      <c r="AO197" s="177"/>
      <c r="AP197" s="178"/>
      <c r="AQ197" s="181"/>
      <c r="AR197" s="166"/>
      <c r="AS197" s="166"/>
      <c r="AT197" s="177"/>
      <c r="AU197" s="181"/>
      <c r="AV197" s="166"/>
      <c r="AW197" s="166"/>
      <c r="AX197" s="177"/>
      <c r="AY197" s="166"/>
      <c r="AZ197" s="177"/>
      <c r="BA197" s="178"/>
      <c r="BB197" s="178"/>
      <c r="BC197" s="178"/>
      <c r="BD197" s="178"/>
      <c r="BE197" s="178"/>
      <c r="BF197" s="178"/>
      <c r="BG197" s="179"/>
      <c r="BH197" s="180"/>
      <c r="BI197" s="178"/>
      <c r="BJ197" s="177"/>
      <c r="BK197" s="181"/>
      <c r="BL197" s="177"/>
      <c r="BM197" s="181"/>
      <c r="BN197" s="177"/>
      <c r="BO197" s="181"/>
      <c r="BP197" s="177"/>
      <c r="BQ197" s="181"/>
      <c r="BR197" s="166"/>
      <c r="BS197" s="166"/>
      <c r="BT197" s="166"/>
      <c r="BU197" s="65"/>
      <c r="BW197" s="178"/>
      <c r="BX197" s="399"/>
    </row>
    <row r="198" ht="15.75" hidden="1" customHeight="1">
      <c r="A198" s="65"/>
      <c r="B198" s="65"/>
      <c r="C198" s="416"/>
      <c r="D198" s="430"/>
      <c r="E198" s="431"/>
      <c r="F198" s="431"/>
      <c r="G198" s="431"/>
      <c r="H198" s="431"/>
      <c r="I198" s="431"/>
      <c r="J198" s="397"/>
      <c r="K198" s="398">
        <f t="shared" si="1"/>
        <v>0</v>
      </c>
      <c r="L198" s="173"/>
      <c r="M198" s="173"/>
      <c r="N198" s="177"/>
      <c r="O198" s="178"/>
      <c r="P198" s="178"/>
      <c r="Q198" s="178"/>
      <c r="R198" s="178"/>
      <c r="S198" s="182"/>
      <c r="T198" s="65"/>
      <c r="U198" s="64"/>
      <c r="V198" s="66"/>
      <c r="W198" s="173"/>
      <c r="X198" s="173"/>
      <c r="Y198" s="65"/>
      <c r="Z198" s="65"/>
      <c r="AA198" s="65"/>
      <c r="AB198" s="65"/>
      <c r="AC198" s="173"/>
      <c r="AD198" s="166"/>
      <c r="AE198" s="166"/>
      <c r="AF198" s="166"/>
      <c r="AG198" s="166"/>
      <c r="AH198" s="65"/>
      <c r="AJ198" s="177"/>
      <c r="AK198" s="178"/>
      <c r="AL198" s="181"/>
      <c r="AM198" s="166"/>
      <c r="AN198" s="166"/>
      <c r="AO198" s="177"/>
      <c r="AP198" s="178"/>
      <c r="AQ198" s="181"/>
      <c r="AR198" s="166"/>
      <c r="AS198" s="166"/>
      <c r="AT198" s="177"/>
      <c r="AU198" s="181"/>
      <c r="AV198" s="166"/>
      <c r="AW198" s="166"/>
      <c r="AX198" s="177"/>
      <c r="AY198" s="166"/>
      <c r="AZ198" s="177"/>
      <c r="BA198" s="178"/>
      <c r="BB198" s="178"/>
      <c r="BC198" s="178"/>
      <c r="BD198" s="178"/>
      <c r="BE198" s="178"/>
      <c r="BF198" s="178"/>
      <c r="BG198" s="179"/>
      <c r="BH198" s="180"/>
      <c r="BI198" s="178"/>
      <c r="BJ198" s="177"/>
      <c r="BK198" s="181"/>
      <c r="BL198" s="177"/>
      <c r="BM198" s="181"/>
      <c r="BN198" s="177"/>
      <c r="BO198" s="181"/>
      <c r="BP198" s="177"/>
      <c r="BQ198" s="181"/>
      <c r="BR198" s="166"/>
      <c r="BS198" s="166"/>
      <c r="BT198" s="166"/>
      <c r="BU198" s="65"/>
      <c r="BW198" s="178"/>
      <c r="BX198" s="399"/>
    </row>
    <row r="199" ht="15.75" hidden="1" customHeight="1">
      <c r="A199" s="65"/>
      <c r="B199" s="65"/>
      <c r="C199" s="416"/>
      <c r="D199" s="430"/>
      <c r="E199" s="431"/>
      <c r="F199" s="431"/>
      <c r="G199" s="431"/>
      <c r="H199" s="431"/>
      <c r="I199" s="431"/>
      <c r="J199" s="397"/>
      <c r="K199" s="398">
        <f t="shared" si="1"/>
        <v>0</v>
      </c>
      <c r="L199" s="173"/>
      <c r="M199" s="173"/>
      <c r="N199" s="177"/>
      <c r="O199" s="178"/>
      <c r="P199" s="178"/>
      <c r="Q199" s="178"/>
      <c r="R199" s="178"/>
      <c r="S199" s="182"/>
      <c r="T199" s="65"/>
      <c r="U199" s="64"/>
      <c r="V199" s="66"/>
      <c r="W199" s="173"/>
      <c r="X199" s="173"/>
      <c r="Y199" s="65"/>
      <c r="Z199" s="65"/>
      <c r="AA199" s="65"/>
      <c r="AB199" s="65"/>
      <c r="AC199" s="173"/>
      <c r="AD199" s="166"/>
      <c r="AE199" s="166"/>
      <c r="AF199" s="166"/>
      <c r="AG199" s="166"/>
      <c r="AH199" s="65"/>
      <c r="AJ199" s="177"/>
      <c r="AK199" s="178"/>
      <c r="AL199" s="181"/>
      <c r="AM199" s="166"/>
      <c r="AN199" s="166"/>
      <c r="AO199" s="177"/>
      <c r="AP199" s="178"/>
      <c r="AQ199" s="181"/>
      <c r="AR199" s="166"/>
      <c r="AS199" s="166"/>
      <c r="AT199" s="177"/>
      <c r="AU199" s="181"/>
      <c r="AV199" s="166"/>
      <c r="AW199" s="166"/>
      <c r="AX199" s="177"/>
      <c r="AY199" s="166"/>
      <c r="AZ199" s="177"/>
      <c r="BA199" s="178"/>
      <c r="BB199" s="178"/>
      <c r="BC199" s="178"/>
      <c r="BD199" s="178"/>
      <c r="BE199" s="178"/>
      <c r="BF199" s="178"/>
      <c r="BG199" s="179"/>
      <c r="BH199" s="180"/>
      <c r="BI199" s="178"/>
      <c r="BJ199" s="177"/>
      <c r="BK199" s="181"/>
      <c r="BL199" s="177"/>
      <c r="BM199" s="181"/>
      <c r="BN199" s="177"/>
      <c r="BO199" s="181"/>
      <c r="BP199" s="177"/>
      <c r="BQ199" s="181"/>
      <c r="BR199" s="166"/>
      <c r="BS199" s="166"/>
      <c r="BT199" s="166"/>
      <c r="BU199" s="65"/>
      <c r="BW199" s="178"/>
      <c r="BX199" s="399"/>
    </row>
    <row r="200" ht="15.75" hidden="1" customHeight="1">
      <c r="A200" s="65"/>
      <c r="B200" s="65"/>
      <c r="C200" s="416"/>
      <c r="D200" s="430"/>
      <c r="E200" s="431"/>
      <c r="F200" s="431"/>
      <c r="G200" s="431"/>
      <c r="H200" s="431"/>
      <c r="I200" s="431"/>
      <c r="J200" s="397"/>
      <c r="K200" s="398">
        <f t="shared" si="1"/>
        <v>0</v>
      </c>
      <c r="L200" s="173"/>
      <c r="M200" s="173"/>
      <c r="N200" s="177"/>
      <c r="O200" s="178"/>
      <c r="P200" s="178"/>
      <c r="Q200" s="178"/>
      <c r="R200" s="178"/>
      <c r="S200" s="182"/>
      <c r="T200" s="65"/>
      <c r="U200" s="64"/>
      <c r="V200" s="66"/>
      <c r="W200" s="173"/>
      <c r="X200" s="173"/>
      <c r="Y200" s="65"/>
      <c r="Z200" s="65"/>
      <c r="AA200" s="65"/>
      <c r="AB200" s="65"/>
      <c r="AC200" s="173"/>
      <c r="AD200" s="166"/>
      <c r="AE200" s="166"/>
      <c r="AF200" s="166"/>
      <c r="AG200" s="166"/>
      <c r="AH200" s="65"/>
      <c r="AJ200" s="177"/>
      <c r="AK200" s="178"/>
      <c r="AL200" s="181"/>
      <c r="AM200" s="166"/>
      <c r="AN200" s="166"/>
      <c r="AO200" s="177"/>
      <c r="AP200" s="178"/>
      <c r="AQ200" s="181"/>
      <c r="AR200" s="166"/>
      <c r="AS200" s="166"/>
      <c r="AT200" s="177"/>
      <c r="AU200" s="181"/>
      <c r="AV200" s="166"/>
      <c r="AW200" s="166"/>
      <c r="AX200" s="177"/>
      <c r="AY200" s="166"/>
      <c r="AZ200" s="177"/>
      <c r="BA200" s="178"/>
      <c r="BB200" s="178"/>
      <c r="BC200" s="178"/>
      <c r="BD200" s="178"/>
      <c r="BE200" s="178"/>
      <c r="BF200" s="178"/>
      <c r="BG200" s="179"/>
      <c r="BH200" s="180"/>
      <c r="BI200" s="178"/>
      <c r="BJ200" s="177"/>
      <c r="BK200" s="181"/>
      <c r="BL200" s="177"/>
      <c r="BM200" s="181"/>
      <c r="BN200" s="177"/>
      <c r="BO200" s="181"/>
      <c r="BP200" s="177"/>
      <c r="BQ200" s="181"/>
      <c r="BR200" s="166"/>
      <c r="BS200" s="166"/>
      <c r="BT200" s="166"/>
      <c r="BU200" s="65"/>
      <c r="BW200" s="178"/>
      <c r="BX200" s="399"/>
    </row>
    <row r="201" ht="15.75" hidden="1" customHeight="1">
      <c r="A201" s="65"/>
      <c r="B201" s="65"/>
      <c r="C201" s="416"/>
      <c r="D201" s="430"/>
      <c r="E201" s="431"/>
      <c r="F201" s="431"/>
      <c r="G201" s="431"/>
      <c r="H201" s="431"/>
      <c r="I201" s="431"/>
      <c r="J201" s="397"/>
      <c r="K201" s="398">
        <f t="shared" si="1"/>
        <v>0</v>
      </c>
      <c r="L201" s="173"/>
      <c r="M201" s="173"/>
      <c r="N201" s="177"/>
      <c r="O201" s="178"/>
      <c r="P201" s="178"/>
      <c r="Q201" s="178"/>
      <c r="R201" s="178"/>
      <c r="S201" s="182"/>
      <c r="T201" s="65"/>
      <c r="U201" s="64"/>
      <c r="V201" s="66"/>
      <c r="W201" s="173"/>
      <c r="X201" s="173"/>
      <c r="Y201" s="65"/>
      <c r="Z201" s="65"/>
      <c r="AA201" s="65"/>
      <c r="AB201" s="65"/>
      <c r="AC201" s="173"/>
      <c r="AD201" s="166"/>
      <c r="AE201" s="166"/>
      <c r="AF201" s="166"/>
      <c r="AG201" s="166"/>
      <c r="AH201" s="65"/>
      <c r="AJ201" s="177"/>
      <c r="AK201" s="178"/>
      <c r="AL201" s="181"/>
      <c r="AM201" s="166"/>
      <c r="AN201" s="166"/>
      <c r="AO201" s="177"/>
      <c r="AP201" s="178"/>
      <c r="AQ201" s="181"/>
      <c r="AR201" s="166"/>
      <c r="AS201" s="166"/>
      <c r="AT201" s="177"/>
      <c r="AU201" s="181"/>
      <c r="AV201" s="166"/>
      <c r="AW201" s="166"/>
      <c r="AX201" s="177"/>
      <c r="AY201" s="166"/>
      <c r="AZ201" s="177"/>
      <c r="BA201" s="178"/>
      <c r="BB201" s="178"/>
      <c r="BC201" s="178"/>
      <c r="BD201" s="178"/>
      <c r="BE201" s="178"/>
      <c r="BF201" s="178"/>
      <c r="BG201" s="179"/>
      <c r="BH201" s="180"/>
      <c r="BI201" s="178"/>
      <c r="BJ201" s="177"/>
      <c r="BK201" s="181"/>
      <c r="BL201" s="177"/>
      <c r="BM201" s="181"/>
      <c r="BN201" s="177"/>
      <c r="BO201" s="181"/>
      <c r="BP201" s="177"/>
      <c r="BQ201" s="181"/>
      <c r="BR201" s="166"/>
      <c r="BS201" s="166"/>
      <c r="BT201" s="166"/>
      <c r="BU201" s="65"/>
      <c r="BW201" s="178"/>
      <c r="BX201" s="399"/>
    </row>
    <row r="202" ht="15.75" hidden="1" customHeight="1">
      <c r="A202" s="65"/>
      <c r="B202" s="65"/>
      <c r="C202" s="416"/>
      <c r="D202" s="430"/>
      <c r="E202" s="431"/>
      <c r="F202" s="431"/>
      <c r="G202" s="431"/>
      <c r="H202" s="431"/>
      <c r="I202" s="431"/>
      <c r="J202" s="397"/>
      <c r="K202" s="398">
        <f t="shared" si="1"/>
        <v>0</v>
      </c>
      <c r="L202" s="173"/>
      <c r="M202" s="173"/>
      <c r="N202" s="177"/>
      <c r="O202" s="178"/>
      <c r="P202" s="178"/>
      <c r="Q202" s="178"/>
      <c r="R202" s="178"/>
      <c r="S202" s="182"/>
      <c r="T202" s="65"/>
      <c r="U202" s="64"/>
      <c r="V202" s="66"/>
      <c r="W202" s="173"/>
      <c r="X202" s="173"/>
      <c r="Y202" s="65"/>
      <c r="Z202" s="65"/>
      <c r="AA202" s="65"/>
      <c r="AB202" s="65"/>
      <c r="AC202" s="173"/>
      <c r="AD202" s="166"/>
      <c r="AE202" s="166"/>
      <c r="AF202" s="166"/>
      <c r="AG202" s="166"/>
      <c r="AH202" s="65"/>
      <c r="AJ202" s="177"/>
      <c r="AK202" s="178"/>
      <c r="AL202" s="181"/>
      <c r="AM202" s="166"/>
      <c r="AN202" s="166"/>
      <c r="AO202" s="177"/>
      <c r="AP202" s="178"/>
      <c r="AQ202" s="181"/>
      <c r="AR202" s="166"/>
      <c r="AS202" s="166"/>
      <c r="AT202" s="177"/>
      <c r="AU202" s="181"/>
      <c r="AV202" s="166"/>
      <c r="AW202" s="166"/>
      <c r="AX202" s="177"/>
      <c r="AY202" s="166"/>
      <c r="AZ202" s="177"/>
      <c r="BA202" s="178"/>
      <c r="BB202" s="178"/>
      <c r="BC202" s="178"/>
      <c r="BD202" s="178"/>
      <c r="BE202" s="178"/>
      <c r="BF202" s="178"/>
      <c r="BG202" s="179"/>
      <c r="BH202" s="180"/>
      <c r="BI202" s="178"/>
      <c r="BJ202" s="177"/>
      <c r="BK202" s="181"/>
      <c r="BL202" s="177"/>
      <c r="BM202" s="181"/>
      <c r="BN202" s="177"/>
      <c r="BO202" s="181"/>
      <c r="BP202" s="177"/>
      <c r="BQ202" s="181"/>
      <c r="BR202" s="166"/>
      <c r="BS202" s="166"/>
      <c r="BT202" s="166"/>
      <c r="BU202" s="65"/>
      <c r="BW202" s="178"/>
      <c r="BX202" s="399"/>
    </row>
    <row r="203" ht="15.75" hidden="1" customHeight="1">
      <c r="A203" s="65"/>
      <c r="B203" s="65"/>
      <c r="C203" s="416"/>
      <c r="D203" s="430"/>
      <c r="E203" s="431"/>
      <c r="F203" s="431"/>
      <c r="G203" s="431"/>
      <c r="H203" s="431"/>
      <c r="I203" s="431"/>
      <c r="J203" s="397"/>
      <c r="K203" s="398">
        <f t="shared" si="1"/>
        <v>0</v>
      </c>
      <c r="L203" s="173"/>
      <c r="M203" s="173"/>
      <c r="N203" s="177"/>
      <c r="O203" s="178"/>
      <c r="P203" s="178"/>
      <c r="Q203" s="178"/>
      <c r="R203" s="178"/>
      <c r="S203" s="182"/>
      <c r="T203" s="65"/>
      <c r="U203" s="64"/>
      <c r="V203" s="66"/>
      <c r="W203" s="173"/>
      <c r="X203" s="173"/>
      <c r="Y203" s="65"/>
      <c r="Z203" s="65"/>
      <c r="AA203" s="65"/>
      <c r="AB203" s="65"/>
      <c r="AC203" s="173"/>
      <c r="AD203" s="166"/>
      <c r="AE203" s="166"/>
      <c r="AF203" s="166"/>
      <c r="AG203" s="166"/>
      <c r="AH203" s="65"/>
      <c r="AJ203" s="177"/>
      <c r="AK203" s="178"/>
      <c r="AL203" s="181"/>
      <c r="AM203" s="166"/>
      <c r="AN203" s="166"/>
      <c r="AO203" s="177"/>
      <c r="AP203" s="178"/>
      <c r="AQ203" s="181"/>
      <c r="AR203" s="166"/>
      <c r="AS203" s="166"/>
      <c r="AT203" s="177"/>
      <c r="AU203" s="181"/>
      <c r="AV203" s="166"/>
      <c r="AW203" s="166"/>
      <c r="AX203" s="177"/>
      <c r="AY203" s="166"/>
      <c r="AZ203" s="177"/>
      <c r="BA203" s="178"/>
      <c r="BB203" s="178"/>
      <c r="BC203" s="178"/>
      <c r="BD203" s="178"/>
      <c r="BE203" s="178"/>
      <c r="BF203" s="178"/>
      <c r="BG203" s="179"/>
      <c r="BH203" s="180"/>
      <c r="BI203" s="178"/>
      <c r="BJ203" s="177"/>
      <c r="BK203" s="181"/>
      <c r="BL203" s="177"/>
      <c r="BM203" s="181"/>
      <c r="BN203" s="177"/>
      <c r="BO203" s="181"/>
      <c r="BP203" s="177"/>
      <c r="BQ203" s="181"/>
      <c r="BR203" s="166"/>
      <c r="BS203" s="166"/>
      <c r="BT203" s="166"/>
      <c r="BU203" s="65"/>
      <c r="BW203" s="178"/>
      <c r="BX203" s="399"/>
    </row>
    <row r="204" ht="15.75" hidden="1" customHeight="1">
      <c r="A204" s="65"/>
      <c r="B204" s="65"/>
      <c r="C204" s="416"/>
      <c r="D204" s="430"/>
      <c r="E204" s="431"/>
      <c r="F204" s="431"/>
      <c r="G204" s="431"/>
      <c r="H204" s="431"/>
      <c r="I204" s="431"/>
      <c r="J204" s="397"/>
      <c r="K204" s="398">
        <f t="shared" si="1"/>
        <v>0</v>
      </c>
      <c r="L204" s="173"/>
      <c r="M204" s="173"/>
      <c r="N204" s="177"/>
      <c r="O204" s="178"/>
      <c r="P204" s="178"/>
      <c r="Q204" s="178"/>
      <c r="R204" s="178"/>
      <c r="S204" s="182"/>
      <c r="T204" s="65"/>
      <c r="U204" s="64"/>
      <c r="V204" s="66"/>
      <c r="W204" s="173"/>
      <c r="X204" s="173"/>
      <c r="Y204" s="65"/>
      <c r="Z204" s="65"/>
      <c r="AA204" s="65"/>
      <c r="AB204" s="65"/>
      <c r="AC204" s="173"/>
      <c r="AD204" s="166"/>
      <c r="AE204" s="166"/>
      <c r="AF204" s="166"/>
      <c r="AG204" s="166"/>
      <c r="AH204" s="65"/>
      <c r="AJ204" s="177"/>
      <c r="AK204" s="178"/>
      <c r="AL204" s="181"/>
      <c r="AM204" s="166"/>
      <c r="AN204" s="166"/>
      <c r="AO204" s="177"/>
      <c r="AP204" s="178"/>
      <c r="AQ204" s="181"/>
      <c r="AR204" s="166"/>
      <c r="AS204" s="166"/>
      <c r="AT204" s="177"/>
      <c r="AU204" s="181"/>
      <c r="AV204" s="166"/>
      <c r="AW204" s="166"/>
      <c r="AX204" s="177"/>
      <c r="AY204" s="166"/>
      <c r="AZ204" s="177"/>
      <c r="BA204" s="178"/>
      <c r="BB204" s="178"/>
      <c r="BC204" s="178"/>
      <c r="BD204" s="178"/>
      <c r="BE204" s="178"/>
      <c r="BF204" s="178"/>
      <c r="BG204" s="179"/>
      <c r="BH204" s="180"/>
      <c r="BI204" s="178"/>
      <c r="BJ204" s="177"/>
      <c r="BK204" s="181"/>
      <c r="BL204" s="177"/>
      <c r="BM204" s="181"/>
      <c r="BN204" s="177"/>
      <c r="BO204" s="181"/>
      <c r="BP204" s="177"/>
      <c r="BQ204" s="181"/>
      <c r="BR204" s="166"/>
      <c r="BS204" s="166"/>
      <c r="BT204" s="166"/>
      <c r="BU204" s="65"/>
      <c r="BW204" s="178"/>
      <c r="BX204" s="399"/>
    </row>
    <row r="205" ht="15.75" hidden="1" customHeight="1">
      <c r="A205" s="89"/>
      <c r="B205" s="89"/>
      <c r="C205" s="417"/>
      <c r="D205" s="432"/>
      <c r="E205" s="433"/>
      <c r="F205" s="433"/>
      <c r="G205" s="433"/>
      <c r="H205" s="433"/>
      <c r="I205" s="433"/>
      <c r="J205" s="402"/>
      <c r="K205" s="403">
        <f t="shared" si="1"/>
        <v>0</v>
      </c>
      <c r="L205" s="69"/>
      <c r="M205" s="69"/>
      <c r="N205" s="192"/>
      <c r="O205" s="193"/>
      <c r="P205" s="193"/>
      <c r="Q205" s="193"/>
      <c r="R205" s="193"/>
      <c r="S205" s="197"/>
      <c r="T205" s="89"/>
      <c r="U205" s="103"/>
      <c r="V205" s="68"/>
      <c r="W205" s="69"/>
      <c r="X205" s="69"/>
      <c r="Y205" s="89"/>
      <c r="Z205" s="89"/>
      <c r="AA205" s="89"/>
      <c r="AB205" s="89"/>
      <c r="AC205" s="69"/>
      <c r="AD205" s="63"/>
      <c r="AE205" s="63"/>
      <c r="AF205" s="63"/>
      <c r="AG205" s="63"/>
      <c r="AH205" s="89"/>
      <c r="AI205" s="6"/>
      <c r="AJ205" s="192"/>
      <c r="AK205" s="193"/>
      <c r="AL205" s="196"/>
      <c r="AM205" s="63"/>
      <c r="AN205" s="63"/>
      <c r="AO205" s="192"/>
      <c r="AP205" s="193"/>
      <c r="AQ205" s="196"/>
      <c r="AR205" s="63"/>
      <c r="AS205" s="63"/>
      <c r="AT205" s="192"/>
      <c r="AU205" s="196"/>
      <c r="AV205" s="63"/>
      <c r="AW205" s="63"/>
      <c r="AX205" s="192"/>
      <c r="AY205" s="63"/>
      <c r="AZ205" s="192"/>
      <c r="BA205" s="193"/>
      <c r="BB205" s="193"/>
      <c r="BC205" s="193"/>
      <c r="BD205" s="193"/>
      <c r="BE205" s="193"/>
      <c r="BF205" s="193"/>
      <c r="BG205" s="194"/>
      <c r="BH205" s="195"/>
      <c r="BI205" s="193"/>
      <c r="BJ205" s="192"/>
      <c r="BK205" s="196"/>
      <c r="BL205" s="192"/>
      <c r="BM205" s="196"/>
      <c r="BN205" s="192"/>
      <c r="BO205" s="196"/>
      <c r="BP205" s="192"/>
      <c r="BQ205" s="196"/>
      <c r="BR205" s="63"/>
      <c r="BS205" s="63"/>
      <c r="BT205" s="63"/>
      <c r="BU205" s="89"/>
      <c r="BV205" s="6"/>
      <c r="BW205" s="198"/>
      <c r="BX205" s="404"/>
    </row>
    <row r="206" ht="61.5" hidden="1" customHeight="1">
      <c r="A206" s="125">
        <v>19.0</v>
      </c>
      <c r="B206" s="274"/>
      <c r="C206" s="427"/>
      <c r="D206" s="428"/>
      <c r="E206" s="429"/>
      <c r="F206" s="429"/>
      <c r="G206" s="429"/>
      <c r="H206" s="429"/>
      <c r="I206" s="429"/>
      <c r="J206" s="366"/>
      <c r="K206" s="367">
        <f t="shared" si="1"/>
        <v>0</v>
      </c>
      <c r="L206" s="368">
        <f>SUM(I206:I216)+SUM(K206:K216)*1</f>
        <v>0</v>
      </c>
      <c r="M206" s="368">
        <f>SUM('21 Oct Mon'!Q206:Q216,'22 Oct Tues'!Q206:Q216,'23 Oct Wed'!Q206:Q216,'24 Oct Thurs'!Q206:Q216,'25 Oct Fri'!Q206:Q216,'26 Oct Sat'!Q206:Q216)</f>
        <v>0</v>
      </c>
      <c r="N206" s="369">
        <f>SUM('21 Oct Mon'!R206:R216,'22 Oct Tues'!R206:R216,'23 Oct Wed'!R206:R216,'24 Oct Thurs'!R206:R216,'25 Oct Fri'!R206:R216,'26 Oct Sat'!R206:R216)</f>
        <v>0</v>
      </c>
      <c r="O206" s="370">
        <f>SUM(L206:N216)</f>
        <v>0</v>
      </c>
      <c r="P206" s="370">
        <f>SUM('21 Oct Mon'!T206:T216,'22 Oct Tues'!T206:T216,'23 Oct Wed'!T206:T216,'24 Oct Thurs'!T206:T216,'25 Oct Fri'!T206:T216,'26 Oct Sat'!T206:T216)</f>
        <v>0</v>
      </c>
      <c r="Q206" s="370">
        <f>SUM('21 Oct Mon'!U206:U216,'22 Oct Tues'!U206:U216,'23 Oct Wed'!U206:U216,'24 Oct Thurs'!U206:U216,'25 Oct Fri'!U206:U216,'26 Oct Sat'!U206:U216)</f>
        <v>0</v>
      </c>
      <c r="R206" s="370">
        <f>SUM('21 Oct Mon'!V206:V216,'22 Oct Tues'!V206:V216,'23 Oct Wed'!V206:V216,'24 Oct Thurs'!V206:V216,'25 Oct Fri'!V206:V216,'26 Oct Sat'!V206:V216)</f>
        <v>0</v>
      </c>
      <c r="S206" s="371">
        <f>SUM('21 Oct Mon'!W206:W216,'22 Oct Tues'!W206:W216,'23 Oct Wed'!W206:W216,'24 Oct Thurs'!W206:W216,'25 Oct Fri'!W206:W216,'26 Oct Sat'!W206:W216)</f>
        <v>0</v>
      </c>
      <c r="T206" s="372">
        <f>O206-P206-Q206-R206-S206</f>
        <v>0</v>
      </c>
      <c r="U206" s="373" t="str">
        <f>CONCATENATE(SUM('21 Oct Mon'!O206:O216,'22 Oct Tues'!O206:O216,'23 Oct Wed'!O206:O216,'24 Oct Thurs'!O206:O216,'25 Oct Fri'!O206:O216,'26 Oct Sat'!O206:O216),"
(",(SUM('21 Oct Mon'!O206:O216,'22 Oct Tues'!O206:O216,'23 Oct Wed'!O206:O216,'24 Oct Thurs'!O206:O216,'25 Oct Fri'!O206:O216,'26 Oct Sat'!O206:O216)-T206),")")</f>
        <v>0
(0)</v>
      </c>
      <c r="V206" s="374" t="str">
        <f>CONCATENATE("Mon-",'21 Oct Mon'!Z206:Z216,",Tues-",'22 Oct Tues'!Z206:Z216,",Wed-",'23 Oct Wed'!Z206:Z216,",Thurs-",'24 Oct Thurs'!Z206:Z216,",Fri-",'25 Oct Fri'!Z206:Z216,",Sat-",'26 Oct Sat'!Z206:Z216)</f>
        <v>Mon-,Tues-,Wed-,Thurs-,Fri-,Sat-</v>
      </c>
      <c r="W206" s="375">
        <f>SUM('21 Oct Mon'!AI206:AI216,'22 Oct Tues'!AI206:AI216,'23 Oct Wed'!AI206:AI216,'24 Oct Thurs'!AI206:AI216,'25 Oct Fri'!AI206:AI216,'26 Oct Sat'!AI206:AI216)</f>
        <v>0</v>
      </c>
      <c r="X206" s="375">
        <f>SUM('21 Oct Mon'!AM206:AM216,'22 Oct Tues'!AM206:AM216,'23 Oct Wed'!AM206:AM216,'24 Oct Thurs'!AM206:AM216,'25 Oct Fri'!AM206:AM216,'26 Oct Sat'!AM206:AM216)</f>
        <v>0</v>
      </c>
      <c r="Y206" s="376">
        <f>SUM('21 Oct Mon'!AP206:AP216,'22 Oct Tues'!AP206:AP216,'23 Oct Wed'!AP206:AP216,'24 Oct Thurs'!AP206:AP216,'25 Oct Fri'!AP206:AP216,'26 Oct Sat'!AP206:AP216)</f>
        <v>0</v>
      </c>
      <c r="Z206" s="376">
        <f>SUM('21 Oct Mon'!AQ206:AQ216,'22 Oct Tues'!AQ206:AQ216,'23 Oct Wed'!AQ206:AQ216,'24 Oct Thurs'!AQ206:AQ216,'25 Oct Fri'!AQ206:AQ216,'26 Oct Sat'!AQ206:AQ216)</f>
        <v>0</v>
      </c>
      <c r="AA206" s="377">
        <f>SUM('21 Oct Mon'!AR206:AR216,'22 Oct Tues'!AR206:AR216,'23 Oct Wed'!AR206:AR216,'24 Oct Thurs'!AR206:AR216,'25 Oct Fri'!AR206:AR216,'26 Oct Sat'!AR206:AR216)</f>
        <v>0</v>
      </c>
      <c r="AB206" s="377">
        <f>SUM('21 Oct Mon'!AS206:AS216,'22 Oct Tues'!AS206:AS216,'23 Oct Wed'!AS206:AS216,'24 Oct Thurs'!AS206:AS216,'25 Oct Fri'!AS206:AS216,'26 Oct Sat'!AS206:AS216)</f>
        <v>0</v>
      </c>
      <c r="AC206" s="378">
        <f>SUM('21 Oct Mon'!AT206:AT216,'22 Oct Tues'!AT206:AT216,'23 Oct Wed'!AT206:AT216,'24 Oct Thurs'!AT206:AT216,'25 Oct Fri'!AT206:AT216,'26 Oct Sat'!AT206:AT216)</f>
        <v>0</v>
      </c>
      <c r="AD206" s="379">
        <f>SUM('21 Oct Mon'!AU206:AU216,'22 Oct Tues'!AU206:AU216,'23 Oct Wed'!AU206:AU216,'24 Oct Thurs'!AU206:AU216,'25 Oct Fri'!AU206:AU216,'26 Oct Sat'!AU206:AU216)</f>
        <v>0</v>
      </c>
      <c r="AE206" s="379">
        <f>SUM('21 Oct Mon'!AV206:AV216,'22 Oct Tues'!AV206:AV216,'23 Oct Wed'!AV206:AV216,'24 Oct Thurs'!AV206:AV216,'25 Oct Fri'!AV206:AV216,'26 Oct Sat'!AV206:AV216)</f>
        <v>0</v>
      </c>
      <c r="AF206" s="379">
        <f>SUM('21 Oct Mon'!AW206:AW216,'22 Oct Tues'!AW206:AW216,'23 Oct Wed'!AW206:AW216,'24 Oct Thurs'!AW206:AW216,'25 Oct Fri'!AW206:AW216,'26 Oct Sat'!AW206:AW216)</f>
        <v>0</v>
      </c>
      <c r="AG206" s="379">
        <f>SUM('21 Oct Mon'!AX206:AX216,'22 Oct Tues'!AX206:AX216,'23 Oct Wed'!AX206:AX216,'24 Oct Thurs'!AX206:AX216,'25 Oct Fri'!AX206:AX216,'26 Oct Sat'!AX206:AX216)</f>
        <v>0</v>
      </c>
      <c r="AH206" s="380">
        <f>SUM('21 Oct Mon'!AY206:AY216,'22 Oct Tues'!AY206:AY216,'23 Oct Wed'!AY206:AY216,'24 Oct Thurs'!AY206:AY216,'25 Oct Fri'!AY206:AY216,'26 Oct Sat'!AY206:AY216)</f>
        <v>0</v>
      </c>
      <c r="AI206" s="381">
        <f>SUM('21 Oct Mon'!AZ206:AZ216,'22 Oct Tues'!AZ206:AZ216,'23 Oct Wed'!AZ206:AZ216,'24 Oct Thurs'!AZ206:AZ216,'25 Oct Fri'!AZ206:AZ216,'26 Oct Sat'!AZ206:AZ216)</f>
        <v>0</v>
      </c>
      <c r="AJ206" s="382">
        <f>SUM('21 Oct Mon'!BG206:BG216,'22 Oct Tues'!BG206:BG216,'23 Oct Wed'!BG206:BG216,'24 Oct Thurs'!BG206:BG216,'25 Oct Fri'!BG206:BG216,'26 Oct Sat'!BG206:BG216)</f>
        <v>0</v>
      </c>
      <c r="AK206" s="383">
        <f>SUM('21 Oct Mon'!BH206:BH216,'22 Oct Tues'!BH206:BH216,'23 Oct Wed'!BH206:BH216,'24 Oct Thurs'!BH206:BH216,'25 Oct Fri'!BH206:BH216,'26 Oct Sat'!BH206:BH216)</f>
        <v>0</v>
      </c>
      <c r="AL206" s="384">
        <f>SUM('21 Oct Mon'!BI206:BI216,'22 Oct Tues'!BI206:BI216,'23 Oct Wed'!BI206:BI216,'24 Oct Thurs'!BI206:BI216,'25 Oct Fri'!BI206:BI216,'26 Oct Sat'!BI206:BI216)</f>
        <v>0</v>
      </c>
      <c r="AM206" s="379">
        <f>SUM('21 Oct Mon'!BJ206:BJ216,'22 Oct Tues'!BJ206:BJ216,'23 Oct Wed'!BJ206:BJ216,'24 Oct Thurs'!BJ206:BJ216,'25 Oct Fri'!BJ206:BJ216,'26 Oct Sat'!BJ206:BJ216)</f>
        <v>0</v>
      </c>
      <c r="AN206" s="379">
        <f>SUM('21 Oct Mon'!BK206:BK216,'22 Oct Tues'!BK206:BK216,'23 Oct Wed'!BK206:BK216,'24 Oct Thurs'!BK206:BK216,'25 Oct Fri'!BK206:BK216,'26 Oct Sat'!BK206:BK216)</f>
        <v>0</v>
      </c>
      <c r="AO206" s="385">
        <f>SUM('21 Oct Mon'!BL206:BL216,'22 Oct Tues'!BL206:BL216,'23 Oct Wed'!BL206:BL216,'24 Oct Thurs'!BL206:BL216,'25 Oct Fri'!BL206:BL216,'26 Oct Sat'!BL206:BL216)</f>
        <v>0</v>
      </c>
      <c r="AP206" s="386">
        <f>SUM('21 Oct Mon'!BM206:BM216,'22 Oct Tues'!BM206:BM216,'23 Oct Wed'!BM206:BM216,'24 Oct Thurs'!BM206:BM216,'25 Oct Fri'!BM206:BM216,'26 Oct Sat'!BM206:BM216)</f>
        <v>0</v>
      </c>
      <c r="AQ206" s="387">
        <f>SUM('21 Oct Mon'!BN206:BN216,'22 Oct Tues'!BN206:BN216,'23 Oct Wed'!BN206:BN216,'24 Oct Thurs'!BN206:BN216,'25 Oct Fri'!BN206:BN216,'26 Oct Sat'!BN206:BN216)</f>
        <v>0</v>
      </c>
      <c r="AR206" s="379">
        <f>SUM('21 Oct Mon'!BO206:BO216,'22 Oct Tues'!BO206:BO216,'23 Oct Wed'!BO206:BO216,'24 Oct Thurs'!BO206:BO216,'25 Oct Fri'!BO206:BO216,'26 Oct Sat'!BO206:BO216)</f>
        <v>0</v>
      </c>
      <c r="AS206" s="379">
        <f>SUM('21 Oct Mon'!BP206:BP216,'22 Oct Tues'!BP206:BP216,'23 Oct Wed'!BP206:BP216,'24 Oct Thurs'!BP206:BP216,'25 Oct Fri'!BP206:BP216,'26 Oct Sat'!BP206:BP216)</f>
        <v>0</v>
      </c>
      <c r="AT206" s="382">
        <f>SUM('21 Oct Mon'!BR206:BR216,'22 Oct Tues'!BR206:BR216,'23 Oct Wed'!BR206:BR216,'24 Oct Thurs'!BR206:BR216,'25 Oct Fri'!BR206:BR216,'26 Oct Sat'!BR206:BR216)</f>
        <v>0</v>
      </c>
      <c r="AU206" s="384">
        <f>SUM('21 Oct Mon'!BS206:BS216,'22 Oct Tues'!BS206:BS216,'23 Oct Wed'!BS206:BS216,'24 Oct Thurs'!BS206:BS216,'25 Oct Fri'!BS206:BS216,'26 Oct Sat'!BS206:BS216)</f>
        <v>0</v>
      </c>
      <c r="AV206" s="379">
        <f>SUM('21 Oct Mon'!BT206:BT216,'22 Oct Tues'!BT206:BT216,'23 Oct Wed'!BT206:BT216,'24 Oct Thurs'!BT206:BT216,'25 Oct Fri'!BT206:BT216,'26 Oct Sat'!BT206:BT216)</f>
        <v>0</v>
      </c>
      <c r="AW206" s="379">
        <f>SUM('21 Oct Mon'!BU206:BU216,'22 Oct Tues'!BU206:BU216,'23 Oct Wed'!BU206:BU216,'24 Oct Thurs'!BU206:BU216,'25 Oct Fri'!BU206:BU216,'26 Oct Sat'!BU206:BU216)</f>
        <v>0</v>
      </c>
      <c r="AX206" s="382">
        <f>SUM('21 Oct Mon'!BV206:BV216,'22 Oct Tues'!BV206:BV216,'23 Oct Wed'!BV206:BV216,'24 Oct Thurs'!BV206:BV216,'25 Oct Fri'!BV206:BV216,'26 Oct Sat'!BV206:BV216)</f>
        <v>0</v>
      </c>
      <c r="AY206" s="379">
        <f>SUM('21 Oct Mon'!BW206:BW216,'22 Oct Tues'!BW206:BW216,'23 Oct Wed'!BW206:BW216,'24 Oct Thurs'!BW206:BW216,'25 Oct Fri'!BW206:BW216,'26 Oct Sat'!BW206:BW216)</f>
        <v>0</v>
      </c>
      <c r="AZ206" s="385">
        <f>SUM('21 Oct Mon'!BX206:BX216,'22 Oct Tues'!BX206:BX216,'23 Oct Wed'!BX206:BX216,'24 Oct Thurs'!BX206:BX216,'25 Oct Fri'!BX206:BX216,'26 Oct Sat'!BX206:BX216)</f>
        <v>0</v>
      </c>
      <c r="BA206" s="386">
        <f>SUM('21 Oct Mon'!BY206:BY216,'22 Oct Tues'!BY206:BY216,'23 Oct Wed'!BY206:BY216,'24 Oct Thurs'!BY206:BY216,'25 Oct Fri'!BY206:BY216,'26 Oct Sat'!BY206:BY216)</f>
        <v>0</v>
      </c>
      <c r="BB206" s="386">
        <f>SUM('21 Oct Mon'!BZ206:BZ216,'22 Oct Tues'!BZ206:BZ216,'23 Oct Wed'!BZ206:BZ216,'24 Oct Thurs'!BZ206:BZ216,'25 Oct Fri'!BZ206:BZ216,'26 Oct Sat'!BZ206:BZ216)</f>
        <v>0</v>
      </c>
      <c r="BC206" s="386">
        <f>SUM('21 Oct Mon'!CA206:CA216,'22 Oct Tues'!CA206:CA216,'23 Oct Wed'!CA206:CA216,'24 Oct Thurs'!CA206:CA216,'25 Oct Fri'!CA206:CA216,'26 Oct Sat'!CA206:CA216)</f>
        <v>0</v>
      </c>
      <c r="BD206" s="386">
        <f>SUM('21 Oct Mon'!CB206:CB216,'22 Oct Tues'!CB206:CB216,'23 Oct Wed'!CB206:CB216,'24 Oct Thurs'!CB206:CB216,'25 Oct Fri'!CB206:CB216,'26 Oct Sat'!CB206:CB216)</f>
        <v>0</v>
      </c>
      <c r="BE206" s="386">
        <f>SUM('21 Oct Mon'!CC206:CC216,'22 Oct Tues'!CC206:CC216,'23 Oct Wed'!CC206:CC216,'24 Oct Thurs'!CC206:CC216,'25 Oct Fri'!CC206:CC216,'26 Oct Sat'!CC206:CC216)</f>
        <v>0</v>
      </c>
      <c r="BF206" s="386" t="str">
        <f>CONCATENATE("Mon-",'21 Oct Mon'!CD206:CD216,",Tues-",'22 Oct Tues'!CD206:CD216,",Wed-",'23 Oct Wed'!CD206:CD216,",Thurs-",'24 Oct Thurs'!CD206:CD216,",Fri-",'25 Oct Fri'!CD206:CD216,",Sat-",'26 Oct Sat'!CD206:CD216)</f>
        <v>Mon-,Tues-,Wed-,Thurs-,Fri-,Sat-</v>
      </c>
      <c r="BG206" s="388">
        <f>SUM('21 Oct Mon'!CE206:CE216,'22 Oct Tues'!CE206:CE216,'23 Oct Wed'!CE206:CE216,'24 Oct Thurs'!CE206:CE216,'25 Oct Fri'!CE206:CE216,'26 Oct Sat'!CE206:CE216)</f>
        <v>0</v>
      </c>
      <c r="BH206" s="389" t="str">
        <f>CONCATENATE("Mon-",'21 Oct Mon'!CF206:CF216,",Tues-",'22 Oct Tues'!CF206:CF216,",Wed-",'23 Oct Wed'!CF206:CF216,",Thurs-",'24 Oct Thurs'!CF206:CF216,",Fri-",'25 Oct Fri'!CF206:CF216,",Sat-",'26 Oct Sat'!CF206:CF216)</f>
        <v>Mon-,Tues-,Wed-,Thurs-,Fri-,Sat-</v>
      </c>
      <c r="BI206" s="383">
        <f>SUM('21 Oct Mon'!CG206:CG216,'22 Oct Tues'!CG206:CG216,'23 Oct Wed'!CG206:CG216,'24 Oct Thurs'!CG206:CG216,'25 Oct Fri'!CG206:CG216,'26 Oct Sat'!CG206:CG216)</f>
        <v>0</v>
      </c>
      <c r="BJ206" s="382">
        <f>SUM('21 Oct Mon'!CH206:CH216,'22 Oct Tues'!CH206:CH216,'23 Oct Wed'!CH206:CH216,'24 Oct Thurs'!CH206:CH216,'25 Oct Fri'!CH206:CH216,'26 Oct Sat'!CH206:CH216)</f>
        <v>0</v>
      </c>
      <c r="BK206" s="384">
        <f>SUM('21 Oct Mon'!CI206:CI216,'22 Oct Tues'!CI206:CI216,'23 Oct Wed'!CI206:CI216,'24 Oct Thurs'!CI206:CI216,'25 Oct Fri'!CI206:CI216,'26 Oct Sat'!CI206:CI216)</f>
        <v>0</v>
      </c>
      <c r="BL206" s="382" t="str">
        <f>CONCATENATE("Mon-",'21 Oct Mon'!CJ206:CJ216,",Tues-",'22 Oct Tues'!CJ206:CJ216,",Wed-",'23 Oct Wed'!CJ206:CJ216,",Thurs-",'24 Oct Thurs'!CJ206:CJ216,",Fri-",'25 Oct Fri'!CJ206:CJ216,",Sat-",'26 Oct Sat'!CJ206:CJ216)</f>
        <v>Mon-,Tues-,Wed-,Thurs-,Fri-,Sat-</v>
      </c>
      <c r="BM206" s="384">
        <f>SUM('21 Oct Mon'!CK206:CK216,'22 Oct Tues'!CK206:CK216,'23 Oct Wed'!CK206:CK216,'24 Oct Thurs'!CK206:CK216,'25 Oct Fri'!CK206:CK216,'26 Oct Sat'!CK206:CK216)</f>
        <v>0</v>
      </c>
      <c r="BN206" s="382" t="str">
        <f>CONCATENATE("Mon-",'21 Oct Mon'!CL206:CL216,",Tues-",'22 Oct Tues'!CL206:CL216,",Wed-",'23 Oct Wed'!CL206:CL216,",Thurs-",'24 Oct Thurs'!CL206:CL216,",Fri-",'25 Oct Fri'!CL206:CL216,",Sat-",'26 Oct Sat'!CL206:CL216)</f>
        <v>Mon-,Tues-,Wed-,Thurs-,Fri-,Sat-</v>
      </c>
      <c r="BO206" s="384">
        <f>SUM('21 Oct Mon'!CM206:CM216,'22 Oct Tues'!CM206:CM216,'23 Oct Wed'!CM206:CM216,'24 Oct Thurs'!CM206:CM216,'25 Oct Fri'!CM206:CM216,'26 Oct Sat'!CM206:CM216)</f>
        <v>0</v>
      </c>
      <c r="BP206" s="385" t="str">
        <f>CONCATENATE("Mon-",'21 Oct Mon'!CN206:CN216,",Tues-",'22 Oct Tues'!CN206:CN216,",Wed-",'23 Oct Wed'!CN206:CN216,",Thurs-",'24 Oct Thurs'!CN206:CN216,",Fri-",'25 Oct Fri'!CN206:CN216,",Sat-",'26 Oct Sat'!CN206:CN216)</f>
        <v>Mon-,Tues-,Wed-,Thurs-,Fri-,Sat-</v>
      </c>
      <c r="BQ206" s="387">
        <f>SUM('21 Oct Mon'!CO206:CO216,'22 Oct Tues'!CO206:CO216,'23 Oct Wed'!CO206:CO216,'24 Oct Thurs'!CO206:CO216,'25 Oct Fri'!CO206:CO216,'26 Oct Sat'!CO206:CO216)</f>
        <v>0</v>
      </c>
      <c r="BR206" s="379" t="str">
        <f>CONCATENATE("Mon-",'21 Oct Mon'!CP206:CP216,",Tues-",'22 Oct Tues'!CP206:CP216,",Wed-",'23 Oct Wed'!CP206:CP216,",Thurs-",'24 Oct Thurs'!CP206:CP216,",Fri-",'25 Oct Fri'!CP206:CP216,",Sat-",'26 Oct Sat'!CP206:CP216)</f>
        <v>Mon-,Tues-,Wed-,Thurs-,Fri-,Sat-</v>
      </c>
      <c r="BS206" s="390">
        <f>SUM('21 Oct Mon'!CQ206:CQ216,'22 Oct Tues'!CQ206:CQ216,'23 Oct Wed'!CQ206:CQ216,'24 Oct Thurs'!CQ206:CQ216,'25 Oct Fri'!CQ206:CQ216,'26 Oct Sat'!CQ206:CQ216)</f>
        <v>0</v>
      </c>
      <c r="BT206" s="390">
        <f>SUM('21 Oct Mon'!CR206:CR216,'22 Oct Tues'!CR206:CR216,'23 Oct Wed'!CR206:CR216,'24 Oct Thurs'!CR206:CR216,'25 Oct Fri'!CR206:CR216,'26 Oct Sat'!CR206:CR216)</f>
        <v>0</v>
      </c>
      <c r="BU206" s="391">
        <f>SUM('21 Oct Mon'!CS206:CS216,'22 Oct Tues'!CS206:CS216,'23 Oct Wed'!CS206:CS216,'24 Oct Thurs'!CS206:CS216,'25 Oct Fri'!CS206:CS216,'26 Oct Sat'!CS206:CS216)</f>
        <v>0</v>
      </c>
      <c r="BV206" s="392">
        <f>SUM('21 Oct Mon'!CT206:CT216,'22 Oct Tues'!CT206:CT216,'23 Oct Wed'!CT206:CT216,'24 Oct Thurs'!CT206:CT216,'25 Oct Fri'!CT206:CT216,'26 Oct Sat'!CT206:CT216)</f>
        <v>0</v>
      </c>
      <c r="BW206" s="393" t="str">
        <f>LEFT(U206,FIND("(",U206,1)-2)</f>
        <v>0</v>
      </c>
      <c r="BX206" s="394"/>
    </row>
    <row r="207" ht="15.75" hidden="1" customHeight="1">
      <c r="A207" s="65"/>
      <c r="B207" s="65"/>
      <c r="C207" s="416"/>
      <c r="D207" s="430"/>
      <c r="E207" s="431"/>
      <c r="F207" s="431"/>
      <c r="G207" s="431"/>
      <c r="H207" s="429"/>
      <c r="I207" s="431"/>
      <c r="J207" s="397"/>
      <c r="K207" s="398">
        <f t="shared" si="1"/>
        <v>0</v>
      </c>
      <c r="L207" s="173"/>
      <c r="M207" s="173"/>
      <c r="N207" s="177"/>
      <c r="O207" s="178"/>
      <c r="P207" s="178"/>
      <c r="Q207" s="178"/>
      <c r="R207" s="178"/>
      <c r="S207" s="182"/>
      <c r="T207" s="65"/>
      <c r="U207" s="64"/>
      <c r="V207" s="66"/>
      <c r="W207" s="173"/>
      <c r="X207" s="173"/>
      <c r="Y207" s="65"/>
      <c r="Z207" s="65"/>
      <c r="AA207" s="65"/>
      <c r="AB207" s="65"/>
      <c r="AC207" s="173"/>
      <c r="AD207" s="166"/>
      <c r="AE207" s="166"/>
      <c r="AF207" s="166"/>
      <c r="AG207" s="166"/>
      <c r="AH207" s="65"/>
      <c r="AJ207" s="177"/>
      <c r="AK207" s="178"/>
      <c r="AL207" s="181"/>
      <c r="AM207" s="166"/>
      <c r="AN207" s="166"/>
      <c r="AO207" s="177"/>
      <c r="AP207" s="178"/>
      <c r="AQ207" s="181"/>
      <c r="AR207" s="166"/>
      <c r="AS207" s="166"/>
      <c r="AT207" s="177"/>
      <c r="AU207" s="181"/>
      <c r="AV207" s="166"/>
      <c r="AW207" s="166"/>
      <c r="AX207" s="177"/>
      <c r="AY207" s="166"/>
      <c r="AZ207" s="177"/>
      <c r="BA207" s="178"/>
      <c r="BB207" s="178"/>
      <c r="BC207" s="178"/>
      <c r="BD207" s="178"/>
      <c r="BE207" s="178"/>
      <c r="BF207" s="178"/>
      <c r="BG207" s="179"/>
      <c r="BH207" s="180"/>
      <c r="BI207" s="178"/>
      <c r="BJ207" s="177"/>
      <c r="BK207" s="181"/>
      <c r="BL207" s="177"/>
      <c r="BM207" s="181"/>
      <c r="BN207" s="177"/>
      <c r="BO207" s="181"/>
      <c r="BP207" s="177"/>
      <c r="BQ207" s="181"/>
      <c r="BR207" s="166"/>
      <c r="BS207" s="166"/>
      <c r="BT207" s="166"/>
      <c r="BU207" s="65"/>
      <c r="BW207" s="178"/>
      <c r="BX207" s="399"/>
    </row>
    <row r="208" ht="15.75" hidden="1" customHeight="1">
      <c r="A208" s="65"/>
      <c r="B208" s="65"/>
      <c r="C208" s="416"/>
      <c r="D208" s="430"/>
      <c r="E208" s="431"/>
      <c r="F208" s="431"/>
      <c r="G208" s="431"/>
      <c r="H208" s="431"/>
      <c r="I208" s="431"/>
      <c r="J208" s="397"/>
      <c r="K208" s="398">
        <f t="shared" si="1"/>
        <v>0</v>
      </c>
      <c r="L208" s="173"/>
      <c r="M208" s="173"/>
      <c r="N208" s="177"/>
      <c r="O208" s="178"/>
      <c r="P208" s="178"/>
      <c r="Q208" s="178"/>
      <c r="R208" s="178"/>
      <c r="S208" s="182"/>
      <c r="T208" s="65"/>
      <c r="U208" s="64"/>
      <c r="V208" s="66"/>
      <c r="W208" s="173"/>
      <c r="X208" s="173"/>
      <c r="Y208" s="65"/>
      <c r="Z208" s="65"/>
      <c r="AA208" s="65"/>
      <c r="AB208" s="65"/>
      <c r="AC208" s="173"/>
      <c r="AD208" s="166"/>
      <c r="AE208" s="166"/>
      <c r="AF208" s="166"/>
      <c r="AG208" s="166"/>
      <c r="AH208" s="65"/>
      <c r="AJ208" s="177"/>
      <c r="AK208" s="178"/>
      <c r="AL208" s="181"/>
      <c r="AM208" s="166"/>
      <c r="AN208" s="166"/>
      <c r="AO208" s="177"/>
      <c r="AP208" s="178"/>
      <c r="AQ208" s="181"/>
      <c r="AR208" s="166"/>
      <c r="AS208" s="166"/>
      <c r="AT208" s="177"/>
      <c r="AU208" s="181"/>
      <c r="AV208" s="166"/>
      <c r="AW208" s="166"/>
      <c r="AX208" s="177"/>
      <c r="AY208" s="166"/>
      <c r="AZ208" s="177"/>
      <c r="BA208" s="178"/>
      <c r="BB208" s="178"/>
      <c r="BC208" s="178"/>
      <c r="BD208" s="178"/>
      <c r="BE208" s="178"/>
      <c r="BF208" s="178"/>
      <c r="BG208" s="179"/>
      <c r="BH208" s="180"/>
      <c r="BI208" s="178"/>
      <c r="BJ208" s="177"/>
      <c r="BK208" s="181"/>
      <c r="BL208" s="177"/>
      <c r="BM208" s="181"/>
      <c r="BN208" s="177"/>
      <c r="BO208" s="181"/>
      <c r="BP208" s="177"/>
      <c r="BQ208" s="181"/>
      <c r="BR208" s="166"/>
      <c r="BS208" s="166"/>
      <c r="BT208" s="166"/>
      <c r="BU208" s="65"/>
      <c r="BW208" s="178"/>
      <c r="BX208" s="399"/>
    </row>
    <row r="209" ht="15.75" hidden="1" customHeight="1">
      <c r="A209" s="65"/>
      <c r="B209" s="65"/>
      <c r="C209" s="416"/>
      <c r="D209" s="430"/>
      <c r="E209" s="431"/>
      <c r="F209" s="431"/>
      <c r="G209" s="431"/>
      <c r="H209" s="431"/>
      <c r="I209" s="431"/>
      <c r="J209" s="397"/>
      <c r="K209" s="398">
        <f t="shared" si="1"/>
        <v>0</v>
      </c>
      <c r="L209" s="173"/>
      <c r="M209" s="173"/>
      <c r="N209" s="177"/>
      <c r="O209" s="178"/>
      <c r="P209" s="178"/>
      <c r="Q209" s="178"/>
      <c r="R209" s="178"/>
      <c r="S209" s="182"/>
      <c r="T209" s="65"/>
      <c r="U209" s="64"/>
      <c r="V209" s="66"/>
      <c r="W209" s="173"/>
      <c r="X209" s="173"/>
      <c r="Y209" s="65"/>
      <c r="Z209" s="65"/>
      <c r="AA209" s="65"/>
      <c r="AB209" s="65"/>
      <c r="AC209" s="173"/>
      <c r="AD209" s="166"/>
      <c r="AE209" s="166"/>
      <c r="AF209" s="166"/>
      <c r="AG209" s="166"/>
      <c r="AH209" s="65"/>
      <c r="AJ209" s="177"/>
      <c r="AK209" s="178"/>
      <c r="AL209" s="181"/>
      <c r="AM209" s="166"/>
      <c r="AN209" s="166"/>
      <c r="AO209" s="177"/>
      <c r="AP209" s="178"/>
      <c r="AQ209" s="181"/>
      <c r="AR209" s="166"/>
      <c r="AS209" s="166"/>
      <c r="AT209" s="177"/>
      <c r="AU209" s="181"/>
      <c r="AV209" s="166"/>
      <c r="AW209" s="166"/>
      <c r="AX209" s="177"/>
      <c r="AY209" s="166"/>
      <c r="AZ209" s="177"/>
      <c r="BA209" s="178"/>
      <c r="BB209" s="178"/>
      <c r="BC209" s="178"/>
      <c r="BD209" s="178"/>
      <c r="BE209" s="178"/>
      <c r="BF209" s="178"/>
      <c r="BG209" s="179"/>
      <c r="BH209" s="180"/>
      <c r="BI209" s="178"/>
      <c r="BJ209" s="177"/>
      <c r="BK209" s="181"/>
      <c r="BL209" s="177"/>
      <c r="BM209" s="181"/>
      <c r="BN209" s="177"/>
      <c r="BO209" s="181"/>
      <c r="BP209" s="177"/>
      <c r="BQ209" s="181"/>
      <c r="BR209" s="166"/>
      <c r="BS209" s="166"/>
      <c r="BT209" s="166"/>
      <c r="BU209" s="65"/>
      <c r="BW209" s="178"/>
      <c r="BX209" s="399"/>
    </row>
    <row r="210" ht="15.75" hidden="1" customHeight="1">
      <c r="A210" s="65"/>
      <c r="B210" s="65"/>
      <c r="C210" s="416"/>
      <c r="D210" s="430"/>
      <c r="E210" s="431"/>
      <c r="F210" s="431"/>
      <c r="G210" s="431"/>
      <c r="H210" s="431"/>
      <c r="I210" s="431"/>
      <c r="J210" s="397"/>
      <c r="K210" s="398">
        <f t="shared" si="1"/>
        <v>0</v>
      </c>
      <c r="L210" s="173"/>
      <c r="M210" s="173"/>
      <c r="N210" s="177"/>
      <c r="O210" s="178"/>
      <c r="P210" s="178"/>
      <c r="Q210" s="178"/>
      <c r="R210" s="178"/>
      <c r="S210" s="182"/>
      <c r="T210" s="65"/>
      <c r="U210" s="64"/>
      <c r="V210" s="66"/>
      <c r="W210" s="173"/>
      <c r="X210" s="173"/>
      <c r="Y210" s="65"/>
      <c r="Z210" s="65"/>
      <c r="AA210" s="65"/>
      <c r="AB210" s="65"/>
      <c r="AC210" s="173"/>
      <c r="AD210" s="166"/>
      <c r="AE210" s="166"/>
      <c r="AF210" s="166"/>
      <c r="AG210" s="166"/>
      <c r="AH210" s="65"/>
      <c r="AJ210" s="177"/>
      <c r="AK210" s="178"/>
      <c r="AL210" s="181"/>
      <c r="AM210" s="166"/>
      <c r="AN210" s="166"/>
      <c r="AO210" s="177"/>
      <c r="AP210" s="178"/>
      <c r="AQ210" s="181"/>
      <c r="AR210" s="166"/>
      <c r="AS210" s="166"/>
      <c r="AT210" s="177"/>
      <c r="AU210" s="181"/>
      <c r="AV210" s="166"/>
      <c r="AW210" s="166"/>
      <c r="AX210" s="177"/>
      <c r="AY210" s="166"/>
      <c r="AZ210" s="177"/>
      <c r="BA210" s="178"/>
      <c r="BB210" s="178"/>
      <c r="BC210" s="178"/>
      <c r="BD210" s="178"/>
      <c r="BE210" s="178"/>
      <c r="BF210" s="178"/>
      <c r="BG210" s="179"/>
      <c r="BH210" s="180"/>
      <c r="BI210" s="178"/>
      <c r="BJ210" s="177"/>
      <c r="BK210" s="181"/>
      <c r="BL210" s="177"/>
      <c r="BM210" s="181"/>
      <c r="BN210" s="177"/>
      <c r="BO210" s="181"/>
      <c r="BP210" s="177"/>
      <c r="BQ210" s="181"/>
      <c r="BR210" s="166"/>
      <c r="BS210" s="166"/>
      <c r="BT210" s="166"/>
      <c r="BU210" s="65"/>
      <c r="BW210" s="178"/>
      <c r="BX210" s="399"/>
    </row>
    <row r="211" ht="15.75" hidden="1" customHeight="1">
      <c r="A211" s="65"/>
      <c r="B211" s="65"/>
      <c r="C211" s="416"/>
      <c r="D211" s="430"/>
      <c r="E211" s="431"/>
      <c r="F211" s="431"/>
      <c r="G211" s="431"/>
      <c r="H211" s="431"/>
      <c r="I211" s="431"/>
      <c r="J211" s="397"/>
      <c r="K211" s="398">
        <f t="shared" si="1"/>
        <v>0</v>
      </c>
      <c r="L211" s="173"/>
      <c r="M211" s="173"/>
      <c r="N211" s="177"/>
      <c r="O211" s="178"/>
      <c r="P211" s="178"/>
      <c r="Q211" s="178"/>
      <c r="R211" s="178"/>
      <c r="S211" s="182"/>
      <c r="T211" s="65"/>
      <c r="U211" s="64"/>
      <c r="V211" s="66"/>
      <c r="W211" s="173"/>
      <c r="X211" s="173"/>
      <c r="Y211" s="65"/>
      <c r="Z211" s="65"/>
      <c r="AA211" s="65"/>
      <c r="AB211" s="65"/>
      <c r="AC211" s="173"/>
      <c r="AD211" s="166"/>
      <c r="AE211" s="166"/>
      <c r="AF211" s="166"/>
      <c r="AG211" s="166"/>
      <c r="AH211" s="65"/>
      <c r="AJ211" s="177"/>
      <c r="AK211" s="178"/>
      <c r="AL211" s="181"/>
      <c r="AM211" s="166"/>
      <c r="AN211" s="166"/>
      <c r="AO211" s="177"/>
      <c r="AP211" s="178"/>
      <c r="AQ211" s="181"/>
      <c r="AR211" s="166"/>
      <c r="AS211" s="166"/>
      <c r="AT211" s="177"/>
      <c r="AU211" s="181"/>
      <c r="AV211" s="166"/>
      <c r="AW211" s="166"/>
      <c r="AX211" s="177"/>
      <c r="AY211" s="166"/>
      <c r="AZ211" s="177"/>
      <c r="BA211" s="178"/>
      <c r="BB211" s="178"/>
      <c r="BC211" s="178"/>
      <c r="BD211" s="178"/>
      <c r="BE211" s="178"/>
      <c r="BF211" s="178"/>
      <c r="BG211" s="179"/>
      <c r="BH211" s="180"/>
      <c r="BI211" s="178"/>
      <c r="BJ211" s="177"/>
      <c r="BK211" s="181"/>
      <c r="BL211" s="177"/>
      <c r="BM211" s="181"/>
      <c r="BN211" s="177"/>
      <c r="BO211" s="181"/>
      <c r="BP211" s="177"/>
      <c r="BQ211" s="181"/>
      <c r="BR211" s="166"/>
      <c r="BS211" s="166"/>
      <c r="BT211" s="166"/>
      <c r="BU211" s="65"/>
      <c r="BW211" s="178"/>
      <c r="BX211" s="399"/>
    </row>
    <row r="212" ht="15.75" hidden="1" customHeight="1">
      <c r="A212" s="65"/>
      <c r="B212" s="65"/>
      <c r="C212" s="416"/>
      <c r="D212" s="430"/>
      <c r="E212" s="431"/>
      <c r="F212" s="431"/>
      <c r="G212" s="431"/>
      <c r="H212" s="431"/>
      <c r="I212" s="431"/>
      <c r="J212" s="397"/>
      <c r="K212" s="398">
        <f t="shared" si="1"/>
        <v>0</v>
      </c>
      <c r="L212" s="173"/>
      <c r="M212" s="173"/>
      <c r="N212" s="177"/>
      <c r="O212" s="178"/>
      <c r="P212" s="178"/>
      <c r="Q212" s="178"/>
      <c r="R212" s="178"/>
      <c r="S212" s="182"/>
      <c r="T212" s="65"/>
      <c r="U212" s="64"/>
      <c r="V212" s="66"/>
      <c r="W212" s="173"/>
      <c r="X212" s="173"/>
      <c r="Y212" s="65"/>
      <c r="Z212" s="65"/>
      <c r="AA212" s="65"/>
      <c r="AB212" s="65"/>
      <c r="AC212" s="173"/>
      <c r="AD212" s="166"/>
      <c r="AE212" s="166"/>
      <c r="AF212" s="166"/>
      <c r="AG212" s="166"/>
      <c r="AH212" s="65"/>
      <c r="AJ212" s="177"/>
      <c r="AK212" s="178"/>
      <c r="AL212" s="181"/>
      <c r="AM212" s="166"/>
      <c r="AN212" s="166"/>
      <c r="AO212" s="177"/>
      <c r="AP212" s="178"/>
      <c r="AQ212" s="181"/>
      <c r="AR212" s="166"/>
      <c r="AS212" s="166"/>
      <c r="AT212" s="177"/>
      <c r="AU212" s="181"/>
      <c r="AV212" s="166"/>
      <c r="AW212" s="166"/>
      <c r="AX212" s="177"/>
      <c r="AY212" s="166"/>
      <c r="AZ212" s="177"/>
      <c r="BA212" s="178"/>
      <c r="BB212" s="178"/>
      <c r="BC212" s="178"/>
      <c r="BD212" s="178"/>
      <c r="BE212" s="178"/>
      <c r="BF212" s="178"/>
      <c r="BG212" s="179"/>
      <c r="BH212" s="180"/>
      <c r="BI212" s="178"/>
      <c r="BJ212" s="177"/>
      <c r="BK212" s="181"/>
      <c r="BL212" s="177"/>
      <c r="BM212" s="181"/>
      <c r="BN212" s="177"/>
      <c r="BO212" s="181"/>
      <c r="BP212" s="177"/>
      <c r="BQ212" s="181"/>
      <c r="BR212" s="166"/>
      <c r="BS212" s="166"/>
      <c r="BT212" s="166"/>
      <c r="BU212" s="65"/>
      <c r="BW212" s="178"/>
      <c r="BX212" s="399"/>
    </row>
    <row r="213" ht="15.75" hidden="1" customHeight="1">
      <c r="A213" s="65"/>
      <c r="B213" s="65"/>
      <c r="C213" s="416"/>
      <c r="D213" s="430"/>
      <c r="E213" s="431"/>
      <c r="F213" s="431"/>
      <c r="G213" s="431"/>
      <c r="H213" s="431"/>
      <c r="I213" s="431"/>
      <c r="J213" s="397"/>
      <c r="K213" s="398">
        <f t="shared" si="1"/>
        <v>0</v>
      </c>
      <c r="L213" s="173"/>
      <c r="M213" s="173"/>
      <c r="N213" s="177"/>
      <c r="O213" s="178"/>
      <c r="P213" s="178"/>
      <c r="Q213" s="178"/>
      <c r="R213" s="178"/>
      <c r="S213" s="182"/>
      <c r="T213" s="65"/>
      <c r="U213" s="64"/>
      <c r="V213" s="66"/>
      <c r="W213" s="173"/>
      <c r="X213" s="173"/>
      <c r="Y213" s="65"/>
      <c r="Z213" s="65"/>
      <c r="AA213" s="65"/>
      <c r="AB213" s="65"/>
      <c r="AC213" s="173"/>
      <c r="AD213" s="166"/>
      <c r="AE213" s="166"/>
      <c r="AF213" s="166"/>
      <c r="AG213" s="166"/>
      <c r="AH213" s="65"/>
      <c r="AJ213" s="177"/>
      <c r="AK213" s="178"/>
      <c r="AL213" s="181"/>
      <c r="AM213" s="166"/>
      <c r="AN213" s="166"/>
      <c r="AO213" s="177"/>
      <c r="AP213" s="178"/>
      <c r="AQ213" s="181"/>
      <c r="AR213" s="166"/>
      <c r="AS213" s="166"/>
      <c r="AT213" s="177"/>
      <c r="AU213" s="181"/>
      <c r="AV213" s="166"/>
      <c r="AW213" s="166"/>
      <c r="AX213" s="177"/>
      <c r="AY213" s="166"/>
      <c r="AZ213" s="177"/>
      <c r="BA213" s="178"/>
      <c r="BB213" s="178"/>
      <c r="BC213" s="178"/>
      <c r="BD213" s="178"/>
      <c r="BE213" s="178"/>
      <c r="BF213" s="178"/>
      <c r="BG213" s="179"/>
      <c r="BH213" s="180"/>
      <c r="BI213" s="178"/>
      <c r="BJ213" s="177"/>
      <c r="BK213" s="181"/>
      <c r="BL213" s="177"/>
      <c r="BM213" s="181"/>
      <c r="BN213" s="177"/>
      <c r="BO213" s="181"/>
      <c r="BP213" s="177"/>
      <c r="BQ213" s="181"/>
      <c r="BR213" s="166"/>
      <c r="BS213" s="166"/>
      <c r="BT213" s="166"/>
      <c r="BU213" s="65"/>
      <c r="BW213" s="178"/>
      <c r="BX213" s="399"/>
    </row>
    <row r="214" ht="15.75" hidden="1" customHeight="1">
      <c r="A214" s="65"/>
      <c r="B214" s="65"/>
      <c r="C214" s="416"/>
      <c r="D214" s="430"/>
      <c r="E214" s="431"/>
      <c r="F214" s="431"/>
      <c r="G214" s="431"/>
      <c r="H214" s="431"/>
      <c r="I214" s="431"/>
      <c r="J214" s="397"/>
      <c r="K214" s="398">
        <f t="shared" si="1"/>
        <v>0</v>
      </c>
      <c r="L214" s="173"/>
      <c r="M214" s="173"/>
      <c r="N214" s="177"/>
      <c r="O214" s="178"/>
      <c r="P214" s="178"/>
      <c r="Q214" s="178"/>
      <c r="R214" s="178"/>
      <c r="S214" s="182"/>
      <c r="T214" s="65"/>
      <c r="U214" s="64"/>
      <c r="V214" s="66"/>
      <c r="W214" s="173"/>
      <c r="X214" s="173"/>
      <c r="Y214" s="65"/>
      <c r="Z214" s="65"/>
      <c r="AA214" s="65"/>
      <c r="AB214" s="65"/>
      <c r="AC214" s="173"/>
      <c r="AD214" s="166"/>
      <c r="AE214" s="166"/>
      <c r="AF214" s="166"/>
      <c r="AG214" s="166"/>
      <c r="AH214" s="65"/>
      <c r="AJ214" s="177"/>
      <c r="AK214" s="178"/>
      <c r="AL214" s="181"/>
      <c r="AM214" s="166"/>
      <c r="AN214" s="166"/>
      <c r="AO214" s="177"/>
      <c r="AP214" s="178"/>
      <c r="AQ214" s="181"/>
      <c r="AR214" s="166"/>
      <c r="AS214" s="166"/>
      <c r="AT214" s="177"/>
      <c r="AU214" s="181"/>
      <c r="AV214" s="166"/>
      <c r="AW214" s="166"/>
      <c r="AX214" s="177"/>
      <c r="AY214" s="166"/>
      <c r="AZ214" s="177"/>
      <c r="BA214" s="178"/>
      <c r="BB214" s="178"/>
      <c r="BC214" s="178"/>
      <c r="BD214" s="178"/>
      <c r="BE214" s="178"/>
      <c r="BF214" s="178"/>
      <c r="BG214" s="179"/>
      <c r="BH214" s="180"/>
      <c r="BI214" s="178"/>
      <c r="BJ214" s="177"/>
      <c r="BK214" s="181"/>
      <c r="BL214" s="177"/>
      <c r="BM214" s="181"/>
      <c r="BN214" s="177"/>
      <c r="BO214" s="181"/>
      <c r="BP214" s="177"/>
      <c r="BQ214" s="181"/>
      <c r="BR214" s="166"/>
      <c r="BS214" s="166"/>
      <c r="BT214" s="166"/>
      <c r="BU214" s="65"/>
      <c r="BW214" s="178"/>
      <c r="BX214" s="399"/>
    </row>
    <row r="215" ht="15.75" hidden="1" customHeight="1">
      <c r="A215" s="65"/>
      <c r="B215" s="65"/>
      <c r="C215" s="416"/>
      <c r="D215" s="430"/>
      <c r="E215" s="431"/>
      <c r="F215" s="431"/>
      <c r="G215" s="431"/>
      <c r="H215" s="431"/>
      <c r="I215" s="431"/>
      <c r="J215" s="397"/>
      <c r="K215" s="398">
        <f t="shared" si="1"/>
        <v>0</v>
      </c>
      <c r="L215" s="173"/>
      <c r="M215" s="173"/>
      <c r="N215" s="177"/>
      <c r="O215" s="178"/>
      <c r="P215" s="178"/>
      <c r="Q215" s="178"/>
      <c r="R215" s="178"/>
      <c r="S215" s="182"/>
      <c r="T215" s="65"/>
      <c r="U215" s="64"/>
      <c r="V215" s="66"/>
      <c r="W215" s="173"/>
      <c r="X215" s="173"/>
      <c r="Y215" s="65"/>
      <c r="Z215" s="65"/>
      <c r="AA215" s="65"/>
      <c r="AB215" s="65"/>
      <c r="AC215" s="173"/>
      <c r="AD215" s="166"/>
      <c r="AE215" s="166"/>
      <c r="AF215" s="166"/>
      <c r="AG215" s="166"/>
      <c r="AH215" s="65"/>
      <c r="AJ215" s="177"/>
      <c r="AK215" s="178"/>
      <c r="AL215" s="181"/>
      <c r="AM215" s="166"/>
      <c r="AN215" s="166"/>
      <c r="AO215" s="177"/>
      <c r="AP215" s="178"/>
      <c r="AQ215" s="181"/>
      <c r="AR215" s="166"/>
      <c r="AS215" s="166"/>
      <c r="AT215" s="177"/>
      <c r="AU215" s="181"/>
      <c r="AV215" s="166"/>
      <c r="AW215" s="166"/>
      <c r="AX215" s="177"/>
      <c r="AY215" s="166"/>
      <c r="AZ215" s="177"/>
      <c r="BA215" s="178"/>
      <c r="BB215" s="178"/>
      <c r="BC215" s="178"/>
      <c r="BD215" s="178"/>
      <c r="BE215" s="178"/>
      <c r="BF215" s="178"/>
      <c r="BG215" s="179"/>
      <c r="BH215" s="180"/>
      <c r="BI215" s="178"/>
      <c r="BJ215" s="177"/>
      <c r="BK215" s="181"/>
      <c r="BL215" s="177"/>
      <c r="BM215" s="181"/>
      <c r="BN215" s="177"/>
      <c r="BO215" s="181"/>
      <c r="BP215" s="177"/>
      <c r="BQ215" s="181"/>
      <c r="BR215" s="166"/>
      <c r="BS215" s="166"/>
      <c r="BT215" s="166"/>
      <c r="BU215" s="65"/>
      <c r="BW215" s="178"/>
      <c r="BX215" s="399"/>
    </row>
    <row r="216" ht="15.75" hidden="1" customHeight="1">
      <c r="A216" s="89"/>
      <c r="B216" s="89"/>
      <c r="C216" s="417"/>
      <c r="D216" s="432"/>
      <c r="E216" s="433"/>
      <c r="F216" s="433"/>
      <c r="G216" s="433"/>
      <c r="H216" s="433"/>
      <c r="I216" s="433"/>
      <c r="J216" s="402"/>
      <c r="K216" s="403">
        <f t="shared" si="1"/>
        <v>0</v>
      </c>
      <c r="L216" s="69"/>
      <c r="M216" s="69"/>
      <c r="N216" s="192"/>
      <c r="O216" s="193"/>
      <c r="P216" s="193"/>
      <c r="Q216" s="193"/>
      <c r="R216" s="193"/>
      <c r="S216" s="197"/>
      <c r="T216" s="89"/>
      <c r="U216" s="103"/>
      <c r="V216" s="68"/>
      <c r="W216" s="69"/>
      <c r="X216" s="69"/>
      <c r="Y216" s="89"/>
      <c r="Z216" s="89"/>
      <c r="AA216" s="89"/>
      <c r="AB216" s="89"/>
      <c r="AC216" s="69"/>
      <c r="AD216" s="63"/>
      <c r="AE216" s="63"/>
      <c r="AF216" s="63"/>
      <c r="AG216" s="63"/>
      <c r="AH216" s="89"/>
      <c r="AI216" s="6"/>
      <c r="AJ216" s="192"/>
      <c r="AK216" s="193"/>
      <c r="AL216" s="196"/>
      <c r="AM216" s="63"/>
      <c r="AN216" s="63"/>
      <c r="AO216" s="192"/>
      <c r="AP216" s="193"/>
      <c r="AQ216" s="196"/>
      <c r="AR216" s="63"/>
      <c r="AS216" s="63"/>
      <c r="AT216" s="192"/>
      <c r="AU216" s="196"/>
      <c r="AV216" s="63"/>
      <c r="AW216" s="63"/>
      <c r="AX216" s="192"/>
      <c r="AY216" s="63"/>
      <c r="AZ216" s="192"/>
      <c r="BA216" s="193"/>
      <c r="BB216" s="193"/>
      <c r="BC216" s="193"/>
      <c r="BD216" s="193"/>
      <c r="BE216" s="193"/>
      <c r="BF216" s="193"/>
      <c r="BG216" s="194"/>
      <c r="BH216" s="195"/>
      <c r="BI216" s="193"/>
      <c r="BJ216" s="192"/>
      <c r="BK216" s="196"/>
      <c r="BL216" s="192"/>
      <c r="BM216" s="196"/>
      <c r="BN216" s="192"/>
      <c r="BO216" s="196"/>
      <c r="BP216" s="192"/>
      <c r="BQ216" s="196"/>
      <c r="BR216" s="63"/>
      <c r="BS216" s="63"/>
      <c r="BT216" s="63"/>
      <c r="BU216" s="89"/>
      <c r="BV216" s="6"/>
      <c r="BW216" s="198"/>
      <c r="BX216" s="404"/>
    </row>
    <row r="217" ht="61.5" hidden="1" customHeight="1">
      <c r="A217" s="125">
        <v>20.0</v>
      </c>
      <c r="B217" s="274"/>
      <c r="C217" s="427"/>
      <c r="D217" s="428"/>
      <c r="E217" s="429"/>
      <c r="F217" s="429"/>
      <c r="G217" s="429"/>
      <c r="H217" s="429"/>
      <c r="I217" s="429"/>
      <c r="J217" s="366"/>
      <c r="K217" s="367">
        <f t="shared" si="1"/>
        <v>0</v>
      </c>
      <c r="L217" s="368">
        <f>SUM(I217:I227)+SUM(K217:K227)*1</f>
        <v>0</v>
      </c>
      <c r="M217" s="368">
        <f>SUM('21 Oct Mon'!Q217:Q227,'22 Oct Tues'!Q217:Q227,'23 Oct Wed'!Q217:Q227,'24 Oct Thurs'!Q217:Q227,'25 Oct Fri'!Q217:Q227,'26 Oct Sat'!Q217:Q227)</f>
        <v>0</v>
      </c>
      <c r="N217" s="369">
        <f>SUM('21 Oct Mon'!R217:R227,'22 Oct Tues'!R217:R227,'23 Oct Wed'!R217:R227,'24 Oct Thurs'!R217:R227,'25 Oct Fri'!R217:R227,'26 Oct Sat'!R217:R227)</f>
        <v>0</v>
      </c>
      <c r="O217" s="370">
        <f>SUM(L217:N227)</f>
        <v>0</v>
      </c>
      <c r="P217" s="370">
        <f>SUM('21 Oct Mon'!T217:T227,'22 Oct Tues'!T217:T227,'23 Oct Wed'!T217:T227,'24 Oct Thurs'!T217:T227,'25 Oct Fri'!T217:T227,'26 Oct Sat'!T217:T227)</f>
        <v>0</v>
      </c>
      <c r="Q217" s="370">
        <f>SUM('21 Oct Mon'!U217:U227,'22 Oct Tues'!U217:U227,'23 Oct Wed'!U217:U227,'24 Oct Thurs'!U217:U227,'25 Oct Fri'!U217:U227,'26 Oct Sat'!U217:U227)</f>
        <v>0</v>
      </c>
      <c r="R217" s="370">
        <f>SUM('21 Oct Mon'!V217:V227,'22 Oct Tues'!V217:V227,'23 Oct Wed'!V217:V227,'24 Oct Thurs'!V217:V227,'25 Oct Fri'!V217:V227,'26 Oct Sat'!V217:V227)</f>
        <v>0</v>
      </c>
      <c r="S217" s="371">
        <f>SUM('21 Oct Mon'!W217:W227,'22 Oct Tues'!W217:W227,'23 Oct Wed'!W217:W227,'24 Oct Thurs'!W217:W227,'25 Oct Fri'!W217:W227,'26 Oct Sat'!W217:W227)</f>
        <v>0</v>
      </c>
      <c r="T217" s="372">
        <f>O217-P217-Q217-R217-S217</f>
        <v>0</v>
      </c>
      <c r="U217" s="373" t="str">
        <f>CONCATENATE(SUM('21 Oct Mon'!O217:O227,'22 Oct Tues'!O217:O227,'23 Oct Wed'!O217:O227,'24 Oct Thurs'!O217:O227,'25 Oct Fri'!O217:O227,'26 Oct Sat'!O217:O227),"
(",(SUM('21 Oct Mon'!O217:O227,'22 Oct Tues'!O217:O227,'23 Oct Wed'!O217:O227,'24 Oct Thurs'!O217:O227,'25 Oct Fri'!O217:O227,'26 Oct Sat'!O217:O227)-T217),")")</f>
        <v>0
(0)</v>
      </c>
      <c r="V217" s="374" t="str">
        <f>CONCATENATE("Mon-",'21 Oct Mon'!Z217:Z227,",Tues-",'22 Oct Tues'!Z217:Z227,",Wed-",'23 Oct Wed'!Z217:Z227,",Thurs-",'24 Oct Thurs'!Z217:Z227,",Fri-",'25 Oct Fri'!Z217:Z227,",Sat-",'26 Oct Sat'!Z217:Z227)</f>
        <v>Mon-,Tues-,Wed-,Thurs-,Fri-,Sat-</v>
      </c>
      <c r="W217" s="375">
        <f>SUM('21 Oct Mon'!AI217:AI227,'22 Oct Tues'!AI217:AI227,'23 Oct Wed'!AI217:AI227,'24 Oct Thurs'!AI217:AI227,'25 Oct Fri'!AI217:AI227,'26 Oct Sat'!AI217:AI227)</f>
        <v>0</v>
      </c>
      <c r="X217" s="375">
        <f>SUM('21 Oct Mon'!AM217:AM227,'22 Oct Tues'!AM217:AM227,'23 Oct Wed'!AM217:AM227,'24 Oct Thurs'!AM217:AM227,'25 Oct Fri'!AM217:AM227,'26 Oct Sat'!AM217:AM227)</f>
        <v>0</v>
      </c>
      <c r="Y217" s="376">
        <f>SUM('21 Oct Mon'!AP217:AP227,'22 Oct Tues'!AP217:AP227,'23 Oct Wed'!AP217:AP227,'24 Oct Thurs'!AP217:AP227,'25 Oct Fri'!AP217:AP227,'26 Oct Sat'!AP217:AP227)</f>
        <v>0</v>
      </c>
      <c r="Z217" s="376">
        <f>SUM('21 Oct Mon'!AQ217:AQ227,'22 Oct Tues'!AQ217:AQ227,'23 Oct Wed'!AQ217:AQ227,'24 Oct Thurs'!AQ217:AQ227,'25 Oct Fri'!AQ217:AQ227,'26 Oct Sat'!AQ217:AQ227)</f>
        <v>0</v>
      </c>
      <c r="AA217" s="377">
        <f>SUM('21 Oct Mon'!AR217:AR227,'22 Oct Tues'!AR217:AR227,'23 Oct Wed'!AR217:AR227,'24 Oct Thurs'!AR217:AR227,'25 Oct Fri'!AR217:AR227,'26 Oct Sat'!AR217:AR227)</f>
        <v>0</v>
      </c>
      <c r="AB217" s="377">
        <f>SUM('21 Oct Mon'!AS217:AS227,'22 Oct Tues'!AS217:AS227,'23 Oct Wed'!AS217:AS227,'24 Oct Thurs'!AS217:AS227,'25 Oct Fri'!AS217:AS227,'26 Oct Sat'!AS217:AS227)</f>
        <v>0</v>
      </c>
      <c r="AC217" s="378">
        <f>SUM('21 Oct Mon'!AT217:AT227,'22 Oct Tues'!AT217:AT227,'23 Oct Wed'!AT217:AT227,'24 Oct Thurs'!AT217:AT227,'25 Oct Fri'!AT217:AT227,'26 Oct Sat'!AT217:AT227)</f>
        <v>0</v>
      </c>
      <c r="AD217" s="379">
        <f>SUM('21 Oct Mon'!AU217:AU227,'22 Oct Tues'!AU217:AU227,'23 Oct Wed'!AU217:AU227,'24 Oct Thurs'!AU217:AU227,'25 Oct Fri'!AU217:AU227,'26 Oct Sat'!AU217:AU227)</f>
        <v>0</v>
      </c>
      <c r="AE217" s="379">
        <f>SUM('21 Oct Mon'!AV217:AV227,'22 Oct Tues'!AV217:AV227,'23 Oct Wed'!AV217:AV227,'24 Oct Thurs'!AV217:AV227,'25 Oct Fri'!AV217:AV227,'26 Oct Sat'!AV217:AV227)</f>
        <v>0</v>
      </c>
      <c r="AF217" s="379">
        <f>SUM('21 Oct Mon'!AW217:AW227,'22 Oct Tues'!AW217:AW227,'23 Oct Wed'!AW217:AW227,'24 Oct Thurs'!AW217:AW227,'25 Oct Fri'!AW217:AW227,'26 Oct Sat'!AW217:AW227)</f>
        <v>0</v>
      </c>
      <c r="AG217" s="379">
        <f>SUM('21 Oct Mon'!AX217:AX227,'22 Oct Tues'!AX217:AX227,'23 Oct Wed'!AX217:AX227,'24 Oct Thurs'!AX217:AX227,'25 Oct Fri'!AX217:AX227,'26 Oct Sat'!AX217:AX227)</f>
        <v>0</v>
      </c>
      <c r="AH217" s="380">
        <f>SUM('21 Oct Mon'!AY217:AY227,'22 Oct Tues'!AY217:AY227,'23 Oct Wed'!AY217:AY227,'24 Oct Thurs'!AY217:AY227,'25 Oct Fri'!AY217:AY227,'26 Oct Sat'!AY217:AY227)</f>
        <v>0</v>
      </c>
      <c r="AI217" s="381">
        <f>SUM('21 Oct Mon'!AZ217:AZ227,'22 Oct Tues'!AZ217:AZ227,'23 Oct Wed'!AZ217:AZ227,'24 Oct Thurs'!AZ217:AZ227,'25 Oct Fri'!AZ217:AZ227,'26 Oct Sat'!AZ217:AZ227)</f>
        <v>0</v>
      </c>
      <c r="AJ217" s="382">
        <f>SUM('21 Oct Mon'!BG217:BG227,'22 Oct Tues'!BG217:BG227,'23 Oct Wed'!BG217:BG227,'24 Oct Thurs'!BG217:BG227,'25 Oct Fri'!BG217:BG227,'26 Oct Sat'!BG217:BG227)</f>
        <v>0</v>
      </c>
      <c r="AK217" s="383">
        <f>SUM('21 Oct Mon'!BH217:BH227,'22 Oct Tues'!BH217:BH227,'23 Oct Wed'!BH217:BH227,'24 Oct Thurs'!BH217:BH227,'25 Oct Fri'!BH217:BH227,'26 Oct Sat'!BH217:BH227)</f>
        <v>0</v>
      </c>
      <c r="AL217" s="384">
        <f>SUM('21 Oct Mon'!BI217:BI227,'22 Oct Tues'!BI217:BI227,'23 Oct Wed'!BI217:BI227,'24 Oct Thurs'!BI217:BI227,'25 Oct Fri'!BI217:BI227,'26 Oct Sat'!BI217:BI227)</f>
        <v>0</v>
      </c>
      <c r="AM217" s="379">
        <f>SUM('21 Oct Mon'!BJ217:BJ227,'22 Oct Tues'!BJ217:BJ227,'23 Oct Wed'!BJ217:BJ227,'24 Oct Thurs'!BJ217:BJ227,'25 Oct Fri'!BJ217:BJ227,'26 Oct Sat'!BJ217:BJ227)</f>
        <v>0</v>
      </c>
      <c r="AN217" s="379">
        <f>SUM('21 Oct Mon'!BK217:BK227,'22 Oct Tues'!BK217:BK227,'23 Oct Wed'!BK217:BK227,'24 Oct Thurs'!BK217:BK227,'25 Oct Fri'!BK217:BK227,'26 Oct Sat'!BK217:BK227)</f>
        <v>0</v>
      </c>
      <c r="AO217" s="385">
        <f>SUM('21 Oct Mon'!BL217:BL227,'22 Oct Tues'!BL217:BL227,'23 Oct Wed'!BL217:BL227,'24 Oct Thurs'!BL217:BL227,'25 Oct Fri'!BL217:BL227,'26 Oct Sat'!BL217:BL227)</f>
        <v>0</v>
      </c>
      <c r="AP217" s="386">
        <f>SUM('21 Oct Mon'!BM217:BM227,'22 Oct Tues'!BM217:BM227,'23 Oct Wed'!BM217:BM227,'24 Oct Thurs'!BM217:BM227,'25 Oct Fri'!BM217:BM227,'26 Oct Sat'!BM217:BM227)</f>
        <v>0</v>
      </c>
      <c r="AQ217" s="387">
        <f>SUM('21 Oct Mon'!BN217:BN227,'22 Oct Tues'!BN217:BN227,'23 Oct Wed'!BN217:BN227,'24 Oct Thurs'!BN217:BN227,'25 Oct Fri'!BN217:BN227,'26 Oct Sat'!BN217:BN227)</f>
        <v>0</v>
      </c>
      <c r="AR217" s="379">
        <f>SUM('21 Oct Mon'!BO217:BO227,'22 Oct Tues'!BO217:BO227,'23 Oct Wed'!BO217:BO227,'24 Oct Thurs'!BO217:BO227,'25 Oct Fri'!BO217:BO227,'26 Oct Sat'!BO217:BO227)</f>
        <v>0</v>
      </c>
      <c r="AS217" s="379">
        <f>SUM('21 Oct Mon'!BP217:BP227,'22 Oct Tues'!BP217:BP227,'23 Oct Wed'!BP217:BP227,'24 Oct Thurs'!BP217:BP227,'25 Oct Fri'!BP217:BP227,'26 Oct Sat'!BP217:BP227)</f>
        <v>0</v>
      </c>
      <c r="AT217" s="382">
        <f>SUM('21 Oct Mon'!BR217:BR227,'22 Oct Tues'!BR217:BR227,'23 Oct Wed'!BR217:BR227,'24 Oct Thurs'!BR217:BR227,'25 Oct Fri'!BR217:BR227,'26 Oct Sat'!BR217:BR227)</f>
        <v>0</v>
      </c>
      <c r="AU217" s="384">
        <f>SUM('21 Oct Mon'!BS217:BS227,'22 Oct Tues'!BS217:BS227,'23 Oct Wed'!BS217:BS227,'24 Oct Thurs'!BS217:BS227,'25 Oct Fri'!BS217:BS227,'26 Oct Sat'!BS217:BS227)</f>
        <v>0</v>
      </c>
      <c r="AV217" s="379">
        <f>SUM('21 Oct Mon'!BT217:BT227,'22 Oct Tues'!BT217:BT227,'23 Oct Wed'!BT217:BT227,'24 Oct Thurs'!BT217:BT227,'25 Oct Fri'!BT217:BT227,'26 Oct Sat'!BT217:BT227)</f>
        <v>0</v>
      </c>
      <c r="AW217" s="379">
        <f>SUM('21 Oct Mon'!BU217:BU227,'22 Oct Tues'!BU217:BU227,'23 Oct Wed'!BU217:BU227,'24 Oct Thurs'!BU217:BU227,'25 Oct Fri'!BU217:BU227,'26 Oct Sat'!BU217:BU227)</f>
        <v>0</v>
      </c>
      <c r="AX217" s="382">
        <f>SUM('21 Oct Mon'!BV217:BV227,'22 Oct Tues'!BV217:BV227,'23 Oct Wed'!BV217:BV227,'24 Oct Thurs'!BV217:BV227,'25 Oct Fri'!BV217:BV227,'26 Oct Sat'!BV217:BV227)</f>
        <v>0</v>
      </c>
      <c r="AY217" s="379">
        <f>SUM('21 Oct Mon'!BW217:BW227,'22 Oct Tues'!BW217:BW227,'23 Oct Wed'!BW217:BW227,'24 Oct Thurs'!BW217:BW227,'25 Oct Fri'!BW217:BW227,'26 Oct Sat'!BW217:BW227)</f>
        <v>0</v>
      </c>
      <c r="AZ217" s="385">
        <f>SUM('21 Oct Mon'!BX217:BX227,'22 Oct Tues'!BX217:BX227,'23 Oct Wed'!BX217:BX227,'24 Oct Thurs'!BX217:BX227,'25 Oct Fri'!BX217:BX227,'26 Oct Sat'!BX217:BX227)</f>
        <v>0</v>
      </c>
      <c r="BA217" s="386">
        <f>SUM('21 Oct Mon'!BY217:BY227,'22 Oct Tues'!BY217:BY227,'23 Oct Wed'!BY217:BY227,'24 Oct Thurs'!BY217:BY227,'25 Oct Fri'!BY217:BY227,'26 Oct Sat'!BY217:BY227)</f>
        <v>0</v>
      </c>
      <c r="BB217" s="386">
        <f>SUM('21 Oct Mon'!BZ217:BZ227,'22 Oct Tues'!BZ217:BZ227,'23 Oct Wed'!BZ217:BZ227,'24 Oct Thurs'!BZ217:BZ227,'25 Oct Fri'!BZ217:BZ227,'26 Oct Sat'!BZ217:BZ227)</f>
        <v>0</v>
      </c>
      <c r="BC217" s="386">
        <f>SUM('21 Oct Mon'!CA217:CA227,'22 Oct Tues'!CA217:CA227,'23 Oct Wed'!CA217:CA227,'24 Oct Thurs'!CA217:CA227,'25 Oct Fri'!CA217:CA227,'26 Oct Sat'!CA217:CA227)</f>
        <v>0</v>
      </c>
      <c r="BD217" s="386">
        <f>SUM('21 Oct Mon'!CB217:CB227,'22 Oct Tues'!CB217:CB227,'23 Oct Wed'!CB217:CB227,'24 Oct Thurs'!CB217:CB227,'25 Oct Fri'!CB217:CB227,'26 Oct Sat'!CB217:CB227)</f>
        <v>0</v>
      </c>
      <c r="BE217" s="386">
        <f>SUM('21 Oct Mon'!CC217:CC227,'22 Oct Tues'!CC217:CC227,'23 Oct Wed'!CC217:CC227,'24 Oct Thurs'!CC217:CC227,'25 Oct Fri'!CC217:CC227,'26 Oct Sat'!CC217:CC227)</f>
        <v>0</v>
      </c>
      <c r="BF217" s="386" t="str">
        <f>CONCATENATE("Mon-",'21 Oct Mon'!CD217:CD227,",Tues-",'22 Oct Tues'!CD217:CD227,",Wed-",'23 Oct Wed'!CD217:CD227,",Thurs-",'24 Oct Thurs'!CD217:CD227,",Fri-",'25 Oct Fri'!CD217:CD227,",Sat-",'26 Oct Sat'!CD217:CD227)</f>
        <v>Mon-,Tues-,Wed-,Thurs-,Fri-,Sat-</v>
      </c>
      <c r="BG217" s="388">
        <f>SUM('21 Oct Mon'!CE217:CE227,'22 Oct Tues'!CE217:CE227,'23 Oct Wed'!CE217:CE227,'24 Oct Thurs'!CE217:CE227,'25 Oct Fri'!CE217:CE227,'26 Oct Sat'!CE217:CE227)</f>
        <v>0</v>
      </c>
      <c r="BH217" s="389" t="str">
        <f>CONCATENATE("Mon-",'21 Oct Mon'!CF217:CF227,",Tues-",'22 Oct Tues'!CF217:CF227,",Wed-",'23 Oct Wed'!CF217:CF227,",Thurs-",'24 Oct Thurs'!CF217:CF227,",Fri-",'25 Oct Fri'!CF217:CF227,",Sat-",'26 Oct Sat'!CF217:CF227)</f>
        <v>Mon-,Tues-,Wed-,Thurs-,Fri-,Sat-</v>
      </c>
      <c r="BI217" s="383">
        <f>SUM('21 Oct Mon'!CG217:CG227,'22 Oct Tues'!CG217:CG227,'23 Oct Wed'!CG217:CG227,'24 Oct Thurs'!CG217:CG227,'25 Oct Fri'!CG217:CG227,'26 Oct Sat'!CG217:CG227)</f>
        <v>0</v>
      </c>
      <c r="BJ217" s="382">
        <f>SUM('21 Oct Mon'!CH217:CH227,'22 Oct Tues'!CH217:CH227,'23 Oct Wed'!CH217:CH227,'24 Oct Thurs'!CH217:CH227,'25 Oct Fri'!CH217:CH227,'26 Oct Sat'!CH217:CH227)</f>
        <v>0</v>
      </c>
      <c r="BK217" s="384">
        <f>SUM('21 Oct Mon'!CI217:CI227,'22 Oct Tues'!CI217:CI227,'23 Oct Wed'!CI217:CI227,'24 Oct Thurs'!CI217:CI227,'25 Oct Fri'!CI217:CI227,'26 Oct Sat'!CI217:CI227)</f>
        <v>0</v>
      </c>
      <c r="BL217" s="382" t="str">
        <f>CONCATENATE("Mon-",'21 Oct Mon'!CJ217:CJ227,",Tues-",'22 Oct Tues'!CJ217:CJ227,",Wed-",'23 Oct Wed'!CJ217:CJ227,",Thurs-",'24 Oct Thurs'!CJ217:CJ227,",Fri-",'25 Oct Fri'!CJ217:CJ227,",Sat-",'26 Oct Sat'!CJ217:CJ227)</f>
        <v>Mon-,Tues-,Wed-,Thurs-,Fri-,Sat-</v>
      </c>
      <c r="BM217" s="384">
        <f>SUM('21 Oct Mon'!CK217:CK227,'22 Oct Tues'!CK217:CK227,'23 Oct Wed'!CK217:CK227,'24 Oct Thurs'!CK217:CK227,'25 Oct Fri'!CK217:CK227,'26 Oct Sat'!CK217:CK227)</f>
        <v>0</v>
      </c>
      <c r="BN217" s="382" t="str">
        <f>CONCATENATE("Mon-",'21 Oct Mon'!CL217:CL227,",Tues-",'22 Oct Tues'!CL217:CL227,",Wed-",'23 Oct Wed'!CL217:CL227,",Thurs-",'24 Oct Thurs'!CL217:CL227,",Fri-",'25 Oct Fri'!CL217:CL227,",Sat-",'26 Oct Sat'!CL217:CL227)</f>
        <v>Mon-,Tues-,Wed-,Thurs-,Fri-,Sat-</v>
      </c>
      <c r="BO217" s="384">
        <f>SUM('21 Oct Mon'!CM217:CM227,'22 Oct Tues'!CM217:CM227,'23 Oct Wed'!CM217:CM227,'24 Oct Thurs'!CM217:CM227,'25 Oct Fri'!CM217:CM227,'26 Oct Sat'!CM217:CM227)</f>
        <v>0</v>
      </c>
      <c r="BP217" s="385" t="str">
        <f>CONCATENATE("Mon-",'21 Oct Mon'!CN217:CN227,",Tues-",'22 Oct Tues'!CN217:CN227,",Wed-",'23 Oct Wed'!CN217:CN227,",Thurs-",'24 Oct Thurs'!CN217:CN227,",Fri-",'25 Oct Fri'!CN217:CN227,",Sat-",'26 Oct Sat'!CN217:CN227)</f>
        <v>Mon-,Tues-,Wed-,Thurs-,Fri-,Sat-</v>
      </c>
      <c r="BQ217" s="387">
        <f>SUM('21 Oct Mon'!CO217:CO227,'22 Oct Tues'!CO217:CO227,'23 Oct Wed'!CO217:CO227,'24 Oct Thurs'!CO217:CO227,'25 Oct Fri'!CO217:CO227,'26 Oct Sat'!CO217:CO227)</f>
        <v>0</v>
      </c>
      <c r="BR217" s="379" t="str">
        <f>CONCATENATE("Mon-",'21 Oct Mon'!CP217:CP227,",Tues-",'22 Oct Tues'!CP217:CP227,",Wed-",'23 Oct Wed'!CP217:CP227,",Thurs-",'24 Oct Thurs'!CP217:CP227,",Fri-",'25 Oct Fri'!CP217:CP227,",Sat-",'26 Oct Sat'!CP217:CP227)</f>
        <v>Mon-,Tues-,Wed-,Thurs-,Fri-,Sat-</v>
      </c>
      <c r="BS217" s="390">
        <f>SUM('21 Oct Mon'!CQ217:CQ227,'22 Oct Tues'!CQ217:CQ227,'23 Oct Wed'!CQ217:CQ227,'24 Oct Thurs'!CQ217:CQ227,'25 Oct Fri'!CQ217:CQ227,'26 Oct Sat'!CQ217:CQ227)</f>
        <v>0</v>
      </c>
      <c r="BT217" s="390">
        <f>SUM('21 Oct Mon'!CR217:CR227,'22 Oct Tues'!CR217:CR227,'23 Oct Wed'!CR217:CR227,'24 Oct Thurs'!CR217:CR227,'25 Oct Fri'!CR217:CR227,'26 Oct Sat'!CR217:CR227)</f>
        <v>0</v>
      </c>
      <c r="BU217" s="391">
        <f>SUM('21 Oct Mon'!CS217:CS227,'22 Oct Tues'!CS217:CS227,'23 Oct Wed'!CS217:CS227,'24 Oct Thurs'!CS217:CS227,'25 Oct Fri'!CS217:CS227,'26 Oct Sat'!CS217:CS227)</f>
        <v>0</v>
      </c>
      <c r="BV217" s="392">
        <f>SUM('21 Oct Mon'!CT217:CT227,'22 Oct Tues'!CT217:CT227,'23 Oct Wed'!CT217:CT227,'24 Oct Thurs'!CT217:CT227,'25 Oct Fri'!CT217:CT227,'26 Oct Sat'!CT217:CT227)</f>
        <v>0</v>
      </c>
      <c r="BW217" s="393" t="str">
        <f>LEFT(U217,FIND("(",U217,1)-2)</f>
        <v>0</v>
      </c>
      <c r="BX217" s="394"/>
    </row>
    <row r="218" ht="15.75" hidden="1" customHeight="1">
      <c r="A218" s="65"/>
      <c r="B218" s="65"/>
      <c r="C218" s="416"/>
      <c r="D218" s="430"/>
      <c r="E218" s="431"/>
      <c r="F218" s="431"/>
      <c r="G218" s="431"/>
      <c r="H218" s="429"/>
      <c r="I218" s="431"/>
      <c r="J218" s="397"/>
      <c r="K218" s="398">
        <f t="shared" si="1"/>
        <v>0</v>
      </c>
      <c r="L218" s="173"/>
      <c r="M218" s="173"/>
      <c r="N218" s="177"/>
      <c r="O218" s="178"/>
      <c r="P218" s="178"/>
      <c r="Q218" s="178"/>
      <c r="R218" s="178"/>
      <c r="S218" s="182"/>
      <c r="T218" s="65"/>
      <c r="U218" s="64"/>
      <c r="V218" s="66"/>
      <c r="W218" s="173"/>
      <c r="X218" s="173"/>
      <c r="Y218" s="65"/>
      <c r="Z218" s="65"/>
      <c r="AA218" s="65"/>
      <c r="AB218" s="65"/>
      <c r="AC218" s="173"/>
      <c r="AD218" s="166"/>
      <c r="AE218" s="166"/>
      <c r="AF218" s="166"/>
      <c r="AG218" s="166"/>
      <c r="AH218" s="65"/>
      <c r="AJ218" s="177"/>
      <c r="AK218" s="178"/>
      <c r="AL218" s="181"/>
      <c r="AM218" s="166"/>
      <c r="AN218" s="166"/>
      <c r="AO218" s="177"/>
      <c r="AP218" s="178"/>
      <c r="AQ218" s="181"/>
      <c r="AR218" s="166"/>
      <c r="AS218" s="166"/>
      <c r="AT218" s="177"/>
      <c r="AU218" s="181"/>
      <c r="AV218" s="166"/>
      <c r="AW218" s="166"/>
      <c r="AX218" s="177"/>
      <c r="AY218" s="166"/>
      <c r="AZ218" s="177"/>
      <c r="BA218" s="178"/>
      <c r="BB218" s="178"/>
      <c r="BC218" s="178"/>
      <c r="BD218" s="178"/>
      <c r="BE218" s="178"/>
      <c r="BF218" s="178"/>
      <c r="BG218" s="179"/>
      <c r="BH218" s="180"/>
      <c r="BI218" s="178"/>
      <c r="BJ218" s="177"/>
      <c r="BK218" s="181"/>
      <c r="BL218" s="177"/>
      <c r="BM218" s="181"/>
      <c r="BN218" s="177"/>
      <c r="BO218" s="181"/>
      <c r="BP218" s="177"/>
      <c r="BQ218" s="181"/>
      <c r="BR218" s="166"/>
      <c r="BS218" s="166"/>
      <c r="BT218" s="166"/>
      <c r="BU218" s="65"/>
      <c r="BW218" s="178"/>
      <c r="BX218" s="399"/>
    </row>
    <row r="219" ht="15.75" hidden="1" customHeight="1">
      <c r="A219" s="65"/>
      <c r="B219" s="65"/>
      <c r="C219" s="416"/>
      <c r="D219" s="430"/>
      <c r="E219" s="431"/>
      <c r="F219" s="431"/>
      <c r="G219" s="431"/>
      <c r="H219" s="431"/>
      <c r="I219" s="431"/>
      <c r="J219" s="397"/>
      <c r="K219" s="398">
        <f t="shared" si="1"/>
        <v>0</v>
      </c>
      <c r="L219" s="173"/>
      <c r="M219" s="173"/>
      <c r="N219" s="177"/>
      <c r="O219" s="178"/>
      <c r="P219" s="178"/>
      <c r="Q219" s="178"/>
      <c r="R219" s="178"/>
      <c r="S219" s="182"/>
      <c r="T219" s="65"/>
      <c r="U219" s="64"/>
      <c r="V219" s="66"/>
      <c r="W219" s="173"/>
      <c r="X219" s="173"/>
      <c r="Y219" s="65"/>
      <c r="Z219" s="65"/>
      <c r="AA219" s="65"/>
      <c r="AB219" s="65"/>
      <c r="AC219" s="173"/>
      <c r="AD219" s="166"/>
      <c r="AE219" s="166"/>
      <c r="AF219" s="166"/>
      <c r="AG219" s="166"/>
      <c r="AH219" s="65"/>
      <c r="AJ219" s="177"/>
      <c r="AK219" s="178"/>
      <c r="AL219" s="181"/>
      <c r="AM219" s="166"/>
      <c r="AN219" s="166"/>
      <c r="AO219" s="177"/>
      <c r="AP219" s="178"/>
      <c r="AQ219" s="181"/>
      <c r="AR219" s="166"/>
      <c r="AS219" s="166"/>
      <c r="AT219" s="177"/>
      <c r="AU219" s="181"/>
      <c r="AV219" s="166"/>
      <c r="AW219" s="166"/>
      <c r="AX219" s="177"/>
      <c r="AY219" s="166"/>
      <c r="AZ219" s="177"/>
      <c r="BA219" s="178"/>
      <c r="BB219" s="178"/>
      <c r="BC219" s="178"/>
      <c r="BD219" s="178"/>
      <c r="BE219" s="178"/>
      <c r="BF219" s="178"/>
      <c r="BG219" s="179"/>
      <c r="BH219" s="180"/>
      <c r="BI219" s="178"/>
      <c r="BJ219" s="177"/>
      <c r="BK219" s="181"/>
      <c r="BL219" s="177"/>
      <c r="BM219" s="181"/>
      <c r="BN219" s="177"/>
      <c r="BO219" s="181"/>
      <c r="BP219" s="177"/>
      <c r="BQ219" s="181"/>
      <c r="BR219" s="166"/>
      <c r="BS219" s="166"/>
      <c r="BT219" s="166"/>
      <c r="BU219" s="65"/>
      <c r="BW219" s="178"/>
      <c r="BX219" s="399"/>
    </row>
    <row r="220" ht="15.75" hidden="1" customHeight="1">
      <c r="A220" s="65"/>
      <c r="B220" s="65"/>
      <c r="C220" s="416"/>
      <c r="D220" s="430"/>
      <c r="E220" s="431"/>
      <c r="F220" s="431"/>
      <c r="G220" s="431"/>
      <c r="H220" s="431"/>
      <c r="I220" s="431"/>
      <c r="J220" s="397"/>
      <c r="K220" s="398">
        <f t="shared" si="1"/>
        <v>0</v>
      </c>
      <c r="L220" s="173"/>
      <c r="M220" s="173"/>
      <c r="N220" s="177"/>
      <c r="O220" s="178"/>
      <c r="P220" s="178"/>
      <c r="Q220" s="178"/>
      <c r="R220" s="178"/>
      <c r="S220" s="182"/>
      <c r="T220" s="65"/>
      <c r="U220" s="64"/>
      <c r="V220" s="66"/>
      <c r="W220" s="173"/>
      <c r="X220" s="173"/>
      <c r="Y220" s="65"/>
      <c r="Z220" s="65"/>
      <c r="AA220" s="65"/>
      <c r="AB220" s="65"/>
      <c r="AC220" s="173"/>
      <c r="AD220" s="166"/>
      <c r="AE220" s="166"/>
      <c r="AF220" s="166"/>
      <c r="AG220" s="166"/>
      <c r="AH220" s="65"/>
      <c r="AJ220" s="177"/>
      <c r="AK220" s="178"/>
      <c r="AL220" s="181"/>
      <c r="AM220" s="166"/>
      <c r="AN220" s="166"/>
      <c r="AO220" s="177"/>
      <c r="AP220" s="178"/>
      <c r="AQ220" s="181"/>
      <c r="AR220" s="166"/>
      <c r="AS220" s="166"/>
      <c r="AT220" s="177"/>
      <c r="AU220" s="181"/>
      <c r="AV220" s="166"/>
      <c r="AW220" s="166"/>
      <c r="AX220" s="177"/>
      <c r="AY220" s="166"/>
      <c r="AZ220" s="177"/>
      <c r="BA220" s="178"/>
      <c r="BB220" s="178"/>
      <c r="BC220" s="178"/>
      <c r="BD220" s="178"/>
      <c r="BE220" s="178"/>
      <c r="BF220" s="178"/>
      <c r="BG220" s="179"/>
      <c r="BH220" s="180"/>
      <c r="BI220" s="178"/>
      <c r="BJ220" s="177"/>
      <c r="BK220" s="181"/>
      <c r="BL220" s="177"/>
      <c r="BM220" s="181"/>
      <c r="BN220" s="177"/>
      <c r="BO220" s="181"/>
      <c r="BP220" s="177"/>
      <c r="BQ220" s="181"/>
      <c r="BR220" s="166"/>
      <c r="BS220" s="166"/>
      <c r="BT220" s="166"/>
      <c r="BU220" s="65"/>
      <c r="BW220" s="178"/>
      <c r="BX220" s="399"/>
    </row>
    <row r="221" ht="15.75" hidden="1" customHeight="1">
      <c r="A221" s="65"/>
      <c r="B221" s="65"/>
      <c r="C221" s="416"/>
      <c r="D221" s="430"/>
      <c r="E221" s="431"/>
      <c r="F221" s="431"/>
      <c r="G221" s="431"/>
      <c r="H221" s="431"/>
      <c r="I221" s="431"/>
      <c r="J221" s="397"/>
      <c r="K221" s="398">
        <f t="shared" si="1"/>
        <v>0</v>
      </c>
      <c r="L221" s="173"/>
      <c r="M221" s="173"/>
      <c r="N221" s="177"/>
      <c r="O221" s="178"/>
      <c r="P221" s="178"/>
      <c r="Q221" s="178"/>
      <c r="R221" s="178"/>
      <c r="S221" s="182"/>
      <c r="T221" s="65"/>
      <c r="U221" s="64"/>
      <c r="V221" s="66"/>
      <c r="W221" s="173"/>
      <c r="X221" s="173"/>
      <c r="Y221" s="65"/>
      <c r="Z221" s="65"/>
      <c r="AA221" s="65"/>
      <c r="AB221" s="65"/>
      <c r="AC221" s="173"/>
      <c r="AD221" s="166"/>
      <c r="AE221" s="166"/>
      <c r="AF221" s="166"/>
      <c r="AG221" s="166"/>
      <c r="AH221" s="65"/>
      <c r="AJ221" s="177"/>
      <c r="AK221" s="178"/>
      <c r="AL221" s="181"/>
      <c r="AM221" s="166"/>
      <c r="AN221" s="166"/>
      <c r="AO221" s="177"/>
      <c r="AP221" s="178"/>
      <c r="AQ221" s="181"/>
      <c r="AR221" s="166"/>
      <c r="AS221" s="166"/>
      <c r="AT221" s="177"/>
      <c r="AU221" s="181"/>
      <c r="AV221" s="166"/>
      <c r="AW221" s="166"/>
      <c r="AX221" s="177"/>
      <c r="AY221" s="166"/>
      <c r="AZ221" s="177"/>
      <c r="BA221" s="178"/>
      <c r="BB221" s="178"/>
      <c r="BC221" s="178"/>
      <c r="BD221" s="178"/>
      <c r="BE221" s="178"/>
      <c r="BF221" s="178"/>
      <c r="BG221" s="179"/>
      <c r="BH221" s="180"/>
      <c r="BI221" s="178"/>
      <c r="BJ221" s="177"/>
      <c r="BK221" s="181"/>
      <c r="BL221" s="177"/>
      <c r="BM221" s="181"/>
      <c r="BN221" s="177"/>
      <c r="BO221" s="181"/>
      <c r="BP221" s="177"/>
      <c r="BQ221" s="181"/>
      <c r="BR221" s="166"/>
      <c r="BS221" s="166"/>
      <c r="BT221" s="166"/>
      <c r="BU221" s="65"/>
      <c r="BW221" s="178"/>
      <c r="BX221" s="399"/>
    </row>
    <row r="222" ht="15.75" hidden="1" customHeight="1">
      <c r="A222" s="65"/>
      <c r="B222" s="65"/>
      <c r="C222" s="416"/>
      <c r="D222" s="430"/>
      <c r="E222" s="431"/>
      <c r="F222" s="431"/>
      <c r="G222" s="431"/>
      <c r="H222" s="431"/>
      <c r="I222" s="431"/>
      <c r="J222" s="397"/>
      <c r="K222" s="398">
        <f t="shared" si="1"/>
        <v>0</v>
      </c>
      <c r="L222" s="173"/>
      <c r="M222" s="173"/>
      <c r="N222" s="177"/>
      <c r="O222" s="178"/>
      <c r="P222" s="178"/>
      <c r="Q222" s="178"/>
      <c r="R222" s="178"/>
      <c r="S222" s="182"/>
      <c r="T222" s="65"/>
      <c r="U222" s="64"/>
      <c r="V222" s="66"/>
      <c r="W222" s="173"/>
      <c r="X222" s="173"/>
      <c r="Y222" s="65"/>
      <c r="Z222" s="65"/>
      <c r="AA222" s="65"/>
      <c r="AB222" s="65"/>
      <c r="AC222" s="173"/>
      <c r="AD222" s="166"/>
      <c r="AE222" s="166"/>
      <c r="AF222" s="166"/>
      <c r="AG222" s="166"/>
      <c r="AH222" s="65"/>
      <c r="AJ222" s="177"/>
      <c r="AK222" s="178"/>
      <c r="AL222" s="181"/>
      <c r="AM222" s="166"/>
      <c r="AN222" s="166"/>
      <c r="AO222" s="177"/>
      <c r="AP222" s="178"/>
      <c r="AQ222" s="181"/>
      <c r="AR222" s="166"/>
      <c r="AS222" s="166"/>
      <c r="AT222" s="177"/>
      <c r="AU222" s="181"/>
      <c r="AV222" s="166"/>
      <c r="AW222" s="166"/>
      <c r="AX222" s="177"/>
      <c r="AY222" s="166"/>
      <c r="AZ222" s="177"/>
      <c r="BA222" s="178"/>
      <c r="BB222" s="178"/>
      <c r="BC222" s="178"/>
      <c r="BD222" s="178"/>
      <c r="BE222" s="178"/>
      <c r="BF222" s="178"/>
      <c r="BG222" s="179"/>
      <c r="BH222" s="180"/>
      <c r="BI222" s="178"/>
      <c r="BJ222" s="177"/>
      <c r="BK222" s="181"/>
      <c r="BL222" s="177"/>
      <c r="BM222" s="181"/>
      <c r="BN222" s="177"/>
      <c r="BO222" s="181"/>
      <c r="BP222" s="177"/>
      <c r="BQ222" s="181"/>
      <c r="BR222" s="166"/>
      <c r="BS222" s="166"/>
      <c r="BT222" s="166"/>
      <c r="BU222" s="65"/>
      <c r="BW222" s="178"/>
      <c r="BX222" s="399"/>
    </row>
    <row r="223" ht="15.75" hidden="1" customHeight="1">
      <c r="A223" s="65"/>
      <c r="B223" s="65"/>
      <c r="C223" s="416"/>
      <c r="D223" s="430"/>
      <c r="E223" s="431"/>
      <c r="F223" s="431"/>
      <c r="G223" s="431"/>
      <c r="H223" s="431"/>
      <c r="I223" s="431"/>
      <c r="J223" s="397"/>
      <c r="K223" s="398">
        <f t="shared" si="1"/>
        <v>0</v>
      </c>
      <c r="L223" s="173"/>
      <c r="M223" s="173"/>
      <c r="N223" s="177"/>
      <c r="O223" s="178"/>
      <c r="P223" s="178"/>
      <c r="Q223" s="178"/>
      <c r="R223" s="178"/>
      <c r="S223" s="182"/>
      <c r="T223" s="65"/>
      <c r="U223" s="64"/>
      <c r="V223" s="66"/>
      <c r="W223" s="173"/>
      <c r="X223" s="173"/>
      <c r="Y223" s="65"/>
      <c r="Z223" s="65"/>
      <c r="AA223" s="65"/>
      <c r="AB223" s="65"/>
      <c r="AC223" s="173"/>
      <c r="AD223" s="166"/>
      <c r="AE223" s="166"/>
      <c r="AF223" s="166"/>
      <c r="AG223" s="166"/>
      <c r="AH223" s="65"/>
      <c r="AJ223" s="177"/>
      <c r="AK223" s="178"/>
      <c r="AL223" s="181"/>
      <c r="AM223" s="166"/>
      <c r="AN223" s="166"/>
      <c r="AO223" s="177"/>
      <c r="AP223" s="178"/>
      <c r="AQ223" s="181"/>
      <c r="AR223" s="166"/>
      <c r="AS223" s="166"/>
      <c r="AT223" s="177"/>
      <c r="AU223" s="181"/>
      <c r="AV223" s="166"/>
      <c r="AW223" s="166"/>
      <c r="AX223" s="177"/>
      <c r="AY223" s="166"/>
      <c r="AZ223" s="177"/>
      <c r="BA223" s="178"/>
      <c r="BB223" s="178"/>
      <c r="BC223" s="178"/>
      <c r="BD223" s="178"/>
      <c r="BE223" s="178"/>
      <c r="BF223" s="178"/>
      <c r="BG223" s="179"/>
      <c r="BH223" s="180"/>
      <c r="BI223" s="178"/>
      <c r="BJ223" s="177"/>
      <c r="BK223" s="181"/>
      <c r="BL223" s="177"/>
      <c r="BM223" s="181"/>
      <c r="BN223" s="177"/>
      <c r="BO223" s="181"/>
      <c r="BP223" s="177"/>
      <c r="BQ223" s="181"/>
      <c r="BR223" s="166"/>
      <c r="BS223" s="166"/>
      <c r="BT223" s="166"/>
      <c r="BU223" s="65"/>
      <c r="BW223" s="178"/>
      <c r="BX223" s="399"/>
    </row>
    <row r="224" ht="15.75" hidden="1" customHeight="1">
      <c r="A224" s="65"/>
      <c r="B224" s="65"/>
      <c r="C224" s="416"/>
      <c r="D224" s="430"/>
      <c r="E224" s="431"/>
      <c r="F224" s="431"/>
      <c r="G224" s="431"/>
      <c r="H224" s="431"/>
      <c r="I224" s="431"/>
      <c r="J224" s="397"/>
      <c r="K224" s="398">
        <f t="shared" si="1"/>
        <v>0</v>
      </c>
      <c r="L224" s="173"/>
      <c r="M224" s="173"/>
      <c r="N224" s="177"/>
      <c r="O224" s="178"/>
      <c r="P224" s="178"/>
      <c r="Q224" s="178"/>
      <c r="R224" s="178"/>
      <c r="S224" s="182"/>
      <c r="T224" s="65"/>
      <c r="U224" s="64"/>
      <c r="V224" s="66"/>
      <c r="W224" s="173"/>
      <c r="X224" s="173"/>
      <c r="Y224" s="65"/>
      <c r="Z224" s="65"/>
      <c r="AA224" s="65"/>
      <c r="AB224" s="65"/>
      <c r="AC224" s="173"/>
      <c r="AD224" s="166"/>
      <c r="AE224" s="166"/>
      <c r="AF224" s="166"/>
      <c r="AG224" s="166"/>
      <c r="AH224" s="65"/>
      <c r="AJ224" s="177"/>
      <c r="AK224" s="178"/>
      <c r="AL224" s="181"/>
      <c r="AM224" s="166"/>
      <c r="AN224" s="166"/>
      <c r="AO224" s="177"/>
      <c r="AP224" s="178"/>
      <c r="AQ224" s="181"/>
      <c r="AR224" s="166"/>
      <c r="AS224" s="166"/>
      <c r="AT224" s="177"/>
      <c r="AU224" s="181"/>
      <c r="AV224" s="166"/>
      <c r="AW224" s="166"/>
      <c r="AX224" s="177"/>
      <c r="AY224" s="166"/>
      <c r="AZ224" s="177"/>
      <c r="BA224" s="178"/>
      <c r="BB224" s="178"/>
      <c r="BC224" s="178"/>
      <c r="BD224" s="178"/>
      <c r="BE224" s="178"/>
      <c r="BF224" s="178"/>
      <c r="BG224" s="179"/>
      <c r="BH224" s="180"/>
      <c r="BI224" s="178"/>
      <c r="BJ224" s="177"/>
      <c r="BK224" s="181"/>
      <c r="BL224" s="177"/>
      <c r="BM224" s="181"/>
      <c r="BN224" s="177"/>
      <c r="BO224" s="181"/>
      <c r="BP224" s="177"/>
      <c r="BQ224" s="181"/>
      <c r="BR224" s="166"/>
      <c r="BS224" s="166"/>
      <c r="BT224" s="166"/>
      <c r="BU224" s="65"/>
      <c r="BW224" s="178"/>
      <c r="BX224" s="399"/>
    </row>
    <row r="225" ht="15.75" hidden="1" customHeight="1">
      <c r="A225" s="65"/>
      <c r="B225" s="65"/>
      <c r="C225" s="416"/>
      <c r="D225" s="430"/>
      <c r="E225" s="431"/>
      <c r="F225" s="431"/>
      <c r="G225" s="431"/>
      <c r="H225" s="431"/>
      <c r="I225" s="431"/>
      <c r="J225" s="397"/>
      <c r="K225" s="398">
        <f t="shared" si="1"/>
        <v>0</v>
      </c>
      <c r="L225" s="173"/>
      <c r="M225" s="173"/>
      <c r="N225" s="177"/>
      <c r="O225" s="178"/>
      <c r="P225" s="178"/>
      <c r="Q225" s="178"/>
      <c r="R225" s="178"/>
      <c r="S225" s="182"/>
      <c r="T225" s="65"/>
      <c r="U225" s="64"/>
      <c r="V225" s="66"/>
      <c r="W225" s="173"/>
      <c r="X225" s="173"/>
      <c r="Y225" s="65"/>
      <c r="Z225" s="65"/>
      <c r="AA225" s="65"/>
      <c r="AB225" s="65"/>
      <c r="AC225" s="173"/>
      <c r="AD225" s="166"/>
      <c r="AE225" s="166"/>
      <c r="AF225" s="166"/>
      <c r="AG225" s="166"/>
      <c r="AH225" s="65"/>
      <c r="AJ225" s="177"/>
      <c r="AK225" s="178"/>
      <c r="AL225" s="181"/>
      <c r="AM225" s="166"/>
      <c r="AN225" s="166"/>
      <c r="AO225" s="177"/>
      <c r="AP225" s="178"/>
      <c r="AQ225" s="181"/>
      <c r="AR225" s="166"/>
      <c r="AS225" s="166"/>
      <c r="AT225" s="177"/>
      <c r="AU225" s="181"/>
      <c r="AV225" s="166"/>
      <c r="AW225" s="166"/>
      <c r="AX225" s="177"/>
      <c r="AY225" s="166"/>
      <c r="AZ225" s="177"/>
      <c r="BA225" s="178"/>
      <c r="BB225" s="178"/>
      <c r="BC225" s="178"/>
      <c r="BD225" s="178"/>
      <c r="BE225" s="178"/>
      <c r="BF225" s="178"/>
      <c r="BG225" s="179"/>
      <c r="BH225" s="180"/>
      <c r="BI225" s="178"/>
      <c r="BJ225" s="177"/>
      <c r="BK225" s="181"/>
      <c r="BL225" s="177"/>
      <c r="BM225" s="181"/>
      <c r="BN225" s="177"/>
      <c r="BO225" s="181"/>
      <c r="BP225" s="177"/>
      <c r="BQ225" s="181"/>
      <c r="BR225" s="166"/>
      <c r="BS225" s="166"/>
      <c r="BT225" s="166"/>
      <c r="BU225" s="65"/>
      <c r="BW225" s="178"/>
      <c r="BX225" s="399"/>
    </row>
    <row r="226" ht="15.75" hidden="1" customHeight="1">
      <c r="A226" s="65"/>
      <c r="B226" s="65"/>
      <c r="C226" s="416"/>
      <c r="D226" s="430"/>
      <c r="E226" s="431"/>
      <c r="F226" s="431"/>
      <c r="G226" s="431"/>
      <c r="H226" s="431"/>
      <c r="I226" s="431"/>
      <c r="J226" s="397"/>
      <c r="K226" s="398">
        <f t="shared" si="1"/>
        <v>0</v>
      </c>
      <c r="L226" s="173"/>
      <c r="M226" s="173"/>
      <c r="N226" s="177"/>
      <c r="O226" s="178"/>
      <c r="P226" s="178"/>
      <c r="Q226" s="178"/>
      <c r="R226" s="178"/>
      <c r="S226" s="182"/>
      <c r="T226" s="65"/>
      <c r="U226" s="64"/>
      <c r="V226" s="66"/>
      <c r="W226" s="173"/>
      <c r="X226" s="173"/>
      <c r="Y226" s="65"/>
      <c r="Z226" s="65"/>
      <c r="AA226" s="65"/>
      <c r="AB226" s="65"/>
      <c r="AC226" s="173"/>
      <c r="AD226" s="166"/>
      <c r="AE226" s="166"/>
      <c r="AF226" s="166"/>
      <c r="AG226" s="166"/>
      <c r="AH226" s="65"/>
      <c r="AJ226" s="177"/>
      <c r="AK226" s="178"/>
      <c r="AL226" s="181"/>
      <c r="AM226" s="166"/>
      <c r="AN226" s="166"/>
      <c r="AO226" s="177"/>
      <c r="AP226" s="178"/>
      <c r="AQ226" s="181"/>
      <c r="AR226" s="166"/>
      <c r="AS226" s="166"/>
      <c r="AT226" s="177"/>
      <c r="AU226" s="181"/>
      <c r="AV226" s="166"/>
      <c r="AW226" s="166"/>
      <c r="AX226" s="177"/>
      <c r="AY226" s="166"/>
      <c r="AZ226" s="177"/>
      <c r="BA226" s="178"/>
      <c r="BB226" s="178"/>
      <c r="BC226" s="178"/>
      <c r="BD226" s="178"/>
      <c r="BE226" s="178"/>
      <c r="BF226" s="178"/>
      <c r="BG226" s="179"/>
      <c r="BH226" s="180"/>
      <c r="BI226" s="178"/>
      <c r="BJ226" s="177"/>
      <c r="BK226" s="181"/>
      <c r="BL226" s="177"/>
      <c r="BM226" s="181"/>
      <c r="BN226" s="177"/>
      <c r="BO226" s="181"/>
      <c r="BP226" s="177"/>
      <c r="BQ226" s="181"/>
      <c r="BR226" s="166"/>
      <c r="BS226" s="166"/>
      <c r="BT226" s="166"/>
      <c r="BU226" s="65"/>
      <c r="BW226" s="178"/>
      <c r="BX226" s="399"/>
    </row>
    <row r="227" ht="15.75" hidden="1" customHeight="1">
      <c r="A227" s="89"/>
      <c r="B227" s="89"/>
      <c r="C227" s="417"/>
      <c r="D227" s="432"/>
      <c r="E227" s="433"/>
      <c r="F227" s="433"/>
      <c r="G227" s="433"/>
      <c r="H227" s="433"/>
      <c r="I227" s="433"/>
      <c r="J227" s="402"/>
      <c r="K227" s="403">
        <f t="shared" si="1"/>
        <v>0</v>
      </c>
      <c r="L227" s="69"/>
      <c r="M227" s="69"/>
      <c r="N227" s="192"/>
      <c r="O227" s="193"/>
      <c r="P227" s="193"/>
      <c r="Q227" s="193"/>
      <c r="R227" s="193"/>
      <c r="S227" s="197"/>
      <c r="T227" s="89"/>
      <c r="U227" s="103"/>
      <c r="V227" s="68"/>
      <c r="W227" s="69"/>
      <c r="X227" s="69"/>
      <c r="Y227" s="89"/>
      <c r="Z227" s="89"/>
      <c r="AA227" s="89"/>
      <c r="AB227" s="89"/>
      <c r="AC227" s="69"/>
      <c r="AD227" s="63"/>
      <c r="AE227" s="63"/>
      <c r="AF227" s="63"/>
      <c r="AG227" s="63"/>
      <c r="AH227" s="89"/>
      <c r="AI227" s="6"/>
      <c r="AJ227" s="192"/>
      <c r="AK227" s="193"/>
      <c r="AL227" s="196"/>
      <c r="AM227" s="63"/>
      <c r="AN227" s="63"/>
      <c r="AO227" s="192"/>
      <c r="AP227" s="193"/>
      <c r="AQ227" s="196"/>
      <c r="AR227" s="63"/>
      <c r="AS227" s="63"/>
      <c r="AT227" s="192"/>
      <c r="AU227" s="196"/>
      <c r="AV227" s="63"/>
      <c r="AW227" s="63"/>
      <c r="AX227" s="192"/>
      <c r="AY227" s="63"/>
      <c r="AZ227" s="192"/>
      <c r="BA227" s="193"/>
      <c r="BB227" s="193"/>
      <c r="BC227" s="193"/>
      <c r="BD227" s="193"/>
      <c r="BE227" s="193"/>
      <c r="BF227" s="193"/>
      <c r="BG227" s="194"/>
      <c r="BH227" s="195"/>
      <c r="BI227" s="193"/>
      <c r="BJ227" s="192"/>
      <c r="BK227" s="196"/>
      <c r="BL227" s="192"/>
      <c r="BM227" s="196"/>
      <c r="BN227" s="192"/>
      <c r="BO227" s="196"/>
      <c r="BP227" s="192"/>
      <c r="BQ227" s="196"/>
      <c r="BR227" s="63"/>
      <c r="BS227" s="63"/>
      <c r="BT227" s="63"/>
      <c r="BU227" s="89"/>
      <c r="BV227" s="6"/>
      <c r="BW227" s="198"/>
      <c r="BX227" s="404"/>
    </row>
    <row r="228" ht="61.5" hidden="1" customHeight="1">
      <c r="A228" s="125">
        <v>21.0</v>
      </c>
      <c r="B228" s="274"/>
      <c r="C228" s="427"/>
      <c r="D228" s="428"/>
      <c r="E228" s="429"/>
      <c r="F228" s="429"/>
      <c r="G228" s="429"/>
      <c r="H228" s="429"/>
      <c r="I228" s="429"/>
      <c r="J228" s="366"/>
      <c r="K228" s="367">
        <f t="shared" si="1"/>
        <v>0</v>
      </c>
      <c r="L228" s="368">
        <f>SUM(I228:I238)+SUM(K228:K238)*1</f>
        <v>0</v>
      </c>
      <c r="M228" s="368">
        <f>SUM('21 Oct Mon'!Q228:Q238,'22 Oct Tues'!Q228:Q238,'23 Oct Wed'!Q228:Q238,'24 Oct Thurs'!Q228:Q238,'25 Oct Fri'!Q228:Q238,'26 Oct Sat'!Q228:Q238)</f>
        <v>0</v>
      </c>
      <c r="N228" s="369">
        <f>SUM('21 Oct Mon'!R228:R238,'22 Oct Tues'!R228:R238,'23 Oct Wed'!R228:R238,'24 Oct Thurs'!R228:R238,'25 Oct Fri'!R228:R238,'26 Oct Sat'!R228:R238)</f>
        <v>0</v>
      </c>
      <c r="O228" s="370">
        <f>SUM(L228:N238)</f>
        <v>0</v>
      </c>
      <c r="P228" s="370">
        <f>SUM('21 Oct Mon'!T228:T238,'22 Oct Tues'!T228:T238,'23 Oct Wed'!T228:T238,'24 Oct Thurs'!T228:T238,'25 Oct Fri'!T228:T238,'26 Oct Sat'!T228:T238)</f>
        <v>0</v>
      </c>
      <c r="Q228" s="370">
        <f>SUM('21 Oct Mon'!U228:U238,'22 Oct Tues'!U228:U238,'23 Oct Wed'!U228:U238,'24 Oct Thurs'!U228:U238,'25 Oct Fri'!U228:U238,'26 Oct Sat'!U228:U238)</f>
        <v>0</v>
      </c>
      <c r="R228" s="370">
        <f>SUM('21 Oct Mon'!V228:V238,'22 Oct Tues'!V228:V238,'23 Oct Wed'!V228:V238,'24 Oct Thurs'!V228:V238,'25 Oct Fri'!V228:V238,'26 Oct Sat'!V228:V238)</f>
        <v>0</v>
      </c>
      <c r="S228" s="371">
        <f>SUM('21 Oct Mon'!W228:W238,'22 Oct Tues'!W228:W238,'23 Oct Wed'!W228:W238,'24 Oct Thurs'!W228:W238,'25 Oct Fri'!W228:W238,'26 Oct Sat'!W228:W238)</f>
        <v>0</v>
      </c>
      <c r="T228" s="372">
        <f>O228-P228-Q228-R228-S228</f>
        <v>0</v>
      </c>
      <c r="U228" s="373" t="str">
        <f>CONCATENATE(SUM('21 Oct Mon'!O228:O238,'22 Oct Tues'!O228:O238,'23 Oct Wed'!O228:O238,'24 Oct Thurs'!O228:O238,'25 Oct Fri'!O228:O238,'26 Oct Sat'!O228:O238),"
(",(SUM('21 Oct Mon'!O228:O238,'22 Oct Tues'!O228:O238,'23 Oct Wed'!O228:O238,'24 Oct Thurs'!O228:O238,'25 Oct Fri'!O228:O238,'26 Oct Sat'!O228:O238)-T228),")")</f>
        <v>0
(0)</v>
      </c>
      <c r="V228" s="374" t="str">
        <f>CONCATENATE("Mon-",'21 Oct Mon'!Z228:Z238,",Tues-",'22 Oct Tues'!Z228:Z238,",Wed-",'23 Oct Wed'!Z228:Z238,",Thurs-",'24 Oct Thurs'!Z228:Z238,",Fri-",'25 Oct Fri'!Z228:Z238,",Sat-",'26 Oct Sat'!Z228:Z238)</f>
        <v>Mon-,Tues-,Wed-,Thurs-,Fri-,Sat-</v>
      </c>
      <c r="W228" s="375">
        <f>SUM('21 Oct Mon'!AI228:AI238,'22 Oct Tues'!AI228:AI238,'23 Oct Wed'!AI228:AI238,'24 Oct Thurs'!AI228:AI238,'25 Oct Fri'!AI228:AI238,'26 Oct Sat'!AI228:AI238)</f>
        <v>0</v>
      </c>
      <c r="X228" s="375">
        <f>SUM('21 Oct Mon'!AM228:AM238,'22 Oct Tues'!AM228:AM238,'23 Oct Wed'!AM228:AM238,'24 Oct Thurs'!AM228:AM238,'25 Oct Fri'!AM228:AM238,'26 Oct Sat'!AM228:AM238)</f>
        <v>0</v>
      </c>
      <c r="Y228" s="376">
        <f>SUM('21 Oct Mon'!AP228:AP238,'22 Oct Tues'!AP228:AP238,'23 Oct Wed'!AP228:AP238,'24 Oct Thurs'!AP228:AP238,'25 Oct Fri'!AP228:AP238,'26 Oct Sat'!AP228:AP238)</f>
        <v>0</v>
      </c>
      <c r="Z228" s="376">
        <f>SUM('21 Oct Mon'!AQ228:AQ238,'22 Oct Tues'!AQ228:AQ238,'23 Oct Wed'!AQ228:AQ238,'24 Oct Thurs'!AQ228:AQ238,'25 Oct Fri'!AQ228:AQ238,'26 Oct Sat'!AQ228:AQ238)</f>
        <v>0</v>
      </c>
      <c r="AA228" s="377">
        <f>SUM('21 Oct Mon'!AR228:AR238,'22 Oct Tues'!AR228:AR238,'23 Oct Wed'!AR228:AR238,'24 Oct Thurs'!AR228:AR238,'25 Oct Fri'!AR228:AR238,'26 Oct Sat'!AR228:AR238)</f>
        <v>0</v>
      </c>
      <c r="AB228" s="377">
        <f>SUM('21 Oct Mon'!AS228:AS238,'22 Oct Tues'!AS228:AS238,'23 Oct Wed'!AS228:AS238,'24 Oct Thurs'!AS228:AS238,'25 Oct Fri'!AS228:AS238,'26 Oct Sat'!AS228:AS238)</f>
        <v>0</v>
      </c>
      <c r="AC228" s="378">
        <f>SUM('21 Oct Mon'!AT228:AT238,'22 Oct Tues'!AT228:AT238,'23 Oct Wed'!AT228:AT238,'24 Oct Thurs'!AT228:AT238,'25 Oct Fri'!AT228:AT238,'26 Oct Sat'!AT228:AT238)</f>
        <v>0</v>
      </c>
      <c r="AD228" s="379">
        <f>SUM('21 Oct Mon'!AU228:AU238,'22 Oct Tues'!AU228:AU238,'23 Oct Wed'!AU228:AU238,'24 Oct Thurs'!AU228:AU238,'25 Oct Fri'!AU228:AU238,'26 Oct Sat'!AU228:AU238)</f>
        <v>0</v>
      </c>
      <c r="AE228" s="379">
        <f>SUM('21 Oct Mon'!AV228:AV238,'22 Oct Tues'!AV228:AV238,'23 Oct Wed'!AV228:AV238,'24 Oct Thurs'!AV228:AV238,'25 Oct Fri'!AV228:AV238,'26 Oct Sat'!AV228:AV238)</f>
        <v>0</v>
      </c>
      <c r="AF228" s="379">
        <f>SUM('21 Oct Mon'!AW228:AW238,'22 Oct Tues'!AW228:AW238,'23 Oct Wed'!AW228:AW238,'24 Oct Thurs'!AW228:AW238,'25 Oct Fri'!AW228:AW238,'26 Oct Sat'!AW228:AW238)</f>
        <v>0</v>
      </c>
      <c r="AG228" s="379">
        <f>SUM('21 Oct Mon'!AX228:AX238,'22 Oct Tues'!AX228:AX238,'23 Oct Wed'!AX228:AX238,'24 Oct Thurs'!AX228:AX238,'25 Oct Fri'!AX228:AX238,'26 Oct Sat'!AX228:AX238)</f>
        <v>0</v>
      </c>
      <c r="AH228" s="380">
        <f>SUM('21 Oct Mon'!AY228:AY238,'22 Oct Tues'!AY228:AY238,'23 Oct Wed'!AY228:AY238,'24 Oct Thurs'!AY228:AY238,'25 Oct Fri'!AY228:AY238,'26 Oct Sat'!AY228:AY238)</f>
        <v>0</v>
      </c>
      <c r="AI228" s="381">
        <f>SUM('21 Oct Mon'!AZ228:AZ238,'22 Oct Tues'!AZ228:AZ238,'23 Oct Wed'!AZ228:AZ238,'24 Oct Thurs'!AZ228:AZ238,'25 Oct Fri'!AZ228:AZ238,'26 Oct Sat'!AZ228:AZ238)</f>
        <v>0</v>
      </c>
      <c r="AJ228" s="382">
        <f>SUM('21 Oct Mon'!BG228:BG238,'22 Oct Tues'!BG228:BG238,'23 Oct Wed'!BG228:BG238,'24 Oct Thurs'!BG228:BG238,'25 Oct Fri'!BG228:BG238,'26 Oct Sat'!BG228:BG238)</f>
        <v>0</v>
      </c>
      <c r="AK228" s="383">
        <f>SUM('21 Oct Mon'!BH228:BH238,'22 Oct Tues'!BH228:BH238,'23 Oct Wed'!BH228:BH238,'24 Oct Thurs'!BH228:BH238,'25 Oct Fri'!BH228:BH238,'26 Oct Sat'!BH228:BH238)</f>
        <v>0</v>
      </c>
      <c r="AL228" s="384">
        <f>SUM('21 Oct Mon'!BI228:BI238,'22 Oct Tues'!BI228:BI238,'23 Oct Wed'!BI228:BI238,'24 Oct Thurs'!BI228:BI238,'25 Oct Fri'!BI228:BI238,'26 Oct Sat'!BI228:BI238)</f>
        <v>0</v>
      </c>
      <c r="AM228" s="379">
        <f>SUM('21 Oct Mon'!BJ228:BJ238,'22 Oct Tues'!BJ228:BJ238,'23 Oct Wed'!BJ228:BJ238,'24 Oct Thurs'!BJ228:BJ238,'25 Oct Fri'!BJ228:BJ238,'26 Oct Sat'!BJ228:BJ238)</f>
        <v>0</v>
      </c>
      <c r="AN228" s="379">
        <f>SUM('21 Oct Mon'!BK228:BK238,'22 Oct Tues'!BK228:BK238,'23 Oct Wed'!BK228:BK238,'24 Oct Thurs'!BK228:BK238,'25 Oct Fri'!BK228:BK238,'26 Oct Sat'!BK228:BK238)</f>
        <v>0</v>
      </c>
      <c r="AO228" s="385">
        <f>SUM('21 Oct Mon'!BL228:BL238,'22 Oct Tues'!BL228:BL238,'23 Oct Wed'!BL228:BL238,'24 Oct Thurs'!BL228:BL238,'25 Oct Fri'!BL228:BL238,'26 Oct Sat'!BL228:BL238)</f>
        <v>0</v>
      </c>
      <c r="AP228" s="386">
        <f>SUM('21 Oct Mon'!BM228:BM238,'22 Oct Tues'!BM228:BM238,'23 Oct Wed'!BM228:BM238,'24 Oct Thurs'!BM228:BM238,'25 Oct Fri'!BM228:BM238,'26 Oct Sat'!BM228:BM238)</f>
        <v>0</v>
      </c>
      <c r="AQ228" s="387">
        <f>SUM('21 Oct Mon'!BN228:BN238,'22 Oct Tues'!BN228:BN238,'23 Oct Wed'!BN228:BN238,'24 Oct Thurs'!BN228:BN238,'25 Oct Fri'!BN228:BN238,'26 Oct Sat'!BN228:BN238)</f>
        <v>0</v>
      </c>
      <c r="AR228" s="379">
        <f>SUM('21 Oct Mon'!BO228:BO238,'22 Oct Tues'!BO228:BO238,'23 Oct Wed'!BO228:BO238,'24 Oct Thurs'!BO228:BO238,'25 Oct Fri'!BO228:BO238,'26 Oct Sat'!BO228:BO238)</f>
        <v>0</v>
      </c>
      <c r="AS228" s="379">
        <f>SUM('21 Oct Mon'!BP228:BP238,'22 Oct Tues'!BP228:BP238,'23 Oct Wed'!BP228:BP238,'24 Oct Thurs'!BP228:BP238,'25 Oct Fri'!BP228:BP238,'26 Oct Sat'!BP228:BP238)</f>
        <v>0</v>
      </c>
      <c r="AT228" s="382">
        <f>SUM('21 Oct Mon'!BR228:BR238,'22 Oct Tues'!BR228:BR238,'23 Oct Wed'!BR228:BR238,'24 Oct Thurs'!BR228:BR238,'25 Oct Fri'!BR228:BR238,'26 Oct Sat'!BR228:BR238)</f>
        <v>0</v>
      </c>
      <c r="AU228" s="384">
        <f>SUM('21 Oct Mon'!BS228:BS238,'22 Oct Tues'!BS228:BS238,'23 Oct Wed'!BS228:BS238,'24 Oct Thurs'!BS228:BS238,'25 Oct Fri'!BS228:BS238,'26 Oct Sat'!BS228:BS238)</f>
        <v>0</v>
      </c>
      <c r="AV228" s="379">
        <f>SUM('21 Oct Mon'!BT228:BT238,'22 Oct Tues'!BT228:BT238,'23 Oct Wed'!BT228:BT238,'24 Oct Thurs'!BT228:BT238,'25 Oct Fri'!BT228:BT238,'26 Oct Sat'!BT228:BT238)</f>
        <v>0</v>
      </c>
      <c r="AW228" s="379">
        <f>SUM('21 Oct Mon'!BU228:BU238,'22 Oct Tues'!BU228:BU238,'23 Oct Wed'!BU228:BU238,'24 Oct Thurs'!BU228:BU238,'25 Oct Fri'!BU228:BU238,'26 Oct Sat'!BU228:BU238)</f>
        <v>0</v>
      </c>
      <c r="AX228" s="382">
        <f>SUM('21 Oct Mon'!BV228:BV238,'22 Oct Tues'!BV228:BV238,'23 Oct Wed'!BV228:BV238,'24 Oct Thurs'!BV228:BV238,'25 Oct Fri'!BV228:BV238,'26 Oct Sat'!BV228:BV238)</f>
        <v>0</v>
      </c>
      <c r="AY228" s="379">
        <f>SUM('21 Oct Mon'!BW228:BW238,'22 Oct Tues'!BW228:BW238,'23 Oct Wed'!BW228:BW238,'24 Oct Thurs'!BW228:BW238,'25 Oct Fri'!BW228:BW238,'26 Oct Sat'!BW228:BW238)</f>
        <v>0</v>
      </c>
      <c r="AZ228" s="385">
        <f>SUM('21 Oct Mon'!BX228:BX238,'22 Oct Tues'!BX228:BX238,'23 Oct Wed'!BX228:BX238,'24 Oct Thurs'!BX228:BX238,'25 Oct Fri'!BX228:BX238,'26 Oct Sat'!BX228:BX238)</f>
        <v>0</v>
      </c>
      <c r="BA228" s="386">
        <f>SUM('21 Oct Mon'!BY228:BY238,'22 Oct Tues'!BY228:BY238,'23 Oct Wed'!BY228:BY238,'24 Oct Thurs'!BY228:BY238,'25 Oct Fri'!BY228:BY238,'26 Oct Sat'!BY228:BY238)</f>
        <v>0</v>
      </c>
      <c r="BB228" s="386">
        <f>SUM('21 Oct Mon'!BZ228:BZ238,'22 Oct Tues'!BZ228:BZ238,'23 Oct Wed'!BZ228:BZ238,'24 Oct Thurs'!BZ228:BZ238,'25 Oct Fri'!BZ228:BZ238,'26 Oct Sat'!BZ228:BZ238)</f>
        <v>0</v>
      </c>
      <c r="BC228" s="386">
        <f>SUM('21 Oct Mon'!CA228:CA238,'22 Oct Tues'!CA228:CA238,'23 Oct Wed'!CA228:CA238,'24 Oct Thurs'!CA228:CA238,'25 Oct Fri'!CA228:CA238,'26 Oct Sat'!CA228:CA238)</f>
        <v>0</v>
      </c>
      <c r="BD228" s="386">
        <f>SUM('21 Oct Mon'!CB228:CB238,'22 Oct Tues'!CB228:CB238,'23 Oct Wed'!CB228:CB238,'24 Oct Thurs'!CB228:CB238,'25 Oct Fri'!CB228:CB238,'26 Oct Sat'!CB228:CB238)</f>
        <v>0</v>
      </c>
      <c r="BE228" s="386">
        <f>SUM('21 Oct Mon'!CC228:CC238,'22 Oct Tues'!CC228:CC238,'23 Oct Wed'!CC228:CC238,'24 Oct Thurs'!CC228:CC238,'25 Oct Fri'!CC228:CC238,'26 Oct Sat'!CC228:CC238)</f>
        <v>0</v>
      </c>
      <c r="BF228" s="386" t="str">
        <f>CONCATENATE("Mon-",'21 Oct Mon'!CD228:CD238,",Tues-",'22 Oct Tues'!CD228:CD238,",Wed-",'23 Oct Wed'!CD228:CD238,",Thurs-",'24 Oct Thurs'!CD228:CD238,",Fri-",'25 Oct Fri'!CD228:CD238,",Sat-",'26 Oct Sat'!CD228:CD238)</f>
        <v>Mon-,Tues-,Wed-,Thurs-,Fri-,Sat-</v>
      </c>
      <c r="BG228" s="388">
        <f>SUM('21 Oct Mon'!CE228:CE238,'22 Oct Tues'!CE228:CE238,'23 Oct Wed'!CE228:CE238,'24 Oct Thurs'!CE228:CE238,'25 Oct Fri'!CE228:CE238,'26 Oct Sat'!CE228:CE238)</f>
        <v>0</v>
      </c>
      <c r="BH228" s="389" t="str">
        <f>CONCATENATE("Mon-",'21 Oct Mon'!CF228:CF238,",Tues-",'22 Oct Tues'!CF228:CF238,",Wed-",'23 Oct Wed'!CF228:CF238,",Thurs-",'24 Oct Thurs'!CF228:CF238,",Fri-",'25 Oct Fri'!CF228:CF238,",Sat-",'26 Oct Sat'!CF228:CF238)</f>
        <v>Mon-,Tues-,Wed-,Thurs-,Fri-,Sat-</v>
      </c>
      <c r="BI228" s="383">
        <f>SUM('21 Oct Mon'!CG228:CG238,'22 Oct Tues'!CG228:CG238,'23 Oct Wed'!CG228:CG238,'24 Oct Thurs'!CG228:CG238,'25 Oct Fri'!CG228:CG238,'26 Oct Sat'!CG228:CG238)</f>
        <v>0</v>
      </c>
      <c r="BJ228" s="382">
        <f>SUM('21 Oct Mon'!CH228:CH238,'22 Oct Tues'!CH228:CH238,'23 Oct Wed'!CH228:CH238,'24 Oct Thurs'!CH228:CH238,'25 Oct Fri'!CH228:CH238,'26 Oct Sat'!CH228:CH238)</f>
        <v>0</v>
      </c>
      <c r="BK228" s="384">
        <f>SUM('21 Oct Mon'!CI228:CI238,'22 Oct Tues'!CI228:CI238,'23 Oct Wed'!CI228:CI238,'24 Oct Thurs'!CI228:CI238,'25 Oct Fri'!CI228:CI238,'26 Oct Sat'!CI228:CI238)</f>
        <v>0</v>
      </c>
      <c r="BL228" s="382" t="str">
        <f>CONCATENATE("Mon-",'21 Oct Mon'!CJ228:CJ238,",Tues-",'22 Oct Tues'!CJ228:CJ238,",Wed-",'23 Oct Wed'!CJ228:CJ238,",Thurs-",'24 Oct Thurs'!CJ228:CJ238,",Fri-",'25 Oct Fri'!CJ228:CJ238,",Sat-",'26 Oct Sat'!CJ228:CJ238)</f>
        <v>Mon-,Tues-,Wed-,Thurs-,Fri-,Sat-</v>
      </c>
      <c r="BM228" s="384">
        <f>SUM('21 Oct Mon'!CK228:CK238,'22 Oct Tues'!CK228:CK238,'23 Oct Wed'!CK228:CK238,'24 Oct Thurs'!CK228:CK238,'25 Oct Fri'!CK228:CK238,'26 Oct Sat'!CK228:CK238)</f>
        <v>0</v>
      </c>
      <c r="BN228" s="382" t="str">
        <f>CONCATENATE("Mon-",'21 Oct Mon'!CL228:CL238,",Tues-",'22 Oct Tues'!CL228:CL238,",Wed-",'23 Oct Wed'!CL228:CL238,",Thurs-",'24 Oct Thurs'!CL228:CL238,",Fri-",'25 Oct Fri'!CL228:CL238,",Sat-",'26 Oct Sat'!CL228:CL238)</f>
        <v>Mon-,Tues-,Wed-,Thurs-,Fri-,Sat-</v>
      </c>
      <c r="BO228" s="384">
        <f>SUM('21 Oct Mon'!CM228:CM238,'22 Oct Tues'!CM228:CM238,'23 Oct Wed'!CM228:CM238,'24 Oct Thurs'!CM228:CM238,'25 Oct Fri'!CM228:CM238,'26 Oct Sat'!CM228:CM238)</f>
        <v>0</v>
      </c>
      <c r="BP228" s="385" t="str">
        <f>CONCATENATE("Mon-",'21 Oct Mon'!CN228:CN238,",Tues-",'22 Oct Tues'!CN228:CN238,",Wed-",'23 Oct Wed'!CN228:CN238,",Thurs-",'24 Oct Thurs'!CN228:CN238,",Fri-",'25 Oct Fri'!CN228:CN238,",Sat-",'26 Oct Sat'!CN228:CN238)</f>
        <v>Mon-,Tues-,Wed-,Thurs-,Fri-,Sat-</v>
      </c>
      <c r="BQ228" s="387">
        <f>SUM('21 Oct Mon'!CO228:CO238,'22 Oct Tues'!CO228:CO238,'23 Oct Wed'!CO228:CO238,'24 Oct Thurs'!CO228:CO238,'25 Oct Fri'!CO228:CO238,'26 Oct Sat'!CO228:CO238)</f>
        <v>0</v>
      </c>
      <c r="BR228" s="379" t="str">
        <f>CONCATENATE("Mon-",'21 Oct Mon'!CP228:CP238,",Tues-",'22 Oct Tues'!CP228:CP238,",Wed-",'23 Oct Wed'!CP228:CP238,",Thurs-",'24 Oct Thurs'!CP228:CP238,",Fri-",'25 Oct Fri'!CP228:CP238,",Sat-",'26 Oct Sat'!CP228:CP238)</f>
        <v>Mon-,Tues-,Wed-,Thurs-,Fri-,Sat-</v>
      </c>
      <c r="BS228" s="390">
        <f>SUM('21 Oct Mon'!CQ228:CQ238,'22 Oct Tues'!CQ228:CQ238,'23 Oct Wed'!CQ228:CQ238,'24 Oct Thurs'!CQ228:CQ238,'25 Oct Fri'!CQ228:CQ238,'26 Oct Sat'!CQ228:CQ238)</f>
        <v>0</v>
      </c>
      <c r="BT228" s="390">
        <f>SUM('21 Oct Mon'!CR228:CR238,'22 Oct Tues'!CR228:CR238,'23 Oct Wed'!CR228:CR238,'24 Oct Thurs'!CR228:CR238,'25 Oct Fri'!CR228:CR238,'26 Oct Sat'!CR228:CR238)</f>
        <v>0</v>
      </c>
      <c r="BU228" s="391">
        <f>SUM('21 Oct Mon'!CS228:CS238,'22 Oct Tues'!CS228:CS238,'23 Oct Wed'!CS228:CS238,'24 Oct Thurs'!CS228:CS238,'25 Oct Fri'!CS228:CS238,'26 Oct Sat'!CS228:CS238)</f>
        <v>0</v>
      </c>
      <c r="BV228" s="392">
        <f>SUM('21 Oct Mon'!CT228:CT238,'22 Oct Tues'!CT228:CT238,'23 Oct Wed'!CT228:CT238,'24 Oct Thurs'!CT228:CT238,'25 Oct Fri'!CT228:CT238,'26 Oct Sat'!CT228:CT238)</f>
        <v>0</v>
      </c>
      <c r="BW228" s="393" t="str">
        <f>LEFT(U228,FIND("(",U228,1)-2)</f>
        <v>0</v>
      </c>
      <c r="BX228" s="394"/>
    </row>
    <row r="229" ht="15.75" hidden="1" customHeight="1">
      <c r="A229" s="65"/>
      <c r="B229" s="65"/>
      <c r="C229" s="416"/>
      <c r="D229" s="430"/>
      <c r="E229" s="431"/>
      <c r="F229" s="431"/>
      <c r="G229" s="431"/>
      <c r="H229" s="429"/>
      <c r="I229" s="431"/>
      <c r="J229" s="397"/>
      <c r="K229" s="398">
        <f t="shared" si="1"/>
        <v>0</v>
      </c>
      <c r="L229" s="173"/>
      <c r="M229" s="173"/>
      <c r="N229" s="177"/>
      <c r="O229" s="178"/>
      <c r="P229" s="178"/>
      <c r="Q229" s="178"/>
      <c r="R229" s="178"/>
      <c r="S229" s="182"/>
      <c r="T229" s="65"/>
      <c r="U229" s="64"/>
      <c r="V229" s="66"/>
      <c r="W229" s="173"/>
      <c r="X229" s="173"/>
      <c r="Y229" s="65"/>
      <c r="Z229" s="65"/>
      <c r="AA229" s="65"/>
      <c r="AB229" s="65"/>
      <c r="AC229" s="173"/>
      <c r="AD229" s="166"/>
      <c r="AE229" s="166"/>
      <c r="AF229" s="166"/>
      <c r="AG229" s="166"/>
      <c r="AH229" s="65"/>
      <c r="AJ229" s="177"/>
      <c r="AK229" s="178"/>
      <c r="AL229" s="181"/>
      <c r="AM229" s="166"/>
      <c r="AN229" s="166"/>
      <c r="AO229" s="177"/>
      <c r="AP229" s="178"/>
      <c r="AQ229" s="181"/>
      <c r="AR229" s="166"/>
      <c r="AS229" s="166"/>
      <c r="AT229" s="177"/>
      <c r="AU229" s="181"/>
      <c r="AV229" s="166"/>
      <c r="AW229" s="166"/>
      <c r="AX229" s="177"/>
      <c r="AY229" s="166"/>
      <c r="AZ229" s="177"/>
      <c r="BA229" s="178"/>
      <c r="BB229" s="178"/>
      <c r="BC229" s="178"/>
      <c r="BD229" s="178"/>
      <c r="BE229" s="178"/>
      <c r="BF229" s="178"/>
      <c r="BG229" s="179"/>
      <c r="BH229" s="180"/>
      <c r="BI229" s="178"/>
      <c r="BJ229" s="177"/>
      <c r="BK229" s="181"/>
      <c r="BL229" s="177"/>
      <c r="BM229" s="181"/>
      <c r="BN229" s="177"/>
      <c r="BO229" s="181"/>
      <c r="BP229" s="177"/>
      <c r="BQ229" s="181"/>
      <c r="BR229" s="166"/>
      <c r="BS229" s="166"/>
      <c r="BT229" s="166"/>
      <c r="BU229" s="65"/>
      <c r="BW229" s="178"/>
      <c r="BX229" s="399"/>
    </row>
    <row r="230" ht="15.75" hidden="1" customHeight="1">
      <c r="A230" s="65"/>
      <c r="B230" s="65"/>
      <c r="C230" s="416"/>
      <c r="D230" s="430"/>
      <c r="E230" s="431"/>
      <c r="F230" s="431"/>
      <c r="G230" s="431"/>
      <c r="H230" s="431"/>
      <c r="I230" s="431"/>
      <c r="J230" s="397"/>
      <c r="K230" s="398">
        <f t="shared" si="1"/>
        <v>0</v>
      </c>
      <c r="L230" s="173"/>
      <c r="M230" s="173"/>
      <c r="N230" s="177"/>
      <c r="O230" s="178"/>
      <c r="P230" s="178"/>
      <c r="Q230" s="178"/>
      <c r="R230" s="178"/>
      <c r="S230" s="182"/>
      <c r="T230" s="65"/>
      <c r="U230" s="64"/>
      <c r="V230" s="66"/>
      <c r="W230" s="173"/>
      <c r="X230" s="173"/>
      <c r="Y230" s="65"/>
      <c r="Z230" s="65"/>
      <c r="AA230" s="65"/>
      <c r="AB230" s="65"/>
      <c r="AC230" s="173"/>
      <c r="AD230" s="166"/>
      <c r="AE230" s="166"/>
      <c r="AF230" s="166"/>
      <c r="AG230" s="166"/>
      <c r="AH230" s="65"/>
      <c r="AJ230" s="177"/>
      <c r="AK230" s="178"/>
      <c r="AL230" s="181"/>
      <c r="AM230" s="166"/>
      <c r="AN230" s="166"/>
      <c r="AO230" s="177"/>
      <c r="AP230" s="178"/>
      <c r="AQ230" s="181"/>
      <c r="AR230" s="166"/>
      <c r="AS230" s="166"/>
      <c r="AT230" s="177"/>
      <c r="AU230" s="181"/>
      <c r="AV230" s="166"/>
      <c r="AW230" s="166"/>
      <c r="AX230" s="177"/>
      <c r="AY230" s="166"/>
      <c r="AZ230" s="177"/>
      <c r="BA230" s="178"/>
      <c r="BB230" s="178"/>
      <c r="BC230" s="178"/>
      <c r="BD230" s="178"/>
      <c r="BE230" s="178"/>
      <c r="BF230" s="178"/>
      <c r="BG230" s="179"/>
      <c r="BH230" s="180"/>
      <c r="BI230" s="178"/>
      <c r="BJ230" s="177"/>
      <c r="BK230" s="181"/>
      <c r="BL230" s="177"/>
      <c r="BM230" s="181"/>
      <c r="BN230" s="177"/>
      <c r="BO230" s="181"/>
      <c r="BP230" s="177"/>
      <c r="BQ230" s="181"/>
      <c r="BR230" s="166"/>
      <c r="BS230" s="166"/>
      <c r="BT230" s="166"/>
      <c r="BU230" s="65"/>
      <c r="BW230" s="178"/>
      <c r="BX230" s="399"/>
    </row>
    <row r="231" ht="15.75" hidden="1" customHeight="1">
      <c r="A231" s="65"/>
      <c r="B231" s="65"/>
      <c r="C231" s="416"/>
      <c r="D231" s="430"/>
      <c r="E231" s="431"/>
      <c r="F231" s="431"/>
      <c r="G231" s="431"/>
      <c r="H231" s="431"/>
      <c r="I231" s="431"/>
      <c r="J231" s="397"/>
      <c r="K231" s="398">
        <f t="shared" si="1"/>
        <v>0</v>
      </c>
      <c r="L231" s="173"/>
      <c r="M231" s="173"/>
      <c r="N231" s="177"/>
      <c r="O231" s="178"/>
      <c r="P231" s="178"/>
      <c r="Q231" s="178"/>
      <c r="R231" s="178"/>
      <c r="S231" s="182"/>
      <c r="T231" s="65"/>
      <c r="U231" s="64"/>
      <c r="V231" s="66"/>
      <c r="W231" s="173"/>
      <c r="X231" s="173"/>
      <c r="Y231" s="65"/>
      <c r="Z231" s="65"/>
      <c r="AA231" s="65"/>
      <c r="AB231" s="65"/>
      <c r="AC231" s="173"/>
      <c r="AD231" s="166"/>
      <c r="AE231" s="166"/>
      <c r="AF231" s="166"/>
      <c r="AG231" s="166"/>
      <c r="AH231" s="65"/>
      <c r="AJ231" s="177"/>
      <c r="AK231" s="178"/>
      <c r="AL231" s="181"/>
      <c r="AM231" s="166"/>
      <c r="AN231" s="166"/>
      <c r="AO231" s="177"/>
      <c r="AP231" s="178"/>
      <c r="AQ231" s="181"/>
      <c r="AR231" s="166"/>
      <c r="AS231" s="166"/>
      <c r="AT231" s="177"/>
      <c r="AU231" s="181"/>
      <c r="AV231" s="166"/>
      <c r="AW231" s="166"/>
      <c r="AX231" s="177"/>
      <c r="AY231" s="166"/>
      <c r="AZ231" s="177"/>
      <c r="BA231" s="178"/>
      <c r="BB231" s="178"/>
      <c r="BC231" s="178"/>
      <c r="BD231" s="178"/>
      <c r="BE231" s="178"/>
      <c r="BF231" s="178"/>
      <c r="BG231" s="179"/>
      <c r="BH231" s="180"/>
      <c r="BI231" s="178"/>
      <c r="BJ231" s="177"/>
      <c r="BK231" s="181"/>
      <c r="BL231" s="177"/>
      <c r="BM231" s="181"/>
      <c r="BN231" s="177"/>
      <c r="BO231" s="181"/>
      <c r="BP231" s="177"/>
      <c r="BQ231" s="181"/>
      <c r="BR231" s="166"/>
      <c r="BS231" s="166"/>
      <c r="BT231" s="166"/>
      <c r="BU231" s="65"/>
      <c r="BW231" s="178"/>
      <c r="BX231" s="399"/>
    </row>
    <row r="232" ht="15.75" hidden="1" customHeight="1">
      <c r="A232" s="65"/>
      <c r="B232" s="65"/>
      <c r="C232" s="416"/>
      <c r="D232" s="430"/>
      <c r="E232" s="431"/>
      <c r="F232" s="431"/>
      <c r="G232" s="431"/>
      <c r="H232" s="431"/>
      <c r="I232" s="431"/>
      <c r="J232" s="397"/>
      <c r="K232" s="398">
        <f t="shared" si="1"/>
        <v>0</v>
      </c>
      <c r="L232" s="173"/>
      <c r="M232" s="173"/>
      <c r="N232" s="177"/>
      <c r="O232" s="178"/>
      <c r="P232" s="178"/>
      <c r="Q232" s="178"/>
      <c r="R232" s="178"/>
      <c r="S232" s="182"/>
      <c r="T232" s="65"/>
      <c r="U232" s="64"/>
      <c r="V232" s="66"/>
      <c r="W232" s="173"/>
      <c r="X232" s="173"/>
      <c r="Y232" s="65"/>
      <c r="Z232" s="65"/>
      <c r="AA232" s="65"/>
      <c r="AB232" s="65"/>
      <c r="AC232" s="173"/>
      <c r="AD232" s="166"/>
      <c r="AE232" s="166"/>
      <c r="AF232" s="166"/>
      <c r="AG232" s="166"/>
      <c r="AH232" s="65"/>
      <c r="AJ232" s="177"/>
      <c r="AK232" s="178"/>
      <c r="AL232" s="181"/>
      <c r="AM232" s="166"/>
      <c r="AN232" s="166"/>
      <c r="AO232" s="177"/>
      <c r="AP232" s="178"/>
      <c r="AQ232" s="181"/>
      <c r="AR232" s="166"/>
      <c r="AS232" s="166"/>
      <c r="AT232" s="177"/>
      <c r="AU232" s="181"/>
      <c r="AV232" s="166"/>
      <c r="AW232" s="166"/>
      <c r="AX232" s="177"/>
      <c r="AY232" s="166"/>
      <c r="AZ232" s="177"/>
      <c r="BA232" s="178"/>
      <c r="BB232" s="178"/>
      <c r="BC232" s="178"/>
      <c r="BD232" s="178"/>
      <c r="BE232" s="178"/>
      <c r="BF232" s="178"/>
      <c r="BG232" s="179"/>
      <c r="BH232" s="180"/>
      <c r="BI232" s="178"/>
      <c r="BJ232" s="177"/>
      <c r="BK232" s="181"/>
      <c r="BL232" s="177"/>
      <c r="BM232" s="181"/>
      <c r="BN232" s="177"/>
      <c r="BO232" s="181"/>
      <c r="BP232" s="177"/>
      <c r="BQ232" s="181"/>
      <c r="BR232" s="166"/>
      <c r="BS232" s="166"/>
      <c r="BT232" s="166"/>
      <c r="BU232" s="65"/>
      <c r="BW232" s="178"/>
      <c r="BX232" s="399"/>
    </row>
    <row r="233" ht="15.75" hidden="1" customHeight="1">
      <c r="A233" s="65"/>
      <c r="B233" s="65"/>
      <c r="C233" s="416"/>
      <c r="D233" s="430"/>
      <c r="E233" s="431"/>
      <c r="F233" s="431"/>
      <c r="G233" s="431"/>
      <c r="H233" s="431"/>
      <c r="I233" s="431"/>
      <c r="J233" s="397"/>
      <c r="K233" s="398">
        <f t="shared" si="1"/>
        <v>0</v>
      </c>
      <c r="L233" s="173"/>
      <c r="M233" s="173"/>
      <c r="N233" s="177"/>
      <c r="O233" s="178"/>
      <c r="P233" s="178"/>
      <c r="Q233" s="178"/>
      <c r="R233" s="178"/>
      <c r="S233" s="182"/>
      <c r="T233" s="65"/>
      <c r="U233" s="64"/>
      <c r="V233" s="66"/>
      <c r="W233" s="173"/>
      <c r="X233" s="173"/>
      <c r="Y233" s="65"/>
      <c r="Z233" s="65"/>
      <c r="AA233" s="65"/>
      <c r="AB233" s="65"/>
      <c r="AC233" s="173"/>
      <c r="AD233" s="166"/>
      <c r="AE233" s="166"/>
      <c r="AF233" s="166"/>
      <c r="AG233" s="166"/>
      <c r="AH233" s="65"/>
      <c r="AJ233" s="177"/>
      <c r="AK233" s="178"/>
      <c r="AL233" s="181"/>
      <c r="AM233" s="166"/>
      <c r="AN233" s="166"/>
      <c r="AO233" s="177"/>
      <c r="AP233" s="178"/>
      <c r="AQ233" s="181"/>
      <c r="AR233" s="166"/>
      <c r="AS233" s="166"/>
      <c r="AT233" s="177"/>
      <c r="AU233" s="181"/>
      <c r="AV233" s="166"/>
      <c r="AW233" s="166"/>
      <c r="AX233" s="177"/>
      <c r="AY233" s="166"/>
      <c r="AZ233" s="177"/>
      <c r="BA233" s="178"/>
      <c r="BB233" s="178"/>
      <c r="BC233" s="178"/>
      <c r="BD233" s="178"/>
      <c r="BE233" s="178"/>
      <c r="BF233" s="178"/>
      <c r="BG233" s="179"/>
      <c r="BH233" s="180"/>
      <c r="BI233" s="178"/>
      <c r="BJ233" s="177"/>
      <c r="BK233" s="181"/>
      <c r="BL233" s="177"/>
      <c r="BM233" s="181"/>
      <c r="BN233" s="177"/>
      <c r="BO233" s="181"/>
      <c r="BP233" s="177"/>
      <c r="BQ233" s="181"/>
      <c r="BR233" s="166"/>
      <c r="BS233" s="166"/>
      <c r="BT233" s="166"/>
      <c r="BU233" s="65"/>
      <c r="BW233" s="178"/>
      <c r="BX233" s="399"/>
    </row>
    <row r="234" ht="15.75" hidden="1" customHeight="1">
      <c r="A234" s="65"/>
      <c r="B234" s="65"/>
      <c r="C234" s="416"/>
      <c r="D234" s="430"/>
      <c r="E234" s="431"/>
      <c r="F234" s="431"/>
      <c r="G234" s="431"/>
      <c r="H234" s="431"/>
      <c r="I234" s="431"/>
      <c r="J234" s="397"/>
      <c r="K234" s="398">
        <f t="shared" si="1"/>
        <v>0</v>
      </c>
      <c r="L234" s="173"/>
      <c r="M234" s="173"/>
      <c r="N234" s="177"/>
      <c r="O234" s="178"/>
      <c r="P234" s="178"/>
      <c r="Q234" s="178"/>
      <c r="R234" s="178"/>
      <c r="S234" s="182"/>
      <c r="T234" s="65"/>
      <c r="U234" s="64"/>
      <c r="V234" s="66"/>
      <c r="W234" s="173"/>
      <c r="X234" s="173"/>
      <c r="Y234" s="65"/>
      <c r="Z234" s="65"/>
      <c r="AA234" s="65"/>
      <c r="AB234" s="65"/>
      <c r="AC234" s="173"/>
      <c r="AD234" s="166"/>
      <c r="AE234" s="166"/>
      <c r="AF234" s="166"/>
      <c r="AG234" s="166"/>
      <c r="AH234" s="65"/>
      <c r="AJ234" s="177"/>
      <c r="AK234" s="178"/>
      <c r="AL234" s="181"/>
      <c r="AM234" s="166"/>
      <c r="AN234" s="166"/>
      <c r="AO234" s="177"/>
      <c r="AP234" s="178"/>
      <c r="AQ234" s="181"/>
      <c r="AR234" s="166"/>
      <c r="AS234" s="166"/>
      <c r="AT234" s="177"/>
      <c r="AU234" s="181"/>
      <c r="AV234" s="166"/>
      <c r="AW234" s="166"/>
      <c r="AX234" s="177"/>
      <c r="AY234" s="166"/>
      <c r="AZ234" s="177"/>
      <c r="BA234" s="178"/>
      <c r="BB234" s="178"/>
      <c r="BC234" s="178"/>
      <c r="BD234" s="178"/>
      <c r="BE234" s="178"/>
      <c r="BF234" s="178"/>
      <c r="BG234" s="179"/>
      <c r="BH234" s="180"/>
      <c r="BI234" s="178"/>
      <c r="BJ234" s="177"/>
      <c r="BK234" s="181"/>
      <c r="BL234" s="177"/>
      <c r="BM234" s="181"/>
      <c r="BN234" s="177"/>
      <c r="BO234" s="181"/>
      <c r="BP234" s="177"/>
      <c r="BQ234" s="181"/>
      <c r="BR234" s="166"/>
      <c r="BS234" s="166"/>
      <c r="BT234" s="166"/>
      <c r="BU234" s="65"/>
      <c r="BW234" s="178"/>
      <c r="BX234" s="399"/>
    </row>
    <row r="235" ht="15.75" hidden="1" customHeight="1">
      <c r="A235" s="65"/>
      <c r="B235" s="65"/>
      <c r="C235" s="416"/>
      <c r="D235" s="430"/>
      <c r="E235" s="431"/>
      <c r="F235" s="431"/>
      <c r="G235" s="431"/>
      <c r="H235" s="431"/>
      <c r="I235" s="431"/>
      <c r="J235" s="397"/>
      <c r="K235" s="398">
        <f t="shared" si="1"/>
        <v>0</v>
      </c>
      <c r="L235" s="173"/>
      <c r="M235" s="173"/>
      <c r="N235" s="177"/>
      <c r="O235" s="178"/>
      <c r="P235" s="178"/>
      <c r="Q235" s="178"/>
      <c r="R235" s="178"/>
      <c r="S235" s="182"/>
      <c r="T235" s="65"/>
      <c r="U235" s="64"/>
      <c r="V235" s="66"/>
      <c r="W235" s="173"/>
      <c r="X235" s="173"/>
      <c r="Y235" s="65"/>
      <c r="Z235" s="65"/>
      <c r="AA235" s="65"/>
      <c r="AB235" s="65"/>
      <c r="AC235" s="173"/>
      <c r="AD235" s="166"/>
      <c r="AE235" s="166"/>
      <c r="AF235" s="166"/>
      <c r="AG235" s="166"/>
      <c r="AH235" s="65"/>
      <c r="AJ235" s="177"/>
      <c r="AK235" s="178"/>
      <c r="AL235" s="181"/>
      <c r="AM235" s="166"/>
      <c r="AN235" s="166"/>
      <c r="AO235" s="177"/>
      <c r="AP235" s="178"/>
      <c r="AQ235" s="181"/>
      <c r="AR235" s="166"/>
      <c r="AS235" s="166"/>
      <c r="AT235" s="177"/>
      <c r="AU235" s="181"/>
      <c r="AV235" s="166"/>
      <c r="AW235" s="166"/>
      <c r="AX235" s="177"/>
      <c r="AY235" s="166"/>
      <c r="AZ235" s="177"/>
      <c r="BA235" s="178"/>
      <c r="BB235" s="178"/>
      <c r="BC235" s="178"/>
      <c r="BD235" s="178"/>
      <c r="BE235" s="178"/>
      <c r="BF235" s="178"/>
      <c r="BG235" s="179"/>
      <c r="BH235" s="180"/>
      <c r="BI235" s="178"/>
      <c r="BJ235" s="177"/>
      <c r="BK235" s="181"/>
      <c r="BL235" s="177"/>
      <c r="BM235" s="181"/>
      <c r="BN235" s="177"/>
      <c r="BO235" s="181"/>
      <c r="BP235" s="177"/>
      <c r="BQ235" s="181"/>
      <c r="BR235" s="166"/>
      <c r="BS235" s="166"/>
      <c r="BT235" s="166"/>
      <c r="BU235" s="65"/>
      <c r="BW235" s="178"/>
      <c r="BX235" s="399"/>
    </row>
    <row r="236" ht="15.75" hidden="1" customHeight="1">
      <c r="A236" s="65"/>
      <c r="B236" s="65"/>
      <c r="C236" s="416"/>
      <c r="D236" s="430"/>
      <c r="E236" s="431"/>
      <c r="F236" s="431"/>
      <c r="G236" s="431"/>
      <c r="H236" s="431"/>
      <c r="I236" s="431"/>
      <c r="J236" s="397"/>
      <c r="K236" s="398">
        <f t="shared" si="1"/>
        <v>0</v>
      </c>
      <c r="L236" s="173"/>
      <c r="M236" s="173"/>
      <c r="N236" s="177"/>
      <c r="O236" s="178"/>
      <c r="P236" s="178"/>
      <c r="Q236" s="178"/>
      <c r="R236" s="178"/>
      <c r="S236" s="182"/>
      <c r="T236" s="65"/>
      <c r="U236" s="64"/>
      <c r="V236" s="66"/>
      <c r="W236" s="173"/>
      <c r="X236" s="173"/>
      <c r="Y236" s="65"/>
      <c r="Z236" s="65"/>
      <c r="AA236" s="65"/>
      <c r="AB236" s="65"/>
      <c r="AC236" s="173"/>
      <c r="AD236" s="166"/>
      <c r="AE236" s="166"/>
      <c r="AF236" s="166"/>
      <c r="AG236" s="166"/>
      <c r="AH236" s="65"/>
      <c r="AJ236" s="177"/>
      <c r="AK236" s="178"/>
      <c r="AL236" s="181"/>
      <c r="AM236" s="166"/>
      <c r="AN236" s="166"/>
      <c r="AO236" s="177"/>
      <c r="AP236" s="178"/>
      <c r="AQ236" s="181"/>
      <c r="AR236" s="166"/>
      <c r="AS236" s="166"/>
      <c r="AT236" s="177"/>
      <c r="AU236" s="181"/>
      <c r="AV236" s="166"/>
      <c r="AW236" s="166"/>
      <c r="AX236" s="177"/>
      <c r="AY236" s="166"/>
      <c r="AZ236" s="177"/>
      <c r="BA236" s="178"/>
      <c r="BB236" s="178"/>
      <c r="BC236" s="178"/>
      <c r="BD236" s="178"/>
      <c r="BE236" s="178"/>
      <c r="BF236" s="178"/>
      <c r="BG236" s="179"/>
      <c r="BH236" s="180"/>
      <c r="BI236" s="178"/>
      <c r="BJ236" s="177"/>
      <c r="BK236" s="181"/>
      <c r="BL236" s="177"/>
      <c r="BM236" s="181"/>
      <c r="BN236" s="177"/>
      <c r="BO236" s="181"/>
      <c r="BP236" s="177"/>
      <c r="BQ236" s="181"/>
      <c r="BR236" s="166"/>
      <c r="BS236" s="166"/>
      <c r="BT236" s="166"/>
      <c r="BU236" s="65"/>
      <c r="BW236" s="178"/>
      <c r="BX236" s="399"/>
    </row>
    <row r="237" ht="15.75" hidden="1" customHeight="1">
      <c r="A237" s="65"/>
      <c r="B237" s="65"/>
      <c r="C237" s="416"/>
      <c r="D237" s="430"/>
      <c r="E237" s="431"/>
      <c r="F237" s="431"/>
      <c r="G237" s="431"/>
      <c r="H237" s="431"/>
      <c r="I237" s="431"/>
      <c r="J237" s="397"/>
      <c r="K237" s="398">
        <f t="shared" si="1"/>
        <v>0</v>
      </c>
      <c r="L237" s="173"/>
      <c r="M237" s="173"/>
      <c r="N237" s="177"/>
      <c r="O237" s="178"/>
      <c r="P237" s="178"/>
      <c r="Q237" s="178"/>
      <c r="R237" s="178"/>
      <c r="S237" s="182"/>
      <c r="T237" s="65"/>
      <c r="U237" s="64"/>
      <c r="V237" s="66"/>
      <c r="W237" s="173"/>
      <c r="X237" s="173"/>
      <c r="Y237" s="65"/>
      <c r="Z237" s="65"/>
      <c r="AA237" s="65"/>
      <c r="AB237" s="65"/>
      <c r="AC237" s="173"/>
      <c r="AD237" s="166"/>
      <c r="AE237" s="166"/>
      <c r="AF237" s="166"/>
      <c r="AG237" s="166"/>
      <c r="AH237" s="65"/>
      <c r="AJ237" s="177"/>
      <c r="AK237" s="178"/>
      <c r="AL237" s="181"/>
      <c r="AM237" s="166"/>
      <c r="AN237" s="166"/>
      <c r="AO237" s="177"/>
      <c r="AP237" s="178"/>
      <c r="AQ237" s="181"/>
      <c r="AR237" s="166"/>
      <c r="AS237" s="166"/>
      <c r="AT237" s="177"/>
      <c r="AU237" s="181"/>
      <c r="AV237" s="166"/>
      <c r="AW237" s="166"/>
      <c r="AX237" s="177"/>
      <c r="AY237" s="166"/>
      <c r="AZ237" s="177"/>
      <c r="BA237" s="178"/>
      <c r="BB237" s="178"/>
      <c r="BC237" s="178"/>
      <c r="BD237" s="178"/>
      <c r="BE237" s="178"/>
      <c r="BF237" s="178"/>
      <c r="BG237" s="179"/>
      <c r="BH237" s="180"/>
      <c r="BI237" s="178"/>
      <c r="BJ237" s="177"/>
      <c r="BK237" s="181"/>
      <c r="BL237" s="177"/>
      <c r="BM237" s="181"/>
      <c r="BN237" s="177"/>
      <c r="BO237" s="181"/>
      <c r="BP237" s="177"/>
      <c r="BQ237" s="181"/>
      <c r="BR237" s="166"/>
      <c r="BS237" s="166"/>
      <c r="BT237" s="166"/>
      <c r="BU237" s="65"/>
      <c r="BW237" s="178"/>
      <c r="BX237" s="399"/>
    </row>
    <row r="238" ht="15.75" hidden="1" customHeight="1">
      <c r="A238" s="89"/>
      <c r="B238" s="89"/>
      <c r="C238" s="417"/>
      <c r="D238" s="432"/>
      <c r="E238" s="433"/>
      <c r="F238" s="433"/>
      <c r="G238" s="433"/>
      <c r="H238" s="433"/>
      <c r="I238" s="433"/>
      <c r="J238" s="402"/>
      <c r="K238" s="403">
        <f t="shared" si="1"/>
        <v>0</v>
      </c>
      <c r="L238" s="69"/>
      <c r="M238" s="69"/>
      <c r="N238" s="192"/>
      <c r="O238" s="193"/>
      <c r="P238" s="193"/>
      <c r="Q238" s="193"/>
      <c r="R238" s="193"/>
      <c r="S238" s="197"/>
      <c r="T238" s="89"/>
      <c r="U238" s="103"/>
      <c r="V238" s="68"/>
      <c r="W238" s="69"/>
      <c r="X238" s="69"/>
      <c r="Y238" s="89"/>
      <c r="Z238" s="89"/>
      <c r="AA238" s="89"/>
      <c r="AB238" s="89"/>
      <c r="AC238" s="69"/>
      <c r="AD238" s="63"/>
      <c r="AE238" s="63"/>
      <c r="AF238" s="63"/>
      <c r="AG238" s="63"/>
      <c r="AH238" s="89"/>
      <c r="AI238" s="6"/>
      <c r="AJ238" s="192"/>
      <c r="AK238" s="193"/>
      <c r="AL238" s="196"/>
      <c r="AM238" s="63"/>
      <c r="AN238" s="63"/>
      <c r="AO238" s="192"/>
      <c r="AP238" s="193"/>
      <c r="AQ238" s="196"/>
      <c r="AR238" s="63"/>
      <c r="AS238" s="63"/>
      <c r="AT238" s="192"/>
      <c r="AU238" s="196"/>
      <c r="AV238" s="63"/>
      <c r="AW238" s="63"/>
      <c r="AX238" s="192"/>
      <c r="AY238" s="63"/>
      <c r="AZ238" s="192"/>
      <c r="BA238" s="193"/>
      <c r="BB238" s="193"/>
      <c r="BC238" s="193"/>
      <c r="BD238" s="193"/>
      <c r="BE238" s="193"/>
      <c r="BF238" s="193"/>
      <c r="BG238" s="194"/>
      <c r="BH238" s="195"/>
      <c r="BI238" s="193"/>
      <c r="BJ238" s="192"/>
      <c r="BK238" s="196"/>
      <c r="BL238" s="192"/>
      <c r="BM238" s="196"/>
      <c r="BN238" s="192"/>
      <c r="BO238" s="196"/>
      <c r="BP238" s="192"/>
      <c r="BQ238" s="196"/>
      <c r="BR238" s="63"/>
      <c r="BS238" s="63"/>
      <c r="BT238" s="63"/>
      <c r="BU238" s="89"/>
      <c r="BV238" s="6"/>
      <c r="BW238" s="198"/>
      <c r="BX238" s="404"/>
    </row>
    <row r="239" ht="61.5" hidden="1" customHeight="1">
      <c r="A239" s="125">
        <v>22.0</v>
      </c>
      <c r="B239" s="274"/>
      <c r="C239" s="427"/>
      <c r="D239" s="428"/>
      <c r="E239" s="429"/>
      <c r="F239" s="429"/>
      <c r="G239" s="429"/>
      <c r="H239" s="429"/>
      <c r="I239" s="429"/>
      <c r="J239" s="366"/>
      <c r="K239" s="367">
        <f t="shared" si="1"/>
        <v>0</v>
      </c>
      <c r="L239" s="368">
        <f>SUM(I239:I249)+SUM(K239:K249)*1</f>
        <v>0</v>
      </c>
      <c r="M239" s="368">
        <f>SUM('21 Oct Mon'!Q239:Q249,'22 Oct Tues'!Q239:Q249,'23 Oct Wed'!Q239:Q249,'24 Oct Thurs'!Q239:Q249,'25 Oct Fri'!Q239:Q249,'26 Oct Sat'!Q239:Q249)</f>
        <v>0</v>
      </c>
      <c r="N239" s="369">
        <f>SUM('21 Oct Mon'!R239:R249,'22 Oct Tues'!R239:R249,'23 Oct Wed'!R239:R249,'24 Oct Thurs'!R239:R249,'25 Oct Fri'!R239:R249,'26 Oct Sat'!R239:R249)</f>
        <v>0</v>
      </c>
      <c r="O239" s="370">
        <f>SUM(L239:N249)</f>
        <v>0</v>
      </c>
      <c r="P239" s="370">
        <f>SUM('21 Oct Mon'!T239:T249,'22 Oct Tues'!T239:T249,'23 Oct Wed'!T239:T249,'24 Oct Thurs'!T239:T249,'25 Oct Fri'!T239:T249,'26 Oct Sat'!T239:T249)</f>
        <v>0</v>
      </c>
      <c r="Q239" s="370">
        <f>SUM('21 Oct Mon'!U239:U249,'22 Oct Tues'!U239:U249,'23 Oct Wed'!U239:U249,'24 Oct Thurs'!U239:U249,'25 Oct Fri'!U239:U249,'26 Oct Sat'!U239:U249)</f>
        <v>0</v>
      </c>
      <c r="R239" s="370">
        <f>SUM('21 Oct Mon'!V239:V249,'22 Oct Tues'!V239:V249,'23 Oct Wed'!V239:V249,'24 Oct Thurs'!V239:V249,'25 Oct Fri'!V239:V249,'26 Oct Sat'!V239:V249)</f>
        <v>0</v>
      </c>
      <c r="S239" s="371">
        <f>SUM('21 Oct Mon'!W239:W249,'22 Oct Tues'!W239:W249,'23 Oct Wed'!W239:W249,'24 Oct Thurs'!W239:W249,'25 Oct Fri'!W239:W249,'26 Oct Sat'!W239:W249)</f>
        <v>0</v>
      </c>
      <c r="T239" s="372">
        <f>O239-P239-Q239-R239-S239</f>
        <v>0</v>
      </c>
      <c r="U239" s="373" t="str">
        <f>CONCATENATE(SUM('21 Oct Mon'!O239:O249,'22 Oct Tues'!O239:O249,'23 Oct Wed'!O239:O249,'24 Oct Thurs'!O239:O249,'25 Oct Fri'!O239:O249,'26 Oct Sat'!O239:O249),"
(",(SUM('21 Oct Mon'!O239:O249,'22 Oct Tues'!O239:O249,'23 Oct Wed'!O239:O249,'24 Oct Thurs'!O239:O249,'25 Oct Fri'!O239:O249,'26 Oct Sat'!O239:O249)-T239),")")</f>
        <v>0
(0)</v>
      </c>
      <c r="V239" s="374" t="str">
        <f>CONCATENATE("Mon-",'21 Oct Mon'!Z239:Z249,",Tues-",'22 Oct Tues'!Z239:Z249,",Wed-",'23 Oct Wed'!Z239:Z249,",Thurs-",'24 Oct Thurs'!Z239:Z249,",Fri-",'25 Oct Fri'!Z239:Z249,",Sat-",'26 Oct Sat'!Z239:Z249)</f>
        <v>Mon-,Tues-,Wed-,Thurs-,Fri-,Sat-</v>
      </c>
      <c r="W239" s="375">
        <f>SUM('21 Oct Mon'!AI239:AI249,'22 Oct Tues'!AI239:AI249,'23 Oct Wed'!AI239:AI249,'24 Oct Thurs'!AI239:AI249,'25 Oct Fri'!AI239:AI249,'26 Oct Sat'!AI239:AI249)</f>
        <v>0</v>
      </c>
      <c r="X239" s="375">
        <f>SUM('21 Oct Mon'!AM239:AM249,'22 Oct Tues'!AM239:AM249,'23 Oct Wed'!AM239:AM249,'24 Oct Thurs'!AM239:AM249,'25 Oct Fri'!AM239:AM249,'26 Oct Sat'!AM239:AM249)</f>
        <v>0</v>
      </c>
      <c r="Y239" s="376">
        <f>SUM('21 Oct Mon'!AP239:AP249,'22 Oct Tues'!AP239:AP249,'23 Oct Wed'!AP239:AP249,'24 Oct Thurs'!AP239:AP249,'25 Oct Fri'!AP239:AP249,'26 Oct Sat'!AP239:AP249)</f>
        <v>0</v>
      </c>
      <c r="Z239" s="376">
        <f>SUM('21 Oct Mon'!AQ239:AQ249,'22 Oct Tues'!AQ239:AQ249,'23 Oct Wed'!AQ239:AQ249,'24 Oct Thurs'!AQ239:AQ249,'25 Oct Fri'!AQ239:AQ249,'26 Oct Sat'!AQ239:AQ249)</f>
        <v>0</v>
      </c>
      <c r="AA239" s="377">
        <f>SUM('21 Oct Mon'!AR239:AR249,'22 Oct Tues'!AR239:AR249,'23 Oct Wed'!AR239:AR249,'24 Oct Thurs'!AR239:AR249,'25 Oct Fri'!AR239:AR249,'26 Oct Sat'!AR239:AR249)</f>
        <v>0</v>
      </c>
      <c r="AB239" s="377">
        <f>SUM('21 Oct Mon'!AS239:AS249,'22 Oct Tues'!AS239:AS249,'23 Oct Wed'!AS239:AS249,'24 Oct Thurs'!AS239:AS249,'25 Oct Fri'!AS239:AS249,'26 Oct Sat'!AS239:AS249)</f>
        <v>0</v>
      </c>
      <c r="AC239" s="378">
        <f>SUM('21 Oct Mon'!AT239:AT249,'22 Oct Tues'!AT239:AT249,'23 Oct Wed'!AT239:AT249,'24 Oct Thurs'!AT239:AT249,'25 Oct Fri'!AT239:AT249,'26 Oct Sat'!AT239:AT249)</f>
        <v>0</v>
      </c>
      <c r="AD239" s="379">
        <f>SUM('21 Oct Mon'!AU239:AU249,'22 Oct Tues'!AU239:AU249,'23 Oct Wed'!AU239:AU249,'24 Oct Thurs'!AU239:AU249,'25 Oct Fri'!AU239:AU249,'26 Oct Sat'!AU239:AU249)</f>
        <v>0</v>
      </c>
      <c r="AE239" s="379">
        <f>SUM('21 Oct Mon'!AV239:AV249,'22 Oct Tues'!AV239:AV249,'23 Oct Wed'!AV239:AV249,'24 Oct Thurs'!AV239:AV249,'25 Oct Fri'!AV239:AV249,'26 Oct Sat'!AV239:AV249)</f>
        <v>0</v>
      </c>
      <c r="AF239" s="379">
        <f>SUM('21 Oct Mon'!AW239:AW249,'22 Oct Tues'!AW239:AW249,'23 Oct Wed'!AW239:AW249,'24 Oct Thurs'!AW239:AW249,'25 Oct Fri'!AW239:AW249,'26 Oct Sat'!AW239:AW249)</f>
        <v>0</v>
      </c>
      <c r="AG239" s="379">
        <f>SUM('21 Oct Mon'!AX239:AX249,'22 Oct Tues'!AX239:AX249,'23 Oct Wed'!AX239:AX249,'24 Oct Thurs'!AX239:AX249,'25 Oct Fri'!AX239:AX249,'26 Oct Sat'!AX239:AX249)</f>
        <v>0</v>
      </c>
      <c r="AH239" s="380">
        <f>SUM('21 Oct Mon'!AY239:AY249,'22 Oct Tues'!AY239:AY249,'23 Oct Wed'!AY239:AY249,'24 Oct Thurs'!AY239:AY249,'25 Oct Fri'!AY239:AY249,'26 Oct Sat'!AY239:AY249)</f>
        <v>0</v>
      </c>
      <c r="AI239" s="381">
        <f>SUM('21 Oct Mon'!AZ239:AZ249,'22 Oct Tues'!AZ239:AZ249,'23 Oct Wed'!AZ239:AZ249,'24 Oct Thurs'!AZ239:AZ249,'25 Oct Fri'!AZ239:AZ249,'26 Oct Sat'!AZ239:AZ249)</f>
        <v>0</v>
      </c>
      <c r="AJ239" s="382">
        <f>SUM('21 Oct Mon'!BG239:BG249,'22 Oct Tues'!BG239:BG249,'23 Oct Wed'!BG239:BG249,'24 Oct Thurs'!BG239:BG249,'25 Oct Fri'!BG239:BG249,'26 Oct Sat'!BG239:BG249)</f>
        <v>0</v>
      </c>
      <c r="AK239" s="383">
        <f>SUM('21 Oct Mon'!BH239:BH249,'22 Oct Tues'!BH239:BH249,'23 Oct Wed'!BH239:BH249,'24 Oct Thurs'!BH239:BH249,'25 Oct Fri'!BH239:BH249,'26 Oct Sat'!BH239:BH249)</f>
        <v>0</v>
      </c>
      <c r="AL239" s="384">
        <f>SUM('21 Oct Mon'!BI239:BI249,'22 Oct Tues'!BI239:BI249,'23 Oct Wed'!BI239:BI249,'24 Oct Thurs'!BI239:BI249,'25 Oct Fri'!BI239:BI249,'26 Oct Sat'!BI239:BI249)</f>
        <v>0</v>
      </c>
      <c r="AM239" s="379">
        <f>SUM('21 Oct Mon'!BJ239:BJ249,'22 Oct Tues'!BJ239:BJ249,'23 Oct Wed'!BJ239:BJ249,'24 Oct Thurs'!BJ239:BJ249,'25 Oct Fri'!BJ239:BJ249,'26 Oct Sat'!BJ239:BJ249)</f>
        <v>0</v>
      </c>
      <c r="AN239" s="379">
        <f>SUM('21 Oct Mon'!BK239:BK249,'22 Oct Tues'!BK239:BK249,'23 Oct Wed'!BK239:BK249,'24 Oct Thurs'!BK239:BK249,'25 Oct Fri'!BK239:BK249,'26 Oct Sat'!BK239:BK249)</f>
        <v>0</v>
      </c>
      <c r="AO239" s="385">
        <f>SUM('21 Oct Mon'!BL239:BL249,'22 Oct Tues'!BL239:BL249,'23 Oct Wed'!BL239:BL249,'24 Oct Thurs'!BL239:BL249,'25 Oct Fri'!BL239:BL249,'26 Oct Sat'!BL239:BL249)</f>
        <v>0</v>
      </c>
      <c r="AP239" s="386">
        <f>SUM('21 Oct Mon'!BM239:BM249,'22 Oct Tues'!BM239:BM249,'23 Oct Wed'!BM239:BM249,'24 Oct Thurs'!BM239:BM249,'25 Oct Fri'!BM239:BM249,'26 Oct Sat'!BM239:BM249)</f>
        <v>0</v>
      </c>
      <c r="AQ239" s="387">
        <f>SUM('21 Oct Mon'!BN239:BN249,'22 Oct Tues'!BN239:BN249,'23 Oct Wed'!BN239:BN249,'24 Oct Thurs'!BN239:BN249,'25 Oct Fri'!BN239:BN249,'26 Oct Sat'!BN239:BN249)</f>
        <v>0</v>
      </c>
      <c r="AR239" s="379">
        <f>SUM('21 Oct Mon'!BO239:BO249,'22 Oct Tues'!BO239:BO249,'23 Oct Wed'!BO239:BO249,'24 Oct Thurs'!BO239:BO249,'25 Oct Fri'!BO239:BO249,'26 Oct Sat'!BO239:BO249)</f>
        <v>0</v>
      </c>
      <c r="AS239" s="379">
        <f>SUM('21 Oct Mon'!BP239:BP249,'22 Oct Tues'!BP239:BP249,'23 Oct Wed'!BP239:BP249,'24 Oct Thurs'!BP239:BP249,'25 Oct Fri'!BP239:BP249,'26 Oct Sat'!BP239:BP249)</f>
        <v>0</v>
      </c>
      <c r="AT239" s="382">
        <f>SUM('21 Oct Mon'!BR239:BR249,'22 Oct Tues'!BR239:BR249,'23 Oct Wed'!BR239:BR249,'24 Oct Thurs'!BR239:BR249,'25 Oct Fri'!BR239:BR249,'26 Oct Sat'!BR239:BR249)</f>
        <v>0</v>
      </c>
      <c r="AU239" s="384">
        <f>SUM('21 Oct Mon'!BS239:BS249,'22 Oct Tues'!BS239:BS249,'23 Oct Wed'!BS239:BS249,'24 Oct Thurs'!BS239:BS249,'25 Oct Fri'!BS239:BS249,'26 Oct Sat'!BS239:BS249)</f>
        <v>0</v>
      </c>
      <c r="AV239" s="379">
        <f>SUM('21 Oct Mon'!BT239:BT249,'22 Oct Tues'!BT239:BT249,'23 Oct Wed'!BT239:BT249,'24 Oct Thurs'!BT239:BT249,'25 Oct Fri'!BT239:BT249,'26 Oct Sat'!BT239:BT249)</f>
        <v>0</v>
      </c>
      <c r="AW239" s="379">
        <f>SUM('21 Oct Mon'!BU239:BU249,'22 Oct Tues'!BU239:BU249,'23 Oct Wed'!BU239:BU249,'24 Oct Thurs'!BU239:BU249,'25 Oct Fri'!BU239:BU249,'26 Oct Sat'!BU239:BU249)</f>
        <v>0</v>
      </c>
      <c r="AX239" s="382">
        <f>SUM('21 Oct Mon'!BV239:BV249,'22 Oct Tues'!BV239:BV249,'23 Oct Wed'!BV239:BV249,'24 Oct Thurs'!BV239:BV249,'25 Oct Fri'!BV239:BV249,'26 Oct Sat'!BV239:BV249)</f>
        <v>0</v>
      </c>
      <c r="AY239" s="379">
        <f>SUM('21 Oct Mon'!BW239:BW249,'22 Oct Tues'!BW239:BW249,'23 Oct Wed'!BW239:BW249,'24 Oct Thurs'!BW239:BW249,'25 Oct Fri'!BW239:BW249,'26 Oct Sat'!BW239:BW249)</f>
        <v>0</v>
      </c>
      <c r="AZ239" s="385">
        <f>SUM('21 Oct Mon'!BX239:BX249,'22 Oct Tues'!BX239:BX249,'23 Oct Wed'!BX239:BX249,'24 Oct Thurs'!BX239:BX249,'25 Oct Fri'!BX239:BX249,'26 Oct Sat'!BX239:BX249)</f>
        <v>0</v>
      </c>
      <c r="BA239" s="386">
        <f>SUM('21 Oct Mon'!BY239:BY249,'22 Oct Tues'!BY239:BY249,'23 Oct Wed'!BY239:BY249,'24 Oct Thurs'!BY239:BY249,'25 Oct Fri'!BY239:BY249,'26 Oct Sat'!BY239:BY249)</f>
        <v>0</v>
      </c>
      <c r="BB239" s="386">
        <f>SUM('21 Oct Mon'!BZ239:BZ249,'22 Oct Tues'!BZ239:BZ249,'23 Oct Wed'!BZ239:BZ249,'24 Oct Thurs'!BZ239:BZ249,'25 Oct Fri'!BZ239:BZ249,'26 Oct Sat'!BZ239:BZ249)</f>
        <v>0</v>
      </c>
      <c r="BC239" s="386">
        <f>SUM('21 Oct Mon'!CA239:CA249,'22 Oct Tues'!CA239:CA249,'23 Oct Wed'!CA239:CA249,'24 Oct Thurs'!CA239:CA249,'25 Oct Fri'!CA239:CA249,'26 Oct Sat'!CA239:CA249)</f>
        <v>0</v>
      </c>
      <c r="BD239" s="386">
        <f>SUM('21 Oct Mon'!CB239:CB249,'22 Oct Tues'!CB239:CB249,'23 Oct Wed'!CB239:CB249,'24 Oct Thurs'!CB239:CB249,'25 Oct Fri'!CB239:CB249,'26 Oct Sat'!CB239:CB249)</f>
        <v>0</v>
      </c>
      <c r="BE239" s="386">
        <f>SUM('21 Oct Mon'!CC239:CC249,'22 Oct Tues'!CC239:CC249,'23 Oct Wed'!CC239:CC249,'24 Oct Thurs'!CC239:CC249,'25 Oct Fri'!CC239:CC249,'26 Oct Sat'!CC239:CC249)</f>
        <v>0</v>
      </c>
      <c r="BF239" s="386" t="str">
        <f>CONCATENATE("Mon-",'21 Oct Mon'!CD239:CD249,",Tues-",'22 Oct Tues'!CD239:CD249,",Wed-",'23 Oct Wed'!CD239:CD249,",Thurs-",'24 Oct Thurs'!CD239:CD249,",Fri-",'25 Oct Fri'!CD239:CD249,",Sat-",'26 Oct Sat'!CD239:CD249)</f>
        <v>Mon-,Tues-,Wed-,Thurs-,Fri-,Sat-</v>
      </c>
      <c r="BG239" s="388">
        <f>SUM('21 Oct Mon'!CE239:CE249,'22 Oct Tues'!CE239:CE249,'23 Oct Wed'!CE239:CE249,'24 Oct Thurs'!CE239:CE249,'25 Oct Fri'!CE239:CE249,'26 Oct Sat'!CE239:CE249)</f>
        <v>0</v>
      </c>
      <c r="BH239" s="389" t="str">
        <f>CONCATENATE("Mon-",'21 Oct Mon'!CF239:CF249,",Tues-",'22 Oct Tues'!CF239:CF249,",Wed-",'23 Oct Wed'!CF239:CF249,",Thurs-",'24 Oct Thurs'!CF239:CF249,",Fri-",'25 Oct Fri'!CF239:CF249,",Sat-",'26 Oct Sat'!CF239:CF249)</f>
        <v>Mon-,Tues-,Wed-,Thurs-,Fri-,Sat-</v>
      </c>
      <c r="BI239" s="383">
        <f>SUM('21 Oct Mon'!CG239:CG249,'22 Oct Tues'!CG239:CG249,'23 Oct Wed'!CG239:CG249,'24 Oct Thurs'!CG239:CG249,'25 Oct Fri'!CG239:CG249,'26 Oct Sat'!CG239:CG249)</f>
        <v>0</v>
      </c>
      <c r="BJ239" s="382">
        <f>SUM('21 Oct Mon'!CH239:CH249,'22 Oct Tues'!CH239:CH249,'23 Oct Wed'!CH239:CH249,'24 Oct Thurs'!CH239:CH249,'25 Oct Fri'!CH239:CH249,'26 Oct Sat'!CH239:CH249)</f>
        <v>0</v>
      </c>
      <c r="BK239" s="384">
        <f>SUM('21 Oct Mon'!CI239:CI249,'22 Oct Tues'!CI239:CI249,'23 Oct Wed'!CI239:CI249,'24 Oct Thurs'!CI239:CI249,'25 Oct Fri'!CI239:CI249,'26 Oct Sat'!CI239:CI249)</f>
        <v>0</v>
      </c>
      <c r="BL239" s="382" t="str">
        <f>CONCATENATE("Mon-",'21 Oct Mon'!CJ239:CJ249,",Tues-",'22 Oct Tues'!CJ239:CJ249,",Wed-",'23 Oct Wed'!CJ239:CJ249,",Thurs-",'24 Oct Thurs'!CJ239:CJ249,",Fri-",'25 Oct Fri'!CJ239:CJ249,",Sat-",'26 Oct Sat'!CJ239:CJ249)</f>
        <v>Mon-,Tues-,Wed-,Thurs-,Fri-,Sat-</v>
      </c>
      <c r="BM239" s="384">
        <f>SUM('21 Oct Mon'!CK239:CK249,'22 Oct Tues'!CK239:CK249,'23 Oct Wed'!CK239:CK249,'24 Oct Thurs'!CK239:CK249,'25 Oct Fri'!CK239:CK249,'26 Oct Sat'!CK239:CK249)</f>
        <v>0</v>
      </c>
      <c r="BN239" s="382" t="str">
        <f>CONCATENATE("Mon-",'21 Oct Mon'!CL239:CL249,",Tues-",'22 Oct Tues'!CL239:CL249,",Wed-",'23 Oct Wed'!CL239:CL249,",Thurs-",'24 Oct Thurs'!CL239:CL249,",Fri-",'25 Oct Fri'!CL239:CL249,",Sat-",'26 Oct Sat'!CL239:CL249)</f>
        <v>Mon-,Tues-,Wed-,Thurs-,Fri-,Sat-</v>
      </c>
      <c r="BO239" s="384">
        <f>SUM('21 Oct Mon'!CM239:CM249,'22 Oct Tues'!CM239:CM249,'23 Oct Wed'!CM239:CM249,'24 Oct Thurs'!CM239:CM249,'25 Oct Fri'!CM239:CM249,'26 Oct Sat'!CM239:CM249)</f>
        <v>0</v>
      </c>
      <c r="BP239" s="385" t="str">
        <f>CONCATENATE("Mon-",'21 Oct Mon'!CN239:CN249,",Tues-",'22 Oct Tues'!CN239:CN249,",Wed-",'23 Oct Wed'!CN239:CN249,",Thurs-",'24 Oct Thurs'!CN239:CN249,",Fri-",'25 Oct Fri'!CN239:CN249,",Sat-",'26 Oct Sat'!CN239:CN249)</f>
        <v>Mon-,Tues-,Wed-,Thurs-,Fri-,Sat-</v>
      </c>
      <c r="BQ239" s="387">
        <f>SUM('21 Oct Mon'!CO239:CO249,'22 Oct Tues'!CO239:CO249,'23 Oct Wed'!CO239:CO249,'24 Oct Thurs'!CO239:CO249,'25 Oct Fri'!CO239:CO249,'26 Oct Sat'!CO239:CO249)</f>
        <v>0</v>
      </c>
      <c r="BR239" s="379" t="str">
        <f>CONCATENATE("Mon-",'21 Oct Mon'!CP239:CP249,",Tues-",'22 Oct Tues'!CP239:CP249,",Wed-",'23 Oct Wed'!CP239:CP249,",Thurs-",'24 Oct Thurs'!CP239:CP249,",Fri-",'25 Oct Fri'!CP239:CP249,",Sat-",'26 Oct Sat'!CP239:CP249)</f>
        <v>Mon-,Tues-,Wed-,Thurs-,Fri-,Sat-</v>
      </c>
      <c r="BS239" s="390">
        <f>SUM('21 Oct Mon'!CQ239:CQ249,'22 Oct Tues'!CQ239:CQ249,'23 Oct Wed'!CQ239:CQ249,'24 Oct Thurs'!CQ239:CQ249,'25 Oct Fri'!CQ239:CQ249,'26 Oct Sat'!CQ239:CQ249)</f>
        <v>0</v>
      </c>
      <c r="BT239" s="390">
        <f>SUM('21 Oct Mon'!CR239:CR249,'22 Oct Tues'!CR239:CR249,'23 Oct Wed'!CR239:CR249,'24 Oct Thurs'!CR239:CR249,'25 Oct Fri'!CR239:CR249,'26 Oct Sat'!CR239:CR249)</f>
        <v>0</v>
      </c>
      <c r="BU239" s="391">
        <f>SUM('21 Oct Mon'!CS239:CS249,'22 Oct Tues'!CS239:CS249,'23 Oct Wed'!CS239:CS249,'24 Oct Thurs'!CS239:CS249,'25 Oct Fri'!CS239:CS249,'26 Oct Sat'!CS239:CS249)</f>
        <v>0</v>
      </c>
      <c r="BV239" s="392">
        <f>SUM('21 Oct Mon'!CT239:CT249,'22 Oct Tues'!CT239:CT249,'23 Oct Wed'!CT239:CT249,'24 Oct Thurs'!CT239:CT249,'25 Oct Fri'!CT239:CT249,'26 Oct Sat'!CT239:CT249)</f>
        <v>0</v>
      </c>
      <c r="BW239" s="393" t="str">
        <f>LEFT(U239,FIND("(",U239,1)-2)</f>
        <v>0</v>
      </c>
      <c r="BX239" s="394"/>
    </row>
    <row r="240" ht="15.75" hidden="1" customHeight="1">
      <c r="A240" s="65"/>
      <c r="B240" s="65"/>
      <c r="C240" s="416"/>
      <c r="D240" s="430"/>
      <c r="E240" s="431"/>
      <c r="F240" s="431"/>
      <c r="G240" s="431"/>
      <c r="H240" s="429"/>
      <c r="I240" s="431"/>
      <c r="J240" s="397"/>
      <c r="K240" s="398">
        <f t="shared" si="1"/>
        <v>0</v>
      </c>
      <c r="L240" s="173"/>
      <c r="M240" s="173"/>
      <c r="N240" s="177"/>
      <c r="O240" s="178"/>
      <c r="P240" s="178"/>
      <c r="Q240" s="178"/>
      <c r="R240" s="178"/>
      <c r="S240" s="182"/>
      <c r="T240" s="65"/>
      <c r="U240" s="64"/>
      <c r="V240" s="66"/>
      <c r="W240" s="173"/>
      <c r="X240" s="173"/>
      <c r="Y240" s="65"/>
      <c r="Z240" s="65"/>
      <c r="AA240" s="65"/>
      <c r="AB240" s="65"/>
      <c r="AC240" s="173"/>
      <c r="AD240" s="166"/>
      <c r="AE240" s="166"/>
      <c r="AF240" s="166"/>
      <c r="AG240" s="166"/>
      <c r="AH240" s="65"/>
      <c r="AJ240" s="177"/>
      <c r="AK240" s="178"/>
      <c r="AL240" s="181"/>
      <c r="AM240" s="166"/>
      <c r="AN240" s="166"/>
      <c r="AO240" s="177"/>
      <c r="AP240" s="178"/>
      <c r="AQ240" s="181"/>
      <c r="AR240" s="166"/>
      <c r="AS240" s="166"/>
      <c r="AT240" s="177"/>
      <c r="AU240" s="181"/>
      <c r="AV240" s="166"/>
      <c r="AW240" s="166"/>
      <c r="AX240" s="177"/>
      <c r="AY240" s="166"/>
      <c r="AZ240" s="177"/>
      <c r="BA240" s="178"/>
      <c r="BB240" s="178"/>
      <c r="BC240" s="178"/>
      <c r="BD240" s="178"/>
      <c r="BE240" s="178"/>
      <c r="BF240" s="178"/>
      <c r="BG240" s="179"/>
      <c r="BH240" s="180"/>
      <c r="BI240" s="178"/>
      <c r="BJ240" s="177"/>
      <c r="BK240" s="181"/>
      <c r="BL240" s="177"/>
      <c r="BM240" s="181"/>
      <c r="BN240" s="177"/>
      <c r="BO240" s="181"/>
      <c r="BP240" s="177"/>
      <c r="BQ240" s="181"/>
      <c r="BR240" s="166"/>
      <c r="BS240" s="166"/>
      <c r="BT240" s="166"/>
      <c r="BU240" s="65"/>
      <c r="BW240" s="178"/>
      <c r="BX240" s="399"/>
    </row>
    <row r="241" ht="15.75" hidden="1" customHeight="1">
      <c r="A241" s="65"/>
      <c r="B241" s="65"/>
      <c r="C241" s="416"/>
      <c r="D241" s="430"/>
      <c r="E241" s="431"/>
      <c r="F241" s="431"/>
      <c r="G241" s="431"/>
      <c r="H241" s="431"/>
      <c r="I241" s="431"/>
      <c r="J241" s="397"/>
      <c r="K241" s="398">
        <f t="shared" si="1"/>
        <v>0</v>
      </c>
      <c r="L241" s="173"/>
      <c r="M241" s="173"/>
      <c r="N241" s="177"/>
      <c r="O241" s="178"/>
      <c r="P241" s="178"/>
      <c r="Q241" s="178"/>
      <c r="R241" s="178"/>
      <c r="S241" s="182"/>
      <c r="T241" s="65"/>
      <c r="U241" s="64"/>
      <c r="V241" s="66"/>
      <c r="W241" s="173"/>
      <c r="X241" s="173"/>
      <c r="Y241" s="65"/>
      <c r="Z241" s="65"/>
      <c r="AA241" s="65"/>
      <c r="AB241" s="65"/>
      <c r="AC241" s="173"/>
      <c r="AD241" s="166"/>
      <c r="AE241" s="166"/>
      <c r="AF241" s="166"/>
      <c r="AG241" s="166"/>
      <c r="AH241" s="65"/>
      <c r="AJ241" s="177"/>
      <c r="AK241" s="178"/>
      <c r="AL241" s="181"/>
      <c r="AM241" s="166"/>
      <c r="AN241" s="166"/>
      <c r="AO241" s="177"/>
      <c r="AP241" s="178"/>
      <c r="AQ241" s="181"/>
      <c r="AR241" s="166"/>
      <c r="AS241" s="166"/>
      <c r="AT241" s="177"/>
      <c r="AU241" s="181"/>
      <c r="AV241" s="166"/>
      <c r="AW241" s="166"/>
      <c r="AX241" s="177"/>
      <c r="AY241" s="166"/>
      <c r="AZ241" s="177"/>
      <c r="BA241" s="178"/>
      <c r="BB241" s="178"/>
      <c r="BC241" s="178"/>
      <c r="BD241" s="178"/>
      <c r="BE241" s="178"/>
      <c r="BF241" s="178"/>
      <c r="BG241" s="179"/>
      <c r="BH241" s="180"/>
      <c r="BI241" s="178"/>
      <c r="BJ241" s="177"/>
      <c r="BK241" s="181"/>
      <c r="BL241" s="177"/>
      <c r="BM241" s="181"/>
      <c r="BN241" s="177"/>
      <c r="BO241" s="181"/>
      <c r="BP241" s="177"/>
      <c r="BQ241" s="181"/>
      <c r="BR241" s="166"/>
      <c r="BS241" s="166"/>
      <c r="BT241" s="166"/>
      <c r="BU241" s="65"/>
      <c r="BW241" s="178"/>
      <c r="BX241" s="399"/>
    </row>
    <row r="242" ht="15.75" hidden="1" customHeight="1">
      <c r="A242" s="65"/>
      <c r="B242" s="65"/>
      <c r="C242" s="416"/>
      <c r="D242" s="430"/>
      <c r="E242" s="431"/>
      <c r="F242" s="431"/>
      <c r="G242" s="431"/>
      <c r="H242" s="431"/>
      <c r="I242" s="431"/>
      <c r="J242" s="397"/>
      <c r="K242" s="398">
        <f t="shared" si="1"/>
        <v>0</v>
      </c>
      <c r="L242" s="173"/>
      <c r="M242" s="173"/>
      <c r="N242" s="177"/>
      <c r="O242" s="178"/>
      <c r="P242" s="178"/>
      <c r="Q242" s="178"/>
      <c r="R242" s="178"/>
      <c r="S242" s="182"/>
      <c r="T242" s="65"/>
      <c r="U242" s="64"/>
      <c r="V242" s="66"/>
      <c r="W242" s="173"/>
      <c r="X242" s="173"/>
      <c r="Y242" s="65"/>
      <c r="Z242" s="65"/>
      <c r="AA242" s="65"/>
      <c r="AB242" s="65"/>
      <c r="AC242" s="173"/>
      <c r="AD242" s="166"/>
      <c r="AE242" s="166"/>
      <c r="AF242" s="166"/>
      <c r="AG242" s="166"/>
      <c r="AH242" s="65"/>
      <c r="AJ242" s="177"/>
      <c r="AK242" s="178"/>
      <c r="AL242" s="181"/>
      <c r="AM242" s="166"/>
      <c r="AN242" s="166"/>
      <c r="AO242" s="177"/>
      <c r="AP242" s="178"/>
      <c r="AQ242" s="181"/>
      <c r="AR242" s="166"/>
      <c r="AS242" s="166"/>
      <c r="AT242" s="177"/>
      <c r="AU242" s="181"/>
      <c r="AV242" s="166"/>
      <c r="AW242" s="166"/>
      <c r="AX242" s="177"/>
      <c r="AY242" s="166"/>
      <c r="AZ242" s="177"/>
      <c r="BA242" s="178"/>
      <c r="BB242" s="178"/>
      <c r="BC242" s="178"/>
      <c r="BD242" s="178"/>
      <c r="BE242" s="178"/>
      <c r="BF242" s="178"/>
      <c r="BG242" s="179"/>
      <c r="BH242" s="180"/>
      <c r="BI242" s="178"/>
      <c r="BJ242" s="177"/>
      <c r="BK242" s="181"/>
      <c r="BL242" s="177"/>
      <c r="BM242" s="181"/>
      <c r="BN242" s="177"/>
      <c r="BO242" s="181"/>
      <c r="BP242" s="177"/>
      <c r="BQ242" s="181"/>
      <c r="BR242" s="166"/>
      <c r="BS242" s="166"/>
      <c r="BT242" s="166"/>
      <c r="BU242" s="65"/>
      <c r="BW242" s="178"/>
      <c r="BX242" s="399"/>
    </row>
    <row r="243" ht="15.75" hidden="1" customHeight="1">
      <c r="A243" s="65"/>
      <c r="B243" s="65"/>
      <c r="C243" s="416"/>
      <c r="D243" s="430"/>
      <c r="E243" s="431"/>
      <c r="F243" s="431"/>
      <c r="G243" s="431"/>
      <c r="H243" s="431"/>
      <c r="I243" s="431"/>
      <c r="J243" s="397"/>
      <c r="K243" s="398">
        <f t="shared" si="1"/>
        <v>0</v>
      </c>
      <c r="L243" s="173"/>
      <c r="M243" s="173"/>
      <c r="N243" s="177"/>
      <c r="O243" s="178"/>
      <c r="P243" s="178"/>
      <c r="Q243" s="178"/>
      <c r="R243" s="178"/>
      <c r="S243" s="182"/>
      <c r="T243" s="65"/>
      <c r="U243" s="64"/>
      <c r="V243" s="66"/>
      <c r="W243" s="173"/>
      <c r="X243" s="173"/>
      <c r="Y243" s="65"/>
      <c r="Z243" s="65"/>
      <c r="AA243" s="65"/>
      <c r="AB243" s="65"/>
      <c r="AC243" s="173"/>
      <c r="AD243" s="166"/>
      <c r="AE243" s="166"/>
      <c r="AF243" s="166"/>
      <c r="AG243" s="166"/>
      <c r="AH243" s="65"/>
      <c r="AJ243" s="177"/>
      <c r="AK243" s="178"/>
      <c r="AL243" s="181"/>
      <c r="AM243" s="166"/>
      <c r="AN243" s="166"/>
      <c r="AO243" s="177"/>
      <c r="AP243" s="178"/>
      <c r="AQ243" s="181"/>
      <c r="AR243" s="166"/>
      <c r="AS243" s="166"/>
      <c r="AT243" s="177"/>
      <c r="AU243" s="181"/>
      <c r="AV243" s="166"/>
      <c r="AW243" s="166"/>
      <c r="AX243" s="177"/>
      <c r="AY243" s="166"/>
      <c r="AZ243" s="177"/>
      <c r="BA243" s="178"/>
      <c r="BB243" s="178"/>
      <c r="BC243" s="178"/>
      <c r="BD243" s="178"/>
      <c r="BE243" s="178"/>
      <c r="BF243" s="178"/>
      <c r="BG243" s="179"/>
      <c r="BH243" s="180"/>
      <c r="BI243" s="178"/>
      <c r="BJ243" s="177"/>
      <c r="BK243" s="181"/>
      <c r="BL243" s="177"/>
      <c r="BM243" s="181"/>
      <c r="BN243" s="177"/>
      <c r="BO243" s="181"/>
      <c r="BP243" s="177"/>
      <c r="BQ243" s="181"/>
      <c r="BR243" s="166"/>
      <c r="BS243" s="166"/>
      <c r="BT243" s="166"/>
      <c r="BU243" s="65"/>
      <c r="BW243" s="178"/>
      <c r="BX243" s="399"/>
    </row>
    <row r="244" ht="15.75" hidden="1" customHeight="1">
      <c r="A244" s="65"/>
      <c r="B244" s="65"/>
      <c r="C244" s="416"/>
      <c r="D244" s="430"/>
      <c r="E244" s="431"/>
      <c r="F244" s="431"/>
      <c r="G244" s="431"/>
      <c r="H244" s="431"/>
      <c r="I244" s="431"/>
      <c r="J244" s="397"/>
      <c r="K244" s="398">
        <f t="shared" si="1"/>
        <v>0</v>
      </c>
      <c r="L244" s="173"/>
      <c r="M244" s="173"/>
      <c r="N244" s="177"/>
      <c r="O244" s="178"/>
      <c r="P244" s="178"/>
      <c r="Q244" s="178"/>
      <c r="R244" s="178"/>
      <c r="S244" s="182"/>
      <c r="T244" s="65"/>
      <c r="U244" s="64"/>
      <c r="V244" s="66"/>
      <c r="W244" s="173"/>
      <c r="X244" s="173"/>
      <c r="Y244" s="65"/>
      <c r="Z244" s="65"/>
      <c r="AA244" s="65"/>
      <c r="AB244" s="65"/>
      <c r="AC244" s="173"/>
      <c r="AD244" s="166"/>
      <c r="AE244" s="166"/>
      <c r="AF244" s="166"/>
      <c r="AG244" s="166"/>
      <c r="AH244" s="65"/>
      <c r="AJ244" s="177"/>
      <c r="AK244" s="178"/>
      <c r="AL244" s="181"/>
      <c r="AM244" s="166"/>
      <c r="AN244" s="166"/>
      <c r="AO244" s="177"/>
      <c r="AP244" s="178"/>
      <c r="AQ244" s="181"/>
      <c r="AR244" s="166"/>
      <c r="AS244" s="166"/>
      <c r="AT244" s="177"/>
      <c r="AU244" s="181"/>
      <c r="AV244" s="166"/>
      <c r="AW244" s="166"/>
      <c r="AX244" s="177"/>
      <c r="AY244" s="166"/>
      <c r="AZ244" s="177"/>
      <c r="BA244" s="178"/>
      <c r="BB244" s="178"/>
      <c r="BC244" s="178"/>
      <c r="BD244" s="178"/>
      <c r="BE244" s="178"/>
      <c r="BF244" s="178"/>
      <c r="BG244" s="179"/>
      <c r="BH244" s="180"/>
      <c r="BI244" s="178"/>
      <c r="BJ244" s="177"/>
      <c r="BK244" s="181"/>
      <c r="BL244" s="177"/>
      <c r="BM244" s="181"/>
      <c r="BN244" s="177"/>
      <c r="BO244" s="181"/>
      <c r="BP244" s="177"/>
      <c r="BQ244" s="181"/>
      <c r="BR244" s="166"/>
      <c r="BS244" s="166"/>
      <c r="BT244" s="166"/>
      <c r="BU244" s="65"/>
      <c r="BW244" s="178"/>
      <c r="BX244" s="399"/>
    </row>
    <row r="245" ht="15.75" hidden="1" customHeight="1">
      <c r="A245" s="65"/>
      <c r="B245" s="65"/>
      <c r="C245" s="416"/>
      <c r="D245" s="430"/>
      <c r="E245" s="431"/>
      <c r="F245" s="431"/>
      <c r="G245" s="431"/>
      <c r="H245" s="431"/>
      <c r="I245" s="431"/>
      <c r="J245" s="397"/>
      <c r="K245" s="398">
        <f t="shared" si="1"/>
        <v>0</v>
      </c>
      <c r="L245" s="173"/>
      <c r="M245" s="173"/>
      <c r="N245" s="177"/>
      <c r="O245" s="178"/>
      <c r="P245" s="178"/>
      <c r="Q245" s="178"/>
      <c r="R245" s="178"/>
      <c r="S245" s="182"/>
      <c r="T245" s="65"/>
      <c r="U245" s="64"/>
      <c r="V245" s="66"/>
      <c r="W245" s="173"/>
      <c r="X245" s="173"/>
      <c r="Y245" s="65"/>
      <c r="Z245" s="65"/>
      <c r="AA245" s="65"/>
      <c r="AB245" s="65"/>
      <c r="AC245" s="173"/>
      <c r="AD245" s="166"/>
      <c r="AE245" s="166"/>
      <c r="AF245" s="166"/>
      <c r="AG245" s="166"/>
      <c r="AH245" s="65"/>
      <c r="AJ245" s="177"/>
      <c r="AK245" s="178"/>
      <c r="AL245" s="181"/>
      <c r="AM245" s="166"/>
      <c r="AN245" s="166"/>
      <c r="AO245" s="177"/>
      <c r="AP245" s="178"/>
      <c r="AQ245" s="181"/>
      <c r="AR245" s="166"/>
      <c r="AS245" s="166"/>
      <c r="AT245" s="177"/>
      <c r="AU245" s="181"/>
      <c r="AV245" s="166"/>
      <c r="AW245" s="166"/>
      <c r="AX245" s="177"/>
      <c r="AY245" s="166"/>
      <c r="AZ245" s="177"/>
      <c r="BA245" s="178"/>
      <c r="BB245" s="178"/>
      <c r="BC245" s="178"/>
      <c r="BD245" s="178"/>
      <c r="BE245" s="178"/>
      <c r="BF245" s="178"/>
      <c r="BG245" s="179"/>
      <c r="BH245" s="180"/>
      <c r="BI245" s="178"/>
      <c r="BJ245" s="177"/>
      <c r="BK245" s="181"/>
      <c r="BL245" s="177"/>
      <c r="BM245" s="181"/>
      <c r="BN245" s="177"/>
      <c r="BO245" s="181"/>
      <c r="BP245" s="177"/>
      <c r="BQ245" s="181"/>
      <c r="BR245" s="166"/>
      <c r="BS245" s="166"/>
      <c r="BT245" s="166"/>
      <c r="BU245" s="65"/>
      <c r="BW245" s="178"/>
      <c r="BX245" s="399"/>
    </row>
    <row r="246" ht="15.75" hidden="1" customHeight="1">
      <c r="A246" s="65"/>
      <c r="B246" s="65"/>
      <c r="C246" s="416"/>
      <c r="D246" s="430"/>
      <c r="E246" s="431"/>
      <c r="F246" s="431"/>
      <c r="G246" s="431"/>
      <c r="H246" s="431"/>
      <c r="I246" s="431"/>
      <c r="J246" s="397"/>
      <c r="K246" s="398">
        <f t="shared" si="1"/>
        <v>0</v>
      </c>
      <c r="L246" s="173"/>
      <c r="M246" s="173"/>
      <c r="N246" s="177"/>
      <c r="O246" s="178"/>
      <c r="P246" s="178"/>
      <c r="Q246" s="178"/>
      <c r="R246" s="178"/>
      <c r="S246" s="182"/>
      <c r="T246" s="65"/>
      <c r="U246" s="64"/>
      <c r="V246" s="66"/>
      <c r="W246" s="173"/>
      <c r="X246" s="173"/>
      <c r="Y246" s="65"/>
      <c r="Z246" s="65"/>
      <c r="AA246" s="65"/>
      <c r="AB246" s="65"/>
      <c r="AC246" s="173"/>
      <c r="AD246" s="166"/>
      <c r="AE246" s="166"/>
      <c r="AF246" s="166"/>
      <c r="AG246" s="166"/>
      <c r="AH246" s="65"/>
      <c r="AJ246" s="177"/>
      <c r="AK246" s="178"/>
      <c r="AL246" s="181"/>
      <c r="AM246" s="166"/>
      <c r="AN246" s="166"/>
      <c r="AO246" s="177"/>
      <c r="AP246" s="178"/>
      <c r="AQ246" s="181"/>
      <c r="AR246" s="166"/>
      <c r="AS246" s="166"/>
      <c r="AT246" s="177"/>
      <c r="AU246" s="181"/>
      <c r="AV246" s="166"/>
      <c r="AW246" s="166"/>
      <c r="AX246" s="177"/>
      <c r="AY246" s="166"/>
      <c r="AZ246" s="177"/>
      <c r="BA246" s="178"/>
      <c r="BB246" s="178"/>
      <c r="BC246" s="178"/>
      <c r="BD246" s="178"/>
      <c r="BE246" s="178"/>
      <c r="BF246" s="178"/>
      <c r="BG246" s="179"/>
      <c r="BH246" s="180"/>
      <c r="BI246" s="178"/>
      <c r="BJ246" s="177"/>
      <c r="BK246" s="181"/>
      <c r="BL246" s="177"/>
      <c r="BM246" s="181"/>
      <c r="BN246" s="177"/>
      <c r="BO246" s="181"/>
      <c r="BP246" s="177"/>
      <c r="BQ246" s="181"/>
      <c r="BR246" s="166"/>
      <c r="BS246" s="166"/>
      <c r="BT246" s="166"/>
      <c r="BU246" s="65"/>
      <c r="BW246" s="178"/>
      <c r="BX246" s="399"/>
    </row>
    <row r="247" ht="15.75" hidden="1" customHeight="1">
      <c r="A247" s="65"/>
      <c r="B247" s="65"/>
      <c r="C247" s="416"/>
      <c r="D247" s="430"/>
      <c r="E247" s="431"/>
      <c r="F247" s="431"/>
      <c r="G247" s="431"/>
      <c r="H247" s="431"/>
      <c r="I247" s="431"/>
      <c r="J247" s="397"/>
      <c r="K247" s="398">
        <f t="shared" si="1"/>
        <v>0</v>
      </c>
      <c r="L247" s="173"/>
      <c r="M247" s="173"/>
      <c r="N247" s="177"/>
      <c r="O247" s="178"/>
      <c r="P247" s="178"/>
      <c r="Q247" s="178"/>
      <c r="R247" s="178"/>
      <c r="S247" s="182"/>
      <c r="T247" s="65"/>
      <c r="U247" s="64"/>
      <c r="V247" s="66"/>
      <c r="W247" s="173"/>
      <c r="X247" s="173"/>
      <c r="Y247" s="65"/>
      <c r="Z247" s="65"/>
      <c r="AA247" s="65"/>
      <c r="AB247" s="65"/>
      <c r="AC247" s="173"/>
      <c r="AD247" s="166"/>
      <c r="AE247" s="166"/>
      <c r="AF247" s="166"/>
      <c r="AG247" s="166"/>
      <c r="AH247" s="65"/>
      <c r="AJ247" s="177"/>
      <c r="AK247" s="178"/>
      <c r="AL247" s="181"/>
      <c r="AM247" s="166"/>
      <c r="AN247" s="166"/>
      <c r="AO247" s="177"/>
      <c r="AP247" s="178"/>
      <c r="AQ247" s="181"/>
      <c r="AR247" s="166"/>
      <c r="AS247" s="166"/>
      <c r="AT247" s="177"/>
      <c r="AU247" s="181"/>
      <c r="AV247" s="166"/>
      <c r="AW247" s="166"/>
      <c r="AX247" s="177"/>
      <c r="AY247" s="166"/>
      <c r="AZ247" s="177"/>
      <c r="BA247" s="178"/>
      <c r="BB247" s="178"/>
      <c r="BC247" s="178"/>
      <c r="BD247" s="178"/>
      <c r="BE247" s="178"/>
      <c r="BF247" s="178"/>
      <c r="BG247" s="179"/>
      <c r="BH247" s="180"/>
      <c r="BI247" s="178"/>
      <c r="BJ247" s="177"/>
      <c r="BK247" s="181"/>
      <c r="BL247" s="177"/>
      <c r="BM247" s="181"/>
      <c r="BN247" s="177"/>
      <c r="BO247" s="181"/>
      <c r="BP247" s="177"/>
      <c r="BQ247" s="181"/>
      <c r="BR247" s="166"/>
      <c r="BS247" s="166"/>
      <c r="BT247" s="166"/>
      <c r="BU247" s="65"/>
      <c r="BW247" s="178"/>
      <c r="BX247" s="399"/>
    </row>
    <row r="248" ht="15.75" hidden="1" customHeight="1">
      <c r="A248" s="65"/>
      <c r="B248" s="65"/>
      <c r="C248" s="416"/>
      <c r="D248" s="430"/>
      <c r="E248" s="431"/>
      <c r="F248" s="431"/>
      <c r="G248" s="431"/>
      <c r="H248" s="431"/>
      <c r="I248" s="431"/>
      <c r="J248" s="397"/>
      <c r="K248" s="398">
        <f t="shared" si="1"/>
        <v>0</v>
      </c>
      <c r="L248" s="173"/>
      <c r="M248" s="173"/>
      <c r="N248" s="177"/>
      <c r="O248" s="178"/>
      <c r="P248" s="178"/>
      <c r="Q248" s="178"/>
      <c r="R248" s="178"/>
      <c r="S248" s="182"/>
      <c r="T248" s="65"/>
      <c r="U248" s="64"/>
      <c r="V248" s="66"/>
      <c r="W248" s="173"/>
      <c r="X248" s="173"/>
      <c r="Y248" s="65"/>
      <c r="Z248" s="65"/>
      <c r="AA248" s="65"/>
      <c r="AB248" s="65"/>
      <c r="AC248" s="173"/>
      <c r="AD248" s="166"/>
      <c r="AE248" s="166"/>
      <c r="AF248" s="166"/>
      <c r="AG248" s="166"/>
      <c r="AH248" s="65"/>
      <c r="AJ248" s="177"/>
      <c r="AK248" s="178"/>
      <c r="AL248" s="181"/>
      <c r="AM248" s="166"/>
      <c r="AN248" s="166"/>
      <c r="AO248" s="177"/>
      <c r="AP248" s="178"/>
      <c r="AQ248" s="181"/>
      <c r="AR248" s="166"/>
      <c r="AS248" s="166"/>
      <c r="AT248" s="177"/>
      <c r="AU248" s="181"/>
      <c r="AV248" s="166"/>
      <c r="AW248" s="166"/>
      <c r="AX248" s="177"/>
      <c r="AY248" s="166"/>
      <c r="AZ248" s="177"/>
      <c r="BA248" s="178"/>
      <c r="BB248" s="178"/>
      <c r="BC248" s="178"/>
      <c r="BD248" s="178"/>
      <c r="BE248" s="178"/>
      <c r="BF248" s="178"/>
      <c r="BG248" s="179"/>
      <c r="BH248" s="180"/>
      <c r="BI248" s="178"/>
      <c r="BJ248" s="177"/>
      <c r="BK248" s="181"/>
      <c r="BL248" s="177"/>
      <c r="BM248" s="181"/>
      <c r="BN248" s="177"/>
      <c r="BO248" s="181"/>
      <c r="BP248" s="177"/>
      <c r="BQ248" s="181"/>
      <c r="BR248" s="166"/>
      <c r="BS248" s="166"/>
      <c r="BT248" s="166"/>
      <c r="BU248" s="65"/>
      <c r="BW248" s="178"/>
      <c r="BX248" s="399"/>
    </row>
    <row r="249" ht="15.75" hidden="1" customHeight="1">
      <c r="A249" s="89"/>
      <c r="B249" s="89"/>
      <c r="C249" s="417"/>
      <c r="D249" s="432"/>
      <c r="E249" s="433"/>
      <c r="F249" s="433"/>
      <c r="G249" s="433"/>
      <c r="H249" s="433"/>
      <c r="I249" s="433"/>
      <c r="J249" s="402"/>
      <c r="K249" s="403">
        <f t="shared" si="1"/>
        <v>0</v>
      </c>
      <c r="L249" s="69"/>
      <c r="M249" s="69"/>
      <c r="N249" s="192"/>
      <c r="O249" s="193"/>
      <c r="P249" s="193"/>
      <c r="Q249" s="193"/>
      <c r="R249" s="193"/>
      <c r="S249" s="197"/>
      <c r="T249" s="89"/>
      <c r="U249" s="103"/>
      <c r="V249" s="68"/>
      <c r="W249" s="69"/>
      <c r="X249" s="69"/>
      <c r="Y249" s="89"/>
      <c r="Z249" s="89"/>
      <c r="AA249" s="89"/>
      <c r="AB249" s="89"/>
      <c r="AC249" s="69"/>
      <c r="AD249" s="63"/>
      <c r="AE249" s="63"/>
      <c r="AF249" s="63"/>
      <c r="AG249" s="63"/>
      <c r="AH249" s="89"/>
      <c r="AI249" s="6"/>
      <c r="AJ249" s="192"/>
      <c r="AK249" s="193"/>
      <c r="AL249" s="196"/>
      <c r="AM249" s="63"/>
      <c r="AN249" s="63"/>
      <c r="AO249" s="192"/>
      <c r="AP249" s="193"/>
      <c r="AQ249" s="196"/>
      <c r="AR249" s="63"/>
      <c r="AS249" s="63"/>
      <c r="AT249" s="192"/>
      <c r="AU249" s="196"/>
      <c r="AV249" s="63"/>
      <c r="AW249" s="63"/>
      <c r="AX249" s="192"/>
      <c r="AY249" s="63"/>
      <c r="AZ249" s="192"/>
      <c r="BA249" s="193"/>
      <c r="BB249" s="193"/>
      <c r="BC249" s="193"/>
      <c r="BD249" s="193"/>
      <c r="BE249" s="193"/>
      <c r="BF249" s="193"/>
      <c r="BG249" s="194"/>
      <c r="BH249" s="195"/>
      <c r="BI249" s="193"/>
      <c r="BJ249" s="192"/>
      <c r="BK249" s="196"/>
      <c r="BL249" s="192"/>
      <c r="BM249" s="196"/>
      <c r="BN249" s="192"/>
      <c r="BO249" s="196"/>
      <c r="BP249" s="192"/>
      <c r="BQ249" s="196"/>
      <c r="BR249" s="63"/>
      <c r="BS249" s="63"/>
      <c r="BT249" s="63"/>
      <c r="BU249" s="89"/>
      <c r="BV249" s="6"/>
      <c r="BW249" s="198"/>
      <c r="BX249" s="404"/>
    </row>
    <row r="250" ht="61.5" hidden="1" customHeight="1">
      <c r="A250" s="125">
        <v>23.0</v>
      </c>
      <c r="B250" s="274"/>
      <c r="C250" s="427"/>
      <c r="D250" s="428"/>
      <c r="E250" s="429"/>
      <c r="F250" s="429"/>
      <c r="G250" s="429"/>
      <c r="H250" s="429"/>
      <c r="I250" s="429"/>
      <c r="J250" s="366"/>
      <c r="K250" s="367">
        <f t="shared" si="1"/>
        <v>0</v>
      </c>
      <c r="L250" s="368">
        <f>SUM(I250:I260)+SUM(K250:K260)*1</f>
        <v>0</v>
      </c>
      <c r="M250" s="368">
        <f>SUM('21 Oct Mon'!Q250:Q260,'22 Oct Tues'!Q250:Q260,'23 Oct Wed'!Q250:Q260,'24 Oct Thurs'!Q250:Q260,'25 Oct Fri'!Q250:Q260,'26 Oct Sat'!Q250:Q260)</f>
        <v>0</v>
      </c>
      <c r="N250" s="369">
        <f>SUM('21 Oct Mon'!R250:R260,'22 Oct Tues'!R250:R260,'23 Oct Wed'!R250:R260,'24 Oct Thurs'!R250:R260,'25 Oct Fri'!R250:R260,'26 Oct Sat'!R250:R260)</f>
        <v>0</v>
      </c>
      <c r="O250" s="370">
        <f>SUM(L250:N260)</f>
        <v>0</v>
      </c>
      <c r="P250" s="370">
        <f>SUM('21 Oct Mon'!T250:T260,'22 Oct Tues'!T250:T260,'23 Oct Wed'!T250:T260,'24 Oct Thurs'!T250:T260,'25 Oct Fri'!T250:T260,'26 Oct Sat'!T250:T260)</f>
        <v>0</v>
      </c>
      <c r="Q250" s="370">
        <f>SUM('21 Oct Mon'!U250:U260,'22 Oct Tues'!U250:U260,'23 Oct Wed'!U250:U260,'24 Oct Thurs'!U250:U260,'25 Oct Fri'!U250:U260,'26 Oct Sat'!U250:U260)</f>
        <v>0</v>
      </c>
      <c r="R250" s="370">
        <f>SUM('21 Oct Mon'!V250:V260,'22 Oct Tues'!V250:V260,'23 Oct Wed'!V250:V260,'24 Oct Thurs'!V250:V260,'25 Oct Fri'!V250:V260,'26 Oct Sat'!V250:V260)</f>
        <v>0</v>
      </c>
      <c r="S250" s="371">
        <f>SUM('21 Oct Mon'!W250:W260,'22 Oct Tues'!W250:W260,'23 Oct Wed'!W250:W260,'24 Oct Thurs'!W250:W260,'25 Oct Fri'!W250:W260,'26 Oct Sat'!W250:W260)</f>
        <v>0</v>
      </c>
      <c r="T250" s="372">
        <f>O250-P250-Q250-R250-S250</f>
        <v>0</v>
      </c>
      <c r="U250" s="373" t="str">
        <f>CONCATENATE(SUM('21 Oct Mon'!O250:O260,'22 Oct Tues'!O250:O260,'23 Oct Wed'!O250:O260,'24 Oct Thurs'!O250:O260,'25 Oct Fri'!O250:O260,'26 Oct Sat'!O250:O260),"
(",(SUM('21 Oct Mon'!O250:O260,'22 Oct Tues'!O250:O260,'23 Oct Wed'!O250:O260,'24 Oct Thurs'!O250:O260,'25 Oct Fri'!O250:O260,'26 Oct Sat'!O250:O260)-T250),")")</f>
        <v>0
(0)</v>
      </c>
      <c r="V250" s="374" t="str">
        <f>CONCATENATE("Mon-",'21 Oct Mon'!Z250:Z260,",Tues-",'22 Oct Tues'!Z250:Z260,",Wed-",'23 Oct Wed'!Z250:Z260,",Thurs-",'24 Oct Thurs'!Z250:Z260,",Fri-",'25 Oct Fri'!Z250:Z260,",Sat-",'26 Oct Sat'!Z250:Z260)</f>
        <v>Mon-,Tues-,Wed-,Thurs-,Fri-,Sat-</v>
      </c>
      <c r="W250" s="375">
        <f>SUM('21 Oct Mon'!AI250:AI260,'22 Oct Tues'!AI250:AI260,'23 Oct Wed'!AI250:AI260,'24 Oct Thurs'!AI250:AI260,'25 Oct Fri'!AI250:AI260,'26 Oct Sat'!AI250:AI260)</f>
        <v>0</v>
      </c>
      <c r="X250" s="375">
        <f>SUM('21 Oct Mon'!AM250:AM260,'22 Oct Tues'!AM250:AM260,'23 Oct Wed'!AM250:AM260,'24 Oct Thurs'!AM250:AM260,'25 Oct Fri'!AM250:AM260,'26 Oct Sat'!AM250:AM260)</f>
        <v>0</v>
      </c>
      <c r="Y250" s="376">
        <f>SUM('21 Oct Mon'!AP250:AP260,'22 Oct Tues'!AP250:AP260,'23 Oct Wed'!AP250:AP260,'24 Oct Thurs'!AP250:AP260,'25 Oct Fri'!AP250:AP260,'26 Oct Sat'!AP250:AP260)</f>
        <v>0</v>
      </c>
      <c r="Z250" s="376">
        <f>SUM('21 Oct Mon'!AQ250:AQ260,'22 Oct Tues'!AQ250:AQ260,'23 Oct Wed'!AQ250:AQ260,'24 Oct Thurs'!AQ250:AQ260,'25 Oct Fri'!AQ250:AQ260,'26 Oct Sat'!AQ250:AQ260)</f>
        <v>0</v>
      </c>
      <c r="AA250" s="377">
        <f>SUM('21 Oct Mon'!AR250:AR260,'22 Oct Tues'!AR250:AR260,'23 Oct Wed'!AR250:AR260,'24 Oct Thurs'!AR250:AR260,'25 Oct Fri'!AR250:AR260,'26 Oct Sat'!AR250:AR260)</f>
        <v>0</v>
      </c>
      <c r="AB250" s="377">
        <f>SUM('21 Oct Mon'!AS250:AS260,'22 Oct Tues'!AS250:AS260,'23 Oct Wed'!AS250:AS260,'24 Oct Thurs'!AS250:AS260,'25 Oct Fri'!AS250:AS260,'26 Oct Sat'!AS250:AS260)</f>
        <v>0</v>
      </c>
      <c r="AC250" s="378">
        <f>SUM('21 Oct Mon'!AT250:AT260,'22 Oct Tues'!AT250:AT260,'23 Oct Wed'!AT250:AT260,'24 Oct Thurs'!AT250:AT260,'25 Oct Fri'!AT250:AT260,'26 Oct Sat'!AT250:AT260)</f>
        <v>0</v>
      </c>
      <c r="AD250" s="379">
        <f>SUM('21 Oct Mon'!AU250:AU260,'22 Oct Tues'!AU250:AU260,'23 Oct Wed'!AU250:AU260,'24 Oct Thurs'!AU250:AU260,'25 Oct Fri'!AU250:AU260,'26 Oct Sat'!AU250:AU260)</f>
        <v>0</v>
      </c>
      <c r="AE250" s="379">
        <f>SUM('21 Oct Mon'!AV250:AV260,'22 Oct Tues'!AV250:AV260,'23 Oct Wed'!AV250:AV260,'24 Oct Thurs'!AV250:AV260,'25 Oct Fri'!AV250:AV260,'26 Oct Sat'!AV250:AV260)</f>
        <v>0</v>
      </c>
      <c r="AF250" s="379">
        <f>SUM('21 Oct Mon'!AW250:AW260,'22 Oct Tues'!AW250:AW260,'23 Oct Wed'!AW250:AW260,'24 Oct Thurs'!AW250:AW260,'25 Oct Fri'!AW250:AW260,'26 Oct Sat'!AW250:AW260)</f>
        <v>0</v>
      </c>
      <c r="AG250" s="379">
        <f>SUM('21 Oct Mon'!AX250:AX260,'22 Oct Tues'!AX250:AX260,'23 Oct Wed'!AX250:AX260,'24 Oct Thurs'!AX250:AX260,'25 Oct Fri'!AX250:AX260,'26 Oct Sat'!AX250:AX260)</f>
        <v>0</v>
      </c>
      <c r="AH250" s="380">
        <f>SUM('21 Oct Mon'!AY250:AY260,'22 Oct Tues'!AY250:AY260,'23 Oct Wed'!AY250:AY260,'24 Oct Thurs'!AY250:AY260,'25 Oct Fri'!AY250:AY260,'26 Oct Sat'!AY250:AY260)</f>
        <v>0</v>
      </c>
      <c r="AI250" s="381">
        <f>SUM('21 Oct Mon'!AZ250:AZ260,'22 Oct Tues'!AZ250:AZ260,'23 Oct Wed'!AZ250:AZ260,'24 Oct Thurs'!AZ250:AZ260,'25 Oct Fri'!AZ250:AZ260,'26 Oct Sat'!AZ250:AZ260)</f>
        <v>0</v>
      </c>
      <c r="AJ250" s="382">
        <f>SUM('21 Oct Mon'!BG250:BG260,'22 Oct Tues'!BG250:BG260,'23 Oct Wed'!BG250:BG260,'24 Oct Thurs'!BG250:BG260,'25 Oct Fri'!BG250:BG260,'26 Oct Sat'!BG250:BG260)</f>
        <v>0</v>
      </c>
      <c r="AK250" s="383">
        <f>SUM('21 Oct Mon'!BH250:BH260,'22 Oct Tues'!BH250:BH260,'23 Oct Wed'!BH250:BH260,'24 Oct Thurs'!BH250:BH260,'25 Oct Fri'!BH250:BH260,'26 Oct Sat'!BH250:BH260)</f>
        <v>0</v>
      </c>
      <c r="AL250" s="384">
        <f>SUM('21 Oct Mon'!BI250:BI260,'22 Oct Tues'!BI250:BI260,'23 Oct Wed'!BI250:BI260,'24 Oct Thurs'!BI250:BI260,'25 Oct Fri'!BI250:BI260,'26 Oct Sat'!BI250:BI260)</f>
        <v>0</v>
      </c>
      <c r="AM250" s="379">
        <f>SUM('21 Oct Mon'!BJ250:BJ260,'22 Oct Tues'!BJ250:BJ260,'23 Oct Wed'!BJ250:BJ260,'24 Oct Thurs'!BJ250:BJ260,'25 Oct Fri'!BJ250:BJ260,'26 Oct Sat'!BJ250:BJ260)</f>
        <v>0</v>
      </c>
      <c r="AN250" s="379">
        <f>SUM('21 Oct Mon'!BK250:BK260,'22 Oct Tues'!BK250:BK260,'23 Oct Wed'!BK250:BK260,'24 Oct Thurs'!BK250:BK260,'25 Oct Fri'!BK250:BK260,'26 Oct Sat'!BK250:BK260)</f>
        <v>0</v>
      </c>
      <c r="AO250" s="385">
        <f>SUM('21 Oct Mon'!BL250:BL260,'22 Oct Tues'!BL250:BL260,'23 Oct Wed'!BL250:BL260,'24 Oct Thurs'!BL250:BL260,'25 Oct Fri'!BL250:BL260,'26 Oct Sat'!BL250:BL260)</f>
        <v>0</v>
      </c>
      <c r="AP250" s="386">
        <f>SUM('21 Oct Mon'!BM250:BM260,'22 Oct Tues'!BM250:BM260,'23 Oct Wed'!BM250:BM260,'24 Oct Thurs'!BM250:BM260,'25 Oct Fri'!BM250:BM260,'26 Oct Sat'!BM250:BM260)</f>
        <v>0</v>
      </c>
      <c r="AQ250" s="387">
        <f>SUM('21 Oct Mon'!BN250:BN260,'22 Oct Tues'!BN250:BN260,'23 Oct Wed'!BN250:BN260,'24 Oct Thurs'!BN250:BN260,'25 Oct Fri'!BN250:BN260,'26 Oct Sat'!BN250:BN260)</f>
        <v>0</v>
      </c>
      <c r="AR250" s="379">
        <f>SUM('21 Oct Mon'!BO250:BO260,'22 Oct Tues'!BO250:BO260,'23 Oct Wed'!BO250:BO260,'24 Oct Thurs'!BO250:BO260,'25 Oct Fri'!BO250:BO260,'26 Oct Sat'!BO250:BO260)</f>
        <v>0</v>
      </c>
      <c r="AS250" s="379">
        <f>SUM('21 Oct Mon'!BP250:BP260,'22 Oct Tues'!BP250:BP260,'23 Oct Wed'!BP250:BP260,'24 Oct Thurs'!BP250:BP260,'25 Oct Fri'!BP250:BP260,'26 Oct Sat'!BP250:BP260)</f>
        <v>0</v>
      </c>
      <c r="AT250" s="382">
        <f>SUM('21 Oct Mon'!BR250:BR260,'22 Oct Tues'!BR250:BR260,'23 Oct Wed'!BR250:BR260,'24 Oct Thurs'!BR250:BR260,'25 Oct Fri'!BR250:BR260,'26 Oct Sat'!BR250:BR260)</f>
        <v>0</v>
      </c>
      <c r="AU250" s="384">
        <f>SUM('21 Oct Mon'!BS250:BS260,'22 Oct Tues'!BS250:BS260,'23 Oct Wed'!BS250:BS260,'24 Oct Thurs'!BS250:BS260,'25 Oct Fri'!BS250:BS260,'26 Oct Sat'!BS250:BS260)</f>
        <v>0</v>
      </c>
      <c r="AV250" s="379">
        <f>SUM('21 Oct Mon'!BT250:BT260,'22 Oct Tues'!BT250:BT260,'23 Oct Wed'!BT250:BT260,'24 Oct Thurs'!BT250:BT260,'25 Oct Fri'!BT250:BT260,'26 Oct Sat'!BT250:BT260)</f>
        <v>0</v>
      </c>
      <c r="AW250" s="379">
        <f>SUM('21 Oct Mon'!BU250:BU260,'22 Oct Tues'!BU250:BU260,'23 Oct Wed'!BU250:BU260,'24 Oct Thurs'!BU250:BU260,'25 Oct Fri'!BU250:BU260,'26 Oct Sat'!BU250:BU260)</f>
        <v>0</v>
      </c>
      <c r="AX250" s="382">
        <f>SUM('21 Oct Mon'!BV250:BV260,'22 Oct Tues'!BV250:BV260,'23 Oct Wed'!BV250:BV260,'24 Oct Thurs'!BV250:BV260,'25 Oct Fri'!BV250:BV260,'26 Oct Sat'!BV250:BV260)</f>
        <v>0</v>
      </c>
      <c r="AY250" s="379">
        <f>SUM('21 Oct Mon'!BW250:BW260,'22 Oct Tues'!BW250:BW260,'23 Oct Wed'!BW250:BW260,'24 Oct Thurs'!BW250:BW260,'25 Oct Fri'!BW250:BW260,'26 Oct Sat'!BW250:BW260)</f>
        <v>0</v>
      </c>
      <c r="AZ250" s="385">
        <f>SUM('21 Oct Mon'!BX250:BX260,'22 Oct Tues'!BX250:BX260,'23 Oct Wed'!BX250:BX260,'24 Oct Thurs'!BX250:BX260,'25 Oct Fri'!BX250:BX260,'26 Oct Sat'!BX250:BX260)</f>
        <v>0</v>
      </c>
      <c r="BA250" s="386">
        <f>SUM('21 Oct Mon'!BY250:BY260,'22 Oct Tues'!BY250:BY260,'23 Oct Wed'!BY250:BY260,'24 Oct Thurs'!BY250:BY260,'25 Oct Fri'!BY250:BY260,'26 Oct Sat'!BY250:BY260)</f>
        <v>0</v>
      </c>
      <c r="BB250" s="386">
        <f>SUM('21 Oct Mon'!BZ250:BZ260,'22 Oct Tues'!BZ250:BZ260,'23 Oct Wed'!BZ250:BZ260,'24 Oct Thurs'!BZ250:BZ260,'25 Oct Fri'!BZ250:BZ260,'26 Oct Sat'!BZ250:BZ260)</f>
        <v>0</v>
      </c>
      <c r="BC250" s="386">
        <f>SUM('21 Oct Mon'!CA250:CA260,'22 Oct Tues'!CA250:CA260,'23 Oct Wed'!CA250:CA260,'24 Oct Thurs'!CA250:CA260,'25 Oct Fri'!CA250:CA260,'26 Oct Sat'!CA250:CA260)</f>
        <v>0</v>
      </c>
      <c r="BD250" s="386">
        <f>SUM('21 Oct Mon'!CB250:CB260,'22 Oct Tues'!CB250:CB260,'23 Oct Wed'!CB250:CB260,'24 Oct Thurs'!CB250:CB260,'25 Oct Fri'!CB250:CB260,'26 Oct Sat'!CB250:CB260)</f>
        <v>0</v>
      </c>
      <c r="BE250" s="386">
        <f>SUM('21 Oct Mon'!CC250:CC260,'22 Oct Tues'!CC250:CC260,'23 Oct Wed'!CC250:CC260,'24 Oct Thurs'!CC250:CC260,'25 Oct Fri'!CC250:CC260,'26 Oct Sat'!CC250:CC260)</f>
        <v>0</v>
      </c>
      <c r="BF250" s="386" t="str">
        <f>CONCATENATE("Mon-",'21 Oct Mon'!CD250:CD260,",Tues-",'22 Oct Tues'!CD250:CD260,",Wed-",'23 Oct Wed'!CD250:CD260,",Thurs-",'24 Oct Thurs'!CD250:CD260,",Fri-",'25 Oct Fri'!CD250:CD260,",Sat-",'26 Oct Sat'!CD250:CD260)</f>
        <v>Mon-,Tues-,Wed-,Thurs-,Fri-,Sat-</v>
      </c>
      <c r="BG250" s="388">
        <f>SUM('21 Oct Mon'!CE250:CE260,'22 Oct Tues'!CE250:CE260,'23 Oct Wed'!CE250:CE260,'24 Oct Thurs'!CE250:CE260,'25 Oct Fri'!CE250:CE260,'26 Oct Sat'!CE250:CE260)</f>
        <v>0</v>
      </c>
      <c r="BH250" s="389" t="str">
        <f>CONCATENATE("Mon-",'21 Oct Mon'!CF250:CF260,",Tues-",'22 Oct Tues'!CF250:CF260,",Wed-",'23 Oct Wed'!CF250:CF260,",Thurs-",'24 Oct Thurs'!CF250:CF260,",Fri-",'25 Oct Fri'!CF250:CF260,",Sat-",'26 Oct Sat'!CF250:CF260)</f>
        <v>Mon-,Tues-,Wed-,Thurs-,Fri-,Sat-</v>
      </c>
      <c r="BI250" s="383">
        <f>SUM('21 Oct Mon'!CG250:CG260,'22 Oct Tues'!CG250:CG260,'23 Oct Wed'!CG250:CG260,'24 Oct Thurs'!CG250:CG260,'25 Oct Fri'!CG250:CG260,'26 Oct Sat'!CG250:CG260)</f>
        <v>0</v>
      </c>
      <c r="BJ250" s="382">
        <f>SUM('21 Oct Mon'!CH250:CH260,'22 Oct Tues'!CH250:CH260,'23 Oct Wed'!CH250:CH260,'24 Oct Thurs'!CH250:CH260,'25 Oct Fri'!CH250:CH260,'26 Oct Sat'!CH250:CH260)</f>
        <v>0</v>
      </c>
      <c r="BK250" s="384">
        <f>SUM('21 Oct Mon'!CI250:CI260,'22 Oct Tues'!CI250:CI260,'23 Oct Wed'!CI250:CI260,'24 Oct Thurs'!CI250:CI260,'25 Oct Fri'!CI250:CI260,'26 Oct Sat'!CI250:CI260)</f>
        <v>0</v>
      </c>
      <c r="BL250" s="382" t="str">
        <f>CONCATENATE("Mon-",'21 Oct Mon'!CJ250:CJ260,",Tues-",'22 Oct Tues'!CJ250:CJ260,",Wed-",'23 Oct Wed'!CJ250:CJ260,",Thurs-",'24 Oct Thurs'!CJ250:CJ260,",Fri-",'25 Oct Fri'!CJ250:CJ260,",Sat-",'26 Oct Sat'!CJ250:CJ260)</f>
        <v>Mon-,Tues-,Wed-,Thurs-,Fri-,Sat-</v>
      </c>
      <c r="BM250" s="384">
        <f>SUM('21 Oct Mon'!CK250:CK260,'22 Oct Tues'!CK250:CK260,'23 Oct Wed'!CK250:CK260,'24 Oct Thurs'!CK250:CK260,'25 Oct Fri'!CK250:CK260,'26 Oct Sat'!CK250:CK260)</f>
        <v>0</v>
      </c>
      <c r="BN250" s="382" t="str">
        <f>CONCATENATE("Mon-",'21 Oct Mon'!CL250:CL260,",Tues-",'22 Oct Tues'!CL250:CL260,",Wed-",'23 Oct Wed'!CL250:CL260,",Thurs-",'24 Oct Thurs'!CL250:CL260,",Fri-",'25 Oct Fri'!CL250:CL260,",Sat-",'26 Oct Sat'!CL250:CL260)</f>
        <v>Mon-,Tues-,Wed-,Thurs-,Fri-,Sat-</v>
      </c>
      <c r="BO250" s="384">
        <f>SUM('21 Oct Mon'!CM250:CM260,'22 Oct Tues'!CM250:CM260,'23 Oct Wed'!CM250:CM260,'24 Oct Thurs'!CM250:CM260,'25 Oct Fri'!CM250:CM260,'26 Oct Sat'!CM250:CM260)</f>
        <v>0</v>
      </c>
      <c r="BP250" s="385" t="str">
        <f>CONCATENATE("Mon-",'21 Oct Mon'!CN250:CN260,",Tues-",'22 Oct Tues'!CN250:CN260,",Wed-",'23 Oct Wed'!CN250:CN260,",Thurs-",'24 Oct Thurs'!CN250:CN260,",Fri-",'25 Oct Fri'!CN250:CN260,",Sat-",'26 Oct Sat'!CN250:CN260)</f>
        <v>Mon-,Tues-,Wed-,Thurs-,Fri-,Sat-</v>
      </c>
      <c r="BQ250" s="387">
        <f>SUM('21 Oct Mon'!CO250:CO260,'22 Oct Tues'!CO250:CO260,'23 Oct Wed'!CO250:CO260,'24 Oct Thurs'!CO250:CO260,'25 Oct Fri'!CO250:CO260,'26 Oct Sat'!CO250:CO260)</f>
        <v>0</v>
      </c>
      <c r="BR250" s="379" t="str">
        <f>CONCATENATE("Mon-",'21 Oct Mon'!CP250:CP260,",Tues-",'22 Oct Tues'!CP250:CP260,",Wed-",'23 Oct Wed'!CP250:CP260,",Thurs-",'24 Oct Thurs'!CP250:CP260,",Fri-",'25 Oct Fri'!CP250:CP260,",Sat-",'26 Oct Sat'!CP250:CP260)</f>
        <v>Mon-,Tues-,Wed-,Thurs-,Fri-,Sat-</v>
      </c>
      <c r="BS250" s="390">
        <f>SUM('21 Oct Mon'!CQ250:CQ260,'22 Oct Tues'!CQ250:CQ260,'23 Oct Wed'!CQ250:CQ260,'24 Oct Thurs'!CQ250:CQ260,'25 Oct Fri'!CQ250:CQ260,'26 Oct Sat'!CQ250:CQ260)</f>
        <v>0</v>
      </c>
      <c r="BT250" s="390">
        <f>SUM('21 Oct Mon'!CR250:CR260,'22 Oct Tues'!CR250:CR260,'23 Oct Wed'!CR250:CR260,'24 Oct Thurs'!CR250:CR260,'25 Oct Fri'!CR250:CR260,'26 Oct Sat'!CR250:CR260)</f>
        <v>0</v>
      </c>
      <c r="BU250" s="391">
        <f>SUM('21 Oct Mon'!CS250:CS260,'22 Oct Tues'!CS250:CS260,'23 Oct Wed'!CS250:CS260,'24 Oct Thurs'!CS250:CS260,'25 Oct Fri'!CS250:CS260,'26 Oct Sat'!CS250:CS260)</f>
        <v>0</v>
      </c>
      <c r="BV250" s="392">
        <f>SUM('21 Oct Mon'!CT250:CT260,'22 Oct Tues'!CT250:CT260,'23 Oct Wed'!CT250:CT260,'24 Oct Thurs'!CT250:CT260,'25 Oct Fri'!CT250:CT260,'26 Oct Sat'!CT250:CT260)</f>
        <v>0</v>
      </c>
      <c r="BW250" s="393" t="str">
        <f>LEFT(U250,FIND("(",U250,1)-2)</f>
        <v>0</v>
      </c>
      <c r="BX250" s="394"/>
    </row>
    <row r="251" ht="15.75" hidden="1" customHeight="1">
      <c r="A251" s="65"/>
      <c r="B251" s="65"/>
      <c r="C251" s="416"/>
      <c r="D251" s="430"/>
      <c r="E251" s="431"/>
      <c r="F251" s="431"/>
      <c r="G251" s="431"/>
      <c r="H251" s="429"/>
      <c r="I251" s="431"/>
      <c r="J251" s="397"/>
      <c r="K251" s="398">
        <f t="shared" si="1"/>
        <v>0</v>
      </c>
      <c r="L251" s="173"/>
      <c r="M251" s="173"/>
      <c r="N251" s="177"/>
      <c r="O251" s="178"/>
      <c r="P251" s="178"/>
      <c r="Q251" s="178"/>
      <c r="R251" s="178"/>
      <c r="S251" s="182"/>
      <c r="T251" s="65"/>
      <c r="U251" s="64"/>
      <c r="V251" s="66"/>
      <c r="W251" s="173"/>
      <c r="X251" s="173"/>
      <c r="Y251" s="65"/>
      <c r="Z251" s="65"/>
      <c r="AA251" s="65"/>
      <c r="AB251" s="65"/>
      <c r="AC251" s="173"/>
      <c r="AD251" s="166"/>
      <c r="AE251" s="166"/>
      <c r="AF251" s="166"/>
      <c r="AG251" s="166"/>
      <c r="AH251" s="65"/>
      <c r="AJ251" s="177"/>
      <c r="AK251" s="178"/>
      <c r="AL251" s="181"/>
      <c r="AM251" s="166"/>
      <c r="AN251" s="166"/>
      <c r="AO251" s="177"/>
      <c r="AP251" s="178"/>
      <c r="AQ251" s="181"/>
      <c r="AR251" s="166"/>
      <c r="AS251" s="166"/>
      <c r="AT251" s="177"/>
      <c r="AU251" s="181"/>
      <c r="AV251" s="166"/>
      <c r="AW251" s="166"/>
      <c r="AX251" s="177"/>
      <c r="AY251" s="166"/>
      <c r="AZ251" s="177"/>
      <c r="BA251" s="178"/>
      <c r="BB251" s="178"/>
      <c r="BC251" s="178"/>
      <c r="BD251" s="178"/>
      <c r="BE251" s="178"/>
      <c r="BF251" s="178"/>
      <c r="BG251" s="179"/>
      <c r="BH251" s="180"/>
      <c r="BI251" s="178"/>
      <c r="BJ251" s="177"/>
      <c r="BK251" s="181"/>
      <c r="BL251" s="177"/>
      <c r="BM251" s="181"/>
      <c r="BN251" s="177"/>
      <c r="BO251" s="181"/>
      <c r="BP251" s="177"/>
      <c r="BQ251" s="181"/>
      <c r="BR251" s="166"/>
      <c r="BS251" s="166"/>
      <c r="BT251" s="166"/>
      <c r="BU251" s="65"/>
      <c r="BW251" s="178"/>
      <c r="BX251" s="399"/>
    </row>
    <row r="252" ht="15.75" hidden="1" customHeight="1">
      <c r="A252" s="65"/>
      <c r="B252" s="65"/>
      <c r="C252" s="416"/>
      <c r="D252" s="430"/>
      <c r="E252" s="431"/>
      <c r="F252" s="431"/>
      <c r="G252" s="431"/>
      <c r="H252" s="431"/>
      <c r="I252" s="431"/>
      <c r="J252" s="397"/>
      <c r="K252" s="398">
        <f t="shared" si="1"/>
        <v>0</v>
      </c>
      <c r="L252" s="173"/>
      <c r="M252" s="173"/>
      <c r="N252" s="177"/>
      <c r="O252" s="178"/>
      <c r="P252" s="178"/>
      <c r="Q252" s="178"/>
      <c r="R252" s="178"/>
      <c r="S252" s="182"/>
      <c r="T252" s="65"/>
      <c r="U252" s="64"/>
      <c r="V252" s="66"/>
      <c r="W252" s="173"/>
      <c r="X252" s="173"/>
      <c r="Y252" s="65"/>
      <c r="Z252" s="65"/>
      <c r="AA252" s="65"/>
      <c r="AB252" s="65"/>
      <c r="AC252" s="173"/>
      <c r="AD252" s="166"/>
      <c r="AE252" s="166"/>
      <c r="AF252" s="166"/>
      <c r="AG252" s="166"/>
      <c r="AH252" s="65"/>
      <c r="AJ252" s="177"/>
      <c r="AK252" s="178"/>
      <c r="AL252" s="181"/>
      <c r="AM252" s="166"/>
      <c r="AN252" s="166"/>
      <c r="AO252" s="177"/>
      <c r="AP252" s="178"/>
      <c r="AQ252" s="181"/>
      <c r="AR252" s="166"/>
      <c r="AS252" s="166"/>
      <c r="AT252" s="177"/>
      <c r="AU252" s="181"/>
      <c r="AV252" s="166"/>
      <c r="AW252" s="166"/>
      <c r="AX252" s="177"/>
      <c r="AY252" s="166"/>
      <c r="AZ252" s="177"/>
      <c r="BA252" s="178"/>
      <c r="BB252" s="178"/>
      <c r="BC252" s="178"/>
      <c r="BD252" s="178"/>
      <c r="BE252" s="178"/>
      <c r="BF252" s="178"/>
      <c r="BG252" s="179"/>
      <c r="BH252" s="180"/>
      <c r="BI252" s="178"/>
      <c r="BJ252" s="177"/>
      <c r="BK252" s="181"/>
      <c r="BL252" s="177"/>
      <c r="BM252" s="181"/>
      <c r="BN252" s="177"/>
      <c r="BO252" s="181"/>
      <c r="BP252" s="177"/>
      <c r="BQ252" s="181"/>
      <c r="BR252" s="166"/>
      <c r="BS252" s="166"/>
      <c r="BT252" s="166"/>
      <c r="BU252" s="65"/>
      <c r="BW252" s="178"/>
      <c r="BX252" s="399"/>
    </row>
    <row r="253" ht="15.75" hidden="1" customHeight="1">
      <c r="A253" s="65"/>
      <c r="B253" s="65"/>
      <c r="C253" s="416"/>
      <c r="D253" s="430"/>
      <c r="E253" s="431"/>
      <c r="F253" s="431"/>
      <c r="G253" s="431"/>
      <c r="H253" s="431"/>
      <c r="I253" s="431"/>
      <c r="J253" s="397"/>
      <c r="K253" s="398">
        <f t="shared" si="1"/>
        <v>0</v>
      </c>
      <c r="L253" s="173"/>
      <c r="M253" s="173"/>
      <c r="N253" s="177"/>
      <c r="O253" s="178"/>
      <c r="P253" s="178"/>
      <c r="Q253" s="178"/>
      <c r="R253" s="178"/>
      <c r="S253" s="182"/>
      <c r="T253" s="65"/>
      <c r="U253" s="64"/>
      <c r="V253" s="66"/>
      <c r="W253" s="173"/>
      <c r="X253" s="173"/>
      <c r="Y253" s="65"/>
      <c r="Z253" s="65"/>
      <c r="AA253" s="65"/>
      <c r="AB253" s="65"/>
      <c r="AC253" s="173"/>
      <c r="AD253" s="166"/>
      <c r="AE253" s="166"/>
      <c r="AF253" s="166"/>
      <c r="AG253" s="166"/>
      <c r="AH253" s="65"/>
      <c r="AJ253" s="177"/>
      <c r="AK253" s="178"/>
      <c r="AL253" s="181"/>
      <c r="AM253" s="166"/>
      <c r="AN253" s="166"/>
      <c r="AO253" s="177"/>
      <c r="AP253" s="178"/>
      <c r="AQ253" s="181"/>
      <c r="AR253" s="166"/>
      <c r="AS253" s="166"/>
      <c r="AT253" s="177"/>
      <c r="AU253" s="181"/>
      <c r="AV253" s="166"/>
      <c r="AW253" s="166"/>
      <c r="AX253" s="177"/>
      <c r="AY253" s="166"/>
      <c r="AZ253" s="177"/>
      <c r="BA253" s="178"/>
      <c r="BB253" s="178"/>
      <c r="BC253" s="178"/>
      <c r="BD253" s="178"/>
      <c r="BE253" s="178"/>
      <c r="BF253" s="178"/>
      <c r="BG253" s="179"/>
      <c r="BH253" s="180"/>
      <c r="BI253" s="178"/>
      <c r="BJ253" s="177"/>
      <c r="BK253" s="181"/>
      <c r="BL253" s="177"/>
      <c r="BM253" s="181"/>
      <c r="BN253" s="177"/>
      <c r="BO253" s="181"/>
      <c r="BP253" s="177"/>
      <c r="BQ253" s="181"/>
      <c r="BR253" s="166"/>
      <c r="BS253" s="166"/>
      <c r="BT253" s="166"/>
      <c r="BU253" s="65"/>
      <c r="BW253" s="178"/>
      <c r="BX253" s="399"/>
    </row>
    <row r="254" ht="15.75" hidden="1" customHeight="1">
      <c r="A254" s="65"/>
      <c r="B254" s="65"/>
      <c r="C254" s="416"/>
      <c r="D254" s="430"/>
      <c r="E254" s="431"/>
      <c r="F254" s="431"/>
      <c r="G254" s="431"/>
      <c r="H254" s="431"/>
      <c r="I254" s="431"/>
      <c r="J254" s="397"/>
      <c r="K254" s="398">
        <f t="shared" si="1"/>
        <v>0</v>
      </c>
      <c r="L254" s="173"/>
      <c r="M254" s="173"/>
      <c r="N254" s="177"/>
      <c r="O254" s="178"/>
      <c r="P254" s="178"/>
      <c r="Q254" s="178"/>
      <c r="R254" s="178"/>
      <c r="S254" s="182"/>
      <c r="T254" s="65"/>
      <c r="U254" s="64"/>
      <c r="V254" s="66"/>
      <c r="W254" s="173"/>
      <c r="X254" s="173"/>
      <c r="Y254" s="65"/>
      <c r="Z254" s="65"/>
      <c r="AA254" s="65"/>
      <c r="AB254" s="65"/>
      <c r="AC254" s="173"/>
      <c r="AD254" s="166"/>
      <c r="AE254" s="166"/>
      <c r="AF254" s="166"/>
      <c r="AG254" s="166"/>
      <c r="AH254" s="65"/>
      <c r="AJ254" s="177"/>
      <c r="AK254" s="178"/>
      <c r="AL254" s="181"/>
      <c r="AM254" s="166"/>
      <c r="AN254" s="166"/>
      <c r="AO254" s="177"/>
      <c r="AP254" s="178"/>
      <c r="AQ254" s="181"/>
      <c r="AR254" s="166"/>
      <c r="AS254" s="166"/>
      <c r="AT254" s="177"/>
      <c r="AU254" s="181"/>
      <c r="AV254" s="166"/>
      <c r="AW254" s="166"/>
      <c r="AX254" s="177"/>
      <c r="AY254" s="166"/>
      <c r="AZ254" s="177"/>
      <c r="BA254" s="178"/>
      <c r="BB254" s="178"/>
      <c r="BC254" s="178"/>
      <c r="BD254" s="178"/>
      <c r="BE254" s="178"/>
      <c r="BF254" s="178"/>
      <c r="BG254" s="179"/>
      <c r="BH254" s="180"/>
      <c r="BI254" s="178"/>
      <c r="BJ254" s="177"/>
      <c r="BK254" s="181"/>
      <c r="BL254" s="177"/>
      <c r="BM254" s="181"/>
      <c r="BN254" s="177"/>
      <c r="BO254" s="181"/>
      <c r="BP254" s="177"/>
      <c r="BQ254" s="181"/>
      <c r="BR254" s="166"/>
      <c r="BS254" s="166"/>
      <c r="BT254" s="166"/>
      <c r="BU254" s="65"/>
      <c r="BW254" s="178"/>
      <c r="BX254" s="399"/>
    </row>
    <row r="255" ht="15.75" hidden="1" customHeight="1">
      <c r="A255" s="65"/>
      <c r="B255" s="65"/>
      <c r="C255" s="416"/>
      <c r="D255" s="430"/>
      <c r="E255" s="431"/>
      <c r="F255" s="431"/>
      <c r="G255" s="431"/>
      <c r="H255" s="431"/>
      <c r="I255" s="431"/>
      <c r="J255" s="397"/>
      <c r="K255" s="398">
        <f t="shared" si="1"/>
        <v>0</v>
      </c>
      <c r="L255" s="173"/>
      <c r="M255" s="173"/>
      <c r="N255" s="177"/>
      <c r="O255" s="178"/>
      <c r="P255" s="178"/>
      <c r="Q255" s="178"/>
      <c r="R255" s="178"/>
      <c r="S255" s="182"/>
      <c r="T255" s="65"/>
      <c r="U255" s="64"/>
      <c r="V255" s="66"/>
      <c r="W255" s="173"/>
      <c r="X255" s="173"/>
      <c r="Y255" s="65"/>
      <c r="Z255" s="65"/>
      <c r="AA255" s="65"/>
      <c r="AB255" s="65"/>
      <c r="AC255" s="173"/>
      <c r="AD255" s="166"/>
      <c r="AE255" s="166"/>
      <c r="AF255" s="166"/>
      <c r="AG255" s="166"/>
      <c r="AH255" s="65"/>
      <c r="AJ255" s="177"/>
      <c r="AK255" s="178"/>
      <c r="AL255" s="181"/>
      <c r="AM255" s="166"/>
      <c r="AN255" s="166"/>
      <c r="AO255" s="177"/>
      <c r="AP255" s="178"/>
      <c r="AQ255" s="181"/>
      <c r="AR255" s="166"/>
      <c r="AS255" s="166"/>
      <c r="AT255" s="177"/>
      <c r="AU255" s="181"/>
      <c r="AV255" s="166"/>
      <c r="AW255" s="166"/>
      <c r="AX255" s="177"/>
      <c r="AY255" s="166"/>
      <c r="AZ255" s="177"/>
      <c r="BA255" s="178"/>
      <c r="BB255" s="178"/>
      <c r="BC255" s="178"/>
      <c r="BD255" s="178"/>
      <c r="BE255" s="178"/>
      <c r="BF255" s="178"/>
      <c r="BG255" s="179"/>
      <c r="BH255" s="180"/>
      <c r="BI255" s="178"/>
      <c r="BJ255" s="177"/>
      <c r="BK255" s="181"/>
      <c r="BL255" s="177"/>
      <c r="BM255" s="181"/>
      <c r="BN255" s="177"/>
      <c r="BO255" s="181"/>
      <c r="BP255" s="177"/>
      <c r="BQ255" s="181"/>
      <c r="BR255" s="166"/>
      <c r="BS255" s="166"/>
      <c r="BT255" s="166"/>
      <c r="BU255" s="65"/>
      <c r="BW255" s="178"/>
      <c r="BX255" s="399"/>
    </row>
    <row r="256" ht="15.75" hidden="1" customHeight="1">
      <c r="A256" s="65"/>
      <c r="B256" s="65"/>
      <c r="C256" s="416"/>
      <c r="D256" s="430"/>
      <c r="E256" s="431"/>
      <c r="F256" s="431"/>
      <c r="G256" s="431"/>
      <c r="H256" s="431"/>
      <c r="I256" s="431"/>
      <c r="J256" s="397"/>
      <c r="K256" s="398">
        <f t="shared" si="1"/>
        <v>0</v>
      </c>
      <c r="L256" s="173"/>
      <c r="M256" s="173"/>
      <c r="N256" s="177"/>
      <c r="O256" s="178"/>
      <c r="P256" s="178"/>
      <c r="Q256" s="178"/>
      <c r="R256" s="178"/>
      <c r="S256" s="182"/>
      <c r="T256" s="65"/>
      <c r="U256" s="64"/>
      <c r="V256" s="66"/>
      <c r="W256" s="173"/>
      <c r="X256" s="173"/>
      <c r="Y256" s="65"/>
      <c r="Z256" s="65"/>
      <c r="AA256" s="65"/>
      <c r="AB256" s="65"/>
      <c r="AC256" s="173"/>
      <c r="AD256" s="166"/>
      <c r="AE256" s="166"/>
      <c r="AF256" s="166"/>
      <c r="AG256" s="166"/>
      <c r="AH256" s="65"/>
      <c r="AJ256" s="177"/>
      <c r="AK256" s="178"/>
      <c r="AL256" s="181"/>
      <c r="AM256" s="166"/>
      <c r="AN256" s="166"/>
      <c r="AO256" s="177"/>
      <c r="AP256" s="178"/>
      <c r="AQ256" s="181"/>
      <c r="AR256" s="166"/>
      <c r="AS256" s="166"/>
      <c r="AT256" s="177"/>
      <c r="AU256" s="181"/>
      <c r="AV256" s="166"/>
      <c r="AW256" s="166"/>
      <c r="AX256" s="177"/>
      <c r="AY256" s="166"/>
      <c r="AZ256" s="177"/>
      <c r="BA256" s="178"/>
      <c r="BB256" s="178"/>
      <c r="BC256" s="178"/>
      <c r="BD256" s="178"/>
      <c r="BE256" s="178"/>
      <c r="BF256" s="178"/>
      <c r="BG256" s="179"/>
      <c r="BH256" s="180"/>
      <c r="BI256" s="178"/>
      <c r="BJ256" s="177"/>
      <c r="BK256" s="181"/>
      <c r="BL256" s="177"/>
      <c r="BM256" s="181"/>
      <c r="BN256" s="177"/>
      <c r="BO256" s="181"/>
      <c r="BP256" s="177"/>
      <c r="BQ256" s="181"/>
      <c r="BR256" s="166"/>
      <c r="BS256" s="166"/>
      <c r="BT256" s="166"/>
      <c r="BU256" s="65"/>
      <c r="BW256" s="178"/>
      <c r="BX256" s="399"/>
    </row>
    <row r="257" ht="15.75" hidden="1" customHeight="1">
      <c r="A257" s="65"/>
      <c r="B257" s="65"/>
      <c r="C257" s="416"/>
      <c r="D257" s="430"/>
      <c r="E257" s="431"/>
      <c r="F257" s="431"/>
      <c r="G257" s="431"/>
      <c r="H257" s="431"/>
      <c r="I257" s="431"/>
      <c r="J257" s="397"/>
      <c r="K257" s="398">
        <f t="shared" si="1"/>
        <v>0</v>
      </c>
      <c r="L257" s="173"/>
      <c r="M257" s="173"/>
      <c r="N257" s="177"/>
      <c r="O257" s="178"/>
      <c r="P257" s="178"/>
      <c r="Q257" s="178"/>
      <c r="R257" s="178"/>
      <c r="S257" s="182"/>
      <c r="T257" s="65"/>
      <c r="U257" s="64"/>
      <c r="V257" s="66"/>
      <c r="W257" s="173"/>
      <c r="X257" s="173"/>
      <c r="Y257" s="65"/>
      <c r="Z257" s="65"/>
      <c r="AA257" s="65"/>
      <c r="AB257" s="65"/>
      <c r="AC257" s="173"/>
      <c r="AD257" s="166"/>
      <c r="AE257" s="166"/>
      <c r="AF257" s="166"/>
      <c r="AG257" s="166"/>
      <c r="AH257" s="65"/>
      <c r="AJ257" s="177"/>
      <c r="AK257" s="178"/>
      <c r="AL257" s="181"/>
      <c r="AM257" s="166"/>
      <c r="AN257" s="166"/>
      <c r="AO257" s="177"/>
      <c r="AP257" s="178"/>
      <c r="AQ257" s="181"/>
      <c r="AR257" s="166"/>
      <c r="AS257" s="166"/>
      <c r="AT257" s="177"/>
      <c r="AU257" s="181"/>
      <c r="AV257" s="166"/>
      <c r="AW257" s="166"/>
      <c r="AX257" s="177"/>
      <c r="AY257" s="166"/>
      <c r="AZ257" s="177"/>
      <c r="BA257" s="178"/>
      <c r="BB257" s="178"/>
      <c r="BC257" s="178"/>
      <c r="BD257" s="178"/>
      <c r="BE257" s="178"/>
      <c r="BF257" s="178"/>
      <c r="BG257" s="179"/>
      <c r="BH257" s="180"/>
      <c r="BI257" s="178"/>
      <c r="BJ257" s="177"/>
      <c r="BK257" s="181"/>
      <c r="BL257" s="177"/>
      <c r="BM257" s="181"/>
      <c r="BN257" s="177"/>
      <c r="BO257" s="181"/>
      <c r="BP257" s="177"/>
      <c r="BQ257" s="181"/>
      <c r="BR257" s="166"/>
      <c r="BS257" s="166"/>
      <c r="BT257" s="166"/>
      <c r="BU257" s="65"/>
      <c r="BW257" s="178"/>
      <c r="BX257" s="399"/>
    </row>
    <row r="258" ht="15.75" hidden="1" customHeight="1">
      <c r="A258" s="65"/>
      <c r="B258" s="65"/>
      <c r="C258" s="416"/>
      <c r="D258" s="430"/>
      <c r="E258" s="431"/>
      <c r="F258" s="431"/>
      <c r="G258" s="431"/>
      <c r="H258" s="431"/>
      <c r="I258" s="431"/>
      <c r="J258" s="397"/>
      <c r="K258" s="398">
        <f t="shared" si="1"/>
        <v>0</v>
      </c>
      <c r="L258" s="173"/>
      <c r="M258" s="173"/>
      <c r="N258" s="177"/>
      <c r="O258" s="178"/>
      <c r="P258" s="178"/>
      <c r="Q258" s="178"/>
      <c r="R258" s="178"/>
      <c r="S258" s="182"/>
      <c r="T258" s="65"/>
      <c r="U258" s="64"/>
      <c r="V258" s="66"/>
      <c r="W258" s="173"/>
      <c r="X258" s="173"/>
      <c r="Y258" s="65"/>
      <c r="Z258" s="65"/>
      <c r="AA258" s="65"/>
      <c r="AB258" s="65"/>
      <c r="AC258" s="173"/>
      <c r="AD258" s="166"/>
      <c r="AE258" s="166"/>
      <c r="AF258" s="166"/>
      <c r="AG258" s="166"/>
      <c r="AH258" s="65"/>
      <c r="AJ258" s="177"/>
      <c r="AK258" s="178"/>
      <c r="AL258" s="181"/>
      <c r="AM258" s="166"/>
      <c r="AN258" s="166"/>
      <c r="AO258" s="177"/>
      <c r="AP258" s="178"/>
      <c r="AQ258" s="181"/>
      <c r="AR258" s="166"/>
      <c r="AS258" s="166"/>
      <c r="AT258" s="177"/>
      <c r="AU258" s="181"/>
      <c r="AV258" s="166"/>
      <c r="AW258" s="166"/>
      <c r="AX258" s="177"/>
      <c r="AY258" s="166"/>
      <c r="AZ258" s="177"/>
      <c r="BA258" s="178"/>
      <c r="BB258" s="178"/>
      <c r="BC258" s="178"/>
      <c r="BD258" s="178"/>
      <c r="BE258" s="178"/>
      <c r="BF258" s="178"/>
      <c r="BG258" s="179"/>
      <c r="BH258" s="180"/>
      <c r="BI258" s="178"/>
      <c r="BJ258" s="177"/>
      <c r="BK258" s="181"/>
      <c r="BL258" s="177"/>
      <c r="BM258" s="181"/>
      <c r="BN258" s="177"/>
      <c r="BO258" s="181"/>
      <c r="BP258" s="177"/>
      <c r="BQ258" s="181"/>
      <c r="BR258" s="166"/>
      <c r="BS258" s="166"/>
      <c r="BT258" s="166"/>
      <c r="BU258" s="65"/>
      <c r="BW258" s="178"/>
      <c r="BX258" s="399"/>
    </row>
    <row r="259" ht="15.75" hidden="1" customHeight="1">
      <c r="A259" s="65"/>
      <c r="B259" s="65"/>
      <c r="C259" s="416"/>
      <c r="D259" s="430"/>
      <c r="E259" s="431"/>
      <c r="F259" s="431"/>
      <c r="G259" s="431"/>
      <c r="H259" s="431"/>
      <c r="I259" s="431"/>
      <c r="J259" s="397"/>
      <c r="K259" s="398">
        <f t="shared" si="1"/>
        <v>0</v>
      </c>
      <c r="L259" s="173"/>
      <c r="M259" s="173"/>
      <c r="N259" s="177"/>
      <c r="O259" s="178"/>
      <c r="P259" s="178"/>
      <c r="Q259" s="178"/>
      <c r="R259" s="178"/>
      <c r="S259" s="182"/>
      <c r="T259" s="65"/>
      <c r="U259" s="64"/>
      <c r="V259" s="66"/>
      <c r="W259" s="173"/>
      <c r="X259" s="173"/>
      <c r="Y259" s="65"/>
      <c r="Z259" s="65"/>
      <c r="AA259" s="65"/>
      <c r="AB259" s="65"/>
      <c r="AC259" s="173"/>
      <c r="AD259" s="166"/>
      <c r="AE259" s="166"/>
      <c r="AF259" s="166"/>
      <c r="AG259" s="166"/>
      <c r="AH259" s="65"/>
      <c r="AJ259" s="177"/>
      <c r="AK259" s="178"/>
      <c r="AL259" s="181"/>
      <c r="AM259" s="166"/>
      <c r="AN259" s="166"/>
      <c r="AO259" s="177"/>
      <c r="AP259" s="178"/>
      <c r="AQ259" s="181"/>
      <c r="AR259" s="166"/>
      <c r="AS259" s="166"/>
      <c r="AT259" s="177"/>
      <c r="AU259" s="181"/>
      <c r="AV259" s="166"/>
      <c r="AW259" s="166"/>
      <c r="AX259" s="177"/>
      <c r="AY259" s="166"/>
      <c r="AZ259" s="177"/>
      <c r="BA259" s="178"/>
      <c r="BB259" s="178"/>
      <c r="BC259" s="178"/>
      <c r="BD259" s="178"/>
      <c r="BE259" s="178"/>
      <c r="BF259" s="178"/>
      <c r="BG259" s="179"/>
      <c r="BH259" s="180"/>
      <c r="BI259" s="178"/>
      <c r="BJ259" s="177"/>
      <c r="BK259" s="181"/>
      <c r="BL259" s="177"/>
      <c r="BM259" s="181"/>
      <c r="BN259" s="177"/>
      <c r="BO259" s="181"/>
      <c r="BP259" s="177"/>
      <c r="BQ259" s="181"/>
      <c r="BR259" s="166"/>
      <c r="BS259" s="166"/>
      <c r="BT259" s="166"/>
      <c r="BU259" s="65"/>
      <c r="BW259" s="178"/>
      <c r="BX259" s="399"/>
    </row>
    <row r="260" ht="15.75" hidden="1" customHeight="1">
      <c r="A260" s="89"/>
      <c r="B260" s="89"/>
      <c r="C260" s="417"/>
      <c r="D260" s="432"/>
      <c r="E260" s="433"/>
      <c r="F260" s="433"/>
      <c r="G260" s="433"/>
      <c r="H260" s="433"/>
      <c r="I260" s="433"/>
      <c r="J260" s="402"/>
      <c r="K260" s="403">
        <f t="shared" si="1"/>
        <v>0</v>
      </c>
      <c r="L260" s="69"/>
      <c r="M260" s="69"/>
      <c r="N260" s="192"/>
      <c r="O260" s="193"/>
      <c r="P260" s="193"/>
      <c r="Q260" s="193"/>
      <c r="R260" s="193"/>
      <c r="S260" s="197"/>
      <c r="T260" s="89"/>
      <c r="U260" s="103"/>
      <c r="V260" s="68"/>
      <c r="W260" s="69"/>
      <c r="X260" s="69"/>
      <c r="Y260" s="89"/>
      <c r="Z260" s="89"/>
      <c r="AA260" s="89"/>
      <c r="AB260" s="89"/>
      <c r="AC260" s="69"/>
      <c r="AD260" s="63"/>
      <c r="AE260" s="63"/>
      <c r="AF260" s="63"/>
      <c r="AG260" s="63"/>
      <c r="AH260" s="89"/>
      <c r="AI260" s="6"/>
      <c r="AJ260" s="192"/>
      <c r="AK260" s="193"/>
      <c r="AL260" s="196"/>
      <c r="AM260" s="63"/>
      <c r="AN260" s="63"/>
      <c r="AO260" s="192"/>
      <c r="AP260" s="193"/>
      <c r="AQ260" s="196"/>
      <c r="AR260" s="63"/>
      <c r="AS260" s="63"/>
      <c r="AT260" s="192"/>
      <c r="AU260" s="196"/>
      <c r="AV260" s="63"/>
      <c r="AW260" s="63"/>
      <c r="AX260" s="192"/>
      <c r="AY260" s="63"/>
      <c r="AZ260" s="192"/>
      <c r="BA260" s="193"/>
      <c r="BB260" s="193"/>
      <c r="BC260" s="193"/>
      <c r="BD260" s="193"/>
      <c r="BE260" s="193"/>
      <c r="BF260" s="193"/>
      <c r="BG260" s="194"/>
      <c r="BH260" s="195"/>
      <c r="BI260" s="193"/>
      <c r="BJ260" s="192"/>
      <c r="BK260" s="196"/>
      <c r="BL260" s="192"/>
      <c r="BM260" s="196"/>
      <c r="BN260" s="192"/>
      <c r="BO260" s="196"/>
      <c r="BP260" s="192"/>
      <c r="BQ260" s="196"/>
      <c r="BR260" s="63"/>
      <c r="BS260" s="63"/>
      <c r="BT260" s="63"/>
      <c r="BU260" s="89"/>
      <c r="BV260" s="6"/>
      <c r="BW260" s="198"/>
      <c r="BX260" s="404"/>
    </row>
    <row r="261" ht="61.5" hidden="1" customHeight="1">
      <c r="A261" s="125">
        <v>24.0</v>
      </c>
      <c r="B261" s="274"/>
      <c r="C261" s="427"/>
      <c r="D261" s="428"/>
      <c r="E261" s="429"/>
      <c r="F261" s="429"/>
      <c r="G261" s="429"/>
      <c r="H261" s="429"/>
      <c r="I261" s="429"/>
      <c r="J261" s="366"/>
      <c r="K261" s="367">
        <f t="shared" si="1"/>
        <v>0</v>
      </c>
      <c r="L261" s="368">
        <f>SUM(I261:I271)+SUM(K261:K271)*1</f>
        <v>0</v>
      </c>
      <c r="M261" s="368">
        <f>SUM('21 Oct Mon'!Q261:Q271,'22 Oct Tues'!Q261:Q271,'23 Oct Wed'!Q261:Q271,'24 Oct Thurs'!Q261:Q271,'25 Oct Fri'!Q261:Q271,'26 Oct Sat'!Q261:Q271)</f>
        <v>0</v>
      </c>
      <c r="N261" s="369">
        <f>SUM('21 Oct Mon'!R261:R271,'22 Oct Tues'!R261:R271,'23 Oct Wed'!R261:R271,'24 Oct Thurs'!R261:R271,'25 Oct Fri'!R261:R271,'26 Oct Sat'!R261:R271)</f>
        <v>0</v>
      </c>
      <c r="O261" s="370">
        <f>SUM(L261:N271)</f>
        <v>0</v>
      </c>
      <c r="P261" s="370">
        <f>SUM('21 Oct Mon'!T261:T271,'22 Oct Tues'!T261:T271,'23 Oct Wed'!T261:T271,'24 Oct Thurs'!T261:T271,'25 Oct Fri'!T261:T271,'26 Oct Sat'!T261:T271)</f>
        <v>0</v>
      </c>
      <c r="Q261" s="370">
        <f>SUM('21 Oct Mon'!U261:U271,'22 Oct Tues'!U261:U271,'23 Oct Wed'!U261:U271,'24 Oct Thurs'!U261:U271,'25 Oct Fri'!U261:U271,'26 Oct Sat'!U261:U271)</f>
        <v>0</v>
      </c>
      <c r="R261" s="370">
        <f>SUM('21 Oct Mon'!V261:V271,'22 Oct Tues'!V261:V271,'23 Oct Wed'!V261:V271,'24 Oct Thurs'!V261:V271,'25 Oct Fri'!V261:V271,'26 Oct Sat'!V261:V271)</f>
        <v>0</v>
      </c>
      <c r="S261" s="371">
        <f>SUM('21 Oct Mon'!W261:W271,'22 Oct Tues'!W261:W271,'23 Oct Wed'!W261:W271,'24 Oct Thurs'!W261:W271,'25 Oct Fri'!W261:W271,'26 Oct Sat'!W261:W271)</f>
        <v>0</v>
      </c>
      <c r="T261" s="372">
        <f>O261-P261-Q261-R261-S261</f>
        <v>0</v>
      </c>
      <c r="U261" s="373" t="str">
        <f>CONCATENATE(SUM('21 Oct Mon'!O261:O271,'22 Oct Tues'!O261:O271,'23 Oct Wed'!O261:O271,'24 Oct Thurs'!O261:O271,'25 Oct Fri'!O261:O271,'26 Oct Sat'!O261:O271),"
(",(SUM('21 Oct Mon'!O261:O271,'22 Oct Tues'!O261:O271,'23 Oct Wed'!O261:O271,'24 Oct Thurs'!O261:O271,'25 Oct Fri'!O261:O271,'26 Oct Sat'!O261:O271)-T261),")")</f>
        <v>0
(0)</v>
      </c>
      <c r="V261" s="374" t="str">
        <f>CONCATENATE("Mon-",'21 Oct Mon'!Z261:Z271,",Tues-",'22 Oct Tues'!Z261:Z271,",Wed-",'23 Oct Wed'!Z261:Z271,",Thurs-",'24 Oct Thurs'!Z261:Z271,",Fri-",'25 Oct Fri'!Z261:Z271,",Sat-",'26 Oct Sat'!Z261:Z271)</f>
        <v>Mon-,Tues-,Wed-,Thurs-,Fri-,Sat-</v>
      </c>
      <c r="W261" s="375">
        <f>SUM('21 Oct Mon'!AI261:AI271,'22 Oct Tues'!AI261:AI271,'23 Oct Wed'!AI261:AI271,'24 Oct Thurs'!AI261:AI271,'25 Oct Fri'!AI261:AI271,'26 Oct Sat'!AI261:AI271)</f>
        <v>0</v>
      </c>
      <c r="X261" s="375">
        <f>SUM('21 Oct Mon'!AM261:AM271,'22 Oct Tues'!AM261:AM271,'23 Oct Wed'!AM261:AM271,'24 Oct Thurs'!AM261:AM271,'25 Oct Fri'!AM261:AM271,'26 Oct Sat'!AM261:AM271)</f>
        <v>0</v>
      </c>
      <c r="Y261" s="376">
        <f>SUM('21 Oct Mon'!AP261:AP271,'22 Oct Tues'!AP261:AP271,'23 Oct Wed'!AP261:AP271,'24 Oct Thurs'!AP261:AP271,'25 Oct Fri'!AP261:AP271,'26 Oct Sat'!AP261:AP271)</f>
        <v>0</v>
      </c>
      <c r="Z261" s="376">
        <f>SUM('21 Oct Mon'!AQ261:AQ271,'22 Oct Tues'!AQ261:AQ271,'23 Oct Wed'!AQ261:AQ271,'24 Oct Thurs'!AQ261:AQ271,'25 Oct Fri'!AQ261:AQ271,'26 Oct Sat'!AQ261:AQ271)</f>
        <v>0</v>
      </c>
      <c r="AA261" s="377">
        <f>SUM('21 Oct Mon'!AR261:AR271,'22 Oct Tues'!AR261:AR271,'23 Oct Wed'!AR261:AR271,'24 Oct Thurs'!AR261:AR271,'25 Oct Fri'!AR261:AR271,'26 Oct Sat'!AR261:AR271)</f>
        <v>0</v>
      </c>
      <c r="AB261" s="377">
        <f>SUM('21 Oct Mon'!AS261:AS271,'22 Oct Tues'!AS261:AS271,'23 Oct Wed'!AS261:AS271,'24 Oct Thurs'!AS261:AS271,'25 Oct Fri'!AS261:AS271,'26 Oct Sat'!AS261:AS271)</f>
        <v>0</v>
      </c>
      <c r="AC261" s="378">
        <f>SUM('21 Oct Mon'!AT261:AT271,'22 Oct Tues'!AT261:AT271,'23 Oct Wed'!AT261:AT271,'24 Oct Thurs'!AT261:AT271,'25 Oct Fri'!AT261:AT271,'26 Oct Sat'!AT261:AT271)</f>
        <v>0</v>
      </c>
      <c r="AD261" s="379">
        <f>SUM('21 Oct Mon'!AU261:AU271,'22 Oct Tues'!AU261:AU271,'23 Oct Wed'!AU261:AU271,'24 Oct Thurs'!AU261:AU271,'25 Oct Fri'!AU261:AU271,'26 Oct Sat'!AU261:AU271)</f>
        <v>0</v>
      </c>
      <c r="AE261" s="379">
        <f>SUM('21 Oct Mon'!AV261:AV271,'22 Oct Tues'!AV261:AV271,'23 Oct Wed'!AV261:AV271,'24 Oct Thurs'!AV261:AV271,'25 Oct Fri'!AV261:AV271,'26 Oct Sat'!AV261:AV271)</f>
        <v>0</v>
      </c>
      <c r="AF261" s="379">
        <f>SUM('21 Oct Mon'!AW261:AW271,'22 Oct Tues'!AW261:AW271,'23 Oct Wed'!AW261:AW271,'24 Oct Thurs'!AW261:AW271,'25 Oct Fri'!AW261:AW271,'26 Oct Sat'!AW261:AW271)</f>
        <v>0</v>
      </c>
      <c r="AG261" s="379">
        <f>SUM('21 Oct Mon'!AX261:AX271,'22 Oct Tues'!AX261:AX271,'23 Oct Wed'!AX261:AX271,'24 Oct Thurs'!AX261:AX271,'25 Oct Fri'!AX261:AX271,'26 Oct Sat'!AX261:AX271)</f>
        <v>0</v>
      </c>
      <c r="AH261" s="380">
        <f>SUM('21 Oct Mon'!AY261:AY271,'22 Oct Tues'!AY261:AY271,'23 Oct Wed'!AY261:AY271,'24 Oct Thurs'!AY261:AY271,'25 Oct Fri'!AY261:AY271,'26 Oct Sat'!AY261:AY271)</f>
        <v>0</v>
      </c>
      <c r="AI261" s="381">
        <f>SUM('21 Oct Mon'!AZ261:AZ271,'22 Oct Tues'!AZ261:AZ271,'23 Oct Wed'!AZ261:AZ271,'24 Oct Thurs'!AZ261:AZ271,'25 Oct Fri'!AZ261:AZ271,'26 Oct Sat'!AZ261:AZ271)</f>
        <v>0</v>
      </c>
      <c r="AJ261" s="382">
        <f>SUM('21 Oct Mon'!BG261:BG271,'22 Oct Tues'!BG261:BG271,'23 Oct Wed'!BG261:BG271,'24 Oct Thurs'!BG261:BG271,'25 Oct Fri'!BG261:BG271,'26 Oct Sat'!BG261:BG271)</f>
        <v>0</v>
      </c>
      <c r="AK261" s="383">
        <f>SUM('21 Oct Mon'!BH261:BH271,'22 Oct Tues'!BH261:BH271,'23 Oct Wed'!BH261:BH271,'24 Oct Thurs'!BH261:BH271,'25 Oct Fri'!BH261:BH271,'26 Oct Sat'!BH261:BH271)</f>
        <v>0</v>
      </c>
      <c r="AL261" s="384">
        <f>SUM('21 Oct Mon'!BI261:BI271,'22 Oct Tues'!BI261:BI271,'23 Oct Wed'!BI261:BI271,'24 Oct Thurs'!BI261:BI271,'25 Oct Fri'!BI261:BI271,'26 Oct Sat'!BI261:BI271)</f>
        <v>0</v>
      </c>
      <c r="AM261" s="379">
        <f>SUM('21 Oct Mon'!BJ261:BJ271,'22 Oct Tues'!BJ261:BJ271,'23 Oct Wed'!BJ261:BJ271,'24 Oct Thurs'!BJ261:BJ271,'25 Oct Fri'!BJ261:BJ271,'26 Oct Sat'!BJ261:BJ271)</f>
        <v>0</v>
      </c>
      <c r="AN261" s="379">
        <f>SUM('21 Oct Mon'!BK261:BK271,'22 Oct Tues'!BK261:BK271,'23 Oct Wed'!BK261:BK271,'24 Oct Thurs'!BK261:BK271,'25 Oct Fri'!BK261:BK271,'26 Oct Sat'!BK261:BK271)</f>
        <v>0</v>
      </c>
      <c r="AO261" s="385">
        <f>SUM('21 Oct Mon'!BL261:BL271,'22 Oct Tues'!BL261:BL271,'23 Oct Wed'!BL261:BL271,'24 Oct Thurs'!BL261:BL271,'25 Oct Fri'!BL261:BL271,'26 Oct Sat'!BL261:BL271)</f>
        <v>0</v>
      </c>
      <c r="AP261" s="386">
        <f>SUM('21 Oct Mon'!BM261:BM271,'22 Oct Tues'!BM261:BM271,'23 Oct Wed'!BM261:BM271,'24 Oct Thurs'!BM261:BM271,'25 Oct Fri'!BM261:BM271,'26 Oct Sat'!BM261:BM271)</f>
        <v>0</v>
      </c>
      <c r="AQ261" s="387">
        <f>SUM('21 Oct Mon'!BN261:BN271,'22 Oct Tues'!BN261:BN271,'23 Oct Wed'!BN261:BN271,'24 Oct Thurs'!BN261:BN271,'25 Oct Fri'!BN261:BN271,'26 Oct Sat'!BN261:BN271)</f>
        <v>0</v>
      </c>
      <c r="AR261" s="379">
        <f>SUM('21 Oct Mon'!BO261:BO271,'22 Oct Tues'!BO261:BO271,'23 Oct Wed'!BO261:BO271,'24 Oct Thurs'!BO261:BO271,'25 Oct Fri'!BO261:BO271,'26 Oct Sat'!BO261:BO271)</f>
        <v>0</v>
      </c>
      <c r="AS261" s="379">
        <f>SUM('21 Oct Mon'!BP261:BP271,'22 Oct Tues'!BP261:BP271,'23 Oct Wed'!BP261:BP271,'24 Oct Thurs'!BP261:BP271,'25 Oct Fri'!BP261:BP271,'26 Oct Sat'!BP261:BP271)</f>
        <v>0</v>
      </c>
      <c r="AT261" s="382">
        <f>SUM('21 Oct Mon'!BR261:BR271,'22 Oct Tues'!BR261:BR271,'23 Oct Wed'!BR261:BR271,'24 Oct Thurs'!BR261:BR271,'25 Oct Fri'!BR261:BR271,'26 Oct Sat'!BR261:BR271)</f>
        <v>0</v>
      </c>
      <c r="AU261" s="384">
        <f>SUM('21 Oct Mon'!BS261:BS271,'22 Oct Tues'!BS261:BS271,'23 Oct Wed'!BS261:BS271,'24 Oct Thurs'!BS261:BS271,'25 Oct Fri'!BS261:BS271,'26 Oct Sat'!BS261:BS271)</f>
        <v>0</v>
      </c>
      <c r="AV261" s="379">
        <f>SUM('21 Oct Mon'!BT261:BT271,'22 Oct Tues'!BT261:BT271,'23 Oct Wed'!BT261:BT271,'24 Oct Thurs'!BT261:BT271,'25 Oct Fri'!BT261:BT271,'26 Oct Sat'!BT261:BT271)</f>
        <v>0</v>
      </c>
      <c r="AW261" s="379">
        <f>SUM('21 Oct Mon'!BU261:BU271,'22 Oct Tues'!BU261:BU271,'23 Oct Wed'!BU261:BU271,'24 Oct Thurs'!BU261:BU271,'25 Oct Fri'!BU261:BU271,'26 Oct Sat'!BU261:BU271)</f>
        <v>0</v>
      </c>
      <c r="AX261" s="382">
        <f>SUM('21 Oct Mon'!BV261:BV271,'22 Oct Tues'!BV261:BV271,'23 Oct Wed'!BV261:BV271,'24 Oct Thurs'!BV261:BV271,'25 Oct Fri'!BV261:BV271,'26 Oct Sat'!BV261:BV271)</f>
        <v>0</v>
      </c>
      <c r="AY261" s="379">
        <f>SUM('21 Oct Mon'!BW261:BW271,'22 Oct Tues'!BW261:BW271,'23 Oct Wed'!BW261:BW271,'24 Oct Thurs'!BW261:BW271,'25 Oct Fri'!BW261:BW271,'26 Oct Sat'!BW261:BW271)</f>
        <v>0</v>
      </c>
      <c r="AZ261" s="385">
        <f>SUM('21 Oct Mon'!BX261:BX271,'22 Oct Tues'!BX261:BX271,'23 Oct Wed'!BX261:BX271,'24 Oct Thurs'!BX261:BX271,'25 Oct Fri'!BX261:BX271,'26 Oct Sat'!BX261:BX271)</f>
        <v>0</v>
      </c>
      <c r="BA261" s="386">
        <f>SUM('21 Oct Mon'!BY261:BY271,'22 Oct Tues'!BY261:BY271,'23 Oct Wed'!BY261:BY271,'24 Oct Thurs'!BY261:BY271,'25 Oct Fri'!BY261:BY271,'26 Oct Sat'!BY261:BY271)</f>
        <v>0</v>
      </c>
      <c r="BB261" s="386">
        <f>SUM('21 Oct Mon'!BZ261:BZ271,'22 Oct Tues'!BZ261:BZ271,'23 Oct Wed'!BZ261:BZ271,'24 Oct Thurs'!BZ261:BZ271,'25 Oct Fri'!BZ261:BZ271,'26 Oct Sat'!BZ261:BZ271)</f>
        <v>0</v>
      </c>
      <c r="BC261" s="386">
        <f>SUM('21 Oct Mon'!CA261:CA271,'22 Oct Tues'!CA261:CA271,'23 Oct Wed'!CA261:CA271,'24 Oct Thurs'!CA261:CA271,'25 Oct Fri'!CA261:CA271,'26 Oct Sat'!CA261:CA271)</f>
        <v>0</v>
      </c>
      <c r="BD261" s="386">
        <f>SUM('21 Oct Mon'!CB261:CB271,'22 Oct Tues'!CB261:CB271,'23 Oct Wed'!CB261:CB271,'24 Oct Thurs'!CB261:CB271,'25 Oct Fri'!CB261:CB271,'26 Oct Sat'!CB261:CB271)</f>
        <v>0</v>
      </c>
      <c r="BE261" s="386">
        <f>SUM('21 Oct Mon'!CC261:CC271,'22 Oct Tues'!CC261:CC271,'23 Oct Wed'!CC261:CC271,'24 Oct Thurs'!CC261:CC271,'25 Oct Fri'!CC261:CC271,'26 Oct Sat'!CC261:CC271)</f>
        <v>0</v>
      </c>
      <c r="BF261" s="386" t="str">
        <f>CONCATENATE("Mon-",'21 Oct Mon'!CD261:CD271,",Tues-",'22 Oct Tues'!CD261:CD271,",Wed-",'23 Oct Wed'!CD261:CD271,",Thurs-",'24 Oct Thurs'!CD261:CD271,",Fri-",'25 Oct Fri'!CD261:CD271,",Sat-",'26 Oct Sat'!CD261:CD271)</f>
        <v>Mon-,Tues-,Wed-,Thurs-,Fri-,Sat-</v>
      </c>
      <c r="BG261" s="388">
        <f>SUM('21 Oct Mon'!CE261:CE271,'22 Oct Tues'!CE261:CE271,'23 Oct Wed'!CE261:CE271,'24 Oct Thurs'!CE261:CE271,'25 Oct Fri'!CE261:CE271,'26 Oct Sat'!CE261:CE271)</f>
        <v>0</v>
      </c>
      <c r="BH261" s="389" t="str">
        <f>CONCATENATE("Mon-",'21 Oct Mon'!CF261:CF271,",Tues-",'22 Oct Tues'!CF261:CF271,",Wed-",'23 Oct Wed'!CF261:CF271,",Thurs-",'24 Oct Thurs'!CF261:CF271,",Fri-",'25 Oct Fri'!CF261:CF271,",Sat-",'26 Oct Sat'!CF261:CF271)</f>
        <v>Mon-,Tues-,Wed-,Thurs-,Fri-,Sat-</v>
      </c>
      <c r="BI261" s="383">
        <f>SUM('21 Oct Mon'!CG261:CG271,'22 Oct Tues'!CG261:CG271,'23 Oct Wed'!CG261:CG271,'24 Oct Thurs'!CG261:CG271,'25 Oct Fri'!CG261:CG271,'26 Oct Sat'!CG261:CG271)</f>
        <v>0</v>
      </c>
      <c r="BJ261" s="382">
        <f>SUM('21 Oct Mon'!CH261:CH271,'22 Oct Tues'!CH261:CH271,'23 Oct Wed'!CH261:CH271,'24 Oct Thurs'!CH261:CH271,'25 Oct Fri'!CH261:CH271,'26 Oct Sat'!CH261:CH271)</f>
        <v>0</v>
      </c>
      <c r="BK261" s="384">
        <f>SUM('21 Oct Mon'!CI261:CI271,'22 Oct Tues'!CI261:CI271,'23 Oct Wed'!CI261:CI271,'24 Oct Thurs'!CI261:CI271,'25 Oct Fri'!CI261:CI271,'26 Oct Sat'!CI261:CI271)</f>
        <v>0</v>
      </c>
      <c r="BL261" s="382" t="str">
        <f>CONCATENATE("Mon-",'21 Oct Mon'!CJ261:CJ271,",Tues-",'22 Oct Tues'!CJ261:CJ271,",Wed-",'23 Oct Wed'!CJ261:CJ271,",Thurs-",'24 Oct Thurs'!CJ261:CJ271,",Fri-",'25 Oct Fri'!CJ261:CJ271,",Sat-",'26 Oct Sat'!CJ261:CJ271)</f>
        <v>Mon-,Tues-,Wed-,Thurs-,Fri-,Sat-</v>
      </c>
      <c r="BM261" s="384">
        <f>SUM('21 Oct Mon'!CK261:CK271,'22 Oct Tues'!CK261:CK271,'23 Oct Wed'!CK261:CK271,'24 Oct Thurs'!CK261:CK271,'25 Oct Fri'!CK261:CK271,'26 Oct Sat'!CK261:CK271)</f>
        <v>0</v>
      </c>
      <c r="BN261" s="382" t="str">
        <f>CONCATENATE("Mon-",'21 Oct Mon'!CL261:CL271,",Tues-",'22 Oct Tues'!CL261:CL271,",Wed-",'23 Oct Wed'!CL261:CL271,",Thurs-",'24 Oct Thurs'!CL261:CL271,",Fri-",'25 Oct Fri'!CL261:CL271,",Sat-",'26 Oct Sat'!CL261:CL271)</f>
        <v>Mon-,Tues-,Wed-,Thurs-,Fri-,Sat-</v>
      </c>
      <c r="BO261" s="384">
        <f>SUM('21 Oct Mon'!CM261:CM271,'22 Oct Tues'!CM261:CM271,'23 Oct Wed'!CM261:CM271,'24 Oct Thurs'!CM261:CM271,'25 Oct Fri'!CM261:CM271,'26 Oct Sat'!CM261:CM271)</f>
        <v>0</v>
      </c>
      <c r="BP261" s="385" t="str">
        <f>CONCATENATE("Mon-",'21 Oct Mon'!CN261:CN271,",Tues-",'22 Oct Tues'!CN261:CN271,",Wed-",'23 Oct Wed'!CN261:CN271,",Thurs-",'24 Oct Thurs'!CN261:CN271,",Fri-",'25 Oct Fri'!CN261:CN271,",Sat-",'26 Oct Sat'!CN261:CN271)</f>
        <v>Mon-,Tues-,Wed-,Thurs-,Fri-,Sat-</v>
      </c>
      <c r="BQ261" s="387">
        <f>SUM('21 Oct Mon'!CO261:CO271,'22 Oct Tues'!CO261:CO271,'23 Oct Wed'!CO261:CO271,'24 Oct Thurs'!CO261:CO271,'25 Oct Fri'!CO261:CO271,'26 Oct Sat'!CO261:CO271)</f>
        <v>0</v>
      </c>
      <c r="BR261" s="379" t="str">
        <f>CONCATENATE("Mon-",'21 Oct Mon'!CP261:CP271,",Tues-",'22 Oct Tues'!CP261:CP271,",Wed-",'23 Oct Wed'!CP261:CP271,",Thurs-",'24 Oct Thurs'!CP261:CP271,",Fri-",'25 Oct Fri'!CP261:CP271,",Sat-",'26 Oct Sat'!CP261:CP271)</f>
        <v>Mon-,Tues-,Wed-,Thurs-,Fri-,Sat-</v>
      </c>
      <c r="BS261" s="390">
        <f>SUM('21 Oct Mon'!CQ261:CQ271,'22 Oct Tues'!CQ261:CQ271,'23 Oct Wed'!CQ261:CQ271,'24 Oct Thurs'!CQ261:CQ271,'25 Oct Fri'!CQ261:CQ271,'26 Oct Sat'!CQ261:CQ271)</f>
        <v>0</v>
      </c>
      <c r="BT261" s="390">
        <f>SUM('21 Oct Mon'!CR261:CR271,'22 Oct Tues'!CR261:CR271,'23 Oct Wed'!CR261:CR271,'24 Oct Thurs'!CR261:CR271,'25 Oct Fri'!CR261:CR271,'26 Oct Sat'!CR261:CR271)</f>
        <v>0</v>
      </c>
      <c r="BU261" s="391">
        <f>SUM('21 Oct Mon'!CS261:CS271,'22 Oct Tues'!CS261:CS271,'23 Oct Wed'!CS261:CS271,'24 Oct Thurs'!CS261:CS271,'25 Oct Fri'!CS261:CS271,'26 Oct Sat'!CS261:CS271)</f>
        <v>0</v>
      </c>
      <c r="BV261" s="392">
        <f>SUM('21 Oct Mon'!CT261:CT271,'22 Oct Tues'!CT261:CT271,'23 Oct Wed'!CT261:CT271,'24 Oct Thurs'!CT261:CT271,'25 Oct Fri'!CT261:CT271,'26 Oct Sat'!CT261:CT271)</f>
        <v>0</v>
      </c>
      <c r="BW261" s="393" t="str">
        <f>LEFT(U261,FIND("(",U261,1)-2)</f>
        <v>0</v>
      </c>
      <c r="BX261" s="394"/>
    </row>
    <row r="262" ht="15.75" hidden="1" customHeight="1">
      <c r="A262" s="65"/>
      <c r="B262" s="65"/>
      <c r="C262" s="416"/>
      <c r="D262" s="430"/>
      <c r="E262" s="431"/>
      <c r="F262" s="431"/>
      <c r="G262" s="431"/>
      <c r="H262" s="429"/>
      <c r="I262" s="431"/>
      <c r="J262" s="397"/>
      <c r="K262" s="398">
        <f t="shared" si="1"/>
        <v>0</v>
      </c>
      <c r="L262" s="173"/>
      <c r="M262" s="173"/>
      <c r="N262" s="177"/>
      <c r="O262" s="178"/>
      <c r="P262" s="178"/>
      <c r="Q262" s="178"/>
      <c r="R262" s="178"/>
      <c r="S262" s="182"/>
      <c r="T262" s="65"/>
      <c r="U262" s="64"/>
      <c r="V262" s="66"/>
      <c r="W262" s="173"/>
      <c r="X262" s="173"/>
      <c r="Y262" s="65"/>
      <c r="Z262" s="65"/>
      <c r="AA262" s="65"/>
      <c r="AB262" s="65"/>
      <c r="AC262" s="173"/>
      <c r="AD262" s="166"/>
      <c r="AE262" s="166"/>
      <c r="AF262" s="166"/>
      <c r="AG262" s="166"/>
      <c r="AH262" s="65"/>
      <c r="AJ262" s="177"/>
      <c r="AK262" s="178"/>
      <c r="AL262" s="181"/>
      <c r="AM262" s="166"/>
      <c r="AN262" s="166"/>
      <c r="AO262" s="177"/>
      <c r="AP262" s="178"/>
      <c r="AQ262" s="181"/>
      <c r="AR262" s="166"/>
      <c r="AS262" s="166"/>
      <c r="AT262" s="177"/>
      <c r="AU262" s="181"/>
      <c r="AV262" s="166"/>
      <c r="AW262" s="166"/>
      <c r="AX262" s="177"/>
      <c r="AY262" s="166"/>
      <c r="AZ262" s="177"/>
      <c r="BA262" s="178"/>
      <c r="BB262" s="178"/>
      <c r="BC262" s="178"/>
      <c r="BD262" s="178"/>
      <c r="BE262" s="178"/>
      <c r="BF262" s="178"/>
      <c r="BG262" s="179"/>
      <c r="BH262" s="180"/>
      <c r="BI262" s="178"/>
      <c r="BJ262" s="177"/>
      <c r="BK262" s="181"/>
      <c r="BL262" s="177"/>
      <c r="BM262" s="181"/>
      <c r="BN262" s="177"/>
      <c r="BO262" s="181"/>
      <c r="BP262" s="177"/>
      <c r="BQ262" s="181"/>
      <c r="BR262" s="166"/>
      <c r="BS262" s="166"/>
      <c r="BT262" s="166"/>
      <c r="BU262" s="65"/>
      <c r="BW262" s="178"/>
      <c r="BX262" s="399"/>
    </row>
    <row r="263" ht="15.75" hidden="1" customHeight="1">
      <c r="A263" s="65"/>
      <c r="B263" s="65"/>
      <c r="C263" s="416"/>
      <c r="D263" s="430"/>
      <c r="E263" s="431"/>
      <c r="F263" s="431"/>
      <c r="G263" s="431"/>
      <c r="H263" s="431"/>
      <c r="I263" s="431"/>
      <c r="J263" s="397"/>
      <c r="K263" s="398">
        <f t="shared" si="1"/>
        <v>0</v>
      </c>
      <c r="L263" s="173"/>
      <c r="M263" s="173"/>
      <c r="N263" s="177"/>
      <c r="O263" s="178"/>
      <c r="P263" s="178"/>
      <c r="Q263" s="178"/>
      <c r="R263" s="178"/>
      <c r="S263" s="182"/>
      <c r="T263" s="65"/>
      <c r="U263" s="64"/>
      <c r="V263" s="66"/>
      <c r="W263" s="173"/>
      <c r="X263" s="173"/>
      <c r="Y263" s="65"/>
      <c r="Z263" s="65"/>
      <c r="AA263" s="65"/>
      <c r="AB263" s="65"/>
      <c r="AC263" s="173"/>
      <c r="AD263" s="166"/>
      <c r="AE263" s="166"/>
      <c r="AF263" s="166"/>
      <c r="AG263" s="166"/>
      <c r="AH263" s="65"/>
      <c r="AJ263" s="177"/>
      <c r="AK263" s="178"/>
      <c r="AL263" s="181"/>
      <c r="AM263" s="166"/>
      <c r="AN263" s="166"/>
      <c r="AO263" s="177"/>
      <c r="AP263" s="178"/>
      <c r="AQ263" s="181"/>
      <c r="AR263" s="166"/>
      <c r="AS263" s="166"/>
      <c r="AT263" s="177"/>
      <c r="AU263" s="181"/>
      <c r="AV263" s="166"/>
      <c r="AW263" s="166"/>
      <c r="AX263" s="177"/>
      <c r="AY263" s="166"/>
      <c r="AZ263" s="177"/>
      <c r="BA263" s="178"/>
      <c r="BB263" s="178"/>
      <c r="BC263" s="178"/>
      <c r="BD263" s="178"/>
      <c r="BE263" s="178"/>
      <c r="BF263" s="178"/>
      <c r="BG263" s="179"/>
      <c r="BH263" s="180"/>
      <c r="BI263" s="178"/>
      <c r="BJ263" s="177"/>
      <c r="BK263" s="181"/>
      <c r="BL263" s="177"/>
      <c r="BM263" s="181"/>
      <c r="BN263" s="177"/>
      <c r="BO263" s="181"/>
      <c r="BP263" s="177"/>
      <c r="BQ263" s="181"/>
      <c r="BR263" s="166"/>
      <c r="BS263" s="166"/>
      <c r="BT263" s="166"/>
      <c r="BU263" s="65"/>
      <c r="BW263" s="178"/>
      <c r="BX263" s="399"/>
    </row>
    <row r="264" ht="15.75" hidden="1" customHeight="1">
      <c r="A264" s="65"/>
      <c r="B264" s="65"/>
      <c r="C264" s="416"/>
      <c r="D264" s="430"/>
      <c r="E264" s="431"/>
      <c r="F264" s="431"/>
      <c r="G264" s="431"/>
      <c r="H264" s="431"/>
      <c r="I264" s="431"/>
      <c r="J264" s="397"/>
      <c r="K264" s="398">
        <f t="shared" si="1"/>
        <v>0</v>
      </c>
      <c r="L264" s="173"/>
      <c r="M264" s="173"/>
      <c r="N264" s="177"/>
      <c r="O264" s="178"/>
      <c r="P264" s="178"/>
      <c r="Q264" s="178"/>
      <c r="R264" s="178"/>
      <c r="S264" s="182"/>
      <c r="T264" s="65"/>
      <c r="U264" s="64"/>
      <c r="V264" s="66"/>
      <c r="W264" s="173"/>
      <c r="X264" s="173"/>
      <c r="Y264" s="65"/>
      <c r="Z264" s="65"/>
      <c r="AA264" s="65"/>
      <c r="AB264" s="65"/>
      <c r="AC264" s="173"/>
      <c r="AD264" s="166"/>
      <c r="AE264" s="166"/>
      <c r="AF264" s="166"/>
      <c r="AG264" s="166"/>
      <c r="AH264" s="65"/>
      <c r="AJ264" s="177"/>
      <c r="AK264" s="178"/>
      <c r="AL264" s="181"/>
      <c r="AM264" s="166"/>
      <c r="AN264" s="166"/>
      <c r="AO264" s="177"/>
      <c r="AP264" s="178"/>
      <c r="AQ264" s="181"/>
      <c r="AR264" s="166"/>
      <c r="AS264" s="166"/>
      <c r="AT264" s="177"/>
      <c r="AU264" s="181"/>
      <c r="AV264" s="166"/>
      <c r="AW264" s="166"/>
      <c r="AX264" s="177"/>
      <c r="AY264" s="166"/>
      <c r="AZ264" s="177"/>
      <c r="BA264" s="178"/>
      <c r="BB264" s="178"/>
      <c r="BC264" s="178"/>
      <c r="BD264" s="178"/>
      <c r="BE264" s="178"/>
      <c r="BF264" s="178"/>
      <c r="BG264" s="179"/>
      <c r="BH264" s="180"/>
      <c r="BI264" s="178"/>
      <c r="BJ264" s="177"/>
      <c r="BK264" s="181"/>
      <c r="BL264" s="177"/>
      <c r="BM264" s="181"/>
      <c r="BN264" s="177"/>
      <c r="BO264" s="181"/>
      <c r="BP264" s="177"/>
      <c r="BQ264" s="181"/>
      <c r="BR264" s="166"/>
      <c r="BS264" s="166"/>
      <c r="BT264" s="166"/>
      <c r="BU264" s="65"/>
      <c r="BW264" s="178"/>
      <c r="BX264" s="399"/>
    </row>
    <row r="265" ht="15.75" hidden="1" customHeight="1">
      <c r="A265" s="65"/>
      <c r="B265" s="65"/>
      <c r="C265" s="416"/>
      <c r="D265" s="430"/>
      <c r="E265" s="431"/>
      <c r="F265" s="431"/>
      <c r="G265" s="431"/>
      <c r="H265" s="431"/>
      <c r="I265" s="431"/>
      <c r="J265" s="397"/>
      <c r="K265" s="398">
        <f t="shared" si="1"/>
        <v>0</v>
      </c>
      <c r="L265" s="173"/>
      <c r="M265" s="173"/>
      <c r="N265" s="177"/>
      <c r="O265" s="178"/>
      <c r="P265" s="178"/>
      <c r="Q265" s="178"/>
      <c r="R265" s="178"/>
      <c r="S265" s="182"/>
      <c r="T265" s="65"/>
      <c r="U265" s="64"/>
      <c r="V265" s="66"/>
      <c r="W265" s="173"/>
      <c r="X265" s="173"/>
      <c r="Y265" s="65"/>
      <c r="Z265" s="65"/>
      <c r="AA265" s="65"/>
      <c r="AB265" s="65"/>
      <c r="AC265" s="173"/>
      <c r="AD265" s="166"/>
      <c r="AE265" s="166"/>
      <c r="AF265" s="166"/>
      <c r="AG265" s="166"/>
      <c r="AH265" s="65"/>
      <c r="AJ265" s="177"/>
      <c r="AK265" s="178"/>
      <c r="AL265" s="181"/>
      <c r="AM265" s="166"/>
      <c r="AN265" s="166"/>
      <c r="AO265" s="177"/>
      <c r="AP265" s="178"/>
      <c r="AQ265" s="181"/>
      <c r="AR265" s="166"/>
      <c r="AS265" s="166"/>
      <c r="AT265" s="177"/>
      <c r="AU265" s="181"/>
      <c r="AV265" s="166"/>
      <c r="AW265" s="166"/>
      <c r="AX265" s="177"/>
      <c r="AY265" s="166"/>
      <c r="AZ265" s="177"/>
      <c r="BA265" s="178"/>
      <c r="BB265" s="178"/>
      <c r="BC265" s="178"/>
      <c r="BD265" s="178"/>
      <c r="BE265" s="178"/>
      <c r="BF265" s="178"/>
      <c r="BG265" s="179"/>
      <c r="BH265" s="180"/>
      <c r="BI265" s="178"/>
      <c r="BJ265" s="177"/>
      <c r="BK265" s="181"/>
      <c r="BL265" s="177"/>
      <c r="BM265" s="181"/>
      <c r="BN265" s="177"/>
      <c r="BO265" s="181"/>
      <c r="BP265" s="177"/>
      <c r="BQ265" s="181"/>
      <c r="BR265" s="166"/>
      <c r="BS265" s="166"/>
      <c r="BT265" s="166"/>
      <c r="BU265" s="65"/>
      <c r="BW265" s="178"/>
      <c r="BX265" s="399"/>
    </row>
    <row r="266" ht="15.75" hidden="1" customHeight="1">
      <c r="A266" s="65"/>
      <c r="B266" s="65"/>
      <c r="C266" s="416"/>
      <c r="D266" s="430"/>
      <c r="E266" s="431"/>
      <c r="F266" s="431"/>
      <c r="G266" s="431"/>
      <c r="H266" s="431"/>
      <c r="I266" s="431"/>
      <c r="J266" s="397"/>
      <c r="K266" s="398">
        <f t="shared" si="1"/>
        <v>0</v>
      </c>
      <c r="L266" s="173"/>
      <c r="M266" s="173"/>
      <c r="N266" s="177"/>
      <c r="O266" s="178"/>
      <c r="P266" s="178"/>
      <c r="Q266" s="178"/>
      <c r="R266" s="178"/>
      <c r="S266" s="182"/>
      <c r="T266" s="65"/>
      <c r="U266" s="64"/>
      <c r="V266" s="66"/>
      <c r="W266" s="173"/>
      <c r="X266" s="173"/>
      <c r="Y266" s="65"/>
      <c r="Z266" s="65"/>
      <c r="AA266" s="65"/>
      <c r="AB266" s="65"/>
      <c r="AC266" s="173"/>
      <c r="AD266" s="166"/>
      <c r="AE266" s="166"/>
      <c r="AF266" s="166"/>
      <c r="AG266" s="166"/>
      <c r="AH266" s="65"/>
      <c r="AJ266" s="177"/>
      <c r="AK266" s="178"/>
      <c r="AL266" s="181"/>
      <c r="AM266" s="166"/>
      <c r="AN266" s="166"/>
      <c r="AO266" s="177"/>
      <c r="AP266" s="178"/>
      <c r="AQ266" s="181"/>
      <c r="AR266" s="166"/>
      <c r="AS266" s="166"/>
      <c r="AT266" s="177"/>
      <c r="AU266" s="181"/>
      <c r="AV266" s="166"/>
      <c r="AW266" s="166"/>
      <c r="AX266" s="177"/>
      <c r="AY266" s="166"/>
      <c r="AZ266" s="177"/>
      <c r="BA266" s="178"/>
      <c r="BB266" s="178"/>
      <c r="BC266" s="178"/>
      <c r="BD266" s="178"/>
      <c r="BE266" s="178"/>
      <c r="BF266" s="178"/>
      <c r="BG266" s="179"/>
      <c r="BH266" s="180"/>
      <c r="BI266" s="178"/>
      <c r="BJ266" s="177"/>
      <c r="BK266" s="181"/>
      <c r="BL266" s="177"/>
      <c r="BM266" s="181"/>
      <c r="BN266" s="177"/>
      <c r="BO266" s="181"/>
      <c r="BP266" s="177"/>
      <c r="BQ266" s="181"/>
      <c r="BR266" s="166"/>
      <c r="BS266" s="166"/>
      <c r="BT266" s="166"/>
      <c r="BU266" s="65"/>
      <c r="BW266" s="178"/>
      <c r="BX266" s="399"/>
    </row>
    <row r="267" ht="15.75" hidden="1" customHeight="1">
      <c r="A267" s="65"/>
      <c r="B267" s="65"/>
      <c r="C267" s="416"/>
      <c r="D267" s="430"/>
      <c r="E267" s="431"/>
      <c r="F267" s="431"/>
      <c r="G267" s="431"/>
      <c r="H267" s="431"/>
      <c r="I267" s="431"/>
      <c r="J267" s="397"/>
      <c r="K267" s="398">
        <f t="shared" si="1"/>
        <v>0</v>
      </c>
      <c r="L267" s="173"/>
      <c r="M267" s="173"/>
      <c r="N267" s="177"/>
      <c r="O267" s="178"/>
      <c r="P267" s="178"/>
      <c r="Q267" s="178"/>
      <c r="R267" s="178"/>
      <c r="S267" s="182"/>
      <c r="T267" s="65"/>
      <c r="U267" s="64"/>
      <c r="V267" s="66"/>
      <c r="W267" s="173"/>
      <c r="X267" s="173"/>
      <c r="Y267" s="65"/>
      <c r="Z267" s="65"/>
      <c r="AA267" s="65"/>
      <c r="AB267" s="65"/>
      <c r="AC267" s="173"/>
      <c r="AD267" s="166"/>
      <c r="AE267" s="166"/>
      <c r="AF267" s="166"/>
      <c r="AG267" s="166"/>
      <c r="AH267" s="65"/>
      <c r="AJ267" s="177"/>
      <c r="AK267" s="178"/>
      <c r="AL267" s="181"/>
      <c r="AM267" s="166"/>
      <c r="AN267" s="166"/>
      <c r="AO267" s="177"/>
      <c r="AP267" s="178"/>
      <c r="AQ267" s="181"/>
      <c r="AR267" s="166"/>
      <c r="AS267" s="166"/>
      <c r="AT267" s="177"/>
      <c r="AU267" s="181"/>
      <c r="AV267" s="166"/>
      <c r="AW267" s="166"/>
      <c r="AX267" s="177"/>
      <c r="AY267" s="166"/>
      <c r="AZ267" s="177"/>
      <c r="BA267" s="178"/>
      <c r="BB267" s="178"/>
      <c r="BC267" s="178"/>
      <c r="BD267" s="178"/>
      <c r="BE267" s="178"/>
      <c r="BF267" s="178"/>
      <c r="BG267" s="179"/>
      <c r="BH267" s="180"/>
      <c r="BI267" s="178"/>
      <c r="BJ267" s="177"/>
      <c r="BK267" s="181"/>
      <c r="BL267" s="177"/>
      <c r="BM267" s="181"/>
      <c r="BN267" s="177"/>
      <c r="BO267" s="181"/>
      <c r="BP267" s="177"/>
      <c r="BQ267" s="181"/>
      <c r="BR267" s="166"/>
      <c r="BS267" s="166"/>
      <c r="BT267" s="166"/>
      <c r="BU267" s="65"/>
      <c r="BW267" s="178"/>
      <c r="BX267" s="399"/>
    </row>
    <row r="268" ht="15.75" hidden="1" customHeight="1">
      <c r="A268" s="65"/>
      <c r="B268" s="65"/>
      <c r="C268" s="416"/>
      <c r="D268" s="430"/>
      <c r="E268" s="431"/>
      <c r="F268" s="431"/>
      <c r="G268" s="431"/>
      <c r="H268" s="431"/>
      <c r="I268" s="431"/>
      <c r="J268" s="397"/>
      <c r="K268" s="398">
        <f t="shared" si="1"/>
        <v>0</v>
      </c>
      <c r="L268" s="173"/>
      <c r="M268" s="173"/>
      <c r="N268" s="177"/>
      <c r="O268" s="178"/>
      <c r="P268" s="178"/>
      <c r="Q268" s="178"/>
      <c r="R268" s="178"/>
      <c r="S268" s="182"/>
      <c r="T268" s="65"/>
      <c r="U268" s="64"/>
      <c r="V268" s="66"/>
      <c r="W268" s="173"/>
      <c r="X268" s="173"/>
      <c r="Y268" s="65"/>
      <c r="Z268" s="65"/>
      <c r="AA268" s="65"/>
      <c r="AB268" s="65"/>
      <c r="AC268" s="173"/>
      <c r="AD268" s="166"/>
      <c r="AE268" s="166"/>
      <c r="AF268" s="166"/>
      <c r="AG268" s="166"/>
      <c r="AH268" s="65"/>
      <c r="AJ268" s="177"/>
      <c r="AK268" s="178"/>
      <c r="AL268" s="181"/>
      <c r="AM268" s="166"/>
      <c r="AN268" s="166"/>
      <c r="AO268" s="177"/>
      <c r="AP268" s="178"/>
      <c r="AQ268" s="181"/>
      <c r="AR268" s="166"/>
      <c r="AS268" s="166"/>
      <c r="AT268" s="177"/>
      <c r="AU268" s="181"/>
      <c r="AV268" s="166"/>
      <c r="AW268" s="166"/>
      <c r="AX268" s="177"/>
      <c r="AY268" s="166"/>
      <c r="AZ268" s="177"/>
      <c r="BA268" s="178"/>
      <c r="BB268" s="178"/>
      <c r="BC268" s="178"/>
      <c r="BD268" s="178"/>
      <c r="BE268" s="178"/>
      <c r="BF268" s="178"/>
      <c r="BG268" s="179"/>
      <c r="BH268" s="180"/>
      <c r="BI268" s="178"/>
      <c r="BJ268" s="177"/>
      <c r="BK268" s="181"/>
      <c r="BL268" s="177"/>
      <c r="BM268" s="181"/>
      <c r="BN268" s="177"/>
      <c r="BO268" s="181"/>
      <c r="BP268" s="177"/>
      <c r="BQ268" s="181"/>
      <c r="BR268" s="166"/>
      <c r="BS268" s="166"/>
      <c r="BT268" s="166"/>
      <c r="BU268" s="65"/>
      <c r="BW268" s="178"/>
      <c r="BX268" s="399"/>
    </row>
    <row r="269" ht="15.75" hidden="1" customHeight="1">
      <c r="A269" s="65"/>
      <c r="B269" s="65"/>
      <c r="C269" s="416"/>
      <c r="D269" s="430"/>
      <c r="E269" s="431"/>
      <c r="F269" s="431"/>
      <c r="G269" s="431"/>
      <c r="H269" s="431"/>
      <c r="I269" s="431"/>
      <c r="J269" s="397"/>
      <c r="K269" s="398">
        <f t="shared" si="1"/>
        <v>0</v>
      </c>
      <c r="L269" s="173"/>
      <c r="M269" s="173"/>
      <c r="N269" s="177"/>
      <c r="O269" s="178"/>
      <c r="P269" s="178"/>
      <c r="Q269" s="178"/>
      <c r="R269" s="178"/>
      <c r="S269" s="182"/>
      <c r="T269" s="65"/>
      <c r="U269" s="64"/>
      <c r="V269" s="66"/>
      <c r="W269" s="173"/>
      <c r="X269" s="173"/>
      <c r="Y269" s="65"/>
      <c r="Z269" s="65"/>
      <c r="AA269" s="65"/>
      <c r="AB269" s="65"/>
      <c r="AC269" s="173"/>
      <c r="AD269" s="166"/>
      <c r="AE269" s="166"/>
      <c r="AF269" s="166"/>
      <c r="AG269" s="166"/>
      <c r="AH269" s="65"/>
      <c r="AJ269" s="177"/>
      <c r="AK269" s="178"/>
      <c r="AL269" s="181"/>
      <c r="AM269" s="166"/>
      <c r="AN269" s="166"/>
      <c r="AO269" s="177"/>
      <c r="AP269" s="178"/>
      <c r="AQ269" s="181"/>
      <c r="AR269" s="166"/>
      <c r="AS269" s="166"/>
      <c r="AT269" s="177"/>
      <c r="AU269" s="181"/>
      <c r="AV269" s="166"/>
      <c r="AW269" s="166"/>
      <c r="AX269" s="177"/>
      <c r="AY269" s="166"/>
      <c r="AZ269" s="177"/>
      <c r="BA269" s="178"/>
      <c r="BB269" s="178"/>
      <c r="BC269" s="178"/>
      <c r="BD269" s="178"/>
      <c r="BE269" s="178"/>
      <c r="BF269" s="178"/>
      <c r="BG269" s="179"/>
      <c r="BH269" s="180"/>
      <c r="BI269" s="178"/>
      <c r="BJ269" s="177"/>
      <c r="BK269" s="181"/>
      <c r="BL269" s="177"/>
      <c r="BM269" s="181"/>
      <c r="BN269" s="177"/>
      <c r="BO269" s="181"/>
      <c r="BP269" s="177"/>
      <c r="BQ269" s="181"/>
      <c r="BR269" s="166"/>
      <c r="BS269" s="166"/>
      <c r="BT269" s="166"/>
      <c r="BU269" s="65"/>
      <c r="BW269" s="178"/>
      <c r="BX269" s="399"/>
    </row>
    <row r="270" ht="15.75" hidden="1" customHeight="1">
      <c r="A270" s="65"/>
      <c r="B270" s="65"/>
      <c r="C270" s="416"/>
      <c r="D270" s="430"/>
      <c r="E270" s="431"/>
      <c r="F270" s="431"/>
      <c r="G270" s="431"/>
      <c r="H270" s="431"/>
      <c r="I270" s="431"/>
      <c r="J270" s="397"/>
      <c r="K270" s="398">
        <f t="shared" si="1"/>
        <v>0</v>
      </c>
      <c r="L270" s="173"/>
      <c r="M270" s="173"/>
      <c r="N270" s="177"/>
      <c r="O270" s="178"/>
      <c r="P270" s="178"/>
      <c r="Q270" s="178"/>
      <c r="R270" s="178"/>
      <c r="S270" s="182"/>
      <c r="T270" s="65"/>
      <c r="U270" s="64"/>
      <c r="V270" s="66"/>
      <c r="W270" s="173"/>
      <c r="X270" s="173"/>
      <c r="Y270" s="65"/>
      <c r="Z270" s="65"/>
      <c r="AA270" s="65"/>
      <c r="AB270" s="65"/>
      <c r="AC270" s="173"/>
      <c r="AD270" s="166"/>
      <c r="AE270" s="166"/>
      <c r="AF270" s="166"/>
      <c r="AG270" s="166"/>
      <c r="AH270" s="65"/>
      <c r="AJ270" s="177"/>
      <c r="AK270" s="178"/>
      <c r="AL270" s="181"/>
      <c r="AM270" s="166"/>
      <c r="AN270" s="166"/>
      <c r="AO270" s="177"/>
      <c r="AP270" s="178"/>
      <c r="AQ270" s="181"/>
      <c r="AR270" s="166"/>
      <c r="AS270" s="166"/>
      <c r="AT270" s="177"/>
      <c r="AU270" s="181"/>
      <c r="AV270" s="166"/>
      <c r="AW270" s="166"/>
      <c r="AX270" s="177"/>
      <c r="AY270" s="166"/>
      <c r="AZ270" s="177"/>
      <c r="BA270" s="178"/>
      <c r="BB270" s="178"/>
      <c r="BC270" s="178"/>
      <c r="BD270" s="178"/>
      <c r="BE270" s="178"/>
      <c r="BF270" s="178"/>
      <c r="BG270" s="179"/>
      <c r="BH270" s="180"/>
      <c r="BI270" s="178"/>
      <c r="BJ270" s="177"/>
      <c r="BK270" s="181"/>
      <c r="BL270" s="177"/>
      <c r="BM270" s="181"/>
      <c r="BN270" s="177"/>
      <c r="BO270" s="181"/>
      <c r="BP270" s="177"/>
      <c r="BQ270" s="181"/>
      <c r="BR270" s="166"/>
      <c r="BS270" s="166"/>
      <c r="BT270" s="166"/>
      <c r="BU270" s="65"/>
      <c r="BW270" s="178"/>
      <c r="BX270" s="399"/>
    </row>
    <row r="271" ht="15.75" hidden="1" customHeight="1">
      <c r="A271" s="89"/>
      <c r="B271" s="89"/>
      <c r="C271" s="417"/>
      <c r="D271" s="432"/>
      <c r="E271" s="433"/>
      <c r="F271" s="433"/>
      <c r="G271" s="433"/>
      <c r="H271" s="433"/>
      <c r="I271" s="433"/>
      <c r="J271" s="402"/>
      <c r="K271" s="403">
        <f t="shared" si="1"/>
        <v>0</v>
      </c>
      <c r="L271" s="69"/>
      <c r="M271" s="69"/>
      <c r="N271" s="192"/>
      <c r="O271" s="193"/>
      <c r="P271" s="193"/>
      <c r="Q271" s="193"/>
      <c r="R271" s="193"/>
      <c r="S271" s="197"/>
      <c r="T271" s="89"/>
      <c r="U271" s="103"/>
      <c r="V271" s="68"/>
      <c r="W271" s="69"/>
      <c r="X271" s="69"/>
      <c r="Y271" s="89"/>
      <c r="Z271" s="89"/>
      <c r="AA271" s="89"/>
      <c r="AB271" s="89"/>
      <c r="AC271" s="69"/>
      <c r="AD271" s="63"/>
      <c r="AE271" s="63"/>
      <c r="AF271" s="63"/>
      <c r="AG271" s="63"/>
      <c r="AH271" s="89"/>
      <c r="AI271" s="6"/>
      <c r="AJ271" s="192"/>
      <c r="AK271" s="193"/>
      <c r="AL271" s="196"/>
      <c r="AM271" s="63"/>
      <c r="AN271" s="63"/>
      <c r="AO271" s="192"/>
      <c r="AP271" s="193"/>
      <c r="AQ271" s="196"/>
      <c r="AR271" s="63"/>
      <c r="AS271" s="63"/>
      <c r="AT271" s="192"/>
      <c r="AU271" s="196"/>
      <c r="AV271" s="63"/>
      <c r="AW271" s="63"/>
      <c r="AX271" s="192"/>
      <c r="AY271" s="63"/>
      <c r="AZ271" s="192"/>
      <c r="BA271" s="193"/>
      <c r="BB271" s="193"/>
      <c r="BC271" s="193"/>
      <c r="BD271" s="193"/>
      <c r="BE271" s="193"/>
      <c r="BF271" s="193"/>
      <c r="BG271" s="194"/>
      <c r="BH271" s="195"/>
      <c r="BI271" s="193"/>
      <c r="BJ271" s="192"/>
      <c r="BK271" s="196"/>
      <c r="BL271" s="192"/>
      <c r="BM271" s="196"/>
      <c r="BN271" s="192"/>
      <c r="BO271" s="196"/>
      <c r="BP271" s="192"/>
      <c r="BQ271" s="196"/>
      <c r="BR271" s="63"/>
      <c r="BS271" s="63"/>
      <c r="BT271" s="63"/>
      <c r="BU271" s="89"/>
      <c r="BV271" s="6"/>
      <c r="BW271" s="198"/>
      <c r="BX271" s="404"/>
    </row>
    <row r="272" ht="60.0" hidden="1" customHeight="1">
      <c r="A272" s="434">
        <v>25.0</v>
      </c>
      <c r="B272" s="274"/>
      <c r="C272" s="435"/>
      <c r="D272" s="428"/>
      <c r="E272" s="429"/>
      <c r="F272" s="429"/>
      <c r="G272" s="429"/>
      <c r="H272" s="429"/>
      <c r="I272" s="429"/>
      <c r="J272" s="366"/>
      <c r="K272" s="367">
        <f t="shared" si="1"/>
        <v>0</v>
      </c>
      <c r="L272" s="368">
        <f>SUM(I272:I282)+SUM(K272:K282)*1</f>
        <v>0</v>
      </c>
      <c r="M272" s="368">
        <f>SUM('21 Oct Mon'!Q272:Q282,'22 Oct Tues'!Q272:Q282,'23 Oct Wed'!Q272:Q282,'24 Oct Thurs'!Q272:Q282,'25 Oct Fri'!Q272:Q282,'26 Oct Sat'!Q272:Q282)</f>
        <v>0</v>
      </c>
      <c r="N272" s="369">
        <f>SUM('21 Oct Mon'!R272:R282,'22 Oct Tues'!R272:R282,'23 Oct Wed'!R272:R282,'24 Oct Thurs'!R272:R282,'25 Oct Fri'!R272:R282,'26 Oct Sat'!R272:R282)</f>
        <v>0</v>
      </c>
      <c r="O272" s="370">
        <f>SUM(L272:N282)</f>
        <v>0</v>
      </c>
      <c r="P272" s="370">
        <f>SUM('21 Oct Mon'!T272:T282,'22 Oct Tues'!T272:T282,'23 Oct Wed'!T272:T282,'24 Oct Thurs'!T272:T282,'25 Oct Fri'!T272:T282,'26 Oct Sat'!T272:T282)</f>
        <v>0</v>
      </c>
      <c r="Q272" s="370">
        <f>SUM('21 Oct Mon'!U272:U282,'22 Oct Tues'!U272:U282,'23 Oct Wed'!U272:U282,'24 Oct Thurs'!U272:U282,'25 Oct Fri'!U272:U282,'26 Oct Sat'!U272:U282)</f>
        <v>0</v>
      </c>
      <c r="R272" s="370">
        <f>SUM('21 Oct Mon'!V272:V282,'22 Oct Tues'!V272:V282,'23 Oct Wed'!V272:V282,'24 Oct Thurs'!V272:V282,'25 Oct Fri'!V272:V282,'26 Oct Sat'!V272:V282)</f>
        <v>0</v>
      </c>
      <c r="S272" s="371">
        <f>SUM('21 Oct Mon'!W272:W282,'22 Oct Tues'!W272:W282,'23 Oct Wed'!W272:W282,'24 Oct Thurs'!W272:W282,'25 Oct Fri'!W272:W282,'26 Oct Sat'!W272:W282)</f>
        <v>0</v>
      </c>
      <c r="T272" s="372">
        <f>O272-P272-Q272-R272-S272</f>
        <v>0</v>
      </c>
      <c r="U272" s="373" t="str">
        <f>CONCATENATE(SUM('21 Oct Mon'!O272:O282,'22 Oct Tues'!O272:O282,'23 Oct Wed'!O272:O282,'24 Oct Thurs'!O272:O282,'25 Oct Fri'!O272:O282,'26 Oct Sat'!O272:O282),"
(",(SUM('21 Oct Mon'!O272:O282,'22 Oct Tues'!O272:O282,'23 Oct Wed'!O272:O282,'24 Oct Thurs'!O272:O282,'25 Oct Fri'!O272:O282,'26 Oct Sat'!O272:O282)-T272),")")</f>
        <v>0
(0)</v>
      </c>
      <c r="V272" s="374" t="str">
        <f>CONCATENATE("Mon-",'21 Oct Mon'!Z272:Z282,",Tues-",'22 Oct Tues'!Z272:Z282,",Wed-",'23 Oct Wed'!Z272:Z282,",Thurs-",'24 Oct Thurs'!Z272:Z282,",Fri-",'25 Oct Fri'!Z272:Z282,",Sat-",'26 Oct Sat'!Z272:Z282)</f>
        <v>Mon-,Tues-,Wed-,Thurs-,Fri-,Sat-</v>
      </c>
      <c r="W272" s="375">
        <f>SUM('21 Oct Mon'!AI272:AI282,'22 Oct Tues'!AI272:AI282,'23 Oct Wed'!AI272:AI282,'24 Oct Thurs'!AI272:AI282,'25 Oct Fri'!AI272:AI282,'26 Oct Sat'!AI272:AI282)</f>
        <v>0</v>
      </c>
      <c r="X272" s="375">
        <f>SUM('21 Oct Mon'!AM272:AM282,'22 Oct Tues'!AM272:AM282,'23 Oct Wed'!AM272:AM282,'24 Oct Thurs'!AM272:AM282,'25 Oct Fri'!AM272:AM282,'26 Oct Sat'!AM272:AM282)</f>
        <v>0</v>
      </c>
      <c r="Y272" s="376">
        <f>SUM('21 Oct Mon'!AP272:AP282,'22 Oct Tues'!AP272:AP282,'23 Oct Wed'!AP272:AP282,'24 Oct Thurs'!AP272:AP282,'25 Oct Fri'!AP272:AP282,'26 Oct Sat'!AP272:AP282)</f>
        <v>0</v>
      </c>
      <c r="Z272" s="376">
        <f>SUM('21 Oct Mon'!AQ272:AQ282,'22 Oct Tues'!AQ272:AQ282,'23 Oct Wed'!AQ272:AQ282,'24 Oct Thurs'!AQ272:AQ282,'25 Oct Fri'!AQ272:AQ282,'26 Oct Sat'!AQ272:AQ282)</f>
        <v>0</v>
      </c>
      <c r="AA272" s="377">
        <f>SUM('21 Oct Mon'!AR272:AR282,'22 Oct Tues'!AR272:AR282,'23 Oct Wed'!AR272:AR282,'24 Oct Thurs'!AR272:AR282,'25 Oct Fri'!AR272:AR282,'26 Oct Sat'!AR272:AR282)</f>
        <v>0</v>
      </c>
      <c r="AB272" s="377">
        <f>SUM('21 Oct Mon'!AS272:AS282,'22 Oct Tues'!AS272:AS282,'23 Oct Wed'!AS272:AS282,'24 Oct Thurs'!AS272:AS282,'25 Oct Fri'!AS272:AS282,'26 Oct Sat'!AS272:AS282)</f>
        <v>0</v>
      </c>
      <c r="AC272" s="378">
        <f>SUM('21 Oct Mon'!AT272:AT282,'22 Oct Tues'!AT272:AT282,'23 Oct Wed'!AT272:AT282,'24 Oct Thurs'!AT272:AT282,'25 Oct Fri'!AT272:AT282,'26 Oct Sat'!AT272:AT282)</f>
        <v>0</v>
      </c>
      <c r="AD272" s="379">
        <f>SUM('21 Oct Mon'!AU272:AU282,'22 Oct Tues'!AU272:AU282,'23 Oct Wed'!AU272:AU282,'24 Oct Thurs'!AU272:AU282,'25 Oct Fri'!AU272:AU282,'26 Oct Sat'!AU272:AU282)</f>
        <v>0</v>
      </c>
      <c r="AE272" s="379">
        <f>SUM('21 Oct Mon'!AV272:AV282,'22 Oct Tues'!AV272:AV282,'23 Oct Wed'!AV272:AV282,'24 Oct Thurs'!AV272:AV282,'25 Oct Fri'!AV272:AV282,'26 Oct Sat'!AV272:AV282)</f>
        <v>0</v>
      </c>
      <c r="AF272" s="379">
        <f>SUM('21 Oct Mon'!AW272:AW282,'22 Oct Tues'!AW272:AW282,'23 Oct Wed'!AW272:AW282,'24 Oct Thurs'!AW272:AW282,'25 Oct Fri'!AW272:AW282,'26 Oct Sat'!AW272:AW282)</f>
        <v>0</v>
      </c>
      <c r="AG272" s="379">
        <f>SUM('21 Oct Mon'!AX272:AX282,'22 Oct Tues'!AX272:AX282,'23 Oct Wed'!AX272:AX282,'24 Oct Thurs'!AX272:AX282,'25 Oct Fri'!AX272:AX282,'26 Oct Sat'!AX272:AX282)</f>
        <v>0</v>
      </c>
      <c r="AH272" s="380">
        <f>SUM('21 Oct Mon'!AY272:AY282,'22 Oct Tues'!AY272:AY282,'23 Oct Wed'!AY272:AY282,'24 Oct Thurs'!AY272:AY282,'25 Oct Fri'!AY272:AY282,'26 Oct Sat'!AY272:AY282)</f>
        <v>0</v>
      </c>
      <c r="AI272" s="381">
        <f>SUM('21 Oct Mon'!AZ272:AZ282,'22 Oct Tues'!AZ272:AZ282,'23 Oct Wed'!AZ272:AZ282,'24 Oct Thurs'!AZ272:AZ282,'25 Oct Fri'!AZ272:AZ282,'26 Oct Sat'!AZ272:AZ282)</f>
        <v>0</v>
      </c>
      <c r="AJ272" s="382">
        <f>SUM('21 Oct Mon'!BG272:BG282,'22 Oct Tues'!BG272:BG282,'23 Oct Wed'!BG272:BG282,'24 Oct Thurs'!BG272:BG282,'25 Oct Fri'!BG272:BG282,'26 Oct Sat'!BG272:BG282)</f>
        <v>0</v>
      </c>
      <c r="AK272" s="383">
        <f>SUM('21 Oct Mon'!BH272:BH282,'22 Oct Tues'!BH272:BH282,'23 Oct Wed'!BH272:BH282,'24 Oct Thurs'!BH272:BH282,'25 Oct Fri'!BH272:BH282,'26 Oct Sat'!BH272:BH282)</f>
        <v>0</v>
      </c>
      <c r="AL272" s="384">
        <f>SUM('21 Oct Mon'!BI272:BI282,'22 Oct Tues'!BI272:BI282,'23 Oct Wed'!BI272:BI282,'24 Oct Thurs'!BI272:BI282,'25 Oct Fri'!BI272:BI282,'26 Oct Sat'!BI272:BI282)</f>
        <v>0</v>
      </c>
      <c r="AM272" s="379">
        <f>SUM('21 Oct Mon'!BJ272:BJ282,'22 Oct Tues'!BJ272:BJ282,'23 Oct Wed'!BJ272:BJ282,'24 Oct Thurs'!BJ272:BJ282,'25 Oct Fri'!BJ272:BJ282,'26 Oct Sat'!BJ272:BJ282)</f>
        <v>0</v>
      </c>
      <c r="AN272" s="379">
        <f>SUM('21 Oct Mon'!BK272:BK282,'22 Oct Tues'!BK272:BK282,'23 Oct Wed'!BK272:BK282,'24 Oct Thurs'!BK272:BK282,'25 Oct Fri'!BK272:BK282,'26 Oct Sat'!BK272:BK282)</f>
        <v>0</v>
      </c>
      <c r="AO272" s="385">
        <f>SUM('21 Oct Mon'!BL272:BL282,'22 Oct Tues'!BL272:BL282,'23 Oct Wed'!BL272:BL282,'24 Oct Thurs'!BL272:BL282,'25 Oct Fri'!BL272:BL282,'26 Oct Sat'!BL272:BL282)</f>
        <v>0</v>
      </c>
      <c r="AP272" s="386">
        <f>SUM('21 Oct Mon'!BM272:BM282,'22 Oct Tues'!BM272:BM282,'23 Oct Wed'!BM272:BM282,'24 Oct Thurs'!BM272:BM282,'25 Oct Fri'!BM272:BM282,'26 Oct Sat'!BM272:BM282)</f>
        <v>0</v>
      </c>
      <c r="AQ272" s="387">
        <f>SUM('21 Oct Mon'!BN272:BN282,'22 Oct Tues'!BN272:BN282,'23 Oct Wed'!BN272:BN282,'24 Oct Thurs'!BN272:BN282,'25 Oct Fri'!BN272:BN282,'26 Oct Sat'!BN272:BN282)</f>
        <v>0</v>
      </c>
      <c r="AR272" s="379">
        <f>SUM('21 Oct Mon'!BO272:BO282,'22 Oct Tues'!BO272:BO282,'23 Oct Wed'!BO272:BO282,'24 Oct Thurs'!BO272:BO282,'25 Oct Fri'!BO272:BO282,'26 Oct Sat'!BO272:BO282)</f>
        <v>0</v>
      </c>
      <c r="AS272" s="379">
        <f>SUM('21 Oct Mon'!BP272:BP282,'22 Oct Tues'!BP272:BP282,'23 Oct Wed'!BP272:BP282,'24 Oct Thurs'!BP272:BP282,'25 Oct Fri'!BP272:BP282,'26 Oct Sat'!BP272:BP282)</f>
        <v>0</v>
      </c>
      <c r="AT272" s="382">
        <f>SUM('21 Oct Mon'!BR272:BR282,'22 Oct Tues'!BR272:BR282,'23 Oct Wed'!BR272:BR282,'24 Oct Thurs'!BR272:BR282,'25 Oct Fri'!BR272:BR282,'26 Oct Sat'!BR272:BR282)</f>
        <v>0</v>
      </c>
      <c r="AU272" s="384">
        <f>SUM('21 Oct Mon'!BS272:BS282,'22 Oct Tues'!BS272:BS282,'23 Oct Wed'!BS272:BS282,'24 Oct Thurs'!BS272:BS282,'25 Oct Fri'!BS272:BS282,'26 Oct Sat'!BS272:BS282)</f>
        <v>0</v>
      </c>
      <c r="AV272" s="379">
        <f>SUM('21 Oct Mon'!BT272:BT282,'22 Oct Tues'!BT272:BT282,'23 Oct Wed'!BT272:BT282,'24 Oct Thurs'!BT272:BT282,'25 Oct Fri'!BT272:BT282,'26 Oct Sat'!BT272:BT282)</f>
        <v>0</v>
      </c>
      <c r="AW272" s="379">
        <f>SUM('21 Oct Mon'!BU272:BU282,'22 Oct Tues'!BU272:BU282,'23 Oct Wed'!BU272:BU282,'24 Oct Thurs'!BU272:BU282,'25 Oct Fri'!BU272:BU282,'26 Oct Sat'!BU272:BU282)</f>
        <v>0</v>
      </c>
      <c r="AX272" s="382">
        <f>SUM('21 Oct Mon'!BV272:BV282,'22 Oct Tues'!BV272:BV282,'23 Oct Wed'!BV272:BV282,'24 Oct Thurs'!BV272:BV282,'25 Oct Fri'!BV272:BV282,'26 Oct Sat'!BV272:BV282)</f>
        <v>0</v>
      </c>
      <c r="AY272" s="379">
        <f>SUM('21 Oct Mon'!BW272:BW282,'22 Oct Tues'!BW272:BW282,'23 Oct Wed'!BW272:BW282,'24 Oct Thurs'!BW272:BW282,'25 Oct Fri'!BW272:BW282,'26 Oct Sat'!BW272:BW282)</f>
        <v>0</v>
      </c>
      <c r="AZ272" s="385">
        <f>SUM('21 Oct Mon'!BX272:BX282,'22 Oct Tues'!BX272:BX282,'23 Oct Wed'!BX272:BX282,'24 Oct Thurs'!BX272:BX282,'25 Oct Fri'!BX272:BX282,'26 Oct Sat'!BX272:BX282)</f>
        <v>0</v>
      </c>
      <c r="BA272" s="386">
        <f>SUM('21 Oct Mon'!BY272:BY282,'22 Oct Tues'!BY272:BY282,'23 Oct Wed'!BY272:BY282,'24 Oct Thurs'!BY272:BY282,'25 Oct Fri'!BY272:BY282,'26 Oct Sat'!BY272:BY282)</f>
        <v>0</v>
      </c>
      <c r="BB272" s="386">
        <f>SUM('21 Oct Mon'!BZ272:BZ282,'22 Oct Tues'!BZ272:BZ282,'23 Oct Wed'!BZ272:BZ282,'24 Oct Thurs'!BZ272:BZ282,'25 Oct Fri'!BZ272:BZ282,'26 Oct Sat'!BZ272:BZ282)</f>
        <v>0</v>
      </c>
      <c r="BC272" s="386">
        <f>SUM('21 Oct Mon'!CA272:CA282,'22 Oct Tues'!CA272:CA282,'23 Oct Wed'!CA272:CA282,'24 Oct Thurs'!CA272:CA282,'25 Oct Fri'!CA272:CA282,'26 Oct Sat'!CA272:CA282)</f>
        <v>0</v>
      </c>
      <c r="BD272" s="386">
        <f>SUM('21 Oct Mon'!CB272:CB282,'22 Oct Tues'!CB272:CB282,'23 Oct Wed'!CB272:CB282,'24 Oct Thurs'!CB272:CB282,'25 Oct Fri'!CB272:CB282,'26 Oct Sat'!CB272:CB282)</f>
        <v>0</v>
      </c>
      <c r="BE272" s="386">
        <f>SUM('21 Oct Mon'!CC272:CC282,'22 Oct Tues'!CC272:CC282,'23 Oct Wed'!CC272:CC282,'24 Oct Thurs'!CC272:CC282,'25 Oct Fri'!CC272:CC282,'26 Oct Sat'!CC272:CC282)</f>
        <v>0</v>
      </c>
      <c r="BF272" s="386" t="str">
        <f>CONCATENATE("Mon-",'21 Oct Mon'!CD272:CD282,",Tues-",'22 Oct Tues'!CD272:CD282,",Wed-",'23 Oct Wed'!CD272:CD282,",Thurs-",'24 Oct Thurs'!CD272:CD282,",Fri-",'25 Oct Fri'!CD272:CD282,",Sat-",'26 Oct Sat'!CD272:CD282)</f>
        <v>Mon-,Tues-,Wed-,Thurs-,Fri-,Sat-</v>
      </c>
      <c r="BG272" s="388">
        <f>SUM('21 Oct Mon'!CE272:CE282,'22 Oct Tues'!CE272:CE282,'23 Oct Wed'!CE272:CE282,'24 Oct Thurs'!CE272:CE282,'25 Oct Fri'!CE272:CE282,'26 Oct Sat'!CE272:CE282)</f>
        <v>0</v>
      </c>
      <c r="BH272" s="389" t="str">
        <f>CONCATENATE("Mon-",'21 Oct Mon'!CF272:CF282,",Tues-",'22 Oct Tues'!CF272:CF282,",Wed-",'23 Oct Wed'!CF272:CF282,",Thurs-",'24 Oct Thurs'!CF272:CF282,",Fri-",'25 Oct Fri'!CF272:CF282,",Sat-",'26 Oct Sat'!CF272:CF282)</f>
        <v>Mon-,Tues-,Wed-,Thurs-,Fri-,Sat-</v>
      </c>
      <c r="BI272" s="383">
        <f>SUM('21 Oct Mon'!CG272:CG282,'22 Oct Tues'!CG272:CG282,'23 Oct Wed'!CG272:CG282,'24 Oct Thurs'!CG272:CG282,'25 Oct Fri'!CG272:CG282,'26 Oct Sat'!CG272:CG282)</f>
        <v>0</v>
      </c>
      <c r="BJ272" s="382">
        <f>SUM('21 Oct Mon'!CH272:CH282,'22 Oct Tues'!CH272:CH282,'23 Oct Wed'!CH272:CH282,'24 Oct Thurs'!CH272:CH282,'25 Oct Fri'!CH272:CH282,'26 Oct Sat'!CH272:CH282)</f>
        <v>0</v>
      </c>
      <c r="BK272" s="384">
        <f>SUM('21 Oct Mon'!CI272:CI282,'22 Oct Tues'!CI272:CI282,'23 Oct Wed'!CI272:CI282,'24 Oct Thurs'!CI272:CI282,'25 Oct Fri'!CI272:CI282,'26 Oct Sat'!CI272:CI282)</f>
        <v>0</v>
      </c>
      <c r="BL272" s="382" t="str">
        <f>CONCATENATE("Mon-",'21 Oct Mon'!CJ272:CJ282,",Tues-",'22 Oct Tues'!CJ272:CJ282,",Wed-",'23 Oct Wed'!CJ272:CJ282,",Thurs-",'24 Oct Thurs'!CJ272:CJ282,",Fri-",'25 Oct Fri'!CJ272:CJ282,",Sat-",'26 Oct Sat'!CJ272:CJ282)</f>
        <v>Mon-,Tues-,Wed-,Thurs-,Fri-,Sat-</v>
      </c>
      <c r="BM272" s="384">
        <f>SUM('21 Oct Mon'!CK272:CK282,'22 Oct Tues'!CK272:CK282,'23 Oct Wed'!CK272:CK282,'24 Oct Thurs'!CK272:CK282,'25 Oct Fri'!CK272:CK282,'26 Oct Sat'!CK272:CK282)</f>
        <v>0</v>
      </c>
      <c r="BN272" s="382" t="str">
        <f>CONCATENATE("Mon-",'21 Oct Mon'!CL272:CL282,",Tues-",'22 Oct Tues'!CL272:CL282,",Wed-",'23 Oct Wed'!CL272:CL282,",Thurs-",'24 Oct Thurs'!CL272:CL282,",Fri-",'25 Oct Fri'!CL272:CL282,",Sat-",'26 Oct Sat'!CL272:CL282)</f>
        <v>Mon-,Tues-,Wed-,Thurs-,Fri-,Sat-</v>
      </c>
      <c r="BO272" s="384">
        <f>SUM('21 Oct Mon'!CM272:CM282,'22 Oct Tues'!CM272:CM282,'23 Oct Wed'!CM272:CM282,'24 Oct Thurs'!CM272:CM282,'25 Oct Fri'!CM272:CM282,'26 Oct Sat'!CM272:CM282)</f>
        <v>0</v>
      </c>
      <c r="BP272" s="385" t="str">
        <f>CONCATENATE("Mon-",'21 Oct Mon'!CN272:CN282,",Tues-",'22 Oct Tues'!CN272:CN282,",Wed-",'23 Oct Wed'!CN272:CN282,",Thurs-",'24 Oct Thurs'!CN272:CN282,",Fri-",'25 Oct Fri'!CN272:CN282,",Sat-",'26 Oct Sat'!CN272:CN282)</f>
        <v>Mon-,Tues-,Wed-,Thurs-,Fri-,Sat-</v>
      </c>
      <c r="BQ272" s="387">
        <f>SUM('21 Oct Mon'!CO272:CO282,'22 Oct Tues'!CO272:CO282,'23 Oct Wed'!CO272:CO282,'24 Oct Thurs'!CO272:CO282,'25 Oct Fri'!CO272:CO282,'26 Oct Sat'!CO272:CO282)</f>
        <v>0</v>
      </c>
      <c r="BR272" s="379" t="str">
        <f>CONCATENATE("Mon-",'21 Oct Mon'!CP272:CP282,",Tues-",'22 Oct Tues'!CP272:CP282,",Wed-",'23 Oct Wed'!CP272:CP282,",Thurs-",'24 Oct Thurs'!CP272:CP282,",Fri-",'25 Oct Fri'!CP272:CP282,",Sat-",'26 Oct Sat'!CP272:CP282)</f>
        <v>Mon-,Tues-,Wed-,Thurs-,Fri-,Sat-</v>
      </c>
      <c r="BS272" s="390">
        <f>SUM('21 Oct Mon'!CQ272:CQ282,'22 Oct Tues'!CQ272:CQ282,'23 Oct Wed'!CQ272:CQ282,'24 Oct Thurs'!CQ272:CQ282,'25 Oct Fri'!CQ272:CQ282,'26 Oct Sat'!CQ272:CQ282)</f>
        <v>0</v>
      </c>
      <c r="BT272" s="390">
        <f>SUM('21 Oct Mon'!CR272:CR282,'22 Oct Tues'!CR272:CR282,'23 Oct Wed'!CR272:CR282,'24 Oct Thurs'!CR272:CR282,'25 Oct Fri'!CR272:CR282,'26 Oct Sat'!CR272:CR282)</f>
        <v>0</v>
      </c>
      <c r="BU272" s="391">
        <f>SUM('21 Oct Mon'!CS272:CS282,'22 Oct Tues'!CS272:CS282,'23 Oct Wed'!CS272:CS282,'24 Oct Thurs'!CS272:CS282,'25 Oct Fri'!CS272:CS282,'26 Oct Sat'!CS272:CS282)</f>
        <v>0</v>
      </c>
      <c r="BV272" s="392">
        <f>SUM('21 Oct Mon'!CT272:CT282,'22 Oct Tues'!CT272:CT282,'23 Oct Wed'!CT272:CT282,'24 Oct Thurs'!CT272:CT282,'25 Oct Fri'!CT272:CT282,'26 Oct Sat'!CT272:CT282)</f>
        <v>0</v>
      </c>
      <c r="BW272" s="393" t="str">
        <f>LEFT(U272,FIND("(",U272,1)-2)</f>
        <v>0</v>
      </c>
      <c r="BX272" s="394"/>
    </row>
    <row r="273" ht="60.0" hidden="1" customHeight="1">
      <c r="A273" s="173"/>
      <c r="B273" s="65"/>
      <c r="C273" s="436"/>
      <c r="D273" s="430"/>
      <c r="E273" s="431"/>
      <c r="F273" s="431"/>
      <c r="G273" s="431"/>
      <c r="H273" s="431"/>
      <c r="I273" s="431"/>
      <c r="J273" s="397"/>
      <c r="K273" s="398">
        <f t="shared" si="1"/>
        <v>0</v>
      </c>
      <c r="L273" s="173"/>
      <c r="M273" s="173"/>
      <c r="N273" s="177"/>
      <c r="O273" s="178"/>
      <c r="P273" s="178"/>
      <c r="Q273" s="178"/>
      <c r="R273" s="178"/>
      <c r="S273" s="182"/>
      <c r="T273" s="65"/>
      <c r="U273" s="64"/>
      <c r="V273" s="66"/>
      <c r="W273" s="173"/>
      <c r="X273" s="173"/>
      <c r="Y273" s="65"/>
      <c r="Z273" s="65"/>
      <c r="AA273" s="65"/>
      <c r="AB273" s="65"/>
      <c r="AC273" s="173"/>
      <c r="AD273" s="166"/>
      <c r="AE273" s="166"/>
      <c r="AF273" s="166"/>
      <c r="AG273" s="166"/>
      <c r="AH273" s="65"/>
      <c r="AJ273" s="177"/>
      <c r="AK273" s="178"/>
      <c r="AL273" s="181"/>
      <c r="AM273" s="166"/>
      <c r="AN273" s="166"/>
      <c r="AO273" s="177"/>
      <c r="AP273" s="178"/>
      <c r="AQ273" s="181"/>
      <c r="AR273" s="166"/>
      <c r="AS273" s="166"/>
      <c r="AT273" s="177"/>
      <c r="AU273" s="181"/>
      <c r="AV273" s="166"/>
      <c r="AW273" s="166"/>
      <c r="AX273" s="177"/>
      <c r="AY273" s="166"/>
      <c r="AZ273" s="177"/>
      <c r="BA273" s="178"/>
      <c r="BB273" s="178"/>
      <c r="BC273" s="178"/>
      <c r="BD273" s="178"/>
      <c r="BE273" s="178"/>
      <c r="BF273" s="178"/>
      <c r="BG273" s="179"/>
      <c r="BH273" s="180"/>
      <c r="BI273" s="178"/>
      <c r="BJ273" s="177"/>
      <c r="BK273" s="181"/>
      <c r="BL273" s="177"/>
      <c r="BM273" s="181"/>
      <c r="BN273" s="177"/>
      <c r="BO273" s="181"/>
      <c r="BP273" s="177"/>
      <c r="BQ273" s="181"/>
      <c r="BR273" s="166"/>
      <c r="BS273" s="166"/>
      <c r="BT273" s="166"/>
      <c r="BU273" s="65"/>
      <c r="BW273" s="178"/>
      <c r="BX273" s="399"/>
    </row>
    <row r="274" ht="60.0" hidden="1" customHeight="1">
      <c r="A274" s="173"/>
      <c r="B274" s="65"/>
      <c r="C274" s="436"/>
      <c r="D274" s="430"/>
      <c r="E274" s="431"/>
      <c r="F274" s="431"/>
      <c r="G274" s="431"/>
      <c r="H274" s="431"/>
      <c r="I274" s="431"/>
      <c r="J274" s="397"/>
      <c r="K274" s="398">
        <f t="shared" si="1"/>
        <v>0</v>
      </c>
      <c r="L274" s="173"/>
      <c r="M274" s="173"/>
      <c r="N274" s="177"/>
      <c r="O274" s="178"/>
      <c r="P274" s="178"/>
      <c r="Q274" s="178"/>
      <c r="R274" s="178"/>
      <c r="S274" s="182"/>
      <c r="T274" s="65"/>
      <c r="U274" s="64"/>
      <c r="V274" s="66"/>
      <c r="W274" s="173"/>
      <c r="X274" s="173"/>
      <c r="Y274" s="65"/>
      <c r="Z274" s="65"/>
      <c r="AA274" s="65"/>
      <c r="AB274" s="65"/>
      <c r="AC274" s="173"/>
      <c r="AD274" s="166"/>
      <c r="AE274" s="166"/>
      <c r="AF274" s="166"/>
      <c r="AG274" s="166"/>
      <c r="AH274" s="65"/>
      <c r="AJ274" s="177"/>
      <c r="AK274" s="178"/>
      <c r="AL274" s="181"/>
      <c r="AM274" s="166"/>
      <c r="AN274" s="166"/>
      <c r="AO274" s="177"/>
      <c r="AP274" s="178"/>
      <c r="AQ274" s="181"/>
      <c r="AR274" s="166"/>
      <c r="AS274" s="166"/>
      <c r="AT274" s="177"/>
      <c r="AU274" s="181"/>
      <c r="AV274" s="166"/>
      <c r="AW274" s="166"/>
      <c r="AX274" s="177"/>
      <c r="AY274" s="166"/>
      <c r="AZ274" s="177"/>
      <c r="BA274" s="178"/>
      <c r="BB274" s="178"/>
      <c r="BC274" s="178"/>
      <c r="BD274" s="178"/>
      <c r="BE274" s="178"/>
      <c r="BF274" s="178"/>
      <c r="BG274" s="179"/>
      <c r="BH274" s="180"/>
      <c r="BI274" s="178"/>
      <c r="BJ274" s="177"/>
      <c r="BK274" s="181"/>
      <c r="BL274" s="177"/>
      <c r="BM274" s="181"/>
      <c r="BN274" s="177"/>
      <c r="BO274" s="181"/>
      <c r="BP274" s="177"/>
      <c r="BQ274" s="181"/>
      <c r="BR274" s="166"/>
      <c r="BS274" s="166"/>
      <c r="BT274" s="166"/>
      <c r="BU274" s="65"/>
      <c r="BW274" s="178"/>
      <c r="BX274" s="399"/>
    </row>
    <row r="275" ht="60.0" hidden="1" customHeight="1">
      <c r="A275" s="173"/>
      <c r="B275" s="65"/>
      <c r="C275" s="436"/>
      <c r="D275" s="430"/>
      <c r="E275" s="431"/>
      <c r="F275" s="431"/>
      <c r="G275" s="431"/>
      <c r="H275" s="431"/>
      <c r="I275" s="431"/>
      <c r="J275" s="397"/>
      <c r="K275" s="398">
        <f t="shared" si="1"/>
        <v>0</v>
      </c>
      <c r="L275" s="173"/>
      <c r="M275" s="173"/>
      <c r="N275" s="177"/>
      <c r="O275" s="178"/>
      <c r="P275" s="178"/>
      <c r="Q275" s="178"/>
      <c r="R275" s="178"/>
      <c r="S275" s="182"/>
      <c r="T275" s="65"/>
      <c r="U275" s="64"/>
      <c r="V275" s="66"/>
      <c r="W275" s="173"/>
      <c r="X275" s="173"/>
      <c r="Y275" s="65"/>
      <c r="Z275" s="65"/>
      <c r="AA275" s="65"/>
      <c r="AB275" s="65"/>
      <c r="AC275" s="173"/>
      <c r="AD275" s="166"/>
      <c r="AE275" s="166"/>
      <c r="AF275" s="166"/>
      <c r="AG275" s="166"/>
      <c r="AH275" s="65"/>
      <c r="AJ275" s="177"/>
      <c r="AK275" s="178"/>
      <c r="AL275" s="181"/>
      <c r="AM275" s="166"/>
      <c r="AN275" s="166"/>
      <c r="AO275" s="177"/>
      <c r="AP275" s="178"/>
      <c r="AQ275" s="181"/>
      <c r="AR275" s="166"/>
      <c r="AS275" s="166"/>
      <c r="AT275" s="177"/>
      <c r="AU275" s="181"/>
      <c r="AV275" s="166"/>
      <c r="AW275" s="166"/>
      <c r="AX275" s="177"/>
      <c r="AY275" s="166"/>
      <c r="AZ275" s="177"/>
      <c r="BA275" s="178"/>
      <c r="BB275" s="178"/>
      <c r="BC275" s="178"/>
      <c r="BD275" s="178"/>
      <c r="BE275" s="178"/>
      <c r="BF275" s="178"/>
      <c r="BG275" s="179"/>
      <c r="BH275" s="180"/>
      <c r="BI275" s="178"/>
      <c r="BJ275" s="177"/>
      <c r="BK275" s="181"/>
      <c r="BL275" s="177"/>
      <c r="BM275" s="181"/>
      <c r="BN275" s="177"/>
      <c r="BO275" s="181"/>
      <c r="BP275" s="177"/>
      <c r="BQ275" s="181"/>
      <c r="BR275" s="166"/>
      <c r="BS275" s="166"/>
      <c r="BT275" s="166"/>
      <c r="BU275" s="65"/>
      <c r="BW275" s="178"/>
      <c r="BX275" s="399"/>
    </row>
    <row r="276" ht="60.0" hidden="1" customHeight="1">
      <c r="A276" s="173"/>
      <c r="B276" s="65"/>
      <c r="C276" s="436"/>
      <c r="D276" s="430"/>
      <c r="E276" s="431"/>
      <c r="F276" s="431"/>
      <c r="G276" s="431"/>
      <c r="H276" s="431"/>
      <c r="I276" s="431"/>
      <c r="J276" s="397"/>
      <c r="K276" s="398">
        <f t="shared" si="1"/>
        <v>0</v>
      </c>
      <c r="L276" s="173"/>
      <c r="M276" s="173"/>
      <c r="N276" s="177"/>
      <c r="O276" s="178"/>
      <c r="P276" s="178"/>
      <c r="Q276" s="178"/>
      <c r="R276" s="178"/>
      <c r="S276" s="182"/>
      <c r="T276" s="65"/>
      <c r="U276" s="64"/>
      <c r="V276" s="66"/>
      <c r="W276" s="173"/>
      <c r="X276" s="173"/>
      <c r="Y276" s="65"/>
      <c r="Z276" s="65"/>
      <c r="AA276" s="65"/>
      <c r="AB276" s="65"/>
      <c r="AC276" s="173"/>
      <c r="AD276" s="166"/>
      <c r="AE276" s="166"/>
      <c r="AF276" s="166"/>
      <c r="AG276" s="166"/>
      <c r="AH276" s="65"/>
      <c r="AJ276" s="177"/>
      <c r="AK276" s="178"/>
      <c r="AL276" s="181"/>
      <c r="AM276" s="166"/>
      <c r="AN276" s="166"/>
      <c r="AO276" s="177"/>
      <c r="AP276" s="178"/>
      <c r="AQ276" s="181"/>
      <c r="AR276" s="166"/>
      <c r="AS276" s="166"/>
      <c r="AT276" s="177"/>
      <c r="AU276" s="181"/>
      <c r="AV276" s="166"/>
      <c r="AW276" s="166"/>
      <c r="AX276" s="177"/>
      <c r="AY276" s="166"/>
      <c r="AZ276" s="177"/>
      <c r="BA276" s="178"/>
      <c r="BB276" s="178"/>
      <c r="BC276" s="178"/>
      <c r="BD276" s="178"/>
      <c r="BE276" s="178"/>
      <c r="BF276" s="178"/>
      <c r="BG276" s="179"/>
      <c r="BH276" s="180"/>
      <c r="BI276" s="178"/>
      <c r="BJ276" s="177"/>
      <c r="BK276" s="181"/>
      <c r="BL276" s="177"/>
      <c r="BM276" s="181"/>
      <c r="BN276" s="177"/>
      <c r="BO276" s="181"/>
      <c r="BP276" s="177"/>
      <c r="BQ276" s="181"/>
      <c r="BR276" s="166"/>
      <c r="BS276" s="166"/>
      <c r="BT276" s="166"/>
      <c r="BU276" s="65"/>
      <c r="BW276" s="178"/>
      <c r="BX276" s="399"/>
    </row>
    <row r="277" ht="60.0" hidden="1" customHeight="1">
      <c r="A277" s="173"/>
      <c r="B277" s="65"/>
      <c r="C277" s="436"/>
      <c r="D277" s="430"/>
      <c r="E277" s="431"/>
      <c r="F277" s="431"/>
      <c r="G277" s="431"/>
      <c r="H277" s="431"/>
      <c r="I277" s="431"/>
      <c r="J277" s="397"/>
      <c r="K277" s="398">
        <f t="shared" si="1"/>
        <v>0</v>
      </c>
      <c r="L277" s="173"/>
      <c r="M277" s="173"/>
      <c r="N277" s="177"/>
      <c r="O277" s="178"/>
      <c r="P277" s="178"/>
      <c r="Q277" s="178"/>
      <c r="R277" s="178"/>
      <c r="S277" s="182"/>
      <c r="T277" s="65"/>
      <c r="U277" s="64"/>
      <c r="V277" s="66"/>
      <c r="W277" s="173"/>
      <c r="X277" s="173"/>
      <c r="Y277" s="65"/>
      <c r="Z277" s="65"/>
      <c r="AA277" s="65"/>
      <c r="AB277" s="65"/>
      <c r="AC277" s="173"/>
      <c r="AD277" s="166"/>
      <c r="AE277" s="166"/>
      <c r="AF277" s="166"/>
      <c r="AG277" s="166"/>
      <c r="AH277" s="65"/>
      <c r="AJ277" s="177"/>
      <c r="AK277" s="178"/>
      <c r="AL277" s="181"/>
      <c r="AM277" s="166"/>
      <c r="AN277" s="166"/>
      <c r="AO277" s="177"/>
      <c r="AP277" s="178"/>
      <c r="AQ277" s="181"/>
      <c r="AR277" s="166"/>
      <c r="AS277" s="166"/>
      <c r="AT277" s="177"/>
      <c r="AU277" s="181"/>
      <c r="AV277" s="166"/>
      <c r="AW277" s="166"/>
      <c r="AX277" s="177"/>
      <c r="AY277" s="166"/>
      <c r="AZ277" s="177"/>
      <c r="BA277" s="178"/>
      <c r="BB277" s="178"/>
      <c r="BC277" s="178"/>
      <c r="BD277" s="178"/>
      <c r="BE277" s="178"/>
      <c r="BF277" s="178"/>
      <c r="BG277" s="179"/>
      <c r="BH277" s="180"/>
      <c r="BI277" s="178"/>
      <c r="BJ277" s="177"/>
      <c r="BK277" s="181"/>
      <c r="BL277" s="177"/>
      <c r="BM277" s="181"/>
      <c r="BN277" s="177"/>
      <c r="BO277" s="181"/>
      <c r="BP277" s="177"/>
      <c r="BQ277" s="181"/>
      <c r="BR277" s="166"/>
      <c r="BS277" s="166"/>
      <c r="BT277" s="166"/>
      <c r="BU277" s="65"/>
      <c r="BW277" s="178"/>
      <c r="BX277" s="399"/>
    </row>
    <row r="278" ht="60.0" hidden="1" customHeight="1">
      <c r="A278" s="173"/>
      <c r="B278" s="65"/>
      <c r="C278" s="436"/>
      <c r="D278" s="430"/>
      <c r="E278" s="431"/>
      <c r="F278" s="431"/>
      <c r="G278" s="431"/>
      <c r="H278" s="431"/>
      <c r="I278" s="431"/>
      <c r="J278" s="397"/>
      <c r="K278" s="398">
        <f t="shared" si="1"/>
        <v>0</v>
      </c>
      <c r="L278" s="173"/>
      <c r="M278" s="173"/>
      <c r="N278" s="177"/>
      <c r="O278" s="178"/>
      <c r="P278" s="178"/>
      <c r="Q278" s="178"/>
      <c r="R278" s="178"/>
      <c r="S278" s="182"/>
      <c r="T278" s="65"/>
      <c r="U278" s="64"/>
      <c r="V278" s="66"/>
      <c r="W278" s="173"/>
      <c r="X278" s="173"/>
      <c r="Y278" s="65"/>
      <c r="Z278" s="65"/>
      <c r="AA278" s="65"/>
      <c r="AB278" s="65"/>
      <c r="AC278" s="173"/>
      <c r="AD278" s="166"/>
      <c r="AE278" s="166"/>
      <c r="AF278" s="166"/>
      <c r="AG278" s="166"/>
      <c r="AH278" s="65"/>
      <c r="AJ278" s="177"/>
      <c r="AK278" s="178"/>
      <c r="AL278" s="181"/>
      <c r="AM278" s="166"/>
      <c r="AN278" s="166"/>
      <c r="AO278" s="177"/>
      <c r="AP278" s="178"/>
      <c r="AQ278" s="181"/>
      <c r="AR278" s="166"/>
      <c r="AS278" s="166"/>
      <c r="AT278" s="177"/>
      <c r="AU278" s="181"/>
      <c r="AV278" s="166"/>
      <c r="AW278" s="166"/>
      <c r="AX278" s="177"/>
      <c r="AY278" s="166"/>
      <c r="AZ278" s="177"/>
      <c r="BA278" s="178"/>
      <c r="BB278" s="178"/>
      <c r="BC278" s="178"/>
      <c r="BD278" s="178"/>
      <c r="BE278" s="178"/>
      <c r="BF278" s="178"/>
      <c r="BG278" s="179"/>
      <c r="BH278" s="180"/>
      <c r="BI278" s="178"/>
      <c r="BJ278" s="177"/>
      <c r="BK278" s="181"/>
      <c r="BL278" s="177"/>
      <c r="BM278" s="181"/>
      <c r="BN278" s="177"/>
      <c r="BO278" s="181"/>
      <c r="BP278" s="177"/>
      <c r="BQ278" s="181"/>
      <c r="BR278" s="166"/>
      <c r="BS278" s="166"/>
      <c r="BT278" s="166"/>
      <c r="BU278" s="65"/>
      <c r="BW278" s="178"/>
      <c r="BX278" s="399"/>
    </row>
    <row r="279" ht="60.0" hidden="1" customHeight="1">
      <c r="A279" s="173"/>
      <c r="B279" s="65"/>
      <c r="C279" s="436"/>
      <c r="D279" s="430"/>
      <c r="E279" s="431"/>
      <c r="F279" s="431"/>
      <c r="G279" s="431"/>
      <c r="H279" s="431"/>
      <c r="I279" s="431"/>
      <c r="J279" s="397"/>
      <c r="K279" s="398">
        <f t="shared" si="1"/>
        <v>0</v>
      </c>
      <c r="L279" s="173"/>
      <c r="M279" s="173"/>
      <c r="N279" s="177"/>
      <c r="O279" s="178"/>
      <c r="P279" s="178"/>
      <c r="Q279" s="178"/>
      <c r="R279" s="178"/>
      <c r="S279" s="182"/>
      <c r="T279" s="65"/>
      <c r="U279" s="64"/>
      <c r="V279" s="66"/>
      <c r="W279" s="173"/>
      <c r="X279" s="173"/>
      <c r="Y279" s="65"/>
      <c r="Z279" s="65"/>
      <c r="AA279" s="65"/>
      <c r="AB279" s="65"/>
      <c r="AC279" s="173"/>
      <c r="AD279" s="166"/>
      <c r="AE279" s="166"/>
      <c r="AF279" s="166"/>
      <c r="AG279" s="166"/>
      <c r="AH279" s="65"/>
      <c r="AJ279" s="177"/>
      <c r="AK279" s="178"/>
      <c r="AL279" s="181"/>
      <c r="AM279" s="166"/>
      <c r="AN279" s="166"/>
      <c r="AO279" s="177"/>
      <c r="AP279" s="178"/>
      <c r="AQ279" s="181"/>
      <c r="AR279" s="166"/>
      <c r="AS279" s="166"/>
      <c r="AT279" s="177"/>
      <c r="AU279" s="181"/>
      <c r="AV279" s="166"/>
      <c r="AW279" s="166"/>
      <c r="AX279" s="177"/>
      <c r="AY279" s="166"/>
      <c r="AZ279" s="177"/>
      <c r="BA279" s="178"/>
      <c r="BB279" s="178"/>
      <c r="BC279" s="178"/>
      <c r="BD279" s="178"/>
      <c r="BE279" s="178"/>
      <c r="BF279" s="178"/>
      <c r="BG279" s="179"/>
      <c r="BH279" s="180"/>
      <c r="BI279" s="178"/>
      <c r="BJ279" s="177"/>
      <c r="BK279" s="181"/>
      <c r="BL279" s="177"/>
      <c r="BM279" s="181"/>
      <c r="BN279" s="177"/>
      <c r="BO279" s="181"/>
      <c r="BP279" s="177"/>
      <c r="BQ279" s="181"/>
      <c r="BR279" s="166"/>
      <c r="BS279" s="166"/>
      <c r="BT279" s="166"/>
      <c r="BU279" s="65"/>
      <c r="BW279" s="178"/>
      <c r="BX279" s="399"/>
    </row>
    <row r="280" ht="60.0" hidden="1" customHeight="1">
      <c r="A280" s="173"/>
      <c r="B280" s="65"/>
      <c r="C280" s="436"/>
      <c r="D280" s="430"/>
      <c r="E280" s="431"/>
      <c r="F280" s="431"/>
      <c r="G280" s="431"/>
      <c r="H280" s="431"/>
      <c r="I280" s="431"/>
      <c r="J280" s="397"/>
      <c r="K280" s="398">
        <f t="shared" si="1"/>
        <v>0</v>
      </c>
      <c r="L280" s="173"/>
      <c r="M280" s="173"/>
      <c r="N280" s="177"/>
      <c r="O280" s="178"/>
      <c r="P280" s="178"/>
      <c r="Q280" s="178"/>
      <c r="R280" s="178"/>
      <c r="S280" s="182"/>
      <c r="T280" s="65"/>
      <c r="U280" s="64"/>
      <c r="V280" s="66"/>
      <c r="W280" s="173"/>
      <c r="X280" s="173"/>
      <c r="Y280" s="65"/>
      <c r="Z280" s="65"/>
      <c r="AA280" s="65"/>
      <c r="AB280" s="65"/>
      <c r="AC280" s="173"/>
      <c r="AD280" s="166"/>
      <c r="AE280" s="166"/>
      <c r="AF280" s="166"/>
      <c r="AG280" s="166"/>
      <c r="AH280" s="65"/>
      <c r="AJ280" s="177"/>
      <c r="AK280" s="178"/>
      <c r="AL280" s="181"/>
      <c r="AM280" s="166"/>
      <c r="AN280" s="166"/>
      <c r="AO280" s="177"/>
      <c r="AP280" s="178"/>
      <c r="AQ280" s="181"/>
      <c r="AR280" s="166"/>
      <c r="AS280" s="166"/>
      <c r="AT280" s="177"/>
      <c r="AU280" s="181"/>
      <c r="AV280" s="166"/>
      <c r="AW280" s="166"/>
      <c r="AX280" s="177"/>
      <c r="AY280" s="166"/>
      <c r="AZ280" s="177"/>
      <c r="BA280" s="178"/>
      <c r="BB280" s="178"/>
      <c r="BC280" s="178"/>
      <c r="BD280" s="178"/>
      <c r="BE280" s="178"/>
      <c r="BF280" s="178"/>
      <c r="BG280" s="179"/>
      <c r="BH280" s="180"/>
      <c r="BI280" s="178"/>
      <c r="BJ280" s="177"/>
      <c r="BK280" s="181"/>
      <c r="BL280" s="177"/>
      <c r="BM280" s="181"/>
      <c r="BN280" s="177"/>
      <c r="BO280" s="181"/>
      <c r="BP280" s="177"/>
      <c r="BQ280" s="181"/>
      <c r="BR280" s="166"/>
      <c r="BS280" s="166"/>
      <c r="BT280" s="166"/>
      <c r="BU280" s="65"/>
      <c r="BW280" s="178"/>
      <c r="BX280" s="399"/>
    </row>
    <row r="281" ht="60.0" hidden="1" customHeight="1">
      <c r="A281" s="173"/>
      <c r="B281" s="65"/>
      <c r="C281" s="436"/>
      <c r="D281" s="430"/>
      <c r="E281" s="431"/>
      <c r="F281" s="431"/>
      <c r="G281" s="431"/>
      <c r="H281" s="431"/>
      <c r="I281" s="431"/>
      <c r="J281" s="397"/>
      <c r="K281" s="398">
        <f t="shared" si="1"/>
        <v>0</v>
      </c>
      <c r="L281" s="173"/>
      <c r="M281" s="173"/>
      <c r="N281" s="177"/>
      <c r="O281" s="178"/>
      <c r="P281" s="178"/>
      <c r="Q281" s="178"/>
      <c r="R281" s="178"/>
      <c r="S281" s="182"/>
      <c r="T281" s="65"/>
      <c r="U281" s="64"/>
      <c r="V281" s="66"/>
      <c r="W281" s="173"/>
      <c r="X281" s="173"/>
      <c r="Y281" s="65"/>
      <c r="Z281" s="65"/>
      <c r="AA281" s="65"/>
      <c r="AB281" s="65"/>
      <c r="AC281" s="173"/>
      <c r="AD281" s="166"/>
      <c r="AE281" s="166"/>
      <c r="AF281" s="166"/>
      <c r="AG281" s="166"/>
      <c r="AH281" s="65"/>
      <c r="AJ281" s="177"/>
      <c r="AK281" s="178"/>
      <c r="AL281" s="181"/>
      <c r="AM281" s="166"/>
      <c r="AN281" s="166"/>
      <c r="AO281" s="177"/>
      <c r="AP281" s="178"/>
      <c r="AQ281" s="181"/>
      <c r="AR281" s="166"/>
      <c r="AS281" s="166"/>
      <c r="AT281" s="177"/>
      <c r="AU281" s="181"/>
      <c r="AV281" s="166"/>
      <c r="AW281" s="166"/>
      <c r="AX281" s="177"/>
      <c r="AY281" s="166"/>
      <c r="AZ281" s="177"/>
      <c r="BA281" s="178"/>
      <c r="BB281" s="178"/>
      <c r="BC281" s="178"/>
      <c r="BD281" s="178"/>
      <c r="BE281" s="178"/>
      <c r="BF281" s="178"/>
      <c r="BG281" s="179"/>
      <c r="BH281" s="180"/>
      <c r="BI281" s="178"/>
      <c r="BJ281" s="177"/>
      <c r="BK281" s="181"/>
      <c r="BL281" s="177"/>
      <c r="BM281" s="181"/>
      <c r="BN281" s="177"/>
      <c r="BO281" s="181"/>
      <c r="BP281" s="177"/>
      <c r="BQ281" s="181"/>
      <c r="BR281" s="166"/>
      <c r="BS281" s="166"/>
      <c r="BT281" s="166"/>
      <c r="BU281" s="65"/>
      <c r="BW281" s="178"/>
      <c r="BX281" s="399"/>
    </row>
    <row r="282" ht="60.0" hidden="1" customHeight="1">
      <c r="A282" s="69"/>
      <c r="B282" s="89"/>
      <c r="C282" s="437"/>
      <c r="D282" s="432"/>
      <c r="E282" s="433"/>
      <c r="F282" s="433"/>
      <c r="G282" s="433"/>
      <c r="H282" s="433"/>
      <c r="I282" s="433"/>
      <c r="J282" s="402"/>
      <c r="K282" s="403">
        <f t="shared" si="1"/>
        <v>0</v>
      </c>
      <c r="L282" s="69"/>
      <c r="M282" s="69"/>
      <c r="N282" s="192"/>
      <c r="O282" s="193"/>
      <c r="P282" s="193"/>
      <c r="Q282" s="193"/>
      <c r="R282" s="193"/>
      <c r="S282" s="197"/>
      <c r="T282" s="89"/>
      <c r="U282" s="103"/>
      <c r="V282" s="68"/>
      <c r="W282" s="69"/>
      <c r="X282" s="69"/>
      <c r="Y282" s="89"/>
      <c r="Z282" s="89"/>
      <c r="AA282" s="89"/>
      <c r="AB282" s="89"/>
      <c r="AC282" s="69"/>
      <c r="AD282" s="63"/>
      <c r="AE282" s="63"/>
      <c r="AF282" s="63"/>
      <c r="AG282" s="63"/>
      <c r="AH282" s="89"/>
      <c r="AI282" s="6"/>
      <c r="AJ282" s="192"/>
      <c r="AK282" s="193"/>
      <c r="AL282" s="196"/>
      <c r="AM282" s="63"/>
      <c r="AN282" s="63"/>
      <c r="AO282" s="192"/>
      <c r="AP282" s="193"/>
      <c r="AQ282" s="196"/>
      <c r="AR282" s="63"/>
      <c r="AS282" s="63"/>
      <c r="AT282" s="192"/>
      <c r="AU282" s="196"/>
      <c r="AV282" s="63"/>
      <c r="AW282" s="63"/>
      <c r="AX282" s="192"/>
      <c r="AY282" s="63"/>
      <c r="AZ282" s="192"/>
      <c r="BA282" s="193"/>
      <c r="BB282" s="193"/>
      <c r="BC282" s="193"/>
      <c r="BD282" s="193"/>
      <c r="BE282" s="193"/>
      <c r="BF282" s="193"/>
      <c r="BG282" s="194"/>
      <c r="BH282" s="195"/>
      <c r="BI282" s="193"/>
      <c r="BJ282" s="192"/>
      <c r="BK282" s="196"/>
      <c r="BL282" s="192"/>
      <c r="BM282" s="196"/>
      <c r="BN282" s="192"/>
      <c r="BO282" s="196"/>
      <c r="BP282" s="192"/>
      <c r="BQ282" s="196"/>
      <c r="BR282" s="63"/>
      <c r="BS282" s="63"/>
      <c r="BT282" s="63"/>
      <c r="BU282" s="89"/>
      <c r="BV282" s="6"/>
      <c r="BW282" s="198"/>
      <c r="BX282" s="404"/>
    </row>
    <row r="283" ht="60.0" hidden="1" customHeight="1">
      <c r="A283" s="438">
        <v>26.0</v>
      </c>
      <c r="B283" s="439"/>
      <c r="C283" s="440"/>
      <c r="D283" s="428"/>
      <c r="E283" s="429"/>
      <c r="F283" s="429"/>
      <c r="G283" s="429"/>
      <c r="H283" s="429"/>
      <c r="I283" s="429"/>
      <c r="J283" s="366"/>
      <c r="K283" s="367">
        <f t="shared" si="1"/>
        <v>0</v>
      </c>
      <c r="L283" s="368">
        <f>SUM(I283:I293)+SUM(K283:K293)*1</f>
        <v>0</v>
      </c>
      <c r="M283" s="368">
        <f>SUM('21 Oct Mon'!Q283:Q293,'22 Oct Tues'!Q283:Q293,'23 Oct Wed'!Q283:Q293,'24 Oct Thurs'!Q283:Q293,'25 Oct Fri'!Q283:Q293,'26 Oct Sat'!Q283:Q293)</f>
        <v>0</v>
      </c>
      <c r="N283" s="369">
        <f>SUM('21 Oct Mon'!R283:R293,'22 Oct Tues'!R283:R293,'23 Oct Wed'!R283:R293,'24 Oct Thurs'!R283:R293,'25 Oct Fri'!R283:R293,'26 Oct Sat'!R283:R293)</f>
        <v>0</v>
      </c>
      <c r="O283" s="370">
        <f>SUM(L283:N293)</f>
        <v>0</v>
      </c>
      <c r="P283" s="370">
        <f>SUM('21 Oct Mon'!T283:T293,'22 Oct Tues'!T283:T293,'23 Oct Wed'!T283:T293,'24 Oct Thurs'!T283:T293,'25 Oct Fri'!T283:T293,'26 Oct Sat'!T283:T293)</f>
        <v>0</v>
      </c>
      <c r="Q283" s="370">
        <f>SUM('21 Oct Mon'!U283:U293,'22 Oct Tues'!U283:U293,'23 Oct Wed'!U283:U293,'24 Oct Thurs'!U283:U293,'25 Oct Fri'!U283:U293,'26 Oct Sat'!U283:U293)</f>
        <v>0</v>
      </c>
      <c r="R283" s="370">
        <f>SUM('21 Oct Mon'!V283:V293,'22 Oct Tues'!V283:V293,'23 Oct Wed'!V283:V293,'24 Oct Thurs'!V283:V293,'25 Oct Fri'!V283:V293,'26 Oct Sat'!V283:V293)</f>
        <v>0</v>
      </c>
      <c r="S283" s="371">
        <f>SUM('21 Oct Mon'!W283:W293,'22 Oct Tues'!W283:W293,'23 Oct Wed'!W283:W293,'24 Oct Thurs'!W283:W293,'25 Oct Fri'!W283:W293,'26 Oct Sat'!W283:W293)</f>
        <v>0</v>
      </c>
      <c r="T283" s="372">
        <f>O283-P283-Q283-R283-S283</f>
        <v>0</v>
      </c>
      <c r="U283" s="373" t="str">
        <f>CONCATENATE(SUM('21 Oct Mon'!O283:O293,'22 Oct Tues'!O283:O293,'23 Oct Wed'!O283:O293,'24 Oct Thurs'!O283:O293,'25 Oct Fri'!O283:O293,'26 Oct Sat'!O283:O293),"
(",(SUM('21 Oct Mon'!O283:O293,'22 Oct Tues'!O283:O293,'23 Oct Wed'!O283:O293,'24 Oct Thurs'!O283:O293,'25 Oct Fri'!O283:O293,'26 Oct Sat'!O283:O293)-T283),")")</f>
        <v>0
(0)</v>
      </c>
      <c r="V283" s="374" t="str">
        <f>CONCATENATE("Mon-",'21 Oct Mon'!Z283:Z293,",Tues-",'22 Oct Tues'!Z283:Z293,",Wed-",'23 Oct Wed'!Z283:Z293,",Thurs-",'24 Oct Thurs'!Z283:Z293,",Fri-",'25 Oct Fri'!Z283:Z293,",Sat-",'26 Oct Sat'!Z283:Z293)</f>
        <v>Mon-,Tues-,Wed-,Thurs-,Fri-,Sat-</v>
      </c>
      <c r="W283" s="375">
        <f>SUM('21 Oct Mon'!AI283:AI293,'22 Oct Tues'!AI283:AI293,'23 Oct Wed'!AI283:AI293,'24 Oct Thurs'!AI283:AI293,'25 Oct Fri'!AI283:AI293,'26 Oct Sat'!AI283:AI293)</f>
        <v>0</v>
      </c>
      <c r="X283" s="375">
        <f>SUM('21 Oct Mon'!AM283:AM293,'22 Oct Tues'!AM283:AM293,'23 Oct Wed'!AM283:AM293,'24 Oct Thurs'!AM283:AM293,'25 Oct Fri'!AM283:AM293,'26 Oct Sat'!AM283:AM293)</f>
        <v>0</v>
      </c>
      <c r="Y283" s="376">
        <f>SUM('21 Oct Mon'!AP283:AP293,'22 Oct Tues'!AP283:AP293,'23 Oct Wed'!AP283:AP293,'24 Oct Thurs'!AP283:AP293,'25 Oct Fri'!AP283:AP293,'26 Oct Sat'!AP283:AP293)</f>
        <v>0</v>
      </c>
      <c r="Z283" s="376">
        <f>SUM('21 Oct Mon'!AQ283:AQ293,'22 Oct Tues'!AQ283:AQ293,'23 Oct Wed'!AQ283:AQ293,'24 Oct Thurs'!AQ283:AQ293,'25 Oct Fri'!AQ283:AQ293,'26 Oct Sat'!AQ283:AQ293)</f>
        <v>0</v>
      </c>
      <c r="AA283" s="377">
        <f>SUM('21 Oct Mon'!AR283:AR293,'22 Oct Tues'!AR283:AR293,'23 Oct Wed'!AR283:AR293,'24 Oct Thurs'!AR283:AR293,'25 Oct Fri'!AR283:AR293,'26 Oct Sat'!AR283:AR293)</f>
        <v>0</v>
      </c>
      <c r="AB283" s="377">
        <f>SUM('21 Oct Mon'!AS283:AS293,'22 Oct Tues'!AS283:AS293,'23 Oct Wed'!AS283:AS293,'24 Oct Thurs'!AS283:AS293,'25 Oct Fri'!AS283:AS293,'26 Oct Sat'!AS283:AS293)</f>
        <v>0</v>
      </c>
      <c r="AC283" s="378">
        <f>SUM('21 Oct Mon'!AT283:AT293,'22 Oct Tues'!AT283:AT293,'23 Oct Wed'!AT283:AT293,'24 Oct Thurs'!AT283:AT293,'25 Oct Fri'!AT283:AT293,'26 Oct Sat'!AT283:AT293)</f>
        <v>0</v>
      </c>
      <c r="AD283" s="379">
        <f>SUM('21 Oct Mon'!AU283:AU293,'22 Oct Tues'!AU283:AU293,'23 Oct Wed'!AU283:AU293,'24 Oct Thurs'!AU283:AU293,'25 Oct Fri'!AU283:AU293,'26 Oct Sat'!AU283:AU293)</f>
        <v>0</v>
      </c>
      <c r="AE283" s="379">
        <f>SUM('21 Oct Mon'!AV283:AV293,'22 Oct Tues'!AV283:AV293,'23 Oct Wed'!AV283:AV293,'24 Oct Thurs'!AV283:AV293,'25 Oct Fri'!AV283:AV293,'26 Oct Sat'!AV283:AV293)</f>
        <v>0</v>
      </c>
      <c r="AF283" s="379">
        <f>SUM('21 Oct Mon'!AW283:AW293,'22 Oct Tues'!AW283:AW293,'23 Oct Wed'!AW283:AW293,'24 Oct Thurs'!AW283:AW293,'25 Oct Fri'!AW283:AW293,'26 Oct Sat'!AW283:AW293)</f>
        <v>0</v>
      </c>
      <c r="AG283" s="379">
        <f>SUM('21 Oct Mon'!AX283:AX293,'22 Oct Tues'!AX283:AX293,'23 Oct Wed'!AX283:AX293,'24 Oct Thurs'!AX283:AX293,'25 Oct Fri'!AX283:AX293,'26 Oct Sat'!AX283:AX293)</f>
        <v>0</v>
      </c>
      <c r="AH283" s="380">
        <f>SUM('21 Oct Mon'!AY283:AY293,'22 Oct Tues'!AY283:AY293,'23 Oct Wed'!AY283:AY293,'24 Oct Thurs'!AY283:AY293,'25 Oct Fri'!AY283:AY293,'26 Oct Sat'!AY283:AY293)</f>
        <v>0</v>
      </c>
      <c r="AI283" s="381">
        <f>SUM('21 Oct Mon'!AZ283:AZ293,'22 Oct Tues'!AZ283:AZ293,'23 Oct Wed'!AZ283:AZ293,'24 Oct Thurs'!AZ283:AZ293,'25 Oct Fri'!AZ283:AZ293,'26 Oct Sat'!AZ283:AZ293)</f>
        <v>0</v>
      </c>
      <c r="AJ283" s="382">
        <f>SUM('21 Oct Mon'!BG283:BG293,'22 Oct Tues'!BG283:BG293,'23 Oct Wed'!BG283:BG293,'24 Oct Thurs'!BG283:BG293,'25 Oct Fri'!BG283:BG293,'26 Oct Sat'!BG283:BG293)</f>
        <v>0</v>
      </c>
      <c r="AK283" s="383">
        <f>SUM('21 Oct Mon'!BH283:BH293,'22 Oct Tues'!BH283:BH293,'23 Oct Wed'!BH283:BH293,'24 Oct Thurs'!BH283:BH293,'25 Oct Fri'!BH283:BH293,'26 Oct Sat'!BH283:BH293)</f>
        <v>0</v>
      </c>
      <c r="AL283" s="384">
        <f>SUM('21 Oct Mon'!BI283:BI293,'22 Oct Tues'!BI283:BI293,'23 Oct Wed'!BI283:BI293,'24 Oct Thurs'!BI283:BI293,'25 Oct Fri'!BI283:BI293,'26 Oct Sat'!BI283:BI293)</f>
        <v>0</v>
      </c>
      <c r="AM283" s="379">
        <f>SUM('21 Oct Mon'!BJ283:BJ293,'22 Oct Tues'!BJ283:BJ293,'23 Oct Wed'!BJ283:BJ293,'24 Oct Thurs'!BJ283:BJ293,'25 Oct Fri'!BJ283:BJ293,'26 Oct Sat'!BJ283:BJ293)</f>
        <v>0</v>
      </c>
      <c r="AN283" s="379">
        <f>SUM('21 Oct Mon'!BK283:BK293,'22 Oct Tues'!BK283:BK293,'23 Oct Wed'!BK283:BK293,'24 Oct Thurs'!BK283:BK293,'25 Oct Fri'!BK283:BK293,'26 Oct Sat'!BK283:BK293)</f>
        <v>0</v>
      </c>
      <c r="AO283" s="385">
        <f>SUM('21 Oct Mon'!BL283:BL293,'22 Oct Tues'!BL283:BL293,'23 Oct Wed'!BL283:BL293,'24 Oct Thurs'!BL283:BL293,'25 Oct Fri'!BL283:BL293,'26 Oct Sat'!BL283:BL293)</f>
        <v>0</v>
      </c>
      <c r="AP283" s="386">
        <f>SUM('21 Oct Mon'!BM283:BM293,'22 Oct Tues'!BM283:BM293,'23 Oct Wed'!BM283:BM293,'24 Oct Thurs'!BM283:BM293,'25 Oct Fri'!BM283:BM293,'26 Oct Sat'!BM283:BM293)</f>
        <v>0</v>
      </c>
      <c r="AQ283" s="387">
        <f>SUM('21 Oct Mon'!BN283:BN293,'22 Oct Tues'!BN283:BN293,'23 Oct Wed'!BN283:BN293,'24 Oct Thurs'!BN283:BN293,'25 Oct Fri'!BN283:BN293,'26 Oct Sat'!BN283:BN293)</f>
        <v>0</v>
      </c>
      <c r="AR283" s="379">
        <f>SUM('21 Oct Mon'!BO283:BO293,'22 Oct Tues'!BO283:BO293,'23 Oct Wed'!BO283:BO293,'24 Oct Thurs'!BO283:BO293,'25 Oct Fri'!BO283:BO293,'26 Oct Sat'!BO283:BO293)</f>
        <v>0</v>
      </c>
      <c r="AS283" s="379">
        <f>SUM('21 Oct Mon'!BP283:BP293,'22 Oct Tues'!BP283:BP293,'23 Oct Wed'!BP283:BP293,'24 Oct Thurs'!BP283:BP293,'25 Oct Fri'!BP283:BP293,'26 Oct Sat'!BP283:BP293)</f>
        <v>0</v>
      </c>
      <c r="AT283" s="382">
        <f>SUM('21 Oct Mon'!BR283:BR293,'22 Oct Tues'!BR283:BR293,'23 Oct Wed'!BR283:BR293,'24 Oct Thurs'!BR283:BR293,'25 Oct Fri'!BR283:BR293,'26 Oct Sat'!BR283:BR293)</f>
        <v>0</v>
      </c>
      <c r="AU283" s="384">
        <f>SUM('21 Oct Mon'!BS283:BS293,'22 Oct Tues'!BS283:BS293,'23 Oct Wed'!BS283:BS293,'24 Oct Thurs'!BS283:BS293,'25 Oct Fri'!BS283:BS293,'26 Oct Sat'!BS283:BS293)</f>
        <v>0</v>
      </c>
      <c r="AV283" s="379">
        <f>SUM('21 Oct Mon'!BT283:BT293,'22 Oct Tues'!BT283:BT293,'23 Oct Wed'!BT283:BT293,'24 Oct Thurs'!BT283:BT293,'25 Oct Fri'!BT283:BT293,'26 Oct Sat'!BT283:BT293)</f>
        <v>0</v>
      </c>
      <c r="AW283" s="379">
        <f>SUM('21 Oct Mon'!BU283:BU293,'22 Oct Tues'!BU283:BU293,'23 Oct Wed'!BU283:BU293,'24 Oct Thurs'!BU283:BU293,'25 Oct Fri'!BU283:BU293,'26 Oct Sat'!BU283:BU293)</f>
        <v>0</v>
      </c>
      <c r="AX283" s="382">
        <f>SUM('21 Oct Mon'!BV283:BV293,'22 Oct Tues'!BV283:BV293,'23 Oct Wed'!BV283:BV293,'24 Oct Thurs'!BV283:BV293,'25 Oct Fri'!BV283:BV293,'26 Oct Sat'!BV283:BV293)</f>
        <v>0</v>
      </c>
      <c r="AY283" s="379">
        <f>SUM('21 Oct Mon'!BW283:BW293,'22 Oct Tues'!BW283:BW293,'23 Oct Wed'!BW283:BW293,'24 Oct Thurs'!BW283:BW293,'25 Oct Fri'!BW283:BW293,'26 Oct Sat'!BW283:BW293)</f>
        <v>0</v>
      </c>
      <c r="AZ283" s="385">
        <f>SUM('21 Oct Mon'!BX283:BX293,'22 Oct Tues'!BX283:BX293,'23 Oct Wed'!BX283:BX293,'24 Oct Thurs'!BX283:BX293,'25 Oct Fri'!BX283:BX293,'26 Oct Sat'!BX283:BX293)</f>
        <v>0</v>
      </c>
      <c r="BA283" s="386">
        <f>SUM('21 Oct Mon'!BY283:BY293,'22 Oct Tues'!BY283:BY293,'23 Oct Wed'!BY283:BY293,'24 Oct Thurs'!BY283:BY293,'25 Oct Fri'!BY283:BY293,'26 Oct Sat'!BY283:BY293)</f>
        <v>0</v>
      </c>
      <c r="BB283" s="386">
        <f>SUM('21 Oct Mon'!BZ283:BZ293,'22 Oct Tues'!BZ283:BZ293,'23 Oct Wed'!BZ283:BZ293,'24 Oct Thurs'!BZ283:BZ293,'25 Oct Fri'!BZ283:BZ293,'26 Oct Sat'!BZ283:BZ293)</f>
        <v>0</v>
      </c>
      <c r="BC283" s="386">
        <f>SUM('21 Oct Mon'!CA283:CA293,'22 Oct Tues'!CA283:CA293,'23 Oct Wed'!CA283:CA293,'24 Oct Thurs'!CA283:CA293,'25 Oct Fri'!CA283:CA293,'26 Oct Sat'!CA283:CA293)</f>
        <v>0</v>
      </c>
      <c r="BD283" s="386">
        <f>SUM('21 Oct Mon'!CB283:CB293,'22 Oct Tues'!CB283:CB293,'23 Oct Wed'!CB283:CB293,'24 Oct Thurs'!CB283:CB293,'25 Oct Fri'!CB283:CB293,'26 Oct Sat'!CB283:CB293)</f>
        <v>0</v>
      </c>
      <c r="BE283" s="386">
        <f>SUM('21 Oct Mon'!CC283:CC293,'22 Oct Tues'!CC283:CC293,'23 Oct Wed'!CC283:CC293,'24 Oct Thurs'!CC283:CC293,'25 Oct Fri'!CC283:CC293,'26 Oct Sat'!CC283:CC293)</f>
        <v>0</v>
      </c>
      <c r="BF283" s="386" t="str">
        <f>CONCATENATE("Mon-",'21 Oct Mon'!CD283:CD293,",Tues-",'22 Oct Tues'!CD283:CD293,",Wed-",'23 Oct Wed'!CD283:CD293,",Thurs-",'24 Oct Thurs'!CD283:CD293,",Fri-",'25 Oct Fri'!CD283:CD293,",Sat-",'26 Oct Sat'!CD283:CD293)</f>
        <v>Mon-,Tues-,Wed-,Thurs-,Fri-,Sat-</v>
      </c>
      <c r="BG283" s="388">
        <f>SUM('21 Oct Mon'!CE283:CE293,'22 Oct Tues'!CE283:CE293,'23 Oct Wed'!CE283:CE293,'24 Oct Thurs'!CE283:CE293,'25 Oct Fri'!CE283:CE293,'26 Oct Sat'!CE283:CE293)</f>
        <v>0</v>
      </c>
      <c r="BH283" s="389" t="str">
        <f>CONCATENATE("Mon-",'21 Oct Mon'!CF283:CF293,",Tues-",'22 Oct Tues'!CF283:CF293,",Wed-",'23 Oct Wed'!CF283:CF293,",Thurs-",'24 Oct Thurs'!CF283:CF293,",Fri-",'25 Oct Fri'!CF283:CF293,",Sat-",'26 Oct Sat'!CF283:CF293)</f>
        <v>Mon-,Tues-,Wed-,Thurs-,Fri-,Sat-</v>
      </c>
      <c r="BI283" s="383">
        <f>SUM('21 Oct Mon'!CG283:CG293,'22 Oct Tues'!CG283:CG293,'23 Oct Wed'!CG283:CG293,'24 Oct Thurs'!CG283:CG293,'25 Oct Fri'!CG283:CG293,'26 Oct Sat'!CG283:CG293)</f>
        <v>0</v>
      </c>
      <c r="BJ283" s="382">
        <f>SUM('21 Oct Mon'!CH283:CH293,'22 Oct Tues'!CH283:CH293,'23 Oct Wed'!CH283:CH293,'24 Oct Thurs'!CH283:CH293,'25 Oct Fri'!CH283:CH293,'26 Oct Sat'!CH283:CH293)</f>
        <v>0</v>
      </c>
      <c r="BK283" s="384">
        <f>SUM('21 Oct Mon'!CI283:CI293,'22 Oct Tues'!CI283:CI293,'23 Oct Wed'!CI283:CI293,'24 Oct Thurs'!CI283:CI293,'25 Oct Fri'!CI283:CI293,'26 Oct Sat'!CI283:CI293)</f>
        <v>0</v>
      </c>
      <c r="BL283" s="382" t="str">
        <f>CONCATENATE("Mon-",'21 Oct Mon'!CJ283:CJ293,",Tues-",'22 Oct Tues'!CJ283:CJ293,",Wed-",'23 Oct Wed'!CJ283:CJ293,",Thurs-",'24 Oct Thurs'!CJ283:CJ293,",Fri-",'25 Oct Fri'!CJ283:CJ293,",Sat-",'26 Oct Sat'!CJ283:CJ293)</f>
        <v>Mon-,Tues-,Wed-,Thurs-,Fri-,Sat-</v>
      </c>
      <c r="BM283" s="384">
        <f>SUM('21 Oct Mon'!CK283:CK293,'22 Oct Tues'!CK283:CK293,'23 Oct Wed'!CK283:CK293,'24 Oct Thurs'!CK283:CK293,'25 Oct Fri'!CK283:CK293,'26 Oct Sat'!CK283:CK293)</f>
        <v>0</v>
      </c>
      <c r="BN283" s="382" t="str">
        <f>CONCATENATE("Mon-",'21 Oct Mon'!CL283:CL293,",Tues-",'22 Oct Tues'!CL283:CL293,",Wed-",'23 Oct Wed'!CL283:CL293,",Thurs-",'24 Oct Thurs'!CL283:CL293,",Fri-",'25 Oct Fri'!CL283:CL293,",Sat-",'26 Oct Sat'!CL283:CL293)</f>
        <v>Mon-,Tues-,Wed-,Thurs-,Fri-,Sat-</v>
      </c>
      <c r="BO283" s="384">
        <f>SUM('21 Oct Mon'!CM283:CM293,'22 Oct Tues'!CM283:CM293,'23 Oct Wed'!CM283:CM293,'24 Oct Thurs'!CM283:CM293,'25 Oct Fri'!CM283:CM293,'26 Oct Sat'!CM283:CM293)</f>
        <v>0</v>
      </c>
      <c r="BP283" s="385" t="str">
        <f>CONCATENATE("Mon-",'21 Oct Mon'!CN283:CN293,",Tues-",'22 Oct Tues'!CN283:CN293,",Wed-",'23 Oct Wed'!CN283:CN293,",Thurs-",'24 Oct Thurs'!CN283:CN293,",Fri-",'25 Oct Fri'!CN283:CN293,",Sat-",'26 Oct Sat'!CN283:CN293)</f>
        <v>Mon-,Tues-,Wed-,Thurs-,Fri-,Sat-</v>
      </c>
      <c r="BQ283" s="387">
        <f>SUM('21 Oct Mon'!CO283:CO293,'22 Oct Tues'!CO283:CO293,'23 Oct Wed'!CO283:CO293,'24 Oct Thurs'!CO283:CO293,'25 Oct Fri'!CO283:CO293,'26 Oct Sat'!CO283:CO293)</f>
        <v>0</v>
      </c>
      <c r="BR283" s="379" t="str">
        <f>CONCATENATE("Mon-",'21 Oct Mon'!CP283:CP293,",Tues-",'22 Oct Tues'!CP283:CP293,",Wed-",'23 Oct Wed'!CP283:CP293,",Thurs-",'24 Oct Thurs'!CP283:CP293,",Fri-",'25 Oct Fri'!CP283:CP293,",Sat-",'26 Oct Sat'!CP283:CP293)</f>
        <v>Mon-,Tues-,Wed-,Thurs-,Fri-,Sat-</v>
      </c>
      <c r="BS283" s="390">
        <f>SUM('21 Oct Mon'!CQ283:CQ293,'22 Oct Tues'!CQ283:CQ293,'23 Oct Wed'!CQ283:CQ293,'24 Oct Thurs'!CQ283:CQ293,'25 Oct Fri'!CQ283:CQ293,'26 Oct Sat'!CQ283:CQ293)</f>
        <v>0</v>
      </c>
      <c r="BT283" s="390">
        <f>SUM('21 Oct Mon'!CR283:CR293,'22 Oct Tues'!CR283:CR293,'23 Oct Wed'!CR283:CR293,'24 Oct Thurs'!CR283:CR293,'25 Oct Fri'!CR283:CR293,'26 Oct Sat'!CR283:CR293)</f>
        <v>0</v>
      </c>
      <c r="BU283" s="391">
        <f>SUM('21 Oct Mon'!CS283:CS293,'22 Oct Tues'!CS283:CS293,'23 Oct Wed'!CS283:CS293,'24 Oct Thurs'!CS283:CS293,'25 Oct Fri'!CS283:CS293,'26 Oct Sat'!CS283:CS293)</f>
        <v>0</v>
      </c>
      <c r="BV283" s="392">
        <f>SUM('21 Oct Mon'!CT283:CT293,'22 Oct Tues'!CT283:CT293,'23 Oct Wed'!CT283:CT293,'24 Oct Thurs'!CT283:CT293,'25 Oct Fri'!CT283:CT293,'26 Oct Sat'!CT283:CT293)</f>
        <v>0</v>
      </c>
      <c r="BW283" s="393" t="str">
        <f>LEFT(U283,FIND("(",U283,1)-2)</f>
        <v>0</v>
      </c>
      <c r="BX283" s="394"/>
    </row>
    <row r="284" ht="60.0" hidden="1" customHeight="1">
      <c r="A284" s="173"/>
      <c r="B284" s="65"/>
      <c r="C284" s="441"/>
      <c r="D284" s="430"/>
      <c r="E284" s="431"/>
      <c r="F284" s="431"/>
      <c r="G284" s="431"/>
      <c r="H284" s="431"/>
      <c r="I284" s="431"/>
      <c r="J284" s="397"/>
      <c r="K284" s="398">
        <f t="shared" si="1"/>
        <v>0</v>
      </c>
      <c r="L284" s="173"/>
      <c r="M284" s="173"/>
      <c r="N284" s="177"/>
      <c r="O284" s="178"/>
      <c r="P284" s="178"/>
      <c r="Q284" s="178"/>
      <c r="R284" s="178"/>
      <c r="S284" s="182"/>
      <c r="T284" s="65"/>
      <c r="U284" s="64"/>
      <c r="V284" s="66"/>
      <c r="W284" s="173"/>
      <c r="X284" s="173"/>
      <c r="Y284" s="65"/>
      <c r="Z284" s="65"/>
      <c r="AA284" s="65"/>
      <c r="AB284" s="65"/>
      <c r="AC284" s="173"/>
      <c r="AD284" s="166"/>
      <c r="AE284" s="166"/>
      <c r="AF284" s="166"/>
      <c r="AG284" s="166"/>
      <c r="AH284" s="65"/>
      <c r="AJ284" s="177"/>
      <c r="AK284" s="178"/>
      <c r="AL284" s="181"/>
      <c r="AM284" s="166"/>
      <c r="AN284" s="166"/>
      <c r="AO284" s="177"/>
      <c r="AP284" s="178"/>
      <c r="AQ284" s="181"/>
      <c r="AR284" s="166"/>
      <c r="AS284" s="166"/>
      <c r="AT284" s="177"/>
      <c r="AU284" s="181"/>
      <c r="AV284" s="166"/>
      <c r="AW284" s="166"/>
      <c r="AX284" s="177"/>
      <c r="AY284" s="166"/>
      <c r="AZ284" s="177"/>
      <c r="BA284" s="178"/>
      <c r="BB284" s="178"/>
      <c r="BC284" s="178"/>
      <c r="BD284" s="178"/>
      <c r="BE284" s="178"/>
      <c r="BF284" s="178"/>
      <c r="BG284" s="179"/>
      <c r="BH284" s="180"/>
      <c r="BI284" s="178"/>
      <c r="BJ284" s="177"/>
      <c r="BK284" s="181"/>
      <c r="BL284" s="177"/>
      <c r="BM284" s="181"/>
      <c r="BN284" s="177"/>
      <c r="BO284" s="181"/>
      <c r="BP284" s="177"/>
      <c r="BQ284" s="181"/>
      <c r="BR284" s="166"/>
      <c r="BS284" s="166"/>
      <c r="BT284" s="166"/>
      <c r="BU284" s="65"/>
      <c r="BW284" s="178"/>
      <c r="BX284" s="399"/>
    </row>
    <row r="285" ht="60.0" hidden="1" customHeight="1">
      <c r="A285" s="173"/>
      <c r="B285" s="65"/>
      <c r="C285" s="441"/>
      <c r="D285" s="430"/>
      <c r="E285" s="431"/>
      <c r="F285" s="431"/>
      <c r="G285" s="431"/>
      <c r="H285" s="431"/>
      <c r="I285" s="431"/>
      <c r="J285" s="397"/>
      <c r="K285" s="398">
        <f t="shared" si="1"/>
        <v>0</v>
      </c>
      <c r="L285" s="173"/>
      <c r="M285" s="173"/>
      <c r="N285" s="177"/>
      <c r="O285" s="178"/>
      <c r="P285" s="178"/>
      <c r="Q285" s="178"/>
      <c r="R285" s="178"/>
      <c r="S285" s="182"/>
      <c r="T285" s="65"/>
      <c r="U285" s="64"/>
      <c r="V285" s="66"/>
      <c r="W285" s="173"/>
      <c r="X285" s="173"/>
      <c r="Y285" s="65"/>
      <c r="Z285" s="65"/>
      <c r="AA285" s="65"/>
      <c r="AB285" s="65"/>
      <c r="AC285" s="173"/>
      <c r="AD285" s="166"/>
      <c r="AE285" s="166"/>
      <c r="AF285" s="166"/>
      <c r="AG285" s="166"/>
      <c r="AH285" s="65"/>
      <c r="AJ285" s="177"/>
      <c r="AK285" s="178"/>
      <c r="AL285" s="181"/>
      <c r="AM285" s="166"/>
      <c r="AN285" s="166"/>
      <c r="AO285" s="177"/>
      <c r="AP285" s="178"/>
      <c r="AQ285" s="181"/>
      <c r="AR285" s="166"/>
      <c r="AS285" s="166"/>
      <c r="AT285" s="177"/>
      <c r="AU285" s="181"/>
      <c r="AV285" s="166"/>
      <c r="AW285" s="166"/>
      <c r="AX285" s="177"/>
      <c r="AY285" s="166"/>
      <c r="AZ285" s="177"/>
      <c r="BA285" s="178"/>
      <c r="BB285" s="178"/>
      <c r="BC285" s="178"/>
      <c r="BD285" s="178"/>
      <c r="BE285" s="178"/>
      <c r="BF285" s="178"/>
      <c r="BG285" s="179"/>
      <c r="BH285" s="180"/>
      <c r="BI285" s="178"/>
      <c r="BJ285" s="177"/>
      <c r="BK285" s="181"/>
      <c r="BL285" s="177"/>
      <c r="BM285" s="181"/>
      <c r="BN285" s="177"/>
      <c r="BO285" s="181"/>
      <c r="BP285" s="177"/>
      <c r="BQ285" s="181"/>
      <c r="BR285" s="166"/>
      <c r="BS285" s="166"/>
      <c r="BT285" s="166"/>
      <c r="BU285" s="65"/>
      <c r="BW285" s="178"/>
      <c r="BX285" s="399"/>
    </row>
    <row r="286" ht="60.0" hidden="1" customHeight="1">
      <c r="A286" s="173"/>
      <c r="B286" s="65"/>
      <c r="C286" s="441"/>
      <c r="D286" s="430"/>
      <c r="E286" s="431"/>
      <c r="F286" s="431"/>
      <c r="G286" s="431"/>
      <c r="H286" s="431"/>
      <c r="I286" s="431"/>
      <c r="J286" s="397"/>
      <c r="K286" s="398">
        <f t="shared" si="1"/>
        <v>0</v>
      </c>
      <c r="L286" s="173"/>
      <c r="M286" s="173"/>
      <c r="N286" s="177"/>
      <c r="O286" s="178"/>
      <c r="P286" s="178"/>
      <c r="Q286" s="178"/>
      <c r="R286" s="178"/>
      <c r="S286" s="182"/>
      <c r="T286" s="65"/>
      <c r="U286" s="64"/>
      <c r="V286" s="66"/>
      <c r="W286" s="173"/>
      <c r="X286" s="173"/>
      <c r="Y286" s="65"/>
      <c r="Z286" s="65"/>
      <c r="AA286" s="65"/>
      <c r="AB286" s="65"/>
      <c r="AC286" s="173"/>
      <c r="AD286" s="166"/>
      <c r="AE286" s="166"/>
      <c r="AF286" s="166"/>
      <c r="AG286" s="166"/>
      <c r="AH286" s="65"/>
      <c r="AJ286" s="177"/>
      <c r="AK286" s="178"/>
      <c r="AL286" s="181"/>
      <c r="AM286" s="166"/>
      <c r="AN286" s="166"/>
      <c r="AO286" s="177"/>
      <c r="AP286" s="178"/>
      <c r="AQ286" s="181"/>
      <c r="AR286" s="166"/>
      <c r="AS286" s="166"/>
      <c r="AT286" s="177"/>
      <c r="AU286" s="181"/>
      <c r="AV286" s="166"/>
      <c r="AW286" s="166"/>
      <c r="AX286" s="177"/>
      <c r="AY286" s="166"/>
      <c r="AZ286" s="177"/>
      <c r="BA286" s="178"/>
      <c r="BB286" s="178"/>
      <c r="BC286" s="178"/>
      <c r="BD286" s="178"/>
      <c r="BE286" s="178"/>
      <c r="BF286" s="178"/>
      <c r="BG286" s="179"/>
      <c r="BH286" s="180"/>
      <c r="BI286" s="178"/>
      <c r="BJ286" s="177"/>
      <c r="BK286" s="181"/>
      <c r="BL286" s="177"/>
      <c r="BM286" s="181"/>
      <c r="BN286" s="177"/>
      <c r="BO286" s="181"/>
      <c r="BP286" s="177"/>
      <c r="BQ286" s="181"/>
      <c r="BR286" s="166"/>
      <c r="BS286" s="166"/>
      <c r="BT286" s="166"/>
      <c r="BU286" s="65"/>
      <c r="BW286" s="178"/>
      <c r="BX286" s="399"/>
    </row>
    <row r="287" ht="60.0" hidden="1" customHeight="1">
      <c r="A287" s="173"/>
      <c r="B287" s="65"/>
      <c r="C287" s="441"/>
      <c r="D287" s="430"/>
      <c r="E287" s="431"/>
      <c r="F287" s="431"/>
      <c r="G287" s="431"/>
      <c r="H287" s="431"/>
      <c r="I287" s="431"/>
      <c r="J287" s="397"/>
      <c r="K287" s="398">
        <f t="shared" si="1"/>
        <v>0</v>
      </c>
      <c r="L287" s="173"/>
      <c r="M287" s="173"/>
      <c r="N287" s="177"/>
      <c r="O287" s="178"/>
      <c r="P287" s="178"/>
      <c r="Q287" s="178"/>
      <c r="R287" s="178"/>
      <c r="S287" s="182"/>
      <c r="T287" s="65"/>
      <c r="U287" s="64"/>
      <c r="V287" s="66"/>
      <c r="W287" s="173"/>
      <c r="X287" s="173"/>
      <c r="Y287" s="65"/>
      <c r="Z287" s="65"/>
      <c r="AA287" s="65"/>
      <c r="AB287" s="65"/>
      <c r="AC287" s="173"/>
      <c r="AD287" s="166"/>
      <c r="AE287" s="166"/>
      <c r="AF287" s="166"/>
      <c r="AG287" s="166"/>
      <c r="AH287" s="65"/>
      <c r="AJ287" s="177"/>
      <c r="AK287" s="178"/>
      <c r="AL287" s="181"/>
      <c r="AM287" s="166"/>
      <c r="AN287" s="166"/>
      <c r="AO287" s="177"/>
      <c r="AP287" s="178"/>
      <c r="AQ287" s="181"/>
      <c r="AR287" s="166"/>
      <c r="AS287" s="166"/>
      <c r="AT287" s="177"/>
      <c r="AU287" s="181"/>
      <c r="AV287" s="166"/>
      <c r="AW287" s="166"/>
      <c r="AX287" s="177"/>
      <c r="AY287" s="166"/>
      <c r="AZ287" s="177"/>
      <c r="BA287" s="178"/>
      <c r="BB287" s="178"/>
      <c r="BC287" s="178"/>
      <c r="BD287" s="178"/>
      <c r="BE287" s="178"/>
      <c r="BF287" s="178"/>
      <c r="BG287" s="179"/>
      <c r="BH287" s="180"/>
      <c r="BI287" s="178"/>
      <c r="BJ287" s="177"/>
      <c r="BK287" s="181"/>
      <c r="BL287" s="177"/>
      <c r="BM287" s="181"/>
      <c r="BN287" s="177"/>
      <c r="BO287" s="181"/>
      <c r="BP287" s="177"/>
      <c r="BQ287" s="181"/>
      <c r="BR287" s="166"/>
      <c r="BS287" s="166"/>
      <c r="BT287" s="166"/>
      <c r="BU287" s="65"/>
      <c r="BW287" s="178"/>
      <c r="BX287" s="399"/>
    </row>
    <row r="288" ht="60.0" hidden="1" customHeight="1">
      <c r="A288" s="173"/>
      <c r="B288" s="65"/>
      <c r="C288" s="441"/>
      <c r="D288" s="430"/>
      <c r="E288" s="431"/>
      <c r="F288" s="431"/>
      <c r="G288" s="431"/>
      <c r="H288" s="431"/>
      <c r="I288" s="431"/>
      <c r="J288" s="397"/>
      <c r="K288" s="398">
        <f t="shared" si="1"/>
        <v>0</v>
      </c>
      <c r="L288" s="173"/>
      <c r="M288" s="173"/>
      <c r="N288" s="177"/>
      <c r="O288" s="178"/>
      <c r="P288" s="178"/>
      <c r="Q288" s="178"/>
      <c r="R288" s="178"/>
      <c r="S288" s="182"/>
      <c r="T288" s="65"/>
      <c r="U288" s="64"/>
      <c r="V288" s="66"/>
      <c r="W288" s="173"/>
      <c r="X288" s="173"/>
      <c r="Y288" s="65"/>
      <c r="Z288" s="65"/>
      <c r="AA288" s="65"/>
      <c r="AB288" s="65"/>
      <c r="AC288" s="173"/>
      <c r="AD288" s="166"/>
      <c r="AE288" s="166"/>
      <c r="AF288" s="166"/>
      <c r="AG288" s="166"/>
      <c r="AH288" s="65"/>
      <c r="AJ288" s="177"/>
      <c r="AK288" s="178"/>
      <c r="AL288" s="181"/>
      <c r="AM288" s="166"/>
      <c r="AN288" s="166"/>
      <c r="AO288" s="177"/>
      <c r="AP288" s="178"/>
      <c r="AQ288" s="181"/>
      <c r="AR288" s="166"/>
      <c r="AS288" s="166"/>
      <c r="AT288" s="177"/>
      <c r="AU288" s="181"/>
      <c r="AV288" s="166"/>
      <c r="AW288" s="166"/>
      <c r="AX288" s="177"/>
      <c r="AY288" s="166"/>
      <c r="AZ288" s="177"/>
      <c r="BA288" s="178"/>
      <c r="BB288" s="178"/>
      <c r="BC288" s="178"/>
      <c r="BD288" s="178"/>
      <c r="BE288" s="178"/>
      <c r="BF288" s="178"/>
      <c r="BG288" s="179"/>
      <c r="BH288" s="180"/>
      <c r="BI288" s="178"/>
      <c r="BJ288" s="177"/>
      <c r="BK288" s="181"/>
      <c r="BL288" s="177"/>
      <c r="BM288" s="181"/>
      <c r="BN288" s="177"/>
      <c r="BO288" s="181"/>
      <c r="BP288" s="177"/>
      <c r="BQ288" s="181"/>
      <c r="BR288" s="166"/>
      <c r="BS288" s="166"/>
      <c r="BT288" s="166"/>
      <c r="BU288" s="65"/>
      <c r="BW288" s="178"/>
      <c r="BX288" s="399"/>
    </row>
    <row r="289" ht="60.0" hidden="1" customHeight="1">
      <c r="A289" s="173"/>
      <c r="B289" s="65"/>
      <c r="C289" s="441"/>
      <c r="D289" s="430"/>
      <c r="E289" s="431"/>
      <c r="F289" s="431"/>
      <c r="G289" s="431"/>
      <c r="H289" s="431"/>
      <c r="I289" s="431"/>
      <c r="J289" s="397"/>
      <c r="K289" s="398">
        <f t="shared" si="1"/>
        <v>0</v>
      </c>
      <c r="L289" s="173"/>
      <c r="M289" s="173"/>
      <c r="N289" s="177"/>
      <c r="O289" s="178"/>
      <c r="P289" s="178"/>
      <c r="Q289" s="178"/>
      <c r="R289" s="178"/>
      <c r="S289" s="182"/>
      <c r="T289" s="65"/>
      <c r="U289" s="64"/>
      <c r="V289" s="66"/>
      <c r="W289" s="173"/>
      <c r="X289" s="173"/>
      <c r="Y289" s="65"/>
      <c r="Z289" s="65"/>
      <c r="AA289" s="65"/>
      <c r="AB289" s="65"/>
      <c r="AC289" s="173"/>
      <c r="AD289" s="166"/>
      <c r="AE289" s="166"/>
      <c r="AF289" s="166"/>
      <c r="AG289" s="166"/>
      <c r="AH289" s="65"/>
      <c r="AJ289" s="177"/>
      <c r="AK289" s="178"/>
      <c r="AL289" s="181"/>
      <c r="AM289" s="166"/>
      <c r="AN289" s="166"/>
      <c r="AO289" s="177"/>
      <c r="AP289" s="178"/>
      <c r="AQ289" s="181"/>
      <c r="AR289" s="166"/>
      <c r="AS289" s="166"/>
      <c r="AT289" s="177"/>
      <c r="AU289" s="181"/>
      <c r="AV289" s="166"/>
      <c r="AW289" s="166"/>
      <c r="AX289" s="177"/>
      <c r="AY289" s="166"/>
      <c r="AZ289" s="177"/>
      <c r="BA289" s="178"/>
      <c r="BB289" s="178"/>
      <c r="BC289" s="178"/>
      <c r="BD289" s="178"/>
      <c r="BE289" s="178"/>
      <c r="BF289" s="178"/>
      <c r="BG289" s="179"/>
      <c r="BH289" s="180"/>
      <c r="BI289" s="178"/>
      <c r="BJ289" s="177"/>
      <c r="BK289" s="181"/>
      <c r="BL289" s="177"/>
      <c r="BM289" s="181"/>
      <c r="BN289" s="177"/>
      <c r="BO289" s="181"/>
      <c r="BP289" s="177"/>
      <c r="BQ289" s="181"/>
      <c r="BR289" s="166"/>
      <c r="BS289" s="166"/>
      <c r="BT289" s="166"/>
      <c r="BU289" s="65"/>
      <c r="BW289" s="178"/>
      <c r="BX289" s="399"/>
    </row>
    <row r="290" ht="60.0" hidden="1" customHeight="1">
      <c r="A290" s="173"/>
      <c r="B290" s="65"/>
      <c r="C290" s="441"/>
      <c r="D290" s="430"/>
      <c r="E290" s="431"/>
      <c r="F290" s="431"/>
      <c r="G290" s="431"/>
      <c r="H290" s="431"/>
      <c r="I290" s="431"/>
      <c r="J290" s="397"/>
      <c r="K290" s="398">
        <f t="shared" si="1"/>
        <v>0</v>
      </c>
      <c r="L290" s="173"/>
      <c r="M290" s="173"/>
      <c r="N290" s="177"/>
      <c r="O290" s="178"/>
      <c r="P290" s="178"/>
      <c r="Q290" s="178"/>
      <c r="R290" s="178"/>
      <c r="S290" s="182"/>
      <c r="T290" s="65"/>
      <c r="U290" s="64"/>
      <c r="V290" s="66"/>
      <c r="W290" s="173"/>
      <c r="X290" s="173"/>
      <c r="Y290" s="65"/>
      <c r="Z290" s="65"/>
      <c r="AA290" s="65"/>
      <c r="AB290" s="65"/>
      <c r="AC290" s="173"/>
      <c r="AD290" s="166"/>
      <c r="AE290" s="166"/>
      <c r="AF290" s="166"/>
      <c r="AG290" s="166"/>
      <c r="AH290" s="65"/>
      <c r="AJ290" s="177"/>
      <c r="AK290" s="178"/>
      <c r="AL290" s="181"/>
      <c r="AM290" s="166"/>
      <c r="AN290" s="166"/>
      <c r="AO290" s="177"/>
      <c r="AP290" s="178"/>
      <c r="AQ290" s="181"/>
      <c r="AR290" s="166"/>
      <c r="AS290" s="166"/>
      <c r="AT290" s="177"/>
      <c r="AU290" s="181"/>
      <c r="AV290" s="166"/>
      <c r="AW290" s="166"/>
      <c r="AX290" s="177"/>
      <c r="AY290" s="166"/>
      <c r="AZ290" s="177"/>
      <c r="BA290" s="178"/>
      <c r="BB290" s="178"/>
      <c r="BC290" s="178"/>
      <c r="BD290" s="178"/>
      <c r="BE290" s="178"/>
      <c r="BF290" s="178"/>
      <c r="BG290" s="179"/>
      <c r="BH290" s="180"/>
      <c r="BI290" s="178"/>
      <c r="BJ290" s="177"/>
      <c r="BK290" s="181"/>
      <c r="BL290" s="177"/>
      <c r="BM290" s="181"/>
      <c r="BN290" s="177"/>
      <c r="BO290" s="181"/>
      <c r="BP290" s="177"/>
      <c r="BQ290" s="181"/>
      <c r="BR290" s="166"/>
      <c r="BS290" s="166"/>
      <c r="BT290" s="166"/>
      <c r="BU290" s="65"/>
      <c r="BW290" s="178"/>
      <c r="BX290" s="399"/>
    </row>
    <row r="291" ht="60.0" hidden="1" customHeight="1">
      <c r="A291" s="173"/>
      <c r="B291" s="65"/>
      <c r="C291" s="441"/>
      <c r="D291" s="430"/>
      <c r="E291" s="431"/>
      <c r="F291" s="431"/>
      <c r="G291" s="431"/>
      <c r="H291" s="431"/>
      <c r="I291" s="431"/>
      <c r="J291" s="397"/>
      <c r="K291" s="398">
        <f t="shared" si="1"/>
        <v>0</v>
      </c>
      <c r="L291" s="173"/>
      <c r="M291" s="173"/>
      <c r="N291" s="177"/>
      <c r="O291" s="178"/>
      <c r="P291" s="178"/>
      <c r="Q291" s="178"/>
      <c r="R291" s="178"/>
      <c r="S291" s="182"/>
      <c r="T291" s="65"/>
      <c r="U291" s="64"/>
      <c r="V291" s="66"/>
      <c r="W291" s="173"/>
      <c r="X291" s="173"/>
      <c r="Y291" s="65"/>
      <c r="Z291" s="65"/>
      <c r="AA291" s="65"/>
      <c r="AB291" s="65"/>
      <c r="AC291" s="173"/>
      <c r="AD291" s="166"/>
      <c r="AE291" s="166"/>
      <c r="AF291" s="166"/>
      <c r="AG291" s="166"/>
      <c r="AH291" s="65"/>
      <c r="AJ291" s="177"/>
      <c r="AK291" s="178"/>
      <c r="AL291" s="181"/>
      <c r="AM291" s="166"/>
      <c r="AN291" s="166"/>
      <c r="AO291" s="177"/>
      <c r="AP291" s="178"/>
      <c r="AQ291" s="181"/>
      <c r="AR291" s="166"/>
      <c r="AS291" s="166"/>
      <c r="AT291" s="177"/>
      <c r="AU291" s="181"/>
      <c r="AV291" s="166"/>
      <c r="AW291" s="166"/>
      <c r="AX291" s="177"/>
      <c r="AY291" s="166"/>
      <c r="AZ291" s="177"/>
      <c r="BA291" s="178"/>
      <c r="BB291" s="178"/>
      <c r="BC291" s="178"/>
      <c r="BD291" s="178"/>
      <c r="BE291" s="178"/>
      <c r="BF291" s="178"/>
      <c r="BG291" s="179"/>
      <c r="BH291" s="180"/>
      <c r="BI291" s="178"/>
      <c r="BJ291" s="177"/>
      <c r="BK291" s="181"/>
      <c r="BL291" s="177"/>
      <c r="BM291" s="181"/>
      <c r="BN291" s="177"/>
      <c r="BO291" s="181"/>
      <c r="BP291" s="177"/>
      <c r="BQ291" s="181"/>
      <c r="BR291" s="166"/>
      <c r="BS291" s="166"/>
      <c r="BT291" s="166"/>
      <c r="BU291" s="65"/>
      <c r="BW291" s="178"/>
      <c r="BX291" s="399"/>
    </row>
    <row r="292" ht="60.0" hidden="1" customHeight="1">
      <c r="A292" s="173"/>
      <c r="B292" s="65"/>
      <c r="C292" s="441"/>
      <c r="D292" s="430"/>
      <c r="E292" s="431"/>
      <c r="F292" s="431"/>
      <c r="G292" s="431"/>
      <c r="H292" s="431"/>
      <c r="I292" s="431"/>
      <c r="J292" s="397"/>
      <c r="K292" s="398">
        <f t="shared" si="1"/>
        <v>0</v>
      </c>
      <c r="L292" s="173"/>
      <c r="M292" s="173"/>
      <c r="N292" s="177"/>
      <c r="O292" s="178"/>
      <c r="P292" s="178"/>
      <c r="Q292" s="178"/>
      <c r="R292" s="178"/>
      <c r="S292" s="182"/>
      <c r="T292" s="65"/>
      <c r="U292" s="64"/>
      <c r="V292" s="66"/>
      <c r="W292" s="173"/>
      <c r="X292" s="173"/>
      <c r="Y292" s="65"/>
      <c r="Z292" s="65"/>
      <c r="AA292" s="65"/>
      <c r="AB292" s="65"/>
      <c r="AC292" s="173"/>
      <c r="AD292" s="166"/>
      <c r="AE292" s="166"/>
      <c r="AF292" s="166"/>
      <c r="AG292" s="166"/>
      <c r="AH292" s="65"/>
      <c r="AJ292" s="177"/>
      <c r="AK292" s="178"/>
      <c r="AL292" s="181"/>
      <c r="AM292" s="166"/>
      <c r="AN292" s="166"/>
      <c r="AO292" s="177"/>
      <c r="AP292" s="178"/>
      <c r="AQ292" s="181"/>
      <c r="AR292" s="166"/>
      <c r="AS292" s="166"/>
      <c r="AT292" s="177"/>
      <c r="AU292" s="181"/>
      <c r="AV292" s="166"/>
      <c r="AW292" s="166"/>
      <c r="AX292" s="177"/>
      <c r="AY292" s="166"/>
      <c r="AZ292" s="177"/>
      <c r="BA292" s="178"/>
      <c r="BB292" s="178"/>
      <c r="BC292" s="178"/>
      <c r="BD292" s="178"/>
      <c r="BE292" s="178"/>
      <c r="BF292" s="178"/>
      <c r="BG292" s="179"/>
      <c r="BH292" s="180"/>
      <c r="BI292" s="178"/>
      <c r="BJ292" s="177"/>
      <c r="BK292" s="181"/>
      <c r="BL292" s="177"/>
      <c r="BM292" s="181"/>
      <c r="BN292" s="177"/>
      <c r="BO292" s="181"/>
      <c r="BP292" s="177"/>
      <c r="BQ292" s="181"/>
      <c r="BR292" s="166"/>
      <c r="BS292" s="166"/>
      <c r="BT292" s="166"/>
      <c r="BU292" s="65"/>
      <c r="BW292" s="178"/>
      <c r="BX292" s="399"/>
    </row>
    <row r="293" ht="60.0" hidden="1" customHeight="1">
      <c r="A293" s="69"/>
      <c r="B293" s="89"/>
      <c r="C293" s="442"/>
      <c r="D293" s="432"/>
      <c r="E293" s="433"/>
      <c r="F293" s="433"/>
      <c r="G293" s="433"/>
      <c r="H293" s="433"/>
      <c r="I293" s="433"/>
      <c r="J293" s="402"/>
      <c r="K293" s="403">
        <f t="shared" si="1"/>
        <v>0</v>
      </c>
      <c r="L293" s="69"/>
      <c r="M293" s="69"/>
      <c r="N293" s="192"/>
      <c r="O293" s="193"/>
      <c r="P293" s="193"/>
      <c r="Q293" s="193"/>
      <c r="R293" s="193"/>
      <c r="S293" s="197"/>
      <c r="T293" s="89"/>
      <c r="U293" s="103"/>
      <c r="V293" s="68"/>
      <c r="W293" s="69"/>
      <c r="X293" s="69"/>
      <c r="Y293" s="89"/>
      <c r="Z293" s="89"/>
      <c r="AA293" s="89"/>
      <c r="AB293" s="89"/>
      <c r="AC293" s="69"/>
      <c r="AD293" s="63"/>
      <c r="AE293" s="63"/>
      <c r="AF293" s="63"/>
      <c r="AG293" s="63"/>
      <c r="AH293" s="89"/>
      <c r="AI293" s="6"/>
      <c r="AJ293" s="192"/>
      <c r="AK293" s="193"/>
      <c r="AL293" s="196"/>
      <c r="AM293" s="63"/>
      <c r="AN293" s="63"/>
      <c r="AO293" s="192"/>
      <c r="AP293" s="193"/>
      <c r="AQ293" s="196"/>
      <c r="AR293" s="63"/>
      <c r="AS293" s="63"/>
      <c r="AT293" s="192"/>
      <c r="AU293" s="196"/>
      <c r="AV293" s="63"/>
      <c r="AW293" s="63"/>
      <c r="AX293" s="192"/>
      <c r="AY293" s="63"/>
      <c r="AZ293" s="192"/>
      <c r="BA293" s="193"/>
      <c r="BB293" s="193"/>
      <c r="BC293" s="193"/>
      <c r="BD293" s="193"/>
      <c r="BE293" s="193"/>
      <c r="BF293" s="193"/>
      <c r="BG293" s="194"/>
      <c r="BH293" s="195"/>
      <c r="BI293" s="193"/>
      <c r="BJ293" s="192"/>
      <c r="BK293" s="196"/>
      <c r="BL293" s="192"/>
      <c r="BM293" s="196"/>
      <c r="BN293" s="192"/>
      <c r="BO293" s="196"/>
      <c r="BP293" s="192"/>
      <c r="BQ293" s="196"/>
      <c r="BR293" s="63"/>
      <c r="BS293" s="63"/>
      <c r="BT293" s="63"/>
      <c r="BU293" s="89"/>
      <c r="BV293" s="6"/>
      <c r="BW293" s="198"/>
      <c r="BX293" s="404"/>
    </row>
    <row r="294" ht="60.0" hidden="1" customHeight="1">
      <c r="A294" s="438">
        <v>27.0</v>
      </c>
      <c r="B294" s="439"/>
      <c r="C294" s="440"/>
      <c r="D294" s="428"/>
      <c r="E294" s="429"/>
      <c r="F294" s="429"/>
      <c r="G294" s="429"/>
      <c r="H294" s="429"/>
      <c r="I294" s="429"/>
      <c r="J294" s="366"/>
      <c r="K294" s="367">
        <f t="shared" si="1"/>
        <v>0</v>
      </c>
      <c r="L294" s="368">
        <f>SUM(I294:I304)+SUM(K294:K304)*1</f>
        <v>0</v>
      </c>
      <c r="M294" s="368">
        <f>SUM('21 Oct Mon'!Q294:Q304,'22 Oct Tues'!Q294:Q304,'23 Oct Wed'!Q294:Q304,'24 Oct Thurs'!Q294:Q304,'25 Oct Fri'!Q294:Q304,'26 Oct Sat'!Q294:Q304)</f>
        <v>0</v>
      </c>
      <c r="N294" s="369">
        <f>SUM('21 Oct Mon'!R294:R304,'22 Oct Tues'!R294:R304,'23 Oct Wed'!R294:R304,'24 Oct Thurs'!R294:R304,'25 Oct Fri'!R294:R304,'26 Oct Sat'!R294:R304)</f>
        <v>0</v>
      </c>
      <c r="O294" s="370">
        <f>SUM(L294:N304)</f>
        <v>0</v>
      </c>
      <c r="P294" s="370">
        <f>SUM('21 Oct Mon'!T294:T304,'22 Oct Tues'!T294:T304,'23 Oct Wed'!T294:T304,'24 Oct Thurs'!T294:T304,'25 Oct Fri'!T294:T304,'26 Oct Sat'!T294:T304)</f>
        <v>0</v>
      </c>
      <c r="Q294" s="370">
        <f>SUM('21 Oct Mon'!U294:U304,'22 Oct Tues'!U294:U304,'23 Oct Wed'!U294:U304,'24 Oct Thurs'!U294:U304,'25 Oct Fri'!U294:U304,'26 Oct Sat'!U294:U304)</f>
        <v>0</v>
      </c>
      <c r="R294" s="370">
        <f>SUM('21 Oct Mon'!V294:V304,'22 Oct Tues'!V294:V304,'23 Oct Wed'!V294:V304,'24 Oct Thurs'!V294:V304,'25 Oct Fri'!V294:V304,'26 Oct Sat'!V294:V304)</f>
        <v>0</v>
      </c>
      <c r="S294" s="371">
        <f>SUM('21 Oct Mon'!W294:W304,'22 Oct Tues'!W294:W304,'23 Oct Wed'!W294:W304,'24 Oct Thurs'!W294:W304,'25 Oct Fri'!W294:W304,'26 Oct Sat'!W294:W304)</f>
        <v>0</v>
      </c>
      <c r="T294" s="372">
        <f>O294-P294-Q294-R294-S294</f>
        <v>0</v>
      </c>
      <c r="U294" s="373" t="str">
        <f>CONCATENATE(SUM('21 Oct Mon'!O294:O304,'22 Oct Tues'!O294:O304,'23 Oct Wed'!O294:O304,'24 Oct Thurs'!O294:O304,'25 Oct Fri'!O294:O304,'26 Oct Sat'!O294:O304),"
(",(SUM('21 Oct Mon'!O294:O304,'22 Oct Tues'!O294:O304,'23 Oct Wed'!O294:O304,'24 Oct Thurs'!O294:O304,'25 Oct Fri'!O294:O304,'26 Oct Sat'!O294:O304)-T294),")")</f>
        <v>0
(0)</v>
      </c>
      <c r="V294" s="374" t="str">
        <f>CONCATENATE("Mon-",'21 Oct Mon'!Z294:Z304,",Tues-",'22 Oct Tues'!Z294:Z304,",Wed-",'23 Oct Wed'!Z294:Z304,",Thurs-",'24 Oct Thurs'!Z294:Z304,",Fri-",'25 Oct Fri'!Z294:Z304,",Sat-",'26 Oct Sat'!Z294:Z304)</f>
        <v>Mon-,Tues-,Wed-,Thurs-,Fri-,Sat-</v>
      </c>
      <c r="W294" s="375">
        <f>SUM('21 Oct Mon'!AI294:AI304,'22 Oct Tues'!AI294:AI304,'23 Oct Wed'!AI294:AI304,'24 Oct Thurs'!AI294:AI304,'25 Oct Fri'!AI294:AI304,'26 Oct Sat'!AI294:AI304)</f>
        <v>0</v>
      </c>
      <c r="X294" s="375">
        <f>SUM('21 Oct Mon'!AM294:AM304,'22 Oct Tues'!AM294:AM304,'23 Oct Wed'!AM294:AM304,'24 Oct Thurs'!AM294:AM304,'25 Oct Fri'!AM294:AM304,'26 Oct Sat'!AM294:AM304)</f>
        <v>0</v>
      </c>
      <c r="Y294" s="376">
        <f>SUM('21 Oct Mon'!AP294:AP304,'22 Oct Tues'!AP294:AP304,'23 Oct Wed'!AP294:AP304,'24 Oct Thurs'!AP294:AP304,'25 Oct Fri'!AP294:AP304,'26 Oct Sat'!AP294:AP304)</f>
        <v>0</v>
      </c>
      <c r="Z294" s="376">
        <f>SUM('21 Oct Mon'!AQ294:AQ304,'22 Oct Tues'!AQ294:AQ304,'23 Oct Wed'!AQ294:AQ304,'24 Oct Thurs'!AQ294:AQ304,'25 Oct Fri'!AQ294:AQ304,'26 Oct Sat'!AQ294:AQ304)</f>
        <v>0</v>
      </c>
      <c r="AA294" s="377">
        <f>SUM('21 Oct Mon'!AR294:AR304,'22 Oct Tues'!AR294:AR304,'23 Oct Wed'!AR294:AR304,'24 Oct Thurs'!AR294:AR304,'25 Oct Fri'!AR294:AR304,'26 Oct Sat'!AR294:AR304)</f>
        <v>0</v>
      </c>
      <c r="AB294" s="377">
        <f>SUM('21 Oct Mon'!AS294:AS304,'22 Oct Tues'!AS294:AS304,'23 Oct Wed'!AS294:AS304,'24 Oct Thurs'!AS294:AS304,'25 Oct Fri'!AS294:AS304,'26 Oct Sat'!AS294:AS304)</f>
        <v>0</v>
      </c>
      <c r="AC294" s="378">
        <f>SUM('21 Oct Mon'!AT294:AT304,'22 Oct Tues'!AT294:AT304,'23 Oct Wed'!AT294:AT304,'24 Oct Thurs'!AT294:AT304,'25 Oct Fri'!AT294:AT304,'26 Oct Sat'!AT294:AT304)</f>
        <v>0</v>
      </c>
      <c r="AD294" s="379">
        <f>SUM('21 Oct Mon'!AU294:AU304,'22 Oct Tues'!AU294:AU304,'23 Oct Wed'!AU294:AU304,'24 Oct Thurs'!AU294:AU304,'25 Oct Fri'!AU294:AU304,'26 Oct Sat'!AU294:AU304)</f>
        <v>0</v>
      </c>
      <c r="AE294" s="379">
        <f>SUM('21 Oct Mon'!AV294:AV304,'22 Oct Tues'!AV294:AV304,'23 Oct Wed'!AV294:AV304,'24 Oct Thurs'!AV294:AV304,'25 Oct Fri'!AV294:AV304,'26 Oct Sat'!AV294:AV304)</f>
        <v>0</v>
      </c>
      <c r="AF294" s="379">
        <f>SUM('21 Oct Mon'!AW294:AW304,'22 Oct Tues'!AW294:AW304,'23 Oct Wed'!AW294:AW304,'24 Oct Thurs'!AW294:AW304,'25 Oct Fri'!AW294:AW304,'26 Oct Sat'!AW294:AW304)</f>
        <v>0</v>
      </c>
      <c r="AG294" s="379">
        <f>SUM('21 Oct Mon'!AX294:AX304,'22 Oct Tues'!AX294:AX304,'23 Oct Wed'!AX294:AX304,'24 Oct Thurs'!AX294:AX304,'25 Oct Fri'!AX294:AX304,'26 Oct Sat'!AX294:AX304)</f>
        <v>0</v>
      </c>
      <c r="AH294" s="380">
        <f>SUM('21 Oct Mon'!AY294:AY304,'22 Oct Tues'!AY294:AY304,'23 Oct Wed'!AY294:AY304,'24 Oct Thurs'!AY294:AY304,'25 Oct Fri'!AY294:AY304,'26 Oct Sat'!AY294:AY304)</f>
        <v>0</v>
      </c>
      <c r="AI294" s="381">
        <f>SUM('21 Oct Mon'!AZ294:AZ304,'22 Oct Tues'!AZ294:AZ304,'23 Oct Wed'!AZ294:AZ304,'24 Oct Thurs'!AZ294:AZ304,'25 Oct Fri'!AZ294:AZ304,'26 Oct Sat'!AZ294:AZ304)</f>
        <v>0</v>
      </c>
      <c r="AJ294" s="382">
        <f>SUM('21 Oct Mon'!BG294:BG304,'22 Oct Tues'!BG294:BG304,'23 Oct Wed'!BG294:BG304,'24 Oct Thurs'!BG294:BG304,'25 Oct Fri'!BG294:BG304,'26 Oct Sat'!BG294:BG304)</f>
        <v>0</v>
      </c>
      <c r="AK294" s="383">
        <f>SUM('21 Oct Mon'!BH294:BH304,'22 Oct Tues'!BH294:BH304,'23 Oct Wed'!BH294:BH304,'24 Oct Thurs'!BH294:BH304,'25 Oct Fri'!BH294:BH304,'26 Oct Sat'!BH294:BH304)</f>
        <v>0</v>
      </c>
      <c r="AL294" s="384">
        <f>SUM('21 Oct Mon'!BI294:BI304,'22 Oct Tues'!BI294:BI304,'23 Oct Wed'!BI294:BI304,'24 Oct Thurs'!BI294:BI304,'25 Oct Fri'!BI294:BI304,'26 Oct Sat'!BI294:BI304)</f>
        <v>0</v>
      </c>
      <c r="AM294" s="379">
        <f>SUM('21 Oct Mon'!BJ294:BJ304,'22 Oct Tues'!BJ294:BJ304,'23 Oct Wed'!BJ294:BJ304,'24 Oct Thurs'!BJ294:BJ304,'25 Oct Fri'!BJ294:BJ304,'26 Oct Sat'!BJ294:BJ304)</f>
        <v>0</v>
      </c>
      <c r="AN294" s="379">
        <f>SUM('21 Oct Mon'!BK294:BK304,'22 Oct Tues'!BK294:BK304,'23 Oct Wed'!BK294:BK304,'24 Oct Thurs'!BK294:BK304,'25 Oct Fri'!BK294:BK304,'26 Oct Sat'!BK294:BK304)</f>
        <v>0</v>
      </c>
      <c r="AO294" s="385">
        <f>SUM('21 Oct Mon'!BL294:BL304,'22 Oct Tues'!BL294:BL304,'23 Oct Wed'!BL294:BL304,'24 Oct Thurs'!BL294:BL304,'25 Oct Fri'!BL294:BL304,'26 Oct Sat'!BL294:BL304)</f>
        <v>0</v>
      </c>
      <c r="AP294" s="386">
        <f>SUM('21 Oct Mon'!BM294:BM304,'22 Oct Tues'!BM294:BM304,'23 Oct Wed'!BM294:BM304,'24 Oct Thurs'!BM294:BM304,'25 Oct Fri'!BM294:BM304,'26 Oct Sat'!BM294:BM304)</f>
        <v>0</v>
      </c>
      <c r="AQ294" s="387">
        <f>SUM('21 Oct Mon'!BN294:BN304,'22 Oct Tues'!BN294:BN304,'23 Oct Wed'!BN294:BN304,'24 Oct Thurs'!BN294:BN304,'25 Oct Fri'!BN294:BN304,'26 Oct Sat'!BN294:BN304)</f>
        <v>0</v>
      </c>
      <c r="AR294" s="379">
        <f>SUM('21 Oct Mon'!BO294:BO304,'22 Oct Tues'!BO294:BO304,'23 Oct Wed'!BO294:BO304,'24 Oct Thurs'!BO294:BO304,'25 Oct Fri'!BO294:BO304,'26 Oct Sat'!BO294:BO304)</f>
        <v>0</v>
      </c>
      <c r="AS294" s="379">
        <f>SUM('21 Oct Mon'!BP294:BP304,'22 Oct Tues'!BP294:BP304,'23 Oct Wed'!BP294:BP304,'24 Oct Thurs'!BP294:BP304,'25 Oct Fri'!BP294:BP304,'26 Oct Sat'!BP294:BP304)</f>
        <v>0</v>
      </c>
      <c r="AT294" s="382">
        <f>SUM('21 Oct Mon'!BR294:BR304,'22 Oct Tues'!BR294:BR304,'23 Oct Wed'!BR294:BR304,'24 Oct Thurs'!BR294:BR304,'25 Oct Fri'!BR294:BR304,'26 Oct Sat'!BR294:BR304)</f>
        <v>0</v>
      </c>
      <c r="AU294" s="384">
        <f>SUM('21 Oct Mon'!BS294:BS304,'22 Oct Tues'!BS294:BS304,'23 Oct Wed'!BS294:BS304,'24 Oct Thurs'!BS294:BS304,'25 Oct Fri'!BS294:BS304,'26 Oct Sat'!BS294:BS304)</f>
        <v>0</v>
      </c>
      <c r="AV294" s="379">
        <f>SUM('21 Oct Mon'!BT294:BT304,'22 Oct Tues'!BT294:BT304,'23 Oct Wed'!BT294:BT304,'24 Oct Thurs'!BT294:BT304,'25 Oct Fri'!BT294:BT304,'26 Oct Sat'!BT294:BT304)</f>
        <v>0</v>
      </c>
      <c r="AW294" s="379">
        <f>SUM('21 Oct Mon'!BU294:BU304,'22 Oct Tues'!BU294:BU304,'23 Oct Wed'!BU294:BU304,'24 Oct Thurs'!BU294:BU304,'25 Oct Fri'!BU294:BU304,'26 Oct Sat'!BU294:BU304)</f>
        <v>0</v>
      </c>
      <c r="AX294" s="382">
        <f>SUM('21 Oct Mon'!BV294:BV304,'22 Oct Tues'!BV294:BV304,'23 Oct Wed'!BV294:BV304,'24 Oct Thurs'!BV294:BV304,'25 Oct Fri'!BV294:BV304,'26 Oct Sat'!BV294:BV304)</f>
        <v>0</v>
      </c>
      <c r="AY294" s="379">
        <f>SUM('21 Oct Mon'!BW294:BW304,'22 Oct Tues'!BW294:BW304,'23 Oct Wed'!BW294:BW304,'24 Oct Thurs'!BW294:BW304,'25 Oct Fri'!BW294:BW304,'26 Oct Sat'!BW294:BW304)</f>
        <v>0</v>
      </c>
      <c r="AZ294" s="385">
        <f>SUM('21 Oct Mon'!BX294:BX304,'22 Oct Tues'!BX294:BX304,'23 Oct Wed'!BX294:BX304,'24 Oct Thurs'!BX294:BX304,'25 Oct Fri'!BX294:BX304,'26 Oct Sat'!BX294:BX304)</f>
        <v>0</v>
      </c>
      <c r="BA294" s="386">
        <f>SUM('21 Oct Mon'!BY294:BY304,'22 Oct Tues'!BY294:BY304,'23 Oct Wed'!BY294:BY304,'24 Oct Thurs'!BY294:BY304,'25 Oct Fri'!BY294:BY304,'26 Oct Sat'!BY294:BY304)</f>
        <v>0</v>
      </c>
      <c r="BB294" s="386">
        <f>SUM('21 Oct Mon'!BZ294:BZ304,'22 Oct Tues'!BZ294:BZ304,'23 Oct Wed'!BZ294:BZ304,'24 Oct Thurs'!BZ294:BZ304,'25 Oct Fri'!BZ294:BZ304,'26 Oct Sat'!BZ294:BZ304)</f>
        <v>0</v>
      </c>
      <c r="BC294" s="386">
        <f>SUM('21 Oct Mon'!CA294:CA304,'22 Oct Tues'!CA294:CA304,'23 Oct Wed'!CA294:CA304,'24 Oct Thurs'!CA294:CA304,'25 Oct Fri'!CA294:CA304,'26 Oct Sat'!CA294:CA304)</f>
        <v>0</v>
      </c>
      <c r="BD294" s="386">
        <f>SUM('21 Oct Mon'!CB294:CB304,'22 Oct Tues'!CB294:CB304,'23 Oct Wed'!CB294:CB304,'24 Oct Thurs'!CB294:CB304,'25 Oct Fri'!CB294:CB304,'26 Oct Sat'!CB294:CB304)</f>
        <v>0</v>
      </c>
      <c r="BE294" s="386">
        <f>SUM('21 Oct Mon'!CC294:CC304,'22 Oct Tues'!CC294:CC304,'23 Oct Wed'!CC294:CC304,'24 Oct Thurs'!CC294:CC304,'25 Oct Fri'!CC294:CC304,'26 Oct Sat'!CC294:CC304)</f>
        <v>0</v>
      </c>
      <c r="BF294" s="386" t="str">
        <f>CONCATENATE("Mon-",'21 Oct Mon'!CD294:CD304,",Tues-",'22 Oct Tues'!CD294:CD304,",Wed-",'23 Oct Wed'!CD294:CD304,",Thurs-",'24 Oct Thurs'!CD294:CD304,",Fri-",'25 Oct Fri'!CD294:CD304,",Sat-",'26 Oct Sat'!CD294:CD304)</f>
        <v>Mon-,Tues-,Wed-,Thurs-,Fri-,Sat-</v>
      </c>
      <c r="BG294" s="388">
        <f>SUM('21 Oct Mon'!CE294:CE304,'22 Oct Tues'!CE294:CE304,'23 Oct Wed'!CE294:CE304,'24 Oct Thurs'!CE294:CE304,'25 Oct Fri'!CE294:CE304,'26 Oct Sat'!CE294:CE304)</f>
        <v>0</v>
      </c>
      <c r="BH294" s="389" t="str">
        <f>CONCATENATE("Mon-",'21 Oct Mon'!CF294:CF304,",Tues-",'22 Oct Tues'!CF294:CF304,",Wed-",'23 Oct Wed'!CF294:CF304,",Thurs-",'24 Oct Thurs'!CF294:CF304,",Fri-",'25 Oct Fri'!CF294:CF304,",Sat-",'26 Oct Sat'!CF294:CF304)</f>
        <v>Mon-,Tues-,Wed-,Thurs-,Fri-,Sat-</v>
      </c>
      <c r="BI294" s="383">
        <f>SUM('21 Oct Mon'!CG294:CG304,'22 Oct Tues'!CG294:CG304,'23 Oct Wed'!CG294:CG304,'24 Oct Thurs'!CG294:CG304,'25 Oct Fri'!CG294:CG304,'26 Oct Sat'!CG294:CG304)</f>
        <v>0</v>
      </c>
      <c r="BJ294" s="382">
        <f>SUM('21 Oct Mon'!CH294:CH304,'22 Oct Tues'!CH294:CH304,'23 Oct Wed'!CH294:CH304,'24 Oct Thurs'!CH294:CH304,'25 Oct Fri'!CH294:CH304,'26 Oct Sat'!CH294:CH304)</f>
        <v>0</v>
      </c>
      <c r="BK294" s="384">
        <f>SUM('21 Oct Mon'!CI294:CI304,'22 Oct Tues'!CI294:CI304,'23 Oct Wed'!CI294:CI304,'24 Oct Thurs'!CI294:CI304,'25 Oct Fri'!CI294:CI304,'26 Oct Sat'!CI294:CI304)</f>
        <v>0</v>
      </c>
      <c r="BL294" s="382" t="str">
        <f>CONCATENATE("Mon-",'21 Oct Mon'!CJ294:CJ304,",Tues-",'22 Oct Tues'!CJ294:CJ304,",Wed-",'23 Oct Wed'!CJ294:CJ304,",Thurs-",'24 Oct Thurs'!CJ294:CJ304,",Fri-",'25 Oct Fri'!CJ294:CJ304,",Sat-",'26 Oct Sat'!CJ294:CJ304)</f>
        <v>Mon-,Tues-,Wed-,Thurs-,Fri-,Sat-</v>
      </c>
      <c r="BM294" s="384">
        <f>SUM('21 Oct Mon'!CK294:CK304,'22 Oct Tues'!CK294:CK304,'23 Oct Wed'!CK294:CK304,'24 Oct Thurs'!CK294:CK304,'25 Oct Fri'!CK294:CK304,'26 Oct Sat'!CK294:CK304)</f>
        <v>0</v>
      </c>
      <c r="BN294" s="382" t="str">
        <f>CONCATENATE("Mon-",'21 Oct Mon'!CL294:CL304,",Tues-",'22 Oct Tues'!CL294:CL304,",Wed-",'23 Oct Wed'!CL294:CL304,",Thurs-",'24 Oct Thurs'!CL294:CL304,",Fri-",'25 Oct Fri'!CL294:CL304,",Sat-",'26 Oct Sat'!CL294:CL304)</f>
        <v>Mon-,Tues-,Wed-,Thurs-,Fri-,Sat-</v>
      </c>
      <c r="BO294" s="384">
        <f>SUM('21 Oct Mon'!CM294:CM304,'22 Oct Tues'!CM294:CM304,'23 Oct Wed'!CM294:CM304,'24 Oct Thurs'!CM294:CM304,'25 Oct Fri'!CM294:CM304,'26 Oct Sat'!CM294:CM304)</f>
        <v>0</v>
      </c>
      <c r="BP294" s="385" t="str">
        <f>CONCATENATE("Mon-",'21 Oct Mon'!CN294:CN304,",Tues-",'22 Oct Tues'!CN294:CN304,",Wed-",'23 Oct Wed'!CN294:CN304,",Thurs-",'24 Oct Thurs'!CN294:CN304,",Fri-",'25 Oct Fri'!CN294:CN304,",Sat-",'26 Oct Sat'!CN294:CN304)</f>
        <v>Mon-,Tues-,Wed-,Thurs-,Fri-,Sat-</v>
      </c>
      <c r="BQ294" s="387">
        <f>SUM('21 Oct Mon'!CO294:CO304,'22 Oct Tues'!CO294:CO304,'23 Oct Wed'!CO294:CO304,'24 Oct Thurs'!CO294:CO304,'25 Oct Fri'!CO294:CO304,'26 Oct Sat'!CO294:CO304)</f>
        <v>0</v>
      </c>
      <c r="BR294" s="379" t="str">
        <f>CONCATENATE("Mon-",'21 Oct Mon'!CP294:CP304,",Tues-",'22 Oct Tues'!CP294:CP304,",Wed-",'23 Oct Wed'!CP294:CP304,",Thurs-",'24 Oct Thurs'!CP294:CP304,",Fri-",'25 Oct Fri'!CP294:CP304,",Sat-",'26 Oct Sat'!CP294:CP304)</f>
        <v>Mon-,Tues-,Wed-,Thurs-,Fri-,Sat-</v>
      </c>
      <c r="BS294" s="390">
        <f>SUM('21 Oct Mon'!CQ294:CQ304,'22 Oct Tues'!CQ294:CQ304,'23 Oct Wed'!CQ294:CQ304,'24 Oct Thurs'!CQ294:CQ304,'25 Oct Fri'!CQ294:CQ304,'26 Oct Sat'!CQ294:CQ304)</f>
        <v>0</v>
      </c>
      <c r="BT294" s="390">
        <f>SUM('21 Oct Mon'!CR294:CR304,'22 Oct Tues'!CR294:CR304,'23 Oct Wed'!CR294:CR304,'24 Oct Thurs'!CR294:CR304,'25 Oct Fri'!CR294:CR304,'26 Oct Sat'!CR294:CR304)</f>
        <v>0</v>
      </c>
      <c r="BU294" s="391">
        <f>SUM('21 Oct Mon'!CS294:CS304,'22 Oct Tues'!CS294:CS304,'23 Oct Wed'!CS294:CS304,'24 Oct Thurs'!CS294:CS304,'25 Oct Fri'!CS294:CS304,'26 Oct Sat'!CS294:CS304)</f>
        <v>0</v>
      </c>
      <c r="BV294" s="392">
        <f>SUM('21 Oct Mon'!CT294:CT304,'22 Oct Tues'!CT294:CT304,'23 Oct Wed'!CT294:CT304,'24 Oct Thurs'!CT294:CT304,'25 Oct Fri'!CT294:CT304,'26 Oct Sat'!CT294:CT304)</f>
        <v>0</v>
      </c>
      <c r="BW294" s="393" t="str">
        <f>LEFT(U294,FIND("(",U294,1)-2)</f>
        <v>0</v>
      </c>
      <c r="BX294" s="394"/>
    </row>
    <row r="295" ht="60.0" hidden="1" customHeight="1">
      <c r="A295" s="173"/>
      <c r="B295" s="65"/>
      <c r="C295" s="441"/>
      <c r="D295" s="430"/>
      <c r="E295" s="431"/>
      <c r="F295" s="431"/>
      <c r="G295" s="431"/>
      <c r="H295" s="431"/>
      <c r="I295" s="431"/>
      <c r="J295" s="397"/>
      <c r="K295" s="398">
        <f t="shared" si="1"/>
        <v>0</v>
      </c>
      <c r="L295" s="173"/>
      <c r="M295" s="173"/>
      <c r="N295" s="177"/>
      <c r="O295" s="178"/>
      <c r="P295" s="178"/>
      <c r="Q295" s="178"/>
      <c r="R295" s="178"/>
      <c r="S295" s="182"/>
      <c r="T295" s="65"/>
      <c r="U295" s="64"/>
      <c r="V295" s="66"/>
      <c r="W295" s="173"/>
      <c r="X295" s="173"/>
      <c r="Y295" s="65"/>
      <c r="Z295" s="65"/>
      <c r="AA295" s="65"/>
      <c r="AB295" s="65"/>
      <c r="AC295" s="173"/>
      <c r="AD295" s="166"/>
      <c r="AE295" s="166"/>
      <c r="AF295" s="166"/>
      <c r="AG295" s="166"/>
      <c r="AH295" s="65"/>
      <c r="AJ295" s="177"/>
      <c r="AK295" s="178"/>
      <c r="AL295" s="181"/>
      <c r="AM295" s="166"/>
      <c r="AN295" s="166"/>
      <c r="AO295" s="177"/>
      <c r="AP295" s="178"/>
      <c r="AQ295" s="181"/>
      <c r="AR295" s="166"/>
      <c r="AS295" s="166"/>
      <c r="AT295" s="177"/>
      <c r="AU295" s="181"/>
      <c r="AV295" s="166"/>
      <c r="AW295" s="166"/>
      <c r="AX295" s="177"/>
      <c r="AY295" s="166"/>
      <c r="AZ295" s="177"/>
      <c r="BA295" s="178"/>
      <c r="BB295" s="178"/>
      <c r="BC295" s="178"/>
      <c r="BD295" s="178"/>
      <c r="BE295" s="178"/>
      <c r="BF295" s="178"/>
      <c r="BG295" s="179"/>
      <c r="BH295" s="180"/>
      <c r="BI295" s="178"/>
      <c r="BJ295" s="177"/>
      <c r="BK295" s="181"/>
      <c r="BL295" s="177"/>
      <c r="BM295" s="181"/>
      <c r="BN295" s="177"/>
      <c r="BO295" s="181"/>
      <c r="BP295" s="177"/>
      <c r="BQ295" s="181"/>
      <c r="BR295" s="166"/>
      <c r="BS295" s="166"/>
      <c r="BT295" s="166"/>
      <c r="BU295" s="65"/>
      <c r="BW295" s="178"/>
      <c r="BX295" s="399"/>
    </row>
    <row r="296" ht="60.0" hidden="1" customHeight="1">
      <c r="A296" s="173"/>
      <c r="B296" s="65"/>
      <c r="C296" s="441"/>
      <c r="D296" s="430"/>
      <c r="E296" s="431"/>
      <c r="F296" s="431"/>
      <c r="G296" s="431"/>
      <c r="H296" s="431"/>
      <c r="I296" s="431"/>
      <c r="J296" s="397"/>
      <c r="K296" s="398">
        <f t="shared" si="1"/>
        <v>0</v>
      </c>
      <c r="L296" s="173"/>
      <c r="M296" s="173"/>
      <c r="N296" s="177"/>
      <c r="O296" s="178"/>
      <c r="P296" s="178"/>
      <c r="Q296" s="178"/>
      <c r="R296" s="178"/>
      <c r="S296" s="182"/>
      <c r="T296" s="65"/>
      <c r="U296" s="64"/>
      <c r="V296" s="66"/>
      <c r="W296" s="173"/>
      <c r="X296" s="173"/>
      <c r="Y296" s="65"/>
      <c r="Z296" s="65"/>
      <c r="AA296" s="65"/>
      <c r="AB296" s="65"/>
      <c r="AC296" s="173"/>
      <c r="AD296" s="166"/>
      <c r="AE296" s="166"/>
      <c r="AF296" s="166"/>
      <c r="AG296" s="166"/>
      <c r="AH296" s="65"/>
      <c r="AJ296" s="177"/>
      <c r="AK296" s="178"/>
      <c r="AL296" s="181"/>
      <c r="AM296" s="166"/>
      <c r="AN296" s="166"/>
      <c r="AO296" s="177"/>
      <c r="AP296" s="178"/>
      <c r="AQ296" s="181"/>
      <c r="AR296" s="166"/>
      <c r="AS296" s="166"/>
      <c r="AT296" s="177"/>
      <c r="AU296" s="181"/>
      <c r="AV296" s="166"/>
      <c r="AW296" s="166"/>
      <c r="AX296" s="177"/>
      <c r="AY296" s="166"/>
      <c r="AZ296" s="177"/>
      <c r="BA296" s="178"/>
      <c r="BB296" s="178"/>
      <c r="BC296" s="178"/>
      <c r="BD296" s="178"/>
      <c r="BE296" s="178"/>
      <c r="BF296" s="178"/>
      <c r="BG296" s="179"/>
      <c r="BH296" s="180"/>
      <c r="BI296" s="178"/>
      <c r="BJ296" s="177"/>
      <c r="BK296" s="181"/>
      <c r="BL296" s="177"/>
      <c r="BM296" s="181"/>
      <c r="BN296" s="177"/>
      <c r="BO296" s="181"/>
      <c r="BP296" s="177"/>
      <c r="BQ296" s="181"/>
      <c r="BR296" s="166"/>
      <c r="BS296" s="166"/>
      <c r="BT296" s="166"/>
      <c r="BU296" s="65"/>
      <c r="BW296" s="178"/>
      <c r="BX296" s="399"/>
    </row>
    <row r="297" ht="60.0" hidden="1" customHeight="1">
      <c r="A297" s="173"/>
      <c r="B297" s="65"/>
      <c r="C297" s="441"/>
      <c r="D297" s="430"/>
      <c r="E297" s="431"/>
      <c r="F297" s="431"/>
      <c r="G297" s="431"/>
      <c r="H297" s="431"/>
      <c r="I297" s="431"/>
      <c r="J297" s="397"/>
      <c r="K297" s="398">
        <f t="shared" si="1"/>
        <v>0</v>
      </c>
      <c r="L297" s="173"/>
      <c r="M297" s="173"/>
      <c r="N297" s="177"/>
      <c r="O297" s="178"/>
      <c r="P297" s="178"/>
      <c r="Q297" s="178"/>
      <c r="R297" s="178"/>
      <c r="S297" s="182"/>
      <c r="T297" s="65"/>
      <c r="U297" s="64"/>
      <c r="V297" s="66"/>
      <c r="W297" s="173"/>
      <c r="X297" s="173"/>
      <c r="Y297" s="65"/>
      <c r="Z297" s="65"/>
      <c r="AA297" s="65"/>
      <c r="AB297" s="65"/>
      <c r="AC297" s="173"/>
      <c r="AD297" s="166"/>
      <c r="AE297" s="166"/>
      <c r="AF297" s="166"/>
      <c r="AG297" s="166"/>
      <c r="AH297" s="65"/>
      <c r="AJ297" s="177"/>
      <c r="AK297" s="178"/>
      <c r="AL297" s="181"/>
      <c r="AM297" s="166"/>
      <c r="AN297" s="166"/>
      <c r="AO297" s="177"/>
      <c r="AP297" s="178"/>
      <c r="AQ297" s="181"/>
      <c r="AR297" s="166"/>
      <c r="AS297" s="166"/>
      <c r="AT297" s="177"/>
      <c r="AU297" s="181"/>
      <c r="AV297" s="166"/>
      <c r="AW297" s="166"/>
      <c r="AX297" s="177"/>
      <c r="AY297" s="166"/>
      <c r="AZ297" s="177"/>
      <c r="BA297" s="178"/>
      <c r="BB297" s="178"/>
      <c r="BC297" s="178"/>
      <c r="BD297" s="178"/>
      <c r="BE297" s="178"/>
      <c r="BF297" s="178"/>
      <c r="BG297" s="179"/>
      <c r="BH297" s="180"/>
      <c r="BI297" s="178"/>
      <c r="BJ297" s="177"/>
      <c r="BK297" s="181"/>
      <c r="BL297" s="177"/>
      <c r="BM297" s="181"/>
      <c r="BN297" s="177"/>
      <c r="BO297" s="181"/>
      <c r="BP297" s="177"/>
      <c r="BQ297" s="181"/>
      <c r="BR297" s="166"/>
      <c r="BS297" s="166"/>
      <c r="BT297" s="166"/>
      <c r="BU297" s="65"/>
      <c r="BW297" s="178"/>
      <c r="BX297" s="399"/>
    </row>
    <row r="298" ht="60.0" hidden="1" customHeight="1">
      <c r="A298" s="173"/>
      <c r="B298" s="65"/>
      <c r="C298" s="441"/>
      <c r="D298" s="430"/>
      <c r="E298" s="431"/>
      <c r="F298" s="431"/>
      <c r="G298" s="431"/>
      <c r="H298" s="431"/>
      <c r="I298" s="431"/>
      <c r="J298" s="397"/>
      <c r="K298" s="398">
        <f t="shared" si="1"/>
        <v>0</v>
      </c>
      <c r="L298" s="173"/>
      <c r="M298" s="173"/>
      <c r="N298" s="177"/>
      <c r="O298" s="178"/>
      <c r="P298" s="178"/>
      <c r="Q298" s="178"/>
      <c r="R298" s="178"/>
      <c r="S298" s="182"/>
      <c r="T298" s="65"/>
      <c r="U298" s="64"/>
      <c r="V298" s="66"/>
      <c r="W298" s="173"/>
      <c r="X298" s="173"/>
      <c r="Y298" s="65"/>
      <c r="Z298" s="65"/>
      <c r="AA298" s="65"/>
      <c r="AB298" s="65"/>
      <c r="AC298" s="173"/>
      <c r="AD298" s="166"/>
      <c r="AE298" s="166"/>
      <c r="AF298" s="166"/>
      <c r="AG298" s="166"/>
      <c r="AH298" s="65"/>
      <c r="AJ298" s="177"/>
      <c r="AK298" s="178"/>
      <c r="AL298" s="181"/>
      <c r="AM298" s="166"/>
      <c r="AN298" s="166"/>
      <c r="AO298" s="177"/>
      <c r="AP298" s="178"/>
      <c r="AQ298" s="181"/>
      <c r="AR298" s="166"/>
      <c r="AS298" s="166"/>
      <c r="AT298" s="177"/>
      <c r="AU298" s="181"/>
      <c r="AV298" s="166"/>
      <c r="AW298" s="166"/>
      <c r="AX298" s="177"/>
      <c r="AY298" s="166"/>
      <c r="AZ298" s="177"/>
      <c r="BA298" s="178"/>
      <c r="BB298" s="178"/>
      <c r="BC298" s="178"/>
      <c r="BD298" s="178"/>
      <c r="BE298" s="178"/>
      <c r="BF298" s="178"/>
      <c r="BG298" s="179"/>
      <c r="BH298" s="180"/>
      <c r="BI298" s="178"/>
      <c r="BJ298" s="177"/>
      <c r="BK298" s="181"/>
      <c r="BL298" s="177"/>
      <c r="BM298" s="181"/>
      <c r="BN298" s="177"/>
      <c r="BO298" s="181"/>
      <c r="BP298" s="177"/>
      <c r="BQ298" s="181"/>
      <c r="BR298" s="166"/>
      <c r="BS298" s="166"/>
      <c r="BT298" s="166"/>
      <c r="BU298" s="65"/>
      <c r="BW298" s="178"/>
      <c r="BX298" s="399"/>
    </row>
    <row r="299" ht="60.0" hidden="1" customHeight="1">
      <c r="A299" s="173"/>
      <c r="B299" s="65"/>
      <c r="C299" s="441"/>
      <c r="D299" s="430"/>
      <c r="E299" s="431"/>
      <c r="F299" s="431"/>
      <c r="G299" s="431"/>
      <c r="H299" s="431"/>
      <c r="I299" s="431"/>
      <c r="J299" s="397"/>
      <c r="K299" s="398">
        <f t="shared" si="1"/>
        <v>0</v>
      </c>
      <c r="L299" s="173"/>
      <c r="M299" s="173"/>
      <c r="N299" s="177"/>
      <c r="O299" s="178"/>
      <c r="P299" s="178"/>
      <c r="Q299" s="178"/>
      <c r="R299" s="178"/>
      <c r="S299" s="182"/>
      <c r="T299" s="65"/>
      <c r="U299" s="64"/>
      <c r="V299" s="66"/>
      <c r="W299" s="173"/>
      <c r="X299" s="173"/>
      <c r="Y299" s="65"/>
      <c r="Z299" s="65"/>
      <c r="AA299" s="65"/>
      <c r="AB299" s="65"/>
      <c r="AC299" s="173"/>
      <c r="AD299" s="166"/>
      <c r="AE299" s="166"/>
      <c r="AF299" s="166"/>
      <c r="AG299" s="166"/>
      <c r="AH299" s="65"/>
      <c r="AJ299" s="177"/>
      <c r="AK299" s="178"/>
      <c r="AL299" s="181"/>
      <c r="AM299" s="166"/>
      <c r="AN299" s="166"/>
      <c r="AO299" s="177"/>
      <c r="AP299" s="178"/>
      <c r="AQ299" s="181"/>
      <c r="AR299" s="166"/>
      <c r="AS299" s="166"/>
      <c r="AT299" s="177"/>
      <c r="AU299" s="181"/>
      <c r="AV299" s="166"/>
      <c r="AW299" s="166"/>
      <c r="AX299" s="177"/>
      <c r="AY299" s="166"/>
      <c r="AZ299" s="177"/>
      <c r="BA299" s="178"/>
      <c r="BB299" s="178"/>
      <c r="BC299" s="178"/>
      <c r="BD299" s="178"/>
      <c r="BE299" s="178"/>
      <c r="BF299" s="178"/>
      <c r="BG299" s="179"/>
      <c r="BH299" s="180"/>
      <c r="BI299" s="178"/>
      <c r="BJ299" s="177"/>
      <c r="BK299" s="181"/>
      <c r="BL299" s="177"/>
      <c r="BM299" s="181"/>
      <c r="BN299" s="177"/>
      <c r="BO299" s="181"/>
      <c r="BP299" s="177"/>
      <c r="BQ299" s="181"/>
      <c r="BR299" s="166"/>
      <c r="BS299" s="166"/>
      <c r="BT299" s="166"/>
      <c r="BU299" s="65"/>
      <c r="BW299" s="178"/>
      <c r="BX299" s="399"/>
    </row>
    <row r="300" ht="60.0" hidden="1" customHeight="1">
      <c r="A300" s="173"/>
      <c r="B300" s="65"/>
      <c r="C300" s="441"/>
      <c r="D300" s="430"/>
      <c r="E300" s="431"/>
      <c r="F300" s="431"/>
      <c r="G300" s="431"/>
      <c r="H300" s="431"/>
      <c r="I300" s="431"/>
      <c r="J300" s="397"/>
      <c r="K300" s="398">
        <f t="shared" si="1"/>
        <v>0</v>
      </c>
      <c r="L300" s="173"/>
      <c r="M300" s="173"/>
      <c r="N300" s="177"/>
      <c r="O300" s="178"/>
      <c r="P300" s="178"/>
      <c r="Q300" s="178"/>
      <c r="R300" s="178"/>
      <c r="S300" s="182"/>
      <c r="T300" s="65"/>
      <c r="U300" s="64"/>
      <c r="V300" s="66"/>
      <c r="W300" s="173"/>
      <c r="X300" s="173"/>
      <c r="Y300" s="65"/>
      <c r="Z300" s="65"/>
      <c r="AA300" s="65"/>
      <c r="AB300" s="65"/>
      <c r="AC300" s="173"/>
      <c r="AD300" s="166"/>
      <c r="AE300" s="166"/>
      <c r="AF300" s="166"/>
      <c r="AG300" s="166"/>
      <c r="AH300" s="65"/>
      <c r="AJ300" s="177"/>
      <c r="AK300" s="178"/>
      <c r="AL300" s="181"/>
      <c r="AM300" s="166"/>
      <c r="AN300" s="166"/>
      <c r="AO300" s="177"/>
      <c r="AP300" s="178"/>
      <c r="AQ300" s="181"/>
      <c r="AR300" s="166"/>
      <c r="AS300" s="166"/>
      <c r="AT300" s="177"/>
      <c r="AU300" s="181"/>
      <c r="AV300" s="166"/>
      <c r="AW300" s="166"/>
      <c r="AX300" s="177"/>
      <c r="AY300" s="166"/>
      <c r="AZ300" s="177"/>
      <c r="BA300" s="178"/>
      <c r="BB300" s="178"/>
      <c r="BC300" s="178"/>
      <c r="BD300" s="178"/>
      <c r="BE300" s="178"/>
      <c r="BF300" s="178"/>
      <c r="BG300" s="179"/>
      <c r="BH300" s="180"/>
      <c r="BI300" s="178"/>
      <c r="BJ300" s="177"/>
      <c r="BK300" s="181"/>
      <c r="BL300" s="177"/>
      <c r="BM300" s="181"/>
      <c r="BN300" s="177"/>
      <c r="BO300" s="181"/>
      <c r="BP300" s="177"/>
      <c r="BQ300" s="181"/>
      <c r="BR300" s="166"/>
      <c r="BS300" s="166"/>
      <c r="BT300" s="166"/>
      <c r="BU300" s="65"/>
      <c r="BW300" s="178"/>
      <c r="BX300" s="399"/>
    </row>
    <row r="301" ht="60.0" hidden="1" customHeight="1">
      <c r="A301" s="173"/>
      <c r="B301" s="65"/>
      <c r="C301" s="441"/>
      <c r="D301" s="430"/>
      <c r="E301" s="431"/>
      <c r="F301" s="431"/>
      <c r="G301" s="431"/>
      <c r="H301" s="431"/>
      <c r="I301" s="431"/>
      <c r="J301" s="397"/>
      <c r="K301" s="398">
        <f t="shared" si="1"/>
        <v>0</v>
      </c>
      <c r="L301" s="173"/>
      <c r="M301" s="173"/>
      <c r="N301" s="177"/>
      <c r="O301" s="178"/>
      <c r="P301" s="178"/>
      <c r="Q301" s="178"/>
      <c r="R301" s="178"/>
      <c r="S301" s="182"/>
      <c r="T301" s="65"/>
      <c r="U301" s="64"/>
      <c r="V301" s="66"/>
      <c r="W301" s="173"/>
      <c r="X301" s="173"/>
      <c r="Y301" s="65"/>
      <c r="Z301" s="65"/>
      <c r="AA301" s="65"/>
      <c r="AB301" s="65"/>
      <c r="AC301" s="173"/>
      <c r="AD301" s="166"/>
      <c r="AE301" s="166"/>
      <c r="AF301" s="166"/>
      <c r="AG301" s="166"/>
      <c r="AH301" s="65"/>
      <c r="AJ301" s="177"/>
      <c r="AK301" s="178"/>
      <c r="AL301" s="181"/>
      <c r="AM301" s="166"/>
      <c r="AN301" s="166"/>
      <c r="AO301" s="177"/>
      <c r="AP301" s="178"/>
      <c r="AQ301" s="181"/>
      <c r="AR301" s="166"/>
      <c r="AS301" s="166"/>
      <c r="AT301" s="177"/>
      <c r="AU301" s="181"/>
      <c r="AV301" s="166"/>
      <c r="AW301" s="166"/>
      <c r="AX301" s="177"/>
      <c r="AY301" s="166"/>
      <c r="AZ301" s="177"/>
      <c r="BA301" s="178"/>
      <c r="BB301" s="178"/>
      <c r="BC301" s="178"/>
      <c r="BD301" s="178"/>
      <c r="BE301" s="178"/>
      <c r="BF301" s="178"/>
      <c r="BG301" s="179"/>
      <c r="BH301" s="180"/>
      <c r="BI301" s="178"/>
      <c r="BJ301" s="177"/>
      <c r="BK301" s="181"/>
      <c r="BL301" s="177"/>
      <c r="BM301" s="181"/>
      <c r="BN301" s="177"/>
      <c r="BO301" s="181"/>
      <c r="BP301" s="177"/>
      <c r="BQ301" s="181"/>
      <c r="BR301" s="166"/>
      <c r="BS301" s="166"/>
      <c r="BT301" s="166"/>
      <c r="BU301" s="65"/>
      <c r="BW301" s="178"/>
      <c r="BX301" s="399"/>
    </row>
    <row r="302" ht="60.0" hidden="1" customHeight="1">
      <c r="A302" s="173"/>
      <c r="B302" s="65"/>
      <c r="C302" s="441"/>
      <c r="D302" s="430"/>
      <c r="E302" s="431"/>
      <c r="F302" s="431"/>
      <c r="G302" s="431"/>
      <c r="H302" s="431"/>
      <c r="I302" s="431"/>
      <c r="J302" s="397"/>
      <c r="K302" s="398">
        <f t="shared" si="1"/>
        <v>0</v>
      </c>
      <c r="L302" s="173"/>
      <c r="M302" s="173"/>
      <c r="N302" s="177"/>
      <c r="O302" s="178"/>
      <c r="P302" s="178"/>
      <c r="Q302" s="178"/>
      <c r="R302" s="178"/>
      <c r="S302" s="182"/>
      <c r="T302" s="65"/>
      <c r="U302" s="64"/>
      <c r="V302" s="66"/>
      <c r="W302" s="173"/>
      <c r="X302" s="173"/>
      <c r="Y302" s="65"/>
      <c r="Z302" s="65"/>
      <c r="AA302" s="65"/>
      <c r="AB302" s="65"/>
      <c r="AC302" s="173"/>
      <c r="AD302" s="166"/>
      <c r="AE302" s="166"/>
      <c r="AF302" s="166"/>
      <c r="AG302" s="166"/>
      <c r="AH302" s="65"/>
      <c r="AJ302" s="177"/>
      <c r="AK302" s="178"/>
      <c r="AL302" s="181"/>
      <c r="AM302" s="166"/>
      <c r="AN302" s="166"/>
      <c r="AO302" s="177"/>
      <c r="AP302" s="178"/>
      <c r="AQ302" s="181"/>
      <c r="AR302" s="166"/>
      <c r="AS302" s="166"/>
      <c r="AT302" s="177"/>
      <c r="AU302" s="181"/>
      <c r="AV302" s="166"/>
      <c r="AW302" s="166"/>
      <c r="AX302" s="177"/>
      <c r="AY302" s="166"/>
      <c r="AZ302" s="177"/>
      <c r="BA302" s="178"/>
      <c r="BB302" s="178"/>
      <c r="BC302" s="178"/>
      <c r="BD302" s="178"/>
      <c r="BE302" s="178"/>
      <c r="BF302" s="178"/>
      <c r="BG302" s="179"/>
      <c r="BH302" s="180"/>
      <c r="BI302" s="178"/>
      <c r="BJ302" s="177"/>
      <c r="BK302" s="181"/>
      <c r="BL302" s="177"/>
      <c r="BM302" s="181"/>
      <c r="BN302" s="177"/>
      <c r="BO302" s="181"/>
      <c r="BP302" s="177"/>
      <c r="BQ302" s="181"/>
      <c r="BR302" s="166"/>
      <c r="BS302" s="166"/>
      <c r="BT302" s="166"/>
      <c r="BU302" s="65"/>
      <c r="BW302" s="178"/>
      <c r="BX302" s="399"/>
    </row>
    <row r="303" ht="60.0" hidden="1" customHeight="1">
      <c r="A303" s="173"/>
      <c r="B303" s="65"/>
      <c r="C303" s="441"/>
      <c r="D303" s="430"/>
      <c r="E303" s="431"/>
      <c r="F303" s="431"/>
      <c r="G303" s="431"/>
      <c r="H303" s="431"/>
      <c r="I303" s="431"/>
      <c r="J303" s="397"/>
      <c r="K303" s="398">
        <f t="shared" si="1"/>
        <v>0</v>
      </c>
      <c r="L303" s="173"/>
      <c r="M303" s="173"/>
      <c r="N303" s="177"/>
      <c r="O303" s="178"/>
      <c r="P303" s="178"/>
      <c r="Q303" s="178"/>
      <c r="R303" s="178"/>
      <c r="S303" s="182"/>
      <c r="T303" s="65"/>
      <c r="U303" s="64"/>
      <c r="V303" s="66"/>
      <c r="W303" s="173"/>
      <c r="X303" s="173"/>
      <c r="Y303" s="65"/>
      <c r="Z303" s="65"/>
      <c r="AA303" s="65"/>
      <c r="AB303" s="65"/>
      <c r="AC303" s="173"/>
      <c r="AD303" s="166"/>
      <c r="AE303" s="166"/>
      <c r="AF303" s="166"/>
      <c r="AG303" s="166"/>
      <c r="AH303" s="65"/>
      <c r="AJ303" s="177"/>
      <c r="AK303" s="178"/>
      <c r="AL303" s="181"/>
      <c r="AM303" s="166"/>
      <c r="AN303" s="166"/>
      <c r="AO303" s="177"/>
      <c r="AP303" s="178"/>
      <c r="AQ303" s="181"/>
      <c r="AR303" s="166"/>
      <c r="AS303" s="166"/>
      <c r="AT303" s="177"/>
      <c r="AU303" s="181"/>
      <c r="AV303" s="166"/>
      <c r="AW303" s="166"/>
      <c r="AX303" s="177"/>
      <c r="AY303" s="166"/>
      <c r="AZ303" s="177"/>
      <c r="BA303" s="178"/>
      <c r="BB303" s="178"/>
      <c r="BC303" s="178"/>
      <c r="BD303" s="178"/>
      <c r="BE303" s="178"/>
      <c r="BF303" s="178"/>
      <c r="BG303" s="179"/>
      <c r="BH303" s="180"/>
      <c r="BI303" s="178"/>
      <c r="BJ303" s="177"/>
      <c r="BK303" s="181"/>
      <c r="BL303" s="177"/>
      <c r="BM303" s="181"/>
      <c r="BN303" s="177"/>
      <c r="BO303" s="181"/>
      <c r="BP303" s="177"/>
      <c r="BQ303" s="181"/>
      <c r="BR303" s="166"/>
      <c r="BS303" s="166"/>
      <c r="BT303" s="166"/>
      <c r="BU303" s="65"/>
      <c r="BW303" s="178"/>
      <c r="BX303" s="399"/>
    </row>
    <row r="304" ht="60.0" hidden="1" customHeight="1">
      <c r="A304" s="69"/>
      <c r="B304" s="89"/>
      <c r="C304" s="442"/>
      <c r="D304" s="432"/>
      <c r="E304" s="433"/>
      <c r="F304" s="433"/>
      <c r="G304" s="433"/>
      <c r="H304" s="433"/>
      <c r="I304" s="433"/>
      <c r="J304" s="402"/>
      <c r="K304" s="403">
        <f t="shared" si="1"/>
        <v>0</v>
      </c>
      <c r="L304" s="69"/>
      <c r="M304" s="69"/>
      <c r="N304" s="192"/>
      <c r="O304" s="193"/>
      <c r="P304" s="193"/>
      <c r="Q304" s="193"/>
      <c r="R304" s="193"/>
      <c r="S304" s="197"/>
      <c r="T304" s="89"/>
      <c r="U304" s="103"/>
      <c r="V304" s="68"/>
      <c r="W304" s="69"/>
      <c r="X304" s="69"/>
      <c r="Y304" s="89"/>
      <c r="Z304" s="89"/>
      <c r="AA304" s="89"/>
      <c r="AB304" s="89"/>
      <c r="AC304" s="69"/>
      <c r="AD304" s="63"/>
      <c r="AE304" s="63"/>
      <c r="AF304" s="63"/>
      <c r="AG304" s="63"/>
      <c r="AH304" s="89"/>
      <c r="AI304" s="6"/>
      <c r="AJ304" s="192"/>
      <c r="AK304" s="193"/>
      <c r="AL304" s="196"/>
      <c r="AM304" s="63"/>
      <c r="AN304" s="63"/>
      <c r="AO304" s="192"/>
      <c r="AP304" s="193"/>
      <c r="AQ304" s="196"/>
      <c r="AR304" s="63"/>
      <c r="AS304" s="63"/>
      <c r="AT304" s="192"/>
      <c r="AU304" s="196"/>
      <c r="AV304" s="63"/>
      <c r="AW304" s="63"/>
      <c r="AX304" s="192"/>
      <c r="AY304" s="63"/>
      <c r="AZ304" s="192"/>
      <c r="BA304" s="193"/>
      <c r="BB304" s="193"/>
      <c r="BC304" s="193"/>
      <c r="BD304" s="193"/>
      <c r="BE304" s="193"/>
      <c r="BF304" s="193"/>
      <c r="BG304" s="194"/>
      <c r="BH304" s="195"/>
      <c r="BI304" s="193"/>
      <c r="BJ304" s="192"/>
      <c r="BK304" s="196"/>
      <c r="BL304" s="192"/>
      <c r="BM304" s="196"/>
      <c r="BN304" s="192"/>
      <c r="BO304" s="196"/>
      <c r="BP304" s="192"/>
      <c r="BQ304" s="196"/>
      <c r="BR304" s="63"/>
      <c r="BS304" s="63"/>
      <c r="BT304" s="63"/>
      <c r="BU304" s="89"/>
      <c r="BV304" s="6"/>
      <c r="BW304" s="198"/>
      <c r="BX304" s="404"/>
    </row>
    <row r="305" ht="60.0" hidden="1" customHeight="1">
      <c r="A305" s="438">
        <v>28.0</v>
      </c>
      <c r="B305" s="439"/>
      <c r="C305" s="440"/>
      <c r="D305" s="428"/>
      <c r="E305" s="429"/>
      <c r="F305" s="429"/>
      <c r="G305" s="429"/>
      <c r="H305" s="429"/>
      <c r="I305" s="429"/>
      <c r="J305" s="366"/>
      <c r="K305" s="367">
        <f t="shared" si="1"/>
        <v>0</v>
      </c>
      <c r="L305" s="368">
        <f>SUM(I305:I315)+SUM(K305:K315)*1</f>
        <v>0</v>
      </c>
      <c r="M305" s="368">
        <f>SUM('21 Oct Mon'!Q305:Q315,'22 Oct Tues'!Q305:Q315,'23 Oct Wed'!Q305:Q315,'24 Oct Thurs'!Q305:Q315,'25 Oct Fri'!Q305:Q315,'26 Oct Sat'!Q305:Q315)</f>
        <v>0</v>
      </c>
      <c r="N305" s="369">
        <f>SUM('21 Oct Mon'!R305:R315,'22 Oct Tues'!R305:R315,'23 Oct Wed'!R305:R315,'24 Oct Thurs'!R305:R315,'25 Oct Fri'!R305:R315,'26 Oct Sat'!R305:R315)</f>
        <v>0</v>
      </c>
      <c r="O305" s="370">
        <f>SUM(L305:N315)</f>
        <v>0</v>
      </c>
      <c r="P305" s="370">
        <f>SUM('21 Oct Mon'!T305:T315,'22 Oct Tues'!T305:T315,'23 Oct Wed'!T305:T315,'24 Oct Thurs'!T305:T315,'25 Oct Fri'!T305:T315,'26 Oct Sat'!T305:T315)</f>
        <v>0</v>
      </c>
      <c r="Q305" s="370">
        <f>SUM('21 Oct Mon'!U305:U315,'22 Oct Tues'!U305:U315,'23 Oct Wed'!U305:U315,'24 Oct Thurs'!U305:U315,'25 Oct Fri'!U305:U315,'26 Oct Sat'!U305:U315)</f>
        <v>0</v>
      </c>
      <c r="R305" s="370">
        <f>SUM('21 Oct Mon'!V305:V315,'22 Oct Tues'!V305:V315,'23 Oct Wed'!V305:V315,'24 Oct Thurs'!V305:V315,'25 Oct Fri'!V305:V315,'26 Oct Sat'!V305:V315)</f>
        <v>0</v>
      </c>
      <c r="S305" s="371">
        <f>SUM('21 Oct Mon'!W305:W315,'22 Oct Tues'!W305:W315,'23 Oct Wed'!W305:W315,'24 Oct Thurs'!W305:W315,'25 Oct Fri'!W305:W315,'26 Oct Sat'!W305:W315)</f>
        <v>0</v>
      </c>
      <c r="T305" s="372">
        <f>O305-P305-Q305-R305-S305</f>
        <v>0</v>
      </c>
      <c r="U305" s="373" t="str">
        <f>CONCATENATE(SUM('21 Oct Mon'!O305:O315,'22 Oct Tues'!O305:O315,'23 Oct Wed'!O305:O315,'24 Oct Thurs'!O305:O315,'25 Oct Fri'!O305:O315,'26 Oct Sat'!O305:O315),"
(",(SUM('21 Oct Mon'!O305:O315,'22 Oct Tues'!O305:O315,'23 Oct Wed'!O305:O315,'24 Oct Thurs'!O305:O315,'25 Oct Fri'!O305:O315,'26 Oct Sat'!O305:O315)-T305),")")</f>
        <v>0
(0)</v>
      </c>
      <c r="V305" s="374" t="str">
        <f>CONCATENATE("Mon-",'21 Oct Mon'!Z305:Z315,",Tues-",'22 Oct Tues'!Z305:Z315,",Wed-",'23 Oct Wed'!Z305:Z315,",Thurs-",'24 Oct Thurs'!Z305:Z315,",Fri-",'25 Oct Fri'!Z305:Z315,",Sat-",'26 Oct Sat'!Z305:Z315)</f>
        <v>Mon-,Tues-,Wed-,Thurs-,Fri-,Sat-</v>
      </c>
      <c r="W305" s="375">
        <f>SUM('21 Oct Mon'!AI305:AI315,'22 Oct Tues'!AI305:AI315,'23 Oct Wed'!AI305:AI315,'24 Oct Thurs'!AI305:AI315,'25 Oct Fri'!AI305:AI315,'26 Oct Sat'!AI305:AI315)</f>
        <v>0</v>
      </c>
      <c r="X305" s="375">
        <f>SUM('21 Oct Mon'!AM305:AM315,'22 Oct Tues'!AM305:AM315,'23 Oct Wed'!AM305:AM315,'24 Oct Thurs'!AM305:AM315,'25 Oct Fri'!AM305:AM315,'26 Oct Sat'!AM305:AM315)</f>
        <v>0</v>
      </c>
      <c r="Y305" s="376">
        <f>SUM('21 Oct Mon'!AP305:AP315,'22 Oct Tues'!AP305:AP315,'23 Oct Wed'!AP305:AP315,'24 Oct Thurs'!AP305:AP315,'25 Oct Fri'!AP305:AP315,'26 Oct Sat'!AP305:AP315)</f>
        <v>0</v>
      </c>
      <c r="Z305" s="376">
        <f>SUM('21 Oct Mon'!AQ305:AQ315,'22 Oct Tues'!AQ305:AQ315,'23 Oct Wed'!AQ305:AQ315,'24 Oct Thurs'!AQ305:AQ315,'25 Oct Fri'!AQ305:AQ315,'26 Oct Sat'!AQ305:AQ315)</f>
        <v>0</v>
      </c>
      <c r="AA305" s="377">
        <f>SUM('21 Oct Mon'!AR305:AR315,'22 Oct Tues'!AR305:AR315,'23 Oct Wed'!AR305:AR315,'24 Oct Thurs'!AR305:AR315,'25 Oct Fri'!AR305:AR315,'26 Oct Sat'!AR305:AR315)</f>
        <v>0</v>
      </c>
      <c r="AB305" s="377">
        <f>SUM('21 Oct Mon'!AS305:AS315,'22 Oct Tues'!AS305:AS315,'23 Oct Wed'!AS305:AS315,'24 Oct Thurs'!AS305:AS315,'25 Oct Fri'!AS305:AS315,'26 Oct Sat'!AS305:AS315)</f>
        <v>0</v>
      </c>
      <c r="AC305" s="378">
        <f>SUM('21 Oct Mon'!AT305:AT315,'22 Oct Tues'!AT305:AT315,'23 Oct Wed'!AT305:AT315,'24 Oct Thurs'!AT305:AT315,'25 Oct Fri'!AT305:AT315,'26 Oct Sat'!AT305:AT315)</f>
        <v>0</v>
      </c>
      <c r="AD305" s="379">
        <f>SUM('21 Oct Mon'!AU305:AU315,'22 Oct Tues'!AU305:AU315,'23 Oct Wed'!AU305:AU315,'24 Oct Thurs'!AU305:AU315,'25 Oct Fri'!AU305:AU315,'26 Oct Sat'!AU305:AU315)</f>
        <v>0</v>
      </c>
      <c r="AE305" s="379">
        <f>SUM('21 Oct Mon'!AV305:AV315,'22 Oct Tues'!AV305:AV315,'23 Oct Wed'!AV305:AV315,'24 Oct Thurs'!AV305:AV315,'25 Oct Fri'!AV305:AV315,'26 Oct Sat'!AV305:AV315)</f>
        <v>0</v>
      </c>
      <c r="AF305" s="379">
        <f>SUM('21 Oct Mon'!AW305:AW315,'22 Oct Tues'!AW305:AW315,'23 Oct Wed'!AW305:AW315,'24 Oct Thurs'!AW305:AW315,'25 Oct Fri'!AW305:AW315,'26 Oct Sat'!AW305:AW315)</f>
        <v>0</v>
      </c>
      <c r="AG305" s="379">
        <f>SUM('21 Oct Mon'!AX305:AX315,'22 Oct Tues'!AX305:AX315,'23 Oct Wed'!AX305:AX315,'24 Oct Thurs'!AX305:AX315,'25 Oct Fri'!AX305:AX315,'26 Oct Sat'!AX305:AX315)</f>
        <v>0</v>
      </c>
      <c r="AH305" s="380">
        <f>SUM('21 Oct Mon'!AY305:AY315,'22 Oct Tues'!AY305:AY315,'23 Oct Wed'!AY305:AY315,'24 Oct Thurs'!AY305:AY315,'25 Oct Fri'!AY305:AY315,'26 Oct Sat'!AY305:AY315)</f>
        <v>0</v>
      </c>
      <c r="AI305" s="381">
        <f>SUM('21 Oct Mon'!AZ305:AZ315,'22 Oct Tues'!AZ305:AZ315,'23 Oct Wed'!AZ305:AZ315,'24 Oct Thurs'!AZ305:AZ315,'25 Oct Fri'!AZ305:AZ315,'26 Oct Sat'!AZ305:AZ315)</f>
        <v>0</v>
      </c>
      <c r="AJ305" s="382">
        <f>SUM('21 Oct Mon'!BG305:BG315,'22 Oct Tues'!BG305:BG315,'23 Oct Wed'!BG305:BG315,'24 Oct Thurs'!BG305:BG315,'25 Oct Fri'!BG305:BG315,'26 Oct Sat'!BG305:BG315)</f>
        <v>0</v>
      </c>
      <c r="AK305" s="383">
        <f>SUM('21 Oct Mon'!BH305:BH315,'22 Oct Tues'!BH305:BH315,'23 Oct Wed'!BH305:BH315,'24 Oct Thurs'!BH305:BH315,'25 Oct Fri'!BH305:BH315,'26 Oct Sat'!BH305:BH315)</f>
        <v>0</v>
      </c>
      <c r="AL305" s="384">
        <f>SUM('21 Oct Mon'!BI305:BI315,'22 Oct Tues'!BI305:BI315,'23 Oct Wed'!BI305:BI315,'24 Oct Thurs'!BI305:BI315,'25 Oct Fri'!BI305:BI315,'26 Oct Sat'!BI305:BI315)</f>
        <v>0</v>
      </c>
      <c r="AM305" s="379">
        <f>SUM('21 Oct Mon'!BJ305:BJ315,'22 Oct Tues'!BJ305:BJ315,'23 Oct Wed'!BJ305:BJ315,'24 Oct Thurs'!BJ305:BJ315,'25 Oct Fri'!BJ305:BJ315,'26 Oct Sat'!BJ305:BJ315)</f>
        <v>0</v>
      </c>
      <c r="AN305" s="379">
        <f>SUM('21 Oct Mon'!BK305:BK315,'22 Oct Tues'!BK305:BK315,'23 Oct Wed'!BK305:BK315,'24 Oct Thurs'!BK305:BK315,'25 Oct Fri'!BK305:BK315,'26 Oct Sat'!BK305:BK315)</f>
        <v>0</v>
      </c>
      <c r="AO305" s="385">
        <f>SUM('21 Oct Mon'!BL305:BL315,'22 Oct Tues'!BL305:BL315,'23 Oct Wed'!BL305:BL315,'24 Oct Thurs'!BL305:BL315,'25 Oct Fri'!BL305:BL315,'26 Oct Sat'!BL305:BL315)</f>
        <v>0</v>
      </c>
      <c r="AP305" s="386">
        <f>SUM('21 Oct Mon'!BM305:BM315,'22 Oct Tues'!BM305:BM315,'23 Oct Wed'!BM305:BM315,'24 Oct Thurs'!BM305:BM315,'25 Oct Fri'!BM305:BM315,'26 Oct Sat'!BM305:BM315)</f>
        <v>0</v>
      </c>
      <c r="AQ305" s="387">
        <f>SUM('21 Oct Mon'!BN305:BN315,'22 Oct Tues'!BN305:BN315,'23 Oct Wed'!BN305:BN315,'24 Oct Thurs'!BN305:BN315,'25 Oct Fri'!BN305:BN315,'26 Oct Sat'!BN305:BN315)</f>
        <v>0</v>
      </c>
      <c r="AR305" s="379">
        <f>SUM('21 Oct Mon'!BO305:BO315,'22 Oct Tues'!BO305:BO315,'23 Oct Wed'!BO305:BO315,'24 Oct Thurs'!BO305:BO315,'25 Oct Fri'!BO305:BO315,'26 Oct Sat'!BO305:BO315)</f>
        <v>0</v>
      </c>
      <c r="AS305" s="379">
        <f>SUM('21 Oct Mon'!BP305:BP315,'22 Oct Tues'!BP305:BP315,'23 Oct Wed'!BP305:BP315,'24 Oct Thurs'!BP305:BP315,'25 Oct Fri'!BP305:BP315,'26 Oct Sat'!BP305:BP315)</f>
        <v>0</v>
      </c>
      <c r="AT305" s="382">
        <f>SUM('21 Oct Mon'!BR305:BR315,'22 Oct Tues'!BR305:BR315,'23 Oct Wed'!BR305:BR315,'24 Oct Thurs'!BR305:BR315,'25 Oct Fri'!BR305:BR315,'26 Oct Sat'!BR305:BR315)</f>
        <v>0</v>
      </c>
      <c r="AU305" s="384">
        <f>SUM('21 Oct Mon'!BS305:BS315,'22 Oct Tues'!BS305:BS315,'23 Oct Wed'!BS305:BS315,'24 Oct Thurs'!BS305:BS315,'25 Oct Fri'!BS305:BS315,'26 Oct Sat'!BS305:BS315)</f>
        <v>0</v>
      </c>
      <c r="AV305" s="379">
        <f>SUM('21 Oct Mon'!BT305:BT315,'22 Oct Tues'!BT305:BT315,'23 Oct Wed'!BT305:BT315,'24 Oct Thurs'!BT305:BT315,'25 Oct Fri'!BT305:BT315,'26 Oct Sat'!BT305:BT315)</f>
        <v>0</v>
      </c>
      <c r="AW305" s="379">
        <f>SUM('21 Oct Mon'!BU305:BU315,'22 Oct Tues'!BU305:BU315,'23 Oct Wed'!BU305:BU315,'24 Oct Thurs'!BU305:BU315,'25 Oct Fri'!BU305:BU315,'26 Oct Sat'!BU305:BU315)</f>
        <v>0</v>
      </c>
      <c r="AX305" s="382">
        <f>SUM('21 Oct Mon'!BV305:BV315,'22 Oct Tues'!BV305:BV315,'23 Oct Wed'!BV305:BV315,'24 Oct Thurs'!BV305:BV315,'25 Oct Fri'!BV305:BV315,'26 Oct Sat'!BV305:BV315)</f>
        <v>0</v>
      </c>
      <c r="AY305" s="379">
        <f>SUM('21 Oct Mon'!BW305:BW315,'22 Oct Tues'!BW305:BW315,'23 Oct Wed'!BW305:BW315,'24 Oct Thurs'!BW305:BW315,'25 Oct Fri'!BW305:BW315,'26 Oct Sat'!BW305:BW315)</f>
        <v>0</v>
      </c>
      <c r="AZ305" s="385">
        <f>SUM('21 Oct Mon'!BX305:BX315,'22 Oct Tues'!BX305:BX315,'23 Oct Wed'!BX305:BX315,'24 Oct Thurs'!BX305:BX315,'25 Oct Fri'!BX305:BX315,'26 Oct Sat'!BX305:BX315)</f>
        <v>0</v>
      </c>
      <c r="BA305" s="386">
        <f>SUM('21 Oct Mon'!BY305:BY315,'22 Oct Tues'!BY305:BY315,'23 Oct Wed'!BY305:BY315,'24 Oct Thurs'!BY305:BY315,'25 Oct Fri'!BY305:BY315,'26 Oct Sat'!BY305:BY315)</f>
        <v>0</v>
      </c>
      <c r="BB305" s="386">
        <f>SUM('21 Oct Mon'!BZ305:BZ315,'22 Oct Tues'!BZ305:BZ315,'23 Oct Wed'!BZ305:BZ315,'24 Oct Thurs'!BZ305:BZ315,'25 Oct Fri'!BZ305:BZ315,'26 Oct Sat'!BZ305:BZ315)</f>
        <v>0</v>
      </c>
      <c r="BC305" s="386">
        <f>SUM('21 Oct Mon'!CA305:CA315,'22 Oct Tues'!CA305:CA315,'23 Oct Wed'!CA305:CA315,'24 Oct Thurs'!CA305:CA315,'25 Oct Fri'!CA305:CA315,'26 Oct Sat'!CA305:CA315)</f>
        <v>0</v>
      </c>
      <c r="BD305" s="386">
        <f>SUM('21 Oct Mon'!CB305:CB315,'22 Oct Tues'!CB305:CB315,'23 Oct Wed'!CB305:CB315,'24 Oct Thurs'!CB305:CB315,'25 Oct Fri'!CB305:CB315,'26 Oct Sat'!CB305:CB315)</f>
        <v>0</v>
      </c>
      <c r="BE305" s="386">
        <f>SUM('21 Oct Mon'!CC305:CC315,'22 Oct Tues'!CC305:CC315,'23 Oct Wed'!CC305:CC315,'24 Oct Thurs'!CC305:CC315,'25 Oct Fri'!CC305:CC315,'26 Oct Sat'!CC305:CC315)</f>
        <v>0</v>
      </c>
      <c r="BF305" s="386" t="str">
        <f>CONCATENATE("Mon-",'21 Oct Mon'!CD305:CD315,",Tues-",'22 Oct Tues'!CD305:CD315,",Wed-",'23 Oct Wed'!CD305:CD315,",Thurs-",'24 Oct Thurs'!CD305:CD315,",Fri-",'25 Oct Fri'!CD305:CD315,",Sat-",'26 Oct Sat'!CD305:CD315)</f>
        <v>Mon-,Tues-,Wed-,Thurs-,Fri-,Sat-</v>
      </c>
      <c r="BG305" s="388">
        <f>SUM('21 Oct Mon'!CE305:CE315,'22 Oct Tues'!CE305:CE315,'23 Oct Wed'!CE305:CE315,'24 Oct Thurs'!CE305:CE315,'25 Oct Fri'!CE305:CE315,'26 Oct Sat'!CE305:CE315)</f>
        <v>0</v>
      </c>
      <c r="BH305" s="389" t="str">
        <f>CONCATENATE("Mon-",'21 Oct Mon'!CF305:CF315,",Tues-",'22 Oct Tues'!CF305:CF315,",Wed-",'23 Oct Wed'!CF305:CF315,",Thurs-",'24 Oct Thurs'!CF305:CF315,",Fri-",'25 Oct Fri'!CF305:CF315,",Sat-",'26 Oct Sat'!CF305:CF315)</f>
        <v>Mon-,Tues-,Wed-,Thurs-,Fri-,Sat-</v>
      </c>
      <c r="BI305" s="383">
        <f>SUM('21 Oct Mon'!CG305:CG315,'22 Oct Tues'!CG305:CG315,'23 Oct Wed'!CG305:CG315,'24 Oct Thurs'!CG305:CG315,'25 Oct Fri'!CG305:CG315,'26 Oct Sat'!CG305:CG315)</f>
        <v>0</v>
      </c>
      <c r="BJ305" s="382">
        <f>SUM('21 Oct Mon'!CH305:CH315,'22 Oct Tues'!CH305:CH315,'23 Oct Wed'!CH305:CH315,'24 Oct Thurs'!CH305:CH315,'25 Oct Fri'!CH305:CH315,'26 Oct Sat'!CH305:CH315)</f>
        <v>0</v>
      </c>
      <c r="BK305" s="384">
        <f>SUM('21 Oct Mon'!CI305:CI315,'22 Oct Tues'!CI305:CI315,'23 Oct Wed'!CI305:CI315,'24 Oct Thurs'!CI305:CI315,'25 Oct Fri'!CI305:CI315,'26 Oct Sat'!CI305:CI315)</f>
        <v>0</v>
      </c>
      <c r="BL305" s="382" t="str">
        <f>CONCATENATE("Mon-",'21 Oct Mon'!CJ305:CJ315,",Tues-",'22 Oct Tues'!CJ305:CJ315,",Wed-",'23 Oct Wed'!CJ305:CJ315,",Thurs-",'24 Oct Thurs'!CJ305:CJ315,",Fri-",'25 Oct Fri'!CJ305:CJ315,",Sat-",'26 Oct Sat'!CJ305:CJ315)</f>
        <v>Mon-,Tues-,Wed-,Thurs-,Fri-,Sat-</v>
      </c>
      <c r="BM305" s="384">
        <f>SUM('21 Oct Mon'!CK305:CK315,'22 Oct Tues'!CK305:CK315,'23 Oct Wed'!CK305:CK315,'24 Oct Thurs'!CK305:CK315,'25 Oct Fri'!CK305:CK315,'26 Oct Sat'!CK305:CK315)</f>
        <v>0</v>
      </c>
      <c r="BN305" s="382" t="str">
        <f>CONCATENATE("Mon-",'21 Oct Mon'!CL305:CL315,",Tues-",'22 Oct Tues'!CL305:CL315,",Wed-",'23 Oct Wed'!CL305:CL315,",Thurs-",'24 Oct Thurs'!CL305:CL315,",Fri-",'25 Oct Fri'!CL305:CL315,",Sat-",'26 Oct Sat'!CL305:CL315)</f>
        <v>Mon-,Tues-,Wed-,Thurs-,Fri-,Sat-</v>
      </c>
      <c r="BO305" s="384">
        <f>SUM('21 Oct Mon'!CM305:CM315,'22 Oct Tues'!CM305:CM315,'23 Oct Wed'!CM305:CM315,'24 Oct Thurs'!CM305:CM315,'25 Oct Fri'!CM305:CM315,'26 Oct Sat'!CM305:CM315)</f>
        <v>0</v>
      </c>
      <c r="BP305" s="385" t="str">
        <f>CONCATENATE("Mon-",'21 Oct Mon'!CN305:CN315,",Tues-",'22 Oct Tues'!CN305:CN315,",Wed-",'23 Oct Wed'!CN305:CN315,",Thurs-",'24 Oct Thurs'!CN305:CN315,",Fri-",'25 Oct Fri'!CN305:CN315,",Sat-",'26 Oct Sat'!CN305:CN315)</f>
        <v>Mon-,Tues-,Wed-,Thurs-,Fri-,Sat-</v>
      </c>
      <c r="BQ305" s="387">
        <f>SUM('21 Oct Mon'!CO305:CO315,'22 Oct Tues'!CO305:CO315,'23 Oct Wed'!CO305:CO315,'24 Oct Thurs'!CO305:CO315,'25 Oct Fri'!CO305:CO315,'26 Oct Sat'!CO305:CO315)</f>
        <v>0</v>
      </c>
      <c r="BR305" s="379" t="str">
        <f>CONCATENATE("Mon-",'21 Oct Mon'!CP305:CP315,",Tues-",'22 Oct Tues'!CP305:CP315,",Wed-",'23 Oct Wed'!CP305:CP315,",Thurs-",'24 Oct Thurs'!CP305:CP315,",Fri-",'25 Oct Fri'!CP305:CP315,",Sat-",'26 Oct Sat'!CP305:CP315)</f>
        <v>Mon-,Tues-,Wed-,Thurs-,Fri-,Sat-</v>
      </c>
      <c r="BS305" s="390">
        <f>SUM('21 Oct Mon'!CQ305:CQ315,'22 Oct Tues'!CQ305:CQ315,'23 Oct Wed'!CQ305:CQ315,'24 Oct Thurs'!CQ305:CQ315,'25 Oct Fri'!CQ305:CQ315,'26 Oct Sat'!CQ305:CQ315)</f>
        <v>0</v>
      </c>
      <c r="BT305" s="390">
        <f>SUM('21 Oct Mon'!CR305:CR315,'22 Oct Tues'!CR305:CR315,'23 Oct Wed'!CR305:CR315,'24 Oct Thurs'!CR305:CR315,'25 Oct Fri'!CR305:CR315,'26 Oct Sat'!CR305:CR315)</f>
        <v>0</v>
      </c>
      <c r="BU305" s="391">
        <f>SUM('21 Oct Mon'!CS305:CS315,'22 Oct Tues'!CS305:CS315,'23 Oct Wed'!CS305:CS315,'24 Oct Thurs'!CS305:CS315,'25 Oct Fri'!CS305:CS315,'26 Oct Sat'!CS305:CS315)</f>
        <v>0</v>
      </c>
      <c r="BV305" s="392">
        <f>SUM('21 Oct Mon'!CT305:CT315,'22 Oct Tues'!CT305:CT315,'23 Oct Wed'!CT305:CT315,'24 Oct Thurs'!CT305:CT315,'25 Oct Fri'!CT305:CT315,'26 Oct Sat'!CT305:CT315)</f>
        <v>0</v>
      </c>
      <c r="BW305" s="393" t="str">
        <f>LEFT(U305,FIND("(",U305,1)-2)</f>
        <v>0</v>
      </c>
      <c r="BX305" s="394"/>
    </row>
    <row r="306" ht="15.75" hidden="1" customHeight="1">
      <c r="A306" s="173"/>
      <c r="B306" s="65"/>
      <c r="C306" s="441"/>
      <c r="D306" s="430"/>
      <c r="E306" s="431"/>
      <c r="F306" s="431"/>
      <c r="G306" s="431"/>
      <c r="H306" s="431"/>
      <c r="I306" s="431"/>
      <c r="J306" s="397"/>
      <c r="K306" s="398">
        <f t="shared" si="1"/>
        <v>0</v>
      </c>
      <c r="L306" s="173"/>
      <c r="M306" s="173"/>
      <c r="N306" s="177"/>
      <c r="O306" s="178"/>
      <c r="P306" s="178"/>
      <c r="Q306" s="178"/>
      <c r="R306" s="178"/>
      <c r="S306" s="182"/>
      <c r="T306" s="65"/>
      <c r="U306" s="64"/>
      <c r="V306" s="66"/>
      <c r="W306" s="173"/>
      <c r="X306" s="173"/>
      <c r="Y306" s="65"/>
      <c r="Z306" s="65"/>
      <c r="AA306" s="65"/>
      <c r="AB306" s="65"/>
      <c r="AC306" s="173"/>
      <c r="AD306" s="166"/>
      <c r="AE306" s="166"/>
      <c r="AF306" s="166"/>
      <c r="AG306" s="166"/>
      <c r="AH306" s="65"/>
      <c r="AJ306" s="177"/>
      <c r="AK306" s="178"/>
      <c r="AL306" s="181"/>
      <c r="AM306" s="166"/>
      <c r="AN306" s="166"/>
      <c r="AO306" s="177"/>
      <c r="AP306" s="178"/>
      <c r="AQ306" s="181"/>
      <c r="AR306" s="166"/>
      <c r="AS306" s="166"/>
      <c r="AT306" s="177"/>
      <c r="AU306" s="181"/>
      <c r="AV306" s="166"/>
      <c r="AW306" s="166"/>
      <c r="AX306" s="177"/>
      <c r="AY306" s="166"/>
      <c r="AZ306" s="177"/>
      <c r="BA306" s="178"/>
      <c r="BB306" s="178"/>
      <c r="BC306" s="178"/>
      <c r="BD306" s="178"/>
      <c r="BE306" s="178"/>
      <c r="BF306" s="178"/>
      <c r="BG306" s="179"/>
      <c r="BH306" s="180"/>
      <c r="BI306" s="178"/>
      <c r="BJ306" s="177"/>
      <c r="BK306" s="181"/>
      <c r="BL306" s="177"/>
      <c r="BM306" s="181"/>
      <c r="BN306" s="177"/>
      <c r="BO306" s="181"/>
      <c r="BP306" s="177"/>
      <c r="BQ306" s="181"/>
      <c r="BR306" s="166"/>
      <c r="BS306" s="166"/>
      <c r="BT306" s="166"/>
      <c r="BU306" s="65"/>
      <c r="BW306" s="178"/>
      <c r="BX306" s="399"/>
    </row>
    <row r="307" ht="60.0" hidden="1" customHeight="1">
      <c r="A307" s="173"/>
      <c r="B307" s="65"/>
      <c r="C307" s="441"/>
      <c r="D307" s="430"/>
      <c r="E307" s="431"/>
      <c r="F307" s="431"/>
      <c r="G307" s="431"/>
      <c r="H307" s="431"/>
      <c r="I307" s="431"/>
      <c r="J307" s="397"/>
      <c r="K307" s="398">
        <f t="shared" si="1"/>
        <v>0</v>
      </c>
      <c r="L307" s="173"/>
      <c r="M307" s="173"/>
      <c r="N307" s="177"/>
      <c r="O307" s="178"/>
      <c r="P307" s="178"/>
      <c r="Q307" s="178"/>
      <c r="R307" s="178"/>
      <c r="S307" s="182"/>
      <c r="T307" s="65"/>
      <c r="U307" s="64"/>
      <c r="V307" s="66"/>
      <c r="W307" s="173"/>
      <c r="X307" s="173"/>
      <c r="Y307" s="65"/>
      <c r="Z307" s="65"/>
      <c r="AA307" s="65"/>
      <c r="AB307" s="65"/>
      <c r="AC307" s="173"/>
      <c r="AD307" s="166"/>
      <c r="AE307" s="166"/>
      <c r="AF307" s="166"/>
      <c r="AG307" s="166"/>
      <c r="AH307" s="65"/>
      <c r="AJ307" s="177"/>
      <c r="AK307" s="178"/>
      <c r="AL307" s="181"/>
      <c r="AM307" s="166"/>
      <c r="AN307" s="166"/>
      <c r="AO307" s="177"/>
      <c r="AP307" s="178"/>
      <c r="AQ307" s="181"/>
      <c r="AR307" s="166"/>
      <c r="AS307" s="166"/>
      <c r="AT307" s="177"/>
      <c r="AU307" s="181"/>
      <c r="AV307" s="166"/>
      <c r="AW307" s="166"/>
      <c r="AX307" s="177"/>
      <c r="AY307" s="166"/>
      <c r="AZ307" s="177"/>
      <c r="BA307" s="178"/>
      <c r="BB307" s="178"/>
      <c r="BC307" s="178"/>
      <c r="BD307" s="178"/>
      <c r="BE307" s="178"/>
      <c r="BF307" s="178"/>
      <c r="BG307" s="179"/>
      <c r="BH307" s="180"/>
      <c r="BI307" s="178"/>
      <c r="BJ307" s="177"/>
      <c r="BK307" s="181"/>
      <c r="BL307" s="177"/>
      <c r="BM307" s="181"/>
      <c r="BN307" s="177"/>
      <c r="BO307" s="181"/>
      <c r="BP307" s="177"/>
      <c r="BQ307" s="181"/>
      <c r="BR307" s="166"/>
      <c r="BS307" s="166"/>
      <c r="BT307" s="166"/>
      <c r="BU307" s="65"/>
      <c r="BW307" s="178"/>
      <c r="BX307" s="399"/>
    </row>
    <row r="308" ht="60.0" hidden="1" customHeight="1">
      <c r="A308" s="173"/>
      <c r="B308" s="65"/>
      <c r="C308" s="441"/>
      <c r="D308" s="430"/>
      <c r="E308" s="431"/>
      <c r="F308" s="431"/>
      <c r="G308" s="431"/>
      <c r="H308" s="431"/>
      <c r="I308" s="431"/>
      <c r="J308" s="397"/>
      <c r="K308" s="398">
        <f t="shared" si="1"/>
        <v>0</v>
      </c>
      <c r="L308" s="173"/>
      <c r="M308" s="173"/>
      <c r="N308" s="177"/>
      <c r="O308" s="178"/>
      <c r="P308" s="178"/>
      <c r="Q308" s="178"/>
      <c r="R308" s="178"/>
      <c r="S308" s="182"/>
      <c r="T308" s="65"/>
      <c r="U308" s="64"/>
      <c r="V308" s="66"/>
      <c r="W308" s="173"/>
      <c r="X308" s="173"/>
      <c r="Y308" s="65"/>
      <c r="Z308" s="65"/>
      <c r="AA308" s="65"/>
      <c r="AB308" s="65"/>
      <c r="AC308" s="173"/>
      <c r="AD308" s="166"/>
      <c r="AE308" s="166"/>
      <c r="AF308" s="166"/>
      <c r="AG308" s="166"/>
      <c r="AH308" s="65"/>
      <c r="AJ308" s="177"/>
      <c r="AK308" s="178"/>
      <c r="AL308" s="181"/>
      <c r="AM308" s="166"/>
      <c r="AN308" s="166"/>
      <c r="AO308" s="177"/>
      <c r="AP308" s="178"/>
      <c r="AQ308" s="181"/>
      <c r="AR308" s="166"/>
      <c r="AS308" s="166"/>
      <c r="AT308" s="177"/>
      <c r="AU308" s="181"/>
      <c r="AV308" s="166"/>
      <c r="AW308" s="166"/>
      <c r="AX308" s="177"/>
      <c r="AY308" s="166"/>
      <c r="AZ308" s="177"/>
      <c r="BA308" s="178"/>
      <c r="BB308" s="178"/>
      <c r="BC308" s="178"/>
      <c r="BD308" s="178"/>
      <c r="BE308" s="178"/>
      <c r="BF308" s="178"/>
      <c r="BG308" s="179"/>
      <c r="BH308" s="180"/>
      <c r="BI308" s="178"/>
      <c r="BJ308" s="177"/>
      <c r="BK308" s="181"/>
      <c r="BL308" s="177"/>
      <c r="BM308" s="181"/>
      <c r="BN308" s="177"/>
      <c r="BO308" s="181"/>
      <c r="BP308" s="177"/>
      <c r="BQ308" s="181"/>
      <c r="BR308" s="166"/>
      <c r="BS308" s="166"/>
      <c r="BT308" s="166"/>
      <c r="BU308" s="65"/>
      <c r="BW308" s="178"/>
      <c r="BX308" s="399"/>
    </row>
    <row r="309" ht="60.0" hidden="1" customHeight="1">
      <c r="A309" s="173"/>
      <c r="B309" s="65"/>
      <c r="C309" s="441"/>
      <c r="D309" s="430"/>
      <c r="E309" s="431"/>
      <c r="F309" s="431"/>
      <c r="G309" s="431"/>
      <c r="H309" s="431"/>
      <c r="I309" s="431"/>
      <c r="J309" s="397"/>
      <c r="K309" s="398">
        <f t="shared" si="1"/>
        <v>0</v>
      </c>
      <c r="L309" s="173"/>
      <c r="M309" s="173"/>
      <c r="N309" s="177"/>
      <c r="O309" s="178"/>
      <c r="P309" s="178"/>
      <c r="Q309" s="178"/>
      <c r="R309" s="178"/>
      <c r="S309" s="182"/>
      <c r="T309" s="65"/>
      <c r="U309" s="64"/>
      <c r="V309" s="66"/>
      <c r="W309" s="173"/>
      <c r="X309" s="173"/>
      <c r="Y309" s="65"/>
      <c r="Z309" s="65"/>
      <c r="AA309" s="65"/>
      <c r="AB309" s="65"/>
      <c r="AC309" s="173"/>
      <c r="AD309" s="166"/>
      <c r="AE309" s="166"/>
      <c r="AF309" s="166"/>
      <c r="AG309" s="166"/>
      <c r="AH309" s="65"/>
      <c r="AJ309" s="177"/>
      <c r="AK309" s="178"/>
      <c r="AL309" s="181"/>
      <c r="AM309" s="166"/>
      <c r="AN309" s="166"/>
      <c r="AO309" s="177"/>
      <c r="AP309" s="178"/>
      <c r="AQ309" s="181"/>
      <c r="AR309" s="166"/>
      <c r="AS309" s="166"/>
      <c r="AT309" s="177"/>
      <c r="AU309" s="181"/>
      <c r="AV309" s="166"/>
      <c r="AW309" s="166"/>
      <c r="AX309" s="177"/>
      <c r="AY309" s="166"/>
      <c r="AZ309" s="177"/>
      <c r="BA309" s="178"/>
      <c r="BB309" s="178"/>
      <c r="BC309" s="178"/>
      <c r="BD309" s="178"/>
      <c r="BE309" s="178"/>
      <c r="BF309" s="178"/>
      <c r="BG309" s="179"/>
      <c r="BH309" s="180"/>
      <c r="BI309" s="178"/>
      <c r="BJ309" s="177"/>
      <c r="BK309" s="181"/>
      <c r="BL309" s="177"/>
      <c r="BM309" s="181"/>
      <c r="BN309" s="177"/>
      <c r="BO309" s="181"/>
      <c r="BP309" s="177"/>
      <c r="BQ309" s="181"/>
      <c r="BR309" s="166"/>
      <c r="BS309" s="166"/>
      <c r="BT309" s="166"/>
      <c r="BU309" s="65"/>
      <c r="BW309" s="178"/>
      <c r="BX309" s="399"/>
    </row>
    <row r="310" ht="60.0" hidden="1" customHeight="1">
      <c r="A310" s="173"/>
      <c r="B310" s="65"/>
      <c r="C310" s="441"/>
      <c r="D310" s="430"/>
      <c r="E310" s="431"/>
      <c r="F310" s="431"/>
      <c r="G310" s="431"/>
      <c r="H310" s="431"/>
      <c r="I310" s="431"/>
      <c r="J310" s="397"/>
      <c r="K310" s="398">
        <f t="shared" si="1"/>
        <v>0</v>
      </c>
      <c r="L310" s="173"/>
      <c r="M310" s="173"/>
      <c r="N310" s="177"/>
      <c r="O310" s="178"/>
      <c r="P310" s="178"/>
      <c r="Q310" s="178"/>
      <c r="R310" s="178"/>
      <c r="S310" s="182"/>
      <c r="T310" s="65"/>
      <c r="U310" s="64"/>
      <c r="V310" s="66"/>
      <c r="W310" s="173"/>
      <c r="X310" s="173"/>
      <c r="Y310" s="65"/>
      <c r="Z310" s="65"/>
      <c r="AA310" s="65"/>
      <c r="AB310" s="65"/>
      <c r="AC310" s="173"/>
      <c r="AD310" s="166"/>
      <c r="AE310" s="166"/>
      <c r="AF310" s="166"/>
      <c r="AG310" s="166"/>
      <c r="AH310" s="65"/>
      <c r="AJ310" s="177"/>
      <c r="AK310" s="178"/>
      <c r="AL310" s="181"/>
      <c r="AM310" s="166"/>
      <c r="AN310" s="166"/>
      <c r="AO310" s="177"/>
      <c r="AP310" s="178"/>
      <c r="AQ310" s="181"/>
      <c r="AR310" s="166"/>
      <c r="AS310" s="166"/>
      <c r="AT310" s="177"/>
      <c r="AU310" s="181"/>
      <c r="AV310" s="166"/>
      <c r="AW310" s="166"/>
      <c r="AX310" s="177"/>
      <c r="AY310" s="166"/>
      <c r="AZ310" s="177"/>
      <c r="BA310" s="178"/>
      <c r="BB310" s="178"/>
      <c r="BC310" s="178"/>
      <c r="BD310" s="178"/>
      <c r="BE310" s="178"/>
      <c r="BF310" s="178"/>
      <c r="BG310" s="179"/>
      <c r="BH310" s="180"/>
      <c r="BI310" s="178"/>
      <c r="BJ310" s="177"/>
      <c r="BK310" s="181"/>
      <c r="BL310" s="177"/>
      <c r="BM310" s="181"/>
      <c r="BN310" s="177"/>
      <c r="BO310" s="181"/>
      <c r="BP310" s="177"/>
      <c r="BQ310" s="181"/>
      <c r="BR310" s="166"/>
      <c r="BS310" s="166"/>
      <c r="BT310" s="166"/>
      <c r="BU310" s="65"/>
      <c r="BW310" s="178"/>
      <c r="BX310" s="399"/>
    </row>
    <row r="311" ht="60.0" hidden="1" customHeight="1">
      <c r="A311" s="173"/>
      <c r="B311" s="65"/>
      <c r="C311" s="441"/>
      <c r="D311" s="430"/>
      <c r="E311" s="431"/>
      <c r="F311" s="431"/>
      <c r="G311" s="431"/>
      <c r="H311" s="431"/>
      <c r="I311" s="431"/>
      <c r="J311" s="397"/>
      <c r="K311" s="398">
        <f t="shared" si="1"/>
        <v>0</v>
      </c>
      <c r="L311" s="173"/>
      <c r="M311" s="173"/>
      <c r="N311" s="177"/>
      <c r="O311" s="178"/>
      <c r="P311" s="178"/>
      <c r="Q311" s="178"/>
      <c r="R311" s="178"/>
      <c r="S311" s="182"/>
      <c r="T311" s="65"/>
      <c r="U311" s="64"/>
      <c r="V311" s="66"/>
      <c r="W311" s="173"/>
      <c r="X311" s="173"/>
      <c r="Y311" s="65"/>
      <c r="Z311" s="65"/>
      <c r="AA311" s="65"/>
      <c r="AB311" s="65"/>
      <c r="AC311" s="173"/>
      <c r="AD311" s="166"/>
      <c r="AE311" s="166"/>
      <c r="AF311" s="166"/>
      <c r="AG311" s="166"/>
      <c r="AH311" s="65"/>
      <c r="AJ311" s="177"/>
      <c r="AK311" s="178"/>
      <c r="AL311" s="181"/>
      <c r="AM311" s="166"/>
      <c r="AN311" s="166"/>
      <c r="AO311" s="177"/>
      <c r="AP311" s="178"/>
      <c r="AQ311" s="181"/>
      <c r="AR311" s="166"/>
      <c r="AS311" s="166"/>
      <c r="AT311" s="177"/>
      <c r="AU311" s="181"/>
      <c r="AV311" s="166"/>
      <c r="AW311" s="166"/>
      <c r="AX311" s="177"/>
      <c r="AY311" s="166"/>
      <c r="AZ311" s="177"/>
      <c r="BA311" s="178"/>
      <c r="BB311" s="178"/>
      <c r="BC311" s="178"/>
      <c r="BD311" s="178"/>
      <c r="BE311" s="178"/>
      <c r="BF311" s="178"/>
      <c r="BG311" s="179"/>
      <c r="BH311" s="180"/>
      <c r="BI311" s="178"/>
      <c r="BJ311" s="177"/>
      <c r="BK311" s="181"/>
      <c r="BL311" s="177"/>
      <c r="BM311" s="181"/>
      <c r="BN311" s="177"/>
      <c r="BO311" s="181"/>
      <c r="BP311" s="177"/>
      <c r="BQ311" s="181"/>
      <c r="BR311" s="166"/>
      <c r="BS311" s="166"/>
      <c r="BT311" s="166"/>
      <c r="BU311" s="65"/>
      <c r="BW311" s="178"/>
      <c r="BX311" s="399"/>
    </row>
    <row r="312" ht="60.0" hidden="1" customHeight="1">
      <c r="A312" s="173"/>
      <c r="B312" s="65"/>
      <c r="C312" s="441"/>
      <c r="D312" s="430"/>
      <c r="E312" s="431"/>
      <c r="F312" s="431"/>
      <c r="G312" s="431"/>
      <c r="H312" s="431"/>
      <c r="I312" s="431"/>
      <c r="J312" s="397"/>
      <c r="K312" s="398">
        <f t="shared" si="1"/>
        <v>0</v>
      </c>
      <c r="L312" s="173"/>
      <c r="M312" s="173"/>
      <c r="N312" s="177"/>
      <c r="O312" s="178"/>
      <c r="P312" s="178"/>
      <c r="Q312" s="178"/>
      <c r="R312" s="178"/>
      <c r="S312" s="182"/>
      <c r="T312" s="65"/>
      <c r="U312" s="64"/>
      <c r="V312" s="66"/>
      <c r="W312" s="173"/>
      <c r="X312" s="173"/>
      <c r="Y312" s="65"/>
      <c r="Z312" s="65"/>
      <c r="AA312" s="65"/>
      <c r="AB312" s="65"/>
      <c r="AC312" s="173"/>
      <c r="AD312" s="166"/>
      <c r="AE312" s="166"/>
      <c r="AF312" s="166"/>
      <c r="AG312" s="166"/>
      <c r="AH312" s="65"/>
      <c r="AJ312" s="177"/>
      <c r="AK312" s="178"/>
      <c r="AL312" s="181"/>
      <c r="AM312" s="166"/>
      <c r="AN312" s="166"/>
      <c r="AO312" s="177"/>
      <c r="AP312" s="178"/>
      <c r="AQ312" s="181"/>
      <c r="AR312" s="166"/>
      <c r="AS312" s="166"/>
      <c r="AT312" s="177"/>
      <c r="AU312" s="181"/>
      <c r="AV312" s="166"/>
      <c r="AW312" s="166"/>
      <c r="AX312" s="177"/>
      <c r="AY312" s="166"/>
      <c r="AZ312" s="177"/>
      <c r="BA312" s="178"/>
      <c r="BB312" s="178"/>
      <c r="BC312" s="178"/>
      <c r="BD312" s="178"/>
      <c r="BE312" s="178"/>
      <c r="BF312" s="178"/>
      <c r="BG312" s="179"/>
      <c r="BH312" s="180"/>
      <c r="BI312" s="178"/>
      <c r="BJ312" s="177"/>
      <c r="BK312" s="181"/>
      <c r="BL312" s="177"/>
      <c r="BM312" s="181"/>
      <c r="BN312" s="177"/>
      <c r="BO312" s="181"/>
      <c r="BP312" s="177"/>
      <c r="BQ312" s="181"/>
      <c r="BR312" s="166"/>
      <c r="BS312" s="166"/>
      <c r="BT312" s="166"/>
      <c r="BU312" s="65"/>
      <c r="BW312" s="178"/>
      <c r="BX312" s="399"/>
    </row>
    <row r="313" ht="60.0" hidden="1" customHeight="1">
      <c r="A313" s="173"/>
      <c r="B313" s="65"/>
      <c r="C313" s="441"/>
      <c r="D313" s="430"/>
      <c r="E313" s="431"/>
      <c r="F313" s="431"/>
      <c r="G313" s="431"/>
      <c r="H313" s="431"/>
      <c r="I313" s="431"/>
      <c r="J313" s="397"/>
      <c r="K313" s="398">
        <f t="shared" si="1"/>
        <v>0</v>
      </c>
      <c r="L313" s="173"/>
      <c r="M313" s="173"/>
      <c r="N313" s="177"/>
      <c r="O313" s="178"/>
      <c r="P313" s="178"/>
      <c r="Q313" s="178"/>
      <c r="R313" s="178"/>
      <c r="S313" s="182"/>
      <c r="T313" s="65"/>
      <c r="U313" s="64"/>
      <c r="V313" s="66"/>
      <c r="W313" s="173"/>
      <c r="X313" s="173"/>
      <c r="Y313" s="65"/>
      <c r="Z313" s="65"/>
      <c r="AA313" s="65"/>
      <c r="AB313" s="65"/>
      <c r="AC313" s="173"/>
      <c r="AD313" s="166"/>
      <c r="AE313" s="166"/>
      <c r="AF313" s="166"/>
      <c r="AG313" s="166"/>
      <c r="AH313" s="65"/>
      <c r="AJ313" s="177"/>
      <c r="AK313" s="178"/>
      <c r="AL313" s="181"/>
      <c r="AM313" s="166"/>
      <c r="AN313" s="166"/>
      <c r="AO313" s="177"/>
      <c r="AP313" s="178"/>
      <c r="AQ313" s="181"/>
      <c r="AR313" s="166"/>
      <c r="AS313" s="166"/>
      <c r="AT313" s="177"/>
      <c r="AU313" s="181"/>
      <c r="AV313" s="166"/>
      <c r="AW313" s="166"/>
      <c r="AX313" s="177"/>
      <c r="AY313" s="166"/>
      <c r="AZ313" s="177"/>
      <c r="BA313" s="178"/>
      <c r="BB313" s="178"/>
      <c r="BC313" s="178"/>
      <c r="BD313" s="178"/>
      <c r="BE313" s="178"/>
      <c r="BF313" s="178"/>
      <c r="BG313" s="179"/>
      <c r="BH313" s="180"/>
      <c r="BI313" s="178"/>
      <c r="BJ313" s="177"/>
      <c r="BK313" s="181"/>
      <c r="BL313" s="177"/>
      <c r="BM313" s="181"/>
      <c r="BN313" s="177"/>
      <c r="BO313" s="181"/>
      <c r="BP313" s="177"/>
      <c r="BQ313" s="181"/>
      <c r="BR313" s="166"/>
      <c r="BS313" s="166"/>
      <c r="BT313" s="166"/>
      <c r="BU313" s="65"/>
      <c r="BW313" s="178"/>
      <c r="BX313" s="399"/>
    </row>
    <row r="314" ht="60.0" hidden="1" customHeight="1">
      <c r="A314" s="173"/>
      <c r="B314" s="65"/>
      <c r="C314" s="441"/>
      <c r="D314" s="430"/>
      <c r="E314" s="431"/>
      <c r="F314" s="431"/>
      <c r="G314" s="431"/>
      <c r="H314" s="431"/>
      <c r="I314" s="431"/>
      <c r="J314" s="397"/>
      <c r="K314" s="398">
        <f t="shared" si="1"/>
        <v>0</v>
      </c>
      <c r="L314" s="173"/>
      <c r="M314" s="173"/>
      <c r="N314" s="177"/>
      <c r="O314" s="178"/>
      <c r="P314" s="178"/>
      <c r="Q314" s="178"/>
      <c r="R314" s="178"/>
      <c r="S314" s="182"/>
      <c r="T314" s="65"/>
      <c r="U314" s="64"/>
      <c r="V314" s="66"/>
      <c r="W314" s="173"/>
      <c r="X314" s="173"/>
      <c r="Y314" s="65"/>
      <c r="Z314" s="65"/>
      <c r="AA314" s="65"/>
      <c r="AB314" s="65"/>
      <c r="AC314" s="173"/>
      <c r="AD314" s="166"/>
      <c r="AE314" s="166"/>
      <c r="AF314" s="166"/>
      <c r="AG314" s="166"/>
      <c r="AH314" s="65"/>
      <c r="AJ314" s="177"/>
      <c r="AK314" s="178"/>
      <c r="AL314" s="181"/>
      <c r="AM314" s="166"/>
      <c r="AN314" s="166"/>
      <c r="AO314" s="177"/>
      <c r="AP314" s="178"/>
      <c r="AQ314" s="181"/>
      <c r="AR314" s="166"/>
      <c r="AS314" s="166"/>
      <c r="AT314" s="177"/>
      <c r="AU314" s="181"/>
      <c r="AV314" s="166"/>
      <c r="AW314" s="166"/>
      <c r="AX314" s="177"/>
      <c r="AY314" s="166"/>
      <c r="AZ314" s="177"/>
      <c r="BA314" s="178"/>
      <c r="BB314" s="178"/>
      <c r="BC314" s="178"/>
      <c r="BD314" s="178"/>
      <c r="BE314" s="178"/>
      <c r="BF314" s="178"/>
      <c r="BG314" s="179"/>
      <c r="BH314" s="180"/>
      <c r="BI314" s="178"/>
      <c r="BJ314" s="177"/>
      <c r="BK314" s="181"/>
      <c r="BL314" s="177"/>
      <c r="BM314" s="181"/>
      <c r="BN314" s="177"/>
      <c r="BO314" s="181"/>
      <c r="BP314" s="177"/>
      <c r="BQ314" s="181"/>
      <c r="BR314" s="166"/>
      <c r="BS314" s="166"/>
      <c r="BT314" s="166"/>
      <c r="BU314" s="65"/>
      <c r="BW314" s="178"/>
      <c r="BX314" s="399"/>
    </row>
    <row r="315" ht="60.0" hidden="1" customHeight="1">
      <c r="A315" s="69"/>
      <c r="B315" s="89"/>
      <c r="C315" s="442"/>
      <c r="D315" s="432"/>
      <c r="E315" s="433"/>
      <c r="F315" s="433"/>
      <c r="G315" s="433"/>
      <c r="H315" s="433"/>
      <c r="I315" s="433"/>
      <c r="J315" s="402"/>
      <c r="K315" s="403">
        <f t="shared" si="1"/>
        <v>0</v>
      </c>
      <c r="L315" s="69"/>
      <c r="M315" s="69"/>
      <c r="N315" s="192"/>
      <c r="O315" s="193"/>
      <c r="P315" s="193"/>
      <c r="Q315" s="193"/>
      <c r="R315" s="193"/>
      <c r="S315" s="197"/>
      <c r="T315" s="89"/>
      <c r="U315" s="103"/>
      <c r="V315" s="68"/>
      <c r="W315" s="69"/>
      <c r="X315" s="69"/>
      <c r="Y315" s="89"/>
      <c r="Z315" s="89"/>
      <c r="AA315" s="89"/>
      <c r="AB315" s="89"/>
      <c r="AC315" s="69"/>
      <c r="AD315" s="63"/>
      <c r="AE315" s="63"/>
      <c r="AF315" s="63"/>
      <c r="AG315" s="63"/>
      <c r="AH315" s="89"/>
      <c r="AI315" s="6"/>
      <c r="AJ315" s="192"/>
      <c r="AK315" s="193"/>
      <c r="AL315" s="196"/>
      <c r="AM315" s="63"/>
      <c r="AN315" s="63"/>
      <c r="AO315" s="192"/>
      <c r="AP315" s="193"/>
      <c r="AQ315" s="196"/>
      <c r="AR315" s="63"/>
      <c r="AS315" s="63"/>
      <c r="AT315" s="192"/>
      <c r="AU315" s="196"/>
      <c r="AV315" s="63"/>
      <c r="AW315" s="63"/>
      <c r="AX315" s="192"/>
      <c r="AY315" s="63"/>
      <c r="AZ315" s="192"/>
      <c r="BA315" s="193"/>
      <c r="BB315" s="193"/>
      <c r="BC315" s="193"/>
      <c r="BD315" s="193"/>
      <c r="BE315" s="193"/>
      <c r="BF315" s="193"/>
      <c r="BG315" s="194"/>
      <c r="BH315" s="195"/>
      <c r="BI315" s="193"/>
      <c r="BJ315" s="192"/>
      <c r="BK315" s="196"/>
      <c r="BL315" s="192"/>
      <c r="BM315" s="196"/>
      <c r="BN315" s="192"/>
      <c r="BO315" s="196"/>
      <c r="BP315" s="192"/>
      <c r="BQ315" s="196"/>
      <c r="BR315" s="63"/>
      <c r="BS315" s="63"/>
      <c r="BT315" s="63"/>
      <c r="BU315" s="89"/>
      <c r="BV315" s="6"/>
      <c r="BW315" s="198"/>
      <c r="BX315" s="404"/>
    </row>
    <row r="316" ht="123.0" customHeight="1">
      <c r="A316" s="443"/>
      <c r="B316" s="444"/>
      <c r="C316" s="445"/>
      <c r="D316" s="445"/>
      <c r="E316" s="445"/>
      <c r="F316" s="445"/>
      <c r="G316" s="445"/>
      <c r="H316" s="445"/>
      <c r="I316" s="445"/>
      <c r="J316" s="445"/>
      <c r="K316" s="446">
        <f t="shared" ref="K316:T316" si="2">SUM(K8:K315)</f>
        <v>0</v>
      </c>
      <c r="L316" s="446">
        <f t="shared" si="2"/>
        <v>0</v>
      </c>
      <c r="M316" s="446">
        <f t="shared" si="2"/>
        <v>0</v>
      </c>
      <c r="N316" s="446">
        <f t="shared" si="2"/>
        <v>0</v>
      </c>
      <c r="O316" s="446">
        <f t="shared" si="2"/>
        <v>0</v>
      </c>
      <c r="P316" s="446">
        <f t="shared" si="2"/>
        <v>0</v>
      </c>
      <c r="Q316" s="446">
        <f t="shared" si="2"/>
        <v>0</v>
      </c>
      <c r="R316" s="446">
        <f t="shared" si="2"/>
        <v>0</v>
      </c>
      <c r="S316" s="446">
        <f t="shared" si="2"/>
        <v>0</v>
      </c>
      <c r="T316" s="446">
        <f t="shared" si="2"/>
        <v>0</v>
      </c>
      <c r="U316" s="447" t="str">
        <f>CONCATENATE('21 Oct Mon'!Y316,",",'22 Oct Tues'!Y316,",",'23 Oct Wed'!Y316,",",'24 Oct Thurs'!Y316,",",'25 Oct Fri'!Y316,",",'26 Oct Sat'!Y316)</f>
        <v>0,0,0,0,0,0</v>
      </c>
      <c r="V316" s="448" t="str">
        <f>CONCATENATE('21 Oct Mon'!Z316,",",'22 Oct Tues'!Z316,",",'23 Oct Wed'!Z316,",",'24 Oct Thurs'!Z316,",",'25 Oct Fri'!Z316,",",'26 Oct Sat'!Z316)</f>
        <v>0,0,0,0,0,0</v>
      </c>
      <c r="W316" s="446">
        <f t="shared" ref="W316:BW316" si="3">SUM(W8:W315)</f>
        <v>0.8333333333</v>
      </c>
      <c r="X316" s="446">
        <f t="shared" si="3"/>
        <v>0</v>
      </c>
      <c r="Y316" s="446">
        <f t="shared" si="3"/>
        <v>0.4166666667</v>
      </c>
      <c r="Z316" s="446">
        <f t="shared" si="3"/>
        <v>0</v>
      </c>
      <c r="AA316" s="446">
        <f t="shared" si="3"/>
        <v>0</v>
      </c>
      <c r="AB316" s="446">
        <f t="shared" si="3"/>
        <v>168.2568889</v>
      </c>
      <c r="AC316" s="446">
        <f t="shared" si="3"/>
        <v>42.06422222</v>
      </c>
      <c r="AD316" s="446">
        <f t="shared" si="3"/>
        <v>0</v>
      </c>
      <c r="AE316" s="446">
        <f t="shared" si="3"/>
        <v>0</v>
      </c>
      <c r="AF316" s="446">
        <f t="shared" si="3"/>
        <v>0</v>
      </c>
      <c r="AG316" s="446">
        <f t="shared" si="3"/>
        <v>0</v>
      </c>
      <c r="AH316" s="446">
        <f t="shared" si="3"/>
        <v>0</v>
      </c>
      <c r="AI316" s="446">
        <f t="shared" si="3"/>
        <v>0</v>
      </c>
      <c r="AJ316" s="446">
        <f t="shared" si="3"/>
        <v>38</v>
      </c>
      <c r="AK316" s="446">
        <f t="shared" si="3"/>
        <v>0</v>
      </c>
      <c r="AL316" s="446">
        <f t="shared" si="3"/>
        <v>56</v>
      </c>
      <c r="AM316" s="446">
        <f t="shared" si="3"/>
        <v>44</v>
      </c>
      <c r="AN316" s="446">
        <f t="shared" si="3"/>
        <v>0</v>
      </c>
      <c r="AO316" s="446">
        <f t="shared" si="3"/>
        <v>15.1</v>
      </c>
      <c r="AP316" s="446">
        <f t="shared" si="3"/>
        <v>36.698</v>
      </c>
      <c r="AQ316" s="446">
        <f t="shared" si="3"/>
        <v>7.4</v>
      </c>
      <c r="AR316" s="446">
        <f t="shared" si="3"/>
        <v>0</v>
      </c>
      <c r="AS316" s="446">
        <f t="shared" si="3"/>
        <v>0</v>
      </c>
      <c r="AT316" s="446">
        <f t="shared" si="3"/>
        <v>96</v>
      </c>
      <c r="AU316" s="446">
        <f t="shared" si="3"/>
        <v>1</v>
      </c>
      <c r="AV316" s="446">
        <f t="shared" si="3"/>
        <v>0</v>
      </c>
      <c r="AW316" s="446">
        <f t="shared" si="3"/>
        <v>1</v>
      </c>
      <c r="AX316" s="446">
        <f t="shared" si="3"/>
        <v>0</v>
      </c>
      <c r="AY316" s="446">
        <f t="shared" si="3"/>
        <v>0</v>
      </c>
      <c r="AZ316" s="446">
        <f t="shared" si="3"/>
        <v>0</v>
      </c>
      <c r="BA316" s="446">
        <f t="shared" si="3"/>
        <v>0</v>
      </c>
      <c r="BB316" s="446">
        <f t="shared" si="3"/>
        <v>0</v>
      </c>
      <c r="BC316" s="446">
        <f t="shared" si="3"/>
        <v>0</v>
      </c>
      <c r="BD316" s="446">
        <f t="shared" si="3"/>
        <v>0</v>
      </c>
      <c r="BE316" s="446">
        <f t="shared" si="3"/>
        <v>0</v>
      </c>
      <c r="BF316" s="446">
        <f t="shared" si="3"/>
        <v>0</v>
      </c>
      <c r="BG316" s="446">
        <f t="shared" si="3"/>
        <v>0</v>
      </c>
      <c r="BH316" s="446">
        <f t="shared" si="3"/>
        <v>0</v>
      </c>
      <c r="BI316" s="446">
        <f t="shared" si="3"/>
        <v>30.74666667</v>
      </c>
      <c r="BJ316" s="446">
        <f t="shared" si="3"/>
        <v>2.5</v>
      </c>
      <c r="BK316" s="446">
        <f t="shared" si="3"/>
        <v>0</v>
      </c>
      <c r="BL316" s="446">
        <f t="shared" si="3"/>
        <v>0</v>
      </c>
      <c r="BM316" s="446">
        <f t="shared" si="3"/>
        <v>-3</v>
      </c>
      <c r="BN316" s="446">
        <f t="shared" si="3"/>
        <v>0</v>
      </c>
      <c r="BO316" s="446">
        <f t="shared" si="3"/>
        <v>0</v>
      </c>
      <c r="BP316" s="446">
        <f t="shared" si="3"/>
        <v>0</v>
      </c>
      <c r="BQ316" s="446">
        <f t="shared" si="3"/>
        <v>0</v>
      </c>
      <c r="BR316" s="446">
        <f t="shared" si="3"/>
        <v>0</v>
      </c>
      <c r="BS316" s="446">
        <f t="shared" si="3"/>
        <v>0</v>
      </c>
      <c r="BT316" s="446">
        <f t="shared" si="3"/>
        <v>0</v>
      </c>
      <c r="BU316" s="446">
        <f t="shared" si="3"/>
        <v>6</v>
      </c>
      <c r="BV316" s="446">
        <f t="shared" si="3"/>
        <v>168.2568889</v>
      </c>
      <c r="BW316" s="446">
        <f t="shared" si="3"/>
        <v>0</v>
      </c>
      <c r="BX316" s="449"/>
    </row>
    <row r="317" ht="14.25" customHeight="1">
      <c r="A317" s="450"/>
      <c r="B317" s="450"/>
      <c r="C317" s="450"/>
      <c r="D317" s="450"/>
      <c r="E317" s="450"/>
      <c r="F317" s="450"/>
      <c r="G317" s="450"/>
      <c r="H317" s="450"/>
      <c r="I317" s="450"/>
      <c r="J317" s="450"/>
      <c r="K317" s="450"/>
      <c r="L317" s="450"/>
      <c r="M317" s="450"/>
      <c r="N317" s="450"/>
      <c r="O317" s="450"/>
      <c r="P317" s="450"/>
      <c r="Q317" s="450"/>
      <c r="R317" s="450"/>
      <c r="S317" s="450"/>
      <c r="T317" s="450"/>
      <c r="U317" s="451"/>
      <c r="V317" s="450"/>
      <c r="W317" s="450"/>
      <c r="X317" s="450"/>
      <c r="Y317" s="452"/>
      <c r="Z317" s="452"/>
      <c r="AA317" s="453"/>
      <c r="AB317" s="453"/>
      <c r="AC317" s="453"/>
      <c r="AD317" s="452"/>
      <c r="AE317" s="452"/>
      <c r="AF317" s="452"/>
      <c r="AG317" s="450"/>
      <c r="AH317" s="450"/>
      <c r="AI317" s="450"/>
      <c r="AJ317" s="450"/>
      <c r="AK317" s="450"/>
      <c r="AL317" s="450"/>
      <c r="AM317" s="450"/>
      <c r="AN317" s="450"/>
      <c r="AO317" s="450"/>
      <c r="AP317" s="450"/>
      <c r="AQ317" s="450"/>
      <c r="AR317" s="450"/>
      <c r="AS317" s="450"/>
      <c r="AT317" s="450"/>
      <c r="AU317" s="450"/>
      <c r="AV317" s="450"/>
      <c r="AW317" s="450"/>
      <c r="AX317" s="450"/>
      <c r="AY317" s="450"/>
      <c r="AZ317" s="450"/>
      <c r="BA317" s="450"/>
      <c r="BB317" s="450"/>
      <c r="BC317" s="453"/>
      <c r="BD317" s="453"/>
      <c r="BE317" s="453"/>
      <c r="BF317" s="453"/>
      <c r="BG317" s="453"/>
      <c r="BH317" s="453"/>
      <c r="BI317" s="453"/>
      <c r="BJ317" s="453"/>
      <c r="BK317" s="453"/>
      <c r="BL317" s="453"/>
      <c r="BM317" s="453"/>
      <c r="BN317" s="453"/>
      <c r="BO317" s="453"/>
      <c r="BP317" s="452"/>
      <c r="BQ317" s="450"/>
      <c r="BR317" s="450"/>
      <c r="BS317" s="450"/>
      <c r="BT317" s="450"/>
      <c r="BU317" s="450"/>
      <c r="BV317" s="450"/>
      <c r="BW317" s="454"/>
      <c r="BX317" s="450"/>
    </row>
    <row r="318" ht="14.25" customHeight="1">
      <c r="A318" s="450"/>
      <c r="B318" s="450"/>
      <c r="C318" s="450"/>
      <c r="D318" s="450"/>
      <c r="E318" s="450"/>
      <c r="F318" s="450"/>
      <c r="G318" s="450"/>
      <c r="H318" s="450"/>
      <c r="I318" s="450"/>
      <c r="J318" s="450"/>
      <c r="K318" s="450"/>
      <c r="L318" s="450"/>
      <c r="M318" s="450"/>
      <c r="N318" s="450"/>
      <c r="O318" s="450"/>
      <c r="P318" s="450"/>
      <c r="Q318" s="450"/>
      <c r="R318" s="450"/>
      <c r="S318" s="450"/>
      <c r="T318" s="450"/>
      <c r="U318" s="451"/>
      <c r="V318" s="450"/>
      <c r="W318" s="450"/>
      <c r="X318" s="450"/>
      <c r="Y318" s="452"/>
      <c r="Z318" s="452"/>
      <c r="AA318" s="453"/>
      <c r="AB318" s="453"/>
      <c r="AC318" s="453"/>
      <c r="AD318" s="452"/>
      <c r="AE318" s="452"/>
      <c r="AF318" s="452"/>
      <c r="AG318" s="450"/>
      <c r="AH318" s="450"/>
      <c r="AI318" s="450"/>
      <c r="AJ318" s="450"/>
      <c r="AK318" s="450"/>
      <c r="AL318" s="450"/>
      <c r="AM318" s="450"/>
      <c r="AN318" s="450"/>
      <c r="AO318" s="450"/>
      <c r="AP318" s="450"/>
      <c r="AQ318" s="450"/>
      <c r="AR318" s="450"/>
      <c r="AS318" s="450"/>
      <c r="AT318" s="450"/>
      <c r="AU318" s="450"/>
      <c r="AV318" s="450"/>
      <c r="AW318" s="450"/>
      <c r="AX318" s="450"/>
      <c r="AY318" s="450"/>
      <c r="AZ318" s="450"/>
      <c r="BA318" s="450"/>
      <c r="BB318" s="450"/>
      <c r="BC318" s="453"/>
      <c r="BD318" s="453"/>
      <c r="BE318" s="453"/>
      <c r="BF318" s="453"/>
      <c r="BG318" s="453"/>
      <c r="BH318" s="453"/>
      <c r="BI318" s="453"/>
      <c r="BJ318" s="453"/>
      <c r="BK318" s="453"/>
      <c r="BL318" s="453"/>
      <c r="BM318" s="453"/>
      <c r="BN318" s="453"/>
      <c r="BO318" s="453"/>
      <c r="BP318" s="452"/>
      <c r="BQ318" s="450"/>
      <c r="BR318" s="450"/>
      <c r="BS318" s="450"/>
      <c r="BT318" s="450"/>
      <c r="BU318" s="450"/>
      <c r="BV318" s="450"/>
      <c r="BW318" s="454"/>
      <c r="BX318" s="450"/>
    </row>
    <row r="319" ht="14.25" customHeight="1">
      <c r="A319" s="450"/>
      <c r="B319" s="450"/>
      <c r="C319" s="450"/>
      <c r="D319" s="450"/>
      <c r="E319" s="450"/>
      <c r="F319" s="450"/>
      <c r="G319" s="450"/>
      <c r="H319" s="450"/>
      <c r="I319" s="450"/>
      <c r="J319" s="450"/>
      <c r="K319" s="450"/>
      <c r="L319" s="450"/>
      <c r="M319" s="450"/>
      <c r="N319" s="450"/>
      <c r="O319" s="450"/>
      <c r="P319" s="450"/>
      <c r="Q319" s="450"/>
      <c r="R319" s="450"/>
      <c r="S319" s="450"/>
      <c r="T319" s="450"/>
      <c r="U319" s="451"/>
      <c r="V319" s="450"/>
      <c r="W319" s="450"/>
      <c r="X319" s="450"/>
      <c r="Y319" s="452"/>
      <c r="Z319" s="452"/>
      <c r="AA319" s="453"/>
      <c r="AB319" s="453"/>
      <c r="AC319" s="453"/>
      <c r="AD319" s="452"/>
      <c r="AE319" s="452"/>
      <c r="AF319" s="452"/>
      <c r="AG319" s="450"/>
      <c r="AH319" s="450"/>
      <c r="AI319" s="450"/>
      <c r="AJ319" s="450"/>
      <c r="AK319" s="450"/>
      <c r="AL319" s="450"/>
      <c r="AM319" s="450"/>
      <c r="AN319" s="450"/>
      <c r="AO319" s="450"/>
      <c r="AP319" s="450"/>
      <c r="AQ319" s="450"/>
      <c r="AR319" s="450"/>
      <c r="AS319" s="450"/>
      <c r="AT319" s="450"/>
      <c r="AU319" s="450"/>
      <c r="AV319" s="450"/>
      <c r="AW319" s="450"/>
      <c r="AX319" s="450"/>
      <c r="AY319" s="450"/>
      <c r="AZ319" s="450"/>
      <c r="BA319" s="450"/>
      <c r="BB319" s="450"/>
      <c r="BC319" s="453"/>
      <c r="BD319" s="453"/>
      <c r="BE319" s="453"/>
      <c r="BF319" s="453"/>
      <c r="BG319" s="453"/>
      <c r="BH319" s="453"/>
      <c r="BI319" s="453"/>
      <c r="BJ319" s="453"/>
      <c r="BK319" s="453"/>
      <c r="BL319" s="453"/>
      <c r="BM319" s="453"/>
      <c r="BN319" s="453"/>
      <c r="BO319" s="453"/>
      <c r="BP319" s="452"/>
      <c r="BQ319" s="450"/>
      <c r="BR319" s="450"/>
      <c r="BS319" s="450"/>
      <c r="BT319" s="450"/>
      <c r="BU319" s="450"/>
      <c r="BV319" s="450"/>
      <c r="BW319" s="454"/>
      <c r="BX319" s="450"/>
    </row>
    <row r="320" ht="14.25" customHeight="1">
      <c r="A320" s="450"/>
      <c r="B320" s="450"/>
      <c r="C320" s="450"/>
      <c r="D320" s="450"/>
      <c r="E320" s="450"/>
      <c r="F320" s="450"/>
      <c r="G320" s="450"/>
      <c r="H320" s="450"/>
      <c r="I320" s="450"/>
      <c r="J320" s="450"/>
      <c r="K320" s="450"/>
      <c r="L320" s="450"/>
      <c r="M320" s="450"/>
      <c r="N320" s="450"/>
      <c r="O320" s="450"/>
      <c r="P320" s="450"/>
      <c r="Q320" s="450"/>
      <c r="R320" s="450"/>
      <c r="S320" s="450"/>
      <c r="T320" s="450"/>
      <c r="U320" s="451"/>
      <c r="V320" s="450"/>
      <c r="W320" s="450"/>
      <c r="X320" s="450"/>
      <c r="Y320" s="452"/>
      <c r="Z320" s="452"/>
      <c r="AA320" s="453"/>
      <c r="AB320" s="453"/>
      <c r="AC320" s="453"/>
      <c r="AD320" s="452"/>
      <c r="AE320" s="452"/>
      <c r="AF320" s="452"/>
      <c r="AG320" s="450"/>
      <c r="AH320" s="450"/>
      <c r="AI320" s="450"/>
      <c r="AJ320" s="450"/>
      <c r="AK320" s="450"/>
      <c r="AL320" s="450"/>
      <c r="AM320" s="450"/>
      <c r="AN320" s="450"/>
      <c r="AO320" s="450"/>
      <c r="AP320" s="450"/>
      <c r="AQ320" s="450"/>
      <c r="AR320" s="450"/>
      <c r="AS320" s="450"/>
      <c r="AT320" s="450"/>
      <c r="AU320" s="450"/>
      <c r="AV320" s="450"/>
      <c r="AW320" s="450"/>
      <c r="AX320" s="450"/>
      <c r="AY320" s="450"/>
      <c r="AZ320" s="450"/>
      <c r="BA320" s="450"/>
      <c r="BB320" s="450"/>
      <c r="BC320" s="453"/>
      <c r="BD320" s="453"/>
      <c r="BE320" s="453"/>
      <c r="BF320" s="453"/>
      <c r="BG320" s="453"/>
      <c r="BH320" s="453"/>
      <c r="BI320" s="453"/>
      <c r="BJ320" s="453"/>
      <c r="BK320" s="453"/>
      <c r="BL320" s="453"/>
      <c r="BM320" s="453"/>
      <c r="BN320" s="453"/>
      <c r="BO320" s="453"/>
      <c r="BP320" s="452"/>
      <c r="BQ320" s="450"/>
      <c r="BR320" s="450"/>
      <c r="BS320" s="450"/>
      <c r="BT320" s="450"/>
      <c r="BU320" s="450"/>
      <c r="BV320" s="450"/>
      <c r="BW320" s="454"/>
      <c r="BX320" s="450"/>
    </row>
    <row r="321" ht="14.25" customHeight="1">
      <c r="A321" s="450"/>
      <c r="B321" s="450"/>
      <c r="C321" s="450"/>
      <c r="D321" s="450"/>
      <c r="E321" s="450"/>
      <c r="F321" s="450"/>
      <c r="G321" s="450"/>
      <c r="H321" s="450"/>
      <c r="I321" s="450"/>
      <c r="J321" s="450"/>
      <c r="K321" s="450"/>
      <c r="L321" s="450"/>
      <c r="M321" s="450"/>
      <c r="N321" s="450"/>
      <c r="O321" s="450"/>
      <c r="P321" s="450"/>
      <c r="Q321" s="450"/>
      <c r="R321" s="450"/>
      <c r="S321" s="450"/>
      <c r="T321" s="450"/>
      <c r="U321" s="451"/>
      <c r="V321" s="450"/>
      <c r="W321" s="450"/>
      <c r="X321" s="450"/>
      <c r="Y321" s="452"/>
      <c r="Z321" s="452"/>
      <c r="AA321" s="453"/>
      <c r="AB321" s="453"/>
      <c r="AC321" s="453"/>
      <c r="AD321" s="452"/>
      <c r="AE321" s="452"/>
      <c r="AF321" s="452"/>
      <c r="AG321" s="450"/>
      <c r="AH321" s="450"/>
      <c r="AI321" s="450"/>
      <c r="AJ321" s="450"/>
      <c r="AK321" s="450"/>
      <c r="AL321" s="450"/>
      <c r="AM321" s="450"/>
      <c r="AN321" s="450"/>
      <c r="AO321" s="450"/>
      <c r="AP321" s="450"/>
      <c r="AQ321" s="450"/>
      <c r="AR321" s="450"/>
      <c r="AS321" s="450"/>
      <c r="AT321" s="450"/>
      <c r="AU321" s="450"/>
      <c r="AV321" s="450"/>
      <c r="AW321" s="450"/>
      <c r="AX321" s="450"/>
      <c r="AY321" s="450"/>
      <c r="AZ321" s="450"/>
      <c r="BA321" s="450"/>
      <c r="BB321" s="450"/>
      <c r="BC321" s="453"/>
      <c r="BD321" s="453"/>
      <c r="BE321" s="453"/>
      <c r="BF321" s="453"/>
      <c r="BG321" s="453"/>
      <c r="BH321" s="453"/>
      <c r="BI321" s="453"/>
      <c r="BJ321" s="453"/>
      <c r="BK321" s="453"/>
      <c r="BL321" s="453"/>
      <c r="BM321" s="453"/>
      <c r="BN321" s="453"/>
      <c r="BO321" s="453"/>
      <c r="BP321" s="452"/>
      <c r="BQ321" s="450"/>
      <c r="BR321" s="450"/>
      <c r="BS321" s="450"/>
      <c r="BT321" s="450"/>
      <c r="BU321" s="450"/>
      <c r="BV321" s="450"/>
      <c r="BW321" s="454"/>
      <c r="BX321" s="450"/>
    </row>
    <row r="322" ht="14.25" customHeight="1">
      <c r="A322" s="450"/>
      <c r="B322" s="450"/>
      <c r="C322" s="450"/>
      <c r="D322" s="450"/>
      <c r="E322" s="450"/>
      <c r="F322" s="450"/>
      <c r="G322" s="450"/>
      <c r="H322" s="450"/>
      <c r="I322" s="450"/>
      <c r="J322" s="450"/>
      <c r="K322" s="450"/>
      <c r="L322" s="450"/>
      <c r="M322" s="450"/>
      <c r="N322" s="450"/>
      <c r="O322" s="450"/>
      <c r="P322" s="450"/>
      <c r="Q322" s="450"/>
      <c r="R322" s="450"/>
      <c r="S322" s="450"/>
      <c r="T322" s="450"/>
      <c r="U322" s="451"/>
      <c r="V322" s="450"/>
      <c r="W322" s="450"/>
      <c r="X322" s="450"/>
      <c r="Y322" s="452"/>
      <c r="Z322" s="452"/>
      <c r="AA322" s="453"/>
      <c r="AB322" s="453"/>
      <c r="AC322" s="453"/>
      <c r="AD322" s="452"/>
      <c r="AE322" s="452"/>
      <c r="AF322" s="452"/>
      <c r="AG322" s="450"/>
      <c r="AH322" s="450"/>
      <c r="AI322" s="450"/>
      <c r="AJ322" s="450"/>
      <c r="AK322" s="450"/>
      <c r="AL322" s="450"/>
      <c r="AM322" s="450"/>
      <c r="AN322" s="450"/>
      <c r="AO322" s="450"/>
      <c r="AP322" s="450"/>
      <c r="AQ322" s="450"/>
      <c r="AR322" s="450"/>
      <c r="AS322" s="450"/>
      <c r="AT322" s="450"/>
      <c r="AU322" s="450"/>
      <c r="AV322" s="450"/>
      <c r="AW322" s="450"/>
      <c r="AX322" s="450"/>
      <c r="AY322" s="450"/>
      <c r="AZ322" s="450"/>
      <c r="BA322" s="450"/>
      <c r="BB322" s="450"/>
      <c r="BC322" s="453"/>
      <c r="BD322" s="453"/>
      <c r="BE322" s="453"/>
      <c r="BF322" s="453"/>
      <c r="BG322" s="453"/>
      <c r="BH322" s="453"/>
      <c r="BI322" s="453"/>
      <c r="BJ322" s="453"/>
      <c r="BK322" s="453"/>
      <c r="BL322" s="453"/>
      <c r="BM322" s="453"/>
      <c r="BN322" s="453"/>
      <c r="BO322" s="453"/>
      <c r="BP322" s="452"/>
      <c r="BQ322" s="450"/>
      <c r="BR322" s="450"/>
      <c r="BS322" s="450"/>
      <c r="BT322" s="450"/>
      <c r="BU322" s="450"/>
      <c r="BV322" s="450"/>
      <c r="BW322" s="454"/>
      <c r="BX322" s="450"/>
    </row>
    <row r="323" ht="14.25" customHeight="1">
      <c r="A323" s="450"/>
      <c r="B323" s="450"/>
      <c r="C323" s="450"/>
      <c r="D323" s="450"/>
      <c r="E323" s="450"/>
      <c r="F323" s="450"/>
      <c r="G323" s="450"/>
      <c r="H323" s="450"/>
      <c r="I323" s="450"/>
      <c r="J323" s="450"/>
      <c r="K323" s="450"/>
      <c r="L323" s="450"/>
      <c r="M323" s="450"/>
      <c r="N323" s="450"/>
      <c r="O323" s="450"/>
      <c r="P323" s="450"/>
      <c r="Q323" s="450"/>
      <c r="R323" s="450"/>
      <c r="S323" s="450"/>
      <c r="T323" s="450"/>
      <c r="U323" s="451"/>
      <c r="V323" s="450"/>
      <c r="W323" s="450"/>
      <c r="X323" s="450"/>
      <c r="Y323" s="452"/>
      <c r="Z323" s="452"/>
      <c r="AA323" s="453"/>
      <c r="AB323" s="453"/>
      <c r="AC323" s="453"/>
      <c r="AD323" s="452"/>
      <c r="AE323" s="452"/>
      <c r="AF323" s="452"/>
      <c r="AG323" s="450"/>
      <c r="AH323" s="450"/>
      <c r="AI323" s="450"/>
      <c r="AJ323" s="450"/>
      <c r="AK323" s="450"/>
      <c r="AL323" s="450"/>
      <c r="AM323" s="450"/>
      <c r="AN323" s="450"/>
      <c r="AO323" s="450"/>
      <c r="AP323" s="450"/>
      <c r="AQ323" s="450"/>
      <c r="AR323" s="450"/>
      <c r="AS323" s="450"/>
      <c r="AT323" s="450"/>
      <c r="AU323" s="450"/>
      <c r="AV323" s="450"/>
      <c r="AW323" s="450"/>
      <c r="AX323" s="450"/>
      <c r="AY323" s="450"/>
      <c r="AZ323" s="450"/>
      <c r="BA323" s="450"/>
      <c r="BB323" s="450"/>
      <c r="BC323" s="453"/>
      <c r="BD323" s="453"/>
      <c r="BE323" s="453"/>
      <c r="BF323" s="453"/>
      <c r="BG323" s="453"/>
      <c r="BH323" s="453"/>
      <c r="BI323" s="453"/>
      <c r="BJ323" s="453"/>
      <c r="BK323" s="453"/>
      <c r="BL323" s="453"/>
      <c r="BM323" s="453"/>
      <c r="BN323" s="453"/>
      <c r="BO323" s="453"/>
      <c r="BP323" s="452"/>
      <c r="BQ323" s="450"/>
      <c r="BR323" s="450"/>
      <c r="BS323" s="450"/>
      <c r="BT323" s="450"/>
      <c r="BU323" s="450"/>
      <c r="BV323" s="450"/>
      <c r="BW323" s="454"/>
      <c r="BX323" s="450"/>
    </row>
    <row r="324" ht="14.25" customHeight="1">
      <c r="A324" s="450"/>
      <c r="B324" s="450"/>
      <c r="C324" s="450"/>
      <c r="D324" s="450"/>
      <c r="E324" s="450"/>
      <c r="F324" s="450"/>
      <c r="G324" s="450"/>
      <c r="H324" s="450"/>
      <c r="I324" s="450"/>
      <c r="J324" s="450"/>
      <c r="K324" s="450"/>
      <c r="L324" s="450"/>
      <c r="M324" s="450"/>
      <c r="N324" s="450"/>
      <c r="O324" s="450"/>
      <c r="P324" s="450"/>
      <c r="Q324" s="450"/>
      <c r="R324" s="450"/>
      <c r="S324" s="450"/>
      <c r="T324" s="450"/>
      <c r="U324" s="451"/>
      <c r="V324" s="450"/>
      <c r="W324" s="450"/>
      <c r="X324" s="450"/>
      <c r="Y324" s="452"/>
      <c r="Z324" s="452"/>
      <c r="AA324" s="453"/>
      <c r="AB324" s="453"/>
      <c r="AC324" s="453"/>
      <c r="AD324" s="452"/>
      <c r="AE324" s="452"/>
      <c r="AF324" s="452"/>
      <c r="AG324" s="450"/>
      <c r="AH324" s="450"/>
      <c r="AI324" s="450"/>
      <c r="AJ324" s="450"/>
      <c r="AK324" s="450"/>
      <c r="AL324" s="450"/>
      <c r="AM324" s="450"/>
      <c r="AN324" s="450"/>
      <c r="AO324" s="450"/>
      <c r="AP324" s="450"/>
      <c r="AQ324" s="450"/>
      <c r="AR324" s="450"/>
      <c r="AS324" s="450"/>
      <c r="AT324" s="450"/>
      <c r="AU324" s="450"/>
      <c r="AV324" s="450"/>
      <c r="AW324" s="450"/>
      <c r="AX324" s="450"/>
      <c r="AY324" s="450"/>
      <c r="AZ324" s="450"/>
      <c r="BA324" s="450"/>
      <c r="BB324" s="450"/>
      <c r="BC324" s="453"/>
      <c r="BD324" s="453"/>
      <c r="BE324" s="453"/>
      <c r="BF324" s="453"/>
      <c r="BG324" s="453"/>
      <c r="BH324" s="453"/>
      <c r="BI324" s="453"/>
      <c r="BJ324" s="453"/>
      <c r="BK324" s="453"/>
      <c r="BL324" s="453"/>
      <c r="BM324" s="453"/>
      <c r="BN324" s="453"/>
      <c r="BO324" s="453"/>
      <c r="BP324" s="452"/>
      <c r="BQ324" s="450"/>
      <c r="BR324" s="450"/>
      <c r="BS324" s="450"/>
      <c r="BT324" s="450"/>
      <c r="BU324" s="450"/>
      <c r="BV324" s="450"/>
      <c r="BW324" s="454"/>
      <c r="BX324" s="450"/>
    </row>
    <row r="325" ht="14.25" customHeight="1">
      <c r="A325" s="450"/>
      <c r="B325" s="450"/>
      <c r="C325" s="450"/>
      <c r="D325" s="450"/>
      <c r="E325" s="450"/>
      <c r="F325" s="450"/>
      <c r="G325" s="450"/>
      <c r="H325" s="450"/>
      <c r="I325" s="450"/>
      <c r="J325" s="450"/>
      <c r="K325" s="450"/>
      <c r="L325" s="450"/>
      <c r="M325" s="450"/>
      <c r="N325" s="450"/>
      <c r="O325" s="450"/>
      <c r="P325" s="450"/>
      <c r="Q325" s="450"/>
      <c r="R325" s="450"/>
      <c r="S325" s="450"/>
      <c r="T325" s="450"/>
      <c r="U325" s="451"/>
      <c r="V325" s="450"/>
      <c r="W325" s="450"/>
      <c r="X325" s="450"/>
      <c r="Y325" s="452"/>
      <c r="Z325" s="452"/>
      <c r="AA325" s="453"/>
      <c r="AB325" s="453"/>
      <c r="AC325" s="453"/>
      <c r="AD325" s="452"/>
      <c r="AE325" s="452"/>
      <c r="AF325" s="452"/>
      <c r="AG325" s="450"/>
      <c r="AH325" s="450"/>
      <c r="AI325" s="450"/>
      <c r="AJ325" s="450"/>
      <c r="AK325" s="450"/>
      <c r="AL325" s="450"/>
      <c r="AM325" s="450"/>
      <c r="AN325" s="450"/>
      <c r="AO325" s="450"/>
      <c r="AP325" s="450"/>
      <c r="AQ325" s="450"/>
      <c r="AR325" s="450"/>
      <c r="AS325" s="450"/>
      <c r="AT325" s="450"/>
      <c r="AU325" s="450"/>
      <c r="AV325" s="450"/>
      <c r="AW325" s="450"/>
      <c r="AX325" s="450"/>
      <c r="AY325" s="450"/>
      <c r="AZ325" s="450"/>
      <c r="BA325" s="450"/>
      <c r="BB325" s="450"/>
      <c r="BC325" s="453"/>
      <c r="BD325" s="453"/>
      <c r="BE325" s="453"/>
      <c r="BF325" s="453"/>
      <c r="BG325" s="453"/>
      <c r="BH325" s="453"/>
      <c r="BI325" s="453"/>
      <c r="BJ325" s="453"/>
      <c r="BK325" s="453"/>
      <c r="BL325" s="453"/>
      <c r="BM325" s="453"/>
      <c r="BN325" s="453"/>
      <c r="BO325" s="453"/>
      <c r="BP325" s="452"/>
      <c r="BQ325" s="450"/>
      <c r="BR325" s="450"/>
      <c r="BS325" s="450"/>
      <c r="BT325" s="450"/>
      <c r="BU325" s="450"/>
      <c r="BV325" s="450"/>
      <c r="BW325" s="454"/>
      <c r="BX325" s="450"/>
    </row>
    <row r="326" ht="14.25" customHeight="1">
      <c r="A326" s="450"/>
      <c r="B326" s="450"/>
      <c r="C326" s="450"/>
      <c r="D326" s="450"/>
      <c r="E326" s="450"/>
      <c r="F326" s="450"/>
      <c r="G326" s="450"/>
      <c r="H326" s="450"/>
      <c r="I326" s="450"/>
      <c r="J326" s="450"/>
      <c r="K326" s="450"/>
      <c r="L326" s="450"/>
      <c r="M326" s="450"/>
      <c r="N326" s="450"/>
      <c r="O326" s="450"/>
      <c r="P326" s="450"/>
      <c r="Q326" s="450"/>
      <c r="R326" s="450"/>
      <c r="S326" s="450"/>
      <c r="T326" s="450"/>
      <c r="U326" s="451"/>
      <c r="V326" s="450"/>
      <c r="W326" s="450"/>
      <c r="X326" s="450"/>
      <c r="Y326" s="452"/>
      <c r="Z326" s="452"/>
      <c r="AA326" s="453"/>
      <c r="AB326" s="453"/>
      <c r="AC326" s="453"/>
      <c r="AD326" s="452"/>
      <c r="AE326" s="452"/>
      <c r="AF326" s="452"/>
      <c r="AG326" s="450"/>
      <c r="AH326" s="450"/>
      <c r="AI326" s="450"/>
      <c r="AJ326" s="450"/>
      <c r="AK326" s="450"/>
      <c r="AL326" s="450"/>
      <c r="AM326" s="450"/>
      <c r="AN326" s="450"/>
      <c r="AO326" s="450"/>
      <c r="AP326" s="450"/>
      <c r="AQ326" s="450"/>
      <c r="AR326" s="450"/>
      <c r="AS326" s="450"/>
      <c r="AT326" s="450"/>
      <c r="AU326" s="450"/>
      <c r="AV326" s="450"/>
      <c r="AW326" s="450"/>
      <c r="AX326" s="450"/>
      <c r="AY326" s="450"/>
      <c r="AZ326" s="450"/>
      <c r="BA326" s="450"/>
      <c r="BB326" s="450"/>
      <c r="BC326" s="453"/>
      <c r="BD326" s="453"/>
      <c r="BE326" s="453"/>
      <c r="BF326" s="453"/>
      <c r="BG326" s="453"/>
      <c r="BH326" s="453"/>
      <c r="BI326" s="453"/>
      <c r="BJ326" s="453"/>
      <c r="BK326" s="453"/>
      <c r="BL326" s="453"/>
      <c r="BM326" s="453"/>
      <c r="BN326" s="453"/>
      <c r="BO326" s="453"/>
      <c r="BP326" s="452"/>
      <c r="BQ326" s="450"/>
      <c r="BR326" s="450"/>
      <c r="BS326" s="450"/>
      <c r="BT326" s="450"/>
      <c r="BU326" s="450"/>
      <c r="BV326" s="450"/>
      <c r="BW326" s="454"/>
      <c r="BX326" s="450"/>
    </row>
    <row r="327" ht="14.25" customHeight="1">
      <c r="A327" s="450"/>
      <c r="B327" s="450"/>
      <c r="C327" s="450"/>
      <c r="D327" s="450"/>
      <c r="E327" s="450"/>
      <c r="F327" s="450"/>
      <c r="G327" s="450"/>
      <c r="H327" s="450"/>
      <c r="I327" s="450"/>
      <c r="J327" s="450"/>
      <c r="K327" s="450"/>
      <c r="L327" s="450"/>
      <c r="M327" s="450"/>
      <c r="N327" s="450"/>
      <c r="O327" s="450"/>
      <c r="P327" s="450"/>
      <c r="Q327" s="450"/>
      <c r="R327" s="450"/>
      <c r="S327" s="450"/>
      <c r="T327" s="450"/>
      <c r="U327" s="451"/>
      <c r="V327" s="450"/>
      <c r="W327" s="450"/>
      <c r="X327" s="450"/>
      <c r="Y327" s="452"/>
      <c r="Z327" s="452"/>
      <c r="AA327" s="453"/>
      <c r="AB327" s="453"/>
      <c r="AC327" s="453"/>
      <c r="AD327" s="452"/>
      <c r="AE327" s="452"/>
      <c r="AF327" s="452"/>
      <c r="AG327" s="450"/>
      <c r="AH327" s="450"/>
      <c r="AI327" s="450"/>
      <c r="AJ327" s="450"/>
      <c r="AK327" s="450"/>
      <c r="AL327" s="450"/>
      <c r="AM327" s="450"/>
      <c r="AN327" s="450"/>
      <c r="AO327" s="450"/>
      <c r="AP327" s="450"/>
      <c r="AQ327" s="450"/>
      <c r="AR327" s="450"/>
      <c r="AS327" s="450"/>
      <c r="AT327" s="450"/>
      <c r="AU327" s="450"/>
      <c r="AV327" s="450"/>
      <c r="AW327" s="450"/>
      <c r="AX327" s="450"/>
      <c r="AY327" s="450"/>
      <c r="AZ327" s="450"/>
      <c r="BA327" s="450"/>
      <c r="BB327" s="450"/>
      <c r="BC327" s="453"/>
      <c r="BD327" s="453"/>
      <c r="BE327" s="453"/>
      <c r="BF327" s="453"/>
      <c r="BG327" s="453"/>
      <c r="BH327" s="453"/>
      <c r="BI327" s="453"/>
      <c r="BJ327" s="453"/>
      <c r="BK327" s="453"/>
      <c r="BL327" s="453"/>
      <c r="BM327" s="453"/>
      <c r="BN327" s="453"/>
      <c r="BO327" s="453"/>
      <c r="BP327" s="452"/>
      <c r="BQ327" s="450"/>
      <c r="BR327" s="450"/>
      <c r="BS327" s="450"/>
      <c r="BT327" s="450"/>
      <c r="BU327" s="450"/>
      <c r="BV327" s="450"/>
      <c r="BW327" s="454"/>
      <c r="BX327" s="450"/>
    </row>
    <row r="328" ht="14.25" customHeight="1">
      <c r="A328" s="450"/>
      <c r="B328" s="450"/>
      <c r="C328" s="450"/>
      <c r="D328" s="450"/>
      <c r="E328" s="450"/>
      <c r="F328" s="450"/>
      <c r="G328" s="450"/>
      <c r="H328" s="450"/>
      <c r="I328" s="450"/>
      <c r="J328" s="450"/>
      <c r="K328" s="450"/>
      <c r="L328" s="450"/>
      <c r="M328" s="450"/>
      <c r="N328" s="450"/>
      <c r="O328" s="450"/>
      <c r="P328" s="450"/>
      <c r="Q328" s="450"/>
      <c r="R328" s="450"/>
      <c r="S328" s="450"/>
      <c r="T328" s="450"/>
      <c r="U328" s="451"/>
      <c r="V328" s="450"/>
      <c r="W328" s="450"/>
      <c r="X328" s="450"/>
      <c r="Y328" s="452"/>
      <c r="Z328" s="452"/>
      <c r="AA328" s="453"/>
      <c r="AB328" s="453"/>
      <c r="AC328" s="453"/>
      <c r="AD328" s="452"/>
      <c r="AE328" s="452"/>
      <c r="AF328" s="452"/>
      <c r="AG328" s="450"/>
      <c r="AH328" s="450"/>
      <c r="AI328" s="450"/>
      <c r="AJ328" s="450"/>
      <c r="AK328" s="450"/>
      <c r="AL328" s="450"/>
      <c r="AM328" s="450"/>
      <c r="AN328" s="450"/>
      <c r="AO328" s="450"/>
      <c r="AP328" s="450"/>
      <c r="AQ328" s="450"/>
      <c r="AR328" s="450"/>
      <c r="AS328" s="450"/>
      <c r="AT328" s="450"/>
      <c r="AU328" s="450"/>
      <c r="AV328" s="450"/>
      <c r="AW328" s="450"/>
      <c r="AX328" s="450"/>
      <c r="AY328" s="450"/>
      <c r="AZ328" s="450"/>
      <c r="BA328" s="450"/>
      <c r="BB328" s="450"/>
      <c r="BC328" s="453"/>
      <c r="BD328" s="453"/>
      <c r="BE328" s="453"/>
      <c r="BF328" s="453"/>
      <c r="BG328" s="453"/>
      <c r="BH328" s="453"/>
      <c r="BI328" s="453"/>
      <c r="BJ328" s="453"/>
      <c r="BK328" s="453"/>
      <c r="BL328" s="453"/>
      <c r="BM328" s="453"/>
      <c r="BN328" s="453"/>
      <c r="BO328" s="453"/>
      <c r="BP328" s="452"/>
      <c r="BQ328" s="450"/>
      <c r="BR328" s="450"/>
      <c r="BS328" s="450"/>
      <c r="BT328" s="450"/>
      <c r="BU328" s="450"/>
      <c r="BV328" s="450"/>
      <c r="BW328" s="454"/>
      <c r="BX328" s="450"/>
    </row>
    <row r="329" ht="14.25" customHeight="1">
      <c r="A329" s="450"/>
      <c r="B329" s="450"/>
      <c r="C329" s="450"/>
      <c r="D329" s="450"/>
      <c r="E329" s="450"/>
      <c r="F329" s="450"/>
      <c r="G329" s="450"/>
      <c r="H329" s="450"/>
      <c r="I329" s="450"/>
      <c r="J329" s="450"/>
      <c r="K329" s="450"/>
      <c r="L329" s="450"/>
      <c r="M329" s="450"/>
      <c r="N329" s="450"/>
      <c r="O329" s="450"/>
      <c r="P329" s="450"/>
      <c r="Q329" s="450"/>
      <c r="R329" s="450"/>
      <c r="S329" s="450"/>
      <c r="T329" s="450"/>
      <c r="U329" s="451"/>
      <c r="V329" s="450"/>
      <c r="W329" s="450"/>
      <c r="X329" s="450"/>
      <c r="Y329" s="452"/>
      <c r="Z329" s="452"/>
      <c r="AA329" s="453"/>
      <c r="AB329" s="453"/>
      <c r="AC329" s="453"/>
      <c r="AD329" s="452"/>
      <c r="AE329" s="452"/>
      <c r="AF329" s="452"/>
      <c r="AG329" s="450"/>
      <c r="AH329" s="450"/>
      <c r="AI329" s="450"/>
      <c r="AJ329" s="450"/>
      <c r="AK329" s="450"/>
      <c r="AL329" s="450"/>
      <c r="AM329" s="450"/>
      <c r="AN329" s="450"/>
      <c r="AO329" s="450"/>
      <c r="AP329" s="450"/>
      <c r="AQ329" s="450"/>
      <c r="AR329" s="450"/>
      <c r="AS329" s="450"/>
      <c r="AT329" s="450"/>
      <c r="AU329" s="450"/>
      <c r="AV329" s="450"/>
      <c r="AW329" s="450"/>
      <c r="AX329" s="450"/>
      <c r="AY329" s="450"/>
      <c r="AZ329" s="450"/>
      <c r="BA329" s="450"/>
      <c r="BB329" s="450"/>
      <c r="BC329" s="453"/>
      <c r="BD329" s="453"/>
      <c r="BE329" s="453"/>
      <c r="BF329" s="453"/>
      <c r="BG329" s="453"/>
      <c r="BH329" s="453"/>
      <c r="BI329" s="453"/>
      <c r="BJ329" s="453"/>
      <c r="BK329" s="453"/>
      <c r="BL329" s="453"/>
      <c r="BM329" s="453"/>
      <c r="BN329" s="453"/>
      <c r="BO329" s="453"/>
      <c r="BP329" s="452"/>
      <c r="BQ329" s="450"/>
      <c r="BR329" s="450"/>
      <c r="BS329" s="450"/>
      <c r="BT329" s="450"/>
      <c r="BU329" s="450"/>
      <c r="BV329" s="450"/>
      <c r="BW329" s="454"/>
      <c r="BX329" s="450"/>
    </row>
    <row r="330" ht="14.25" customHeight="1">
      <c r="A330" s="450"/>
      <c r="B330" s="450"/>
      <c r="C330" s="450"/>
      <c r="D330" s="450"/>
      <c r="E330" s="450"/>
      <c r="F330" s="450"/>
      <c r="G330" s="450"/>
      <c r="H330" s="450"/>
      <c r="I330" s="450"/>
      <c r="J330" s="450"/>
      <c r="K330" s="450"/>
      <c r="L330" s="450"/>
      <c r="M330" s="450"/>
      <c r="N330" s="450"/>
      <c r="O330" s="450"/>
      <c r="P330" s="450"/>
      <c r="Q330" s="450"/>
      <c r="R330" s="450"/>
      <c r="S330" s="450"/>
      <c r="T330" s="450"/>
      <c r="U330" s="451"/>
      <c r="V330" s="450"/>
      <c r="W330" s="450"/>
      <c r="X330" s="450"/>
      <c r="Y330" s="452"/>
      <c r="Z330" s="452"/>
      <c r="AA330" s="453"/>
      <c r="AB330" s="453"/>
      <c r="AC330" s="453"/>
      <c r="AD330" s="452"/>
      <c r="AE330" s="452"/>
      <c r="AF330" s="452"/>
      <c r="AG330" s="450"/>
      <c r="AH330" s="450"/>
      <c r="AI330" s="450"/>
      <c r="AJ330" s="450"/>
      <c r="AK330" s="450"/>
      <c r="AL330" s="450"/>
      <c r="AM330" s="450"/>
      <c r="AN330" s="450"/>
      <c r="AO330" s="450"/>
      <c r="AP330" s="450"/>
      <c r="AQ330" s="450"/>
      <c r="AR330" s="450"/>
      <c r="AS330" s="450"/>
      <c r="AT330" s="450"/>
      <c r="AU330" s="450"/>
      <c r="AV330" s="450"/>
      <c r="AW330" s="450"/>
      <c r="AX330" s="450"/>
      <c r="AY330" s="450"/>
      <c r="AZ330" s="450"/>
      <c r="BA330" s="450"/>
      <c r="BB330" s="450"/>
      <c r="BC330" s="453"/>
      <c r="BD330" s="453"/>
      <c r="BE330" s="453"/>
      <c r="BF330" s="453"/>
      <c r="BG330" s="453"/>
      <c r="BH330" s="453"/>
      <c r="BI330" s="453"/>
      <c r="BJ330" s="453"/>
      <c r="BK330" s="453"/>
      <c r="BL330" s="453"/>
      <c r="BM330" s="453"/>
      <c r="BN330" s="453"/>
      <c r="BO330" s="453"/>
      <c r="BP330" s="452"/>
      <c r="BQ330" s="450"/>
      <c r="BR330" s="450"/>
      <c r="BS330" s="450"/>
      <c r="BT330" s="450"/>
      <c r="BU330" s="450"/>
      <c r="BV330" s="450"/>
      <c r="BW330" s="454"/>
      <c r="BX330" s="450"/>
    </row>
    <row r="331" ht="14.25" customHeight="1">
      <c r="A331" s="450"/>
      <c r="B331" s="450"/>
      <c r="C331" s="450"/>
      <c r="D331" s="450"/>
      <c r="E331" s="450"/>
      <c r="F331" s="450"/>
      <c r="G331" s="450"/>
      <c r="H331" s="450"/>
      <c r="I331" s="450"/>
      <c r="J331" s="450"/>
      <c r="K331" s="450"/>
      <c r="L331" s="450"/>
      <c r="M331" s="450"/>
      <c r="N331" s="450"/>
      <c r="O331" s="450"/>
      <c r="P331" s="450"/>
      <c r="Q331" s="450"/>
      <c r="R331" s="450"/>
      <c r="S331" s="450"/>
      <c r="T331" s="450"/>
      <c r="U331" s="451"/>
      <c r="V331" s="450"/>
      <c r="W331" s="450"/>
      <c r="X331" s="450"/>
      <c r="Y331" s="452"/>
      <c r="Z331" s="452"/>
      <c r="AA331" s="453"/>
      <c r="AB331" s="453"/>
      <c r="AC331" s="453"/>
      <c r="AD331" s="452"/>
      <c r="AE331" s="452"/>
      <c r="AF331" s="452"/>
      <c r="AG331" s="450"/>
      <c r="AH331" s="450"/>
      <c r="AI331" s="450"/>
      <c r="AJ331" s="450"/>
      <c r="AK331" s="450"/>
      <c r="AL331" s="450"/>
      <c r="AM331" s="450"/>
      <c r="AN331" s="450"/>
      <c r="AO331" s="450"/>
      <c r="AP331" s="450"/>
      <c r="AQ331" s="450"/>
      <c r="AR331" s="450"/>
      <c r="AS331" s="450"/>
      <c r="AT331" s="450"/>
      <c r="AU331" s="450"/>
      <c r="AV331" s="450"/>
      <c r="AW331" s="450"/>
      <c r="AX331" s="450"/>
      <c r="AY331" s="450"/>
      <c r="AZ331" s="450"/>
      <c r="BA331" s="450"/>
      <c r="BB331" s="450"/>
      <c r="BC331" s="453"/>
      <c r="BD331" s="453"/>
      <c r="BE331" s="453"/>
      <c r="BF331" s="453"/>
      <c r="BG331" s="453"/>
      <c r="BH331" s="453"/>
      <c r="BI331" s="453"/>
      <c r="BJ331" s="453"/>
      <c r="BK331" s="453"/>
      <c r="BL331" s="453"/>
      <c r="BM331" s="453"/>
      <c r="BN331" s="453"/>
      <c r="BO331" s="453"/>
      <c r="BP331" s="452"/>
      <c r="BQ331" s="450"/>
      <c r="BR331" s="450"/>
      <c r="BS331" s="450"/>
      <c r="BT331" s="450"/>
      <c r="BU331" s="450"/>
      <c r="BV331" s="450"/>
      <c r="BW331" s="454"/>
      <c r="BX331" s="450"/>
    </row>
    <row r="332" ht="14.25" customHeight="1">
      <c r="A332" s="450"/>
      <c r="B332" s="450"/>
      <c r="C332" s="450"/>
      <c r="D332" s="450"/>
      <c r="E332" s="450"/>
      <c r="F332" s="450"/>
      <c r="G332" s="450"/>
      <c r="H332" s="450"/>
      <c r="I332" s="450"/>
      <c r="J332" s="450"/>
      <c r="K332" s="450"/>
      <c r="L332" s="450"/>
      <c r="M332" s="450"/>
      <c r="N332" s="450"/>
      <c r="O332" s="450"/>
      <c r="P332" s="450"/>
      <c r="Q332" s="450"/>
      <c r="R332" s="450"/>
      <c r="S332" s="450"/>
      <c r="T332" s="450"/>
      <c r="U332" s="451"/>
      <c r="V332" s="450"/>
      <c r="W332" s="450"/>
      <c r="X332" s="450"/>
      <c r="Y332" s="452"/>
      <c r="Z332" s="452"/>
      <c r="AA332" s="453"/>
      <c r="AB332" s="453"/>
      <c r="AC332" s="453"/>
      <c r="AD332" s="452"/>
      <c r="AE332" s="452"/>
      <c r="AF332" s="452"/>
      <c r="AG332" s="450"/>
      <c r="AH332" s="450"/>
      <c r="AI332" s="450"/>
      <c r="AJ332" s="450"/>
      <c r="AK332" s="450"/>
      <c r="AL332" s="450"/>
      <c r="AM332" s="450"/>
      <c r="AN332" s="450"/>
      <c r="AO332" s="450"/>
      <c r="AP332" s="450"/>
      <c r="AQ332" s="450"/>
      <c r="AR332" s="450"/>
      <c r="AS332" s="450"/>
      <c r="AT332" s="450"/>
      <c r="AU332" s="450"/>
      <c r="AV332" s="450"/>
      <c r="AW332" s="450"/>
      <c r="AX332" s="450"/>
      <c r="AY332" s="450"/>
      <c r="AZ332" s="450"/>
      <c r="BA332" s="450"/>
      <c r="BB332" s="450"/>
      <c r="BC332" s="453"/>
      <c r="BD332" s="453"/>
      <c r="BE332" s="453"/>
      <c r="BF332" s="453"/>
      <c r="BG332" s="453"/>
      <c r="BH332" s="453"/>
      <c r="BI332" s="453"/>
      <c r="BJ332" s="453"/>
      <c r="BK332" s="453"/>
      <c r="BL332" s="453"/>
      <c r="BM332" s="453"/>
      <c r="BN332" s="453"/>
      <c r="BO332" s="453"/>
      <c r="BP332" s="452"/>
      <c r="BQ332" s="450"/>
      <c r="BR332" s="450"/>
      <c r="BS332" s="450"/>
      <c r="BT332" s="450"/>
      <c r="BU332" s="450"/>
      <c r="BV332" s="450"/>
      <c r="BW332" s="454"/>
      <c r="BX332" s="450"/>
    </row>
    <row r="333" ht="14.25" customHeight="1">
      <c r="A333" s="450"/>
      <c r="B333" s="450"/>
      <c r="C333" s="450"/>
      <c r="D333" s="450"/>
      <c r="E333" s="450"/>
      <c r="F333" s="450"/>
      <c r="G333" s="450"/>
      <c r="H333" s="450"/>
      <c r="I333" s="450"/>
      <c r="J333" s="450"/>
      <c r="K333" s="450"/>
      <c r="L333" s="450"/>
      <c r="M333" s="450"/>
      <c r="N333" s="450"/>
      <c r="O333" s="450"/>
      <c r="P333" s="450"/>
      <c r="Q333" s="450"/>
      <c r="R333" s="450"/>
      <c r="S333" s="450"/>
      <c r="T333" s="450"/>
      <c r="U333" s="451"/>
      <c r="V333" s="450"/>
      <c r="W333" s="450"/>
      <c r="X333" s="450"/>
      <c r="Y333" s="452"/>
      <c r="Z333" s="452"/>
      <c r="AA333" s="453"/>
      <c r="AB333" s="453"/>
      <c r="AC333" s="453"/>
      <c r="AD333" s="452"/>
      <c r="AE333" s="452"/>
      <c r="AF333" s="452"/>
      <c r="AG333" s="450"/>
      <c r="AH333" s="450"/>
      <c r="AI333" s="450"/>
      <c r="AJ333" s="450"/>
      <c r="AK333" s="450"/>
      <c r="AL333" s="450"/>
      <c r="AM333" s="450"/>
      <c r="AN333" s="450"/>
      <c r="AO333" s="450"/>
      <c r="AP333" s="450"/>
      <c r="AQ333" s="450"/>
      <c r="AR333" s="450"/>
      <c r="AS333" s="450"/>
      <c r="AT333" s="450"/>
      <c r="AU333" s="450"/>
      <c r="AV333" s="450"/>
      <c r="AW333" s="450"/>
      <c r="AX333" s="450"/>
      <c r="AY333" s="450"/>
      <c r="AZ333" s="450"/>
      <c r="BA333" s="450"/>
      <c r="BB333" s="450"/>
      <c r="BC333" s="453"/>
      <c r="BD333" s="453"/>
      <c r="BE333" s="453"/>
      <c r="BF333" s="453"/>
      <c r="BG333" s="453"/>
      <c r="BH333" s="453"/>
      <c r="BI333" s="453"/>
      <c r="BJ333" s="453"/>
      <c r="BK333" s="453"/>
      <c r="BL333" s="453"/>
      <c r="BM333" s="453"/>
      <c r="BN333" s="453"/>
      <c r="BO333" s="453"/>
      <c r="BP333" s="452"/>
      <c r="BQ333" s="450"/>
      <c r="BR333" s="450"/>
      <c r="BS333" s="450"/>
      <c r="BT333" s="450"/>
      <c r="BU333" s="450"/>
      <c r="BV333" s="450"/>
      <c r="BW333" s="454"/>
      <c r="BX333" s="450"/>
    </row>
    <row r="334" ht="14.25" customHeight="1">
      <c r="A334" s="450"/>
      <c r="B334" s="450"/>
      <c r="C334" s="450"/>
      <c r="D334" s="450"/>
      <c r="E334" s="450"/>
      <c r="F334" s="450"/>
      <c r="G334" s="450"/>
      <c r="H334" s="450"/>
      <c r="I334" s="450"/>
      <c r="J334" s="450"/>
      <c r="K334" s="450"/>
      <c r="L334" s="450"/>
      <c r="M334" s="450"/>
      <c r="N334" s="450"/>
      <c r="O334" s="450"/>
      <c r="P334" s="450"/>
      <c r="Q334" s="450"/>
      <c r="R334" s="450"/>
      <c r="S334" s="450"/>
      <c r="T334" s="450"/>
      <c r="U334" s="451"/>
      <c r="V334" s="450"/>
      <c r="W334" s="450"/>
      <c r="X334" s="450"/>
      <c r="Y334" s="452"/>
      <c r="Z334" s="452"/>
      <c r="AA334" s="453"/>
      <c r="AB334" s="453"/>
      <c r="AC334" s="453"/>
      <c r="AD334" s="452"/>
      <c r="AE334" s="452"/>
      <c r="AF334" s="452"/>
      <c r="AG334" s="450"/>
      <c r="AH334" s="450"/>
      <c r="AI334" s="450"/>
      <c r="AJ334" s="450"/>
      <c r="AK334" s="450"/>
      <c r="AL334" s="450"/>
      <c r="AM334" s="450"/>
      <c r="AN334" s="450"/>
      <c r="AO334" s="450"/>
      <c r="AP334" s="450"/>
      <c r="AQ334" s="450"/>
      <c r="AR334" s="450"/>
      <c r="AS334" s="450"/>
      <c r="AT334" s="450"/>
      <c r="AU334" s="450"/>
      <c r="AV334" s="450"/>
      <c r="AW334" s="450"/>
      <c r="AX334" s="450"/>
      <c r="AY334" s="450"/>
      <c r="AZ334" s="450"/>
      <c r="BA334" s="450"/>
      <c r="BB334" s="450"/>
      <c r="BC334" s="453"/>
      <c r="BD334" s="453"/>
      <c r="BE334" s="453"/>
      <c r="BF334" s="453"/>
      <c r="BG334" s="453"/>
      <c r="BH334" s="453"/>
      <c r="BI334" s="453"/>
      <c r="BJ334" s="453"/>
      <c r="BK334" s="453"/>
      <c r="BL334" s="453"/>
      <c r="BM334" s="453"/>
      <c r="BN334" s="453"/>
      <c r="BO334" s="453"/>
      <c r="BP334" s="452"/>
      <c r="BQ334" s="450"/>
      <c r="BR334" s="450"/>
      <c r="BS334" s="450"/>
      <c r="BT334" s="450"/>
      <c r="BU334" s="450"/>
      <c r="BV334" s="450"/>
      <c r="BW334" s="454"/>
      <c r="BX334" s="450"/>
    </row>
    <row r="335" ht="14.25" customHeight="1">
      <c r="A335" s="450"/>
      <c r="B335" s="450"/>
      <c r="C335" s="450"/>
      <c r="D335" s="450"/>
      <c r="E335" s="450"/>
      <c r="F335" s="450"/>
      <c r="G335" s="450"/>
      <c r="H335" s="450"/>
      <c r="I335" s="450"/>
      <c r="J335" s="450"/>
      <c r="K335" s="450"/>
      <c r="L335" s="450"/>
      <c r="M335" s="450"/>
      <c r="N335" s="450"/>
      <c r="O335" s="450"/>
      <c r="P335" s="450"/>
      <c r="Q335" s="450"/>
      <c r="R335" s="450"/>
      <c r="S335" s="450"/>
      <c r="T335" s="450"/>
      <c r="U335" s="451"/>
      <c r="V335" s="450"/>
      <c r="W335" s="450"/>
      <c r="X335" s="450"/>
      <c r="Y335" s="452"/>
      <c r="Z335" s="452"/>
      <c r="AA335" s="453"/>
      <c r="AB335" s="453"/>
      <c r="AC335" s="453"/>
      <c r="AD335" s="452"/>
      <c r="AE335" s="452"/>
      <c r="AF335" s="452"/>
      <c r="AG335" s="450"/>
      <c r="AH335" s="450"/>
      <c r="AI335" s="450"/>
      <c r="AJ335" s="450"/>
      <c r="AK335" s="450"/>
      <c r="AL335" s="450"/>
      <c r="AM335" s="450"/>
      <c r="AN335" s="450"/>
      <c r="AO335" s="450"/>
      <c r="AP335" s="450"/>
      <c r="AQ335" s="450"/>
      <c r="AR335" s="450"/>
      <c r="AS335" s="450"/>
      <c r="AT335" s="450"/>
      <c r="AU335" s="450"/>
      <c r="AV335" s="450"/>
      <c r="AW335" s="450"/>
      <c r="AX335" s="450"/>
      <c r="AY335" s="450"/>
      <c r="AZ335" s="450"/>
      <c r="BA335" s="450"/>
      <c r="BB335" s="450"/>
      <c r="BC335" s="453"/>
      <c r="BD335" s="453"/>
      <c r="BE335" s="453"/>
      <c r="BF335" s="453"/>
      <c r="BG335" s="453"/>
      <c r="BH335" s="453"/>
      <c r="BI335" s="453"/>
      <c r="BJ335" s="453"/>
      <c r="BK335" s="453"/>
      <c r="BL335" s="453"/>
      <c r="BM335" s="453"/>
      <c r="BN335" s="453"/>
      <c r="BO335" s="453"/>
      <c r="BP335" s="452"/>
      <c r="BQ335" s="450"/>
      <c r="BR335" s="450"/>
      <c r="BS335" s="450"/>
      <c r="BT335" s="450"/>
      <c r="BU335" s="450"/>
      <c r="BV335" s="450"/>
      <c r="BW335" s="454"/>
      <c r="BX335" s="450"/>
    </row>
    <row r="336" ht="14.25" customHeight="1">
      <c r="A336" s="450"/>
      <c r="B336" s="450"/>
      <c r="C336" s="450"/>
      <c r="D336" s="450"/>
      <c r="E336" s="450"/>
      <c r="F336" s="450"/>
      <c r="G336" s="450"/>
      <c r="H336" s="450"/>
      <c r="I336" s="450"/>
      <c r="J336" s="450"/>
      <c r="K336" s="450"/>
      <c r="L336" s="450"/>
      <c r="M336" s="450"/>
      <c r="N336" s="450"/>
      <c r="O336" s="450"/>
      <c r="P336" s="450"/>
      <c r="Q336" s="450"/>
      <c r="R336" s="450"/>
      <c r="S336" s="450"/>
      <c r="T336" s="450"/>
      <c r="U336" s="451"/>
      <c r="V336" s="450"/>
      <c r="W336" s="450"/>
      <c r="X336" s="450"/>
      <c r="Y336" s="452"/>
      <c r="Z336" s="452"/>
      <c r="AA336" s="453"/>
      <c r="AB336" s="453"/>
      <c r="AC336" s="453"/>
      <c r="AD336" s="452"/>
      <c r="AE336" s="452"/>
      <c r="AF336" s="452"/>
      <c r="AG336" s="450"/>
      <c r="AH336" s="450"/>
      <c r="AI336" s="450"/>
      <c r="AJ336" s="450"/>
      <c r="AK336" s="450"/>
      <c r="AL336" s="450"/>
      <c r="AM336" s="450"/>
      <c r="AN336" s="450"/>
      <c r="AO336" s="450"/>
      <c r="AP336" s="450"/>
      <c r="AQ336" s="450"/>
      <c r="AR336" s="450"/>
      <c r="AS336" s="450"/>
      <c r="AT336" s="450"/>
      <c r="AU336" s="450"/>
      <c r="AV336" s="450"/>
      <c r="AW336" s="450"/>
      <c r="AX336" s="450"/>
      <c r="AY336" s="450"/>
      <c r="AZ336" s="450"/>
      <c r="BA336" s="450"/>
      <c r="BB336" s="450"/>
      <c r="BC336" s="453"/>
      <c r="BD336" s="453"/>
      <c r="BE336" s="453"/>
      <c r="BF336" s="453"/>
      <c r="BG336" s="453"/>
      <c r="BH336" s="453"/>
      <c r="BI336" s="453"/>
      <c r="BJ336" s="453"/>
      <c r="BK336" s="453"/>
      <c r="BL336" s="453"/>
      <c r="BM336" s="453"/>
      <c r="BN336" s="453"/>
      <c r="BO336" s="453"/>
      <c r="BP336" s="452"/>
      <c r="BQ336" s="450"/>
      <c r="BR336" s="450"/>
      <c r="BS336" s="450"/>
      <c r="BT336" s="450"/>
      <c r="BU336" s="450"/>
      <c r="BV336" s="450"/>
      <c r="BW336" s="454"/>
      <c r="BX336" s="450"/>
    </row>
    <row r="337" ht="14.25" customHeight="1">
      <c r="A337" s="450"/>
      <c r="B337" s="450"/>
      <c r="C337" s="450"/>
      <c r="D337" s="450"/>
      <c r="E337" s="450"/>
      <c r="F337" s="450"/>
      <c r="G337" s="450"/>
      <c r="H337" s="450"/>
      <c r="I337" s="450"/>
      <c r="J337" s="450"/>
      <c r="K337" s="450"/>
      <c r="L337" s="450"/>
      <c r="M337" s="450"/>
      <c r="N337" s="450"/>
      <c r="O337" s="450"/>
      <c r="P337" s="450"/>
      <c r="Q337" s="450"/>
      <c r="R337" s="450"/>
      <c r="S337" s="450"/>
      <c r="T337" s="450"/>
      <c r="U337" s="451"/>
      <c r="V337" s="450"/>
      <c r="W337" s="450"/>
      <c r="X337" s="450"/>
      <c r="Y337" s="452"/>
      <c r="Z337" s="452"/>
      <c r="AA337" s="453"/>
      <c r="AB337" s="453"/>
      <c r="AC337" s="453"/>
      <c r="AD337" s="452"/>
      <c r="AE337" s="452"/>
      <c r="AF337" s="452"/>
      <c r="AG337" s="450"/>
      <c r="AH337" s="450"/>
      <c r="AI337" s="450"/>
      <c r="AJ337" s="450"/>
      <c r="AK337" s="450"/>
      <c r="AL337" s="450"/>
      <c r="AM337" s="450"/>
      <c r="AN337" s="450"/>
      <c r="AO337" s="450"/>
      <c r="AP337" s="450"/>
      <c r="AQ337" s="450"/>
      <c r="AR337" s="450"/>
      <c r="AS337" s="450"/>
      <c r="AT337" s="450"/>
      <c r="AU337" s="450"/>
      <c r="AV337" s="450"/>
      <c r="AW337" s="450"/>
      <c r="AX337" s="450"/>
      <c r="AY337" s="450"/>
      <c r="AZ337" s="450"/>
      <c r="BA337" s="450"/>
      <c r="BB337" s="450"/>
      <c r="BC337" s="453"/>
      <c r="BD337" s="453"/>
      <c r="BE337" s="453"/>
      <c r="BF337" s="453"/>
      <c r="BG337" s="453"/>
      <c r="BH337" s="453"/>
      <c r="BI337" s="453"/>
      <c r="BJ337" s="453"/>
      <c r="BK337" s="453"/>
      <c r="BL337" s="453"/>
      <c r="BM337" s="453"/>
      <c r="BN337" s="453"/>
      <c r="BO337" s="453"/>
      <c r="BP337" s="452"/>
      <c r="BQ337" s="450"/>
      <c r="BR337" s="450"/>
      <c r="BS337" s="450"/>
      <c r="BT337" s="450"/>
      <c r="BU337" s="450"/>
      <c r="BV337" s="450"/>
      <c r="BW337" s="454"/>
      <c r="BX337" s="450"/>
    </row>
    <row r="338" ht="14.25" customHeight="1">
      <c r="A338" s="450"/>
      <c r="B338" s="450"/>
      <c r="C338" s="450"/>
      <c r="D338" s="450"/>
      <c r="E338" s="450"/>
      <c r="F338" s="450"/>
      <c r="G338" s="450"/>
      <c r="H338" s="450"/>
      <c r="I338" s="450"/>
      <c r="J338" s="450"/>
      <c r="K338" s="450"/>
      <c r="L338" s="450"/>
      <c r="M338" s="450"/>
      <c r="N338" s="450"/>
      <c r="O338" s="450"/>
      <c r="P338" s="450"/>
      <c r="Q338" s="450"/>
      <c r="R338" s="450"/>
      <c r="S338" s="450"/>
      <c r="T338" s="450"/>
      <c r="U338" s="451"/>
      <c r="V338" s="450"/>
      <c r="W338" s="450"/>
      <c r="X338" s="450"/>
      <c r="Y338" s="452"/>
      <c r="Z338" s="452"/>
      <c r="AA338" s="453"/>
      <c r="AB338" s="453"/>
      <c r="AC338" s="453"/>
      <c r="AD338" s="452"/>
      <c r="AE338" s="452"/>
      <c r="AF338" s="452"/>
      <c r="AG338" s="450"/>
      <c r="AH338" s="450"/>
      <c r="AI338" s="450"/>
      <c r="AJ338" s="450"/>
      <c r="AK338" s="450"/>
      <c r="AL338" s="450"/>
      <c r="AM338" s="450"/>
      <c r="AN338" s="450"/>
      <c r="AO338" s="450"/>
      <c r="AP338" s="450"/>
      <c r="AQ338" s="450"/>
      <c r="AR338" s="450"/>
      <c r="AS338" s="450"/>
      <c r="AT338" s="450"/>
      <c r="AU338" s="450"/>
      <c r="AV338" s="450"/>
      <c r="AW338" s="450"/>
      <c r="AX338" s="450"/>
      <c r="AY338" s="450"/>
      <c r="AZ338" s="450"/>
      <c r="BA338" s="450"/>
      <c r="BB338" s="450"/>
      <c r="BC338" s="453"/>
      <c r="BD338" s="453"/>
      <c r="BE338" s="453"/>
      <c r="BF338" s="453"/>
      <c r="BG338" s="453"/>
      <c r="BH338" s="453"/>
      <c r="BI338" s="453"/>
      <c r="BJ338" s="453"/>
      <c r="BK338" s="453"/>
      <c r="BL338" s="453"/>
      <c r="BM338" s="453"/>
      <c r="BN338" s="453"/>
      <c r="BO338" s="453"/>
      <c r="BP338" s="452"/>
      <c r="BQ338" s="450"/>
      <c r="BR338" s="450"/>
      <c r="BS338" s="450"/>
      <c r="BT338" s="450"/>
      <c r="BU338" s="450"/>
      <c r="BV338" s="450"/>
      <c r="BW338" s="454"/>
      <c r="BX338" s="450"/>
    </row>
    <row r="339" ht="14.25" customHeight="1">
      <c r="A339" s="450"/>
      <c r="B339" s="450"/>
      <c r="C339" s="450"/>
      <c r="D339" s="450"/>
      <c r="E339" s="450"/>
      <c r="F339" s="450"/>
      <c r="G339" s="450"/>
      <c r="H339" s="450"/>
      <c r="I339" s="450"/>
      <c r="J339" s="450"/>
      <c r="K339" s="450"/>
      <c r="L339" s="450"/>
      <c r="M339" s="450"/>
      <c r="N339" s="450"/>
      <c r="O339" s="450"/>
      <c r="P339" s="450"/>
      <c r="Q339" s="450"/>
      <c r="R339" s="450"/>
      <c r="S339" s="450"/>
      <c r="T339" s="450"/>
      <c r="U339" s="451"/>
      <c r="V339" s="450"/>
      <c r="W339" s="450"/>
      <c r="X339" s="450"/>
      <c r="Y339" s="452"/>
      <c r="Z339" s="452"/>
      <c r="AA339" s="453"/>
      <c r="AB339" s="453"/>
      <c r="AC339" s="453"/>
      <c r="AD339" s="452"/>
      <c r="AE339" s="452"/>
      <c r="AF339" s="452"/>
      <c r="AG339" s="450"/>
      <c r="AH339" s="450"/>
      <c r="AI339" s="450"/>
      <c r="AJ339" s="450"/>
      <c r="AK339" s="450"/>
      <c r="AL339" s="450"/>
      <c r="AM339" s="450"/>
      <c r="AN339" s="450"/>
      <c r="AO339" s="450"/>
      <c r="AP339" s="450"/>
      <c r="AQ339" s="450"/>
      <c r="AR339" s="450"/>
      <c r="AS339" s="450"/>
      <c r="AT339" s="450"/>
      <c r="AU339" s="450"/>
      <c r="AV339" s="450"/>
      <c r="AW339" s="450"/>
      <c r="AX339" s="450"/>
      <c r="AY339" s="450"/>
      <c r="AZ339" s="450"/>
      <c r="BA339" s="450"/>
      <c r="BB339" s="450"/>
      <c r="BC339" s="453"/>
      <c r="BD339" s="453"/>
      <c r="BE339" s="453"/>
      <c r="BF339" s="453"/>
      <c r="BG339" s="453"/>
      <c r="BH339" s="453"/>
      <c r="BI339" s="453"/>
      <c r="BJ339" s="453"/>
      <c r="BK339" s="453"/>
      <c r="BL339" s="453"/>
      <c r="BM339" s="453"/>
      <c r="BN339" s="453"/>
      <c r="BO339" s="453"/>
      <c r="BP339" s="452"/>
      <c r="BQ339" s="450"/>
      <c r="BR339" s="450"/>
      <c r="BS339" s="450"/>
      <c r="BT339" s="450"/>
      <c r="BU339" s="450"/>
      <c r="BV339" s="450"/>
      <c r="BW339" s="454"/>
      <c r="BX339" s="450"/>
    </row>
    <row r="340" ht="14.25" customHeight="1">
      <c r="A340" s="450"/>
      <c r="B340" s="450"/>
      <c r="C340" s="450"/>
      <c r="D340" s="450"/>
      <c r="E340" s="450"/>
      <c r="F340" s="450"/>
      <c r="G340" s="450"/>
      <c r="H340" s="450"/>
      <c r="I340" s="450"/>
      <c r="J340" s="450"/>
      <c r="K340" s="450"/>
      <c r="L340" s="450"/>
      <c r="M340" s="450"/>
      <c r="N340" s="450"/>
      <c r="O340" s="450"/>
      <c r="P340" s="450"/>
      <c r="Q340" s="450"/>
      <c r="R340" s="450"/>
      <c r="S340" s="450"/>
      <c r="T340" s="450"/>
      <c r="U340" s="451"/>
      <c r="V340" s="450"/>
      <c r="W340" s="450"/>
      <c r="X340" s="450"/>
      <c r="Y340" s="452"/>
      <c r="Z340" s="452"/>
      <c r="AA340" s="453"/>
      <c r="AB340" s="453"/>
      <c r="AC340" s="453"/>
      <c r="AD340" s="452"/>
      <c r="AE340" s="452"/>
      <c r="AF340" s="452"/>
      <c r="AG340" s="450"/>
      <c r="AH340" s="450"/>
      <c r="AI340" s="450"/>
      <c r="AJ340" s="450"/>
      <c r="AK340" s="450"/>
      <c r="AL340" s="450"/>
      <c r="AM340" s="450"/>
      <c r="AN340" s="450"/>
      <c r="AO340" s="450"/>
      <c r="AP340" s="450"/>
      <c r="AQ340" s="450"/>
      <c r="AR340" s="450"/>
      <c r="AS340" s="450"/>
      <c r="AT340" s="450"/>
      <c r="AU340" s="450"/>
      <c r="AV340" s="450"/>
      <c r="AW340" s="450"/>
      <c r="AX340" s="450"/>
      <c r="AY340" s="450"/>
      <c r="AZ340" s="450"/>
      <c r="BA340" s="450"/>
      <c r="BB340" s="450"/>
      <c r="BC340" s="453"/>
      <c r="BD340" s="453"/>
      <c r="BE340" s="453"/>
      <c r="BF340" s="453"/>
      <c r="BG340" s="453"/>
      <c r="BH340" s="453"/>
      <c r="BI340" s="453"/>
      <c r="BJ340" s="453"/>
      <c r="BK340" s="453"/>
      <c r="BL340" s="453"/>
      <c r="BM340" s="453"/>
      <c r="BN340" s="453"/>
      <c r="BO340" s="453"/>
      <c r="BP340" s="452"/>
      <c r="BQ340" s="450"/>
      <c r="BR340" s="450"/>
      <c r="BS340" s="450"/>
      <c r="BT340" s="450"/>
      <c r="BU340" s="450"/>
      <c r="BV340" s="450"/>
      <c r="BW340" s="454"/>
      <c r="BX340" s="450"/>
    </row>
    <row r="341" ht="14.25" customHeight="1">
      <c r="A341" s="450"/>
      <c r="B341" s="450"/>
      <c r="C341" s="450"/>
      <c r="D341" s="450"/>
      <c r="E341" s="450"/>
      <c r="F341" s="450"/>
      <c r="G341" s="450"/>
      <c r="H341" s="450"/>
      <c r="I341" s="450"/>
      <c r="J341" s="450"/>
      <c r="K341" s="450"/>
      <c r="L341" s="450"/>
      <c r="M341" s="450"/>
      <c r="N341" s="450"/>
      <c r="O341" s="450"/>
      <c r="P341" s="450"/>
      <c r="Q341" s="450"/>
      <c r="R341" s="450"/>
      <c r="S341" s="450"/>
      <c r="T341" s="450"/>
      <c r="U341" s="451"/>
      <c r="V341" s="450"/>
      <c r="W341" s="450"/>
      <c r="X341" s="450"/>
      <c r="Y341" s="452"/>
      <c r="Z341" s="452"/>
      <c r="AA341" s="453"/>
      <c r="AB341" s="453"/>
      <c r="AC341" s="453"/>
      <c r="AD341" s="452"/>
      <c r="AE341" s="452"/>
      <c r="AF341" s="452"/>
      <c r="AG341" s="450"/>
      <c r="AH341" s="450"/>
      <c r="AI341" s="450"/>
      <c r="AJ341" s="450"/>
      <c r="AK341" s="450"/>
      <c r="AL341" s="450"/>
      <c r="AM341" s="450"/>
      <c r="AN341" s="450"/>
      <c r="AO341" s="450"/>
      <c r="AP341" s="450"/>
      <c r="AQ341" s="450"/>
      <c r="AR341" s="450"/>
      <c r="AS341" s="450"/>
      <c r="AT341" s="450"/>
      <c r="AU341" s="450"/>
      <c r="AV341" s="450"/>
      <c r="AW341" s="450"/>
      <c r="AX341" s="450"/>
      <c r="AY341" s="450"/>
      <c r="AZ341" s="450"/>
      <c r="BA341" s="450"/>
      <c r="BB341" s="450"/>
      <c r="BC341" s="453"/>
      <c r="BD341" s="453"/>
      <c r="BE341" s="453"/>
      <c r="BF341" s="453"/>
      <c r="BG341" s="453"/>
      <c r="BH341" s="453"/>
      <c r="BI341" s="453"/>
      <c r="BJ341" s="453"/>
      <c r="BK341" s="453"/>
      <c r="BL341" s="453"/>
      <c r="BM341" s="453"/>
      <c r="BN341" s="453"/>
      <c r="BO341" s="453"/>
      <c r="BP341" s="452"/>
      <c r="BQ341" s="450"/>
      <c r="BR341" s="450"/>
      <c r="BS341" s="450"/>
      <c r="BT341" s="450"/>
      <c r="BU341" s="450"/>
      <c r="BV341" s="450"/>
      <c r="BW341" s="454"/>
      <c r="BX341" s="450"/>
    </row>
    <row r="342" ht="14.25" customHeight="1">
      <c r="A342" s="450"/>
      <c r="B342" s="450"/>
      <c r="C342" s="450"/>
      <c r="D342" s="450"/>
      <c r="E342" s="450"/>
      <c r="F342" s="450"/>
      <c r="G342" s="450"/>
      <c r="H342" s="450"/>
      <c r="I342" s="450"/>
      <c r="J342" s="450"/>
      <c r="K342" s="450"/>
      <c r="L342" s="450"/>
      <c r="M342" s="450"/>
      <c r="N342" s="450"/>
      <c r="O342" s="450"/>
      <c r="P342" s="450"/>
      <c r="Q342" s="450"/>
      <c r="R342" s="450"/>
      <c r="S342" s="450"/>
      <c r="T342" s="450"/>
      <c r="U342" s="451"/>
      <c r="V342" s="450"/>
      <c r="W342" s="450"/>
      <c r="X342" s="450"/>
      <c r="Y342" s="452"/>
      <c r="Z342" s="452"/>
      <c r="AA342" s="453"/>
      <c r="AB342" s="453"/>
      <c r="AC342" s="453"/>
      <c r="AD342" s="452"/>
      <c r="AE342" s="452"/>
      <c r="AF342" s="452"/>
      <c r="AG342" s="450"/>
      <c r="AH342" s="450"/>
      <c r="AI342" s="450"/>
      <c r="AJ342" s="450"/>
      <c r="AK342" s="450"/>
      <c r="AL342" s="450"/>
      <c r="AM342" s="450"/>
      <c r="AN342" s="450"/>
      <c r="AO342" s="450"/>
      <c r="AP342" s="450"/>
      <c r="AQ342" s="450"/>
      <c r="AR342" s="450"/>
      <c r="AS342" s="450"/>
      <c r="AT342" s="450"/>
      <c r="AU342" s="450"/>
      <c r="AV342" s="450"/>
      <c r="AW342" s="450"/>
      <c r="AX342" s="450"/>
      <c r="AY342" s="450"/>
      <c r="AZ342" s="450"/>
      <c r="BA342" s="450"/>
      <c r="BB342" s="450"/>
      <c r="BC342" s="453"/>
      <c r="BD342" s="453"/>
      <c r="BE342" s="453"/>
      <c r="BF342" s="453"/>
      <c r="BG342" s="453"/>
      <c r="BH342" s="453"/>
      <c r="BI342" s="453"/>
      <c r="BJ342" s="453"/>
      <c r="BK342" s="453"/>
      <c r="BL342" s="453"/>
      <c r="BM342" s="453"/>
      <c r="BN342" s="453"/>
      <c r="BO342" s="453"/>
      <c r="BP342" s="452"/>
      <c r="BQ342" s="450"/>
      <c r="BR342" s="450"/>
      <c r="BS342" s="450"/>
      <c r="BT342" s="450"/>
      <c r="BU342" s="450"/>
      <c r="BV342" s="450"/>
      <c r="BW342" s="454"/>
      <c r="BX342" s="450"/>
    </row>
    <row r="343" ht="14.25" customHeight="1">
      <c r="A343" s="450"/>
      <c r="B343" s="450"/>
      <c r="C343" s="450"/>
      <c r="D343" s="450"/>
      <c r="E343" s="450"/>
      <c r="F343" s="450"/>
      <c r="G343" s="450"/>
      <c r="H343" s="450"/>
      <c r="I343" s="450"/>
      <c r="J343" s="450"/>
      <c r="K343" s="450"/>
      <c r="L343" s="450"/>
      <c r="M343" s="450"/>
      <c r="N343" s="450"/>
      <c r="O343" s="450"/>
      <c r="P343" s="450"/>
      <c r="Q343" s="450"/>
      <c r="R343" s="450"/>
      <c r="S343" s="450"/>
      <c r="T343" s="450"/>
      <c r="U343" s="451"/>
      <c r="V343" s="450"/>
      <c r="W343" s="450"/>
      <c r="X343" s="450"/>
      <c r="Y343" s="452"/>
      <c r="Z343" s="452"/>
      <c r="AA343" s="453"/>
      <c r="AB343" s="453"/>
      <c r="AC343" s="453"/>
      <c r="AD343" s="452"/>
      <c r="AE343" s="452"/>
      <c r="AF343" s="452"/>
      <c r="AG343" s="450"/>
      <c r="AH343" s="450"/>
      <c r="AI343" s="450"/>
      <c r="AJ343" s="450"/>
      <c r="AK343" s="450"/>
      <c r="AL343" s="450"/>
      <c r="AM343" s="450"/>
      <c r="AN343" s="450"/>
      <c r="AO343" s="450"/>
      <c r="AP343" s="450"/>
      <c r="AQ343" s="450"/>
      <c r="AR343" s="450"/>
      <c r="AS343" s="450"/>
      <c r="AT343" s="450"/>
      <c r="AU343" s="450"/>
      <c r="AV343" s="450"/>
      <c r="AW343" s="450"/>
      <c r="AX343" s="450"/>
      <c r="AY343" s="450"/>
      <c r="AZ343" s="450"/>
      <c r="BA343" s="450"/>
      <c r="BB343" s="450"/>
      <c r="BC343" s="453"/>
      <c r="BD343" s="453"/>
      <c r="BE343" s="453"/>
      <c r="BF343" s="453"/>
      <c r="BG343" s="453"/>
      <c r="BH343" s="453"/>
      <c r="BI343" s="453"/>
      <c r="BJ343" s="453"/>
      <c r="BK343" s="453"/>
      <c r="BL343" s="453"/>
      <c r="BM343" s="453"/>
      <c r="BN343" s="453"/>
      <c r="BO343" s="453"/>
      <c r="BP343" s="452"/>
      <c r="BQ343" s="450"/>
      <c r="BR343" s="450"/>
      <c r="BS343" s="450"/>
      <c r="BT343" s="450"/>
      <c r="BU343" s="450"/>
      <c r="BV343" s="450"/>
      <c r="BW343" s="454"/>
      <c r="BX343" s="450"/>
    </row>
    <row r="344" ht="14.25" customHeight="1">
      <c r="A344" s="450"/>
      <c r="B344" s="450"/>
      <c r="C344" s="450"/>
      <c r="D344" s="450"/>
      <c r="E344" s="450"/>
      <c r="F344" s="450"/>
      <c r="G344" s="450"/>
      <c r="H344" s="450"/>
      <c r="I344" s="450"/>
      <c r="J344" s="450"/>
      <c r="K344" s="450"/>
      <c r="L344" s="450"/>
      <c r="M344" s="450"/>
      <c r="N344" s="450"/>
      <c r="O344" s="450"/>
      <c r="P344" s="450"/>
      <c r="Q344" s="450"/>
      <c r="R344" s="450"/>
      <c r="S344" s="450"/>
      <c r="T344" s="450"/>
      <c r="U344" s="451"/>
      <c r="V344" s="450"/>
      <c r="W344" s="450"/>
      <c r="X344" s="450"/>
      <c r="Y344" s="452"/>
      <c r="Z344" s="452"/>
      <c r="AA344" s="453"/>
      <c r="AB344" s="453"/>
      <c r="AC344" s="453"/>
      <c r="AD344" s="452"/>
      <c r="AE344" s="452"/>
      <c r="AF344" s="452"/>
      <c r="AG344" s="450"/>
      <c r="AH344" s="450"/>
      <c r="AI344" s="450"/>
      <c r="AJ344" s="450"/>
      <c r="AK344" s="450"/>
      <c r="AL344" s="450"/>
      <c r="AM344" s="450"/>
      <c r="AN344" s="450"/>
      <c r="AO344" s="450"/>
      <c r="AP344" s="450"/>
      <c r="AQ344" s="450"/>
      <c r="AR344" s="450"/>
      <c r="AS344" s="450"/>
      <c r="AT344" s="450"/>
      <c r="AU344" s="450"/>
      <c r="AV344" s="450"/>
      <c r="AW344" s="450"/>
      <c r="AX344" s="450"/>
      <c r="AY344" s="450"/>
      <c r="AZ344" s="450"/>
      <c r="BA344" s="450"/>
      <c r="BB344" s="450"/>
      <c r="BC344" s="453"/>
      <c r="BD344" s="453"/>
      <c r="BE344" s="453"/>
      <c r="BF344" s="453"/>
      <c r="BG344" s="453"/>
      <c r="BH344" s="453"/>
      <c r="BI344" s="453"/>
      <c r="BJ344" s="453"/>
      <c r="BK344" s="453"/>
      <c r="BL344" s="453"/>
      <c r="BM344" s="453"/>
      <c r="BN344" s="453"/>
      <c r="BO344" s="453"/>
      <c r="BP344" s="452"/>
      <c r="BQ344" s="450"/>
      <c r="BR344" s="450"/>
      <c r="BS344" s="450"/>
      <c r="BT344" s="450"/>
      <c r="BU344" s="450"/>
      <c r="BV344" s="450"/>
      <c r="BW344" s="454"/>
      <c r="BX344" s="450"/>
    </row>
    <row r="345" ht="14.25" customHeight="1">
      <c r="A345" s="450"/>
      <c r="B345" s="450"/>
      <c r="C345" s="450"/>
      <c r="D345" s="450"/>
      <c r="E345" s="450"/>
      <c r="F345" s="450"/>
      <c r="G345" s="450"/>
      <c r="H345" s="450"/>
      <c r="I345" s="450"/>
      <c r="J345" s="450"/>
      <c r="K345" s="450"/>
      <c r="L345" s="450"/>
      <c r="M345" s="450"/>
      <c r="N345" s="450"/>
      <c r="O345" s="450"/>
      <c r="P345" s="450"/>
      <c r="Q345" s="450"/>
      <c r="R345" s="450"/>
      <c r="S345" s="450"/>
      <c r="T345" s="450"/>
      <c r="U345" s="451"/>
      <c r="V345" s="450"/>
      <c r="W345" s="450"/>
      <c r="X345" s="450"/>
      <c r="Y345" s="452"/>
      <c r="Z345" s="452"/>
      <c r="AA345" s="453"/>
      <c r="AB345" s="453"/>
      <c r="AC345" s="453"/>
      <c r="AD345" s="452"/>
      <c r="AE345" s="452"/>
      <c r="AF345" s="452"/>
      <c r="AG345" s="450"/>
      <c r="AH345" s="450"/>
      <c r="AI345" s="450"/>
      <c r="AJ345" s="450"/>
      <c r="AK345" s="450"/>
      <c r="AL345" s="450"/>
      <c r="AM345" s="450"/>
      <c r="AN345" s="450"/>
      <c r="AO345" s="450"/>
      <c r="AP345" s="450"/>
      <c r="AQ345" s="450"/>
      <c r="AR345" s="450"/>
      <c r="AS345" s="450"/>
      <c r="AT345" s="450"/>
      <c r="AU345" s="450"/>
      <c r="AV345" s="450"/>
      <c r="AW345" s="450"/>
      <c r="AX345" s="450"/>
      <c r="AY345" s="450"/>
      <c r="AZ345" s="450"/>
      <c r="BA345" s="450"/>
      <c r="BB345" s="450"/>
      <c r="BC345" s="453"/>
      <c r="BD345" s="453"/>
      <c r="BE345" s="453"/>
      <c r="BF345" s="453"/>
      <c r="BG345" s="453"/>
      <c r="BH345" s="453"/>
      <c r="BI345" s="453"/>
      <c r="BJ345" s="453"/>
      <c r="BK345" s="453"/>
      <c r="BL345" s="453"/>
      <c r="BM345" s="453"/>
      <c r="BN345" s="453"/>
      <c r="BO345" s="453"/>
      <c r="BP345" s="452"/>
      <c r="BQ345" s="450"/>
      <c r="BR345" s="450"/>
      <c r="BS345" s="450"/>
      <c r="BT345" s="450"/>
      <c r="BU345" s="450"/>
      <c r="BV345" s="450"/>
      <c r="BW345" s="454"/>
      <c r="BX345" s="450"/>
    </row>
    <row r="346" ht="14.25" customHeight="1">
      <c r="A346" s="450"/>
      <c r="B346" s="450"/>
      <c r="C346" s="450"/>
      <c r="D346" s="450"/>
      <c r="E346" s="450"/>
      <c r="F346" s="450"/>
      <c r="G346" s="450"/>
      <c r="H346" s="450"/>
      <c r="I346" s="450"/>
      <c r="J346" s="450"/>
      <c r="K346" s="450"/>
      <c r="L346" s="450"/>
      <c r="M346" s="450"/>
      <c r="N346" s="450"/>
      <c r="O346" s="450"/>
      <c r="P346" s="450"/>
      <c r="Q346" s="450"/>
      <c r="R346" s="450"/>
      <c r="S346" s="450"/>
      <c r="T346" s="450"/>
      <c r="U346" s="451"/>
      <c r="V346" s="450"/>
      <c r="W346" s="450"/>
      <c r="X346" s="450"/>
      <c r="Y346" s="452"/>
      <c r="Z346" s="452"/>
      <c r="AA346" s="453"/>
      <c r="AB346" s="453"/>
      <c r="AC346" s="453"/>
      <c r="AD346" s="452"/>
      <c r="AE346" s="452"/>
      <c r="AF346" s="452"/>
      <c r="AG346" s="450"/>
      <c r="AH346" s="450"/>
      <c r="AI346" s="450"/>
      <c r="AJ346" s="450"/>
      <c r="AK346" s="450"/>
      <c r="AL346" s="450"/>
      <c r="AM346" s="450"/>
      <c r="AN346" s="450"/>
      <c r="AO346" s="450"/>
      <c r="AP346" s="450"/>
      <c r="AQ346" s="450"/>
      <c r="AR346" s="450"/>
      <c r="AS346" s="450"/>
      <c r="AT346" s="450"/>
      <c r="AU346" s="450"/>
      <c r="AV346" s="450"/>
      <c r="AW346" s="450"/>
      <c r="AX346" s="450"/>
      <c r="AY346" s="450"/>
      <c r="AZ346" s="450"/>
      <c r="BA346" s="450"/>
      <c r="BB346" s="450"/>
      <c r="BC346" s="453"/>
      <c r="BD346" s="453"/>
      <c r="BE346" s="453"/>
      <c r="BF346" s="453"/>
      <c r="BG346" s="453"/>
      <c r="BH346" s="453"/>
      <c r="BI346" s="453"/>
      <c r="BJ346" s="453"/>
      <c r="BK346" s="453"/>
      <c r="BL346" s="453"/>
      <c r="BM346" s="453"/>
      <c r="BN346" s="453"/>
      <c r="BO346" s="453"/>
      <c r="BP346" s="452"/>
      <c r="BQ346" s="450"/>
      <c r="BR346" s="450"/>
      <c r="BS346" s="450"/>
      <c r="BT346" s="450"/>
      <c r="BU346" s="450"/>
      <c r="BV346" s="450"/>
      <c r="BW346" s="454"/>
      <c r="BX346" s="450"/>
    </row>
    <row r="347" ht="14.25" customHeight="1">
      <c r="A347" s="450"/>
      <c r="B347" s="450"/>
      <c r="C347" s="450"/>
      <c r="D347" s="450"/>
      <c r="E347" s="450"/>
      <c r="F347" s="450"/>
      <c r="G347" s="450"/>
      <c r="H347" s="450"/>
      <c r="I347" s="450"/>
      <c r="J347" s="450"/>
      <c r="K347" s="450"/>
      <c r="L347" s="450"/>
      <c r="M347" s="450"/>
      <c r="N347" s="450"/>
      <c r="O347" s="450"/>
      <c r="P347" s="450"/>
      <c r="Q347" s="450"/>
      <c r="R347" s="450"/>
      <c r="S347" s="450"/>
      <c r="T347" s="450"/>
      <c r="U347" s="451"/>
      <c r="V347" s="450"/>
      <c r="W347" s="450"/>
      <c r="X347" s="450"/>
      <c r="Y347" s="452"/>
      <c r="Z347" s="452"/>
      <c r="AA347" s="453"/>
      <c r="AB347" s="453"/>
      <c r="AC347" s="453"/>
      <c r="AD347" s="452"/>
      <c r="AE347" s="452"/>
      <c r="AF347" s="452"/>
      <c r="AG347" s="450"/>
      <c r="AH347" s="450"/>
      <c r="AI347" s="450"/>
      <c r="AJ347" s="450"/>
      <c r="AK347" s="450"/>
      <c r="AL347" s="450"/>
      <c r="AM347" s="450"/>
      <c r="AN347" s="450"/>
      <c r="AO347" s="450"/>
      <c r="AP347" s="450"/>
      <c r="AQ347" s="450"/>
      <c r="AR347" s="450"/>
      <c r="AS347" s="450"/>
      <c r="AT347" s="450"/>
      <c r="AU347" s="450"/>
      <c r="AV347" s="450"/>
      <c r="AW347" s="450"/>
      <c r="AX347" s="450"/>
      <c r="AY347" s="450"/>
      <c r="AZ347" s="450"/>
      <c r="BA347" s="450"/>
      <c r="BB347" s="450"/>
      <c r="BC347" s="453"/>
      <c r="BD347" s="453"/>
      <c r="BE347" s="453"/>
      <c r="BF347" s="453"/>
      <c r="BG347" s="453"/>
      <c r="BH347" s="453"/>
      <c r="BI347" s="453"/>
      <c r="BJ347" s="453"/>
      <c r="BK347" s="453"/>
      <c r="BL347" s="453"/>
      <c r="BM347" s="453"/>
      <c r="BN347" s="453"/>
      <c r="BO347" s="453"/>
      <c r="BP347" s="452"/>
      <c r="BQ347" s="450"/>
      <c r="BR347" s="450"/>
      <c r="BS347" s="450"/>
      <c r="BT347" s="450"/>
      <c r="BU347" s="450"/>
      <c r="BV347" s="450"/>
      <c r="BW347" s="454"/>
      <c r="BX347" s="450"/>
    </row>
    <row r="348" ht="14.25" customHeight="1">
      <c r="A348" s="450"/>
      <c r="B348" s="450"/>
      <c r="C348" s="450"/>
      <c r="D348" s="450"/>
      <c r="E348" s="450"/>
      <c r="F348" s="450"/>
      <c r="G348" s="450"/>
      <c r="H348" s="450"/>
      <c r="I348" s="450"/>
      <c r="J348" s="450"/>
      <c r="K348" s="450"/>
      <c r="L348" s="450"/>
      <c r="M348" s="450"/>
      <c r="N348" s="450"/>
      <c r="O348" s="450"/>
      <c r="P348" s="450"/>
      <c r="Q348" s="450"/>
      <c r="R348" s="450"/>
      <c r="S348" s="450"/>
      <c r="T348" s="450"/>
      <c r="U348" s="451"/>
      <c r="V348" s="450"/>
      <c r="W348" s="450"/>
      <c r="X348" s="450"/>
      <c r="Y348" s="452"/>
      <c r="Z348" s="452"/>
      <c r="AA348" s="453"/>
      <c r="AB348" s="453"/>
      <c r="AC348" s="453"/>
      <c r="AD348" s="452"/>
      <c r="AE348" s="452"/>
      <c r="AF348" s="452"/>
      <c r="AG348" s="450"/>
      <c r="AH348" s="450"/>
      <c r="AI348" s="450"/>
      <c r="AJ348" s="450"/>
      <c r="AK348" s="450"/>
      <c r="AL348" s="450"/>
      <c r="AM348" s="450"/>
      <c r="AN348" s="450"/>
      <c r="AO348" s="450"/>
      <c r="AP348" s="450"/>
      <c r="AQ348" s="450"/>
      <c r="AR348" s="450"/>
      <c r="AS348" s="450"/>
      <c r="AT348" s="450"/>
      <c r="AU348" s="450"/>
      <c r="AV348" s="450"/>
      <c r="AW348" s="450"/>
      <c r="AX348" s="450"/>
      <c r="AY348" s="450"/>
      <c r="AZ348" s="450"/>
      <c r="BA348" s="450"/>
      <c r="BB348" s="450"/>
      <c r="BC348" s="453"/>
      <c r="BD348" s="453"/>
      <c r="BE348" s="453"/>
      <c r="BF348" s="453"/>
      <c r="BG348" s="453"/>
      <c r="BH348" s="453"/>
      <c r="BI348" s="453"/>
      <c r="BJ348" s="453"/>
      <c r="BK348" s="453"/>
      <c r="BL348" s="453"/>
      <c r="BM348" s="453"/>
      <c r="BN348" s="453"/>
      <c r="BO348" s="453"/>
      <c r="BP348" s="452"/>
      <c r="BQ348" s="450"/>
      <c r="BR348" s="450"/>
      <c r="BS348" s="450"/>
      <c r="BT348" s="450"/>
      <c r="BU348" s="450"/>
      <c r="BV348" s="450"/>
      <c r="BW348" s="454"/>
      <c r="BX348" s="450"/>
    </row>
    <row r="349" ht="14.25" customHeight="1">
      <c r="A349" s="450"/>
      <c r="B349" s="450"/>
      <c r="C349" s="450"/>
      <c r="D349" s="450"/>
      <c r="E349" s="450"/>
      <c r="F349" s="450"/>
      <c r="G349" s="450"/>
      <c r="H349" s="450"/>
      <c r="I349" s="450"/>
      <c r="J349" s="450"/>
      <c r="K349" s="450"/>
      <c r="L349" s="450"/>
      <c r="M349" s="450"/>
      <c r="N349" s="450"/>
      <c r="O349" s="450"/>
      <c r="P349" s="450"/>
      <c r="Q349" s="450"/>
      <c r="R349" s="450"/>
      <c r="S349" s="450"/>
      <c r="T349" s="450"/>
      <c r="U349" s="451"/>
      <c r="V349" s="450"/>
      <c r="W349" s="450"/>
      <c r="X349" s="450"/>
      <c r="Y349" s="452"/>
      <c r="Z349" s="452"/>
      <c r="AA349" s="453"/>
      <c r="AB349" s="453"/>
      <c r="AC349" s="453"/>
      <c r="AD349" s="452"/>
      <c r="AE349" s="452"/>
      <c r="AF349" s="452"/>
      <c r="AG349" s="450"/>
      <c r="AH349" s="450"/>
      <c r="AI349" s="450"/>
      <c r="AJ349" s="450"/>
      <c r="AK349" s="450"/>
      <c r="AL349" s="450"/>
      <c r="AM349" s="450"/>
      <c r="AN349" s="450"/>
      <c r="AO349" s="450"/>
      <c r="AP349" s="450"/>
      <c r="AQ349" s="450"/>
      <c r="AR349" s="450"/>
      <c r="AS349" s="450"/>
      <c r="AT349" s="450"/>
      <c r="AU349" s="450"/>
      <c r="AV349" s="450"/>
      <c r="AW349" s="450"/>
      <c r="AX349" s="450"/>
      <c r="AY349" s="450"/>
      <c r="AZ349" s="450"/>
      <c r="BA349" s="450"/>
      <c r="BB349" s="450"/>
      <c r="BC349" s="453"/>
      <c r="BD349" s="453"/>
      <c r="BE349" s="453"/>
      <c r="BF349" s="453"/>
      <c r="BG349" s="453"/>
      <c r="BH349" s="453"/>
      <c r="BI349" s="453"/>
      <c r="BJ349" s="453"/>
      <c r="BK349" s="453"/>
      <c r="BL349" s="453"/>
      <c r="BM349" s="453"/>
      <c r="BN349" s="453"/>
      <c r="BO349" s="453"/>
      <c r="BP349" s="452"/>
      <c r="BQ349" s="450"/>
      <c r="BR349" s="450"/>
      <c r="BS349" s="450"/>
      <c r="BT349" s="450"/>
      <c r="BU349" s="450"/>
      <c r="BV349" s="450"/>
      <c r="BW349" s="454"/>
      <c r="BX349" s="450"/>
    </row>
    <row r="350" ht="14.25" customHeight="1">
      <c r="A350" s="450"/>
      <c r="B350" s="450"/>
      <c r="C350" s="450"/>
      <c r="D350" s="450"/>
      <c r="E350" s="450"/>
      <c r="F350" s="450"/>
      <c r="G350" s="450"/>
      <c r="H350" s="450"/>
      <c r="I350" s="450"/>
      <c r="J350" s="450"/>
      <c r="K350" s="450"/>
      <c r="L350" s="450"/>
      <c r="M350" s="450"/>
      <c r="N350" s="450"/>
      <c r="O350" s="450"/>
      <c r="P350" s="450"/>
      <c r="Q350" s="450"/>
      <c r="R350" s="450"/>
      <c r="S350" s="450"/>
      <c r="T350" s="450"/>
      <c r="U350" s="451"/>
      <c r="V350" s="450"/>
      <c r="W350" s="450"/>
      <c r="X350" s="450"/>
      <c r="Y350" s="452"/>
      <c r="Z350" s="452"/>
      <c r="AA350" s="453"/>
      <c r="AB350" s="453"/>
      <c r="AC350" s="453"/>
      <c r="AD350" s="452"/>
      <c r="AE350" s="452"/>
      <c r="AF350" s="452"/>
      <c r="AG350" s="450"/>
      <c r="AH350" s="450"/>
      <c r="AI350" s="450"/>
      <c r="AJ350" s="450"/>
      <c r="AK350" s="450"/>
      <c r="AL350" s="450"/>
      <c r="AM350" s="450"/>
      <c r="AN350" s="450"/>
      <c r="AO350" s="450"/>
      <c r="AP350" s="450"/>
      <c r="AQ350" s="450"/>
      <c r="AR350" s="450"/>
      <c r="AS350" s="450"/>
      <c r="AT350" s="450"/>
      <c r="AU350" s="450"/>
      <c r="AV350" s="450"/>
      <c r="AW350" s="450"/>
      <c r="AX350" s="450"/>
      <c r="AY350" s="450"/>
      <c r="AZ350" s="450"/>
      <c r="BA350" s="450"/>
      <c r="BB350" s="450"/>
      <c r="BC350" s="453"/>
      <c r="BD350" s="453"/>
      <c r="BE350" s="453"/>
      <c r="BF350" s="453"/>
      <c r="BG350" s="453"/>
      <c r="BH350" s="453"/>
      <c r="BI350" s="453"/>
      <c r="BJ350" s="453"/>
      <c r="BK350" s="453"/>
      <c r="BL350" s="453"/>
      <c r="BM350" s="453"/>
      <c r="BN350" s="453"/>
      <c r="BO350" s="453"/>
      <c r="BP350" s="452"/>
      <c r="BQ350" s="450"/>
      <c r="BR350" s="450"/>
      <c r="BS350" s="450"/>
      <c r="BT350" s="450"/>
      <c r="BU350" s="450"/>
      <c r="BV350" s="450"/>
      <c r="BW350" s="454"/>
      <c r="BX350" s="450"/>
    </row>
    <row r="351" ht="14.25" customHeight="1">
      <c r="A351" s="450"/>
      <c r="B351" s="450"/>
      <c r="C351" s="450"/>
      <c r="D351" s="450"/>
      <c r="E351" s="450"/>
      <c r="F351" s="450"/>
      <c r="G351" s="450"/>
      <c r="H351" s="450"/>
      <c r="I351" s="450"/>
      <c r="J351" s="450"/>
      <c r="K351" s="450"/>
      <c r="L351" s="450"/>
      <c r="M351" s="450"/>
      <c r="N351" s="450"/>
      <c r="O351" s="450"/>
      <c r="P351" s="450"/>
      <c r="Q351" s="450"/>
      <c r="R351" s="450"/>
      <c r="S351" s="450"/>
      <c r="T351" s="450"/>
      <c r="U351" s="451"/>
      <c r="V351" s="450"/>
      <c r="W351" s="450"/>
      <c r="X351" s="450"/>
      <c r="Y351" s="452"/>
      <c r="Z351" s="452"/>
      <c r="AA351" s="453"/>
      <c r="AB351" s="453"/>
      <c r="AC351" s="453"/>
      <c r="AD351" s="452"/>
      <c r="AE351" s="452"/>
      <c r="AF351" s="452"/>
      <c r="AG351" s="450"/>
      <c r="AH351" s="450"/>
      <c r="AI351" s="450"/>
      <c r="AJ351" s="450"/>
      <c r="AK351" s="450"/>
      <c r="AL351" s="450"/>
      <c r="AM351" s="450"/>
      <c r="AN351" s="450"/>
      <c r="AO351" s="450"/>
      <c r="AP351" s="450"/>
      <c r="AQ351" s="450"/>
      <c r="AR351" s="450"/>
      <c r="AS351" s="450"/>
      <c r="AT351" s="450"/>
      <c r="AU351" s="450"/>
      <c r="AV351" s="450"/>
      <c r="AW351" s="450"/>
      <c r="AX351" s="450"/>
      <c r="AY351" s="450"/>
      <c r="AZ351" s="450"/>
      <c r="BA351" s="450"/>
      <c r="BB351" s="450"/>
      <c r="BC351" s="453"/>
      <c r="BD351" s="453"/>
      <c r="BE351" s="453"/>
      <c r="BF351" s="453"/>
      <c r="BG351" s="453"/>
      <c r="BH351" s="453"/>
      <c r="BI351" s="453"/>
      <c r="BJ351" s="453"/>
      <c r="BK351" s="453"/>
      <c r="BL351" s="453"/>
      <c r="BM351" s="453"/>
      <c r="BN351" s="453"/>
      <c r="BO351" s="453"/>
      <c r="BP351" s="452"/>
      <c r="BQ351" s="450"/>
      <c r="BR351" s="450"/>
      <c r="BS351" s="450"/>
      <c r="BT351" s="450"/>
      <c r="BU351" s="450"/>
      <c r="BV351" s="450"/>
      <c r="BW351" s="454"/>
      <c r="BX351" s="450"/>
    </row>
    <row r="352" ht="14.25" customHeight="1">
      <c r="A352" s="450"/>
      <c r="B352" s="450"/>
      <c r="C352" s="450"/>
      <c r="D352" s="450"/>
      <c r="E352" s="450"/>
      <c r="F352" s="450"/>
      <c r="G352" s="450"/>
      <c r="H352" s="450"/>
      <c r="I352" s="450"/>
      <c r="J352" s="450"/>
      <c r="K352" s="450"/>
      <c r="L352" s="450"/>
      <c r="M352" s="450"/>
      <c r="N352" s="450"/>
      <c r="O352" s="450"/>
      <c r="P352" s="450"/>
      <c r="Q352" s="450"/>
      <c r="R352" s="450"/>
      <c r="S352" s="450"/>
      <c r="T352" s="450"/>
      <c r="U352" s="451"/>
      <c r="V352" s="450"/>
      <c r="W352" s="450"/>
      <c r="X352" s="450"/>
      <c r="Y352" s="452"/>
      <c r="Z352" s="452"/>
      <c r="AA352" s="453"/>
      <c r="AB352" s="453"/>
      <c r="AC352" s="453"/>
      <c r="AD352" s="452"/>
      <c r="AE352" s="452"/>
      <c r="AF352" s="452"/>
      <c r="AG352" s="450"/>
      <c r="AH352" s="450"/>
      <c r="AI352" s="450"/>
      <c r="AJ352" s="450"/>
      <c r="AK352" s="450"/>
      <c r="AL352" s="450"/>
      <c r="AM352" s="450"/>
      <c r="AN352" s="450"/>
      <c r="AO352" s="450"/>
      <c r="AP352" s="450"/>
      <c r="AQ352" s="450"/>
      <c r="AR352" s="450"/>
      <c r="AS352" s="450"/>
      <c r="AT352" s="450"/>
      <c r="AU352" s="450"/>
      <c r="AV352" s="450"/>
      <c r="AW352" s="450"/>
      <c r="AX352" s="450"/>
      <c r="AY352" s="450"/>
      <c r="AZ352" s="450"/>
      <c r="BA352" s="450"/>
      <c r="BB352" s="450"/>
      <c r="BC352" s="453"/>
      <c r="BD352" s="453"/>
      <c r="BE352" s="453"/>
      <c r="BF352" s="453"/>
      <c r="BG352" s="453"/>
      <c r="BH352" s="453"/>
      <c r="BI352" s="453"/>
      <c r="BJ352" s="453"/>
      <c r="BK352" s="453"/>
      <c r="BL352" s="453"/>
      <c r="BM352" s="453"/>
      <c r="BN352" s="453"/>
      <c r="BO352" s="453"/>
      <c r="BP352" s="452"/>
      <c r="BQ352" s="450"/>
      <c r="BR352" s="450"/>
      <c r="BS352" s="450"/>
      <c r="BT352" s="450"/>
      <c r="BU352" s="450"/>
      <c r="BV352" s="450"/>
      <c r="BW352" s="454"/>
      <c r="BX352" s="450"/>
    </row>
    <row r="353" ht="14.25" customHeight="1">
      <c r="A353" s="450"/>
      <c r="B353" s="450"/>
      <c r="C353" s="450"/>
      <c r="D353" s="450"/>
      <c r="E353" s="450"/>
      <c r="F353" s="450"/>
      <c r="G353" s="450"/>
      <c r="H353" s="450"/>
      <c r="I353" s="450"/>
      <c r="J353" s="450"/>
      <c r="K353" s="450"/>
      <c r="L353" s="450"/>
      <c r="M353" s="450"/>
      <c r="N353" s="450"/>
      <c r="O353" s="450"/>
      <c r="P353" s="450"/>
      <c r="Q353" s="450"/>
      <c r="R353" s="450"/>
      <c r="S353" s="450"/>
      <c r="T353" s="450"/>
      <c r="U353" s="451"/>
      <c r="V353" s="450"/>
      <c r="W353" s="450"/>
      <c r="X353" s="450"/>
      <c r="Y353" s="452"/>
      <c r="Z353" s="452"/>
      <c r="AA353" s="453"/>
      <c r="AB353" s="453"/>
      <c r="AC353" s="453"/>
      <c r="AD353" s="452"/>
      <c r="AE353" s="452"/>
      <c r="AF353" s="452"/>
      <c r="AG353" s="450"/>
      <c r="AH353" s="450"/>
      <c r="AI353" s="450"/>
      <c r="AJ353" s="450"/>
      <c r="AK353" s="450"/>
      <c r="AL353" s="450"/>
      <c r="AM353" s="450"/>
      <c r="AN353" s="450"/>
      <c r="AO353" s="450"/>
      <c r="AP353" s="450"/>
      <c r="AQ353" s="450"/>
      <c r="AR353" s="450"/>
      <c r="AS353" s="450"/>
      <c r="AT353" s="450"/>
      <c r="AU353" s="450"/>
      <c r="AV353" s="450"/>
      <c r="AW353" s="450"/>
      <c r="AX353" s="450"/>
      <c r="AY353" s="450"/>
      <c r="AZ353" s="450"/>
      <c r="BA353" s="450"/>
      <c r="BB353" s="450"/>
      <c r="BC353" s="453"/>
      <c r="BD353" s="453"/>
      <c r="BE353" s="453"/>
      <c r="BF353" s="453"/>
      <c r="BG353" s="453"/>
      <c r="BH353" s="453"/>
      <c r="BI353" s="453"/>
      <c r="BJ353" s="453"/>
      <c r="BK353" s="453"/>
      <c r="BL353" s="453"/>
      <c r="BM353" s="453"/>
      <c r="BN353" s="453"/>
      <c r="BO353" s="453"/>
      <c r="BP353" s="452"/>
      <c r="BQ353" s="450"/>
      <c r="BR353" s="450"/>
      <c r="BS353" s="450"/>
      <c r="BT353" s="450"/>
      <c r="BU353" s="450"/>
      <c r="BV353" s="450"/>
      <c r="BW353" s="454"/>
      <c r="BX353" s="450"/>
    </row>
    <row r="354" ht="14.25" customHeight="1">
      <c r="A354" s="450"/>
      <c r="B354" s="450"/>
      <c r="C354" s="450"/>
      <c r="D354" s="450"/>
      <c r="E354" s="450"/>
      <c r="F354" s="450"/>
      <c r="G354" s="450"/>
      <c r="H354" s="450"/>
      <c r="I354" s="450"/>
      <c r="J354" s="450"/>
      <c r="K354" s="450"/>
      <c r="L354" s="450"/>
      <c r="M354" s="450"/>
      <c r="N354" s="450"/>
      <c r="O354" s="450"/>
      <c r="P354" s="450"/>
      <c r="Q354" s="450"/>
      <c r="R354" s="450"/>
      <c r="S354" s="450"/>
      <c r="T354" s="450"/>
      <c r="U354" s="451"/>
      <c r="V354" s="450"/>
      <c r="W354" s="450"/>
      <c r="X354" s="450"/>
      <c r="Y354" s="452"/>
      <c r="Z354" s="452"/>
      <c r="AA354" s="453"/>
      <c r="AB354" s="453"/>
      <c r="AC354" s="453"/>
      <c r="AD354" s="452"/>
      <c r="AE354" s="452"/>
      <c r="AF354" s="452"/>
      <c r="AG354" s="450"/>
      <c r="AH354" s="450"/>
      <c r="AI354" s="450"/>
      <c r="AJ354" s="450"/>
      <c r="AK354" s="450"/>
      <c r="AL354" s="450"/>
      <c r="AM354" s="450"/>
      <c r="AN354" s="450"/>
      <c r="AO354" s="450"/>
      <c r="AP354" s="450"/>
      <c r="AQ354" s="450"/>
      <c r="AR354" s="450"/>
      <c r="AS354" s="450"/>
      <c r="AT354" s="450"/>
      <c r="AU354" s="450"/>
      <c r="AV354" s="450"/>
      <c r="AW354" s="450"/>
      <c r="AX354" s="450"/>
      <c r="AY354" s="450"/>
      <c r="AZ354" s="450"/>
      <c r="BA354" s="450"/>
      <c r="BB354" s="450"/>
      <c r="BC354" s="453"/>
      <c r="BD354" s="453"/>
      <c r="BE354" s="453"/>
      <c r="BF354" s="453"/>
      <c r="BG354" s="453"/>
      <c r="BH354" s="453"/>
      <c r="BI354" s="453"/>
      <c r="BJ354" s="453"/>
      <c r="BK354" s="453"/>
      <c r="BL354" s="453"/>
      <c r="BM354" s="453"/>
      <c r="BN354" s="453"/>
      <c r="BO354" s="453"/>
      <c r="BP354" s="452"/>
      <c r="BQ354" s="450"/>
      <c r="BR354" s="450"/>
      <c r="BS354" s="450"/>
      <c r="BT354" s="450"/>
      <c r="BU354" s="450"/>
      <c r="BV354" s="450"/>
      <c r="BW354" s="454"/>
      <c r="BX354" s="450"/>
    </row>
    <row r="355" ht="14.25" customHeight="1">
      <c r="A355" s="450"/>
      <c r="B355" s="450"/>
      <c r="C355" s="450"/>
      <c r="D355" s="450"/>
      <c r="E355" s="450"/>
      <c r="F355" s="450"/>
      <c r="G355" s="450"/>
      <c r="H355" s="450"/>
      <c r="I355" s="450"/>
      <c r="J355" s="450"/>
      <c r="K355" s="450"/>
      <c r="L355" s="450"/>
      <c r="M355" s="450"/>
      <c r="N355" s="450"/>
      <c r="O355" s="450"/>
      <c r="P355" s="450"/>
      <c r="Q355" s="450"/>
      <c r="R355" s="450"/>
      <c r="S355" s="450"/>
      <c r="T355" s="450"/>
      <c r="U355" s="451"/>
      <c r="V355" s="450"/>
      <c r="W355" s="450"/>
      <c r="X355" s="450"/>
      <c r="Y355" s="452"/>
      <c r="Z355" s="452"/>
      <c r="AA355" s="453"/>
      <c r="AB355" s="453"/>
      <c r="AC355" s="453"/>
      <c r="AD355" s="452"/>
      <c r="AE355" s="452"/>
      <c r="AF355" s="452"/>
      <c r="AG355" s="450"/>
      <c r="AH355" s="450"/>
      <c r="AI355" s="450"/>
      <c r="AJ355" s="450"/>
      <c r="AK355" s="450"/>
      <c r="AL355" s="450"/>
      <c r="AM355" s="450"/>
      <c r="AN355" s="450"/>
      <c r="AO355" s="450"/>
      <c r="AP355" s="450"/>
      <c r="AQ355" s="450"/>
      <c r="AR355" s="450"/>
      <c r="AS355" s="450"/>
      <c r="AT355" s="450"/>
      <c r="AU355" s="450"/>
      <c r="AV355" s="450"/>
      <c r="AW355" s="450"/>
      <c r="AX355" s="450"/>
      <c r="AY355" s="450"/>
      <c r="AZ355" s="450"/>
      <c r="BA355" s="450"/>
      <c r="BB355" s="450"/>
      <c r="BC355" s="453"/>
      <c r="BD355" s="453"/>
      <c r="BE355" s="453"/>
      <c r="BF355" s="453"/>
      <c r="BG355" s="453"/>
      <c r="BH355" s="453"/>
      <c r="BI355" s="453"/>
      <c r="BJ355" s="453"/>
      <c r="BK355" s="453"/>
      <c r="BL355" s="453"/>
      <c r="BM355" s="453"/>
      <c r="BN355" s="453"/>
      <c r="BO355" s="453"/>
      <c r="BP355" s="452"/>
      <c r="BQ355" s="450"/>
      <c r="BR355" s="450"/>
      <c r="BS355" s="450"/>
      <c r="BT355" s="450"/>
      <c r="BU355" s="450"/>
      <c r="BV355" s="450"/>
      <c r="BW355" s="454"/>
      <c r="BX355" s="450"/>
    </row>
    <row r="356" ht="14.25" customHeight="1">
      <c r="A356" s="450"/>
      <c r="B356" s="450"/>
      <c r="C356" s="450"/>
      <c r="D356" s="450"/>
      <c r="E356" s="450"/>
      <c r="F356" s="450"/>
      <c r="G356" s="450"/>
      <c r="H356" s="450"/>
      <c r="I356" s="450"/>
      <c r="J356" s="450"/>
      <c r="K356" s="450"/>
      <c r="L356" s="450"/>
      <c r="M356" s="450"/>
      <c r="N356" s="450"/>
      <c r="O356" s="450"/>
      <c r="P356" s="450"/>
      <c r="Q356" s="450"/>
      <c r="R356" s="450"/>
      <c r="S356" s="450"/>
      <c r="T356" s="450"/>
      <c r="U356" s="451"/>
      <c r="V356" s="450"/>
      <c r="W356" s="450"/>
      <c r="X356" s="450"/>
      <c r="Y356" s="452"/>
      <c r="Z356" s="452"/>
      <c r="AA356" s="453"/>
      <c r="AB356" s="453"/>
      <c r="AC356" s="453"/>
      <c r="AD356" s="452"/>
      <c r="AE356" s="452"/>
      <c r="AF356" s="452"/>
      <c r="AG356" s="450"/>
      <c r="AH356" s="450"/>
      <c r="AI356" s="450"/>
      <c r="AJ356" s="450"/>
      <c r="AK356" s="450"/>
      <c r="AL356" s="450"/>
      <c r="AM356" s="450"/>
      <c r="AN356" s="450"/>
      <c r="AO356" s="450"/>
      <c r="AP356" s="450"/>
      <c r="AQ356" s="450"/>
      <c r="AR356" s="450"/>
      <c r="AS356" s="450"/>
      <c r="AT356" s="450"/>
      <c r="AU356" s="450"/>
      <c r="AV356" s="450"/>
      <c r="AW356" s="450"/>
      <c r="AX356" s="450"/>
      <c r="AY356" s="450"/>
      <c r="AZ356" s="450"/>
      <c r="BA356" s="450"/>
      <c r="BB356" s="450"/>
      <c r="BC356" s="453"/>
      <c r="BD356" s="453"/>
      <c r="BE356" s="453"/>
      <c r="BF356" s="453"/>
      <c r="BG356" s="453"/>
      <c r="BH356" s="453"/>
      <c r="BI356" s="453"/>
      <c r="BJ356" s="453"/>
      <c r="BK356" s="453"/>
      <c r="BL356" s="453"/>
      <c r="BM356" s="453"/>
      <c r="BN356" s="453"/>
      <c r="BO356" s="453"/>
      <c r="BP356" s="452"/>
      <c r="BQ356" s="450"/>
      <c r="BR356" s="450"/>
      <c r="BS356" s="450"/>
      <c r="BT356" s="450"/>
      <c r="BU356" s="450"/>
      <c r="BV356" s="450"/>
      <c r="BW356" s="454"/>
      <c r="BX356" s="450"/>
    </row>
    <row r="357" ht="14.25" customHeight="1">
      <c r="A357" s="450"/>
      <c r="B357" s="450"/>
      <c r="C357" s="450"/>
      <c r="D357" s="450"/>
      <c r="E357" s="450"/>
      <c r="F357" s="450"/>
      <c r="G357" s="450"/>
      <c r="H357" s="450"/>
      <c r="I357" s="450"/>
      <c r="J357" s="450"/>
      <c r="K357" s="450"/>
      <c r="L357" s="450"/>
      <c r="M357" s="450"/>
      <c r="N357" s="450"/>
      <c r="O357" s="450"/>
      <c r="P357" s="450"/>
      <c r="Q357" s="450"/>
      <c r="R357" s="450"/>
      <c r="S357" s="450"/>
      <c r="T357" s="450"/>
      <c r="U357" s="451"/>
      <c r="V357" s="450"/>
      <c r="W357" s="450"/>
      <c r="X357" s="450"/>
      <c r="Y357" s="452"/>
      <c r="Z357" s="452"/>
      <c r="AA357" s="453"/>
      <c r="AB357" s="453"/>
      <c r="AC357" s="453"/>
      <c r="AD357" s="452"/>
      <c r="AE357" s="452"/>
      <c r="AF357" s="452"/>
      <c r="AG357" s="450"/>
      <c r="AH357" s="450"/>
      <c r="AI357" s="450"/>
      <c r="AJ357" s="450"/>
      <c r="AK357" s="450"/>
      <c r="AL357" s="450"/>
      <c r="AM357" s="450"/>
      <c r="AN357" s="450"/>
      <c r="AO357" s="450"/>
      <c r="AP357" s="450"/>
      <c r="AQ357" s="450"/>
      <c r="AR357" s="450"/>
      <c r="AS357" s="450"/>
      <c r="AT357" s="450"/>
      <c r="AU357" s="450"/>
      <c r="AV357" s="450"/>
      <c r="AW357" s="450"/>
      <c r="AX357" s="450"/>
      <c r="AY357" s="450"/>
      <c r="AZ357" s="450"/>
      <c r="BA357" s="450"/>
      <c r="BB357" s="450"/>
      <c r="BC357" s="453"/>
      <c r="BD357" s="453"/>
      <c r="BE357" s="453"/>
      <c r="BF357" s="453"/>
      <c r="BG357" s="453"/>
      <c r="BH357" s="453"/>
      <c r="BI357" s="453"/>
      <c r="BJ357" s="453"/>
      <c r="BK357" s="453"/>
      <c r="BL357" s="453"/>
      <c r="BM357" s="453"/>
      <c r="BN357" s="453"/>
      <c r="BO357" s="453"/>
      <c r="BP357" s="452"/>
      <c r="BQ357" s="450"/>
      <c r="BR357" s="450"/>
      <c r="BS357" s="450"/>
      <c r="BT357" s="450"/>
      <c r="BU357" s="450"/>
      <c r="BV357" s="450"/>
      <c r="BW357" s="454"/>
      <c r="BX357" s="450"/>
    </row>
    <row r="358" ht="14.25" customHeight="1">
      <c r="A358" s="450"/>
      <c r="B358" s="450"/>
      <c r="C358" s="450"/>
      <c r="D358" s="450"/>
      <c r="E358" s="450"/>
      <c r="F358" s="450"/>
      <c r="G358" s="450"/>
      <c r="H358" s="450"/>
      <c r="I358" s="450"/>
      <c r="J358" s="450"/>
      <c r="K358" s="450"/>
      <c r="L358" s="450"/>
      <c r="M358" s="450"/>
      <c r="N358" s="450"/>
      <c r="O358" s="450"/>
      <c r="P358" s="450"/>
      <c r="Q358" s="450"/>
      <c r="R358" s="450"/>
      <c r="S358" s="450"/>
      <c r="T358" s="450"/>
      <c r="U358" s="451"/>
      <c r="V358" s="450"/>
      <c r="W358" s="450"/>
      <c r="X358" s="450"/>
      <c r="Y358" s="452"/>
      <c r="Z358" s="452"/>
      <c r="AA358" s="453"/>
      <c r="AB358" s="453"/>
      <c r="AC358" s="453"/>
      <c r="AD358" s="452"/>
      <c r="AE358" s="452"/>
      <c r="AF358" s="452"/>
      <c r="AG358" s="450"/>
      <c r="AH358" s="450"/>
      <c r="AI358" s="450"/>
      <c r="AJ358" s="450"/>
      <c r="AK358" s="450"/>
      <c r="AL358" s="450"/>
      <c r="AM358" s="450"/>
      <c r="AN358" s="450"/>
      <c r="AO358" s="450"/>
      <c r="AP358" s="450"/>
      <c r="AQ358" s="450"/>
      <c r="AR358" s="450"/>
      <c r="AS358" s="450"/>
      <c r="AT358" s="450"/>
      <c r="AU358" s="450"/>
      <c r="AV358" s="450"/>
      <c r="AW358" s="450"/>
      <c r="AX358" s="450"/>
      <c r="AY358" s="450"/>
      <c r="AZ358" s="450"/>
      <c r="BA358" s="450"/>
      <c r="BB358" s="450"/>
      <c r="BC358" s="453"/>
      <c r="BD358" s="453"/>
      <c r="BE358" s="453"/>
      <c r="BF358" s="453"/>
      <c r="BG358" s="453"/>
      <c r="BH358" s="453"/>
      <c r="BI358" s="453"/>
      <c r="BJ358" s="453"/>
      <c r="BK358" s="453"/>
      <c r="BL358" s="453"/>
      <c r="BM358" s="453"/>
      <c r="BN358" s="453"/>
      <c r="BO358" s="453"/>
      <c r="BP358" s="452"/>
      <c r="BQ358" s="450"/>
      <c r="BR358" s="450"/>
      <c r="BS358" s="450"/>
      <c r="BT358" s="450"/>
      <c r="BU358" s="450"/>
      <c r="BV358" s="450"/>
      <c r="BW358" s="454"/>
      <c r="BX358" s="450"/>
    </row>
    <row r="359" ht="14.25" customHeight="1">
      <c r="A359" s="450"/>
      <c r="B359" s="450"/>
      <c r="C359" s="450"/>
      <c r="D359" s="450"/>
      <c r="E359" s="450"/>
      <c r="F359" s="450"/>
      <c r="G359" s="450"/>
      <c r="H359" s="450"/>
      <c r="I359" s="450"/>
      <c r="J359" s="450"/>
      <c r="K359" s="450"/>
      <c r="L359" s="450"/>
      <c r="M359" s="450"/>
      <c r="N359" s="450"/>
      <c r="O359" s="450"/>
      <c r="P359" s="450"/>
      <c r="Q359" s="450"/>
      <c r="R359" s="450"/>
      <c r="S359" s="450"/>
      <c r="T359" s="450"/>
      <c r="U359" s="451"/>
      <c r="V359" s="450"/>
      <c r="W359" s="450"/>
      <c r="X359" s="450"/>
      <c r="Y359" s="452"/>
      <c r="Z359" s="452"/>
      <c r="AA359" s="453"/>
      <c r="AB359" s="453"/>
      <c r="AC359" s="453"/>
      <c r="AD359" s="452"/>
      <c r="AE359" s="452"/>
      <c r="AF359" s="452"/>
      <c r="AG359" s="450"/>
      <c r="AH359" s="450"/>
      <c r="AI359" s="450"/>
      <c r="AJ359" s="450"/>
      <c r="AK359" s="450"/>
      <c r="AL359" s="450"/>
      <c r="AM359" s="450"/>
      <c r="AN359" s="450"/>
      <c r="AO359" s="450"/>
      <c r="AP359" s="450"/>
      <c r="AQ359" s="450"/>
      <c r="AR359" s="450"/>
      <c r="AS359" s="450"/>
      <c r="AT359" s="450"/>
      <c r="AU359" s="450"/>
      <c r="AV359" s="450"/>
      <c r="AW359" s="450"/>
      <c r="AX359" s="450"/>
      <c r="AY359" s="450"/>
      <c r="AZ359" s="450"/>
      <c r="BA359" s="450"/>
      <c r="BB359" s="450"/>
      <c r="BC359" s="453"/>
      <c r="BD359" s="453"/>
      <c r="BE359" s="453"/>
      <c r="BF359" s="453"/>
      <c r="BG359" s="453"/>
      <c r="BH359" s="453"/>
      <c r="BI359" s="453"/>
      <c r="BJ359" s="453"/>
      <c r="BK359" s="453"/>
      <c r="BL359" s="453"/>
      <c r="BM359" s="453"/>
      <c r="BN359" s="453"/>
      <c r="BO359" s="453"/>
      <c r="BP359" s="452"/>
      <c r="BQ359" s="450"/>
      <c r="BR359" s="450"/>
      <c r="BS359" s="450"/>
      <c r="BT359" s="450"/>
      <c r="BU359" s="450"/>
      <c r="BV359" s="450"/>
      <c r="BW359" s="454"/>
      <c r="BX359" s="450"/>
    </row>
    <row r="360" ht="14.25" customHeight="1">
      <c r="A360" s="450"/>
      <c r="B360" s="450"/>
      <c r="C360" s="450"/>
      <c r="D360" s="450"/>
      <c r="E360" s="450"/>
      <c r="F360" s="450"/>
      <c r="G360" s="450"/>
      <c r="H360" s="450"/>
      <c r="I360" s="450"/>
      <c r="J360" s="450"/>
      <c r="K360" s="450"/>
      <c r="L360" s="450"/>
      <c r="M360" s="450"/>
      <c r="N360" s="450"/>
      <c r="O360" s="450"/>
      <c r="P360" s="450"/>
      <c r="Q360" s="450"/>
      <c r="R360" s="450"/>
      <c r="S360" s="450"/>
      <c r="T360" s="450"/>
      <c r="U360" s="451"/>
      <c r="V360" s="450"/>
      <c r="W360" s="450"/>
      <c r="X360" s="450"/>
      <c r="Y360" s="452"/>
      <c r="Z360" s="452"/>
      <c r="AA360" s="453"/>
      <c r="AB360" s="453"/>
      <c r="AC360" s="453"/>
      <c r="AD360" s="452"/>
      <c r="AE360" s="452"/>
      <c r="AF360" s="452"/>
      <c r="AG360" s="450"/>
      <c r="AH360" s="450"/>
      <c r="AI360" s="450"/>
      <c r="AJ360" s="450"/>
      <c r="AK360" s="450"/>
      <c r="AL360" s="450"/>
      <c r="AM360" s="450"/>
      <c r="AN360" s="450"/>
      <c r="AO360" s="450"/>
      <c r="AP360" s="450"/>
      <c r="AQ360" s="450"/>
      <c r="AR360" s="450"/>
      <c r="AS360" s="450"/>
      <c r="AT360" s="450"/>
      <c r="AU360" s="450"/>
      <c r="AV360" s="450"/>
      <c r="AW360" s="450"/>
      <c r="AX360" s="450"/>
      <c r="AY360" s="450"/>
      <c r="AZ360" s="450"/>
      <c r="BA360" s="450"/>
      <c r="BB360" s="450"/>
      <c r="BC360" s="453"/>
      <c r="BD360" s="453"/>
      <c r="BE360" s="453"/>
      <c r="BF360" s="453"/>
      <c r="BG360" s="453"/>
      <c r="BH360" s="453"/>
      <c r="BI360" s="453"/>
      <c r="BJ360" s="453"/>
      <c r="BK360" s="453"/>
      <c r="BL360" s="453"/>
      <c r="BM360" s="453"/>
      <c r="BN360" s="453"/>
      <c r="BO360" s="453"/>
      <c r="BP360" s="452"/>
      <c r="BQ360" s="450"/>
      <c r="BR360" s="450"/>
      <c r="BS360" s="450"/>
      <c r="BT360" s="450"/>
      <c r="BU360" s="450"/>
      <c r="BV360" s="450"/>
      <c r="BW360" s="454"/>
      <c r="BX360" s="450"/>
    </row>
    <row r="361" ht="14.25" customHeight="1">
      <c r="A361" s="450"/>
      <c r="B361" s="450"/>
      <c r="C361" s="450"/>
      <c r="D361" s="450"/>
      <c r="E361" s="450"/>
      <c r="F361" s="450"/>
      <c r="G361" s="450"/>
      <c r="H361" s="450"/>
      <c r="I361" s="450"/>
      <c r="J361" s="450"/>
      <c r="K361" s="450"/>
      <c r="L361" s="450"/>
      <c r="M361" s="450"/>
      <c r="N361" s="450"/>
      <c r="O361" s="450"/>
      <c r="P361" s="450"/>
      <c r="Q361" s="450"/>
      <c r="R361" s="450"/>
      <c r="S361" s="450"/>
      <c r="T361" s="450"/>
      <c r="U361" s="451"/>
      <c r="V361" s="450"/>
      <c r="W361" s="450"/>
      <c r="X361" s="450"/>
      <c r="Y361" s="452"/>
      <c r="Z361" s="452"/>
      <c r="AA361" s="453"/>
      <c r="AB361" s="453"/>
      <c r="AC361" s="453"/>
      <c r="AD361" s="452"/>
      <c r="AE361" s="452"/>
      <c r="AF361" s="452"/>
      <c r="AG361" s="450"/>
      <c r="AH361" s="450"/>
      <c r="AI361" s="450"/>
      <c r="AJ361" s="450"/>
      <c r="AK361" s="450"/>
      <c r="AL361" s="450"/>
      <c r="AM361" s="450"/>
      <c r="AN361" s="450"/>
      <c r="AO361" s="450"/>
      <c r="AP361" s="450"/>
      <c r="AQ361" s="450"/>
      <c r="AR361" s="450"/>
      <c r="AS361" s="450"/>
      <c r="AT361" s="450"/>
      <c r="AU361" s="450"/>
      <c r="AV361" s="450"/>
      <c r="AW361" s="450"/>
      <c r="AX361" s="450"/>
      <c r="AY361" s="450"/>
      <c r="AZ361" s="450"/>
      <c r="BA361" s="450"/>
      <c r="BB361" s="450"/>
      <c r="BC361" s="453"/>
      <c r="BD361" s="453"/>
      <c r="BE361" s="453"/>
      <c r="BF361" s="453"/>
      <c r="BG361" s="453"/>
      <c r="BH361" s="453"/>
      <c r="BI361" s="453"/>
      <c r="BJ361" s="453"/>
      <c r="BK361" s="453"/>
      <c r="BL361" s="453"/>
      <c r="BM361" s="453"/>
      <c r="BN361" s="453"/>
      <c r="BO361" s="453"/>
      <c r="BP361" s="452"/>
      <c r="BQ361" s="450"/>
      <c r="BR361" s="450"/>
      <c r="BS361" s="450"/>
      <c r="BT361" s="450"/>
      <c r="BU361" s="450"/>
      <c r="BV361" s="450"/>
      <c r="BW361" s="454"/>
      <c r="BX361" s="450"/>
    </row>
    <row r="362" ht="14.25" customHeight="1">
      <c r="A362" s="450"/>
      <c r="B362" s="450"/>
      <c r="C362" s="450"/>
      <c r="D362" s="450"/>
      <c r="E362" s="450"/>
      <c r="F362" s="450"/>
      <c r="G362" s="450"/>
      <c r="H362" s="450"/>
      <c r="I362" s="450"/>
      <c r="J362" s="450"/>
      <c r="K362" s="450"/>
      <c r="L362" s="450"/>
      <c r="M362" s="450"/>
      <c r="N362" s="450"/>
      <c r="O362" s="450"/>
      <c r="P362" s="450"/>
      <c r="Q362" s="450"/>
      <c r="R362" s="450"/>
      <c r="S362" s="450"/>
      <c r="T362" s="450"/>
      <c r="U362" s="451"/>
      <c r="V362" s="450"/>
      <c r="W362" s="450"/>
      <c r="X362" s="450"/>
      <c r="Y362" s="452"/>
      <c r="Z362" s="452"/>
      <c r="AA362" s="453"/>
      <c r="AB362" s="453"/>
      <c r="AC362" s="453"/>
      <c r="AD362" s="452"/>
      <c r="AE362" s="452"/>
      <c r="AF362" s="452"/>
      <c r="AG362" s="450"/>
      <c r="AH362" s="450"/>
      <c r="AI362" s="450"/>
      <c r="AJ362" s="450"/>
      <c r="AK362" s="450"/>
      <c r="AL362" s="450"/>
      <c r="AM362" s="450"/>
      <c r="AN362" s="450"/>
      <c r="AO362" s="450"/>
      <c r="AP362" s="450"/>
      <c r="AQ362" s="450"/>
      <c r="AR362" s="450"/>
      <c r="AS362" s="450"/>
      <c r="AT362" s="450"/>
      <c r="AU362" s="450"/>
      <c r="AV362" s="450"/>
      <c r="AW362" s="450"/>
      <c r="AX362" s="450"/>
      <c r="AY362" s="450"/>
      <c r="AZ362" s="450"/>
      <c r="BA362" s="450"/>
      <c r="BB362" s="450"/>
      <c r="BC362" s="453"/>
      <c r="BD362" s="453"/>
      <c r="BE362" s="453"/>
      <c r="BF362" s="453"/>
      <c r="BG362" s="453"/>
      <c r="BH362" s="453"/>
      <c r="BI362" s="453"/>
      <c r="BJ362" s="453"/>
      <c r="BK362" s="453"/>
      <c r="BL362" s="453"/>
      <c r="BM362" s="453"/>
      <c r="BN362" s="453"/>
      <c r="BO362" s="453"/>
      <c r="BP362" s="452"/>
      <c r="BQ362" s="450"/>
      <c r="BR362" s="450"/>
      <c r="BS362" s="450"/>
      <c r="BT362" s="450"/>
      <c r="BU362" s="450"/>
      <c r="BV362" s="450"/>
      <c r="BW362" s="454"/>
      <c r="BX362" s="450"/>
    </row>
    <row r="363" ht="14.25" customHeight="1">
      <c r="A363" s="450"/>
      <c r="B363" s="450"/>
      <c r="C363" s="450"/>
      <c r="D363" s="450"/>
      <c r="E363" s="450"/>
      <c r="F363" s="450"/>
      <c r="G363" s="450"/>
      <c r="H363" s="450"/>
      <c r="I363" s="450"/>
      <c r="J363" s="450"/>
      <c r="K363" s="450"/>
      <c r="L363" s="450"/>
      <c r="M363" s="450"/>
      <c r="N363" s="450"/>
      <c r="O363" s="450"/>
      <c r="P363" s="450"/>
      <c r="Q363" s="450"/>
      <c r="R363" s="450"/>
      <c r="S363" s="450"/>
      <c r="T363" s="450"/>
      <c r="U363" s="451"/>
      <c r="V363" s="450"/>
      <c r="W363" s="450"/>
      <c r="X363" s="450"/>
      <c r="Y363" s="452"/>
      <c r="Z363" s="452"/>
      <c r="AA363" s="453"/>
      <c r="AB363" s="453"/>
      <c r="AC363" s="453"/>
      <c r="AD363" s="452"/>
      <c r="AE363" s="452"/>
      <c r="AF363" s="452"/>
      <c r="AG363" s="450"/>
      <c r="AH363" s="450"/>
      <c r="AI363" s="450"/>
      <c r="AJ363" s="450"/>
      <c r="AK363" s="450"/>
      <c r="AL363" s="450"/>
      <c r="AM363" s="450"/>
      <c r="AN363" s="450"/>
      <c r="AO363" s="450"/>
      <c r="AP363" s="450"/>
      <c r="AQ363" s="450"/>
      <c r="AR363" s="450"/>
      <c r="AS363" s="450"/>
      <c r="AT363" s="450"/>
      <c r="AU363" s="450"/>
      <c r="AV363" s="450"/>
      <c r="AW363" s="450"/>
      <c r="AX363" s="450"/>
      <c r="AY363" s="450"/>
      <c r="AZ363" s="450"/>
      <c r="BA363" s="450"/>
      <c r="BB363" s="450"/>
      <c r="BC363" s="453"/>
      <c r="BD363" s="453"/>
      <c r="BE363" s="453"/>
      <c r="BF363" s="453"/>
      <c r="BG363" s="453"/>
      <c r="BH363" s="453"/>
      <c r="BI363" s="453"/>
      <c r="BJ363" s="453"/>
      <c r="BK363" s="453"/>
      <c r="BL363" s="453"/>
      <c r="BM363" s="453"/>
      <c r="BN363" s="453"/>
      <c r="BO363" s="453"/>
      <c r="BP363" s="452"/>
      <c r="BQ363" s="450"/>
      <c r="BR363" s="450"/>
      <c r="BS363" s="450"/>
      <c r="BT363" s="450"/>
      <c r="BU363" s="450"/>
      <c r="BV363" s="450"/>
      <c r="BW363" s="454"/>
      <c r="BX363" s="450"/>
    </row>
    <row r="364" ht="14.25" customHeight="1">
      <c r="A364" s="450"/>
      <c r="B364" s="450"/>
      <c r="C364" s="450"/>
      <c r="D364" s="450"/>
      <c r="E364" s="450"/>
      <c r="F364" s="450"/>
      <c r="G364" s="450"/>
      <c r="H364" s="450"/>
      <c r="I364" s="450"/>
      <c r="J364" s="450"/>
      <c r="K364" s="450"/>
      <c r="L364" s="450"/>
      <c r="M364" s="450"/>
      <c r="N364" s="450"/>
      <c r="O364" s="450"/>
      <c r="P364" s="450"/>
      <c r="Q364" s="450"/>
      <c r="R364" s="450"/>
      <c r="S364" s="450"/>
      <c r="T364" s="450"/>
      <c r="U364" s="451"/>
      <c r="V364" s="450"/>
      <c r="W364" s="450"/>
      <c r="X364" s="450"/>
      <c r="Y364" s="452"/>
      <c r="Z364" s="452"/>
      <c r="AA364" s="453"/>
      <c r="AB364" s="453"/>
      <c r="AC364" s="453"/>
      <c r="AD364" s="452"/>
      <c r="AE364" s="452"/>
      <c r="AF364" s="452"/>
      <c r="AG364" s="450"/>
      <c r="AH364" s="450"/>
      <c r="AI364" s="450"/>
      <c r="AJ364" s="450"/>
      <c r="AK364" s="450"/>
      <c r="AL364" s="450"/>
      <c r="AM364" s="450"/>
      <c r="AN364" s="450"/>
      <c r="AO364" s="450"/>
      <c r="AP364" s="450"/>
      <c r="AQ364" s="450"/>
      <c r="AR364" s="450"/>
      <c r="AS364" s="450"/>
      <c r="AT364" s="450"/>
      <c r="AU364" s="450"/>
      <c r="AV364" s="450"/>
      <c r="AW364" s="450"/>
      <c r="AX364" s="450"/>
      <c r="AY364" s="450"/>
      <c r="AZ364" s="450"/>
      <c r="BA364" s="450"/>
      <c r="BB364" s="450"/>
      <c r="BC364" s="453"/>
      <c r="BD364" s="453"/>
      <c r="BE364" s="453"/>
      <c r="BF364" s="453"/>
      <c r="BG364" s="453"/>
      <c r="BH364" s="453"/>
      <c r="BI364" s="453"/>
      <c r="BJ364" s="453"/>
      <c r="BK364" s="453"/>
      <c r="BL364" s="453"/>
      <c r="BM364" s="453"/>
      <c r="BN364" s="453"/>
      <c r="BO364" s="453"/>
      <c r="BP364" s="452"/>
      <c r="BQ364" s="450"/>
      <c r="BR364" s="450"/>
      <c r="BS364" s="450"/>
      <c r="BT364" s="450"/>
      <c r="BU364" s="450"/>
      <c r="BV364" s="450"/>
      <c r="BW364" s="454"/>
      <c r="BX364" s="450"/>
    </row>
    <row r="365" ht="14.25" customHeight="1">
      <c r="A365" s="450"/>
      <c r="B365" s="450"/>
      <c r="C365" s="450"/>
      <c r="D365" s="450"/>
      <c r="E365" s="450"/>
      <c r="F365" s="450"/>
      <c r="G365" s="450"/>
      <c r="H365" s="450"/>
      <c r="I365" s="450"/>
      <c r="J365" s="450"/>
      <c r="K365" s="450"/>
      <c r="L365" s="450"/>
      <c r="M365" s="450"/>
      <c r="N365" s="450"/>
      <c r="O365" s="450"/>
      <c r="P365" s="450"/>
      <c r="Q365" s="450"/>
      <c r="R365" s="450"/>
      <c r="S365" s="450"/>
      <c r="T365" s="450"/>
      <c r="U365" s="451"/>
      <c r="V365" s="450"/>
      <c r="W365" s="450"/>
      <c r="X365" s="450"/>
      <c r="Y365" s="452"/>
      <c r="Z365" s="452"/>
      <c r="AA365" s="453"/>
      <c r="AB365" s="453"/>
      <c r="AC365" s="453"/>
      <c r="AD365" s="452"/>
      <c r="AE365" s="452"/>
      <c r="AF365" s="452"/>
      <c r="AG365" s="450"/>
      <c r="AH365" s="450"/>
      <c r="AI365" s="450"/>
      <c r="AJ365" s="450"/>
      <c r="AK365" s="450"/>
      <c r="AL365" s="450"/>
      <c r="AM365" s="450"/>
      <c r="AN365" s="450"/>
      <c r="AO365" s="450"/>
      <c r="AP365" s="450"/>
      <c r="AQ365" s="450"/>
      <c r="AR365" s="450"/>
      <c r="AS365" s="450"/>
      <c r="AT365" s="450"/>
      <c r="AU365" s="450"/>
      <c r="AV365" s="450"/>
      <c r="AW365" s="450"/>
      <c r="AX365" s="450"/>
      <c r="AY365" s="450"/>
      <c r="AZ365" s="450"/>
      <c r="BA365" s="450"/>
      <c r="BB365" s="450"/>
      <c r="BC365" s="453"/>
      <c r="BD365" s="453"/>
      <c r="BE365" s="453"/>
      <c r="BF365" s="453"/>
      <c r="BG365" s="453"/>
      <c r="BH365" s="453"/>
      <c r="BI365" s="453"/>
      <c r="BJ365" s="453"/>
      <c r="BK365" s="453"/>
      <c r="BL365" s="453"/>
      <c r="BM365" s="453"/>
      <c r="BN365" s="453"/>
      <c r="BO365" s="453"/>
      <c r="BP365" s="452"/>
      <c r="BQ365" s="450"/>
      <c r="BR365" s="450"/>
      <c r="BS365" s="450"/>
      <c r="BT365" s="450"/>
      <c r="BU365" s="450"/>
      <c r="BV365" s="450"/>
      <c r="BW365" s="454"/>
      <c r="BX365" s="450"/>
    </row>
    <row r="366" ht="14.25" customHeight="1">
      <c r="A366" s="450"/>
      <c r="B366" s="450"/>
      <c r="C366" s="450"/>
      <c r="D366" s="450"/>
      <c r="E366" s="450"/>
      <c r="F366" s="450"/>
      <c r="G366" s="450"/>
      <c r="H366" s="450"/>
      <c r="I366" s="450"/>
      <c r="J366" s="450"/>
      <c r="K366" s="450"/>
      <c r="L366" s="450"/>
      <c r="M366" s="450"/>
      <c r="N366" s="450"/>
      <c r="O366" s="450"/>
      <c r="P366" s="450"/>
      <c r="Q366" s="450"/>
      <c r="R366" s="450"/>
      <c r="S366" s="450"/>
      <c r="T366" s="450"/>
      <c r="U366" s="451"/>
      <c r="V366" s="450"/>
      <c r="W366" s="450"/>
      <c r="X366" s="450"/>
      <c r="Y366" s="452"/>
      <c r="Z366" s="452"/>
      <c r="AA366" s="453"/>
      <c r="AB366" s="453"/>
      <c r="AC366" s="453"/>
      <c r="AD366" s="452"/>
      <c r="AE366" s="452"/>
      <c r="AF366" s="452"/>
      <c r="AG366" s="450"/>
      <c r="AH366" s="450"/>
      <c r="AI366" s="450"/>
      <c r="AJ366" s="450"/>
      <c r="AK366" s="450"/>
      <c r="AL366" s="450"/>
      <c r="AM366" s="450"/>
      <c r="AN366" s="450"/>
      <c r="AO366" s="450"/>
      <c r="AP366" s="450"/>
      <c r="AQ366" s="450"/>
      <c r="AR366" s="450"/>
      <c r="AS366" s="450"/>
      <c r="AT366" s="450"/>
      <c r="AU366" s="450"/>
      <c r="AV366" s="450"/>
      <c r="AW366" s="450"/>
      <c r="AX366" s="450"/>
      <c r="AY366" s="450"/>
      <c r="AZ366" s="450"/>
      <c r="BA366" s="450"/>
      <c r="BB366" s="450"/>
      <c r="BC366" s="453"/>
      <c r="BD366" s="453"/>
      <c r="BE366" s="453"/>
      <c r="BF366" s="453"/>
      <c r="BG366" s="453"/>
      <c r="BH366" s="453"/>
      <c r="BI366" s="453"/>
      <c r="BJ366" s="453"/>
      <c r="BK366" s="453"/>
      <c r="BL366" s="453"/>
      <c r="BM366" s="453"/>
      <c r="BN366" s="453"/>
      <c r="BO366" s="453"/>
      <c r="BP366" s="452"/>
      <c r="BQ366" s="450"/>
      <c r="BR366" s="450"/>
      <c r="BS366" s="450"/>
      <c r="BT366" s="450"/>
      <c r="BU366" s="450"/>
      <c r="BV366" s="450"/>
      <c r="BW366" s="454"/>
      <c r="BX366" s="450"/>
    </row>
    <row r="367" ht="14.25" customHeight="1">
      <c r="A367" s="450"/>
      <c r="B367" s="450"/>
      <c r="C367" s="450"/>
      <c r="D367" s="450"/>
      <c r="E367" s="450"/>
      <c r="F367" s="450"/>
      <c r="G367" s="450"/>
      <c r="H367" s="450"/>
      <c r="I367" s="450"/>
      <c r="J367" s="450"/>
      <c r="K367" s="450"/>
      <c r="L367" s="450"/>
      <c r="M367" s="450"/>
      <c r="N367" s="450"/>
      <c r="O367" s="450"/>
      <c r="P367" s="450"/>
      <c r="Q367" s="450"/>
      <c r="R367" s="450"/>
      <c r="S367" s="450"/>
      <c r="T367" s="450"/>
      <c r="U367" s="451"/>
      <c r="V367" s="450"/>
      <c r="W367" s="450"/>
      <c r="X367" s="450"/>
      <c r="Y367" s="452"/>
      <c r="Z367" s="452"/>
      <c r="AA367" s="453"/>
      <c r="AB367" s="453"/>
      <c r="AC367" s="453"/>
      <c r="AD367" s="452"/>
      <c r="AE367" s="452"/>
      <c r="AF367" s="452"/>
      <c r="AG367" s="450"/>
      <c r="AH367" s="450"/>
      <c r="AI367" s="450"/>
      <c r="AJ367" s="450"/>
      <c r="AK367" s="450"/>
      <c r="AL367" s="450"/>
      <c r="AM367" s="450"/>
      <c r="AN367" s="450"/>
      <c r="AO367" s="450"/>
      <c r="AP367" s="450"/>
      <c r="AQ367" s="450"/>
      <c r="AR367" s="450"/>
      <c r="AS367" s="450"/>
      <c r="AT367" s="450"/>
      <c r="AU367" s="450"/>
      <c r="AV367" s="450"/>
      <c r="AW367" s="450"/>
      <c r="AX367" s="450"/>
      <c r="AY367" s="450"/>
      <c r="AZ367" s="450"/>
      <c r="BA367" s="450"/>
      <c r="BB367" s="450"/>
      <c r="BC367" s="453"/>
      <c r="BD367" s="453"/>
      <c r="BE367" s="453"/>
      <c r="BF367" s="453"/>
      <c r="BG367" s="453"/>
      <c r="BH367" s="453"/>
      <c r="BI367" s="453"/>
      <c r="BJ367" s="453"/>
      <c r="BK367" s="453"/>
      <c r="BL367" s="453"/>
      <c r="BM367" s="453"/>
      <c r="BN367" s="453"/>
      <c r="BO367" s="453"/>
      <c r="BP367" s="452"/>
      <c r="BQ367" s="450"/>
      <c r="BR367" s="450"/>
      <c r="BS367" s="450"/>
      <c r="BT367" s="450"/>
      <c r="BU367" s="450"/>
      <c r="BV367" s="450"/>
      <c r="BW367" s="454"/>
      <c r="BX367" s="450"/>
    </row>
    <row r="368" ht="14.25" customHeight="1">
      <c r="A368" s="450"/>
      <c r="B368" s="450"/>
      <c r="C368" s="450"/>
      <c r="D368" s="450"/>
      <c r="E368" s="450"/>
      <c r="F368" s="450"/>
      <c r="G368" s="450"/>
      <c r="H368" s="450"/>
      <c r="I368" s="450"/>
      <c r="J368" s="450"/>
      <c r="K368" s="450"/>
      <c r="L368" s="450"/>
      <c r="M368" s="450"/>
      <c r="N368" s="450"/>
      <c r="O368" s="450"/>
      <c r="P368" s="450"/>
      <c r="Q368" s="450"/>
      <c r="R368" s="450"/>
      <c r="S368" s="450"/>
      <c r="T368" s="450"/>
      <c r="U368" s="451"/>
      <c r="V368" s="450"/>
      <c r="W368" s="450"/>
      <c r="X368" s="450"/>
      <c r="Y368" s="452"/>
      <c r="Z368" s="452"/>
      <c r="AA368" s="453"/>
      <c r="AB368" s="453"/>
      <c r="AC368" s="453"/>
      <c r="AD368" s="452"/>
      <c r="AE368" s="452"/>
      <c r="AF368" s="452"/>
      <c r="AG368" s="450"/>
      <c r="AH368" s="450"/>
      <c r="AI368" s="450"/>
      <c r="AJ368" s="450"/>
      <c r="AK368" s="450"/>
      <c r="AL368" s="450"/>
      <c r="AM368" s="450"/>
      <c r="AN368" s="450"/>
      <c r="AO368" s="450"/>
      <c r="AP368" s="450"/>
      <c r="AQ368" s="450"/>
      <c r="AR368" s="450"/>
      <c r="AS368" s="450"/>
      <c r="AT368" s="450"/>
      <c r="AU368" s="450"/>
      <c r="AV368" s="450"/>
      <c r="AW368" s="450"/>
      <c r="AX368" s="450"/>
      <c r="AY368" s="450"/>
      <c r="AZ368" s="450"/>
      <c r="BA368" s="450"/>
      <c r="BB368" s="450"/>
      <c r="BC368" s="453"/>
      <c r="BD368" s="453"/>
      <c r="BE368" s="453"/>
      <c r="BF368" s="453"/>
      <c r="BG368" s="453"/>
      <c r="BH368" s="453"/>
      <c r="BI368" s="453"/>
      <c r="BJ368" s="453"/>
      <c r="BK368" s="453"/>
      <c r="BL368" s="453"/>
      <c r="BM368" s="453"/>
      <c r="BN368" s="453"/>
      <c r="BO368" s="453"/>
      <c r="BP368" s="452"/>
      <c r="BQ368" s="450"/>
      <c r="BR368" s="450"/>
      <c r="BS368" s="450"/>
      <c r="BT368" s="450"/>
      <c r="BU368" s="450"/>
      <c r="BV368" s="450"/>
      <c r="BW368" s="454"/>
      <c r="BX368" s="450"/>
    </row>
    <row r="369" ht="14.25" customHeight="1">
      <c r="A369" s="450"/>
      <c r="B369" s="450"/>
      <c r="C369" s="450"/>
      <c r="D369" s="450"/>
      <c r="E369" s="450"/>
      <c r="F369" s="450"/>
      <c r="G369" s="450"/>
      <c r="H369" s="450"/>
      <c r="I369" s="450"/>
      <c r="J369" s="450"/>
      <c r="K369" s="450"/>
      <c r="L369" s="450"/>
      <c r="M369" s="450"/>
      <c r="N369" s="450"/>
      <c r="O369" s="450"/>
      <c r="P369" s="450"/>
      <c r="Q369" s="450"/>
      <c r="R369" s="450"/>
      <c r="S369" s="450"/>
      <c r="T369" s="450"/>
      <c r="U369" s="451"/>
      <c r="V369" s="450"/>
      <c r="W369" s="450"/>
      <c r="X369" s="450"/>
      <c r="Y369" s="452"/>
      <c r="Z369" s="452"/>
      <c r="AA369" s="453"/>
      <c r="AB369" s="453"/>
      <c r="AC369" s="453"/>
      <c r="AD369" s="452"/>
      <c r="AE369" s="452"/>
      <c r="AF369" s="452"/>
      <c r="AG369" s="450"/>
      <c r="AH369" s="450"/>
      <c r="AI369" s="450"/>
      <c r="AJ369" s="450"/>
      <c r="AK369" s="450"/>
      <c r="AL369" s="450"/>
      <c r="AM369" s="450"/>
      <c r="AN369" s="450"/>
      <c r="AO369" s="450"/>
      <c r="AP369" s="450"/>
      <c r="AQ369" s="450"/>
      <c r="AR369" s="450"/>
      <c r="AS369" s="450"/>
      <c r="AT369" s="450"/>
      <c r="AU369" s="450"/>
      <c r="AV369" s="450"/>
      <c r="AW369" s="450"/>
      <c r="AX369" s="450"/>
      <c r="AY369" s="450"/>
      <c r="AZ369" s="450"/>
      <c r="BA369" s="450"/>
      <c r="BB369" s="450"/>
      <c r="BC369" s="453"/>
      <c r="BD369" s="453"/>
      <c r="BE369" s="453"/>
      <c r="BF369" s="453"/>
      <c r="BG369" s="453"/>
      <c r="BH369" s="453"/>
      <c r="BI369" s="453"/>
      <c r="BJ369" s="453"/>
      <c r="BK369" s="453"/>
      <c r="BL369" s="453"/>
      <c r="BM369" s="453"/>
      <c r="BN369" s="453"/>
      <c r="BO369" s="453"/>
      <c r="BP369" s="452"/>
      <c r="BQ369" s="450"/>
      <c r="BR369" s="450"/>
      <c r="BS369" s="450"/>
      <c r="BT369" s="450"/>
      <c r="BU369" s="450"/>
      <c r="BV369" s="450"/>
      <c r="BW369" s="454"/>
      <c r="BX369" s="450"/>
    </row>
    <row r="370" ht="14.25" customHeight="1">
      <c r="A370" s="450"/>
      <c r="B370" s="450"/>
      <c r="C370" s="450"/>
      <c r="D370" s="450"/>
      <c r="E370" s="450"/>
      <c r="F370" s="450"/>
      <c r="G370" s="450"/>
      <c r="H370" s="450"/>
      <c r="I370" s="450"/>
      <c r="J370" s="450"/>
      <c r="K370" s="450"/>
      <c r="L370" s="450"/>
      <c r="M370" s="450"/>
      <c r="N370" s="450"/>
      <c r="O370" s="450"/>
      <c r="P370" s="450"/>
      <c r="Q370" s="450"/>
      <c r="R370" s="450"/>
      <c r="S370" s="450"/>
      <c r="T370" s="450"/>
      <c r="U370" s="451"/>
      <c r="V370" s="450"/>
      <c r="W370" s="450"/>
      <c r="X370" s="450"/>
      <c r="Y370" s="452"/>
      <c r="Z370" s="452"/>
      <c r="AA370" s="453"/>
      <c r="AB370" s="453"/>
      <c r="AC370" s="453"/>
      <c r="AD370" s="452"/>
      <c r="AE370" s="452"/>
      <c r="AF370" s="452"/>
      <c r="AG370" s="450"/>
      <c r="AH370" s="450"/>
      <c r="AI370" s="450"/>
      <c r="AJ370" s="450"/>
      <c r="AK370" s="450"/>
      <c r="AL370" s="450"/>
      <c r="AM370" s="450"/>
      <c r="AN370" s="450"/>
      <c r="AO370" s="450"/>
      <c r="AP370" s="450"/>
      <c r="AQ370" s="450"/>
      <c r="AR370" s="450"/>
      <c r="AS370" s="450"/>
      <c r="AT370" s="450"/>
      <c r="AU370" s="450"/>
      <c r="AV370" s="450"/>
      <c r="AW370" s="450"/>
      <c r="AX370" s="450"/>
      <c r="AY370" s="450"/>
      <c r="AZ370" s="450"/>
      <c r="BA370" s="450"/>
      <c r="BB370" s="450"/>
      <c r="BC370" s="453"/>
      <c r="BD370" s="453"/>
      <c r="BE370" s="453"/>
      <c r="BF370" s="453"/>
      <c r="BG370" s="453"/>
      <c r="BH370" s="453"/>
      <c r="BI370" s="453"/>
      <c r="BJ370" s="453"/>
      <c r="BK370" s="453"/>
      <c r="BL370" s="453"/>
      <c r="BM370" s="453"/>
      <c r="BN370" s="453"/>
      <c r="BO370" s="453"/>
      <c r="BP370" s="452"/>
      <c r="BQ370" s="450"/>
      <c r="BR370" s="450"/>
      <c r="BS370" s="450"/>
      <c r="BT370" s="450"/>
      <c r="BU370" s="450"/>
      <c r="BV370" s="450"/>
      <c r="BW370" s="454"/>
      <c r="BX370" s="450"/>
    </row>
    <row r="371" ht="14.25" customHeight="1">
      <c r="A371" s="450"/>
      <c r="B371" s="450"/>
      <c r="C371" s="450"/>
      <c r="D371" s="450"/>
      <c r="E371" s="450"/>
      <c r="F371" s="450"/>
      <c r="G371" s="450"/>
      <c r="H371" s="450"/>
      <c r="I371" s="450"/>
      <c r="J371" s="450"/>
      <c r="K371" s="450"/>
      <c r="L371" s="450"/>
      <c r="M371" s="450"/>
      <c r="N371" s="450"/>
      <c r="O371" s="450"/>
      <c r="P371" s="450"/>
      <c r="Q371" s="450"/>
      <c r="R371" s="450"/>
      <c r="S371" s="450"/>
      <c r="T371" s="450"/>
      <c r="U371" s="451"/>
      <c r="V371" s="450"/>
      <c r="W371" s="450"/>
      <c r="X371" s="450"/>
      <c r="Y371" s="452"/>
      <c r="Z371" s="452"/>
      <c r="AA371" s="453"/>
      <c r="AB371" s="453"/>
      <c r="AC371" s="453"/>
      <c r="AD371" s="452"/>
      <c r="AE371" s="452"/>
      <c r="AF371" s="452"/>
      <c r="AG371" s="450"/>
      <c r="AH371" s="450"/>
      <c r="AI371" s="450"/>
      <c r="AJ371" s="450"/>
      <c r="AK371" s="450"/>
      <c r="AL371" s="450"/>
      <c r="AM371" s="450"/>
      <c r="AN371" s="450"/>
      <c r="AO371" s="450"/>
      <c r="AP371" s="450"/>
      <c r="AQ371" s="450"/>
      <c r="AR371" s="450"/>
      <c r="AS371" s="450"/>
      <c r="AT371" s="450"/>
      <c r="AU371" s="450"/>
      <c r="AV371" s="450"/>
      <c r="AW371" s="450"/>
      <c r="AX371" s="450"/>
      <c r="AY371" s="450"/>
      <c r="AZ371" s="450"/>
      <c r="BA371" s="450"/>
      <c r="BB371" s="450"/>
      <c r="BC371" s="453"/>
      <c r="BD371" s="453"/>
      <c r="BE371" s="453"/>
      <c r="BF371" s="453"/>
      <c r="BG371" s="453"/>
      <c r="BH371" s="453"/>
      <c r="BI371" s="453"/>
      <c r="BJ371" s="453"/>
      <c r="BK371" s="453"/>
      <c r="BL371" s="453"/>
      <c r="BM371" s="453"/>
      <c r="BN371" s="453"/>
      <c r="BO371" s="453"/>
      <c r="BP371" s="452"/>
      <c r="BQ371" s="450"/>
      <c r="BR371" s="450"/>
      <c r="BS371" s="450"/>
      <c r="BT371" s="450"/>
      <c r="BU371" s="450"/>
      <c r="BV371" s="450"/>
      <c r="BW371" s="454"/>
      <c r="BX371" s="450"/>
    </row>
    <row r="372" ht="14.25" customHeight="1">
      <c r="A372" s="450"/>
      <c r="B372" s="450"/>
      <c r="C372" s="450"/>
      <c r="D372" s="450"/>
      <c r="E372" s="450"/>
      <c r="F372" s="450"/>
      <c r="G372" s="450"/>
      <c r="H372" s="450"/>
      <c r="I372" s="450"/>
      <c r="J372" s="450"/>
      <c r="K372" s="450"/>
      <c r="L372" s="450"/>
      <c r="M372" s="450"/>
      <c r="N372" s="450"/>
      <c r="O372" s="450"/>
      <c r="P372" s="450"/>
      <c r="Q372" s="450"/>
      <c r="R372" s="450"/>
      <c r="S372" s="450"/>
      <c r="T372" s="450"/>
      <c r="U372" s="451"/>
      <c r="V372" s="450"/>
      <c r="W372" s="450"/>
      <c r="X372" s="450"/>
      <c r="Y372" s="452"/>
      <c r="Z372" s="452"/>
      <c r="AA372" s="453"/>
      <c r="AB372" s="453"/>
      <c r="AC372" s="453"/>
      <c r="AD372" s="452"/>
      <c r="AE372" s="452"/>
      <c r="AF372" s="452"/>
      <c r="AG372" s="450"/>
      <c r="AH372" s="450"/>
      <c r="AI372" s="450"/>
      <c r="AJ372" s="450"/>
      <c r="AK372" s="450"/>
      <c r="AL372" s="450"/>
      <c r="AM372" s="450"/>
      <c r="AN372" s="450"/>
      <c r="AO372" s="450"/>
      <c r="AP372" s="450"/>
      <c r="AQ372" s="450"/>
      <c r="AR372" s="450"/>
      <c r="AS372" s="450"/>
      <c r="AT372" s="450"/>
      <c r="AU372" s="450"/>
      <c r="AV372" s="450"/>
      <c r="AW372" s="450"/>
      <c r="AX372" s="450"/>
      <c r="AY372" s="450"/>
      <c r="AZ372" s="450"/>
      <c r="BA372" s="450"/>
      <c r="BB372" s="450"/>
      <c r="BC372" s="453"/>
      <c r="BD372" s="453"/>
      <c r="BE372" s="453"/>
      <c r="BF372" s="453"/>
      <c r="BG372" s="453"/>
      <c r="BH372" s="453"/>
      <c r="BI372" s="453"/>
      <c r="BJ372" s="453"/>
      <c r="BK372" s="453"/>
      <c r="BL372" s="453"/>
      <c r="BM372" s="453"/>
      <c r="BN372" s="453"/>
      <c r="BO372" s="453"/>
      <c r="BP372" s="452"/>
      <c r="BQ372" s="450"/>
      <c r="BR372" s="450"/>
      <c r="BS372" s="450"/>
      <c r="BT372" s="450"/>
      <c r="BU372" s="450"/>
      <c r="BV372" s="450"/>
      <c r="BW372" s="454"/>
      <c r="BX372" s="450"/>
    </row>
    <row r="373" ht="14.25" customHeight="1">
      <c r="A373" s="450"/>
      <c r="B373" s="450"/>
      <c r="C373" s="450"/>
      <c r="D373" s="450"/>
      <c r="E373" s="450"/>
      <c r="F373" s="450"/>
      <c r="G373" s="450"/>
      <c r="H373" s="450"/>
      <c r="I373" s="450"/>
      <c r="J373" s="450"/>
      <c r="K373" s="450"/>
      <c r="L373" s="450"/>
      <c r="M373" s="450"/>
      <c r="N373" s="450"/>
      <c r="O373" s="450"/>
      <c r="P373" s="450"/>
      <c r="Q373" s="450"/>
      <c r="R373" s="450"/>
      <c r="S373" s="450"/>
      <c r="T373" s="450"/>
      <c r="U373" s="451"/>
      <c r="V373" s="450"/>
      <c r="W373" s="450"/>
      <c r="X373" s="450"/>
      <c r="Y373" s="452"/>
      <c r="Z373" s="452"/>
      <c r="AA373" s="453"/>
      <c r="AB373" s="453"/>
      <c r="AC373" s="453"/>
      <c r="AD373" s="452"/>
      <c r="AE373" s="452"/>
      <c r="AF373" s="452"/>
      <c r="AG373" s="450"/>
      <c r="AH373" s="450"/>
      <c r="AI373" s="450"/>
      <c r="AJ373" s="450"/>
      <c r="AK373" s="450"/>
      <c r="AL373" s="450"/>
      <c r="AM373" s="450"/>
      <c r="AN373" s="450"/>
      <c r="AO373" s="450"/>
      <c r="AP373" s="450"/>
      <c r="AQ373" s="450"/>
      <c r="AR373" s="450"/>
      <c r="AS373" s="450"/>
      <c r="AT373" s="450"/>
      <c r="AU373" s="450"/>
      <c r="AV373" s="450"/>
      <c r="AW373" s="450"/>
      <c r="AX373" s="450"/>
      <c r="AY373" s="450"/>
      <c r="AZ373" s="450"/>
      <c r="BA373" s="450"/>
      <c r="BB373" s="450"/>
      <c r="BC373" s="453"/>
      <c r="BD373" s="453"/>
      <c r="BE373" s="453"/>
      <c r="BF373" s="453"/>
      <c r="BG373" s="453"/>
      <c r="BH373" s="453"/>
      <c r="BI373" s="453"/>
      <c r="BJ373" s="453"/>
      <c r="BK373" s="453"/>
      <c r="BL373" s="453"/>
      <c r="BM373" s="453"/>
      <c r="BN373" s="453"/>
      <c r="BO373" s="453"/>
      <c r="BP373" s="452"/>
      <c r="BQ373" s="450"/>
      <c r="BR373" s="450"/>
      <c r="BS373" s="450"/>
      <c r="BT373" s="450"/>
      <c r="BU373" s="450"/>
      <c r="BV373" s="450"/>
      <c r="BW373" s="454"/>
      <c r="BX373" s="450"/>
    </row>
    <row r="374" ht="14.25" customHeight="1">
      <c r="A374" s="450"/>
      <c r="B374" s="450"/>
      <c r="C374" s="450"/>
      <c r="D374" s="450"/>
      <c r="E374" s="450"/>
      <c r="F374" s="450"/>
      <c r="G374" s="450"/>
      <c r="H374" s="450"/>
      <c r="I374" s="450"/>
      <c r="J374" s="450"/>
      <c r="K374" s="450"/>
      <c r="L374" s="450"/>
      <c r="M374" s="450"/>
      <c r="N374" s="450"/>
      <c r="O374" s="450"/>
      <c r="P374" s="450"/>
      <c r="Q374" s="450"/>
      <c r="R374" s="450"/>
      <c r="S374" s="450"/>
      <c r="T374" s="450"/>
      <c r="U374" s="451"/>
      <c r="V374" s="450"/>
      <c r="W374" s="450"/>
      <c r="X374" s="450"/>
      <c r="Y374" s="452"/>
      <c r="Z374" s="452"/>
      <c r="AA374" s="453"/>
      <c r="AB374" s="453"/>
      <c r="AC374" s="453"/>
      <c r="AD374" s="452"/>
      <c r="AE374" s="452"/>
      <c r="AF374" s="452"/>
      <c r="AG374" s="450"/>
      <c r="AH374" s="450"/>
      <c r="AI374" s="450"/>
      <c r="AJ374" s="450"/>
      <c r="AK374" s="450"/>
      <c r="AL374" s="450"/>
      <c r="AM374" s="450"/>
      <c r="AN374" s="450"/>
      <c r="AO374" s="450"/>
      <c r="AP374" s="450"/>
      <c r="AQ374" s="450"/>
      <c r="AR374" s="450"/>
      <c r="AS374" s="450"/>
      <c r="AT374" s="450"/>
      <c r="AU374" s="450"/>
      <c r="AV374" s="450"/>
      <c r="AW374" s="450"/>
      <c r="AX374" s="450"/>
      <c r="AY374" s="450"/>
      <c r="AZ374" s="450"/>
      <c r="BA374" s="450"/>
      <c r="BB374" s="450"/>
      <c r="BC374" s="453"/>
      <c r="BD374" s="453"/>
      <c r="BE374" s="453"/>
      <c r="BF374" s="453"/>
      <c r="BG374" s="453"/>
      <c r="BH374" s="453"/>
      <c r="BI374" s="453"/>
      <c r="BJ374" s="453"/>
      <c r="BK374" s="453"/>
      <c r="BL374" s="453"/>
      <c r="BM374" s="453"/>
      <c r="BN374" s="453"/>
      <c r="BO374" s="453"/>
      <c r="BP374" s="452"/>
      <c r="BQ374" s="450"/>
      <c r="BR374" s="450"/>
      <c r="BS374" s="450"/>
      <c r="BT374" s="450"/>
      <c r="BU374" s="450"/>
      <c r="BV374" s="450"/>
      <c r="BW374" s="454"/>
      <c r="BX374" s="450"/>
    </row>
    <row r="375" ht="14.25" customHeight="1">
      <c r="A375" s="450"/>
      <c r="B375" s="450"/>
      <c r="C375" s="450"/>
      <c r="D375" s="450"/>
      <c r="E375" s="450"/>
      <c r="F375" s="450"/>
      <c r="G375" s="450"/>
      <c r="H375" s="450"/>
      <c r="I375" s="450"/>
      <c r="J375" s="450"/>
      <c r="K375" s="450"/>
      <c r="L375" s="450"/>
      <c r="M375" s="450"/>
      <c r="N375" s="450"/>
      <c r="O375" s="450"/>
      <c r="P375" s="450"/>
      <c r="Q375" s="450"/>
      <c r="R375" s="450"/>
      <c r="S375" s="450"/>
      <c r="T375" s="450"/>
      <c r="U375" s="451"/>
      <c r="V375" s="450"/>
      <c r="W375" s="450"/>
      <c r="X375" s="450"/>
      <c r="Y375" s="452"/>
      <c r="Z375" s="452"/>
      <c r="AA375" s="453"/>
      <c r="AB375" s="453"/>
      <c r="AC375" s="453"/>
      <c r="AD375" s="452"/>
      <c r="AE375" s="452"/>
      <c r="AF375" s="452"/>
      <c r="AG375" s="450"/>
      <c r="AH375" s="450"/>
      <c r="AI375" s="450"/>
      <c r="AJ375" s="450"/>
      <c r="AK375" s="450"/>
      <c r="AL375" s="450"/>
      <c r="AM375" s="450"/>
      <c r="AN375" s="450"/>
      <c r="AO375" s="450"/>
      <c r="AP375" s="450"/>
      <c r="AQ375" s="450"/>
      <c r="AR375" s="450"/>
      <c r="AS375" s="450"/>
      <c r="AT375" s="450"/>
      <c r="AU375" s="450"/>
      <c r="AV375" s="450"/>
      <c r="AW375" s="450"/>
      <c r="AX375" s="450"/>
      <c r="AY375" s="450"/>
      <c r="AZ375" s="450"/>
      <c r="BA375" s="450"/>
      <c r="BB375" s="450"/>
      <c r="BC375" s="453"/>
      <c r="BD375" s="453"/>
      <c r="BE375" s="453"/>
      <c r="BF375" s="453"/>
      <c r="BG375" s="453"/>
      <c r="BH375" s="453"/>
      <c r="BI375" s="453"/>
      <c r="BJ375" s="453"/>
      <c r="BK375" s="453"/>
      <c r="BL375" s="453"/>
      <c r="BM375" s="453"/>
      <c r="BN375" s="453"/>
      <c r="BO375" s="453"/>
      <c r="BP375" s="452"/>
      <c r="BQ375" s="450"/>
      <c r="BR375" s="450"/>
      <c r="BS375" s="450"/>
      <c r="BT375" s="450"/>
      <c r="BU375" s="450"/>
      <c r="BV375" s="450"/>
      <c r="BW375" s="454"/>
      <c r="BX375" s="450"/>
    </row>
    <row r="376" ht="14.25" customHeight="1">
      <c r="A376" s="450"/>
      <c r="B376" s="450"/>
      <c r="C376" s="450"/>
      <c r="D376" s="450"/>
      <c r="E376" s="450"/>
      <c r="F376" s="450"/>
      <c r="G376" s="450"/>
      <c r="H376" s="450"/>
      <c r="I376" s="450"/>
      <c r="J376" s="450"/>
      <c r="K376" s="450"/>
      <c r="L376" s="450"/>
      <c r="M376" s="450"/>
      <c r="N376" s="450"/>
      <c r="O376" s="450"/>
      <c r="P376" s="450"/>
      <c r="Q376" s="450"/>
      <c r="R376" s="450"/>
      <c r="S376" s="450"/>
      <c r="T376" s="450"/>
      <c r="U376" s="451"/>
      <c r="V376" s="450"/>
      <c r="W376" s="450"/>
      <c r="X376" s="450"/>
      <c r="Y376" s="452"/>
      <c r="Z376" s="452"/>
      <c r="AA376" s="453"/>
      <c r="AB376" s="453"/>
      <c r="AC376" s="453"/>
      <c r="AD376" s="452"/>
      <c r="AE376" s="452"/>
      <c r="AF376" s="452"/>
      <c r="AG376" s="450"/>
      <c r="AH376" s="450"/>
      <c r="AI376" s="450"/>
      <c r="AJ376" s="450"/>
      <c r="AK376" s="450"/>
      <c r="AL376" s="450"/>
      <c r="AM376" s="450"/>
      <c r="AN376" s="450"/>
      <c r="AO376" s="450"/>
      <c r="AP376" s="450"/>
      <c r="AQ376" s="450"/>
      <c r="AR376" s="450"/>
      <c r="AS376" s="450"/>
      <c r="AT376" s="450"/>
      <c r="AU376" s="450"/>
      <c r="AV376" s="450"/>
      <c r="AW376" s="450"/>
      <c r="AX376" s="450"/>
      <c r="AY376" s="450"/>
      <c r="AZ376" s="450"/>
      <c r="BA376" s="450"/>
      <c r="BB376" s="450"/>
      <c r="BC376" s="453"/>
      <c r="BD376" s="453"/>
      <c r="BE376" s="453"/>
      <c r="BF376" s="453"/>
      <c r="BG376" s="453"/>
      <c r="BH376" s="453"/>
      <c r="BI376" s="453"/>
      <c r="BJ376" s="453"/>
      <c r="BK376" s="453"/>
      <c r="BL376" s="453"/>
      <c r="BM376" s="453"/>
      <c r="BN376" s="453"/>
      <c r="BO376" s="453"/>
      <c r="BP376" s="452"/>
      <c r="BQ376" s="450"/>
      <c r="BR376" s="450"/>
      <c r="BS376" s="450"/>
      <c r="BT376" s="450"/>
      <c r="BU376" s="450"/>
      <c r="BV376" s="450"/>
      <c r="BW376" s="454"/>
      <c r="BX376" s="450"/>
    </row>
    <row r="377" ht="14.25" customHeight="1">
      <c r="A377" s="450"/>
      <c r="B377" s="450"/>
      <c r="C377" s="450"/>
      <c r="D377" s="450"/>
      <c r="E377" s="450"/>
      <c r="F377" s="450"/>
      <c r="G377" s="450"/>
      <c r="H377" s="450"/>
      <c r="I377" s="450"/>
      <c r="J377" s="450"/>
      <c r="K377" s="450"/>
      <c r="L377" s="450"/>
      <c r="M377" s="450"/>
      <c r="N377" s="450"/>
      <c r="O377" s="450"/>
      <c r="P377" s="450"/>
      <c r="Q377" s="450"/>
      <c r="R377" s="450"/>
      <c r="S377" s="450"/>
      <c r="T377" s="450"/>
      <c r="U377" s="451"/>
      <c r="V377" s="450"/>
      <c r="W377" s="450"/>
      <c r="X377" s="450"/>
      <c r="Y377" s="452"/>
      <c r="Z377" s="452"/>
      <c r="AA377" s="453"/>
      <c r="AB377" s="453"/>
      <c r="AC377" s="453"/>
      <c r="AD377" s="452"/>
      <c r="AE377" s="452"/>
      <c r="AF377" s="452"/>
      <c r="AG377" s="450"/>
      <c r="AH377" s="450"/>
      <c r="AI377" s="450"/>
      <c r="AJ377" s="450"/>
      <c r="AK377" s="450"/>
      <c r="AL377" s="450"/>
      <c r="AM377" s="450"/>
      <c r="AN377" s="450"/>
      <c r="AO377" s="450"/>
      <c r="AP377" s="450"/>
      <c r="AQ377" s="450"/>
      <c r="AR377" s="450"/>
      <c r="AS377" s="450"/>
      <c r="AT377" s="450"/>
      <c r="AU377" s="450"/>
      <c r="AV377" s="450"/>
      <c r="AW377" s="450"/>
      <c r="AX377" s="450"/>
      <c r="AY377" s="450"/>
      <c r="AZ377" s="450"/>
      <c r="BA377" s="450"/>
      <c r="BB377" s="450"/>
      <c r="BC377" s="453"/>
      <c r="BD377" s="453"/>
      <c r="BE377" s="453"/>
      <c r="BF377" s="453"/>
      <c r="BG377" s="453"/>
      <c r="BH377" s="453"/>
      <c r="BI377" s="453"/>
      <c r="BJ377" s="453"/>
      <c r="BK377" s="453"/>
      <c r="BL377" s="453"/>
      <c r="BM377" s="453"/>
      <c r="BN377" s="453"/>
      <c r="BO377" s="453"/>
      <c r="BP377" s="452"/>
      <c r="BQ377" s="450"/>
      <c r="BR377" s="450"/>
      <c r="BS377" s="450"/>
      <c r="BT377" s="450"/>
      <c r="BU377" s="450"/>
      <c r="BV377" s="450"/>
      <c r="BW377" s="454"/>
      <c r="BX377" s="450"/>
    </row>
    <row r="378" ht="14.25" customHeight="1">
      <c r="A378" s="450"/>
      <c r="B378" s="450"/>
      <c r="C378" s="450"/>
      <c r="D378" s="450"/>
      <c r="E378" s="450"/>
      <c r="F378" s="450"/>
      <c r="G378" s="450"/>
      <c r="H378" s="450"/>
      <c r="I378" s="450"/>
      <c r="J378" s="450"/>
      <c r="K378" s="450"/>
      <c r="L378" s="450"/>
      <c r="M378" s="450"/>
      <c r="N378" s="450"/>
      <c r="O378" s="450"/>
      <c r="P378" s="450"/>
      <c r="Q378" s="450"/>
      <c r="R378" s="450"/>
      <c r="S378" s="450"/>
      <c r="T378" s="450"/>
      <c r="U378" s="451"/>
      <c r="V378" s="450"/>
      <c r="W378" s="450"/>
      <c r="X378" s="450"/>
      <c r="Y378" s="452"/>
      <c r="Z378" s="452"/>
      <c r="AA378" s="453"/>
      <c r="AB378" s="453"/>
      <c r="AC378" s="453"/>
      <c r="AD378" s="452"/>
      <c r="AE378" s="452"/>
      <c r="AF378" s="452"/>
      <c r="AG378" s="450"/>
      <c r="AH378" s="450"/>
      <c r="AI378" s="450"/>
      <c r="AJ378" s="450"/>
      <c r="AK378" s="450"/>
      <c r="AL378" s="450"/>
      <c r="AM378" s="450"/>
      <c r="AN378" s="450"/>
      <c r="AO378" s="450"/>
      <c r="AP378" s="450"/>
      <c r="AQ378" s="450"/>
      <c r="AR378" s="450"/>
      <c r="AS378" s="450"/>
      <c r="AT378" s="450"/>
      <c r="AU378" s="450"/>
      <c r="AV378" s="450"/>
      <c r="AW378" s="450"/>
      <c r="AX378" s="450"/>
      <c r="AY378" s="450"/>
      <c r="AZ378" s="450"/>
      <c r="BA378" s="450"/>
      <c r="BB378" s="450"/>
      <c r="BC378" s="453"/>
      <c r="BD378" s="453"/>
      <c r="BE378" s="453"/>
      <c r="BF378" s="453"/>
      <c r="BG378" s="453"/>
      <c r="BH378" s="453"/>
      <c r="BI378" s="453"/>
      <c r="BJ378" s="453"/>
      <c r="BK378" s="453"/>
      <c r="BL378" s="453"/>
      <c r="BM378" s="453"/>
      <c r="BN378" s="453"/>
      <c r="BO378" s="453"/>
      <c r="BP378" s="452"/>
      <c r="BQ378" s="450"/>
      <c r="BR378" s="450"/>
      <c r="BS378" s="450"/>
      <c r="BT378" s="450"/>
      <c r="BU378" s="450"/>
      <c r="BV378" s="450"/>
      <c r="BW378" s="454"/>
      <c r="BX378" s="450"/>
    </row>
    <row r="379" ht="14.25" customHeight="1">
      <c r="A379" s="450"/>
      <c r="B379" s="450"/>
      <c r="C379" s="450"/>
      <c r="D379" s="450"/>
      <c r="E379" s="450"/>
      <c r="F379" s="450"/>
      <c r="G379" s="450"/>
      <c r="H379" s="450"/>
      <c r="I379" s="450"/>
      <c r="J379" s="450"/>
      <c r="K379" s="450"/>
      <c r="L379" s="450"/>
      <c r="M379" s="450"/>
      <c r="N379" s="450"/>
      <c r="O379" s="450"/>
      <c r="P379" s="450"/>
      <c r="Q379" s="450"/>
      <c r="R379" s="450"/>
      <c r="S379" s="450"/>
      <c r="T379" s="450"/>
      <c r="U379" s="451"/>
      <c r="V379" s="450"/>
      <c r="W379" s="450"/>
      <c r="X379" s="450"/>
      <c r="Y379" s="452"/>
      <c r="Z379" s="452"/>
      <c r="AA379" s="453"/>
      <c r="AB379" s="453"/>
      <c r="AC379" s="453"/>
      <c r="AD379" s="452"/>
      <c r="AE379" s="452"/>
      <c r="AF379" s="452"/>
      <c r="AG379" s="450"/>
      <c r="AH379" s="450"/>
      <c r="AI379" s="450"/>
      <c r="AJ379" s="450"/>
      <c r="AK379" s="450"/>
      <c r="AL379" s="450"/>
      <c r="AM379" s="450"/>
      <c r="AN379" s="450"/>
      <c r="AO379" s="450"/>
      <c r="AP379" s="450"/>
      <c r="AQ379" s="450"/>
      <c r="AR379" s="450"/>
      <c r="AS379" s="450"/>
      <c r="AT379" s="450"/>
      <c r="AU379" s="450"/>
      <c r="AV379" s="450"/>
      <c r="AW379" s="450"/>
      <c r="AX379" s="450"/>
      <c r="AY379" s="450"/>
      <c r="AZ379" s="450"/>
      <c r="BA379" s="450"/>
      <c r="BB379" s="450"/>
      <c r="BC379" s="453"/>
      <c r="BD379" s="453"/>
      <c r="BE379" s="453"/>
      <c r="BF379" s="453"/>
      <c r="BG379" s="453"/>
      <c r="BH379" s="453"/>
      <c r="BI379" s="453"/>
      <c r="BJ379" s="453"/>
      <c r="BK379" s="453"/>
      <c r="BL379" s="453"/>
      <c r="BM379" s="453"/>
      <c r="BN379" s="453"/>
      <c r="BO379" s="453"/>
      <c r="BP379" s="452"/>
      <c r="BQ379" s="450"/>
      <c r="BR379" s="450"/>
      <c r="BS379" s="450"/>
      <c r="BT379" s="450"/>
      <c r="BU379" s="450"/>
      <c r="BV379" s="450"/>
      <c r="BW379" s="454"/>
      <c r="BX379" s="450"/>
    </row>
    <row r="380" ht="14.25" customHeight="1">
      <c r="A380" s="450"/>
      <c r="B380" s="450"/>
      <c r="C380" s="450"/>
      <c r="D380" s="450"/>
      <c r="E380" s="450"/>
      <c r="F380" s="450"/>
      <c r="G380" s="450"/>
      <c r="H380" s="450"/>
      <c r="I380" s="450"/>
      <c r="J380" s="450"/>
      <c r="K380" s="450"/>
      <c r="L380" s="450"/>
      <c r="M380" s="450"/>
      <c r="N380" s="450"/>
      <c r="O380" s="450"/>
      <c r="P380" s="450"/>
      <c r="Q380" s="450"/>
      <c r="R380" s="450"/>
      <c r="S380" s="450"/>
      <c r="T380" s="450"/>
      <c r="U380" s="451"/>
      <c r="V380" s="450"/>
      <c r="W380" s="450"/>
      <c r="X380" s="450"/>
      <c r="Y380" s="452"/>
      <c r="Z380" s="452"/>
      <c r="AA380" s="453"/>
      <c r="AB380" s="453"/>
      <c r="AC380" s="453"/>
      <c r="AD380" s="452"/>
      <c r="AE380" s="452"/>
      <c r="AF380" s="452"/>
      <c r="AG380" s="450"/>
      <c r="AH380" s="450"/>
      <c r="AI380" s="450"/>
      <c r="AJ380" s="450"/>
      <c r="AK380" s="450"/>
      <c r="AL380" s="450"/>
      <c r="AM380" s="450"/>
      <c r="AN380" s="450"/>
      <c r="AO380" s="450"/>
      <c r="AP380" s="450"/>
      <c r="AQ380" s="450"/>
      <c r="AR380" s="450"/>
      <c r="AS380" s="450"/>
      <c r="AT380" s="450"/>
      <c r="AU380" s="450"/>
      <c r="AV380" s="450"/>
      <c r="AW380" s="450"/>
      <c r="AX380" s="450"/>
      <c r="AY380" s="450"/>
      <c r="AZ380" s="450"/>
      <c r="BA380" s="450"/>
      <c r="BB380" s="450"/>
      <c r="BC380" s="453"/>
      <c r="BD380" s="453"/>
      <c r="BE380" s="453"/>
      <c r="BF380" s="453"/>
      <c r="BG380" s="453"/>
      <c r="BH380" s="453"/>
      <c r="BI380" s="453"/>
      <c r="BJ380" s="453"/>
      <c r="BK380" s="453"/>
      <c r="BL380" s="453"/>
      <c r="BM380" s="453"/>
      <c r="BN380" s="453"/>
      <c r="BO380" s="453"/>
      <c r="BP380" s="452"/>
      <c r="BQ380" s="450"/>
      <c r="BR380" s="450"/>
      <c r="BS380" s="450"/>
      <c r="BT380" s="450"/>
      <c r="BU380" s="450"/>
      <c r="BV380" s="450"/>
      <c r="BW380" s="454"/>
      <c r="BX380" s="450"/>
    </row>
    <row r="381" ht="14.25" customHeight="1">
      <c r="A381" s="450"/>
      <c r="B381" s="450"/>
      <c r="C381" s="450"/>
      <c r="D381" s="450"/>
      <c r="E381" s="450"/>
      <c r="F381" s="450"/>
      <c r="G381" s="450"/>
      <c r="H381" s="450"/>
      <c r="I381" s="450"/>
      <c r="J381" s="450"/>
      <c r="K381" s="450"/>
      <c r="L381" s="450"/>
      <c r="M381" s="450"/>
      <c r="N381" s="450"/>
      <c r="O381" s="450"/>
      <c r="P381" s="450"/>
      <c r="Q381" s="450"/>
      <c r="R381" s="450"/>
      <c r="S381" s="450"/>
      <c r="T381" s="450"/>
      <c r="U381" s="451"/>
      <c r="V381" s="450"/>
      <c r="W381" s="450"/>
      <c r="X381" s="450"/>
      <c r="Y381" s="452"/>
      <c r="Z381" s="452"/>
      <c r="AA381" s="453"/>
      <c r="AB381" s="453"/>
      <c r="AC381" s="453"/>
      <c r="AD381" s="452"/>
      <c r="AE381" s="452"/>
      <c r="AF381" s="452"/>
      <c r="AG381" s="450"/>
      <c r="AH381" s="450"/>
      <c r="AI381" s="450"/>
      <c r="AJ381" s="450"/>
      <c r="AK381" s="450"/>
      <c r="AL381" s="450"/>
      <c r="AM381" s="450"/>
      <c r="AN381" s="450"/>
      <c r="AO381" s="450"/>
      <c r="AP381" s="450"/>
      <c r="AQ381" s="450"/>
      <c r="AR381" s="450"/>
      <c r="AS381" s="450"/>
      <c r="AT381" s="450"/>
      <c r="AU381" s="450"/>
      <c r="AV381" s="450"/>
      <c r="AW381" s="450"/>
      <c r="AX381" s="450"/>
      <c r="AY381" s="450"/>
      <c r="AZ381" s="450"/>
      <c r="BA381" s="450"/>
      <c r="BB381" s="450"/>
      <c r="BC381" s="453"/>
      <c r="BD381" s="453"/>
      <c r="BE381" s="453"/>
      <c r="BF381" s="453"/>
      <c r="BG381" s="453"/>
      <c r="BH381" s="453"/>
      <c r="BI381" s="453"/>
      <c r="BJ381" s="453"/>
      <c r="BK381" s="453"/>
      <c r="BL381" s="453"/>
      <c r="BM381" s="453"/>
      <c r="BN381" s="453"/>
      <c r="BO381" s="453"/>
      <c r="BP381" s="452"/>
      <c r="BQ381" s="450"/>
      <c r="BR381" s="450"/>
      <c r="BS381" s="450"/>
      <c r="BT381" s="450"/>
      <c r="BU381" s="450"/>
      <c r="BV381" s="450"/>
      <c r="BW381" s="454"/>
      <c r="BX381" s="450"/>
    </row>
    <row r="382" ht="14.25" customHeight="1">
      <c r="A382" s="450"/>
      <c r="B382" s="450"/>
      <c r="C382" s="450"/>
      <c r="D382" s="450"/>
      <c r="E382" s="450"/>
      <c r="F382" s="450"/>
      <c r="G382" s="450"/>
      <c r="H382" s="450"/>
      <c r="I382" s="450"/>
      <c r="J382" s="450"/>
      <c r="K382" s="450"/>
      <c r="L382" s="450"/>
      <c r="M382" s="450"/>
      <c r="N382" s="450"/>
      <c r="O382" s="450"/>
      <c r="P382" s="450"/>
      <c r="Q382" s="450"/>
      <c r="R382" s="450"/>
      <c r="S382" s="450"/>
      <c r="T382" s="450"/>
      <c r="U382" s="451"/>
      <c r="V382" s="450"/>
      <c r="W382" s="450"/>
      <c r="X382" s="450"/>
      <c r="Y382" s="452"/>
      <c r="Z382" s="452"/>
      <c r="AA382" s="453"/>
      <c r="AB382" s="453"/>
      <c r="AC382" s="453"/>
      <c r="AD382" s="452"/>
      <c r="AE382" s="452"/>
      <c r="AF382" s="452"/>
      <c r="AG382" s="450"/>
      <c r="AH382" s="450"/>
      <c r="AI382" s="450"/>
      <c r="AJ382" s="450"/>
      <c r="AK382" s="450"/>
      <c r="AL382" s="450"/>
      <c r="AM382" s="450"/>
      <c r="AN382" s="450"/>
      <c r="AO382" s="450"/>
      <c r="AP382" s="450"/>
      <c r="AQ382" s="450"/>
      <c r="AR382" s="450"/>
      <c r="AS382" s="450"/>
      <c r="AT382" s="450"/>
      <c r="AU382" s="450"/>
      <c r="AV382" s="450"/>
      <c r="AW382" s="450"/>
      <c r="AX382" s="450"/>
      <c r="AY382" s="450"/>
      <c r="AZ382" s="450"/>
      <c r="BA382" s="450"/>
      <c r="BB382" s="450"/>
      <c r="BC382" s="453"/>
      <c r="BD382" s="453"/>
      <c r="BE382" s="453"/>
      <c r="BF382" s="453"/>
      <c r="BG382" s="453"/>
      <c r="BH382" s="453"/>
      <c r="BI382" s="453"/>
      <c r="BJ382" s="453"/>
      <c r="BK382" s="453"/>
      <c r="BL382" s="453"/>
      <c r="BM382" s="453"/>
      <c r="BN382" s="453"/>
      <c r="BO382" s="453"/>
      <c r="BP382" s="452"/>
      <c r="BQ382" s="450"/>
      <c r="BR382" s="450"/>
      <c r="BS382" s="450"/>
      <c r="BT382" s="450"/>
      <c r="BU382" s="450"/>
      <c r="BV382" s="450"/>
      <c r="BW382" s="454"/>
      <c r="BX382" s="450"/>
    </row>
    <row r="383" ht="14.25" customHeight="1">
      <c r="A383" s="450"/>
      <c r="B383" s="450"/>
      <c r="C383" s="450"/>
      <c r="D383" s="450"/>
      <c r="E383" s="450"/>
      <c r="F383" s="450"/>
      <c r="G383" s="450"/>
      <c r="H383" s="450"/>
      <c r="I383" s="450"/>
      <c r="J383" s="450"/>
      <c r="K383" s="450"/>
      <c r="L383" s="450"/>
      <c r="M383" s="450"/>
      <c r="N383" s="450"/>
      <c r="O383" s="450"/>
      <c r="P383" s="450"/>
      <c r="Q383" s="450"/>
      <c r="R383" s="450"/>
      <c r="S383" s="450"/>
      <c r="T383" s="450"/>
      <c r="U383" s="451"/>
      <c r="V383" s="450"/>
      <c r="W383" s="450"/>
      <c r="X383" s="450"/>
      <c r="Y383" s="452"/>
      <c r="Z383" s="452"/>
      <c r="AA383" s="453"/>
      <c r="AB383" s="453"/>
      <c r="AC383" s="453"/>
      <c r="AD383" s="452"/>
      <c r="AE383" s="452"/>
      <c r="AF383" s="452"/>
      <c r="AG383" s="450"/>
      <c r="AH383" s="450"/>
      <c r="AI383" s="450"/>
      <c r="AJ383" s="450"/>
      <c r="AK383" s="450"/>
      <c r="AL383" s="450"/>
      <c r="AM383" s="450"/>
      <c r="AN383" s="450"/>
      <c r="AO383" s="450"/>
      <c r="AP383" s="450"/>
      <c r="AQ383" s="450"/>
      <c r="AR383" s="450"/>
      <c r="AS383" s="450"/>
      <c r="AT383" s="450"/>
      <c r="AU383" s="450"/>
      <c r="AV383" s="450"/>
      <c r="AW383" s="450"/>
      <c r="AX383" s="450"/>
      <c r="AY383" s="450"/>
      <c r="AZ383" s="450"/>
      <c r="BA383" s="450"/>
      <c r="BB383" s="450"/>
      <c r="BC383" s="453"/>
      <c r="BD383" s="453"/>
      <c r="BE383" s="453"/>
      <c r="BF383" s="453"/>
      <c r="BG383" s="453"/>
      <c r="BH383" s="453"/>
      <c r="BI383" s="453"/>
      <c r="BJ383" s="453"/>
      <c r="BK383" s="453"/>
      <c r="BL383" s="453"/>
      <c r="BM383" s="453"/>
      <c r="BN383" s="453"/>
      <c r="BO383" s="453"/>
      <c r="BP383" s="452"/>
      <c r="BQ383" s="450"/>
      <c r="BR383" s="450"/>
      <c r="BS383" s="450"/>
      <c r="BT383" s="450"/>
      <c r="BU383" s="450"/>
      <c r="BV383" s="450"/>
      <c r="BW383" s="454"/>
      <c r="BX383" s="450"/>
    </row>
    <row r="384" ht="14.25" customHeight="1">
      <c r="A384" s="450"/>
      <c r="B384" s="450"/>
      <c r="C384" s="450"/>
      <c r="D384" s="450"/>
      <c r="E384" s="450"/>
      <c r="F384" s="450"/>
      <c r="G384" s="450"/>
      <c r="H384" s="450"/>
      <c r="I384" s="450"/>
      <c r="J384" s="450"/>
      <c r="K384" s="450"/>
      <c r="L384" s="450"/>
      <c r="M384" s="450"/>
      <c r="N384" s="450"/>
      <c r="O384" s="450"/>
      <c r="P384" s="450"/>
      <c r="Q384" s="450"/>
      <c r="R384" s="450"/>
      <c r="S384" s="450"/>
      <c r="T384" s="450"/>
      <c r="U384" s="451"/>
      <c r="V384" s="450"/>
      <c r="W384" s="450"/>
      <c r="X384" s="450"/>
      <c r="Y384" s="452"/>
      <c r="Z384" s="452"/>
      <c r="AA384" s="453"/>
      <c r="AB384" s="453"/>
      <c r="AC384" s="453"/>
      <c r="AD384" s="452"/>
      <c r="AE384" s="452"/>
      <c r="AF384" s="452"/>
      <c r="AG384" s="450"/>
      <c r="AH384" s="450"/>
      <c r="AI384" s="450"/>
      <c r="AJ384" s="450"/>
      <c r="AK384" s="450"/>
      <c r="AL384" s="450"/>
      <c r="AM384" s="450"/>
      <c r="AN384" s="450"/>
      <c r="AO384" s="450"/>
      <c r="AP384" s="450"/>
      <c r="AQ384" s="450"/>
      <c r="AR384" s="450"/>
      <c r="AS384" s="450"/>
      <c r="AT384" s="450"/>
      <c r="AU384" s="450"/>
      <c r="AV384" s="450"/>
      <c r="AW384" s="450"/>
      <c r="AX384" s="450"/>
      <c r="AY384" s="450"/>
      <c r="AZ384" s="450"/>
      <c r="BA384" s="450"/>
      <c r="BB384" s="450"/>
      <c r="BC384" s="453"/>
      <c r="BD384" s="453"/>
      <c r="BE384" s="453"/>
      <c r="BF384" s="453"/>
      <c r="BG384" s="453"/>
      <c r="BH384" s="453"/>
      <c r="BI384" s="453"/>
      <c r="BJ384" s="453"/>
      <c r="BK384" s="453"/>
      <c r="BL384" s="453"/>
      <c r="BM384" s="453"/>
      <c r="BN384" s="453"/>
      <c r="BO384" s="453"/>
      <c r="BP384" s="452"/>
      <c r="BQ384" s="450"/>
      <c r="BR384" s="450"/>
      <c r="BS384" s="450"/>
      <c r="BT384" s="450"/>
      <c r="BU384" s="450"/>
      <c r="BV384" s="450"/>
      <c r="BW384" s="454"/>
      <c r="BX384" s="450"/>
    </row>
    <row r="385" ht="14.25" customHeight="1">
      <c r="A385" s="450"/>
      <c r="B385" s="450"/>
      <c r="C385" s="450"/>
      <c r="D385" s="450"/>
      <c r="E385" s="450"/>
      <c r="F385" s="450"/>
      <c r="G385" s="450"/>
      <c r="H385" s="450"/>
      <c r="I385" s="450"/>
      <c r="J385" s="450"/>
      <c r="K385" s="450"/>
      <c r="L385" s="450"/>
      <c r="M385" s="450"/>
      <c r="N385" s="450"/>
      <c r="O385" s="450"/>
      <c r="P385" s="450"/>
      <c r="Q385" s="450"/>
      <c r="R385" s="450"/>
      <c r="S385" s="450"/>
      <c r="T385" s="450"/>
      <c r="U385" s="451"/>
      <c r="V385" s="450"/>
      <c r="W385" s="450"/>
      <c r="X385" s="450"/>
      <c r="Y385" s="452"/>
      <c r="Z385" s="452"/>
      <c r="AA385" s="453"/>
      <c r="AB385" s="453"/>
      <c r="AC385" s="453"/>
      <c r="AD385" s="452"/>
      <c r="AE385" s="452"/>
      <c r="AF385" s="452"/>
      <c r="AG385" s="450"/>
      <c r="AH385" s="450"/>
      <c r="AI385" s="450"/>
      <c r="AJ385" s="450"/>
      <c r="AK385" s="450"/>
      <c r="AL385" s="450"/>
      <c r="AM385" s="450"/>
      <c r="AN385" s="450"/>
      <c r="AO385" s="450"/>
      <c r="AP385" s="450"/>
      <c r="AQ385" s="450"/>
      <c r="AR385" s="450"/>
      <c r="AS385" s="450"/>
      <c r="AT385" s="450"/>
      <c r="AU385" s="450"/>
      <c r="AV385" s="450"/>
      <c r="AW385" s="450"/>
      <c r="AX385" s="450"/>
      <c r="AY385" s="450"/>
      <c r="AZ385" s="450"/>
      <c r="BA385" s="450"/>
      <c r="BB385" s="450"/>
      <c r="BC385" s="453"/>
      <c r="BD385" s="453"/>
      <c r="BE385" s="453"/>
      <c r="BF385" s="453"/>
      <c r="BG385" s="453"/>
      <c r="BH385" s="453"/>
      <c r="BI385" s="453"/>
      <c r="BJ385" s="453"/>
      <c r="BK385" s="453"/>
      <c r="BL385" s="453"/>
      <c r="BM385" s="453"/>
      <c r="BN385" s="453"/>
      <c r="BO385" s="453"/>
      <c r="BP385" s="452"/>
      <c r="BQ385" s="450"/>
      <c r="BR385" s="450"/>
      <c r="BS385" s="450"/>
      <c r="BT385" s="450"/>
      <c r="BU385" s="450"/>
      <c r="BV385" s="450"/>
      <c r="BW385" s="454"/>
      <c r="BX385" s="450"/>
    </row>
    <row r="386" ht="14.25" customHeight="1">
      <c r="A386" s="450"/>
      <c r="B386" s="450"/>
      <c r="C386" s="450"/>
      <c r="D386" s="450"/>
      <c r="E386" s="450"/>
      <c r="F386" s="450"/>
      <c r="G386" s="450"/>
      <c r="H386" s="450"/>
      <c r="I386" s="450"/>
      <c r="J386" s="450"/>
      <c r="K386" s="450"/>
      <c r="L386" s="450"/>
      <c r="M386" s="450"/>
      <c r="N386" s="450"/>
      <c r="O386" s="450"/>
      <c r="P386" s="450"/>
      <c r="Q386" s="450"/>
      <c r="R386" s="450"/>
      <c r="S386" s="450"/>
      <c r="T386" s="450"/>
      <c r="U386" s="451"/>
      <c r="V386" s="450"/>
      <c r="W386" s="450"/>
      <c r="X386" s="450"/>
      <c r="Y386" s="452"/>
      <c r="Z386" s="452"/>
      <c r="AA386" s="453"/>
      <c r="AB386" s="453"/>
      <c r="AC386" s="453"/>
      <c r="AD386" s="452"/>
      <c r="AE386" s="452"/>
      <c r="AF386" s="452"/>
      <c r="AG386" s="450"/>
      <c r="AH386" s="450"/>
      <c r="AI386" s="450"/>
      <c r="AJ386" s="450"/>
      <c r="AK386" s="450"/>
      <c r="AL386" s="450"/>
      <c r="AM386" s="450"/>
      <c r="AN386" s="450"/>
      <c r="AO386" s="450"/>
      <c r="AP386" s="450"/>
      <c r="AQ386" s="450"/>
      <c r="AR386" s="450"/>
      <c r="AS386" s="450"/>
      <c r="AT386" s="450"/>
      <c r="AU386" s="450"/>
      <c r="AV386" s="450"/>
      <c r="AW386" s="450"/>
      <c r="AX386" s="450"/>
      <c r="AY386" s="450"/>
      <c r="AZ386" s="450"/>
      <c r="BA386" s="450"/>
      <c r="BB386" s="450"/>
      <c r="BC386" s="453"/>
      <c r="BD386" s="453"/>
      <c r="BE386" s="453"/>
      <c r="BF386" s="453"/>
      <c r="BG386" s="453"/>
      <c r="BH386" s="453"/>
      <c r="BI386" s="453"/>
      <c r="BJ386" s="453"/>
      <c r="BK386" s="453"/>
      <c r="BL386" s="453"/>
      <c r="BM386" s="453"/>
      <c r="BN386" s="453"/>
      <c r="BO386" s="453"/>
      <c r="BP386" s="452"/>
      <c r="BQ386" s="450"/>
      <c r="BR386" s="450"/>
      <c r="BS386" s="450"/>
      <c r="BT386" s="450"/>
      <c r="BU386" s="450"/>
      <c r="BV386" s="450"/>
      <c r="BW386" s="454"/>
      <c r="BX386" s="450"/>
    </row>
    <row r="387" ht="14.25" customHeight="1">
      <c r="A387" s="450"/>
      <c r="B387" s="450"/>
      <c r="C387" s="450"/>
      <c r="D387" s="450"/>
      <c r="E387" s="450"/>
      <c r="F387" s="450"/>
      <c r="G387" s="450"/>
      <c r="H387" s="450"/>
      <c r="I387" s="450"/>
      <c r="J387" s="450"/>
      <c r="K387" s="450"/>
      <c r="L387" s="450"/>
      <c r="M387" s="450"/>
      <c r="N387" s="450"/>
      <c r="O387" s="450"/>
      <c r="P387" s="450"/>
      <c r="Q387" s="450"/>
      <c r="R387" s="450"/>
      <c r="S387" s="450"/>
      <c r="T387" s="450"/>
      <c r="U387" s="451"/>
      <c r="V387" s="450"/>
      <c r="W387" s="450"/>
      <c r="X387" s="450"/>
      <c r="Y387" s="452"/>
      <c r="Z387" s="452"/>
      <c r="AA387" s="453"/>
      <c r="AB387" s="453"/>
      <c r="AC387" s="453"/>
      <c r="AD387" s="452"/>
      <c r="AE387" s="452"/>
      <c r="AF387" s="452"/>
      <c r="AG387" s="450"/>
      <c r="AH387" s="450"/>
      <c r="AI387" s="450"/>
      <c r="AJ387" s="450"/>
      <c r="AK387" s="450"/>
      <c r="AL387" s="450"/>
      <c r="AM387" s="450"/>
      <c r="AN387" s="450"/>
      <c r="AO387" s="450"/>
      <c r="AP387" s="450"/>
      <c r="AQ387" s="450"/>
      <c r="AR387" s="450"/>
      <c r="AS387" s="450"/>
      <c r="AT387" s="450"/>
      <c r="AU387" s="450"/>
      <c r="AV387" s="450"/>
      <c r="AW387" s="450"/>
      <c r="AX387" s="450"/>
      <c r="AY387" s="450"/>
      <c r="AZ387" s="450"/>
      <c r="BA387" s="450"/>
      <c r="BB387" s="450"/>
      <c r="BC387" s="453"/>
      <c r="BD387" s="453"/>
      <c r="BE387" s="453"/>
      <c r="BF387" s="453"/>
      <c r="BG387" s="453"/>
      <c r="BH387" s="453"/>
      <c r="BI387" s="453"/>
      <c r="BJ387" s="453"/>
      <c r="BK387" s="453"/>
      <c r="BL387" s="453"/>
      <c r="BM387" s="453"/>
      <c r="BN387" s="453"/>
      <c r="BO387" s="453"/>
      <c r="BP387" s="452"/>
      <c r="BQ387" s="450"/>
      <c r="BR387" s="450"/>
      <c r="BS387" s="450"/>
      <c r="BT387" s="450"/>
      <c r="BU387" s="450"/>
      <c r="BV387" s="450"/>
      <c r="BW387" s="454"/>
      <c r="BX387" s="450"/>
    </row>
    <row r="388" ht="14.25" customHeight="1">
      <c r="A388" s="450"/>
      <c r="B388" s="450"/>
      <c r="C388" s="450"/>
      <c r="D388" s="450"/>
      <c r="E388" s="450"/>
      <c r="F388" s="450"/>
      <c r="G388" s="450"/>
      <c r="H388" s="450"/>
      <c r="I388" s="450"/>
      <c r="J388" s="450"/>
      <c r="K388" s="450"/>
      <c r="L388" s="450"/>
      <c r="M388" s="450"/>
      <c r="N388" s="450"/>
      <c r="O388" s="450"/>
      <c r="P388" s="450"/>
      <c r="Q388" s="450"/>
      <c r="R388" s="450"/>
      <c r="S388" s="450"/>
      <c r="T388" s="450"/>
      <c r="U388" s="451"/>
      <c r="V388" s="450"/>
      <c r="W388" s="450"/>
      <c r="X388" s="450"/>
      <c r="Y388" s="452"/>
      <c r="Z388" s="452"/>
      <c r="AA388" s="453"/>
      <c r="AB388" s="453"/>
      <c r="AC388" s="453"/>
      <c r="AD388" s="452"/>
      <c r="AE388" s="452"/>
      <c r="AF388" s="452"/>
      <c r="AG388" s="450"/>
      <c r="AH388" s="450"/>
      <c r="AI388" s="450"/>
      <c r="AJ388" s="450"/>
      <c r="AK388" s="450"/>
      <c r="AL388" s="450"/>
      <c r="AM388" s="450"/>
      <c r="AN388" s="450"/>
      <c r="AO388" s="450"/>
      <c r="AP388" s="450"/>
      <c r="AQ388" s="450"/>
      <c r="AR388" s="450"/>
      <c r="AS388" s="450"/>
      <c r="AT388" s="450"/>
      <c r="AU388" s="450"/>
      <c r="AV388" s="450"/>
      <c r="AW388" s="450"/>
      <c r="AX388" s="450"/>
      <c r="AY388" s="450"/>
      <c r="AZ388" s="450"/>
      <c r="BA388" s="450"/>
      <c r="BB388" s="450"/>
      <c r="BC388" s="453"/>
      <c r="BD388" s="453"/>
      <c r="BE388" s="453"/>
      <c r="BF388" s="453"/>
      <c r="BG388" s="453"/>
      <c r="BH388" s="453"/>
      <c r="BI388" s="453"/>
      <c r="BJ388" s="453"/>
      <c r="BK388" s="453"/>
      <c r="BL388" s="453"/>
      <c r="BM388" s="453"/>
      <c r="BN388" s="453"/>
      <c r="BO388" s="453"/>
      <c r="BP388" s="452"/>
      <c r="BQ388" s="450"/>
      <c r="BR388" s="450"/>
      <c r="BS388" s="450"/>
      <c r="BT388" s="450"/>
      <c r="BU388" s="450"/>
      <c r="BV388" s="450"/>
      <c r="BW388" s="454"/>
      <c r="BX388" s="450"/>
    </row>
    <row r="389" ht="14.25" customHeight="1">
      <c r="A389" s="450"/>
      <c r="B389" s="450"/>
      <c r="C389" s="450"/>
      <c r="D389" s="450"/>
      <c r="E389" s="450"/>
      <c r="F389" s="450"/>
      <c r="G389" s="450"/>
      <c r="H389" s="450"/>
      <c r="I389" s="450"/>
      <c r="J389" s="450"/>
      <c r="K389" s="450"/>
      <c r="L389" s="450"/>
      <c r="M389" s="450"/>
      <c r="N389" s="450"/>
      <c r="O389" s="450"/>
      <c r="P389" s="450"/>
      <c r="Q389" s="450"/>
      <c r="R389" s="450"/>
      <c r="S389" s="450"/>
      <c r="T389" s="450"/>
      <c r="U389" s="451"/>
      <c r="V389" s="450"/>
      <c r="W389" s="450"/>
      <c r="X389" s="450"/>
      <c r="Y389" s="452"/>
      <c r="Z389" s="452"/>
      <c r="AA389" s="453"/>
      <c r="AB389" s="453"/>
      <c r="AC389" s="453"/>
      <c r="AD389" s="452"/>
      <c r="AE389" s="452"/>
      <c r="AF389" s="452"/>
      <c r="AG389" s="450"/>
      <c r="AH389" s="450"/>
      <c r="AI389" s="450"/>
      <c r="AJ389" s="450"/>
      <c r="AK389" s="450"/>
      <c r="AL389" s="450"/>
      <c r="AM389" s="450"/>
      <c r="AN389" s="450"/>
      <c r="AO389" s="450"/>
      <c r="AP389" s="450"/>
      <c r="AQ389" s="450"/>
      <c r="AR389" s="450"/>
      <c r="AS389" s="450"/>
      <c r="AT389" s="450"/>
      <c r="AU389" s="450"/>
      <c r="AV389" s="450"/>
      <c r="AW389" s="450"/>
      <c r="AX389" s="450"/>
      <c r="AY389" s="450"/>
      <c r="AZ389" s="450"/>
      <c r="BA389" s="450"/>
      <c r="BB389" s="450"/>
      <c r="BC389" s="453"/>
      <c r="BD389" s="453"/>
      <c r="BE389" s="453"/>
      <c r="BF389" s="453"/>
      <c r="BG389" s="453"/>
      <c r="BH389" s="453"/>
      <c r="BI389" s="453"/>
      <c r="BJ389" s="453"/>
      <c r="BK389" s="453"/>
      <c r="BL389" s="453"/>
      <c r="BM389" s="453"/>
      <c r="BN389" s="453"/>
      <c r="BO389" s="453"/>
      <c r="BP389" s="452"/>
      <c r="BQ389" s="450"/>
      <c r="BR389" s="450"/>
      <c r="BS389" s="450"/>
      <c r="BT389" s="450"/>
      <c r="BU389" s="450"/>
      <c r="BV389" s="450"/>
      <c r="BW389" s="454"/>
      <c r="BX389" s="450"/>
    </row>
    <row r="390" ht="14.25" customHeight="1">
      <c r="A390" s="450"/>
      <c r="B390" s="450"/>
      <c r="C390" s="450"/>
      <c r="D390" s="450"/>
      <c r="E390" s="450"/>
      <c r="F390" s="450"/>
      <c r="G390" s="450"/>
      <c r="H390" s="450"/>
      <c r="I390" s="450"/>
      <c r="J390" s="450"/>
      <c r="K390" s="450"/>
      <c r="L390" s="450"/>
      <c r="M390" s="450"/>
      <c r="N390" s="450"/>
      <c r="O390" s="450"/>
      <c r="P390" s="450"/>
      <c r="Q390" s="450"/>
      <c r="R390" s="450"/>
      <c r="S390" s="450"/>
      <c r="T390" s="450"/>
      <c r="U390" s="451"/>
      <c r="V390" s="450"/>
      <c r="W390" s="450"/>
      <c r="X390" s="450"/>
      <c r="Y390" s="452"/>
      <c r="Z390" s="452"/>
      <c r="AA390" s="453"/>
      <c r="AB390" s="453"/>
      <c r="AC390" s="453"/>
      <c r="AD390" s="452"/>
      <c r="AE390" s="452"/>
      <c r="AF390" s="452"/>
      <c r="AG390" s="450"/>
      <c r="AH390" s="450"/>
      <c r="AI390" s="450"/>
      <c r="AJ390" s="450"/>
      <c r="AK390" s="450"/>
      <c r="AL390" s="450"/>
      <c r="AM390" s="450"/>
      <c r="AN390" s="450"/>
      <c r="AO390" s="450"/>
      <c r="AP390" s="450"/>
      <c r="AQ390" s="450"/>
      <c r="AR390" s="450"/>
      <c r="AS390" s="450"/>
      <c r="AT390" s="450"/>
      <c r="AU390" s="450"/>
      <c r="AV390" s="450"/>
      <c r="AW390" s="450"/>
      <c r="AX390" s="450"/>
      <c r="AY390" s="450"/>
      <c r="AZ390" s="450"/>
      <c r="BA390" s="450"/>
      <c r="BB390" s="450"/>
      <c r="BC390" s="453"/>
      <c r="BD390" s="453"/>
      <c r="BE390" s="453"/>
      <c r="BF390" s="453"/>
      <c r="BG390" s="453"/>
      <c r="BH390" s="453"/>
      <c r="BI390" s="453"/>
      <c r="BJ390" s="453"/>
      <c r="BK390" s="453"/>
      <c r="BL390" s="453"/>
      <c r="BM390" s="453"/>
      <c r="BN390" s="453"/>
      <c r="BO390" s="453"/>
      <c r="BP390" s="452"/>
      <c r="BQ390" s="450"/>
      <c r="BR390" s="450"/>
      <c r="BS390" s="450"/>
      <c r="BT390" s="450"/>
      <c r="BU390" s="450"/>
      <c r="BV390" s="450"/>
      <c r="BW390" s="454"/>
      <c r="BX390" s="450"/>
    </row>
    <row r="391" ht="14.25" customHeight="1">
      <c r="A391" s="450"/>
      <c r="B391" s="450"/>
      <c r="C391" s="450"/>
      <c r="D391" s="450"/>
      <c r="E391" s="450"/>
      <c r="F391" s="450"/>
      <c r="G391" s="450"/>
      <c r="H391" s="450"/>
      <c r="I391" s="450"/>
      <c r="J391" s="450"/>
      <c r="K391" s="450"/>
      <c r="L391" s="450"/>
      <c r="M391" s="450"/>
      <c r="N391" s="450"/>
      <c r="O391" s="450"/>
      <c r="P391" s="450"/>
      <c r="Q391" s="450"/>
      <c r="R391" s="450"/>
      <c r="S391" s="450"/>
      <c r="T391" s="450"/>
      <c r="U391" s="451"/>
      <c r="V391" s="450"/>
      <c r="W391" s="450"/>
      <c r="X391" s="450"/>
      <c r="Y391" s="452"/>
      <c r="Z391" s="452"/>
      <c r="AA391" s="453"/>
      <c r="AB391" s="453"/>
      <c r="AC391" s="453"/>
      <c r="AD391" s="452"/>
      <c r="AE391" s="452"/>
      <c r="AF391" s="452"/>
      <c r="AG391" s="450"/>
      <c r="AH391" s="450"/>
      <c r="AI391" s="450"/>
      <c r="AJ391" s="450"/>
      <c r="AK391" s="450"/>
      <c r="AL391" s="450"/>
      <c r="AM391" s="450"/>
      <c r="AN391" s="450"/>
      <c r="AO391" s="450"/>
      <c r="AP391" s="450"/>
      <c r="AQ391" s="450"/>
      <c r="AR391" s="450"/>
      <c r="AS391" s="450"/>
      <c r="AT391" s="450"/>
      <c r="AU391" s="450"/>
      <c r="AV391" s="450"/>
      <c r="AW391" s="450"/>
      <c r="AX391" s="450"/>
      <c r="AY391" s="450"/>
      <c r="AZ391" s="450"/>
      <c r="BA391" s="450"/>
      <c r="BB391" s="450"/>
      <c r="BC391" s="453"/>
      <c r="BD391" s="453"/>
      <c r="BE391" s="453"/>
      <c r="BF391" s="453"/>
      <c r="BG391" s="453"/>
      <c r="BH391" s="453"/>
      <c r="BI391" s="453"/>
      <c r="BJ391" s="453"/>
      <c r="BK391" s="453"/>
      <c r="BL391" s="453"/>
      <c r="BM391" s="453"/>
      <c r="BN391" s="453"/>
      <c r="BO391" s="453"/>
      <c r="BP391" s="452"/>
      <c r="BQ391" s="450"/>
      <c r="BR391" s="450"/>
      <c r="BS391" s="450"/>
      <c r="BT391" s="450"/>
      <c r="BU391" s="450"/>
      <c r="BV391" s="450"/>
      <c r="BW391" s="454"/>
      <c r="BX391" s="450"/>
    </row>
    <row r="392" ht="14.25" customHeight="1">
      <c r="A392" s="450"/>
      <c r="B392" s="450"/>
      <c r="C392" s="450"/>
      <c r="D392" s="450"/>
      <c r="E392" s="450"/>
      <c r="F392" s="450"/>
      <c r="G392" s="450"/>
      <c r="H392" s="450"/>
      <c r="I392" s="450"/>
      <c r="J392" s="450"/>
      <c r="K392" s="450"/>
      <c r="L392" s="450"/>
      <c r="M392" s="450"/>
      <c r="N392" s="450"/>
      <c r="O392" s="450"/>
      <c r="P392" s="450"/>
      <c r="Q392" s="450"/>
      <c r="R392" s="450"/>
      <c r="S392" s="450"/>
      <c r="T392" s="450"/>
      <c r="U392" s="451"/>
      <c r="V392" s="450"/>
      <c r="W392" s="450"/>
      <c r="X392" s="450"/>
      <c r="Y392" s="452"/>
      <c r="Z392" s="452"/>
      <c r="AA392" s="453"/>
      <c r="AB392" s="453"/>
      <c r="AC392" s="453"/>
      <c r="AD392" s="452"/>
      <c r="AE392" s="452"/>
      <c r="AF392" s="452"/>
      <c r="AG392" s="450"/>
      <c r="AH392" s="450"/>
      <c r="AI392" s="450"/>
      <c r="AJ392" s="450"/>
      <c r="AK392" s="450"/>
      <c r="AL392" s="450"/>
      <c r="AM392" s="450"/>
      <c r="AN392" s="450"/>
      <c r="AO392" s="450"/>
      <c r="AP392" s="450"/>
      <c r="AQ392" s="450"/>
      <c r="AR392" s="450"/>
      <c r="AS392" s="450"/>
      <c r="AT392" s="450"/>
      <c r="AU392" s="450"/>
      <c r="AV392" s="450"/>
      <c r="AW392" s="450"/>
      <c r="AX392" s="450"/>
      <c r="AY392" s="450"/>
      <c r="AZ392" s="450"/>
      <c r="BA392" s="450"/>
      <c r="BB392" s="450"/>
      <c r="BC392" s="453"/>
      <c r="BD392" s="453"/>
      <c r="BE392" s="453"/>
      <c r="BF392" s="453"/>
      <c r="BG392" s="453"/>
      <c r="BH392" s="453"/>
      <c r="BI392" s="453"/>
      <c r="BJ392" s="453"/>
      <c r="BK392" s="453"/>
      <c r="BL392" s="453"/>
      <c r="BM392" s="453"/>
      <c r="BN392" s="453"/>
      <c r="BO392" s="453"/>
      <c r="BP392" s="452"/>
      <c r="BQ392" s="450"/>
      <c r="BR392" s="450"/>
      <c r="BS392" s="450"/>
      <c r="BT392" s="450"/>
      <c r="BU392" s="450"/>
      <c r="BV392" s="450"/>
      <c r="BW392" s="454"/>
      <c r="BX392" s="450"/>
    </row>
    <row r="393" ht="14.25" customHeight="1">
      <c r="A393" s="450"/>
      <c r="B393" s="450"/>
      <c r="C393" s="450"/>
      <c r="D393" s="450"/>
      <c r="E393" s="450"/>
      <c r="F393" s="450"/>
      <c r="G393" s="450"/>
      <c r="H393" s="450"/>
      <c r="I393" s="450"/>
      <c r="J393" s="450"/>
      <c r="K393" s="450"/>
      <c r="L393" s="450"/>
      <c r="M393" s="450"/>
      <c r="N393" s="450"/>
      <c r="O393" s="450"/>
      <c r="P393" s="450"/>
      <c r="Q393" s="450"/>
      <c r="R393" s="450"/>
      <c r="S393" s="450"/>
      <c r="T393" s="450"/>
      <c r="U393" s="451"/>
      <c r="V393" s="450"/>
      <c r="W393" s="450"/>
      <c r="X393" s="450"/>
      <c r="Y393" s="452"/>
      <c r="Z393" s="452"/>
      <c r="AA393" s="453"/>
      <c r="AB393" s="453"/>
      <c r="AC393" s="453"/>
      <c r="AD393" s="452"/>
      <c r="AE393" s="452"/>
      <c r="AF393" s="452"/>
      <c r="AG393" s="450"/>
      <c r="AH393" s="450"/>
      <c r="AI393" s="450"/>
      <c r="AJ393" s="450"/>
      <c r="AK393" s="450"/>
      <c r="AL393" s="450"/>
      <c r="AM393" s="450"/>
      <c r="AN393" s="450"/>
      <c r="AO393" s="450"/>
      <c r="AP393" s="450"/>
      <c r="AQ393" s="450"/>
      <c r="AR393" s="450"/>
      <c r="AS393" s="450"/>
      <c r="AT393" s="450"/>
      <c r="AU393" s="450"/>
      <c r="AV393" s="450"/>
      <c r="AW393" s="450"/>
      <c r="AX393" s="450"/>
      <c r="AY393" s="450"/>
      <c r="AZ393" s="450"/>
      <c r="BA393" s="450"/>
      <c r="BB393" s="450"/>
      <c r="BC393" s="453"/>
      <c r="BD393" s="453"/>
      <c r="BE393" s="453"/>
      <c r="BF393" s="453"/>
      <c r="BG393" s="453"/>
      <c r="BH393" s="453"/>
      <c r="BI393" s="453"/>
      <c r="BJ393" s="453"/>
      <c r="BK393" s="453"/>
      <c r="BL393" s="453"/>
      <c r="BM393" s="453"/>
      <c r="BN393" s="453"/>
      <c r="BO393" s="453"/>
      <c r="BP393" s="452"/>
      <c r="BQ393" s="450"/>
      <c r="BR393" s="450"/>
      <c r="BS393" s="450"/>
      <c r="BT393" s="450"/>
      <c r="BU393" s="450"/>
      <c r="BV393" s="450"/>
      <c r="BW393" s="454"/>
      <c r="BX393" s="450"/>
    </row>
    <row r="394" ht="14.25" customHeight="1">
      <c r="A394" s="450"/>
      <c r="B394" s="450"/>
      <c r="C394" s="450"/>
      <c r="D394" s="450"/>
      <c r="E394" s="450"/>
      <c r="F394" s="450"/>
      <c r="G394" s="450"/>
      <c r="H394" s="450"/>
      <c r="I394" s="450"/>
      <c r="J394" s="450"/>
      <c r="K394" s="450"/>
      <c r="L394" s="450"/>
      <c r="M394" s="450"/>
      <c r="N394" s="450"/>
      <c r="O394" s="450"/>
      <c r="P394" s="450"/>
      <c r="Q394" s="450"/>
      <c r="R394" s="450"/>
      <c r="S394" s="450"/>
      <c r="T394" s="450"/>
      <c r="U394" s="451"/>
      <c r="V394" s="450"/>
      <c r="W394" s="450"/>
      <c r="X394" s="450"/>
      <c r="Y394" s="452"/>
      <c r="Z394" s="452"/>
      <c r="AA394" s="453"/>
      <c r="AB394" s="453"/>
      <c r="AC394" s="453"/>
      <c r="AD394" s="452"/>
      <c r="AE394" s="452"/>
      <c r="AF394" s="452"/>
      <c r="AG394" s="450"/>
      <c r="AH394" s="450"/>
      <c r="AI394" s="450"/>
      <c r="AJ394" s="450"/>
      <c r="AK394" s="450"/>
      <c r="AL394" s="450"/>
      <c r="AM394" s="450"/>
      <c r="AN394" s="450"/>
      <c r="AO394" s="450"/>
      <c r="AP394" s="450"/>
      <c r="AQ394" s="450"/>
      <c r="AR394" s="450"/>
      <c r="AS394" s="450"/>
      <c r="AT394" s="450"/>
      <c r="AU394" s="450"/>
      <c r="AV394" s="450"/>
      <c r="AW394" s="450"/>
      <c r="AX394" s="450"/>
      <c r="AY394" s="450"/>
      <c r="AZ394" s="450"/>
      <c r="BA394" s="450"/>
      <c r="BB394" s="450"/>
      <c r="BC394" s="453"/>
      <c r="BD394" s="453"/>
      <c r="BE394" s="453"/>
      <c r="BF394" s="453"/>
      <c r="BG394" s="453"/>
      <c r="BH394" s="453"/>
      <c r="BI394" s="453"/>
      <c r="BJ394" s="453"/>
      <c r="BK394" s="453"/>
      <c r="BL394" s="453"/>
      <c r="BM394" s="453"/>
      <c r="BN394" s="453"/>
      <c r="BO394" s="453"/>
      <c r="BP394" s="452"/>
      <c r="BQ394" s="450"/>
      <c r="BR394" s="450"/>
      <c r="BS394" s="450"/>
      <c r="BT394" s="450"/>
      <c r="BU394" s="450"/>
      <c r="BV394" s="450"/>
      <c r="BW394" s="454"/>
      <c r="BX394" s="450"/>
    </row>
    <row r="395" ht="14.25" customHeight="1">
      <c r="A395" s="450"/>
      <c r="B395" s="450"/>
      <c r="C395" s="450"/>
      <c r="D395" s="450"/>
      <c r="E395" s="450"/>
      <c r="F395" s="450"/>
      <c r="G395" s="450"/>
      <c r="H395" s="450"/>
      <c r="I395" s="450"/>
      <c r="J395" s="450"/>
      <c r="K395" s="450"/>
      <c r="L395" s="450"/>
      <c r="M395" s="450"/>
      <c r="N395" s="450"/>
      <c r="O395" s="450"/>
      <c r="P395" s="450"/>
      <c r="Q395" s="450"/>
      <c r="R395" s="450"/>
      <c r="S395" s="450"/>
      <c r="T395" s="450"/>
      <c r="U395" s="451"/>
      <c r="V395" s="450"/>
      <c r="W395" s="450"/>
      <c r="X395" s="450"/>
      <c r="Y395" s="452"/>
      <c r="Z395" s="452"/>
      <c r="AA395" s="453"/>
      <c r="AB395" s="453"/>
      <c r="AC395" s="453"/>
      <c r="AD395" s="452"/>
      <c r="AE395" s="452"/>
      <c r="AF395" s="452"/>
      <c r="AG395" s="450"/>
      <c r="AH395" s="450"/>
      <c r="AI395" s="450"/>
      <c r="AJ395" s="450"/>
      <c r="AK395" s="450"/>
      <c r="AL395" s="450"/>
      <c r="AM395" s="450"/>
      <c r="AN395" s="450"/>
      <c r="AO395" s="450"/>
      <c r="AP395" s="450"/>
      <c r="AQ395" s="450"/>
      <c r="AR395" s="450"/>
      <c r="AS395" s="450"/>
      <c r="AT395" s="450"/>
      <c r="AU395" s="450"/>
      <c r="AV395" s="450"/>
      <c r="AW395" s="450"/>
      <c r="AX395" s="450"/>
      <c r="AY395" s="450"/>
      <c r="AZ395" s="450"/>
      <c r="BA395" s="450"/>
      <c r="BB395" s="450"/>
      <c r="BC395" s="453"/>
      <c r="BD395" s="453"/>
      <c r="BE395" s="453"/>
      <c r="BF395" s="453"/>
      <c r="BG395" s="453"/>
      <c r="BH395" s="453"/>
      <c r="BI395" s="453"/>
      <c r="BJ395" s="453"/>
      <c r="BK395" s="453"/>
      <c r="BL395" s="453"/>
      <c r="BM395" s="453"/>
      <c r="BN395" s="453"/>
      <c r="BO395" s="453"/>
      <c r="BP395" s="452"/>
      <c r="BQ395" s="450"/>
      <c r="BR395" s="450"/>
      <c r="BS395" s="450"/>
      <c r="BT395" s="450"/>
      <c r="BU395" s="450"/>
      <c r="BV395" s="450"/>
      <c r="BW395" s="454"/>
      <c r="BX395" s="450"/>
    </row>
    <row r="396" ht="14.25" customHeight="1">
      <c r="A396" s="450"/>
      <c r="B396" s="450"/>
      <c r="C396" s="450"/>
      <c r="D396" s="450"/>
      <c r="E396" s="450"/>
      <c r="F396" s="450"/>
      <c r="G396" s="450"/>
      <c r="H396" s="450"/>
      <c r="I396" s="450"/>
      <c r="J396" s="450"/>
      <c r="K396" s="450"/>
      <c r="L396" s="450"/>
      <c r="M396" s="450"/>
      <c r="N396" s="450"/>
      <c r="O396" s="450"/>
      <c r="P396" s="450"/>
      <c r="Q396" s="450"/>
      <c r="R396" s="450"/>
      <c r="S396" s="450"/>
      <c r="T396" s="450"/>
      <c r="U396" s="451"/>
      <c r="V396" s="450"/>
      <c r="W396" s="450"/>
      <c r="X396" s="450"/>
      <c r="Y396" s="452"/>
      <c r="Z396" s="452"/>
      <c r="AA396" s="453"/>
      <c r="AB396" s="453"/>
      <c r="AC396" s="453"/>
      <c r="AD396" s="452"/>
      <c r="AE396" s="452"/>
      <c r="AF396" s="452"/>
      <c r="AG396" s="450"/>
      <c r="AH396" s="450"/>
      <c r="AI396" s="450"/>
      <c r="AJ396" s="450"/>
      <c r="AK396" s="450"/>
      <c r="AL396" s="450"/>
      <c r="AM396" s="450"/>
      <c r="AN396" s="450"/>
      <c r="AO396" s="450"/>
      <c r="AP396" s="450"/>
      <c r="AQ396" s="450"/>
      <c r="AR396" s="450"/>
      <c r="AS396" s="450"/>
      <c r="AT396" s="450"/>
      <c r="AU396" s="450"/>
      <c r="AV396" s="450"/>
      <c r="AW396" s="450"/>
      <c r="AX396" s="450"/>
      <c r="AY396" s="450"/>
      <c r="AZ396" s="450"/>
      <c r="BA396" s="450"/>
      <c r="BB396" s="450"/>
      <c r="BC396" s="453"/>
      <c r="BD396" s="453"/>
      <c r="BE396" s="453"/>
      <c r="BF396" s="453"/>
      <c r="BG396" s="453"/>
      <c r="BH396" s="453"/>
      <c r="BI396" s="453"/>
      <c r="BJ396" s="453"/>
      <c r="BK396" s="453"/>
      <c r="BL396" s="453"/>
      <c r="BM396" s="453"/>
      <c r="BN396" s="453"/>
      <c r="BO396" s="453"/>
      <c r="BP396" s="452"/>
      <c r="BQ396" s="450"/>
      <c r="BR396" s="450"/>
      <c r="BS396" s="450"/>
      <c r="BT396" s="450"/>
      <c r="BU396" s="450"/>
      <c r="BV396" s="450"/>
      <c r="BW396" s="454"/>
      <c r="BX396" s="450"/>
    </row>
    <row r="397" ht="14.25" customHeight="1">
      <c r="A397" s="450"/>
      <c r="B397" s="450"/>
      <c r="C397" s="450"/>
      <c r="D397" s="450"/>
      <c r="E397" s="450"/>
      <c r="F397" s="450"/>
      <c r="G397" s="450"/>
      <c r="H397" s="450"/>
      <c r="I397" s="450"/>
      <c r="J397" s="450"/>
      <c r="K397" s="450"/>
      <c r="L397" s="450"/>
      <c r="M397" s="450"/>
      <c r="N397" s="450"/>
      <c r="O397" s="450"/>
      <c r="P397" s="450"/>
      <c r="Q397" s="450"/>
      <c r="R397" s="450"/>
      <c r="S397" s="450"/>
      <c r="T397" s="450"/>
      <c r="U397" s="451"/>
      <c r="V397" s="450"/>
      <c r="W397" s="450"/>
      <c r="X397" s="450"/>
      <c r="Y397" s="452"/>
      <c r="Z397" s="452"/>
      <c r="AA397" s="453"/>
      <c r="AB397" s="453"/>
      <c r="AC397" s="453"/>
      <c r="AD397" s="452"/>
      <c r="AE397" s="452"/>
      <c r="AF397" s="452"/>
      <c r="AG397" s="450"/>
      <c r="AH397" s="450"/>
      <c r="AI397" s="450"/>
      <c r="AJ397" s="450"/>
      <c r="AK397" s="450"/>
      <c r="AL397" s="450"/>
      <c r="AM397" s="450"/>
      <c r="AN397" s="450"/>
      <c r="AO397" s="450"/>
      <c r="AP397" s="450"/>
      <c r="AQ397" s="450"/>
      <c r="AR397" s="450"/>
      <c r="AS397" s="450"/>
      <c r="AT397" s="450"/>
      <c r="AU397" s="450"/>
      <c r="AV397" s="450"/>
      <c r="AW397" s="450"/>
      <c r="AX397" s="450"/>
      <c r="AY397" s="450"/>
      <c r="AZ397" s="450"/>
      <c r="BA397" s="450"/>
      <c r="BB397" s="450"/>
      <c r="BC397" s="453"/>
      <c r="BD397" s="453"/>
      <c r="BE397" s="453"/>
      <c r="BF397" s="453"/>
      <c r="BG397" s="453"/>
      <c r="BH397" s="453"/>
      <c r="BI397" s="453"/>
      <c r="BJ397" s="453"/>
      <c r="BK397" s="453"/>
      <c r="BL397" s="453"/>
      <c r="BM397" s="453"/>
      <c r="BN397" s="453"/>
      <c r="BO397" s="453"/>
      <c r="BP397" s="452"/>
      <c r="BQ397" s="450"/>
      <c r="BR397" s="450"/>
      <c r="BS397" s="450"/>
      <c r="BT397" s="450"/>
      <c r="BU397" s="450"/>
      <c r="BV397" s="450"/>
      <c r="BW397" s="454"/>
      <c r="BX397" s="450"/>
    </row>
    <row r="398" ht="14.25" customHeight="1">
      <c r="A398" s="450"/>
      <c r="B398" s="450"/>
      <c r="C398" s="450"/>
      <c r="D398" s="450"/>
      <c r="E398" s="450"/>
      <c r="F398" s="450"/>
      <c r="G398" s="450"/>
      <c r="H398" s="450"/>
      <c r="I398" s="450"/>
      <c r="J398" s="450"/>
      <c r="K398" s="450"/>
      <c r="L398" s="450"/>
      <c r="M398" s="450"/>
      <c r="N398" s="450"/>
      <c r="O398" s="450"/>
      <c r="P398" s="450"/>
      <c r="Q398" s="450"/>
      <c r="R398" s="450"/>
      <c r="S398" s="450"/>
      <c r="T398" s="450"/>
      <c r="U398" s="451"/>
      <c r="V398" s="450"/>
      <c r="W398" s="450"/>
      <c r="X398" s="450"/>
      <c r="Y398" s="452"/>
      <c r="Z398" s="452"/>
      <c r="AA398" s="453"/>
      <c r="AB398" s="453"/>
      <c r="AC398" s="453"/>
      <c r="AD398" s="452"/>
      <c r="AE398" s="452"/>
      <c r="AF398" s="452"/>
      <c r="AG398" s="450"/>
      <c r="AH398" s="450"/>
      <c r="AI398" s="450"/>
      <c r="AJ398" s="450"/>
      <c r="AK398" s="450"/>
      <c r="AL398" s="450"/>
      <c r="AM398" s="450"/>
      <c r="AN398" s="450"/>
      <c r="AO398" s="450"/>
      <c r="AP398" s="450"/>
      <c r="AQ398" s="450"/>
      <c r="AR398" s="450"/>
      <c r="AS398" s="450"/>
      <c r="AT398" s="450"/>
      <c r="AU398" s="450"/>
      <c r="AV398" s="450"/>
      <c r="AW398" s="450"/>
      <c r="AX398" s="450"/>
      <c r="AY398" s="450"/>
      <c r="AZ398" s="450"/>
      <c r="BA398" s="450"/>
      <c r="BB398" s="450"/>
      <c r="BC398" s="453"/>
      <c r="BD398" s="453"/>
      <c r="BE398" s="453"/>
      <c r="BF398" s="453"/>
      <c r="BG398" s="453"/>
      <c r="BH398" s="453"/>
      <c r="BI398" s="453"/>
      <c r="BJ398" s="453"/>
      <c r="BK398" s="453"/>
      <c r="BL398" s="453"/>
      <c r="BM398" s="453"/>
      <c r="BN398" s="453"/>
      <c r="BO398" s="453"/>
      <c r="BP398" s="452"/>
      <c r="BQ398" s="450"/>
      <c r="BR398" s="450"/>
      <c r="BS398" s="450"/>
      <c r="BT398" s="450"/>
      <c r="BU398" s="450"/>
      <c r="BV398" s="450"/>
      <c r="BW398" s="454"/>
      <c r="BX398" s="450"/>
    </row>
    <row r="399" ht="14.25" customHeight="1">
      <c r="A399" s="450"/>
      <c r="B399" s="450"/>
      <c r="C399" s="450"/>
      <c r="D399" s="450"/>
      <c r="E399" s="450"/>
      <c r="F399" s="450"/>
      <c r="G399" s="450"/>
      <c r="H399" s="450"/>
      <c r="I399" s="450"/>
      <c r="J399" s="450"/>
      <c r="K399" s="450"/>
      <c r="L399" s="450"/>
      <c r="M399" s="450"/>
      <c r="N399" s="450"/>
      <c r="O399" s="450"/>
      <c r="P399" s="450"/>
      <c r="Q399" s="450"/>
      <c r="R399" s="450"/>
      <c r="S399" s="450"/>
      <c r="T399" s="450"/>
      <c r="U399" s="451"/>
      <c r="V399" s="450"/>
      <c r="W399" s="450"/>
      <c r="X399" s="450"/>
      <c r="Y399" s="452"/>
      <c r="Z399" s="452"/>
      <c r="AA399" s="453"/>
      <c r="AB399" s="453"/>
      <c r="AC399" s="453"/>
      <c r="AD399" s="452"/>
      <c r="AE399" s="452"/>
      <c r="AF399" s="452"/>
      <c r="AG399" s="450"/>
      <c r="AH399" s="450"/>
      <c r="AI399" s="450"/>
      <c r="AJ399" s="450"/>
      <c r="AK399" s="450"/>
      <c r="AL399" s="450"/>
      <c r="AM399" s="450"/>
      <c r="AN399" s="450"/>
      <c r="AO399" s="450"/>
      <c r="AP399" s="450"/>
      <c r="AQ399" s="450"/>
      <c r="AR399" s="450"/>
      <c r="AS399" s="450"/>
      <c r="AT399" s="450"/>
      <c r="AU399" s="450"/>
      <c r="AV399" s="450"/>
      <c r="AW399" s="450"/>
      <c r="AX399" s="450"/>
      <c r="AY399" s="450"/>
      <c r="AZ399" s="450"/>
      <c r="BA399" s="450"/>
      <c r="BB399" s="450"/>
      <c r="BC399" s="453"/>
      <c r="BD399" s="453"/>
      <c r="BE399" s="453"/>
      <c r="BF399" s="453"/>
      <c r="BG399" s="453"/>
      <c r="BH399" s="453"/>
      <c r="BI399" s="453"/>
      <c r="BJ399" s="453"/>
      <c r="BK399" s="453"/>
      <c r="BL399" s="453"/>
      <c r="BM399" s="453"/>
      <c r="BN399" s="453"/>
      <c r="BO399" s="453"/>
      <c r="BP399" s="452"/>
      <c r="BQ399" s="450"/>
      <c r="BR399" s="450"/>
      <c r="BS399" s="450"/>
      <c r="BT399" s="450"/>
      <c r="BU399" s="450"/>
      <c r="BV399" s="450"/>
      <c r="BW399" s="454"/>
      <c r="BX399" s="450"/>
    </row>
    <row r="400" ht="14.25" customHeight="1">
      <c r="A400" s="450"/>
      <c r="B400" s="450"/>
      <c r="C400" s="450"/>
      <c r="D400" s="450"/>
      <c r="E400" s="450"/>
      <c r="F400" s="450"/>
      <c r="G400" s="450"/>
      <c r="H400" s="450"/>
      <c r="I400" s="450"/>
      <c r="J400" s="450"/>
      <c r="K400" s="450"/>
      <c r="L400" s="450"/>
      <c r="M400" s="450"/>
      <c r="N400" s="450"/>
      <c r="O400" s="450"/>
      <c r="P400" s="450"/>
      <c r="Q400" s="450"/>
      <c r="R400" s="450"/>
      <c r="S400" s="450"/>
      <c r="T400" s="450"/>
      <c r="U400" s="451"/>
      <c r="V400" s="450"/>
      <c r="W400" s="450"/>
      <c r="X400" s="450"/>
      <c r="Y400" s="452"/>
      <c r="Z400" s="452"/>
      <c r="AA400" s="453"/>
      <c r="AB400" s="453"/>
      <c r="AC400" s="453"/>
      <c r="AD400" s="452"/>
      <c r="AE400" s="452"/>
      <c r="AF400" s="452"/>
      <c r="AG400" s="450"/>
      <c r="AH400" s="450"/>
      <c r="AI400" s="450"/>
      <c r="AJ400" s="450"/>
      <c r="AK400" s="450"/>
      <c r="AL400" s="450"/>
      <c r="AM400" s="450"/>
      <c r="AN400" s="450"/>
      <c r="AO400" s="450"/>
      <c r="AP400" s="450"/>
      <c r="AQ400" s="450"/>
      <c r="AR400" s="450"/>
      <c r="AS400" s="450"/>
      <c r="AT400" s="450"/>
      <c r="AU400" s="450"/>
      <c r="AV400" s="450"/>
      <c r="AW400" s="450"/>
      <c r="AX400" s="450"/>
      <c r="AY400" s="450"/>
      <c r="AZ400" s="450"/>
      <c r="BA400" s="450"/>
      <c r="BB400" s="450"/>
      <c r="BC400" s="453"/>
      <c r="BD400" s="453"/>
      <c r="BE400" s="453"/>
      <c r="BF400" s="453"/>
      <c r="BG400" s="453"/>
      <c r="BH400" s="453"/>
      <c r="BI400" s="453"/>
      <c r="BJ400" s="453"/>
      <c r="BK400" s="453"/>
      <c r="BL400" s="453"/>
      <c r="BM400" s="453"/>
      <c r="BN400" s="453"/>
      <c r="BO400" s="453"/>
      <c r="BP400" s="452"/>
      <c r="BQ400" s="450"/>
      <c r="BR400" s="450"/>
      <c r="BS400" s="450"/>
      <c r="BT400" s="450"/>
      <c r="BU400" s="450"/>
      <c r="BV400" s="450"/>
      <c r="BW400" s="454"/>
      <c r="BX400" s="450"/>
    </row>
    <row r="401" ht="14.25" customHeight="1">
      <c r="A401" s="450"/>
      <c r="B401" s="450"/>
      <c r="C401" s="450"/>
      <c r="D401" s="450"/>
      <c r="E401" s="450"/>
      <c r="F401" s="450"/>
      <c r="G401" s="450"/>
      <c r="H401" s="450"/>
      <c r="I401" s="450"/>
      <c r="J401" s="450"/>
      <c r="K401" s="450"/>
      <c r="L401" s="450"/>
      <c r="M401" s="450"/>
      <c r="N401" s="450"/>
      <c r="O401" s="450"/>
      <c r="P401" s="450"/>
      <c r="Q401" s="450"/>
      <c r="R401" s="450"/>
      <c r="S401" s="450"/>
      <c r="T401" s="450"/>
      <c r="U401" s="451"/>
      <c r="V401" s="450"/>
      <c r="W401" s="450"/>
      <c r="X401" s="450"/>
      <c r="Y401" s="452"/>
      <c r="Z401" s="452"/>
      <c r="AA401" s="453"/>
      <c r="AB401" s="453"/>
      <c r="AC401" s="453"/>
      <c r="AD401" s="452"/>
      <c r="AE401" s="452"/>
      <c r="AF401" s="452"/>
      <c r="AG401" s="450"/>
      <c r="AH401" s="450"/>
      <c r="AI401" s="450"/>
      <c r="AJ401" s="450"/>
      <c r="AK401" s="450"/>
      <c r="AL401" s="450"/>
      <c r="AM401" s="450"/>
      <c r="AN401" s="450"/>
      <c r="AO401" s="450"/>
      <c r="AP401" s="450"/>
      <c r="AQ401" s="450"/>
      <c r="AR401" s="450"/>
      <c r="AS401" s="450"/>
      <c r="AT401" s="450"/>
      <c r="AU401" s="450"/>
      <c r="AV401" s="450"/>
      <c r="AW401" s="450"/>
      <c r="AX401" s="450"/>
      <c r="AY401" s="450"/>
      <c r="AZ401" s="450"/>
      <c r="BA401" s="450"/>
      <c r="BB401" s="450"/>
      <c r="BC401" s="453"/>
      <c r="BD401" s="453"/>
      <c r="BE401" s="453"/>
      <c r="BF401" s="453"/>
      <c r="BG401" s="453"/>
      <c r="BH401" s="453"/>
      <c r="BI401" s="453"/>
      <c r="BJ401" s="453"/>
      <c r="BK401" s="453"/>
      <c r="BL401" s="453"/>
      <c r="BM401" s="453"/>
      <c r="BN401" s="453"/>
      <c r="BO401" s="453"/>
      <c r="BP401" s="452"/>
      <c r="BQ401" s="450"/>
      <c r="BR401" s="450"/>
      <c r="BS401" s="450"/>
      <c r="BT401" s="450"/>
      <c r="BU401" s="450"/>
      <c r="BV401" s="450"/>
      <c r="BW401" s="454"/>
      <c r="BX401" s="450"/>
    </row>
    <row r="402" ht="14.25" customHeight="1">
      <c r="A402" s="450"/>
      <c r="B402" s="450"/>
      <c r="C402" s="450"/>
      <c r="D402" s="450"/>
      <c r="E402" s="450"/>
      <c r="F402" s="450"/>
      <c r="G402" s="450"/>
      <c r="H402" s="450"/>
      <c r="I402" s="450"/>
      <c r="J402" s="450"/>
      <c r="K402" s="450"/>
      <c r="L402" s="450"/>
      <c r="M402" s="450"/>
      <c r="N402" s="450"/>
      <c r="O402" s="450"/>
      <c r="P402" s="450"/>
      <c r="Q402" s="450"/>
      <c r="R402" s="450"/>
      <c r="S402" s="450"/>
      <c r="T402" s="450"/>
      <c r="U402" s="451"/>
      <c r="V402" s="450"/>
      <c r="W402" s="450"/>
      <c r="X402" s="450"/>
      <c r="Y402" s="452"/>
      <c r="Z402" s="452"/>
      <c r="AA402" s="453"/>
      <c r="AB402" s="453"/>
      <c r="AC402" s="453"/>
      <c r="AD402" s="452"/>
      <c r="AE402" s="452"/>
      <c r="AF402" s="452"/>
      <c r="AG402" s="450"/>
      <c r="AH402" s="450"/>
      <c r="AI402" s="450"/>
      <c r="AJ402" s="450"/>
      <c r="AK402" s="450"/>
      <c r="AL402" s="450"/>
      <c r="AM402" s="450"/>
      <c r="AN402" s="450"/>
      <c r="AO402" s="450"/>
      <c r="AP402" s="450"/>
      <c r="AQ402" s="450"/>
      <c r="AR402" s="450"/>
      <c r="AS402" s="450"/>
      <c r="AT402" s="450"/>
      <c r="AU402" s="450"/>
      <c r="AV402" s="450"/>
      <c r="AW402" s="450"/>
      <c r="AX402" s="450"/>
      <c r="AY402" s="450"/>
      <c r="AZ402" s="450"/>
      <c r="BA402" s="450"/>
      <c r="BB402" s="450"/>
      <c r="BC402" s="453"/>
      <c r="BD402" s="453"/>
      <c r="BE402" s="453"/>
      <c r="BF402" s="453"/>
      <c r="BG402" s="453"/>
      <c r="BH402" s="453"/>
      <c r="BI402" s="453"/>
      <c r="BJ402" s="453"/>
      <c r="BK402" s="453"/>
      <c r="BL402" s="453"/>
      <c r="BM402" s="453"/>
      <c r="BN402" s="453"/>
      <c r="BO402" s="453"/>
      <c r="BP402" s="452"/>
      <c r="BQ402" s="450"/>
      <c r="BR402" s="450"/>
      <c r="BS402" s="450"/>
      <c r="BT402" s="450"/>
      <c r="BU402" s="450"/>
      <c r="BV402" s="450"/>
      <c r="BW402" s="454"/>
      <c r="BX402" s="450"/>
    </row>
    <row r="403" ht="14.25" customHeight="1">
      <c r="A403" s="450"/>
      <c r="B403" s="450"/>
      <c r="C403" s="450"/>
      <c r="D403" s="450"/>
      <c r="E403" s="450"/>
      <c r="F403" s="450"/>
      <c r="G403" s="450"/>
      <c r="H403" s="450"/>
      <c r="I403" s="450"/>
      <c r="J403" s="450"/>
      <c r="K403" s="450"/>
      <c r="L403" s="450"/>
      <c r="M403" s="450"/>
      <c r="N403" s="450"/>
      <c r="O403" s="450"/>
      <c r="P403" s="450"/>
      <c r="Q403" s="450"/>
      <c r="R403" s="450"/>
      <c r="S403" s="450"/>
      <c r="T403" s="450"/>
      <c r="U403" s="451"/>
      <c r="V403" s="450"/>
      <c r="W403" s="450"/>
      <c r="X403" s="450"/>
      <c r="Y403" s="452"/>
      <c r="Z403" s="452"/>
      <c r="AA403" s="453"/>
      <c r="AB403" s="453"/>
      <c r="AC403" s="453"/>
      <c r="AD403" s="452"/>
      <c r="AE403" s="452"/>
      <c r="AF403" s="452"/>
      <c r="AG403" s="450"/>
      <c r="AH403" s="450"/>
      <c r="AI403" s="450"/>
      <c r="AJ403" s="450"/>
      <c r="AK403" s="450"/>
      <c r="AL403" s="450"/>
      <c r="AM403" s="450"/>
      <c r="AN403" s="450"/>
      <c r="AO403" s="450"/>
      <c r="AP403" s="450"/>
      <c r="AQ403" s="450"/>
      <c r="AR403" s="450"/>
      <c r="AS403" s="450"/>
      <c r="AT403" s="450"/>
      <c r="AU403" s="450"/>
      <c r="AV403" s="450"/>
      <c r="AW403" s="450"/>
      <c r="AX403" s="450"/>
      <c r="AY403" s="450"/>
      <c r="AZ403" s="450"/>
      <c r="BA403" s="450"/>
      <c r="BB403" s="450"/>
      <c r="BC403" s="453"/>
      <c r="BD403" s="453"/>
      <c r="BE403" s="453"/>
      <c r="BF403" s="453"/>
      <c r="BG403" s="453"/>
      <c r="BH403" s="453"/>
      <c r="BI403" s="453"/>
      <c r="BJ403" s="453"/>
      <c r="BK403" s="453"/>
      <c r="BL403" s="453"/>
      <c r="BM403" s="453"/>
      <c r="BN403" s="453"/>
      <c r="BO403" s="453"/>
      <c r="BP403" s="452"/>
      <c r="BQ403" s="450"/>
      <c r="BR403" s="450"/>
      <c r="BS403" s="450"/>
      <c r="BT403" s="450"/>
      <c r="BU403" s="450"/>
      <c r="BV403" s="450"/>
      <c r="BW403" s="454"/>
      <c r="BX403" s="450"/>
    </row>
    <row r="404" ht="14.25" customHeight="1">
      <c r="A404" s="450"/>
      <c r="B404" s="450"/>
      <c r="C404" s="450"/>
      <c r="D404" s="450"/>
      <c r="E404" s="450"/>
      <c r="F404" s="450"/>
      <c r="G404" s="450"/>
      <c r="H404" s="450"/>
      <c r="I404" s="450"/>
      <c r="J404" s="450"/>
      <c r="K404" s="450"/>
      <c r="L404" s="450"/>
      <c r="M404" s="450"/>
      <c r="N404" s="450"/>
      <c r="O404" s="450"/>
      <c r="P404" s="450"/>
      <c r="Q404" s="450"/>
      <c r="R404" s="450"/>
      <c r="S404" s="450"/>
      <c r="T404" s="450"/>
      <c r="U404" s="451"/>
      <c r="V404" s="450"/>
      <c r="W404" s="450"/>
      <c r="X404" s="450"/>
      <c r="Y404" s="452"/>
      <c r="Z404" s="452"/>
      <c r="AA404" s="453"/>
      <c r="AB404" s="453"/>
      <c r="AC404" s="453"/>
      <c r="AD404" s="452"/>
      <c r="AE404" s="452"/>
      <c r="AF404" s="452"/>
      <c r="AG404" s="450"/>
      <c r="AH404" s="450"/>
      <c r="AI404" s="450"/>
      <c r="AJ404" s="450"/>
      <c r="AK404" s="450"/>
      <c r="AL404" s="450"/>
      <c r="AM404" s="450"/>
      <c r="AN404" s="450"/>
      <c r="AO404" s="450"/>
      <c r="AP404" s="450"/>
      <c r="AQ404" s="450"/>
      <c r="AR404" s="450"/>
      <c r="AS404" s="450"/>
      <c r="AT404" s="450"/>
      <c r="AU404" s="450"/>
      <c r="AV404" s="450"/>
      <c r="AW404" s="450"/>
      <c r="AX404" s="450"/>
      <c r="AY404" s="450"/>
      <c r="AZ404" s="450"/>
      <c r="BA404" s="450"/>
      <c r="BB404" s="450"/>
      <c r="BC404" s="453"/>
      <c r="BD404" s="453"/>
      <c r="BE404" s="453"/>
      <c r="BF404" s="453"/>
      <c r="BG404" s="453"/>
      <c r="BH404" s="453"/>
      <c r="BI404" s="453"/>
      <c r="BJ404" s="453"/>
      <c r="BK404" s="453"/>
      <c r="BL404" s="453"/>
      <c r="BM404" s="453"/>
      <c r="BN404" s="453"/>
      <c r="BO404" s="453"/>
      <c r="BP404" s="452"/>
      <c r="BQ404" s="450"/>
      <c r="BR404" s="450"/>
      <c r="BS404" s="450"/>
      <c r="BT404" s="450"/>
      <c r="BU404" s="450"/>
      <c r="BV404" s="450"/>
      <c r="BW404" s="454"/>
      <c r="BX404" s="450"/>
    </row>
    <row r="405" ht="14.25" customHeight="1">
      <c r="A405" s="450"/>
      <c r="B405" s="450"/>
      <c r="C405" s="450"/>
      <c r="D405" s="450"/>
      <c r="E405" s="450"/>
      <c r="F405" s="450"/>
      <c r="G405" s="450"/>
      <c r="H405" s="450"/>
      <c r="I405" s="450"/>
      <c r="J405" s="450"/>
      <c r="K405" s="450"/>
      <c r="L405" s="450"/>
      <c r="M405" s="450"/>
      <c r="N405" s="450"/>
      <c r="O405" s="450"/>
      <c r="P405" s="450"/>
      <c r="Q405" s="450"/>
      <c r="R405" s="450"/>
      <c r="S405" s="450"/>
      <c r="T405" s="450"/>
      <c r="U405" s="451"/>
      <c r="V405" s="450"/>
      <c r="W405" s="450"/>
      <c r="X405" s="450"/>
      <c r="Y405" s="452"/>
      <c r="Z405" s="452"/>
      <c r="AA405" s="453"/>
      <c r="AB405" s="453"/>
      <c r="AC405" s="453"/>
      <c r="AD405" s="452"/>
      <c r="AE405" s="452"/>
      <c r="AF405" s="452"/>
      <c r="AG405" s="450"/>
      <c r="AH405" s="450"/>
      <c r="AI405" s="450"/>
      <c r="AJ405" s="450"/>
      <c r="AK405" s="450"/>
      <c r="AL405" s="450"/>
      <c r="AM405" s="450"/>
      <c r="AN405" s="450"/>
      <c r="AO405" s="450"/>
      <c r="AP405" s="450"/>
      <c r="AQ405" s="450"/>
      <c r="AR405" s="450"/>
      <c r="AS405" s="450"/>
      <c r="AT405" s="450"/>
      <c r="AU405" s="450"/>
      <c r="AV405" s="450"/>
      <c r="AW405" s="450"/>
      <c r="AX405" s="450"/>
      <c r="AY405" s="450"/>
      <c r="AZ405" s="450"/>
      <c r="BA405" s="450"/>
      <c r="BB405" s="450"/>
      <c r="BC405" s="453"/>
      <c r="BD405" s="453"/>
      <c r="BE405" s="453"/>
      <c r="BF405" s="453"/>
      <c r="BG405" s="453"/>
      <c r="BH405" s="453"/>
      <c r="BI405" s="453"/>
      <c r="BJ405" s="453"/>
      <c r="BK405" s="453"/>
      <c r="BL405" s="453"/>
      <c r="BM405" s="453"/>
      <c r="BN405" s="453"/>
      <c r="BO405" s="453"/>
      <c r="BP405" s="452"/>
      <c r="BQ405" s="450"/>
      <c r="BR405" s="450"/>
      <c r="BS405" s="450"/>
      <c r="BT405" s="450"/>
      <c r="BU405" s="450"/>
      <c r="BV405" s="450"/>
      <c r="BW405" s="454"/>
      <c r="BX405" s="450"/>
    </row>
    <row r="406" ht="14.25" customHeight="1">
      <c r="A406" s="450"/>
      <c r="B406" s="450"/>
      <c r="C406" s="450"/>
      <c r="D406" s="450"/>
      <c r="E406" s="450"/>
      <c r="F406" s="450"/>
      <c r="G406" s="450"/>
      <c r="H406" s="450"/>
      <c r="I406" s="450"/>
      <c r="J406" s="450"/>
      <c r="K406" s="450"/>
      <c r="L406" s="450"/>
      <c r="M406" s="450"/>
      <c r="N406" s="450"/>
      <c r="O406" s="450"/>
      <c r="P406" s="450"/>
      <c r="Q406" s="450"/>
      <c r="R406" s="450"/>
      <c r="S406" s="450"/>
      <c r="T406" s="450"/>
      <c r="U406" s="451"/>
      <c r="V406" s="450"/>
      <c r="W406" s="450"/>
      <c r="X406" s="450"/>
      <c r="Y406" s="452"/>
      <c r="Z406" s="452"/>
      <c r="AA406" s="453"/>
      <c r="AB406" s="453"/>
      <c r="AC406" s="453"/>
      <c r="AD406" s="452"/>
      <c r="AE406" s="452"/>
      <c r="AF406" s="452"/>
      <c r="AG406" s="450"/>
      <c r="AH406" s="450"/>
      <c r="AI406" s="450"/>
      <c r="AJ406" s="450"/>
      <c r="AK406" s="450"/>
      <c r="AL406" s="450"/>
      <c r="AM406" s="450"/>
      <c r="AN406" s="450"/>
      <c r="AO406" s="450"/>
      <c r="AP406" s="450"/>
      <c r="AQ406" s="450"/>
      <c r="AR406" s="450"/>
      <c r="AS406" s="450"/>
      <c r="AT406" s="450"/>
      <c r="AU406" s="450"/>
      <c r="AV406" s="450"/>
      <c r="AW406" s="450"/>
      <c r="AX406" s="450"/>
      <c r="AY406" s="450"/>
      <c r="AZ406" s="450"/>
      <c r="BA406" s="450"/>
      <c r="BB406" s="450"/>
      <c r="BC406" s="453"/>
      <c r="BD406" s="453"/>
      <c r="BE406" s="453"/>
      <c r="BF406" s="453"/>
      <c r="BG406" s="453"/>
      <c r="BH406" s="453"/>
      <c r="BI406" s="453"/>
      <c r="BJ406" s="453"/>
      <c r="BK406" s="453"/>
      <c r="BL406" s="453"/>
      <c r="BM406" s="453"/>
      <c r="BN406" s="453"/>
      <c r="BO406" s="453"/>
      <c r="BP406" s="452"/>
      <c r="BQ406" s="450"/>
      <c r="BR406" s="450"/>
      <c r="BS406" s="450"/>
      <c r="BT406" s="450"/>
      <c r="BU406" s="450"/>
      <c r="BV406" s="450"/>
      <c r="BW406" s="454"/>
      <c r="BX406" s="450"/>
    </row>
    <row r="407" ht="14.25" customHeight="1">
      <c r="A407" s="450"/>
      <c r="B407" s="450"/>
      <c r="C407" s="450"/>
      <c r="D407" s="450"/>
      <c r="E407" s="450"/>
      <c r="F407" s="450"/>
      <c r="G407" s="450"/>
      <c r="H407" s="450"/>
      <c r="I407" s="450"/>
      <c r="J407" s="450"/>
      <c r="K407" s="450"/>
      <c r="L407" s="450"/>
      <c r="M407" s="450"/>
      <c r="N407" s="450"/>
      <c r="O407" s="450"/>
      <c r="P407" s="450"/>
      <c r="Q407" s="450"/>
      <c r="R407" s="450"/>
      <c r="S407" s="450"/>
      <c r="T407" s="450"/>
      <c r="U407" s="451"/>
      <c r="V407" s="450"/>
      <c r="W407" s="450"/>
      <c r="X407" s="450"/>
      <c r="Y407" s="452"/>
      <c r="Z407" s="452"/>
      <c r="AA407" s="453"/>
      <c r="AB407" s="453"/>
      <c r="AC407" s="453"/>
      <c r="AD407" s="452"/>
      <c r="AE407" s="452"/>
      <c r="AF407" s="452"/>
      <c r="AG407" s="450"/>
      <c r="AH407" s="450"/>
      <c r="AI407" s="450"/>
      <c r="AJ407" s="450"/>
      <c r="AK407" s="450"/>
      <c r="AL407" s="450"/>
      <c r="AM407" s="450"/>
      <c r="AN407" s="450"/>
      <c r="AO407" s="450"/>
      <c r="AP407" s="450"/>
      <c r="AQ407" s="450"/>
      <c r="AR407" s="450"/>
      <c r="AS407" s="450"/>
      <c r="AT407" s="450"/>
      <c r="AU407" s="450"/>
      <c r="AV407" s="450"/>
      <c r="AW407" s="450"/>
      <c r="AX407" s="450"/>
      <c r="AY407" s="450"/>
      <c r="AZ407" s="450"/>
      <c r="BA407" s="450"/>
      <c r="BB407" s="450"/>
      <c r="BC407" s="453"/>
      <c r="BD407" s="453"/>
      <c r="BE407" s="453"/>
      <c r="BF407" s="453"/>
      <c r="BG407" s="453"/>
      <c r="BH407" s="453"/>
      <c r="BI407" s="453"/>
      <c r="BJ407" s="453"/>
      <c r="BK407" s="453"/>
      <c r="BL407" s="453"/>
      <c r="BM407" s="453"/>
      <c r="BN407" s="453"/>
      <c r="BO407" s="453"/>
      <c r="BP407" s="452"/>
      <c r="BQ407" s="450"/>
      <c r="BR407" s="450"/>
      <c r="BS407" s="450"/>
      <c r="BT407" s="450"/>
      <c r="BU407" s="450"/>
      <c r="BV407" s="450"/>
      <c r="BW407" s="454"/>
      <c r="BX407" s="450"/>
    </row>
    <row r="408" ht="14.25" customHeight="1">
      <c r="A408" s="450"/>
      <c r="B408" s="450"/>
      <c r="C408" s="450"/>
      <c r="D408" s="450"/>
      <c r="E408" s="450"/>
      <c r="F408" s="450"/>
      <c r="G408" s="450"/>
      <c r="H408" s="450"/>
      <c r="I408" s="450"/>
      <c r="J408" s="450"/>
      <c r="K408" s="450"/>
      <c r="L408" s="450"/>
      <c r="M408" s="450"/>
      <c r="N408" s="450"/>
      <c r="O408" s="450"/>
      <c r="P408" s="450"/>
      <c r="Q408" s="450"/>
      <c r="R408" s="450"/>
      <c r="S408" s="450"/>
      <c r="T408" s="450"/>
      <c r="U408" s="451"/>
      <c r="V408" s="450"/>
      <c r="W408" s="450"/>
      <c r="X408" s="450"/>
      <c r="Y408" s="452"/>
      <c r="Z408" s="452"/>
      <c r="AA408" s="453"/>
      <c r="AB408" s="453"/>
      <c r="AC408" s="453"/>
      <c r="AD408" s="452"/>
      <c r="AE408" s="452"/>
      <c r="AF408" s="452"/>
      <c r="AG408" s="450"/>
      <c r="AH408" s="450"/>
      <c r="AI408" s="450"/>
      <c r="AJ408" s="450"/>
      <c r="AK408" s="450"/>
      <c r="AL408" s="450"/>
      <c r="AM408" s="450"/>
      <c r="AN408" s="450"/>
      <c r="AO408" s="450"/>
      <c r="AP408" s="450"/>
      <c r="AQ408" s="450"/>
      <c r="AR408" s="450"/>
      <c r="AS408" s="450"/>
      <c r="AT408" s="450"/>
      <c r="AU408" s="450"/>
      <c r="AV408" s="450"/>
      <c r="AW408" s="450"/>
      <c r="AX408" s="450"/>
      <c r="AY408" s="450"/>
      <c r="AZ408" s="450"/>
      <c r="BA408" s="450"/>
      <c r="BB408" s="450"/>
      <c r="BC408" s="453"/>
      <c r="BD408" s="453"/>
      <c r="BE408" s="453"/>
      <c r="BF408" s="453"/>
      <c r="BG408" s="453"/>
      <c r="BH408" s="453"/>
      <c r="BI408" s="453"/>
      <c r="BJ408" s="453"/>
      <c r="BK408" s="453"/>
      <c r="BL408" s="453"/>
      <c r="BM408" s="453"/>
      <c r="BN408" s="453"/>
      <c r="BO408" s="453"/>
      <c r="BP408" s="452"/>
      <c r="BQ408" s="450"/>
      <c r="BR408" s="450"/>
      <c r="BS408" s="450"/>
      <c r="BT408" s="450"/>
      <c r="BU408" s="450"/>
      <c r="BV408" s="450"/>
      <c r="BW408" s="454"/>
      <c r="BX408" s="450"/>
    </row>
    <row r="409" ht="14.25" customHeight="1">
      <c r="A409" s="450"/>
      <c r="B409" s="450"/>
      <c r="C409" s="450"/>
      <c r="D409" s="450"/>
      <c r="E409" s="450"/>
      <c r="F409" s="450"/>
      <c r="G409" s="450"/>
      <c r="H409" s="450"/>
      <c r="I409" s="450"/>
      <c r="J409" s="450"/>
      <c r="K409" s="450"/>
      <c r="L409" s="450"/>
      <c r="M409" s="450"/>
      <c r="N409" s="450"/>
      <c r="O409" s="450"/>
      <c r="P409" s="450"/>
      <c r="Q409" s="450"/>
      <c r="R409" s="450"/>
      <c r="S409" s="450"/>
      <c r="T409" s="450"/>
      <c r="U409" s="451"/>
      <c r="V409" s="450"/>
      <c r="W409" s="450"/>
      <c r="X409" s="450"/>
      <c r="Y409" s="452"/>
      <c r="Z409" s="452"/>
      <c r="AA409" s="453"/>
      <c r="AB409" s="453"/>
      <c r="AC409" s="453"/>
      <c r="AD409" s="452"/>
      <c r="AE409" s="452"/>
      <c r="AF409" s="452"/>
      <c r="AG409" s="450"/>
      <c r="AH409" s="450"/>
      <c r="AI409" s="450"/>
      <c r="AJ409" s="450"/>
      <c r="AK409" s="450"/>
      <c r="AL409" s="450"/>
      <c r="AM409" s="450"/>
      <c r="AN409" s="450"/>
      <c r="AO409" s="450"/>
      <c r="AP409" s="450"/>
      <c r="AQ409" s="450"/>
      <c r="AR409" s="450"/>
      <c r="AS409" s="450"/>
      <c r="AT409" s="450"/>
      <c r="AU409" s="450"/>
      <c r="AV409" s="450"/>
      <c r="AW409" s="450"/>
      <c r="AX409" s="450"/>
      <c r="AY409" s="450"/>
      <c r="AZ409" s="450"/>
      <c r="BA409" s="450"/>
      <c r="BB409" s="450"/>
      <c r="BC409" s="453"/>
      <c r="BD409" s="453"/>
      <c r="BE409" s="453"/>
      <c r="BF409" s="453"/>
      <c r="BG409" s="453"/>
      <c r="BH409" s="453"/>
      <c r="BI409" s="453"/>
      <c r="BJ409" s="453"/>
      <c r="BK409" s="453"/>
      <c r="BL409" s="453"/>
      <c r="BM409" s="453"/>
      <c r="BN409" s="453"/>
      <c r="BO409" s="453"/>
      <c r="BP409" s="452"/>
      <c r="BQ409" s="450"/>
      <c r="BR409" s="450"/>
      <c r="BS409" s="450"/>
      <c r="BT409" s="450"/>
      <c r="BU409" s="450"/>
      <c r="BV409" s="450"/>
      <c r="BW409" s="454"/>
      <c r="BX409" s="450"/>
    </row>
    <row r="410" ht="14.25" customHeight="1">
      <c r="A410" s="450"/>
      <c r="B410" s="450"/>
      <c r="C410" s="450"/>
      <c r="D410" s="450"/>
      <c r="E410" s="450"/>
      <c r="F410" s="450"/>
      <c r="G410" s="450"/>
      <c r="H410" s="450"/>
      <c r="I410" s="450"/>
      <c r="J410" s="450"/>
      <c r="K410" s="450"/>
      <c r="L410" s="450"/>
      <c r="M410" s="450"/>
      <c r="N410" s="450"/>
      <c r="O410" s="450"/>
      <c r="P410" s="450"/>
      <c r="Q410" s="450"/>
      <c r="R410" s="450"/>
      <c r="S410" s="450"/>
      <c r="T410" s="450"/>
      <c r="U410" s="451"/>
      <c r="V410" s="450"/>
      <c r="W410" s="450"/>
      <c r="X410" s="450"/>
      <c r="Y410" s="452"/>
      <c r="Z410" s="452"/>
      <c r="AA410" s="453"/>
      <c r="AB410" s="453"/>
      <c r="AC410" s="453"/>
      <c r="AD410" s="452"/>
      <c r="AE410" s="452"/>
      <c r="AF410" s="452"/>
      <c r="AG410" s="450"/>
      <c r="AH410" s="450"/>
      <c r="AI410" s="450"/>
      <c r="AJ410" s="450"/>
      <c r="AK410" s="450"/>
      <c r="AL410" s="450"/>
      <c r="AM410" s="450"/>
      <c r="AN410" s="450"/>
      <c r="AO410" s="450"/>
      <c r="AP410" s="450"/>
      <c r="AQ410" s="450"/>
      <c r="AR410" s="450"/>
      <c r="AS410" s="450"/>
      <c r="AT410" s="450"/>
      <c r="AU410" s="450"/>
      <c r="AV410" s="450"/>
      <c r="AW410" s="450"/>
      <c r="AX410" s="450"/>
      <c r="AY410" s="450"/>
      <c r="AZ410" s="450"/>
      <c r="BA410" s="450"/>
      <c r="BB410" s="450"/>
      <c r="BC410" s="453"/>
      <c r="BD410" s="453"/>
      <c r="BE410" s="453"/>
      <c r="BF410" s="453"/>
      <c r="BG410" s="453"/>
      <c r="BH410" s="453"/>
      <c r="BI410" s="453"/>
      <c r="BJ410" s="453"/>
      <c r="BK410" s="453"/>
      <c r="BL410" s="453"/>
      <c r="BM410" s="453"/>
      <c r="BN410" s="453"/>
      <c r="BO410" s="453"/>
      <c r="BP410" s="452"/>
      <c r="BQ410" s="450"/>
      <c r="BR410" s="450"/>
      <c r="BS410" s="450"/>
      <c r="BT410" s="450"/>
      <c r="BU410" s="450"/>
      <c r="BV410" s="450"/>
      <c r="BW410" s="454"/>
      <c r="BX410" s="450"/>
    </row>
    <row r="411" ht="14.25" customHeight="1">
      <c r="A411" s="450"/>
      <c r="B411" s="450"/>
      <c r="C411" s="450"/>
      <c r="D411" s="450"/>
      <c r="E411" s="450"/>
      <c r="F411" s="450"/>
      <c r="G411" s="450"/>
      <c r="H411" s="450"/>
      <c r="I411" s="450"/>
      <c r="J411" s="450"/>
      <c r="K411" s="450"/>
      <c r="L411" s="450"/>
      <c r="M411" s="450"/>
      <c r="N411" s="450"/>
      <c r="O411" s="450"/>
      <c r="P411" s="450"/>
      <c r="Q411" s="450"/>
      <c r="R411" s="450"/>
      <c r="S411" s="450"/>
      <c r="T411" s="450"/>
      <c r="U411" s="451"/>
      <c r="V411" s="450"/>
      <c r="W411" s="450"/>
      <c r="X411" s="450"/>
      <c r="Y411" s="452"/>
      <c r="Z411" s="452"/>
      <c r="AA411" s="453"/>
      <c r="AB411" s="453"/>
      <c r="AC411" s="453"/>
      <c r="AD411" s="452"/>
      <c r="AE411" s="452"/>
      <c r="AF411" s="452"/>
      <c r="AG411" s="450"/>
      <c r="AH411" s="450"/>
      <c r="AI411" s="450"/>
      <c r="AJ411" s="450"/>
      <c r="AK411" s="450"/>
      <c r="AL411" s="450"/>
      <c r="AM411" s="450"/>
      <c r="AN411" s="450"/>
      <c r="AO411" s="450"/>
      <c r="AP411" s="450"/>
      <c r="AQ411" s="450"/>
      <c r="AR411" s="450"/>
      <c r="AS411" s="450"/>
      <c r="AT411" s="450"/>
      <c r="AU411" s="450"/>
      <c r="AV411" s="450"/>
      <c r="AW411" s="450"/>
      <c r="AX411" s="450"/>
      <c r="AY411" s="450"/>
      <c r="AZ411" s="450"/>
      <c r="BA411" s="450"/>
      <c r="BB411" s="450"/>
      <c r="BC411" s="453"/>
      <c r="BD411" s="453"/>
      <c r="BE411" s="453"/>
      <c r="BF411" s="453"/>
      <c r="BG411" s="453"/>
      <c r="BH411" s="453"/>
      <c r="BI411" s="453"/>
      <c r="BJ411" s="453"/>
      <c r="BK411" s="453"/>
      <c r="BL411" s="453"/>
      <c r="BM411" s="453"/>
      <c r="BN411" s="453"/>
      <c r="BO411" s="453"/>
      <c r="BP411" s="452"/>
      <c r="BQ411" s="450"/>
      <c r="BR411" s="450"/>
      <c r="BS411" s="450"/>
      <c r="BT411" s="450"/>
      <c r="BU411" s="450"/>
      <c r="BV411" s="450"/>
      <c r="BW411" s="454"/>
      <c r="BX411" s="450"/>
    </row>
    <row r="412" ht="14.25" customHeight="1">
      <c r="A412" s="450"/>
      <c r="B412" s="450"/>
      <c r="C412" s="450"/>
      <c r="D412" s="450"/>
      <c r="E412" s="450"/>
      <c r="F412" s="450"/>
      <c r="G412" s="450"/>
      <c r="H412" s="450"/>
      <c r="I412" s="450"/>
      <c r="J412" s="450"/>
      <c r="K412" s="450"/>
      <c r="L412" s="450"/>
      <c r="M412" s="450"/>
      <c r="N412" s="450"/>
      <c r="O412" s="450"/>
      <c r="P412" s="450"/>
      <c r="Q412" s="450"/>
      <c r="R412" s="450"/>
      <c r="S412" s="450"/>
      <c r="T412" s="450"/>
      <c r="U412" s="451"/>
      <c r="V412" s="450"/>
      <c r="W412" s="450"/>
      <c r="X412" s="450"/>
      <c r="Y412" s="452"/>
      <c r="Z412" s="452"/>
      <c r="AA412" s="453"/>
      <c r="AB412" s="453"/>
      <c r="AC412" s="453"/>
      <c r="AD412" s="452"/>
      <c r="AE412" s="452"/>
      <c r="AF412" s="452"/>
      <c r="AG412" s="450"/>
      <c r="AH412" s="450"/>
      <c r="AI412" s="450"/>
      <c r="AJ412" s="450"/>
      <c r="AK412" s="450"/>
      <c r="AL412" s="450"/>
      <c r="AM412" s="450"/>
      <c r="AN412" s="450"/>
      <c r="AO412" s="450"/>
      <c r="AP412" s="450"/>
      <c r="AQ412" s="450"/>
      <c r="AR412" s="450"/>
      <c r="AS412" s="450"/>
      <c r="AT412" s="450"/>
      <c r="AU412" s="450"/>
      <c r="AV412" s="450"/>
      <c r="AW412" s="450"/>
      <c r="AX412" s="450"/>
      <c r="AY412" s="450"/>
      <c r="AZ412" s="450"/>
      <c r="BA412" s="450"/>
      <c r="BB412" s="450"/>
      <c r="BC412" s="453"/>
      <c r="BD412" s="453"/>
      <c r="BE412" s="453"/>
      <c r="BF412" s="453"/>
      <c r="BG412" s="453"/>
      <c r="BH412" s="453"/>
      <c r="BI412" s="453"/>
      <c r="BJ412" s="453"/>
      <c r="BK412" s="453"/>
      <c r="BL412" s="453"/>
      <c r="BM412" s="453"/>
      <c r="BN412" s="453"/>
      <c r="BO412" s="453"/>
      <c r="BP412" s="452"/>
      <c r="BQ412" s="450"/>
      <c r="BR412" s="450"/>
      <c r="BS412" s="450"/>
      <c r="BT412" s="450"/>
      <c r="BU412" s="450"/>
      <c r="BV412" s="450"/>
      <c r="BW412" s="454"/>
      <c r="BX412" s="450"/>
    </row>
    <row r="413" ht="14.25" customHeight="1">
      <c r="A413" s="450"/>
      <c r="B413" s="450"/>
      <c r="C413" s="450"/>
      <c r="D413" s="450"/>
      <c r="E413" s="450"/>
      <c r="F413" s="450"/>
      <c r="G413" s="450"/>
      <c r="H413" s="450"/>
      <c r="I413" s="450"/>
      <c r="J413" s="450"/>
      <c r="K413" s="450"/>
      <c r="L413" s="450"/>
      <c r="M413" s="450"/>
      <c r="N413" s="450"/>
      <c r="O413" s="450"/>
      <c r="P413" s="450"/>
      <c r="Q413" s="450"/>
      <c r="R413" s="450"/>
      <c r="S413" s="450"/>
      <c r="T413" s="450"/>
      <c r="U413" s="451"/>
      <c r="V413" s="450"/>
      <c r="W413" s="450"/>
      <c r="X413" s="450"/>
      <c r="Y413" s="452"/>
      <c r="Z413" s="452"/>
      <c r="AA413" s="453"/>
      <c r="AB413" s="453"/>
      <c r="AC413" s="453"/>
      <c r="AD413" s="452"/>
      <c r="AE413" s="452"/>
      <c r="AF413" s="452"/>
      <c r="AG413" s="450"/>
      <c r="AH413" s="450"/>
      <c r="AI413" s="450"/>
      <c r="AJ413" s="450"/>
      <c r="AK413" s="450"/>
      <c r="AL413" s="450"/>
      <c r="AM413" s="450"/>
      <c r="AN413" s="450"/>
      <c r="AO413" s="450"/>
      <c r="AP413" s="450"/>
      <c r="AQ413" s="450"/>
      <c r="AR413" s="450"/>
      <c r="AS413" s="450"/>
      <c r="AT413" s="450"/>
      <c r="AU413" s="450"/>
      <c r="AV413" s="450"/>
      <c r="AW413" s="450"/>
      <c r="AX413" s="450"/>
      <c r="AY413" s="450"/>
      <c r="AZ413" s="450"/>
      <c r="BA413" s="450"/>
      <c r="BB413" s="450"/>
      <c r="BC413" s="453"/>
      <c r="BD413" s="453"/>
      <c r="BE413" s="453"/>
      <c r="BF413" s="453"/>
      <c r="BG413" s="453"/>
      <c r="BH413" s="453"/>
      <c r="BI413" s="453"/>
      <c r="BJ413" s="453"/>
      <c r="BK413" s="453"/>
      <c r="BL413" s="453"/>
      <c r="BM413" s="453"/>
      <c r="BN413" s="453"/>
      <c r="BO413" s="453"/>
      <c r="BP413" s="452"/>
      <c r="BQ413" s="450"/>
      <c r="BR413" s="450"/>
      <c r="BS413" s="450"/>
      <c r="BT413" s="450"/>
      <c r="BU413" s="450"/>
      <c r="BV413" s="450"/>
      <c r="BW413" s="454"/>
      <c r="BX413" s="450"/>
    </row>
    <row r="414" ht="14.25" customHeight="1">
      <c r="A414" s="450"/>
      <c r="B414" s="450"/>
      <c r="C414" s="450"/>
      <c r="D414" s="450"/>
      <c r="E414" s="450"/>
      <c r="F414" s="450"/>
      <c r="G414" s="450"/>
      <c r="H414" s="450"/>
      <c r="I414" s="450"/>
      <c r="J414" s="450"/>
      <c r="K414" s="450"/>
      <c r="L414" s="450"/>
      <c r="M414" s="450"/>
      <c r="N414" s="450"/>
      <c r="O414" s="450"/>
      <c r="P414" s="450"/>
      <c r="Q414" s="450"/>
      <c r="R414" s="450"/>
      <c r="S414" s="450"/>
      <c r="T414" s="450"/>
      <c r="U414" s="451"/>
      <c r="V414" s="450"/>
      <c r="W414" s="450"/>
      <c r="X414" s="450"/>
      <c r="Y414" s="452"/>
      <c r="Z414" s="452"/>
      <c r="AA414" s="453"/>
      <c r="AB414" s="453"/>
      <c r="AC414" s="453"/>
      <c r="AD414" s="452"/>
      <c r="AE414" s="452"/>
      <c r="AF414" s="452"/>
      <c r="AG414" s="450"/>
      <c r="AH414" s="450"/>
      <c r="AI414" s="450"/>
      <c r="AJ414" s="450"/>
      <c r="AK414" s="450"/>
      <c r="AL414" s="450"/>
      <c r="AM414" s="450"/>
      <c r="AN414" s="450"/>
      <c r="AO414" s="450"/>
      <c r="AP414" s="450"/>
      <c r="AQ414" s="450"/>
      <c r="AR414" s="450"/>
      <c r="AS414" s="450"/>
      <c r="AT414" s="450"/>
      <c r="AU414" s="450"/>
      <c r="AV414" s="450"/>
      <c r="AW414" s="450"/>
      <c r="AX414" s="450"/>
      <c r="AY414" s="450"/>
      <c r="AZ414" s="450"/>
      <c r="BA414" s="450"/>
      <c r="BB414" s="450"/>
      <c r="BC414" s="453"/>
      <c r="BD414" s="453"/>
      <c r="BE414" s="453"/>
      <c r="BF414" s="453"/>
      <c r="BG414" s="453"/>
      <c r="BH414" s="453"/>
      <c r="BI414" s="453"/>
      <c r="BJ414" s="453"/>
      <c r="BK414" s="453"/>
      <c r="BL414" s="453"/>
      <c r="BM414" s="453"/>
      <c r="BN414" s="453"/>
      <c r="BO414" s="453"/>
      <c r="BP414" s="452"/>
      <c r="BQ414" s="450"/>
      <c r="BR414" s="450"/>
      <c r="BS414" s="450"/>
      <c r="BT414" s="450"/>
      <c r="BU414" s="450"/>
      <c r="BV414" s="450"/>
      <c r="BW414" s="454"/>
      <c r="BX414" s="450"/>
    </row>
    <row r="415" ht="14.25" customHeight="1">
      <c r="A415" s="450"/>
      <c r="B415" s="450"/>
      <c r="C415" s="450"/>
      <c r="D415" s="450"/>
      <c r="E415" s="450"/>
      <c r="F415" s="450"/>
      <c r="G415" s="450"/>
      <c r="H415" s="450"/>
      <c r="I415" s="450"/>
      <c r="J415" s="450"/>
      <c r="K415" s="450"/>
      <c r="L415" s="450"/>
      <c r="M415" s="450"/>
      <c r="N415" s="450"/>
      <c r="O415" s="450"/>
      <c r="P415" s="450"/>
      <c r="Q415" s="450"/>
      <c r="R415" s="450"/>
      <c r="S415" s="450"/>
      <c r="T415" s="450"/>
      <c r="U415" s="451"/>
      <c r="V415" s="450"/>
      <c r="W415" s="450"/>
      <c r="X415" s="450"/>
      <c r="Y415" s="452"/>
      <c r="Z415" s="452"/>
      <c r="AA415" s="453"/>
      <c r="AB415" s="453"/>
      <c r="AC415" s="453"/>
      <c r="AD415" s="452"/>
      <c r="AE415" s="452"/>
      <c r="AF415" s="452"/>
      <c r="AG415" s="450"/>
      <c r="AH415" s="450"/>
      <c r="AI415" s="450"/>
      <c r="AJ415" s="450"/>
      <c r="AK415" s="450"/>
      <c r="AL415" s="450"/>
      <c r="AM415" s="450"/>
      <c r="AN415" s="450"/>
      <c r="AO415" s="450"/>
      <c r="AP415" s="450"/>
      <c r="AQ415" s="450"/>
      <c r="AR415" s="450"/>
      <c r="AS415" s="450"/>
      <c r="AT415" s="450"/>
      <c r="AU415" s="450"/>
      <c r="AV415" s="450"/>
      <c r="AW415" s="450"/>
      <c r="AX415" s="450"/>
      <c r="AY415" s="450"/>
      <c r="AZ415" s="450"/>
      <c r="BA415" s="450"/>
      <c r="BB415" s="450"/>
      <c r="BC415" s="453"/>
      <c r="BD415" s="453"/>
      <c r="BE415" s="453"/>
      <c r="BF415" s="453"/>
      <c r="BG415" s="453"/>
      <c r="BH415" s="453"/>
      <c r="BI415" s="453"/>
      <c r="BJ415" s="453"/>
      <c r="BK415" s="453"/>
      <c r="BL415" s="453"/>
      <c r="BM415" s="453"/>
      <c r="BN415" s="453"/>
      <c r="BO415" s="453"/>
      <c r="BP415" s="452"/>
      <c r="BQ415" s="450"/>
      <c r="BR415" s="450"/>
      <c r="BS415" s="450"/>
      <c r="BT415" s="450"/>
      <c r="BU415" s="450"/>
      <c r="BV415" s="450"/>
      <c r="BW415" s="454"/>
      <c r="BX415" s="450"/>
    </row>
    <row r="416" ht="14.25" customHeight="1">
      <c r="A416" s="450"/>
      <c r="B416" s="450"/>
      <c r="C416" s="450"/>
      <c r="D416" s="450"/>
      <c r="E416" s="450"/>
      <c r="F416" s="450"/>
      <c r="G416" s="450"/>
      <c r="H416" s="450"/>
      <c r="I416" s="450"/>
      <c r="J416" s="450"/>
      <c r="K416" s="450"/>
      <c r="L416" s="450"/>
      <c r="M416" s="450"/>
      <c r="N416" s="450"/>
      <c r="O416" s="450"/>
      <c r="P416" s="450"/>
      <c r="Q416" s="450"/>
      <c r="R416" s="450"/>
      <c r="S416" s="450"/>
      <c r="T416" s="450"/>
      <c r="U416" s="451"/>
      <c r="V416" s="450"/>
      <c r="W416" s="450"/>
      <c r="X416" s="450"/>
      <c r="Y416" s="452"/>
      <c r="Z416" s="452"/>
      <c r="AA416" s="453"/>
      <c r="AB416" s="453"/>
      <c r="AC416" s="453"/>
      <c r="AD416" s="452"/>
      <c r="AE416" s="452"/>
      <c r="AF416" s="452"/>
      <c r="AG416" s="450"/>
      <c r="AH416" s="450"/>
      <c r="AI416" s="450"/>
      <c r="AJ416" s="450"/>
      <c r="AK416" s="450"/>
      <c r="AL416" s="450"/>
      <c r="AM416" s="450"/>
      <c r="AN416" s="450"/>
      <c r="AO416" s="450"/>
      <c r="AP416" s="450"/>
      <c r="AQ416" s="450"/>
      <c r="AR416" s="450"/>
      <c r="AS416" s="450"/>
      <c r="AT416" s="450"/>
      <c r="AU416" s="450"/>
      <c r="AV416" s="450"/>
      <c r="AW416" s="450"/>
      <c r="AX416" s="450"/>
      <c r="AY416" s="450"/>
      <c r="AZ416" s="450"/>
      <c r="BA416" s="450"/>
      <c r="BB416" s="450"/>
      <c r="BC416" s="453"/>
      <c r="BD416" s="453"/>
      <c r="BE416" s="453"/>
      <c r="BF416" s="453"/>
      <c r="BG416" s="453"/>
      <c r="BH416" s="453"/>
      <c r="BI416" s="453"/>
      <c r="BJ416" s="453"/>
      <c r="BK416" s="453"/>
      <c r="BL416" s="453"/>
      <c r="BM416" s="453"/>
      <c r="BN416" s="453"/>
      <c r="BO416" s="453"/>
      <c r="BP416" s="452"/>
      <c r="BQ416" s="450"/>
      <c r="BR416" s="450"/>
      <c r="BS416" s="450"/>
      <c r="BT416" s="450"/>
      <c r="BU416" s="450"/>
      <c r="BV416" s="450"/>
      <c r="BW416" s="454"/>
      <c r="BX416" s="450"/>
    </row>
    <row r="417" ht="14.25" customHeight="1">
      <c r="A417" s="450"/>
      <c r="B417" s="450"/>
      <c r="C417" s="450"/>
      <c r="D417" s="450"/>
      <c r="E417" s="450"/>
      <c r="F417" s="450"/>
      <c r="G417" s="450"/>
      <c r="H417" s="450"/>
      <c r="I417" s="450"/>
      <c r="J417" s="450"/>
      <c r="K417" s="450"/>
      <c r="L417" s="450"/>
      <c r="M417" s="450"/>
      <c r="N417" s="450"/>
      <c r="O417" s="450"/>
      <c r="P417" s="450"/>
      <c r="Q417" s="450"/>
      <c r="R417" s="450"/>
      <c r="S417" s="450"/>
      <c r="T417" s="450"/>
      <c r="U417" s="451"/>
      <c r="V417" s="450"/>
      <c r="W417" s="450"/>
      <c r="X417" s="450"/>
      <c r="Y417" s="452"/>
      <c r="Z417" s="452"/>
      <c r="AA417" s="453"/>
      <c r="AB417" s="453"/>
      <c r="AC417" s="453"/>
      <c r="AD417" s="452"/>
      <c r="AE417" s="452"/>
      <c r="AF417" s="452"/>
      <c r="AG417" s="450"/>
      <c r="AH417" s="450"/>
      <c r="AI417" s="450"/>
      <c r="AJ417" s="450"/>
      <c r="AK417" s="450"/>
      <c r="AL417" s="450"/>
      <c r="AM417" s="450"/>
      <c r="AN417" s="450"/>
      <c r="AO417" s="450"/>
      <c r="AP417" s="450"/>
      <c r="AQ417" s="450"/>
      <c r="AR417" s="450"/>
      <c r="AS417" s="450"/>
      <c r="AT417" s="450"/>
      <c r="AU417" s="450"/>
      <c r="AV417" s="450"/>
      <c r="AW417" s="450"/>
      <c r="AX417" s="450"/>
      <c r="AY417" s="450"/>
      <c r="AZ417" s="450"/>
      <c r="BA417" s="450"/>
      <c r="BB417" s="450"/>
      <c r="BC417" s="453"/>
      <c r="BD417" s="453"/>
      <c r="BE417" s="453"/>
      <c r="BF417" s="453"/>
      <c r="BG417" s="453"/>
      <c r="BH417" s="453"/>
      <c r="BI417" s="453"/>
      <c r="BJ417" s="453"/>
      <c r="BK417" s="453"/>
      <c r="BL417" s="453"/>
      <c r="BM417" s="453"/>
      <c r="BN417" s="453"/>
      <c r="BO417" s="453"/>
      <c r="BP417" s="452"/>
      <c r="BQ417" s="450"/>
      <c r="BR417" s="450"/>
      <c r="BS417" s="450"/>
      <c r="BT417" s="450"/>
      <c r="BU417" s="450"/>
      <c r="BV417" s="450"/>
      <c r="BW417" s="454"/>
      <c r="BX417" s="450"/>
    </row>
    <row r="418" ht="14.25" customHeight="1">
      <c r="A418" s="450"/>
      <c r="B418" s="450"/>
      <c r="C418" s="450"/>
      <c r="D418" s="450"/>
      <c r="E418" s="450"/>
      <c r="F418" s="450"/>
      <c r="G418" s="450"/>
      <c r="H418" s="450"/>
      <c r="I418" s="450"/>
      <c r="J418" s="450"/>
      <c r="K418" s="450"/>
      <c r="L418" s="450"/>
      <c r="M418" s="450"/>
      <c r="N418" s="450"/>
      <c r="O418" s="450"/>
      <c r="P418" s="450"/>
      <c r="Q418" s="450"/>
      <c r="R418" s="450"/>
      <c r="S418" s="450"/>
      <c r="T418" s="450"/>
      <c r="U418" s="451"/>
      <c r="V418" s="450"/>
      <c r="W418" s="450"/>
      <c r="X418" s="450"/>
      <c r="Y418" s="452"/>
      <c r="Z418" s="452"/>
      <c r="AA418" s="453"/>
      <c r="AB418" s="453"/>
      <c r="AC418" s="453"/>
      <c r="AD418" s="452"/>
      <c r="AE418" s="452"/>
      <c r="AF418" s="452"/>
      <c r="AG418" s="450"/>
      <c r="AH418" s="450"/>
      <c r="AI418" s="450"/>
      <c r="AJ418" s="450"/>
      <c r="AK418" s="450"/>
      <c r="AL418" s="450"/>
      <c r="AM418" s="450"/>
      <c r="AN418" s="450"/>
      <c r="AO418" s="450"/>
      <c r="AP418" s="450"/>
      <c r="AQ418" s="450"/>
      <c r="AR418" s="450"/>
      <c r="AS418" s="450"/>
      <c r="AT418" s="450"/>
      <c r="AU418" s="450"/>
      <c r="AV418" s="450"/>
      <c r="AW418" s="450"/>
      <c r="AX418" s="450"/>
      <c r="AY418" s="450"/>
      <c r="AZ418" s="450"/>
      <c r="BA418" s="450"/>
      <c r="BB418" s="450"/>
      <c r="BC418" s="453"/>
      <c r="BD418" s="453"/>
      <c r="BE418" s="453"/>
      <c r="BF418" s="453"/>
      <c r="BG418" s="453"/>
      <c r="BH418" s="453"/>
      <c r="BI418" s="453"/>
      <c r="BJ418" s="453"/>
      <c r="BK418" s="453"/>
      <c r="BL418" s="453"/>
      <c r="BM418" s="453"/>
      <c r="BN418" s="453"/>
      <c r="BO418" s="453"/>
      <c r="BP418" s="452"/>
      <c r="BQ418" s="450"/>
      <c r="BR418" s="450"/>
      <c r="BS418" s="450"/>
      <c r="BT418" s="450"/>
      <c r="BU418" s="450"/>
      <c r="BV418" s="450"/>
      <c r="BW418" s="454"/>
      <c r="BX418" s="450"/>
    </row>
    <row r="419" ht="14.25" customHeight="1">
      <c r="A419" s="450"/>
      <c r="B419" s="450"/>
      <c r="C419" s="450"/>
      <c r="D419" s="450"/>
      <c r="E419" s="450"/>
      <c r="F419" s="450"/>
      <c r="G419" s="450"/>
      <c r="H419" s="450"/>
      <c r="I419" s="450"/>
      <c r="J419" s="450"/>
      <c r="K419" s="450"/>
      <c r="L419" s="450"/>
      <c r="M419" s="450"/>
      <c r="N419" s="450"/>
      <c r="O419" s="450"/>
      <c r="P419" s="450"/>
      <c r="Q419" s="450"/>
      <c r="R419" s="450"/>
      <c r="S419" s="450"/>
      <c r="T419" s="450"/>
      <c r="U419" s="451"/>
      <c r="V419" s="450"/>
      <c r="W419" s="450"/>
      <c r="X419" s="450"/>
      <c r="Y419" s="452"/>
      <c r="Z419" s="452"/>
      <c r="AA419" s="453"/>
      <c r="AB419" s="453"/>
      <c r="AC419" s="453"/>
      <c r="AD419" s="452"/>
      <c r="AE419" s="452"/>
      <c r="AF419" s="452"/>
      <c r="AG419" s="450"/>
      <c r="AH419" s="450"/>
      <c r="AI419" s="450"/>
      <c r="AJ419" s="450"/>
      <c r="AK419" s="450"/>
      <c r="AL419" s="450"/>
      <c r="AM419" s="450"/>
      <c r="AN419" s="450"/>
      <c r="AO419" s="450"/>
      <c r="AP419" s="450"/>
      <c r="AQ419" s="450"/>
      <c r="AR419" s="450"/>
      <c r="AS419" s="450"/>
      <c r="AT419" s="450"/>
      <c r="AU419" s="450"/>
      <c r="AV419" s="450"/>
      <c r="AW419" s="450"/>
      <c r="AX419" s="450"/>
      <c r="AY419" s="450"/>
      <c r="AZ419" s="450"/>
      <c r="BA419" s="450"/>
      <c r="BB419" s="450"/>
      <c r="BC419" s="453"/>
      <c r="BD419" s="453"/>
      <c r="BE419" s="453"/>
      <c r="BF419" s="453"/>
      <c r="BG419" s="453"/>
      <c r="BH419" s="453"/>
      <c r="BI419" s="453"/>
      <c r="BJ419" s="453"/>
      <c r="BK419" s="453"/>
      <c r="BL419" s="453"/>
      <c r="BM419" s="453"/>
      <c r="BN419" s="453"/>
      <c r="BO419" s="453"/>
      <c r="BP419" s="452"/>
      <c r="BQ419" s="450"/>
      <c r="BR419" s="450"/>
      <c r="BS419" s="450"/>
      <c r="BT419" s="450"/>
      <c r="BU419" s="450"/>
      <c r="BV419" s="450"/>
      <c r="BW419" s="454"/>
      <c r="BX419" s="450"/>
    </row>
    <row r="420" ht="14.25" customHeight="1">
      <c r="A420" s="450"/>
      <c r="B420" s="450"/>
      <c r="C420" s="450"/>
      <c r="D420" s="450"/>
      <c r="E420" s="450"/>
      <c r="F420" s="450"/>
      <c r="G420" s="450"/>
      <c r="H420" s="450"/>
      <c r="I420" s="450"/>
      <c r="J420" s="450"/>
      <c r="K420" s="450"/>
      <c r="L420" s="450"/>
      <c r="M420" s="450"/>
      <c r="N420" s="450"/>
      <c r="O420" s="450"/>
      <c r="P420" s="450"/>
      <c r="Q420" s="450"/>
      <c r="R420" s="450"/>
      <c r="S420" s="450"/>
      <c r="T420" s="450"/>
      <c r="U420" s="451"/>
      <c r="V420" s="450"/>
      <c r="W420" s="450"/>
      <c r="X420" s="450"/>
      <c r="Y420" s="452"/>
      <c r="Z420" s="452"/>
      <c r="AA420" s="453"/>
      <c r="AB420" s="453"/>
      <c r="AC420" s="453"/>
      <c r="AD420" s="452"/>
      <c r="AE420" s="452"/>
      <c r="AF420" s="452"/>
      <c r="AG420" s="450"/>
      <c r="AH420" s="450"/>
      <c r="AI420" s="450"/>
      <c r="AJ420" s="450"/>
      <c r="AK420" s="450"/>
      <c r="AL420" s="450"/>
      <c r="AM420" s="450"/>
      <c r="AN420" s="450"/>
      <c r="AO420" s="450"/>
      <c r="AP420" s="450"/>
      <c r="AQ420" s="450"/>
      <c r="AR420" s="450"/>
      <c r="AS420" s="450"/>
      <c r="AT420" s="450"/>
      <c r="AU420" s="450"/>
      <c r="AV420" s="450"/>
      <c r="AW420" s="450"/>
      <c r="AX420" s="450"/>
      <c r="AY420" s="450"/>
      <c r="AZ420" s="450"/>
      <c r="BA420" s="450"/>
      <c r="BB420" s="450"/>
      <c r="BC420" s="453"/>
      <c r="BD420" s="453"/>
      <c r="BE420" s="453"/>
      <c r="BF420" s="453"/>
      <c r="BG420" s="453"/>
      <c r="BH420" s="453"/>
      <c r="BI420" s="453"/>
      <c r="BJ420" s="453"/>
      <c r="BK420" s="453"/>
      <c r="BL420" s="453"/>
      <c r="BM420" s="453"/>
      <c r="BN420" s="453"/>
      <c r="BO420" s="453"/>
      <c r="BP420" s="452"/>
      <c r="BQ420" s="450"/>
      <c r="BR420" s="450"/>
      <c r="BS420" s="450"/>
      <c r="BT420" s="450"/>
      <c r="BU420" s="450"/>
      <c r="BV420" s="450"/>
      <c r="BW420" s="454"/>
      <c r="BX420" s="450"/>
    </row>
    <row r="421" ht="14.25" customHeight="1">
      <c r="A421" s="450"/>
      <c r="B421" s="450"/>
      <c r="C421" s="450"/>
      <c r="D421" s="450"/>
      <c r="E421" s="450"/>
      <c r="F421" s="450"/>
      <c r="G421" s="450"/>
      <c r="H421" s="450"/>
      <c r="I421" s="450"/>
      <c r="J421" s="450"/>
      <c r="K421" s="450"/>
      <c r="L421" s="450"/>
      <c r="M421" s="450"/>
      <c r="N421" s="450"/>
      <c r="O421" s="450"/>
      <c r="P421" s="450"/>
      <c r="Q421" s="450"/>
      <c r="R421" s="450"/>
      <c r="S421" s="450"/>
      <c r="T421" s="450"/>
      <c r="U421" s="451"/>
      <c r="V421" s="450"/>
      <c r="W421" s="450"/>
      <c r="X421" s="450"/>
      <c r="Y421" s="452"/>
      <c r="Z421" s="452"/>
      <c r="AA421" s="453"/>
      <c r="AB421" s="453"/>
      <c r="AC421" s="453"/>
      <c r="AD421" s="452"/>
      <c r="AE421" s="452"/>
      <c r="AF421" s="452"/>
      <c r="AG421" s="450"/>
      <c r="AH421" s="450"/>
      <c r="AI421" s="450"/>
      <c r="AJ421" s="450"/>
      <c r="AK421" s="450"/>
      <c r="AL421" s="450"/>
      <c r="AM421" s="450"/>
      <c r="AN421" s="450"/>
      <c r="AO421" s="450"/>
      <c r="AP421" s="450"/>
      <c r="AQ421" s="450"/>
      <c r="AR421" s="450"/>
      <c r="AS421" s="450"/>
      <c r="AT421" s="450"/>
      <c r="AU421" s="450"/>
      <c r="AV421" s="450"/>
      <c r="AW421" s="450"/>
      <c r="AX421" s="450"/>
      <c r="AY421" s="450"/>
      <c r="AZ421" s="450"/>
      <c r="BA421" s="450"/>
      <c r="BB421" s="450"/>
      <c r="BC421" s="453"/>
      <c r="BD421" s="453"/>
      <c r="BE421" s="453"/>
      <c r="BF421" s="453"/>
      <c r="BG421" s="453"/>
      <c r="BH421" s="453"/>
      <c r="BI421" s="453"/>
      <c r="BJ421" s="453"/>
      <c r="BK421" s="453"/>
      <c r="BL421" s="453"/>
      <c r="BM421" s="453"/>
      <c r="BN421" s="453"/>
      <c r="BO421" s="453"/>
      <c r="BP421" s="452"/>
      <c r="BQ421" s="450"/>
      <c r="BR421" s="450"/>
      <c r="BS421" s="450"/>
      <c r="BT421" s="450"/>
      <c r="BU421" s="450"/>
      <c r="BV421" s="450"/>
      <c r="BW421" s="454"/>
      <c r="BX421" s="450"/>
    </row>
    <row r="422" ht="14.25" customHeight="1">
      <c r="A422" s="450"/>
      <c r="B422" s="450"/>
      <c r="C422" s="450"/>
      <c r="D422" s="450"/>
      <c r="E422" s="450"/>
      <c r="F422" s="450"/>
      <c r="G422" s="450"/>
      <c r="H422" s="450"/>
      <c r="I422" s="450"/>
      <c r="J422" s="450"/>
      <c r="K422" s="450"/>
      <c r="L422" s="450"/>
      <c r="M422" s="450"/>
      <c r="N422" s="450"/>
      <c r="O422" s="450"/>
      <c r="P422" s="450"/>
      <c r="Q422" s="450"/>
      <c r="R422" s="450"/>
      <c r="S422" s="450"/>
      <c r="T422" s="450"/>
      <c r="U422" s="451"/>
      <c r="V422" s="450"/>
      <c r="W422" s="450"/>
      <c r="X422" s="450"/>
      <c r="Y422" s="452"/>
      <c r="Z422" s="452"/>
      <c r="AA422" s="453"/>
      <c r="AB422" s="453"/>
      <c r="AC422" s="453"/>
      <c r="AD422" s="452"/>
      <c r="AE422" s="452"/>
      <c r="AF422" s="452"/>
      <c r="AG422" s="450"/>
      <c r="AH422" s="450"/>
      <c r="AI422" s="450"/>
      <c r="AJ422" s="450"/>
      <c r="AK422" s="450"/>
      <c r="AL422" s="450"/>
      <c r="AM422" s="450"/>
      <c r="AN422" s="450"/>
      <c r="AO422" s="450"/>
      <c r="AP422" s="450"/>
      <c r="AQ422" s="450"/>
      <c r="AR422" s="450"/>
      <c r="AS422" s="450"/>
      <c r="AT422" s="450"/>
      <c r="AU422" s="450"/>
      <c r="AV422" s="450"/>
      <c r="AW422" s="450"/>
      <c r="AX422" s="450"/>
      <c r="AY422" s="450"/>
      <c r="AZ422" s="450"/>
      <c r="BA422" s="450"/>
      <c r="BB422" s="450"/>
      <c r="BC422" s="453"/>
      <c r="BD422" s="453"/>
      <c r="BE422" s="453"/>
      <c r="BF422" s="453"/>
      <c r="BG422" s="453"/>
      <c r="BH422" s="453"/>
      <c r="BI422" s="453"/>
      <c r="BJ422" s="453"/>
      <c r="BK422" s="453"/>
      <c r="BL422" s="453"/>
      <c r="BM422" s="453"/>
      <c r="BN422" s="453"/>
      <c r="BO422" s="453"/>
      <c r="BP422" s="452"/>
      <c r="BQ422" s="450"/>
      <c r="BR422" s="450"/>
      <c r="BS422" s="450"/>
      <c r="BT422" s="450"/>
      <c r="BU422" s="450"/>
      <c r="BV422" s="450"/>
      <c r="BW422" s="454"/>
      <c r="BX422" s="450"/>
    </row>
    <row r="423" ht="14.25" customHeight="1">
      <c r="A423" s="450"/>
      <c r="B423" s="450"/>
      <c r="C423" s="450"/>
      <c r="D423" s="450"/>
      <c r="E423" s="450"/>
      <c r="F423" s="450"/>
      <c r="G423" s="450"/>
      <c r="H423" s="450"/>
      <c r="I423" s="450"/>
      <c r="J423" s="450"/>
      <c r="K423" s="450"/>
      <c r="L423" s="450"/>
      <c r="M423" s="450"/>
      <c r="N423" s="450"/>
      <c r="O423" s="450"/>
      <c r="P423" s="450"/>
      <c r="Q423" s="450"/>
      <c r="R423" s="450"/>
      <c r="S423" s="450"/>
      <c r="T423" s="450"/>
      <c r="U423" s="451"/>
      <c r="V423" s="450"/>
      <c r="W423" s="450"/>
      <c r="X423" s="450"/>
      <c r="Y423" s="452"/>
      <c r="Z423" s="452"/>
      <c r="AA423" s="453"/>
      <c r="AB423" s="453"/>
      <c r="AC423" s="453"/>
      <c r="AD423" s="452"/>
      <c r="AE423" s="452"/>
      <c r="AF423" s="452"/>
      <c r="AG423" s="450"/>
      <c r="AH423" s="450"/>
      <c r="AI423" s="450"/>
      <c r="AJ423" s="450"/>
      <c r="AK423" s="450"/>
      <c r="AL423" s="450"/>
      <c r="AM423" s="450"/>
      <c r="AN423" s="450"/>
      <c r="AO423" s="450"/>
      <c r="AP423" s="450"/>
      <c r="AQ423" s="450"/>
      <c r="AR423" s="450"/>
      <c r="AS423" s="450"/>
      <c r="AT423" s="450"/>
      <c r="AU423" s="450"/>
      <c r="AV423" s="450"/>
      <c r="AW423" s="450"/>
      <c r="AX423" s="450"/>
      <c r="AY423" s="450"/>
      <c r="AZ423" s="450"/>
      <c r="BA423" s="450"/>
      <c r="BB423" s="450"/>
      <c r="BC423" s="453"/>
      <c r="BD423" s="453"/>
      <c r="BE423" s="453"/>
      <c r="BF423" s="453"/>
      <c r="BG423" s="453"/>
      <c r="BH423" s="453"/>
      <c r="BI423" s="453"/>
      <c r="BJ423" s="453"/>
      <c r="BK423" s="453"/>
      <c r="BL423" s="453"/>
      <c r="BM423" s="453"/>
      <c r="BN423" s="453"/>
      <c r="BO423" s="453"/>
      <c r="BP423" s="452"/>
      <c r="BQ423" s="450"/>
      <c r="BR423" s="450"/>
      <c r="BS423" s="450"/>
      <c r="BT423" s="450"/>
      <c r="BU423" s="450"/>
      <c r="BV423" s="450"/>
      <c r="BW423" s="454"/>
      <c r="BX423" s="450"/>
    </row>
    <row r="424" ht="14.25" customHeight="1">
      <c r="A424" s="450"/>
      <c r="B424" s="450"/>
      <c r="C424" s="450"/>
      <c r="D424" s="450"/>
      <c r="E424" s="450"/>
      <c r="F424" s="450"/>
      <c r="G424" s="450"/>
      <c r="H424" s="450"/>
      <c r="I424" s="450"/>
      <c r="J424" s="450"/>
      <c r="K424" s="450"/>
      <c r="L424" s="450"/>
      <c r="M424" s="450"/>
      <c r="N424" s="450"/>
      <c r="O424" s="450"/>
      <c r="P424" s="450"/>
      <c r="Q424" s="450"/>
      <c r="R424" s="450"/>
      <c r="S424" s="450"/>
      <c r="T424" s="450"/>
      <c r="U424" s="451"/>
      <c r="V424" s="450"/>
      <c r="W424" s="450"/>
      <c r="X424" s="450"/>
      <c r="Y424" s="452"/>
      <c r="Z424" s="452"/>
      <c r="AA424" s="453"/>
      <c r="AB424" s="453"/>
      <c r="AC424" s="453"/>
      <c r="AD424" s="452"/>
      <c r="AE424" s="452"/>
      <c r="AF424" s="452"/>
      <c r="AG424" s="450"/>
      <c r="AH424" s="450"/>
      <c r="AI424" s="450"/>
      <c r="AJ424" s="450"/>
      <c r="AK424" s="450"/>
      <c r="AL424" s="450"/>
      <c r="AM424" s="450"/>
      <c r="AN424" s="450"/>
      <c r="AO424" s="450"/>
      <c r="AP424" s="450"/>
      <c r="AQ424" s="450"/>
      <c r="AR424" s="450"/>
      <c r="AS424" s="450"/>
      <c r="AT424" s="450"/>
      <c r="AU424" s="450"/>
      <c r="AV424" s="450"/>
      <c r="AW424" s="450"/>
      <c r="AX424" s="450"/>
      <c r="AY424" s="450"/>
      <c r="AZ424" s="450"/>
      <c r="BA424" s="450"/>
      <c r="BB424" s="450"/>
      <c r="BC424" s="453"/>
      <c r="BD424" s="453"/>
      <c r="BE424" s="453"/>
      <c r="BF424" s="453"/>
      <c r="BG424" s="453"/>
      <c r="BH424" s="453"/>
      <c r="BI424" s="453"/>
      <c r="BJ424" s="453"/>
      <c r="BK424" s="453"/>
      <c r="BL424" s="453"/>
      <c r="BM424" s="453"/>
      <c r="BN424" s="453"/>
      <c r="BO424" s="453"/>
      <c r="BP424" s="452"/>
      <c r="BQ424" s="450"/>
      <c r="BR424" s="450"/>
      <c r="BS424" s="450"/>
      <c r="BT424" s="450"/>
      <c r="BU424" s="450"/>
      <c r="BV424" s="450"/>
      <c r="BW424" s="454"/>
      <c r="BX424" s="450"/>
    </row>
    <row r="425" ht="14.25" customHeight="1">
      <c r="A425" s="450"/>
      <c r="B425" s="450"/>
      <c r="C425" s="450"/>
      <c r="D425" s="450"/>
      <c r="E425" s="450"/>
      <c r="F425" s="450"/>
      <c r="G425" s="450"/>
      <c r="H425" s="450"/>
      <c r="I425" s="450"/>
      <c r="J425" s="450"/>
      <c r="K425" s="450"/>
      <c r="L425" s="450"/>
      <c r="M425" s="450"/>
      <c r="N425" s="450"/>
      <c r="O425" s="450"/>
      <c r="P425" s="450"/>
      <c r="Q425" s="450"/>
      <c r="R425" s="450"/>
      <c r="S425" s="450"/>
      <c r="T425" s="450"/>
      <c r="U425" s="451"/>
      <c r="V425" s="450"/>
      <c r="W425" s="450"/>
      <c r="X425" s="450"/>
      <c r="Y425" s="452"/>
      <c r="Z425" s="452"/>
      <c r="AA425" s="453"/>
      <c r="AB425" s="453"/>
      <c r="AC425" s="453"/>
      <c r="AD425" s="452"/>
      <c r="AE425" s="452"/>
      <c r="AF425" s="452"/>
      <c r="AG425" s="450"/>
      <c r="AH425" s="450"/>
      <c r="AI425" s="450"/>
      <c r="AJ425" s="450"/>
      <c r="AK425" s="450"/>
      <c r="AL425" s="450"/>
      <c r="AM425" s="450"/>
      <c r="AN425" s="450"/>
      <c r="AO425" s="450"/>
      <c r="AP425" s="450"/>
      <c r="AQ425" s="450"/>
      <c r="AR425" s="450"/>
      <c r="AS425" s="450"/>
      <c r="AT425" s="450"/>
      <c r="AU425" s="450"/>
      <c r="AV425" s="450"/>
      <c r="AW425" s="450"/>
      <c r="AX425" s="450"/>
      <c r="AY425" s="450"/>
      <c r="AZ425" s="450"/>
      <c r="BA425" s="450"/>
      <c r="BB425" s="450"/>
      <c r="BC425" s="453"/>
      <c r="BD425" s="453"/>
      <c r="BE425" s="453"/>
      <c r="BF425" s="453"/>
      <c r="BG425" s="453"/>
      <c r="BH425" s="453"/>
      <c r="BI425" s="453"/>
      <c r="BJ425" s="453"/>
      <c r="BK425" s="453"/>
      <c r="BL425" s="453"/>
      <c r="BM425" s="453"/>
      <c r="BN425" s="453"/>
      <c r="BO425" s="453"/>
      <c r="BP425" s="452"/>
      <c r="BQ425" s="450"/>
      <c r="BR425" s="450"/>
      <c r="BS425" s="450"/>
      <c r="BT425" s="450"/>
      <c r="BU425" s="450"/>
      <c r="BV425" s="450"/>
      <c r="BW425" s="454"/>
      <c r="BX425" s="450"/>
    </row>
    <row r="426" ht="14.25" customHeight="1">
      <c r="A426" s="450"/>
      <c r="B426" s="450"/>
      <c r="C426" s="450"/>
      <c r="D426" s="450"/>
      <c r="E426" s="450"/>
      <c r="F426" s="450"/>
      <c r="G426" s="450"/>
      <c r="H426" s="450"/>
      <c r="I426" s="450"/>
      <c r="J426" s="450"/>
      <c r="K426" s="450"/>
      <c r="L426" s="450"/>
      <c r="M426" s="450"/>
      <c r="N426" s="450"/>
      <c r="O426" s="450"/>
      <c r="P426" s="450"/>
      <c r="Q426" s="450"/>
      <c r="R426" s="450"/>
      <c r="S426" s="450"/>
      <c r="T426" s="450"/>
      <c r="U426" s="451"/>
      <c r="V426" s="450"/>
      <c r="W426" s="450"/>
      <c r="X426" s="450"/>
      <c r="Y426" s="452"/>
      <c r="Z426" s="452"/>
      <c r="AA426" s="453"/>
      <c r="AB426" s="453"/>
      <c r="AC426" s="453"/>
      <c r="AD426" s="452"/>
      <c r="AE426" s="452"/>
      <c r="AF426" s="452"/>
      <c r="AG426" s="450"/>
      <c r="AH426" s="450"/>
      <c r="AI426" s="450"/>
      <c r="AJ426" s="450"/>
      <c r="AK426" s="450"/>
      <c r="AL426" s="450"/>
      <c r="AM426" s="450"/>
      <c r="AN426" s="450"/>
      <c r="AO426" s="450"/>
      <c r="AP426" s="450"/>
      <c r="AQ426" s="450"/>
      <c r="AR426" s="450"/>
      <c r="AS426" s="450"/>
      <c r="AT426" s="450"/>
      <c r="AU426" s="450"/>
      <c r="AV426" s="450"/>
      <c r="AW426" s="450"/>
      <c r="AX426" s="450"/>
      <c r="AY426" s="450"/>
      <c r="AZ426" s="450"/>
      <c r="BA426" s="450"/>
      <c r="BB426" s="450"/>
      <c r="BC426" s="453"/>
      <c r="BD426" s="453"/>
      <c r="BE426" s="453"/>
      <c r="BF426" s="453"/>
      <c r="BG426" s="453"/>
      <c r="BH426" s="453"/>
      <c r="BI426" s="453"/>
      <c r="BJ426" s="453"/>
      <c r="BK426" s="453"/>
      <c r="BL426" s="453"/>
      <c r="BM426" s="453"/>
      <c r="BN426" s="453"/>
      <c r="BO426" s="453"/>
      <c r="BP426" s="452"/>
      <c r="BQ426" s="450"/>
      <c r="BR426" s="450"/>
      <c r="BS426" s="450"/>
      <c r="BT426" s="450"/>
      <c r="BU426" s="450"/>
      <c r="BV426" s="450"/>
      <c r="BW426" s="454"/>
      <c r="BX426" s="450"/>
    </row>
    <row r="427" ht="14.25" customHeight="1">
      <c r="A427" s="450"/>
      <c r="B427" s="450"/>
      <c r="C427" s="450"/>
      <c r="D427" s="450"/>
      <c r="E427" s="450"/>
      <c r="F427" s="450"/>
      <c r="G427" s="450"/>
      <c r="H427" s="450"/>
      <c r="I427" s="450"/>
      <c r="J427" s="450"/>
      <c r="K427" s="450"/>
      <c r="L427" s="450"/>
      <c r="M427" s="450"/>
      <c r="N427" s="450"/>
      <c r="O427" s="450"/>
      <c r="P427" s="450"/>
      <c r="Q427" s="450"/>
      <c r="R427" s="450"/>
      <c r="S427" s="450"/>
      <c r="T427" s="450"/>
      <c r="U427" s="451"/>
      <c r="V427" s="450"/>
      <c r="W427" s="450"/>
      <c r="X427" s="450"/>
      <c r="Y427" s="452"/>
      <c r="Z427" s="452"/>
      <c r="AA427" s="453"/>
      <c r="AB427" s="453"/>
      <c r="AC427" s="453"/>
      <c r="AD427" s="452"/>
      <c r="AE427" s="452"/>
      <c r="AF427" s="452"/>
      <c r="AG427" s="450"/>
      <c r="AH427" s="450"/>
      <c r="AI427" s="450"/>
      <c r="AJ427" s="450"/>
      <c r="AK427" s="450"/>
      <c r="AL427" s="450"/>
      <c r="AM427" s="450"/>
      <c r="AN427" s="450"/>
      <c r="AO427" s="450"/>
      <c r="AP427" s="450"/>
      <c r="AQ427" s="450"/>
      <c r="AR427" s="450"/>
      <c r="AS427" s="450"/>
      <c r="AT427" s="450"/>
      <c r="AU427" s="450"/>
      <c r="AV427" s="450"/>
      <c r="AW427" s="450"/>
      <c r="AX427" s="450"/>
      <c r="AY427" s="450"/>
      <c r="AZ427" s="450"/>
      <c r="BA427" s="450"/>
      <c r="BB427" s="450"/>
      <c r="BC427" s="453"/>
      <c r="BD427" s="453"/>
      <c r="BE427" s="453"/>
      <c r="BF427" s="453"/>
      <c r="BG427" s="453"/>
      <c r="BH427" s="453"/>
      <c r="BI427" s="453"/>
      <c r="BJ427" s="453"/>
      <c r="BK427" s="453"/>
      <c r="BL427" s="453"/>
      <c r="BM427" s="453"/>
      <c r="BN427" s="453"/>
      <c r="BO427" s="453"/>
      <c r="BP427" s="452"/>
      <c r="BQ427" s="450"/>
      <c r="BR427" s="450"/>
      <c r="BS427" s="450"/>
      <c r="BT427" s="450"/>
      <c r="BU427" s="450"/>
      <c r="BV427" s="450"/>
      <c r="BW427" s="454"/>
      <c r="BX427" s="450"/>
    </row>
    <row r="428" ht="14.25" customHeight="1">
      <c r="A428" s="450"/>
      <c r="B428" s="450"/>
      <c r="C428" s="450"/>
      <c r="D428" s="450"/>
      <c r="E428" s="450"/>
      <c r="F428" s="450"/>
      <c r="G428" s="450"/>
      <c r="H428" s="450"/>
      <c r="I428" s="450"/>
      <c r="J428" s="450"/>
      <c r="K428" s="450"/>
      <c r="L428" s="450"/>
      <c r="M428" s="450"/>
      <c r="N428" s="450"/>
      <c r="O428" s="450"/>
      <c r="P428" s="450"/>
      <c r="Q428" s="450"/>
      <c r="R428" s="450"/>
      <c r="S428" s="450"/>
      <c r="T428" s="450"/>
      <c r="U428" s="451"/>
      <c r="V428" s="450"/>
      <c r="W428" s="450"/>
      <c r="X428" s="450"/>
      <c r="Y428" s="452"/>
      <c r="Z428" s="452"/>
      <c r="AA428" s="453"/>
      <c r="AB428" s="453"/>
      <c r="AC428" s="453"/>
      <c r="AD428" s="452"/>
      <c r="AE428" s="452"/>
      <c r="AF428" s="452"/>
      <c r="AG428" s="450"/>
      <c r="AH428" s="450"/>
      <c r="AI428" s="450"/>
      <c r="AJ428" s="450"/>
      <c r="AK428" s="450"/>
      <c r="AL428" s="450"/>
      <c r="AM428" s="450"/>
      <c r="AN428" s="450"/>
      <c r="AO428" s="450"/>
      <c r="AP428" s="450"/>
      <c r="AQ428" s="450"/>
      <c r="AR428" s="450"/>
      <c r="AS428" s="450"/>
      <c r="AT428" s="450"/>
      <c r="AU428" s="450"/>
      <c r="AV428" s="450"/>
      <c r="AW428" s="450"/>
      <c r="AX428" s="450"/>
      <c r="AY428" s="450"/>
      <c r="AZ428" s="450"/>
      <c r="BA428" s="450"/>
      <c r="BB428" s="450"/>
      <c r="BC428" s="453"/>
      <c r="BD428" s="453"/>
      <c r="BE428" s="453"/>
      <c r="BF428" s="453"/>
      <c r="BG428" s="453"/>
      <c r="BH428" s="453"/>
      <c r="BI428" s="453"/>
      <c r="BJ428" s="453"/>
      <c r="BK428" s="453"/>
      <c r="BL428" s="453"/>
      <c r="BM428" s="453"/>
      <c r="BN428" s="453"/>
      <c r="BO428" s="453"/>
      <c r="BP428" s="452"/>
      <c r="BQ428" s="450"/>
      <c r="BR428" s="450"/>
      <c r="BS428" s="450"/>
      <c r="BT428" s="450"/>
      <c r="BU428" s="450"/>
      <c r="BV428" s="450"/>
      <c r="BW428" s="454"/>
      <c r="BX428" s="450"/>
    </row>
    <row r="429" ht="14.25" customHeight="1">
      <c r="A429" s="450"/>
      <c r="B429" s="450"/>
      <c r="C429" s="450"/>
      <c r="D429" s="450"/>
      <c r="E429" s="450"/>
      <c r="F429" s="450"/>
      <c r="G429" s="450"/>
      <c r="H429" s="450"/>
      <c r="I429" s="450"/>
      <c r="J429" s="450"/>
      <c r="K429" s="450"/>
      <c r="L429" s="450"/>
      <c r="M429" s="450"/>
      <c r="N429" s="450"/>
      <c r="O429" s="450"/>
      <c r="P429" s="450"/>
      <c r="Q429" s="450"/>
      <c r="R429" s="450"/>
      <c r="S429" s="450"/>
      <c r="T429" s="450"/>
      <c r="U429" s="451"/>
      <c r="V429" s="450"/>
      <c r="W429" s="450"/>
      <c r="X429" s="450"/>
      <c r="Y429" s="452"/>
      <c r="Z429" s="452"/>
      <c r="AA429" s="453"/>
      <c r="AB429" s="453"/>
      <c r="AC429" s="453"/>
      <c r="AD429" s="452"/>
      <c r="AE429" s="452"/>
      <c r="AF429" s="452"/>
      <c r="AG429" s="450"/>
      <c r="AH429" s="450"/>
      <c r="AI429" s="450"/>
      <c r="AJ429" s="450"/>
      <c r="AK429" s="450"/>
      <c r="AL429" s="450"/>
      <c r="AM429" s="450"/>
      <c r="AN429" s="450"/>
      <c r="AO429" s="450"/>
      <c r="AP429" s="450"/>
      <c r="AQ429" s="450"/>
      <c r="AR429" s="450"/>
      <c r="AS429" s="450"/>
      <c r="AT429" s="450"/>
      <c r="AU429" s="450"/>
      <c r="AV429" s="450"/>
      <c r="AW429" s="450"/>
      <c r="AX429" s="450"/>
      <c r="AY429" s="450"/>
      <c r="AZ429" s="450"/>
      <c r="BA429" s="450"/>
      <c r="BB429" s="450"/>
      <c r="BC429" s="453"/>
      <c r="BD429" s="453"/>
      <c r="BE429" s="453"/>
      <c r="BF429" s="453"/>
      <c r="BG429" s="453"/>
      <c r="BH429" s="453"/>
      <c r="BI429" s="453"/>
      <c r="BJ429" s="453"/>
      <c r="BK429" s="453"/>
      <c r="BL429" s="453"/>
      <c r="BM429" s="453"/>
      <c r="BN429" s="453"/>
      <c r="BO429" s="453"/>
      <c r="BP429" s="452"/>
      <c r="BQ429" s="450"/>
      <c r="BR429" s="450"/>
      <c r="BS429" s="450"/>
      <c r="BT429" s="450"/>
      <c r="BU429" s="450"/>
      <c r="BV429" s="450"/>
      <c r="BW429" s="454"/>
      <c r="BX429" s="450"/>
    </row>
    <row r="430" ht="14.25" customHeight="1">
      <c r="A430" s="450"/>
      <c r="B430" s="450"/>
      <c r="C430" s="450"/>
      <c r="D430" s="450"/>
      <c r="E430" s="450"/>
      <c r="F430" s="450"/>
      <c r="G430" s="450"/>
      <c r="H430" s="450"/>
      <c r="I430" s="450"/>
      <c r="J430" s="450"/>
      <c r="K430" s="450"/>
      <c r="L430" s="450"/>
      <c r="M430" s="450"/>
      <c r="N430" s="450"/>
      <c r="O430" s="450"/>
      <c r="P430" s="450"/>
      <c r="Q430" s="450"/>
      <c r="R430" s="450"/>
      <c r="S430" s="450"/>
      <c r="T430" s="450"/>
      <c r="U430" s="451"/>
      <c r="V430" s="450"/>
      <c r="W430" s="450"/>
      <c r="X430" s="450"/>
      <c r="Y430" s="452"/>
      <c r="Z430" s="452"/>
      <c r="AA430" s="453"/>
      <c r="AB430" s="453"/>
      <c r="AC430" s="453"/>
      <c r="AD430" s="452"/>
      <c r="AE430" s="452"/>
      <c r="AF430" s="452"/>
      <c r="AG430" s="450"/>
      <c r="AH430" s="450"/>
      <c r="AI430" s="450"/>
      <c r="AJ430" s="450"/>
      <c r="AK430" s="450"/>
      <c r="AL430" s="450"/>
      <c r="AM430" s="450"/>
      <c r="AN430" s="450"/>
      <c r="AO430" s="450"/>
      <c r="AP430" s="450"/>
      <c r="AQ430" s="450"/>
      <c r="AR430" s="450"/>
      <c r="AS430" s="450"/>
      <c r="AT430" s="450"/>
      <c r="AU430" s="450"/>
      <c r="AV430" s="450"/>
      <c r="AW430" s="450"/>
      <c r="AX430" s="450"/>
      <c r="AY430" s="450"/>
      <c r="AZ430" s="450"/>
      <c r="BA430" s="450"/>
      <c r="BB430" s="450"/>
      <c r="BC430" s="453"/>
      <c r="BD430" s="453"/>
      <c r="BE430" s="453"/>
      <c r="BF430" s="453"/>
      <c r="BG430" s="453"/>
      <c r="BH430" s="453"/>
      <c r="BI430" s="453"/>
      <c r="BJ430" s="453"/>
      <c r="BK430" s="453"/>
      <c r="BL430" s="453"/>
      <c r="BM430" s="453"/>
      <c r="BN430" s="453"/>
      <c r="BO430" s="453"/>
      <c r="BP430" s="452"/>
      <c r="BQ430" s="450"/>
      <c r="BR430" s="450"/>
      <c r="BS430" s="450"/>
      <c r="BT430" s="450"/>
      <c r="BU430" s="450"/>
      <c r="BV430" s="450"/>
      <c r="BW430" s="454"/>
      <c r="BX430" s="450"/>
    </row>
    <row r="431" ht="14.25" customHeight="1">
      <c r="A431" s="450"/>
      <c r="B431" s="450"/>
      <c r="C431" s="450"/>
      <c r="D431" s="450"/>
      <c r="E431" s="450"/>
      <c r="F431" s="450"/>
      <c r="G431" s="450"/>
      <c r="H431" s="450"/>
      <c r="I431" s="450"/>
      <c r="J431" s="450"/>
      <c r="K431" s="450"/>
      <c r="L431" s="450"/>
      <c r="M431" s="450"/>
      <c r="N431" s="450"/>
      <c r="O431" s="450"/>
      <c r="P431" s="450"/>
      <c r="Q431" s="450"/>
      <c r="R431" s="450"/>
      <c r="S431" s="450"/>
      <c r="T431" s="450"/>
      <c r="U431" s="451"/>
      <c r="V431" s="450"/>
      <c r="W431" s="450"/>
      <c r="X431" s="450"/>
      <c r="Y431" s="452"/>
      <c r="Z431" s="452"/>
      <c r="AA431" s="453"/>
      <c r="AB431" s="453"/>
      <c r="AC431" s="453"/>
      <c r="AD431" s="452"/>
      <c r="AE431" s="452"/>
      <c r="AF431" s="452"/>
      <c r="AG431" s="450"/>
      <c r="AH431" s="450"/>
      <c r="AI431" s="450"/>
      <c r="AJ431" s="450"/>
      <c r="AK431" s="450"/>
      <c r="AL431" s="450"/>
      <c r="AM431" s="450"/>
      <c r="AN431" s="450"/>
      <c r="AO431" s="450"/>
      <c r="AP431" s="450"/>
      <c r="AQ431" s="450"/>
      <c r="AR431" s="450"/>
      <c r="AS431" s="450"/>
      <c r="AT431" s="450"/>
      <c r="AU431" s="450"/>
      <c r="AV431" s="450"/>
      <c r="AW431" s="450"/>
      <c r="AX431" s="450"/>
      <c r="AY431" s="450"/>
      <c r="AZ431" s="450"/>
      <c r="BA431" s="450"/>
      <c r="BB431" s="450"/>
      <c r="BC431" s="453"/>
      <c r="BD431" s="453"/>
      <c r="BE431" s="453"/>
      <c r="BF431" s="453"/>
      <c r="BG431" s="453"/>
      <c r="BH431" s="453"/>
      <c r="BI431" s="453"/>
      <c r="BJ431" s="453"/>
      <c r="BK431" s="453"/>
      <c r="BL431" s="453"/>
      <c r="BM431" s="453"/>
      <c r="BN431" s="453"/>
      <c r="BO431" s="453"/>
      <c r="BP431" s="452"/>
      <c r="BQ431" s="450"/>
      <c r="BR431" s="450"/>
      <c r="BS431" s="450"/>
      <c r="BT431" s="450"/>
      <c r="BU431" s="450"/>
      <c r="BV431" s="450"/>
      <c r="BW431" s="454"/>
      <c r="BX431" s="450"/>
    </row>
    <row r="432" ht="14.25" customHeight="1">
      <c r="A432" s="450"/>
      <c r="B432" s="450"/>
      <c r="C432" s="450"/>
      <c r="D432" s="450"/>
      <c r="E432" s="450"/>
      <c r="F432" s="450"/>
      <c r="G432" s="450"/>
      <c r="H432" s="450"/>
      <c r="I432" s="450"/>
      <c r="J432" s="450"/>
      <c r="K432" s="450"/>
      <c r="L432" s="450"/>
      <c r="M432" s="450"/>
      <c r="N432" s="450"/>
      <c r="O432" s="450"/>
      <c r="P432" s="450"/>
      <c r="Q432" s="450"/>
      <c r="R432" s="450"/>
      <c r="S432" s="450"/>
      <c r="T432" s="450"/>
      <c r="U432" s="451"/>
      <c r="V432" s="450"/>
      <c r="W432" s="450"/>
      <c r="X432" s="450"/>
      <c r="Y432" s="452"/>
      <c r="Z432" s="452"/>
      <c r="AA432" s="453"/>
      <c r="AB432" s="453"/>
      <c r="AC432" s="453"/>
      <c r="AD432" s="452"/>
      <c r="AE432" s="452"/>
      <c r="AF432" s="452"/>
      <c r="AG432" s="450"/>
      <c r="AH432" s="450"/>
      <c r="AI432" s="450"/>
      <c r="AJ432" s="450"/>
      <c r="AK432" s="450"/>
      <c r="AL432" s="450"/>
      <c r="AM432" s="450"/>
      <c r="AN432" s="450"/>
      <c r="AO432" s="450"/>
      <c r="AP432" s="450"/>
      <c r="AQ432" s="450"/>
      <c r="AR432" s="450"/>
      <c r="AS432" s="450"/>
      <c r="AT432" s="450"/>
      <c r="AU432" s="450"/>
      <c r="AV432" s="450"/>
      <c r="AW432" s="450"/>
      <c r="AX432" s="450"/>
      <c r="AY432" s="450"/>
      <c r="AZ432" s="450"/>
      <c r="BA432" s="450"/>
      <c r="BB432" s="450"/>
      <c r="BC432" s="453"/>
      <c r="BD432" s="453"/>
      <c r="BE432" s="453"/>
      <c r="BF432" s="453"/>
      <c r="BG432" s="453"/>
      <c r="BH432" s="453"/>
      <c r="BI432" s="453"/>
      <c r="BJ432" s="453"/>
      <c r="BK432" s="453"/>
      <c r="BL432" s="453"/>
      <c r="BM432" s="453"/>
      <c r="BN432" s="453"/>
      <c r="BO432" s="453"/>
      <c r="BP432" s="452"/>
      <c r="BQ432" s="450"/>
      <c r="BR432" s="450"/>
      <c r="BS432" s="450"/>
      <c r="BT432" s="450"/>
      <c r="BU432" s="450"/>
      <c r="BV432" s="450"/>
      <c r="BW432" s="454"/>
      <c r="BX432" s="450"/>
    </row>
    <row r="433" ht="14.25" customHeight="1">
      <c r="A433" s="450"/>
      <c r="B433" s="450"/>
      <c r="C433" s="450"/>
      <c r="D433" s="450"/>
      <c r="E433" s="450"/>
      <c r="F433" s="450"/>
      <c r="G433" s="450"/>
      <c r="H433" s="450"/>
      <c r="I433" s="450"/>
      <c r="J433" s="450"/>
      <c r="K433" s="450"/>
      <c r="L433" s="450"/>
      <c r="M433" s="450"/>
      <c r="N433" s="450"/>
      <c r="O433" s="450"/>
      <c r="P433" s="450"/>
      <c r="Q433" s="450"/>
      <c r="R433" s="450"/>
      <c r="S433" s="450"/>
      <c r="T433" s="450"/>
      <c r="U433" s="451"/>
      <c r="V433" s="450"/>
      <c r="W433" s="450"/>
      <c r="X433" s="450"/>
      <c r="Y433" s="452"/>
      <c r="Z433" s="452"/>
      <c r="AA433" s="453"/>
      <c r="AB433" s="453"/>
      <c r="AC433" s="453"/>
      <c r="AD433" s="452"/>
      <c r="AE433" s="452"/>
      <c r="AF433" s="452"/>
      <c r="AG433" s="450"/>
      <c r="AH433" s="450"/>
      <c r="AI433" s="450"/>
      <c r="AJ433" s="450"/>
      <c r="AK433" s="450"/>
      <c r="AL433" s="450"/>
      <c r="AM433" s="450"/>
      <c r="AN433" s="450"/>
      <c r="AO433" s="450"/>
      <c r="AP433" s="450"/>
      <c r="AQ433" s="450"/>
      <c r="AR433" s="450"/>
      <c r="AS433" s="450"/>
      <c r="AT433" s="450"/>
      <c r="AU433" s="450"/>
      <c r="AV433" s="450"/>
      <c r="AW433" s="450"/>
      <c r="AX433" s="450"/>
      <c r="AY433" s="450"/>
      <c r="AZ433" s="450"/>
      <c r="BA433" s="450"/>
      <c r="BB433" s="450"/>
      <c r="BC433" s="453"/>
      <c r="BD433" s="453"/>
      <c r="BE433" s="453"/>
      <c r="BF433" s="453"/>
      <c r="BG433" s="453"/>
      <c r="BH433" s="453"/>
      <c r="BI433" s="453"/>
      <c r="BJ433" s="453"/>
      <c r="BK433" s="453"/>
      <c r="BL433" s="453"/>
      <c r="BM433" s="453"/>
      <c r="BN433" s="453"/>
      <c r="BO433" s="453"/>
      <c r="BP433" s="452"/>
      <c r="BQ433" s="450"/>
      <c r="BR433" s="450"/>
      <c r="BS433" s="450"/>
      <c r="BT433" s="450"/>
      <c r="BU433" s="450"/>
      <c r="BV433" s="450"/>
      <c r="BW433" s="454"/>
      <c r="BX433" s="450"/>
    </row>
    <row r="434" ht="14.25" customHeight="1">
      <c r="A434" s="450"/>
      <c r="B434" s="450"/>
      <c r="C434" s="450"/>
      <c r="D434" s="450"/>
      <c r="E434" s="450"/>
      <c r="F434" s="450"/>
      <c r="G434" s="450"/>
      <c r="H434" s="450"/>
      <c r="I434" s="450"/>
      <c r="J434" s="450"/>
      <c r="K434" s="450"/>
      <c r="L434" s="450"/>
      <c r="M434" s="450"/>
      <c r="N434" s="450"/>
      <c r="O434" s="450"/>
      <c r="P434" s="450"/>
      <c r="Q434" s="450"/>
      <c r="R434" s="450"/>
      <c r="S434" s="450"/>
      <c r="T434" s="450"/>
      <c r="U434" s="451"/>
      <c r="V434" s="450"/>
      <c r="W434" s="450"/>
      <c r="X434" s="450"/>
      <c r="Y434" s="452"/>
      <c r="Z434" s="452"/>
      <c r="AA434" s="453"/>
      <c r="AB434" s="453"/>
      <c r="AC434" s="453"/>
      <c r="AD434" s="452"/>
      <c r="AE434" s="452"/>
      <c r="AF434" s="452"/>
      <c r="AG434" s="450"/>
      <c r="AH434" s="450"/>
      <c r="AI434" s="450"/>
      <c r="AJ434" s="450"/>
      <c r="AK434" s="450"/>
      <c r="AL434" s="450"/>
      <c r="AM434" s="450"/>
      <c r="AN434" s="450"/>
      <c r="AO434" s="450"/>
      <c r="AP434" s="450"/>
      <c r="AQ434" s="450"/>
      <c r="AR434" s="450"/>
      <c r="AS434" s="450"/>
      <c r="AT434" s="450"/>
      <c r="AU434" s="450"/>
      <c r="AV434" s="450"/>
      <c r="AW434" s="450"/>
      <c r="AX434" s="450"/>
      <c r="AY434" s="450"/>
      <c r="AZ434" s="450"/>
      <c r="BA434" s="450"/>
      <c r="BB434" s="450"/>
      <c r="BC434" s="453"/>
      <c r="BD434" s="453"/>
      <c r="BE434" s="453"/>
      <c r="BF434" s="453"/>
      <c r="BG434" s="453"/>
      <c r="BH434" s="453"/>
      <c r="BI434" s="453"/>
      <c r="BJ434" s="453"/>
      <c r="BK434" s="453"/>
      <c r="BL434" s="453"/>
      <c r="BM434" s="453"/>
      <c r="BN434" s="453"/>
      <c r="BO434" s="453"/>
      <c r="BP434" s="452"/>
      <c r="BQ434" s="450"/>
      <c r="BR434" s="450"/>
      <c r="BS434" s="450"/>
      <c r="BT434" s="450"/>
      <c r="BU434" s="450"/>
      <c r="BV434" s="450"/>
      <c r="BW434" s="454"/>
      <c r="BX434" s="450"/>
    </row>
    <row r="435" ht="14.25" customHeight="1">
      <c r="A435" s="450"/>
      <c r="B435" s="450"/>
      <c r="C435" s="450"/>
      <c r="D435" s="450"/>
      <c r="E435" s="450"/>
      <c r="F435" s="450"/>
      <c r="G435" s="450"/>
      <c r="H435" s="450"/>
      <c r="I435" s="450"/>
      <c r="J435" s="450"/>
      <c r="K435" s="450"/>
      <c r="L435" s="450"/>
      <c r="M435" s="450"/>
      <c r="N435" s="450"/>
      <c r="O435" s="450"/>
      <c r="P435" s="450"/>
      <c r="Q435" s="450"/>
      <c r="R435" s="450"/>
      <c r="S435" s="450"/>
      <c r="T435" s="450"/>
      <c r="U435" s="451"/>
      <c r="V435" s="450"/>
      <c r="W435" s="450"/>
      <c r="X435" s="450"/>
      <c r="Y435" s="452"/>
      <c r="Z435" s="452"/>
      <c r="AA435" s="453"/>
      <c r="AB435" s="453"/>
      <c r="AC435" s="453"/>
      <c r="AD435" s="452"/>
      <c r="AE435" s="452"/>
      <c r="AF435" s="452"/>
      <c r="AG435" s="450"/>
      <c r="AH435" s="450"/>
      <c r="AI435" s="450"/>
      <c r="AJ435" s="450"/>
      <c r="AK435" s="450"/>
      <c r="AL435" s="450"/>
      <c r="AM435" s="450"/>
      <c r="AN435" s="450"/>
      <c r="AO435" s="450"/>
      <c r="AP435" s="450"/>
      <c r="AQ435" s="450"/>
      <c r="AR435" s="450"/>
      <c r="AS435" s="450"/>
      <c r="AT435" s="450"/>
      <c r="AU435" s="450"/>
      <c r="AV435" s="450"/>
      <c r="AW435" s="450"/>
      <c r="AX435" s="450"/>
      <c r="AY435" s="450"/>
      <c r="AZ435" s="450"/>
      <c r="BA435" s="450"/>
      <c r="BB435" s="450"/>
      <c r="BC435" s="453"/>
      <c r="BD435" s="453"/>
      <c r="BE435" s="453"/>
      <c r="BF435" s="453"/>
      <c r="BG435" s="453"/>
      <c r="BH435" s="453"/>
      <c r="BI435" s="453"/>
      <c r="BJ435" s="453"/>
      <c r="BK435" s="453"/>
      <c r="BL435" s="453"/>
      <c r="BM435" s="453"/>
      <c r="BN435" s="453"/>
      <c r="BO435" s="453"/>
      <c r="BP435" s="452"/>
      <c r="BQ435" s="450"/>
      <c r="BR435" s="450"/>
      <c r="BS435" s="450"/>
      <c r="BT435" s="450"/>
      <c r="BU435" s="450"/>
      <c r="BV435" s="450"/>
      <c r="BW435" s="454"/>
      <c r="BX435" s="450"/>
    </row>
    <row r="436" ht="14.25" customHeight="1">
      <c r="A436" s="450"/>
      <c r="B436" s="450"/>
      <c r="C436" s="450"/>
      <c r="D436" s="450"/>
      <c r="E436" s="450"/>
      <c r="F436" s="450"/>
      <c r="G436" s="450"/>
      <c r="H436" s="450"/>
      <c r="I436" s="450"/>
      <c r="J436" s="450"/>
      <c r="K436" s="450"/>
      <c r="L436" s="450"/>
      <c r="M436" s="450"/>
      <c r="N436" s="450"/>
      <c r="O436" s="450"/>
      <c r="P436" s="450"/>
      <c r="Q436" s="450"/>
      <c r="R436" s="450"/>
      <c r="S436" s="450"/>
      <c r="T436" s="450"/>
      <c r="U436" s="451"/>
      <c r="V436" s="450"/>
      <c r="W436" s="450"/>
      <c r="X436" s="450"/>
      <c r="Y436" s="452"/>
      <c r="Z436" s="452"/>
      <c r="AA436" s="453"/>
      <c r="AB436" s="453"/>
      <c r="AC436" s="453"/>
      <c r="AD436" s="452"/>
      <c r="AE436" s="452"/>
      <c r="AF436" s="452"/>
      <c r="AG436" s="450"/>
      <c r="AH436" s="450"/>
      <c r="AI436" s="450"/>
      <c r="AJ436" s="450"/>
      <c r="AK436" s="450"/>
      <c r="AL436" s="450"/>
      <c r="AM436" s="450"/>
      <c r="AN436" s="450"/>
      <c r="AO436" s="450"/>
      <c r="AP436" s="450"/>
      <c r="AQ436" s="450"/>
      <c r="AR436" s="450"/>
      <c r="AS436" s="450"/>
      <c r="AT436" s="450"/>
      <c r="AU436" s="450"/>
      <c r="AV436" s="450"/>
      <c r="AW436" s="450"/>
      <c r="AX436" s="450"/>
      <c r="AY436" s="450"/>
      <c r="AZ436" s="450"/>
      <c r="BA436" s="450"/>
      <c r="BB436" s="450"/>
      <c r="BC436" s="453"/>
      <c r="BD436" s="453"/>
      <c r="BE436" s="453"/>
      <c r="BF436" s="453"/>
      <c r="BG436" s="453"/>
      <c r="BH436" s="453"/>
      <c r="BI436" s="453"/>
      <c r="BJ436" s="453"/>
      <c r="BK436" s="453"/>
      <c r="BL436" s="453"/>
      <c r="BM436" s="453"/>
      <c r="BN436" s="453"/>
      <c r="BO436" s="453"/>
      <c r="BP436" s="452"/>
      <c r="BQ436" s="450"/>
      <c r="BR436" s="450"/>
      <c r="BS436" s="450"/>
      <c r="BT436" s="450"/>
      <c r="BU436" s="450"/>
      <c r="BV436" s="450"/>
      <c r="BW436" s="454"/>
      <c r="BX436" s="450"/>
    </row>
    <row r="437" ht="14.25" customHeight="1">
      <c r="A437" s="450"/>
      <c r="B437" s="450"/>
      <c r="C437" s="450"/>
      <c r="D437" s="450"/>
      <c r="E437" s="450"/>
      <c r="F437" s="450"/>
      <c r="G437" s="450"/>
      <c r="H437" s="450"/>
      <c r="I437" s="450"/>
      <c r="J437" s="450"/>
      <c r="K437" s="450"/>
      <c r="L437" s="450"/>
      <c r="M437" s="450"/>
      <c r="N437" s="450"/>
      <c r="O437" s="450"/>
      <c r="P437" s="450"/>
      <c r="Q437" s="450"/>
      <c r="R437" s="450"/>
      <c r="S437" s="450"/>
      <c r="T437" s="450"/>
      <c r="U437" s="451"/>
      <c r="V437" s="450"/>
      <c r="W437" s="450"/>
      <c r="X437" s="450"/>
      <c r="Y437" s="452"/>
      <c r="Z437" s="452"/>
      <c r="AA437" s="453"/>
      <c r="AB437" s="453"/>
      <c r="AC437" s="453"/>
      <c r="AD437" s="452"/>
      <c r="AE437" s="452"/>
      <c r="AF437" s="452"/>
      <c r="AG437" s="450"/>
      <c r="AH437" s="450"/>
      <c r="AI437" s="450"/>
      <c r="AJ437" s="450"/>
      <c r="AK437" s="450"/>
      <c r="AL437" s="450"/>
      <c r="AM437" s="450"/>
      <c r="AN437" s="450"/>
      <c r="AO437" s="450"/>
      <c r="AP437" s="450"/>
      <c r="AQ437" s="450"/>
      <c r="AR437" s="450"/>
      <c r="AS437" s="450"/>
      <c r="AT437" s="450"/>
      <c r="AU437" s="450"/>
      <c r="AV437" s="450"/>
      <c r="AW437" s="450"/>
      <c r="AX437" s="450"/>
      <c r="AY437" s="450"/>
      <c r="AZ437" s="450"/>
      <c r="BA437" s="450"/>
      <c r="BB437" s="450"/>
      <c r="BC437" s="453"/>
      <c r="BD437" s="453"/>
      <c r="BE437" s="453"/>
      <c r="BF437" s="453"/>
      <c r="BG437" s="453"/>
      <c r="BH437" s="453"/>
      <c r="BI437" s="453"/>
      <c r="BJ437" s="453"/>
      <c r="BK437" s="453"/>
      <c r="BL437" s="453"/>
      <c r="BM437" s="453"/>
      <c r="BN437" s="453"/>
      <c r="BO437" s="453"/>
      <c r="BP437" s="452"/>
      <c r="BQ437" s="450"/>
      <c r="BR437" s="450"/>
      <c r="BS437" s="450"/>
      <c r="BT437" s="450"/>
      <c r="BU437" s="450"/>
      <c r="BV437" s="450"/>
      <c r="BW437" s="454"/>
      <c r="BX437" s="450"/>
    </row>
    <row r="438" ht="14.25" customHeight="1">
      <c r="A438" s="450"/>
      <c r="B438" s="450"/>
      <c r="C438" s="450"/>
      <c r="D438" s="450"/>
      <c r="E438" s="450"/>
      <c r="F438" s="450"/>
      <c r="G438" s="450"/>
      <c r="H438" s="450"/>
      <c r="I438" s="450"/>
      <c r="J438" s="450"/>
      <c r="K438" s="450"/>
      <c r="L438" s="450"/>
      <c r="M438" s="450"/>
      <c r="N438" s="450"/>
      <c r="O438" s="450"/>
      <c r="P438" s="450"/>
      <c r="Q438" s="450"/>
      <c r="R438" s="450"/>
      <c r="S438" s="450"/>
      <c r="T438" s="450"/>
      <c r="U438" s="451"/>
      <c r="V438" s="450"/>
      <c r="W438" s="450"/>
      <c r="X438" s="450"/>
      <c r="Y438" s="452"/>
      <c r="Z438" s="452"/>
      <c r="AA438" s="453"/>
      <c r="AB438" s="453"/>
      <c r="AC438" s="453"/>
      <c r="AD438" s="452"/>
      <c r="AE438" s="452"/>
      <c r="AF438" s="452"/>
      <c r="AG438" s="450"/>
      <c r="AH438" s="450"/>
      <c r="AI438" s="450"/>
      <c r="AJ438" s="450"/>
      <c r="AK438" s="450"/>
      <c r="AL438" s="450"/>
      <c r="AM438" s="450"/>
      <c r="AN438" s="450"/>
      <c r="AO438" s="450"/>
      <c r="AP438" s="450"/>
      <c r="AQ438" s="450"/>
      <c r="AR438" s="450"/>
      <c r="AS438" s="450"/>
      <c r="AT438" s="450"/>
      <c r="AU438" s="450"/>
      <c r="AV438" s="450"/>
      <c r="AW438" s="450"/>
      <c r="AX438" s="450"/>
      <c r="AY438" s="450"/>
      <c r="AZ438" s="450"/>
      <c r="BA438" s="450"/>
      <c r="BB438" s="450"/>
      <c r="BC438" s="453"/>
      <c r="BD438" s="453"/>
      <c r="BE438" s="453"/>
      <c r="BF438" s="453"/>
      <c r="BG438" s="453"/>
      <c r="BH438" s="453"/>
      <c r="BI438" s="453"/>
      <c r="BJ438" s="453"/>
      <c r="BK438" s="453"/>
      <c r="BL438" s="453"/>
      <c r="BM438" s="453"/>
      <c r="BN438" s="453"/>
      <c r="BO438" s="453"/>
      <c r="BP438" s="452"/>
      <c r="BQ438" s="450"/>
      <c r="BR438" s="450"/>
      <c r="BS438" s="450"/>
      <c r="BT438" s="450"/>
      <c r="BU438" s="450"/>
      <c r="BV438" s="450"/>
      <c r="BW438" s="454"/>
      <c r="BX438" s="450"/>
    </row>
    <row r="439" ht="14.25" customHeight="1">
      <c r="A439" s="450"/>
      <c r="B439" s="450"/>
      <c r="C439" s="450"/>
      <c r="D439" s="450"/>
      <c r="E439" s="450"/>
      <c r="F439" s="450"/>
      <c r="G439" s="450"/>
      <c r="H439" s="450"/>
      <c r="I439" s="450"/>
      <c r="J439" s="450"/>
      <c r="K439" s="450"/>
      <c r="L439" s="450"/>
      <c r="M439" s="450"/>
      <c r="N439" s="450"/>
      <c r="O439" s="450"/>
      <c r="P439" s="450"/>
      <c r="Q439" s="450"/>
      <c r="R439" s="450"/>
      <c r="S439" s="450"/>
      <c r="T439" s="450"/>
      <c r="U439" s="451"/>
      <c r="V439" s="450"/>
      <c r="W439" s="450"/>
      <c r="X439" s="450"/>
      <c r="Y439" s="452"/>
      <c r="Z439" s="452"/>
      <c r="AA439" s="453"/>
      <c r="AB439" s="453"/>
      <c r="AC439" s="453"/>
      <c r="AD439" s="452"/>
      <c r="AE439" s="452"/>
      <c r="AF439" s="452"/>
      <c r="AG439" s="450"/>
      <c r="AH439" s="450"/>
      <c r="AI439" s="450"/>
      <c r="AJ439" s="450"/>
      <c r="AK439" s="450"/>
      <c r="AL439" s="450"/>
      <c r="AM439" s="450"/>
      <c r="AN439" s="450"/>
      <c r="AO439" s="450"/>
      <c r="AP439" s="450"/>
      <c r="AQ439" s="450"/>
      <c r="AR439" s="450"/>
      <c r="AS439" s="450"/>
      <c r="AT439" s="450"/>
      <c r="AU439" s="450"/>
      <c r="AV439" s="450"/>
      <c r="AW439" s="450"/>
      <c r="AX439" s="450"/>
      <c r="AY439" s="450"/>
      <c r="AZ439" s="450"/>
      <c r="BA439" s="450"/>
      <c r="BB439" s="450"/>
      <c r="BC439" s="453"/>
      <c r="BD439" s="453"/>
      <c r="BE439" s="453"/>
      <c r="BF439" s="453"/>
      <c r="BG439" s="453"/>
      <c r="BH439" s="453"/>
      <c r="BI439" s="453"/>
      <c r="BJ439" s="453"/>
      <c r="BK439" s="453"/>
      <c r="BL439" s="453"/>
      <c r="BM439" s="453"/>
      <c r="BN439" s="453"/>
      <c r="BO439" s="453"/>
      <c r="BP439" s="452"/>
      <c r="BQ439" s="450"/>
      <c r="BR439" s="450"/>
      <c r="BS439" s="450"/>
      <c r="BT439" s="450"/>
      <c r="BU439" s="450"/>
      <c r="BV439" s="450"/>
      <c r="BW439" s="454"/>
      <c r="BX439" s="450"/>
    </row>
    <row r="440" ht="14.25" customHeight="1">
      <c r="A440" s="450"/>
      <c r="B440" s="450"/>
      <c r="C440" s="450"/>
      <c r="D440" s="450"/>
      <c r="E440" s="450"/>
      <c r="F440" s="450"/>
      <c r="G440" s="450"/>
      <c r="H440" s="450"/>
      <c r="I440" s="450"/>
      <c r="J440" s="450"/>
      <c r="K440" s="450"/>
      <c r="L440" s="450"/>
      <c r="M440" s="450"/>
      <c r="N440" s="450"/>
      <c r="O440" s="450"/>
      <c r="P440" s="450"/>
      <c r="Q440" s="450"/>
      <c r="R440" s="450"/>
      <c r="S440" s="450"/>
      <c r="T440" s="450"/>
      <c r="U440" s="451"/>
      <c r="V440" s="450"/>
      <c r="W440" s="450"/>
      <c r="X440" s="450"/>
      <c r="Y440" s="452"/>
      <c r="Z440" s="452"/>
      <c r="AA440" s="453"/>
      <c r="AB440" s="453"/>
      <c r="AC440" s="453"/>
      <c r="AD440" s="452"/>
      <c r="AE440" s="452"/>
      <c r="AF440" s="452"/>
      <c r="AG440" s="450"/>
      <c r="AH440" s="450"/>
      <c r="AI440" s="450"/>
      <c r="AJ440" s="450"/>
      <c r="AK440" s="450"/>
      <c r="AL440" s="450"/>
      <c r="AM440" s="450"/>
      <c r="AN440" s="450"/>
      <c r="AO440" s="450"/>
      <c r="AP440" s="450"/>
      <c r="AQ440" s="450"/>
      <c r="AR440" s="450"/>
      <c r="AS440" s="450"/>
      <c r="AT440" s="450"/>
      <c r="AU440" s="450"/>
      <c r="AV440" s="450"/>
      <c r="AW440" s="450"/>
      <c r="AX440" s="450"/>
      <c r="AY440" s="450"/>
      <c r="AZ440" s="450"/>
      <c r="BA440" s="450"/>
      <c r="BB440" s="450"/>
      <c r="BC440" s="453"/>
      <c r="BD440" s="453"/>
      <c r="BE440" s="453"/>
      <c r="BF440" s="453"/>
      <c r="BG440" s="453"/>
      <c r="BH440" s="453"/>
      <c r="BI440" s="453"/>
      <c r="BJ440" s="453"/>
      <c r="BK440" s="453"/>
      <c r="BL440" s="453"/>
      <c r="BM440" s="453"/>
      <c r="BN440" s="453"/>
      <c r="BO440" s="453"/>
      <c r="BP440" s="452"/>
      <c r="BQ440" s="450"/>
      <c r="BR440" s="450"/>
      <c r="BS440" s="450"/>
      <c r="BT440" s="450"/>
      <c r="BU440" s="450"/>
      <c r="BV440" s="450"/>
      <c r="BW440" s="454"/>
      <c r="BX440" s="450"/>
    </row>
    <row r="441" ht="14.25" customHeight="1">
      <c r="A441" s="450"/>
      <c r="B441" s="450"/>
      <c r="C441" s="450"/>
      <c r="D441" s="450"/>
      <c r="E441" s="450"/>
      <c r="F441" s="450"/>
      <c r="G441" s="450"/>
      <c r="H441" s="450"/>
      <c r="I441" s="450"/>
      <c r="J441" s="450"/>
      <c r="K441" s="450"/>
      <c r="L441" s="450"/>
      <c r="M441" s="450"/>
      <c r="N441" s="450"/>
      <c r="O441" s="450"/>
      <c r="P441" s="450"/>
      <c r="Q441" s="450"/>
      <c r="R441" s="450"/>
      <c r="S441" s="450"/>
      <c r="T441" s="450"/>
      <c r="U441" s="451"/>
      <c r="V441" s="450"/>
      <c r="W441" s="450"/>
      <c r="X441" s="450"/>
      <c r="Y441" s="452"/>
      <c r="Z441" s="452"/>
      <c r="AA441" s="453"/>
      <c r="AB441" s="453"/>
      <c r="AC441" s="453"/>
      <c r="AD441" s="452"/>
      <c r="AE441" s="452"/>
      <c r="AF441" s="452"/>
      <c r="AG441" s="450"/>
      <c r="AH441" s="450"/>
      <c r="AI441" s="450"/>
      <c r="AJ441" s="450"/>
      <c r="AK441" s="450"/>
      <c r="AL441" s="450"/>
      <c r="AM441" s="450"/>
      <c r="AN441" s="450"/>
      <c r="AO441" s="450"/>
      <c r="AP441" s="450"/>
      <c r="AQ441" s="450"/>
      <c r="AR441" s="450"/>
      <c r="AS441" s="450"/>
      <c r="AT441" s="450"/>
      <c r="AU441" s="450"/>
      <c r="AV441" s="450"/>
      <c r="AW441" s="450"/>
      <c r="AX441" s="450"/>
      <c r="AY441" s="450"/>
      <c r="AZ441" s="450"/>
      <c r="BA441" s="450"/>
      <c r="BB441" s="450"/>
      <c r="BC441" s="453"/>
      <c r="BD441" s="453"/>
      <c r="BE441" s="453"/>
      <c r="BF441" s="453"/>
      <c r="BG441" s="453"/>
      <c r="BH441" s="453"/>
      <c r="BI441" s="453"/>
      <c r="BJ441" s="453"/>
      <c r="BK441" s="453"/>
      <c r="BL441" s="453"/>
      <c r="BM441" s="453"/>
      <c r="BN441" s="453"/>
      <c r="BO441" s="453"/>
      <c r="BP441" s="452"/>
      <c r="BQ441" s="450"/>
      <c r="BR441" s="450"/>
      <c r="BS441" s="450"/>
      <c r="BT441" s="450"/>
      <c r="BU441" s="450"/>
      <c r="BV441" s="450"/>
      <c r="BW441" s="454"/>
      <c r="BX441" s="450"/>
    </row>
    <row r="442" ht="14.25" customHeight="1">
      <c r="A442" s="450"/>
      <c r="B442" s="450"/>
      <c r="C442" s="450"/>
      <c r="D442" s="450"/>
      <c r="E442" s="450"/>
      <c r="F442" s="450"/>
      <c r="G442" s="450"/>
      <c r="H442" s="450"/>
      <c r="I442" s="450"/>
      <c r="J442" s="450"/>
      <c r="K442" s="450"/>
      <c r="L442" s="450"/>
      <c r="M442" s="450"/>
      <c r="N442" s="450"/>
      <c r="O442" s="450"/>
      <c r="P442" s="450"/>
      <c r="Q442" s="450"/>
      <c r="R442" s="450"/>
      <c r="S442" s="450"/>
      <c r="T442" s="450"/>
      <c r="U442" s="451"/>
      <c r="V442" s="450"/>
      <c r="W442" s="450"/>
      <c r="X442" s="450"/>
      <c r="Y442" s="452"/>
      <c r="Z442" s="452"/>
      <c r="AA442" s="453"/>
      <c r="AB442" s="453"/>
      <c r="AC442" s="453"/>
      <c r="AD442" s="452"/>
      <c r="AE442" s="452"/>
      <c r="AF442" s="452"/>
      <c r="AG442" s="450"/>
      <c r="AH442" s="450"/>
      <c r="AI442" s="450"/>
      <c r="AJ442" s="450"/>
      <c r="AK442" s="450"/>
      <c r="AL442" s="450"/>
      <c r="AM442" s="450"/>
      <c r="AN442" s="450"/>
      <c r="AO442" s="450"/>
      <c r="AP442" s="450"/>
      <c r="AQ442" s="450"/>
      <c r="AR442" s="450"/>
      <c r="AS442" s="450"/>
      <c r="AT442" s="450"/>
      <c r="AU442" s="450"/>
      <c r="AV442" s="450"/>
      <c r="AW442" s="450"/>
      <c r="AX442" s="450"/>
      <c r="AY442" s="450"/>
      <c r="AZ442" s="450"/>
      <c r="BA442" s="450"/>
      <c r="BB442" s="450"/>
      <c r="BC442" s="453"/>
      <c r="BD442" s="453"/>
      <c r="BE442" s="453"/>
      <c r="BF442" s="453"/>
      <c r="BG442" s="453"/>
      <c r="BH442" s="453"/>
      <c r="BI442" s="453"/>
      <c r="BJ442" s="453"/>
      <c r="BK442" s="453"/>
      <c r="BL442" s="453"/>
      <c r="BM442" s="453"/>
      <c r="BN442" s="453"/>
      <c r="BO442" s="453"/>
      <c r="BP442" s="452"/>
      <c r="BQ442" s="450"/>
      <c r="BR442" s="450"/>
      <c r="BS442" s="450"/>
      <c r="BT442" s="450"/>
      <c r="BU442" s="450"/>
      <c r="BV442" s="450"/>
      <c r="BW442" s="454"/>
      <c r="BX442" s="450"/>
    </row>
    <row r="443" ht="14.25" customHeight="1">
      <c r="A443" s="450"/>
      <c r="B443" s="450"/>
      <c r="C443" s="450"/>
      <c r="D443" s="450"/>
      <c r="E443" s="450"/>
      <c r="F443" s="450"/>
      <c r="G443" s="450"/>
      <c r="H443" s="450"/>
      <c r="I443" s="450"/>
      <c r="J443" s="450"/>
      <c r="K443" s="450"/>
      <c r="L443" s="450"/>
      <c r="M443" s="450"/>
      <c r="N443" s="450"/>
      <c r="O443" s="450"/>
      <c r="P443" s="450"/>
      <c r="Q443" s="450"/>
      <c r="R443" s="450"/>
      <c r="S443" s="450"/>
      <c r="T443" s="450"/>
      <c r="U443" s="451"/>
      <c r="V443" s="450"/>
      <c r="W443" s="450"/>
      <c r="X443" s="450"/>
      <c r="Y443" s="452"/>
      <c r="Z443" s="452"/>
      <c r="AA443" s="453"/>
      <c r="AB443" s="453"/>
      <c r="AC443" s="453"/>
      <c r="AD443" s="452"/>
      <c r="AE443" s="452"/>
      <c r="AF443" s="452"/>
      <c r="AG443" s="450"/>
      <c r="AH443" s="450"/>
      <c r="AI443" s="450"/>
      <c r="AJ443" s="450"/>
      <c r="AK443" s="450"/>
      <c r="AL443" s="450"/>
      <c r="AM443" s="450"/>
      <c r="AN443" s="450"/>
      <c r="AO443" s="450"/>
      <c r="AP443" s="450"/>
      <c r="AQ443" s="450"/>
      <c r="AR443" s="450"/>
      <c r="AS443" s="450"/>
      <c r="AT443" s="450"/>
      <c r="AU443" s="450"/>
      <c r="AV443" s="450"/>
      <c r="AW443" s="450"/>
      <c r="AX443" s="450"/>
      <c r="AY443" s="450"/>
      <c r="AZ443" s="450"/>
      <c r="BA443" s="450"/>
      <c r="BB443" s="450"/>
      <c r="BC443" s="453"/>
      <c r="BD443" s="453"/>
      <c r="BE443" s="453"/>
      <c r="BF443" s="453"/>
      <c r="BG443" s="453"/>
      <c r="BH443" s="453"/>
      <c r="BI443" s="453"/>
      <c r="BJ443" s="453"/>
      <c r="BK443" s="453"/>
      <c r="BL443" s="453"/>
      <c r="BM443" s="453"/>
      <c r="BN443" s="453"/>
      <c r="BO443" s="453"/>
      <c r="BP443" s="452"/>
      <c r="BQ443" s="450"/>
      <c r="BR443" s="450"/>
      <c r="BS443" s="450"/>
      <c r="BT443" s="450"/>
      <c r="BU443" s="450"/>
      <c r="BV443" s="450"/>
      <c r="BW443" s="454"/>
      <c r="BX443" s="450"/>
    </row>
    <row r="444" ht="14.25" customHeight="1">
      <c r="A444" s="450"/>
      <c r="B444" s="450"/>
      <c r="C444" s="450"/>
      <c r="D444" s="450"/>
      <c r="E444" s="450"/>
      <c r="F444" s="450"/>
      <c r="G444" s="450"/>
      <c r="H444" s="450"/>
      <c r="I444" s="450"/>
      <c r="J444" s="450"/>
      <c r="K444" s="450"/>
      <c r="L444" s="450"/>
      <c r="M444" s="450"/>
      <c r="N444" s="450"/>
      <c r="O444" s="450"/>
      <c r="P444" s="450"/>
      <c r="Q444" s="450"/>
      <c r="R444" s="450"/>
      <c r="S444" s="450"/>
      <c r="T444" s="450"/>
      <c r="U444" s="451"/>
      <c r="V444" s="450"/>
      <c r="W444" s="450"/>
      <c r="X444" s="450"/>
      <c r="Y444" s="452"/>
      <c r="Z444" s="452"/>
      <c r="AA444" s="453"/>
      <c r="AB444" s="453"/>
      <c r="AC444" s="453"/>
      <c r="AD444" s="452"/>
      <c r="AE444" s="452"/>
      <c r="AF444" s="452"/>
      <c r="AG444" s="450"/>
      <c r="AH444" s="450"/>
      <c r="AI444" s="450"/>
      <c r="AJ444" s="450"/>
      <c r="AK444" s="450"/>
      <c r="AL444" s="450"/>
      <c r="AM444" s="450"/>
      <c r="AN444" s="450"/>
      <c r="AO444" s="450"/>
      <c r="AP444" s="450"/>
      <c r="AQ444" s="450"/>
      <c r="AR444" s="450"/>
      <c r="AS444" s="450"/>
      <c r="AT444" s="450"/>
      <c r="AU444" s="450"/>
      <c r="AV444" s="450"/>
      <c r="AW444" s="450"/>
      <c r="AX444" s="450"/>
      <c r="AY444" s="450"/>
      <c r="AZ444" s="450"/>
      <c r="BA444" s="450"/>
      <c r="BB444" s="450"/>
      <c r="BC444" s="453"/>
      <c r="BD444" s="453"/>
      <c r="BE444" s="453"/>
      <c r="BF444" s="453"/>
      <c r="BG444" s="453"/>
      <c r="BH444" s="453"/>
      <c r="BI444" s="453"/>
      <c r="BJ444" s="453"/>
      <c r="BK444" s="453"/>
      <c r="BL444" s="453"/>
      <c r="BM444" s="453"/>
      <c r="BN444" s="453"/>
      <c r="BO444" s="453"/>
      <c r="BP444" s="452"/>
      <c r="BQ444" s="450"/>
      <c r="BR444" s="450"/>
      <c r="BS444" s="450"/>
      <c r="BT444" s="450"/>
      <c r="BU444" s="450"/>
      <c r="BV444" s="450"/>
      <c r="BW444" s="454"/>
      <c r="BX444" s="450"/>
    </row>
    <row r="445" ht="14.25" customHeight="1">
      <c r="A445" s="450"/>
      <c r="B445" s="450"/>
      <c r="C445" s="450"/>
      <c r="D445" s="450"/>
      <c r="E445" s="450"/>
      <c r="F445" s="450"/>
      <c r="G445" s="450"/>
      <c r="H445" s="450"/>
      <c r="I445" s="450"/>
      <c r="J445" s="450"/>
      <c r="K445" s="450"/>
      <c r="L445" s="450"/>
      <c r="M445" s="450"/>
      <c r="N445" s="450"/>
      <c r="O445" s="450"/>
      <c r="P445" s="450"/>
      <c r="Q445" s="450"/>
      <c r="R445" s="450"/>
      <c r="S445" s="450"/>
      <c r="T445" s="450"/>
      <c r="U445" s="451"/>
      <c r="V445" s="450"/>
      <c r="W445" s="450"/>
      <c r="X445" s="450"/>
      <c r="Y445" s="452"/>
      <c r="Z445" s="452"/>
      <c r="AA445" s="453"/>
      <c r="AB445" s="453"/>
      <c r="AC445" s="453"/>
      <c r="AD445" s="452"/>
      <c r="AE445" s="452"/>
      <c r="AF445" s="452"/>
      <c r="AG445" s="450"/>
      <c r="AH445" s="450"/>
      <c r="AI445" s="450"/>
      <c r="AJ445" s="450"/>
      <c r="AK445" s="450"/>
      <c r="AL445" s="450"/>
      <c r="AM445" s="450"/>
      <c r="AN445" s="450"/>
      <c r="AO445" s="450"/>
      <c r="AP445" s="450"/>
      <c r="AQ445" s="450"/>
      <c r="AR445" s="450"/>
      <c r="AS445" s="450"/>
      <c r="AT445" s="450"/>
      <c r="AU445" s="450"/>
      <c r="AV445" s="450"/>
      <c r="AW445" s="450"/>
      <c r="AX445" s="450"/>
      <c r="AY445" s="450"/>
      <c r="AZ445" s="450"/>
      <c r="BA445" s="450"/>
      <c r="BB445" s="450"/>
      <c r="BC445" s="453"/>
      <c r="BD445" s="453"/>
      <c r="BE445" s="453"/>
      <c r="BF445" s="453"/>
      <c r="BG445" s="453"/>
      <c r="BH445" s="453"/>
      <c r="BI445" s="453"/>
      <c r="BJ445" s="453"/>
      <c r="BK445" s="453"/>
      <c r="BL445" s="453"/>
      <c r="BM445" s="453"/>
      <c r="BN445" s="453"/>
      <c r="BO445" s="453"/>
      <c r="BP445" s="452"/>
      <c r="BQ445" s="450"/>
      <c r="BR445" s="450"/>
      <c r="BS445" s="450"/>
      <c r="BT445" s="450"/>
      <c r="BU445" s="450"/>
      <c r="BV445" s="450"/>
      <c r="BW445" s="454"/>
      <c r="BX445" s="450"/>
    </row>
    <row r="446" ht="14.25" customHeight="1">
      <c r="A446" s="450"/>
      <c r="B446" s="450"/>
      <c r="C446" s="450"/>
      <c r="D446" s="450"/>
      <c r="E446" s="450"/>
      <c r="F446" s="450"/>
      <c r="G446" s="450"/>
      <c r="H446" s="450"/>
      <c r="I446" s="450"/>
      <c r="J446" s="450"/>
      <c r="K446" s="450"/>
      <c r="L446" s="450"/>
      <c r="M446" s="450"/>
      <c r="N446" s="450"/>
      <c r="O446" s="450"/>
      <c r="P446" s="450"/>
      <c r="Q446" s="450"/>
      <c r="R446" s="450"/>
      <c r="S446" s="450"/>
      <c r="T446" s="450"/>
      <c r="U446" s="451"/>
      <c r="V446" s="450"/>
      <c r="W446" s="450"/>
      <c r="X446" s="450"/>
      <c r="Y446" s="452"/>
      <c r="Z446" s="452"/>
      <c r="AA446" s="453"/>
      <c r="AB446" s="453"/>
      <c r="AC446" s="453"/>
      <c r="AD446" s="452"/>
      <c r="AE446" s="452"/>
      <c r="AF446" s="452"/>
      <c r="AG446" s="450"/>
      <c r="AH446" s="450"/>
      <c r="AI446" s="450"/>
      <c r="AJ446" s="450"/>
      <c r="AK446" s="450"/>
      <c r="AL446" s="450"/>
      <c r="AM446" s="450"/>
      <c r="AN446" s="450"/>
      <c r="AO446" s="450"/>
      <c r="AP446" s="450"/>
      <c r="AQ446" s="450"/>
      <c r="AR446" s="450"/>
      <c r="AS446" s="450"/>
      <c r="AT446" s="450"/>
      <c r="AU446" s="450"/>
      <c r="AV446" s="450"/>
      <c r="AW446" s="450"/>
      <c r="AX446" s="450"/>
      <c r="AY446" s="450"/>
      <c r="AZ446" s="450"/>
      <c r="BA446" s="450"/>
      <c r="BB446" s="450"/>
      <c r="BC446" s="453"/>
      <c r="BD446" s="453"/>
      <c r="BE446" s="453"/>
      <c r="BF446" s="453"/>
      <c r="BG446" s="453"/>
      <c r="BH446" s="453"/>
      <c r="BI446" s="453"/>
      <c r="BJ446" s="453"/>
      <c r="BK446" s="453"/>
      <c r="BL446" s="453"/>
      <c r="BM446" s="453"/>
      <c r="BN446" s="453"/>
      <c r="BO446" s="453"/>
      <c r="BP446" s="452"/>
      <c r="BQ446" s="450"/>
      <c r="BR446" s="450"/>
      <c r="BS446" s="450"/>
      <c r="BT446" s="450"/>
      <c r="BU446" s="450"/>
      <c r="BV446" s="450"/>
      <c r="BW446" s="454"/>
      <c r="BX446" s="450"/>
    </row>
    <row r="447" ht="14.25" customHeight="1">
      <c r="A447" s="450"/>
      <c r="B447" s="450"/>
      <c r="C447" s="450"/>
      <c r="D447" s="450"/>
      <c r="E447" s="450"/>
      <c r="F447" s="450"/>
      <c r="G447" s="450"/>
      <c r="H447" s="450"/>
      <c r="I447" s="450"/>
      <c r="J447" s="450"/>
      <c r="K447" s="450"/>
      <c r="L447" s="450"/>
      <c r="M447" s="450"/>
      <c r="N447" s="450"/>
      <c r="O447" s="450"/>
      <c r="P447" s="450"/>
      <c r="Q447" s="450"/>
      <c r="R447" s="450"/>
      <c r="S447" s="450"/>
      <c r="T447" s="450"/>
      <c r="U447" s="451"/>
      <c r="V447" s="450"/>
      <c r="W447" s="450"/>
      <c r="X447" s="450"/>
      <c r="Y447" s="452"/>
      <c r="Z447" s="452"/>
      <c r="AA447" s="453"/>
      <c r="AB447" s="453"/>
      <c r="AC447" s="453"/>
      <c r="AD447" s="452"/>
      <c r="AE447" s="452"/>
      <c r="AF447" s="452"/>
      <c r="AG447" s="450"/>
      <c r="AH447" s="450"/>
      <c r="AI447" s="450"/>
      <c r="AJ447" s="450"/>
      <c r="AK447" s="450"/>
      <c r="AL447" s="450"/>
      <c r="AM447" s="450"/>
      <c r="AN447" s="450"/>
      <c r="AO447" s="450"/>
      <c r="AP447" s="450"/>
      <c r="AQ447" s="450"/>
      <c r="AR447" s="450"/>
      <c r="AS447" s="450"/>
      <c r="AT447" s="450"/>
      <c r="AU447" s="450"/>
      <c r="AV447" s="450"/>
      <c r="AW447" s="450"/>
      <c r="AX447" s="450"/>
      <c r="AY447" s="450"/>
      <c r="AZ447" s="450"/>
      <c r="BA447" s="450"/>
      <c r="BB447" s="450"/>
      <c r="BC447" s="453"/>
      <c r="BD447" s="453"/>
      <c r="BE447" s="453"/>
      <c r="BF447" s="453"/>
      <c r="BG447" s="453"/>
      <c r="BH447" s="453"/>
      <c r="BI447" s="453"/>
      <c r="BJ447" s="453"/>
      <c r="BK447" s="453"/>
      <c r="BL447" s="453"/>
      <c r="BM447" s="453"/>
      <c r="BN447" s="453"/>
      <c r="BO447" s="453"/>
      <c r="BP447" s="452"/>
      <c r="BQ447" s="450"/>
      <c r="BR447" s="450"/>
      <c r="BS447" s="450"/>
      <c r="BT447" s="450"/>
      <c r="BU447" s="450"/>
      <c r="BV447" s="450"/>
      <c r="BW447" s="454"/>
      <c r="BX447" s="450"/>
    </row>
    <row r="448" ht="14.25" customHeight="1">
      <c r="A448" s="450"/>
      <c r="B448" s="450"/>
      <c r="C448" s="450"/>
      <c r="D448" s="450"/>
      <c r="E448" s="450"/>
      <c r="F448" s="450"/>
      <c r="G448" s="450"/>
      <c r="H448" s="450"/>
      <c r="I448" s="450"/>
      <c r="J448" s="450"/>
      <c r="K448" s="450"/>
      <c r="L448" s="450"/>
      <c r="M448" s="450"/>
      <c r="N448" s="450"/>
      <c r="O448" s="450"/>
      <c r="P448" s="450"/>
      <c r="Q448" s="450"/>
      <c r="R448" s="450"/>
      <c r="S448" s="450"/>
      <c r="T448" s="450"/>
      <c r="U448" s="451"/>
      <c r="V448" s="450"/>
      <c r="W448" s="450"/>
      <c r="X448" s="450"/>
      <c r="Y448" s="452"/>
      <c r="Z448" s="452"/>
      <c r="AA448" s="453"/>
      <c r="AB448" s="453"/>
      <c r="AC448" s="453"/>
      <c r="AD448" s="452"/>
      <c r="AE448" s="452"/>
      <c r="AF448" s="452"/>
      <c r="AG448" s="450"/>
      <c r="AH448" s="450"/>
      <c r="AI448" s="450"/>
      <c r="AJ448" s="450"/>
      <c r="AK448" s="450"/>
      <c r="AL448" s="450"/>
      <c r="AM448" s="450"/>
      <c r="AN448" s="450"/>
      <c r="AO448" s="450"/>
      <c r="AP448" s="450"/>
      <c r="AQ448" s="450"/>
      <c r="AR448" s="450"/>
      <c r="AS448" s="450"/>
      <c r="AT448" s="450"/>
      <c r="AU448" s="450"/>
      <c r="AV448" s="450"/>
      <c r="AW448" s="450"/>
      <c r="AX448" s="450"/>
      <c r="AY448" s="450"/>
      <c r="AZ448" s="450"/>
      <c r="BA448" s="450"/>
      <c r="BB448" s="450"/>
      <c r="BC448" s="453"/>
      <c r="BD448" s="453"/>
      <c r="BE448" s="453"/>
      <c r="BF448" s="453"/>
      <c r="BG448" s="453"/>
      <c r="BH448" s="453"/>
      <c r="BI448" s="453"/>
      <c r="BJ448" s="453"/>
      <c r="BK448" s="453"/>
      <c r="BL448" s="453"/>
      <c r="BM448" s="453"/>
      <c r="BN448" s="453"/>
      <c r="BO448" s="453"/>
      <c r="BP448" s="452"/>
      <c r="BQ448" s="450"/>
      <c r="BR448" s="450"/>
      <c r="BS448" s="450"/>
      <c r="BT448" s="450"/>
      <c r="BU448" s="450"/>
      <c r="BV448" s="450"/>
      <c r="BW448" s="454"/>
      <c r="BX448" s="450"/>
    </row>
    <row r="449" ht="14.25" customHeight="1">
      <c r="A449" s="450"/>
      <c r="B449" s="450"/>
      <c r="C449" s="450"/>
      <c r="D449" s="450"/>
      <c r="E449" s="450"/>
      <c r="F449" s="450"/>
      <c r="G449" s="450"/>
      <c r="H449" s="450"/>
      <c r="I449" s="450"/>
      <c r="J449" s="450"/>
      <c r="K449" s="450"/>
      <c r="L449" s="450"/>
      <c r="M449" s="450"/>
      <c r="N449" s="450"/>
      <c r="O449" s="450"/>
      <c r="P449" s="450"/>
      <c r="Q449" s="450"/>
      <c r="R449" s="450"/>
      <c r="S449" s="450"/>
      <c r="T449" s="450"/>
      <c r="U449" s="451"/>
      <c r="V449" s="450"/>
      <c r="W449" s="450"/>
      <c r="X449" s="450"/>
      <c r="Y449" s="452"/>
      <c r="Z449" s="452"/>
      <c r="AA449" s="453"/>
      <c r="AB449" s="453"/>
      <c r="AC449" s="453"/>
      <c r="AD449" s="452"/>
      <c r="AE449" s="452"/>
      <c r="AF449" s="452"/>
      <c r="AG449" s="450"/>
      <c r="AH449" s="450"/>
      <c r="AI449" s="450"/>
      <c r="AJ449" s="450"/>
      <c r="AK449" s="450"/>
      <c r="AL449" s="450"/>
      <c r="AM449" s="450"/>
      <c r="AN449" s="450"/>
      <c r="AO449" s="450"/>
      <c r="AP449" s="450"/>
      <c r="AQ449" s="450"/>
      <c r="AR449" s="450"/>
      <c r="AS449" s="450"/>
      <c r="AT449" s="450"/>
      <c r="AU449" s="450"/>
      <c r="AV449" s="450"/>
      <c r="AW449" s="450"/>
      <c r="AX449" s="450"/>
      <c r="AY449" s="450"/>
      <c r="AZ449" s="450"/>
      <c r="BA449" s="450"/>
      <c r="BB449" s="450"/>
      <c r="BC449" s="453"/>
      <c r="BD449" s="453"/>
      <c r="BE449" s="453"/>
      <c r="BF449" s="453"/>
      <c r="BG449" s="453"/>
      <c r="BH449" s="453"/>
      <c r="BI449" s="453"/>
      <c r="BJ449" s="453"/>
      <c r="BK449" s="453"/>
      <c r="BL449" s="453"/>
      <c r="BM449" s="453"/>
      <c r="BN449" s="453"/>
      <c r="BO449" s="453"/>
      <c r="BP449" s="452"/>
      <c r="BQ449" s="450"/>
      <c r="BR449" s="450"/>
      <c r="BS449" s="450"/>
      <c r="BT449" s="450"/>
      <c r="BU449" s="450"/>
      <c r="BV449" s="450"/>
      <c r="BW449" s="454"/>
      <c r="BX449" s="450"/>
    </row>
    <row r="450" ht="14.25" customHeight="1">
      <c r="A450" s="450"/>
      <c r="B450" s="450"/>
      <c r="C450" s="450"/>
      <c r="D450" s="450"/>
      <c r="E450" s="450"/>
      <c r="F450" s="450"/>
      <c r="G450" s="450"/>
      <c r="H450" s="450"/>
      <c r="I450" s="450"/>
      <c r="J450" s="450"/>
      <c r="K450" s="450"/>
      <c r="L450" s="450"/>
      <c r="M450" s="450"/>
      <c r="N450" s="450"/>
      <c r="O450" s="450"/>
      <c r="P450" s="450"/>
      <c r="Q450" s="450"/>
      <c r="R450" s="450"/>
      <c r="S450" s="450"/>
      <c r="T450" s="450"/>
      <c r="U450" s="451"/>
      <c r="V450" s="450"/>
      <c r="W450" s="450"/>
      <c r="X450" s="450"/>
      <c r="Y450" s="452"/>
      <c r="Z450" s="452"/>
      <c r="AA450" s="453"/>
      <c r="AB450" s="453"/>
      <c r="AC450" s="453"/>
      <c r="AD450" s="452"/>
      <c r="AE450" s="452"/>
      <c r="AF450" s="452"/>
      <c r="AG450" s="450"/>
      <c r="AH450" s="450"/>
      <c r="AI450" s="450"/>
      <c r="AJ450" s="450"/>
      <c r="AK450" s="450"/>
      <c r="AL450" s="450"/>
      <c r="AM450" s="450"/>
      <c r="AN450" s="450"/>
      <c r="AO450" s="450"/>
      <c r="AP450" s="450"/>
      <c r="AQ450" s="450"/>
      <c r="AR450" s="450"/>
      <c r="AS450" s="450"/>
      <c r="AT450" s="450"/>
      <c r="AU450" s="450"/>
      <c r="AV450" s="450"/>
      <c r="AW450" s="450"/>
      <c r="AX450" s="450"/>
      <c r="AY450" s="450"/>
      <c r="AZ450" s="450"/>
      <c r="BA450" s="450"/>
      <c r="BB450" s="450"/>
      <c r="BC450" s="453"/>
      <c r="BD450" s="453"/>
      <c r="BE450" s="453"/>
      <c r="BF450" s="453"/>
      <c r="BG450" s="453"/>
      <c r="BH450" s="453"/>
      <c r="BI450" s="453"/>
      <c r="BJ450" s="453"/>
      <c r="BK450" s="453"/>
      <c r="BL450" s="453"/>
      <c r="BM450" s="453"/>
      <c r="BN450" s="453"/>
      <c r="BO450" s="453"/>
      <c r="BP450" s="452"/>
      <c r="BQ450" s="450"/>
      <c r="BR450" s="450"/>
      <c r="BS450" s="450"/>
      <c r="BT450" s="450"/>
      <c r="BU450" s="450"/>
      <c r="BV450" s="450"/>
      <c r="BW450" s="454"/>
      <c r="BX450" s="450"/>
    </row>
    <row r="451" ht="14.25" customHeight="1">
      <c r="A451" s="450"/>
      <c r="B451" s="450"/>
      <c r="C451" s="450"/>
      <c r="D451" s="450"/>
      <c r="E451" s="450"/>
      <c r="F451" s="450"/>
      <c r="G451" s="450"/>
      <c r="H451" s="450"/>
      <c r="I451" s="450"/>
      <c r="J451" s="450"/>
      <c r="K451" s="450"/>
      <c r="L451" s="450"/>
      <c r="M451" s="450"/>
      <c r="N451" s="450"/>
      <c r="O451" s="450"/>
      <c r="P451" s="450"/>
      <c r="Q451" s="450"/>
      <c r="R451" s="450"/>
      <c r="S451" s="450"/>
      <c r="T451" s="450"/>
      <c r="U451" s="451"/>
      <c r="V451" s="450"/>
      <c r="W451" s="450"/>
      <c r="X451" s="450"/>
      <c r="Y451" s="452"/>
      <c r="Z451" s="452"/>
      <c r="AA451" s="453"/>
      <c r="AB451" s="453"/>
      <c r="AC451" s="453"/>
      <c r="AD451" s="452"/>
      <c r="AE451" s="452"/>
      <c r="AF451" s="452"/>
      <c r="AG451" s="450"/>
      <c r="AH451" s="450"/>
      <c r="AI451" s="450"/>
      <c r="AJ451" s="450"/>
      <c r="AK451" s="450"/>
      <c r="AL451" s="450"/>
      <c r="AM451" s="450"/>
      <c r="AN451" s="450"/>
      <c r="AO451" s="450"/>
      <c r="AP451" s="450"/>
      <c r="AQ451" s="450"/>
      <c r="AR451" s="450"/>
      <c r="AS451" s="450"/>
      <c r="AT451" s="450"/>
      <c r="AU451" s="450"/>
      <c r="AV451" s="450"/>
      <c r="AW451" s="450"/>
      <c r="AX451" s="450"/>
      <c r="AY451" s="450"/>
      <c r="AZ451" s="450"/>
      <c r="BA451" s="450"/>
      <c r="BB451" s="450"/>
      <c r="BC451" s="453"/>
      <c r="BD451" s="453"/>
      <c r="BE451" s="453"/>
      <c r="BF451" s="453"/>
      <c r="BG451" s="453"/>
      <c r="BH451" s="453"/>
      <c r="BI451" s="453"/>
      <c r="BJ451" s="453"/>
      <c r="BK451" s="453"/>
      <c r="BL451" s="453"/>
      <c r="BM451" s="453"/>
      <c r="BN451" s="453"/>
      <c r="BO451" s="453"/>
      <c r="BP451" s="452"/>
      <c r="BQ451" s="450"/>
      <c r="BR451" s="450"/>
      <c r="BS451" s="450"/>
      <c r="BT451" s="450"/>
      <c r="BU451" s="450"/>
      <c r="BV451" s="450"/>
      <c r="BW451" s="454"/>
      <c r="BX451" s="450"/>
    </row>
    <row r="452" ht="14.25" customHeight="1">
      <c r="A452" s="450"/>
      <c r="B452" s="450"/>
      <c r="C452" s="450"/>
      <c r="D452" s="450"/>
      <c r="E452" s="450"/>
      <c r="F452" s="450"/>
      <c r="G452" s="450"/>
      <c r="H452" s="450"/>
      <c r="I452" s="450"/>
      <c r="J452" s="450"/>
      <c r="K452" s="450"/>
      <c r="L452" s="450"/>
      <c r="M452" s="450"/>
      <c r="N452" s="450"/>
      <c r="O452" s="450"/>
      <c r="P452" s="450"/>
      <c r="Q452" s="450"/>
      <c r="R452" s="450"/>
      <c r="S452" s="450"/>
      <c r="T452" s="450"/>
      <c r="U452" s="451"/>
      <c r="V452" s="450"/>
      <c r="W452" s="450"/>
      <c r="X452" s="450"/>
      <c r="Y452" s="452"/>
      <c r="Z452" s="452"/>
      <c r="AA452" s="453"/>
      <c r="AB452" s="453"/>
      <c r="AC452" s="453"/>
      <c r="AD452" s="452"/>
      <c r="AE452" s="452"/>
      <c r="AF452" s="452"/>
      <c r="AG452" s="450"/>
      <c r="AH452" s="450"/>
      <c r="AI452" s="450"/>
      <c r="AJ452" s="450"/>
      <c r="AK452" s="450"/>
      <c r="AL452" s="450"/>
      <c r="AM452" s="450"/>
      <c r="AN452" s="450"/>
      <c r="AO452" s="450"/>
      <c r="AP452" s="450"/>
      <c r="AQ452" s="450"/>
      <c r="AR452" s="450"/>
      <c r="AS452" s="450"/>
      <c r="AT452" s="450"/>
      <c r="AU452" s="450"/>
      <c r="AV452" s="450"/>
      <c r="AW452" s="450"/>
      <c r="AX452" s="450"/>
      <c r="AY452" s="450"/>
      <c r="AZ452" s="450"/>
      <c r="BA452" s="450"/>
      <c r="BB452" s="450"/>
      <c r="BC452" s="453"/>
      <c r="BD452" s="453"/>
      <c r="BE452" s="453"/>
      <c r="BF452" s="453"/>
      <c r="BG452" s="453"/>
      <c r="BH452" s="453"/>
      <c r="BI452" s="453"/>
      <c r="BJ452" s="453"/>
      <c r="BK452" s="453"/>
      <c r="BL452" s="453"/>
      <c r="BM452" s="453"/>
      <c r="BN452" s="453"/>
      <c r="BO452" s="453"/>
      <c r="BP452" s="452"/>
      <c r="BQ452" s="450"/>
      <c r="BR452" s="450"/>
      <c r="BS452" s="450"/>
      <c r="BT452" s="450"/>
      <c r="BU452" s="450"/>
      <c r="BV452" s="450"/>
      <c r="BW452" s="454"/>
      <c r="BX452" s="450"/>
    </row>
    <row r="453" ht="14.25" customHeight="1">
      <c r="A453" s="450"/>
      <c r="B453" s="450"/>
      <c r="C453" s="450"/>
      <c r="D453" s="450"/>
      <c r="E453" s="450"/>
      <c r="F453" s="450"/>
      <c r="G453" s="450"/>
      <c r="H453" s="450"/>
      <c r="I453" s="450"/>
      <c r="J453" s="450"/>
      <c r="K453" s="450"/>
      <c r="L453" s="450"/>
      <c r="M453" s="450"/>
      <c r="N453" s="450"/>
      <c r="O453" s="450"/>
      <c r="P453" s="450"/>
      <c r="Q453" s="450"/>
      <c r="R453" s="450"/>
      <c r="S453" s="450"/>
      <c r="T453" s="450"/>
      <c r="U453" s="451"/>
      <c r="V453" s="450"/>
      <c r="W453" s="450"/>
      <c r="X453" s="450"/>
      <c r="Y453" s="452"/>
      <c r="Z453" s="452"/>
      <c r="AA453" s="453"/>
      <c r="AB453" s="453"/>
      <c r="AC453" s="453"/>
      <c r="AD453" s="452"/>
      <c r="AE453" s="452"/>
      <c r="AF453" s="452"/>
      <c r="AG453" s="450"/>
      <c r="AH453" s="450"/>
      <c r="AI453" s="450"/>
      <c r="AJ453" s="450"/>
      <c r="AK453" s="450"/>
      <c r="AL453" s="450"/>
      <c r="AM453" s="450"/>
      <c r="AN453" s="450"/>
      <c r="AO453" s="450"/>
      <c r="AP453" s="450"/>
      <c r="AQ453" s="450"/>
      <c r="AR453" s="450"/>
      <c r="AS453" s="450"/>
      <c r="AT453" s="450"/>
      <c r="AU453" s="450"/>
      <c r="AV453" s="450"/>
      <c r="AW453" s="450"/>
      <c r="AX453" s="450"/>
      <c r="AY453" s="450"/>
      <c r="AZ453" s="450"/>
      <c r="BA453" s="450"/>
      <c r="BB453" s="450"/>
      <c r="BC453" s="453"/>
      <c r="BD453" s="453"/>
      <c r="BE453" s="453"/>
      <c r="BF453" s="453"/>
      <c r="BG453" s="453"/>
      <c r="BH453" s="453"/>
      <c r="BI453" s="453"/>
      <c r="BJ453" s="453"/>
      <c r="BK453" s="453"/>
      <c r="BL453" s="453"/>
      <c r="BM453" s="453"/>
      <c r="BN453" s="453"/>
      <c r="BO453" s="453"/>
      <c r="BP453" s="452"/>
      <c r="BQ453" s="450"/>
      <c r="BR453" s="450"/>
      <c r="BS453" s="450"/>
      <c r="BT453" s="450"/>
      <c r="BU453" s="450"/>
      <c r="BV453" s="450"/>
      <c r="BW453" s="454"/>
      <c r="BX453" s="450"/>
    </row>
    <row r="454" ht="14.25" customHeight="1">
      <c r="A454" s="450"/>
      <c r="B454" s="450"/>
      <c r="C454" s="450"/>
      <c r="D454" s="450"/>
      <c r="E454" s="450"/>
      <c r="F454" s="450"/>
      <c r="G454" s="450"/>
      <c r="H454" s="450"/>
      <c r="I454" s="450"/>
      <c r="J454" s="450"/>
      <c r="K454" s="450"/>
      <c r="L454" s="450"/>
      <c r="M454" s="450"/>
      <c r="N454" s="450"/>
      <c r="O454" s="450"/>
      <c r="P454" s="450"/>
      <c r="Q454" s="450"/>
      <c r="R454" s="450"/>
      <c r="S454" s="450"/>
      <c r="T454" s="450"/>
      <c r="U454" s="451"/>
      <c r="V454" s="450"/>
      <c r="W454" s="450"/>
      <c r="X454" s="450"/>
      <c r="Y454" s="452"/>
      <c r="Z454" s="452"/>
      <c r="AA454" s="453"/>
      <c r="AB454" s="453"/>
      <c r="AC454" s="453"/>
      <c r="AD454" s="452"/>
      <c r="AE454" s="452"/>
      <c r="AF454" s="452"/>
      <c r="AG454" s="450"/>
      <c r="AH454" s="450"/>
      <c r="AI454" s="450"/>
      <c r="AJ454" s="450"/>
      <c r="AK454" s="450"/>
      <c r="AL454" s="450"/>
      <c r="AM454" s="450"/>
      <c r="AN454" s="450"/>
      <c r="AO454" s="450"/>
      <c r="AP454" s="450"/>
      <c r="AQ454" s="450"/>
      <c r="AR454" s="450"/>
      <c r="AS454" s="450"/>
      <c r="AT454" s="450"/>
      <c r="AU454" s="450"/>
      <c r="AV454" s="450"/>
      <c r="AW454" s="450"/>
      <c r="AX454" s="450"/>
      <c r="AY454" s="450"/>
      <c r="AZ454" s="450"/>
      <c r="BA454" s="450"/>
      <c r="BB454" s="450"/>
      <c r="BC454" s="453"/>
      <c r="BD454" s="453"/>
      <c r="BE454" s="453"/>
      <c r="BF454" s="453"/>
      <c r="BG454" s="453"/>
      <c r="BH454" s="453"/>
      <c r="BI454" s="453"/>
      <c r="BJ454" s="453"/>
      <c r="BK454" s="453"/>
      <c r="BL454" s="453"/>
      <c r="BM454" s="453"/>
      <c r="BN454" s="453"/>
      <c r="BO454" s="453"/>
      <c r="BP454" s="452"/>
      <c r="BQ454" s="450"/>
      <c r="BR454" s="450"/>
      <c r="BS454" s="450"/>
      <c r="BT454" s="450"/>
      <c r="BU454" s="450"/>
      <c r="BV454" s="450"/>
      <c r="BW454" s="454"/>
      <c r="BX454" s="450"/>
    </row>
    <row r="455" ht="14.25" customHeight="1">
      <c r="A455" s="450"/>
      <c r="B455" s="450"/>
      <c r="C455" s="450"/>
      <c r="D455" s="450"/>
      <c r="E455" s="450"/>
      <c r="F455" s="450"/>
      <c r="G455" s="450"/>
      <c r="H455" s="450"/>
      <c r="I455" s="450"/>
      <c r="J455" s="450"/>
      <c r="K455" s="450"/>
      <c r="L455" s="450"/>
      <c r="M455" s="450"/>
      <c r="N455" s="450"/>
      <c r="O455" s="450"/>
      <c r="P455" s="450"/>
      <c r="Q455" s="450"/>
      <c r="R455" s="450"/>
      <c r="S455" s="450"/>
      <c r="T455" s="450"/>
      <c r="U455" s="451"/>
      <c r="V455" s="450"/>
      <c r="W455" s="450"/>
      <c r="X455" s="450"/>
      <c r="Y455" s="452"/>
      <c r="Z455" s="452"/>
      <c r="AA455" s="453"/>
      <c r="AB455" s="453"/>
      <c r="AC455" s="453"/>
      <c r="AD455" s="452"/>
      <c r="AE455" s="452"/>
      <c r="AF455" s="452"/>
      <c r="AG455" s="450"/>
      <c r="AH455" s="450"/>
      <c r="AI455" s="450"/>
      <c r="AJ455" s="450"/>
      <c r="AK455" s="450"/>
      <c r="AL455" s="450"/>
      <c r="AM455" s="450"/>
      <c r="AN455" s="450"/>
      <c r="AO455" s="450"/>
      <c r="AP455" s="450"/>
      <c r="AQ455" s="450"/>
      <c r="AR455" s="450"/>
      <c r="AS455" s="450"/>
      <c r="AT455" s="450"/>
      <c r="AU455" s="450"/>
      <c r="AV455" s="450"/>
      <c r="AW455" s="450"/>
      <c r="AX455" s="450"/>
      <c r="AY455" s="450"/>
      <c r="AZ455" s="450"/>
      <c r="BA455" s="450"/>
      <c r="BB455" s="450"/>
      <c r="BC455" s="453"/>
      <c r="BD455" s="453"/>
      <c r="BE455" s="453"/>
      <c r="BF455" s="453"/>
      <c r="BG455" s="453"/>
      <c r="BH455" s="453"/>
      <c r="BI455" s="453"/>
      <c r="BJ455" s="453"/>
      <c r="BK455" s="453"/>
      <c r="BL455" s="453"/>
      <c r="BM455" s="453"/>
      <c r="BN455" s="453"/>
      <c r="BO455" s="453"/>
      <c r="BP455" s="452"/>
      <c r="BQ455" s="450"/>
      <c r="BR455" s="450"/>
      <c r="BS455" s="450"/>
      <c r="BT455" s="450"/>
      <c r="BU455" s="450"/>
      <c r="BV455" s="450"/>
      <c r="BW455" s="454"/>
      <c r="BX455" s="450"/>
    </row>
    <row r="456" ht="14.25" customHeight="1">
      <c r="A456" s="450"/>
      <c r="B456" s="450"/>
      <c r="C456" s="450"/>
      <c r="D456" s="450"/>
      <c r="E456" s="450"/>
      <c r="F456" s="450"/>
      <c r="G456" s="450"/>
      <c r="H456" s="450"/>
      <c r="I456" s="450"/>
      <c r="J456" s="450"/>
      <c r="K456" s="450"/>
      <c r="L456" s="450"/>
      <c r="M456" s="450"/>
      <c r="N456" s="450"/>
      <c r="O456" s="450"/>
      <c r="P456" s="450"/>
      <c r="Q456" s="450"/>
      <c r="R456" s="450"/>
      <c r="S456" s="450"/>
      <c r="T456" s="450"/>
      <c r="U456" s="451"/>
      <c r="V456" s="450"/>
      <c r="W456" s="450"/>
      <c r="X456" s="450"/>
      <c r="Y456" s="452"/>
      <c r="Z456" s="452"/>
      <c r="AA456" s="453"/>
      <c r="AB456" s="453"/>
      <c r="AC456" s="453"/>
      <c r="AD456" s="452"/>
      <c r="AE456" s="452"/>
      <c r="AF456" s="452"/>
      <c r="AG456" s="450"/>
      <c r="AH456" s="450"/>
      <c r="AI456" s="450"/>
      <c r="AJ456" s="450"/>
      <c r="AK456" s="450"/>
      <c r="AL456" s="450"/>
      <c r="AM456" s="450"/>
      <c r="AN456" s="450"/>
      <c r="AO456" s="450"/>
      <c r="AP456" s="450"/>
      <c r="AQ456" s="450"/>
      <c r="AR456" s="450"/>
      <c r="AS456" s="450"/>
      <c r="AT456" s="450"/>
      <c r="AU456" s="450"/>
      <c r="AV456" s="450"/>
      <c r="AW456" s="450"/>
      <c r="AX456" s="450"/>
      <c r="AY456" s="450"/>
      <c r="AZ456" s="450"/>
      <c r="BA456" s="450"/>
      <c r="BB456" s="450"/>
      <c r="BC456" s="453"/>
      <c r="BD456" s="453"/>
      <c r="BE456" s="453"/>
      <c r="BF456" s="453"/>
      <c r="BG456" s="453"/>
      <c r="BH456" s="453"/>
      <c r="BI456" s="453"/>
      <c r="BJ456" s="453"/>
      <c r="BK456" s="453"/>
      <c r="BL456" s="453"/>
      <c r="BM456" s="453"/>
      <c r="BN456" s="453"/>
      <c r="BO456" s="453"/>
      <c r="BP456" s="452"/>
      <c r="BQ456" s="450"/>
      <c r="BR456" s="450"/>
      <c r="BS456" s="450"/>
      <c r="BT456" s="450"/>
      <c r="BU456" s="450"/>
      <c r="BV456" s="450"/>
      <c r="BW456" s="454"/>
      <c r="BX456" s="450"/>
    </row>
    <row r="457" ht="14.25" customHeight="1">
      <c r="A457" s="450"/>
      <c r="B457" s="450"/>
      <c r="C457" s="450"/>
      <c r="D457" s="450"/>
      <c r="E457" s="450"/>
      <c r="F457" s="450"/>
      <c r="G457" s="450"/>
      <c r="H457" s="450"/>
      <c r="I457" s="450"/>
      <c r="J457" s="450"/>
      <c r="K457" s="450"/>
      <c r="L457" s="450"/>
      <c r="M457" s="450"/>
      <c r="N457" s="450"/>
      <c r="O457" s="450"/>
      <c r="P457" s="450"/>
      <c r="Q457" s="450"/>
      <c r="R457" s="450"/>
      <c r="S457" s="450"/>
      <c r="T457" s="450"/>
      <c r="U457" s="451"/>
      <c r="V457" s="450"/>
      <c r="W457" s="450"/>
      <c r="X457" s="450"/>
      <c r="Y457" s="452"/>
      <c r="Z457" s="452"/>
      <c r="AA457" s="453"/>
      <c r="AB457" s="453"/>
      <c r="AC457" s="453"/>
      <c r="AD457" s="452"/>
      <c r="AE457" s="452"/>
      <c r="AF457" s="452"/>
      <c r="AG457" s="450"/>
      <c r="AH457" s="450"/>
      <c r="AI457" s="450"/>
      <c r="AJ457" s="450"/>
      <c r="AK457" s="450"/>
      <c r="AL457" s="450"/>
      <c r="AM457" s="450"/>
      <c r="AN457" s="450"/>
      <c r="AO457" s="450"/>
      <c r="AP457" s="450"/>
      <c r="AQ457" s="450"/>
      <c r="AR457" s="450"/>
      <c r="AS457" s="450"/>
      <c r="AT457" s="450"/>
      <c r="AU457" s="450"/>
      <c r="AV457" s="450"/>
      <c r="AW457" s="450"/>
      <c r="AX457" s="450"/>
      <c r="AY457" s="450"/>
      <c r="AZ457" s="450"/>
      <c r="BA457" s="450"/>
      <c r="BB457" s="450"/>
      <c r="BC457" s="453"/>
      <c r="BD457" s="453"/>
      <c r="BE457" s="453"/>
      <c r="BF457" s="453"/>
      <c r="BG457" s="453"/>
      <c r="BH457" s="453"/>
      <c r="BI457" s="453"/>
      <c r="BJ457" s="453"/>
      <c r="BK457" s="453"/>
      <c r="BL457" s="453"/>
      <c r="BM457" s="453"/>
      <c r="BN457" s="453"/>
      <c r="BO457" s="453"/>
      <c r="BP457" s="452"/>
      <c r="BQ457" s="450"/>
      <c r="BR457" s="450"/>
      <c r="BS457" s="450"/>
      <c r="BT457" s="450"/>
      <c r="BU457" s="450"/>
      <c r="BV457" s="450"/>
      <c r="BW457" s="454"/>
      <c r="BX457" s="450"/>
    </row>
    <row r="458" ht="14.25" customHeight="1">
      <c r="A458" s="450"/>
      <c r="B458" s="450"/>
      <c r="C458" s="450"/>
      <c r="D458" s="450"/>
      <c r="E458" s="450"/>
      <c r="F458" s="450"/>
      <c r="G458" s="450"/>
      <c r="H458" s="450"/>
      <c r="I458" s="450"/>
      <c r="J458" s="450"/>
      <c r="K458" s="450"/>
      <c r="L458" s="450"/>
      <c r="M458" s="450"/>
      <c r="N458" s="450"/>
      <c r="O458" s="450"/>
      <c r="P458" s="450"/>
      <c r="Q458" s="450"/>
      <c r="R458" s="450"/>
      <c r="S458" s="450"/>
      <c r="T458" s="450"/>
      <c r="U458" s="451"/>
      <c r="V458" s="450"/>
      <c r="W458" s="450"/>
      <c r="X458" s="450"/>
      <c r="Y458" s="452"/>
      <c r="Z458" s="452"/>
      <c r="AA458" s="453"/>
      <c r="AB458" s="453"/>
      <c r="AC458" s="453"/>
      <c r="AD458" s="452"/>
      <c r="AE458" s="452"/>
      <c r="AF458" s="452"/>
      <c r="AG458" s="450"/>
      <c r="AH458" s="450"/>
      <c r="AI458" s="450"/>
      <c r="AJ458" s="450"/>
      <c r="AK458" s="450"/>
      <c r="AL458" s="450"/>
      <c r="AM458" s="450"/>
      <c r="AN458" s="450"/>
      <c r="AO458" s="450"/>
      <c r="AP458" s="450"/>
      <c r="AQ458" s="450"/>
      <c r="AR458" s="450"/>
      <c r="AS458" s="450"/>
      <c r="AT458" s="450"/>
      <c r="AU458" s="450"/>
      <c r="AV458" s="450"/>
      <c r="AW458" s="450"/>
      <c r="AX458" s="450"/>
      <c r="AY458" s="450"/>
      <c r="AZ458" s="450"/>
      <c r="BA458" s="450"/>
      <c r="BB458" s="450"/>
      <c r="BC458" s="453"/>
      <c r="BD458" s="453"/>
      <c r="BE458" s="453"/>
      <c r="BF458" s="453"/>
      <c r="BG458" s="453"/>
      <c r="BH458" s="453"/>
      <c r="BI458" s="453"/>
      <c r="BJ458" s="453"/>
      <c r="BK458" s="453"/>
      <c r="BL458" s="453"/>
      <c r="BM458" s="453"/>
      <c r="BN458" s="453"/>
      <c r="BO458" s="453"/>
      <c r="BP458" s="452"/>
      <c r="BQ458" s="450"/>
      <c r="BR458" s="450"/>
      <c r="BS458" s="450"/>
      <c r="BT458" s="450"/>
      <c r="BU458" s="450"/>
      <c r="BV458" s="450"/>
      <c r="BW458" s="454"/>
      <c r="BX458" s="450"/>
    </row>
    <row r="459" ht="14.25" customHeight="1">
      <c r="A459" s="450"/>
      <c r="B459" s="450"/>
      <c r="C459" s="450"/>
      <c r="D459" s="450"/>
      <c r="E459" s="450"/>
      <c r="F459" s="450"/>
      <c r="G459" s="450"/>
      <c r="H459" s="450"/>
      <c r="I459" s="450"/>
      <c r="J459" s="450"/>
      <c r="K459" s="450"/>
      <c r="L459" s="450"/>
      <c r="M459" s="450"/>
      <c r="N459" s="450"/>
      <c r="O459" s="450"/>
      <c r="P459" s="450"/>
      <c r="Q459" s="450"/>
      <c r="R459" s="450"/>
      <c r="S459" s="450"/>
      <c r="T459" s="450"/>
      <c r="U459" s="451"/>
      <c r="V459" s="450"/>
      <c r="W459" s="450"/>
      <c r="X459" s="450"/>
      <c r="Y459" s="452"/>
      <c r="Z459" s="452"/>
      <c r="AA459" s="453"/>
      <c r="AB459" s="453"/>
      <c r="AC459" s="453"/>
      <c r="AD459" s="452"/>
      <c r="AE459" s="452"/>
      <c r="AF459" s="452"/>
      <c r="AG459" s="450"/>
      <c r="AH459" s="450"/>
      <c r="AI459" s="450"/>
      <c r="AJ459" s="450"/>
      <c r="AK459" s="450"/>
      <c r="AL459" s="450"/>
      <c r="AM459" s="450"/>
      <c r="AN459" s="450"/>
      <c r="AO459" s="450"/>
      <c r="AP459" s="450"/>
      <c r="AQ459" s="450"/>
      <c r="AR459" s="450"/>
      <c r="AS459" s="450"/>
      <c r="AT459" s="450"/>
      <c r="AU459" s="450"/>
      <c r="AV459" s="450"/>
      <c r="AW459" s="450"/>
      <c r="AX459" s="450"/>
      <c r="AY459" s="450"/>
      <c r="AZ459" s="450"/>
      <c r="BA459" s="450"/>
      <c r="BB459" s="450"/>
      <c r="BC459" s="453"/>
      <c r="BD459" s="453"/>
      <c r="BE459" s="453"/>
      <c r="BF459" s="453"/>
      <c r="BG459" s="453"/>
      <c r="BH459" s="453"/>
      <c r="BI459" s="453"/>
      <c r="BJ459" s="453"/>
      <c r="BK459" s="453"/>
      <c r="BL459" s="453"/>
      <c r="BM459" s="453"/>
      <c r="BN459" s="453"/>
      <c r="BO459" s="453"/>
      <c r="BP459" s="452"/>
      <c r="BQ459" s="450"/>
      <c r="BR459" s="450"/>
      <c r="BS459" s="450"/>
      <c r="BT459" s="450"/>
      <c r="BU459" s="450"/>
      <c r="BV459" s="450"/>
      <c r="BW459" s="454"/>
      <c r="BX459" s="450"/>
    </row>
    <row r="460" ht="14.25" customHeight="1">
      <c r="A460" s="450"/>
      <c r="B460" s="450"/>
      <c r="C460" s="450"/>
      <c r="D460" s="450"/>
      <c r="E460" s="450"/>
      <c r="F460" s="450"/>
      <c r="G460" s="450"/>
      <c r="H460" s="450"/>
      <c r="I460" s="450"/>
      <c r="J460" s="450"/>
      <c r="K460" s="450"/>
      <c r="L460" s="450"/>
      <c r="M460" s="450"/>
      <c r="N460" s="450"/>
      <c r="O460" s="450"/>
      <c r="P460" s="450"/>
      <c r="Q460" s="450"/>
      <c r="R460" s="450"/>
      <c r="S460" s="450"/>
      <c r="T460" s="450"/>
      <c r="U460" s="451"/>
      <c r="V460" s="450"/>
      <c r="W460" s="450"/>
      <c r="X460" s="450"/>
      <c r="Y460" s="452"/>
      <c r="Z460" s="452"/>
      <c r="AA460" s="453"/>
      <c r="AB460" s="453"/>
      <c r="AC460" s="453"/>
      <c r="AD460" s="452"/>
      <c r="AE460" s="452"/>
      <c r="AF460" s="452"/>
      <c r="AG460" s="450"/>
      <c r="AH460" s="450"/>
      <c r="AI460" s="450"/>
      <c r="AJ460" s="450"/>
      <c r="AK460" s="450"/>
      <c r="AL460" s="450"/>
      <c r="AM460" s="450"/>
      <c r="AN460" s="450"/>
      <c r="AO460" s="450"/>
      <c r="AP460" s="450"/>
      <c r="AQ460" s="450"/>
      <c r="AR460" s="450"/>
      <c r="AS460" s="450"/>
      <c r="AT460" s="450"/>
      <c r="AU460" s="450"/>
      <c r="AV460" s="450"/>
      <c r="AW460" s="450"/>
      <c r="AX460" s="450"/>
      <c r="AY460" s="450"/>
      <c r="AZ460" s="450"/>
      <c r="BA460" s="450"/>
      <c r="BB460" s="450"/>
      <c r="BC460" s="453"/>
      <c r="BD460" s="453"/>
      <c r="BE460" s="453"/>
      <c r="BF460" s="453"/>
      <c r="BG460" s="453"/>
      <c r="BH460" s="453"/>
      <c r="BI460" s="453"/>
      <c r="BJ460" s="453"/>
      <c r="BK460" s="453"/>
      <c r="BL460" s="453"/>
      <c r="BM460" s="453"/>
      <c r="BN460" s="453"/>
      <c r="BO460" s="453"/>
      <c r="BP460" s="452"/>
      <c r="BQ460" s="450"/>
      <c r="BR460" s="450"/>
      <c r="BS460" s="450"/>
      <c r="BT460" s="450"/>
      <c r="BU460" s="450"/>
      <c r="BV460" s="450"/>
      <c r="BW460" s="454"/>
      <c r="BX460" s="450"/>
    </row>
    <row r="461" ht="14.25" customHeight="1">
      <c r="A461" s="450"/>
      <c r="B461" s="450"/>
      <c r="C461" s="450"/>
      <c r="D461" s="450"/>
      <c r="E461" s="450"/>
      <c r="F461" s="450"/>
      <c r="G461" s="450"/>
      <c r="H461" s="450"/>
      <c r="I461" s="450"/>
      <c r="J461" s="450"/>
      <c r="K461" s="450"/>
      <c r="L461" s="450"/>
      <c r="M461" s="450"/>
      <c r="N461" s="450"/>
      <c r="O461" s="450"/>
      <c r="P461" s="450"/>
      <c r="Q461" s="450"/>
      <c r="R461" s="450"/>
      <c r="S461" s="450"/>
      <c r="T461" s="450"/>
      <c r="U461" s="451"/>
      <c r="V461" s="450"/>
      <c r="W461" s="450"/>
      <c r="X461" s="450"/>
      <c r="Y461" s="452"/>
      <c r="Z461" s="452"/>
      <c r="AA461" s="453"/>
      <c r="AB461" s="453"/>
      <c r="AC461" s="453"/>
      <c r="AD461" s="452"/>
      <c r="AE461" s="452"/>
      <c r="AF461" s="452"/>
      <c r="AG461" s="450"/>
      <c r="AH461" s="450"/>
      <c r="AI461" s="450"/>
      <c r="AJ461" s="450"/>
      <c r="AK461" s="450"/>
      <c r="AL461" s="450"/>
      <c r="AM461" s="450"/>
      <c r="AN461" s="450"/>
      <c r="AO461" s="450"/>
      <c r="AP461" s="450"/>
      <c r="AQ461" s="450"/>
      <c r="AR461" s="450"/>
      <c r="AS461" s="450"/>
      <c r="AT461" s="450"/>
      <c r="AU461" s="450"/>
      <c r="AV461" s="450"/>
      <c r="AW461" s="450"/>
      <c r="AX461" s="450"/>
      <c r="AY461" s="450"/>
      <c r="AZ461" s="450"/>
      <c r="BA461" s="450"/>
      <c r="BB461" s="450"/>
      <c r="BC461" s="453"/>
      <c r="BD461" s="453"/>
      <c r="BE461" s="453"/>
      <c r="BF461" s="453"/>
      <c r="BG461" s="453"/>
      <c r="BH461" s="453"/>
      <c r="BI461" s="453"/>
      <c r="BJ461" s="453"/>
      <c r="BK461" s="453"/>
      <c r="BL461" s="453"/>
      <c r="BM461" s="453"/>
      <c r="BN461" s="453"/>
      <c r="BO461" s="453"/>
      <c r="BP461" s="452"/>
      <c r="BQ461" s="450"/>
      <c r="BR461" s="450"/>
      <c r="BS461" s="450"/>
      <c r="BT461" s="450"/>
      <c r="BU461" s="450"/>
      <c r="BV461" s="450"/>
      <c r="BW461" s="454"/>
      <c r="BX461" s="450"/>
    </row>
    <row r="462" ht="14.25" customHeight="1">
      <c r="A462" s="450"/>
      <c r="B462" s="450"/>
      <c r="C462" s="450"/>
      <c r="D462" s="450"/>
      <c r="E462" s="450"/>
      <c r="F462" s="450"/>
      <c r="G462" s="450"/>
      <c r="H462" s="450"/>
      <c r="I462" s="450"/>
      <c r="J462" s="450"/>
      <c r="K462" s="450"/>
      <c r="L462" s="450"/>
      <c r="M462" s="450"/>
      <c r="N462" s="450"/>
      <c r="O462" s="450"/>
      <c r="P462" s="450"/>
      <c r="Q462" s="450"/>
      <c r="R462" s="450"/>
      <c r="S462" s="450"/>
      <c r="T462" s="450"/>
      <c r="U462" s="451"/>
      <c r="V462" s="450"/>
      <c r="W462" s="450"/>
      <c r="X462" s="450"/>
      <c r="Y462" s="452"/>
      <c r="Z462" s="452"/>
      <c r="AA462" s="453"/>
      <c r="AB462" s="453"/>
      <c r="AC462" s="453"/>
      <c r="AD462" s="452"/>
      <c r="AE462" s="452"/>
      <c r="AF462" s="452"/>
      <c r="AG462" s="450"/>
      <c r="AH462" s="450"/>
      <c r="AI462" s="450"/>
      <c r="AJ462" s="450"/>
      <c r="AK462" s="450"/>
      <c r="AL462" s="450"/>
      <c r="AM462" s="450"/>
      <c r="AN462" s="450"/>
      <c r="AO462" s="450"/>
      <c r="AP462" s="450"/>
      <c r="AQ462" s="450"/>
      <c r="AR462" s="450"/>
      <c r="AS462" s="450"/>
      <c r="AT462" s="450"/>
      <c r="AU462" s="450"/>
      <c r="AV462" s="450"/>
      <c r="AW462" s="450"/>
      <c r="AX462" s="450"/>
      <c r="AY462" s="450"/>
      <c r="AZ462" s="450"/>
      <c r="BA462" s="450"/>
      <c r="BB462" s="450"/>
      <c r="BC462" s="453"/>
      <c r="BD462" s="453"/>
      <c r="BE462" s="453"/>
      <c r="BF462" s="453"/>
      <c r="BG462" s="453"/>
      <c r="BH462" s="453"/>
      <c r="BI462" s="453"/>
      <c r="BJ462" s="453"/>
      <c r="BK462" s="453"/>
      <c r="BL462" s="453"/>
      <c r="BM462" s="453"/>
      <c r="BN462" s="453"/>
      <c r="BO462" s="453"/>
      <c r="BP462" s="452"/>
      <c r="BQ462" s="450"/>
      <c r="BR462" s="450"/>
      <c r="BS462" s="450"/>
      <c r="BT462" s="450"/>
      <c r="BU462" s="450"/>
      <c r="BV462" s="450"/>
      <c r="BW462" s="454"/>
      <c r="BX462" s="450"/>
    </row>
    <row r="463" ht="14.25" customHeight="1">
      <c r="A463" s="450"/>
      <c r="B463" s="450"/>
      <c r="C463" s="450"/>
      <c r="D463" s="450"/>
      <c r="E463" s="450"/>
      <c r="F463" s="450"/>
      <c r="G463" s="450"/>
      <c r="H463" s="450"/>
      <c r="I463" s="450"/>
      <c r="J463" s="450"/>
      <c r="K463" s="450"/>
      <c r="L463" s="450"/>
      <c r="M463" s="450"/>
      <c r="N463" s="450"/>
      <c r="O463" s="450"/>
      <c r="P463" s="450"/>
      <c r="Q463" s="450"/>
      <c r="R463" s="450"/>
      <c r="S463" s="450"/>
      <c r="T463" s="450"/>
      <c r="U463" s="451"/>
      <c r="V463" s="450"/>
      <c r="W463" s="450"/>
      <c r="X463" s="450"/>
      <c r="Y463" s="452"/>
      <c r="Z463" s="452"/>
      <c r="AA463" s="453"/>
      <c r="AB463" s="453"/>
      <c r="AC463" s="453"/>
      <c r="AD463" s="452"/>
      <c r="AE463" s="452"/>
      <c r="AF463" s="452"/>
      <c r="AG463" s="450"/>
      <c r="AH463" s="450"/>
      <c r="AI463" s="450"/>
      <c r="AJ463" s="450"/>
      <c r="AK463" s="450"/>
      <c r="AL463" s="450"/>
      <c r="AM463" s="450"/>
      <c r="AN463" s="450"/>
      <c r="AO463" s="450"/>
      <c r="AP463" s="450"/>
      <c r="AQ463" s="450"/>
      <c r="AR463" s="450"/>
      <c r="AS463" s="450"/>
      <c r="AT463" s="450"/>
      <c r="AU463" s="450"/>
      <c r="AV463" s="450"/>
      <c r="AW463" s="450"/>
      <c r="AX463" s="450"/>
      <c r="AY463" s="450"/>
      <c r="AZ463" s="450"/>
      <c r="BA463" s="450"/>
      <c r="BB463" s="450"/>
      <c r="BC463" s="453"/>
      <c r="BD463" s="453"/>
      <c r="BE463" s="453"/>
      <c r="BF463" s="453"/>
      <c r="BG463" s="453"/>
      <c r="BH463" s="453"/>
      <c r="BI463" s="453"/>
      <c r="BJ463" s="453"/>
      <c r="BK463" s="453"/>
      <c r="BL463" s="453"/>
      <c r="BM463" s="453"/>
      <c r="BN463" s="453"/>
      <c r="BO463" s="453"/>
      <c r="BP463" s="452"/>
      <c r="BQ463" s="450"/>
      <c r="BR463" s="450"/>
      <c r="BS463" s="450"/>
      <c r="BT463" s="450"/>
      <c r="BU463" s="450"/>
      <c r="BV463" s="450"/>
      <c r="BW463" s="454"/>
      <c r="BX463" s="450"/>
    </row>
    <row r="464" ht="14.25" customHeight="1">
      <c r="A464" s="450"/>
      <c r="B464" s="450"/>
      <c r="C464" s="450"/>
      <c r="D464" s="450"/>
      <c r="E464" s="450"/>
      <c r="F464" s="450"/>
      <c r="G464" s="450"/>
      <c r="H464" s="450"/>
      <c r="I464" s="450"/>
      <c r="J464" s="450"/>
      <c r="K464" s="450"/>
      <c r="L464" s="450"/>
      <c r="M464" s="450"/>
      <c r="N464" s="450"/>
      <c r="O464" s="450"/>
      <c r="P464" s="450"/>
      <c r="Q464" s="450"/>
      <c r="R464" s="450"/>
      <c r="S464" s="450"/>
      <c r="T464" s="450"/>
      <c r="U464" s="451"/>
      <c r="V464" s="450"/>
      <c r="W464" s="450"/>
      <c r="X464" s="450"/>
      <c r="Y464" s="452"/>
      <c r="Z464" s="452"/>
      <c r="AA464" s="453"/>
      <c r="AB464" s="453"/>
      <c r="AC464" s="453"/>
      <c r="AD464" s="452"/>
      <c r="AE464" s="452"/>
      <c r="AF464" s="452"/>
      <c r="AG464" s="450"/>
      <c r="AH464" s="450"/>
      <c r="AI464" s="450"/>
      <c r="AJ464" s="450"/>
      <c r="AK464" s="450"/>
      <c r="AL464" s="450"/>
      <c r="AM464" s="450"/>
      <c r="AN464" s="450"/>
      <c r="AO464" s="450"/>
      <c r="AP464" s="450"/>
      <c r="AQ464" s="450"/>
      <c r="AR464" s="450"/>
      <c r="AS464" s="450"/>
      <c r="AT464" s="450"/>
      <c r="AU464" s="450"/>
      <c r="AV464" s="450"/>
      <c r="AW464" s="450"/>
      <c r="AX464" s="450"/>
      <c r="AY464" s="450"/>
      <c r="AZ464" s="450"/>
      <c r="BA464" s="450"/>
      <c r="BB464" s="450"/>
      <c r="BC464" s="453"/>
      <c r="BD464" s="453"/>
      <c r="BE464" s="453"/>
      <c r="BF464" s="453"/>
      <c r="BG464" s="453"/>
      <c r="BH464" s="453"/>
      <c r="BI464" s="453"/>
      <c r="BJ464" s="453"/>
      <c r="BK464" s="453"/>
      <c r="BL464" s="453"/>
      <c r="BM464" s="453"/>
      <c r="BN464" s="453"/>
      <c r="BO464" s="453"/>
      <c r="BP464" s="452"/>
      <c r="BQ464" s="450"/>
      <c r="BR464" s="450"/>
      <c r="BS464" s="450"/>
      <c r="BT464" s="450"/>
      <c r="BU464" s="450"/>
      <c r="BV464" s="450"/>
      <c r="BW464" s="454"/>
      <c r="BX464" s="450"/>
    </row>
    <row r="465" ht="14.25" customHeight="1">
      <c r="A465" s="450"/>
      <c r="B465" s="450"/>
      <c r="C465" s="450"/>
      <c r="D465" s="450"/>
      <c r="E465" s="450"/>
      <c r="F465" s="450"/>
      <c r="G465" s="450"/>
      <c r="H465" s="450"/>
      <c r="I465" s="450"/>
      <c r="J465" s="450"/>
      <c r="K465" s="450"/>
      <c r="L465" s="450"/>
      <c r="M465" s="450"/>
      <c r="N465" s="450"/>
      <c r="O465" s="450"/>
      <c r="P465" s="450"/>
      <c r="Q465" s="450"/>
      <c r="R465" s="450"/>
      <c r="S465" s="450"/>
      <c r="T465" s="450"/>
      <c r="U465" s="451"/>
      <c r="V465" s="450"/>
      <c r="W465" s="450"/>
      <c r="X465" s="450"/>
      <c r="Y465" s="452"/>
      <c r="Z465" s="452"/>
      <c r="AA465" s="453"/>
      <c r="AB465" s="453"/>
      <c r="AC465" s="453"/>
      <c r="AD465" s="452"/>
      <c r="AE465" s="452"/>
      <c r="AF465" s="452"/>
      <c r="AG465" s="450"/>
      <c r="AH465" s="450"/>
      <c r="AI465" s="450"/>
      <c r="AJ465" s="450"/>
      <c r="AK465" s="450"/>
      <c r="AL465" s="450"/>
      <c r="AM465" s="450"/>
      <c r="AN465" s="450"/>
      <c r="AO465" s="450"/>
      <c r="AP465" s="450"/>
      <c r="AQ465" s="450"/>
      <c r="AR465" s="450"/>
      <c r="AS465" s="450"/>
      <c r="AT465" s="450"/>
      <c r="AU465" s="450"/>
      <c r="AV465" s="450"/>
      <c r="AW465" s="450"/>
      <c r="AX465" s="450"/>
      <c r="AY465" s="450"/>
      <c r="AZ465" s="450"/>
      <c r="BA465" s="450"/>
      <c r="BB465" s="450"/>
      <c r="BC465" s="453"/>
      <c r="BD465" s="453"/>
      <c r="BE465" s="453"/>
      <c r="BF465" s="453"/>
      <c r="BG465" s="453"/>
      <c r="BH465" s="453"/>
      <c r="BI465" s="453"/>
      <c r="BJ465" s="453"/>
      <c r="BK465" s="453"/>
      <c r="BL465" s="453"/>
      <c r="BM465" s="453"/>
      <c r="BN465" s="453"/>
      <c r="BO465" s="453"/>
      <c r="BP465" s="452"/>
      <c r="BQ465" s="450"/>
      <c r="BR465" s="450"/>
      <c r="BS465" s="450"/>
      <c r="BT465" s="450"/>
      <c r="BU465" s="450"/>
      <c r="BV465" s="450"/>
      <c r="BW465" s="454"/>
      <c r="BX465" s="450"/>
    </row>
    <row r="466" ht="14.25" customHeight="1">
      <c r="A466" s="450"/>
      <c r="B466" s="450"/>
      <c r="C466" s="450"/>
      <c r="D466" s="450"/>
      <c r="E466" s="450"/>
      <c r="F466" s="450"/>
      <c r="G466" s="450"/>
      <c r="H466" s="450"/>
      <c r="I466" s="450"/>
      <c r="J466" s="450"/>
      <c r="K466" s="450"/>
      <c r="L466" s="450"/>
      <c r="M466" s="450"/>
      <c r="N466" s="450"/>
      <c r="O466" s="450"/>
      <c r="P466" s="450"/>
      <c r="Q466" s="450"/>
      <c r="R466" s="450"/>
      <c r="S466" s="450"/>
      <c r="T466" s="450"/>
      <c r="U466" s="451"/>
      <c r="V466" s="450"/>
      <c r="W466" s="450"/>
      <c r="X466" s="450"/>
      <c r="Y466" s="452"/>
      <c r="Z466" s="452"/>
      <c r="AA466" s="453"/>
      <c r="AB466" s="453"/>
      <c r="AC466" s="453"/>
      <c r="AD466" s="452"/>
      <c r="AE466" s="452"/>
      <c r="AF466" s="452"/>
      <c r="AG466" s="450"/>
      <c r="AH466" s="450"/>
      <c r="AI466" s="450"/>
      <c r="AJ466" s="450"/>
      <c r="AK466" s="450"/>
      <c r="AL466" s="450"/>
      <c r="AM466" s="450"/>
      <c r="AN466" s="450"/>
      <c r="AO466" s="450"/>
      <c r="AP466" s="450"/>
      <c r="AQ466" s="450"/>
      <c r="AR466" s="450"/>
      <c r="AS466" s="450"/>
      <c r="AT466" s="450"/>
      <c r="AU466" s="450"/>
      <c r="AV466" s="450"/>
      <c r="AW466" s="450"/>
      <c r="AX466" s="450"/>
      <c r="AY466" s="450"/>
      <c r="AZ466" s="450"/>
      <c r="BA466" s="450"/>
      <c r="BB466" s="450"/>
      <c r="BC466" s="453"/>
      <c r="BD466" s="453"/>
      <c r="BE466" s="453"/>
      <c r="BF466" s="453"/>
      <c r="BG466" s="453"/>
      <c r="BH466" s="453"/>
      <c r="BI466" s="453"/>
      <c r="BJ466" s="453"/>
      <c r="BK466" s="453"/>
      <c r="BL466" s="453"/>
      <c r="BM466" s="453"/>
      <c r="BN466" s="453"/>
      <c r="BO466" s="453"/>
      <c r="BP466" s="452"/>
      <c r="BQ466" s="450"/>
      <c r="BR466" s="450"/>
      <c r="BS466" s="450"/>
      <c r="BT466" s="450"/>
      <c r="BU466" s="450"/>
      <c r="BV466" s="450"/>
      <c r="BW466" s="454"/>
      <c r="BX466" s="450"/>
    </row>
    <row r="467" ht="14.25" customHeight="1">
      <c r="A467" s="450"/>
      <c r="B467" s="450"/>
      <c r="C467" s="450"/>
      <c r="D467" s="450"/>
      <c r="E467" s="450"/>
      <c r="F467" s="450"/>
      <c r="G467" s="450"/>
      <c r="H467" s="450"/>
      <c r="I467" s="450"/>
      <c r="J467" s="450"/>
      <c r="K467" s="450"/>
      <c r="L467" s="450"/>
      <c r="M467" s="450"/>
      <c r="N467" s="450"/>
      <c r="O467" s="450"/>
      <c r="P467" s="450"/>
      <c r="Q467" s="450"/>
      <c r="R467" s="450"/>
      <c r="S467" s="450"/>
      <c r="T467" s="450"/>
      <c r="U467" s="451"/>
      <c r="V467" s="450"/>
      <c r="W467" s="450"/>
      <c r="X467" s="450"/>
      <c r="Y467" s="452"/>
      <c r="Z467" s="452"/>
      <c r="AA467" s="453"/>
      <c r="AB467" s="453"/>
      <c r="AC467" s="453"/>
      <c r="AD467" s="452"/>
      <c r="AE467" s="452"/>
      <c r="AF467" s="452"/>
      <c r="AG467" s="450"/>
      <c r="AH467" s="450"/>
      <c r="AI467" s="450"/>
      <c r="AJ467" s="450"/>
      <c r="AK467" s="450"/>
      <c r="AL467" s="450"/>
      <c r="AM467" s="450"/>
      <c r="AN467" s="450"/>
      <c r="AO467" s="450"/>
      <c r="AP467" s="450"/>
      <c r="AQ467" s="450"/>
      <c r="AR467" s="450"/>
      <c r="AS467" s="450"/>
      <c r="AT467" s="450"/>
      <c r="AU467" s="450"/>
      <c r="AV467" s="450"/>
      <c r="AW467" s="450"/>
      <c r="AX467" s="450"/>
      <c r="AY467" s="450"/>
      <c r="AZ467" s="450"/>
      <c r="BA467" s="450"/>
      <c r="BB467" s="450"/>
      <c r="BC467" s="453"/>
      <c r="BD467" s="453"/>
      <c r="BE467" s="453"/>
      <c r="BF467" s="453"/>
      <c r="BG467" s="453"/>
      <c r="BH467" s="453"/>
      <c r="BI467" s="453"/>
      <c r="BJ467" s="453"/>
      <c r="BK467" s="453"/>
      <c r="BL467" s="453"/>
      <c r="BM467" s="453"/>
      <c r="BN467" s="453"/>
      <c r="BO467" s="453"/>
      <c r="BP467" s="452"/>
      <c r="BQ467" s="450"/>
      <c r="BR467" s="450"/>
      <c r="BS467" s="450"/>
      <c r="BT467" s="450"/>
      <c r="BU467" s="450"/>
      <c r="BV467" s="450"/>
      <c r="BW467" s="454"/>
      <c r="BX467" s="450"/>
    </row>
    <row r="468" ht="14.25" customHeight="1">
      <c r="A468" s="450"/>
      <c r="B468" s="450"/>
      <c r="C468" s="450"/>
      <c r="D468" s="450"/>
      <c r="E468" s="450"/>
      <c r="F468" s="450"/>
      <c r="G468" s="450"/>
      <c r="H468" s="450"/>
      <c r="I468" s="450"/>
      <c r="J468" s="450"/>
      <c r="K468" s="450"/>
      <c r="L468" s="450"/>
      <c r="M468" s="450"/>
      <c r="N468" s="450"/>
      <c r="O468" s="450"/>
      <c r="P468" s="450"/>
      <c r="Q468" s="450"/>
      <c r="R468" s="450"/>
      <c r="S468" s="450"/>
      <c r="T468" s="450"/>
      <c r="U468" s="451"/>
      <c r="V468" s="450"/>
      <c r="W468" s="450"/>
      <c r="X468" s="450"/>
      <c r="Y468" s="452"/>
      <c r="Z468" s="452"/>
      <c r="AA468" s="453"/>
      <c r="AB468" s="453"/>
      <c r="AC468" s="453"/>
      <c r="AD468" s="452"/>
      <c r="AE468" s="452"/>
      <c r="AF468" s="452"/>
      <c r="AG468" s="450"/>
      <c r="AH468" s="450"/>
      <c r="AI468" s="450"/>
      <c r="AJ468" s="450"/>
      <c r="AK468" s="450"/>
      <c r="AL468" s="450"/>
      <c r="AM468" s="450"/>
      <c r="AN468" s="450"/>
      <c r="AO468" s="450"/>
      <c r="AP468" s="450"/>
      <c r="AQ468" s="450"/>
      <c r="AR468" s="450"/>
      <c r="AS468" s="450"/>
      <c r="AT468" s="450"/>
      <c r="AU468" s="450"/>
      <c r="AV468" s="450"/>
      <c r="AW468" s="450"/>
      <c r="AX468" s="450"/>
      <c r="AY468" s="450"/>
      <c r="AZ468" s="450"/>
      <c r="BA468" s="450"/>
      <c r="BB468" s="450"/>
      <c r="BC468" s="453"/>
      <c r="BD468" s="453"/>
      <c r="BE468" s="453"/>
      <c r="BF468" s="453"/>
      <c r="BG468" s="453"/>
      <c r="BH468" s="453"/>
      <c r="BI468" s="453"/>
      <c r="BJ468" s="453"/>
      <c r="BK468" s="453"/>
      <c r="BL468" s="453"/>
      <c r="BM468" s="453"/>
      <c r="BN468" s="453"/>
      <c r="BO468" s="453"/>
      <c r="BP468" s="452"/>
      <c r="BQ468" s="450"/>
      <c r="BR468" s="450"/>
      <c r="BS468" s="450"/>
      <c r="BT468" s="450"/>
      <c r="BU468" s="450"/>
      <c r="BV468" s="450"/>
      <c r="BW468" s="454"/>
      <c r="BX468" s="450"/>
    </row>
    <row r="469" ht="14.25" customHeight="1">
      <c r="A469" s="450"/>
      <c r="B469" s="450"/>
      <c r="C469" s="450"/>
      <c r="D469" s="450"/>
      <c r="E469" s="450"/>
      <c r="F469" s="450"/>
      <c r="G469" s="450"/>
      <c r="H469" s="450"/>
      <c r="I469" s="450"/>
      <c r="J469" s="450"/>
      <c r="K469" s="450"/>
      <c r="L469" s="450"/>
      <c r="M469" s="450"/>
      <c r="N469" s="450"/>
      <c r="O469" s="450"/>
      <c r="P469" s="450"/>
      <c r="Q469" s="450"/>
      <c r="R469" s="450"/>
      <c r="S469" s="450"/>
      <c r="T469" s="450"/>
      <c r="U469" s="451"/>
      <c r="V469" s="450"/>
      <c r="W469" s="450"/>
      <c r="X469" s="450"/>
      <c r="Y469" s="452"/>
      <c r="Z469" s="452"/>
      <c r="AA469" s="453"/>
      <c r="AB469" s="453"/>
      <c r="AC469" s="453"/>
      <c r="AD469" s="452"/>
      <c r="AE469" s="452"/>
      <c r="AF469" s="452"/>
      <c r="AG469" s="450"/>
      <c r="AH469" s="450"/>
      <c r="AI469" s="450"/>
      <c r="AJ469" s="450"/>
      <c r="AK469" s="450"/>
      <c r="AL469" s="450"/>
      <c r="AM469" s="450"/>
      <c r="AN469" s="450"/>
      <c r="AO469" s="450"/>
      <c r="AP469" s="450"/>
      <c r="AQ469" s="450"/>
      <c r="AR469" s="450"/>
      <c r="AS469" s="450"/>
      <c r="AT469" s="450"/>
      <c r="AU469" s="450"/>
      <c r="AV469" s="450"/>
      <c r="AW469" s="450"/>
      <c r="AX469" s="450"/>
      <c r="AY469" s="450"/>
      <c r="AZ469" s="450"/>
      <c r="BA469" s="450"/>
      <c r="BB469" s="450"/>
      <c r="BC469" s="453"/>
      <c r="BD469" s="453"/>
      <c r="BE469" s="453"/>
      <c r="BF469" s="453"/>
      <c r="BG469" s="453"/>
      <c r="BH469" s="453"/>
      <c r="BI469" s="453"/>
      <c r="BJ469" s="453"/>
      <c r="BK469" s="453"/>
      <c r="BL469" s="453"/>
      <c r="BM469" s="453"/>
      <c r="BN469" s="453"/>
      <c r="BO469" s="453"/>
      <c r="BP469" s="452"/>
      <c r="BQ469" s="450"/>
      <c r="BR469" s="450"/>
      <c r="BS469" s="450"/>
      <c r="BT469" s="450"/>
      <c r="BU469" s="450"/>
      <c r="BV469" s="450"/>
      <c r="BW469" s="454"/>
      <c r="BX469" s="450"/>
    </row>
    <row r="470" ht="14.25" customHeight="1">
      <c r="A470" s="450"/>
      <c r="B470" s="450"/>
      <c r="C470" s="450"/>
      <c r="D470" s="450"/>
      <c r="E470" s="450"/>
      <c r="F470" s="450"/>
      <c r="G470" s="450"/>
      <c r="H470" s="450"/>
      <c r="I470" s="450"/>
      <c r="J470" s="450"/>
      <c r="K470" s="450"/>
      <c r="L470" s="450"/>
      <c r="M470" s="450"/>
      <c r="N470" s="450"/>
      <c r="O470" s="450"/>
      <c r="P470" s="450"/>
      <c r="Q470" s="450"/>
      <c r="R470" s="450"/>
      <c r="S470" s="450"/>
      <c r="T470" s="450"/>
      <c r="U470" s="451"/>
      <c r="V470" s="450"/>
      <c r="W470" s="450"/>
      <c r="X470" s="450"/>
      <c r="Y470" s="452"/>
      <c r="Z470" s="452"/>
      <c r="AA470" s="453"/>
      <c r="AB470" s="453"/>
      <c r="AC470" s="453"/>
      <c r="AD470" s="452"/>
      <c r="AE470" s="452"/>
      <c r="AF470" s="452"/>
      <c r="AG470" s="450"/>
      <c r="AH470" s="450"/>
      <c r="AI470" s="450"/>
      <c r="AJ470" s="450"/>
      <c r="AK470" s="450"/>
      <c r="AL470" s="450"/>
      <c r="AM470" s="450"/>
      <c r="AN470" s="450"/>
      <c r="AO470" s="450"/>
      <c r="AP470" s="450"/>
      <c r="AQ470" s="450"/>
      <c r="AR470" s="450"/>
      <c r="AS470" s="450"/>
      <c r="AT470" s="450"/>
      <c r="AU470" s="450"/>
      <c r="AV470" s="450"/>
      <c r="AW470" s="450"/>
      <c r="AX470" s="450"/>
      <c r="AY470" s="450"/>
      <c r="AZ470" s="450"/>
      <c r="BA470" s="450"/>
      <c r="BB470" s="450"/>
      <c r="BC470" s="453"/>
      <c r="BD470" s="453"/>
      <c r="BE470" s="453"/>
      <c r="BF470" s="453"/>
      <c r="BG470" s="453"/>
      <c r="BH470" s="453"/>
      <c r="BI470" s="453"/>
      <c r="BJ470" s="453"/>
      <c r="BK470" s="453"/>
      <c r="BL470" s="453"/>
      <c r="BM470" s="453"/>
      <c r="BN470" s="453"/>
      <c r="BO470" s="453"/>
      <c r="BP470" s="452"/>
      <c r="BQ470" s="450"/>
      <c r="BR470" s="450"/>
      <c r="BS470" s="450"/>
      <c r="BT470" s="450"/>
      <c r="BU470" s="450"/>
      <c r="BV470" s="450"/>
      <c r="BW470" s="454"/>
      <c r="BX470" s="450"/>
    </row>
    <row r="471" ht="14.25" customHeight="1">
      <c r="A471" s="450"/>
      <c r="B471" s="450"/>
      <c r="C471" s="450"/>
      <c r="D471" s="450"/>
      <c r="E471" s="450"/>
      <c r="F471" s="450"/>
      <c r="G471" s="450"/>
      <c r="H471" s="450"/>
      <c r="I471" s="450"/>
      <c r="J471" s="450"/>
      <c r="K471" s="450"/>
      <c r="L471" s="450"/>
      <c r="M471" s="450"/>
      <c r="N471" s="450"/>
      <c r="O471" s="450"/>
      <c r="P471" s="450"/>
      <c r="Q471" s="450"/>
      <c r="R471" s="450"/>
      <c r="S471" s="450"/>
      <c r="T471" s="450"/>
      <c r="U471" s="451"/>
      <c r="V471" s="450"/>
      <c r="W471" s="450"/>
      <c r="X471" s="450"/>
      <c r="Y471" s="452"/>
      <c r="Z471" s="452"/>
      <c r="AA471" s="453"/>
      <c r="AB471" s="453"/>
      <c r="AC471" s="453"/>
      <c r="AD471" s="452"/>
      <c r="AE471" s="452"/>
      <c r="AF471" s="452"/>
      <c r="AG471" s="450"/>
      <c r="AH471" s="450"/>
      <c r="AI471" s="450"/>
      <c r="AJ471" s="450"/>
      <c r="AK471" s="450"/>
      <c r="AL471" s="450"/>
      <c r="AM471" s="450"/>
      <c r="AN471" s="450"/>
      <c r="AO471" s="450"/>
      <c r="AP471" s="450"/>
      <c r="AQ471" s="450"/>
      <c r="AR471" s="450"/>
      <c r="AS471" s="450"/>
      <c r="AT471" s="450"/>
      <c r="AU471" s="450"/>
      <c r="AV471" s="450"/>
      <c r="AW471" s="450"/>
      <c r="AX471" s="450"/>
      <c r="AY471" s="450"/>
      <c r="AZ471" s="450"/>
      <c r="BA471" s="450"/>
      <c r="BB471" s="450"/>
      <c r="BC471" s="453"/>
      <c r="BD471" s="453"/>
      <c r="BE471" s="453"/>
      <c r="BF471" s="453"/>
      <c r="BG471" s="453"/>
      <c r="BH471" s="453"/>
      <c r="BI471" s="453"/>
      <c r="BJ471" s="453"/>
      <c r="BK471" s="453"/>
      <c r="BL471" s="453"/>
      <c r="BM471" s="453"/>
      <c r="BN471" s="453"/>
      <c r="BO471" s="453"/>
      <c r="BP471" s="452"/>
      <c r="BQ471" s="450"/>
      <c r="BR471" s="450"/>
      <c r="BS471" s="450"/>
      <c r="BT471" s="450"/>
      <c r="BU471" s="450"/>
      <c r="BV471" s="450"/>
      <c r="BW471" s="454"/>
      <c r="BX471" s="450"/>
    </row>
    <row r="472" ht="14.25" customHeight="1">
      <c r="A472" s="450"/>
      <c r="B472" s="450"/>
      <c r="C472" s="450"/>
      <c r="D472" s="450"/>
      <c r="E472" s="450"/>
      <c r="F472" s="450"/>
      <c r="G472" s="450"/>
      <c r="H472" s="450"/>
      <c r="I472" s="450"/>
      <c r="J472" s="450"/>
      <c r="K472" s="450"/>
      <c r="L472" s="450"/>
      <c r="M472" s="450"/>
      <c r="N472" s="450"/>
      <c r="O472" s="450"/>
      <c r="P472" s="450"/>
      <c r="Q472" s="450"/>
      <c r="R472" s="450"/>
      <c r="S472" s="450"/>
      <c r="T472" s="450"/>
      <c r="U472" s="451"/>
      <c r="V472" s="450"/>
      <c r="W472" s="450"/>
      <c r="X472" s="450"/>
      <c r="Y472" s="452"/>
      <c r="Z472" s="452"/>
      <c r="AA472" s="453"/>
      <c r="AB472" s="453"/>
      <c r="AC472" s="453"/>
      <c r="AD472" s="452"/>
      <c r="AE472" s="452"/>
      <c r="AF472" s="452"/>
      <c r="AG472" s="450"/>
      <c r="AH472" s="450"/>
      <c r="AI472" s="450"/>
      <c r="AJ472" s="450"/>
      <c r="AK472" s="450"/>
      <c r="AL472" s="450"/>
      <c r="AM472" s="450"/>
      <c r="AN472" s="450"/>
      <c r="AO472" s="450"/>
      <c r="AP472" s="450"/>
      <c r="AQ472" s="450"/>
      <c r="AR472" s="450"/>
      <c r="AS472" s="450"/>
      <c r="AT472" s="450"/>
      <c r="AU472" s="450"/>
      <c r="AV472" s="450"/>
      <c r="AW472" s="450"/>
      <c r="AX472" s="450"/>
      <c r="AY472" s="450"/>
      <c r="AZ472" s="450"/>
      <c r="BA472" s="450"/>
      <c r="BB472" s="450"/>
      <c r="BC472" s="453"/>
      <c r="BD472" s="453"/>
      <c r="BE472" s="453"/>
      <c r="BF472" s="453"/>
      <c r="BG472" s="453"/>
      <c r="BH472" s="453"/>
      <c r="BI472" s="453"/>
      <c r="BJ472" s="453"/>
      <c r="BK472" s="453"/>
      <c r="BL472" s="453"/>
      <c r="BM472" s="453"/>
      <c r="BN472" s="453"/>
      <c r="BO472" s="453"/>
      <c r="BP472" s="452"/>
      <c r="BQ472" s="450"/>
      <c r="BR472" s="450"/>
      <c r="BS472" s="450"/>
      <c r="BT472" s="450"/>
      <c r="BU472" s="450"/>
      <c r="BV472" s="450"/>
      <c r="BW472" s="454"/>
      <c r="BX472" s="450"/>
    </row>
    <row r="473" ht="14.25" customHeight="1">
      <c r="A473" s="450"/>
      <c r="B473" s="450"/>
      <c r="C473" s="450"/>
      <c r="D473" s="450"/>
      <c r="E473" s="450"/>
      <c r="F473" s="450"/>
      <c r="G473" s="450"/>
      <c r="H473" s="450"/>
      <c r="I473" s="450"/>
      <c r="J473" s="450"/>
      <c r="K473" s="450"/>
      <c r="L473" s="450"/>
      <c r="M473" s="450"/>
      <c r="N473" s="450"/>
      <c r="O473" s="450"/>
      <c r="P473" s="450"/>
      <c r="Q473" s="450"/>
      <c r="R473" s="450"/>
      <c r="S473" s="450"/>
      <c r="T473" s="450"/>
      <c r="U473" s="451"/>
      <c r="V473" s="450"/>
      <c r="W473" s="450"/>
      <c r="X473" s="450"/>
      <c r="Y473" s="452"/>
      <c r="Z473" s="452"/>
      <c r="AA473" s="453"/>
      <c r="AB473" s="453"/>
      <c r="AC473" s="453"/>
      <c r="AD473" s="452"/>
      <c r="AE473" s="452"/>
      <c r="AF473" s="452"/>
      <c r="AG473" s="450"/>
      <c r="AH473" s="450"/>
      <c r="AI473" s="450"/>
      <c r="AJ473" s="450"/>
      <c r="AK473" s="450"/>
      <c r="AL473" s="450"/>
      <c r="AM473" s="450"/>
      <c r="AN473" s="450"/>
      <c r="AO473" s="450"/>
      <c r="AP473" s="450"/>
      <c r="AQ473" s="450"/>
      <c r="AR473" s="450"/>
      <c r="AS473" s="450"/>
      <c r="AT473" s="450"/>
      <c r="AU473" s="450"/>
      <c r="AV473" s="450"/>
      <c r="AW473" s="450"/>
      <c r="AX473" s="450"/>
      <c r="AY473" s="450"/>
      <c r="AZ473" s="450"/>
      <c r="BA473" s="450"/>
      <c r="BB473" s="450"/>
      <c r="BC473" s="453"/>
      <c r="BD473" s="453"/>
      <c r="BE473" s="453"/>
      <c r="BF473" s="453"/>
      <c r="BG473" s="453"/>
      <c r="BH473" s="453"/>
      <c r="BI473" s="453"/>
      <c r="BJ473" s="453"/>
      <c r="BK473" s="453"/>
      <c r="BL473" s="453"/>
      <c r="BM473" s="453"/>
      <c r="BN473" s="453"/>
      <c r="BO473" s="453"/>
      <c r="BP473" s="452"/>
      <c r="BQ473" s="450"/>
      <c r="BR473" s="450"/>
      <c r="BS473" s="450"/>
      <c r="BT473" s="450"/>
      <c r="BU473" s="450"/>
      <c r="BV473" s="450"/>
      <c r="BW473" s="454"/>
      <c r="BX473" s="450"/>
    </row>
    <row r="474" ht="14.25" customHeight="1">
      <c r="A474" s="450"/>
      <c r="B474" s="450"/>
      <c r="C474" s="450"/>
      <c r="D474" s="450"/>
      <c r="E474" s="450"/>
      <c r="F474" s="450"/>
      <c r="G474" s="450"/>
      <c r="H474" s="450"/>
      <c r="I474" s="450"/>
      <c r="J474" s="450"/>
      <c r="K474" s="450"/>
      <c r="L474" s="450"/>
      <c r="M474" s="450"/>
      <c r="N474" s="450"/>
      <c r="O474" s="450"/>
      <c r="P474" s="450"/>
      <c r="Q474" s="450"/>
      <c r="R474" s="450"/>
      <c r="S474" s="450"/>
      <c r="T474" s="450"/>
      <c r="U474" s="451"/>
      <c r="V474" s="450"/>
      <c r="W474" s="450"/>
      <c r="X474" s="450"/>
      <c r="Y474" s="452"/>
      <c r="Z474" s="452"/>
      <c r="AA474" s="453"/>
      <c r="AB474" s="453"/>
      <c r="AC474" s="453"/>
      <c r="AD474" s="452"/>
      <c r="AE474" s="452"/>
      <c r="AF474" s="452"/>
      <c r="AG474" s="450"/>
      <c r="AH474" s="450"/>
      <c r="AI474" s="450"/>
      <c r="AJ474" s="450"/>
      <c r="AK474" s="450"/>
      <c r="AL474" s="450"/>
      <c r="AM474" s="450"/>
      <c r="AN474" s="450"/>
      <c r="AO474" s="450"/>
      <c r="AP474" s="450"/>
      <c r="AQ474" s="450"/>
      <c r="AR474" s="450"/>
      <c r="AS474" s="450"/>
      <c r="AT474" s="450"/>
      <c r="AU474" s="450"/>
      <c r="AV474" s="450"/>
      <c r="AW474" s="450"/>
      <c r="AX474" s="450"/>
      <c r="AY474" s="450"/>
      <c r="AZ474" s="450"/>
      <c r="BA474" s="450"/>
      <c r="BB474" s="450"/>
      <c r="BC474" s="453"/>
      <c r="BD474" s="453"/>
      <c r="BE474" s="453"/>
      <c r="BF474" s="453"/>
      <c r="BG474" s="453"/>
      <c r="BH474" s="453"/>
      <c r="BI474" s="453"/>
      <c r="BJ474" s="453"/>
      <c r="BK474" s="453"/>
      <c r="BL474" s="453"/>
      <c r="BM474" s="453"/>
      <c r="BN474" s="453"/>
      <c r="BO474" s="453"/>
      <c r="BP474" s="452"/>
      <c r="BQ474" s="450"/>
      <c r="BR474" s="450"/>
      <c r="BS474" s="450"/>
      <c r="BT474" s="450"/>
      <c r="BU474" s="450"/>
      <c r="BV474" s="450"/>
      <c r="BW474" s="454"/>
      <c r="BX474" s="450"/>
    </row>
    <row r="475" ht="14.25" customHeight="1">
      <c r="A475" s="450"/>
      <c r="B475" s="450"/>
      <c r="C475" s="450"/>
      <c r="D475" s="450"/>
      <c r="E475" s="450"/>
      <c r="F475" s="450"/>
      <c r="G475" s="450"/>
      <c r="H475" s="450"/>
      <c r="I475" s="450"/>
      <c r="J475" s="450"/>
      <c r="K475" s="450"/>
      <c r="L475" s="450"/>
      <c r="M475" s="450"/>
      <c r="N475" s="450"/>
      <c r="O475" s="450"/>
      <c r="P475" s="450"/>
      <c r="Q475" s="450"/>
      <c r="R475" s="450"/>
      <c r="S475" s="450"/>
      <c r="T475" s="450"/>
      <c r="U475" s="451"/>
      <c r="V475" s="450"/>
      <c r="W475" s="450"/>
      <c r="X475" s="450"/>
      <c r="Y475" s="452"/>
      <c r="Z475" s="452"/>
      <c r="AA475" s="453"/>
      <c r="AB475" s="453"/>
      <c r="AC475" s="453"/>
      <c r="AD475" s="452"/>
      <c r="AE475" s="452"/>
      <c r="AF475" s="452"/>
      <c r="AG475" s="450"/>
      <c r="AH475" s="450"/>
      <c r="AI475" s="450"/>
      <c r="AJ475" s="450"/>
      <c r="AK475" s="450"/>
      <c r="AL475" s="450"/>
      <c r="AM475" s="450"/>
      <c r="AN475" s="450"/>
      <c r="AO475" s="450"/>
      <c r="AP475" s="450"/>
      <c r="AQ475" s="450"/>
      <c r="AR475" s="450"/>
      <c r="AS475" s="450"/>
      <c r="AT475" s="450"/>
      <c r="AU475" s="450"/>
      <c r="AV475" s="450"/>
      <c r="AW475" s="450"/>
      <c r="AX475" s="450"/>
      <c r="AY475" s="450"/>
      <c r="AZ475" s="450"/>
      <c r="BA475" s="450"/>
      <c r="BB475" s="450"/>
      <c r="BC475" s="453"/>
      <c r="BD475" s="453"/>
      <c r="BE475" s="453"/>
      <c r="BF475" s="453"/>
      <c r="BG475" s="453"/>
      <c r="BH475" s="453"/>
      <c r="BI475" s="453"/>
      <c r="BJ475" s="453"/>
      <c r="BK475" s="453"/>
      <c r="BL475" s="453"/>
      <c r="BM475" s="453"/>
      <c r="BN475" s="453"/>
      <c r="BO475" s="453"/>
      <c r="BP475" s="452"/>
      <c r="BQ475" s="450"/>
      <c r="BR475" s="450"/>
      <c r="BS475" s="450"/>
      <c r="BT475" s="450"/>
      <c r="BU475" s="450"/>
      <c r="BV475" s="450"/>
      <c r="BW475" s="454"/>
      <c r="BX475" s="450"/>
    </row>
    <row r="476" ht="14.25" customHeight="1">
      <c r="A476" s="450"/>
      <c r="B476" s="450"/>
      <c r="C476" s="450"/>
      <c r="D476" s="450"/>
      <c r="E476" s="450"/>
      <c r="F476" s="450"/>
      <c r="G476" s="450"/>
      <c r="H476" s="450"/>
      <c r="I476" s="450"/>
      <c r="J476" s="450"/>
      <c r="K476" s="450"/>
      <c r="L476" s="450"/>
      <c r="M476" s="450"/>
      <c r="N476" s="450"/>
      <c r="O476" s="450"/>
      <c r="P476" s="450"/>
      <c r="Q476" s="450"/>
      <c r="R476" s="450"/>
      <c r="S476" s="450"/>
      <c r="T476" s="450"/>
      <c r="U476" s="451"/>
      <c r="V476" s="450"/>
      <c r="W476" s="450"/>
      <c r="X476" s="450"/>
      <c r="Y476" s="452"/>
      <c r="Z476" s="452"/>
      <c r="AA476" s="453"/>
      <c r="AB476" s="453"/>
      <c r="AC476" s="453"/>
      <c r="AD476" s="452"/>
      <c r="AE476" s="452"/>
      <c r="AF476" s="452"/>
      <c r="AG476" s="450"/>
      <c r="AH476" s="450"/>
      <c r="AI476" s="450"/>
      <c r="AJ476" s="450"/>
      <c r="AK476" s="450"/>
      <c r="AL476" s="450"/>
      <c r="AM476" s="450"/>
      <c r="AN476" s="450"/>
      <c r="AO476" s="450"/>
      <c r="AP476" s="450"/>
      <c r="AQ476" s="450"/>
      <c r="AR476" s="450"/>
      <c r="AS476" s="450"/>
      <c r="AT476" s="450"/>
      <c r="AU476" s="450"/>
      <c r="AV476" s="450"/>
      <c r="AW476" s="450"/>
      <c r="AX476" s="450"/>
      <c r="AY476" s="450"/>
      <c r="AZ476" s="450"/>
      <c r="BA476" s="450"/>
      <c r="BB476" s="450"/>
      <c r="BC476" s="453"/>
      <c r="BD476" s="453"/>
      <c r="BE476" s="453"/>
      <c r="BF476" s="453"/>
      <c r="BG476" s="453"/>
      <c r="BH476" s="453"/>
      <c r="BI476" s="453"/>
      <c r="BJ476" s="453"/>
      <c r="BK476" s="453"/>
      <c r="BL476" s="453"/>
      <c r="BM476" s="453"/>
      <c r="BN476" s="453"/>
      <c r="BO476" s="453"/>
      <c r="BP476" s="452"/>
      <c r="BQ476" s="450"/>
      <c r="BR476" s="450"/>
      <c r="BS476" s="450"/>
      <c r="BT476" s="450"/>
      <c r="BU476" s="450"/>
      <c r="BV476" s="450"/>
      <c r="BW476" s="454"/>
      <c r="BX476" s="450"/>
    </row>
    <row r="477" ht="14.25" customHeight="1">
      <c r="A477" s="450"/>
      <c r="B477" s="450"/>
      <c r="C477" s="450"/>
      <c r="D477" s="450"/>
      <c r="E477" s="450"/>
      <c r="F477" s="450"/>
      <c r="G477" s="450"/>
      <c r="H477" s="450"/>
      <c r="I477" s="450"/>
      <c r="J477" s="450"/>
      <c r="K477" s="450"/>
      <c r="L477" s="450"/>
      <c r="M477" s="450"/>
      <c r="N477" s="450"/>
      <c r="O477" s="450"/>
      <c r="P477" s="450"/>
      <c r="Q477" s="450"/>
      <c r="R477" s="450"/>
      <c r="S477" s="450"/>
      <c r="T477" s="450"/>
      <c r="U477" s="451"/>
      <c r="V477" s="450"/>
      <c r="W477" s="450"/>
      <c r="X477" s="450"/>
      <c r="Y477" s="452"/>
      <c r="Z477" s="452"/>
      <c r="AA477" s="453"/>
      <c r="AB477" s="453"/>
      <c r="AC477" s="453"/>
      <c r="AD477" s="452"/>
      <c r="AE477" s="452"/>
      <c r="AF477" s="452"/>
      <c r="AG477" s="450"/>
      <c r="AH477" s="450"/>
      <c r="AI477" s="450"/>
      <c r="AJ477" s="450"/>
      <c r="AK477" s="450"/>
      <c r="AL477" s="450"/>
      <c r="AM477" s="450"/>
      <c r="AN477" s="450"/>
      <c r="AO477" s="450"/>
      <c r="AP477" s="450"/>
      <c r="AQ477" s="450"/>
      <c r="AR477" s="450"/>
      <c r="AS477" s="450"/>
      <c r="AT477" s="450"/>
      <c r="AU477" s="450"/>
      <c r="AV477" s="450"/>
      <c r="AW477" s="450"/>
      <c r="AX477" s="450"/>
      <c r="AY477" s="450"/>
      <c r="AZ477" s="450"/>
      <c r="BA477" s="450"/>
      <c r="BB477" s="450"/>
      <c r="BC477" s="453"/>
      <c r="BD477" s="453"/>
      <c r="BE477" s="453"/>
      <c r="BF477" s="453"/>
      <c r="BG477" s="453"/>
      <c r="BH477" s="453"/>
      <c r="BI477" s="453"/>
      <c r="BJ477" s="453"/>
      <c r="BK477" s="453"/>
      <c r="BL477" s="453"/>
      <c r="BM477" s="453"/>
      <c r="BN477" s="453"/>
      <c r="BO477" s="453"/>
      <c r="BP477" s="452"/>
      <c r="BQ477" s="450"/>
      <c r="BR477" s="450"/>
      <c r="BS477" s="450"/>
      <c r="BT477" s="450"/>
      <c r="BU477" s="450"/>
      <c r="BV477" s="450"/>
      <c r="BW477" s="454"/>
      <c r="BX477" s="450"/>
    </row>
    <row r="478" ht="14.25" customHeight="1">
      <c r="A478" s="450"/>
      <c r="B478" s="450"/>
      <c r="C478" s="450"/>
      <c r="D478" s="450"/>
      <c r="E478" s="450"/>
      <c r="F478" s="450"/>
      <c r="G478" s="450"/>
      <c r="H478" s="450"/>
      <c r="I478" s="450"/>
      <c r="J478" s="450"/>
      <c r="K478" s="450"/>
      <c r="L478" s="450"/>
      <c r="M478" s="450"/>
      <c r="N478" s="450"/>
      <c r="O478" s="450"/>
      <c r="P478" s="450"/>
      <c r="Q478" s="450"/>
      <c r="R478" s="450"/>
      <c r="S478" s="450"/>
      <c r="T478" s="450"/>
      <c r="U478" s="451"/>
      <c r="V478" s="450"/>
      <c r="W478" s="450"/>
      <c r="X478" s="450"/>
      <c r="Y478" s="452"/>
      <c r="Z478" s="452"/>
      <c r="AA478" s="453"/>
      <c r="AB478" s="453"/>
      <c r="AC478" s="453"/>
      <c r="AD478" s="452"/>
      <c r="AE478" s="452"/>
      <c r="AF478" s="452"/>
      <c r="AG478" s="450"/>
      <c r="AH478" s="450"/>
      <c r="AI478" s="450"/>
      <c r="AJ478" s="450"/>
      <c r="AK478" s="450"/>
      <c r="AL478" s="450"/>
      <c r="AM478" s="450"/>
      <c r="AN478" s="450"/>
      <c r="AO478" s="450"/>
      <c r="AP478" s="450"/>
      <c r="AQ478" s="450"/>
      <c r="AR478" s="450"/>
      <c r="AS478" s="450"/>
      <c r="AT478" s="450"/>
      <c r="AU478" s="450"/>
      <c r="AV478" s="450"/>
      <c r="AW478" s="450"/>
      <c r="AX478" s="450"/>
      <c r="AY478" s="450"/>
      <c r="AZ478" s="450"/>
      <c r="BA478" s="450"/>
      <c r="BB478" s="450"/>
      <c r="BC478" s="453"/>
      <c r="BD478" s="453"/>
      <c r="BE478" s="453"/>
      <c r="BF478" s="453"/>
      <c r="BG478" s="453"/>
      <c r="BH478" s="453"/>
      <c r="BI478" s="453"/>
      <c r="BJ478" s="453"/>
      <c r="BK478" s="453"/>
      <c r="BL478" s="453"/>
      <c r="BM478" s="453"/>
      <c r="BN478" s="453"/>
      <c r="BO478" s="453"/>
      <c r="BP478" s="452"/>
      <c r="BQ478" s="450"/>
      <c r="BR478" s="450"/>
      <c r="BS478" s="450"/>
      <c r="BT478" s="450"/>
      <c r="BU478" s="450"/>
      <c r="BV478" s="450"/>
      <c r="BW478" s="454"/>
      <c r="BX478" s="450"/>
    </row>
    <row r="479" ht="14.25" customHeight="1">
      <c r="A479" s="450"/>
      <c r="B479" s="450"/>
      <c r="C479" s="450"/>
      <c r="D479" s="450"/>
      <c r="E479" s="450"/>
      <c r="F479" s="450"/>
      <c r="G479" s="450"/>
      <c r="H479" s="450"/>
      <c r="I479" s="450"/>
      <c r="J479" s="450"/>
      <c r="K479" s="450"/>
      <c r="L479" s="450"/>
      <c r="M479" s="450"/>
      <c r="N479" s="450"/>
      <c r="O479" s="450"/>
      <c r="P479" s="450"/>
      <c r="Q479" s="450"/>
      <c r="R479" s="450"/>
      <c r="S479" s="450"/>
      <c r="T479" s="450"/>
      <c r="U479" s="451"/>
      <c r="V479" s="450"/>
      <c r="W479" s="450"/>
      <c r="X479" s="450"/>
      <c r="Y479" s="452"/>
      <c r="Z479" s="452"/>
      <c r="AA479" s="453"/>
      <c r="AB479" s="453"/>
      <c r="AC479" s="453"/>
      <c r="AD479" s="452"/>
      <c r="AE479" s="452"/>
      <c r="AF479" s="452"/>
      <c r="AG479" s="450"/>
      <c r="AH479" s="450"/>
      <c r="AI479" s="450"/>
      <c r="AJ479" s="450"/>
      <c r="AK479" s="450"/>
      <c r="AL479" s="450"/>
      <c r="AM479" s="450"/>
      <c r="AN479" s="450"/>
      <c r="AO479" s="450"/>
      <c r="AP479" s="450"/>
      <c r="AQ479" s="450"/>
      <c r="AR479" s="450"/>
      <c r="AS479" s="450"/>
      <c r="AT479" s="450"/>
      <c r="AU479" s="450"/>
      <c r="AV479" s="450"/>
      <c r="AW479" s="450"/>
      <c r="AX479" s="450"/>
      <c r="AY479" s="450"/>
      <c r="AZ479" s="450"/>
      <c r="BA479" s="450"/>
      <c r="BB479" s="450"/>
      <c r="BC479" s="453"/>
      <c r="BD479" s="453"/>
      <c r="BE479" s="453"/>
      <c r="BF479" s="453"/>
      <c r="BG479" s="453"/>
      <c r="BH479" s="453"/>
      <c r="BI479" s="453"/>
      <c r="BJ479" s="453"/>
      <c r="BK479" s="453"/>
      <c r="BL479" s="453"/>
      <c r="BM479" s="453"/>
      <c r="BN479" s="453"/>
      <c r="BO479" s="453"/>
      <c r="BP479" s="452"/>
      <c r="BQ479" s="450"/>
      <c r="BR479" s="450"/>
      <c r="BS479" s="450"/>
      <c r="BT479" s="450"/>
      <c r="BU479" s="450"/>
      <c r="BV479" s="450"/>
      <c r="BW479" s="454"/>
      <c r="BX479" s="450"/>
    </row>
    <row r="480" ht="14.25" customHeight="1">
      <c r="A480" s="450"/>
      <c r="B480" s="450"/>
      <c r="C480" s="450"/>
      <c r="D480" s="450"/>
      <c r="E480" s="450"/>
      <c r="F480" s="450"/>
      <c r="G480" s="450"/>
      <c r="H480" s="450"/>
      <c r="I480" s="450"/>
      <c r="J480" s="450"/>
      <c r="K480" s="450"/>
      <c r="L480" s="450"/>
      <c r="M480" s="450"/>
      <c r="N480" s="450"/>
      <c r="O480" s="450"/>
      <c r="P480" s="450"/>
      <c r="Q480" s="450"/>
      <c r="R480" s="450"/>
      <c r="S480" s="450"/>
      <c r="T480" s="450"/>
      <c r="U480" s="451"/>
      <c r="V480" s="450"/>
      <c r="W480" s="450"/>
      <c r="X480" s="450"/>
      <c r="Y480" s="452"/>
      <c r="Z480" s="452"/>
      <c r="AA480" s="453"/>
      <c r="AB480" s="453"/>
      <c r="AC480" s="453"/>
      <c r="AD480" s="452"/>
      <c r="AE480" s="452"/>
      <c r="AF480" s="452"/>
      <c r="AG480" s="450"/>
      <c r="AH480" s="450"/>
      <c r="AI480" s="450"/>
      <c r="AJ480" s="450"/>
      <c r="AK480" s="450"/>
      <c r="AL480" s="450"/>
      <c r="AM480" s="450"/>
      <c r="AN480" s="450"/>
      <c r="AO480" s="450"/>
      <c r="AP480" s="450"/>
      <c r="AQ480" s="450"/>
      <c r="AR480" s="450"/>
      <c r="AS480" s="450"/>
      <c r="AT480" s="450"/>
      <c r="AU480" s="450"/>
      <c r="AV480" s="450"/>
      <c r="AW480" s="450"/>
      <c r="AX480" s="450"/>
      <c r="AY480" s="450"/>
      <c r="AZ480" s="450"/>
      <c r="BA480" s="450"/>
      <c r="BB480" s="450"/>
      <c r="BC480" s="453"/>
      <c r="BD480" s="453"/>
      <c r="BE480" s="453"/>
      <c r="BF480" s="453"/>
      <c r="BG480" s="453"/>
      <c r="BH480" s="453"/>
      <c r="BI480" s="453"/>
      <c r="BJ480" s="453"/>
      <c r="BK480" s="453"/>
      <c r="BL480" s="453"/>
      <c r="BM480" s="453"/>
      <c r="BN480" s="453"/>
      <c r="BO480" s="453"/>
      <c r="BP480" s="452"/>
      <c r="BQ480" s="450"/>
      <c r="BR480" s="450"/>
      <c r="BS480" s="450"/>
      <c r="BT480" s="450"/>
      <c r="BU480" s="450"/>
      <c r="BV480" s="450"/>
      <c r="BW480" s="454"/>
      <c r="BX480" s="450"/>
    </row>
    <row r="481" ht="14.25" customHeight="1">
      <c r="A481" s="450"/>
      <c r="B481" s="450"/>
      <c r="C481" s="450"/>
      <c r="D481" s="450"/>
      <c r="E481" s="450"/>
      <c r="F481" s="450"/>
      <c r="G481" s="450"/>
      <c r="H481" s="450"/>
      <c r="I481" s="450"/>
      <c r="J481" s="450"/>
      <c r="K481" s="450"/>
      <c r="L481" s="450"/>
      <c r="M481" s="450"/>
      <c r="N481" s="450"/>
      <c r="O481" s="450"/>
      <c r="P481" s="450"/>
      <c r="Q481" s="450"/>
      <c r="R481" s="450"/>
      <c r="S481" s="450"/>
      <c r="T481" s="450"/>
      <c r="U481" s="451"/>
      <c r="V481" s="450"/>
      <c r="W481" s="450"/>
      <c r="X481" s="450"/>
      <c r="Y481" s="452"/>
      <c r="Z481" s="452"/>
      <c r="AA481" s="453"/>
      <c r="AB481" s="453"/>
      <c r="AC481" s="453"/>
      <c r="AD481" s="452"/>
      <c r="AE481" s="452"/>
      <c r="AF481" s="452"/>
      <c r="AG481" s="450"/>
      <c r="AH481" s="450"/>
      <c r="AI481" s="450"/>
      <c r="AJ481" s="450"/>
      <c r="AK481" s="450"/>
      <c r="AL481" s="450"/>
      <c r="AM481" s="450"/>
      <c r="AN481" s="450"/>
      <c r="AO481" s="450"/>
      <c r="AP481" s="450"/>
      <c r="AQ481" s="450"/>
      <c r="AR481" s="450"/>
      <c r="AS481" s="450"/>
      <c r="AT481" s="450"/>
      <c r="AU481" s="450"/>
      <c r="AV481" s="450"/>
      <c r="AW481" s="450"/>
      <c r="AX481" s="450"/>
      <c r="AY481" s="450"/>
      <c r="AZ481" s="450"/>
      <c r="BA481" s="450"/>
      <c r="BB481" s="450"/>
      <c r="BC481" s="453"/>
      <c r="BD481" s="453"/>
      <c r="BE481" s="453"/>
      <c r="BF481" s="453"/>
      <c r="BG481" s="453"/>
      <c r="BH481" s="453"/>
      <c r="BI481" s="453"/>
      <c r="BJ481" s="453"/>
      <c r="BK481" s="453"/>
      <c r="BL481" s="453"/>
      <c r="BM481" s="453"/>
      <c r="BN481" s="453"/>
      <c r="BO481" s="453"/>
      <c r="BP481" s="452"/>
      <c r="BQ481" s="450"/>
      <c r="BR481" s="450"/>
      <c r="BS481" s="450"/>
      <c r="BT481" s="450"/>
      <c r="BU481" s="450"/>
      <c r="BV481" s="450"/>
      <c r="BW481" s="454"/>
      <c r="BX481" s="450"/>
    </row>
    <row r="482" ht="14.25" customHeight="1">
      <c r="A482" s="450"/>
      <c r="B482" s="450"/>
      <c r="C482" s="450"/>
      <c r="D482" s="450"/>
      <c r="E482" s="450"/>
      <c r="F482" s="450"/>
      <c r="G482" s="450"/>
      <c r="H482" s="450"/>
      <c r="I482" s="450"/>
      <c r="J482" s="450"/>
      <c r="K482" s="450"/>
      <c r="L482" s="450"/>
      <c r="M482" s="450"/>
      <c r="N482" s="450"/>
      <c r="O482" s="450"/>
      <c r="P482" s="450"/>
      <c r="Q482" s="450"/>
      <c r="R482" s="450"/>
      <c r="S482" s="450"/>
      <c r="T482" s="450"/>
      <c r="U482" s="451"/>
      <c r="V482" s="450"/>
      <c r="W482" s="450"/>
      <c r="X482" s="450"/>
      <c r="Y482" s="452"/>
      <c r="Z482" s="452"/>
      <c r="AA482" s="453"/>
      <c r="AB482" s="453"/>
      <c r="AC482" s="453"/>
      <c r="AD482" s="452"/>
      <c r="AE482" s="452"/>
      <c r="AF482" s="452"/>
      <c r="AG482" s="450"/>
      <c r="AH482" s="450"/>
      <c r="AI482" s="450"/>
      <c r="AJ482" s="450"/>
      <c r="AK482" s="450"/>
      <c r="AL482" s="450"/>
      <c r="AM482" s="450"/>
      <c r="AN482" s="450"/>
      <c r="AO482" s="450"/>
      <c r="AP482" s="450"/>
      <c r="AQ482" s="450"/>
      <c r="AR482" s="450"/>
      <c r="AS482" s="450"/>
      <c r="AT482" s="450"/>
      <c r="AU482" s="450"/>
      <c r="AV482" s="450"/>
      <c r="AW482" s="450"/>
      <c r="AX482" s="450"/>
      <c r="AY482" s="450"/>
      <c r="AZ482" s="450"/>
      <c r="BA482" s="450"/>
      <c r="BB482" s="450"/>
      <c r="BC482" s="453"/>
      <c r="BD482" s="453"/>
      <c r="BE482" s="453"/>
      <c r="BF482" s="453"/>
      <c r="BG482" s="453"/>
      <c r="BH482" s="453"/>
      <c r="BI482" s="453"/>
      <c r="BJ482" s="453"/>
      <c r="BK482" s="453"/>
      <c r="BL482" s="453"/>
      <c r="BM482" s="453"/>
      <c r="BN482" s="453"/>
      <c r="BO482" s="453"/>
      <c r="BP482" s="452"/>
      <c r="BQ482" s="450"/>
      <c r="BR482" s="450"/>
      <c r="BS482" s="450"/>
      <c r="BT482" s="450"/>
      <c r="BU482" s="450"/>
      <c r="BV482" s="450"/>
      <c r="BW482" s="454"/>
      <c r="BX482" s="450"/>
    </row>
    <row r="483" ht="14.25" customHeight="1">
      <c r="A483" s="450"/>
      <c r="B483" s="450"/>
      <c r="C483" s="450"/>
      <c r="D483" s="450"/>
      <c r="E483" s="450"/>
      <c r="F483" s="450"/>
      <c r="G483" s="450"/>
      <c r="H483" s="450"/>
      <c r="I483" s="450"/>
      <c r="J483" s="450"/>
      <c r="K483" s="450"/>
      <c r="L483" s="450"/>
      <c r="M483" s="450"/>
      <c r="N483" s="450"/>
      <c r="O483" s="450"/>
      <c r="P483" s="450"/>
      <c r="Q483" s="450"/>
      <c r="R483" s="450"/>
      <c r="S483" s="450"/>
      <c r="T483" s="450"/>
      <c r="U483" s="451"/>
      <c r="V483" s="450"/>
      <c r="W483" s="450"/>
      <c r="X483" s="450"/>
      <c r="Y483" s="452"/>
      <c r="Z483" s="452"/>
      <c r="AA483" s="453"/>
      <c r="AB483" s="453"/>
      <c r="AC483" s="453"/>
      <c r="AD483" s="452"/>
      <c r="AE483" s="452"/>
      <c r="AF483" s="452"/>
      <c r="AG483" s="450"/>
      <c r="AH483" s="450"/>
      <c r="AI483" s="450"/>
      <c r="AJ483" s="450"/>
      <c r="AK483" s="450"/>
      <c r="AL483" s="450"/>
      <c r="AM483" s="450"/>
      <c r="AN483" s="450"/>
      <c r="AO483" s="450"/>
      <c r="AP483" s="450"/>
      <c r="AQ483" s="450"/>
      <c r="AR483" s="450"/>
      <c r="AS483" s="450"/>
      <c r="AT483" s="450"/>
      <c r="AU483" s="450"/>
      <c r="AV483" s="450"/>
      <c r="AW483" s="450"/>
      <c r="AX483" s="450"/>
      <c r="AY483" s="450"/>
      <c r="AZ483" s="450"/>
      <c r="BA483" s="450"/>
      <c r="BB483" s="450"/>
      <c r="BC483" s="453"/>
      <c r="BD483" s="453"/>
      <c r="BE483" s="453"/>
      <c r="BF483" s="453"/>
      <c r="BG483" s="453"/>
      <c r="BH483" s="453"/>
      <c r="BI483" s="453"/>
      <c r="BJ483" s="453"/>
      <c r="BK483" s="453"/>
      <c r="BL483" s="453"/>
      <c r="BM483" s="453"/>
      <c r="BN483" s="453"/>
      <c r="BO483" s="453"/>
      <c r="BP483" s="452"/>
      <c r="BQ483" s="450"/>
      <c r="BR483" s="450"/>
      <c r="BS483" s="450"/>
      <c r="BT483" s="450"/>
      <c r="BU483" s="450"/>
      <c r="BV483" s="450"/>
      <c r="BW483" s="454"/>
      <c r="BX483" s="450"/>
    </row>
    <row r="484" ht="14.25" customHeight="1">
      <c r="A484" s="450"/>
      <c r="B484" s="450"/>
      <c r="C484" s="450"/>
      <c r="D484" s="450"/>
      <c r="E484" s="450"/>
      <c r="F484" s="450"/>
      <c r="G484" s="450"/>
      <c r="H484" s="450"/>
      <c r="I484" s="450"/>
      <c r="J484" s="450"/>
      <c r="K484" s="450"/>
      <c r="L484" s="450"/>
      <c r="M484" s="450"/>
      <c r="N484" s="450"/>
      <c r="O484" s="450"/>
      <c r="P484" s="450"/>
      <c r="Q484" s="450"/>
      <c r="R484" s="450"/>
      <c r="S484" s="450"/>
      <c r="T484" s="450"/>
      <c r="U484" s="451"/>
      <c r="V484" s="450"/>
      <c r="W484" s="450"/>
      <c r="X484" s="450"/>
      <c r="Y484" s="452"/>
      <c r="Z484" s="452"/>
      <c r="AA484" s="453"/>
      <c r="AB484" s="453"/>
      <c r="AC484" s="453"/>
      <c r="AD484" s="452"/>
      <c r="AE484" s="452"/>
      <c r="AF484" s="452"/>
      <c r="AG484" s="450"/>
      <c r="AH484" s="450"/>
      <c r="AI484" s="450"/>
      <c r="AJ484" s="450"/>
      <c r="AK484" s="450"/>
      <c r="AL484" s="450"/>
      <c r="AM484" s="450"/>
      <c r="AN484" s="450"/>
      <c r="AO484" s="450"/>
      <c r="AP484" s="450"/>
      <c r="AQ484" s="450"/>
      <c r="AR484" s="450"/>
      <c r="AS484" s="450"/>
      <c r="AT484" s="450"/>
      <c r="AU484" s="450"/>
      <c r="AV484" s="450"/>
      <c r="AW484" s="450"/>
      <c r="AX484" s="450"/>
      <c r="AY484" s="450"/>
      <c r="AZ484" s="450"/>
      <c r="BA484" s="450"/>
      <c r="BB484" s="450"/>
      <c r="BC484" s="453"/>
      <c r="BD484" s="453"/>
      <c r="BE484" s="453"/>
      <c r="BF484" s="453"/>
      <c r="BG484" s="453"/>
      <c r="BH484" s="453"/>
      <c r="BI484" s="453"/>
      <c r="BJ484" s="453"/>
      <c r="BK484" s="453"/>
      <c r="BL484" s="453"/>
      <c r="BM484" s="453"/>
      <c r="BN484" s="453"/>
      <c r="BO484" s="453"/>
      <c r="BP484" s="452"/>
      <c r="BQ484" s="450"/>
      <c r="BR484" s="450"/>
      <c r="BS484" s="450"/>
      <c r="BT484" s="450"/>
      <c r="BU484" s="450"/>
      <c r="BV484" s="450"/>
      <c r="BW484" s="454"/>
      <c r="BX484" s="450"/>
    </row>
    <row r="485" ht="14.25" customHeight="1">
      <c r="A485" s="450"/>
      <c r="B485" s="450"/>
      <c r="C485" s="450"/>
      <c r="D485" s="450"/>
      <c r="E485" s="450"/>
      <c r="F485" s="450"/>
      <c r="G485" s="450"/>
      <c r="H485" s="450"/>
      <c r="I485" s="450"/>
      <c r="J485" s="450"/>
      <c r="K485" s="450"/>
      <c r="L485" s="450"/>
      <c r="M485" s="450"/>
      <c r="N485" s="450"/>
      <c r="O485" s="450"/>
      <c r="P485" s="450"/>
      <c r="Q485" s="450"/>
      <c r="R485" s="450"/>
      <c r="S485" s="450"/>
      <c r="T485" s="450"/>
      <c r="U485" s="451"/>
      <c r="V485" s="450"/>
      <c r="W485" s="450"/>
      <c r="X485" s="450"/>
      <c r="Y485" s="452"/>
      <c r="Z485" s="452"/>
      <c r="AA485" s="453"/>
      <c r="AB485" s="453"/>
      <c r="AC485" s="453"/>
      <c r="AD485" s="452"/>
      <c r="AE485" s="452"/>
      <c r="AF485" s="452"/>
      <c r="AG485" s="450"/>
      <c r="AH485" s="450"/>
      <c r="AI485" s="450"/>
      <c r="AJ485" s="450"/>
      <c r="AK485" s="450"/>
      <c r="AL485" s="450"/>
      <c r="AM485" s="450"/>
      <c r="AN485" s="450"/>
      <c r="AO485" s="450"/>
      <c r="AP485" s="450"/>
      <c r="AQ485" s="450"/>
      <c r="AR485" s="450"/>
      <c r="AS485" s="450"/>
      <c r="AT485" s="450"/>
      <c r="AU485" s="450"/>
      <c r="AV485" s="450"/>
      <c r="AW485" s="450"/>
      <c r="AX485" s="450"/>
      <c r="AY485" s="450"/>
      <c r="AZ485" s="450"/>
      <c r="BA485" s="450"/>
      <c r="BB485" s="450"/>
      <c r="BC485" s="453"/>
      <c r="BD485" s="453"/>
      <c r="BE485" s="453"/>
      <c r="BF485" s="453"/>
      <c r="BG485" s="453"/>
      <c r="BH485" s="453"/>
      <c r="BI485" s="453"/>
      <c r="BJ485" s="453"/>
      <c r="BK485" s="453"/>
      <c r="BL485" s="453"/>
      <c r="BM485" s="453"/>
      <c r="BN485" s="453"/>
      <c r="BO485" s="453"/>
      <c r="BP485" s="452"/>
      <c r="BQ485" s="450"/>
      <c r="BR485" s="450"/>
      <c r="BS485" s="450"/>
      <c r="BT485" s="450"/>
      <c r="BU485" s="450"/>
      <c r="BV485" s="450"/>
      <c r="BW485" s="454"/>
      <c r="BX485" s="450"/>
    </row>
    <row r="486" ht="14.25" customHeight="1">
      <c r="A486" s="450"/>
      <c r="B486" s="450"/>
      <c r="C486" s="450"/>
      <c r="D486" s="450"/>
      <c r="E486" s="450"/>
      <c r="F486" s="450"/>
      <c r="G486" s="450"/>
      <c r="H486" s="450"/>
      <c r="I486" s="450"/>
      <c r="J486" s="450"/>
      <c r="K486" s="450"/>
      <c r="L486" s="450"/>
      <c r="M486" s="450"/>
      <c r="N486" s="450"/>
      <c r="O486" s="450"/>
      <c r="P486" s="450"/>
      <c r="Q486" s="450"/>
      <c r="R486" s="450"/>
      <c r="S486" s="450"/>
      <c r="T486" s="450"/>
      <c r="U486" s="451"/>
      <c r="V486" s="450"/>
      <c r="W486" s="450"/>
      <c r="X486" s="450"/>
      <c r="Y486" s="452"/>
      <c r="Z486" s="452"/>
      <c r="AA486" s="453"/>
      <c r="AB486" s="453"/>
      <c r="AC486" s="453"/>
      <c r="AD486" s="452"/>
      <c r="AE486" s="452"/>
      <c r="AF486" s="452"/>
      <c r="AG486" s="450"/>
      <c r="AH486" s="450"/>
      <c r="AI486" s="450"/>
      <c r="AJ486" s="450"/>
      <c r="AK486" s="450"/>
      <c r="AL486" s="450"/>
      <c r="AM486" s="450"/>
      <c r="AN486" s="450"/>
      <c r="AO486" s="450"/>
      <c r="AP486" s="450"/>
      <c r="AQ486" s="450"/>
      <c r="AR486" s="450"/>
      <c r="AS486" s="450"/>
      <c r="AT486" s="450"/>
      <c r="AU486" s="450"/>
      <c r="AV486" s="450"/>
      <c r="AW486" s="450"/>
      <c r="AX486" s="450"/>
      <c r="AY486" s="450"/>
      <c r="AZ486" s="450"/>
      <c r="BA486" s="450"/>
      <c r="BB486" s="450"/>
      <c r="BC486" s="453"/>
      <c r="BD486" s="453"/>
      <c r="BE486" s="453"/>
      <c r="BF486" s="453"/>
      <c r="BG486" s="453"/>
      <c r="BH486" s="453"/>
      <c r="BI486" s="453"/>
      <c r="BJ486" s="453"/>
      <c r="BK486" s="453"/>
      <c r="BL486" s="453"/>
      <c r="BM486" s="453"/>
      <c r="BN486" s="453"/>
      <c r="BO486" s="453"/>
      <c r="BP486" s="452"/>
      <c r="BQ486" s="450"/>
      <c r="BR486" s="450"/>
      <c r="BS486" s="450"/>
      <c r="BT486" s="450"/>
      <c r="BU486" s="450"/>
      <c r="BV486" s="450"/>
      <c r="BW486" s="454"/>
      <c r="BX486" s="450"/>
    </row>
    <row r="487" ht="14.25" customHeight="1">
      <c r="A487" s="450"/>
      <c r="B487" s="450"/>
      <c r="C487" s="450"/>
      <c r="D487" s="450"/>
      <c r="E487" s="450"/>
      <c r="F487" s="450"/>
      <c r="G487" s="450"/>
      <c r="H487" s="450"/>
      <c r="I487" s="450"/>
      <c r="J487" s="450"/>
      <c r="K487" s="450"/>
      <c r="L487" s="450"/>
      <c r="M487" s="450"/>
      <c r="N487" s="450"/>
      <c r="O487" s="450"/>
      <c r="P487" s="450"/>
      <c r="Q487" s="450"/>
      <c r="R487" s="450"/>
      <c r="S487" s="450"/>
      <c r="T487" s="450"/>
      <c r="U487" s="451"/>
      <c r="V487" s="450"/>
      <c r="W487" s="450"/>
      <c r="X487" s="450"/>
      <c r="Y487" s="452"/>
      <c r="Z487" s="452"/>
      <c r="AA487" s="453"/>
      <c r="AB487" s="453"/>
      <c r="AC487" s="453"/>
      <c r="AD487" s="452"/>
      <c r="AE487" s="452"/>
      <c r="AF487" s="452"/>
      <c r="AG487" s="450"/>
      <c r="AH487" s="450"/>
      <c r="AI487" s="450"/>
      <c r="AJ487" s="450"/>
      <c r="AK487" s="450"/>
      <c r="AL487" s="450"/>
      <c r="AM487" s="450"/>
      <c r="AN487" s="450"/>
      <c r="AO487" s="450"/>
      <c r="AP487" s="450"/>
      <c r="AQ487" s="450"/>
      <c r="AR487" s="450"/>
      <c r="AS487" s="450"/>
      <c r="AT487" s="450"/>
      <c r="AU487" s="450"/>
      <c r="AV487" s="450"/>
      <c r="AW487" s="450"/>
      <c r="AX487" s="450"/>
      <c r="AY487" s="450"/>
      <c r="AZ487" s="450"/>
      <c r="BA487" s="450"/>
      <c r="BB487" s="450"/>
      <c r="BC487" s="453"/>
      <c r="BD487" s="453"/>
      <c r="BE487" s="453"/>
      <c r="BF487" s="453"/>
      <c r="BG487" s="453"/>
      <c r="BH487" s="453"/>
      <c r="BI487" s="453"/>
      <c r="BJ487" s="453"/>
      <c r="BK487" s="453"/>
      <c r="BL487" s="453"/>
      <c r="BM487" s="453"/>
      <c r="BN487" s="453"/>
      <c r="BO487" s="453"/>
      <c r="BP487" s="452"/>
      <c r="BQ487" s="450"/>
      <c r="BR487" s="450"/>
      <c r="BS487" s="450"/>
      <c r="BT487" s="450"/>
      <c r="BU487" s="450"/>
      <c r="BV487" s="450"/>
      <c r="BW487" s="454"/>
      <c r="BX487" s="450"/>
    </row>
    <row r="488" ht="14.25" customHeight="1">
      <c r="A488" s="450"/>
      <c r="B488" s="450"/>
      <c r="C488" s="450"/>
      <c r="D488" s="450"/>
      <c r="E488" s="450"/>
      <c r="F488" s="450"/>
      <c r="G488" s="450"/>
      <c r="H488" s="450"/>
      <c r="I488" s="450"/>
      <c r="J488" s="450"/>
      <c r="K488" s="450"/>
      <c r="L488" s="450"/>
      <c r="M488" s="450"/>
      <c r="N488" s="450"/>
      <c r="O488" s="450"/>
      <c r="P488" s="450"/>
      <c r="Q488" s="450"/>
      <c r="R488" s="450"/>
      <c r="S488" s="450"/>
      <c r="T488" s="450"/>
      <c r="U488" s="451"/>
      <c r="V488" s="450"/>
      <c r="W488" s="450"/>
      <c r="X488" s="450"/>
      <c r="Y488" s="452"/>
      <c r="Z488" s="452"/>
      <c r="AA488" s="453"/>
      <c r="AB488" s="453"/>
      <c r="AC488" s="453"/>
      <c r="AD488" s="452"/>
      <c r="AE488" s="452"/>
      <c r="AF488" s="452"/>
      <c r="AG488" s="450"/>
      <c r="AH488" s="450"/>
      <c r="AI488" s="450"/>
      <c r="AJ488" s="450"/>
      <c r="AK488" s="450"/>
      <c r="AL488" s="450"/>
      <c r="AM488" s="450"/>
      <c r="AN488" s="450"/>
      <c r="AO488" s="450"/>
      <c r="AP488" s="450"/>
      <c r="AQ488" s="450"/>
      <c r="AR488" s="450"/>
      <c r="AS488" s="450"/>
      <c r="AT488" s="450"/>
      <c r="AU488" s="450"/>
      <c r="AV488" s="450"/>
      <c r="AW488" s="450"/>
      <c r="AX488" s="450"/>
      <c r="AY488" s="450"/>
      <c r="AZ488" s="450"/>
      <c r="BA488" s="450"/>
      <c r="BB488" s="450"/>
      <c r="BC488" s="453"/>
      <c r="BD488" s="453"/>
      <c r="BE488" s="453"/>
      <c r="BF488" s="453"/>
      <c r="BG488" s="453"/>
      <c r="BH488" s="453"/>
      <c r="BI488" s="453"/>
      <c r="BJ488" s="453"/>
      <c r="BK488" s="453"/>
      <c r="BL488" s="453"/>
      <c r="BM488" s="453"/>
      <c r="BN488" s="453"/>
      <c r="BO488" s="453"/>
      <c r="BP488" s="452"/>
      <c r="BQ488" s="450"/>
      <c r="BR488" s="450"/>
      <c r="BS488" s="450"/>
      <c r="BT488" s="450"/>
      <c r="BU488" s="450"/>
      <c r="BV488" s="450"/>
      <c r="BW488" s="454"/>
      <c r="BX488" s="450"/>
    </row>
    <row r="489" ht="14.25" customHeight="1">
      <c r="A489" s="450"/>
      <c r="B489" s="450"/>
      <c r="C489" s="450"/>
      <c r="D489" s="450"/>
      <c r="E489" s="450"/>
      <c r="F489" s="450"/>
      <c r="G489" s="450"/>
      <c r="H489" s="450"/>
      <c r="I489" s="450"/>
      <c r="J489" s="450"/>
      <c r="K489" s="450"/>
      <c r="L489" s="450"/>
      <c r="M489" s="450"/>
      <c r="N489" s="450"/>
      <c r="O489" s="450"/>
      <c r="P489" s="450"/>
      <c r="Q489" s="450"/>
      <c r="R489" s="450"/>
      <c r="S489" s="450"/>
      <c r="T489" s="450"/>
      <c r="U489" s="451"/>
      <c r="V489" s="450"/>
      <c r="W489" s="450"/>
      <c r="X489" s="450"/>
      <c r="Y489" s="452"/>
      <c r="Z489" s="452"/>
      <c r="AA489" s="453"/>
      <c r="AB489" s="453"/>
      <c r="AC489" s="453"/>
      <c r="AD489" s="452"/>
      <c r="AE489" s="452"/>
      <c r="AF489" s="452"/>
      <c r="AG489" s="450"/>
      <c r="AH489" s="450"/>
      <c r="AI489" s="450"/>
      <c r="AJ489" s="450"/>
      <c r="AK489" s="450"/>
      <c r="AL489" s="450"/>
      <c r="AM489" s="450"/>
      <c r="AN489" s="450"/>
      <c r="AO489" s="450"/>
      <c r="AP489" s="450"/>
      <c r="AQ489" s="450"/>
      <c r="AR489" s="450"/>
      <c r="AS489" s="450"/>
      <c r="AT489" s="450"/>
      <c r="AU489" s="450"/>
      <c r="AV489" s="450"/>
      <c r="AW489" s="450"/>
      <c r="AX489" s="450"/>
      <c r="AY489" s="450"/>
      <c r="AZ489" s="450"/>
      <c r="BA489" s="450"/>
      <c r="BB489" s="450"/>
      <c r="BC489" s="453"/>
      <c r="BD489" s="453"/>
      <c r="BE489" s="453"/>
      <c r="BF489" s="453"/>
      <c r="BG489" s="453"/>
      <c r="BH489" s="453"/>
      <c r="BI489" s="453"/>
      <c r="BJ489" s="453"/>
      <c r="BK489" s="453"/>
      <c r="BL489" s="453"/>
      <c r="BM489" s="453"/>
      <c r="BN489" s="453"/>
      <c r="BO489" s="453"/>
      <c r="BP489" s="452"/>
      <c r="BQ489" s="450"/>
      <c r="BR489" s="450"/>
      <c r="BS489" s="450"/>
      <c r="BT489" s="450"/>
      <c r="BU489" s="450"/>
      <c r="BV489" s="450"/>
      <c r="BW489" s="454"/>
      <c r="BX489" s="450"/>
    </row>
    <row r="490" ht="14.25" customHeight="1">
      <c r="A490" s="450"/>
      <c r="B490" s="450"/>
      <c r="C490" s="450"/>
      <c r="D490" s="450"/>
      <c r="E490" s="450"/>
      <c r="F490" s="450"/>
      <c r="G490" s="450"/>
      <c r="H490" s="450"/>
      <c r="I490" s="450"/>
      <c r="J490" s="450"/>
      <c r="K490" s="450"/>
      <c r="L490" s="450"/>
      <c r="M490" s="450"/>
      <c r="N490" s="450"/>
      <c r="O490" s="450"/>
      <c r="P490" s="450"/>
      <c r="Q490" s="450"/>
      <c r="R490" s="450"/>
      <c r="S490" s="450"/>
      <c r="T490" s="450"/>
      <c r="U490" s="451"/>
      <c r="V490" s="450"/>
      <c r="W490" s="450"/>
      <c r="X490" s="450"/>
      <c r="Y490" s="452"/>
      <c r="Z490" s="452"/>
      <c r="AA490" s="453"/>
      <c r="AB490" s="453"/>
      <c r="AC490" s="453"/>
      <c r="AD490" s="452"/>
      <c r="AE490" s="452"/>
      <c r="AF490" s="452"/>
      <c r="AG490" s="450"/>
      <c r="AH490" s="450"/>
      <c r="AI490" s="450"/>
      <c r="AJ490" s="450"/>
      <c r="AK490" s="450"/>
      <c r="AL490" s="450"/>
      <c r="AM490" s="450"/>
      <c r="AN490" s="450"/>
      <c r="AO490" s="450"/>
      <c r="AP490" s="450"/>
      <c r="AQ490" s="450"/>
      <c r="AR490" s="450"/>
      <c r="AS490" s="450"/>
      <c r="AT490" s="450"/>
      <c r="AU490" s="450"/>
      <c r="AV490" s="450"/>
      <c r="AW490" s="450"/>
      <c r="AX490" s="450"/>
      <c r="AY490" s="450"/>
      <c r="AZ490" s="450"/>
      <c r="BA490" s="450"/>
      <c r="BB490" s="450"/>
      <c r="BC490" s="453"/>
      <c r="BD490" s="453"/>
      <c r="BE490" s="453"/>
      <c r="BF490" s="453"/>
      <c r="BG490" s="453"/>
      <c r="BH490" s="453"/>
      <c r="BI490" s="453"/>
      <c r="BJ490" s="453"/>
      <c r="BK490" s="453"/>
      <c r="BL490" s="453"/>
      <c r="BM490" s="453"/>
      <c r="BN490" s="453"/>
      <c r="BO490" s="453"/>
      <c r="BP490" s="452"/>
      <c r="BQ490" s="450"/>
      <c r="BR490" s="450"/>
      <c r="BS490" s="450"/>
      <c r="BT490" s="450"/>
      <c r="BU490" s="450"/>
      <c r="BV490" s="450"/>
      <c r="BW490" s="454"/>
      <c r="BX490" s="450"/>
    </row>
    <row r="491" ht="14.25" customHeight="1">
      <c r="A491" s="450"/>
      <c r="B491" s="450"/>
      <c r="C491" s="450"/>
      <c r="D491" s="450"/>
      <c r="E491" s="450"/>
      <c r="F491" s="450"/>
      <c r="G491" s="450"/>
      <c r="H491" s="450"/>
      <c r="I491" s="450"/>
      <c r="J491" s="450"/>
      <c r="K491" s="450"/>
      <c r="L491" s="450"/>
      <c r="M491" s="450"/>
      <c r="N491" s="450"/>
      <c r="O491" s="450"/>
      <c r="P491" s="450"/>
      <c r="Q491" s="450"/>
      <c r="R491" s="450"/>
      <c r="S491" s="450"/>
      <c r="T491" s="450"/>
      <c r="U491" s="451"/>
      <c r="V491" s="450"/>
      <c r="W491" s="450"/>
      <c r="X491" s="450"/>
      <c r="Y491" s="452"/>
      <c r="Z491" s="452"/>
      <c r="AA491" s="453"/>
      <c r="AB491" s="453"/>
      <c r="AC491" s="453"/>
      <c r="AD491" s="452"/>
      <c r="AE491" s="452"/>
      <c r="AF491" s="452"/>
      <c r="AG491" s="450"/>
      <c r="AH491" s="450"/>
      <c r="AI491" s="450"/>
      <c r="AJ491" s="450"/>
      <c r="AK491" s="450"/>
      <c r="AL491" s="450"/>
      <c r="AM491" s="450"/>
      <c r="AN491" s="450"/>
      <c r="AO491" s="450"/>
      <c r="AP491" s="450"/>
      <c r="AQ491" s="450"/>
      <c r="AR491" s="450"/>
      <c r="AS491" s="450"/>
      <c r="AT491" s="450"/>
      <c r="AU491" s="450"/>
      <c r="AV491" s="450"/>
      <c r="AW491" s="450"/>
      <c r="AX491" s="450"/>
      <c r="AY491" s="450"/>
      <c r="AZ491" s="450"/>
      <c r="BA491" s="450"/>
      <c r="BB491" s="450"/>
      <c r="BC491" s="453"/>
      <c r="BD491" s="453"/>
      <c r="BE491" s="453"/>
      <c r="BF491" s="453"/>
      <c r="BG491" s="453"/>
      <c r="BH491" s="453"/>
      <c r="BI491" s="453"/>
      <c r="BJ491" s="453"/>
      <c r="BK491" s="453"/>
      <c r="BL491" s="453"/>
      <c r="BM491" s="453"/>
      <c r="BN491" s="453"/>
      <c r="BO491" s="453"/>
      <c r="BP491" s="452"/>
      <c r="BQ491" s="450"/>
      <c r="BR491" s="450"/>
      <c r="BS491" s="450"/>
      <c r="BT491" s="450"/>
      <c r="BU491" s="450"/>
      <c r="BV491" s="450"/>
      <c r="BW491" s="454"/>
      <c r="BX491" s="450"/>
    </row>
    <row r="492" ht="14.25" customHeight="1">
      <c r="A492" s="450"/>
      <c r="B492" s="450"/>
      <c r="C492" s="450"/>
      <c r="D492" s="450"/>
      <c r="E492" s="450"/>
      <c r="F492" s="450"/>
      <c r="G492" s="450"/>
      <c r="H492" s="450"/>
      <c r="I492" s="450"/>
      <c r="J492" s="450"/>
      <c r="K492" s="450"/>
      <c r="L492" s="450"/>
      <c r="M492" s="450"/>
      <c r="N492" s="450"/>
      <c r="O492" s="450"/>
      <c r="P492" s="450"/>
      <c r="Q492" s="450"/>
      <c r="R492" s="450"/>
      <c r="S492" s="450"/>
      <c r="T492" s="450"/>
      <c r="U492" s="451"/>
      <c r="V492" s="450"/>
      <c r="W492" s="450"/>
      <c r="X492" s="450"/>
      <c r="Y492" s="452"/>
      <c r="Z492" s="452"/>
      <c r="AA492" s="453"/>
      <c r="AB492" s="453"/>
      <c r="AC492" s="453"/>
      <c r="AD492" s="452"/>
      <c r="AE492" s="452"/>
      <c r="AF492" s="452"/>
      <c r="AG492" s="450"/>
      <c r="AH492" s="450"/>
      <c r="AI492" s="450"/>
      <c r="AJ492" s="450"/>
      <c r="AK492" s="450"/>
      <c r="AL492" s="450"/>
      <c r="AM492" s="450"/>
      <c r="AN492" s="450"/>
      <c r="AO492" s="450"/>
      <c r="AP492" s="450"/>
      <c r="AQ492" s="450"/>
      <c r="AR492" s="450"/>
      <c r="AS492" s="450"/>
      <c r="AT492" s="450"/>
      <c r="AU492" s="450"/>
      <c r="AV492" s="450"/>
      <c r="AW492" s="450"/>
      <c r="AX492" s="450"/>
      <c r="AY492" s="450"/>
      <c r="AZ492" s="450"/>
      <c r="BA492" s="450"/>
      <c r="BB492" s="450"/>
      <c r="BC492" s="453"/>
      <c r="BD492" s="453"/>
      <c r="BE492" s="453"/>
      <c r="BF492" s="453"/>
      <c r="BG492" s="453"/>
      <c r="BH492" s="453"/>
      <c r="BI492" s="453"/>
      <c r="BJ492" s="453"/>
      <c r="BK492" s="453"/>
      <c r="BL492" s="453"/>
      <c r="BM492" s="453"/>
      <c r="BN492" s="453"/>
      <c r="BO492" s="453"/>
      <c r="BP492" s="452"/>
      <c r="BQ492" s="450"/>
      <c r="BR492" s="450"/>
      <c r="BS492" s="450"/>
      <c r="BT492" s="450"/>
      <c r="BU492" s="450"/>
      <c r="BV492" s="450"/>
      <c r="BW492" s="454"/>
      <c r="BX492" s="450"/>
    </row>
    <row r="493" ht="14.25" customHeight="1">
      <c r="A493" s="450"/>
      <c r="B493" s="450"/>
      <c r="C493" s="450"/>
      <c r="D493" s="450"/>
      <c r="E493" s="450"/>
      <c r="F493" s="450"/>
      <c r="G493" s="450"/>
      <c r="H493" s="450"/>
      <c r="I493" s="450"/>
      <c r="J493" s="450"/>
      <c r="K493" s="450"/>
      <c r="L493" s="450"/>
      <c r="M493" s="450"/>
      <c r="N493" s="450"/>
      <c r="O493" s="450"/>
      <c r="P493" s="450"/>
      <c r="Q493" s="450"/>
      <c r="R493" s="450"/>
      <c r="S493" s="450"/>
      <c r="T493" s="450"/>
      <c r="U493" s="451"/>
      <c r="V493" s="450"/>
      <c r="W493" s="450"/>
      <c r="X493" s="450"/>
      <c r="Y493" s="452"/>
      <c r="Z493" s="452"/>
      <c r="AA493" s="453"/>
      <c r="AB493" s="453"/>
      <c r="AC493" s="453"/>
      <c r="AD493" s="452"/>
      <c r="AE493" s="452"/>
      <c r="AF493" s="452"/>
      <c r="AG493" s="450"/>
      <c r="AH493" s="450"/>
      <c r="AI493" s="450"/>
      <c r="AJ493" s="450"/>
      <c r="AK493" s="450"/>
      <c r="AL493" s="450"/>
      <c r="AM493" s="450"/>
      <c r="AN493" s="450"/>
      <c r="AO493" s="450"/>
      <c r="AP493" s="450"/>
      <c r="AQ493" s="450"/>
      <c r="AR493" s="450"/>
      <c r="AS493" s="450"/>
      <c r="AT493" s="450"/>
      <c r="AU493" s="450"/>
      <c r="AV493" s="450"/>
      <c r="AW493" s="450"/>
      <c r="AX493" s="450"/>
      <c r="AY493" s="450"/>
      <c r="AZ493" s="450"/>
      <c r="BA493" s="450"/>
      <c r="BB493" s="450"/>
      <c r="BC493" s="453"/>
      <c r="BD493" s="453"/>
      <c r="BE493" s="453"/>
      <c r="BF493" s="453"/>
      <c r="BG493" s="453"/>
      <c r="BH493" s="453"/>
      <c r="BI493" s="453"/>
      <c r="BJ493" s="453"/>
      <c r="BK493" s="453"/>
      <c r="BL493" s="453"/>
      <c r="BM493" s="453"/>
      <c r="BN493" s="453"/>
      <c r="BO493" s="453"/>
      <c r="BP493" s="452"/>
      <c r="BQ493" s="450"/>
      <c r="BR493" s="450"/>
      <c r="BS493" s="450"/>
      <c r="BT493" s="450"/>
      <c r="BU493" s="450"/>
      <c r="BV493" s="450"/>
      <c r="BW493" s="454"/>
      <c r="BX493" s="450"/>
    </row>
    <row r="494" ht="14.25" customHeight="1">
      <c r="A494" s="450"/>
      <c r="B494" s="450"/>
      <c r="C494" s="450"/>
      <c r="D494" s="450"/>
      <c r="E494" s="450"/>
      <c r="F494" s="450"/>
      <c r="G494" s="450"/>
      <c r="H494" s="450"/>
      <c r="I494" s="450"/>
      <c r="J494" s="450"/>
      <c r="K494" s="450"/>
      <c r="L494" s="450"/>
      <c r="M494" s="450"/>
      <c r="N494" s="450"/>
      <c r="O494" s="450"/>
      <c r="P494" s="450"/>
      <c r="Q494" s="450"/>
      <c r="R494" s="450"/>
      <c r="S494" s="450"/>
      <c r="T494" s="450"/>
      <c r="U494" s="451"/>
      <c r="V494" s="450"/>
      <c r="W494" s="450"/>
      <c r="X494" s="450"/>
      <c r="Y494" s="452"/>
      <c r="Z494" s="452"/>
      <c r="AA494" s="453"/>
      <c r="AB494" s="453"/>
      <c r="AC494" s="453"/>
      <c r="AD494" s="452"/>
      <c r="AE494" s="452"/>
      <c r="AF494" s="452"/>
      <c r="AG494" s="450"/>
      <c r="AH494" s="450"/>
      <c r="AI494" s="450"/>
      <c r="AJ494" s="450"/>
      <c r="AK494" s="450"/>
      <c r="AL494" s="450"/>
      <c r="AM494" s="450"/>
      <c r="AN494" s="450"/>
      <c r="AO494" s="450"/>
      <c r="AP494" s="450"/>
      <c r="AQ494" s="450"/>
      <c r="AR494" s="450"/>
      <c r="AS494" s="450"/>
      <c r="AT494" s="450"/>
      <c r="AU494" s="450"/>
      <c r="AV494" s="450"/>
      <c r="AW494" s="450"/>
      <c r="AX494" s="450"/>
      <c r="AY494" s="450"/>
      <c r="AZ494" s="450"/>
      <c r="BA494" s="450"/>
      <c r="BB494" s="450"/>
      <c r="BC494" s="453"/>
      <c r="BD494" s="453"/>
      <c r="BE494" s="453"/>
      <c r="BF494" s="453"/>
      <c r="BG494" s="453"/>
      <c r="BH494" s="453"/>
      <c r="BI494" s="453"/>
      <c r="BJ494" s="453"/>
      <c r="BK494" s="453"/>
      <c r="BL494" s="453"/>
      <c r="BM494" s="453"/>
      <c r="BN494" s="453"/>
      <c r="BO494" s="453"/>
      <c r="BP494" s="452"/>
      <c r="BQ494" s="450"/>
      <c r="BR494" s="450"/>
      <c r="BS494" s="450"/>
      <c r="BT494" s="450"/>
      <c r="BU494" s="450"/>
      <c r="BV494" s="450"/>
      <c r="BW494" s="454"/>
      <c r="BX494" s="450"/>
    </row>
    <row r="495" ht="14.25" customHeight="1">
      <c r="A495" s="450"/>
      <c r="B495" s="450"/>
      <c r="C495" s="450"/>
      <c r="D495" s="450"/>
      <c r="E495" s="450"/>
      <c r="F495" s="450"/>
      <c r="G495" s="450"/>
      <c r="H495" s="450"/>
      <c r="I495" s="450"/>
      <c r="J495" s="450"/>
      <c r="K495" s="450"/>
      <c r="L495" s="450"/>
      <c r="M495" s="450"/>
      <c r="N495" s="450"/>
      <c r="O495" s="450"/>
      <c r="P495" s="450"/>
      <c r="Q495" s="450"/>
      <c r="R495" s="450"/>
      <c r="S495" s="450"/>
      <c r="T495" s="450"/>
      <c r="U495" s="451"/>
      <c r="V495" s="450"/>
      <c r="W495" s="450"/>
      <c r="X495" s="450"/>
      <c r="Y495" s="452"/>
      <c r="Z495" s="452"/>
      <c r="AA495" s="453"/>
      <c r="AB495" s="453"/>
      <c r="AC495" s="453"/>
      <c r="AD495" s="452"/>
      <c r="AE495" s="452"/>
      <c r="AF495" s="452"/>
      <c r="AG495" s="450"/>
      <c r="AH495" s="450"/>
      <c r="AI495" s="450"/>
      <c r="AJ495" s="450"/>
      <c r="AK495" s="450"/>
      <c r="AL495" s="450"/>
      <c r="AM495" s="450"/>
      <c r="AN495" s="450"/>
      <c r="AO495" s="450"/>
      <c r="AP495" s="450"/>
      <c r="AQ495" s="450"/>
      <c r="AR495" s="450"/>
      <c r="AS495" s="450"/>
      <c r="AT495" s="450"/>
      <c r="AU495" s="450"/>
      <c r="AV495" s="450"/>
      <c r="AW495" s="450"/>
      <c r="AX495" s="450"/>
      <c r="AY495" s="450"/>
      <c r="AZ495" s="450"/>
      <c r="BA495" s="450"/>
      <c r="BB495" s="450"/>
      <c r="BC495" s="453"/>
      <c r="BD495" s="453"/>
      <c r="BE495" s="453"/>
      <c r="BF495" s="453"/>
      <c r="BG495" s="453"/>
      <c r="BH495" s="453"/>
      <c r="BI495" s="453"/>
      <c r="BJ495" s="453"/>
      <c r="BK495" s="453"/>
      <c r="BL495" s="453"/>
      <c r="BM495" s="453"/>
      <c r="BN495" s="453"/>
      <c r="BO495" s="453"/>
      <c r="BP495" s="452"/>
      <c r="BQ495" s="450"/>
      <c r="BR495" s="450"/>
      <c r="BS495" s="450"/>
      <c r="BT495" s="450"/>
      <c r="BU495" s="450"/>
      <c r="BV495" s="450"/>
      <c r="BW495" s="454"/>
      <c r="BX495" s="450"/>
    </row>
    <row r="496" ht="14.25" customHeight="1">
      <c r="A496" s="450"/>
      <c r="B496" s="450"/>
      <c r="C496" s="450"/>
      <c r="D496" s="450"/>
      <c r="E496" s="450"/>
      <c r="F496" s="450"/>
      <c r="G496" s="450"/>
      <c r="H496" s="450"/>
      <c r="I496" s="450"/>
      <c r="J496" s="450"/>
      <c r="K496" s="450"/>
      <c r="L496" s="450"/>
      <c r="M496" s="450"/>
      <c r="N496" s="450"/>
      <c r="O496" s="450"/>
      <c r="P496" s="450"/>
      <c r="Q496" s="450"/>
      <c r="R496" s="450"/>
      <c r="S496" s="450"/>
      <c r="T496" s="450"/>
      <c r="U496" s="451"/>
      <c r="V496" s="450"/>
      <c r="W496" s="450"/>
      <c r="X496" s="450"/>
      <c r="Y496" s="452"/>
      <c r="Z496" s="452"/>
      <c r="AA496" s="453"/>
      <c r="AB496" s="453"/>
      <c r="AC496" s="453"/>
      <c r="AD496" s="452"/>
      <c r="AE496" s="452"/>
      <c r="AF496" s="452"/>
      <c r="AG496" s="450"/>
      <c r="AH496" s="450"/>
      <c r="AI496" s="450"/>
      <c r="AJ496" s="450"/>
      <c r="AK496" s="450"/>
      <c r="AL496" s="450"/>
      <c r="AM496" s="450"/>
      <c r="AN496" s="450"/>
      <c r="AO496" s="450"/>
      <c r="AP496" s="450"/>
      <c r="AQ496" s="450"/>
      <c r="AR496" s="450"/>
      <c r="AS496" s="450"/>
      <c r="AT496" s="450"/>
      <c r="AU496" s="450"/>
      <c r="AV496" s="450"/>
      <c r="AW496" s="450"/>
      <c r="AX496" s="450"/>
      <c r="AY496" s="450"/>
      <c r="AZ496" s="450"/>
      <c r="BA496" s="450"/>
      <c r="BB496" s="450"/>
      <c r="BC496" s="453"/>
      <c r="BD496" s="453"/>
      <c r="BE496" s="453"/>
      <c r="BF496" s="453"/>
      <c r="BG496" s="453"/>
      <c r="BH496" s="453"/>
      <c r="BI496" s="453"/>
      <c r="BJ496" s="453"/>
      <c r="BK496" s="453"/>
      <c r="BL496" s="453"/>
      <c r="BM496" s="453"/>
      <c r="BN496" s="453"/>
      <c r="BO496" s="453"/>
      <c r="BP496" s="452"/>
      <c r="BQ496" s="450"/>
      <c r="BR496" s="450"/>
      <c r="BS496" s="450"/>
      <c r="BT496" s="450"/>
      <c r="BU496" s="450"/>
      <c r="BV496" s="450"/>
      <c r="BW496" s="454"/>
      <c r="BX496" s="450"/>
    </row>
    <row r="497" ht="14.25" customHeight="1">
      <c r="A497" s="450"/>
      <c r="B497" s="450"/>
      <c r="C497" s="450"/>
      <c r="D497" s="450"/>
      <c r="E497" s="450"/>
      <c r="F497" s="450"/>
      <c r="G497" s="450"/>
      <c r="H497" s="450"/>
      <c r="I497" s="450"/>
      <c r="J497" s="450"/>
      <c r="K497" s="450"/>
      <c r="L497" s="450"/>
      <c r="M497" s="450"/>
      <c r="N497" s="450"/>
      <c r="O497" s="450"/>
      <c r="P497" s="450"/>
      <c r="Q497" s="450"/>
      <c r="R497" s="450"/>
      <c r="S497" s="450"/>
      <c r="T497" s="450"/>
      <c r="U497" s="451"/>
      <c r="V497" s="450"/>
      <c r="W497" s="450"/>
      <c r="X497" s="450"/>
      <c r="Y497" s="452"/>
      <c r="Z497" s="452"/>
      <c r="AA497" s="453"/>
      <c r="AB497" s="453"/>
      <c r="AC497" s="453"/>
      <c r="AD497" s="452"/>
      <c r="AE497" s="452"/>
      <c r="AF497" s="452"/>
      <c r="AG497" s="450"/>
      <c r="AH497" s="450"/>
      <c r="AI497" s="450"/>
      <c r="AJ497" s="450"/>
      <c r="AK497" s="450"/>
      <c r="AL497" s="450"/>
      <c r="AM497" s="450"/>
      <c r="AN497" s="450"/>
      <c r="AO497" s="450"/>
      <c r="AP497" s="450"/>
      <c r="AQ497" s="450"/>
      <c r="AR497" s="450"/>
      <c r="AS497" s="450"/>
      <c r="AT497" s="450"/>
      <c r="AU497" s="450"/>
      <c r="AV497" s="450"/>
      <c r="AW497" s="450"/>
      <c r="AX497" s="450"/>
      <c r="AY497" s="450"/>
      <c r="AZ497" s="450"/>
      <c r="BA497" s="450"/>
      <c r="BB497" s="450"/>
      <c r="BC497" s="453"/>
      <c r="BD497" s="453"/>
      <c r="BE497" s="453"/>
      <c r="BF497" s="453"/>
      <c r="BG497" s="453"/>
      <c r="BH497" s="453"/>
      <c r="BI497" s="453"/>
      <c r="BJ497" s="453"/>
      <c r="BK497" s="453"/>
      <c r="BL497" s="453"/>
      <c r="BM497" s="453"/>
      <c r="BN497" s="453"/>
      <c r="BO497" s="453"/>
      <c r="BP497" s="452"/>
      <c r="BQ497" s="450"/>
      <c r="BR497" s="450"/>
      <c r="BS497" s="450"/>
      <c r="BT497" s="450"/>
      <c r="BU497" s="450"/>
      <c r="BV497" s="450"/>
      <c r="BW497" s="454"/>
      <c r="BX497" s="450"/>
    </row>
    <row r="498" ht="14.25" customHeight="1">
      <c r="A498" s="450"/>
      <c r="B498" s="450"/>
      <c r="C498" s="450"/>
      <c r="D498" s="450"/>
      <c r="E498" s="450"/>
      <c r="F498" s="450"/>
      <c r="G498" s="450"/>
      <c r="H498" s="450"/>
      <c r="I498" s="450"/>
      <c r="J498" s="450"/>
      <c r="K498" s="450"/>
      <c r="L498" s="450"/>
      <c r="M498" s="450"/>
      <c r="N498" s="450"/>
      <c r="O498" s="450"/>
      <c r="P498" s="450"/>
      <c r="Q498" s="450"/>
      <c r="R498" s="450"/>
      <c r="S498" s="450"/>
      <c r="T498" s="450"/>
      <c r="U498" s="451"/>
      <c r="V498" s="450"/>
      <c r="W498" s="450"/>
      <c r="X498" s="450"/>
      <c r="Y498" s="452"/>
      <c r="Z498" s="452"/>
      <c r="AA498" s="453"/>
      <c r="AB498" s="453"/>
      <c r="AC498" s="453"/>
      <c r="AD498" s="452"/>
      <c r="AE498" s="452"/>
      <c r="AF498" s="452"/>
      <c r="AG498" s="450"/>
      <c r="AH498" s="450"/>
      <c r="AI498" s="450"/>
      <c r="AJ498" s="450"/>
      <c r="AK498" s="450"/>
      <c r="AL498" s="450"/>
      <c r="AM498" s="450"/>
      <c r="AN498" s="450"/>
      <c r="AO498" s="450"/>
      <c r="AP498" s="450"/>
      <c r="AQ498" s="450"/>
      <c r="AR498" s="450"/>
      <c r="AS498" s="450"/>
      <c r="AT498" s="450"/>
      <c r="AU498" s="450"/>
      <c r="AV498" s="450"/>
      <c r="AW498" s="450"/>
      <c r="AX498" s="450"/>
      <c r="AY498" s="450"/>
      <c r="AZ498" s="450"/>
      <c r="BA498" s="450"/>
      <c r="BB498" s="450"/>
      <c r="BC498" s="453"/>
      <c r="BD498" s="453"/>
      <c r="BE498" s="453"/>
      <c r="BF498" s="453"/>
      <c r="BG498" s="453"/>
      <c r="BH498" s="453"/>
      <c r="BI498" s="453"/>
      <c r="BJ498" s="453"/>
      <c r="BK498" s="453"/>
      <c r="BL498" s="453"/>
      <c r="BM498" s="453"/>
      <c r="BN498" s="453"/>
      <c r="BO498" s="453"/>
      <c r="BP498" s="452"/>
      <c r="BQ498" s="450"/>
      <c r="BR498" s="450"/>
      <c r="BS498" s="450"/>
      <c r="BT498" s="450"/>
      <c r="BU498" s="450"/>
      <c r="BV498" s="450"/>
      <c r="BW498" s="454"/>
      <c r="BX498" s="450"/>
    </row>
    <row r="499" ht="14.25" customHeight="1">
      <c r="A499" s="450"/>
      <c r="B499" s="450"/>
      <c r="C499" s="450"/>
      <c r="D499" s="450"/>
      <c r="E499" s="450"/>
      <c r="F499" s="450"/>
      <c r="G499" s="450"/>
      <c r="H499" s="450"/>
      <c r="I499" s="450"/>
      <c r="J499" s="450"/>
      <c r="K499" s="450"/>
      <c r="L499" s="450"/>
      <c r="M499" s="450"/>
      <c r="N499" s="450"/>
      <c r="O499" s="450"/>
      <c r="P499" s="450"/>
      <c r="Q499" s="450"/>
      <c r="R499" s="450"/>
      <c r="S499" s="450"/>
      <c r="T499" s="450"/>
      <c r="U499" s="451"/>
      <c r="V499" s="450"/>
      <c r="W499" s="450"/>
      <c r="X499" s="450"/>
      <c r="Y499" s="452"/>
      <c r="Z499" s="452"/>
      <c r="AA499" s="453"/>
      <c r="AB499" s="453"/>
      <c r="AC499" s="453"/>
      <c r="AD499" s="452"/>
      <c r="AE499" s="452"/>
      <c r="AF499" s="452"/>
      <c r="AG499" s="450"/>
      <c r="AH499" s="450"/>
      <c r="AI499" s="450"/>
      <c r="AJ499" s="450"/>
      <c r="AK499" s="450"/>
      <c r="AL499" s="450"/>
      <c r="AM499" s="450"/>
      <c r="AN499" s="450"/>
      <c r="AO499" s="450"/>
      <c r="AP499" s="450"/>
      <c r="AQ499" s="450"/>
      <c r="AR499" s="450"/>
      <c r="AS499" s="450"/>
      <c r="AT499" s="450"/>
      <c r="AU499" s="450"/>
      <c r="AV499" s="450"/>
      <c r="AW499" s="450"/>
      <c r="AX499" s="450"/>
      <c r="AY499" s="450"/>
      <c r="AZ499" s="450"/>
      <c r="BA499" s="450"/>
      <c r="BB499" s="450"/>
      <c r="BC499" s="453"/>
      <c r="BD499" s="453"/>
      <c r="BE499" s="453"/>
      <c r="BF499" s="453"/>
      <c r="BG499" s="453"/>
      <c r="BH499" s="453"/>
      <c r="BI499" s="453"/>
      <c r="BJ499" s="453"/>
      <c r="BK499" s="453"/>
      <c r="BL499" s="453"/>
      <c r="BM499" s="453"/>
      <c r="BN499" s="453"/>
      <c r="BO499" s="453"/>
      <c r="BP499" s="452"/>
      <c r="BQ499" s="450"/>
      <c r="BR499" s="450"/>
      <c r="BS499" s="450"/>
      <c r="BT499" s="450"/>
      <c r="BU499" s="450"/>
      <c r="BV499" s="450"/>
      <c r="BW499" s="454"/>
      <c r="BX499" s="450"/>
    </row>
    <row r="500" ht="14.25" customHeight="1">
      <c r="A500" s="450"/>
      <c r="B500" s="450"/>
      <c r="C500" s="450"/>
      <c r="D500" s="450"/>
      <c r="E500" s="450"/>
      <c r="F500" s="450"/>
      <c r="G500" s="450"/>
      <c r="H500" s="450"/>
      <c r="I500" s="450"/>
      <c r="J500" s="450"/>
      <c r="K500" s="450"/>
      <c r="L500" s="450"/>
      <c r="M500" s="450"/>
      <c r="N500" s="450"/>
      <c r="O500" s="450"/>
      <c r="P500" s="450"/>
      <c r="Q500" s="450"/>
      <c r="R500" s="450"/>
      <c r="S500" s="450"/>
      <c r="T500" s="450"/>
      <c r="U500" s="451"/>
      <c r="V500" s="450"/>
      <c r="W500" s="450"/>
      <c r="X500" s="450"/>
      <c r="Y500" s="452"/>
      <c r="Z500" s="452"/>
      <c r="AA500" s="453"/>
      <c r="AB500" s="453"/>
      <c r="AC500" s="453"/>
      <c r="AD500" s="452"/>
      <c r="AE500" s="452"/>
      <c r="AF500" s="452"/>
      <c r="AG500" s="450"/>
      <c r="AH500" s="450"/>
      <c r="AI500" s="450"/>
      <c r="AJ500" s="450"/>
      <c r="AK500" s="450"/>
      <c r="AL500" s="450"/>
      <c r="AM500" s="450"/>
      <c r="AN500" s="450"/>
      <c r="AO500" s="450"/>
      <c r="AP500" s="450"/>
      <c r="AQ500" s="450"/>
      <c r="AR500" s="450"/>
      <c r="AS500" s="450"/>
      <c r="AT500" s="450"/>
      <c r="AU500" s="450"/>
      <c r="AV500" s="450"/>
      <c r="AW500" s="450"/>
      <c r="AX500" s="450"/>
      <c r="AY500" s="450"/>
      <c r="AZ500" s="450"/>
      <c r="BA500" s="450"/>
      <c r="BB500" s="450"/>
      <c r="BC500" s="453"/>
      <c r="BD500" s="453"/>
      <c r="BE500" s="453"/>
      <c r="BF500" s="453"/>
      <c r="BG500" s="453"/>
      <c r="BH500" s="453"/>
      <c r="BI500" s="453"/>
      <c r="BJ500" s="453"/>
      <c r="BK500" s="453"/>
      <c r="BL500" s="453"/>
      <c r="BM500" s="453"/>
      <c r="BN500" s="453"/>
      <c r="BO500" s="453"/>
      <c r="BP500" s="452"/>
      <c r="BQ500" s="450"/>
      <c r="BR500" s="450"/>
      <c r="BS500" s="450"/>
      <c r="BT500" s="450"/>
      <c r="BU500" s="450"/>
      <c r="BV500" s="450"/>
      <c r="BW500" s="454"/>
      <c r="BX500" s="450"/>
    </row>
    <row r="501" ht="14.25" customHeight="1">
      <c r="A501" s="450"/>
      <c r="B501" s="450"/>
      <c r="C501" s="450"/>
      <c r="D501" s="450"/>
      <c r="E501" s="450"/>
      <c r="F501" s="450"/>
      <c r="G501" s="450"/>
      <c r="H501" s="450"/>
      <c r="I501" s="450"/>
      <c r="J501" s="450"/>
      <c r="K501" s="450"/>
      <c r="L501" s="450"/>
      <c r="M501" s="450"/>
      <c r="N501" s="450"/>
      <c r="O501" s="450"/>
      <c r="P501" s="450"/>
      <c r="Q501" s="450"/>
      <c r="R501" s="450"/>
      <c r="S501" s="450"/>
      <c r="T501" s="450"/>
      <c r="U501" s="451"/>
      <c r="V501" s="450"/>
      <c r="W501" s="450"/>
      <c r="X501" s="450"/>
      <c r="Y501" s="452"/>
      <c r="Z501" s="452"/>
      <c r="AA501" s="453"/>
      <c r="AB501" s="453"/>
      <c r="AC501" s="453"/>
      <c r="AD501" s="452"/>
      <c r="AE501" s="452"/>
      <c r="AF501" s="452"/>
      <c r="AG501" s="450"/>
      <c r="AH501" s="450"/>
      <c r="AI501" s="450"/>
      <c r="AJ501" s="450"/>
      <c r="AK501" s="450"/>
      <c r="AL501" s="450"/>
      <c r="AM501" s="450"/>
      <c r="AN501" s="450"/>
      <c r="AO501" s="450"/>
      <c r="AP501" s="450"/>
      <c r="AQ501" s="450"/>
      <c r="AR501" s="450"/>
      <c r="AS501" s="450"/>
      <c r="AT501" s="450"/>
      <c r="AU501" s="450"/>
      <c r="AV501" s="450"/>
      <c r="AW501" s="450"/>
      <c r="AX501" s="450"/>
      <c r="AY501" s="450"/>
      <c r="AZ501" s="450"/>
      <c r="BA501" s="450"/>
      <c r="BB501" s="450"/>
      <c r="BC501" s="453"/>
      <c r="BD501" s="453"/>
      <c r="BE501" s="453"/>
      <c r="BF501" s="453"/>
      <c r="BG501" s="453"/>
      <c r="BH501" s="453"/>
      <c r="BI501" s="453"/>
      <c r="BJ501" s="453"/>
      <c r="BK501" s="453"/>
      <c r="BL501" s="453"/>
      <c r="BM501" s="453"/>
      <c r="BN501" s="453"/>
      <c r="BO501" s="453"/>
      <c r="BP501" s="452"/>
      <c r="BQ501" s="450"/>
      <c r="BR501" s="450"/>
      <c r="BS501" s="450"/>
      <c r="BT501" s="450"/>
      <c r="BU501" s="450"/>
      <c r="BV501" s="450"/>
      <c r="BW501" s="454"/>
      <c r="BX501" s="450"/>
    </row>
    <row r="502" ht="14.25" customHeight="1">
      <c r="A502" s="450"/>
      <c r="B502" s="450"/>
      <c r="C502" s="450"/>
      <c r="D502" s="450"/>
      <c r="E502" s="450"/>
      <c r="F502" s="450"/>
      <c r="G502" s="450"/>
      <c r="H502" s="450"/>
      <c r="I502" s="450"/>
      <c r="J502" s="450"/>
      <c r="K502" s="450"/>
      <c r="L502" s="450"/>
      <c r="M502" s="450"/>
      <c r="N502" s="450"/>
      <c r="O502" s="450"/>
      <c r="P502" s="450"/>
      <c r="Q502" s="450"/>
      <c r="R502" s="450"/>
      <c r="S502" s="450"/>
      <c r="T502" s="450"/>
      <c r="U502" s="451"/>
      <c r="V502" s="450"/>
      <c r="W502" s="450"/>
      <c r="X502" s="450"/>
      <c r="Y502" s="452"/>
      <c r="Z502" s="452"/>
      <c r="AA502" s="453"/>
      <c r="AB502" s="453"/>
      <c r="AC502" s="453"/>
      <c r="AD502" s="452"/>
      <c r="AE502" s="452"/>
      <c r="AF502" s="452"/>
      <c r="AG502" s="450"/>
      <c r="AH502" s="450"/>
      <c r="AI502" s="450"/>
      <c r="AJ502" s="450"/>
      <c r="AK502" s="450"/>
      <c r="AL502" s="450"/>
      <c r="AM502" s="450"/>
      <c r="AN502" s="450"/>
      <c r="AO502" s="450"/>
      <c r="AP502" s="450"/>
      <c r="AQ502" s="450"/>
      <c r="AR502" s="450"/>
      <c r="AS502" s="450"/>
      <c r="AT502" s="450"/>
      <c r="AU502" s="450"/>
      <c r="AV502" s="450"/>
      <c r="AW502" s="450"/>
      <c r="AX502" s="450"/>
      <c r="AY502" s="450"/>
      <c r="AZ502" s="450"/>
      <c r="BA502" s="450"/>
      <c r="BB502" s="450"/>
      <c r="BC502" s="453"/>
      <c r="BD502" s="453"/>
      <c r="BE502" s="453"/>
      <c r="BF502" s="453"/>
      <c r="BG502" s="453"/>
      <c r="BH502" s="453"/>
      <c r="BI502" s="453"/>
      <c r="BJ502" s="453"/>
      <c r="BK502" s="453"/>
      <c r="BL502" s="453"/>
      <c r="BM502" s="453"/>
      <c r="BN502" s="453"/>
      <c r="BO502" s="453"/>
      <c r="BP502" s="452"/>
      <c r="BQ502" s="450"/>
      <c r="BR502" s="450"/>
      <c r="BS502" s="450"/>
      <c r="BT502" s="450"/>
      <c r="BU502" s="450"/>
      <c r="BV502" s="450"/>
      <c r="BW502" s="454"/>
      <c r="BX502" s="450"/>
    </row>
    <row r="503" ht="14.25" customHeight="1">
      <c r="A503" s="450"/>
      <c r="B503" s="450"/>
      <c r="C503" s="450"/>
      <c r="D503" s="450"/>
      <c r="E503" s="450"/>
      <c r="F503" s="450"/>
      <c r="G503" s="450"/>
      <c r="H503" s="450"/>
      <c r="I503" s="450"/>
      <c r="J503" s="450"/>
      <c r="K503" s="450"/>
      <c r="L503" s="450"/>
      <c r="M503" s="450"/>
      <c r="N503" s="450"/>
      <c r="O503" s="450"/>
      <c r="P503" s="450"/>
      <c r="Q503" s="450"/>
      <c r="R503" s="450"/>
      <c r="S503" s="450"/>
      <c r="T503" s="450"/>
      <c r="U503" s="451"/>
      <c r="V503" s="450"/>
      <c r="W503" s="450"/>
      <c r="X503" s="450"/>
      <c r="Y503" s="452"/>
      <c r="Z503" s="452"/>
      <c r="AA503" s="453"/>
      <c r="AB503" s="453"/>
      <c r="AC503" s="453"/>
      <c r="AD503" s="452"/>
      <c r="AE503" s="452"/>
      <c r="AF503" s="452"/>
      <c r="AG503" s="450"/>
      <c r="AH503" s="450"/>
      <c r="AI503" s="450"/>
      <c r="AJ503" s="450"/>
      <c r="AK503" s="450"/>
      <c r="AL503" s="450"/>
      <c r="AM503" s="450"/>
      <c r="AN503" s="450"/>
      <c r="AO503" s="450"/>
      <c r="AP503" s="450"/>
      <c r="AQ503" s="450"/>
      <c r="AR503" s="450"/>
      <c r="AS503" s="450"/>
      <c r="AT503" s="450"/>
      <c r="AU503" s="450"/>
      <c r="AV503" s="450"/>
      <c r="AW503" s="450"/>
      <c r="AX503" s="450"/>
      <c r="AY503" s="450"/>
      <c r="AZ503" s="450"/>
      <c r="BA503" s="450"/>
      <c r="BB503" s="450"/>
      <c r="BC503" s="453"/>
      <c r="BD503" s="453"/>
      <c r="BE503" s="453"/>
      <c r="BF503" s="453"/>
      <c r="BG503" s="453"/>
      <c r="BH503" s="453"/>
      <c r="BI503" s="453"/>
      <c r="BJ503" s="453"/>
      <c r="BK503" s="453"/>
      <c r="BL503" s="453"/>
      <c r="BM503" s="453"/>
      <c r="BN503" s="453"/>
      <c r="BO503" s="453"/>
      <c r="BP503" s="452"/>
      <c r="BQ503" s="450"/>
      <c r="BR503" s="450"/>
      <c r="BS503" s="450"/>
      <c r="BT503" s="450"/>
      <c r="BU503" s="450"/>
      <c r="BV503" s="450"/>
      <c r="BW503" s="454"/>
      <c r="BX503" s="450"/>
    </row>
    <row r="504" ht="14.25" customHeight="1">
      <c r="A504" s="450"/>
      <c r="B504" s="450"/>
      <c r="C504" s="450"/>
      <c r="D504" s="450"/>
      <c r="E504" s="450"/>
      <c r="F504" s="450"/>
      <c r="G504" s="450"/>
      <c r="H504" s="450"/>
      <c r="I504" s="450"/>
      <c r="J504" s="450"/>
      <c r="K504" s="450"/>
      <c r="L504" s="450"/>
      <c r="M504" s="450"/>
      <c r="N504" s="450"/>
      <c r="O504" s="450"/>
      <c r="P504" s="450"/>
      <c r="Q504" s="450"/>
      <c r="R504" s="450"/>
      <c r="S504" s="450"/>
      <c r="T504" s="450"/>
      <c r="U504" s="451"/>
      <c r="V504" s="450"/>
      <c r="W504" s="450"/>
      <c r="X504" s="450"/>
      <c r="Y504" s="452"/>
      <c r="Z504" s="452"/>
      <c r="AA504" s="453"/>
      <c r="AB504" s="453"/>
      <c r="AC504" s="453"/>
      <c r="AD504" s="452"/>
      <c r="AE504" s="452"/>
      <c r="AF504" s="452"/>
      <c r="AG504" s="450"/>
      <c r="AH504" s="450"/>
      <c r="AI504" s="450"/>
      <c r="AJ504" s="450"/>
      <c r="AK504" s="450"/>
      <c r="AL504" s="450"/>
      <c r="AM504" s="450"/>
      <c r="AN504" s="450"/>
      <c r="AO504" s="450"/>
      <c r="AP504" s="450"/>
      <c r="AQ504" s="450"/>
      <c r="AR504" s="450"/>
      <c r="AS504" s="450"/>
      <c r="AT504" s="450"/>
      <c r="AU504" s="450"/>
      <c r="AV504" s="450"/>
      <c r="AW504" s="450"/>
      <c r="AX504" s="450"/>
      <c r="AY504" s="450"/>
      <c r="AZ504" s="450"/>
      <c r="BA504" s="450"/>
      <c r="BB504" s="450"/>
      <c r="BC504" s="453"/>
      <c r="BD504" s="453"/>
      <c r="BE504" s="453"/>
      <c r="BF504" s="453"/>
      <c r="BG504" s="453"/>
      <c r="BH504" s="453"/>
      <c r="BI504" s="453"/>
      <c r="BJ504" s="453"/>
      <c r="BK504" s="453"/>
      <c r="BL504" s="453"/>
      <c r="BM504" s="453"/>
      <c r="BN504" s="453"/>
      <c r="BO504" s="453"/>
      <c r="BP504" s="452"/>
      <c r="BQ504" s="450"/>
      <c r="BR504" s="450"/>
      <c r="BS504" s="450"/>
      <c r="BT504" s="450"/>
      <c r="BU504" s="450"/>
      <c r="BV504" s="450"/>
      <c r="BW504" s="454"/>
      <c r="BX504" s="450"/>
    </row>
    <row r="505" ht="14.25" customHeight="1">
      <c r="A505" s="450"/>
      <c r="B505" s="450"/>
      <c r="C505" s="450"/>
      <c r="D505" s="450"/>
      <c r="E505" s="450"/>
      <c r="F505" s="450"/>
      <c r="G505" s="450"/>
      <c r="H505" s="450"/>
      <c r="I505" s="450"/>
      <c r="J505" s="450"/>
      <c r="K505" s="450"/>
      <c r="L505" s="450"/>
      <c r="M505" s="450"/>
      <c r="N505" s="450"/>
      <c r="O505" s="450"/>
      <c r="P505" s="450"/>
      <c r="Q505" s="450"/>
      <c r="R505" s="450"/>
      <c r="S505" s="450"/>
      <c r="T505" s="450"/>
      <c r="U505" s="451"/>
      <c r="V505" s="450"/>
      <c r="W505" s="450"/>
      <c r="X505" s="450"/>
      <c r="Y505" s="452"/>
      <c r="Z505" s="452"/>
      <c r="AA505" s="453"/>
      <c r="AB505" s="453"/>
      <c r="AC505" s="453"/>
      <c r="AD505" s="452"/>
      <c r="AE505" s="452"/>
      <c r="AF505" s="452"/>
      <c r="AG505" s="450"/>
      <c r="AH505" s="450"/>
      <c r="AI505" s="450"/>
      <c r="AJ505" s="450"/>
      <c r="AK505" s="450"/>
      <c r="AL505" s="450"/>
      <c r="AM505" s="450"/>
      <c r="AN505" s="450"/>
      <c r="AO505" s="450"/>
      <c r="AP505" s="450"/>
      <c r="AQ505" s="450"/>
      <c r="AR505" s="450"/>
      <c r="AS505" s="450"/>
      <c r="AT505" s="450"/>
      <c r="AU505" s="450"/>
      <c r="AV505" s="450"/>
      <c r="AW505" s="450"/>
      <c r="AX505" s="450"/>
      <c r="AY505" s="450"/>
      <c r="AZ505" s="450"/>
      <c r="BA505" s="450"/>
      <c r="BB505" s="450"/>
      <c r="BC505" s="453"/>
      <c r="BD505" s="453"/>
      <c r="BE505" s="453"/>
      <c r="BF505" s="453"/>
      <c r="BG505" s="453"/>
      <c r="BH505" s="453"/>
      <c r="BI505" s="453"/>
      <c r="BJ505" s="453"/>
      <c r="BK505" s="453"/>
      <c r="BL505" s="453"/>
      <c r="BM505" s="453"/>
      <c r="BN505" s="453"/>
      <c r="BO505" s="453"/>
      <c r="BP505" s="452"/>
      <c r="BQ505" s="450"/>
      <c r="BR505" s="450"/>
      <c r="BS505" s="450"/>
      <c r="BT505" s="450"/>
      <c r="BU505" s="450"/>
      <c r="BV505" s="450"/>
      <c r="BW505" s="454"/>
      <c r="BX505" s="450"/>
    </row>
    <row r="506" ht="14.25" customHeight="1">
      <c r="A506" s="450"/>
      <c r="B506" s="450"/>
      <c r="C506" s="450"/>
      <c r="D506" s="450"/>
      <c r="E506" s="450"/>
      <c r="F506" s="450"/>
      <c r="G506" s="450"/>
      <c r="H506" s="450"/>
      <c r="I506" s="450"/>
      <c r="J506" s="450"/>
      <c r="K506" s="450"/>
      <c r="L506" s="450"/>
      <c r="M506" s="450"/>
      <c r="N506" s="450"/>
      <c r="O506" s="450"/>
      <c r="P506" s="450"/>
      <c r="Q506" s="450"/>
      <c r="R506" s="450"/>
      <c r="S506" s="450"/>
      <c r="T506" s="450"/>
      <c r="U506" s="451"/>
      <c r="V506" s="450"/>
      <c r="W506" s="450"/>
      <c r="X506" s="450"/>
      <c r="Y506" s="452"/>
      <c r="Z506" s="452"/>
      <c r="AA506" s="453"/>
      <c r="AB506" s="453"/>
      <c r="AC506" s="453"/>
      <c r="AD506" s="452"/>
      <c r="AE506" s="452"/>
      <c r="AF506" s="452"/>
      <c r="AG506" s="450"/>
      <c r="AH506" s="450"/>
      <c r="AI506" s="450"/>
      <c r="AJ506" s="450"/>
      <c r="AK506" s="450"/>
      <c r="AL506" s="450"/>
      <c r="AM506" s="450"/>
      <c r="AN506" s="450"/>
      <c r="AO506" s="450"/>
      <c r="AP506" s="450"/>
      <c r="AQ506" s="450"/>
      <c r="AR506" s="450"/>
      <c r="AS506" s="450"/>
      <c r="AT506" s="450"/>
      <c r="AU506" s="450"/>
      <c r="AV506" s="450"/>
      <c r="AW506" s="450"/>
      <c r="AX506" s="450"/>
      <c r="AY506" s="450"/>
      <c r="AZ506" s="450"/>
      <c r="BA506" s="450"/>
      <c r="BB506" s="450"/>
      <c r="BC506" s="453"/>
      <c r="BD506" s="453"/>
      <c r="BE506" s="453"/>
      <c r="BF506" s="453"/>
      <c r="BG506" s="453"/>
      <c r="BH506" s="453"/>
      <c r="BI506" s="453"/>
      <c r="BJ506" s="453"/>
      <c r="BK506" s="453"/>
      <c r="BL506" s="453"/>
      <c r="BM506" s="453"/>
      <c r="BN506" s="453"/>
      <c r="BO506" s="453"/>
      <c r="BP506" s="452"/>
      <c r="BQ506" s="450"/>
      <c r="BR506" s="450"/>
      <c r="BS506" s="450"/>
      <c r="BT506" s="450"/>
      <c r="BU506" s="450"/>
      <c r="BV506" s="450"/>
      <c r="BW506" s="454"/>
      <c r="BX506" s="450"/>
    </row>
    <row r="507" ht="14.25" customHeight="1">
      <c r="A507" s="450"/>
      <c r="B507" s="450"/>
      <c r="C507" s="450"/>
      <c r="D507" s="450"/>
      <c r="E507" s="450"/>
      <c r="F507" s="450"/>
      <c r="G507" s="450"/>
      <c r="H507" s="450"/>
      <c r="I507" s="450"/>
      <c r="J507" s="450"/>
      <c r="K507" s="450"/>
      <c r="L507" s="450"/>
      <c r="M507" s="450"/>
      <c r="N507" s="450"/>
      <c r="O507" s="450"/>
      <c r="P507" s="450"/>
      <c r="Q507" s="450"/>
      <c r="R507" s="450"/>
      <c r="S507" s="450"/>
      <c r="T507" s="450"/>
      <c r="U507" s="451"/>
      <c r="V507" s="450"/>
      <c r="W507" s="450"/>
      <c r="X507" s="450"/>
      <c r="Y507" s="452"/>
      <c r="Z507" s="452"/>
      <c r="AA507" s="453"/>
      <c r="AB507" s="453"/>
      <c r="AC507" s="453"/>
      <c r="AD507" s="452"/>
      <c r="AE507" s="452"/>
      <c r="AF507" s="452"/>
      <c r="AG507" s="450"/>
      <c r="AH507" s="450"/>
      <c r="AI507" s="450"/>
      <c r="AJ507" s="450"/>
      <c r="AK507" s="450"/>
      <c r="AL507" s="450"/>
      <c r="AM507" s="450"/>
      <c r="AN507" s="450"/>
      <c r="AO507" s="450"/>
      <c r="AP507" s="450"/>
      <c r="AQ507" s="450"/>
      <c r="AR507" s="450"/>
      <c r="AS507" s="450"/>
      <c r="AT507" s="450"/>
      <c r="AU507" s="450"/>
      <c r="AV507" s="450"/>
      <c r="AW507" s="450"/>
      <c r="AX507" s="450"/>
      <c r="AY507" s="450"/>
      <c r="AZ507" s="450"/>
      <c r="BA507" s="450"/>
      <c r="BB507" s="450"/>
      <c r="BC507" s="453"/>
      <c r="BD507" s="453"/>
      <c r="BE507" s="453"/>
      <c r="BF507" s="453"/>
      <c r="BG507" s="453"/>
      <c r="BH507" s="453"/>
      <c r="BI507" s="453"/>
      <c r="BJ507" s="453"/>
      <c r="BK507" s="453"/>
      <c r="BL507" s="453"/>
      <c r="BM507" s="453"/>
      <c r="BN507" s="453"/>
      <c r="BO507" s="453"/>
      <c r="BP507" s="452"/>
      <c r="BQ507" s="450"/>
      <c r="BR507" s="450"/>
      <c r="BS507" s="450"/>
      <c r="BT507" s="450"/>
      <c r="BU507" s="450"/>
      <c r="BV507" s="450"/>
      <c r="BW507" s="454"/>
      <c r="BX507" s="450"/>
    </row>
    <row r="508" ht="14.25" customHeight="1">
      <c r="A508" s="450"/>
      <c r="B508" s="450"/>
      <c r="C508" s="450"/>
      <c r="D508" s="450"/>
      <c r="E508" s="450"/>
      <c r="F508" s="450"/>
      <c r="G508" s="450"/>
      <c r="H508" s="450"/>
      <c r="I508" s="450"/>
      <c r="J508" s="450"/>
      <c r="K508" s="450"/>
      <c r="L508" s="450"/>
      <c r="M508" s="450"/>
      <c r="N508" s="450"/>
      <c r="O508" s="450"/>
      <c r="P508" s="450"/>
      <c r="Q508" s="450"/>
      <c r="R508" s="450"/>
      <c r="S508" s="450"/>
      <c r="T508" s="450"/>
      <c r="U508" s="451"/>
      <c r="V508" s="450"/>
      <c r="W508" s="450"/>
      <c r="X508" s="450"/>
      <c r="Y508" s="452"/>
      <c r="Z508" s="452"/>
      <c r="AA508" s="453"/>
      <c r="AB508" s="453"/>
      <c r="AC508" s="453"/>
      <c r="AD508" s="452"/>
      <c r="AE508" s="452"/>
      <c r="AF508" s="452"/>
      <c r="AG508" s="450"/>
      <c r="AH508" s="450"/>
      <c r="AI508" s="450"/>
      <c r="AJ508" s="450"/>
      <c r="AK508" s="450"/>
      <c r="AL508" s="450"/>
      <c r="AM508" s="450"/>
      <c r="AN508" s="450"/>
      <c r="AO508" s="450"/>
      <c r="AP508" s="450"/>
      <c r="AQ508" s="450"/>
      <c r="AR508" s="450"/>
      <c r="AS508" s="450"/>
      <c r="AT508" s="450"/>
      <c r="AU508" s="450"/>
      <c r="AV508" s="450"/>
      <c r="AW508" s="450"/>
      <c r="AX508" s="450"/>
      <c r="AY508" s="450"/>
      <c r="AZ508" s="450"/>
      <c r="BA508" s="450"/>
      <c r="BB508" s="450"/>
      <c r="BC508" s="453"/>
      <c r="BD508" s="453"/>
      <c r="BE508" s="453"/>
      <c r="BF508" s="453"/>
      <c r="BG508" s="453"/>
      <c r="BH508" s="453"/>
      <c r="BI508" s="453"/>
      <c r="BJ508" s="453"/>
      <c r="BK508" s="453"/>
      <c r="BL508" s="453"/>
      <c r="BM508" s="453"/>
      <c r="BN508" s="453"/>
      <c r="BO508" s="453"/>
      <c r="BP508" s="452"/>
      <c r="BQ508" s="450"/>
      <c r="BR508" s="450"/>
      <c r="BS508" s="450"/>
      <c r="BT508" s="450"/>
      <c r="BU508" s="450"/>
      <c r="BV508" s="450"/>
      <c r="BW508" s="454"/>
      <c r="BX508" s="450"/>
    </row>
    <row r="509" ht="14.25" customHeight="1">
      <c r="A509" s="450"/>
      <c r="B509" s="450"/>
      <c r="C509" s="450"/>
      <c r="D509" s="450"/>
      <c r="E509" s="450"/>
      <c r="F509" s="450"/>
      <c r="G509" s="450"/>
      <c r="H509" s="450"/>
      <c r="I509" s="450"/>
      <c r="J509" s="450"/>
      <c r="K509" s="450"/>
      <c r="L509" s="450"/>
      <c r="M509" s="450"/>
      <c r="N509" s="450"/>
      <c r="O509" s="450"/>
      <c r="P509" s="450"/>
      <c r="Q509" s="450"/>
      <c r="R509" s="450"/>
      <c r="S509" s="450"/>
      <c r="T509" s="450"/>
      <c r="U509" s="451"/>
      <c r="V509" s="450"/>
      <c r="W509" s="450"/>
      <c r="X509" s="450"/>
      <c r="Y509" s="452"/>
      <c r="Z509" s="452"/>
      <c r="AA509" s="453"/>
      <c r="AB509" s="453"/>
      <c r="AC509" s="453"/>
      <c r="AD509" s="452"/>
      <c r="AE509" s="452"/>
      <c r="AF509" s="452"/>
      <c r="AG509" s="450"/>
      <c r="AH509" s="450"/>
      <c r="AI509" s="450"/>
      <c r="AJ509" s="450"/>
      <c r="AK509" s="450"/>
      <c r="AL509" s="450"/>
      <c r="AM509" s="450"/>
      <c r="AN509" s="450"/>
      <c r="AO509" s="450"/>
      <c r="AP509" s="450"/>
      <c r="AQ509" s="450"/>
      <c r="AR509" s="450"/>
      <c r="AS509" s="450"/>
      <c r="AT509" s="450"/>
      <c r="AU509" s="450"/>
      <c r="AV509" s="450"/>
      <c r="AW509" s="450"/>
      <c r="AX509" s="450"/>
      <c r="AY509" s="450"/>
      <c r="AZ509" s="450"/>
      <c r="BA509" s="450"/>
      <c r="BB509" s="450"/>
      <c r="BC509" s="453"/>
      <c r="BD509" s="453"/>
      <c r="BE509" s="453"/>
      <c r="BF509" s="453"/>
      <c r="BG509" s="453"/>
      <c r="BH509" s="453"/>
      <c r="BI509" s="453"/>
      <c r="BJ509" s="453"/>
      <c r="BK509" s="453"/>
      <c r="BL509" s="453"/>
      <c r="BM509" s="453"/>
      <c r="BN509" s="453"/>
      <c r="BO509" s="453"/>
      <c r="BP509" s="452"/>
      <c r="BQ509" s="450"/>
      <c r="BR509" s="450"/>
      <c r="BS509" s="450"/>
      <c r="BT509" s="450"/>
      <c r="BU509" s="450"/>
      <c r="BV509" s="450"/>
      <c r="BW509" s="454"/>
      <c r="BX509" s="450"/>
    </row>
    <row r="510" ht="14.25" customHeight="1">
      <c r="A510" s="450"/>
      <c r="B510" s="450"/>
      <c r="C510" s="450"/>
      <c r="D510" s="450"/>
      <c r="E510" s="450"/>
      <c r="F510" s="450"/>
      <c r="G510" s="450"/>
      <c r="H510" s="450"/>
      <c r="I510" s="450"/>
      <c r="J510" s="450"/>
      <c r="K510" s="450"/>
      <c r="L510" s="450"/>
      <c r="M510" s="450"/>
      <c r="N510" s="450"/>
      <c r="O510" s="450"/>
      <c r="P510" s="450"/>
      <c r="Q510" s="450"/>
      <c r="R510" s="450"/>
      <c r="S510" s="450"/>
      <c r="T510" s="450"/>
      <c r="U510" s="451"/>
      <c r="V510" s="450"/>
      <c r="W510" s="450"/>
      <c r="X510" s="450"/>
      <c r="Y510" s="452"/>
      <c r="Z510" s="452"/>
      <c r="AA510" s="453"/>
      <c r="AB510" s="453"/>
      <c r="AC510" s="453"/>
      <c r="AD510" s="452"/>
      <c r="AE510" s="452"/>
      <c r="AF510" s="452"/>
      <c r="AG510" s="450"/>
      <c r="AH510" s="450"/>
      <c r="AI510" s="450"/>
      <c r="AJ510" s="450"/>
      <c r="AK510" s="450"/>
      <c r="AL510" s="450"/>
      <c r="AM510" s="450"/>
      <c r="AN510" s="450"/>
      <c r="AO510" s="450"/>
      <c r="AP510" s="450"/>
      <c r="AQ510" s="450"/>
      <c r="AR510" s="450"/>
      <c r="AS510" s="450"/>
      <c r="AT510" s="450"/>
      <c r="AU510" s="450"/>
      <c r="AV510" s="450"/>
      <c r="AW510" s="450"/>
      <c r="AX510" s="450"/>
      <c r="AY510" s="450"/>
      <c r="AZ510" s="450"/>
      <c r="BA510" s="450"/>
      <c r="BB510" s="450"/>
      <c r="BC510" s="453"/>
      <c r="BD510" s="453"/>
      <c r="BE510" s="453"/>
      <c r="BF510" s="453"/>
      <c r="BG510" s="453"/>
      <c r="BH510" s="453"/>
      <c r="BI510" s="453"/>
      <c r="BJ510" s="453"/>
      <c r="BK510" s="453"/>
      <c r="BL510" s="453"/>
      <c r="BM510" s="453"/>
      <c r="BN510" s="453"/>
      <c r="BO510" s="453"/>
      <c r="BP510" s="452"/>
      <c r="BQ510" s="450"/>
      <c r="BR510" s="450"/>
      <c r="BS510" s="450"/>
      <c r="BT510" s="450"/>
      <c r="BU510" s="450"/>
      <c r="BV510" s="450"/>
      <c r="BW510" s="454"/>
      <c r="BX510" s="450"/>
    </row>
    <row r="511" ht="14.25" customHeight="1">
      <c r="A511" s="450"/>
      <c r="B511" s="450"/>
      <c r="C511" s="450"/>
      <c r="D511" s="450"/>
      <c r="E511" s="450"/>
      <c r="F511" s="450"/>
      <c r="G511" s="450"/>
      <c r="H511" s="450"/>
      <c r="I511" s="450"/>
      <c r="J511" s="450"/>
      <c r="K511" s="450"/>
      <c r="L511" s="450"/>
      <c r="M511" s="450"/>
      <c r="N511" s="450"/>
      <c r="O511" s="450"/>
      <c r="P511" s="450"/>
      <c r="Q511" s="450"/>
      <c r="R511" s="450"/>
      <c r="S511" s="450"/>
      <c r="T511" s="450"/>
      <c r="U511" s="451"/>
      <c r="V511" s="450"/>
      <c r="W511" s="450"/>
      <c r="X511" s="450"/>
      <c r="Y511" s="452"/>
      <c r="Z511" s="452"/>
      <c r="AA511" s="453"/>
      <c r="AB511" s="453"/>
      <c r="AC511" s="453"/>
      <c r="AD511" s="452"/>
      <c r="AE511" s="452"/>
      <c r="AF511" s="452"/>
      <c r="AG511" s="450"/>
      <c r="AH511" s="450"/>
      <c r="AI511" s="450"/>
      <c r="AJ511" s="450"/>
      <c r="AK511" s="450"/>
      <c r="AL511" s="450"/>
      <c r="AM511" s="450"/>
      <c r="AN511" s="450"/>
      <c r="AO511" s="450"/>
      <c r="AP511" s="450"/>
      <c r="AQ511" s="450"/>
      <c r="AR511" s="450"/>
      <c r="AS511" s="450"/>
      <c r="AT511" s="450"/>
      <c r="AU511" s="450"/>
      <c r="AV511" s="450"/>
      <c r="AW511" s="450"/>
      <c r="AX511" s="450"/>
      <c r="AY511" s="450"/>
      <c r="AZ511" s="450"/>
      <c r="BA511" s="450"/>
      <c r="BB511" s="450"/>
      <c r="BC511" s="453"/>
      <c r="BD511" s="453"/>
      <c r="BE511" s="453"/>
      <c r="BF511" s="453"/>
      <c r="BG511" s="453"/>
      <c r="BH511" s="453"/>
      <c r="BI511" s="453"/>
      <c r="BJ511" s="453"/>
      <c r="BK511" s="453"/>
      <c r="BL511" s="453"/>
      <c r="BM511" s="453"/>
      <c r="BN511" s="453"/>
      <c r="BO511" s="453"/>
      <c r="BP511" s="452"/>
      <c r="BQ511" s="450"/>
      <c r="BR511" s="450"/>
      <c r="BS511" s="450"/>
      <c r="BT511" s="450"/>
      <c r="BU511" s="450"/>
      <c r="BV511" s="450"/>
      <c r="BW511" s="454"/>
      <c r="BX511" s="450"/>
    </row>
    <row r="512" ht="14.25" customHeight="1">
      <c r="A512" s="450"/>
      <c r="B512" s="450"/>
      <c r="C512" s="450"/>
      <c r="D512" s="450"/>
      <c r="E512" s="450"/>
      <c r="F512" s="450"/>
      <c r="G512" s="450"/>
      <c r="H512" s="450"/>
      <c r="I512" s="450"/>
      <c r="J512" s="450"/>
      <c r="K512" s="450"/>
      <c r="L512" s="450"/>
      <c r="M512" s="450"/>
      <c r="N512" s="450"/>
      <c r="O512" s="450"/>
      <c r="P512" s="450"/>
      <c r="Q512" s="450"/>
      <c r="R512" s="450"/>
      <c r="S512" s="450"/>
      <c r="T512" s="450"/>
      <c r="U512" s="451"/>
      <c r="V512" s="450"/>
      <c r="W512" s="450"/>
      <c r="X512" s="450"/>
      <c r="Y512" s="452"/>
      <c r="Z512" s="452"/>
      <c r="AA512" s="453"/>
      <c r="AB512" s="453"/>
      <c r="AC512" s="453"/>
      <c r="AD512" s="452"/>
      <c r="AE512" s="452"/>
      <c r="AF512" s="452"/>
      <c r="AG512" s="450"/>
      <c r="AH512" s="450"/>
      <c r="AI512" s="450"/>
      <c r="AJ512" s="450"/>
      <c r="AK512" s="450"/>
      <c r="AL512" s="450"/>
      <c r="AM512" s="450"/>
      <c r="AN512" s="450"/>
      <c r="AO512" s="450"/>
      <c r="AP512" s="450"/>
      <c r="AQ512" s="450"/>
      <c r="AR512" s="450"/>
      <c r="AS512" s="450"/>
      <c r="AT512" s="450"/>
      <c r="AU512" s="450"/>
      <c r="AV512" s="450"/>
      <c r="AW512" s="450"/>
      <c r="AX512" s="450"/>
      <c r="AY512" s="450"/>
      <c r="AZ512" s="450"/>
      <c r="BA512" s="450"/>
      <c r="BB512" s="450"/>
      <c r="BC512" s="453"/>
      <c r="BD512" s="453"/>
      <c r="BE512" s="453"/>
      <c r="BF512" s="453"/>
      <c r="BG512" s="453"/>
      <c r="BH512" s="453"/>
      <c r="BI512" s="453"/>
      <c r="BJ512" s="453"/>
      <c r="BK512" s="453"/>
      <c r="BL512" s="453"/>
      <c r="BM512" s="453"/>
      <c r="BN512" s="453"/>
      <c r="BO512" s="453"/>
      <c r="BP512" s="452"/>
      <c r="BQ512" s="450"/>
      <c r="BR512" s="450"/>
      <c r="BS512" s="450"/>
      <c r="BT512" s="450"/>
      <c r="BU512" s="450"/>
      <c r="BV512" s="450"/>
      <c r="BW512" s="454"/>
      <c r="BX512" s="450"/>
    </row>
    <row r="513" ht="14.25" customHeight="1">
      <c r="A513" s="450"/>
      <c r="B513" s="450"/>
      <c r="C513" s="450"/>
      <c r="D513" s="450"/>
      <c r="E513" s="450"/>
      <c r="F513" s="450"/>
      <c r="G513" s="450"/>
      <c r="H513" s="450"/>
      <c r="I513" s="450"/>
      <c r="J513" s="450"/>
      <c r="K513" s="450"/>
      <c r="L513" s="450"/>
      <c r="M513" s="450"/>
      <c r="N513" s="450"/>
      <c r="O513" s="450"/>
      <c r="P513" s="450"/>
      <c r="Q513" s="450"/>
      <c r="R513" s="450"/>
      <c r="S513" s="450"/>
      <c r="T513" s="450"/>
      <c r="U513" s="451"/>
      <c r="V513" s="450"/>
      <c r="W513" s="450"/>
      <c r="X513" s="450"/>
      <c r="Y513" s="452"/>
      <c r="Z513" s="452"/>
      <c r="AA513" s="453"/>
      <c r="AB513" s="453"/>
      <c r="AC513" s="453"/>
      <c r="AD513" s="452"/>
      <c r="AE513" s="452"/>
      <c r="AF513" s="452"/>
      <c r="AG513" s="450"/>
      <c r="AH513" s="450"/>
      <c r="AI513" s="450"/>
      <c r="AJ513" s="450"/>
      <c r="AK513" s="450"/>
      <c r="AL513" s="450"/>
      <c r="AM513" s="450"/>
      <c r="AN513" s="450"/>
      <c r="AO513" s="450"/>
      <c r="AP513" s="450"/>
      <c r="AQ513" s="450"/>
      <c r="AR513" s="450"/>
      <c r="AS513" s="450"/>
      <c r="AT513" s="450"/>
      <c r="AU513" s="450"/>
      <c r="AV513" s="450"/>
      <c r="AW513" s="450"/>
      <c r="AX513" s="450"/>
      <c r="AY513" s="450"/>
      <c r="AZ513" s="450"/>
      <c r="BA513" s="450"/>
      <c r="BB513" s="450"/>
      <c r="BC513" s="453"/>
      <c r="BD513" s="453"/>
      <c r="BE513" s="453"/>
      <c r="BF513" s="453"/>
      <c r="BG513" s="453"/>
      <c r="BH513" s="453"/>
      <c r="BI513" s="453"/>
      <c r="BJ513" s="453"/>
      <c r="BK513" s="453"/>
      <c r="BL513" s="453"/>
      <c r="BM513" s="453"/>
      <c r="BN513" s="453"/>
      <c r="BO513" s="453"/>
      <c r="BP513" s="452"/>
      <c r="BQ513" s="450"/>
      <c r="BR513" s="450"/>
      <c r="BS513" s="450"/>
      <c r="BT513" s="450"/>
      <c r="BU513" s="450"/>
      <c r="BV513" s="450"/>
      <c r="BW513" s="454"/>
      <c r="BX513" s="450"/>
    </row>
    <row r="514" ht="14.25" customHeight="1">
      <c r="A514" s="450"/>
      <c r="B514" s="450"/>
      <c r="C514" s="450"/>
      <c r="D514" s="450"/>
      <c r="E514" s="450"/>
      <c r="F514" s="450"/>
      <c r="G514" s="450"/>
      <c r="H514" s="450"/>
      <c r="I514" s="450"/>
      <c r="J514" s="450"/>
      <c r="K514" s="450"/>
      <c r="L514" s="450"/>
      <c r="M514" s="450"/>
      <c r="N514" s="450"/>
      <c r="O514" s="450"/>
      <c r="P514" s="450"/>
      <c r="Q514" s="450"/>
      <c r="R514" s="450"/>
      <c r="S514" s="450"/>
      <c r="T514" s="450"/>
      <c r="U514" s="451"/>
      <c r="V514" s="450"/>
      <c r="W514" s="450"/>
      <c r="X514" s="450"/>
      <c r="Y514" s="452"/>
      <c r="Z514" s="452"/>
      <c r="AA514" s="453"/>
      <c r="AB514" s="453"/>
      <c r="AC514" s="453"/>
      <c r="AD514" s="452"/>
      <c r="AE514" s="452"/>
      <c r="AF514" s="452"/>
      <c r="AG514" s="450"/>
      <c r="AH514" s="450"/>
      <c r="AI514" s="450"/>
      <c r="AJ514" s="450"/>
      <c r="AK514" s="450"/>
      <c r="AL514" s="450"/>
      <c r="AM514" s="450"/>
      <c r="AN514" s="450"/>
      <c r="AO514" s="450"/>
      <c r="AP514" s="450"/>
      <c r="AQ514" s="450"/>
      <c r="AR514" s="450"/>
      <c r="AS514" s="450"/>
      <c r="AT514" s="450"/>
      <c r="AU514" s="450"/>
      <c r="AV514" s="450"/>
      <c r="AW514" s="450"/>
      <c r="AX514" s="450"/>
      <c r="AY514" s="450"/>
      <c r="AZ514" s="450"/>
      <c r="BA514" s="450"/>
      <c r="BB514" s="450"/>
      <c r="BC514" s="453"/>
      <c r="BD514" s="453"/>
      <c r="BE514" s="453"/>
      <c r="BF514" s="453"/>
      <c r="BG514" s="453"/>
      <c r="BH514" s="453"/>
      <c r="BI514" s="453"/>
      <c r="BJ514" s="453"/>
      <c r="BK514" s="453"/>
      <c r="BL514" s="453"/>
      <c r="BM514" s="453"/>
      <c r="BN514" s="453"/>
      <c r="BO514" s="453"/>
      <c r="BP514" s="452"/>
      <c r="BQ514" s="450"/>
      <c r="BR514" s="450"/>
      <c r="BS514" s="450"/>
      <c r="BT514" s="450"/>
      <c r="BU514" s="450"/>
      <c r="BV514" s="450"/>
      <c r="BW514" s="454"/>
      <c r="BX514" s="450"/>
    </row>
    <row r="515" ht="14.25" customHeight="1">
      <c r="A515" s="450"/>
      <c r="B515" s="450"/>
      <c r="C515" s="450"/>
      <c r="D515" s="450"/>
      <c r="E515" s="450"/>
      <c r="F515" s="450"/>
      <c r="G515" s="450"/>
      <c r="H515" s="450"/>
      <c r="I515" s="450"/>
      <c r="J515" s="450"/>
      <c r="K515" s="450"/>
      <c r="L515" s="450"/>
      <c r="M515" s="450"/>
      <c r="N515" s="450"/>
      <c r="O515" s="450"/>
      <c r="P515" s="450"/>
      <c r="Q515" s="450"/>
      <c r="R515" s="450"/>
      <c r="S515" s="450"/>
      <c r="T515" s="450"/>
      <c r="U515" s="451"/>
      <c r="V515" s="450"/>
      <c r="W515" s="450"/>
      <c r="X515" s="450"/>
      <c r="Y515" s="452"/>
      <c r="Z515" s="452"/>
      <c r="AA515" s="453"/>
      <c r="AB515" s="453"/>
      <c r="AC515" s="453"/>
      <c r="AD515" s="452"/>
      <c r="AE515" s="452"/>
      <c r="AF515" s="452"/>
      <c r="AG515" s="450"/>
      <c r="AH515" s="450"/>
      <c r="AI515" s="450"/>
      <c r="AJ515" s="450"/>
      <c r="AK515" s="450"/>
      <c r="AL515" s="450"/>
      <c r="AM515" s="450"/>
      <c r="AN515" s="450"/>
      <c r="AO515" s="450"/>
      <c r="AP515" s="450"/>
      <c r="AQ515" s="450"/>
      <c r="AR515" s="450"/>
      <c r="AS515" s="450"/>
      <c r="AT515" s="450"/>
      <c r="AU515" s="450"/>
      <c r="AV515" s="450"/>
      <c r="AW515" s="450"/>
      <c r="AX515" s="450"/>
      <c r="AY515" s="450"/>
      <c r="AZ515" s="450"/>
      <c r="BA515" s="450"/>
      <c r="BB515" s="450"/>
      <c r="BC515" s="453"/>
      <c r="BD515" s="453"/>
      <c r="BE515" s="453"/>
      <c r="BF515" s="453"/>
      <c r="BG515" s="453"/>
      <c r="BH515" s="453"/>
      <c r="BI515" s="453"/>
      <c r="BJ515" s="453"/>
      <c r="BK515" s="453"/>
      <c r="BL515" s="453"/>
      <c r="BM515" s="453"/>
      <c r="BN515" s="453"/>
      <c r="BO515" s="453"/>
      <c r="BP515" s="452"/>
      <c r="BQ515" s="450"/>
      <c r="BR515" s="450"/>
      <c r="BS515" s="450"/>
      <c r="BT515" s="450"/>
      <c r="BU515" s="450"/>
      <c r="BV515" s="450"/>
      <c r="BW515" s="454"/>
      <c r="BX515" s="450"/>
    </row>
    <row r="516" ht="14.25" customHeight="1">
      <c r="A516" s="450"/>
      <c r="B516" s="450"/>
      <c r="C516" s="450"/>
      <c r="D516" s="450"/>
      <c r="E516" s="450"/>
      <c r="F516" s="450"/>
      <c r="G516" s="450"/>
      <c r="H516" s="450"/>
      <c r="I516" s="450"/>
      <c r="J516" s="450"/>
      <c r="K516" s="450"/>
      <c r="L516" s="450"/>
      <c r="M516" s="450"/>
      <c r="N516" s="450"/>
      <c r="O516" s="450"/>
      <c r="P516" s="450"/>
      <c r="Q516" s="450"/>
      <c r="R516" s="450"/>
      <c r="S516" s="450"/>
      <c r="T516" s="450"/>
      <c r="U516" s="451"/>
      <c r="V516" s="450"/>
      <c r="W516" s="450"/>
      <c r="X516" s="450"/>
      <c r="Y516" s="452"/>
      <c r="Z516" s="452"/>
      <c r="AA516" s="453"/>
      <c r="AB516" s="453"/>
      <c r="AC516" s="453"/>
      <c r="AD516" s="452"/>
      <c r="AE516" s="452"/>
      <c r="AF516" s="452"/>
      <c r="AG516" s="450"/>
      <c r="AH516" s="450"/>
      <c r="AI516" s="450"/>
      <c r="AJ516" s="450"/>
      <c r="AK516" s="450"/>
      <c r="AL516" s="450"/>
      <c r="AM516" s="450"/>
      <c r="AN516" s="450"/>
      <c r="AO516" s="450"/>
      <c r="AP516" s="450"/>
      <c r="AQ516" s="450"/>
      <c r="AR516" s="450"/>
      <c r="AS516" s="450"/>
      <c r="AT516" s="450"/>
      <c r="AU516" s="450"/>
      <c r="AV516" s="450"/>
      <c r="AW516" s="450"/>
      <c r="AX516" s="450"/>
      <c r="AY516" s="450"/>
      <c r="AZ516" s="450"/>
      <c r="BA516" s="450"/>
      <c r="BB516" s="450"/>
      <c r="BC516" s="453"/>
      <c r="BD516" s="453"/>
      <c r="BE516" s="453"/>
      <c r="BF516" s="453"/>
      <c r="BG516" s="453"/>
      <c r="BH516" s="453"/>
      <c r="BI516" s="453"/>
      <c r="BJ516" s="453"/>
      <c r="BK516" s="453"/>
      <c r="BL516" s="453"/>
      <c r="BM516" s="453"/>
      <c r="BN516" s="453"/>
      <c r="BO516" s="453"/>
      <c r="BP516" s="452"/>
      <c r="BQ516" s="450"/>
      <c r="BR516" s="450"/>
      <c r="BS516" s="450"/>
      <c r="BT516" s="450"/>
      <c r="BU516" s="450"/>
      <c r="BV516" s="450"/>
      <c r="BW516" s="454"/>
      <c r="BX516" s="450"/>
    </row>
  </sheetData>
  <mergeCells count="1905">
    <mergeCell ref="S151:S161"/>
    <mergeCell ref="T151:T161"/>
    <mergeCell ref="A162:A172"/>
    <mergeCell ref="B162:B172"/>
    <mergeCell ref="A173:A183"/>
    <mergeCell ref="B173:B183"/>
    <mergeCell ref="L151:L161"/>
    <mergeCell ref="M151:M161"/>
    <mergeCell ref="N151:N161"/>
    <mergeCell ref="O151:O161"/>
    <mergeCell ref="P151:P161"/>
    <mergeCell ref="Q151:Q161"/>
    <mergeCell ref="R151:R161"/>
    <mergeCell ref="AG162:AG172"/>
    <mergeCell ref="AH162:AH172"/>
    <mergeCell ref="AI162:AI172"/>
    <mergeCell ref="AJ162:AJ172"/>
    <mergeCell ref="AK162:AK172"/>
    <mergeCell ref="AL162:AL172"/>
    <mergeCell ref="AM162:AM172"/>
    <mergeCell ref="AM173:AM183"/>
    <mergeCell ref="L162:L172"/>
    <mergeCell ref="M162:M172"/>
    <mergeCell ref="N162:N172"/>
    <mergeCell ref="O162:O172"/>
    <mergeCell ref="P162:P172"/>
    <mergeCell ref="Q162:Q172"/>
    <mergeCell ref="R162:R172"/>
    <mergeCell ref="S162:S172"/>
    <mergeCell ref="T162:T172"/>
    <mergeCell ref="U162:U172"/>
    <mergeCell ref="V162:V172"/>
    <mergeCell ref="W162:W172"/>
    <mergeCell ref="X162:X172"/>
    <mergeCell ref="Y162:Y172"/>
    <mergeCell ref="Z162:Z172"/>
    <mergeCell ref="AA162:AA172"/>
    <mergeCell ref="AB162:AB172"/>
    <mergeCell ref="AC162:AC172"/>
    <mergeCell ref="AD162:AD172"/>
    <mergeCell ref="AE162:AE172"/>
    <mergeCell ref="AF162:AF172"/>
    <mergeCell ref="AG206:AG216"/>
    <mergeCell ref="AH206:AH216"/>
    <mergeCell ref="Z206:Z216"/>
    <mergeCell ref="AA206:AA216"/>
    <mergeCell ref="AB206:AB216"/>
    <mergeCell ref="AC206:AC216"/>
    <mergeCell ref="AD206:AD216"/>
    <mergeCell ref="AE206:AE216"/>
    <mergeCell ref="AF206:AF216"/>
    <mergeCell ref="AG184:AG194"/>
    <mergeCell ref="AH184:AH194"/>
    <mergeCell ref="AJ184:AJ194"/>
    <mergeCell ref="AK184:AK194"/>
    <mergeCell ref="AL184:AL194"/>
    <mergeCell ref="AM184:AM194"/>
    <mergeCell ref="AM195:AM205"/>
    <mergeCell ref="AI184:AI194"/>
    <mergeCell ref="AI206:AI216"/>
    <mergeCell ref="AJ206:AJ216"/>
    <mergeCell ref="AK206:AK216"/>
    <mergeCell ref="AL206:AL216"/>
    <mergeCell ref="AM206:AM216"/>
    <mergeCell ref="AN206:AN216"/>
    <mergeCell ref="AV206:AV216"/>
    <mergeCell ref="AW206:AW216"/>
    <mergeCell ref="AX206:AX216"/>
    <mergeCell ref="AY206:AY216"/>
    <mergeCell ref="AZ206:AZ216"/>
    <mergeCell ref="BA206:BA216"/>
    <mergeCell ref="BB206:BB216"/>
    <mergeCell ref="BC206:BC216"/>
    <mergeCell ref="BD206:BD216"/>
    <mergeCell ref="BE206:BE216"/>
    <mergeCell ref="BF206:BF216"/>
    <mergeCell ref="BG206:BG216"/>
    <mergeCell ref="BH206:BH216"/>
    <mergeCell ref="BI206:BI216"/>
    <mergeCell ref="BQ206:BQ216"/>
    <mergeCell ref="BR206:BR216"/>
    <mergeCell ref="BS206:BS216"/>
    <mergeCell ref="BT206:BT216"/>
    <mergeCell ref="BU206:BU216"/>
    <mergeCell ref="BV206:BV216"/>
    <mergeCell ref="BW206:BW216"/>
    <mergeCell ref="BJ206:BJ216"/>
    <mergeCell ref="BK206:BK216"/>
    <mergeCell ref="BL206:BL216"/>
    <mergeCell ref="BM206:BM216"/>
    <mergeCell ref="BN206:BN216"/>
    <mergeCell ref="BO206:BO216"/>
    <mergeCell ref="BP206:BP216"/>
    <mergeCell ref="AN217:AN227"/>
    <mergeCell ref="AO217:AO227"/>
    <mergeCell ref="AP217:AP227"/>
    <mergeCell ref="AQ217:AQ227"/>
    <mergeCell ref="AR217:AR227"/>
    <mergeCell ref="AS217:AS227"/>
    <mergeCell ref="AT217:AT227"/>
    <mergeCell ref="AU217:AU227"/>
    <mergeCell ref="AV217:AV227"/>
    <mergeCell ref="AW217:AW227"/>
    <mergeCell ref="AX217:AX227"/>
    <mergeCell ref="AY217:AY227"/>
    <mergeCell ref="AZ217:AZ227"/>
    <mergeCell ref="BA217:BA227"/>
    <mergeCell ref="BB217:BB227"/>
    <mergeCell ref="BC217:BC227"/>
    <mergeCell ref="BD217:BD227"/>
    <mergeCell ref="BE217:BE227"/>
    <mergeCell ref="BF217:BF227"/>
    <mergeCell ref="BG217:BG227"/>
    <mergeCell ref="BH217:BH227"/>
    <mergeCell ref="BP217:BP227"/>
    <mergeCell ref="BQ217:BQ227"/>
    <mergeCell ref="BR217:BR227"/>
    <mergeCell ref="BS217:BS227"/>
    <mergeCell ref="BT217:BT227"/>
    <mergeCell ref="BU217:BU227"/>
    <mergeCell ref="BV217:BV227"/>
    <mergeCell ref="BW217:BW227"/>
    <mergeCell ref="BI217:BI227"/>
    <mergeCell ref="BJ217:BJ227"/>
    <mergeCell ref="BK217:BK227"/>
    <mergeCell ref="BL217:BL227"/>
    <mergeCell ref="BM217:BM227"/>
    <mergeCell ref="BN217:BN227"/>
    <mergeCell ref="BO217:BO227"/>
    <mergeCell ref="S228:S238"/>
    <mergeCell ref="T228:T238"/>
    <mergeCell ref="L228:L238"/>
    <mergeCell ref="M228:M238"/>
    <mergeCell ref="N228:N238"/>
    <mergeCell ref="O228:O238"/>
    <mergeCell ref="P228:P238"/>
    <mergeCell ref="Q228:Q238"/>
    <mergeCell ref="R228:R238"/>
    <mergeCell ref="U228:U238"/>
    <mergeCell ref="V228:V238"/>
    <mergeCell ref="W228:W238"/>
    <mergeCell ref="X228:X238"/>
    <mergeCell ref="Y228:Y238"/>
    <mergeCell ref="Z228:Z238"/>
    <mergeCell ref="AA228:AA238"/>
    <mergeCell ref="AB228:AB238"/>
    <mergeCell ref="AC228:AC238"/>
    <mergeCell ref="AV228:AV238"/>
    <mergeCell ref="AW228:AW238"/>
    <mergeCell ref="AX228:AX238"/>
    <mergeCell ref="AY228:AY238"/>
    <mergeCell ref="AZ228:AZ238"/>
    <mergeCell ref="BA228:BA238"/>
    <mergeCell ref="BB228:BB238"/>
    <mergeCell ref="BC228:BC238"/>
    <mergeCell ref="BD228:BD238"/>
    <mergeCell ref="BE228:BE238"/>
    <mergeCell ref="BF228:BF238"/>
    <mergeCell ref="BG228:BG238"/>
    <mergeCell ref="BH228:BH238"/>
    <mergeCell ref="BI228:BI238"/>
    <mergeCell ref="BJ228:BJ238"/>
    <mergeCell ref="BK228:BK238"/>
    <mergeCell ref="BL228:BL238"/>
    <mergeCell ref="BM228:BM238"/>
    <mergeCell ref="BN228:BN238"/>
    <mergeCell ref="BV228:BV238"/>
    <mergeCell ref="BW228:BW238"/>
    <mergeCell ref="BO228:BO238"/>
    <mergeCell ref="BP228:BP238"/>
    <mergeCell ref="BQ228:BQ238"/>
    <mergeCell ref="BR228:BR238"/>
    <mergeCell ref="BS228:BS238"/>
    <mergeCell ref="BT228:BT238"/>
    <mergeCell ref="BU228:BU238"/>
    <mergeCell ref="A184:A194"/>
    <mergeCell ref="B184:B194"/>
    <mergeCell ref="A195:A205"/>
    <mergeCell ref="B195:B205"/>
    <mergeCell ref="A206:A216"/>
    <mergeCell ref="B206:B216"/>
    <mergeCell ref="L173:L183"/>
    <mergeCell ref="M173:M183"/>
    <mergeCell ref="N173:N183"/>
    <mergeCell ref="O173:O183"/>
    <mergeCell ref="P173:P183"/>
    <mergeCell ref="Q173:Q183"/>
    <mergeCell ref="R173:R183"/>
    <mergeCell ref="S184:S194"/>
    <mergeCell ref="T184:T194"/>
    <mergeCell ref="U184:U194"/>
    <mergeCell ref="V184:V194"/>
    <mergeCell ref="W184:W194"/>
    <mergeCell ref="X184:X194"/>
    <mergeCell ref="Y184:Y194"/>
    <mergeCell ref="Z184:Z194"/>
    <mergeCell ref="AA184:AA194"/>
    <mergeCell ref="AB184:AB194"/>
    <mergeCell ref="AC184:AC194"/>
    <mergeCell ref="AD184:AD194"/>
    <mergeCell ref="AE184:AE194"/>
    <mergeCell ref="AF184:AF194"/>
    <mergeCell ref="L184:L194"/>
    <mergeCell ref="M184:M194"/>
    <mergeCell ref="N184:N194"/>
    <mergeCell ref="O184:O194"/>
    <mergeCell ref="P184:P194"/>
    <mergeCell ref="Q184:Q194"/>
    <mergeCell ref="R184:R194"/>
    <mergeCell ref="S173:S183"/>
    <mergeCell ref="T173:T183"/>
    <mergeCell ref="U206:U216"/>
    <mergeCell ref="V206:V216"/>
    <mergeCell ref="W206:W216"/>
    <mergeCell ref="X206:X216"/>
    <mergeCell ref="Y206:Y216"/>
    <mergeCell ref="AO206:AO216"/>
    <mergeCell ref="AP206:AP216"/>
    <mergeCell ref="AQ206:AQ216"/>
    <mergeCell ref="AR206:AR216"/>
    <mergeCell ref="AS206:AS216"/>
    <mergeCell ref="AT206:AT216"/>
    <mergeCell ref="AU206:AU216"/>
    <mergeCell ref="AD228:AD238"/>
    <mergeCell ref="AE228:AE238"/>
    <mergeCell ref="AF228:AF238"/>
    <mergeCell ref="AG228:AG238"/>
    <mergeCell ref="AH228:AH238"/>
    <mergeCell ref="AI228:AI238"/>
    <mergeCell ref="AJ228:AJ238"/>
    <mergeCell ref="AS228:AS238"/>
    <mergeCell ref="AT228:AT238"/>
    <mergeCell ref="AU228:AU238"/>
    <mergeCell ref="AK228:AK238"/>
    <mergeCell ref="AL228:AL238"/>
    <mergeCell ref="AN228:AN238"/>
    <mergeCell ref="AO228:AO238"/>
    <mergeCell ref="AP228:AP238"/>
    <mergeCell ref="AQ228:AQ238"/>
    <mergeCell ref="AR228:AR238"/>
    <mergeCell ref="AG239:AG249"/>
    <mergeCell ref="AH239:AH249"/>
    <mergeCell ref="Z239:Z249"/>
    <mergeCell ref="AA239:AA249"/>
    <mergeCell ref="AB239:AB249"/>
    <mergeCell ref="AC239:AC249"/>
    <mergeCell ref="AD239:AD249"/>
    <mergeCell ref="AE239:AE249"/>
    <mergeCell ref="AF239:AF249"/>
    <mergeCell ref="AG217:AG227"/>
    <mergeCell ref="AH217:AH227"/>
    <mergeCell ref="AJ217:AJ227"/>
    <mergeCell ref="AK217:AK227"/>
    <mergeCell ref="AL217:AL227"/>
    <mergeCell ref="AM217:AM227"/>
    <mergeCell ref="AM228:AM238"/>
    <mergeCell ref="AI217:AI227"/>
    <mergeCell ref="AI239:AI249"/>
    <mergeCell ref="AJ239:AJ249"/>
    <mergeCell ref="AK239:AK249"/>
    <mergeCell ref="AL239:AL249"/>
    <mergeCell ref="AM239:AM249"/>
    <mergeCell ref="AN239:AN249"/>
    <mergeCell ref="AV239:AV249"/>
    <mergeCell ref="AW239:AW249"/>
    <mergeCell ref="AX239:AX249"/>
    <mergeCell ref="AY239:AY249"/>
    <mergeCell ref="AZ239:AZ249"/>
    <mergeCell ref="BA239:BA249"/>
    <mergeCell ref="BB239:BB249"/>
    <mergeCell ref="BC239:BC249"/>
    <mergeCell ref="BD239:BD249"/>
    <mergeCell ref="BE239:BE249"/>
    <mergeCell ref="BF239:BF249"/>
    <mergeCell ref="BG239:BG249"/>
    <mergeCell ref="BH239:BH249"/>
    <mergeCell ref="BI239:BI249"/>
    <mergeCell ref="BQ239:BQ249"/>
    <mergeCell ref="BR239:BR249"/>
    <mergeCell ref="BS239:BS249"/>
    <mergeCell ref="BT239:BT249"/>
    <mergeCell ref="BU239:BU249"/>
    <mergeCell ref="BV239:BV249"/>
    <mergeCell ref="BW239:BW249"/>
    <mergeCell ref="BJ239:BJ249"/>
    <mergeCell ref="BK239:BK249"/>
    <mergeCell ref="BL239:BL249"/>
    <mergeCell ref="BM239:BM249"/>
    <mergeCell ref="BN239:BN249"/>
    <mergeCell ref="BO239:BO249"/>
    <mergeCell ref="BP239:BP249"/>
    <mergeCell ref="AN250:AN260"/>
    <mergeCell ref="AO250:AO260"/>
    <mergeCell ref="AP250:AP260"/>
    <mergeCell ref="AQ250:AQ260"/>
    <mergeCell ref="AR250:AR260"/>
    <mergeCell ref="AS250:AS260"/>
    <mergeCell ref="AT250:AT260"/>
    <mergeCell ref="AU250:AU260"/>
    <mergeCell ref="AV250:AV260"/>
    <mergeCell ref="AW250:AW260"/>
    <mergeCell ref="AX250:AX260"/>
    <mergeCell ref="AY250:AY260"/>
    <mergeCell ref="AZ250:AZ260"/>
    <mergeCell ref="BA250:BA260"/>
    <mergeCell ref="BB250:BB260"/>
    <mergeCell ref="BC250:BC260"/>
    <mergeCell ref="BD250:BD260"/>
    <mergeCell ref="BE250:BE260"/>
    <mergeCell ref="BF250:BF260"/>
    <mergeCell ref="BG250:BG260"/>
    <mergeCell ref="BH250:BH260"/>
    <mergeCell ref="BP250:BP260"/>
    <mergeCell ref="BQ250:BQ260"/>
    <mergeCell ref="BR250:BR260"/>
    <mergeCell ref="BS250:BS260"/>
    <mergeCell ref="BT250:BT260"/>
    <mergeCell ref="BU250:BU260"/>
    <mergeCell ref="BV250:BV260"/>
    <mergeCell ref="BW250:BW260"/>
    <mergeCell ref="BI250:BI260"/>
    <mergeCell ref="BJ250:BJ260"/>
    <mergeCell ref="BK250:BK260"/>
    <mergeCell ref="BL250:BL260"/>
    <mergeCell ref="BM250:BM260"/>
    <mergeCell ref="BN250:BN260"/>
    <mergeCell ref="BO250:BO260"/>
    <mergeCell ref="BP261:BP271"/>
    <mergeCell ref="BQ261:BQ271"/>
    <mergeCell ref="BR261:BR271"/>
    <mergeCell ref="BS261:BS271"/>
    <mergeCell ref="BT261:BT271"/>
    <mergeCell ref="BU261:BU271"/>
    <mergeCell ref="BV261:BV271"/>
    <mergeCell ref="BW261:BW271"/>
    <mergeCell ref="BI261:BI271"/>
    <mergeCell ref="BJ261:BJ271"/>
    <mergeCell ref="BK261:BK271"/>
    <mergeCell ref="BL261:BL271"/>
    <mergeCell ref="BM261:BM271"/>
    <mergeCell ref="BN261:BN271"/>
    <mergeCell ref="BO261:BO271"/>
    <mergeCell ref="L261:L271"/>
    <mergeCell ref="M261:M271"/>
    <mergeCell ref="N261:N271"/>
    <mergeCell ref="O261:O271"/>
    <mergeCell ref="P261:P271"/>
    <mergeCell ref="Q261:Q271"/>
    <mergeCell ref="R261:R271"/>
    <mergeCell ref="S261:S271"/>
    <mergeCell ref="T261:T271"/>
    <mergeCell ref="U261:U271"/>
    <mergeCell ref="V261:V271"/>
    <mergeCell ref="W261:W271"/>
    <mergeCell ref="X261:X271"/>
    <mergeCell ref="Y261:Y271"/>
    <mergeCell ref="Z261:Z271"/>
    <mergeCell ref="AA261:AA271"/>
    <mergeCell ref="AB261:AB271"/>
    <mergeCell ref="AC261:AC271"/>
    <mergeCell ref="AD261:AD271"/>
    <mergeCell ref="AE261:AE271"/>
    <mergeCell ref="AF261:AF271"/>
    <mergeCell ref="AG261:AG271"/>
    <mergeCell ref="AH261:AH271"/>
    <mergeCell ref="AI261:AI271"/>
    <mergeCell ref="AJ261:AJ271"/>
    <mergeCell ref="AK261:AK271"/>
    <mergeCell ref="AL261:AL271"/>
    <mergeCell ref="AM261:AM271"/>
    <mergeCell ref="AN261:AN271"/>
    <mergeCell ref="AO261:AO271"/>
    <mergeCell ref="AP261:AP271"/>
    <mergeCell ref="AQ261:AQ271"/>
    <mergeCell ref="AR261:AR271"/>
    <mergeCell ref="AS261:AS271"/>
    <mergeCell ref="AT261:AT271"/>
    <mergeCell ref="AU261:AU271"/>
    <mergeCell ref="AV261:AV271"/>
    <mergeCell ref="AW261:AW271"/>
    <mergeCell ref="AX261:AX271"/>
    <mergeCell ref="AY261:AY271"/>
    <mergeCell ref="AZ261:AZ271"/>
    <mergeCell ref="BA261:BA271"/>
    <mergeCell ref="BB261:BB271"/>
    <mergeCell ref="BC261:BC271"/>
    <mergeCell ref="BD261:BD271"/>
    <mergeCell ref="BE261:BE271"/>
    <mergeCell ref="BF261:BF271"/>
    <mergeCell ref="BG261:BG271"/>
    <mergeCell ref="BH261:BH271"/>
    <mergeCell ref="AZ5:BI5"/>
    <mergeCell ref="AZ6:BG6"/>
    <mergeCell ref="BH6:BI6"/>
    <mergeCell ref="BJ6:BK6"/>
    <mergeCell ref="BL6:BM6"/>
    <mergeCell ref="BN6:BO6"/>
    <mergeCell ref="BP6:BQ6"/>
    <mergeCell ref="AD4:BI4"/>
    <mergeCell ref="BJ4:BU5"/>
    <mergeCell ref="BV4:BV5"/>
    <mergeCell ref="BW4:BW5"/>
    <mergeCell ref="AH5:AH6"/>
    <mergeCell ref="AI5:AI6"/>
    <mergeCell ref="AT6:AU6"/>
    <mergeCell ref="A1:AC1"/>
    <mergeCell ref="AD1:BV1"/>
    <mergeCell ref="A2:AC2"/>
    <mergeCell ref="AD2:BV2"/>
    <mergeCell ref="A3:AC3"/>
    <mergeCell ref="AD3:BV3"/>
    <mergeCell ref="A4:AC4"/>
    <mergeCell ref="AD5:AG5"/>
    <mergeCell ref="AJ5:AR5"/>
    <mergeCell ref="AS5:AW5"/>
    <mergeCell ref="AX5:AY5"/>
    <mergeCell ref="H6:H7"/>
    <mergeCell ref="I6:I7"/>
    <mergeCell ref="Z6:Z7"/>
    <mergeCell ref="AA6:AA7"/>
    <mergeCell ref="AB6:AB7"/>
    <mergeCell ref="AC6:AC7"/>
    <mergeCell ref="AD6:AD7"/>
    <mergeCell ref="AE6:AE7"/>
    <mergeCell ref="AF6:AF7"/>
    <mergeCell ref="AG6:AG7"/>
    <mergeCell ref="BR6:BR7"/>
    <mergeCell ref="BS6:BS7"/>
    <mergeCell ref="BT6:BT7"/>
    <mergeCell ref="BU6:BU7"/>
    <mergeCell ref="BV6:BV7"/>
    <mergeCell ref="BW6:BW7"/>
    <mergeCell ref="AJ6:AL6"/>
    <mergeCell ref="AO6:AQ6"/>
    <mergeCell ref="AS6:AS7"/>
    <mergeCell ref="AV6:AV7"/>
    <mergeCell ref="AW6:AW7"/>
    <mergeCell ref="AX6:AX7"/>
    <mergeCell ref="AY6:AY7"/>
    <mergeCell ref="Y8:Y18"/>
    <mergeCell ref="Z8:Z18"/>
    <mergeCell ref="AA8:AA18"/>
    <mergeCell ref="AB8:AB18"/>
    <mergeCell ref="AC8:AC18"/>
    <mergeCell ref="AD8:AD18"/>
    <mergeCell ref="AE8:AE18"/>
    <mergeCell ref="AF8:AF18"/>
    <mergeCell ref="AG8:AG18"/>
    <mergeCell ref="AH8:AH18"/>
    <mergeCell ref="AI8:AI18"/>
    <mergeCell ref="AJ8:AJ18"/>
    <mergeCell ref="AK8:AK18"/>
    <mergeCell ref="AL8:AL18"/>
    <mergeCell ref="AM8:AM18"/>
    <mergeCell ref="AN8:AN18"/>
    <mergeCell ref="AO8:AO18"/>
    <mergeCell ref="AP8:AP18"/>
    <mergeCell ref="AQ8:AQ18"/>
    <mergeCell ref="AR8:AR18"/>
    <mergeCell ref="AS8:AS18"/>
    <mergeCell ref="AT8:AT18"/>
    <mergeCell ref="AU8:AU18"/>
    <mergeCell ref="AV8:AV18"/>
    <mergeCell ref="AW8:AW18"/>
    <mergeCell ref="AX8:AX18"/>
    <mergeCell ref="AY8:AY18"/>
    <mergeCell ref="AZ8:AZ18"/>
    <mergeCell ref="BA8:BA18"/>
    <mergeCell ref="BB8:BB18"/>
    <mergeCell ref="BC8:BC18"/>
    <mergeCell ref="BD8:BD18"/>
    <mergeCell ref="BE8:BE18"/>
    <mergeCell ref="BF8:BF18"/>
    <mergeCell ref="BG8:BG18"/>
    <mergeCell ref="BH8:BH18"/>
    <mergeCell ref="BI8:BI18"/>
    <mergeCell ref="BJ8:BJ18"/>
    <mergeCell ref="BK8:BK18"/>
    <mergeCell ref="BL8:BL18"/>
    <mergeCell ref="BM8:BM18"/>
    <mergeCell ref="BN8:BN18"/>
    <mergeCell ref="BV8:BV18"/>
    <mergeCell ref="BW8:BW18"/>
    <mergeCell ref="BO8:BO18"/>
    <mergeCell ref="BP8:BP18"/>
    <mergeCell ref="BQ8:BQ18"/>
    <mergeCell ref="BR8:BR18"/>
    <mergeCell ref="BS8:BS18"/>
    <mergeCell ref="BT8:BT18"/>
    <mergeCell ref="BU8:BU18"/>
    <mergeCell ref="U8:U18"/>
    <mergeCell ref="V8:V18"/>
    <mergeCell ref="U19:U29"/>
    <mergeCell ref="V19:V29"/>
    <mergeCell ref="W8:W18"/>
    <mergeCell ref="X8:X18"/>
    <mergeCell ref="W19:W29"/>
    <mergeCell ref="X19:X29"/>
    <mergeCell ref="Y19:Y29"/>
    <mergeCell ref="Z19:Z29"/>
    <mergeCell ref="AA19:AA29"/>
    <mergeCell ref="AI19:AI29"/>
    <mergeCell ref="AJ19:AJ29"/>
    <mergeCell ref="AK19:AK29"/>
    <mergeCell ref="AL19:AL29"/>
    <mergeCell ref="AM19:AM29"/>
    <mergeCell ref="AN19:AN29"/>
    <mergeCell ref="AO19:AO29"/>
    <mergeCell ref="AP19:AP29"/>
    <mergeCell ref="AQ19:AQ29"/>
    <mergeCell ref="AR19:AR29"/>
    <mergeCell ref="AS19:AS29"/>
    <mergeCell ref="AT19:AT29"/>
    <mergeCell ref="AU19:AU29"/>
    <mergeCell ref="AV19:AV29"/>
    <mergeCell ref="AW19:AW29"/>
    <mergeCell ref="AX19:AX29"/>
    <mergeCell ref="AY19:AY29"/>
    <mergeCell ref="AZ19:AZ29"/>
    <mergeCell ref="BA19:BA29"/>
    <mergeCell ref="BB19:BB29"/>
    <mergeCell ref="BC19:BC29"/>
    <mergeCell ref="BD19:BD29"/>
    <mergeCell ref="BE19:BE29"/>
    <mergeCell ref="BF19:BF29"/>
    <mergeCell ref="BG19:BG29"/>
    <mergeCell ref="BH19:BH29"/>
    <mergeCell ref="BI19:BI29"/>
    <mergeCell ref="BJ19:BJ29"/>
    <mergeCell ref="BR19:BR29"/>
    <mergeCell ref="BS19:BS29"/>
    <mergeCell ref="BT19:BT29"/>
    <mergeCell ref="BU19:BU29"/>
    <mergeCell ref="BV19:BV29"/>
    <mergeCell ref="BW19:BW29"/>
    <mergeCell ref="BK19:BK29"/>
    <mergeCell ref="BL19:BL29"/>
    <mergeCell ref="BM19:BM29"/>
    <mergeCell ref="BN19:BN29"/>
    <mergeCell ref="BO19:BO29"/>
    <mergeCell ref="BP19:BP29"/>
    <mergeCell ref="BQ19:BQ29"/>
    <mergeCell ref="X30:X40"/>
    <mergeCell ref="Y30:Y40"/>
    <mergeCell ref="Z30:Z40"/>
    <mergeCell ref="AA30:AA40"/>
    <mergeCell ref="AB30:AB40"/>
    <mergeCell ref="AC30:AC40"/>
    <mergeCell ref="AD30:AD40"/>
    <mergeCell ref="AE30:AE40"/>
    <mergeCell ref="AF30:AF40"/>
    <mergeCell ref="AI30:AI40"/>
    <mergeCell ref="AJ30:AJ40"/>
    <mergeCell ref="AK30:AK40"/>
    <mergeCell ref="AL30:AL40"/>
    <mergeCell ref="AM30:AM40"/>
    <mergeCell ref="AN30:AN40"/>
    <mergeCell ref="AO30:AO40"/>
    <mergeCell ref="AP30:AP40"/>
    <mergeCell ref="AQ30:AQ40"/>
    <mergeCell ref="AR30:AR40"/>
    <mergeCell ref="AS30:AS40"/>
    <mergeCell ref="AT30:AT40"/>
    <mergeCell ref="AU30:AU40"/>
    <mergeCell ref="AV30:AV40"/>
    <mergeCell ref="AW30:AW40"/>
    <mergeCell ref="AX30:AX40"/>
    <mergeCell ref="AY30:AY40"/>
    <mergeCell ref="AZ30:AZ40"/>
    <mergeCell ref="BA30:BA40"/>
    <mergeCell ref="BB30:BB40"/>
    <mergeCell ref="BC30:BC40"/>
    <mergeCell ref="BD30:BD40"/>
    <mergeCell ref="BE30:BE40"/>
    <mergeCell ref="BF30:BF40"/>
    <mergeCell ref="BG30:BG40"/>
    <mergeCell ref="BH30:BH40"/>
    <mergeCell ref="BP30:BP40"/>
    <mergeCell ref="BQ30:BQ40"/>
    <mergeCell ref="BR30:BR40"/>
    <mergeCell ref="BS30:BS40"/>
    <mergeCell ref="BT30:BT40"/>
    <mergeCell ref="BU30:BU40"/>
    <mergeCell ref="BV30:BV40"/>
    <mergeCell ref="BW30:BW40"/>
    <mergeCell ref="BI30:BI40"/>
    <mergeCell ref="BJ30:BJ40"/>
    <mergeCell ref="BK30:BK40"/>
    <mergeCell ref="BL30:BL40"/>
    <mergeCell ref="BM30:BM40"/>
    <mergeCell ref="BN30:BN40"/>
    <mergeCell ref="BO30:BO40"/>
    <mergeCell ref="AN41:AN51"/>
    <mergeCell ref="AO41:AO51"/>
    <mergeCell ref="AP41:AP51"/>
    <mergeCell ref="AQ41:AQ51"/>
    <mergeCell ref="AR41:AR51"/>
    <mergeCell ref="AS41:AS51"/>
    <mergeCell ref="AT41:AT51"/>
    <mergeCell ref="AU41:AU51"/>
    <mergeCell ref="AV41:AV51"/>
    <mergeCell ref="AW41:AW51"/>
    <mergeCell ref="AX41:AX51"/>
    <mergeCell ref="AY41:AY51"/>
    <mergeCell ref="AZ41:AZ51"/>
    <mergeCell ref="BA41:BA51"/>
    <mergeCell ref="BB41:BB51"/>
    <mergeCell ref="BC41:BC51"/>
    <mergeCell ref="BD41:BD51"/>
    <mergeCell ref="BE41:BE51"/>
    <mergeCell ref="BF41:BF51"/>
    <mergeCell ref="BG41:BG51"/>
    <mergeCell ref="BH41:BH51"/>
    <mergeCell ref="BP41:BP51"/>
    <mergeCell ref="BQ41:BQ51"/>
    <mergeCell ref="BR41:BR51"/>
    <mergeCell ref="BS41:BS51"/>
    <mergeCell ref="BT41:BT51"/>
    <mergeCell ref="BU41:BU51"/>
    <mergeCell ref="BV41:BV51"/>
    <mergeCell ref="BW41:BW51"/>
    <mergeCell ref="BI41:BI51"/>
    <mergeCell ref="BJ41:BJ51"/>
    <mergeCell ref="BK41:BK51"/>
    <mergeCell ref="BL41:BL51"/>
    <mergeCell ref="BM41:BM51"/>
    <mergeCell ref="BN41:BN51"/>
    <mergeCell ref="BO41:BO51"/>
    <mergeCell ref="B5:AC5"/>
    <mergeCell ref="A6:A7"/>
    <mergeCell ref="C6:C7"/>
    <mergeCell ref="D6:D7"/>
    <mergeCell ref="E6:E7"/>
    <mergeCell ref="F6:F7"/>
    <mergeCell ref="G6:G7"/>
    <mergeCell ref="Q8:Q18"/>
    <mergeCell ref="R8:R18"/>
    <mergeCell ref="Q19:Q29"/>
    <mergeCell ref="R19:R29"/>
    <mergeCell ref="A19:A29"/>
    <mergeCell ref="B19:B29"/>
    <mergeCell ref="A30:A40"/>
    <mergeCell ref="B30:B40"/>
    <mergeCell ref="V6:V7"/>
    <mergeCell ref="Y6:Y7"/>
    <mergeCell ref="A8:A18"/>
    <mergeCell ref="B8:B18"/>
    <mergeCell ref="L8:L18"/>
    <mergeCell ref="M8:M18"/>
    <mergeCell ref="N8:N18"/>
    <mergeCell ref="O8:O18"/>
    <mergeCell ref="P8:P18"/>
    <mergeCell ref="L19:L29"/>
    <mergeCell ref="M19:M29"/>
    <mergeCell ref="N19:N29"/>
    <mergeCell ref="O19:O29"/>
    <mergeCell ref="P19:P29"/>
    <mergeCell ref="S8:S18"/>
    <mergeCell ref="T8:T18"/>
    <mergeCell ref="S19:S29"/>
    <mergeCell ref="T19:T29"/>
    <mergeCell ref="U30:U40"/>
    <mergeCell ref="V30:V40"/>
    <mergeCell ref="W30:W40"/>
    <mergeCell ref="AG30:AG40"/>
    <mergeCell ref="AH30:AH40"/>
    <mergeCell ref="AB19:AB29"/>
    <mergeCell ref="AC19:AC29"/>
    <mergeCell ref="AD19:AD29"/>
    <mergeCell ref="AE19:AE29"/>
    <mergeCell ref="AF19:AF29"/>
    <mergeCell ref="AG19:AG29"/>
    <mergeCell ref="AH19:AH29"/>
    <mergeCell ref="AB52:AB62"/>
    <mergeCell ref="AC52:AC62"/>
    <mergeCell ref="U52:U62"/>
    <mergeCell ref="V52:V62"/>
    <mergeCell ref="W52:W62"/>
    <mergeCell ref="X52:X62"/>
    <mergeCell ref="Y52:Y62"/>
    <mergeCell ref="Z52:Z62"/>
    <mergeCell ref="AA52:AA62"/>
    <mergeCell ref="AD52:AD62"/>
    <mergeCell ref="AE52:AE62"/>
    <mergeCell ref="AF52:AF62"/>
    <mergeCell ref="AG52:AG62"/>
    <mergeCell ref="AH52:AH62"/>
    <mergeCell ref="AI52:AI62"/>
    <mergeCell ref="AJ52:AJ62"/>
    <mergeCell ref="AK52:AK62"/>
    <mergeCell ref="AL52:AL62"/>
    <mergeCell ref="AN52:AN62"/>
    <mergeCell ref="AO52:AO62"/>
    <mergeCell ref="AP52:AP62"/>
    <mergeCell ref="AQ52:AQ62"/>
    <mergeCell ref="AR52:AR62"/>
    <mergeCell ref="AS52:AS62"/>
    <mergeCell ref="AT52:AT62"/>
    <mergeCell ref="AU52:AU62"/>
    <mergeCell ref="AV52:AV62"/>
    <mergeCell ref="AW52:AW62"/>
    <mergeCell ref="AX52:AX62"/>
    <mergeCell ref="AY52:AY62"/>
    <mergeCell ref="AZ52:AZ62"/>
    <mergeCell ref="BA52:BA62"/>
    <mergeCell ref="BB52:BB62"/>
    <mergeCell ref="BC52:BC62"/>
    <mergeCell ref="BD52:BD62"/>
    <mergeCell ref="BE52:BE62"/>
    <mergeCell ref="BF52:BF62"/>
    <mergeCell ref="BG52:BG62"/>
    <mergeCell ref="BH52:BH62"/>
    <mergeCell ref="BI52:BI62"/>
    <mergeCell ref="BJ52:BJ62"/>
    <mergeCell ref="BK52:BK62"/>
    <mergeCell ref="BL52:BL62"/>
    <mergeCell ref="BM52:BM62"/>
    <mergeCell ref="BU52:BU62"/>
    <mergeCell ref="BV52:BV62"/>
    <mergeCell ref="BW52:BW62"/>
    <mergeCell ref="BN52:BN62"/>
    <mergeCell ref="BO52:BO62"/>
    <mergeCell ref="BP52:BP62"/>
    <mergeCell ref="BQ52:BQ62"/>
    <mergeCell ref="BR52:BR62"/>
    <mergeCell ref="BS52:BS62"/>
    <mergeCell ref="BT52:BT62"/>
    <mergeCell ref="AN63:AN73"/>
    <mergeCell ref="AO63:AO73"/>
    <mergeCell ref="AP63:AP73"/>
    <mergeCell ref="AQ63:AQ73"/>
    <mergeCell ref="AR63:AR73"/>
    <mergeCell ref="AS63:AS73"/>
    <mergeCell ref="AT63:AT73"/>
    <mergeCell ref="AU63:AU73"/>
    <mergeCell ref="AV63:AV73"/>
    <mergeCell ref="AW63:AW73"/>
    <mergeCell ref="AX63:AX73"/>
    <mergeCell ref="AY63:AY73"/>
    <mergeCell ref="AZ63:AZ73"/>
    <mergeCell ref="BA63:BA73"/>
    <mergeCell ref="BB63:BB73"/>
    <mergeCell ref="BC63:BC73"/>
    <mergeCell ref="BD63:BD73"/>
    <mergeCell ref="BE63:BE73"/>
    <mergeCell ref="BF63:BF73"/>
    <mergeCell ref="BG63:BG73"/>
    <mergeCell ref="BH63:BH73"/>
    <mergeCell ref="BP63:BP73"/>
    <mergeCell ref="BQ63:BQ73"/>
    <mergeCell ref="BR63:BR73"/>
    <mergeCell ref="BS63:BS73"/>
    <mergeCell ref="BT63:BT73"/>
    <mergeCell ref="BU63:BU73"/>
    <mergeCell ref="BV63:BV73"/>
    <mergeCell ref="BW63:BW73"/>
    <mergeCell ref="BI63:BI73"/>
    <mergeCell ref="BJ63:BJ73"/>
    <mergeCell ref="BK63:BK73"/>
    <mergeCell ref="BL63:BL73"/>
    <mergeCell ref="BM63:BM73"/>
    <mergeCell ref="BN63:BN73"/>
    <mergeCell ref="BO63:BO73"/>
    <mergeCell ref="S74:S84"/>
    <mergeCell ref="T74:T84"/>
    <mergeCell ref="L74:L84"/>
    <mergeCell ref="M74:M84"/>
    <mergeCell ref="N74:N84"/>
    <mergeCell ref="O74:O84"/>
    <mergeCell ref="P74:P84"/>
    <mergeCell ref="Q74:Q84"/>
    <mergeCell ref="R74:R84"/>
    <mergeCell ref="AB74:AB84"/>
    <mergeCell ref="AC74:AC84"/>
    <mergeCell ref="U74:U84"/>
    <mergeCell ref="V74:V84"/>
    <mergeCell ref="W74:W84"/>
    <mergeCell ref="X74:X84"/>
    <mergeCell ref="Y74:Y84"/>
    <mergeCell ref="Z74:Z84"/>
    <mergeCell ref="AA74:AA84"/>
    <mergeCell ref="AD74:AD84"/>
    <mergeCell ref="AE74:AE84"/>
    <mergeCell ref="AF74:AF84"/>
    <mergeCell ref="AG74:AG84"/>
    <mergeCell ref="AH74:AH84"/>
    <mergeCell ref="AI74:AI84"/>
    <mergeCell ref="AJ74:AJ84"/>
    <mergeCell ref="AK74:AK84"/>
    <mergeCell ref="AL74:AL84"/>
    <mergeCell ref="AN74:AN84"/>
    <mergeCell ref="AO74:AO84"/>
    <mergeCell ref="AP74:AP84"/>
    <mergeCell ref="AQ74:AQ84"/>
    <mergeCell ref="AR74:AR84"/>
    <mergeCell ref="AS74:AS84"/>
    <mergeCell ref="AT74:AT84"/>
    <mergeCell ref="AU74:AU84"/>
    <mergeCell ref="AV74:AV84"/>
    <mergeCell ref="AW74:AW84"/>
    <mergeCell ref="AX74:AX84"/>
    <mergeCell ref="AY74:AY84"/>
    <mergeCell ref="AZ74:AZ84"/>
    <mergeCell ref="BA74:BA84"/>
    <mergeCell ref="BB74:BB84"/>
    <mergeCell ref="BC74:BC84"/>
    <mergeCell ref="BD74:BD84"/>
    <mergeCell ref="BE74:BE84"/>
    <mergeCell ref="BF74:BF84"/>
    <mergeCell ref="BG74:BG84"/>
    <mergeCell ref="BH74:BH84"/>
    <mergeCell ref="BI74:BI84"/>
    <mergeCell ref="BJ74:BJ84"/>
    <mergeCell ref="BK74:BK84"/>
    <mergeCell ref="BL74:BL84"/>
    <mergeCell ref="BM74:BM84"/>
    <mergeCell ref="BU74:BU84"/>
    <mergeCell ref="BV74:BV84"/>
    <mergeCell ref="BW74:BW84"/>
    <mergeCell ref="BN74:BN84"/>
    <mergeCell ref="BO74:BO84"/>
    <mergeCell ref="BP74:BP84"/>
    <mergeCell ref="BQ74:BQ84"/>
    <mergeCell ref="BR74:BR84"/>
    <mergeCell ref="BS74:BS84"/>
    <mergeCell ref="BT74:BT84"/>
    <mergeCell ref="S30:S40"/>
    <mergeCell ref="T30:T40"/>
    <mergeCell ref="A41:A51"/>
    <mergeCell ref="B41:B51"/>
    <mergeCell ref="A52:A62"/>
    <mergeCell ref="B52:B62"/>
    <mergeCell ref="L30:L40"/>
    <mergeCell ref="M30:M40"/>
    <mergeCell ref="N30:N40"/>
    <mergeCell ref="O30:O40"/>
    <mergeCell ref="P30:P40"/>
    <mergeCell ref="Q30:Q40"/>
    <mergeCell ref="R30:R40"/>
    <mergeCell ref="AG41:AG51"/>
    <mergeCell ref="AH41:AH51"/>
    <mergeCell ref="AI41:AI51"/>
    <mergeCell ref="AJ41:AJ51"/>
    <mergeCell ref="AK41:AK51"/>
    <mergeCell ref="AL41:AL51"/>
    <mergeCell ref="AM41:AM51"/>
    <mergeCell ref="AM52:AM62"/>
    <mergeCell ref="L41:L51"/>
    <mergeCell ref="M41:M51"/>
    <mergeCell ref="N41:N51"/>
    <mergeCell ref="O41:O51"/>
    <mergeCell ref="P41:P51"/>
    <mergeCell ref="Q41:Q51"/>
    <mergeCell ref="R41:R51"/>
    <mergeCell ref="S41:S51"/>
    <mergeCell ref="T41:T51"/>
    <mergeCell ref="U41:U51"/>
    <mergeCell ref="V41:V51"/>
    <mergeCell ref="W41:W51"/>
    <mergeCell ref="X41:X51"/>
    <mergeCell ref="Y41:Y51"/>
    <mergeCell ref="Z41:Z51"/>
    <mergeCell ref="AA41:AA51"/>
    <mergeCell ref="AB41:AB51"/>
    <mergeCell ref="AC41:AC51"/>
    <mergeCell ref="AD41:AD51"/>
    <mergeCell ref="AE41:AE51"/>
    <mergeCell ref="AF41:AF51"/>
    <mergeCell ref="AG85:AG95"/>
    <mergeCell ref="AH85:AH95"/>
    <mergeCell ref="Z85:Z95"/>
    <mergeCell ref="AA85:AA95"/>
    <mergeCell ref="AB85:AB95"/>
    <mergeCell ref="AC85:AC95"/>
    <mergeCell ref="AD85:AD95"/>
    <mergeCell ref="AE85:AE95"/>
    <mergeCell ref="AF85:AF95"/>
    <mergeCell ref="AG63:AG73"/>
    <mergeCell ref="AH63:AH73"/>
    <mergeCell ref="AJ63:AJ73"/>
    <mergeCell ref="AK63:AK73"/>
    <mergeCell ref="AL63:AL73"/>
    <mergeCell ref="AM63:AM73"/>
    <mergeCell ref="AM74:AM84"/>
    <mergeCell ref="AI63:AI73"/>
    <mergeCell ref="AI85:AI95"/>
    <mergeCell ref="AJ85:AJ95"/>
    <mergeCell ref="AK85:AK95"/>
    <mergeCell ref="AL85:AL95"/>
    <mergeCell ref="AM85:AM95"/>
    <mergeCell ref="AN85:AN95"/>
    <mergeCell ref="AV85:AV95"/>
    <mergeCell ref="AW85:AW95"/>
    <mergeCell ref="AX85:AX95"/>
    <mergeCell ref="AY85:AY95"/>
    <mergeCell ref="AZ85:AZ95"/>
    <mergeCell ref="BA85:BA95"/>
    <mergeCell ref="BB85:BB95"/>
    <mergeCell ref="BC85:BC95"/>
    <mergeCell ref="BD85:BD95"/>
    <mergeCell ref="BE85:BE95"/>
    <mergeCell ref="BF85:BF95"/>
    <mergeCell ref="BG85:BG95"/>
    <mergeCell ref="BH85:BH95"/>
    <mergeCell ref="BI85:BI95"/>
    <mergeCell ref="BQ85:BQ95"/>
    <mergeCell ref="BR85:BR95"/>
    <mergeCell ref="BS85:BS95"/>
    <mergeCell ref="BT85:BT95"/>
    <mergeCell ref="BU85:BU95"/>
    <mergeCell ref="BV85:BV95"/>
    <mergeCell ref="BW85:BW95"/>
    <mergeCell ref="BJ85:BJ95"/>
    <mergeCell ref="BK85:BK95"/>
    <mergeCell ref="BL85:BL95"/>
    <mergeCell ref="BM85:BM95"/>
    <mergeCell ref="BN85:BN95"/>
    <mergeCell ref="BO85:BO95"/>
    <mergeCell ref="BP85:BP95"/>
    <mergeCell ref="AN96:AN106"/>
    <mergeCell ref="AO96:AO106"/>
    <mergeCell ref="AP96:AP106"/>
    <mergeCell ref="AQ96:AQ106"/>
    <mergeCell ref="AR96:AR106"/>
    <mergeCell ref="AS96:AS106"/>
    <mergeCell ref="AT96:AT106"/>
    <mergeCell ref="AU96:AU106"/>
    <mergeCell ref="AV96:AV106"/>
    <mergeCell ref="AW96:AW106"/>
    <mergeCell ref="AX96:AX106"/>
    <mergeCell ref="AY96:AY106"/>
    <mergeCell ref="AZ96:AZ106"/>
    <mergeCell ref="BA96:BA106"/>
    <mergeCell ref="BB96:BB106"/>
    <mergeCell ref="BC96:BC106"/>
    <mergeCell ref="BD96:BD106"/>
    <mergeCell ref="BE96:BE106"/>
    <mergeCell ref="BF96:BF106"/>
    <mergeCell ref="BG96:BG106"/>
    <mergeCell ref="BH96:BH106"/>
    <mergeCell ref="BP96:BP106"/>
    <mergeCell ref="BQ96:BQ106"/>
    <mergeCell ref="BR96:BR106"/>
    <mergeCell ref="BS96:BS106"/>
    <mergeCell ref="BT96:BT106"/>
    <mergeCell ref="BU96:BU106"/>
    <mergeCell ref="BV96:BV106"/>
    <mergeCell ref="BW96:BW106"/>
    <mergeCell ref="BI96:BI106"/>
    <mergeCell ref="BJ96:BJ106"/>
    <mergeCell ref="BK96:BK106"/>
    <mergeCell ref="BL96:BL106"/>
    <mergeCell ref="BM96:BM106"/>
    <mergeCell ref="BN96:BN106"/>
    <mergeCell ref="BO96:BO106"/>
    <mergeCell ref="S107:S117"/>
    <mergeCell ref="T107:T117"/>
    <mergeCell ref="L107:L117"/>
    <mergeCell ref="M107:M117"/>
    <mergeCell ref="N107:N117"/>
    <mergeCell ref="O107:O117"/>
    <mergeCell ref="P107:P117"/>
    <mergeCell ref="Q107:Q117"/>
    <mergeCell ref="R107:R117"/>
    <mergeCell ref="U107:U117"/>
    <mergeCell ref="V107:V117"/>
    <mergeCell ref="W107:W117"/>
    <mergeCell ref="X107:X117"/>
    <mergeCell ref="Y107:Y117"/>
    <mergeCell ref="Z107:Z117"/>
    <mergeCell ref="AA107:AA117"/>
    <mergeCell ref="AB107:AB117"/>
    <mergeCell ref="AC107:AC117"/>
    <mergeCell ref="AV107:AV117"/>
    <mergeCell ref="AW107:AW117"/>
    <mergeCell ref="AX107:AX117"/>
    <mergeCell ref="AY107:AY117"/>
    <mergeCell ref="AZ107:AZ117"/>
    <mergeCell ref="BA107:BA117"/>
    <mergeCell ref="BB107:BB117"/>
    <mergeCell ref="BC107:BC117"/>
    <mergeCell ref="BD107:BD117"/>
    <mergeCell ref="BE107:BE117"/>
    <mergeCell ref="BF107:BF117"/>
    <mergeCell ref="BG107:BG117"/>
    <mergeCell ref="BH107:BH117"/>
    <mergeCell ref="BI107:BI117"/>
    <mergeCell ref="BJ107:BJ117"/>
    <mergeCell ref="BK107:BK117"/>
    <mergeCell ref="BL107:BL117"/>
    <mergeCell ref="BM107:BM117"/>
    <mergeCell ref="BN107:BN117"/>
    <mergeCell ref="BV107:BV117"/>
    <mergeCell ref="BW107:BW117"/>
    <mergeCell ref="BO107:BO117"/>
    <mergeCell ref="BP107:BP117"/>
    <mergeCell ref="BQ107:BQ117"/>
    <mergeCell ref="BR107:BR117"/>
    <mergeCell ref="BS107:BS117"/>
    <mergeCell ref="BT107:BT117"/>
    <mergeCell ref="BU107:BU117"/>
    <mergeCell ref="A63:A73"/>
    <mergeCell ref="B63:B73"/>
    <mergeCell ref="A74:A84"/>
    <mergeCell ref="B74:B84"/>
    <mergeCell ref="A85:A95"/>
    <mergeCell ref="B85:B95"/>
    <mergeCell ref="L52:L62"/>
    <mergeCell ref="M52:M62"/>
    <mergeCell ref="N52:N62"/>
    <mergeCell ref="O52:O62"/>
    <mergeCell ref="P52:P62"/>
    <mergeCell ref="Q52:Q62"/>
    <mergeCell ref="R52:R62"/>
    <mergeCell ref="S63:S73"/>
    <mergeCell ref="T63:T73"/>
    <mergeCell ref="U63:U73"/>
    <mergeCell ref="V63:V73"/>
    <mergeCell ref="W63:W73"/>
    <mergeCell ref="X63:X73"/>
    <mergeCell ref="Y63:Y73"/>
    <mergeCell ref="Z63:Z73"/>
    <mergeCell ref="AA63:AA73"/>
    <mergeCell ref="AB63:AB73"/>
    <mergeCell ref="AC63:AC73"/>
    <mergeCell ref="AD63:AD73"/>
    <mergeCell ref="AE63:AE73"/>
    <mergeCell ref="AF63:AF73"/>
    <mergeCell ref="L63:L73"/>
    <mergeCell ref="M63:M73"/>
    <mergeCell ref="N63:N73"/>
    <mergeCell ref="O63:O73"/>
    <mergeCell ref="P63:P73"/>
    <mergeCell ref="Q63:Q73"/>
    <mergeCell ref="R63:R73"/>
    <mergeCell ref="S52:S62"/>
    <mergeCell ref="T52:T62"/>
    <mergeCell ref="U85:U95"/>
    <mergeCell ref="V85:V95"/>
    <mergeCell ref="W85:W95"/>
    <mergeCell ref="X85:X95"/>
    <mergeCell ref="Y85:Y95"/>
    <mergeCell ref="AO85:AO95"/>
    <mergeCell ref="AP85:AP95"/>
    <mergeCell ref="AQ85:AQ95"/>
    <mergeCell ref="AR85:AR95"/>
    <mergeCell ref="AS85:AS95"/>
    <mergeCell ref="AT85:AT95"/>
    <mergeCell ref="AU85:AU95"/>
    <mergeCell ref="AD107:AD117"/>
    <mergeCell ref="AE107:AE117"/>
    <mergeCell ref="AF107:AF117"/>
    <mergeCell ref="AG107:AG117"/>
    <mergeCell ref="AH107:AH117"/>
    <mergeCell ref="AI107:AI117"/>
    <mergeCell ref="AJ107:AJ117"/>
    <mergeCell ref="AS107:AS117"/>
    <mergeCell ref="AT107:AT117"/>
    <mergeCell ref="AU107:AU117"/>
    <mergeCell ref="AK107:AK117"/>
    <mergeCell ref="AL107:AL117"/>
    <mergeCell ref="AN107:AN117"/>
    <mergeCell ref="AO107:AO117"/>
    <mergeCell ref="AP107:AP117"/>
    <mergeCell ref="AQ107:AQ117"/>
    <mergeCell ref="AR107:AR117"/>
    <mergeCell ref="AG118:AG128"/>
    <mergeCell ref="AH118:AH128"/>
    <mergeCell ref="Z118:Z128"/>
    <mergeCell ref="AA118:AA128"/>
    <mergeCell ref="AB118:AB128"/>
    <mergeCell ref="AC118:AC128"/>
    <mergeCell ref="AD118:AD128"/>
    <mergeCell ref="AE118:AE128"/>
    <mergeCell ref="AF118:AF128"/>
    <mergeCell ref="AG96:AG106"/>
    <mergeCell ref="AH96:AH106"/>
    <mergeCell ref="AJ96:AJ106"/>
    <mergeCell ref="AK96:AK106"/>
    <mergeCell ref="AL96:AL106"/>
    <mergeCell ref="AM96:AM106"/>
    <mergeCell ref="AM107:AM117"/>
    <mergeCell ref="AI96:AI106"/>
    <mergeCell ref="AI118:AI128"/>
    <mergeCell ref="AJ118:AJ128"/>
    <mergeCell ref="AK118:AK128"/>
    <mergeCell ref="AL118:AL128"/>
    <mergeCell ref="AM118:AM128"/>
    <mergeCell ref="AN118:AN128"/>
    <mergeCell ref="AV118:AV128"/>
    <mergeCell ref="AW118:AW128"/>
    <mergeCell ref="AX118:AX128"/>
    <mergeCell ref="AY118:AY128"/>
    <mergeCell ref="AZ118:AZ128"/>
    <mergeCell ref="BA118:BA128"/>
    <mergeCell ref="BB118:BB128"/>
    <mergeCell ref="BC118:BC128"/>
    <mergeCell ref="BD118:BD128"/>
    <mergeCell ref="BE118:BE128"/>
    <mergeCell ref="BF118:BF128"/>
    <mergeCell ref="BG118:BG128"/>
    <mergeCell ref="BH118:BH128"/>
    <mergeCell ref="BI118:BI128"/>
    <mergeCell ref="BQ118:BQ128"/>
    <mergeCell ref="BR118:BR128"/>
    <mergeCell ref="BS118:BS128"/>
    <mergeCell ref="BT118:BT128"/>
    <mergeCell ref="BU118:BU128"/>
    <mergeCell ref="BV118:BV128"/>
    <mergeCell ref="BW118:BW128"/>
    <mergeCell ref="BJ118:BJ128"/>
    <mergeCell ref="BK118:BK128"/>
    <mergeCell ref="BL118:BL128"/>
    <mergeCell ref="BM118:BM128"/>
    <mergeCell ref="BN118:BN128"/>
    <mergeCell ref="BO118:BO128"/>
    <mergeCell ref="BP118:BP128"/>
    <mergeCell ref="AN129:AN139"/>
    <mergeCell ref="AO129:AO139"/>
    <mergeCell ref="AP129:AP139"/>
    <mergeCell ref="AQ129:AQ139"/>
    <mergeCell ref="AR129:AR139"/>
    <mergeCell ref="AS129:AS139"/>
    <mergeCell ref="AT129:AT139"/>
    <mergeCell ref="AU129:AU139"/>
    <mergeCell ref="AV129:AV139"/>
    <mergeCell ref="AW129:AW139"/>
    <mergeCell ref="AX129:AX139"/>
    <mergeCell ref="AY129:AY139"/>
    <mergeCell ref="AZ129:AZ139"/>
    <mergeCell ref="BA129:BA139"/>
    <mergeCell ref="BB129:BB139"/>
    <mergeCell ref="BC129:BC139"/>
    <mergeCell ref="BD129:BD139"/>
    <mergeCell ref="BE129:BE139"/>
    <mergeCell ref="BF129:BF139"/>
    <mergeCell ref="BG129:BG139"/>
    <mergeCell ref="BH129:BH139"/>
    <mergeCell ref="BP129:BP139"/>
    <mergeCell ref="BQ129:BQ139"/>
    <mergeCell ref="BR129:BR139"/>
    <mergeCell ref="BS129:BS139"/>
    <mergeCell ref="BT129:BT139"/>
    <mergeCell ref="BU129:BU139"/>
    <mergeCell ref="BV129:BV139"/>
    <mergeCell ref="BW129:BW139"/>
    <mergeCell ref="BI129:BI139"/>
    <mergeCell ref="BJ129:BJ139"/>
    <mergeCell ref="BK129:BK139"/>
    <mergeCell ref="BL129:BL139"/>
    <mergeCell ref="BM129:BM139"/>
    <mergeCell ref="BN129:BN139"/>
    <mergeCell ref="BO129:BO139"/>
    <mergeCell ref="L140:L150"/>
    <mergeCell ref="M140:M150"/>
    <mergeCell ref="N140:N150"/>
    <mergeCell ref="O140:O150"/>
    <mergeCell ref="P140:P150"/>
    <mergeCell ref="Q140:Q150"/>
    <mergeCell ref="R140:R150"/>
    <mergeCell ref="S140:S150"/>
    <mergeCell ref="T140:T150"/>
    <mergeCell ref="AV140:AV150"/>
    <mergeCell ref="AW140:AW150"/>
    <mergeCell ref="AX140:AX150"/>
    <mergeCell ref="AY140:AY150"/>
    <mergeCell ref="AZ140:AZ150"/>
    <mergeCell ref="BA140:BA150"/>
    <mergeCell ref="BB140:BB150"/>
    <mergeCell ref="BC140:BC150"/>
    <mergeCell ref="BD140:BD150"/>
    <mergeCell ref="BE140:BE150"/>
    <mergeCell ref="BF140:BF150"/>
    <mergeCell ref="BG140:BG150"/>
    <mergeCell ref="BH140:BH150"/>
    <mergeCell ref="BI140:BI150"/>
    <mergeCell ref="BJ140:BJ150"/>
    <mergeCell ref="BK140:BK150"/>
    <mergeCell ref="BL140:BL150"/>
    <mergeCell ref="BM140:BM150"/>
    <mergeCell ref="BN140:BN150"/>
    <mergeCell ref="BV140:BV150"/>
    <mergeCell ref="BW140:BW150"/>
    <mergeCell ref="BO140:BO150"/>
    <mergeCell ref="BP140:BP150"/>
    <mergeCell ref="BQ140:BQ150"/>
    <mergeCell ref="BR140:BR150"/>
    <mergeCell ref="BS140:BS150"/>
    <mergeCell ref="BT140:BT150"/>
    <mergeCell ref="BU140:BU150"/>
    <mergeCell ref="A96:A106"/>
    <mergeCell ref="B96:B106"/>
    <mergeCell ref="A107:A117"/>
    <mergeCell ref="B107:B117"/>
    <mergeCell ref="A118:A128"/>
    <mergeCell ref="B118:B128"/>
    <mergeCell ref="L85:L95"/>
    <mergeCell ref="M85:M95"/>
    <mergeCell ref="N85:N95"/>
    <mergeCell ref="O85:O95"/>
    <mergeCell ref="P85:P95"/>
    <mergeCell ref="Q85:Q95"/>
    <mergeCell ref="R85:R95"/>
    <mergeCell ref="S96:S106"/>
    <mergeCell ref="T96:T106"/>
    <mergeCell ref="U96:U106"/>
    <mergeCell ref="V96:V106"/>
    <mergeCell ref="W96:W106"/>
    <mergeCell ref="X96:X106"/>
    <mergeCell ref="Y96:Y106"/>
    <mergeCell ref="Z96:Z106"/>
    <mergeCell ref="AA96:AA106"/>
    <mergeCell ref="AB96:AB106"/>
    <mergeCell ref="AC96:AC106"/>
    <mergeCell ref="AD96:AD106"/>
    <mergeCell ref="AE96:AE106"/>
    <mergeCell ref="AF96:AF106"/>
    <mergeCell ref="L96:L106"/>
    <mergeCell ref="M96:M106"/>
    <mergeCell ref="N96:N106"/>
    <mergeCell ref="O96:O106"/>
    <mergeCell ref="P96:P106"/>
    <mergeCell ref="Q96:Q106"/>
    <mergeCell ref="R96:R106"/>
    <mergeCell ref="S85:S95"/>
    <mergeCell ref="T85:T95"/>
    <mergeCell ref="U118:U128"/>
    <mergeCell ref="V118:V128"/>
    <mergeCell ref="W118:W128"/>
    <mergeCell ref="X118:X128"/>
    <mergeCell ref="Y118:Y128"/>
    <mergeCell ref="AO118:AO128"/>
    <mergeCell ref="AP118:AP128"/>
    <mergeCell ref="AQ118:AQ128"/>
    <mergeCell ref="AR118:AR128"/>
    <mergeCell ref="AS118:AS128"/>
    <mergeCell ref="AT118:AT128"/>
    <mergeCell ref="AU118:AU128"/>
    <mergeCell ref="AB140:AB150"/>
    <mergeCell ref="AC140:AC150"/>
    <mergeCell ref="U140:U150"/>
    <mergeCell ref="V140:V150"/>
    <mergeCell ref="W140:W150"/>
    <mergeCell ref="X140:X150"/>
    <mergeCell ref="Y140:Y150"/>
    <mergeCell ref="Z140:Z150"/>
    <mergeCell ref="AA140:AA150"/>
    <mergeCell ref="AD140:AD150"/>
    <mergeCell ref="AE140:AE150"/>
    <mergeCell ref="AF140:AF150"/>
    <mergeCell ref="AG140:AG150"/>
    <mergeCell ref="AH140:AH150"/>
    <mergeCell ref="AI140:AI150"/>
    <mergeCell ref="AJ140:AJ150"/>
    <mergeCell ref="AS140:AS150"/>
    <mergeCell ref="AT140:AT150"/>
    <mergeCell ref="AU140:AU150"/>
    <mergeCell ref="AK140:AK150"/>
    <mergeCell ref="AL140:AL150"/>
    <mergeCell ref="AN140:AN150"/>
    <mergeCell ref="AO140:AO150"/>
    <mergeCell ref="AP140:AP150"/>
    <mergeCell ref="AQ140:AQ150"/>
    <mergeCell ref="AR140:AR150"/>
    <mergeCell ref="AG151:AG161"/>
    <mergeCell ref="AH151:AH161"/>
    <mergeCell ref="Z151:Z161"/>
    <mergeCell ref="AA151:AA161"/>
    <mergeCell ref="AB151:AB161"/>
    <mergeCell ref="AC151:AC161"/>
    <mergeCell ref="AD151:AD161"/>
    <mergeCell ref="AE151:AE161"/>
    <mergeCell ref="AF151:AF161"/>
    <mergeCell ref="AG129:AG139"/>
    <mergeCell ref="AH129:AH139"/>
    <mergeCell ref="AJ129:AJ139"/>
    <mergeCell ref="AK129:AK139"/>
    <mergeCell ref="AL129:AL139"/>
    <mergeCell ref="AM129:AM139"/>
    <mergeCell ref="AM140:AM150"/>
    <mergeCell ref="AI129:AI139"/>
    <mergeCell ref="AI151:AI161"/>
    <mergeCell ref="AJ151:AJ161"/>
    <mergeCell ref="AK151:AK161"/>
    <mergeCell ref="AL151:AL161"/>
    <mergeCell ref="AM151:AM161"/>
    <mergeCell ref="AN151:AN161"/>
    <mergeCell ref="AV151:AV161"/>
    <mergeCell ref="AW151:AW161"/>
    <mergeCell ref="AX151:AX161"/>
    <mergeCell ref="AY151:AY161"/>
    <mergeCell ref="AZ151:AZ161"/>
    <mergeCell ref="BA151:BA161"/>
    <mergeCell ref="BB151:BB161"/>
    <mergeCell ref="BC151:BC161"/>
    <mergeCell ref="BD151:BD161"/>
    <mergeCell ref="BE151:BE161"/>
    <mergeCell ref="BF151:BF161"/>
    <mergeCell ref="BG151:BG161"/>
    <mergeCell ref="BH151:BH161"/>
    <mergeCell ref="BI151:BI161"/>
    <mergeCell ref="BQ151:BQ161"/>
    <mergeCell ref="BR151:BR161"/>
    <mergeCell ref="BS151:BS161"/>
    <mergeCell ref="BT151:BT161"/>
    <mergeCell ref="BU151:BU161"/>
    <mergeCell ref="BV151:BV161"/>
    <mergeCell ref="BW151:BW161"/>
    <mergeCell ref="BJ151:BJ161"/>
    <mergeCell ref="BK151:BK161"/>
    <mergeCell ref="BL151:BL161"/>
    <mergeCell ref="BM151:BM161"/>
    <mergeCell ref="BN151:BN161"/>
    <mergeCell ref="BO151:BO161"/>
    <mergeCell ref="BP151:BP161"/>
    <mergeCell ref="AN162:AN172"/>
    <mergeCell ref="AO162:AO172"/>
    <mergeCell ref="AP162:AP172"/>
    <mergeCell ref="AQ162:AQ172"/>
    <mergeCell ref="AR162:AR172"/>
    <mergeCell ref="AS162:AS172"/>
    <mergeCell ref="AT162:AT172"/>
    <mergeCell ref="AU162:AU172"/>
    <mergeCell ref="AV162:AV172"/>
    <mergeCell ref="AW162:AW172"/>
    <mergeCell ref="AX162:AX172"/>
    <mergeCell ref="AY162:AY172"/>
    <mergeCell ref="AZ162:AZ172"/>
    <mergeCell ref="BA162:BA172"/>
    <mergeCell ref="BB162:BB172"/>
    <mergeCell ref="BC162:BC172"/>
    <mergeCell ref="BD162:BD172"/>
    <mergeCell ref="BE162:BE172"/>
    <mergeCell ref="BF162:BF172"/>
    <mergeCell ref="BG162:BG172"/>
    <mergeCell ref="BH162:BH172"/>
    <mergeCell ref="BP162:BP172"/>
    <mergeCell ref="BQ162:BQ172"/>
    <mergeCell ref="BR162:BR172"/>
    <mergeCell ref="BS162:BS172"/>
    <mergeCell ref="BT162:BT172"/>
    <mergeCell ref="BU162:BU172"/>
    <mergeCell ref="BV162:BV172"/>
    <mergeCell ref="BW162:BW172"/>
    <mergeCell ref="BI162:BI172"/>
    <mergeCell ref="BJ162:BJ172"/>
    <mergeCell ref="BK162:BK172"/>
    <mergeCell ref="BL162:BL172"/>
    <mergeCell ref="BM162:BM172"/>
    <mergeCell ref="BN162:BN172"/>
    <mergeCell ref="BO162:BO172"/>
    <mergeCell ref="A129:A139"/>
    <mergeCell ref="B129:B139"/>
    <mergeCell ref="A140:A150"/>
    <mergeCell ref="B140:B150"/>
    <mergeCell ref="A151:A161"/>
    <mergeCell ref="B151:B161"/>
    <mergeCell ref="L118:L128"/>
    <mergeCell ref="M118:M128"/>
    <mergeCell ref="N118:N128"/>
    <mergeCell ref="O118:O128"/>
    <mergeCell ref="P118:P128"/>
    <mergeCell ref="Q118:Q128"/>
    <mergeCell ref="R118:R128"/>
    <mergeCell ref="S129:S139"/>
    <mergeCell ref="T129:T139"/>
    <mergeCell ref="U129:U139"/>
    <mergeCell ref="V129:V139"/>
    <mergeCell ref="W129:W139"/>
    <mergeCell ref="X129:X139"/>
    <mergeCell ref="Y129:Y139"/>
    <mergeCell ref="Z129:Z139"/>
    <mergeCell ref="AA129:AA139"/>
    <mergeCell ref="AB129:AB139"/>
    <mergeCell ref="AC129:AC139"/>
    <mergeCell ref="AD129:AD139"/>
    <mergeCell ref="AE129:AE139"/>
    <mergeCell ref="AF129:AF139"/>
    <mergeCell ref="L129:L139"/>
    <mergeCell ref="M129:M139"/>
    <mergeCell ref="N129:N139"/>
    <mergeCell ref="O129:O139"/>
    <mergeCell ref="P129:P139"/>
    <mergeCell ref="Q129:Q139"/>
    <mergeCell ref="R129:R139"/>
    <mergeCell ref="S118:S128"/>
    <mergeCell ref="T118:T128"/>
    <mergeCell ref="U151:U161"/>
    <mergeCell ref="V151:V161"/>
    <mergeCell ref="W151:W161"/>
    <mergeCell ref="X151:X161"/>
    <mergeCell ref="Y151:Y161"/>
    <mergeCell ref="AO151:AO161"/>
    <mergeCell ref="AP151:AP161"/>
    <mergeCell ref="AQ151:AQ161"/>
    <mergeCell ref="AR151:AR161"/>
    <mergeCell ref="AS151:AS161"/>
    <mergeCell ref="AT151:AT161"/>
    <mergeCell ref="AU151:AU161"/>
    <mergeCell ref="AB173:AB183"/>
    <mergeCell ref="AC173:AC183"/>
    <mergeCell ref="U173:U183"/>
    <mergeCell ref="V173:V183"/>
    <mergeCell ref="W173:W183"/>
    <mergeCell ref="X173:X183"/>
    <mergeCell ref="Y173:Y183"/>
    <mergeCell ref="Z173:Z183"/>
    <mergeCell ref="AA173:AA183"/>
    <mergeCell ref="AD173:AD183"/>
    <mergeCell ref="AE173:AE183"/>
    <mergeCell ref="AF173:AF183"/>
    <mergeCell ref="AG173:AG183"/>
    <mergeCell ref="AH173:AH183"/>
    <mergeCell ref="AI173:AI183"/>
    <mergeCell ref="AJ173:AJ183"/>
    <mergeCell ref="AK173:AK183"/>
    <mergeCell ref="AL173:AL183"/>
    <mergeCell ref="AN173:AN183"/>
    <mergeCell ref="AO173:AO183"/>
    <mergeCell ref="AP173:AP183"/>
    <mergeCell ref="AQ173:AQ183"/>
    <mergeCell ref="AR173:AR183"/>
    <mergeCell ref="AS173:AS183"/>
    <mergeCell ref="AT173:AT183"/>
    <mergeCell ref="AU173:AU183"/>
    <mergeCell ref="AV173:AV183"/>
    <mergeCell ref="AW173:AW183"/>
    <mergeCell ref="AX173:AX183"/>
    <mergeCell ref="AY173:AY183"/>
    <mergeCell ref="AZ173:AZ183"/>
    <mergeCell ref="BA173:BA183"/>
    <mergeCell ref="BB173:BB183"/>
    <mergeCell ref="BC173:BC183"/>
    <mergeCell ref="BD173:BD183"/>
    <mergeCell ref="BE173:BE183"/>
    <mergeCell ref="BF173:BF183"/>
    <mergeCell ref="BG173:BG183"/>
    <mergeCell ref="BH173:BH183"/>
    <mergeCell ref="BI173:BI183"/>
    <mergeCell ref="BJ173:BJ183"/>
    <mergeCell ref="BK173:BK183"/>
    <mergeCell ref="BL173:BL183"/>
    <mergeCell ref="BM173:BM183"/>
    <mergeCell ref="BU173:BU183"/>
    <mergeCell ref="BV173:BV183"/>
    <mergeCell ref="BW173:BW183"/>
    <mergeCell ref="BN173:BN183"/>
    <mergeCell ref="BO173:BO183"/>
    <mergeCell ref="BP173:BP183"/>
    <mergeCell ref="BQ173:BQ183"/>
    <mergeCell ref="BR173:BR183"/>
    <mergeCell ref="BS173:BS183"/>
    <mergeCell ref="BT173:BT183"/>
    <mergeCell ref="AN184:AN194"/>
    <mergeCell ref="AO184:AO194"/>
    <mergeCell ref="AP184:AP194"/>
    <mergeCell ref="AQ184:AQ194"/>
    <mergeCell ref="AR184:AR194"/>
    <mergeCell ref="AS184:AS194"/>
    <mergeCell ref="AT184:AT194"/>
    <mergeCell ref="AU184:AU194"/>
    <mergeCell ref="AV184:AV194"/>
    <mergeCell ref="AW184:AW194"/>
    <mergeCell ref="AX184:AX194"/>
    <mergeCell ref="AY184:AY194"/>
    <mergeCell ref="AZ184:AZ194"/>
    <mergeCell ref="BA184:BA194"/>
    <mergeCell ref="BB184:BB194"/>
    <mergeCell ref="BC184:BC194"/>
    <mergeCell ref="BD184:BD194"/>
    <mergeCell ref="BE184:BE194"/>
    <mergeCell ref="BF184:BF194"/>
    <mergeCell ref="BG184:BG194"/>
    <mergeCell ref="BH184:BH194"/>
    <mergeCell ref="BP184:BP194"/>
    <mergeCell ref="BQ184:BQ194"/>
    <mergeCell ref="BR184:BR194"/>
    <mergeCell ref="BS184:BS194"/>
    <mergeCell ref="BT184:BT194"/>
    <mergeCell ref="BU184:BU194"/>
    <mergeCell ref="BV184:BV194"/>
    <mergeCell ref="BW184:BW194"/>
    <mergeCell ref="BI184:BI194"/>
    <mergeCell ref="BJ184:BJ194"/>
    <mergeCell ref="BK184:BK194"/>
    <mergeCell ref="BL184:BL194"/>
    <mergeCell ref="BM184:BM194"/>
    <mergeCell ref="BN184:BN194"/>
    <mergeCell ref="BO184:BO194"/>
    <mergeCell ref="S195:S205"/>
    <mergeCell ref="T195:T205"/>
    <mergeCell ref="L195:L205"/>
    <mergeCell ref="M195:M205"/>
    <mergeCell ref="N195:N205"/>
    <mergeCell ref="O195:O205"/>
    <mergeCell ref="P195:P205"/>
    <mergeCell ref="Q195:Q205"/>
    <mergeCell ref="R195:R205"/>
    <mergeCell ref="AB195:AB205"/>
    <mergeCell ref="AC195:AC205"/>
    <mergeCell ref="U195:U205"/>
    <mergeCell ref="V195:V205"/>
    <mergeCell ref="W195:W205"/>
    <mergeCell ref="X195:X205"/>
    <mergeCell ref="Y195:Y205"/>
    <mergeCell ref="Z195:Z205"/>
    <mergeCell ref="AA195:AA205"/>
    <mergeCell ref="AD195:AD205"/>
    <mergeCell ref="AE195:AE205"/>
    <mergeCell ref="AF195:AF205"/>
    <mergeCell ref="AG195:AG205"/>
    <mergeCell ref="AH195:AH205"/>
    <mergeCell ref="AI195:AI205"/>
    <mergeCell ref="AJ195:AJ205"/>
    <mergeCell ref="AK195:AK205"/>
    <mergeCell ref="AL195:AL205"/>
    <mergeCell ref="AN195:AN205"/>
    <mergeCell ref="AO195:AO205"/>
    <mergeCell ref="AP195:AP205"/>
    <mergeCell ref="AQ195:AQ205"/>
    <mergeCell ref="AR195:AR205"/>
    <mergeCell ref="AS195:AS205"/>
    <mergeCell ref="AT195:AT205"/>
    <mergeCell ref="AU195:AU205"/>
    <mergeCell ref="AV195:AV205"/>
    <mergeCell ref="AW195:AW205"/>
    <mergeCell ref="AX195:AX205"/>
    <mergeCell ref="AY195:AY205"/>
    <mergeCell ref="AZ195:AZ205"/>
    <mergeCell ref="BA195:BA205"/>
    <mergeCell ref="BB195:BB205"/>
    <mergeCell ref="BC195:BC205"/>
    <mergeCell ref="BD195:BD205"/>
    <mergeCell ref="BE195:BE205"/>
    <mergeCell ref="BF195:BF205"/>
    <mergeCell ref="BG195:BG205"/>
    <mergeCell ref="BH195:BH205"/>
    <mergeCell ref="BI195:BI205"/>
    <mergeCell ref="BJ195:BJ205"/>
    <mergeCell ref="BK195:BK205"/>
    <mergeCell ref="BL195:BL205"/>
    <mergeCell ref="BM195:BM205"/>
    <mergeCell ref="BU195:BU205"/>
    <mergeCell ref="BV195:BV205"/>
    <mergeCell ref="BW195:BW205"/>
    <mergeCell ref="BN195:BN205"/>
    <mergeCell ref="BO195:BO205"/>
    <mergeCell ref="BP195:BP205"/>
    <mergeCell ref="BQ195:BQ205"/>
    <mergeCell ref="BR195:BR205"/>
    <mergeCell ref="BS195:BS205"/>
    <mergeCell ref="BT195:BT205"/>
    <mergeCell ref="A250:A260"/>
    <mergeCell ref="B250:B260"/>
    <mergeCell ref="A261:A271"/>
    <mergeCell ref="B261:B271"/>
    <mergeCell ref="A272:A282"/>
    <mergeCell ref="B272:B282"/>
    <mergeCell ref="L239:L249"/>
    <mergeCell ref="M239:M249"/>
    <mergeCell ref="N239:N249"/>
    <mergeCell ref="O239:O249"/>
    <mergeCell ref="P239:P249"/>
    <mergeCell ref="Q239:Q249"/>
    <mergeCell ref="R239:R249"/>
    <mergeCell ref="S250:S260"/>
    <mergeCell ref="T250:T260"/>
    <mergeCell ref="U250:U260"/>
    <mergeCell ref="V250:V260"/>
    <mergeCell ref="W250:W260"/>
    <mergeCell ref="X250:X260"/>
    <mergeCell ref="Y250:Y260"/>
    <mergeCell ref="Z250:Z260"/>
    <mergeCell ref="AA250:AA260"/>
    <mergeCell ref="AB250:AB260"/>
    <mergeCell ref="AC250:AC260"/>
    <mergeCell ref="AD250:AD260"/>
    <mergeCell ref="AE250:AE260"/>
    <mergeCell ref="AF250:AF260"/>
    <mergeCell ref="L250:L260"/>
    <mergeCell ref="M250:M260"/>
    <mergeCell ref="N250:N260"/>
    <mergeCell ref="O250:O260"/>
    <mergeCell ref="P250:P260"/>
    <mergeCell ref="Q250:Q260"/>
    <mergeCell ref="R250:R260"/>
    <mergeCell ref="S239:S249"/>
    <mergeCell ref="T239:T249"/>
    <mergeCell ref="U272:U282"/>
    <mergeCell ref="V272:V282"/>
    <mergeCell ref="W272:W282"/>
    <mergeCell ref="X272:X282"/>
    <mergeCell ref="Y272:Y282"/>
    <mergeCell ref="AG250:AG260"/>
    <mergeCell ref="AH250:AH260"/>
    <mergeCell ref="AI250:AI260"/>
    <mergeCell ref="AJ250:AJ260"/>
    <mergeCell ref="AK250:AK260"/>
    <mergeCell ref="AL250:AL260"/>
    <mergeCell ref="AM250:AM260"/>
    <mergeCell ref="S305:S315"/>
    <mergeCell ref="T305:T315"/>
    <mergeCell ref="L305:L315"/>
    <mergeCell ref="M305:M315"/>
    <mergeCell ref="N305:N315"/>
    <mergeCell ref="O305:O315"/>
    <mergeCell ref="P305:P315"/>
    <mergeCell ref="Q305:Q315"/>
    <mergeCell ref="R305:R315"/>
    <mergeCell ref="AG305:AG315"/>
    <mergeCell ref="AH305:AH315"/>
    <mergeCell ref="Z305:Z315"/>
    <mergeCell ref="AA305:AA315"/>
    <mergeCell ref="AB305:AB315"/>
    <mergeCell ref="AC305:AC315"/>
    <mergeCell ref="AD305:AD315"/>
    <mergeCell ref="AE305:AE315"/>
    <mergeCell ref="AF305:AF315"/>
    <mergeCell ref="AG283:AG293"/>
    <mergeCell ref="AH283:AH293"/>
    <mergeCell ref="AJ283:AJ293"/>
    <mergeCell ref="AK283:AK293"/>
    <mergeCell ref="AL283:AL293"/>
    <mergeCell ref="AM283:AM293"/>
    <mergeCell ref="AM294:AM304"/>
    <mergeCell ref="AI283:AI293"/>
    <mergeCell ref="AI305:AI315"/>
    <mergeCell ref="AJ305:AJ315"/>
    <mergeCell ref="AK305:AK315"/>
    <mergeCell ref="AL305:AL315"/>
    <mergeCell ref="AM305:AM315"/>
    <mergeCell ref="AN305:AN315"/>
    <mergeCell ref="AV305:AV315"/>
    <mergeCell ref="AW305:AW315"/>
    <mergeCell ref="AX305:AX315"/>
    <mergeCell ref="AY305:AY315"/>
    <mergeCell ref="AZ305:AZ315"/>
    <mergeCell ref="BA305:BA315"/>
    <mergeCell ref="BB305:BB315"/>
    <mergeCell ref="BC305:BC315"/>
    <mergeCell ref="BD305:BD315"/>
    <mergeCell ref="BE305:BE315"/>
    <mergeCell ref="BF305:BF315"/>
    <mergeCell ref="BG305:BG315"/>
    <mergeCell ref="BH305:BH315"/>
    <mergeCell ref="BI305:BI315"/>
    <mergeCell ref="BQ305:BQ315"/>
    <mergeCell ref="BR305:BR315"/>
    <mergeCell ref="BS305:BS315"/>
    <mergeCell ref="BT305:BT315"/>
    <mergeCell ref="BU305:BU315"/>
    <mergeCell ref="BV305:BV315"/>
    <mergeCell ref="BW305:BW315"/>
    <mergeCell ref="BJ305:BJ315"/>
    <mergeCell ref="BK305:BK315"/>
    <mergeCell ref="BL305:BL315"/>
    <mergeCell ref="BM305:BM315"/>
    <mergeCell ref="BN305:BN315"/>
    <mergeCell ref="BO305:BO315"/>
    <mergeCell ref="BP305:BP315"/>
    <mergeCell ref="A283:A293"/>
    <mergeCell ref="B283:B293"/>
    <mergeCell ref="A294:A304"/>
    <mergeCell ref="B294:B304"/>
    <mergeCell ref="A305:A315"/>
    <mergeCell ref="B305:B315"/>
    <mergeCell ref="L272:L282"/>
    <mergeCell ref="M272:M282"/>
    <mergeCell ref="N272:N282"/>
    <mergeCell ref="O272:O282"/>
    <mergeCell ref="P272:P282"/>
    <mergeCell ref="Q272:Q282"/>
    <mergeCell ref="R272:R282"/>
    <mergeCell ref="S283:S293"/>
    <mergeCell ref="T283:T293"/>
    <mergeCell ref="U283:U293"/>
    <mergeCell ref="V283:V293"/>
    <mergeCell ref="W283:W293"/>
    <mergeCell ref="X283:X293"/>
    <mergeCell ref="Y283:Y293"/>
    <mergeCell ref="Z283:Z293"/>
    <mergeCell ref="AA283:AA293"/>
    <mergeCell ref="AB283:AB293"/>
    <mergeCell ref="AC283:AC293"/>
    <mergeCell ref="AD283:AD293"/>
    <mergeCell ref="AE283:AE293"/>
    <mergeCell ref="AF283:AF293"/>
    <mergeCell ref="L283:L293"/>
    <mergeCell ref="M283:M293"/>
    <mergeCell ref="N283:N293"/>
    <mergeCell ref="O283:O293"/>
    <mergeCell ref="P283:P293"/>
    <mergeCell ref="Q283:Q293"/>
    <mergeCell ref="R283:R293"/>
    <mergeCell ref="S272:S282"/>
    <mergeCell ref="T272:T282"/>
    <mergeCell ref="U305:U315"/>
    <mergeCell ref="V305:V315"/>
    <mergeCell ref="W305:W315"/>
    <mergeCell ref="X305:X315"/>
    <mergeCell ref="Y305:Y315"/>
    <mergeCell ref="AO305:AO315"/>
    <mergeCell ref="AP305:AP315"/>
    <mergeCell ref="AQ305:AQ315"/>
    <mergeCell ref="AR305:AR315"/>
    <mergeCell ref="AS305:AS315"/>
    <mergeCell ref="AT305:AT315"/>
    <mergeCell ref="AU305:AU315"/>
    <mergeCell ref="A217:A227"/>
    <mergeCell ref="B217:B227"/>
    <mergeCell ref="A228:A238"/>
    <mergeCell ref="B228:B238"/>
    <mergeCell ref="A239:A249"/>
    <mergeCell ref="B239:B249"/>
    <mergeCell ref="L206:L216"/>
    <mergeCell ref="M206:M216"/>
    <mergeCell ref="N206:N216"/>
    <mergeCell ref="O206:O216"/>
    <mergeCell ref="P206:P216"/>
    <mergeCell ref="Q206:Q216"/>
    <mergeCell ref="R206:R216"/>
    <mergeCell ref="S217:S227"/>
    <mergeCell ref="T217:T227"/>
    <mergeCell ref="U217:U227"/>
    <mergeCell ref="V217:V227"/>
    <mergeCell ref="W217:W227"/>
    <mergeCell ref="X217:X227"/>
    <mergeCell ref="Y217:Y227"/>
    <mergeCell ref="Z217:Z227"/>
    <mergeCell ref="AA217:AA227"/>
    <mergeCell ref="AB217:AB227"/>
    <mergeCell ref="AC217:AC227"/>
    <mergeCell ref="AD217:AD227"/>
    <mergeCell ref="AE217:AE227"/>
    <mergeCell ref="AF217:AF227"/>
    <mergeCell ref="L217:L227"/>
    <mergeCell ref="M217:M227"/>
    <mergeCell ref="N217:N227"/>
    <mergeCell ref="O217:O227"/>
    <mergeCell ref="P217:P227"/>
    <mergeCell ref="Q217:Q227"/>
    <mergeCell ref="R217:R227"/>
    <mergeCell ref="S206:S216"/>
    <mergeCell ref="T206:T216"/>
    <mergeCell ref="U239:U249"/>
    <mergeCell ref="V239:V249"/>
    <mergeCell ref="W239:W249"/>
    <mergeCell ref="X239:X249"/>
    <mergeCell ref="Y239:Y249"/>
    <mergeCell ref="AO239:AO249"/>
    <mergeCell ref="AP239:AP249"/>
    <mergeCell ref="AQ239:AQ249"/>
    <mergeCell ref="AR239:AR249"/>
    <mergeCell ref="AS239:AS249"/>
    <mergeCell ref="AT239:AT249"/>
    <mergeCell ref="AU239:AU249"/>
    <mergeCell ref="AG272:AG282"/>
    <mergeCell ref="AH272:AH282"/>
    <mergeCell ref="Z272:Z282"/>
    <mergeCell ref="AA272:AA282"/>
    <mergeCell ref="AB272:AB282"/>
    <mergeCell ref="AC272:AC282"/>
    <mergeCell ref="AD272:AD282"/>
    <mergeCell ref="AE272:AE282"/>
    <mergeCell ref="AF272:AF282"/>
    <mergeCell ref="AI272:AI282"/>
    <mergeCell ref="AJ272:AJ282"/>
    <mergeCell ref="AK272:AK282"/>
    <mergeCell ref="AL272:AL282"/>
    <mergeCell ref="AM272:AM282"/>
    <mergeCell ref="AN272:AN282"/>
    <mergeCell ref="AO272:AO282"/>
    <mergeCell ref="AP272:AP282"/>
    <mergeCell ref="AQ272:AQ282"/>
    <mergeCell ref="AR272:AR282"/>
    <mergeCell ref="AS272:AS282"/>
    <mergeCell ref="AT272:AT282"/>
    <mergeCell ref="AU272:AU282"/>
    <mergeCell ref="AV272:AV282"/>
    <mergeCell ref="AW272:AW282"/>
    <mergeCell ref="AX272:AX282"/>
    <mergeCell ref="AY272:AY282"/>
    <mergeCell ref="AZ272:AZ282"/>
    <mergeCell ref="BA272:BA282"/>
    <mergeCell ref="BB272:BB282"/>
    <mergeCell ref="BC272:BC282"/>
    <mergeCell ref="BD272:BD282"/>
    <mergeCell ref="BE272:BE282"/>
    <mergeCell ref="BF272:BF282"/>
    <mergeCell ref="BG272:BG282"/>
    <mergeCell ref="BH272:BH282"/>
    <mergeCell ref="BI272:BI282"/>
    <mergeCell ref="BJ272:BJ282"/>
    <mergeCell ref="BR272:BR282"/>
    <mergeCell ref="BS272:BS282"/>
    <mergeCell ref="BT272:BT282"/>
    <mergeCell ref="BU272:BU282"/>
    <mergeCell ref="BV272:BV282"/>
    <mergeCell ref="BW272:BW282"/>
    <mergeCell ref="BK272:BK282"/>
    <mergeCell ref="BL272:BL282"/>
    <mergeCell ref="BM272:BM282"/>
    <mergeCell ref="BN272:BN282"/>
    <mergeCell ref="BO272:BO282"/>
    <mergeCell ref="BP272:BP282"/>
    <mergeCell ref="BQ272:BQ282"/>
    <mergeCell ref="AN283:AN293"/>
    <mergeCell ref="AO283:AO293"/>
    <mergeCell ref="AP283:AP293"/>
    <mergeCell ref="AQ283:AQ293"/>
    <mergeCell ref="AR283:AR293"/>
    <mergeCell ref="AS283:AS293"/>
    <mergeCell ref="AT283:AT293"/>
    <mergeCell ref="AU283:AU293"/>
    <mergeCell ref="AV283:AV293"/>
    <mergeCell ref="AW283:AW293"/>
    <mergeCell ref="AX283:AX293"/>
    <mergeCell ref="AY283:AY293"/>
    <mergeCell ref="AZ283:AZ293"/>
    <mergeCell ref="BA283:BA293"/>
    <mergeCell ref="BB283:BB293"/>
    <mergeCell ref="BC283:BC293"/>
    <mergeCell ref="BD283:BD293"/>
    <mergeCell ref="BE283:BE293"/>
    <mergeCell ref="BF283:BF293"/>
    <mergeCell ref="BG283:BG293"/>
    <mergeCell ref="BH283:BH293"/>
    <mergeCell ref="BP283:BP293"/>
    <mergeCell ref="BQ283:BQ293"/>
    <mergeCell ref="BR283:BR293"/>
    <mergeCell ref="BS283:BS293"/>
    <mergeCell ref="BT283:BT293"/>
    <mergeCell ref="BU283:BU293"/>
    <mergeCell ref="BV283:BV293"/>
    <mergeCell ref="BW283:BW293"/>
    <mergeCell ref="BI283:BI293"/>
    <mergeCell ref="BJ283:BJ293"/>
    <mergeCell ref="BK283:BK293"/>
    <mergeCell ref="BL283:BL293"/>
    <mergeCell ref="BM283:BM293"/>
    <mergeCell ref="BN283:BN293"/>
    <mergeCell ref="BO283:BO293"/>
    <mergeCell ref="S294:S304"/>
    <mergeCell ref="T294:T304"/>
    <mergeCell ref="L294:L304"/>
    <mergeCell ref="M294:M304"/>
    <mergeCell ref="N294:N304"/>
    <mergeCell ref="O294:O304"/>
    <mergeCell ref="P294:P304"/>
    <mergeCell ref="Q294:Q304"/>
    <mergeCell ref="R294:R304"/>
    <mergeCell ref="AB294:AB304"/>
    <mergeCell ref="AC294:AC304"/>
    <mergeCell ref="U294:U304"/>
    <mergeCell ref="V294:V304"/>
    <mergeCell ref="W294:W304"/>
    <mergeCell ref="X294:X304"/>
    <mergeCell ref="Y294:Y304"/>
    <mergeCell ref="Z294:Z304"/>
    <mergeCell ref="AA294:AA304"/>
    <mergeCell ref="AD294:AD304"/>
    <mergeCell ref="AE294:AE304"/>
    <mergeCell ref="AF294:AF304"/>
    <mergeCell ref="AG294:AG304"/>
    <mergeCell ref="AH294:AH304"/>
    <mergeCell ref="AI294:AI304"/>
    <mergeCell ref="AJ294:AJ304"/>
    <mergeCell ref="AK294:AK304"/>
    <mergeCell ref="AL294:AL304"/>
    <mergeCell ref="AN294:AN304"/>
    <mergeCell ref="AO294:AO304"/>
    <mergeCell ref="AP294:AP304"/>
    <mergeCell ref="AQ294:AQ304"/>
    <mergeCell ref="AR294:AR304"/>
    <mergeCell ref="AS294:AS304"/>
    <mergeCell ref="AT294:AT304"/>
    <mergeCell ref="AU294:AU304"/>
    <mergeCell ref="AV294:AV304"/>
    <mergeCell ref="AW294:AW304"/>
    <mergeCell ref="AX294:AX304"/>
    <mergeCell ref="AY294:AY304"/>
    <mergeCell ref="AZ294:AZ304"/>
    <mergeCell ref="BA294:BA304"/>
    <mergeCell ref="BB294:BB304"/>
    <mergeCell ref="BC294:BC304"/>
    <mergeCell ref="BD294:BD304"/>
    <mergeCell ref="BE294:BE304"/>
    <mergeCell ref="BF294:BF304"/>
    <mergeCell ref="BG294:BG304"/>
    <mergeCell ref="BH294:BH304"/>
    <mergeCell ref="BI294:BI304"/>
    <mergeCell ref="BJ294:BJ304"/>
    <mergeCell ref="BK294:BK304"/>
    <mergeCell ref="BL294:BL304"/>
    <mergeCell ref="BM294:BM304"/>
    <mergeCell ref="BU294:BU304"/>
    <mergeCell ref="BV294:BV304"/>
    <mergeCell ref="BW294:BW304"/>
    <mergeCell ref="BN294:BN304"/>
    <mergeCell ref="BO294:BO304"/>
    <mergeCell ref="BP294:BP304"/>
    <mergeCell ref="BQ294:BQ304"/>
    <mergeCell ref="BR294:BR304"/>
    <mergeCell ref="BS294:BS304"/>
    <mergeCell ref="BT294:BT304"/>
  </mergeCells>
  <printOptions/>
  <pageMargins bottom="0.75" footer="0.0" header="0.0" left="0.7" right="0.7" top="0.75"/>
  <pageSetup paperSize="8" orientation="landscape"/>
  <rowBreaks count="1" manualBreakCount="1">
    <brk id="139" man="1"/>
  </rowBreaks>
  <colBreaks count="1" manualBreakCount="1">
    <brk id="29"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5.86"/>
    <col customWidth="1" min="2" max="2" width="13.43"/>
    <col customWidth="1" min="3" max="3" width="44.86"/>
    <col customWidth="1" min="4" max="4" width="45.0"/>
    <col customWidth="1" min="5" max="24" width="9.14"/>
  </cols>
  <sheetData>
    <row r="1" ht="14.25" customHeight="1">
      <c r="A1" s="455"/>
      <c r="B1" s="456" t="s">
        <v>389</v>
      </c>
      <c r="C1" s="24"/>
      <c r="D1" s="39"/>
      <c r="E1" s="457"/>
      <c r="F1" s="457"/>
      <c r="G1" s="457"/>
      <c r="H1" s="457"/>
      <c r="I1" s="457"/>
      <c r="J1" s="457"/>
      <c r="K1" s="457"/>
      <c r="L1" s="457"/>
      <c r="M1" s="457"/>
      <c r="N1" s="457"/>
      <c r="O1" s="457"/>
      <c r="P1" s="457"/>
      <c r="Q1" s="457"/>
      <c r="R1" s="457"/>
      <c r="S1" s="457"/>
      <c r="T1" s="457"/>
      <c r="U1" s="457"/>
      <c r="V1" s="457"/>
      <c r="W1" s="457"/>
      <c r="X1" s="457"/>
    </row>
    <row r="2" ht="14.25" customHeight="1">
      <c r="A2" s="458"/>
      <c r="B2" s="459" t="s">
        <v>390</v>
      </c>
      <c r="C2" s="24"/>
      <c r="D2" s="39"/>
      <c r="E2" s="457"/>
      <c r="F2" s="457"/>
      <c r="G2" s="457"/>
      <c r="H2" s="457"/>
      <c r="I2" s="457"/>
      <c r="J2" s="457"/>
      <c r="K2" s="457"/>
      <c r="L2" s="457"/>
      <c r="M2" s="457"/>
      <c r="N2" s="457"/>
      <c r="O2" s="457"/>
      <c r="P2" s="457"/>
      <c r="Q2" s="457"/>
      <c r="R2" s="457"/>
      <c r="S2" s="457"/>
      <c r="T2" s="457"/>
      <c r="U2" s="457"/>
      <c r="V2" s="457"/>
      <c r="W2" s="457"/>
      <c r="X2" s="457"/>
    </row>
    <row r="3" ht="58.5" customHeight="1">
      <c r="A3" s="460" t="s">
        <v>391</v>
      </c>
      <c r="B3" s="46"/>
      <c r="C3" s="46"/>
      <c r="D3" s="461"/>
      <c r="E3" s="457"/>
      <c r="F3" s="457"/>
      <c r="G3" s="457"/>
      <c r="H3" s="457"/>
      <c r="I3" s="457"/>
      <c r="J3" s="457"/>
      <c r="K3" s="457"/>
      <c r="L3" s="457"/>
      <c r="M3" s="457"/>
      <c r="N3" s="457"/>
      <c r="O3" s="457"/>
      <c r="P3" s="457"/>
      <c r="Q3" s="457"/>
      <c r="R3" s="457"/>
      <c r="S3" s="457"/>
      <c r="T3" s="457"/>
      <c r="U3" s="457"/>
      <c r="V3" s="457"/>
      <c r="W3" s="457"/>
      <c r="X3" s="457"/>
    </row>
    <row r="4" ht="14.25" customHeight="1">
      <c r="A4" s="462" t="s">
        <v>19</v>
      </c>
      <c r="B4" s="463" t="s">
        <v>392</v>
      </c>
      <c r="C4" s="464" t="s">
        <v>393</v>
      </c>
      <c r="D4" s="464"/>
      <c r="E4" s="465"/>
      <c r="F4" s="465"/>
      <c r="G4" s="465"/>
      <c r="H4" s="465"/>
      <c r="I4" s="465"/>
      <c r="J4" s="465"/>
      <c r="K4" s="465"/>
      <c r="L4" s="465"/>
      <c r="M4" s="465"/>
      <c r="N4" s="465"/>
      <c r="O4" s="465"/>
      <c r="P4" s="465"/>
      <c r="Q4" s="465"/>
      <c r="R4" s="465"/>
      <c r="S4" s="465"/>
      <c r="T4" s="465"/>
      <c r="U4" s="465"/>
      <c r="V4" s="465"/>
      <c r="W4" s="465"/>
      <c r="X4" s="465"/>
    </row>
    <row r="5" ht="14.25" customHeight="1">
      <c r="A5" s="455">
        <v>1.0</v>
      </c>
      <c r="B5" s="466" t="s">
        <v>394</v>
      </c>
      <c r="C5" s="467" t="s">
        <v>395</v>
      </c>
      <c r="D5" s="467"/>
      <c r="E5" s="457"/>
      <c r="F5" s="457"/>
      <c r="G5" s="457"/>
      <c r="H5" s="457"/>
      <c r="I5" s="457"/>
      <c r="J5" s="457"/>
      <c r="K5" s="457"/>
      <c r="L5" s="457"/>
      <c r="M5" s="457"/>
      <c r="N5" s="457"/>
      <c r="O5" s="457"/>
      <c r="P5" s="457"/>
      <c r="Q5" s="457"/>
      <c r="R5" s="457"/>
      <c r="S5" s="457"/>
      <c r="T5" s="457"/>
      <c r="U5" s="457"/>
      <c r="V5" s="457"/>
      <c r="W5" s="457"/>
      <c r="X5" s="457"/>
    </row>
    <row r="6" ht="14.25" customHeight="1">
      <c r="A6" s="455">
        <v>2.0</v>
      </c>
      <c r="B6" s="466" t="s">
        <v>396</v>
      </c>
      <c r="C6" s="467" t="s">
        <v>397</v>
      </c>
      <c r="D6" s="467" t="s">
        <v>398</v>
      </c>
      <c r="E6" s="457"/>
      <c r="F6" s="457"/>
      <c r="G6" s="457"/>
      <c r="H6" s="457"/>
      <c r="I6" s="457"/>
      <c r="J6" s="457"/>
      <c r="K6" s="457"/>
      <c r="L6" s="457"/>
      <c r="M6" s="457"/>
      <c r="N6" s="457"/>
      <c r="O6" s="457"/>
      <c r="P6" s="457"/>
      <c r="Q6" s="457"/>
      <c r="R6" s="457"/>
      <c r="S6" s="457"/>
      <c r="T6" s="457"/>
      <c r="U6" s="457"/>
      <c r="V6" s="457"/>
      <c r="W6" s="457"/>
      <c r="X6" s="457"/>
    </row>
    <row r="7" ht="14.25" customHeight="1">
      <c r="A7" s="455">
        <v>3.0</v>
      </c>
      <c r="B7" s="466" t="s">
        <v>399</v>
      </c>
      <c r="C7" s="467" t="s">
        <v>400</v>
      </c>
      <c r="D7" s="467"/>
      <c r="E7" s="457"/>
      <c r="F7" s="457"/>
      <c r="G7" s="457"/>
      <c r="H7" s="457"/>
      <c r="I7" s="457"/>
      <c r="J7" s="457"/>
      <c r="K7" s="457"/>
      <c r="L7" s="457"/>
      <c r="M7" s="457"/>
      <c r="N7" s="457"/>
      <c r="O7" s="457"/>
      <c r="P7" s="457"/>
      <c r="Q7" s="457"/>
      <c r="R7" s="457"/>
      <c r="S7" s="457"/>
      <c r="T7" s="457"/>
      <c r="U7" s="457"/>
      <c r="V7" s="457"/>
      <c r="W7" s="457"/>
      <c r="X7" s="457"/>
    </row>
    <row r="8" ht="14.25" customHeight="1">
      <c r="A8" s="455">
        <v>4.0</v>
      </c>
      <c r="B8" s="466" t="s">
        <v>401</v>
      </c>
      <c r="C8" s="467" t="s">
        <v>402</v>
      </c>
      <c r="D8" s="467"/>
      <c r="E8" s="457"/>
      <c r="F8" s="457"/>
      <c r="G8" s="457"/>
      <c r="H8" s="457"/>
      <c r="I8" s="457"/>
      <c r="J8" s="457"/>
      <c r="K8" s="457"/>
      <c r="L8" s="457"/>
      <c r="M8" s="457"/>
      <c r="N8" s="457"/>
      <c r="O8" s="457"/>
      <c r="P8" s="457"/>
      <c r="Q8" s="457"/>
      <c r="R8" s="457"/>
      <c r="S8" s="457"/>
      <c r="T8" s="457"/>
      <c r="U8" s="457"/>
      <c r="V8" s="457"/>
      <c r="W8" s="457"/>
      <c r="X8" s="457"/>
    </row>
    <row r="9" ht="14.25" customHeight="1">
      <c r="A9" s="455"/>
      <c r="B9" s="466"/>
      <c r="C9" s="467"/>
      <c r="D9" s="467"/>
      <c r="E9" s="457"/>
      <c r="F9" s="457"/>
      <c r="G9" s="457"/>
      <c r="H9" s="457"/>
      <c r="I9" s="457"/>
      <c r="J9" s="457"/>
      <c r="K9" s="457"/>
      <c r="L9" s="457"/>
      <c r="M9" s="457"/>
      <c r="N9" s="457"/>
      <c r="O9" s="457"/>
      <c r="P9" s="457"/>
      <c r="Q9" s="457"/>
      <c r="R9" s="457"/>
      <c r="S9" s="457"/>
      <c r="T9" s="457"/>
      <c r="U9" s="457"/>
      <c r="V9" s="457"/>
      <c r="W9" s="457"/>
      <c r="X9" s="457"/>
    </row>
    <row r="10" ht="14.25" customHeight="1">
      <c r="A10" s="462" t="s">
        <v>19</v>
      </c>
      <c r="B10" s="463" t="s">
        <v>403</v>
      </c>
      <c r="C10" s="464" t="s">
        <v>393</v>
      </c>
      <c r="D10" s="464"/>
      <c r="E10" s="465"/>
      <c r="F10" s="465"/>
      <c r="G10" s="465"/>
      <c r="H10" s="465"/>
      <c r="I10" s="465"/>
      <c r="J10" s="465"/>
      <c r="K10" s="465"/>
      <c r="L10" s="465"/>
      <c r="M10" s="465"/>
      <c r="N10" s="465"/>
      <c r="O10" s="465"/>
      <c r="P10" s="465"/>
      <c r="Q10" s="465"/>
      <c r="R10" s="465"/>
      <c r="S10" s="465"/>
      <c r="T10" s="465"/>
      <c r="U10" s="465"/>
      <c r="V10" s="465"/>
      <c r="W10" s="465"/>
      <c r="X10" s="465"/>
    </row>
    <row r="11" ht="14.25" customHeight="1">
      <c r="A11" s="455">
        <v>1.0</v>
      </c>
      <c r="B11" s="468" t="s">
        <v>404</v>
      </c>
      <c r="C11" s="467" t="s">
        <v>405</v>
      </c>
      <c r="D11" s="467"/>
      <c r="E11" s="457"/>
      <c r="F11" s="457"/>
      <c r="G11" s="457"/>
      <c r="H11" s="457"/>
      <c r="I11" s="457"/>
      <c r="J11" s="457"/>
      <c r="K11" s="457"/>
      <c r="L11" s="457"/>
      <c r="M11" s="457"/>
      <c r="N11" s="457"/>
      <c r="O11" s="457"/>
      <c r="P11" s="457"/>
      <c r="Q11" s="457"/>
      <c r="R11" s="457"/>
      <c r="S11" s="457"/>
      <c r="T11" s="457"/>
      <c r="U11" s="457"/>
      <c r="V11" s="457"/>
      <c r="W11" s="457"/>
      <c r="X11" s="457"/>
    </row>
    <row r="12" ht="14.25" customHeight="1">
      <c r="A12" s="455">
        <v>2.0</v>
      </c>
      <c r="B12" s="468" t="s">
        <v>406</v>
      </c>
      <c r="C12" s="469" t="s">
        <v>407</v>
      </c>
      <c r="D12" s="467"/>
      <c r="E12" s="457"/>
      <c r="F12" s="457"/>
      <c r="G12" s="457"/>
      <c r="H12" s="457"/>
      <c r="I12" s="457"/>
      <c r="J12" s="457"/>
      <c r="K12" s="457"/>
      <c r="L12" s="457"/>
      <c r="M12" s="457"/>
      <c r="N12" s="457"/>
      <c r="O12" s="457"/>
      <c r="P12" s="457"/>
      <c r="Q12" s="457"/>
      <c r="R12" s="457"/>
      <c r="S12" s="457"/>
      <c r="T12" s="457"/>
      <c r="U12" s="457"/>
      <c r="V12" s="457"/>
      <c r="W12" s="457"/>
      <c r="X12" s="457"/>
    </row>
    <row r="13" ht="14.25" customHeight="1">
      <c r="A13" s="455">
        <v>3.0</v>
      </c>
      <c r="B13" s="466" t="s">
        <v>408</v>
      </c>
      <c r="C13" s="469" t="s">
        <v>409</v>
      </c>
      <c r="D13" s="467" t="s">
        <v>410</v>
      </c>
      <c r="E13" s="457"/>
      <c r="F13" s="457"/>
      <c r="G13" s="457"/>
      <c r="H13" s="457"/>
      <c r="I13" s="457"/>
      <c r="J13" s="457"/>
      <c r="K13" s="457"/>
      <c r="L13" s="457"/>
      <c r="M13" s="457"/>
      <c r="N13" s="457"/>
      <c r="O13" s="457"/>
      <c r="P13" s="457"/>
      <c r="Q13" s="457"/>
      <c r="R13" s="457"/>
      <c r="S13" s="457"/>
      <c r="T13" s="457"/>
      <c r="U13" s="457"/>
      <c r="V13" s="457"/>
      <c r="W13" s="457"/>
      <c r="X13" s="457"/>
    </row>
    <row r="14" ht="14.25" customHeight="1">
      <c r="A14" s="455"/>
      <c r="B14" s="466"/>
      <c r="C14" s="467"/>
      <c r="D14" s="467"/>
      <c r="E14" s="457"/>
      <c r="F14" s="457"/>
      <c r="G14" s="457"/>
      <c r="H14" s="457"/>
      <c r="I14" s="457"/>
      <c r="J14" s="457"/>
      <c r="K14" s="457"/>
      <c r="L14" s="457"/>
      <c r="M14" s="457"/>
      <c r="N14" s="457"/>
      <c r="O14" s="457"/>
      <c r="P14" s="457"/>
      <c r="Q14" s="457"/>
      <c r="R14" s="457"/>
      <c r="S14" s="457"/>
      <c r="T14" s="457"/>
      <c r="U14" s="457"/>
      <c r="V14" s="457"/>
      <c r="W14" s="457"/>
      <c r="X14" s="457"/>
    </row>
    <row r="15" ht="14.25" customHeight="1">
      <c r="A15" s="462" t="s">
        <v>19</v>
      </c>
      <c r="B15" s="463" t="s">
        <v>411</v>
      </c>
      <c r="C15" s="464" t="s">
        <v>393</v>
      </c>
      <c r="D15" s="464"/>
      <c r="E15" s="465"/>
      <c r="F15" s="465"/>
      <c r="G15" s="465"/>
      <c r="H15" s="465"/>
      <c r="I15" s="465"/>
      <c r="J15" s="465"/>
      <c r="K15" s="465"/>
      <c r="L15" s="465"/>
      <c r="M15" s="465"/>
      <c r="N15" s="465"/>
      <c r="O15" s="465"/>
      <c r="P15" s="465"/>
      <c r="Q15" s="465"/>
      <c r="R15" s="465"/>
      <c r="S15" s="465"/>
      <c r="T15" s="465"/>
      <c r="U15" s="465"/>
      <c r="V15" s="465"/>
      <c r="W15" s="465"/>
      <c r="X15" s="465"/>
    </row>
    <row r="16" ht="14.25" customHeight="1">
      <c r="A16" s="455">
        <v>1.0</v>
      </c>
      <c r="B16" s="466" t="s">
        <v>412</v>
      </c>
      <c r="C16" s="467" t="s">
        <v>413</v>
      </c>
      <c r="D16" s="467"/>
      <c r="E16" s="457"/>
      <c r="F16" s="457"/>
      <c r="G16" s="457"/>
      <c r="H16" s="457"/>
      <c r="I16" s="457"/>
      <c r="J16" s="457"/>
      <c r="K16" s="457"/>
      <c r="L16" s="457"/>
      <c r="M16" s="457"/>
      <c r="N16" s="457"/>
      <c r="O16" s="457"/>
      <c r="P16" s="457"/>
      <c r="Q16" s="457"/>
      <c r="R16" s="457"/>
      <c r="S16" s="457"/>
      <c r="T16" s="457"/>
      <c r="U16" s="457"/>
      <c r="V16" s="457"/>
      <c r="W16" s="457"/>
      <c r="X16" s="457"/>
    </row>
    <row r="17" ht="14.25" customHeight="1">
      <c r="A17" s="455">
        <v>2.0</v>
      </c>
      <c r="B17" s="466" t="s">
        <v>414</v>
      </c>
      <c r="C17" s="467" t="s">
        <v>415</v>
      </c>
      <c r="D17" s="467"/>
      <c r="E17" s="457"/>
      <c r="F17" s="457"/>
      <c r="G17" s="457"/>
      <c r="H17" s="457"/>
      <c r="I17" s="457"/>
      <c r="J17" s="457"/>
      <c r="K17" s="457"/>
      <c r="L17" s="457"/>
      <c r="M17" s="457"/>
      <c r="N17" s="457"/>
      <c r="O17" s="457"/>
      <c r="P17" s="457"/>
      <c r="Q17" s="457"/>
      <c r="R17" s="457"/>
      <c r="S17" s="457"/>
      <c r="T17" s="457"/>
      <c r="U17" s="457"/>
      <c r="V17" s="457"/>
      <c r="W17" s="457"/>
      <c r="X17" s="457"/>
    </row>
    <row r="18" ht="14.25" customHeight="1">
      <c r="A18" s="455">
        <v>3.0</v>
      </c>
      <c r="B18" s="466" t="s">
        <v>416</v>
      </c>
      <c r="C18" s="467" t="s">
        <v>417</v>
      </c>
      <c r="D18" s="467"/>
      <c r="E18" s="457"/>
      <c r="F18" s="457"/>
      <c r="G18" s="457"/>
      <c r="H18" s="457"/>
      <c r="I18" s="457"/>
      <c r="J18" s="457"/>
      <c r="K18" s="457"/>
      <c r="L18" s="457"/>
      <c r="M18" s="457"/>
      <c r="N18" s="457"/>
      <c r="O18" s="457"/>
      <c r="P18" s="457"/>
      <c r="Q18" s="457"/>
      <c r="R18" s="457"/>
      <c r="S18" s="457"/>
      <c r="T18" s="457"/>
      <c r="U18" s="457"/>
      <c r="V18" s="457"/>
      <c r="W18" s="457"/>
      <c r="X18" s="457"/>
    </row>
    <row r="19" ht="14.25" customHeight="1">
      <c r="A19" s="455">
        <v>4.0</v>
      </c>
      <c r="B19" s="466" t="s">
        <v>418</v>
      </c>
      <c r="C19" s="467" t="s">
        <v>419</v>
      </c>
      <c r="D19" s="467"/>
      <c r="E19" s="457"/>
      <c r="F19" s="457"/>
      <c r="G19" s="457"/>
      <c r="H19" s="457"/>
      <c r="I19" s="457"/>
      <c r="J19" s="457"/>
      <c r="K19" s="457"/>
      <c r="L19" s="457"/>
      <c r="M19" s="457"/>
      <c r="N19" s="457"/>
      <c r="O19" s="457"/>
      <c r="P19" s="457"/>
      <c r="Q19" s="457"/>
      <c r="R19" s="457"/>
      <c r="S19" s="457"/>
      <c r="T19" s="457"/>
      <c r="U19" s="457"/>
      <c r="V19" s="457"/>
      <c r="W19" s="457"/>
      <c r="X19" s="457"/>
    </row>
    <row r="20" ht="14.25" customHeight="1">
      <c r="A20" s="455">
        <v>5.0</v>
      </c>
      <c r="B20" s="466" t="s">
        <v>420</v>
      </c>
      <c r="C20" s="467" t="s">
        <v>421</v>
      </c>
      <c r="D20" s="467"/>
      <c r="E20" s="457"/>
      <c r="F20" s="457"/>
      <c r="G20" s="457"/>
      <c r="H20" s="457"/>
      <c r="I20" s="457"/>
      <c r="J20" s="457"/>
      <c r="K20" s="457"/>
      <c r="L20" s="457"/>
      <c r="M20" s="457"/>
      <c r="N20" s="457"/>
      <c r="O20" s="457"/>
      <c r="P20" s="457"/>
      <c r="Q20" s="457"/>
      <c r="R20" s="457"/>
      <c r="S20" s="457"/>
      <c r="T20" s="457"/>
      <c r="U20" s="457"/>
      <c r="V20" s="457"/>
      <c r="W20" s="457"/>
      <c r="X20" s="457"/>
    </row>
    <row r="21" ht="14.25" customHeight="1">
      <c r="A21" s="455"/>
      <c r="B21" s="466"/>
      <c r="C21" s="467"/>
      <c r="D21" s="467"/>
      <c r="E21" s="457"/>
      <c r="F21" s="457"/>
      <c r="G21" s="457"/>
      <c r="H21" s="457"/>
      <c r="I21" s="457"/>
      <c r="J21" s="457"/>
      <c r="K21" s="457"/>
      <c r="L21" s="457"/>
      <c r="M21" s="457"/>
      <c r="N21" s="457"/>
      <c r="O21" s="457"/>
      <c r="P21" s="457"/>
      <c r="Q21" s="457"/>
      <c r="R21" s="457"/>
      <c r="S21" s="457"/>
      <c r="T21" s="457"/>
      <c r="U21" s="457"/>
      <c r="V21" s="457"/>
      <c r="W21" s="457"/>
      <c r="X21" s="457"/>
    </row>
    <row r="22" ht="14.25" customHeight="1">
      <c r="A22" s="455">
        <v>1.0</v>
      </c>
      <c r="B22" s="470" t="s">
        <v>422</v>
      </c>
      <c r="C22" s="24"/>
      <c r="D22" s="39"/>
      <c r="E22" s="457"/>
      <c r="F22" s="457"/>
      <c r="G22" s="457"/>
      <c r="H22" s="457"/>
      <c r="I22" s="457"/>
      <c r="J22" s="457"/>
      <c r="K22" s="457"/>
      <c r="L22" s="457"/>
      <c r="M22" s="457"/>
      <c r="N22" s="457"/>
      <c r="O22" s="457"/>
      <c r="P22" s="457"/>
      <c r="Q22" s="457"/>
      <c r="R22" s="457"/>
      <c r="S22" s="457"/>
      <c r="T22" s="457"/>
      <c r="U22" s="457"/>
      <c r="V22" s="457"/>
      <c r="W22" s="457"/>
      <c r="X22" s="457"/>
    </row>
    <row r="23" ht="39.0" customHeight="1">
      <c r="A23" s="455">
        <v>2.0</v>
      </c>
      <c r="B23" s="471" t="s">
        <v>423</v>
      </c>
      <c r="C23" s="24"/>
      <c r="D23" s="39"/>
      <c r="E23" s="457"/>
      <c r="F23" s="457"/>
      <c r="G23" s="457"/>
      <c r="H23" s="457"/>
      <c r="I23" s="457"/>
      <c r="J23" s="457"/>
      <c r="K23" s="457"/>
      <c r="L23" s="457"/>
      <c r="M23" s="457"/>
      <c r="N23" s="457"/>
      <c r="O23" s="457"/>
      <c r="P23" s="457"/>
      <c r="Q23" s="457"/>
      <c r="R23" s="457"/>
      <c r="S23" s="457"/>
      <c r="T23" s="457"/>
      <c r="U23" s="457"/>
      <c r="V23" s="457"/>
      <c r="W23" s="457"/>
      <c r="X23" s="457"/>
    </row>
    <row r="24" ht="14.25" customHeight="1">
      <c r="A24" s="455">
        <v>3.0</v>
      </c>
      <c r="B24" s="471" t="s">
        <v>424</v>
      </c>
      <c r="C24" s="24"/>
      <c r="D24" s="39"/>
      <c r="E24" s="457"/>
      <c r="F24" s="457"/>
      <c r="G24" s="457"/>
      <c r="H24" s="457"/>
      <c r="I24" s="457"/>
      <c r="J24" s="457"/>
      <c r="K24" s="457"/>
      <c r="L24" s="457"/>
      <c r="M24" s="457"/>
      <c r="N24" s="457"/>
      <c r="O24" s="457"/>
      <c r="P24" s="457"/>
      <c r="Q24" s="457"/>
      <c r="R24" s="457"/>
      <c r="S24" s="457"/>
      <c r="T24" s="457"/>
      <c r="U24" s="457"/>
      <c r="V24" s="457"/>
      <c r="W24" s="457"/>
      <c r="X24" s="457"/>
    </row>
    <row r="25" ht="28.5" customHeight="1">
      <c r="A25" s="455">
        <v>4.0</v>
      </c>
      <c r="B25" s="471" t="s">
        <v>425</v>
      </c>
      <c r="C25" s="24"/>
      <c r="D25" s="39"/>
      <c r="E25" s="457"/>
      <c r="F25" s="457"/>
      <c r="G25" s="457"/>
      <c r="H25" s="457"/>
      <c r="I25" s="457"/>
      <c r="J25" s="457"/>
      <c r="K25" s="457"/>
      <c r="L25" s="457"/>
      <c r="M25" s="457"/>
      <c r="N25" s="457"/>
      <c r="O25" s="457"/>
      <c r="P25" s="457"/>
      <c r="Q25" s="457"/>
      <c r="R25" s="457"/>
      <c r="S25" s="457"/>
      <c r="T25" s="457"/>
      <c r="U25" s="457"/>
      <c r="V25" s="457"/>
      <c r="W25" s="457"/>
      <c r="X25" s="457"/>
    </row>
    <row r="26" ht="15.0" customHeight="1">
      <c r="A26" s="455">
        <v>5.0</v>
      </c>
      <c r="B26" s="470" t="s">
        <v>426</v>
      </c>
      <c r="C26" s="24"/>
      <c r="D26" s="39"/>
      <c r="E26" s="457"/>
      <c r="F26" s="457"/>
      <c r="G26" s="457"/>
      <c r="H26" s="457"/>
      <c r="I26" s="457"/>
      <c r="J26" s="457"/>
      <c r="K26" s="457"/>
      <c r="L26" s="457"/>
      <c r="M26" s="457"/>
      <c r="N26" s="457"/>
      <c r="O26" s="457"/>
      <c r="P26" s="457"/>
      <c r="Q26" s="457"/>
      <c r="R26" s="457"/>
      <c r="S26" s="457"/>
      <c r="T26" s="457"/>
      <c r="U26" s="457"/>
      <c r="V26" s="457"/>
      <c r="W26" s="457"/>
      <c r="X26" s="457"/>
    </row>
    <row r="27" ht="21.75" customHeight="1">
      <c r="A27" s="455">
        <v>6.0</v>
      </c>
      <c r="B27" s="470" t="s">
        <v>427</v>
      </c>
      <c r="C27" s="24"/>
      <c r="D27" s="39"/>
      <c r="E27" s="457"/>
      <c r="F27" s="457"/>
      <c r="G27" s="457"/>
      <c r="H27" s="457"/>
      <c r="I27" s="457"/>
      <c r="J27" s="457"/>
      <c r="K27" s="457"/>
      <c r="L27" s="457"/>
      <c r="M27" s="457"/>
      <c r="N27" s="457"/>
      <c r="O27" s="457"/>
      <c r="P27" s="457"/>
      <c r="Q27" s="457"/>
      <c r="R27" s="457"/>
      <c r="S27" s="457"/>
      <c r="T27" s="457"/>
      <c r="U27" s="457"/>
      <c r="V27" s="457"/>
      <c r="W27" s="457"/>
      <c r="X27" s="457"/>
    </row>
    <row r="28" ht="35.25" customHeight="1">
      <c r="A28" s="455">
        <v>7.0</v>
      </c>
      <c r="B28" s="471" t="s">
        <v>428</v>
      </c>
      <c r="C28" s="24"/>
      <c r="D28" s="39"/>
      <c r="E28" s="457"/>
      <c r="F28" s="457"/>
      <c r="G28" s="457"/>
      <c r="H28" s="457"/>
      <c r="I28" s="457"/>
      <c r="J28" s="457"/>
      <c r="K28" s="457"/>
      <c r="L28" s="457"/>
      <c r="M28" s="457"/>
      <c r="N28" s="457"/>
      <c r="O28" s="457"/>
      <c r="P28" s="457"/>
      <c r="Q28" s="457"/>
      <c r="R28" s="457"/>
      <c r="S28" s="457"/>
      <c r="T28" s="457"/>
      <c r="U28" s="457"/>
      <c r="V28" s="457"/>
      <c r="W28" s="457"/>
      <c r="X28" s="457"/>
    </row>
    <row r="29" ht="14.25" customHeight="1">
      <c r="A29" s="455">
        <v>8.0</v>
      </c>
      <c r="B29" s="472" t="s">
        <v>429</v>
      </c>
      <c r="C29" s="24"/>
      <c r="D29" s="39"/>
      <c r="E29" s="457"/>
      <c r="F29" s="457"/>
      <c r="G29" s="457"/>
      <c r="H29" s="457"/>
      <c r="I29" s="457"/>
      <c r="J29" s="457"/>
      <c r="K29" s="457"/>
      <c r="L29" s="457"/>
      <c r="M29" s="457"/>
      <c r="N29" s="457"/>
      <c r="O29" s="457"/>
      <c r="P29" s="457"/>
      <c r="Q29" s="457"/>
      <c r="R29" s="457"/>
      <c r="S29" s="457"/>
      <c r="T29" s="457"/>
      <c r="U29" s="457"/>
      <c r="V29" s="457"/>
      <c r="W29" s="457"/>
      <c r="X29" s="457"/>
    </row>
    <row r="30" ht="14.25" customHeight="1">
      <c r="A30" s="455">
        <v>9.0</v>
      </c>
      <c r="B30" s="470" t="s">
        <v>430</v>
      </c>
      <c r="C30" s="24"/>
      <c r="D30" s="39"/>
      <c r="E30" s="457"/>
      <c r="F30" s="457"/>
      <c r="G30" s="457"/>
      <c r="H30" s="457"/>
      <c r="I30" s="457"/>
      <c r="J30" s="457"/>
      <c r="K30" s="457"/>
      <c r="L30" s="457"/>
      <c r="M30" s="457"/>
      <c r="N30" s="457"/>
      <c r="O30" s="457"/>
      <c r="P30" s="457"/>
      <c r="Q30" s="457"/>
      <c r="R30" s="457"/>
      <c r="S30" s="457"/>
      <c r="T30" s="457"/>
      <c r="U30" s="457"/>
      <c r="V30" s="457"/>
      <c r="W30" s="457"/>
      <c r="X30" s="457"/>
    </row>
    <row r="31" ht="14.25" customHeight="1">
      <c r="A31" s="455">
        <v>10.0</v>
      </c>
      <c r="B31" s="470" t="s">
        <v>431</v>
      </c>
      <c r="C31" s="24"/>
      <c r="D31" s="39"/>
      <c r="E31" s="457"/>
      <c r="F31" s="457"/>
      <c r="G31" s="457"/>
      <c r="H31" s="457"/>
      <c r="I31" s="457"/>
      <c r="J31" s="457"/>
      <c r="K31" s="457"/>
      <c r="L31" s="457"/>
      <c r="M31" s="457"/>
      <c r="N31" s="457"/>
      <c r="O31" s="457"/>
      <c r="P31" s="457"/>
      <c r="Q31" s="457"/>
      <c r="R31" s="457"/>
      <c r="S31" s="457"/>
      <c r="T31" s="457"/>
      <c r="U31" s="457"/>
      <c r="V31" s="457"/>
      <c r="W31" s="457"/>
      <c r="X31" s="457"/>
    </row>
    <row r="32" ht="36.75" customHeight="1">
      <c r="A32" s="455">
        <v>11.0</v>
      </c>
      <c r="B32" s="471" t="s">
        <v>432</v>
      </c>
      <c r="C32" s="24"/>
      <c r="D32" s="39"/>
      <c r="E32" s="457"/>
      <c r="F32" s="457"/>
      <c r="G32" s="457"/>
      <c r="H32" s="457"/>
      <c r="I32" s="457"/>
      <c r="J32" s="457"/>
      <c r="K32" s="457"/>
      <c r="L32" s="457"/>
      <c r="M32" s="457"/>
      <c r="N32" s="457"/>
      <c r="O32" s="457"/>
      <c r="P32" s="457"/>
      <c r="Q32" s="457"/>
      <c r="R32" s="457"/>
      <c r="S32" s="457"/>
      <c r="T32" s="457"/>
      <c r="U32" s="457"/>
      <c r="V32" s="457"/>
      <c r="W32" s="457"/>
      <c r="X32" s="457"/>
    </row>
    <row r="33" ht="14.25" customHeight="1">
      <c r="A33" s="455">
        <v>12.0</v>
      </c>
      <c r="B33" s="471" t="s">
        <v>433</v>
      </c>
      <c r="C33" s="24"/>
      <c r="D33" s="39"/>
      <c r="E33" s="457"/>
      <c r="F33" s="457"/>
      <c r="G33" s="457"/>
      <c r="H33" s="457"/>
      <c r="I33" s="457"/>
      <c r="J33" s="457"/>
      <c r="K33" s="457"/>
      <c r="L33" s="457"/>
      <c r="M33" s="457"/>
      <c r="N33" s="457"/>
      <c r="O33" s="457"/>
      <c r="P33" s="457"/>
      <c r="Q33" s="457"/>
      <c r="R33" s="457"/>
      <c r="S33" s="457"/>
      <c r="T33" s="457"/>
      <c r="U33" s="457"/>
      <c r="V33" s="457"/>
      <c r="W33" s="457"/>
      <c r="X33" s="457"/>
    </row>
    <row r="34" ht="36.75" customHeight="1">
      <c r="A34" s="455">
        <v>13.0</v>
      </c>
      <c r="B34" s="471" t="s">
        <v>434</v>
      </c>
      <c r="C34" s="24"/>
      <c r="D34" s="39"/>
      <c r="E34" s="457"/>
      <c r="F34" s="457"/>
      <c r="G34" s="457"/>
      <c r="H34" s="457"/>
      <c r="I34" s="457"/>
      <c r="J34" s="457"/>
      <c r="K34" s="457"/>
      <c r="L34" s="457"/>
      <c r="M34" s="457"/>
      <c r="N34" s="457"/>
      <c r="O34" s="457"/>
      <c r="P34" s="457"/>
      <c r="Q34" s="457"/>
      <c r="R34" s="457"/>
      <c r="S34" s="457"/>
      <c r="T34" s="457"/>
      <c r="U34" s="457"/>
      <c r="V34" s="457"/>
      <c r="W34" s="457"/>
      <c r="X34" s="457"/>
    </row>
    <row r="35" ht="14.25" customHeight="1">
      <c r="A35" s="458"/>
      <c r="B35" s="473"/>
      <c r="C35" s="457"/>
      <c r="D35" s="457"/>
      <c r="E35" s="457"/>
      <c r="F35" s="457"/>
      <c r="G35" s="457"/>
      <c r="H35" s="457"/>
      <c r="I35" s="457"/>
      <c r="J35" s="457"/>
      <c r="K35" s="457"/>
      <c r="L35" s="457"/>
      <c r="M35" s="457"/>
      <c r="N35" s="457"/>
      <c r="O35" s="457"/>
      <c r="P35" s="457"/>
      <c r="Q35" s="457"/>
      <c r="R35" s="457"/>
      <c r="S35" s="457"/>
      <c r="T35" s="457"/>
      <c r="U35" s="457"/>
      <c r="V35" s="457"/>
      <c r="W35" s="457"/>
      <c r="X35" s="457"/>
    </row>
    <row r="36" ht="14.25" customHeight="1">
      <c r="A36" s="458"/>
      <c r="B36" s="473"/>
      <c r="C36" s="457"/>
      <c r="D36" s="457"/>
      <c r="E36" s="457"/>
      <c r="F36" s="457"/>
      <c r="G36" s="457"/>
      <c r="H36" s="457"/>
      <c r="I36" s="457"/>
      <c r="J36" s="457"/>
      <c r="K36" s="457"/>
      <c r="L36" s="457"/>
      <c r="M36" s="457"/>
      <c r="N36" s="457"/>
      <c r="O36" s="457"/>
      <c r="P36" s="457"/>
      <c r="Q36" s="457"/>
      <c r="R36" s="457"/>
      <c r="S36" s="457"/>
      <c r="T36" s="457"/>
      <c r="U36" s="457"/>
      <c r="V36" s="457"/>
      <c r="W36" s="457"/>
      <c r="X36" s="457"/>
    </row>
    <row r="37" ht="14.25" customHeight="1">
      <c r="A37" s="458"/>
      <c r="B37" s="473"/>
      <c r="C37" s="457"/>
      <c r="D37" s="457"/>
      <c r="E37" s="457"/>
      <c r="F37" s="457"/>
      <c r="G37" s="457"/>
      <c r="H37" s="457"/>
      <c r="I37" s="457"/>
      <c r="J37" s="457"/>
      <c r="K37" s="457"/>
      <c r="L37" s="457"/>
      <c r="M37" s="457"/>
      <c r="N37" s="457"/>
      <c r="O37" s="457"/>
      <c r="P37" s="457"/>
      <c r="Q37" s="457"/>
      <c r="R37" s="457"/>
      <c r="S37" s="457"/>
      <c r="T37" s="457"/>
      <c r="U37" s="457"/>
      <c r="V37" s="457"/>
      <c r="W37" s="457"/>
      <c r="X37" s="457"/>
    </row>
    <row r="38" ht="14.25" customHeight="1">
      <c r="A38" s="458"/>
      <c r="B38" s="473"/>
      <c r="C38" s="457"/>
      <c r="D38" s="457"/>
      <c r="E38" s="457"/>
      <c r="F38" s="457"/>
      <c r="G38" s="457"/>
      <c r="H38" s="457"/>
      <c r="I38" s="457"/>
      <c r="J38" s="457"/>
      <c r="K38" s="457"/>
      <c r="L38" s="457"/>
      <c r="M38" s="457"/>
      <c r="N38" s="457"/>
      <c r="O38" s="457"/>
      <c r="P38" s="457"/>
      <c r="Q38" s="457"/>
      <c r="R38" s="457"/>
      <c r="S38" s="457"/>
      <c r="T38" s="457"/>
      <c r="U38" s="457"/>
      <c r="V38" s="457"/>
      <c r="W38" s="457"/>
      <c r="X38" s="457"/>
    </row>
    <row r="39" ht="14.25" customHeight="1">
      <c r="A39" s="458"/>
      <c r="B39" s="473"/>
      <c r="C39" s="457"/>
      <c r="D39" s="457"/>
      <c r="E39" s="457"/>
      <c r="F39" s="457"/>
      <c r="G39" s="457"/>
      <c r="H39" s="457"/>
      <c r="I39" s="457"/>
      <c r="J39" s="457"/>
      <c r="K39" s="457"/>
      <c r="L39" s="457"/>
      <c r="M39" s="457"/>
      <c r="N39" s="457"/>
      <c r="O39" s="457"/>
      <c r="P39" s="457"/>
      <c r="Q39" s="457"/>
      <c r="R39" s="457"/>
      <c r="S39" s="457"/>
      <c r="T39" s="457"/>
      <c r="U39" s="457"/>
      <c r="V39" s="457"/>
      <c r="W39" s="457"/>
      <c r="X39" s="457"/>
    </row>
    <row r="40" ht="14.25" customHeight="1">
      <c r="A40" s="458"/>
      <c r="B40" s="473"/>
      <c r="C40" s="457"/>
      <c r="D40" s="457"/>
      <c r="E40" s="457"/>
      <c r="F40" s="457"/>
      <c r="G40" s="457"/>
      <c r="H40" s="457"/>
      <c r="I40" s="457"/>
      <c r="J40" s="457"/>
      <c r="K40" s="457"/>
      <c r="L40" s="457"/>
      <c r="M40" s="457"/>
      <c r="N40" s="457"/>
      <c r="O40" s="457"/>
      <c r="P40" s="457"/>
      <c r="Q40" s="457"/>
      <c r="R40" s="457"/>
      <c r="S40" s="457"/>
      <c r="T40" s="457"/>
      <c r="U40" s="457"/>
      <c r="V40" s="457"/>
      <c r="W40" s="457"/>
      <c r="X40" s="457"/>
    </row>
    <row r="41" ht="14.25" customHeight="1">
      <c r="A41" s="458"/>
      <c r="B41" s="473"/>
      <c r="C41" s="457"/>
      <c r="D41" s="457"/>
      <c r="E41" s="457"/>
      <c r="F41" s="457"/>
      <c r="G41" s="457"/>
      <c r="H41" s="457"/>
      <c r="I41" s="457"/>
      <c r="J41" s="457"/>
      <c r="K41" s="457"/>
      <c r="L41" s="457"/>
      <c r="M41" s="457"/>
      <c r="N41" s="457"/>
      <c r="O41" s="457"/>
      <c r="P41" s="457"/>
      <c r="Q41" s="457"/>
      <c r="R41" s="457"/>
      <c r="S41" s="457"/>
      <c r="T41" s="457"/>
      <c r="U41" s="457"/>
      <c r="V41" s="457"/>
      <c r="W41" s="457"/>
      <c r="X41" s="457"/>
    </row>
    <row r="42" ht="14.25" customHeight="1">
      <c r="A42" s="458"/>
      <c r="B42" s="473"/>
      <c r="C42" s="457"/>
      <c r="D42" s="457"/>
      <c r="E42" s="457"/>
      <c r="F42" s="457"/>
      <c r="G42" s="457"/>
      <c r="H42" s="457"/>
      <c r="I42" s="457"/>
      <c r="J42" s="457"/>
      <c r="K42" s="457"/>
      <c r="L42" s="457"/>
      <c r="M42" s="457"/>
      <c r="N42" s="457"/>
      <c r="O42" s="457"/>
      <c r="P42" s="457"/>
      <c r="Q42" s="457"/>
      <c r="R42" s="457"/>
      <c r="S42" s="457"/>
      <c r="T42" s="457"/>
      <c r="U42" s="457"/>
      <c r="V42" s="457"/>
      <c r="W42" s="457"/>
      <c r="X42" s="457"/>
    </row>
    <row r="43" ht="14.25" customHeight="1">
      <c r="A43" s="458"/>
      <c r="B43" s="473"/>
      <c r="C43" s="457"/>
      <c r="D43" s="457"/>
      <c r="E43" s="457"/>
      <c r="F43" s="457"/>
      <c r="G43" s="457"/>
      <c r="H43" s="457"/>
      <c r="I43" s="457"/>
      <c r="J43" s="457"/>
      <c r="K43" s="457"/>
      <c r="L43" s="457"/>
      <c r="M43" s="457"/>
      <c r="N43" s="457"/>
      <c r="O43" s="457"/>
      <c r="P43" s="457"/>
      <c r="Q43" s="457"/>
      <c r="R43" s="457"/>
      <c r="S43" s="457"/>
      <c r="T43" s="457"/>
      <c r="U43" s="457"/>
      <c r="V43" s="457"/>
      <c r="W43" s="457"/>
      <c r="X43" s="457"/>
    </row>
    <row r="44" ht="14.25" customHeight="1">
      <c r="A44" s="458"/>
      <c r="B44" s="473"/>
      <c r="C44" s="457"/>
      <c r="D44" s="457"/>
      <c r="E44" s="457"/>
      <c r="F44" s="457"/>
      <c r="G44" s="457"/>
      <c r="H44" s="457"/>
      <c r="I44" s="457"/>
      <c r="J44" s="457"/>
      <c r="K44" s="457"/>
      <c r="L44" s="457"/>
      <c r="M44" s="457"/>
      <c r="N44" s="457"/>
      <c r="O44" s="457"/>
      <c r="P44" s="457"/>
      <c r="Q44" s="457"/>
      <c r="R44" s="457"/>
      <c r="S44" s="457"/>
      <c r="T44" s="457"/>
      <c r="U44" s="457"/>
      <c r="V44" s="457"/>
      <c r="W44" s="457"/>
      <c r="X44" s="457"/>
    </row>
    <row r="45" ht="14.25" customHeight="1">
      <c r="A45" s="458"/>
      <c r="B45" s="473"/>
      <c r="C45" s="457"/>
      <c r="D45" s="457"/>
      <c r="E45" s="457"/>
      <c r="F45" s="457"/>
      <c r="G45" s="457"/>
      <c r="H45" s="457"/>
      <c r="I45" s="457"/>
      <c r="J45" s="457"/>
      <c r="K45" s="457"/>
      <c r="L45" s="457"/>
      <c r="M45" s="457"/>
      <c r="N45" s="457"/>
      <c r="O45" s="457"/>
      <c r="P45" s="457"/>
      <c r="Q45" s="457"/>
      <c r="R45" s="457"/>
      <c r="S45" s="457"/>
      <c r="T45" s="457"/>
      <c r="U45" s="457"/>
      <c r="V45" s="457"/>
      <c r="W45" s="457"/>
      <c r="X45" s="457"/>
    </row>
    <row r="46" ht="14.25" customHeight="1">
      <c r="A46" s="458"/>
      <c r="B46" s="473"/>
      <c r="C46" s="457"/>
      <c r="D46" s="457"/>
      <c r="E46" s="457"/>
      <c r="F46" s="457"/>
      <c r="G46" s="457"/>
      <c r="H46" s="457"/>
      <c r="I46" s="457"/>
      <c r="J46" s="457"/>
      <c r="K46" s="457"/>
      <c r="L46" s="457"/>
      <c r="M46" s="457"/>
      <c r="N46" s="457"/>
      <c r="O46" s="457"/>
      <c r="P46" s="457"/>
      <c r="Q46" s="457"/>
      <c r="R46" s="457"/>
      <c r="S46" s="457"/>
      <c r="T46" s="457"/>
      <c r="U46" s="457"/>
      <c r="V46" s="457"/>
      <c r="W46" s="457"/>
      <c r="X46" s="457"/>
    </row>
    <row r="47" ht="14.25" customHeight="1">
      <c r="A47" s="458"/>
      <c r="B47" s="473"/>
      <c r="C47" s="457"/>
      <c r="D47" s="457"/>
      <c r="E47" s="457"/>
      <c r="F47" s="457"/>
      <c r="G47" s="457"/>
      <c r="H47" s="457"/>
      <c r="I47" s="457"/>
      <c r="J47" s="457"/>
      <c r="K47" s="457"/>
      <c r="L47" s="457"/>
      <c r="M47" s="457"/>
      <c r="N47" s="457"/>
      <c r="O47" s="457"/>
      <c r="P47" s="457"/>
      <c r="Q47" s="457"/>
      <c r="R47" s="457"/>
      <c r="S47" s="457"/>
      <c r="T47" s="457"/>
      <c r="U47" s="457"/>
      <c r="V47" s="457"/>
      <c r="W47" s="457"/>
      <c r="X47" s="457"/>
    </row>
    <row r="48" ht="14.25" customHeight="1">
      <c r="A48" s="458"/>
      <c r="B48" s="473"/>
      <c r="C48" s="457"/>
      <c r="D48" s="457"/>
      <c r="E48" s="457"/>
      <c r="F48" s="457"/>
      <c r="G48" s="457"/>
      <c r="H48" s="457"/>
      <c r="I48" s="457"/>
      <c r="J48" s="457"/>
      <c r="K48" s="457"/>
      <c r="L48" s="457"/>
      <c r="M48" s="457"/>
      <c r="N48" s="457"/>
      <c r="O48" s="457"/>
      <c r="P48" s="457"/>
      <c r="Q48" s="457"/>
      <c r="R48" s="457"/>
      <c r="S48" s="457"/>
      <c r="T48" s="457"/>
      <c r="U48" s="457"/>
      <c r="V48" s="457"/>
      <c r="W48" s="457"/>
      <c r="X48" s="457"/>
    </row>
    <row r="49" ht="14.25" customHeight="1">
      <c r="A49" s="458"/>
      <c r="B49" s="473"/>
      <c r="C49" s="457"/>
      <c r="D49" s="457"/>
      <c r="E49" s="457"/>
      <c r="F49" s="457"/>
      <c r="G49" s="457"/>
      <c r="H49" s="457"/>
      <c r="I49" s="457"/>
      <c r="J49" s="457"/>
      <c r="K49" s="457"/>
      <c r="L49" s="457"/>
      <c r="M49" s="457"/>
      <c r="N49" s="457"/>
      <c r="O49" s="457"/>
      <c r="P49" s="457"/>
      <c r="Q49" s="457"/>
      <c r="R49" s="457"/>
      <c r="S49" s="457"/>
      <c r="T49" s="457"/>
      <c r="U49" s="457"/>
      <c r="V49" s="457"/>
      <c r="W49" s="457"/>
      <c r="X49" s="457"/>
    </row>
    <row r="50" ht="14.25" customHeight="1">
      <c r="A50" s="458"/>
      <c r="B50" s="473"/>
      <c r="C50" s="457"/>
      <c r="D50" s="457"/>
      <c r="E50" s="457"/>
      <c r="F50" s="457"/>
      <c r="G50" s="457"/>
      <c r="H50" s="457"/>
      <c r="I50" s="457"/>
      <c r="J50" s="457"/>
      <c r="K50" s="457"/>
      <c r="L50" s="457"/>
      <c r="M50" s="457"/>
      <c r="N50" s="457"/>
      <c r="O50" s="457"/>
      <c r="P50" s="457"/>
      <c r="Q50" s="457"/>
      <c r="R50" s="457"/>
      <c r="S50" s="457"/>
      <c r="T50" s="457"/>
      <c r="U50" s="457"/>
      <c r="V50" s="457"/>
      <c r="W50" s="457"/>
      <c r="X50" s="457"/>
    </row>
    <row r="51" ht="14.25" customHeight="1">
      <c r="A51" s="458"/>
      <c r="B51" s="473"/>
      <c r="C51" s="457"/>
      <c r="D51" s="457"/>
      <c r="E51" s="457"/>
      <c r="F51" s="457"/>
      <c r="G51" s="457"/>
      <c r="H51" s="457"/>
      <c r="I51" s="457"/>
      <c r="J51" s="457"/>
      <c r="K51" s="457"/>
      <c r="L51" s="457"/>
      <c r="M51" s="457"/>
      <c r="N51" s="457"/>
      <c r="O51" s="457"/>
      <c r="P51" s="457"/>
      <c r="Q51" s="457"/>
      <c r="R51" s="457"/>
      <c r="S51" s="457"/>
      <c r="T51" s="457"/>
      <c r="U51" s="457"/>
      <c r="V51" s="457"/>
      <c r="W51" s="457"/>
      <c r="X51" s="457"/>
    </row>
    <row r="52" ht="14.25" customHeight="1">
      <c r="A52" s="458"/>
      <c r="B52" s="473"/>
      <c r="C52" s="457"/>
      <c r="D52" s="457"/>
      <c r="E52" s="457"/>
      <c r="F52" s="457"/>
      <c r="G52" s="457"/>
      <c r="H52" s="457"/>
      <c r="I52" s="457"/>
      <c r="J52" s="457"/>
      <c r="K52" s="457"/>
      <c r="L52" s="457"/>
      <c r="M52" s="457"/>
      <c r="N52" s="457"/>
      <c r="O52" s="457"/>
      <c r="P52" s="457"/>
      <c r="Q52" s="457"/>
      <c r="R52" s="457"/>
      <c r="S52" s="457"/>
      <c r="T52" s="457"/>
      <c r="U52" s="457"/>
      <c r="V52" s="457"/>
      <c r="W52" s="457"/>
      <c r="X52" s="457"/>
    </row>
    <row r="53" ht="14.25" customHeight="1">
      <c r="A53" s="458"/>
      <c r="B53" s="473"/>
      <c r="C53" s="457"/>
      <c r="D53" s="457"/>
      <c r="E53" s="457"/>
      <c r="F53" s="457"/>
      <c r="G53" s="457"/>
      <c r="H53" s="457"/>
      <c r="I53" s="457"/>
      <c r="J53" s="457"/>
      <c r="K53" s="457"/>
      <c r="L53" s="457"/>
      <c r="M53" s="457"/>
      <c r="N53" s="457"/>
      <c r="O53" s="457"/>
      <c r="P53" s="457"/>
      <c r="Q53" s="457"/>
      <c r="R53" s="457"/>
      <c r="S53" s="457"/>
      <c r="T53" s="457"/>
      <c r="U53" s="457"/>
      <c r="V53" s="457"/>
      <c r="W53" s="457"/>
      <c r="X53" s="457"/>
    </row>
    <row r="54" ht="14.25" customHeight="1">
      <c r="A54" s="458"/>
      <c r="B54" s="473"/>
      <c r="C54" s="457"/>
      <c r="D54" s="457"/>
      <c r="E54" s="457"/>
      <c r="F54" s="457"/>
      <c r="G54" s="457"/>
      <c r="H54" s="457"/>
      <c r="I54" s="457"/>
      <c r="J54" s="457"/>
      <c r="K54" s="457"/>
      <c r="L54" s="457"/>
      <c r="M54" s="457"/>
      <c r="N54" s="457"/>
      <c r="O54" s="457"/>
      <c r="P54" s="457"/>
      <c r="Q54" s="457"/>
      <c r="R54" s="457"/>
      <c r="S54" s="457"/>
      <c r="T54" s="457"/>
      <c r="U54" s="457"/>
      <c r="V54" s="457"/>
      <c r="W54" s="457"/>
      <c r="X54" s="457"/>
    </row>
    <row r="55" ht="14.25" customHeight="1">
      <c r="A55" s="458"/>
      <c r="B55" s="473"/>
      <c r="C55" s="457"/>
      <c r="D55" s="457"/>
      <c r="E55" s="457"/>
      <c r="F55" s="457"/>
      <c r="G55" s="457"/>
      <c r="H55" s="457"/>
      <c r="I55" s="457"/>
      <c r="J55" s="457"/>
      <c r="K55" s="457"/>
      <c r="L55" s="457"/>
      <c r="M55" s="457"/>
      <c r="N55" s="457"/>
      <c r="O55" s="457"/>
      <c r="P55" s="457"/>
      <c r="Q55" s="457"/>
      <c r="R55" s="457"/>
      <c r="S55" s="457"/>
      <c r="T55" s="457"/>
      <c r="U55" s="457"/>
      <c r="V55" s="457"/>
      <c r="W55" s="457"/>
      <c r="X55" s="457"/>
    </row>
    <row r="56" ht="14.25" customHeight="1">
      <c r="A56" s="458"/>
      <c r="B56" s="473"/>
      <c r="C56" s="457"/>
      <c r="D56" s="457"/>
      <c r="E56" s="457"/>
      <c r="F56" s="457"/>
      <c r="G56" s="457"/>
      <c r="H56" s="457"/>
      <c r="I56" s="457"/>
      <c r="J56" s="457"/>
      <c r="K56" s="457"/>
      <c r="L56" s="457"/>
      <c r="M56" s="457"/>
      <c r="N56" s="457"/>
      <c r="O56" s="457"/>
      <c r="P56" s="457"/>
      <c r="Q56" s="457"/>
      <c r="R56" s="457"/>
      <c r="S56" s="457"/>
      <c r="T56" s="457"/>
      <c r="U56" s="457"/>
      <c r="V56" s="457"/>
      <c r="W56" s="457"/>
      <c r="X56" s="457"/>
    </row>
    <row r="57" ht="14.25" customHeight="1">
      <c r="A57" s="458"/>
      <c r="B57" s="473"/>
      <c r="C57" s="457"/>
      <c r="D57" s="457"/>
      <c r="E57" s="457"/>
      <c r="F57" s="457"/>
      <c r="G57" s="457"/>
      <c r="H57" s="457"/>
      <c r="I57" s="457"/>
      <c r="J57" s="457"/>
      <c r="K57" s="457"/>
      <c r="L57" s="457"/>
      <c r="M57" s="457"/>
      <c r="N57" s="457"/>
      <c r="O57" s="457"/>
      <c r="P57" s="457"/>
      <c r="Q57" s="457"/>
      <c r="R57" s="457"/>
      <c r="S57" s="457"/>
      <c r="T57" s="457"/>
      <c r="U57" s="457"/>
      <c r="V57" s="457"/>
      <c r="W57" s="457"/>
      <c r="X57" s="457"/>
    </row>
    <row r="58" ht="14.25" customHeight="1">
      <c r="A58" s="458"/>
      <c r="B58" s="473"/>
      <c r="C58" s="457"/>
      <c r="D58" s="457"/>
      <c r="E58" s="457"/>
      <c r="F58" s="457"/>
      <c r="G58" s="457"/>
      <c r="H58" s="457"/>
      <c r="I58" s="457"/>
      <c r="J58" s="457"/>
      <c r="K58" s="457"/>
      <c r="L58" s="457"/>
      <c r="M58" s="457"/>
      <c r="N58" s="457"/>
      <c r="O58" s="457"/>
      <c r="P58" s="457"/>
      <c r="Q58" s="457"/>
      <c r="R58" s="457"/>
      <c r="S58" s="457"/>
      <c r="T58" s="457"/>
      <c r="U58" s="457"/>
      <c r="V58" s="457"/>
      <c r="W58" s="457"/>
      <c r="X58" s="457"/>
    </row>
    <row r="59" ht="14.25" customHeight="1">
      <c r="A59" s="458"/>
      <c r="B59" s="473"/>
      <c r="C59" s="457"/>
      <c r="D59" s="457"/>
      <c r="E59" s="457"/>
      <c r="F59" s="457"/>
      <c r="G59" s="457"/>
      <c r="H59" s="457"/>
      <c r="I59" s="457"/>
      <c r="J59" s="457"/>
      <c r="K59" s="457"/>
      <c r="L59" s="457"/>
      <c r="M59" s="457"/>
      <c r="N59" s="457"/>
      <c r="O59" s="457"/>
      <c r="P59" s="457"/>
      <c r="Q59" s="457"/>
      <c r="R59" s="457"/>
      <c r="S59" s="457"/>
      <c r="T59" s="457"/>
      <c r="U59" s="457"/>
      <c r="V59" s="457"/>
      <c r="W59" s="457"/>
      <c r="X59" s="457"/>
    </row>
    <row r="60" ht="14.25" customHeight="1">
      <c r="A60" s="458"/>
      <c r="B60" s="473"/>
      <c r="C60" s="457"/>
      <c r="D60" s="457"/>
      <c r="E60" s="457"/>
      <c r="F60" s="457"/>
      <c r="G60" s="457"/>
      <c r="H60" s="457"/>
      <c r="I60" s="457"/>
      <c r="J60" s="457"/>
      <c r="K60" s="457"/>
      <c r="L60" s="457"/>
      <c r="M60" s="457"/>
      <c r="N60" s="457"/>
      <c r="O60" s="457"/>
      <c r="P60" s="457"/>
      <c r="Q60" s="457"/>
      <c r="R60" s="457"/>
      <c r="S60" s="457"/>
      <c r="T60" s="457"/>
      <c r="U60" s="457"/>
      <c r="V60" s="457"/>
      <c r="W60" s="457"/>
      <c r="X60" s="457"/>
    </row>
    <row r="61" ht="14.25" customHeight="1">
      <c r="A61" s="458"/>
      <c r="B61" s="473"/>
      <c r="C61" s="457"/>
      <c r="D61" s="457"/>
      <c r="E61" s="457"/>
      <c r="F61" s="457"/>
      <c r="G61" s="457"/>
      <c r="H61" s="457"/>
      <c r="I61" s="457"/>
      <c r="J61" s="457"/>
      <c r="K61" s="457"/>
      <c r="L61" s="457"/>
      <c r="M61" s="457"/>
      <c r="N61" s="457"/>
      <c r="O61" s="457"/>
      <c r="P61" s="457"/>
      <c r="Q61" s="457"/>
      <c r="R61" s="457"/>
      <c r="S61" s="457"/>
      <c r="T61" s="457"/>
      <c r="U61" s="457"/>
      <c r="V61" s="457"/>
      <c r="W61" s="457"/>
      <c r="X61" s="457"/>
    </row>
    <row r="62" ht="14.25" customHeight="1">
      <c r="A62" s="458"/>
      <c r="B62" s="473"/>
      <c r="C62" s="457"/>
      <c r="D62" s="457"/>
      <c r="E62" s="457"/>
      <c r="F62" s="457"/>
      <c r="G62" s="457"/>
      <c r="H62" s="457"/>
      <c r="I62" s="457"/>
      <c r="J62" s="457"/>
      <c r="K62" s="457"/>
      <c r="L62" s="457"/>
      <c r="M62" s="457"/>
      <c r="N62" s="457"/>
      <c r="O62" s="457"/>
      <c r="P62" s="457"/>
      <c r="Q62" s="457"/>
      <c r="R62" s="457"/>
      <c r="S62" s="457"/>
      <c r="T62" s="457"/>
      <c r="U62" s="457"/>
      <c r="V62" s="457"/>
      <c r="W62" s="457"/>
      <c r="X62" s="457"/>
    </row>
    <row r="63" ht="14.25" customHeight="1">
      <c r="A63" s="458"/>
      <c r="B63" s="473"/>
      <c r="C63" s="457"/>
      <c r="D63" s="457"/>
      <c r="E63" s="457"/>
      <c r="F63" s="457"/>
      <c r="G63" s="457"/>
      <c r="H63" s="457"/>
      <c r="I63" s="457"/>
      <c r="J63" s="457"/>
      <c r="K63" s="457"/>
      <c r="L63" s="457"/>
      <c r="M63" s="457"/>
      <c r="N63" s="457"/>
      <c r="O63" s="457"/>
      <c r="P63" s="457"/>
      <c r="Q63" s="457"/>
      <c r="R63" s="457"/>
      <c r="S63" s="457"/>
      <c r="T63" s="457"/>
      <c r="U63" s="457"/>
      <c r="V63" s="457"/>
      <c r="W63" s="457"/>
      <c r="X63" s="457"/>
    </row>
    <row r="64" ht="14.25" customHeight="1">
      <c r="A64" s="458"/>
      <c r="B64" s="473"/>
      <c r="C64" s="457"/>
      <c r="D64" s="457"/>
      <c r="E64" s="457"/>
      <c r="F64" s="457"/>
      <c r="G64" s="457"/>
      <c r="H64" s="457"/>
      <c r="I64" s="457"/>
      <c r="J64" s="457"/>
      <c r="K64" s="457"/>
      <c r="L64" s="457"/>
      <c r="M64" s="457"/>
      <c r="N64" s="457"/>
      <c r="O64" s="457"/>
      <c r="P64" s="457"/>
      <c r="Q64" s="457"/>
      <c r="R64" s="457"/>
      <c r="S64" s="457"/>
      <c r="T64" s="457"/>
      <c r="U64" s="457"/>
      <c r="V64" s="457"/>
      <c r="W64" s="457"/>
      <c r="X64" s="457"/>
    </row>
    <row r="65" ht="14.25" customHeight="1">
      <c r="A65" s="458"/>
      <c r="B65" s="473"/>
      <c r="C65" s="457"/>
      <c r="D65" s="457"/>
      <c r="E65" s="457"/>
      <c r="F65" s="457"/>
      <c r="G65" s="457"/>
      <c r="H65" s="457"/>
      <c r="I65" s="457"/>
      <c r="J65" s="457"/>
      <c r="K65" s="457"/>
      <c r="L65" s="457"/>
      <c r="M65" s="457"/>
      <c r="N65" s="457"/>
      <c r="O65" s="457"/>
      <c r="P65" s="457"/>
      <c r="Q65" s="457"/>
      <c r="R65" s="457"/>
      <c r="S65" s="457"/>
      <c r="T65" s="457"/>
      <c r="U65" s="457"/>
      <c r="V65" s="457"/>
      <c r="W65" s="457"/>
      <c r="X65" s="457"/>
    </row>
    <row r="66" ht="14.25" customHeight="1">
      <c r="A66" s="458"/>
      <c r="B66" s="473"/>
      <c r="C66" s="457"/>
      <c r="D66" s="457"/>
      <c r="E66" s="457"/>
      <c r="F66" s="457"/>
      <c r="G66" s="457"/>
      <c r="H66" s="457"/>
      <c r="I66" s="457"/>
      <c r="J66" s="457"/>
      <c r="K66" s="457"/>
      <c r="L66" s="457"/>
      <c r="M66" s="457"/>
      <c r="N66" s="457"/>
      <c r="O66" s="457"/>
      <c r="P66" s="457"/>
      <c r="Q66" s="457"/>
      <c r="R66" s="457"/>
      <c r="S66" s="457"/>
      <c r="T66" s="457"/>
      <c r="U66" s="457"/>
      <c r="V66" s="457"/>
      <c r="W66" s="457"/>
      <c r="X66" s="457"/>
    </row>
    <row r="67" ht="14.25" customHeight="1">
      <c r="A67" s="458"/>
      <c r="B67" s="473"/>
      <c r="C67" s="457"/>
      <c r="D67" s="457"/>
      <c r="E67" s="457"/>
      <c r="F67" s="457"/>
      <c r="G67" s="457"/>
      <c r="H67" s="457"/>
      <c r="I67" s="457"/>
      <c r="J67" s="457"/>
      <c r="K67" s="457"/>
      <c r="L67" s="457"/>
      <c r="M67" s="457"/>
      <c r="N67" s="457"/>
      <c r="O67" s="457"/>
      <c r="P67" s="457"/>
      <c r="Q67" s="457"/>
      <c r="R67" s="457"/>
      <c r="S67" s="457"/>
      <c r="T67" s="457"/>
      <c r="U67" s="457"/>
      <c r="V67" s="457"/>
      <c r="W67" s="457"/>
      <c r="X67" s="457"/>
    </row>
    <row r="68" ht="14.25" customHeight="1">
      <c r="A68" s="458"/>
      <c r="B68" s="473"/>
      <c r="C68" s="457"/>
      <c r="D68" s="457"/>
      <c r="E68" s="457"/>
      <c r="F68" s="457"/>
      <c r="G68" s="457"/>
      <c r="H68" s="457"/>
      <c r="I68" s="457"/>
      <c r="J68" s="457"/>
      <c r="K68" s="457"/>
      <c r="L68" s="457"/>
      <c r="M68" s="457"/>
      <c r="N68" s="457"/>
      <c r="O68" s="457"/>
      <c r="P68" s="457"/>
      <c r="Q68" s="457"/>
      <c r="R68" s="457"/>
      <c r="S68" s="457"/>
      <c r="T68" s="457"/>
      <c r="U68" s="457"/>
      <c r="V68" s="457"/>
      <c r="W68" s="457"/>
      <c r="X68" s="457"/>
    </row>
    <row r="69" ht="14.25" customHeight="1">
      <c r="A69" s="458"/>
      <c r="B69" s="473"/>
      <c r="C69" s="457"/>
      <c r="D69" s="457"/>
      <c r="E69" s="457"/>
      <c r="F69" s="457"/>
      <c r="G69" s="457"/>
      <c r="H69" s="457"/>
      <c r="I69" s="457"/>
      <c r="J69" s="457"/>
      <c r="K69" s="457"/>
      <c r="L69" s="457"/>
      <c r="M69" s="457"/>
      <c r="N69" s="457"/>
      <c r="O69" s="457"/>
      <c r="P69" s="457"/>
      <c r="Q69" s="457"/>
      <c r="R69" s="457"/>
      <c r="S69" s="457"/>
      <c r="T69" s="457"/>
      <c r="U69" s="457"/>
      <c r="V69" s="457"/>
      <c r="W69" s="457"/>
      <c r="X69" s="457"/>
    </row>
    <row r="70" ht="14.25" customHeight="1">
      <c r="A70" s="458"/>
      <c r="B70" s="473"/>
      <c r="C70" s="457"/>
      <c r="D70" s="457"/>
      <c r="E70" s="457"/>
      <c r="F70" s="457"/>
      <c r="G70" s="457"/>
      <c r="H70" s="457"/>
      <c r="I70" s="457"/>
      <c r="J70" s="457"/>
      <c r="K70" s="457"/>
      <c r="L70" s="457"/>
      <c r="M70" s="457"/>
      <c r="N70" s="457"/>
      <c r="O70" s="457"/>
      <c r="P70" s="457"/>
      <c r="Q70" s="457"/>
      <c r="R70" s="457"/>
      <c r="S70" s="457"/>
      <c r="T70" s="457"/>
      <c r="U70" s="457"/>
      <c r="V70" s="457"/>
      <c r="W70" s="457"/>
      <c r="X70" s="457"/>
    </row>
    <row r="71" ht="14.25" customHeight="1">
      <c r="A71" s="458"/>
      <c r="B71" s="473"/>
      <c r="C71" s="457"/>
      <c r="D71" s="457"/>
      <c r="E71" s="457"/>
      <c r="F71" s="457"/>
      <c r="G71" s="457"/>
      <c r="H71" s="457"/>
      <c r="I71" s="457"/>
      <c r="J71" s="457"/>
      <c r="K71" s="457"/>
      <c r="L71" s="457"/>
      <c r="M71" s="457"/>
      <c r="N71" s="457"/>
      <c r="O71" s="457"/>
      <c r="P71" s="457"/>
      <c r="Q71" s="457"/>
      <c r="R71" s="457"/>
      <c r="S71" s="457"/>
      <c r="T71" s="457"/>
      <c r="U71" s="457"/>
      <c r="V71" s="457"/>
      <c r="W71" s="457"/>
      <c r="X71" s="457"/>
    </row>
    <row r="72" ht="14.25" customHeight="1">
      <c r="A72" s="458"/>
      <c r="B72" s="473"/>
      <c r="C72" s="457"/>
      <c r="D72" s="457"/>
      <c r="E72" s="457"/>
      <c r="F72" s="457"/>
      <c r="G72" s="457"/>
      <c r="H72" s="457"/>
      <c r="I72" s="457"/>
      <c r="J72" s="457"/>
      <c r="K72" s="457"/>
      <c r="L72" s="457"/>
      <c r="M72" s="457"/>
      <c r="N72" s="457"/>
      <c r="O72" s="457"/>
      <c r="P72" s="457"/>
      <c r="Q72" s="457"/>
      <c r="R72" s="457"/>
      <c r="S72" s="457"/>
      <c r="T72" s="457"/>
      <c r="U72" s="457"/>
      <c r="V72" s="457"/>
      <c r="W72" s="457"/>
      <c r="X72" s="457"/>
    </row>
    <row r="73" ht="14.25" customHeight="1">
      <c r="A73" s="458"/>
      <c r="B73" s="473"/>
      <c r="C73" s="457"/>
      <c r="D73" s="457"/>
      <c r="E73" s="457"/>
      <c r="F73" s="457"/>
      <c r="G73" s="457"/>
      <c r="H73" s="457"/>
      <c r="I73" s="457"/>
      <c r="J73" s="457"/>
      <c r="K73" s="457"/>
      <c r="L73" s="457"/>
      <c r="M73" s="457"/>
      <c r="N73" s="457"/>
      <c r="O73" s="457"/>
      <c r="P73" s="457"/>
      <c r="Q73" s="457"/>
      <c r="R73" s="457"/>
      <c r="S73" s="457"/>
      <c r="T73" s="457"/>
      <c r="U73" s="457"/>
      <c r="V73" s="457"/>
      <c r="W73" s="457"/>
      <c r="X73" s="457"/>
    </row>
    <row r="74" ht="14.25" customHeight="1">
      <c r="A74" s="458"/>
      <c r="B74" s="473"/>
      <c r="C74" s="457"/>
      <c r="D74" s="457"/>
      <c r="E74" s="457"/>
      <c r="F74" s="457"/>
      <c r="G74" s="457"/>
      <c r="H74" s="457"/>
      <c r="I74" s="457"/>
      <c r="J74" s="457"/>
      <c r="K74" s="457"/>
      <c r="L74" s="457"/>
      <c r="M74" s="457"/>
      <c r="N74" s="457"/>
      <c r="O74" s="457"/>
      <c r="P74" s="457"/>
      <c r="Q74" s="457"/>
      <c r="R74" s="457"/>
      <c r="S74" s="457"/>
      <c r="T74" s="457"/>
      <c r="U74" s="457"/>
      <c r="V74" s="457"/>
      <c r="W74" s="457"/>
      <c r="X74" s="457"/>
    </row>
    <row r="75" ht="14.25" customHeight="1">
      <c r="A75" s="458"/>
      <c r="B75" s="473"/>
      <c r="C75" s="457"/>
      <c r="D75" s="457"/>
      <c r="E75" s="457"/>
      <c r="F75" s="457"/>
      <c r="G75" s="457"/>
      <c r="H75" s="457"/>
      <c r="I75" s="457"/>
      <c r="J75" s="457"/>
      <c r="K75" s="457"/>
      <c r="L75" s="457"/>
      <c r="M75" s="457"/>
      <c r="N75" s="457"/>
      <c r="O75" s="457"/>
      <c r="P75" s="457"/>
      <c r="Q75" s="457"/>
      <c r="R75" s="457"/>
      <c r="S75" s="457"/>
      <c r="T75" s="457"/>
      <c r="U75" s="457"/>
      <c r="V75" s="457"/>
      <c r="W75" s="457"/>
      <c r="X75" s="457"/>
    </row>
    <row r="76" ht="14.25" customHeight="1">
      <c r="A76" s="458"/>
      <c r="B76" s="473"/>
      <c r="C76" s="457"/>
      <c r="D76" s="457"/>
      <c r="E76" s="457"/>
      <c r="F76" s="457"/>
      <c r="G76" s="457"/>
      <c r="H76" s="457"/>
      <c r="I76" s="457"/>
      <c r="J76" s="457"/>
      <c r="K76" s="457"/>
      <c r="L76" s="457"/>
      <c r="M76" s="457"/>
      <c r="N76" s="457"/>
      <c r="O76" s="457"/>
      <c r="P76" s="457"/>
      <c r="Q76" s="457"/>
      <c r="R76" s="457"/>
      <c r="S76" s="457"/>
      <c r="T76" s="457"/>
      <c r="U76" s="457"/>
      <c r="V76" s="457"/>
      <c r="W76" s="457"/>
      <c r="X76" s="457"/>
    </row>
    <row r="77" ht="14.25" customHeight="1">
      <c r="A77" s="458"/>
      <c r="B77" s="473"/>
      <c r="C77" s="457"/>
      <c r="D77" s="457"/>
      <c r="E77" s="457"/>
      <c r="F77" s="457"/>
      <c r="G77" s="457"/>
      <c r="H77" s="457"/>
      <c r="I77" s="457"/>
      <c r="J77" s="457"/>
      <c r="K77" s="457"/>
      <c r="L77" s="457"/>
      <c r="M77" s="457"/>
      <c r="N77" s="457"/>
      <c r="O77" s="457"/>
      <c r="P77" s="457"/>
      <c r="Q77" s="457"/>
      <c r="R77" s="457"/>
      <c r="S77" s="457"/>
      <c r="T77" s="457"/>
      <c r="U77" s="457"/>
      <c r="V77" s="457"/>
      <c r="W77" s="457"/>
      <c r="X77" s="457"/>
    </row>
    <row r="78" ht="14.25" customHeight="1">
      <c r="A78" s="458"/>
      <c r="B78" s="473"/>
      <c r="C78" s="457"/>
      <c r="D78" s="457"/>
      <c r="E78" s="457"/>
      <c r="F78" s="457"/>
      <c r="G78" s="457"/>
      <c r="H78" s="457"/>
      <c r="I78" s="457"/>
      <c r="J78" s="457"/>
      <c r="K78" s="457"/>
      <c r="L78" s="457"/>
      <c r="M78" s="457"/>
      <c r="N78" s="457"/>
      <c r="O78" s="457"/>
      <c r="P78" s="457"/>
      <c r="Q78" s="457"/>
      <c r="R78" s="457"/>
      <c r="S78" s="457"/>
      <c r="T78" s="457"/>
      <c r="U78" s="457"/>
      <c r="V78" s="457"/>
      <c r="W78" s="457"/>
      <c r="X78" s="457"/>
    </row>
    <row r="79" ht="14.25" customHeight="1">
      <c r="A79" s="458"/>
      <c r="B79" s="473"/>
      <c r="C79" s="457"/>
      <c r="D79" s="457"/>
      <c r="E79" s="457"/>
      <c r="F79" s="457"/>
      <c r="G79" s="457"/>
      <c r="H79" s="457"/>
      <c r="I79" s="457"/>
      <c r="J79" s="457"/>
      <c r="K79" s="457"/>
      <c r="L79" s="457"/>
      <c r="M79" s="457"/>
      <c r="N79" s="457"/>
      <c r="O79" s="457"/>
      <c r="P79" s="457"/>
      <c r="Q79" s="457"/>
      <c r="R79" s="457"/>
      <c r="S79" s="457"/>
      <c r="T79" s="457"/>
      <c r="U79" s="457"/>
      <c r="V79" s="457"/>
      <c r="W79" s="457"/>
      <c r="X79" s="457"/>
    </row>
    <row r="80" ht="14.25" customHeight="1">
      <c r="A80" s="458"/>
      <c r="B80" s="473"/>
      <c r="C80" s="457"/>
      <c r="D80" s="457"/>
      <c r="E80" s="457"/>
      <c r="F80" s="457"/>
      <c r="G80" s="457"/>
      <c r="H80" s="457"/>
      <c r="I80" s="457"/>
      <c r="J80" s="457"/>
      <c r="K80" s="457"/>
      <c r="L80" s="457"/>
      <c r="M80" s="457"/>
      <c r="N80" s="457"/>
      <c r="O80" s="457"/>
      <c r="P80" s="457"/>
      <c r="Q80" s="457"/>
      <c r="R80" s="457"/>
      <c r="S80" s="457"/>
      <c r="T80" s="457"/>
      <c r="U80" s="457"/>
      <c r="V80" s="457"/>
      <c r="W80" s="457"/>
      <c r="X80" s="457"/>
    </row>
    <row r="81" ht="14.25" customHeight="1">
      <c r="A81" s="458"/>
      <c r="B81" s="473"/>
      <c r="C81" s="457"/>
      <c r="D81" s="457"/>
      <c r="E81" s="457"/>
      <c r="F81" s="457"/>
      <c r="G81" s="457"/>
      <c r="H81" s="457"/>
      <c r="I81" s="457"/>
      <c r="J81" s="457"/>
      <c r="K81" s="457"/>
      <c r="L81" s="457"/>
      <c r="M81" s="457"/>
      <c r="N81" s="457"/>
      <c r="O81" s="457"/>
      <c r="P81" s="457"/>
      <c r="Q81" s="457"/>
      <c r="R81" s="457"/>
      <c r="S81" s="457"/>
      <c r="T81" s="457"/>
      <c r="U81" s="457"/>
      <c r="V81" s="457"/>
      <c r="W81" s="457"/>
      <c r="X81" s="457"/>
    </row>
    <row r="82" ht="14.25" customHeight="1">
      <c r="A82" s="458"/>
      <c r="B82" s="473"/>
      <c r="C82" s="457"/>
      <c r="D82" s="457"/>
      <c r="E82" s="457"/>
      <c r="F82" s="457"/>
      <c r="G82" s="457"/>
      <c r="H82" s="457"/>
      <c r="I82" s="457"/>
      <c r="J82" s="457"/>
      <c r="K82" s="457"/>
      <c r="L82" s="457"/>
      <c r="M82" s="457"/>
      <c r="N82" s="457"/>
      <c r="O82" s="457"/>
      <c r="P82" s="457"/>
      <c r="Q82" s="457"/>
      <c r="R82" s="457"/>
      <c r="S82" s="457"/>
      <c r="T82" s="457"/>
      <c r="U82" s="457"/>
      <c r="V82" s="457"/>
      <c r="W82" s="457"/>
      <c r="X82" s="457"/>
    </row>
    <row r="83" ht="14.25" customHeight="1">
      <c r="A83" s="458"/>
      <c r="B83" s="473"/>
      <c r="C83" s="457"/>
      <c r="D83" s="457"/>
      <c r="E83" s="457"/>
      <c r="F83" s="457"/>
      <c r="G83" s="457"/>
      <c r="H83" s="457"/>
      <c r="I83" s="457"/>
      <c r="J83" s="457"/>
      <c r="K83" s="457"/>
      <c r="L83" s="457"/>
      <c r="M83" s="457"/>
      <c r="N83" s="457"/>
      <c r="O83" s="457"/>
      <c r="P83" s="457"/>
      <c r="Q83" s="457"/>
      <c r="R83" s="457"/>
      <c r="S83" s="457"/>
      <c r="T83" s="457"/>
      <c r="U83" s="457"/>
      <c r="V83" s="457"/>
      <c r="W83" s="457"/>
      <c r="X83" s="457"/>
    </row>
    <row r="84" ht="14.25" customHeight="1">
      <c r="A84" s="458"/>
      <c r="B84" s="473"/>
      <c r="C84" s="457"/>
      <c r="D84" s="457"/>
      <c r="E84" s="457"/>
      <c r="F84" s="457"/>
      <c r="G84" s="457"/>
      <c r="H84" s="457"/>
      <c r="I84" s="457"/>
      <c r="J84" s="457"/>
      <c r="K84" s="457"/>
      <c r="L84" s="457"/>
      <c r="M84" s="457"/>
      <c r="N84" s="457"/>
      <c r="O84" s="457"/>
      <c r="P84" s="457"/>
      <c r="Q84" s="457"/>
      <c r="R84" s="457"/>
      <c r="S84" s="457"/>
      <c r="T84" s="457"/>
      <c r="U84" s="457"/>
      <c r="V84" s="457"/>
      <c r="W84" s="457"/>
      <c r="X84" s="457"/>
    </row>
    <row r="85" ht="14.25" customHeight="1">
      <c r="A85" s="458"/>
      <c r="B85" s="473"/>
      <c r="C85" s="457"/>
      <c r="D85" s="457"/>
      <c r="E85" s="457"/>
      <c r="F85" s="457"/>
      <c r="G85" s="457"/>
      <c r="H85" s="457"/>
      <c r="I85" s="457"/>
      <c r="J85" s="457"/>
      <c r="K85" s="457"/>
      <c r="L85" s="457"/>
      <c r="M85" s="457"/>
      <c r="N85" s="457"/>
      <c r="O85" s="457"/>
      <c r="P85" s="457"/>
      <c r="Q85" s="457"/>
      <c r="R85" s="457"/>
      <c r="S85" s="457"/>
      <c r="T85" s="457"/>
      <c r="U85" s="457"/>
      <c r="V85" s="457"/>
      <c r="W85" s="457"/>
      <c r="X85" s="457"/>
    </row>
    <row r="86" ht="14.25" customHeight="1">
      <c r="A86" s="458"/>
      <c r="B86" s="473"/>
      <c r="C86" s="457"/>
      <c r="D86" s="457"/>
      <c r="E86" s="457"/>
      <c r="F86" s="457"/>
      <c r="G86" s="457"/>
      <c r="H86" s="457"/>
      <c r="I86" s="457"/>
      <c r="J86" s="457"/>
      <c r="K86" s="457"/>
      <c r="L86" s="457"/>
      <c r="M86" s="457"/>
      <c r="N86" s="457"/>
      <c r="O86" s="457"/>
      <c r="P86" s="457"/>
      <c r="Q86" s="457"/>
      <c r="R86" s="457"/>
      <c r="S86" s="457"/>
      <c r="T86" s="457"/>
      <c r="U86" s="457"/>
      <c r="V86" s="457"/>
      <c r="W86" s="457"/>
      <c r="X86" s="457"/>
    </row>
    <row r="87" ht="14.25" customHeight="1">
      <c r="A87" s="458"/>
      <c r="B87" s="473"/>
      <c r="C87" s="457"/>
      <c r="D87" s="457"/>
      <c r="E87" s="457"/>
      <c r="F87" s="457"/>
      <c r="G87" s="457"/>
      <c r="H87" s="457"/>
      <c r="I87" s="457"/>
      <c r="J87" s="457"/>
      <c r="K87" s="457"/>
      <c r="L87" s="457"/>
      <c r="M87" s="457"/>
      <c r="N87" s="457"/>
      <c r="O87" s="457"/>
      <c r="P87" s="457"/>
      <c r="Q87" s="457"/>
      <c r="R87" s="457"/>
      <c r="S87" s="457"/>
      <c r="T87" s="457"/>
      <c r="U87" s="457"/>
      <c r="V87" s="457"/>
      <c r="W87" s="457"/>
      <c r="X87" s="457"/>
    </row>
    <row r="88" ht="14.25" customHeight="1">
      <c r="A88" s="458"/>
      <c r="B88" s="473"/>
      <c r="C88" s="457"/>
      <c r="D88" s="457"/>
      <c r="E88" s="457"/>
      <c r="F88" s="457"/>
      <c r="G88" s="457"/>
      <c r="H88" s="457"/>
      <c r="I88" s="457"/>
      <c r="J88" s="457"/>
      <c r="K88" s="457"/>
      <c r="L88" s="457"/>
      <c r="M88" s="457"/>
      <c r="N88" s="457"/>
      <c r="O88" s="457"/>
      <c r="P88" s="457"/>
      <c r="Q88" s="457"/>
      <c r="R88" s="457"/>
      <c r="S88" s="457"/>
      <c r="T88" s="457"/>
      <c r="U88" s="457"/>
      <c r="V88" s="457"/>
      <c r="W88" s="457"/>
      <c r="X88" s="457"/>
    </row>
    <row r="89" ht="14.25" customHeight="1">
      <c r="A89" s="458"/>
      <c r="B89" s="473"/>
      <c r="C89" s="457"/>
      <c r="D89" s="457"/>
      <c r="E89" s="457"/>
      <c r="F89" s="457"/>
      <c r="G89" s="457"/>
      <c r="H89" s="457"/>
      <c r="I89" s="457"/>
      <c r="J89" s="457"/>
      <c r="K89" s="457"/>
      <c r="L89" s="457"/>
      <c r="M89" s="457"/>
      <c r="N89" s="457"/>
      <c r="O89" s="457"/>
      <c r="P89" s="457"/>
      <c r="Q89" s="457"/>
      <c r="R89" s="457"/>
      <c r="S89" s="457"/>
      <c r="T89" s="457"/>
      <c r="U89" s="457"/>
      <c r="V89" s="457"/>
      <c r="W89" s="457"/>
      <c r="X89" s="457"/>
    </row>
    <row r="90" ht="14.25" customHeight="1">
      <c r="A90" s="458"/>
      <c r="B90" s="473"/>
      <c r="C90" s="457"/>
      <c r="D90" s="457"/>
      <c r="E90" s="457"/>
      <c r="F90" s="457"/>
      <c r="G90" s="457"/>
      <c r="H90" s="457"/>
      <c r="I90" s="457"/>
      <c r="J90" s="457"/>
      <c r="K90" s="457"/>
      <c r="L90" s="457"/>
      <c r="M90" s="457"/>
      <c r="N90" s="457"/>
      <c r="O90" s="457"/>
      <c r="P90" s="457"/>
      <c r="Q90" s="457"/>
      <c r="R90" s="457"/>
      <c r="S90" s="457"/>
      <c r="T90" s="457"/>
      <c r="U90" s="457"/>
      <c r="V90" s="457"/>
      <c r="W90" s="457"/>
      <c r="X90" s="457"/>
    </row>
    <row r="91" ht="14.25" customHeight="1">
      <c r="A91" s="458"/>
      <c r="B91" s="473"/>
      <c r="C91" s="457"/>
      <c r="D91" s="457"/>
      <c r="E91" s="457"/>
      <c r="F91" s="457"/>
      <c r="G91" s="457"/>
      <c r="H91" s="457"/>
      <c r="I91" s="457"/>
      <c r="J91" s="457"/>
      <c r="K91" s="457"/>
      <c r="L91" s="457"/>
      <c r="M91" s="457"/>
      <c r="N91" s="457"/>
      <c r="O91" s="457"/>
      <c r="P91" s="457"/>
      <c r="Q91" s="457"/>
      <c r="R91" s="457"/>
      <c r="S91" s="457"/>
      <c r="T91" s="457"/>
      <c r="U91" s="457"/>
      <c r="V91" s="457"/>
      <c r="W91" s="457"/>
      <c r="X91" s="457"/>
    </row>
    <row r="92" ht="14.25" customHeight="1">
      <c r="A92" s="458"/>
      <c r="B92" s="473"/>
      <c r="C92" s="457"/>
      <c r="D92" s="457"/>
      <c r="E92" s="457"/>
      <c r="F92" s="457"/>
      <c r="G92" s="457"/>
      <c r="H92" s="457"/>
      <c r="I92" s="457"/>
      <c r="J92" s="457"/>
      <c r="K92" s="457"/>
      <c r="L92" s="457"/>
      <c r="M92" s="457"/>
      <c r="N92" s="457"/>
      <c r="O92" s="457"/>
      <c r="P92" s="457"/>
      <c r="Q92" s="457"/>
      <c r="R92" s="457"/>
      <c r="S92" s="457"/>
      <c r="T92" s="457"/>
      <c r="U92" s="457"/>
      <c r="V92" s="457"/>
      <c r="W92" s="457"/>
      <c r="X92" s="457"/>
    </row>
    <row r="93" ht="14.25" customHeight="1">
      <c r="A93" s="458"/>
      <c r="B93" s="473"/>
      <c r="C93" s="457"/>
      <c r="D93" s="457"/>
      <c r="E93" s="457"/>
      <c r="F93" s="457"/>
      <c r="G93" s="457"/>
      <c r="H93" s="457"/>
      <c r="I93" s="457"/>
      <c r="J93" s="457"/>
      <c r="K93" s="457"/>
      <c r="L93" s="457"/>
      <c r="M93" s="457"/>
      <c r="N93" s="457"/>
      <c r="O93" s="457"/>
      <c r="P93" s="457"/>
      <c r="Q93" s="457"/>
      <c r="R93" s="457"/>
      <c r="S93" s="457"/>
      <c r="T93" s="457"/>
      <c r="U93" s="457"/>
      <c r="V93" s="457"/>
      <c r="W93" s="457"/>
      <c r="X93" s="457"/>
    </row>
    <row r="94" ht="14.25" customHeight="1">
      <c r="A94" s="458"/>
      <c r="B94" s="473"/>
      <c r="C94" s="457"/>
      <c r="D94" s="457"/>
      <c r="E94" s="457"/>
      <c r="F94" s="457"/>
      <c r="G94" s="457"/>
      <c r="H94" s="457"/>
      <c r="I94" s="457"/>
      <c r="J94" s="457"/>
      <c r="K94" s="457"/>
      <c r="L94" s="457"/>
      <c r="M94" s="457"/>
      <c r="N94" s="457"/>
      <c r="O94" s="457"/>
      <c r="P94" s="457"/>
      <c r="Q94" s="457"/>
      <c r="R94" s="457"/>
      <c r="S94" s="457"/>
      <c r="T94" s="457"/>
      <c r="U94" s="457"/>
      <c r="V94" s="457"/>
      <c r="W94" s="457"/>
      <c r="X94" s="457"/>
    </row>
    <row r="95" ht="14.25" customHeight="1">
      <c r="A95" s="458"/>
      <c r="B95" s="473"/>
      <c r="C95" s="457"/>
      <c r="D95" s="457"/>
      <c r="E95" s="457"/>
      <c r="F95" s="457"/>
      <c r="G95" s="457"/>
      <c r="H95" s="457"/>
      <c r="I95" s="457"/>
      <c r="J95" s="457"/>
      <c r="K95" s="457"/>
      <c r="L95" s="457"/>
      <c r="M95" s="457"/>
      <c r="N95" s="457"/>
      <c r="O95" s="457"/>
      <c r="P95" s="457"/>
      <c r="Q95" s="457"/>
      <c r="R95" s="457"/>
      <c r="S95" s="457"/>
      <c r="T95" s="457"/>
      <c r="U95" s="457"/>
      <c r="V95" s="457"/>
      <c r="W95" s="457"/>
      <c r="X95" s="457"/>
    </row>
    <row r="96" ht="14.25" customHeight="1">
      <c r="A96" s="458"/>
      <c r="B96" s="473"/>
      <c r="C96" s="457"/>
      <c r="D96" s="457"/>
      <c r="E96" s="457"/>
      <c r="F96" s="457"/>
      <c r="G96" s="457"/>
      <c r="H96" s="457"/>
      <c r="I96" s="457"/>
      <c r="J96" s="457"/>
      <c r="K96" s="457"/>
      <c r="L96" s="457"/>
      <c r="M96" s="457"/>
      <c r="N96" s="457"/>
      <c r="O96" s="457"/>
      <c r="P96" s="457"/>
      <c r="Q96" s="457"/>
      <c r="R96" s="457"/>
      <c r="S96" s="457"/>
      <c r="T96" s="457"/>
      <c r="U96" s="457"/>
      <c r="V96" s="457"/>
      <c r="W96" s="457"/>
      <c r="X96" s="457"/>
    </row>
    <row r="97" ht="14.25" customHeight="1">
      <c r="A97" s="458"/>
      <c r="B97" s="473"/>
      <c r="C97" s="457"/>
      <c r="D97" s="457"/>
      <c r="E97" s="457"/>
      <c r="F97" s="457"/>
      <c r="G97" s="457"/>
      <c r="H97" s="457"/>
      <c r="I97" s="457"/>
      <c r="J97" s="457"/>
      <c r="K97" s="457"/>
      <c r="L97" s="457"/>
      <c r="M97" s="457"/>
      <c r="N97" s="457"/>
      <c r="O97" s="457"/>
      <c r="P97" s="457"/>
      <c r="Q97" s="457"/>
      <c r="R97" s="457"/>
      <c r="S97" s="457"/>
      <c r="T97" s="457"/>
      <c r="U97" s="457"/>
      <c r="V97" s="457"/>
      <c r="W97" s="457"/>
      <c r="X97" s="457"/>
    </row>
    <row r="98" ht="14.25" customHeight="1">
      <c r="A98" s="458"/>
      <c r="B98" s="473"/>
      <c r="C98" s="457"/>
      <c r="D98" s="457"/>
      <c r="E98" s="457"/>
      <c r="F98" s="457"/>
      <c r="G98" s="457"/>
      <c r="H98" s="457"/>
      <c r="I98" s="457"/>
      <c r="J98" s="457"/>
      <c r="K98" s="457"/>
      <c r="L98" s="457"/>
      <c r="M98" s="457"/>
      <c r="N98" s="457"/>
      <c r="O98" s="457"/>
      <c r="P98" s="457"/>
      <c r="Q98" s="457"/>
      <c r="R98" s="457"/>
      <c r="S98" s="457"/>
      <c r="T98" s="457"/>
      <c r="U98" s="457"/>
      <c r="V98" s="457"/>
      <c r="W98" s="457"/>
      <c r="X98" s="457"/>
    </row>
    <row r="99" ht="14.25" customHeight="1">
      <c r="A99" s="458"/>
      <c r="B99" s="473"/>
      <c r="C99" s="457"/>
      <c r="D99" s="457"/>
      <c r="E99" s="457"/>
      <c r="F99" s="457"/>
      <c r="G99" s="457"/>
      <c r="H99" s="457"/>
      <c r="I99" s="457"/>
      <c r="J99" s="457"/>
      <c r="K99" s="457"/>
      <c r="L99" s="457"/>
      <c r="M99" s="457"/>
      <c r="N99" s="457"/>
      <c r="O99" s="457"/>
      <c r="P99" s="457"/>
      <c r="Q99" s="457"/>
      <c r="R99" s="457"/>
      <c r="S99" s="457"/>
      <c r="T99" s="457"/>
      <c r="U99" s="457"/>
      <c r="V99" s="457"/>
      <c r="W99" s="457"/>
      <c r="X99" s="457"/>
    </row>
    <row r="100" ht="14.25" customHeight="1">
      <c r="A100" s="458"/>
      <c r="B100" s="473"/>
      <c r="C100" s="457"/>
      <c r="D100" s="457"/>
      <c r="E100" s="457"/>
      <c r="F100" s="457"/>
      <c r="G100" s="457"/>
      <c r="H100" s="457"/>
      <c r="I100" s="457"/>
      <c r="J100" s="457"/>
      <c r="K100" s="457"/>
      <c r="L100" s="457"/>
      <c r="M100" s="457"/>
      <c r="N100" s="457"/>
      <c r="O100" s="457"/>
      <c r="P100" s="457"/>
      <c r="Q100" s="457"/>
      <c r="R100" s="457"/>
      <c r="S100" s="457"/>
      <c r="T100" s="457"/>
      <c r="U100" s="457"/>
      <c r="V100" s="457"/>
      <c r="W100" s="457"/>
      <c r="X100" s="457"/>
    </row>
    <row r="101" ht="14.25" customHeight="1">
      <c r="A101" s="458"/>
      <c r="B101" s="473"/>
      <c r="C101" s="457"/>
      <c r="D101" s="457"/>
      <c r="E101" s="457"/>
      <c r="F101" s="457"/>
      <c r="G101" s="457"/>
      <c r="H101" s="457"/>
      <c r="I101" s="457"/>
      <c r="J101" s="457"/>
      <c r="K101" s="457"/>
      <c r="L101" s="457"/>
      <c r="M101" s="457"/>
      <c r="N101" s="457"/>
      <c r="O101" s="457"/>
      <c r="P101" s="457"/>
      <c r="Q101" s="457"/>
      <c r="R101" s="457"/>
      <c r="S101" s="457"/>
      <c r="T101" s="457"/>
      <c r="U101" s="457"/>
      <c r="V101" s="457"/>
      <c r="W101" s="457"/>
      <c r="X101" s="457"/>
    </row>
    <row r="102" ht="14.25" customHeight="1">
      <c r="A102" s="458"/>
      <c r="B102" s="473"/>
      <c r="C102" s="457"/>
      <c r="D102" s="457"/>
      <c r="E102" s="457"/>
      <c r="F102" s="457"/>
      <c r="G102" s="457"/>
      <c r="H102" s="457"/>
      <c r="I102" s="457"/>
      <c r="J102" s="457"/>
      <c r="K102" s="457"/>
      <c r="L102" s="457"/>
      <c r="M102" s="457"/>
      <c r="N102" s="457"/>
      <c r="O102" s="457"/>
      <c r="P102" s="457"/>
      <c r="Q102" s="457"/>
      <c r="R102" s="457"/>
      <c r="S102" s="457"/>
      <c r="T102" s="457"/>
      <c r="U102" s="457"/>
      <c r="V102" s="457"/>
      <c r="W102" s="457"/>
      <c r="X102" s="457"/>
    </row>
    <row r="103" ht="14.25" customHeight="1">
      <c r="A103" s="458"/>
      <c r="B103" s="473"/>
      <c r="C103" s="457"/>
      <c r="D103" s="457"/>
      <c r="E103" s="457"/>
      <c r="F103" s="457"/>
      <c r="G103" s="457"/>
      <c r="H103" s="457"/>
      <c r="I103" s="457"/>
      <c r="J103" s="457"/>
      <c r="K103" s="457"/>
      <c r="L103" s="457"/>
      <c r="M103" s="457"/>
      <c r="N103" s="457"/>
      <c r="O103" s="457"/>
      <c r="P103" s="457"/>
      <c r="Q103" s="457"/>
      <c r="R103" s="457"/>
      <c r="S103" s="457"/>
      <c r="T103" s="457"/>
      <c r="U103" s="457"/>
      <c r="V103" s="457"/>
      <c r="W103" s="457"/>
      <c r="X103" s="457"/>
    </row>
    <row r="104" ht="14.25" customHeight="1">
      <c r="A104" s="458"/>
      <c r="B104" s="473"/>
      <c r="C104" s="457"/>
      <c r="D104" s="457"/>
      <c r="E104" s="457"/>
      <c r="F104" s="457"/>
      <c r="G104" s="457"/>
      <c r="H104" s="457"/>
      <c r="I104" s="457"/>
      <c r="J104" s="457"/>
      <c r="K104" s="457"/>
      <c r="L104" s="457"/>
      <c r="M104" s="457"/>
      <c r="N104" s="457"/>
      <c r="O104" s="457"/>
      <c r="P104" s="457"/>
      <c r="Q104" s="457"/>
      <c r="R104" s="457"/>
      <c r="S104" s="457"/>
      <c r="T104" s="457"/>
      <c r="U104" s="457"/>
      <c r="V104" s="457"/>
      <c r="W104" s="457"/>
      <c r="X104" s="457"/>
    </row>
    <row r="105" ht="14.25" customHeight="1">
      <c r="A105" s="458"/>
      <c r="B105" s="473"/>
      <c r="C105" s="457"/>
      <c r="D105" s="457"/>
      <c r="E105" s="457"/>
      <c r="F105" s="457"/>
      <c r="G105" s="457"/>
      <c r="H105" s="457"/>
      <c r="I105" s="457"/>
      <c r="J105" s="457"/>
      <c r="K105" s="457"/>
      <c r="L105" s="457"/>
      <c r="M105" s="457"/>
      <c r="N105" s="457"/>
      <c r="O105" s="457"/>
      <c r="P105" s="457"/>
      <c r="Q105" s="457"/>
      <c r="R105" s="457"/>
      <c r="S105" s="457"/>
      <c r="T105" s="457"/>
      <c r="U105" s="457"/>
      <c r="V105" s="457"/>
      <c r="W105" s="457"/>
      <c r="X105" s="457"/>
    </row>
    <row r="106" ht="14.25" customHeight="1">
      <c r="A106" s="458"/>
      <c r="B106" s="473"/>
      <c r="C106" s="457"/>
      <c r="D106" s="457"/>
      <c r="E106" s="457"/>
      <c r="F106" s="457"/>
      <c r="G106" s="457"/>
      <c r="H106" s="457"/>
      <c r="I106" s="457"/>
      <c r="J106" s="457"/>
      <c r="K106" s="457"/>
      <c r="L106" s="457"/>
      <c r="M106" s="457"/>
      <c r="N106" s="457"/>
      <c r="O106" s="457"/>
      <c r="P106" s="457"/>
      <c r="Q106" s="457"/>
      <c r="R106" s="457"/>
      <c r="S106" s="457"/>
      <c r="T106" s="457"/>
      <c r="U106" s="457"/>
      <c r="V106" s="457"/>
      <c r="W106" s="457"/>
      <c r="X106" s="457"/>
    </row>
    <row r="107" ht="14.25" customHeight="1">
      <c r="A107" s="458"/>
      <c r="B107" s="473"/>
      <c r="C107" s="457"/>
      <c r="D107" s="457"/>
      <c r="E107" s="457"/>
      <c r="F107" s="457"/>
      <c r="G107" s="457"/>
      <c r="H107" s="457"/>
      <c r="I107" s="457"/>
      <c r="J107" s="457"/>
      <c r="K107" s="457"/>
      <c r="L107" s="457"/>
      <c r="M107" s="457"/>
      <c r="N107" s="457"/>
      <c r="O107" s="457"/>
      <c r="P107" s="457"/>
      <c r="Q107" s="457"/>
      <c r="R107" s="457"/>
      <c r="S107" s="457"/>
      <c r="T107" s="457"/>
      <c r="U107" s="457"/>
      <c r="V107" s="457"/>
      <c r="W107" s="457"/>
      <c r="X107" s="457"/>
    </row>
    <row r="108" ht="14.25" customHeight="1">
      <c r="A108" s="458"/>
      <c r="B108" s="473"/>
      <c r="C108" s="457"/>
      <c r="D108" s="457"/>
      <c r="E108" s="457"/>
      <c r="F108" s="457"/>
      <c r="G108" s="457"/>
      <c r="H108" s="457"/>
      <c r="I108" s="457"/>
      <c r="J108" s="457"/>
      <c r="K108" s="457"/>
      <c r="L108" s="457"/>
      <c r="M108" s="457"/>
      <c r="N108" s="457"/>
      <c r="O108" s="457"/>
      <c r="P108" s="457"/>
      <c r="Q108" s="457"/>
      <c r="R108" s="457"/>
      <c r="S108" s="457"/>
      <c r="T108" s="457"/>
      <c r="U108" s="457"/>
      <c r="V108" s="457"/>
      <c r="W108" s="457"/>
      <c r="X108" s="457"/>
    </row>
    <row r="109" ht="14.25" customHeight="1">
      <c r="A109" s="458"/>
      <c r="B109" s="473"/>
      <c r="C109" s="457"/>
      <c r="D109" s="457"/>
      <c r="E109" s="457"/>
      <c r="F109" s="457"/>
      <c r="G109" s="457"/>
      <c r="H109" s="457"/>
      <c r="I109" s="457"/>
      <c r="J109" s="457"/>
      <c r="K109" s="457"/>
      <c r="L109" s="457"/>
      <c r="M109" s="457"/>
      <c r="N109" s="457"/>
      <c r="O109" s="457"/>
      <c r="P109" s="457"/>
      <c r="Q109" s="457"/>
      <c r="R109" s="457"/>
      <c r="S109" s="457"/>
      <c r="T109" s="457"/>
      <c r="U109" s="457"/>
      <c r="V109" s="457"/>
      <c r="W109" s="457"/>
      <c r="X109" s="457"/>
    </row>
    <row r="110" ht="14.25" customHeight="1">
      <c r="A110" s="458"/>
      <c r="B110" s="473"/>
      <c r="C110" s="457"/>
      <c r="D110" s="457"/>
      <c r="E110" s="457"/>
      <c r="F110" s="457"/>
      <c r="G110" s="457"/>
      <c r="H110" s="457"/>
      <c r="I110" s="457"/>
      <c r="J110" s="457"/>
      <c r="K110" s="457"/>
      <c r="L110" s="457"/>
      <c r="M110" s="457"/>
      <c r="N110" s="457"/>
      <c r="O110" s="457"/>
      <c r="P110" s="457"/>
      <c r="Q110" s="457"/>
      <c r="R110" s="457"/>
      <c r="S110" s="457"/>
      <c r="T110" s="457"/>
      <c r="U110" s="457"/>
      <c r="V110" s="457"/>
      <c r="W110" s="457"/>
      <c r="X110" s="457"/>
    </row>
    <row r="111" ht="14.25" customHeight="1">
      <c r="A111" s="458"/>
      <c r="B111" s="473"/>
      <c r="C111" s="457"/>
      <c r="D111" s="457"/>
      <c r="E111" s="457"/>
      <c r="F111" s="457"/>
      <c r="G111" s="457"/>
      <c r="H111" s="457"/>
      <c r="I111" s="457"/>
      <c r="J111" s="457"/>
      <c r="K111" s="457"/>
      <c r="L111" s="457"/>
      <c r="M111" s="457"/>
      <c r="N111" s="457"/>
      <c r="O111" s="457"/>
      <c r="P111" s="457"/>
      <c r="Q111" s="457"/>
      <c r="R111" s="457"/>
      <c r="S111" s="457"/>
      <c r="T111" s="457"/>
      <c r="U111" s="457"/>
      <c r="V111" s="457"/>
      <c r="W111" s="457"/>
      <c r="X111" s="457"/>
    </row>
    <row r="112" ht="14.25" customHeight="1">
      <c r="A112" s="458"/>
      <c r="B112" s="473"/>
      <c r="C112" s="457"/>
      <c r="D112" s="457"/>
      <c r="E112" s="457"/>
      <c r="F112" s="457"/>
      <c r="G112" s="457"/>
      <c r="H112" s="457"/>
      <c r="I112" s="457"/>
      <c r="J112" s="457"/>
      <c r="K112" s="457"/>
      <c r="L112" s="457"/>
      <c r="M112" s="457"/>
      <c r="N112" s="457"/>
      <c r="O112" s="457"/>
      <c r="P112" s="457"/>
      <c r="Q112" s="457"/>
      <c r="R112" s="457"/>
      <c r="S112" s="457"/>
      <c r="T112" s="457"/>
      <c r="U112" s="457"/>
      <c r="V112" s="457"/>
      <c r="W112" s="457"/>
      <c r="X112" s="457"/>
    </row>
    <row r="113" ht="14.25" customHeight="1">
      <c r="A113" s="458"/>
      <c r="B113" s="473"/>
      <c r="C113" s="457"/>
      <c r="D113" s="457"/>
      <c r="E113" s="457"/>
      <c r="F113" s="457"/>
      <c r="G113" s="457"/>
      <c r="H113" s="457"/>
      <c r="I113" s="457"/>
      <c r="J113" s="457"/>
      <c r="K113" s="457"/>
      <c r="L113" s="457"/>
      <c r="M113" s="457"/>
      <c r="N113" s="457"/>
      <c r="O113" s="457"/>
      <c r="P113" s="457"/>
      <c r="Q113" s="457"/>
      <c r="R113" s="457"/>
      <c r="S113" s="457"/>
      <c r="T113" s="457"/>
      <c r="U113" s="457"/>
      <c r="V113" s="457"/>
      <c r="W113" s="457"/>
      <c r="X113" s="457"/>
    </row>
    <row r="114" ht="14.25" customHeight="1">
      <c r="A114" s="458"/>
      <c r="B114" s="473"/>
      <c r="C114" s="457"/>
      <c r="D114" s="457"/>
      <c r="E114" s="457"/>
      <c r="F114" s="457"/>
      <c r="G114" s="457"/>
      <c r="H114" s="457"/>
      <c r="I114" s="457"/>
      <c r="J114" s="457"/>
      <c r="K114" s="457"/>
      <c r="L114" s="457"/>
      <c r="M114" s="457"/>
      <c r="N114" s="457"/>
      <c r="O114" s="457"/>
      <c r="P114" s="457"/>
      <c r="Q114" s="457"/>
      <c r="R114" s="457"/>
      <c r="S114" s="457"/>
      <c r="T114" s="457"/>
      <c r="U114" s="457"/>
      <c r="V114" s="457"/>
      <c r="W114" s="457"/>
      <c r="X114" s="457"/>
    </row>
    <row r="115" ht="14.25" customHeight="1">
      <c r="A115" s="458"/>
      <c r="B115" s="473"/>
      <c r="C115" s="457"/>
      <c r="D115" s="457"/>
      <c r="E115" s="457"/>
      <c r="F115" s="457"/>
      <c r="G115" s="457"/>
      <c r="H115" s="457"/>
      <c r="I115" s="457"/>
      <c r="J115" s="457"/>
      <c r="K115" s="457"/>
      <c r="L115" s="457"/>
      <c r="M115" s="457"/>
      <c r="N115" s="457"/>
      <c r="O115" s="457"/>
      <c r="P115" s="457"/>
      <c r="Q115" s="457"/>
      <c r="R115" s="457"/>
      <c r="S115" s="457"/>
      <c r="T115" s="457"/>
      <c r="U115" s="457"/>
      <c r="V115" s="457"/>
      <c r="W115" s="457"/>
      <c r="X115" s="457"/>
    </row>
    <row r="116" ht="14.25" customHeight="1">
      <c r="A116" s="458"/>
      <c r="B116" s="473"/>
      <c r="C116" s="457"/>
      <c r="D116" s="457"/>
      <c r="E116" s="457"/>
      <c r="F116" s="457"/>
      <c r="G116" s="457"/>
      <c r="H116" s="457"/>
      <c r="I116" s="457"/>
      <c r="J116" s="457"/>
      <c r="K116" s="457"/>
      <c r="L116" s="457"/>
      <c r="M116" s="457"/>
      <c r="N116" s="457"/>
      <c r="O116" s="457"/>
      <c r="P116" s="457"/>
      <c r="Q116" s="457"/>
      <c r="R116" s="457"/>
      <c r="S116" s="457"/>
      <c r="T116" s="457"/>
      <c r="U116" s="457"/>
      <c r="V116" s="457"/>
      <c r="W116" s="457"/>
      <c r="X116" s="457"/>
    </row>
    <row r="117" ht="14.25" customHeight="1">
      <c r="A117" s="458"/>
      <c r="B117" s="473"/>
      <c r="C117" s="457"/>
      <c r="D117" s="457"/>
      <c r="E117" s="457"/>
      <c r="F117" s="457"/>
      <c r="G117" s="457"/>
      <c r="H117" s="457"/>
      <c r="I117" s="457"/>
      <c r="J117" s="457"/>
      <c r="K117" s="457"/>
      <c r="L117" s="457"/>
      <c r="M117" s="457"/>
      <c r="N117" s="457"/>
      <c r="O117" s="457"/>
      <c r="P117" s="457"/>
      <c r="Q117" s="457"/>
      <c r="R117" s="457"/>
      <c r="S117" s="457"/>
      <c r="T117" s="457"/>
      <c r="U117" s="457"/>
      <c r="V117" s="457"/>
      <c r="W117" s="457"/>
      <c r="X117" s="457"/>
    </row>
    <row r="118" ht="14.25" customHeight="1">
      <c r="A118" s="458"/>
      <c r="B118" s="473"/>
      <c r="C118" s="457"/>
      <c r="D118" s="457"/>
      <c r="E118" s="457"/>
      <c r="F118" s="457"/>
      <c r="G118" s="457"/>
      <c r="H118" s="457"/>
      <c r="I118" s="457"/>
      <c r="J118" s="457"/>
      <c r="K118" s="457"/>
      <c r="L118" s="457"/>
      <c r="M118" s="457"/>
      <c r="N118" s="457"/>
      <c r="O118" s="457"/>
      <c r="P118" s="457"/>
      <c r="Q118" s="457"/>
      <c r="R118" s="457"/>
      <c r="S118" s="457"/>
      <c r="T118" s="457"/>
      <c r="U118" s="457"/>
      <c r="V118" s="457"/>
      <c r="W118" s="457"/>
      <c r="X118" s="457"/>
    </row>
    <row r="119" ht="14.25" customHeight="1">
      <c r="A119" s="458"/>
      <c r="B119" s="473"/>
      <c r="C119" s="457"/>
      <c r="D119" s="457"/>
      <c r="E119" s="457"/>
      <c r="F119" s="457"/>
      <c r="G119" s="457"/>
      <c r="H119" s="457"/>
      <c r="I119" s="457"/>
      <c r="J119" s="457"/>
      <c r="K119" s="457"/>
      <c r="L119" s="457"/>
      <c r="M119" s="457"/>
      <c r="N119" s="457"/>
      <c r="O119" s="457"/>
      <c r="P119" s="457"/>
      <c r="Q119" s="457"/>
      <c r="R119" s="457"/>
      <c r="S119" s="457"/>
      <c r="T119" s="457"/>
      <c r="U119" s="457"/>
      <c r="V119" s="457"/>
      <c r="W119" s="457"/>
      <c r="X119" s="457"/>
    </row>
    <row r="120" ht="14.25" customHeight="1">
      <c r="A120" s="458"/>
      <c r="B120" s="473"/>
      <c r="C120" s="457"/>
      <c r="D120" s="457"/>
      <c r="E120" s="457"/>
      <c r="F120" s="457"/>
      <c r="G120" s="457"/>
      <c r="H120" s="457"/>
      <c r="I120" s="457"/>
      <c r="J120" s="457"/>
      <c r="K120" s="457"/>
      <c r="L120" s="457"/>
      <c r="M120" s="457"/>
      <c r="N120" s="457"/>
      <c r="O120" s="457"/>
      <c r="P120" s="457"/>
      <c r="Q120" s="457"/>
      <c r="R120" s="457"/>
      <c r="S120" s="457"/>
      <c r="T120" s="457"/>
      <c r="U120" s="457"/>
      <c r="V120" s="457"/>
      <c r="W120" s="457"/>
      <c r="X120" s="457"/>
    </row>
    <row r="121" ht="14.25" customHeight="1">
      <c r="A121" s="458"/>
      <c r="B121" s="473"/>
      <c r="C121" s="457"/>
      <c r="D121" s="457"/>
      <c r="E121" s="457"/>
      <c r="F121" s="457"/>
      <c r="G121" s="457"/>
      <c r="H121" s="457"/>
      <c r="I121" s="457"/>
      <c r="J121" s="457"/>
      <c r="K121" s="457"/>
      <c r="L121" s="457"/>
      <c r="M121" s="457"/>
      <c r="N121" s="457"/>
      <c r="O121" s="457"/>
      <c r="P121" s="457"/>
      <c r="Q121" s="457"/>
      <c r="R121" s="457"/>
      <c r="S121" s="457"/>
      <c r="T121" s="457"/>
      <c r="U121" s="457"/>
      <c r="V121" s="457"/>
      <c r="W121" s="457"/>
      <c r="X121" s="457"/>
    </row>
    <row r="122" ht="14.25" customHeight="1">
      <c r="A122" s="458"/>
      <c r="B122" s="473"/>
      <c r="C122" s="457"/>
      <c r="D122" s="457"/>
      <c r="E122" s="457"/>
      <c r="F122" s="457"/>
      <c r="G122" s="457"/>
      <c r="H122" s="457"/>
      <c r="I122" s="457"/>
      <c r="J122" s="457"/>
      <c r="K122" s="457"/>
      <c r="L122" s="457"/>
      <c r="M122" s="457"/>
      <c r="N122" s="457"/>
      <c r="O122" s="457"/>
      <c r="P122" s="457"/>
      <c r="Q122" s="457"/>
      <c r="R122" s="457"/>
      <c r="S122" s="457"/>
      <c r="T122" s="457"/>
      <c r="U122" s="457"/>
      <c r="V122" s="457"/>
      <c r="W122" s="457"/>
      <c r="X122" s="457"/>
    </row>
    <row r="123" ht="14.25" customHeight="1">
      <c r="A123" s="458"/>
      <c r="B123" s="473"/>
      <c r="C123" s="457"/>
      <c r="D123" s="457"/>
      <c r="E123" s="457"/>
      <c r="F123" s="457"/>
      <c r="G123" s="457"/>
      <c r="H123" s="457"/>
      <c r="I123" s="457"/>
      <c r="J123" s="457"/>
      <c r="K123" s="457"/>
      <c r="L123" s="457"/>
      <c r="M123" s="457"/>
      <c r="N123" s="457"/>
      <c r="O123" s="457"/>
      <c r="P123" s="457"/>
      <c r="Q123" s="457"/>
      <c r="R123" s="457"/>
      <c r="S123" s="457"/>
      <c r="T123" s="457"/>
      <c r="U123" s="457"/>
      <c r="V123" s="457"/>
      <c r="W123" s="457"/>
      <c r="X123" s="457"/>
    </row>
    <row r="124" ht="14.25" customHeight="1">
      <c r="A124" s="458"/>
      <c r="B124" s="473"/>
      <c r="C124" s="457"/>
      <c r="D124" s="457"/>
      <c r="E124" s="457"/>
      <c r="F124" s="457"/>
      <c r="G124" s="457"/>
      <c r="H124" s="457"/>
      <c r="I124" s="457"/>
      <c r="J124" s="457"/>
      <c r="K124" s="457"/>
      <c r="L124" s="457"/>
      <c r="M124" s="457"/>
      <c r="N124" s="457"/>
      <c r="O124" s="457"/>
      <c r="P124" s="457"/>
      <c r="Q124" s="457"/>
      <c r="R124" s="457"/>
      <c r="S124" s="457"/>
      <c r="T124" s="457"/>
      <c r="U124" s="457"/>
      <c r="V124" s="457"/>
      <c r="W124" s="457"/>
      <c r="X124" s="457"/>
    </row>
    <row r="125" ht="14.25" customHeight="1">
      <c r="A125" s="458"/>
      <c r="B125" s="473"/>
      <c r="C125" s="457"/>
      <c r="D125" s="457"/>
      <c r="E125" s="457"/>
      <c r="F125" s="457"/>
      <c r="G125" s="457"/>
      <c r="H125" s="457"/>
      <c r="I125" s="457"/>
      <c r="J125" s="457"/>
      <c r="K125" s="457"/>
      <c r="L125" s="457"/>
      <c r="M125" s="457"/>
      <c r="N125" s="457"/>
      <c r="O125" s="457"/>
      <c r="P125" s="457"/>
      <c r="Q125" s="457"/>
      <c r="R125" s="457"/>
      <c r="S125" s="457"/>
      <c r="T125" s="457"/>
      <c r="U125" s="457"/>
      <c r="V125" s="457"/>
      <c r="W125" s="457"/>
      <c r="X125" s="457"/>
    </row>
    <row r="126" ht="14.25" customHeight="1">
      <c r="A126" s="458"/>
      <c r="B126" s="473"/>
      <c r="C126" s="457"/>
      <c r="D126" s="457"/>
      <c r="E126" s="457"/>
      <c r="F126" s="457"/>
      <c r="G126" s="457"/>
      <c r="H126" s="457"/>
      <c r="I126" s="457"/>
      <c r="J126" s="457"/>
      <c r="K126" s="457"/>
      <c r="L126" s="457"/>
      <c r="M126" s="457"/>
      <c r="N126" s="457"/>
      <c r="O126" s="457"/>
      <c r="P126" s="457"/>
      <c r="Q126" s="457"/>
      <c r="R126" s="457"/>
      <c r="S126" s="457"/>
      <c r="T126" s="457"/>
      <c r="U126" s="457"/>
      <c r="V126" s="457"/>
      <c r="W126" s="457"/>
      <c r="X126" s="457"/>
    </row>
    <row r="127" ht="14.25" customHeight="1">
      <c r="A127" s="458"/>
      <c r="B127" s="473"/>
      <c r="C127" s="457"/>
      <c r="D127" s="457"/>
      <c r="E127" s="457"/>
      <c r="F127" s="457"/>
      <c r="G127" s="457"/>
      <c r="H127" s="457"/>
      <c r="I127" s="457"/>
      <c r="J127" s="457"/>
      <c r="K127" s="457"/>
      <c r="L127" s="457"/>
      <c r="M127" s="457"/>
      <c r="N127" s="457"/>
      <c r="O127" s="457"/>
      <c r="P127" s="457"/>
      <c r="Q127" s="457"/>
      <c r="R127" s="457"/>
      <c r="S127" s="457"/>
      <c r="T127" s="457"/>
      <c r="U127" s="457"/>
      <c r="V127" s="457"/>
      <c r="W127" s="457"/>
      <c r="X127" s="457"/>
    </row>
    <row r="128" ht="14.25" customHeight="1">
      <c r="A128" s="458"/>
      <c r="B128" s="473"/>
      <c r="C128" s="457"/>
      <c r="D128" s="457"/>
      <c r="E128" s="457"/>
      <c r="F128" s="457"/>
      <c r="G128" s="457"/>
      <c r="H128" s="457"/>
      <c r="I128" s="457"/>
      <c r="J128" s="457"/>
      <c r="K128" s="457"/>
      <c r="L128" s="457"/>
      <c r="M128" s="457"/>
      <c r="N128" s="457"/>
      <c r="O128" s="457"/>
      <c r="P128" s="457"/>
      <c r="Q128" s="457"/>
      <c r="R128" s="457"/>
      <c r="S128" s="457"/>
      <c r="T128" s="457"/>
      <c r="U128" s="457"/>
      <c r="V128" s="457"/>
      <c r="W128" s="457"/>
      <c r="X128" s="457"/>
    </row>
    <row r="129" ht="14.25" customHeight="1">
      <c r="A129" s="458"/>
      <c r="B129" s="473"/>
      <c r="C129" s="457"/>
      <c r="D129" s="457"/>
      <c r="E129" s="457"/>
      <c r="F129" s="457"/>
      <c r="G129" s="457"/>
      <c r="H129" s="457"/>
      <c r="I129" s="457"/>
      <c r="J129" s="457"/>
      <c r="K129" s="457"/>
      <c r="L129" s="457"/>
      <c r="M129" s="457"/>
      <c r="N129" s="457"/>
      <c r="O129" s="457"/>
      <c r="P129" s="457"/>
      <c r="Q129" s="457"/>
      <c r="R129" s="457"/>
      <c r="S129" s="457"/>
      <c r="T129" s="457"/>
      <c r="U129" s="457"/>
      <c r="V129" s="457"/>
      <c r="W129" s="457"/>
      <c r="X129" s="457"/>
    </row>
    <row r="130" ht="14.25" customHeight="1">
      <c r="A130" s="458"/>
      <c r="B130" s="473"/>
      <c r="C130" s="457"/>
      <c r="D130" s="457"/>
      <c r="E130" s="457"/>
      <c r="F130" s="457"/>
      <c r="G130" s="457"/>
      <c r="H130" s="457"/>
      <c r="I130" s="457"/>
      <c r="J130" s="457"/>
      <c r="K130" s="457"/>
      <c r="L130" s="457"/>
      <c r="M130" s="457"/>
      <c r="N130" s="457"/>
      <c r="O130" s="457"/>
      <c r="P130" s="457"/>
      <c r="Q130" s="457"/>
      <c r="R130" s="457"/>
      <c r="S130" s="457"/>
      <c r="T130" s="457"/>
      <c r="U130" s="457"/>
      <c r="V130" s="457"/>
      <c r="W130" s="457"/>
      <c r="X130" s="457"/>
    </row>
    <row r="131" ht="14.25" customHeight="1">
      <c r="A131" s="458"/>
      <c r="B131" s="473"/>
      <c r="C131" s="457"/>
      <c r="D131" s="457"/>
      <c r="E131" s="457"/>
      <c r="F131" s="457"/>
      <c r="G131" s="457"/>
      <c r="H131" s="457"/>
      <c r="I131" s="457"/>
      <c r="J131" s="457"/>
      <c r="K131" s="457"/>
      <c r="L131" s="457"/>
      <c r="M131" s="457"/>
      <c r="N131" s="457"/>
      <c r="O131" s="457"/>
      <c r="P131" s="457"/>
      <c r="Q131" s="457"/>
      <c r="R131" s="457"/>
      <c r="S131" s="457"/>
      <c r="T131" s="457"/>
      <c r="U131" s="457"/>
      <c r="V131" s="457"/>
      <c r="W131" s="457"/>
      <c r="X131" s="457"/>
    </row>
    <row r="132" ht="14.25" customHeight="1">
      <c r="A132" s="458"/>
      <c r="B132" s="473"/>
      <c r="C132" s="457"/>
      <c r="D132" s="457"/>
      <c r="E132" s="457"/>
      <c r="F132" s="457"/>
      <c r="G132" s="457"/>
      <c r="H132" s="457"/>
      <c r="I132" s="457"/>
      <c r="J132" s="457"/>
      <c r="K132" s="457"/>
      <c r="L132" s="457"/>
      <c r="M132" s="457"/>
      <c r="N132" s="457"/>
      <c r="O132" s="457"/>
      <c r="P132" s="457"/>
      <c r="Q132" s="457"/>
      <c r="R132" s="457"/>
      <c r="S132" s="457"/>
      <c r="T132" s="457"/>
      <c r="U132" s="457"/>
      <c r="V132" s="457"/>
      <c r="W132" s="457"/>
      <c r="X132" s="457"/>
    </row>
    <row r="133" ht="14.25" customHeight="1">
      <c r="A133" s="458"/>
      <c r="B133" s="473"/>
      <c r="C133" s="457"/>
      <c r="D133" s="457"/>
      <c r="E133" s="457"/>
      <c r="F133" s="457"/>
      <c r="G133" s="457"/>
      <c r="H133" s="457"/>
      <c r="I133" s="457"/>
      <c r="J133" s="457"/>
      <c r="K133" s="457"/>
      <c r="L133" s="457"/>
      <c r="M133" s="457"/>
      <c r="N133" s="457"/>
      <c r="O133" s="457"/>
      <c r="P133" s="457"/>
      <c r="Q133" s="457"/>
      <c r="R133" s="457"/>
      <c r="S133" s="457"/>
      <c r="T133" s="457"/>
      <c r="U133" s="457"/>
      <c r="V133" s="457"/>
      <c r="W133" s="457"/>
      <c r="X133" s="457"/>
    </row>
    <row r="134" ht="14.25" customHeight="1">
      <c r="A134" s="458"/>
      <c r="B134" s="473"/>
      <c r="C134" s="457"/>
      <c r="D134" s="457"/>
      <c r="E134" s="457"/>
      <c r="F134" s="457"/>
      <c r="G134" s="457"/>
      <c r="H134" s="457"/>
      <c r="I134" s="457"/>
      <c r="J134" s="457"/>
      <c r="K134" s="457"/>
      <c r="L134" s="457"/>
      <c r="M134" s="457"/>
      <c r="N134" s="457"/>
      <c r="O134" s="457"/>
      <c r="P134" s="457"/>
      <c r="Q134" s="457"/>
      <c r="R134" s="457"/>
      <c r="S134" s="457"/>
      <c r="T134" s="457"/>
      <c r="U134" s="457"/>
      <c r="V134" s="457"/>
      <c r="W134" s="457"/>
      <c r="X134" s="457"/>
    </row>
    <row r="135" ht="14.25" customHeight="1">
      <c r="A135" s="458"/>
      <c r="B135" s="473"/>
      <c r="C135" s="457"/>
      <c r="D135" s="457"/>
      <c r="E135" s="457"/>
      <c r="F135" s="457"/>
      <c r="G135" s="457"/>
      <c r="H135" s="457"/>
      <c r="I135" s="457"/>
      <c r="J135" s="457"/>
      <c r="K135" s="457"/>
      <c r="L135" s="457"/>
      <c r="M135" s="457"/>
      <c r="N135" s="457"/>
      <c r="O135" s="457"/>
      <c r="P135" s="457"/>
      <c r="Q135" s="457"/>
      <c r="R135" s="457"/>
      <c r="S135" s="457"/>
      <c r="T135" s="457"/>
      <c r="U135" s="457"/>
      <c r="V135" s="457"/>
      <c r="W135" s="457"/>
      <c r="X135" s="457"/>
    </row>
    <row r="136" ht="14.25" customHeight="1">
      <c r="A136" s="458"/>
      <c r="B136" s="473"/>
      <c r="C136" s="457"/>
      <c r="D136" s="457"/>
      <c r="E136" s="457"/>
      <c r="F136" s="457"/>
      <c r="G136" s="457"/>
      <c r="H136" s="457"/>
      <c r="I136" s="457"/>
      <c r="J136" s="457"/>
      <c r="K136" s="457"/>
      <c r="L136" s="457"/>
      <c r="M136" s="457"/>
      <c r="N136" s="457"/>
      <c r="O136" s="457"/>
      <c r="P136" s="457"/>
      <c r="Q136" s="457"/>
      <c r="R136" s="457"/>
      <c r="S136" s="457"/>
      <c r="T136" s="457"/>
      <c r="U136" s="457"/>
      <c r="V136" s="457"/>
      <c r="W136" s="457"/>
      <c r="X136" s="457"/>
    </row>
    <row r="137" ht="14.25" customHeight="1">
      <c r="A137" s="458"/>
      <c r="B137" s="473"/>
      <c r="C137" s="457"/>
      <c r="D137" s="457"/>
      <c r="E137" s="457"/>
      <c r="F137" s="457"/>
      <c r="G137" s="457"/>
      <c r="H137" s="457"/>
      <c r="I137" s="457"/>
      <c r="J137" s="457"/>
      <c r="K137" s="457"/>
      <c r="L137" s="457"/>
      <c r="M137" s="457"/>
      <c r="N137" s="457"/>
      <c r="O137" s="457"/>
      <c r="P137" s="457"/>
      <c r="Q137" s="457"/>
      <c r="R137" s="457"/>
      <c r="S137" s="457"/>
      <c r="T137" s="457"/>
      <c r="U137" s="457"/>
      <c r="V137" s="457"/>
      <c r="W137" s="457"/>
      <c r="X137" s="457"/>
    </row>
    <row r="138" ht="14.25" customHeight="1">
      <c r="A138" s="458"/>
      <c r="B138" s="473"/>
      <c r="C138" s="457"/>
      <c r="D138" s="457"/>
      <c r="E138" s="457"/>
      <c r="F138" s="457"/>
      <c r="G138" s="457"/>
      <c r="H138" s="457"/>
      <c r="I138" s="457"/>
      <c r="J138" s="457"/>
      <c r="K138" s="457"/>
      <c r="L138" s="457"/>
      <c r="M138" s="457"/>
      <c r="N138" s="457"/>
      <c r="O138" s="457"/>
      <c r="P138" s="457"/>
      <c r="Q138" s="457"/>
      <c r="R138" s="457"/>
      <c r="S138" s="457"/>
      <c r="T138" s="457"/>
      <c r="U138" s="457"/>
      <c r="V138" s="457"/>
      <c r="W138" s="457"/>
      <c r="X138" s="457"/>
    </row>
    <row r="139" ht="14.25" customHeight="1">
      <c r="A139" s="458"/>
      <c r="B139" s="473"/>
      <c r="C139" s="457"/>
      <c r="D139" s="457"/>
      <c r="E139" s="457"/>
      <c r="F139" s="457"/>
      <c r="G139" s="457"/>
      <c r="H139" s="457"/>
      <c r="I139" s="457"/>
      <c r="J139" s="457"/>
      <c r="K139" s="457"/>
      <c r="L139" s="457"/>
      <c r="M139" s="457"/>
      <c r="N139" s="457"/>
      <c r="O139" s="457"/>
      <c r="P139" s="457"/>
      <c r="Q139" s="457"/>
      <c r="R139" s="457"/>
      <c r="S139" s="457"/>
      <c r="T139" s="457"/>
      <c r="U139" s="457"/>
      <c r="V139" s="457"/>
      <c r="W139" s="457"/>
      <c r="X139" s="457"/>
    </row>
    <row r="140" ht="14.25" customHeight="1">
      <c r="A140" s="458"/>
      <c r="B140" s="473"/>
      <c r="C140" s="457"/>
      <c r="D140" s="457"/>
      <c r="E140" s="457"/>
      <c r="F140" s="457"/>
      <c r="G140" s="457"/>
      <c r="H140" s="457"/>
      <c r="I140" s="457"/>
      <c r="J140" s="457"/>
      <c r="K140" s="457"/>
      <c r="L140" s="457"/>
      <c r="M140" s="457"/>
      <c r="N140" s="457"/>
      <c r="O140" s="457"/>
      <c r="P140" s="457"/>
      <c r="Q140" s="457"/>
      <c r="R140" s="457"/>
      <c r="S140" s="457"/>
      <c r="T140" s="457"/>
      <c r="U140" s="457"/>
      <c r="V140" s="457"/>
      <c r="W140" s="457"/>
      <c r="X140" s="457"/>
    </row>
    <row r="141" ht="14.25" customHeight="1">
      <c r="A141" s="458"/>
      <c r="B141" s="473"/>
      <c r="C141" s="457"/>
      <c r="D141" s="457"/>
      <c r="E141" s="457"/>
      <c r="F141" s="457"/>
      <c r="G141" s="457"/>
      <c r="H141" s="457"/>
      <c r="I141" s="457"/>
      <c r="J141" s="457"/>
      <c r="K141" s="457"/>
      <c r="L141" s="457"/>
      <c r="M141" s="457"/>
      <c r="N141" s="457"/>
      <c r="O141" s="457"/>
      <c r="P141" s="457"/>
      <c r="Q141" s="457"/>
      <c r="R141" s="457"/>
      <c r="S141" s="457"/>
      <c r="T141" s="457"/>
      <c r="U141" s="457"/>
      <c r="V141" s="457"/>
      <c r="W141" s="457"/>
      <c r="X141" s="457"/>
    </row>
    <row r="142" ht="14.25" customHeight="1">
      <c r="A142" s="458"/>
      <c r="B142" s="473"/>
      <c r="C142" s="457"/>
      <c r="D142" s="457"/>
      <c r="E142" s="457"/>
      <c r="F142" s="457"/>
      <c r="G142" s="457"/>
      <c r="H142" s="457"/>
      <c r="I142" s="457"/>
      <c r="J142" s="457"/>
      <c r="K142" s="457"/>
      <c r="L142" s="457"/>
      <c r="M142" s="457"/>
      <c r="N142" s="457"/>
      <c r="O142" s="457"/>
      <c r="P142" s="457"/>
      <c r="Q142" s="457"/>
      <c r="R142" s="457"/>
      <c r="S142" s="457"/>
      <c r="T142" s="457"/>
      <c r="U142" s="457"/>
      <c r="V142" s="457"/>
      <c r="W142" s="457"/>
      <c r="X142" s="457"/>
    </row>
    <row r="143" ht="14.25" customHeight="1">
      <c r="A143" s="458"/>
      <c r="B143" s="473"/>
      <c r="C143" s="457"/>
      <c r="D143" s="457"/>
      <c r="E143" s="457"/>
      <c r="F143" s="457"/>
      <c r="G143" s="457"/>
      <c r="H143" s="457"/>
      <c r="I143" s="457"/>
      <c r="J143" s="457"/>
      <c r="K143" s="457"/>
      <c r="L143" s="457"/>
      <c r="M143" s="457"/>
      <c r="N143" s="457"/>
      <c r="O143" s="457"/>
      <c r="P143" s="457"/>
      <c r="Q143" s="457"/>
      <c r="R143" s="457"/>
      <c r="S143" s="457"/>
      <c r="T143" s="457"/>
      <c r="U143" s="457"/>
      <c r="V143" s="457"/>
      <c r="W143" s="457"/>
      <c r="X143" s="457"/>
    </row>
    <row r="144" ht="14.25" customHeight="1">
      <c r="A144" s="458"/>
      <c r="B144" s="473"/>
      <c r="C144" s="457"/>
      <c r="D144" s="457"/>
      <c r="E144" s="457"/>
      <c r="F144" s="457"/>
      <c r="G144" s="457"/>
      <c r="H144" s="457"/>
      <c r="I144" s="457"/>
      <c r="J144" s="457"/>
      <c r="K144" s="457"/>
      <c r="L144" s="457"/>
      <c r="M144" s="457"/>
      <c r="N144" s="457"/>
      <c r="O144" s="457"/>
      <c r="P144" s="457"/>
      <c r="Q144" s="457"/>
      <c r="R144" s="457"/>
      <c r="S144" s="457"/>
      <c r="T144" s="457"/>
      <c r="U144" s="457"/>
      <c r="V144" s="457"/>
      <c r="W144" s="457"/>
      <c r="X144" s="457"/>
    </row>
    <row r="145" ht="14.25" customHeight="1">
      <c r="A145" s="458"/>
      <c r="B145" s="473"/>
      <c r="C145" s="457"/>
      <c r="D145" s="457"/>
      <c r="E145" s="457"/>
      <c r="F145" s="457"/>
      <c r="G145" s="457"/>
      <c r="H145" s="457"/>
      <c r="I145" s="457"/>
      <c r="J145" s="457"/>
      <c r="K145" s="457"/>
      <c r="L145" s="457"/>
      <c r="M145" s="457"/>
      <c r="N145" s="457"/>
      <c r="O145" s="457"/>
      <c r="P145" s="457"/>
      <c r="Q145" s="457"/>
      <c r="R145" s="457"/>
      <c r="S145" s="457"/>
      <c r="T145" s="457"/>
      <c r="U145" s="457"/>
      <c r="V145" s="457"/>
      <c r="W145" s="457"/>
      <c r="X145" s="457"/>
    </row>
    <row r="146" ht="14.25" customHeight="1">
      <c r="A146" s="458"/>
      <c r="B146" s="473"/>
      <c r="C146" s="457"/>
      <c r="D146" s="457"/>
      <c r="E146" s="457"/>
      <c r="F146" s="457"/>
      <c r="G146" s="457"/>
      <c r="H146" s="457"/>
      <c r="I146" s="457"/>
      <c r="J146" s="457"/>
      <c r="K146" s="457"/>
      <c r="L146" s="457"/>
      <c r="M146" s="457"/>
      <c r="N146" s="457"/>
      <c r="O146" s="457"/>
      <c r="P146" s="457"/>
      <c r="Q146" s="457"/>
      <c r="R146" s="457"/>
      <c r="S146" s="457"/>
      <c r="T146" s="457"/>
      <c r="U146" s="457"/>
      <c r="V146" s="457"/>
      <c r="W146" s="457"/>
      <c r="X146" s="457"/>
    </row>
    <row r="147" ht="14.25" customHeight="1">
      <c r="A147" s="458"/>
      <c r="B147" s="473"/>
      <c r="C147" s="457"/>
      <c r="D147" s="457"/>
      <c r="E147" s="457"/>
      <c r="F147" s="457"/>
      <c r="G147" s="457"/>
      <c r="H147" s="457"/>
      <c r="I147" s="457"/>
      <c r="J147" s="457"/>
      <c r="K147" s="457"/>
      <c r="L147" s="457"/>
      <c r="M147" s="457"/>
      <c r="N147" s="457"/>
      <c r="O147" s="457"/>
      <c r="P147" s="457"/>
      <c r="Q147" s="457"/>
      <c r="R147" s="457"/>
      <c r="S147" s="457"/>
      <c r="T147" s="457"/>
      <c r="U147" s="457"/>
      <c r="V147" s="457"/>
      <c r="W147" s="457"/>
      <c r="X147" s="457"/>
    </row>
    <row r="148" ht="14.25" customHeight="1">
      <c r="A148" s="458"/>
      <c r="B148" s="473"/>
      <c r="C148" s="457"/>
      <c r="D148" s="457"/>
      <c r="E148" s="457"/>
      <c r="F148" s="457"/>
      <c r="G148" s="457"/>
      <c r="H148" s="457"/>
      <c r="I148" s="457"/>
      <c r="J148" s="457"/>
      <c r="K148" s="457"/>
      <c r="L148" s="457"/>
      <c r="M148" s="457"/>
      <c r="N148" s="457"/>
      <c r="O148" s="457"/>
      <c r="P148" s="457"/>
      <c r="Q148" s="457"/>
      <c r="R148" s="457"/>
      <c r="S148" s="457"/>
      <c r="T148" s="457"/>
      <c r="U148" s="457"/>
      <c r="V148" s="457"/>
      <c r="W148" s="457"/>
      <c r="X148" s="457"/>
    </row>
    <row r="149" ht="14.25" customHeight="1">
      <c r="A149" s="458"/>
      <c r="B149" s="473"/>
      <c r="C149" s="457"/>
      <c r="D149" s="457"/>
      <c r="E149" s="457"/>
      <c r="F149" s="457"/>
      <c r="G149" s="457"/>
      <c r="H149" s="457"/>
      <c r="I149" s="457"/>
      <c r="J149" s="457"/>
      <c r="K149" s="457"/>
      <c r="L149" s="457"/>
      <c r="M149" s="457"/>
      <c r="N149" s="457"/>
      <c r="O149" s="457"/>
      <c r="P149" s="457"/>
      <c r="Q149" s="457"/>
      <c r="R149" s="457"/>
      <c r="S149" s="457"/>
      <c r="T149" s="457"/>
      <c r="U149" s="457"/>
      <c r="V149" s="457"/>
      <c r="W149" s="457"/>
      <c r="X149" s="457"/>
    </row>
    <row r="150" ht="14.25" customHeight="1">
      <c r="A150" s="458"/>
      <c r="B150" s="473"/>
      <c r="C150" s="457"/>
      <c r="D150" s="457"/>
      <c r="E150" s="457"/>
      <c r="F150" s="457"/>
      <c r="G150" s="457"/>
      <c r="H150" s="457"/>
      <c r="I150" s="457"/>
      <c r="J150" s="457"/>
      <c r="K150" s="457"/>
      <c r="L150" s="457"/>
      <c r="M150" s="457"/>
      <c r="N150" s="457"/>
      <c r="O150" s="457"/>
      <c r="P150" s="457"/>
      <c r="Q150" s="457"/>
      <c r="R150" s="457"/>
      <c r="S150" s="457"/>
      <c r="T150" s="457"/>
      <c r="U150" s="457"/>
      <c r="V150" s="457"/>
      <c r="W150" s="457"/>
      <c r="X150" s="457"/>
    </row>
    <row r="151" ht="14.25" customHeight="1">
      <c r="A151" s="458"/>
      <c r="B151" s="473"/>
      <c r="C151" s="457"/>
      <c r="D151" s="457"/>
      <c r="E151" s="457"/>
      <c r="F151" s="457"/>
      <c r="G151" s="457"/>
      <c r="H151" s="457"/>
      <c r="I151" s="457"/>
      <c r="J151" s="457"/>
      <c r="K151" s="457"/>
      <c r="L151" s="457"/>
      <c r="M151" s="457"/>
      <c r="N151" s="457"/>
      <c r="O151" s="457"/>
      <c r="P151" s="457"/>
      <c r="Q151" s="457"/>
      <c r="R151" s="457"/>
      <c r="S151" s="457"/>
      <c r="T151" s="457"/>
      <c r="U151" s="457"/>
      <c r="V151" s="457"/>
      <c r="W151" s="457"/>
      <c r="X151" s="457"/>
    </row>
    <row r="152" ht="14.25" customHeight="1">
      <c r="A152" s="458"/>
      <c r="B152" s="473"/>
      <c r="C152" s="457"/>
      <c r="D152" s="457"/>
      <c r="E152" s="457"/>
      <c r="F152" s="457"/>
      <c r="G152" s="457"/>
      <c r="H152" s="457"/>
      <c r="I152" s="457"/>
      <c r="J152" s="457"/>
      <c r="K152" s="457"/>
      <c r="L152" s="457"/>
      <c r="M152" s="457"/>
      <c r="N152" s="457"/>
      <c r="O152" s="457"/>
      <c r="P152" s="457"/>
      <c r="Q152" s="457"/>
      <c r="R152" s="457"/>
      <c r="S152" s="457"/>
      <c r="T152" s="457"/>
      <c r="U152" s="457"/>
      <c r="V152" s="457"/>
      <c r="W152" s="457"/>
      <c r="X152" s="457"/>
    </row>
    <row r="153" ht="14.25" customHeight="1">
      <c r="A153" s="458"/>
      <c r="B153" s="473"/>
      <c r="C153" s="457"/>
      <c r="D153" s="457"/>
      <c r="E153" s="457"/>
      <c r="F153" s="457"/>
      <c r="G153" s="457"/>
      <c r="H153" s="457"/>
      <c r="I153" s="457"/>
      <c r="J153" s="457"/>
      <c r="K153" s="457"/>
      <c r="L153" s="457"/>
      <c r="M153" s="457"/>
      <c r="N153" s="457"/>
      <c r="O153" s="457"/>
      <c r="P153" s="457"/>
      <c r="Q153" s="457"/>
      <c r="R153" s="457"/>
      <c r="S153" s="457"/>
      <c r="T153" s="457"/>
      <c r="U153" s="457"/>
      <c r="V153" s="457"/>
      <c r="W153" s="457"/>
      <c r="X153" s="457"/>
    </row>
    <row r="154" ht="14.25" customHeight="1">
      <c r="A154" s="458"/>
      <c r="B154" s="473"/>
      <c r="C154" s="457"/>
      <c r="D154" s="457"/>
      <c r="E154" s="457"/>
      <c r="F154" s="457"/>
      <c r="G154" s="457"/>
      <c r="H154" s="457"/>
      <c r="I154" s="457"/>
      <c r="J154" s="457"/>
      <c r="K154" s="457"/>
      <c r="L154" s="457"/>
      <c r="M154" s="457"/>
      <c r="N154" s="457"/>
      <c r="O154" s="457"/>
      <c r="P154" s="457"/>
      <c r="Q154" s="457"/>
      <c r="R154" s="457"/>
      <c r="S154" s="457"/>
      <c r="T154" s="457"/>
      <c r="U154" s="457"/>
      <c r="V154" s="457"/>
      <c r="W154" s="457"/>
      <c r="X154" s="457"/>
    </row>
    <row r="155" ht="14.25" customHeight="1">
      <c r="A155" s="458"/>
      <c r="B155" s="473"/>
      <c r="C155" s="457"/>
      <c r="D155" s="457"/>
      <c r="E155" s="457"/>
      <c r="F155" s="457"/>
      <c r="G155" s="457"/>
      <c r="H155" s="457"/>
      <c r="I155" s="457"/>
      <c r="J155" s="457"/>
      <c r="K155" s="457"/>
      <c r="L155" s="457"/>
      <c r="M155" s="457"/>
      <c r="N155" s="457"/>
      <c r="O155" s="457"/>
      <c r="P155" s="457"/>
      <c r="Q155" s="457"/>
      <c r="R155" s="457"/>
      <c r="S155" s="457"/>
      <c r="T155" s="457"/>
      <c r="U155" s="457"/>
      <c r="V155" s="457"/>
      <c r="W155" s="457"/>
      <c r="X155" s="457"/>
    </row>
    <row r="156" ht="14.25" customHeight="1">
      <c r="A156" s="458"/>
      <c r="B156" s="473"/>
      <c r="C156" s="457"/>
      <c r="D156" s="457"/>
      <c r="E156" s="457"/>
      <c r="F156" s="457"/>
      <c r="G156" s="457"/>
      <c r="H156" s="457"/>
      <c r="I156" s="457"/>
      <c r="J156" s="457"/>
      <c r="K156" s="457"/>
      <c r="L156" s="457"/>
      <c r="M156" s="457"/>
      <c r="N156" s="457"/>
      <c r="O156" s="457"/>
      <c r="P156" s="457"/>
      <c r="Q156" s="457"/>
      <c r="R156" s="457"/>
      <c r="S156" s="457"/>
      <c r="T156" s="457"/>
      <c r="U156" s="457"/>
      <c r="V156" s="457"/>
      <c r="W156" s="457"/>
      <c r="X156" s="457"/>
    </row>
    <row r="157" ht="14.25" customHeight="1">
      <c r="A157" s="458"/>
      <c r="B157" s="473"/>
      <c r="C157" s="457"/>
      <c r="D157" s="457"/>
      <c r="E157" s="457"/>
      <c r="F157" s="457"/>
      <c r="G157" s="457"/>
      <c r="H157" s="457"/>
      <c r="I157" s="457"/>
      <c r="J157" s="457"/>
      <c r="K157" s="457"/>
      <c r="L157" s="457"/>
      <c r="M157" s="457"/>
      <c r="N157" s="457"/>
      <c r="O157" s="457"/>
      <c r="P157" s="457"/>
      <c r="Q157" s="457"/>
      <c r="R157" s="457"/>
      <c r="S157" s="457"/>
      <c r="T157" s="457"/>
      <c r="U157" s="457"/>
      <c r="V157" s="457"/>
      <c r="W157" s="457"/>
      <c r="X157" s="457"/>
    </row>
    <row r="158" ht="14.25" customHeight="1">
      <c r="A158" s="458"/>
      <c r="B158" s="473"/>
      <c r="C158" s="457"/>
      <c r="D158" s="457"/>
      <c r="E158" s="457"/>
      <c r="F158" s="457"/>
      <c r="G158" s="457"/>
      <c r="H158" s="457"/>
      <c r="I158" s="457"/>
      <c r="J158" s="457"/>
      <c r="K158" s="457"/>
      <c r="L158" s="457"/>
      <c r="M158" s="457"/>
      <c r="N158" s="457"/>
      <c r="O158" s="457"/>
      <c r="P158" s="457"/>
      <c r="Q158" s="457"/>
      <c r="R158" s="457"/>
      <c r="S158" s="457"/>
      <c r="T158" s="457"/>
      <c r="U158" s="457"/>
      <c r="V158" s="457"/>
      <c r="W158" s="457"/>
      <c r="X158" s="457"/>
    </row>
    <row r="159" ht="14.25" customHeight="1">
      <c r="A159" s="458"/>
      <c r="B159" s="473"/>
      <c r="C159" s="457"/>
      <c r="D159" s="457"/>
      <c r="E159" s="457"/>
      <c r="F159" s="457"/>
      <c r="G159" s="457"/>
      <c r="H159" s="457"/>
      <c r="I159" s="457"/>
      <c r="J159" s="457"/>
      <c r="K159" s="457"/>
      <c r="L159" s="457"/>
      <c r="M159" s="457"/>
      <c r="N159" s="457"/>
      <c r="O159" s="457"/>
      <c r="P159" s="457"/>
      <c r="Q159" s="457"/>
      <c r="R159" s="457"/>
      <c r="S159" s="457"/>
      <c r="T159" s="457"/>
      <c r="U159" s="457"/>
      <c r="V159" s="457"/>
      <c r="W159" s="457"/>
      <c r="X159" s="457"/>
    </row>
    <row r="160" ht="14.25" customHeight="1">
      <c r="A160" s="458"/>
      <c r="B160" s="473"/>
      <c r="C160" s="457"/>
      <c r="D160" s="457"/>
      <c r="E160" s="457"/>
      <c r="F160" s="457"/>
      <c r="G160" s="457"/>
      <c r="H160" s="457"/>
      <c r="I160" s="457"/>
      <c r="J160" s="457"/>
      <c r="K160" s="457"/>
      <c r="L160" s="457"/>
      <c r="M160" s="457"/>
      <c r="N160" s="457"/>
      <c r="O160" s="457"/>
      <c r="P160" s="457"/>
      <c r="Q160" s="457"/>
      <c r="R160" s="457"/>
      <c r="S160" s="457"/>
      <c r="T160" s="457"/>
      <c r="U160" s="457"/>
      <c r="V160" s="457"/>
      <c r="W160" s="457"/>
      <c r="X160" s="457"/>
    </row>
    <row r="161" ht="14.25" customHeight="1">
      <c r="A161" s="458"/>
      <c r="B161" s="473"/>
      <c r="C161" s="457"/>
      <c r="D161" s="457"/>
      <c r="E161" s="457"/>
      <c r="F161" s="457"/>
      <c r="G161" s="457"/>
      <c r="H161" s="457"/>
      <c r="I161" s="457"/>
      <c r="J161" s="457"/>
      <c r="K161" s="457"/>
      <c r="L161" s="457"/>
      <c r="M161" s="457"/>
      <c r="N161" s="457"/>
      <c r="O161" s="457"/>
      <c r="P161" s="457"/>
      <c r="Q161" s="457"/>
      <c r="R161" s="457"/>
      <c r="S161" s="457"/>
      <c r="T161" s="457"/>
      <c r="U161" s="457"/>
      <c r="V161" s="457"/>
      <c r="W161" s="457"/>
      <c r="X161" s="457"/>
    </row>
    <row r="162" ht="14.25" customHeight="1">
      <c r="A162" s="458"/>
      <c r="B162" s="473"/>
      <c r="C162" s="457"/>
      <c r="D162" s="457"/>
      <c r="E162" s="457"/>
      <c r="F162" s="457"/>
      <c r="G162" s="457"/>
      <c r="H162" s="457"/>
      <c r="I162" s="457"/>
      <c r="J162" s="457"/>
      <c r="K162" s="457"/>
      <c r="L162" s="457"/>
      <c r="M162" s="457"/>
      <c r="N162" s="457"/>
      <c r="O162" s="457"/>
      <c r="P162" s="457"/>
      <c r="Q162" s="457"/>
      <c r="R162" s="457"/>
      <c r="S162" s="457"/>
      <c r="T162" s="457"/>
      <c r="U162" s="457"/>
      <c r="V162" s="457"/>
      <c r="W162" s="457"/>
      <c r="X162" s="457"/>
    </row>
    <row r="163" ht="14.25" customHeight="1">
      <c r="A163" s="458"/>
      <c r="B163" s="473"/>
      <c r="C163" s="457"/>
      <c r="D163" s="457"/>
      <c r="E163" s="457"/>
      <c r="F163" s="457"/>
      <c r="G163" s="457"/>
      <c r="H163" s="457"/>
      <c r="I163" s="457"/>
      <c r="J163" s="457"/>
      <c r="K163" s="457"/>
      <c r="L163" s="457"/>
      <c r="M163" s="457"/>
      <c r="N163" s="457"/>
      <c r="O163" s="457"/>
      <c r="P163" s="457"/>
      <c r="Q163" s="457"/>
      <c r="R163" s="457"/>
      <c r="S163" s="457"/>
      <c r="T163" s="457"/>
      <c r="U163" s="457"/>
      <c r="V163" s="457"/>
      <c r="W163" s="457"/>
      <c r="X163" s="457"/>
    </row>
    <row r="164" ht="14.25" customHeight="1">
      <c r="A164" s="458"/>
      <c r="B164" s="473"/>
      <c r="C164" s="457"/>
      <c r="D164" s="457"/>
      <c r="E164" s="457"/>
      <c r="F164" s="457"/>
      <c r="G164" s="457"/>
      <c r="H164" s="457"/>
      <c r="I164" s="457"/>
      <c r="J164" s="457"/>
      <c r="K164" s="457"/>
      <c r="L164" s="457"/>
      <c r="M164" s="457"/>
      <c r="N164" s="457"/>
      <c r="O164" s="457"/>
      <c r="P164" s="457"/>
      <c r="Q164" s="457"/>
      <c r="R164" s="457"/>
      <c r="S164" s="457"/>
      <c r="T164" s="457"/>
      <c r="U164" s="457"/>
      <c r="V164" s="457"/>
      <c r="W164" s="457"/>
      <c r="X164" s="457"/>
    </row>
    <row r="165" ht="14.25" customHeight="1">
      <c r="A165" s="458"/>
      <c r="B165" s="473"/>
      <c r="C165" s="457"/>
      <c r="D165" s="457"/>
      <c r="E165" s="457"/>
      <c r="F165" s="457"/>
      <c r="G165" s="457"/>
      <c r="H165" s="457"/>
      <c r="I165" s="457"/>
      <c r="J165" s="457"/>
      <c r="K165" s="457"/>
      <c r="L165" s="457"/>
      <c r="M165" s="457"/>
      <c r="N165" s="457"/>
      <c r="O165" s="457"/>
      <c r="P165" s="457"/>
      <c r="Q165" s="457"/>
      <c r="R165" s="457"/>
      <c r="S165" s="457"/>
      <c r="T165" s="457"/>
      <c r="U165" s="457"/>
      <c r="V165" s="457"/>
      <c r="W165" s="457"/>
      <c r="X165" s="457"/>
    </row>
    <row r="166" ht="14.25" customHeight="1">
      <c r="A166" s="458"/>
      <c r="B166" s="473"/>
      <c r="C166" s="457"/>
      <c r="D166" s="457"/>
      <c r="E166" s="457"/>
      <c r="F166" s="457"/>
      <c r="G166" s="457"/>
      <c r="H166" s="457"/>
      <c r="I166" s="457"/>
      <c r="J166" s="457"/>
      <c r="K166" s="457"/>
      <c r="L166" s="457"/>
      <c r="M166" s="457"/>
      <c r="N166" s="457"/>
      <c r="O166" s="457"/>
      <c r="P166" s="457"/>
      <c r="Q166" s="457"/>
      <c r="R166" s="457"/>
      <c r="S166" s="457"/>
      <c r="T166" s="457"/>
      <c r="U166" s="457"/>
      <c r="V166" s="457"/>
      <c r="W166" s="457"/>
      <c r="X166" s="457"/>
    </row>
    <row r="167" ht="14.25" customHeight="1">
      <c r="A167" s="458"/>
      <c r="B167" s="473"/>
      <c r="C167" s="457"/>
      <c r="D167" s="457"/>
      <c r="E167" s="457"/>
      <c r="F167" s="457"/>
      <c r="G167" s="457"/>
      <c r="H167" s="457"/>
      <c r="I167" s="457"/>
      <c r="J167" s="457"/>
      <c r="K167" s="457"/>
      <c r="L167" s="457"/>
      <c r="M167" s="457"/>
      <c r="N167" s="457"/>
      <c r="O167" s="457"/>
      <c r="P167" s="457"/>
      <c r="Q167" s="457"/>
      <c r="R167" s="457"/>
      <c r="S167" s="457"/>
      <c r="T167" s="457"/>
      <c r="U167" s="457"/>
      <c r="V167" s="457"/>
      <c r="W167" s="457"/>
      <c r="X167" s="457"/>
    </row>
    <row r="168" ht="14.25" customHeight="1">
      <c r="A168" s="458"/>
      <c r="B168" s="473"/>
      <c r="C168" s="457"/>
      <c r="D168" s="457"/>
      <c r="E168" s="457"/>
      <c r="F168" s="457"/>
      <c r="G168" s="457"/>
      <c r="H168" s="457"/>
      <c r="I168" s="457"/>
      <c r="J168" s="457"/>
      <c r="K168" s="457"/>
      <c r="L168" s="457"/>
      <c r="M168" s="457"/>
      <c r="N168" s="457"/>
      <c r="O168" s="457"/>
      <c r="P168" s="457"/>
      <c r="Q168" s="457"/>
      <c r="R168" s="457"/>
      <c r="S168" s="457"/>
      <c r="T168" s="457"/>
      <c r="U168" s="457"/>
      <c r="V168" s="457"/>
      <c r="W168" s="457"/>
      <c r="X168" s="457"/>
    </row>
    <row r="169" ht="14.25" customHeight="1">
      <c r="A169" s="458"/>
      <c r="B169" s="473"/>
      <c r="C169" s="457"/>
      <c r="D169" s="457"/>
      <c r="E169" s="457"/>
      <c r="F169" s="457"/>
      <c r="G169" s="457"/>
      <c r="H169" s="457"/>
      <c r="I169" s="457"/>
      <c r="J169" s="457"/>
      <c r="K169" s="457"/>
      <c r="L169" s="457"/>
      <c r="M169" s="457"/>
      <c r="N169" s="457"/>
      <c r="O169" s="457"/>
      <c r="P169" s="457"/>
      <c r="Q169" s="457"/>
      <c r="R169" s="457"/>
      <c r="S169" s="457"/>
      <c r="T169" s="457"/>
      <c r="U169" s="457"/>
      <c r="V169" s="457"/>
      <c r="W169" s="457"/>
      <c r="X169" s="457"/>
    </row>
    <row r="170" ht="14.25" customHeight="1">
      <c r="A170" s="458"/>
      <c r="B170" s="473"/>
      <c r="C170" s="457"/>
      <c r="D170" s="457"/>
      <c r="E170" s="457"/>
      <c r="F170" s="457"/>
      <c r="G170" s="457"/>
      <c r="H170" s="457"/>
      <c r="I170" s="457"/>
      <c r="J170" s="457"/>
      <c r="K170" s="457"/>
      <c r="L170" s="457"/>
      <c r="M170" s="457"/>
      <c r="N170" s="457"/>
      <c r="O170" s="457"/>
      <c r="P170" s="457"/>
      <c r="Q170" s="457"/>
      <c r="R170" s="457"/>
      <c r="S170" s="457"/>
      <c r="T170" s="457"/>
      <c r="U170" s="457"/>
      <c r="V170" s="457"/>
      <c r="W170" s="457"/>
      <c r="X170" s="457"/>
    </row>
    <row r="171" ht="14.25" customHeight="1">
      <c r="A171" s="458"/>
      <c r="B171" s="473"/>
      <c r="C171" s="457"/>
      <c r="D171" s="457"/>
      <c r="E171" s="457"/>
      <c r="F171" s="457"/>
      <c r="G171" s="457"/>
      <c r="H171" s="457"/>
      <c r="I171" s="457"/>
      <c r="J171" s="457"/>
      <c r="K171" s="457"/>
      <c r="L171" s="457"/>
      <c r="M171" s="457"/>
      <c r="N171" s="457"/>
      <c r="O171" s="457"/>
      <c r="P171" s="457"/>
      <c r="Q171" s="457"/>
      <c r="R171" s="457"/>
      <c r="S171" s="457"/>
      <c r="T171" s="457"/>
      <c r="U171" s="457"/>
      <c r="V171" s="457"/>
      <c r="W171" s="457"/>
      <c r="X171" s="457"/>
    </row>
    <row r="172" ht="14.25" customHeight="1">
      <c r="A172" s="458"/>
      <c r="B172" s="473"/>
      <c r="C172" s="457"/>
      <c r="D172" s="457"/>
      <c r="E172" s="457"/>
      <c r="F172" s="457"/>
      <c r="G172" s="457"/>
      <c r="H172" s="457"/>
      <c r="I172" s="457"/>
      <c r="J172" s="457"/>
      <c r="K172" s="457"/>
      <c r="L172" s="457"/>
      <c r="M172" s="457"/>
      <c r="N172" s="457"/>
      <c r="O172" s="457"/>
      <c r="P172" s="457"/>
      <c r="Q172" s="457"/>
      <c r="R172" s="457"/>
      <c r="S172" s="457"/>
      <c r="T172" s="457"/>
      <c r="U172" s="457"/>
      <c r="V172" s="457"/>
      <c r="W172" s="457"/>
      <c r="X172" s="457"/>
    </row>
    <row r="173" ht="14.25" customHeight="1">
      <c r="A173" s="458"/>
      <c r="B173" s="473"/>
      <c r="C173" s="457"/>
      <c r="D173" s="457"/>
      <c r="E173" s="457"/>
      <c r="F173" s="457"/>
      <c r="G173" s="457"/>
      <c r="H173" s="457"/>
      <c r="I173" s="457"/>
      <c r="J173" s="457"/>
      <c r="K173" s="457"/>
      <c r="L173" s="457"/>
      <c r="M173" s="457"/>
      <c r="N173" s="457"/>
      <c r="O173" s="457"/>
      <c r="P173" s="457"/>
      <c r="Q173" s="457"/>
      <c r="R173" s="457"/>
      <c r="S173" s="457"/>
      <c r="T173" s="457"/>
      <c r="U173" s="457"/>
      <c r="V173" s="457"/>
      <c r="W173" s="457"/>
      <c r="X173" s="457"/>
    </row>
    <row r="174" ht="14.25" customHeight="1">
      <c r="A174" s="458"/>
      <c r="B174" s="473"/>
      <c r="C174" s="457"/>
      <c r="D174" s="457"/>
      <c r="E174" s="457"/>
      <c r="F174" s="457"/>
      <c r="G174" s="457"/>
      <c r="H174" s="457"/>
      <c r="I174" s="457"/>
      <c r="J174" s="457"/>
      <c r="K174" s="457"/>
      <c r="L174" s="457"/>
      <c r="M174" s="457"/>
      <c r="N174" s="457"/>
      <c r="O174" s="457"/>
      <c r="P174" s="457"/>
      <c r="Q174" s="457"/>
      <c r="R174" s="457"/>
      <c r="S174" s="457"/>
      <c r="T174" s="457"/>
      <c r="U174" s="457"/>
      <c r="V174" s="457"/>
      <c r="W174" s="457"/>
      <c r="X174" s="457"/>
    </row>
    <row r="175" ht="14.25" customHeight="1">
      <c r="A175" s="458"/>
      <c r="B175" s="473"/>
      <c r="C175" s="457"/>
      <c r="D175" s="457"/>
      <c r="E175" s="457"/>
      <c r="F175" s="457"/>
      <c r="G175" s="457"/>
      <c r="H175" s="457"/>
      <c r="I175" s="457"/>
      <c r="J175" s="457"/>
      <c r="K175" s="457"/>
      <c r="L175" s="457"/>
      <c r="M175" s="457"/>
      <c r="N175" s="457"/>
      <c r="O175" s="457"/>
      <c r="P175" s="457"/>
      <c r="Q175" s="457"/>
      <c r="R175" s="457"/>
      <c r="S175" s="457"/>
      <c r="T175" s="457"/>
      <c r="U175" s="457"/>
      <c r="V175" s="457"/>
      <c r="W175" s="457"/>
      <c r="X175" s="457"/>
    </row>
    <row r="176" ht="14.25" customHeight="1">
      <c r="A176" s="458"/>
      <c r="B176" s="473"/>
      <c r="C176" s="457"/>
      <c r="D176" s="457"/>
      <c r="E176" s="457"/>
      <c r="F176" s="457"/>
      <c r="G176" s="457"/>
      <c r="H176" s="457"/>
      <c r="I176" s="457"/>
      <c r="J176" s="457"/>
      <c r="K176" s="457"/>
      <c r="L176" s="457"/>
      <c r="M176" s="457"/>
      <c r="N176" s="457"/>
      <c r="O176" s="457"/>
      <c r="P176" s="457"/>
      <c r="Q176" s="457"/>
      <c r="R176" s="457"/>
      <c r="S176" s="457"/>
      <c r="T176" s="457"/>
      <c r="U176" s="457"/>
      <c r="V176" s="457"/>
      <c r="W176" s="457"/>
      <c r="X176" s="457"/>
    </row>
    <row r="177" ht="14.25" customHeight="1">
      <c r="A177" s="458"/>
      <c r="B177" s="473"/>
      <c r="C177" s="457"/>
      <c r="D177" s="457"/>
      <c r="E177" s="457"/>
      <c r="F177" s="457"/>
      <c r="G177" s="457"/>
      <c r="H177" s="457"/>
      <c r="I177" s="457"/>
      <c r="J177" s="457"/>
      <c r="K177" s="457"/>
      <c r="L177" s="457"/>
      <c r="M177" s="457"/>
      <c r="N177" s="457"/>
      <c r="O177" s="457"/>
      <c r="P177" s="457"/>
      <c r="Q177" s="457"/>
      <c r="R177" s="457"/>
      <c r="S177" s="457"/>
      <c r="T177" s="457"/>
      <c r="U177" s="457"/>
      <c r="V177" s="457"/>
      <c r="W177" s="457"/>
      <c r="X177" s="457"/>
    </row>
    <row r="178" ht="14.25" customHeight="1">
      <c r="A178" s="458"/>
      <c r="B178" s="473"/>
      <c r="C178" s="457"/>
      <c r="D178" s="457"/>
      <c r="E178" s="457"/>
      <c r="F178" s="457"/>
      <c r="G178" s="457"/>
      <c r="H178" s="457"/>
      <c r="I178" s="457"/>
      <c r="J178" s="457"/>
      <c r="K178" s="457"/>
      <c r="L178" s="457"/>
      <c r="M178" s="457"/>
      <c r="N178" s="457"/>
      <c r="O178" s="457"/>
      <c r="P178" s="457"/>
      <c r="Q178" s="457"/>
      <c r="R178" s="457"/>
      <c r="S178" s="457"/>
      <c r="T178" s="457"/>
      <c r="U178" s="457"/>
      <c r="V178" s="457"/>
      <c r="W178" s="457"/>
      <c r="X178" s="457"/>
    </row>
    <row r="179" ht="14.25" customHeight="1">
      <c r="A179" s="458"/>
      <c r="B179" s="473"/>
      <c r="C179" s="457"/>
      <c r="D179" s="457"/>
      <c r="E179" s="457"/>
      <c r="F179" s="457"/>
      <c r="G179" s="457"/>
      <c r="H179" s="457"/>
      <c r="I179" s="457"/>
      <c r="J179" s="457"/>
      <c r="K179" s="457"/>
      <c r="L179" s="457"/>
      <c r="M179" s="457"/>
      <c r="N179" s="457"/>
      <c r="O179" s="457"/>
      <c r="P179" s="457"/>
      <c r="Q179" s="457"/>
      <c r="R179" s="457"/>
      <c r="S179" s="457"/>
      <c r="T179" s="457"/>
      <c r="U179" s="457"/>
      <c r="V179" s="457"/>
      <c r="W179" s="457"/>
      <c r="X179" s="457"/>
    </row>
    <row r="180" ht="14.25" customHeight="1">
      <c r="A180" s="458"/>
      <c r="B180" s="473"/>
      <c r="C180" s="457"/>
      <c r="D180" s="457"/>
      <c r="E180" s="457"/>
      <c r="F180" s="457"/>
      <c r="G180" s="457"/>
      <c r="H180" s="457"/>
      <c r="I180" s="457"/>
      <c r="J180" s="457"/>
      <c r="K180" s="457"/>
      <c r="L180" s="457"/>
      <c r="M180" s="457"/>
      <c r="N180" s="457"/>
      <c r="O180" s="457"/>
      <c r="P180" s="457"/>
      <c r="Q180" s="457"/>
      <c r="R180" s="457"/>
      <c r="S180" s="457"/>
      <c r="T180" s="457"/>
      <c r="U180" s="457"/>
      <c r="V180" s="457"/>
      <c r="W180" s="457"/>
      <c r="X180" s="457"/>
    </row>
    <row r="181" ht="14.25" customHeight="1">
      <c r="A181" s="458"/>
      <c r="B181" s="473"/>
      <c r="C181" s="457"/>
      <c r="D181" s="457"/>
      <c r="E181" s="457"/>
      <c r="F181" s="457"/>
      <c r="G181" s="457"/>
      <c r="H181" s="457"/>
      <c r="I181" s="457"/>
      <c r="J181" s="457"/>
      <c r="K181" s="457"/>
      <c r="L181" s="457"/>
      <c r="M181" s="457"/>
      <c r="N181" s="457"/>
      <c r="O181" s="457"/>
      <c r="P181" s="457"/>
      <c r="Q181" s="457"/>
      <c r="R181" s="457"/>
      <c r="S181" s="457"/>
      <c r="T181" s="457"/>
      <c r="U181" s="457"/>
      <c r="V181" s="457"/>
      <c r="W181" s="457"/>
      <c r="X181" s="457"/>
    </row>
    <row r="182" ht="14.25" customHeight="1">
      <c r="A182" s="458"/>
      <c r="B182" s="473"/>
      <c r="C182" s="457"/>
      <c r="D182" s="457"/>
      <c r="E182" s="457"/>
      <c r="F182" s="457"/>
      <c r="G182" s="457"/>
      <c r="H182" s="457"/>
      <c r="I182" s="457"/>
      <c r="J182" s="457"/>
      <c r="K182" s="457"/>
      <c r="L182" s="457"/>
      <c r="M182" s="457"/>
      <c r="N182" s="457"/>
      <c r="O182" s="457"/>
      <c r="P182" s="457"/>
      <c r="Q182" s="457"/>
      <c r="R182" s="457"/>
      <c r="S182" s="457"/>
      <c r="T182" s="457"/>
      <c r="U182" s="457"/>
      <c r="V182" s="457"/>
      <c r="W182" s="457"/>
      <c r="X182" s="457"/>
    </row>
    <row r="183" ht="14.25" customHeight="1">
      <c r="A183" s="458"/>
      <c r="B183" s="473"/>
      <c r="C183" s="457"/>
      <c r="D183" s="457"/>
      <c r="E183" s="457"/>
      <c r="F183" s="457"/>
      <c r="G183" s="457"/>
      <c r="H183" s="457"/>
      <c r="I183" s="457"/>
      <c r="J183" s="457"/>
      <c r="K183" s="457"/>
      <c r="L183" s="457"/>
      <c r="M183" s="457"/>
      <c r="N183" s="457"/>
      <c r="O183" s="457"/>
      <c r="P183" s="457"/>
      <c r="Q183" s="457"/>
      <c r="R183" s="457"/>
      <c r="S183" s="457"/>
      <c r="T183" s="457"/>
      <c r="U183" s="457"/>
      <c r="V183" s="457"/>
      <c r="W183" s="457"/>
      <c r="X183" s="457"/>
    </row>
    <row r="184" ht="14.25" customHeight="1">
      <c r="A184" s="458"/>
      <c r="B184" s="473"/>
      <c r="C184" s="457"/>
      <c r="D184" s="457"/>
      <c r="E184" s="457"/>
      <c r="F184" s="457"/>
      <c r="G184" s="457"/>
      <c r="H184" s="457"/>
      <c r="I184" s="457"/>
      <c r="J184" s="457"/>
      <c r="K184" s="457"/>
      <c r="L184" s="457"/>
      <c r="M184" s="457"/>
      <c r="N184" s="457"/>
      <c r="O184" s="457"/>
      <c r="P184" s="457"/>
      <c r="Q184" s="457"/>
      <c r="R184" s="457"/>
      <c r="S184" s="457"/>
      <c r="T184" s="457"/>
      <c r="U184" s="457"/>
      <c r="V184" s="457"/>
      <c r="W184" s="457"/>
      <c r="X184" s="457"/>
    </row>
    <row r="185" ht="14.25" customHeight="1">
      <c r="A185" s="458"/>
      <c r="B185" s="473"/>
      <c r="C185" s="457"/>
      <c r="D185" s="457"/>
      <c r="E185" s="457"/>
      <c r="F185" s="457"/>
      <c r="G185" s="457"/>
      <c r="H185" s="457"/>
      <c r="I185" s="457"/>
      <c r="J185" s="457"/>
      <c r="K185" s="457"/>
      <c r="L185" s="457"/>
      <c r="M185" s="457"/>
      <c r="N185" s="457"/>
      <c r="O185" s="457"/>
      <c r="P185" s="457"/>
      <c r="Q185" s="457"/>
      <c r="R185" s="457"/>
      <c r="S185" s="457"/>
      <c r="T185" s="457"/>
      <c r="U185" s="457"/>
      <c r="V185" s="457"/>
      <c r="W185" s="457"/>
      <c r="X185" s="457"/>
    </row>
    <row r="186" ht="14.25" customHeight="1">
      <c r="A186" s="458"/>
      <c r="B186" s="473"/>
      <c r="C186" s="457"/>
      <c r="D186" s="457"/>
      <c r="E186" s="457"/>
      <c r="F186" s="457"/>
      <c r="G186" s="457"/>
      <c r="H186" s="457"/>
      <c r="I186" s="457"/>
      <c r="J186" s="457"/>
      <c r="K186" s="457"/>
      <c r="L186" s="457"/>
      <c r="M186" s="457"/>
      <c r="N186" s="457"/>
      <c r="O186" s="457"/>
      <c r="P186" s="457"/>
      <c r="Q186" s="457"/>
      <c r="R186" s="457"/>
      <c r="S186" s="457"/>
      <c r="T186" s="457"/>
      <c r="U186" s="457"/>
      <c r="V186" s="457"/>
      <c r="W186" s="457"/>
      <c r="X186" s="457"/>
    </row>
    <row r="187" ht="14.25" customHeight="1">
      <c r="A187" s="458"/>
      <c r="B187" s="473"/>
      <c r="C187" s="457"/>
      <c r="D187" s="457"/>
      <c r="E187" s="457"/>
      <c r="F187" s="457"/>
      <c r="G187" s="457"/>
      <c r="H187" s="457"/>
      <c r="I187" s="457"/>
      <c r="J187" s="457"/>
      <c r="K187" s="457"/>
      <c r="L187" s="457"/>
      <c r="M187" s="457"/>
      <c r="N187" s="457"/>
      <c r="O187" s="457"/>
      <c r="P187" s="457"/>
      <c r="Q187" s="457"/>
      <c r="R187" s="457"/>
      <c r="S187" s="457"/>
      <c r="T187" s="457"/>
      <c r="U187" s="457"/>
      <c r="V187" s="457"/>
      <c r="W187" s="457"/>
      <c r="X187" s="457"/>
    </row>
    <row r="188" ht="14.25" customHeight="1">
      <c r="A188" s="458"/>
      <c r="B188" s="473"/>
      <c r="C188" s="457"/>
      <c r="D188" s="457"/>
      <c r="E188" s="457"/>
      <c r="F188" s="457"/>
      <c r="G188" s="457"/>
      <c r="H188" s="457"/>
      <c r="I188" s="457"/>
      <c r="J188" s="457"/>
      <c r="K188" s="457"/>
      <c r="L188" s="457"/>
      <c r="M188" s="457"/>
      <c r="N188" s="457"/>
      <c r="O188" s="457"/>
      <c r="P188" s="457"/>
      <c r="Q188" s="457"/>
      <c r="R188" s="457"/>
      <c r="S188" s="457"/>
      <c r="T188" s="457"/>
      <c r="U188" s="457"/>
      <c r="V188" s="457"/>
      <c r="W188" s="457"/>
      <c r="X188" s="457"/>
    </row>
    <row r="189" ht="14.25" customHeight="1">
      <c r="A189" s="458"/>
      <c r="B189" s="473"/>
      <c r="C189" s="457"/>
      <c r="D189" s="457"/>
      <c r="E189" s="457"/>
      <c r="F189" s="457"/>
      <c r="G189" s="457"/>
      <c r="H189" s="457"/>
      <c r="I189" s="457"/>
      <c r="J189" s="457"/>
      <c r="K189" s="457"/>
      <c r="L189" s="457"/>
      <c r="M189" s="457"/>
      <c r="N189" s="457"/>
      <c r="O189" s="457"/>
      <c r="P189" s="457"/>
      <c r="Q189" s="457"/>
      <c r="R189" s="457"/>
      <c r="S189" s="457"/>
      <c r="T189" s="457"/>
      <c r="U189" s="457"/>
      <c r="V189" s="457"/>
      <c r="W189" s="457"/>
      <c r="X189" s="457"/>
    </row>
    <row r="190" ht="14.25" customHeight="1">
      <c r="A190" s="458"/>
      <c r="B190" s="473"/>
      <c r="C190" s="457"/>
      <c r="D190" s="457"/>
      <c r="E190" s="457"/>
      <c r="F190" s="457"/>
      <c r="G190" s="457"/>
      <c r="H190" s="457"/>
      <c r="I190" s="457"/>
      <c r="J190" s="457"/>
      <c r="K190" s="457"/>
      <c r="L190" s="457"/>
      <c r="M190" s="457"/>
      <c r="N190" s="457"/>
      <c r="O190" s="457"/>
      <c r="P190" s="457"/>
      <c r="Q190" s="457"/>
      <c r="R190" s="457"/>
      <c r="S190" s="457"/>
      <c r="T190" s="457"/>
      <c r="U190" s="457"/>
      <c r="V190" s="457"/>
      <c r="W190" s="457"/>
      <c r="X190" s="457"/>
    </row>
    <row r="191" ht="14.25" customHeight="1">
      <c r="A191" s="458"/>
      <c r="B191" s="473"/>
      <c r="C191" s="457"/>
      <c r="D191" s="457"/>
      <c r="E191" s="457"/>
      <c r="F191" s="457"/>
      <c r="G191" s="457"/>
      <c r="H191" s="457"/>
      <c r="I191" s="457"/>
      <c r="J191" s="457"/>
      <c r="K191" s="457"/>
      <c r="L191" s="457"/>
      <c r="M191" s="457"/>
      <c r="N191" s="457"/>
      <c r="O191" s="457"/>
      <c r="P191" s="457"/>
      <c r="Q191" s="457"/>
      <c r="R191" s="457"/>
      <c r="S191" s="457"/>
      <c r="T191" s="457"/>
      <c r="U191" s="457"/>
      <c r="V191" s="457"/>
      <c r="W191" s="457"/>
      <c r="X191" s="457"/>
    </row>
    <row r="192" ht="14.25" customHeight="1">
      <c r="A192" s="458"/>
      <c r="B192" s="473"/>
      <c r="C192" s="457"/>
      <c r="D192" s="457"/>
      <c r="E192" s="457"/>
      <c r="F192" s="457"/>
      <c r="G192" s="457"/>
      <c r="H192" s="457"/>
      <c r="I192" s="457"/>
      <c r="J192" s="457"/>
      <c r="K192" s="457"/>
      <c r="L192" s="457"/>
      <c r="M192" s="457"/>
      <c r="N192" s="457"/>
      <c r="O192" s="457"/>
      <c r="P192" s="457"/>
      <c r="Q192" s="457"/>
      <c r="R192" s="457"/>
      <c r="S192" s="457"/>
      <c r="T192" s="457"/>
      <c r="U192" s="457"/>
      <c r="V192" s="457"/>
      <c r="W192" s="457"/>
      <c r="X192" s="457"/>
    </row>
    <row r="193" ht="14.25" customHeight="1">
      <c r="A193" s="458"/>
      <c r="B193" s="473"/>
      <c r="C193" s="457"/>
      <c r="D193" s="457"/>
      <c r="E193" s="457"/>
      <c r="F193" s="457"/>
      <c r="G193" s="457"/>
      <c r="H193" s="457"/>
      <c r="I193" s="457"/>
      <c r="J193" s="457"/>
      <c r="K193" s="457"/>
      <c r="L193" s="457"/>
      <c r="M193" s="457"/>
      <c r="N193" s="457"/>
      <c r="O193" s="457"/>
      <c r="P193" s="457"/>
      <c r="Q193" s="457"/>
      <c r="R193" s="457"/>
      <c r="S193" s="457"/>
      <c r="T193" s="457"/>
      <c r="U193" s="457"/>
      <c r="V193" s="457"/>
      <c r="W193" s="457"/>
      <c r="X193" s="457"/>
    </row>
    <row r="194" ht="14.25" customHeight="1">
      <c r="A194" s="458"/>
      <c r="B194" s="473"/>
      <c r="C194" s="457"/>
      <c r="D194" s="457"/>
      <c r="E194" s="457"/>
      <c r="F194" s="457"/>
      <c r="G194" s="457"/>
      <c r="H194" s="457"/>
      <c r="I194" s="457"/>
      <c r="J194" s="457"/>
      <c r="K194" s="457"/>
      <c r="L194" s="457"/>
      <c r="M194" s="457"/>
      <c r="N194" s="457"/>
      <c r="O194" s="457"/>
      <c r="P194" s="457"/>
      <c r="Q194" s="457"/>
      <c r="R194" s="457"/>
      <c r="S194" s="457"/>
      <c r="T194" s="457"/>
      <c r="U194" s="457"/>
      <c r="V194" s="457"/>
      <c r="W194" s="457"/>
      <c r="X194" s="457"/>
    </row>
    <row r="195" ht="14.25" customHeight="1">
      <c r="A195" s="458"/>
      <c r="B195" s="473"/>
      <c r="C195" s="457"/>
      <c r="D195" s="457"/>
      <c r="E195" s="457"/>
      <c r="F195" s="457"/>
      <c r="G195" s="457"/>
      <c r="H195" s="457"/>
      <c r="I195" s="457"/>
      <c r="J195" s="457"/>
      <c r="K195" s="457"/>
      <c r="L195" s="457"/>
      <c r="M195" s="457"/>
      <c r="N195" s="457"/>
      <c r="O195" s="457"/>
      <c r="P195" s="457"/>
      <c r="Q195" s="457"/>
      <c r="R195" s="457"/>
      <c r="S195" s="457"/>
      <c r="T195" s="457"/>
      <c r="U195" s="457"/>
      <c r="V195" s="457"/>
      <c r="W195" s="457"/>
      <c r="X195" s="457"/>
    </row>
    <row r="196" ht="14.25" customHeight="1">
      <c r="A196" s="458"/>
      <c r="B196" s="473"/>
      <c r="C196" s="457"/>
      <c r="D196" s="457"/>
      <c r="E196" s="457"/>
      <c r="F196" s="457"/>
      <c r="G196" s="457"/>
      <c r="H196" s="457"/>
      <c r="I196" s="457"/>
      <c r="J196" s="457"/>
      <c r="K196" s="457"/>
      <c r="L196" s="457"/>
      <c r="M196" s="457"/>
      <c r="N196" s="457"/>
      <c r="O196" s="457"/>
      <c r="P196" s="457"/>
      <c r="Q196" s="457"/>
      <c r="R196" s="457"/>
      <c r="S196" s="457"/>
      <c r="T196" s="457"/>
      <c r="U196" s="457"/>
      <c r="V196" s="457"/>
      <c r="W196" s="457"/>
      <c r="X196" s="457"/>
    </row>
    <row r="197" ht="14.25" customHeight="1">
      <c r="A197" s="458"/>
      <c r="B197" s="473"/>
      <c r="C197" s="457"/>
      <c r="D197" s="457"/>
      <c r="E197" s="457"/>
      <c r="F197" s="457"/>
      <c r="G197" s="457"/>
      <c r="H197" s="457"/>
      <c r="I197" s="457"/>
      <c r="J197" s="457"/>
      <c r="K197" s="457"/>
      <c r="L197" s="457"/>
      <c r="M197" s="457"/>
      <c r="N197" s="457"/>
      <c r="O197" s="457"/>
      <c r="P197" s="457"/>
      <c r="Q197" s="457"/>
      <c r="R197" s="457"/>
      <c r="S197" s="457"/>
      <c r="T197" s="457"/>
      <c r="U197" s="457"/>
      <c r="V197" s="457"/>
      <c r="W197" s="457"/>
      <c r="X197" s="457"/>
    </row>
    <row r="198" ht="14.25" customHeight="1">
      <c r="A198" s="458"/>
      <c r="B198" s="473"/>
      <c r="C198" s="457"/>
      <c r="D198" s="457"/>
      <c r="E198" s="457"/>
      <c r="F198" s="457"/>
      <c r="G198" s="457"/>
      <c r="H198" s="457"/>
      <c r="I198" s="457"/>
      <c r="J198" s="457"/>
      <c r="K198" s="457"/>
      <c r="L198" s="457"/>
      <c r="M198" s="457"/>
      <c r="N198" s="457"/>
      <c r="O198" s="457"/>
      <c r="P198" s="457"/>
      <c r="Q198" s="457"/>
      <c r="R198" s="457"/>
      <c r="S198" s="457"/>
      <c r="T198" s="457"/>
      <c r="U198" s="457"/>
      <c r="V198" s="457"/>
      <c r="W198" s="457"/>
      <c r="X198" s="457"/>
    </row>
    <row r="199" ht="14.25" customHeight="1">
      <c r="A199" s="458"/>
      <c r="B199" s="473"/>
      <c r="C199" s="457"/>
      <c r="D199" s="457"/>
      <c r="E199" s="457"/>
      <c r="F199" s="457"/>
      <c r="G199" s="457"/>
      <c r="H199" s="457"/>
      <c r="I199" s="457"/>
      <c r="J199" s="457"/>
      <c r="K199" s="457"/>
      <c r="L199" s="457"/>
      <c r="M199" s="457"/>
      <c r="N199" s="457"/>
      <c r="O199" s="457"/>
      <c r="P199" s="457"/>
      <c r="Q199" s="457"/>
      <c r="R199" s="457"/>
      <c r="S199" s="457"/>
      <c r="T199" s="457"/>
      <c r="U199" s="457"/>
      <c r="V199" s="457"/>
      <c r="W199" s="457"/>
      <c r="X199" s="457"/>
    </row>
    <row r="200" ht="14.25" customHeight="1">
      <c r="A200" s="458"/>
      <c r="B200" s="473"/>
      <c r="C200" s="457"/>
      <c r="D200" s="457"/>
      <c r="E200" s="457"/>
      <c r="F200" s="457"/>
      <c r="G200" s="457"/>
      <c r="H200" s="457"/>
      <c r="I200" s="457"/>
      <c r="J200" s="457"/>
      <c r="K200" s="457"/>
      <c r="L200" s="457"/>
      <c r="M200" s="457"/>
      <c r="N200" s="457"/>
      <c r="O200" s="457"/>
      <c r="P200" s="457"/>
      <c r="Q200" s="457"/>
      <c r="R200" s="457"/>
      <c r="S200" s="457"/>
      <c r="T200" s="457"/>
      <c r="U200" s="457"/>
      <c r="V200" s="457"/>
      <c r="W200" s="457"/>
      <c r="X200" s="457"/>
    </row>
    <row r="201" ht="14.25" customHeight="1">
      <c r="A201" s="458"/>
      <c r="B201" s="473"/>
      <c r="C201" s="457"/>
      <c r="D201" s="457"/>
      <c r="E201" s="457"/>
      <c r="F201" s="457"/>
      <c r="G201" s="457"/>
      <c r="H201" s="457"/>
      <c r="I201" s="457"/>
      <c r="J201" s="457"/>
      <c r="K201" s="457"/>
      <c r="L201" s="457"/>
      <c r="M201" s="457"/>
      <c r="N201" s="457"/>
      <c r="O201" s="457"/>
      <c r="P201" s="457"/>
      <c r="Q201" s="457"/>
      <c r="R201" s="457"/>
      <c r="S201" s="457"/>
      <c r="T201" s="457"/>
      <c r="U201" s="457"/>
      <c r="V201" s="457"/>
      <c r="W201" s="457"/>
      <c r="X201" s="457"/>
    </row>
    <row r="202" ht="14.25" customHeight="1">
      <c r="A202" s="458"/>
      <c r="B202" s="473"/>
      <c r="C202" s="457"/>
      <c r="D202" s="457"/>
      <c r="E202" s="457"/>
      <c r="F202" s="457"/>
      <c r="G202" s="457"/>
      <c r="H202" s="457"/>
      <c r="I202" s="457"/>
      <c r="J202" s="457"/>
      <c r="K202" s="457"/>
      <c r="L202" s="457"/>
      <c r="M202" s="457"/>
      <c r="N202" s="457"/>
      <c r="O202" s="457"/>
      <c r="P202" s="457"/>
      <c r="Q202" s="457"/>
      <c r="R202" s="457"/>
      <c r="S202" s="457"/>
      <c r="T202" s="457"/>
      <c r="U202" s="457"/>
      <c r="V202" s="457"/>
      <c r="W202" s="457"/>
      <c r="X202" s="457"/>
    </row>
    <row r="203" ht="14.25" customHeight="1">
      <c r="A203" s="458"/>
      <c r="B203" s="473"/>
      <c r="C203" s="457"/>
      <c r="D203" s="457"/>
      <c r="E203" s="457"/>
      <c r="F203" s="457"/>
      <c r="G203" s="457"/>
      <c r="H203" s="457"/>
      <c r="I203" s="457"/>
      <c r="J203" s="457"/>
      <c r="K203" s="457"/>
      <c r="L203" s="457"/>
      <c r="M203" s="457"/>
      <c r="N203" s="457"/>
      <c r="O203" s="457"/>
      <c r="P203" s="457"/>
      <c r="Q203" s="457"/>
      <c r="R203" s="457"/>
      <c r="S203" s="457"/>
      <c r="T203" s="457"/>
      <c r="U203" s="457"/>
      <c r="V203" s="457"/>
      <c r="W203" s="457"/>
      <c r="X203" s="457"/>
    </row>
    <row r="204" ht="14.25" customHeight="1">
      <c r="A204" s="458"/>
      <c r="B204" s="473"/>
      <c r="C204" s="457"/>
      <c r="D204" s="457"/>
      <c r="E204" s="457"/>
      <c r="F204" s="457"/>
      <c r="G204" s="457"/>
      <c r="H204" s="457"/>
      <c r="I204" s="457"/>
      <c r="J204" s="457"/>
      <c r="K204" s="457"/>
      <c r="L204" s="457"/>
      <c r="M204" s="457"/>
      <c r="N204" s="457"/>
      <c r="O204" s="457"/>
      <c r="P204" s="457"/>
      <c r="Q204" s="457"/>
      <c r="R204" s="457"/>
      <c r="S204" s="457"/>
      <c r="T204" s="457"/>
      <c r="U204" s="457"/>
      <c r="V204" s="457"/>
      <c r="W204" s="457"/>
      <c r="X204" s="457"/>
    </row>
    <row r="205" ht="14.25" customHeight="1">
      <c r="A205" s="458"/>
      <c r="B205" s="473"/>
      <c r="C205" s="457"/>
      <c r="D205" s="457"/>
      <c r="E205" s="457"/>
      <c r="F205" s="457"/>
      <c r="G205" s="457"/>
      <c r="H205" s="457"/>
      <c r="I205" s="457"/>
      <c r="J205" s="457"/>
      <c r="K205" s="457"/>
      <c r="L205" s="457"/>
      <c r="M205" s="457"/>
      <c r="N205" s="457"/>
      <c r="O205" s="457"/>
      <c r="P205" s="457"/>
      <c r="Q205" s="457"/>
      <c r="R205" s="457"/>
      <c r="S205" s="457"/>
      <c r="T205" s="457"/>
      <c r="U205" s="457"/>
      <c r="V205" s="457"/>
      <c r="W205" s="457"/>
      <c r="X205" s="457"/>
    </row>
    <row r="206" ht="14.25" customHeight="1">
      <c r="A206" s="458"/>
      <c r="B206" s="473"/>
      <c r="C206" s="457"/>
      <c r="D206" s="457"/>
      <c r="E206" s="457"/>
      <c r="F206" s="457"/>
      <c r="G206" s="457"/>
      <c r="H206" s="457"/>
      <c r="I206" s="457"/>
      <c r="J206" s="457"/>
      <c r="K206" s="457"/>
      <c r="L206" s="457"/>
      <c r="M206" s="457"/>
      <c r="N206" s="457"/>
      <c r="O206" s="457"/>
      <c r="P206" s="457"/>
      <c r="Q206" s="457"/>
      <c r="R206" s="457"/>
      <c r="S206" s="457"/>
      <c r="T206" s="457"/>
      <c r="U206" s="457"/>
      <c r="V206" s="457"/>
      <c r="W206" s="457"/>
      <c r="X206" s="457"/>
    </row>
    <row r="207" ht="14.25" customHeight="1">
      <c r="A207" s="458"/>
      <c r="B207" s="473"/>
      <c r="C207" s="457"/>
      <c r="D207" s="457"/>
      <c r="E207" s="457"/>
      <c r="F207" s="457"/>
      <c r="G207" s="457"/>
      <c r="H207" s="457"/>
      <c r="I207" s="457"/>
      <c r="J207" s="457"/>
      <c r="K207" s="457"/>
      <c r="L207" s="457"/>
      <c r="M207" s="457"/>
      <c r="N207" s="457"/>
      <c r="O207" s="457"/>
      <c r="P207" s="457"/>
      <c r="Q207" s="457"/>
      <c r="R207" s="457"/>
      <c r="S207" s="457"/>
      <c r="T207" s="457"/>
      <c r="U207" s="457"/>
      <c r="V207" s="457"/>
      <c r="W207" s="457"/>
      <c r="X207" s="457"/>
    </row>
    <row r="208" ht="14.25" customHeight="1">
      <c r="A208" s="458"/>
      <c r="B208" s="473"/>
      <c r="C208" s="457"/>
      <c r="D208" s="457"/>
      <c r="E208" s="457"/>
      <c r="F208" s="457"/>
      <c r="G208" s="457"/>
      <c r="H208" s="457"/>
      <c r="I208" s="457"/>
      <c r="J208" s="457"/>
      <c r="K208" s="457"/>
      <c r="L208" s="457"/>
      <c r="M208" s="457"/>
      <c r="N208" s="457"/>
      <c r="O208" s="457"/>
      <c r="P208" s="457"/>
      <c r="Q208" s="457"/>
      <c r="R208" s="457"/>
      <c r="S208" s="457"/>
      <c r="T208" s="457"/>
      <c r="U208" s="457"/>
      <c r="V208" s="457"/>
      <c r="W208" s="457"/>
      <c r="X208" s="457"/>
    </row>
    <row r="209" ht="14.25" customHeight="1">
      <c r="A209" s="458"/>
      <c r="B209" s="473"/>
      <c r="C209" s="457"/>
      <c r="D209" s="457"/>
      <c r="E209" s="457"/>
      <c r="F209" s="457"/>
      <c r="G209" s="457"/>
      <c r="H209" s="457"/>
      <c r="I209" s="457"/>
      <c r="J209" s="457"/>
      <c r="K209" s="457"/>
      <c r="L209" s="457"/>
      <c r="M209" s="457"/>
      <c r="N209" s="457"/>
      <c r="O209" s="457"/>
      <c r="P209" s="457"/>
      <c r="Q209" s="457"/>
      <c r="R209" s="457"/>
      <c r="S209" s="457"/>
      <c r="T209" s="457"/>
      <c r="U209" s="457"/>
      <c r="V209" s="457"/>
      <c r="W209" s="457"/>
      <c r="X209" s="457"/>
    </row>
    <row r="210" ht="14.25" customHeight="1">
      <c r="A210" s="458"/>
      <c r="B210" s="473"/>
      <c r="C210" s="457"/>
      <c r="D210" s="457"/>
      <c r="E210" s="457"/>
      <c r="F210" s="457"/>
      <c r="G210" s="457"/>
      <c r="H210" s="457"/>
      <c r="I210" s="457"/>
      <c r="J210" s="457"/>
      <c r="K210" s="457"/>
      <c r="L210" s="457"/>
      <c r="M210" s="457"/>
      <c r="N210" s="457"/>
      <c r="O210" s="457"/>
      <c r="P210" s="457"/>
      <c r="Q210" s="457"/>
      <c r="R210" s="457"/>
      <c r="S210" s="457"/>
      <c r="T210" s="457"/>
      <c r="U210" s="457"/>
      <c r="V210" s="457"/>
      <c r="W210" s="457"/>
      <c r="X210" s="457"/>
    </row>
    <row r="211" ht="14.25" customHeight="1">
      <c r="A211" s="458"/>
      <c r="B211" s="473"/>
      <c r="C211" s="457"/>
      <c r="D211" s="457"/>
      <c r="E211" s="457"/>
      <c r="F211" s="457"/>
      <c r="G211" s="457"/>
      <c r="H211" s="457"/>
      <c r="I211" s="457"/>
      <c r="J211" s="457"/>
      <c r="K211" s="457"/>
      <c r="L211" s="457"/>
      <c r="M211" s="457"/>
      <c r="N211" s="457"/>
      <c r="O211" s="457"/>
      <c r="P211" s="457"/>
      <c r="Q211" s="457"/>
      <c r="R211" s="457"/>
      <c r="S211" s="457"/>
      <c r="T211" s="457"/>
      <c r="U211" s="457"/>
      <c r="V211" s="457"/>
      <c r="W211" s="457"/>
      <c r="X211" s="457"/>
    </row>
    <row r="212" ht="14.25" customHeight="1">
      <c r="A212" s="458"/>
      <c r="B212" s="473"/>
      <c r="C212" s="457"/>
      <c r="D212" s="457"/>
      <c r="E212" s="457"/>
      <c r="F212" s="457"/>
      <c r="G212" s="457"/>
      <c r="H212" s="457"/>
      <c r="I212" s="457"/>
      <c r="J212" s="457"/>
      <c r="K212" s="457"/>
      <c r="L212" s="457"/>
      <c r="M212" s="457"/>
      <c r="N212" s="457"/>
      <c r="O212" s="457"/>
      <c r="P212" s="457"/>
      <c r="Q212" s="457"/>
      <c r="R212" s="457"/>
      <c r="S212" s="457"/>
      <c r="T212" s="457"/>
      <c r="U212" s="457"/>
      <c r="V212" s="457"/>
      <c r="W212" s="457"/>
      <c r="X212" s="457"/>
    </row>
    <row r="213" ht="14.25" customHeight="1">
      <c r="A213" s="458"/>
      <c r="B213" s="473"/>
      <c r="C213" s="457"/>
      <c r="D213" s="457"/>
      <c r="E213" s="457"/>
      <c r="F213" s="457"/>
      <c r="G213" s="457"/>
      <c r="H213" s="457"/>
      <c r="I213" s="457"/>
      <c r="J213" s="457"/>
      <c r="K213" s="457"/>
      <c r="L213" s="457"/>
      <c r="M213" s="457"/>
      <c r="N213" s="457"/>
      <c r="O213" s="457"/>
      <c r="P213" s="457"/>
      <c r="Q213" s="457"/>
      <c r="R213" s="457"/>
      <c r="S213" s="457"/>
      <c r="T213" s="457"/>
      <c r="U213" s="457"/>
      <c r="V213" s="457"/>
      <c r="W213" s="457"/>
      <c r="X213" s="457"/>
    </row>
    <row r="214" ht="14.25" customHeight="1">
      <c r="A214" s="458"/>
      <c r="B214" s="473"/>
      <c r="C214" s="457"/>
      <c r="D214" s="457"/>
      <c r="E214" s="457"/>
      <c r="F214" s="457"/>
      <c r="G214" s="457"/>
      <c r="H214" s="457"/>
      <c r="I214" s="457"/>
      <c r="J214" s="457"/>
      <c r="K214" s="457"/>
      <c r="L214" s="457"/>
      <c r="M214" s="457"/>
      <c r="N214" s="457"/>
      <c r="O214" s="457"/>
      <c r="P214" s="457"/>
      <c r="Q214" s="457"/>
      <c r="R214" s="457"/>
      <c r="S214" s="457"/>
      <c r="T214" s="457"/>
      <c r="U214" s="457"/>
      <c r="V214" s="457"/>
      <c r="W214" s="457"/>
      <c r="X214" s="457"/>
    </row>
    <row r="215" ht="14.25" customHeight="1">
      <c r="A215" s="458"/>
      <c r="B215" s="473"/>
      <c r="C215" s="457"/>
      <c r="D215" s="457"/>
      <c r="E215" s="457"/>
      <c r="F215" s="457"/>
      <c r="G215" s="457"/>
      <c r="H215" s="457"/>
      <c r="I215" s="457"/>
      <c r="J215" s="457"/>
      <c r="K215" s="457"/>
      <c r="L215" s="457"/>
      <c r="M215" s="457"/>
      <c r="N215" s="457"/>
      <c r="O215" s="457"/>
      <c r="P215" s="457"/>
      <c r="Q215" s="457"/>
      <c r="R215" s="457"/>
      <c r="S215" s="457"/>
      <c r="T215" s="457"/>
      <c r="U215" s="457"/>
      <c r="V215" s="457"/>
      <c r="W215" s="457"/>
      <c r="X215" s="457"/>
    </row>
    <row r="216" ht="14.25" customHeight="1">
      <c r="A216" s="458"/>
      <c r="B216" s="473"/>
      <c r="C216" s="457"/>
      <c r="D216" s="457"/>
      <c r="E216" s="457"/>
      <c r="F216" s="457"/>
      <c r="G216" s="457"/>
      <c r="H216" s="457"/>
      <c r="I216" s="457"/>
      <c r="J216" s="457"/>
      <c r="K216" s="457"/>
      <c r="L216" s="457"/>
      <c r="M216" s="457"/>
      <c r="N216" s="457"/>
      <c r="O216" s="457"/>
      <c r="P216" s="457"/>
      <c r="Q216" s="457"/>
      <c r="R216" s="457"/>
      <c r="S216" s="457"/>
      <c r="T216" s="457"/>
      <c r="U216" s="457"/>
      <c r="V216" s="457"/>
      <c r="W216" s="457"/>
      <c r="X216" s="457"/>
    </row>
    <row r="217" ht="14.25" customHeight="1">
      <c r="A217" s="458"/>
      <c r="B217" s="473"/>
      <c r="C217" s="457"/>
      <c r="D217" s="457"/>
      <c r="E217" s="457"/>
      <c r="F217" s="457"/>
      <c r="G217" s="457"/>
      <c r="H217" s="457"/>
      <c r="I217" s="457"/>
      <c r="J217" s="457"/>
      <c r="K217" s="457"/>
      <c r="L217" s="457"/>
      <c r="M217" s="457"/>
      <c r="N217" s="457"/>
      <c r="O217" s="457"/>
      <c r="P217" s="457"/>
      <c r="Q217" s="457"/>
      <c r="R217" s="457"/>
      <c r="S217" s="457"/>
      <c r="T217" s="457"/>
      <c r="U217" s="457"/>
      <c r="V217" s="457"/>
      <c r="W217" s="457"/>
      <c r="X217" s="457"/>
    </row>
    <row r="218" ht="14.25" customHeight="1">
      <c r="A218" s="458"/>
      <c r="B218" s="473"/>
      <c r="C218" s="457"/>
      <c r="D218" s="457"/>
      <c r="E218" s="457"/>
      <c r="F218" s="457"/>
      <c r="G218" s="457"/>
      <c r="H218" s="457"/>
      <c r="I218" s="457"/>
      <c r="J218" s="457"/>
      <c r="K218" s="457"/>
      <c r="L218" s="457"/>
      <c r="M218" s="457"/>
      <c r="N218" s="457"/>
      <c r="O218" s="457"/>
      <c r="P218" s="457"/>
      <c r="Q218" s="457"/>
      <c r="R218" s="457"/>
      <c r="S218" s="457"/>
      <c r="T218" s="457"/>
      <c r="U218" s="457"/>
      <c r="V218" s="457"/>
      <c r="W218" s="457"/>
      <c r="X218" s="457"/>
    </row>
    <row r="219" ht="14.25" customHeight="1">
      <c r="A219" s="458"/>
      <c r="B219" s="473"/>
      <c r="C219" s="457"/>
      <c r="D219" s="457"/>
      <c r="E219" s="457"/>
      <c r="F219" s="457"/>
      <c r="G219" s="457"/>
      <c r="H219" s="457"/>
      <c r="I219" s="457"/>
      <c r="J219" s="457"/>
      <c r="K219" s="457"/>
      <c r="L219" s="457"/>
      <c r="M219" s="457"/>
      <c r="N219" s="457"/>
      <c r="O219" s="457"/>
      <c r="P219" s="457"/>
      <c r="Q219" s="457"/>
      <c r="R219" s="457"/>
      <c r="S219" s="457"/>
      <c r="T219" s="457"/>
      <c r="U219" s="457"/>
      <c r="V219" s="457"/>
      <c r="W219" s="457"/>
      <c r="X219" s="457"/>
    </row>
    <row r="220" ht="14.25" customHeight="1">
      <c r="A220" s="458"/>
      <c r="B220" s="473"/>
      <c r="C220" s="457"/>
      <c r="D220" s="457"/>
      <c r="E220" s="457"/>
      <c r="F220" s="457"/>
      <c r="G220" s="457"/>
      <c r="H220" s="457"/>
      <c r="I220" s="457"/>
      <c r="J220" s="457"/>
      <c r="K220" s="457"/>
      <c r="L220" s="457"/>
      <c r="M220" s="457"/>
      <c r="N220" s="457"/>
      <c r="O220" s="457"/>
      <c r="P220" s="457"/>
      <c r="Q220" s="457"/>
      <c r="R220" s="457"/>
      <c r="S220" s="457"/>
      <c r="T220" s="457"/>
      <c r="U220" s="457"/>
      <c r="V220" s="457"/>
      <c r="W220" s="457"/>
      <c r="X220" s="457"/>
    </row>
    <row r="221" ht="14.25" customHeight="1">
      <c r="A221" s="458"/>
      <c r="B221" s="473"/>
      <c r="C221" s="457"/>
      <c r="D221" s="457"/>
      <c r="E221" s="457"/>
      <c r="F221" s="457"/>
      <c r="G221" s="457"/>
      <c r="H221" s="457"/>
      <c r="I221" s="457"/>
      <c r="J221" s="457"/>
      <c r="K221" s="457"/>
      <c r="L221" s="457"/>
      <c r="M221" s="457"/>
      <c r="N221" s="457"/>
      <c r="O221" s="457"/>
      <c r="P221" s="457"/>
      <c r="Q221" s="457"/>
      <c r="R221" s="457"/>
      <c r="S221" s="457"/>
      <c r="T221" s="457"/>
      <c r="U221" s="457"/>
      <c r="V221" s="457"/>
      <c r="W221" s="457"/>
      <c r="X221" s="457"/>
    </row>
    <row r="222" ht="14.25" customHeight="1">
      <c r="A222" s="458"/>
      <c r="B222" s="473"/>
      <c r="C222" s="457"/>
      <c r="D222" s="457"/>
      <c r="E222" s="457"/>
      <c r="F222" s="457"/>
      <c r="G222" s="457"/>
      <c r="H222" s="457"/>
      <c r="I222" s="457"/>
      <c r="J222" s="457"/>
      <c r="K222" s="457"/>
      <c r="L222" s="457"/>
      <c r="M222" s="457"/>
      <c r="N222" s="457"/>
      <c r="O222" s="457"/>
      <c r="P222" s="457"/>
      <c r="Q222" s="457"/>
      <c r="R222" s="457"/>
      <c r="S222" s="457"/>
      <c r="T222" s="457"/>
      <c r="U222" s="457"/>
      <c r="V222" s="457"/>
      <c r="W222" s="457"/>
      <c r="X222" s="457"/>
    </row>
    <row r="223" ht="14.25" customHeight="1">
      <c r="A223" s="458"/>
      <c r="B223" s="473"/>
      <c r="C223" s="457"/>
      <c r="D223" s="457"/>
      <c r="E223" s="457"/>
      <c r="F223" s="457"/>
      <c r="G223" s="457"/>
      <c r="H223" s="457"/>
      <c r="I223" s="457"/>
      <c r="J223" s="457"/>
      <c r="K223" s="457"/>
      <c r="L223" s="457"/>
      <c r="M223" s="457"/>
      <c r="N223" s="457"/>
      <c r="O223" s="457"/>
      <c r="P223" s="457"/>
      <c r="Q223" s="457"/>
      <c r="R223" s="457"/>
      <c r="S223" s="457"/>
      <c r="T223" s="457"/>
      <c r="U223" s="457"/>
      <c r="V223" s="457"/>
      <c r="W223" s="457"/>
      <c r="X223" s="457"/>
    </row>
    <row r="224" ht="14.25" customHeight="1">
      <c r="A224" s="458"/>
      <c r="B224" s="473"/>
      <c r="C224" s="457"/>
      <c r="D224" s="457"/>
      <c r="E224" s="457"/>
      <c r="F224" s="457"/>
      <c r="G224" s="457"/>
      <c r="H224" s="457"/>
      <c r="I224" s="457"/>
      <c r="J224" s="457"/>
      <c r="K224" s="457"/>
      <c r="L224" s="457"/>
      <c r="M224" s="457"/>
      <c r="N224" s="457"/>
      <c r="O224" s="457"/>
      <c r="P224" s="457"/>
      <c r="Q224" s="457"/>
      <c r="R224" s="457"/>
      <c r="S224" s="457"/>
      <c r="T224" s="457"/>
      <c r="U224" s="457"/>
      <c r="V224" s="457"/>
      <c r="W224" s="457"/>
      <c r="X224" s="457"/>
    </row>
    <row r="225" ht="14.25" customHeight="1">
      <c r="A225" s="458"/>
      <c r="B225" s="473"/>
      <c r="C225" s="457"/>
      <c r="D225" s="457"/>
      <c r="E225" s="457"/>
      <c r="F225" s="457"/>
      <c r="G225" s="457"/>
      <c r="H225" s="457"/>
      <c r="I225" s="457"/>
      <c r="J225" s="457"/>
      <c r="K225" s="457"/>
      <c r="L225" s="457"/>
      <c r="M225" s="457"/>
      <c r="N225" s="457"/>
      <c r="O225" s="457"/>
      <c r="P225" s="457"/>
      <c r="Q225" s="457"/>
      <c r="R225" s="457"/>
      <c r="S225" s="457"/>
      <c r="T225" s="457"/>
      <c r="U225" s="457"/>
      <c r="V225" s="457"/>
      <c r="W225" s="457"/>
      <c r="X225" s="457"/>
    </row>
    <row r="226" ht="14.25" customHeight="1">
      <c r="A226" s="458"/>
      <c r="B226" s="473"/>
      <c r="C226" s="457"/>
      <c r="D226" s="457"/>
      <c r="E226" s="457"/>
      <c r="F226" s="457"/>
      <c r="G226" s="457"/>
      <c r="H226" s="457"/>
      <c r="I226" s="457"/>
      <c r="J226" s="457"/>
      <c r="K226" s="457"/>
      <c r="L226" s="457"/>
      <c r="M226" s="457"/>
      <c r="N226" s="457"/>
      <c r="O226" s="457"/>
      <c r="P226" s="457"/>
      <c r="Q226" s="457"/>
      <c r="R226" s="457"/>
      <c r="S226" s="457"/>
      <c r="T226" s="457"/>
      <c r="U226" s="457"/>
      <c r="V226" s="457"/>
      <c r="W226" s="457"/>
      <c r="X226" s="457"/>
    </row>
    <row r="227" ht="14.25" customHeight="1">
      <c r="A227" s="458"/>
      <c r="B227" s="473"/>
      <c r="C227" s="457"/>
      <c r="D227" s="457"/>
      <c r="E227" s="457"/>
      <c r="F227" s="457"/>
      <c r="G227" s="457"/>
      <c r="H227" s="457"/>
      <c r="I227" s="457"/>
      <c r="J227" s="457"/>
      <c r="K227" s="457"/>
      <c r="L227" s="457"/>
      <c r="M227" s="457"/>
      <c r="N227" s="457"/>
      <c r="O227" s="457"/>
      <c r="P227" s="457"/>
      <c r="Q227" s="457"/>
      <c r="R227" s="457"/>
      <c r="S227" s="457"/>
      <c r="T227" s="457"/>
      <c r="U227" s="457"/>
      <c r="V227" s="457"/>
      <c r="W227" s="457"/>
      <c r="X227" s="457"/>
    </row>
    <row r="228" ht="14.25" customHeight="1">
      <c r="A228" s="458"/>
      <c r="B228" s="473"/>
      <c r="C228" s="457"/>
      <c r="D228" s="457"/>
      <c r="E228" s="457"/>
      <c r="F228" s="457"/>
      <c r="G228" s="457"/>
      <c r="H228" s="457"/>
      <c r="I228" s="457"/>
      <c r="J228" s="457"/>
      <c r="K228" s="457"/>
      <c r="L228" s="457"/>
      <c r="M228" s="457"/>
      <c r="N228" s="457"/>
      <c r="O228" s="457"/>
      <c r="P228" s="457"/>
      <c r="Q228" s="457"/>
      <c r="R228" s="457"/>
      <c r="S228" s="457"/>
      <c r="T228" s="457"/>
      <c r="U228" s="457"/>
      <c r="V228" s="457"/>
      <c r="W228" s="457"/>
      <c r="X228" s="457"/>
    </row>
    <row r="229" ht="14.25" customHeight="1">
      <c r="A229" s="458"/>
      <c r="B229" s="473"/>
      <c r="C229" s="457"/>
      <c r="D229" s="457"/>
      <c r="E229" s="457"/>
      <c r="F229" s="457"/>
      <c r="G229" s="457"/>
      <c r="H229" s="457"/>
      <c r="I229" s="457"/>
      <c r="J229" s="457"/>
      <c r="K229" s="457"/>
      <c r="L229" s="457"/>
      <c r="M229" s="457"/>
      <c r="N229" s="457"/>
      <c r="O229" s="457"/>
      <c r="P229" s="457"/>
      <c r="Q229" s="457"/>
      <c r="R229" s="457"/>
      <c r="S229" s="457"/>
      <c r="T229" s="457"/>
      <c r="U229" s="457"/>
      <c r="V229" s="457"/>
      <c r="W229" s="457"/>
      <c r="X229" s="457"/>
    </row>
    <row r="230" ht="14.25" customHeight="1">
      <c r="A230" s="458"/>
      <c r="B230" s="473"/>
      <c r="C230" s="457"/>
      <c r="D230" s="457"/>
      <c r="E230" s="457"/>
      <c r="F230" s="457"/>
      <c r="G230" s="457"/>
      <c r="H230" s="457"/>
      <c r="I230" s="457"/>
      <c r="J230" s="457"/>
      <c r="K230" s="457"/>
      <c r="L230" s="457"/>
      <c r="M230" s="457"/>
      <c r="N230" s="457"/>
      <c r="O230" s="457"/>
      <c r="P230" s="457"/>
      <c r="Q230" s="457"/>
      <c r="R230" s="457"/>
      <c r="S230" s="457"/>
      <c r="T230" s="457"/>
      <c r="U230" s="457"/>
      <c r="V230" s="457"/>
      <c r="W230" s="457"/>
      <c r="X230" s="457"/>
    </row>
    <row r="231" ht="14.25" customHeight="1">
      <c r="A231" s="458"/>
      <c r="B231" s="473"/>
      <c r="C231" s="457"/>
      <c r="D231" s="457"/>
      <c r="E231" s="457"/>
      <c r="F231" s="457"/>
      <c r="G231" s="457"/>
      <c r="H231" s="457"/>
      <c r="I231" s="457"/>
      <c r="J231" s="457"/>
      <c r="K231" s="457"/>
      <c r="L231" s="457"/>
      <c r="M231" s="457"/>
      <c r="N231" s="457"/>
      <c r="O231" s="457"/>
      <c r="P231" s="457"/>
      <c r="Q231" s="457"/>
      <c r="R231" s="457"/>
      <c r="S231" s="457"/>
      <c r="T231" s="457"/>
      <c r="U231" s="457"/>
      <c r="V231" s="457"/>
      <c r="W231" s="457"/>
      <c r="X231" s="457"/>
    </row>
    <row r="232" ht="14.25" customHeight="1">
      <c r="A232" s="458"/>
      <c r="B232" s="473"/>
      <c r="C232" s="457"/>
      <c r="D232" s="457"/>
      <c r="E232" s="457"/>
      <c r="F232" s="457"/>
      <c r="G232" s="457"/>
      <c r="H232" s="457"/>
      <c r="I232" s="457"/>
      <c r="J232" s="457"/>
      <c r="K232" s="457"/>
      <c r="L232" s="457"/>
      <c r="M232" s="457"/>
      <c r="N232" s="457"/>
      <c r="O232" s="457"/>
      <c r="P232" s="457"/>
      <c r="Q232" s="457"/>
      <c r="R232" s="457"/>
      <c r="S232" s="457"/>
      <c r="T232" s="457"/>
      <c r="U232" s="457"/>
      <c r="V232" s="457"/>
      <c r="W232" s="457"/>
      <c r="X232" s="457"/>
    </row>
    <row r="233" ht="14.25" customHeight="1">
      <c r="A233" s="458"/>
      <c r="B233" s="473"/>
      <c r="C233" s="457"/>
      <c r="D233" s="457"/>
      <c r="E233" s="457"/>
      <c r="F233" s="457"/>
      <c r="G233" s="457"/>
      <c r="H233" s="457"/>
      <c r="I233" s="457"/>
      <c r="J233" s="457"/>
      <c r="K233" s="457"/>
      <c r="L233" s="457"/>
      <c r="M233" s="457"/>
      <c r="N233" s="457"/>
      <c r="O233" s="457"/>
      <c r="P233" s="457"/>
      <c r="Q233" s="457"/>
      <c r="R233" s="457"/>
      <c r="S233" s="457"/>
      <c r="T233" s="457"/>
      <c r="U233" s="457"/>
      <c r="V233" s="457"/>
      <c r="W233" s="457"/>
      <c r="X233" s="457"/>
    </row>
    <row r="234" ht="14.25" customHeight="1">
      <c r="A234" s="458"/>
      <c r="B234" s="473"/>
      <c r="C234" s="457"/>
      <c r="D234" s="457"/>
      <c r="E234" s="457"/>
      <c r="F234" s="457"/>
      <c r="G234" s="457"/>
      <c r="H234" s="457"/>
      <c r="I234" s="457"/>
      <c r="J234" s="457"/>
      <c r="K234" s="457"/>
      <c r="L234" s="457"/>
      <c r="M234" s="457"/>
      <c r="N234" s="457"/>
      <c r="O234" s="457"/>
      <c r="P234" s="457"/>
      <c r="Q234" s="457"/>
      <c r="R234" s="457"/>
      <c r="S234" s="457"/>
      <c r="T234" s="457"/>
      <c r="U234" s="457"/>
      <c r="V234" s="457"/>
      <c r="W234" s="457"/>
      <c r="X234" s="457"/>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1:D1"/>
    <mergeCell ref="B2:D2"/>
    <mergeCell ref="A3:D3"/>
    <mergeCell ref="B22:D22"/>
    <mergeCell ref="B23:D23"/>
    <mergeCell ref="B24:D24"/>
    <mergeCell ref="B25:D25"/>
    <mergeCell ref="B33:D33"/>
    <mergeCell ref="B34:D34"/>
    <mergeCell ref="B26:D26"/>
    <mergeCell ref="B27:D27"/>
    <mergeCell ref="B28:D28"/>
    <mergeCell ref="B29:D29"/>
    <mergeCell ref="B30:D30"/>
    <mergeCell ref="B31:D31"/>
    <mergeCell ref="B32:D32"/>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